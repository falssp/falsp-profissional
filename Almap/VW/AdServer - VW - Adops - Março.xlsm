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W\"/>
    </mc:Choice>
  </mc:AlternateContent>
  <xr:revisionPtr revIDLastSave="0" documentId="13_ncr:1_{8E73F812-6653-49A0-9092-F392741D2524}" xr6:coauthVersionLast="36" xr6:coauthVersionMax="36" xr10:uidLastSave="{00000000-0000-0000-0000-000000000000}"/>
  <bookViews>
    <workbookView xWindow="0" yWindow="0" windowWidth="20490" windowHeight="7245" activeTab="4" xr2:uid="{00000000-000D-0000-FFFF-FFFF00000000}"/>
  </bookViews>
  <sheets>
    <sheet name="Banco de dados" sheetId="17" r:id="rId1"/>
    <sheet name="db_adops" sheetId="2" r:id="rId2"/>
    <sheet name="Report DCM" sheetId="6" r:id="rId3"/>
    <sheet name="Planilha1" sheetId="18" r:id="rId4"/>
    <sheet name="Resumo" sheetId="8" r:id="rId5"/>
  </sheets>
  <definedNames>
    <definedName name="_xlnm._FilterDatabase" localSheetId="0" hidden="1">'Banco de dados'!$A$1:$K$1021</definedName>
    <definedName name="_xlnm._FilterDatabase" localSheetId="2" hidden="1">'Report DCM'!$A:$N</definedName>
    <definedName name="_xlnm._FilterDatabase" localSheetId="4" hidden="1">Resumo!$A$19:$O$1841</definedName>
    <definedName name="adtype">'Report DCM'!$E:$E</definedName>
    <definedName name="adtype_filtrada">Resumo!$F$20:$F$1048576</definedName>
    <definedName name="_xlnm.Extract" localSheetId="4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4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pivotCaches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E1021" i="17"/>
  <c r="E1020" i="17"/>
  <c r="E1019" i="17"/>
  <c r="E1018" i="17"/>
  <c r="E1017" i="17"/>
  <c r="E1016" i="17"/>
  <c r="E1015" i="17"/>
  <c r="E1011" i="17"/>
  <c r="E1010" i="17"/>
  <c r="E1009" i="17"/>
  <c r="E1008" i="17"/>
  <c r="E1007" i="17"/>
  <c r="E1006" i="17"/>
  <c r="E1005" i="17"/>
  <c r="E1004" i="17"/>
  <c r="E1003" i="17"/>
  <c r="E1002" i="17"/>
  <c r="E1001" i="17"/>
  <c r="E1000" i="17"/>
  <c r="E999" i="17"/>
  <c r="E998" i="17"/>
  <c r="E997" i="17"/>
  <c r="E996" i="17"/>
  <c r="E995" i="17"/>
  <c r="E994" i="17"/>
  <c r="E993" i="17"/>
  <c r="E992" i="17"/>
  <c r="E991" i="17"/>
  <c r="E990" i="17"/>
  <c r="E987" i="17"/>
  <c r="E986" i="17"/>
  <c r="E985" i="17"/>
  <c r="E984" i="17"/>
  <c r="E983" i="17"/>
  <c r="E982" i="17"/>
  <c r="E981" i="17"/>
  <c r="E980" i="17"/>
  <c r="E979" i="17"/>
  <c r="E978" i="17"/>
  <c r="E977" i="17"/>
  <c r="E976" i="17"/>
  <c r="E975" i="17"/>
  <c r="E973" i="17"/>
  <c r="E972" i="17"/>
  <c r="E971" i="17"/>
  <c r="E970" i="17"/>
  <c r="E969" i="17"/>
  <c r="E968" i="17"/>
  <c r="E967" i="17"/>
  <c r="E966" i="17"/>
  <c r="E965" i="17"/>
  <c r="E964" i="17"/>
  <c r="E963" i="17"/>
  <c r="E962" i="17"/>
  <c r="E961" i="17"/>
  <c r="E960" i="17"/>
  <c r="E959" i="17"/>
  <c r="E958" i="17"/>
  <c r="E957" i="17"/>
  <c r="E956" i="17"/>
  <c r="E955" i="17"/>
  <c r="E954" i="17"/>
  <c r="E953" i="17"/>
  <c r="E952" i="17"/>
  <c r="E951" i="17"/>
  <c r="E950" i="17"/>
  <c r="E949" i="17"/>
  <c r="E948" i="17"/>
  <c r="E947" i="17"/>
  <c r="E946" i="17"/>
  <c r="E945" i="17"/>
  <c r="E944" i="17"/>
  <c r="E943" i="17"/>
  <c r="E942" i="17"/>
  <c r="E941" i="17"/>
  <c r="E940" i="17"/>
  <c r="E939" i="17"/>
  <c r="E938" i="17"/>
  <c r="E936" i="17"/>
  <c r="E935" i="17"/>
  <c r="E934" i="17"/>
  <c r="E933" i="17"/>
  <c r="E932" i="17"/>
  <c r="E931" i="17"/>
  <c r="E930" i="17"/>
  <c r="E929" i="17"/>
  <c r="E928" i="17"/>
  <c r="E927" i="17"/>
  <c r="E926" i="17"/>
  <c r="E925" i="17"/>
  <c r="E924" i="17"/>
  <c r="E923" i="17"/>
  <c r="E922" i="17"/>
  <c r="E921" i="17"/>
  <c r="E920" i="17"/>
  <c r="E919" i="17"/>
  <c r="E918" i="17"/>
  <c r="E917" i="17"/>
  <c r="E916" i="17"/>
  <c r="E915" i="17"/>
  <c r="E914" i="17"/>
  <c r="E913" i="17"/>
  <c r="E912" i="17"/>
  <c r="E911" i="17"/>
  <c r="E910" i="17"/>
  <c r="E909" i="17"/>
  <c r="E908" i="17"/>
  <c r="E907" i="17"/>
  <c r="E906" i="17"/>
  <c r="E905" i="17"/>
  <c r="E904" i="17"/>
  <c r="E903" i="17"/>
  <c r="E902" i="17"/>
  <c r="E901" i="17"/>
  <c r="E900" i="17"/>
  <c r="E899" i="17"/>
  <c r="E898" i="17"/>
  <c r="E897" i="17"/>
  <c r="E896" i="17"/>
  <c r="E895" i="17"/>
  <c r="E894" i="17"/>
  <c r="E893" i="17"/>
  <c r="E892" i="17"/>
  <c r="E891" i="17"/>
  <c r="E890" i="17"/>
  <c r="E888" i="17"/>
  <c r="E887" i="17"/>
  <c r="E886" i="17"/>
  <c r="E885" i="17"/>
  <c r="E884" i="17"/>
  <c r="E883" i="17"/>
  <c r="E882" i="17"/>
  <c r="E881" i="17"/>
  <c r="E880" i="17"/>
  <c r="E879" i="17"/>
  <c r="E878" i="17"/>
  <c r="E877" i="17"/>
  <c r="E876" i="17"/>
  <c r="E875" i="17"/>
  <c r="E874" i="17"/>
  <c r="E873" i="17"/>
  <c r="E872" i="17"/>
  <c r="E871" i="17"/>
  <c r="E870" i="17"/>
  <c r="E869" i="17"/>
  <c r="E868" i="17"/>
  <c r="E867" i="17"/>
  <c r="E866" i="17"/>
  <c r="E853" i="17"/>
  <c r="E852" i="17"/>
  <c r="E851" i="17"/>
  <c r="E850" i="17"/>
  <c r="E849" i="17"/>
  <c r="E848" i="17"/>
  <c r="E847" i="17"/>
  <c r="E846" i="17"/>
  <c r="E845" i="17"/>
  <c r="E844" i="17"/>
  <c r="E843" i="17"/>
  <c r="E842" i="17"/>
  <c r="E841" i="17"/>
  <c r="E830" i="17"/>
  <c r="E829" i="17"/>
  <c r="E828" i="17"/>
  <c r="E827" i="17"/>
  <c r="E826" i="17"/>
  <c r="E825" i="17"/>
  <c r="E824" i="17"/>
  <c r="E823" i="17"/>
  <c r="E822" i="17"/>
  <c r="E820" i="17"/>
  <c r="E819" i="17"/>
  <c r="E818" i="17"/>
  <c r="E817" i="17"/>
  <c r="E816" i="17"/>
  <c r="E815" i="17"/>
  <c r="E814" i="17"/>
  <c r="E813" i="17"/>
  <c r="E812" i="17"/>
  <c r="E811" i="17"/>
  <c r="E810" i="17"/>
  <c r="E809" i="17"/>
  <c r="E808" i="17"/>
  <c r="E600" i="17"/>
  <c r="E599" i="17"/>
  <c r="E598" i="17"/>
  <c r="E597" i="17"/>
  <c r="E596" i="17"/>
  <c r="E595" i="17"/>
  <c r="E594" i="17"/>
  <c r="E593" i="17"/>
  <c r="E592" i="17"/>
  <c r="E591" i="17"/>
  <c r="E590" i="17"/>
  <c r="E589" i="17"/>
  <c r="E588" i="17"/>
  <c r="E587" i="17"/>
  <c r="E586" i="17"/>
  <c r="E585" i="17"/>
  <c r="E584" i="17"/>
  <c r="E583" i="17"/>
  <c r="E582" i="17"/>
  <c r="E581" i="17"/>
  <c r="E580" i="17"/>
  <c r="E579" i="17"/>
  <c r="E578" i="17"/>
  <c r="E577" i="17"/>
  <c r="E576" i="17"/>
  <c r="E575" i="17"/>
  <c r="E574" i="17"/>
  <c r="E573" i="17"/>
  <c r="E572" i="17"/>
  <c r="E571" i="17"/>
  <c r="E570" i="17"/>
  <c r="E569" i="17"/>
  <c r="E568" i="17"/>
  <c r="E567" i="17"/>
  <c r="E566" i="17"/>
  <c r="E565" i="17"/>
  <c r="E564" i="17"/>
  <c r="E563" i="17"/>
  <c r="E562" i="17"/>
  <c r="E561" i="17"/>
  <c r="E560" i="17"/>
  <c r="E559" i="17"/>
  <c r="E558" i="17"/>
  <c r="E556" i="17"/>
  <c r="E555" i="17"/>
  <c r="E554" i="17"/>
  <c r="E553" i="17"/>
  <c r="E552" i="17"/>
  <c r="E551" i="17"/>
  <c r="E550" i="17"/>
  <c r="E549" i="17"/>
  <c r="E548" i="17"/>
  <c r="E547" i="17"/>
  <c r="E546" i="17"/>
  <c r="E545" i="17"/>
  <c r="E544" i="17"/>
  <c r="E543" i="17"/>
  <c r="E542" i="17"/>
  <c r="E541" i="17"/>
  <c r="E539" i="17"/>
  <c r="E537" i="17"/>
  <c r="E535" i="17"/>
  <c r="E533" i="17"/>
  <c r="E531" i="17"/>
  <c r="E529" i="17"/>
  <c r="E527" i="17"/>
  <c r="E525" i="17"/>
  <c r="E524" i="17"/>
  <c r="E523" i="17"/>
  <c r="E522" i="17"/>
  <c r="E521" i="17"/>
  <c r="E520" i="17"/>
  <c r="E519" i="17"/>
  <c r="E518" i="17"/>
  <c r="E517" i="17"/>
  <c r="E516" i="17"/>
  <c r="E515" i="17"/>
  <c r="E514" i="17"/>
  <c r="E513" i="17"/>
  <c r="E512" i="17"/>
  <c r="E511" i="17"/>
  <c r="E510" i="17"/>
  <c r="E509" i="17"/>
  <c r="E508" i="17"/>
  <c r="E507" i="17"/>
  <c r="E506" i="17"/>
  <c r="E505" i="17"/>
  <c r="E504" i="17"/>
  <c r="E503" i="17"/>
  <c r="E502" i="17"/>
  <c r="E501" i="17"/>
  <c r="E500" i="17"/>
  <c r="E499" i="17"/>
  <c r="E498" i="17"/>
  <c r="E497" i="17"/>
  <c r="E496" i="17"/>
  <c r="E495" i="17"/>
  <c r="E494" i="17"/>
  <c r="E493" i="17"/>
  <c r="E492" i="17"/>
  <c r="E491" i="17"/>
  <c r="E490" i="17"/>
  <c r="E489" i="17"/>
  <c r="E488" i="17"/>
  <c r="E487" i="17"/>
  <c r="E486" i="17"/>
  <c r="E485" i="17"/>
  <c r="E484" i="17"/>
  <c r="E483" i="17"/>
  <c r="E482" i="17"/>
  <c r="E481" i="17"/>
  <c r="E480" i="17"/>
  <c r="E479" i="17"/>
  <c r="E478" i="17"/>
  <c r="E477" i="17"/>
  <c r="E476" i="17"/>
  <c r="E475" i="17"/>
  <c r="E474" i="17"/>
  <c r="E473" i="17"/>
  <c r="E472" i="17"/>
  <c r="E471" i="17"/>
  <c r="E470" i="17"/>
  <c r="E469" i="17"/>
  <c r="E468" i="17"/>
  <c r="E467" i="17"/>
  <c r="E466" i="17"/>
  <c r="E465" i="17"/>
  <c r="E464" i="17"/>
  <c r="E463" i="17"/>
  <c r="E462" i="17"/>
  <c r="E461" i="17"/>
  <c r="E460" i="17"/>
  <c r="E459" i="17"/>
  <c r="E458" i="17"/>
  <c r="E457" i="17"/>
  <c r="E456" i="17"/>
  <c r="E455" i="17"/>
  <c r="E454" i="17"/>
  <c r="E453" i="17"/>
  <c r="E452" i="17"/>
  <c r="E451" i="17"/>
  <c r="E450" i="17"/>
  <c r="E449" i="17"/>
  <c r="E448" i="17"/>
  <c r="E447" i="17"/>
  <c r="E446" i="17"/>
  <c r="E445" i="17"/>
  <c r="E444" i="17"/>
  <c r="E443" i="17"/>
  <c r="E442" i="17"/>
  <c r="E441" i="17"/>
  <c r="E440" i="17"/>
  <c r="E410" i="17"/>
  <c r="E409" i="17"/>
  <c r="E408" i="17"/>
  <c r="E407" i="17"/>
  <c r="E406" i="17"/>
  <c r="E405" i="17"/>
  <c r="E404" i="17"/>
  <c r="E403" i="17"/>
  <c r="E402" i="17"/>
  <c r="E401" i="17"/>
  <c r="E400" i="17"/>
  <c r="E399" i="17"/>
  <c r="E398" i="17"/>
  <c r="E397" i="17"/>
  <c r="E396" i="17"/>
  <c r="E395" i="17"/>
  <c r="E394" i="17"/>
  <c r="E393" i="17"/>
  <c r="E392" i="17"/>
  <c r="E391" i="17"/>
  <c r="E390" i="17"/>
  <c r="E389" i="17"/>
  <c r="E388" i="17"/>
  <c r="E387" i="17"/>
  <c r="E386" i="17"/>
  <c r="E385" i="17"/>
  <c r="E384" i="17"/>
  <c r="E383" i="17"/>
  <c r="E382" i="17"/>
  <c r="E381" i="17"/>
  <c r="E380" i="17"/>
  <c r="E379" i="17"/>
  <c r="E378" i="17"/>
  <c r="E377" i="17"/>
  <c r="E376" i="17"/>
  <c r="E375" i="17"/>
  <c r="E374" i="17"/>
  <c r="E373" i="17"/>
  <c r="E372" i="17"/>
  <c r="E371" i="17"/>
  <c r="E370" i="17"/>
  <c r="E369" i="17"/>
  <c r="E368" i="17"/>
  <c r="E367" i="17"/>
  <c r="E366" i="17"/>
  <c r="E365" i="17"/>
  <c r="E364" i="17"/>
  <c r="E363" i="17"/>
  <c r="E362" i="17"/>
  <c r="E361" i="17"/>
  <c r="E360" i="17"/>
  <c r="E359" i="17"/>
  <c r="E358" i="17"/>
  <c r="E357" i="17"/>
  <c r="E356" i="17"/>
  <c r="E355" i="17"/>
  <c r="E354" i="17"/>
  <c r="E353" i="17"/>
  <c r="E352" i="17"/>
  <c r="E351" i="17"/>
  <c r="E350" i="17"/>
  <c r="E349" i="17"/>
  <c r="E348" i="17"/>
  <c r="E347" i="17"/>
  <c r="E346" i="17"/>
  <c r="E345" i="17"/>
  <c r="E344" i="17"/>
  <c r="E343" i="17"/>
  <c r="E342" i="17"/>
  <c r="E341" i="17"/>
  <c r="E340" i="17"/>
  <c r="E339" i="17"/>
  <c r="E338" i="17"/>
  <c r="E294" i="17"/>
  <c r="E293" i="17"/>
  <c r="E292" i="17"/>
  <c r="E291" i="17"/>
  <c r="E290" i="17"/>
  <c r="E289" i="17"/>
  <c r="E288" i="17"/>
  <c r="E287" i="17"/>
  <c r="E286" i="17"/>
  <c r="E285" i="17"/>
  <c r="E284" i="17"/>
  <c r="E283" i="17"/>
  <c r="E271" i="17"/>
  <c r="E268" i="17"/>
  <c r="E267" i="17"/>
  <c r="E266" i="17"/>
  <c r="E265" i="17"/>
  <c r="E264" i="17"/>
  <c r="E263" i="17"/>
  <c r="E262" i="17"/>
  <c r="E261" i="17"/>
  <c r="E260" i="17"/>
  <c r="E259" i="17"/>
  <c r="E258" i="17"/>
  <c r="E257" i="17"/>
  <c r="E254" i="17"/>
  <c r="E253" i="17"/>
  <c r="E252" i="17"/>
  <c r="E251" i="17"/>
  <c r="E250" i="17"/>
  <c r="E249" i="17"/>
  <c r="E248" i="17"/>
  <c r="E247" i="17"/>
  <c r="E246" i="17"/>
  <c r="E245" i="17"/>
  <c r="E244" i="17"/>
  <c r="E243" i="17"/>
  <c r="E242" i="17"/>
  <c r="E241" i="17"/>
  <c r="E239" i="17"/>
  <c r="E238" i="17"/>
  <c r="E237" i="17"/>
  <c r="E236" i="17"/>
  <c r="E235" i="17"/>
  <c r="E234" i="17"/>
  <c r="E233" i="17"/>
  <c r="E232" i="17"/>
  <c r="E231" i="17"/>
  <c r="E230" i="17"/>
  <c r="E229" i="17"/>
  <c r="E228" i="17"/>
  <c r="E227" i="17"/>
  <c r="E226" i="17"/>
  <c r="E225" i="17"/>
  <c r="E224" i="17"/>
  <c r="E223" i="17"/>
  <c r="E222" i="17"/>
  <c r="E217" i="17"/>
  <c r="E216" i="17"/>
  <c r="E215" i="17"/>
  <c r="E214" i="17"/>
  <c r="E213" i="17"/>
  <c r="E212" i="17"/>
  <c r="E211" i="17"/>
  <c r="E210" i="17"/>
  <c r="E209" i="17"/>
  <c r="E208" i="17"/>
  <c r="E207" i="17"/>
  <c r="E206" i="17"/>
  <c r="E205" i="17"/>
  <c r="E204" i="17"/>
  <c r="E203" i="17"/>
  <c r="E202" i="17"/>
  <c r="E201" i="17"/>
  <c r="E200" i="17"/>
  <c r="E199" i="17"/>
  <c r="E198" i="17"/>
  <c r="E197" i="17"/>
  <c r="E196" i="17"/>
  <c r="E195" i="17"/>
  <c r="E194" i="17"/>
  <c r="E193" i="17"/>
  <c r="E192" i="17"/>
  <c r="E191" i="17"/>
  <c r="E190" i="17"/>
  <c r="E189" i="17"/>
  <c r="E188" i="17"/>
  <c r="E187" i="17"/>
  <c r="E186" i="17"/>
  <c r="E185" i="17"/>
  <c r="E184" i="17"/>
  <c r="E183" i="17"/>
  <c r="E182" i="17"/>
  <c r="E181" i="17"/>
  <c r="E180" i="17"/>
  <c r="E179" i="17"/>
  <c r="E178" i="17"/>
  <c r="E177" i="17"/>
  <c r="E176" i="17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59" i="17"/>
  <c r="E158" i="17"/>
  <c r="E157" i="17"/>
  <c r="E156" i="17"/>
  <c r="E154" i="17"/>
  <c r="E15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29" i="17"/>
  <c r="E27" i="17"/>
  <c r="D7" i="18" l="1"/>
  <c r="D8" i="18"/>
  <c r="D5" i="18"/>
  <c r="D4" i="18"/>
  <c r="D9" i="18"/>
  <c r="D9" i="8" l="1"/>
  <c r="E9" i="8" s="1"/>
  <c r="E801" i="6"/>
  <c r="G4" i="8"/>
  <c r="E2" i="6"/>
  <c r="L2" i="6" s="1"/>
  <c r="I2" i="6"/>
  <c r="D4" i="8"/>
  <c r="E4" i="8" s="1"/>
  <c r="H4" i="8"/>
  <c r="E6905" i="6"/>
  <c r="E6904" i="6"/>
  <c r="E6903" i="6"/>
  <c r="N6903" i="6" s="1"/>
  <c r="E6902" i="6"/>
  <c r="E6901" i="6"/>
  <c r="E6900" i="6"/>
  <c r="E6899" i="6"/>
  <c r="N6899" i="6" s="1"/>
  <c r="E6898" i="6"/>
  <c r="E6897" i="6"/>
  <c r="E6896" i="6"/>
  <c r="E6895" i="6"/>
  <c r="E6894" i="6"/>
  <c r="E6893" i="6"/>
  <c r="L6893" i="6" s="1"/>
  <c r="E6892" i="6"/>
  <c r="E6891" i="6"/>
  <c r="E6890" i="6"/>
  <c r="E6889" i="6"/>
  <c r="L6889" i="6" s="1"/>
  <c r="E6888" i="6"/>
  <c r="E6887" i="6"/>
  <c r="N6887" i="6" s="1"/>
  <c r="E6886" i="6"/>
  <c r="E6885" i="6"/>
  <c r="E6884" i="6"/>
  <c r="E6883" i="6"/>
  <c r="N6883" i="6" s="1"/>
  <c r="E6882" i="6"/>
  <c r="E6881" i="6"/>
  <c r="L6881" i="6" s="1"/>
  <c r="E6880" i="6"/>
  <c r="E6879" i="6"/>
  <c r="N6879" i="6" s="1"/>
  <c r="E6878" i="6"/>
  <c r="E6877" i="6"/>
  <c r="E6876" i="6"/>
  <c r="E6875" i="6"/>
  <c r="N6875" i="6" s="1"/>
  <c r="E6874" i="6"/>
  <c r="E6873" i="6"/>
  <c r="L6873" i="6" s="1"/>
  <c r="E6872" i="6"/>
  <c r="E6871" i="6"/>
  <c r="N6871" i="6" s="1"/>
  <c r="E6870" i="6"/>
  <c r="E6869" i="6"/>
  <c r="L6869" i="6" s="1"/>
  <c r="E6868" i="6"/>
  <c r="E6867" i="6"/>
  <c r="N6867" i="6" s="1"/>
  <c r="E6866" i="6"/>
  <c r="E6865" i="6"/>
  <c r="L6865" i="6" s="1"/>
  <c r="E6864" i="6"/>
  <c r="E6863" i="6"/>
  <c r="N6863" i="6" s="1"/>
  <c r="E6862" i="6"/>
  <c r="E6861" i="6"/>
  <c r="L6861" i="6" s="1"/>
  <c r="E6860" i="6"/>
  <c r="E6859" i="6"/>
  <c r="L6859" i="6" s="1"/>
  <c r="E6858" i="6"/>
  <c r="E6857" i="6"/>
  <c r="L6857" i="6" s="1"/>
  <c r="E6856" i="6"/>
  <c r="E6855" i="6"/>
  <c r="N6855" i="6" s="1"/>
  <c r="E6854" i="6"/>
  <c r="E6853" i="6"/>
  <c r="E6852" i="6"/>
  <c r="E6851" i="6"/>
  <c r="E6850" i="6"/>
  <c r="E6849" i="6"/>
  <c r="L6849" i="6" s="1"/>
  <c r="E6848" i="6"/>
  <c r="E6847" i="6"/>
  <c r="N6847" i="6" s="1"/>
  <c r="E6846" i="6"/>
  <c r="E6845" i="6"/>
  <c r="L6845" i="6" s="1"/>
  <c r="E6844" i="6"/>
  <c r="E6843" i="6"/>
  <c r="N6843" i="6" s="1"/>
  <c r="E6842" i="6"/>
  <c r="E6841" i="6"/>
  <c r="L6841" i="6" s="1"/>
  <c r="E6840" i="6"/>
  <c r="E6839" i="6"/>
  <c r="N6839" i="6" s="1"/>
  <c r="E6838" i="6"/>
  <c r="E6837" i="6"/>
  <c r="E6836" i="6"/>
  <c r="E6835" i="6"/>
  <c r="E6834" i="6"/>
  <c r="E6833" i="6"/>
  <c r="L6833" i="6" s="1"/>
  <c r="E6832" i="6"/>
  <c r="E6831" i="6"/>
  <c r="M6831" i="6" s="1"/>
  <c r="E6830" i="6"/>
  <c r="E6829" i="6"/>
  <c r="L6829" i="6" s="1"/>
  <c r="E6828" i="6"/>
  <c r="E6827" i="6"/>
  <c r="E6826" i="6"/>
  <c r="E6825" i="6"/>
  <c r="L6825" i="6" s="1"/>
  <c r="E6824" i="6"/>
  <c r="E6823" i="6"/>
  <c r="N6823" i="6" s="1"/>
  <c r="E6822" i="6"/>
  <c r="E6821" i="6"/>
  <c r="L6821" i="6" s="1"/>
  <c r="E6820" i="6"/>
  <c r="E6819" i="6"/>
  <c r="E6818" i="6"/>
  <c r="E6817" i="6"/>
  <c r="E6816" i="6"/>
  <c r="E6815" i="6"/>
  <c r="E6814" i="6"/>
  <c r="E6813" i="6"/>
  <c r="L6813" i="6" s="1"/>
  <c r="E6812" i="6"/>
  <c r="E6811" i="6"/>
  <c r="M6811" i="6" s="1"/>
  <c r="E6810" i="6"/>
  <c r="E6809" i="6"/>
  <c r="E6808" i="6"/>
  <c r="E6807" i="6"/>
  <c r="E6806" i="6"/>
  <c r="E6805" i="6"/>
  <c r="E6804" i="6"/>
  <c r="E6803" i="6"/>
  <c r="E6802" i="6"/>
  <c r="E6801" i="6"/>
  <c r="L6801" i="6" s="1"/>
  <c r="E6800" i="6"/>
  <c r="E6799" i="6"/>
  <c r="N6799" i="6" s="1"/>
  <c r="E6798" i="6"/>
  <c r="E6797" i="6"/>
  <c r="E6796" i="6"/>
  <c r="E6795" i="6"/>
  <c r="N6795" i="6" s="1"/>
  <c r="E6794" i="6"/>
  <c r="E6793" i="6"/>
  <c r="E6792" i="6"/>
  <c r="E6791" i="6"/>
  <c r="E6790" i="6"/>
  <c r="E6789" i="6"/>
  <c r="E6788" i="6"/>
  <c r="E6787" i="6"/>
  <c r="E6786" i="6"/>
  <c r="E6785" i="6"/>
  <c r="N6785" i="6" s="1"/>
  <c r="E6784" i="6"/>
  <c r="E6783" i="6"/>
  <c r="M6783" i="6" s="1"/>
  <c r="E6782" i="6"/>
  <c r="E6781" i="6"/>
  <c r="L6781" i="6" s="1"/>
  <c r="E6780" i="6"/>
  <c r="E6779" i="6"/>
  <c r="E6778" i="6"/>
  <c r="E6777" i="6"/>
  <c r="N6777" i="6" s="1"/>
  <c r="E6776" i="6"/>
  <c r="E6775" i="6"/>
  <c r="E6774" i="6"/>
  <c r="E6773" i="6"/>
  <c r="N6773" i="6" s="1"/>
  <c r="E6772" i="6"/>
  <c r="E6771" i="6"/>
  <c r="N6771" i="6" s="1"/>
  <c r="E6770" i="6"/>
  <c r="E6769" i="6"/>
  <c r="L6769" i="6" s="1"/>
  <c r="E6768" i="6"/>
  <c r="E6767" i="6"/>
  <c r="N6767" i="6" s="1"/>
  <c r="E6766" i="6"/>
  <c r="E6765" i="6"/>
  <c r="N6765" i="6" s="1"/>
  <c r="E6764" i="6"/>
  <c r="E6763" i="6"/>
  <c r="E6762" i="6"/>
  <c r="E6761" i="6"/>
  <c r="E6760" i="6"/>
  <c r="E6759" i="6"/>
  <c r="E6758" i="6"/>
  <c r="E6757" i="6"/>
  <c r="E6756" i="6"/>
  <c r="E6755" i="6"/>
  <c r="L6755" i="6" s="1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N6737" i="6" s="1"/>
  <c r="E6736" i="6"/>
  <c r="E6735" i="6"/>
  <c r="E6734" i="6"/>
  <c r="E6733" i="6"/>
  <c r="L6733" i="6" s="1"/>
  <c r="E6732" i="6"/>
  <c r="E6731" i="6"/>
  <c r="M6731" i="6" s="1"/>
  <c r="E6730" i="6"/>
  <c r="E6729" i="6"/>
  <c r="L6729" i="6" s="1"/>
  <c r="E6728" i="6"/>
  <c r="E6727" i="6"/>
  <c r="N6727" i="6" s="1"/>
  <c r="E6726" i="6"/>
  <c r="E6725" i="6"/>
  <c r="E6724" i="6"/>
  <c r="E6723" i="6"/>
  <c r="M6723" i="6" s="1"/>
  <c r="E6722" i="6"/>
  <c r="E6721" i="6"/>
  <c r="N6721" i="6" s="1"/>
  <c r="E6720" i="6"/>
  <c r="E6719" i="6"/>
  <c r="L6719" i="6" s="1"/>
  <c r="E6718" i="6"/>
  <c r="E6717" i="6"/>
  <c r="L6717" i="6" s="1"/>
  <c r="E6716" i="6"/>
  <c r="E6715" i="6"/>
  <c r="E6714" i="6"/>
  <c r="E6713" i="6"/>
  <c r="M6713" i="6" s="1"/>
  <c r="E6712" i="6"/>
  <c r="E6711" i="6"/>
  <c r="E6710" i="6"/>
  <c r="E6709" i="6"/>
  <c r="M6709" i="6" s="1"/>
  <c r="E6708" i="6"/>
  <c r="E6707" i="6"/>
  <c r="E6706" i="6"/>
  <c r="E6705" i="6"/>
  <c r="E6704" i="6"/>
  <c r="E6703" i="6"/>
  <c r="E6702" i="6"/>
  <c r="E6701" i="6"/>
  <c r="N6701" i="6" s="1"/>
  <c r="E6700" i="6"/>
  <c r="E6699" i="6"/>
  <c r="L6699" i="6" s="1"/>
  <c r="E6698" i="6"/>
  <c r="E6697" i="6"/>
  <c r="E6696" i="6"/>
  <c r="E6695" i="6"/>
  <c r="L6695" i="6" s="1"/>
  <c r="E6694" i="6"/>
  <c r="E6693" i="6"/>
  <c r="E6692" i="6"/>
  <c r="E6691" i="6"/>
  <c r="N6691" i="6" s="1"/>
  <c r="E6690" i="6"/>
  <c r="E6689" i="6"/>
  <c r="M6689" i="6" s="1"/>
  <c r="E6688" i="6"/>
  <c r="E6687" i="6"/>
  <c r="N6687" i="6" s="1"/>
  <c r="E6686" i="6"/>
  <c r="E6685" i="6"/>
  <c r="E6684" i="6"/>
  <c r="E6683" i="6"/>
  <c r="M6683" i="6" s="1"/>
  <c r="E6682" i="6"/>
  <c r="E6681" i="6"/>
  <c r="E6680" i="6"/>
  <c r="E6679" i="6"/>
  <c r="E6678" i="6"/>
  <c r="E6677" i="6"/>
  <c r="E6676" i="6"/>
  <c r="E6675" i="6"/>
  <c r="M6675" i="6" s="1"/>
  <c r="E6674" i="6"/>
  <c r="E6673" i="6"/>
  <c r="M6673" i="6" s="1"/>
  <c r="E6672" i="6"/>
  <c r="E6671" i="6"/>
  <c r="L6671" i="6" s="1"/>
  <c r="E6670" i="6"/>
  <c r="E6669" i="6"/>
  <c r="E6668" i="6"/>
  <c r="E6667" i="6"/>
  <c r="L6667" i="6" s="1"/>
  <c r="E6666" i="6"/>
  <c r="E6665" i="6"/>
  <c r="E6664" i="6"/>
  <c r="E6663" i="6"/>
  <c r="L6663" i="6" s="1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M6651" i="6" s="1"/>
  <c r="E6650" i="6"/>
  <c r="E6649" i="6"/>
  <c r="E6648" i="6"/>
  <c r="E6647" i="6"/>
  <c r="M6647" i="6" s="1"/>
  <c r="E6646" i="6"/>
  <c r="E6645" i="6"/>
  <c r="N6645" i="6" s="1"/>
  <c r="E6644" i="6"/>
  <c r="E6643" i="6"/>
  <c r="L6643" i="6" s="1"/>
  <c r="E6642" i="6"/>
  <c r="E6641" i="6"/>
  <c r="E6640" i="6"/>
  <c r="E6639" i="6"/>
  <c r="M6639" i="6" s="1"/>
  <c r="E6638" i="6"/>
  <c r="E6637" i="6"/>
  <c r="E6636" i="6"/>
  <c r="E6635" i="6"/>
  <c r="E6634" i="6"/>
  <c r="E6633" i="6"/>
  <c r="E6632" i="6"/>
  <c r="E6631" i="6"/>
  <c r="L6631" i="6" s="1"/>
  <c r="E6630" i="6"/>
  <c r="E6629" i="6"/>
  <c r="E6628" i="6"/>
  <c r="E6627" i="6"/>
  <c r="E6626" i="6"/>
  <c r="E6625" i="6"/>
  <c r="E6624" i="6"/>
  <c r="E6623" i="6"/>
  <c r="M6623" i="6" s="1"/>
  <c r="E6622" i="6"/>
  <c r="E6621" i="6"/>
  <c r="E6620" i="6"/>
  <c r="E6619" i="6"/>
  <c r="M6619" i="6" s="1"/>
  <c r="E6618" i="6"/>
  <c r="E6617" i="6"/>
  <c r="E6616" i="6"/>
  <c r="E6615" i="6"/>
  <c r="N6615" i="6" s="1"/>
  <c r="E6614" i="6"/>
  <c r="E6613" i="6"/>
  <c r="M6613" i="6" s="1"/>
  <c r="E6612" i="6"/>
  <c r="E6611" i="6"/>
  <c r="N6611" i="6" s="1"/>
  <c r="E6610" i="6"/>
  <c r="E6609" i="6"/>
  <c r="E6608" i="6"/>
  <c r="E6607" i="6"/>
  <c r="E6606" i="6"/>
  <c r="E6605" i="6"/>
  <c r="N6605" i="6" s="1"/>
  <c r="E6604" i="6"/>
  <c r="E6603" i="6"/>
  <c r="E6602" i="6"/>
  <c r="E6601" i="6"/>
  <c r="E6600" i="6"/>
  <c r="E6599" i="6"/>
  <c r="M6599" i="6" s="1"/>
  <c r="E6598" i="6"/>
  <c r="E6597" i="6"/>
  <c r="E6596" i="6"/>
  <c r="E6595" i="6"/>
  <c r="N6595" i="6" s="1"/>
  <c r="E6594" i="6"/>
  <c r="E6593" i="6"/>
  <c r="L6593" i="6" s="1"/>
  <c r="E6592" i="6"/>
  <c r="E6591" i="6"/>
  <c r="N6591" i="6" s="1"/>
  <c r="E6590" i="6"/>
  <c r="E6589" i="6"/>
  <c r="E6588" i="6"/>
  <c r="E6587" i="6"/>
  <c r="N6587" i="6" s="1"/>
  <c r="E6586" i="6"/>
  <c r="E6585" i="6"/>
  <c r="N6585" i="6" s="1"/>
  <c r="E6584" i="6"/>
  <c r="E6583" i="6"/>
  <c r="E6582" i="6"/>
  <c r="E6581" i="6"/>
  <c r="E6580" i="6"/>
  <c r="E6579" i="6"/>
  <c r="N6579" i="6" s="1"/>
  <c r="E6578" i="6"/>
  <c r="E6577" i="6"/>
  <c r="N6577" i="6" s="1"/>
  <c r="E6576" i="6"/>
  <c r="E6575" i="6"/>
  <c r="L6575" i="6" s="1"/>
  <c r="E6574" i="6"/>
  <c r="E6573" i="6"/>
  <c r="N6573" i="6" s="1"/>
  <c r="E6572" i="6"/>
  <c r="E6571" i="6"/>
  <c r="M6571" i="6" s="1"/>
  <c r="E6570" i="6"/>
  <c r="E6569" i="6"/>
  <c r="E6568" i="6"/>
  <c r="E6567" i="6"/>
  <c r="E6566" i="6"/>
  <c r="E6565" i="6"/>
  <c r="E6564" i="6"/>
  <c r="E6563" i="6"/>
  <c r="L6563" i="6" s="1"/>
  <c r="E6562" i="6"/>
  <c r="E6561" i="6"/>
  <c r="E6560" i="6"/>
  <c r="E6559" i="6"/>
  <c r="L6559" i="6" s="1"/>
  <c r="E6558" i="6"/>
  <c r="E6557" i="6"/>
  <c r="E6556" i="6"/>
  <c r="E6555" i="6"/>
  <c r="N6555" i="6" s="1"/>
  <c r="E6554" i="6"/>
  <c r="E6553" i="6"/>
  <c r="E6552" i="6"/>
  <c r="E6551" i="6"/>
  <c r="E6550" i="6"/>
  <c r="E6549" i="6"/>
  <c r="E6548" i="6"/>
  <c r="E6547" i="6"/>
  <c r="L6547" i="6" s="1"/>
  <c r="E6546" i="6"/>
  <c r="E6545" i="6"/>
  <c r="E6544" i="6"/>
  <c r="E6543" i="6"/>
  <c r="M6543" i="6" s="1"/>
  <c r="E6542" i="6"/>
  <c r="E6541" i="6"/>
  <c r="N6541" i="6" s="1"/>
  <c r="E6540" i="6"/>
  <c r="E6539" i="6"/>
  <c r="L6539" i="6" s="1"/>
  <c r="E6538" i="6"/>
  <c r="E6537" i="6"/>
  <c r="M6537" i="6" s="1"/>
  <c r="E6536" i="6"/>
  <c r="E6535" i="6"/>
  <c r="M6535" i="6" s="1"/>
  <c r="E6534" i="6"/>
  <c r="E6533" i="6"/>
  <c r="E6532" i="6"/>
  <c r="E6531" i="6"/>
  <c r="E6530" i="6"/>
  <c r="E6529" i="6"/>
  <c r="E6528" i="6"/>
  <c r="E6527" i="6"/>
  <c r="N6527" i="6" s="1"/>
  <c r="E6526" i="6"/>
  <c r="E6525" i="6"/>
  <c r="N6525" i="6" s="1"/>
  <c r="E6524" i="6"/>
  <c r="E6523" i="6"/>
  <c r="N6523" i="6" s="1"/>
  <c r="E6522" i="6"/>
  <c r="E6521" i="6"/>
  <c r="N6521" i="6" s="1"/>
  <c r="E6520" i="6"/>
  <c r="E6519" i="6"/>
  <c r="M6519" i="6" s="1"/>
  <c r="E6518" i="6"/>
  <c r="E6517" i="6"/>
  <c r="E6516" i="6"/>
  <c r="E6515" i="6"/>
  <c r="N6515" i="6" s="1"/>
  <c r="E6514" i="6"/>
  <c r="E6513" i="6"/>
  <c r="E6512" i="6"/>
  <c r="E6511" i="6"/>
  <c r="E6510" i="6"/>
  <c r="E6509" i="6"/>
  <c r="E6508" i="6"/>
  <c r="E6507" i="6"/>
  <c r="N6507" i="6" s="1"/>
  <c r="E6506" i="6"/>
  <c r="E6505" i="6"/>
  <c r="E6504" i="6"/>
  <c r="E6503" i="6"/>
  <c r="E6502" i="6"/>
  <c r="E6501" i="6"/>
  <c r="E6500" i="6"/>
  <c r="E6499" i="6"/>
  <c r="N6499" i="6" s="1"/>
  <c r="E6498" i="6"/>
  <c r="E6497" i="6"/>
  <c r="E6496" i="6"/>
  <c r="E6495" i="6"/>
  <c r="M6495" i="6" s="1"/>
  <c r="E6494" i="6"/>
  <c r="E6493" i="6"/>
  <c r="K6493" i="6" s="1"/>
  <c r="E6492" i="6"/>
  <c r="E6491" i="6"/>
  <c r="N6491" i="6" s="1"/>
  <c r="E6490" i="6"/>
  <c r="E6489" i="6"/>
  <c r="E6488" i="6"/>
  <c r="E6487" i="6"/>
  <c r="L6487" i="6" s="1"/>
  <c r="E6486" i="6"/>
  <c r="E6485" i="6"/>
  <c r="E6484" i="6"/>
  <c r="E6483" i="6"/>
  <c r="L6483" i="6" s="1"/>
  <c r="E6482" i="6"/>
  <c r="E6481" i="6"/>
  <c r="M6481" i="6" s="1"/>
  <c r="E6480" i="6"/>
  <c r="E6479" i="6"/>
  <c r="M6479" i="6" s="1"/>
  <c r="E6478" i="6"/>
  <c r="E6477" i="6"/>
  <c r="E6476" i="6"/>
  <c r="E6475" i="6"/>
  <c r="N6475" i="6" s="1"/>
  <c r="E6474" i="6"/>
  <c r="E6473" i="6"/>
  <c r="E6472" i="6"/>
  <c r="E6471" i="6"/>
  <c r="E6470" i="6"/>
  <c r="E6469" i="6"/>
  <c r="N6469" i="6" s="1"/>
  <c r="E6468" i="6"/>
  <c r="E6467" i="6"/>
  <c r="N6467" i="6" s="1"/>
  <c r="E6466" i="6"/>
  <c r="E6465" i="6"/>
  <c r="M6465" i="6" s="1"/>
  <c r="E6464" i="6"/>
  <c r="E6463" i="6"/>
  <c r="L6463" i="6" s="1"/>
  <c r="E6462" i="6"/>
  <c r="E6461" i="6"/>
  <c r="N6461" i="6" s="1"/>
  <c r="E6460" i="6"/>
  <c r="E6459" i="6"/>
  <c r="L6459" i="6" s="1"/>
  <c r="E6458" i="6"/>
  <c r="E6457" i="6"/>
  <c r="E6456" i="6"/>
  <c r="E6455" i="6"/>
  <c r="E6454" i="6"/>
  <c r="E6453" i="6"/>
  <c r="E6452" i="6"/>
  <c r="E6451" i="6"/>
  <c r="N6451" i="6" s="1"/>
  <c r="E6450" i="6"/>
  <c r="E6449" i="6"/>
  <c r="E6448" i="6"/>
  <c r="E6447" i="6"/>
  <c r="N6447" i="6" s="1"/>
  <c r="E6446" i="6"/>
  <c r="E6445" i="6"/>
  <c r="E6444" i="6"/>
  <c r="E6443" i="6"/>
  <c r="L6443" i="6" s="1"/>
  <c r="E6442" i="6"/>
  <c r="E6441" i="6"/>
  <c r="E6440" i="6"/>
  <c r="E6439" i="6"/>
  <c r="E6438" i="6"/>
  <c r="E6437" i="6"/>
  <c r="E6436" i="6"/>
  <c r="E6435" i="6"/>
  <c r="E6434" i="6"/>
  <c r="E6433" i="6"/>
  <c r="K6433" i="6" s="1"/>
  <c r="E6432" i="6"/>
  <c r="E6431" i="6"/>
  <c r="N6431" i="6" s="1"/>
  <c r="E6430" i="6"/>
  <c r="E6429" i="6"/>
  <c r="L6429" i="6" s="1"/>
  <c r="E6428" i="6"/>
  <c r="E6427" i="6"/>
  <c r="E6426" i="6"/>
  <c r="E6425" i="6"/>
  <c r="E6424" i="6"/>
  <c r="E6423" i="6"/>
  <c r="M6423" i="6" s="1"/>
  <c r="E6422" i="6"/>
  <c r="E6421" i="6"/>
  <c r="N6421" i="6" s="1"/>
  <c r="E6420" i="6"/>
  <c r="E6419" i="6"/>
  <c r="N6419" i="6" s="1"/>
  <c r="E6418" i="6"/>
  <c r="E6417" i="6"/>
  <c r="E6416" i="6"/>
  <c r="E6415" i="6"/>
  <c r="N6415" i="6" s="1"/>
  <c r="E6414" i="6"/>
  <c r="E6413" i="6"/>
  <c r="E6412" i="6"/>
  <c r="E6411" i="6"/>
  <c r="E6410" i="6"/>
  <c r="E6409" i="6"/>
  <c r="E6408" i="6"/>
  <c r="E6407" i="6"/>
  <c r="L6407" i="6" s="1"/>
  <c r="E6406" i="6"/>
  <c r="E6405" i="6"/>
  <c r="E6404" i="6"/>
  <c r="E6403" i="6"/>
  <c r="E6402" i="6"/>
  <c r="E6401" i="6"/>
  <c r="E6400" i="6"/>
  <c r="E6399" i="6"/>
  <c r="L6399" i="6" s="1"/>
  <c r="E6398" i="6"/>
  <c r="E6397" i="6"/>
  <c r="E6396" i="6"/>
  <c r="E6395" i="6"/>
  <c r="L6395" i="6" s="1"/>
  <c r="E6394" i="6"/>
  <c r="E6393" i="6"/>
  <c r="E6392" i="6"/>
  <c r="E6391" i="6"/>
  <c r="E6390" i="6"/>
  <c r="E6389" i="6"/>
  <c r="E6388" i="6"/>
  <c r="E6387" i="6"/>
  <c r="L6387" i="6" s="1"/>
  <c r="E6386" i="6"/>
  <c r="E6385" i="6"/>
  <c r="N6385" i="6" s="1"/>
  <c r="E6384" i="6"/>
  <c r="E6383" i="6"/>
  <c r="N6383" i="6" s="1"/>
  <c r="E6382" i="6"/>
  <c r="E6381" i="6"/>
  <c r="E6380" i="6"/>
  <c r="E6379" i="6"/>
  <c r="E6378" i="6"/>
  <c r="E6377" i="6"/>
  <c r="L6377" i="6" s="1"/>
  <c r="E6376" i="6"/>
  <c r="E6375" i="6"/>
  <c r="N6375" i="6" s="1"/>
  <c r="E6374" i="6"/>
  <c r="E6373" i="6"/>
  <c r="M6373" i="6" s="1"/>
  <c r="E6372" i="6"/>
  <c r="E6371" i="6"/>
  <c r="E6370" i="6"/>
  <c r="E6369" i="6"/>
  <c r="E6368" i="6"/>
  <c r="E6367" i="6"/>
  <c r="K6367" i="6" s="1"/>
  <c r="E6366" i="6"/>
  <c r="E6365" i="6"/>
  <c r="N6365" i="6" s="1"/>
  <c r="E6364" i="6"/>
  <c r="E6363" i="6"/>
  <c r="E6362" i="6"/>
  <c r="E6361" i="6"/>
  <c r="E6360" i="6"/>
  <c r="E6359" i="6"/>
  <c r="K6359" i="6" s="1"/>
  <c r="E6358" i="6"/>
  <c r="E6357" i="6"/>
  <c r="N6357" i="6" s="1"/>
  <c r="E6356" i="6"/>
  <c r="E6355" i="6"/>
  <c r="K6355" i="6" s="1"/>
  <c r="E6354" i="6"/>
  <c r="E6353" i="6"/>
  <c r="N6353" i="6" s="1"/>
  <c r="E6352" i="6"/>
  <c r="E6351" i="6"/>
  <c r="E6350" i="6"/>
  <c r="E6349" i="6"/>
  <c r="E6348" i="6"/>
  <c r="E6347" i="6"/>
  <c r="E6346" i="6"/>
  <c r="E6345" i="6"/>
  <c r="N6345" i="6" s="1"/>
  <c r="E6344" i="6"/>
  <c r="E6343" i="6"/>
  <c r="N6343" i="6" s="1"/>
  <c r="E6342" i="6"/>
  <c r="E6341" i="6"/>
  <c r="E6340" i="6"/>
  <c r="E6339" i="6"/>
  <c r="N6339" i="6" s="1"/>
  <c r="E6338" i="6"/>
  <c r="E6337" i="6"/>
  <c r="L6337" i="6" s="1"/>
  <c r="E6336" i="6"/>
  <c r="E6335" i="6"/>
  <c r="E6334" i="6"/>
  <c r="E6333" i="6"/>
  <c r="N6333" i="6" s="1"/>
  <c r="E6332" i="6"/>
  <c r="E6331" i="6"/>
  <c r="E6330" i="6"/>
  <c r="E6329" i="6"/>
  <c r="M6329" i="6" s="1"/>
  <c r="E6328" i="6"/>
  <c r="E6327" i="6"/>
  <c r="E6326" i="6"/>
  <c r="E6325" i="6"/>
  <c r="E6324" i="6"/>
  <c r="E6323" i="6"/>
  <c r="N6323" i="6" s="1"/>
  <c r="E6322" i="6"/>
  <c r="E6321" i="6"/>
  <c r="E6320" i="6"/>
  <c r="E6319" i="6"/>
  <c r="E6318" i="6"/>
  <c r="E6317" i="6"/>
  <c r="N6317" i="6" s="1"/>
  <c r="E6316" i="6"/>
  <c r="E6315" i="6"/>
  <c r="N6315" i="6" s="1"/>
  <c r="E6314" i="6"/>
  <c r="E6313" i="6"/>
  <c r="M6313" i="6" s="1"/>
  <c r="E6312" i="6"/>
  <c r="E6311" i="6"/>
  <c r="E6310" i="6"/>
  <c r="E6309" i="6"/>
  <c r="E6308" i="6"/>
  <c r="E6307" i="6"/>
  <c r="N6307" i="6" s="1"/>
  <c r="E6306" i="6"/>
  <c r="E6305" i="6"/>
  <c r="L6305" i="6" s="1"/>
  <c r="E6304" i="6"/>
  <c r="E6303" i="6"/>
  <c r="N6303" i="6" s="1"/>
  <c r="E6302" i="6"/>
  <c r="E6301" i="6"/>
  <c r="E6300" i="6"/>
  <c r="E6299" i="6"/>
  <c r="E6298" i="6"/>
  <c r="E6297" i="6"/>
  <c r="E6296" i="6"/>
  <c r="E6295" i="6"/>
  <c r="K6295" i="6" s="1"/>
  <c r="E6294" i="6"/>
  <c r="E6293" i="6"/>
  <c r="E6292" i="6"/>
  <c r="E6291" i="6"/>
  <c r="M6291" i="6" s="1"/>
  <c r="E6290" i="6"/>
  <c r="E6289" i="6"/>
  <c r="N6289" i="6" s="1"/>
  <c r="E6288" i="6"/>
  <c r="E6287" i="6"/>
  <c r="E6286" i="6"/>
  <c r="E6285" i="6"/>
  <c r="E6284" i="6"/>
  <c r="E6283" i="6"/>
  <c r="K6283" i="6" s="1"/>
  <c r="E6282" i="6"/>
  <c r="E6281" i="6"/>
  <c r="M6281" i="6" s="1"/>
  <c r="E6280" i="6"/>
  <c r="E6279" i="6"/>
  <c r="L6279" i="6" s="1"/>
  <c r="E6278" i="6"/>
  <c r="E6277" i="6"/>
  <c r="N6277" i="6" s="1"/>
  <c r="E6276" i="6"/>
  <c r="E6275" i="6"/>
  <c r="M6275" i="6" s="1"/>
  <c r="E6274" i="6"/>
  <c r="E6273" i="6"/>
  <c r="E6272" i="6"/>
  <c r="E6271" i="6"/>
  <c r="E6270" i="6"/>
  <c r="E6269" i="6"/>
  <c r="M6269" i="6" s="1"/>
  <c r="E6268" i="6"/>
  <c r="E6267" i="6"/>
  <c r="E6266" i="6"/>
  <c r="E6265" i="6"/>
  <c r="M6265" i="6" s="1"/>
  <c r="E6264" i="6"/>
  <c r="E6263" i="6"/>
  <c r="E6262" i="6"/>
  <c r="E6261" i="6"/>
  <c r="E6260" i="6"/>
  <c r="E6259" i="6"/>
  <c r="E6258" i="6"/>
  <c r="E6257" i="6"/>
  <c r="E6256" i="6"/>
  <c r="E6255" i="6"/>
  <c r="K6255" i="6" s="1"/>
  <c r="E6254" i="6"/>
  <c r="E6253" i="6"/>
  <c r="E6252" i="6"/>
  <c r="E6251" i="6"/>
  <c r="E6250" i="6"/>
  <c r="E6249" i="6"/>
  <c r="M6249" i="6" s="1"/>
  <c r="E6248" i="6"/>
  <c r="E6247" i="6"/>
  <c r="E6246" i="6"/>
  <c r="E6245" i="6"/>
  <c r="N6245" i="6" s="1"/>
  <c r="E6244" i="6"/>
  <c r="E6243" i="6"/>
  <c r="M6243" i="6" s="1"/>
  <c r="E6242" i="6"/>
  <c r="E6241" i="6"/>
  <c r="E6240" i="6"/>
  <c r="E6239" i="6"/>
  <c r="E6238" i="6"/>
  <c r="E6237" i="6"/>
  <c r="N6237" i="6" s="1"/>
  <c r="E6236" i="6"/>
  <c r="E6235" i="6"/>
  <c r="E6234" i="6"/>
  <c r="E6233" i="6"/>
  <c r="M6233" i="6" s="1"/>
  <c r="E6232" i="6"/>
  <c r="E6231" i="6"/>
  <c r="E6230" i="6"/>
  <c r="E6229" i="6"/>
  <c r="M6229" i="6" s="1"/>
  <c r="E6228" i="6"/>
  <c r="E6227" i="6"/>
  <c r="E6226" i="6"/>
  <c r="E6225" i="6"/>
  <c r="M6225" i="6" s="1"/>
  <c r="E6224" i="6"/>
  <c r="E6223" i="6"/>
  <c r="E6222" i="6"/>
  <c r="E6221" i="6"/>
  <c r="M6221" i="6" s="1"/>
  <c r="E6220" i="6"/>
  <c r="E6219" i="6"/>
  <c r="K6219" i="6" s="1"/>
  <c r="E6218" i="6"/>
  <c r="E6217" i="6"/>
  <c r="M6217" i="6" s="1"/>
  <c r="E6216" i="6"/>
  <c r="E6215" i="6"/>
  <c r="N6215" i="6" s="1"/>
  <c r="E6214" i="6"/>
  <c r="E6213" i="6"/>
  <c r="M6213" i="6" s="1"/>
  <c r="E6212" i="6"/>
  <c r="E6211" i="6"/>
  <c r="N6211" i="6" s="1"/>
  <c r="E6210" i="6"/>
  <c r="E6209" i="6"/>
  <c r="M6209" i="6" s="1"/>
  <c r="E6208" i="6"/>
  <c r="E6207" i="6"/>
  <c r="E6206" i="6"/>
  <c r="E6205" i="6"/>
  <c r="M6205" i="6" s="1"/>
  <c r="E6204" i="6"/>
  <c r="E6203" i="6"/>
  <c r="L6203" i="6" s="1"/>
  <c r="E6202" i="6"/>
  <c r="E6201" i="6"/>
  <c r="M6201" i="6" s="1"/>
  <c r="E6200" i="6"/>
  <c r="E6199" i="6"/>
  <c r="N6199" i="6" s="1"/>
  <c r="E6198" i="6"/>
  <c r="E6197" i="6"/>
  <c r="M6197" i="6" s="1"/>
  <c r="E6196" i="6"/>
  <c r="E6195" i="6"/>
  <c r="E6194" i="6"/>
  <c r="E6193" i="6"/>
  <c r="M6193" i="6" s="1"/>
  <c r="E6192" i="6"/>
  <c r="E6191" i="6"/>
  <c r="N6191" i="6" s="1"/>
  <c r="E6190" i="6"/>
  <c r="E6189" i="6"/>
  <c r="M6189" i="6" s="1"/>
  <c r="E6188" i="6"/>
  <c r="E6187" i="6"/>
  <c r="E6186" i="6"/>
  <c r="E6185" i="6"/>
  <c r="M6185" i="6" s="1"/>
  <c r="E6184" i="6"/>
  <c r="E6183" i="6"/>
  <c r="L6183" i="6" s="1"/>
  <c r="E6182" i="6"/>
  <c r="E6181" i="6"/>
  <c r="M6181" i="6" s="1"/>
  <c r="E6180" i="6"/>
  <c r="E6179" i="6"/>
  <c r="E6178" i="6"/>
  <c r="E6177" i="6"/>
  <c r="M6177" i="6" s="1"/>
  <c r="E6176" i="6"/>
  <c r="E6175" i="6"/>
  <c r="M6175" i="6" s="1"/>
  <c r="E6174" i="6"/>
  <c r="E6173" i="6"/>
  <c r="M6173" i="6" s="1"/>
  <c r="E6172" i="6"/>
  <c r="E6171" i="6"/>
  <c r="E6170" i="6"/>
  <c r="E6169" i="6"/>
  <c r="M6169" i="6" s="1"/>
  <c r="E6168" i="6"/>
  <c r="E6167" i="6"/>
  <c r="L6167" i="6" s="1"/>
  <c r="E6166" i="6"/>
  <c r="E6165" i="6"/>
  <c r="M6165" i="6" s="1"/>
  <c r="E6164" i="6"/>
  <c r="E6163" i="6"/>
  <c r="E6162" i="6"/>
  <c r="E6161" i="6"/>
  <c r="M6161" i="6" s="1"/>
  <c r="E6160" i="6"/>
  <c r="E6159" i="6"/>
  <c r="L6159" i="6" s="1"/>
  <c r="E6158" i="6"/>
  <c r="E6157" i="6"/>
  <c r="M6157" i="6" s="1"/>
  <c r="E6156" i="6"/>
  <c r="E6155" i="6"/>
  <c r="E6154" i="6"/>
  <c r="E6153" i="6"/>
  <c r="M6153" i="6" s="1"/>
  <c r="E6152" i="6"/>
  <c r="E6151" i="6"/>
  <c r="E6150" i="6"/>
  <c r="E6149" i="6"/>
  <c r="M6149" i="6" s="1"/>
  <c r="E6148" i="6"/>
  <c r="E6147" i="6"/>
  <c r="K6147" i="6" s="1"/>
  <c r="E6146" i="6"/>
  <c r="E6145" i="6"/>
  <c r="M6145" i="6" s="1"/>
  <c r="E6144" i="6"/>
  <c r="E6143" i="6"/>
  <c r="L6143" i="6" s="1"/>
  <c r="E6142" i="6"/>
  <c r="E6141" i="6"/>
  <c r="M6141" i="6" s="1"/>
  <c r="E6140" i="6"/>
  <c r="E6139" i="6"/>
  <c r="E6138" i="6"/>
  <c r="E6137" i="6"/>
  <c r="M6137" i="6" s="1"/>
  <c r="E6136" i="6"/>
  <c r="E6135" i="6"/>
  <c r="K6135" i="6" s="1"/>
  <c r="E6134" i="6"/>
  <c r="E6133" i="6"/>
  <c r="M6133" i="6" s="1"/>
  <c r="E6132" i="6"/>
  <c r="E6131" i="6"/>
  <c r="L6131" i="6" s="1"/>
  <c r="E6130" i="6"/>
  <c r="E6129" i="6"/>
  <c r="M6129" i="6" s="1"/>
  <c r="E6128" i="6"/>
  <c r="E6127" i="6"/>
  <c r="K6127" i="6" s="1"/>
  <c r="E6126" i="6"/>
  <c r="E6125" i="6"/>
  <c r="E6124" i="6"/>
  <c r="E6123" i="6"/>
  <c r="L6123" i="6" s="1"/>
  <c r="E6122" i="6"/>
  <c r="E6121" i="6"/>
  <c r="E6120" i="6"/>
  <c r="E6119" i="6"/>
  <c r="M6119" i="6" s="1"/>
  <c r="E6118" i="6"/>
  <c r="E6117" i="6"/>
  <c r="M6117" i="6" s="1"/>
  <c r="E6116" i="6"/>
  <c r="E6115" i="6"/>
  <c r="N6115" i="6" s="1"/>
  <c r="E6114" i="6"/>
  <c r="E6113" i="6"/>
  <c r="E6112" i="6"/>
  <c r="E6111" i="6"/>
  <c r="M6111" i="6" s="1"/>
  <c r="E6110" i="6"/>
  <c r="E6109" i="6"/>
  <c r="M6109" i="6" s="1"/>
  <c r="E6108" i="6"/>
  <c r="E6107" i="6"/>
  <c r="E6106" i="6"/>
  <c r="E6105" i="6"/>
  <c r="M6105" i="6" s="1"/>
  <c r="E6104" i="6"/>
  <c r="E6103" i="6"/>
  <c r="E6102" i="6"/>
  <c r="E6101" i="6"/>
  <c r="M6101" i="6" s="1"/>
  <c r="E6100" i="6"/>
  <c r="E6099" i="6"/>
  <c r="E6098" i="6"/>
  <c r="E6097" i="6"/>
  <c r="M6097" i="6" s="1"/>
  <c r="E6096" i="6"/>
  <c r="E6095" i="6"/>
  <c r="E6094" i="6"/>
  <c r="E6093" i="6"/>
  <c r="M6093" i="6" s="1"/>
  <c r="E6092" i="6"/>
  <c r="E6091" i="6"/>
  <c r="N6091" i="6" s="1"/>
  <c r="E6090" i="6"/>
  <c r="E6089" i="6"/>
  <c r="E6088" i="6"/>
  <c r="E6087" i="6"/>
  <c r="E6086" i="6"/>
  <c r="E6085" i="6"/>
  <c r="E6084" i="6"/>
  <c r="E6083" i="6"/>
  <c r="N6083" i="6" s="1"/>
  <c r="E6082" i="6"/>
  <c r="E6081" i="6"/>
  <c r="E6080" i="6"/>
  <c r="E6079" i="6"/>
  <c r="E6078" i="6"/>
  <c r="E6077" i="6"/>
  <c r="E6076" i="6"/>
  <c r="E6075" i="6"/>
  <c r="E6074" i="6"/>
  <c r="E6073" i="6"/>
  <c r="K6073" i="6" s="1"/>
  <c r="E6072" i="6"/>
  <c r="E6071" i="6"/>
  <c r="E6070" i="6"/>
  <c r="E6069" i="6"/>
  <c r="E6068" i="6"/>
  <c r="E6067" i="6"/>
  <c r="E6066" i="6"/>
  <c r="E6065" i="6"/>
  <c r="E6064" i="6"/>
  <c r="E6063" i="6"/>
  <c r="L6063" i="6" s="1"/>
  <c r="E6062" i="6"/>
  <c r="E6061" i="6"/>
  <c r="E6060" i="6"/>
  <c r="E6059" i="6"/>
  <c r="E6058" i="6"/>
  <c r="E6057" i="6"/>
  <c r="E6056" i="6"/>
  <c r="E6055" i="6"/>
  <c r="L6055" i="6" s="1"/>
  <c r="E6054" i="6"/>
  <c r="E6053" i="6"/>
  <c r="E6052" i="6"/>
  <c r="E6051" i="6"/>
  <c r="L6051" i="6" s="1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L5991" i="6" s="1"/>
  <c r="E5990" i="6"/>
  <c r="E5989" i="6"/>
  <c r="E5988" i="6"/>
  <c r="E5987" i="6"/>
  <c r="L5987" i="6" s="1"/>
  <c r="E5986" i="6"/>
  <c r="E5985" i="6"/>
  <c r="E5984" i="6"/>
  <c r="E5983" i="6"/>
  <c r="E5982" i="6"/>
  <c r="E5981" i="6"/>
  <c r="E5980" i="6"/>
  <c r="E5979" i="6"/>
  <c r="L5979" i="6" s="1"/>
  <c r="E5978" i="6"/>
  <c r="E5977" i="6"/>
  <c r="E5976" i="6"/>
  <c r="E5975" i="6"/>
  <c r="L5975" i="6" s="1"/>
  <c r="E5974" i="6"/>
  <c r="E5973" i="6"/>
  <c r="E5972" i="6"/>
  <c r="E5971" i="6"/>
  <c r="L5971" i="6" s="1"/>
  <c r="E5970" i="6"/>
  <c r="E5969" i="6"/>
  <c r="E5968" i="6"/>
  <c r="E5967" i="6"/>
  <c r="E5966" i="6"/>
  <c r="E5965" i="6"/>
  <c r="E5964" i="6"/>
  <c r="E5963" i="6"/>
  <c r="L5963" i="6" s="1"/>
  <c r="E5962" i="6"/>
  <c r="E5961" i="6"/>
  <c r="E5960" i="6"/>
  <c r="E5959" i="6"/>
  <c r="L5959" i="6" s="1"/>
  <c r="E5958" i="6"/>
  <c r="E5957" i="6"/>
  <c r="E5956" i="6"/>
  <c r="E5955" i="6"/>
  <c r="L5955" i="6" s="1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L5939" i="6" s="1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L5923" i="6" s="1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L5907" i="6" s="1"/>
  <c r="E5906" i="6"/>
  <c r="E5905" i="6"/>
  <c r="E5904" i="6"/>
  <c r="E5903" i="6"/>
  <c r="E5902" i="6"/>
  <c r="E5901" i="6"/>
  <c r="L5901" i="6" s="1"/>
  <c r="E5900" i="6"/>
  <c r="E5899" i="6"/>
  <c r="L5899" i="6" s="1"/>
  <c r="E5898" i="6"/>
  <c r="E5897" i="6"/>
  <c r="E5896" i="6"/>
  <c r="E5895" i="6"/>
  <c r="E5894" i="6"/>
  <c r="E5893" i="6"/>
  <c r="E5892" i="6"/>
  <c r="E5891" i="6"/>
  <c r="L5891" i="6" s="1"/>
  <c r="E5890" i="6"/>
  <c r="E5889" i="6"/>
  <c r="E5888" i="6"/>
  <c r="E5887" i="6"/>
  <c r="E5886" i="6"/>
  <c r="E5885" i="6"/>
  <c r="E5884" i="6"/>
  <c r="E5883" i="6"/>
  <c r="E5882" i="6"/>
  <c r="E5881" i="6"/>
  <c r="L5881" i="6" s="1"/>
  <c r="E5880" i="6"/>
  <c r="E5879" i="6"/>
  <c r="L5879" i="6" s="1"/>
  <c r="E5878" i="6"/>
  <c r="E5877" i="6"/>
  <c r="E5876" i="6"/>
  <c r="E5875" i="6"/>
  <c r="E5874" i="6"/>
  <c r="E5873" i="6"/>
  <c r="L5873" i="6" s="1"/>
  <c r="E5872" i="6"/>
  <c r="E5871" i="6"/>
  <c r="L5871" i="6" s="1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L5859" i="6" s="1"/>
  <c r="E5858" i="6"/>
  <c r="E5857" i="6"/>
  <c r="E5856" i="6"/>
  <c r="E5855" i="6"/>
  <c r="E5854" i="6"/>
  <c r="E5853" i="6"/>
  <c r="E5852" i="6"/>
  <c r="E5851" i="6"/>
  <c r="L5851" i="6" s="1"/>
  <c r="E5850" i="6"/>
  <c r="E5849" i="6"/>
  <c r="E5848" i="6"/>
  <c r="E5847" i="6"/>
  <c r="E5846" i="6"/>
  <c r="E5845" i="6"/>
  <c r="L5845" i="6" s="1"/>
  <c r="E5844" i="6"/>
  <c r="E5843" i="6"/>
  <c r="L5843" i="6" s="1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L5831" i="6" s="1"/>
  <c r="E5830" i="6"/>
  <c r="E5829" i="6"/>
  <c r="E5828" i="6"/>
  <c r="E5827" i="6"/>
  <c r="L5827" i="6" s="1"/>
  <c r="E5826" i="6"/>
  <c r="E5825" i="6"/>
  <c r="E5824" i="6"/>
  <c r="E5823" i="6"/>
  <c r="E5822" i="6"/>
  <c r="E5821" i="6"/>
  <c r="L5821" i="6" s="1"/>
  <c r="E5820" i="6"/>
  <c r="E5819" i="6"/>
  <c r="L5819" i="6" s="1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L5807" i="6" s="1"/>
  <c r="E5806" i="6"/>
  <c r="E5805" i="6"/>
  <c r="E5804" i="6"/>
  <c r="E5803" i="6"/>
  <c r="E5802" i="6"/>
  <c r="E5801" i="6"/>
  <c r="L5801" i="6" s="1"/>
  <c r="E5800" i="6"/>
  <c r="E5799" i="6"/>
  <c r="L5799" i="6" s="1"/>
  <c r="E5798" i="6"/>
  <c r="E5797" i="6"/>
  <c r="E5796" i="6"/>
  <c r="E5795" i="6"/>
  <c r="L5795" i="6" s="1"/>
  <c r="E5794" i="6"/>
  <c r="E5793" i="6"/>
  <c r="E5792" i="6"/>
  <c r="E5791" i="6"/>
  <c r="E5790" i="6"/>
  <c r="E5789" i="6"/>
  <c r="E5788" i="6"/>
  <c r="E5787" i="6"/>
  <c r="L5787" i="6" s="1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L5775" i="6" s="1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L5763" i="6" s="1"/>
  <c r="E5762" i="6"/>
  <c r="E5761" i="6"/>
  <c r="E5760" i="6"/>
  <c r="E5759" i="6"/>
  <c r="E5758" i="6"/>
  <c r="E5757" i="6"/>
  <c r="E5756" i="6"/>
  <c r="E5755" i="6"/>
  <c r="L5755" i="6" s="1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L5735" i="6" s="1"/>
  <c r="E5734" i="6"/>
  <c r="E5733" i="6"/>
  <c r="E5732" i="6"/>
  <c r="E5731" i="6"/>
  <c r="L5731" i="6" s="1"/>
  <c r="E5730" i="6"/>
  <c r="E5729" i="6"/>
  <c r="E5728" i="6"/>
  <c r="E5727" i="6"/>
  <c r="E5726" i="6"/>
  <c r="E5725" i="6"/>
  <c r="E5724" i="6"/>
  <c r="E5723" i="6"/>
  <c r="N5723" i="6" s="1"/>
  <c r="E5722" i="6"/>
  <c r="E5721" i="6"/>
  <c r="L5721" i="6" s="1"/>
  <c r="E5720" i="6"/>
  <c r="E5719" i="6"/>
  <c r="E5718" i="6"/>
  <c r="E5717" i="6"/>
  <c r="E5716" i="6"/>
  <c r="E5715" i="6"/>
  <c r="E5714" i="6"/>
  <c r="E5713" i="6"/>
  <c r="E5712" i="6"/>
  <c r="E5711" i="6"/>
  <c r="L5711" i="6" s="1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L5699" i="6" s="1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L5675" i="6" s="1"/>
  <c r="E5674" i="6"/>
  <c r="E5673" i="6"/>
  <c r="E5672" i="6"/>
  <c r="E5671" i="6"/>
  <c r="E5670" i="6"/>
  <c r="E5669" i="6"/>
  <c r="E5668" i="6"/>
  <c r="E5667" i="6"/>
  <c r="L5667" i="6" s="1"/>
  <c r="E5666" i="6"/>
  <c r="E5665" i="6"/>
  <c r="E5664" i="6"/>
  <c r="E5663" i="6"/>
  <c r="E5662" i="6"/>
  <c r="E5661" i="6"/>
  <c r="E5660" i="6"/>
  <c r="E5659" i="6"/>
  <c r="E5658" i="6"/>
  <c r="E5657" i="6"/>
  <c r="L5657" i="6" s="1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L5645" i="6" s="1"/>
  <c r="E5644" i="6"/>
  <c r="E5643" i="6"/>
  <c r="L5643" i="6" s="1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L5629" i="6" s="1"/>
  <c r="E5628" i="6"/>
  <c r="E5627" i="6"/>
  <c r="E5626" i="6"/>
  <c r="E5625" i="6"/>
  <c r="E5624" i="6"/>
  <c r="E5623" i="6"/>
  <c r="E5622" i="6"/>
  <c r="E5621" i="6"/>
  <c r="L5621" i="6" s="1"/>
  <c r="E5620" i="6"/>
  <c r="E5619" i="6"/>
  <c r="L5619" i="6" s="1"/>
  <c r="E5618" i="6"/>
  <c r="E5617" i="6"/>
  <c r="E5616" i="6"/>
  <c r="E5615" i="6"/>
  <c r="L5615" i="6" s="1"/>
  <c r="E5614" i="6"/>
  <c r="E5613" i="6"/>
  <c r="E5612" i="6"/>
  <c r="E5611" i="6"/>
  <c r="E5610" i="6"/>
  <c r="E5609" i="6"/>
  <c r="E5608" i="6"/>
  <c r="E5607" i="6"/>
  <c r="L5607" i="6" s="1"/>
  <c r="E5606" i="6"/>
  <c r="E5605" i="6"/>
  <c r="E5604" i="6"/>
  <c r="E5603" i="6"/>
  <c r="E5602" i="6"/>
  <c r="E5601" i="6"/>
  <c r="E5600" i="6"/>
  <c r="E5599" i="6"/>
  <c r="L5599" i="6" s="1"/>
  <c r="E5598" i="6"/>
  <c r="E5597" i="6"/>
  <c r="E5596" i="6"/>
  <c r="E5595" i="6"/>
  <c r="L5595" i="6" s="1"/>
  <c r="E5594" i="6"/>
  <c r="E5593" i="6"/>
  <c r="E5592" i="6"/>
  <c r="E5591" i="6"/>
  <c r="L5591" i="6" s="1"/>
  <c r="E5590" i="6"/>
  <c r="E5589" i="6"/>
  <c r="E5588" i="6"/>
  <c r="E5587" i="6"/>
  <c r="L5587" i="6" s="1"/>
  <c r="E5586" i="6"/>
  <c r="E5585" i="6"/>
  <c r="E5584" i="6"/>
  <c r="E5583" i="6"/>
  <c r="E5582" i="6"/>
  <c r="E5581" i="6"/>
  <c r="E5580" i="6"/>
  <c r="E5579" i="6"/>
  <c r="L5579" i="6" s="1"/>
  <c r="E5578" i="6"/>
  <c r="E5577" i="6"/>
  <c r="E5576" i="6"/>
  <c r="E5575" i="6"/>
  <c r="E5574" i="6"/>
  <c r="E5573" i="6"/>
  <c r="E5572" i="6"/>
  <c r="E5571" i="6"/>
  <c r="L5571" i="6" s="1"/>
  <c r="E5570" i="6"/>
  <c r="E5569" i="6"/>
  <c r="E5568" i="6"/>
  <c r="E5567" i="6"/>
  <c r="L5567" i="6" s="1"/>
  <c r="E5566" i="6"/>
  <c r="E5565" i="6"/>
  <c r="E5564" i="6"/>
  <c r="E5563" i="6"/>
  <c r="L5563" i="6" s="1"/>
  <c r="E5562" i="6"/>
  <c r="E5561" i="6"/>
  <c r="E5560" i="6"/>
  <c r="E5559" i="6"/>
  <c r="L5559" i="6" s="1"/>
  <c r="E5558" i="6"/>
  <c r="E5557" i="6"/>
  <c r="E5556" i="6"/>
  <c r="E5555" i="6"/>
  <c r="L5555" i="6" s="1"/>
  <c r="E5554" i="6"/>
  <c r="E5553" i="6"/>
  <c r="E5552" i="6"/>
  <c r="E5551" i="6"/>
  <c r="L5551" i="6" s="1"/>
  <c r="E5550" i="6"/>
  <c r="E5549" i="6"/>
  <c r="E5548" i="6"/>
  <c r="E5547" i="6"/>
  <c r="L5547" i="6" s="1"/>
  <c r="E5546" i="6"/>
  <c r="E5545" i="6"/>
  <c r="E5544" i="6"/>
  <c r="E5543" i="6"/>
  <c r="L5543" i="6" s="1"/>
  <c r="E5542" i="6"/>
  <c r="E5541" i="6"/>
  <c r="E5540" i="6"/>
  <c r="E5539" i="6"/>
  <c r="L5539" i="6" s="1"/>
  <c r="E5538" i="6"/>
  <c r="E5537" i="6"/>
  <c r="E5536" i="6"/>
  <c r="E5535" i="6"/>
  <c r="L5535" i="6" s="1"/>
  <c r="E5534" i="6"/>
  <c r="E5533" i="6"/>
  <c r="E5532" i="6"/>
  <c r="E5531" i="6"/>
  <c r="L5531" i="6" s="1"/>
  <c r="E5530" i="6"/>
  <c r="E5529" i="6"/>
  <c r="E5528" i="6"/>
  <c r="E5527" i="6"/>
  <c r="L5527" i="6" s="1"/>
  <c r="E5526" i="6"/>
  <c r="E5525" i="6"/>
  <c r="E5524" i="6"/>
  <c r="E5523" i="6"/>
  <c r="L5523" i="6" s="1"/>
  <c r="E5522" i="6"/>
  <c r="E5521" i="6"/>
  <c r="L5521" i="6" s="1"/>
  <c r="E5520" i="6"/>
  <c r="E5519" i="6"/>
  <c r="L5519" i="6" s="1"/>
  <c r="E5518" i="6"/>
  <c r="E5517" i="6"/>
  <c r="E5516" i="6"/>
  <c r="E5515" i="6"/>
  <c r="L5515" i="6" s="1"/>
  <c r="E5514" i="6"/>
  <c r="E5513" i="6"/>
  <c r="L5513" i="6" s="1"/>
  <c r="E5512" i="6"/>
  <c r="E5511" i="6"/>
  <c r="E5510" i="6"/>
  <c r="E5509" i="6"/>
  <c r="E5508" i="6"/>
  <c r="E5507" i="6"/>
  <c r="E5506" i="6"/>
  <c r="E5505" i="6"/>
  <c r="L5505" i="6" s="1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L5479" i="6" s="1"/>
  <c r="E5478" i="6"/>
  <c r="E5477" i="6"/>
  <c r="E5476" i="6"/>
  <c r="E5475" i="6"/>
  <c r="L5475" i="6" s="1"/>
  <c r="E5474" i="6"/>
  <c r="E5473" i="6"/>
  <c r="E5472" i="6"/>
  <c r="E5471" i="6"/>
  <c r="E5470" i="6"/>
  <c r="E5469" i="6"/>
  <c r="E5468" i="6"/>
  <c r="E5467" i="6"/>
  <c r="E5466" i="6"/>
  <c r="E5465" i="6"/>
  <c r="L5465" i="6" s="1"/>
  <c r="E5464" i="6"/>
  <c r="E5463" i="6"/>
  <c r="L5463" i="6" s="1"/>
  <c r="E5462" i="6"/>
  <c r="E5461" i="6"/>
  <c r="E5460" i="6"/>
  <c r="E5459" i="6"/>
  <c r="L5459" i="6" s="1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L5447" i="6" s="1"/>
  <c r="E5446" i="6"/>
  <c r="E5445" i="6"/>
  <c r="E5444" i="6"/>
  <c r="E5443" i="6"/>
  <c r="L5443" i="6" s="1"/>
  <c r="E5442" i="6"/>
  <c r="E5441" i="6"/>
  <c r="E5440" i="6"/>
  <c r="E5439" i="6"/>
  <c r="L5439" i="6" s="1"/>
  <c r="E5438" i="6"/>
  <c r="E5437" i="6"/>
  <c r="E5436" i="6"/>
  <c r="E5435" i="6"/>
  <c r="L5435" i="6" s="1"/>
  <c r="E5434" i="6"/>
  <c r="E5433" i="6"/>
  <c r="E5432" i="6"/>
  <c r="E5431" i="6"/>
  <c r="L5431" i="6" s="1"/>
  <c r="E5430" i="6"/>
  <c r="E5429" i="6"/>
  <c r="E5428" i="6"/>
  <c r="E5427" i="6"/>
  <c r="L5427" i="6" s="1"/>
  <c r="E5426" i="6"/>
  <c r="E5425" i="6"/>
  <c r="E5424" i="6"/>
  <c r="E5423" i="6"/>
  <c r="L5423" i="6" s="1"/>
  <c r="E5422" i="6"/>
  <c r="E5421" i="6"/>
  <c r="E5420" i="6"/>
  <c r="E5419" i="6"/>
  <c r="L5419" i="6" s="1"/>
  <c r="E5418" i="6"/>
  <c r="E5417" i="6"/>
  <c r="E5416" i="6"/>
  <c r="E5415" i="6"/>
  <c r="L5415" i="6" s="1"/>
  <c r="E5414" i="6"/>
  <c r="E5413" i="6"/>
  <c r="E5412" i="6"/>
  <c r="E5411" i="6"/>
  <c r="L5411" i="6" s="1"/>
  <c r="E5410" i="6"/>
  <c r="E5409" i="6"/>
  <c r="E5408" i="6"/>
  <c r="E5407" i="6"/>
  <c r="L5407" i="6" s="1"/>
  <c r="E5406" i="6"/>
  <c r="E5405" i="6"/>
  <c r="E5404" i="6"/>
  <c r="E5403" i="6"/>
  <c r="L5403" i="6" s="1"/>
  <c r="E5402" i="6"/>
  <c r="E5401" i="6"/>
  <c r="E5400" i="6"/>
  <c r="E5399" i="6"/>
  <c r="L5399" i="6" s="1"/>
  <c r="E5398" i="6"/>
  <c r="E5397" i="6"/>
  <c r="E5396" i="6"/>
  <c r="E5395" i="6"/>
  <c r="L5395" i="6" s="1"/>
  <c r="E5394" i="6"/>
  <c r="E5393" i="6"/>
  <c r="E5392" i="6"/>
  <c r="E5391" i="6"/>
  <c r="L5391" i="6" s="1"/>
  <c r="E5390" i="6"/>
  <c r="E5389" i="6"/>
  <c r="E5388" i="6"/>
  <c r="E5387" i="6"/>
  <c r="L5387" i="6" s="1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L5333" i="6" s="1"/>
  <c r="E5332" i="6"/>
  <c r="E5331" i="6"/>
  <c r="E5330" i="6"/>
  <c r="E5329" i="6"/>
  <c r="E5328" i="6"/>
  <c r="E5327" i="6"/>
  <c r="E5326" i="6"/>
  <c r="E5325" i="6"/>
  <c r="L5325" i="6" s="1"/>
  <c r="E5324" i="6"/>
  <c r="E5323" i="6"/>
  <c r="E5322" i="6"/>
  <c r="E5321" i="6"/>
  <c r="E5320" i="6"/>
  <c r="E5319" i="6"/>
  <c r="L5319" i="6" s="1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L5307" i="6" s="1"/>
  <c r="E5306" i="6"/>
  <c r="E5305" i="6"/>
  <c r="L5305" i="6" s="1"/>
  <c r="E5304" i="6"/>
  <c r="E5303" i="6"/>
  <c r="L5303" i="6" s="1"/>
  <c r="E5302" i="6"/>
  <c r="E5301" i="6"/>
  <c r="E5300" i="6"/>
  <c r="E5299" i="6"/>
  <c r="E5298" i="6"/>
  <c r="E5297" i="6"/>
  <c r="E5296" i="6"/>
  <c r="E5295" i="6"/>
  <c r="E5294" i="6"/>
  <c r="E5293" i="6"/>
  <c r="L5293" i="6" s="1"/>
  <c r="E5292" i="6"/>
  <c r="E5291" i="6"/>
  <c r="L5291" i="6" s="1"/>
  <c r="E5290" i="6"/>
  <c r="E5289" i="6"/>
  <c r="E5288" i="6"/>
  <c r="E5287" i="6"/>
  <c r="L5287" i="6" s="1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L5273" i="6" s="1"/>
  <c r="E5272" i="6"/>
  <c r="E5271" i="6"/>
  <c r="L5271" i="6" s="1"/>
  <c r="E5270" i="6"/>
  <c r="E5269" i="6"/>
  <c r="E5268" i="6"/>
  <c r="E5267" i="6"/>
  <c r="E5266" i="6"/>
  <c r="E5265" i="6"/>
  <c r="E5264" i="6"/>
  <c r="E5263" i="6"/>
  <c r="L5263" i="6" s="1"/>
  <c r="E5262" i="6"/>
  <c r="E5261" i="6"/>
  <c r="E5260" i="6"/>
  <c r="E5259" i="6"/>
  <c r="L5259" i="6" s="1"/>
  <c r="E5258" i="6"/>
  <c r="E5257" i="6"/>
  <c r="E5256" i="6"/>
  <c r="E5255" i="6"/>
  <c r="L5255" i="6" s="1"/>
  <c r="E5254" i="6"/>
  <c r="E5253" i="6"/>
  <c r="E5252" i="6"/>
  <c r="E5251" i="6"/>
  <c r="L5251" i="6" s="1"/>
  <c r="E5250" i="6"/>
  <c r="E5249" i="6"/>
  <c r="E5248" i="6"/>
  <c r="E5247" i="6"/>
  <c r="L5247" i="6" s="1"/>
  <c r="E5246" i="6"/>
  <c r="E5245" i="6"/>
  <c r="E5244" i="6"/>
  <c r="E5243" i="6"/>
  <c r="E5242" i="6"/>
  <c r="E5241" i="6"/>
  <c r="E5240" i="6"/>
  <c r="E5239" i="6"/>
  <c r="E5238" i="6"/>
  <c r="E5237" i="6"/>
  <c r="L5237" i="6" s="1"/>
  <c r="E5236" i="6"/>
  <c r="E5235" i="6"/>
  <c r="L5235" i="6" s="1"/>
  <c r="E5234" i="6"/>
  <c r="E5233" i="6"/>
  <c r="E5232" i="6"/>
  <c r="E5231" i="6"/>
  <c r="L5231" i="6" s="1"/>
  <c r="E5230" i="6"/>
  <c r="E5229" i="6"/>
  <c r="L5229" i="6" s="1"/>
  <c r="E5228" i="6"/>
  <c r="E5227" i="6"/>
  <c r="E5226" i="6"/>
  <c r="E5225" i="6"/>
  <c r="E5224" i="6"/>
  <c r="E5223" i="6"/>
  <c r="E5222" i="6"/>
  <c r="E5221" i="6"/>
  <c r="L5221" i="6" s="1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L5207" i="6" s="1"/>
  <c r="E5206" i="6"/>
  <c r="E5205" i="6"/>
  <c r="E5204" i="6"/>
  <c r="E5203" i="6"/>
  <c r="E5202" i="6"/>
  <c r="E5201" i="6"/>
  <c r="E5200" i="6"/>
  <c r="E5199" i="6"/>
  <c r="L5199" i="6" s="1"/>
  <c r="E5198" i="6"/>
  <c r="E5197" i="6"/>
  <c r="E5196" i="6"/>
  <c r="E5195" i="6"/>
  <c r="L5195" i="6" s="1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L5175" i="6" s="1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L5161" i="6" s="1"/>
  <c r="E5160" i="6"/>
  <c r="E5159" i="6"/>
  <c r="L5159" i="6" s="1"/>
  <c r="E5158" i="6"/>
  <c r="E5157" i="6"/>
  <c r="L5157" i="6" s="1"/>
  <c r="E5156" i="6"/>
  <c r="E5155" i="6"/>
  <c r="L5155" i="6" s="1"/>
  <c r="E5154" i="6"/>
  <c r="E5153" i="6"/>
  <c r="E5152" i="6"/>
  <c r="E5151" i="6"/>
  <c r="E5150" i="6"/>
  <c r="E5149" i="6"/>
  <c r="E5148" i="6"/>
  <c r="E5147" i="6"/>
  <c r="E5146" i="6"/>
  <c r="E5145" i="6"/>
  <c r="L5145" i="6" s="1"/>
  <c r="E5144" i="6"/>
  <c r="E5143" i="6"/>
  <c r="L5143" i="6" s="1"/>
  <c r="E5142" i="6"/>
  <c r="E5141" i="6"/>
  <c r="E5140" i="6"/>
  <c r="E5139" i="6"/>
  <c r="L5139" i="6" s="1"/>
  <c r="E5138" i="6"/>
  <c r="E5137" i="6"/>
  <c r="E5136" i="6"/>
  <c r="E5135" i="6"/>
  <c r="L5135" i="6" s="1"/>
  <c r="E5134" i="6"/>
  <c r="E5133" i="6"/>
  <c r="E5132" i="6"/>
  <c r="E5131" i="6"/>
  <c r="L5131" i="6" s="1"/>
  <c r="E5130" i="6"/>
  <c r="E5129" i="6"/>
  <c r="L5129" i="6" s="1"/>
  <c r="E5128" i="6"/>
  <c r="E5127" i="6"/>
  <c r="L5127" i="6" s="1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L5097" i="6" s="1"/>
  <c r="E5096" i="6"/>
  <c r="E5095" i="6"/>
  <c r="E5094" i="6"/>
  <c r="E5093" i="6"/>
  <c r="E5092" i="6"/>
  <c r="E5091" i="6"/>
  <c r="E5090" i="6"/>
  <c r="E5089" i="6"/>
  <c r="L5089" i="6" s="1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L5065" i="6" s="1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L5053" i="6" s="1"/>
  <c r="E5052" i="6"/>
  <c r="E5051" i="6"/>
  <c r="L5051" i="6" s="1"/>
  <c r="E5050" i="6"/>
  <c r="E5049" i="6"/>
  <c r="E5048" i="6"/>
  <c r="E5047" i="6"/>
  <c r="L5047" i="6" s="1"/>
  <c r="E5046" i="6"/>
  <c r="E5045" i="6"/>
  <c r="E5044" i="6"/>
  <c r="E5043" i="6"/>
  <c r="L5043" i="6" s="1"/>
  <c r="E5042" i="6"/>
  <c r="E5041" i="6"/>
  <c r="E5040" i="6"/>
  <c r="E5039" i="6"/>
  <c r="L5039" i="6" s="1"/>
  <c r="E5038" i="6"/>
  <c r="E5037" i="6"/>
  <c r="E5036" i="6"/>
  <c r="E5035" i="6"/>
  <c r="L5035" i="6" s="1"/>
  <c r="E5034" i="6"/>
  <c r="E5033" i="6"/>
  <c r="E5032" i="6"/>
  <c r="E5031" i="6"/>
  <c r="L5031" i="6" s="1"/>
  <c r="E5030" i="6"/>
  <c r="E5029" i="6"/>
  <c r="E5028" i="6"/>
  <c r="E5027" i="6"/>
  <c r="L5027" i="6" s="1"/>
  <c r="E5026" i="6"/>
  <c r="E5025" i="6"/>
  <c r="E5024" i="6"/>
  <c r="E5023" i="6"/>
  <c r="L5023" i="6" s="1"/>
  <c r="E5022" i="6"/>
  <c r="E5021" i="6"/>
  <c r="E5020" i="6"/>
  <c r="E5019" i="6"/>
  <c r="L5019" i="6" s="1"/>
  <c r="E5018" i="6"/>
  <c r="E5017" i="6"/>
  <c r="E5016" i="6"/>
  <c r="E5015" i="6"/>
  <c r="L5015" i="6" s="1"/>
  <c r="E5014" i="6"/>
  <c r="E5013" i="6"/>
  <c r="E5012" i="6"/>
  <c r="E5011" i="6"/>
  <c r="E5010" i="6"/>
  <c r="E5009" i="6"/>
  <c r="L5009" i="6" s="1"/>
  <c r="E5008" i="6"/>
  <c r="E5007" i="6"/>
  <c r="E5006" i="6"/>
  <c r="E5005" i="6"/>
  <c r="L5005" i="6" s="1"/>
  <c r="E5004" i="6"/>
  <c r="E5003" i="6"/>
  <c r="L5003" i="6" s="1"/>
  <c r="E5002" i="6"/>
  <c r="E5001" i="6"/>
  <c r="L5001" i="6" s="1"/>
  <c r="E5000" i="6"/>
  <c r="E4999" i="6"/>
  <c r="E4998" i="6"/>
  <c r="E4997" i="6"/>
  <c r="L4997" i="6" s="1"/>
  <c r="E4996" i="6"/>
  <c r="E4995" i="6"/>
  <c r="L4995" i="6" s="1"/>
  <c r="E4994" i="6"/>
  <c r="E4993" i="6"/>
  <c r="E4992" i="6"/>
  <c r="E4991" i="6"/>
  <c r="E4990" i="6"/>
  <c r="E4989" i="6"/>
  <c r="E4988" i="6"/>
  <c r="E4987" i="6"/>
  <c r="L4987" i="6" s="1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L4968" i="6" s="1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M4951" i="6" s="1"/>
  <c r="E4950" i="6"/>
  <c r="E4949" i="6"/>
  <c r="E4948" i="6"/>
  <c r="E4947" i="6"/>
  <c r="E4946" i="6"/>
  <c r="E4945" i="6"/>
  <c r="E4944" i="6"/>
  <c r="L4944" i="6" s="1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L4923" i="6" s="1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L4911" i="6" s="1"/>
  <c r="E4910" i="6"/>
  <c r="E4909" i="6"/>
  <c r="E4908" i="6"/>
  <c r="E4907" i="6"/>
  <c r="L4907" i="6" s="1"/>
  <c r="E4906" i="6"/>
  <c r="E4905" i="6"/>
  <c r="E4904" i="6"/>
  <c r="L4904" i="6" s="1"/>
  <c r="E4903" i="6"/>
  <c r="E4902" i="6"/>
  <c r="E4901" i="6"/>
  <c r="E4900" i="6"/>
  <c r="E4899" i="6"/>
  <c r="E4898" i="6"/>
  <c r="E4897" i="6"/>
  <c r="L4897" i="6" s="1"/>
  <c r="E4896" i="6"/>
  <c r="E4895" i="6"/>
  <c r="L4895" i="6" s="1"/>
  <c r="E4894" i="6"/>
  <c r="E4893" i="6"/>
  <c r="L4893" i="6" s="1"/>
  <c r="E4892" i="6"/>
  <c r="L4892" i="6" s="1"/>
  <c r="E4891" i="6"/>
  <c r="E4890" i="6"/>
  <c r="E4889" i="6"/>
  <c r="E4888" i="6"/>
  <c r="E4887" i="6"/>
  <c r="E4886" i="6"/>
  <c r="E4885" i="6"/>
  <c r="L4885" i="6" s="1"/>
  <c r="E4884" i="6"/>
  <c r="E4883" i="6"/>
  <c r="E4882" i="6"/>
  <c r="E4881" i="6"/>
  <c r="E4880" i="6"/>
  <c r="E4879" i="6"/>
  <c r="E4878" i="6"/>
  <c r="E4877" i="6"/>
  <c r="L4877" i="6" s="1"/>
  <c r="E4876" i="6"/>
  <c r="E4875" i="6"/>
  <c r="E4874" i="6"/>
  <c r="E4873" i="6"/>
  <c r="E4872" i="6"/>
  <c r="E4871" i="6"/>
  <c r="E4870" i="6"/>
  <c r="E4869" i="6"/>
  <c r="E4868" i="6"/>
  <c r="E4867" i="6"/>
  <c r="L4867" i="6" s="1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L4852" i="6" s="1"/>
  <c r="E4851" i="6"/>
  <c r="E4850" i="6"/>
  <c r="E4849" i="6"/>
  <c r="E4848" i="6"/>
  <c r="E4847" i="6"/>
  <c r="E4846" i="6"/>
  <c r="E4845" i="6"/>
  <c r="E4844" i="6"/>
  <c r="E4843" i="6"/>
  <c r="L4843" i="6" s="1"/>
  <c r="E4842" i="6"/>
  <c r="E4841" i="6"/>
  <c r="E4840" i="6"/>
  <c r="E4839" i="6"/>
  <c r="E4838" i="6"/>
  <c r="E4837" i="6"/>
  <c r="L4837" i="6" s="1"/>
  <c r="E4836" i="6"/>
  <c r="E4835" i="6"/>
  <c r="E4834" i="6"/>
  <c r="E4833" i="6"/>
  <c r="L4833" i="6" s="1"/>
  <c r="E4832" i="6"/>
  <c r="E4831" i="6"/>
  <c r="E4830" i="6"/>
  <c r="E4829" i="6"/>
  <c r="L4829" i="6" s="1"/>
  <c r="E4828" i="6"/>
  <c r="E4827" i="6"/>
  <c r="E4826" i="6"/>
  <c r="E4825" i="6"/>
  <c r="L4825" i="6" s="1"/>
  <c r="E4824" i="6"/>
  <c r="E4823" i="6"/>
  <c r="E4822" i="6"/>
  <c r="E4821" i="6"/>
  <c r="L4821" i="6" s="1"/>
  <c r="E4820" i="6"/>
  <c r="E4819" i="6"/>
  <c r="E4818" i="6"/>
  <c r="E4817" i="6"/>
  <c r="L4817" i="6" s="1"/>
  <c r="E4816" i="6"/>
  <c r="E4815" i="6"/>
  <c r="E4814" i="6"/>
  <c r="E4813" i="6"/>
  <c r="L4813" i="6" s="1"/>
  <c r="E4812" i="6"/>
  <c r="E4811" i="6"/>
  <c r="E4810" i="6"/>
  <c r="E4809" i="6"/>
  <c r="L4809" i="6" s="1"/>
  <c r="E4808" i="6"/>
  <c r="E4807" i="6"/>
  <c r="E4806" i="6"/>
  <c r="E4805" i="6"/>
  <c r="L4805" i="6" s="1"/>
  <c r="E4804" i="6"/>
  <c r="E4803" i="6"/>
  <c r="E4802" i="6"/>
  <c r="E4801" i="6"/>
  <c r="L4801" i="6" s="1"/>
  <c r="E4800" i="6"/>
  <c r="E4799" i="6"/>
  <c r="E4798" i="6"/>
  <c r="E4797" i="6"/>
  <c r="L4797" i="6" s="1"/>
  <c r="E4796" i="6"/>
  <c r="E4795" i="6"/>
  <c r="E4794" i="6"/>
  <c r="E4793" i="6"/>
  <c r="L4793" i="6" s="1"/>
  <c r="E4792" i="6"/>
  <c r="E4791" i="6"/>
  <c r="E4790" i="6"/>
  <c r="E4789" i="6"/>
  <c r="L4789" i="6" s="1"/>
  <c r="E4788" i="6"/>
  <c r="E4787" i="6"/>
  <c r="L4787" i="6" s="1"/>
  <c r="E4786" i="6"/>
  <c r="E4785" i="6"/>
  <c r="L4785" i="6" s="1"/>
  <c r="E4784" i="6"/>
  <c r="E4783" i="6"/>
  <c r="E4782" i="6"/>
  <c r="E4781" i="6"/>
  <c r="L4781" i="6" s="1"/>
  <c r="E4780" i="6"/>
  <c r="E4779" i="6"/>
  <c r="L4779" i="6" s="1"/>
  <c r="E4778" i="6"/>
  <c r="E4777" i="6"/>
  <c r="L4777" i="6" s="1"/>
  <c r="E4776" i="6"/>
  <c r="E4775" i="6"/>
  <c r="E4774" i="6"/>
  <c r="E4773" i="6"/>
  <c r="L4773" i="6" s="1"/>
  <c r="E4772" i="6"/>
  <c r="E4771" i="6"/>
  <c r="E4770" i="6"/>
  <c r="E4769" i="6"/>
  <c r="L4769" i="6" s="1"/>
  <c r="E4768" i="6"/>
  <c r="E4767" i="6"/>
  <c r="E4766" i="6"/>
  <c r="E4765" i="6"/>
  <c r="L4765" i="6" s="1"/>
  <c r="E4764" i="6"/>
  <c r="E4763" i="6"/>
  <c r="E4762" i="6"/>
  <c r="E4761" i="6"/>
  <c r="L4761" i="6" s="1"/>
  <c r="E4760" i="6"/>
  <c r="E4759" i="6"/>
  <c r="E4758" i="6"/>
  <c r="E4757" i="6"/>
  <c r="L4757" i="6" s="1"/>
  <c r="E4756" i="6"/>
  <c r="E4755" i="6"/>
  <c r="L4755" i="6" s="1"/>
  <c r="E4754" i="6"/>
  <c r="E4753" i="6"/>
  <c r="E4752" i="6"/>
  <c r="E4751" i="6"/>
  <c r="E4750" i="6"/>
  <c r="E4749" i="6"/>
  <c r="E4748" i="6"/>
  <c r="E4747" i="6"/>
  <c r="E4746" i="6"/>
  <c r="E4745" i="6"/>
  <c r="E4744" i="6"/>
  <c r="L4744" i="6" s="1"/>
  <c r="E4743" i="6"/>
  <c r="E4742" i="6"/>
  <c r="E4741" i="6"/>
  <c r="E4740" i="6"/>
  <c r="E4739" i="6"/>
  <c r="E4738" i="6"/>
  <c r="E4737" i="6"/>
  <c r="L4737" i="6" s="1"/>
  <c r="E4736" i="6"/>
  <c r="E4735" i="6"/>
  <c r="E4734" i="6"/>
  <c r="E4733" i="6"/>
  <c r="L4733" i="6" s="1"/>
  <c r="E4732" i="6"/>
  <c r="E4731" i="6"/>
  <c r="E4730" i="6"/>
  <c r="E4729" i="6"/>
  <c r="L4729" i="6" s="1"/>
  <c r="E4728" i="6"/>
  <c r="E4727" i="6"/>
  <c r="L4727" i="6" s="1"/>
  <c r="E4726" i="6"/>
  <c r="E4725" i="6"/>
  <c r="L4725" i="6" s="1"/>
  <c r="E4724" i="6"/>
  <c r="E4723" i="6"/>
  <c r="E4722" i="6"/>
  <c r="E4721" i="6"/>
  <c r="L4721" i="6" s="1"/>
  <c r="E4720" i="6"/>
  <c r="E4719" i="6"/>
  <c r="E4718" i="6"/>
  <c r="E4717" i="6"/>
  <c r="L4717" i="6" s="1"/>
  <c r="E4716" i="6"/>
  <c r="E4715" i="6"/>
  <c r="E4714" i="6"/>
  <c r="E4713" i="6"/>
  <c r="L4713" i="6" s="1"/>
  <c r="E4712" i="6"/>
  <c r="E4711" i="6"/>
  <c r="E4710" i="6"/>
  <c r="E4709" i="6"/>
  <c r="L4709" i="6" s="1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L4687" i="6" s="1"/>
  <c r="E4686" i="6"/>
  <c r="E4685" i="6"/>
  <c r="E4684" i="6"/>
  <c r="L4684" i="6" s="1"/>
  <c r="E4683" i="6"/>
  <c r="E4682" i="6"/>
  <c r="E4681" i="6"/>
  <c r="E4680" i="6"/>
  <c r="E4679" i="6"/>
  <c r="E4678" i="6"/>
  <c r="E4677" i="6"/>
  <c r="E4676" i="6"/>
  <c r="E4675" i="6"/>
  <c r="L4675" i="6" s="1"/>
  <c r="E4674" i="6"/>
  <c r="E4673" i="6"/>
  <c r="E4672" i="6"/>
  <c r="E4671" i="6"/>
  <c r="E4670" i="6"/>
  <c r="E4669" i="6"/>
  <c r="E4668" i="6"/>
  <c r="E4667" i="6"/>
  <c r="L4667" i="6" s="1"/>
  <c r="E4666" i="6"/>
  <c r="E4665" i="6"/>
  <c r="L4665" i="6" s="1"/>
  <c r="E4664" i="6"/>
  <c r="E4663" i="6"/>
  <c r="E4662" i="6"/>
  <c r="E4661" i="6"/>
  <c r="L4661" i="6" s="1"/>
  <c r="E4660" i="6"/>
  <c r="E4659" i="6"/>
  <c r="L4659" i="6" s="1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L4647" i="6" s="1"/>
  <c r="E4646" i="6"/>
  <c r="E4645" i="6"/>
  <c r="E4644" i="6"/>
  <c r="E4643" i="6"/>
  <c r="E4642" i="6"/>
  <c r="E4641" i="6"/>
  <c r="E4640" i="6"/>
  <c r="E4639" i="6"/>
  <c r="L4639" i="6" s="1"/>
  <c r="E4638" i="6"/>
  <c r="E4637" i="6"/>
  <c r="L4637" i="6" s="1"/>
  <c r="E4636" i="6"/>
  <c r="E4635" i="6"/>
  <c r="E4634" i="6"/>
  <c r="E4633" i="6"/>
  <c r="E4632" i="6"/>
  <c r="E4631" i="6"/>
  <c r="L4631" i="6" s="1"/>
  <c r="E4630" i="6"/>
  <c r="E4629" i="6"/>
  <c r="E4628" i="6"/>
  <c r="E4627" i="6"/>
  <c r="E4626" i="6"/>
  <c r="E4625" i="6"/>
  <c r="E4624" i="6"/>
  <c r="E4623" i="6"/>
  <c r="L4623" i="6" s="1"/>
  <c r="E4622" i="6"/>
  <c r="E4621" i="6"/>
  <c r="E4620" i="6"/>
  <c r="E4619" i="6"/>
  <c r="L4619" i="6" s="1"/>
  <c r="E4618" i="6"/>
  <c r="E4617" i="6"/>
  <c r="E4616" i="6"/>
  <c r="E4615" i="6"/>
  <c r="E4614" i="6"/>
  <c r="E4613" i="6"/>
  <c r="E4612" i="6"/>
  <c r="E4611" i="6"/>
  <c r="L4611" i="6" s="1"/>
  <c r="E4610" i="6"/>
  <c r="E4609" i="6"/>
  <c r="E4608" i="6"/>
  <c r="E4607" i="6"/>
  <c r="E4606" i="6"/>
  <c r="E4605" i="6"/>
  <c r="L4605" i="6" s="1"/>
  <c r="E4604" i="6"/>
  <c r="E4603" i="6"/>
  <c r="L4603" i="6" s="1"/>
  <c r="E4602" i="6"/>
  <c r="E4601" i="6"/>
  <c r="E4600" i="6"/>
  <c r="E4599" i="6"/>
  <c r="E4598" i="6"/>
  <c r="E4597" i="6"/>
  <c r="L4597" i="6" s="1"/>
  <c r="E4596" i="6"/>
  <c r="E4595" i="6"/>
  <c r="L4595" i="6" s="1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L4583" i="6" s="1"/>
  <c r="E4582" i="6"/>
  <c r="E4581" i="6"/>
  <c r="E4580" i="6"/>
  <c r="E4579" i="6"/>
  <c r="E4578" i="6"/>
  <c r="E4577" i="6"/>
  <c r="E4576" i="6"/>
  <c r="E4575" i="6"/>
  <c r="L4575" i="6" s="1"/>
  <c r="E4574" i="6"/>
  <c r="E4573" i="6"/>
  <c r="E4572" i="6"/>
  <c r="E4571" i="6"/>
  <c r="E4570" i="6"/>
  <c r="E4569" i="6"/>
  <c r="E4568" i="6"/>
  <c r="E4567" i="6"/>
  <c r="L4567" i="6" s="1"/>
  <c r="E4566" i="6"/>
  <c r="E4565" i="6"/>
  <c r="E4564" i="6"/>
  <c r="E4563" i="6"/>
  <c r="L4563" i="6" s="1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L4549" i="6" s="1"/>
  <c r="E4548" i="6"/>
  <c r="E4547" i="6"/>
  <c r="E4546" i="6"/>
  <c r="E4545" i="6"/>
  <c r="E4544" i="6"/>
  <c r="E4543" i="6"/>
  <c r="E4542" i="6"/>
  <c r="E4541" i="6"/>
  <c r="L4541" i="6" s="1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L4521" i="6" s="1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L4501" i="6" s="1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L4469" i="6" s="1"/>
  <c r="E4468" i="6"/>
  <c r="E4467" i="6"/>
  <c r="E4466" i="6"/>
  <c r="E4465" i="6"/>
  <c r="L4465" i="6" s="1"/>
  <c r="E4464" i="6"/>
  <c r="E4463" i="6"/>
  <c r="E4462" i="6"/>
  <c r="E4461" i="6"/>
  <c r="E4460" i="6"/>
  <c r="E4459" i="6"/>
  <c r="E4458" i="6"/>
  <c r="E4457" i="6"/>
  <c r="L4457" i="6" s="1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L4437" i="6" s="1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L4405" i="6" s="1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L4377" i="6" s="1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L4337" i="6" s="1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L4313" i="6" s="1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L4293" i="6" s="1"/>
  <c r="E4292" i="6"/>
  <c r="E4291" i="6"/>
  <c r="E4290" i="6"/>
  <c r="E4289" i="6"/>
  <c r="E4288" i="6"/>
  <c r="E4287" i="6"/>
  <c r="L4287" i="6" s="1"/>
  <c r="E4286" i="6"/>
  <c r="E4285" i="6"/>
  <c r="E4284" i="6"/>
  <c r="E4283" i="6"/>
  <c r="L4283" i="6" s="1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L4271" i="6" s="1"/>
  <c r="E4270" i="6"/>
  <c r="E4269" i="6"/>
  <c r="E4268" i="6"/>
  <c r="E4267" i="6"/>
  <c r="E4266" i="6"/>
  <c r="E4265" i="6"/>
  <c r="L4265" i="6" s="1"/>
  <c r="E4264" i="6"/>
  <c r="E4263" i="6"/>
  <c r="E4262" i="6"/>
  <c r="E4261" i="6"/>
  <c r="E4260" i="6"/>
  <c r="E4259" i="6"/>
  <c r="L4259" i="6" s="1"/>
  <c r="E4258" i="6"/>
  <c r="E4257" i="6"/>
  <c r="L4257" i="6" s="1"/>
  <c r="E4256" i="6"/>
  <c r="E4255" i="6"/>
  <c r="L4255" i="6" s="1"/>
  <c r="E4254" i="6"/>
  <c r="E4253" i="6"/>
  <c r="L4253" i="6" s="1"/>
  <c r="E4252" i="6"/>
  <c r="E4251" i="6"/>
  <c r="E4250" i="6"/>
  <c r="E4249" i="6"/>
  <c r="E4248" i="6"/>
  <c r="L4248" i="6" s="1"/>
  <c r="E4247" i="6"/>
  <c r="E4246" i="6"/>
  <c r="E4245" i="6"/>
  <c r="L4245" i="6" s="1"/>
  <c r="E4244" i="6"/>
  <c r="E4243" i="6"/>
  <c r="E4242" i="6"/>
  <c r="E4241" i="6"/>
  <c r="E4240" i="6"/>
  <c r="E4239" i="6"/>
  <c r="L4239" i="6" s="1"/>
  <c r="E4238" i="6"/>
  <c r="E4237" i="6"/>
  <c r="E4236" i="6"/>
  <c r="E4235" i="6"/>
  <c r="L4235" i="6" s="1"/>
  <c r="E4234" i="6"/>
  <c r="E4233" i="6"/>
  <c r="E4232" i="6"/>
  <c r="E4231" i="6"/>
  <c r="L4231" i="6" s="1"/>
  <c r="E4230" i="6"/>
  <c r="E4229" i="6"/>
  <c r="E4228" i="6"/>
  <c r="E4227" i="6"/>
  <c r="L4227" i="6" s="1"/>
  <c r="E4226" i="6"/>
  <c r="E4225" i="6"/>
  <c r="E4224" i="6"/>
  <c r="E4223" i="6"/>
  <c r="L4223" i="6" s="1"/>
  <c r="E4222" i="6"/>
  <c r="E4221" i="6"/>
  <c r="E4220" i="6"/>
  <c r="E4219" i="6"/>
  <c r="L4219" i="6" s="1"/>
  <c r="E4218" i="6"/>
  <c r="E4217" i="6"/>
  <c r="E4216" i="6"/>
  <c r="E4215" i="6"/>
  <c r="L4215" i="6" s="1"/>
  <c r="E4214" i="6"/>
  <c r="E4213" i="6"/>
  <c r="E4212" i="6"/>
  <c r="E4211" i="6"/>
  <c r="L4211" i="6" s="1"/>
  <c r="E4210" i="6"/>
  <c r="E4209" i="6"/>
  <c r="E4208" i="6"/>
  <c r="E4207" i="6"/>
  <c r="L4207" i="6" s="1"/>
  <c r="E4206" i="6"/>
  <c r="E4205" i="6"/>
  <c r="E4204" i="6"/>
  <c r="E4203" i="6"/>
  <c r="L4203" i="6" s="1"/>
  <c r="E4202" i="6"/>
  <c r="E4201" i="6"/>
  <c r="L4201" i="6" s="1"/>
  <c r="E4200" i="6"/>
  <c r="E4199" i="6"/>
  <c r="L4199" i="6" s="1"/>
  <c r="E4198" i="6"/>
  <c r="E4197" i="6"/>
  <c r="E4196" i="6"/>
  <c r="L4196" i="6" s="1"/>
  <c r="E4195" i="6"/>
  <c r="L4195" i="6" s="1"/>
  <c r="E4194" i="6"/>
  <c r="E4193" i="6"/>
  <c r="E4192" i="6"/>
  <c r="E4191" i="6"/>
  <c r="L4191" i="6" s="1"/>
  <c r="E4190" i="6"/>
  <c r="E4189" i="6"/>
  <c r="E4188" i="6"/>
  <c r="E4187" i="6"/>
  <c r="L4187" i="6" s="1"/>
  <c r="E4186" i="6"/>
  <c r="E4185" i="6"/>
  <c r="E4184" i="6"/>
  <c r="E4183" i="6"/>
  <c r="L4183" i="6" s="1"/>
  <c r="E4182" i="6"/>
  <c r="E4181" i="6"/>
  <c r="E4180" i="6"/>
  <c r="E4179" i="6"/>
  <c r="L4179" i="6" s="1"/>
  <c r="E4178" i="6"/>
  <c r="E4177" i="6"/>
  <c r="E4176" i="6"/>
  <c r="E4175" i="6"/>
  <c r="E4174" i="6"/>
  <c r="E4173" i="6"/>
  <c r="E4172" i="6"/>
  <c r="E4171" i="6"/>
  <c r="L4171" i="6" s="1"/>
  <c r="E4170" i="6"/>
  <c r="E4169" i="6"/>
  <c r="E4168" i="6"/>
  <c r="E4167" i="6"/>
  <c r="E4166" i="6"/>
  <c r="E4165" i="6"/>
  <c r="E4164" i="6"/>
  <c r="E4163" i="6"/>
  <c r="L4163" i="6" s="1"/>
  <c r="E4162" i="6"/>
  <c r="E4161" i="6"/>
  <c r="L4161" i="6" s="1"/>
  <c r="E4160" i="6"/>
  <c r="E4159" i="6"/>
  <c r="L4159" i="6" s="1"/>
  <c r="E4158" i="6"/>
  <c r="E4157" i="6"/>
  <c r="E4156" i="6"/>
  <c r="E4155" i="6"/>
  <c r="E4154" i="6"/>
  <c r="E4153" i="6"/>
  <c r="E4152" i="6"/>
  <c r="L4152" i="6" s="1"/>
  <c r="E4151" i="6"/>
  <c r="L4151" i="6" s="1"/>
  <c r="E4150" i="6"/>
  <c r="E4149" i="6"/>
  <c r="L4149" i="6" s="1"/>
  <c r="E4148" i="6"/>
  <c r="E4147" i="6"/>
  <c r="L4147" i="6" s="1"/>
  <c r="E4146" i="6"/>
  <c r="E4145" i="6"/>
  <c r="E4144" i="6"/>
  <c r="E4143" i="6"/>
  <c r="E4142" i="6"/>
  <c r="E4141" i="6"/>
  <c r="E4140" i="6"/>
  <c r="E4139" i="6"/>
  <c r="E4138" i="6"/>
  <c r="E4137" i="6"/>
  <c r="L4137" i="6" s="1"/>
  <c r="E4136" i="6"/>
  <c r="L4136" i="6" s="1"/>
  <c r="E4135" i="6"/>
  <c r="L4135" i="6" s="1"/>
  <c r="E4134" i="6"/>
  <c r="E4133" i="6"/>
  <c r="E4132" i="6"/>
  <c r="E4131" i="6"/>
  <c r="L4131" i="6" s="1"/>
  <c r="E4130" i="6"/>
  <c r="E4129" i="6"/>
  <c r="E4128" i="6"/>
  <c r="E4127" i="6"/>
  <c r="E4126" i="6"/>
  <c r="E4125" i="6"/>
  <c r="E4124" i="6"/>
  <c r="L4124" i="6" s="1"/>
  <c r="E4123" i="6"/>
  <c r="L4123" i="6" s="1"/>
  <c r="E4122" i="6"/>
  <c r="E4121" i="6"/>
  <c r="L4121" i="6" s="1"/>
  <c r="E4120" i="6"/>
  <c r="E4119" i="6"/>
  <c r="L4119" i="6" s="1"/>
  <c r="E4118" i="6"/>
  <c r="E4117" i="6"/>
  <c r="E4116" i="6"/>
  <c r="E4115" i="6"/>
  <c r="E4114" i="6"/>
  <c r="E4113" i="6"/>
  <c r="E4112" i="6"/>
  <c r="E4111" i="6"/>
  <c r="L4111" i="6" s="1"/>
  <c r="E4110" i="6"/>
  <c r="E4109" i="6"/>
  <c r="E4108" i="6"/>
  <c r="E4107" i="6"/>
  <c r="E4106" i="6"/>
  <c r="E4105" i="6"/>
  <c r="E4104" i="6"/>
  <c r="E4103" i="6"/>
  <c r="L4103" i="6" s="1"/>
  <c r="E4102" i="6"/>
  <c r="E4101" i="6"/>
  <c r="E4100" i="6"/>
  <c r="E4099" i="6"/>
  <c r="L4099" i="6" s="1"/>
  <c r="E4098" i="6"/>
  <c r="E4097" i="6"/>
  <c r="E4096" i="6"/>
  <c r="E4095" i="6"/>
  <c r="E4094" i="6"/>
  <c r="E4093" i="6"/>
  <c r="E4092" i="6"/>
  <c r="E4091" i="6"/>
  <c r="E4090" i="6"/>
  <c r="E4089" i="6"/>
  <c r="L4089" i="6" s="1"/>
  <c r="E4088" i="6"/>
  <c r="E4087" i="6"/>
  <c r="L4087" i="6" s="1"/>
  <c r="E4086" i="6"/>
  <c r="E4085" i="6"/>
  <c r="E4084" i="6"/>
  <c r="E4083" i="6"/>
  <c r="L4083" i="6" s="1"/>
  <c r="E4082" i="6"/>
  <c r="E4081" i="6"/>
  <c r="E4080" i="6"/>
  <c r="E4079" i="6"/>
  <c r="L4079" i="6" s="1"/>
  <c r="E4078" i="6"/>
  <c r="E4077" i="6"/>
  <c r="E4076" i="6"/>
  <c r="E4075" i="6"/>
  <c r="L4075" i="6" s="1"/>
  <c r="E4074" i="6"/>
  <c r="E4073" i="6"/>
  <c r="E4072" i="6"/>
  <c r="E4071" i="6"/>
  <c r="L4071" i="6" s="1"/>
  <c r="E4070" i="6"/>
  <c r="E4069" i="6"/>
  <c r="E4068" i="6"/>
  <c r="E4067" i="6"/>
  <c r="L4067" i="6" s="1"/>
  <c r="E4066" i="6"/>
  <c r="E4065" i="6"/>
  <c r="E4064" i="6"/>
  <c r="L4064" i="6" s="1"/>
  <c r="E4063" i="6"/>
  <c r="L4063" i="6" s="1"/>
  <c r="E4062" i="6"/>
  <c r="E4061" i="6"/>
  <c r="L4061" i="6" s="1"/>
  <c r="E4060" i="6"/>
  <c r="E4059" i="6"/>
  <c r="L4059" i="6" s="1"/>
  <c r="E4058" i="6"/>
  <c r="E4057" i="6"/>
  <c r="L4057" i="6" s="1"/>
  <c r="E4056" i="6"/>
  <c r="E4055" i="6"/>
  <c r="L4055" i="6" s="1"/>
  <c r="E4054" i="6"/>
  <c r="E4053" i="6"/>
  <c r="E4052" i="6"/>
  <c r="E4051" i="6"/>
  <c r="L4051" i="6" s="1"/>
  <c r="E4050" i="6"/>
  <c r="E4049" i="6"/>
  <c r="E4048" i="6"/>
  <c r="E4047" i="6"/>
  <c r="L4047" i="6" s="1"/>
  <c r="E4046" i="6"/>
  <c r="E4045" i="6"/>
  <c r="E4044" i="6"/>
  <c r="E4043" i="6"/>
  <c r="L4043" i="6" s="1"/>
  <c r="E4042" i="6"/>
  <c r="E4041" i="6"/>
  <c r="E4040" i="6"/>
  <c r="E4039" i="6"/>
  <c r="L4039" i="6" s="1"/>
  <c r="E4038" i="6"/>
  <c r="E4037" i="6"/>
  <c r="L4037" i="6" s="1"/>
  <c r="E4036" i="6"/>
  <c r="E4035" i="6"/>
  <c r="L4035" i="6" s="1"/>
  <c r="E4034" i="6"/>
  <c r="E4033" i="6"/>
  <c r="L4033" i="6" s="1"/>
  <c r="E4032" i="6"/>
  <c r="E4031" i="6"/>
  <c r="L4031" i="6" s="1"/>
  <c r="E4030" i="6"/>
  <c r="E4029" i="6"/>
  <c r="L4029" i="6" s="1"/>
  <c r="E4028" i="6"/>
  <c r="E4027" i="6"/>
  <c r="L4027" i="6" s="1"/>
  <c r="E4026" i="6"/>
  <c r="E4025" i="6"/>
  <c r="L4025" i="6" s="1"/>
  <c r="E4024" i="6"/>
  <c r="E4023" i="6"/>
  <c r="L4023" i="6" s="1"/>
  <c r="E4022" i="6"/>
  <c r="E4021" i="6"/>
  <c r="L4021" i="6" s="1"/>
  <c r="E4020" i="6"/>
  <c r="E4019" i="6"/>
  <c r="L4019" i="6" s="1"/>
  <c r="E4018" i="6"/>
  <c r="E4017" i="6"/>
  <c r="E4016" i="6"/>
  <c r="E4015" i="6"/>
  <c r="L4015" i="6" s="1"/>
  <c r="E4014" i="6"/>
  <c r="E4013" i="6"/>
  <c r="E4012" i="6"/>
  <c r="E4011" i="6"/>
  <c r="L4011" i="6" s="1"/>
  <c r="E4010" i="6"/>
  <c r="E4009" i="6"/>
  <c r="E4008" i="6"/>
  <c r="E4007" i="6"/>
  <c r="L4007" i="6" s="1"/>
  <c r="E4006" i="6"/>
  <c r="E4005" i="6"/>
  <c r="L4005" i="6" s="1"/>
  <c r="E4004" i="6"/>
  <c r="E4003" i="6"/>
  <c r="L4003" i="6" s="1"/>
  <c r="E4002" i="6"/>
  <c r="E4001" i="6"/>
  <c r="L4001" i="6" s="1"/>
  <c r="E4000" i="6"/>
  <c r="E3999" i="6"/>
  <c r="L3999" i="6" s="1"/>
  <c r="E3998" i="6"/>
  <c r="E3997" i="6"/>
  <c r="L3997" i="6" s="1"/>
  <c r="E3996" i="6"/>
  <c r="E3995" i="6"/>
  <c r="L3995" i="6" s="1"/>
  <c r="E3994" i="6"/>
  <c r="E3993" i="6"/>
  <c r="L3993" i="6" s="1"/>
  <c r="E3992" i="6"/>
  <c r="E3991" i="6"/>
  <c r="L3991" i="6" s="1"/>
  <c r="E3990" i="6"/>
  <c r="E3989" i="6"/>
  <c r="L3989" i="6" s="1"/>
  <c r="E3988" i="6"/>
  <c r="E3987" i="6"/>
  <c r="L3987" i="6" s="1"/>
  <c r="E3986" i="6"/>
  <c r="E3985" i="6"/>
  <c r="L3985" i="6" s="1"/>
  <c r="E3984" i="6"/>
  <c r="E3983" i="6"/>
  <c r="L3983" i="6" s="1"/>
  <c r="E3982" i="6"/>
  <c r="E3981" i="6"/>
  <c r="L3981" i="6" s="1"/>
  <c r="E3980" i="6"/>
  <c r="E3979" i="6"/>
  <c r="L3979" i="6" s="1"/>
  <c r="E3978" i="6"/>
  <c r="E3977" i="6"/>
  <c r="L3977" i="6" s="1"/>
  <c r="E3976" i="6"/>
  <c r="E3975" i="6"/>
  <c r="L3975" i="6" s="1"/>
  <c r="E3974" i="6"/>
  <c r="E3973" i="6"/>
  <c r="E3972" i="6"/>
  <c r="E3971" i="6"/>
  <c r="L3971" i="6" s="1"/>
  <c r="E3970" i="6"/>
  <c r="E3969" i="6"/>
  <c r="E3968" i="6"/>
  <c r="E3967" i="6"/>
  <c r="L3967" i="6" s="1"/>
  <c r="E3966" i="6"/>
  <c r="E3965" i="6"/>
  <c r="E3964" i="6"/>
  <c r="E3963" i="6"/>
  <c r="L3963" i="6" s="1"/>
  <c r="E3962" i="6"/>
  <c r="E3961" i="6"/>
  <c r="E3960" i="6"/>
  <c r="E3959" i="6"/>
  <c r="L3959" i="6" s="1"/>
  <c r="E3958" i="6"/>
  <c r="E3957" i="6"/>
  <c r="E3956" i="6"/>
  <c r="E3955" i="6"/>
  <c r="L3955" i="6" s="1"/>
  <c r="E3954" i="6"/>
  <c r="E3953" i="6"/>
  <c r="E3952" i="6"/>
  <c r="E3951" i="6"/>
  <c r="L3951" i="6" s="1"/>
  <c r="E3950" i="6"/>
  <c r="E3949" i="6"/>
  <c r="L3949" i="6" s="1"/>
  <c r="E3948" i="6"/>
  <c r="E3947" i="6"/>
  <c r="L3947" i="6" s="1"/>
  <c r="E3946" i="6"/>
  <c r="E3945" i="6"/>
  <c r="L3945" i="6" s="1"/>
  <c r="E3944" i="6"/>
  <c r="E3943" i="6"/>
  <c r="L3943" i="6" s="1"/>
  <c r="E3942" i="6"/>
  <c r="E3941" i="6"/>
  <c r="L3941" i="6" s="1"/>
  <c r="E3940" i="6"/>
  <c r="E3939" i="6"/>
  <c r="L3939" i="6" s="1"/>
  <c r="E3938" i="6"/>
  <c r="L3938" i="6" s="1"/>
  <c r="E3937" i="6"/>
  <c r="E3936" i="6"/>
  <c r="E3935" i="6"/>
  <c r="L3935" i="6" s="1"/>
  <c r="E3934" i="6"/>
  <c r="E3933" i="6"/>
  <c r="L3933" i="6" s="1"/>
  <c r="E3932" i="6"/>
  <c r="E3931" i="6"/>
  <c r="L3931" i="6" s="1"/>
  <c r="E3930" i="6"/>
  <c r="E3929" i="6"/>
  <c r="E3928" i="6"/>
  <c r="E3927" i="6"/>
  <c r="L3927" i="6" s="1"/>
  <c r="E3926" i="6"/>
  <c r="E3925" i="6"/>
  <c r="L3925" i="6" s="1"/>
  <c r="E3924" i="6"/>
  <c r="E3923" i="6"/>
  <c r="L3923" i="6" s="1"/>
  <c r="E3922" i="6"/>
  <c r="E3921" i="6"/>
  <c r="L3921" i="6" s="1"/>
  <c r="E3920" i="6"/>
  <c r="E3919" i="6"/>
  <c r="L3919" i="6" s="1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L3900" i="6" s="1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L3879" i="6" s="1"/>
  <c r="E3878" i="6"/>
  <c r="E3877" i="6"/>
  <c r="E3876" i="6"/>
  <c r="E3875" i="6"/>
  <c r="E3874" i="6"/>
  <c r="E3873" i="6"/>
  <c r="E3872" i="6"/>
  <c r="E3871" i="6"/>
  <c r="E3870" i="6"/>
  <c r="E3869" i="6"/>
  <c r="E3868" i="6"/>
  <c r="L3868" i="6" s="1"/>
  <c r="E3867" i="6"/>
  <c r="L3867" i="6" s="1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L3851" i="6" s="1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L3831" i="6" s="1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N3771" i="6" s="1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L3755" i="6" s="1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L3739" i="6" s="1"/>
  <c r="E3738" i="6"/>
  <c r="E3737" i="6"/>
  <c r="E3736" i="6"/>
  <c r="E3735" i="6"/>
  <c r="E3734" i="6"/>
  <c r="E3733" i="6"/>
  <c r="L3733" i="6" s="1"/>
  <c r="E3732" i="6"/>
  <c r="E3731" i="6"/>
  <c r="E3730" i="6"/>
  <c r="E3729" i="6"/>
  <c r="E3728" i="6"/>
  <c r="E3727" i="6"/>
  <c r="L3727" i="6" s="1"/>
  <c r="E3726" i="6"/>
  <c r="E3725" i="6"/>
  <c r="E3724" i="6"/>
  <c r="E3723" i="6"/>
  <c r="E3722" i="6"/>
  <c r="E3721" i="6"/>
  <c r="E3720" i="6"/>
  <c r="L3720" i="6" s="1"/>
  <c r="E3719" i="6"/>
  <c r="L3719" i="6" s="1"/>
  <c r="E3718" i="6"/>
  <c r="E3717" i="6"/>
  <c r="E3716" i="6"/>
  <c r="E3715" i="6"/>
  <c r="E3714" i="6"/>
  <c r="E3713" i="6"/>
  <c r="E3712" i="6"/>
  <c r="E3711" i="6"/>
  <c r="L3711" i="6" s="1"/>
  <c r="E3710" i="6"/>
  <c r="E3709" i="6"/>
  <c r="E3708" i="6"/>
  <c r="E3707" i="6"/>
  <c r="E3706" i="6"/>
  <c r="E3705" i="6"/>
  <c r="E3704" i="6"/>
  <c r="E3703" i="6"/>
  <c r="M3703" i="6" s="1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L3684" i="6" s="1"/>
  <c r="E3683" i="6"/>
  <c r="E3682" i="6"/>
  <c r="E3681" i="6"/>
  <c r="E3680" i="6"/>
  <c r="E3679" i="6"/>
  <c r="E3678" i="6"/>
  <c r="E3677" i="6"/>
  <c r="E3676" i="6"/>
  <c r="E3675" i="6"/>
  <c r="E3674" i="6"/>
  <c r="E3673" i="6"/>
  <c r="L3673" i="6" s="1"/>
  <c r="E3672" i="6"/>
  <c r="E3671" i="6"/>
  <c r="E3670" i="6"/>
  <c r="E3669" i="6"/>
  <c r="L3669" i="6" s="1"/>
  <c r="E3668" i="6"/>
  <c r="L3668" i="6" s="1"/>
  <c r="E3667" i="6"/>
  <c r="E3666" i="6"/>
  <c r="E3665" i="6"/>
  <c r="L3665" i="6" s="1"/>
  <c r="E3664" i="6"/>
  <c r="E3663" i="6"/>
  <c r="E3662" i="6"/>
  <c r="E3661" i="6"/>
  <c r="E3660" i="6"/>
  <c r="L3660" i="6" s="1"/>
  <c r="E3659" i="6"/>
  <c r="E3658" i="6"/>
  <c r="E3657" i="6"/>
  <c r="E3656" i="6"/>
  <c r="E3655" i="6"/>
  <c r="L3655" i="6" s="1"/>
  <c r="E3654" i="6"/>
  <c r="E3653" i="6"/>
  <c r="L3653" i="6" s="1"/>
  <c r="E3652" i="6"/>
  <c r="E3651" i="6"/>
  <c r="E3650" i="6"/>
  <c r="E3649" i="6"/>
  <c r="L3649" i="6" s="1"/>
  <c r="E3648" i="6"/>
  <c r="E3647" i="6"/>
  <c r="E3646" i="6"/>
  <c r="E3645" i="6"/>
  <c r="E3644" i="6"/>
  <c r="L3644" i="6" s="1"/>
  <c r="E3643" i="6"/>
  <c r="E3642" i="6"/>
  <c r="E3641" i="6"/>
  <c r="E3640" i="6"/>
  <c r="E3639" i="6"/>
  <c r="L3639" i="6" s="1"/>
  <c r="E3638" i="6"/>
  <c r="E3637" i="6"/>
  <c r="L3637" i="6" s="1"/>
  <c r="E3636" i="6"/>
  <c r="E3635" i="6"/>
  <c r="E3634" i="6"/>
  <c r="E3633" i="6"/>
  <c r="L3633" i="6" s="1"/>
  <c r="E3632" i="6"/>
  <c r="E3631" i="6"/>
  <c r="E3630" i="6"/>
  <c r="E3629" i="6"/>
  <c r="E3628" i="6"/>
  <c r="L3628" i="6" s="1"/>
  <c r="E3627" i="6"/>
  <c r="E3626" i="6"/>
  <c r="E3625" i="6"/>
  <c r="E3624" i="6"/>
  <c r="E3623" i="6"/>
  <c r="E3622" i="6"/>
  <c r="E3621" i="6"/>
  <c r="M3621" i="6" s="1"/>
  <c r="E3620" i="6"/>
  <c r="L3620" i="6" s="1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L3601" i="6" s="1"/>
  <c r="E3600" i="6"/>
  <c r="L3600" i="6" s="1"/>
  <c r="E3599" i="6"/>
  <c r="E3598" i="6"/>
  <c r="E3597" i="6"/>
  <c r="L3597" i="6" s="1"/>
  <c r="E3596" i="6"/>
  <c r="E3595" i="6"/>
  <c r="E3594" i="6"/>
  <c r="E3593" i="6"/>
  <c r="L3593" i="6" s="1"/>
  <c r="E3592" i="6"/>
  <c r="L3592" i="6" s="1"/>
  <c r="E3591" i="6"/>
  <c r="E3590" i="6"/>
  <c r="E3589" i="6"/>
  <c r="L3589" i="6" s="1"/>
  <c r="E3588" i="6"/>
  <c r="L3588" i="6" s="1"/>
  <c r="E3587" i="6"/>
  <c r="E3586" i="6"/>
  <c r="E3585" i="6"/>
  <c r="L3585" i="6" s="1"/>
  <c r="E3584" i="6"/>
  <c r="L3584" i="6" s="1"/>
  <c r="E3583" i="6"/>
  <c r="E3582" i="6"/>
  <c r="E3581" i="6"/>
  <c r="L3581" i="6" s="1"/>
  <c r="E3580" i="6"/>
  <c r="E3579" i="6"/>
  <c r="L3579" i="6" s="1"/>
  <c r="E3578" i="6"/>
  <c r="E3577" i="6"/>
  <c r="L3577" i="6" s="1"/>
  <c r="E3576" i="6"/>
  <c r="L3576" i="6" s="1"/>
  <c r="E3575" i="6"/>
  <c r="E3574" i="6"/>
  <c r="E3573" i="6"/>
  <c r="L3573" i="6" s="1"/>
  <c r="E3572" i="6"/>
  <c r="E3571" i="6"/>
  <c r="L3571" i="6" s="1"/>
  <c r="E3570" i="6"/>
  <c r="E3569" i="6"/>
  <c r="L3569" i="6" s="1"/>
  <c r="E3568" i="6"/>
  <c r="L3568" i="6" s="1"/>
  <c r="E3567" i="6"/>
  <c r="E3566" i="6"/>
  <c r="E3565" i="6"/>
  <c r="L3565" i="6" s="1"/>
  <c r="E3564" i="6"/>
  <c r="E3563" i="6"/>
  <c r="E3562" i="6"/>
  <c r="E3561" i="6"/>
  <c r="L3561" i="6" s="1"/>
  <c r="E3560" i="6"/>
  <c r="L3560" i="6" s="1"/>
  <c r="E3559" i="6"/>
  <c r="E3558" i="6"/>
  <c r="E3557" i="6"/>
  <c r="L3557" i="6" s="1"/>
  <c r="E3556" i="6"/>
  <c r="L3556" i="6" s="1"/>
  <c r="E3555" i="6"/>
  <c r="E3554" i="6"/>
  <c r="E3553" i="6"/>
  <c r="L3553" i="6" s="1"/>
  <c r="E3552" i="6"/>
  <c r="L3552" i="6" s="1"/>
  <c r="E3551" i="6"/>
  <c r="E3550" i="6"/>
  <c r="E3549" i="6"/>
  <c r="E3548" i="6"/>
  <c r="E3547" i="6"/>
  <c r="E3546" i="6"/>
  <c r="E3545" i="6"/>
  <c r="E3544" i="6"/>
  <c r="E3543" i="6"/>
  <c r="L3543" i="6" s="1"/>
  <c r="E3542" i="6"/>
  <c r="E3541" i="6"/>
  <c r="E3540" i="6"/>
  <c r="E3539" i="6"/>
  <c r="E3538" i="6"/>
  <c r="E3537" i="6"/>
  <c r="K3537" i="6" s="1"/>
  <c r="E3536" i="6"/>
  <c r="L3536" i="6" s="1"/>
  <c r="E3535" i="6"/>
  <c r="E3534" i="6"/>
  <c r="L3534" i="6" s="1"/>
  <c r="E3533" i="6"/>
  <c r="M3533" i="6" s="1"/>
  <c r="E3532" i="6"/>
  <c r="E3531" i="6"/>
  <c r="E3530" i="6"/>
  <c r="E3529" i="6"/>
  <c r="E3528" i="6"/>
  <c r="E3527" i="6"/>
  <c r="E3526" i="6"/>
  <c r="E3525" i="6"/>
  <c r="E3524" i="6"/>
  <c r="E3523" i="6"/>
  <c r="M3523" i="6" s="1"/>
  <c r="E3522" i="6"/>
  <c r="E3521" i="6"/>
  <c r="L3521" i="6" s="1"/>
  <c r="E3520" i="6"/>
  <c r="L3520" i="6" s="1"/>
  <c r="E3519" i="6"/>
  <c r="E3518" i="6"/>
  <c r="E3517" i="6"/>
  <c r="L3517" i="6" s="1"/>
  <c r="E3516" i="6"/>
  <c r="E3515" i="6"/>
  <c r="M3515" i="6" s="1"/>
  <c r="E3514" i="6"/>
  <c r="E3513" i="6"/>
  <c r="E3512" i="6"/>
  <c r="E3511" i="6"/>
  <c r="M3511" i="6" s="1"/>
  <c r="E3510" i="6"/>
  <c r="E3509" i="6"/>
  <c r="L3509" i="6" s="1"/>
  <c r="E3508" i="6"/>
  <c r="E3507" i="6"/>
  <c r="E3506" i="6"/>
  <c r="E3505" i="6"/>
  <c r="L3505" i="6" s="1"/>
  <c r="E3504" i="6"/>
  <c r="L3504" i="6" s="1"/>
  <c r="E3503" i="6"/>
  <c r="L3503" i="6" s="1"/>
  <c r="E3502" i="6"/>
  <c r="E3501" i="6"/>
  <c r="E3500" i="6"/>
  <c r="E3499" i="6"/>
  <c r="L3499" i="6" s="1"/>
  <c r="E3498" i="6"/>
  <c r="E3497" i="6"/>
  <c r="E3496" i="6"/>
  <c r="E3495" i="6"/>
  <c r="E3494" i="6"/>
  <c r="E3493" i="6"/>
  <c r="L3493" i="6" s="1"/>
  <c r="E3492" i="6"/>
  <c r="E3491" i="6"/>
  <c r="E3490" i="6"/>
  <c r="E3489" i="6"/>
  <c r="E3488" i="6"/>
  <c r="L3488" i="6" s="1"/>
  <c r="E3487" i="6"/>
  <c r="E3486" i="6"/>
  <c r="E3485" i="6"/>
  <c r="L3485" i="6" s="1"/>
  <c r="E3484" i="6"/>
  <c r="E3483" i="6"/>
  <c r="E3482" i="6"/>
  <c r="E3481" i="6"/>
  <c r="E3480" i="6"/>
  <c r="E3479" i="6"/>
  <c r="E3478" i="6"/>
  <c r="E3477" i="6"/>
  <c r="N3477" i="6" s="1"/>
  <c r="E3476" i="6"/>
  <c r="E3475" i="6"/>
  <c r="E3474" i="6"/>
  <c r="E3473" i="6"/>
  <c r="E3472" i="6"/>
  <c r="E3471" i="6"/>
  <c r="E3470" i="6"/>
  <c r="E3469" i="6"/>
  <c r="L3469" i="6" s="1"/>
  <c r="E3468" i="6"/>
  <c r="L3468" i="6" s="1"/>
  <c r="E3467" i="6"/>
  <c r="E3466" i="6"/>
  <c r="E3465" i="6"/>
  <c r="L3465" i="6" s="1"/>
  <c r="E3464" i="6"/>
  <c r="L3464" i="6" s="1"/>
  <c r="E3463" i="6"/>
  <c r="L3463" i="6" s="1"/>
  <c r="E3462" i="6"/>
  <c r="L3462" i="6" s="1"/>
  <c r="E3461" i="6"/>
  <c r="L3461" i="6" s="1"/>
  <c r="E3460" i="6"/>
  <c r="E3459" i="6"/>
  <c r="M3459" i="6" s="1"/>
  <c r="E3458" i="6"/>
  <c r="E3457" i="6"/>
  <c r="L3457" i="6" s="1"/>
  <c r="E3456" i="6"/>
  <c r="E3455" i="6"/>
  <c r="E3454" i="6"/>
  <c r="E3453" i="6"/>
  <c r="E3452" i="6"/>
  <c r="L3452" i="6" s="1"/>
  <c r="E3451" i="6"/>
  <c r="E3450" i="6"/>
  <c r="E3449" i="6"/>
  <c r="L3449" i="6" s="1"/>
  <c r="E3448" i="6"/>
  <c r="E3447" i="6"/>
  <c r="E3446" i="6"/>
  <c r="E3445" i="6"/>
  <c r="E3444" i="6"/>
  <c r="E3443" i="6"/>
  <c r="L3443" i="6" s="1"/>
  <c r="E3442" i="6"/>
  <c r="E3441" i="6"/>
  <c r="L3441" i="6" s="1"/>
  <c r="E3440" i="6"/>
  <c r="E3439" i="6"/>
  <c r="L3439" i="6" s="1"/>
  <c r="E3438" i="6"/>
  <c r="E3437" i="6"/>
  <c r="L3437" i="6" s="1"/>
  <c r="E3436" i="6"/>
  <c r="E3435" i="6"/>
  <c r="E3434" i="6"/>
  <c r="E3433" i="6"/>
  <c r="E3432" i="6"/>
  <c r="E3431" i="6"/>
  <c r="E3430" i="6"/>
  <c r="L3430" i="6" s="1"/>
  <c r="E3429" i="6"/>
  <c r="L3429" i="6" s="1"/>
  <c r="E3428" i="6"/>
  <c r="E3427" i="6"/>
  <c r="L3427" i="6" s="1"/>
  <c r="E3426" i="6"/>
  <c r="E3425" i="6"/>
  <c r="L3425" i="6" s="1"/>
  <c r="E3424" i="6"/>
  <c r="E3423" i="6"/>
  <c r="E3422" i="6"/>
  <c r="L3422" i="6" s="1"/>
  <c r="E3421" i="6"/>
  <c r="E3420" i="6"/>
  <c r="E3419" i="6"/>
  <c r="E3418" i="6"/>
  <c r="E3417" i="6"/>
  <c r="E3416" i="6"/>
  <c r="E3415" i="6"/>
  <c r="E3414" i="6"/>
  <c r="E3413" i="6"/>
  <c r="L3413" i="6" s="1"/>
  <c r="E3412" i="6"/>
  <c r="L3412" i="6" s="1"/>
  <c r="E3411" i="6"/>
  <c r="E3410" i="6"/>
  <c r="E3409" i="6"/>
  <c r="L3409" i="6" s="1"/>
  <c r="E3408" i="6"/>
  <c r="E3407" i="6"/>
  <c r="M3407" i="6" s="1"/>
  <c r="E3406" i="6"/>
  <c r="E3405" i="6"/>
  <c r="K3405" i="6" s="1"/>
  <c r="E3404" i="6"/>
  <c r="L3404" i="6" s="1"/>
  <c r="E3403" i="6"/>
  <c r="E3402" i="6"/>
  <c r="L3402" i="6" s="1"/>
  <c r="E3401" i="6"/>
  <c r="L3401" i="6" s="1"/>
  <c r="E3400" i="6"/>
  <c r="E3399" i="6"/>
  <c r="E3398" i="6"/>
  <c r="E3397" i="6"/>
  <c r="L3397" i="6" s="1"/>
  <c r="E3396" i="6"/>
  <c r="L3396" i="6" s="1"/>
  <c r="E3395" i="6"/>
  <c r="M3395" i="6" s="1"/>
  <c r="E3394" i="6"/>
  <c r="E3393" i="6"/>
  <c r="K3393" i="6" s="1"/>
  <c r="E3392" i="6"/>
  <c r="E3391" i="6"/>
  <c r="E3390" i="6"/>
  <c r="E3389" i="6"/>
  <c r="K3389" i="6" s="1"/>
  <c r="E3388" i="6"/>
  <c r="E3387" i="6"/>
  <c r="E3386" i="6"/>
  <c r="L3386" i="6" s="1"/>
  <c r="E3385" i="6"/>
  <c r="K3385" i="6" s="1"/>
  <c r="E3384" i="6"/>
  <c r="L3384" i="6" s="1"/>
  <c r="E3383" i="6"/>
  <c r="E3382" i="6"/>
  <c r="E3381" i="6"/>
  <c r="K3381" i="6" s="1"/>
  <c r="E3380" i="6"/>
  <c r="E3379" i="6"/>
  <c r="E3378" i="6"/>
  <c r="E3377" i="6"/>
  <c r="K3377" i="6" s="1"/>
  <c r="E3376" i="6"/>
  <c r="L3376" i="6" s="1"/>
  <c r="E3375" i="6"/>
  <c r="L3375" i="6" s="1"/>
  <c r="E3374" i="6"/>
  <c r="E3373" i="6"/>
  <c r="K3373" i="6" s="1"/>
  <c r="E3372" i="6"/>
  <c r="L3372" i="6" s="1"/>
  <c r="E3371" i="6"/>
  <c r="E3370" i="6"/>
  <c r="E3369" i="6"/>
  <c r="L3369" i="6" s="1"/>
  <c r="E3368" i="6"/>
  <c r="E3367" i="6"/>
  <c r="L3367" i="6" s="1"/>
  <c r="E3366" i="6"/>
  <c r="E3365" i="6"/>
  <c r="K3365" i="6" s="1"/>
  <c r="E3364" i="6"/>
  <c r="E3363" i="6"/>
  <c r="E3362" i="6"/>
  <c r="E3361" i="6"/>
  <c r="K3361" i="6" s="1"/>
  <c r="E3360" i="6"/>
  <c r="L3360" i="6" s="1"/>
  <c r="E3359" i="6"/>
  <c r="E3358" i="6"/>
  <c r="E3357" i="6"/>
  <c r="L3357" i="6" s="1"/>
  <c r="E3356" i="6"/>
  <c r="E3355" i="6"/>
  <c r="E3354" i="6"/>
  <c r="E3353" i="6"/>
  <c r="K3353" i="6" s="1"/>
  <c r="E3352" i="6"/>
  <c r="E3351" i="6"/>
  <c r="E3350" i="6"/>
  <c r="E3349" i="6"/>
  <c r="K3349" i="6" s="1"/>
  <c r="E3348" i="6"/>
  <c r="L3348" i="6" s="1"/>
  <c r="E3347" i="6"/>
  <c r="E3346" i="6"/>
  <c r="E3345" i="6"/>
  <c r="K3345" i="6" s="1"/>
  <c r="E3344" i="6"/>
  <c r="E3343" i="6"/>
  <c r="E3342" i="6"/>
  <c r="E3341" i="6"/>
  <c r="K3341" i="6" s="1"/>
  <c r="E3340" i="6"/>
  <c r="L3340" i="6" s="1"/>
  <c r="E3339" i="6"/>
  <c r="E3338" i="6"/>
  <c r="E3337" i="6"/>
  <c r="L3337" i="6" s="1"/>
  <c r="E3336" i="6"/>
  <c r="L3336" i="6" s="1"/>
  <c r="E3335" i="6"/>
  <c r="E3334" i="6"/>
  <c r="E3333" i="6"/>
  <c r="K3333" i="6" s="1"/>
  <c r="E3332" i="6"/>
  <c r="E3331" i="6"/>
  <c r="L3331" i="6" s="1"/>
  <c r="E3330" i="6"/>
  <c r="E3329" i="6"/>
  <c r="E3328" i="6"/>
  <c r="E3327" i="6"/>
  <c r="E3326" i="6"/>
  <c r="E3325" i="6"/>
  <c r="L3325" i="6" s="1"/>
  <c r="E3324" i="6"/>
  <c r="L3324" i="6" s="1"/>
  <c r="E3323" i="6"/>
  <c r="E3322" i="6"/>
  <c r="E3321" i="6"/>
  <c r="K3321" i="6" s="1"/>
  <c r="E3320" i="6"/>
  <c r="E3319" i="6"/>
  <c r="M3319" i="6" s="1"/>
  <c r="E3318" i="6"/>
  <c r="E3317" i="6"/>
  <c r="L3317" i="6" s="1"/>
  <c r="E3316" i="6"/>
  <c r="E3315" i="6"/>
  <c r="E3314" i="6"/>
  <c r="L3314" i="6" s="1"/>
  <c r="E3313" i="6"/>
  <c r="K3313" i="6" s="1"/>
  <c r="E3312" i="6"/>
  <c r="E3311" i="6"/>
  <c r="E3310" i="6"/>
  <c r="E3309" i="6"/>
  <c r="M3309" i="6" s="1"/>
  <c r="E3308" i="6"/>
  <c r="E3307" i="6"/>
  <c r="E3306" i="6"/>
  <c r="E3305" i="6"/>
  <c r="E3304" i="6"/>
  <c r="L3304" i="6" s="1"/>
  <c r="E3303" i="6"/>
  <c r="E3302" i="6"/>
  <c r="E3301" i="6"/>
  <c r="L3301" i="6" s="1"/>
  <c r="E3300" i="6"/>
  <c r="E3299" i="6"/>
  <c r="E3298" i="6"/>
  <c r="L3298" i="6" s="1"/>
  <c r="E3297" i="6"/>
  <c r="L3297" i="6" s="1"/>
  <c r="E3296" i="6"/>
  <c r="L3296" i="6" s="1"/>
  <c r="E3295" i="6"/>
  <c r="E3294" i="6"/>
  <c r="E3293" i="6"/>
  <c r="L3293" i="6" s="1"/>
  <c r="E3292" i="6"/>
  <c r="E3291" i="6"/>
  <c r="E3290" i="6"/>
  <c r="E3289" i="6"/>
  <c r="L3289" i="6" s="1"/>
  <c r="E3288" i="6"/>
  <c r="L3288" i="6" s="1"/>
  <c r="E3287" i="6"/>
  <c r="E3286" i="6"/>
  <c r="E3285" i="6"/>
  <c r="L3285" i="6" s="1"/>
  <c r="E3284" i="6"/>
  <c r="E3283" i="6"/>
  <c r="E3282" i="6"/>
  <c r="L3282" i="6" s="1"/>
  <c r="E3281" i="6"/>
  <c r="L3281" i="6" s="1"/>
  <c r="E3280" i="6"/>
  <c r="E3279" i="6"/>
  <c r="E3278" i="6"/>
  <c r="E3277" i="6"/>
  <c r="L3277" i="6" s="1"/>
  <c r="E3276" i="6"/>
  <c r="L3276" i="6" s="1"/>
  <c r="E3275" i="6"/>
  <c r="E3274" i="6"/>
  <c r="E3273" i="6"/>
  <c r="L3273" i="6" s="1"/>
  <c r="E3272" i="6"/>
  <c r="E3271" i="6"/>
  <c r="E3270" i="6"/>
  <c r="E3269" i="6"/>
  <c r="L3269" i="6" s="1"/>
  <c r="E3268" i="6"/>
  <c r="E3267" i="6"/>
  <c r="E3266" i="6"/>
  <c r="E3265" i="6"/>
  <c r="L3265" i="6" s="1"/>
  <c r="E3264" i="6"/>
  <c r="E3263" i="6"/>
  <c r="E3262" i="6"/>
  <c r="E3261" i="6"/>
  <c r="E3260" i="6"/>
  <c r="L3260" i="6" s="1"/>
  <c r="E3259" i="6"/>
  <c r="E3258" i="6"/>
  <c r="E3257" i="6"/>
  <c r="L3257" i="6" s="1"/>
  <c r="E3256" i="6"/>
  <c r="E3255" i="6"/>
  <c r="E3254" i="6"/>
  <c r="E3253" i="6"/>
  <c r="K3253" i="6" s="1"/>
  <c r="E3252" i="6"/>
  <c r="L3252" i="6" s="1"/>
  <c r="E3251" i="6"/>
  <c r="E3250" i="6"/>
  <c r="L3250" i="6" s="1"/>
  <c r="E3249" i="6"/>
  <c r="L3249" i="6" s="1"/>
  <c r="E3248" i="6"/>
  <c r="E3247" i="6"/>
  <c r="E3246" i="6"/>
  <c r="E3245" i="6"/>
  <c r="E3244" i="6"/>
  <c r="L3244" i="6" s="1"/>
  <c r="E3243" i="6"/>
  <c r="E3242" i="6"/>
  <c r="E3241" i="6"/>
  <c r="E3240" i="6"/>
  <c r="E3239" i="6"/>
  <c r="E3238" i="6"/>
  <c r="E3237" i="6"/>
  <c r="L3237" i="6" s="1"/>
  <c r="E3236" i="6"/>
  <c r="L3236" i="6" s="1"/>
  <c r="E3235" i="6"/>
  <c r="E3234" i="6"/>
  <c r="E3233" i="6"/>
  <c r="N3233" i="6" s="1"/>
  <c r="E3232" i="6"/>
  <c r="L3232" i="6" s="1"/>
  <c r="E3231" i="6"/>
  <c r="E3230" i="6"/>
  <c r="E3229" i="6"/>
  <c r="L3229" i="6" s="1"/>
  <c r="E3228" i="6"/>
  <c r="L3228" i="6" s="1"/>
  <c r="E3227" i="6"/>
  <c r="E3226" i="6"/>
  <c r="E3225" i="6"/>
  <c r="L3225" i="6" s="1"/>
  <c r="E3224" i="6"/>
  <c r="E3223" i="6"/>
  <c r="E3222" i="6"/>
  <c r="E3221" i="6"/>
  <c r="L3221" i="6" s="1"/>
  <c r="E3220" i="6"/>
  <c r="E3219" i="6"/>
  <c r="E3218" i="6"/>
  <c r="L3218" i="6" s="1"/>
  <c r="E3217" i="6"/>
  <c r="L3217" i="6" s="1"/>
  <c r="E3216" i="6"/>
  <c r="E3215" i="6"/>
  <c r="E3214" i="6"/>
  <c r="E3213" i="6"/>
  <c r="L3213" i="6" s="1"/>
  <c r="E3212" i="6"/>
  <c r="E3211" i="6"/>
  <c r="E3210" i="6"/>
  <c r="E3209" i="6"/>
  <c r="L3209" i="6" s="1"/>
  <c r="E3208" i="6"/>
  <c r="L3208" i="6" s="1"/>
  <c r="E3207" i="6"/>
  <c r="E3206" i="6"/>
  <c r="E3205" i="6"/>
  <c r="E3204" i="6"/>
  <c r="L3204" i="6" s="1"/>
  <c r="E3203" i="6"/>
  <c r="E3202" i="6"/>
  <c r="E3201" i="6"/>
  <c r="L3201" i="6" s="1"/>
  <c r="E3200" i="6"/>
  <c r="E3199" i="6"/>
  <c r="E3198" i="6"/>
  <c r="E3197" i="6"/>
  <c r="L3197" i="6" s="1"/>
  <c r="E3196" i="6"/>
  <c r="L3196" i="6" s="1"/>
  <c r="E3195" i="6"/>
  <c r="E3194" i="6"/>
  <c r="E3193" i="6"/>
  <c r="L3193" i="6" s="1"/>
  <c r="E3192" i="6"/>
  <c r="E3191" i="6"/>
  <c r="E3190" i="6"/>
  <c r="E3189" i="6"/>
  <c r="L3189" i="6" s="1"/>
  <c r="E3188" i="6"/>
  <c r="E3187" i="6"/>
  <c r="E3186" i="6"/>
  <c r="E3185" i="6"/>
  <c r="L3185" i="6" s="1"/>
  <c r="E3184" i="6"/>
  <c r="L3184" i="6" s="1"/>
  <c r="E3183" i="6"/>
  <c r="E3182" i="6"/>
  <c r="E3181" i="6"/>
  <c r="L3181" i="6" s="1"/>
  <c r="E3180" i="6"/>
  <c r="E3179" i="6"/>
  <c r="E3178" i="6"/>
  <c r="E3177" i="6"/>
  <c r="L3177" i="6" s="1"/>
  <c r="E3176" i="6"/>
  <c r="L3176" i="6" s="1"/>
  <c r="E3175" i="6"/>
  <c r="E3174" i="6"/>
  <c r="E3173" i="6"/>
  <c r="E3172" i="6"/>
  <c r="L3172" i="6" s="1"/>
  <c r="E3171" i="6"/>
  <c r="E3170" i="6"/>
  <c r="L3170" i="6" s="1"/>
  <c r="E3169" i="6"/>
  <c r="K3169" i="6" s="1"/>
  <c r="E3168" i="6"/>
  <c r="E3167" i="6"/>
  <c r="E3166" i="6"/>
  <c r="E3165" i="6"/>
  <c r="L3165" i="6" s="1"/>
  <c r="E3164" i="6"/>
  <c r="E3163" i="6"/>
  <c r="N3163" i="6" s="1"/>
  <c r="E3162" i="6"/>
  <c r="E3161" i="6"/>
  <c r="M3161" i="6" s="1"/>
  <c r="E3160" i="6"/>
  <c r="L3160" i="6" s="1"/>
  <c r="E3159" i="6"/>
  <c r="E3158" i="6"/>
  <c r="E3157" i="6"/>
  <c r="L3157" i="6" s="1"/>
  <c r="E3156" i="6"/>
  <c r="E3155" i="6"/>
  <c r="M3155" i="6" s="1"/>
  <c r="E3154" i="6"/>
  <c r="E3153" i="6"/>
  <c r="K3153" i="6" s="1"/>
  <c r="E3152" i="6"/>
  <c r="L3152" i="6" s="1"/>
  <c r="E3151" i="6"/>
  <c r="E3150" i="6"/>
  <c r="E3149" i="6"/>
  <c r="K3149" i="6" s="1"/>
  <c r="E3148" i="6"/>
  <c r="E3147" i="6"/>
  <c r="N3147" i="6" s="1"/>
  <c r="E3146" i="6"/>
  <c r="E3145" i="6"/>
  <c r="L3145" i="6" s="1"/>
  <c r="E3144" i="6"/>
  <c r="E3143" i="6"/>
  <c r="E3142" i="6"/>
  <c r="E3141" i="6"/>
  <c r="E3140" i="6"/>
  <c r="E3139" i="6"/>
  <c r="E3138" i="6"/>
  <c r="E3137" i="6"/>
  <c r="E3136" i="6"/>
  <c r="L3136" i="6" s="1"/>
  <c r="E3135" i="6"/>
  <c r="E3134" i="6"/>
  <c r="E3133" i="6"/>
  <c r="E3132" i="6"/>
  <c r="E3131" i="6"/>
  <c r="E3130" i="6"/>
  <c r="E3129" i="6"/>
  <c r="E3128" i="6"/>
  <c r="L3128" i="6" s="1"/>
  <c r="E3127" i="6"/>
  <c r="E3126" i="6"/>
  <c r="E3125" i="6"/>
  <c r="E3124" i="6"/>
  <c r="E3123" i="6"/>
  <c r="E3122" i="6"/>
  <c r="E3121" i="6"/>
  <c r="E3120" i="6"/>
  <c r="E3119" i="6"/>
  <c r="E3118" i="6"/>
  <c r="E3117" i="6"/>
  <c r="L3117" i="6" s="1"/>
  <c r="E3116" i="6"/>
  <c r="L3116" i="6" s="1"/>
  <c r="E3115" i="6"/>
  <c r="E3114" i="6"/>
  <c r="E3113" i="6"/>
  <c r="L3113" i="6" s="1"/>
  <c r="E3112" i="6"/>
  <c r="E3111" i="6"/>
  <c r="E3110" i="6"/>
  <c r="E3109" i="6"/>
  <c r="L3109" i="6" s="1"/>
  <c r="E3108" i="6"/>
  <c r="L3108" i="6" s="1"/>
  <c r="E3107" i="6"/>
  <c r="E3106" i="6"/>
  <c r="E3105" i="6"/>
  <c r="L3105" i="6" s="1"/>
  <c r="E3104" i="6"/>
  <c r="E3103" i="6"/>
  <c r="E3102" i="6"/>
  <c r="E3101" i="6"/>
  <c r="L3101" i="6" s="1"/>
  <c r="E3100" i="6"/>
  <c r="L3100" i="6" s="1"/>
  <c r="E3099" i="6"/>
  <c r="E3098" i="6"/>
  <c r="E3097" i="6"/>
  <c r="L3097" i="6" s="1"/>
  <c r="E3096" i="6"/>
  <c r="L3096" i="6" s="1"/>
  <c r="E3095" i="6"/>
  <c r="M3095" i="6" s="1"/>
  <c r="E3094" i="6"/>
  <c r="E3093" i="6"/>
  <c r="L3093" i="6" s="1"/>
  <c r="E3092" i="6"/>
  <c r="L3092" i="6" s="1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L3060" i="6" s="1"/>
  <c r="E3059" i="6"/>
  <c r="E3058" i="6"/>
  <c r="E3057" i="6"/>
  <c r="E3056" i="6"/>
  <c r="E3055" i="6"/>
  <c r="E3054" i="6"/>
  <c r="E3053" i="6"/>
  <c r="E3052" i="6"/>
  <c r="E3051" i="6"/>
  <c r="M3051" i="6" s="1"/>
  <c r="E3050" i="6"/>
  <c r="E3049" i="6"/>
  <c r="E3048" i="6"/>
  <c r="E3047" i="6"/>
  <c r="E3046" i="6"/>
  <c r="L3046" i="6" s="1"/>
  <c r="E3045" i="6"/>
  <c r="E3044" i="6"/>
  <c r="E3043" i="6"/>
  <c r="L3043" i="6" s="1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L3030" i="6" s="1"/>
  <c r="E3029" i="6"/>
  <c r="E3028" i="6"/>
  <c r="E3027" i="6"/>
  <c r="E3026" i="6"/>
  <c r="E3025" i="6"/>
  <c r="E3024" i="6"/>
  <c r="E3023" i="6"/>
  <c r="E3022" i="6"/>
  <c r="L3022" i="6" s="1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L3010" i="6" s="1"/>
  <c r="E3009" i="6"/>
  <c r="E3008" i="6"/>
  <c r="E3007" i="6"/>
  <c r="N3007" i="6" s="1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K1525" i="6" s="1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M1513" i="6" s="1"/>
  <c r="E1512" i="6"/>
  <c r="E1511" i="6"/>
  <c r="E1510" i="6"/>
  <c r="E1509" i="6"/>
  <c r="K1509" i="6" s="1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M1497" i="6" s="1"/>
  <c r="E1496" i="6"/>
  <c r="E1495" i="6"/>
  <c r="E1494" i="6"/>
  <c r="E1493" i="6"/>
  <c r="K1493" i="6" s="1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M1481" i="6" s="1"/>
  <c r="E1480" i="6"/>
  <c r="E1479" i="6"/>
  <c r="E1478" i="6"/>
  <c r="E1477" i="6"/>
  <c r="K1477" i="6" s="1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M1465" i="6" s="1"/>
  <c r="E1464" i="6"/>
  <c r="E1463" i="6"/>
  <c r="E1462" i="6"/>
  <c r="E1461" i="6"/>
  <c r="K1461" i="6" s="1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M1449" i="6" s="1"/>
  <c r="E1448" i="6"/>
  <c r="E1447" i="6"/>
  <c r="E1446" i="6"/>
  <c r="E1445" i="6"/>
  <c r="K1445" i="6" s="1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M1433" i="6" s="1"/>
  <c r="E1432" i="6"/>
  <c r="E1431" i="6"/>
  <c r="E1430" i="6"/>
  <c r="E1429" i="6"/>
  <c r="K1429" i="6" s="1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M1417" i="6" s="1"/>
  <c r="E1416" i="6"/>
  <c r="E1415" i="6"/>
  <c r="E1414" i="6"/>
  <c r="E1413" i="6"/>
  <c r="K1413" i="6" s="1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K1401" i="6" s="1"/>
  <c r="E1400" i="6"/>
  <c r="E1399" i="6"/>
  <c r="E1398" i="6"/>
  <c r="E1397" i="6"/>
  <c r="E1396" i="6"/>
  <c r="E1395" i="6"/>
  <c r="M1395" i="6" s="1"/>
  <c r="E1394" i="6"/>
  <c r="E1393" i="6"/>
  <c r="K1393" i="6" s="1"/>
  <c r="E1392" i="6"/>
  <c r="E1391" i="6"/>
  <c r="E1390" i="6"/>
  <c r="E1389" i="6"/>
  <c r="M1389" i="6" s="1"/>
  <c r="E1388" i="6"/>
  <c r="E1387" i="6"/>
  <c r="E1386" i="6"/>
  <c r="E1385" i="6"/>
  <c r="K1385" i="6" s="1"/>
  <c r="E1384" i="6"/>
  <c r="E1383" i="6"/>
  <c r="E1382" i="6"/>
  <c r="E1381" i="6"/>
  <c r="E1380" i="6"/>
  <c r="E1379" i="6"/>
  <c r="M1379" i="6" s="1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M1363" i="6" s="1"/>
  <c r="E1362" i="6"/>
  <c r="E1361" i="6"/>
  <c r="E1360" i="6"/>
  <c r="E1359" i="6"/>
  <c r="E1358" i="6"/>
  <c r="E1357" i="6"/>
  <c r="K1357" i="6" s="1"/>
  <c r="E1356" i="6"/>
  <c r="E1355" i="6"/>
  <c r="E1354" i="6"/>
  <c r="E1353" i="6"/>
  <c r="E1352" i="6"/>
  <c r="E1351" i="6"/>
  <c r="E1350" i="6"/>
  <c r="E1349" i="6"/>
  <c r="E1348" i="6"/>
  <c r="E1347" i="6"/>
  <c r="M1347" i="6" s="1"/>
  <c r="E1346" i="6"/>
  <c r="E1345" i="6"/>
  <c r="M1345" i="6" s="1"/>
  <c r="E1344" i="6"/>
  <c r="E1343" i="6"/>
  <c r="E1342" i="6"/>
  <c r="E1341" i="6"/>
  <c r="K1341" i="6" s="1"/>
  <c r="E1340" i="6"/>
  <c r="E1339" i="6"/>
  <c r="E1338" i="6"/>
  <c r="E1337" i="6"/>
  <c r="M1337" i="6" s="1"/>
  <c r="E1336" i="6"/>
  <c r="E1335" i="6"/>
  <c r="E1334" i="6"/>
  <c r="E1333" i="6"/>
  <c r="K1333" i="6" s="1"/>
  <c r="E1332" i="6"/>
  <c r="E1331" i="6"/>
  <c r="M1331" i="6" s="1"/>
  <c r="E1330" i="6"/>
  <c r="E1329" i="6"/>
  <c r="M1329" i="6" s="1"/>
  <c r="E1328" i="6"/>
  <c r="E1327" i="6"/>
  <c r="E1326" i="6"/>
  <c r="E1325" i="6"/>
  <c r="E1324" i="6"/>
  <c r="E1323" i="6"/>
  <c r="E1322" i="6"/>
  <c r="E1321" i="6"/>
  <c r="M1321" i="6" s="1"/>
  <c r="E1320" i="6"/>
  <c r="E1319" i="6"/>
  <c r="E1318" i="6"/>
  <c r="E1317" i="6"/>
  <c r="K1317" i="6" s="1"/>
  <c r="E1316" i="6"/>
  <c r="E1315" i="6"/>
  <c r="M1315" i="6" s="1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M1299" i="6" s="1"/>
  <c r="E1298" i="6"/>
  <c r="E1297" i="6"/>
  <c r="E1296" i="6"/>
  <c r="E1295" i="6"/>
  <c r="E1294" i="6"/>
  <c r="E1293" i="6"/>
  <c r="M1293" i="6" s="1"/>
  <c r="E1292" i="6"/>
  <c r="E1291" i="6"/>
  <c r="E1290" i="6"/>
  <c r="E1289" i="6"/>
  <c r="E1288" i="6"/>
  <c r="E1287" i="6"/>
  <c r="E1286" i="6"/>
  <c r="E1285" i="6"/>
  <c r="E1284" i="6"/>
  <c r="E1283" i="6"/>
  <c r="M1283" i="6" s="1"/>
  <c r="E1282" i="6"/>
  <c r="E1281" i="6"/>
  <c r="K1281" i="6" s="1"/>
  <c r="E1280" i="6"/>
  <c r="E1279" i="6"/>
  <c r="E1278" i="6"/>
  <c r="E1277" i="6"/>
  <c r="M1277" i="6" s="1"/>
  <c r="E1276" i="6"/>
  <c r="E1275" i="6"/>
  <c r="E1274" i="6"/>
  <c r="E1273" i="6"/>
  <c r="K1273" i="6" s="1"/>
  <c r="E1272" i="6"/>
  <c r="E1271" i="6"/>
  <c r="E1270" i="6"/>
  <c r="E1269" i="6"/>
  <c r="M1269" i="6" s="1"/>
  <c r="E1268" i="6"/>
  <c r="E1267" i="6"/>
  <c r="M1267" i="6" s="1"/>
  <c r="E1266" i="6"/>
  <c r="E1265" i="6"/>
  <c r="K1265" i="6" s="1"/>
  <c r="E1264" i="6"/>
  <c r="E1263" i="6"/>
  <c r="E1262" i="6"/>
  <c r="E1261" i="6"/>
  <c r="E1260" i="6"/>
  <c r="E1259" i="6"/>
  <c r="E1258" i="6"/>
  <c r="E1257" i="6"/>
  <c r="K1257" i="6" s="1"/>
  <c r="E1256" i="6"/>
  <c r="E1255" i="6"/>
  <c r="E1254" i="6"/>
  <c r="E1253" i="6"/>
  <c r="M1253" i="6" s="1"/>
  <c r="E1252" i="6"/>
  <c r="E1251" i="6"/>
  <c r="M1251" i="6" s="1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M1235" i="6" s="1"/>
  <c r="E1234" i="6"/>
  <c r="E1233" i="6"/>
  <c r="M1233" i="6" s="1"/>
  <c r="E1232" i="6"/>
  <c r="E1231" i="6"/>
  <c r="E1230" i="6"/>
  <c r="E1229" i="6"/>
  <c r="K1229" i="6" s="1"/>
  <c r="E1228" i="6"/>
  <c r="E1227" i="6"/>
  <c r="E1226" i="6"/>
  <c r="E1225" i="6"/>
  <c r="E1224" i="6"/>
  <c r="E1223" i="6"/>
  <c r="M1223" i="6" s="1"/>
  <c r="E1222" i="6"/>
  <c r="E1221" i="6"/>
  <c r="K1221" i="6" s="1"/>
  <c r="E1220" i="6"/>
  <c r="E1219" i="6"/>
  <c r="E1218" i="6"/>
  <c r="E1217" i="6"/>
  <c r="E1216" i="6"/>
  <c r="E1215" i="6"/>
  <c r="E1214" i="6"/>
  <c r="E1213" i="6"/>
  <c r="E1212" i="6"/>
  <c r="E1211" i="6"/>
  <c r="M1211" i="6" s="1"/>
  <c r="E1210" i="6"/>
  <c r="E1209" i="6"/>
  <c r="K1209" i="6" s="1"/>
  <c r="E1208" i="6"/>
  <c r="E1207" i="6"/>
  <c r="E1206" i="6"/>
  <c r="E1205" i="6"/>
  <c r="M1205" i="6" s="1"/>
  <c r="E1204" i="6"/>
  <c r="E1203" i="6"/>
  <c r="E1202" i="6"/>
  <c r="E1201" i="6"/>
  <c r="E1200" i="6"/>
  <c r="E1199" i="6"/>
  <c r="M1199" i="6" s="1"/>
  <c r="E1198" i="6"/>
  <c r="E1197" i="6"/>
  <c r="E1196" i="6"/>
  <c r="E1195" i="6"/>
  <c r="E1194" i="6"/>
  <c r="E1193" i="6"/>
  <c r="M1193" i="6" s="1"/>
  <c r="E1192" i="6"/>
  <c r="E1191" i="6"/>
  <c r="E1190" i="6"/>
  <c r="E1189" i="6"/>
  <c r="E1188" i="6"/>
  <c r="E1187" i="6"/>
  <c r="E1186" i="6"/>
  <c r="E1185" i="6"/>
  <c r="M1185" i="6" s="1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M1171" i="6" s="1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M1159" i="6" s="1"/>
  <c r="E1158" i="6"/>
  <c r="E1157" i="6"/>
  <c r="E1156" i="6"/>
  <c r="E1155" i="6"/>
  <c r="E1154" i="6"/>
  <c r="E1153" i="6"/>
  <c r="M1153" i="6" s="1"/>
  <c r="E1152" i="6"/>
  <c r="E1151" i="6"/>
  <c r="E1150" i="6"/>
  <c r="E1149" i="6"/>
  <c r="E1148" i="6"/>
  <c r="E1147" i="6"/>
  <c r="M1147" i="6" s="1"/>
  <c r="E1146" i="6"/>
  <c r="E1145" i="6"/>
  <c r="M1145" i="6" s="1"/>
  <c r="E1144" i="6"/>
  <c r="E1143" i="6"/>
  <c r="E1142" i="6"/>
  <c r="E1141" i="6"/>
  <c r="E1140" i="6"/>
  <c r="E1139" i="6"/>
  <c r="E1138" i="6"/>
  <c r="E1137" i="6"/>
  <c r="K1137" i="6" s="1"/>
  <c r="E1136" i="6"/>
  <c r="E1135" i="6"/>
  <c r="M1135" i="6" s="1"/>
  <c r="E1134" i="6"/>
  <c r="E1133" i="6"/>
  <c r="E1132" i="6"/>
  <c r="E1131" i="6"/>
  <c r="E1130" i="6"/>
  <c r="E1129" i="6"/>
  <c r="M1129" i="6" s="1"/>
  <c r="E1128" i="6"/>
  <c r="E1127" i="6"/>
  <c r="E1126" i="6"/>
  <c r="E1125" i="6"/>
  <c r="K1125" i="6" s="1"/>
  <c r="E1124" i="6"/>
  <c r="E1123" i="6"/>
  <c r="E1122" i="6"/>
  <c r="E1121" i="6"/>
  <c r="M1121" i="6" s="1"/>
  <c r="E1120" i="6"/>
  <c r="E1119" i="6"/>
  <c r="E1118" i="6"/>
  <c r="E1117" i="6"/>
  <c r="E1116" i="6"/>
  <c r="E1115" i="6"/>
  <c r="E1114" i="6"/>
  <c r="E1113" i="6"/>
  <c r="M1113" i="6" s="1"/>
  <c r="E1112" i="6"/>
  <c r="E1111" i="6"/>
  <c r="E1110" i="6"/>
  <c r="E1109" i="6"/>
  <c r="K1109" i="6" s="1"/>
  <c r="E1108" i="6"/>
  <c r="E1107" i="6"/>
  <c r="M1107" i="6" s="1"/>
  <c r="E1106" i="6"/>
  <c r="E1105" i="6"/>
  <c r="K1105" i="6" s="1"/>
  <c r="E1104" i="6"/>
  <c r="E1103" i="6"/>
  <c r="E1102" i="6"/>
  <c r="E1101" i="6"/>
  <c r="M1101" i="6" s="1"/>
  <c r="E1100" i="6"/>
  <c r="E1099" i="6"/>
  <c r="E1098" i="6"/>
  <c r="E1097" i="6"/>
  <c r="K1097" i="6" s="1"/>
  <c r="E1096" i="6"/>
  <c r="E1095" i="6"/>
  <c r="M1095" i="6" s="1"/>
  <c r="E1094" i="6"/>
  <c r="E1093" i="6"/>
  <c r="E1092" i="6"/>
  <c r="E1091" i="6"/>
  <c r="E1090" i="6"/>
  <c r="E1089" i="6"/>
  <c r="M1089" i="6" s="1"/>
  <c r="E1088" i="6"/>
  <c r="E1087" i="6"/>
  <c r="E1086" i="6"/>
  <c r="E1085" i="6"/>
  <c r="K1085" i="6" s="1"/>
  <c r="E1084" i="6"/>
  <c r="E1083" i="6"/>
  <c r="M1083" i="6" s="1"/>
  <c r="E1082" i="6"/>
  <c r="E1081" i="6"/>
  <c r="M1081" i="6" s="1"/>
  <c r="E1080" i="6"/>
  <c r="E1079" i="6"/>
  <c r="E1078" i="6"/>
  <c r="E1077" i="6"/>
  <c r="E1076" i="6"/>
  <c r="E1075" i="6"/>
  <c r="E1074" i="6"/>
  <c r="E1073" i="6"/>
  <c r="E1072" i="6"/>
  <c r="E1071" i="6"/>
  <c r="M1071" i="6" s="1"/>
  <c r="E1070" i="6"/>
  <c r="E1069" i="6"/>
  <c r="M1069" i="6" s="1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K1057" i="6" s="1"/>
  <c r="M1057" i="6" s="1"/>
  <c r="E1056" i="6"/>
  <c r="E1055" i="6"/>
  <c r="E1054" i="6"/>
  <c r="E1053" i="6"/>
  <c r="K1053" i="6" s="1"/>
  <c r="M1053" i="6" s="1"/>
  <c r="E1052" i="6"/>
  <c r="E1051" i="6"/>
  <c r="E1050" i="6"/>
  <c r="E1049" i="6"/>
  <c r="K1049" i="6" s="1"/>
  <c r="M1049" i="6" s="1"/>
  <c r="E1048" i="6"/>
  <c r="E1047" i="6"/>
  <c r="E1046" i="6"/>
  <c r="E1045" i="6"/>
  <c r="K1045" i="6" s="1"/>
  <c r="M1045" i="6" s="1"/>
  <c r="E1044" i="6"/>
  <c r="E1043" i="6"/>
  <c r="L1043" i="6" s="1"/>
  <c r="E1042" i="6"/>
  <c r="E1041" i="6"/>
  <c r="L1041" i="6" s="1"/>
  <c r="N1041" i="6" s="1"/>
  <c r="E1040" i="6"/>
  <c r="E1039" i="6"/>
  <c r="E1038" i="6"/>
  <c r="E1037" i="6"/>
  <c r="K1037" i="6" s="1"/>
  <c r="M1037" i="6" s="1"/>
  <c r="E1036" i="6"/>
  <c r="E1035" i="6"/>
  <c r="E1034" i="6"/>
  <c r="E1033" i="6"/>
  <c r="L1033" i="6" s="1"/>
  <c r="N1033" i="6" s="1"/>
  <c r="E1032" i="6"/>
  <c r="E1031" i="6"/>
  <c r="E1030" i="6"/>
  <c r="E1029" i="6"/>
  <c r="K1029" i="6" s="1"/>
  <c r="M1029" i="6" s="1"/>
  <c r="E1028" i="6"/>
  <c r="E1027" i="6"/>
  <c r="E1026" i="6"/>
  <c r="E1025" i="6"/>
  <c r="K1025" i="6" s="1"/>
  <c r="M1025" i="6" s="1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L979" i="6" s="1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L957" i="6" s="1"/>
  <c r="E956" i="6"/>
  <c r="E955" i="6"/>
  <c r="E954" i="6"/>
  <c r="E953" i="6"/>
  <c r="E952" i="6"/>
  <c r="E951" i="6"/>
  <c r="L951" i="6" s="1"/>
  <c r="E950" i="6"/>
  <c r="E949" i="6"/>
  <c r="L949" i="6" s="1"/>
  <c r="E948" i="6"/>
  <c r="E947" i="6"/>
  <c r="L947" i="6" s="1"/>
  <c r="E946" i="6"/>
  <c r="E945" i="6"/>
  <c r="E944" i="6"/>
  <c r="E943" i="6"/>
  <c r="E942" i="6"/>
  <c r="E941" i="6"/>
  <c r="L941" i="6" s="1"/>
  <c r="E940" i="6"/>
  <c r="E939" i="6"/>
  <c r="E938" i="6"/>
  <c r="E937" i="6"/>
  <c r="E936" i="6"/>
  <c r="E935" i="6"/>
  <c r="E934" i="6"/>
  <c r="E933" i="6"/>
  <c r="L933" i="6" s="1"/>
  <c r="E932" i="6"/>
  <c r="E931" i="6"/>
  <c r="E930" i="6"/>
  <c r="E929" i="6"/>
  <c r="E928" i="6"/>
  <c r="E927" i="6"/>
  <c r="E926" i="6"/>
  <c r="E925" i="6"/>
  <c r="L925" i="6" s="1"/>
  <c r="E924" i="6"/>
  <c r="E923" i="6"/>
  <c r="E922" i="6"/>
  <c r="E921" i="6"/>
  <c r="E920" i="6"/>
  <c r="E919" i="6"/>
  <c r="E918" i="6"/>
  <c r="E917" i="6"/>
  <c r="L917" i="6" s="1"/>
  <c r="E916" i="6"/>
  <c r="E915" i="6"/>
  <c r="E914" i="6"/>
  <c r="E913" i="6"/>
  <c r="E912" i="6"/>
  <c r="E911" i="6"/>
  <c r="E910" i="6"/>
  <c r="E909" i="6"/>
  <c r="L909" i="6" s="1"/>
  <c r="E908" i="6"/>
  <c r="E907" i="6"/>
  <c r="E906" i="6"/>
  <c r="E905" i="6"/>
  <c r="E904" i="6"/>
  <c r="E903" i="6"/>
  <c r="E902" i="6"/>
  <c r="E901" i="6"/>
  <c r="L901" i="6" s="1"/>
  <c r="E900" i="6"/>
  <c r="E899" i="6"/>
  <c r="E898" i="6"/>
  <c r="E897" i="6"/>
  <c r="E896" i="6"/>
  <c r="E895" i="6"/>
  <c r="E894" i="6"/>
  <c r="E893" i="6"/>
  <c r="L893" i="6" s="1"/>
  <c r="E892" i="6"/>
  <c r="E891" i="6"/>
  <c r="E890" i="6"/>
  <c r="E889" i="6"/>
  <c r="L889" i="6" s="1"/>
  <c r="E888" i="6"/>
  <c r="E887" i="6"/>
  <c r="E886" i="6"/>
  <c r="E885" i="6"/>
  <c r="L885" i="6" s="1"/>
  <c r="E884" i="6"/>
  <c r="E883" i="6"/>
  <c r="E882" i="6"/>
  <c r="E881" i="6"/>
  <c r="E880" i="6"/>
  <c r="E879" i="6"/>
  <c r="E878" i="6"/>
  <c r="E877" i="6"/>
  <c r="L877" i="6" s="1"/>
  <c r="E876" i="6"/>
  <c r="E875" i="6"/>
  <c r="E874" i="6"/>
  <c r="E873" i="6"/>
  <c r="L873" i="6" s="1"/>
  <c r="E872" i="6"/>
  <c r="E871" i="6"/>
  <c r="E870" i="6"/>
  <c r="E869" i="6"/>
  <c r="L869" i="6" s="1"/>
  <c r="E868" i="6"/>
  <c r="E867" i="6"/>
  <c r="E866" i="6"/>
  <c r="E865" i="6"/>
  <c r="L865" i="6" s="1"/>
  <c r="E864" i="6"/>
  <c r="E863" i="6"/>
  <c r="E862" i="6"/>
  <c r="E861" i="6"/>
  <c r="L861" i="6" s="1"/>
  <c r="E860" i="6"/>
  <c r="E859" i="6"/>
  <c r="E858" i="6"/>
  <c r="E857" i="6"/>
  <c r="E856" i="6"/>
  <c r="E855" i="6"/>
  <c r="E854" i="6"/>
  <c r="E853" i="6"/>
  <c r="L853" i="6" s="1"/>
  <c r="E852" i="6"/>
  <c r="E851" i="6"/>
  <c r="E850" i="6"/>
  <c r="E849" i="6"/>
  <c r="E848" i="6"/>
  <c r="E847" i="6"/>
  <c r="E846" i="6"/>
  <c r="E845" i="6"/>
  <c r="L845" i="6" s="1"/>
  <c r="E844" i="6"/>
  <c r="E843" i="6"/>
  <c r="E842" i="6"/>
  <c r="E841" i="6"/>
  <c r="E840" i="6"/>
  <c r="E839" i="6"/>
  <c r="E838" i="6"/>
  <c r="E837" i="6"/>
  <c r="L837" i="6" s="1"/>
  <c r="E836" i="6"/>
  <c r="E835" i="6"/>
  <c r="E834" i="6"/>
  <c r="E833" i="6"/>
  <c r="E832" i="6"/>
  <c r="E831" i="6"/>
  <c r="E830" i="6"/>
  <c r="E829" i="6"/>
  <c r="L829" i="6" s="1"/>
  <c r="E828" i="6"/>
  <c r="E827" i="6"/>
  <c r="E826" i="6"/>
  <c r="E825" i="6"/>
  <c r="E824" i="6"/>
  <c r="E823" i="6"/>
  <c r="E822" i="6"/>
  <c r="E821" i="6"/>
  <c r="L821" i="6" s="1"/>
  <c r="E820" i="6"/>
  <c r="E819" i="6"/>
  <c r="E818" i="6"/>
  <c r="E817" i="6"/>
  <c r="E816" i="6"/>
  <c r="E815" i="6"/>
  <c r="E814" i="6"/>
  <c r="E813" i="6"/>
  <c r="L813" i="6" s="1"/>
  <c r="E812" i="6"/>
  <c r="E811" i="6"/>
  <c r="E810" i="6"/>
  <c r="E809" i="6"/>
  <c r="E808" i="6"/>
  <c r="E807" i="6"/>
  <c r="E806" i="6"/>
  <c r="E805" i="6"/>
  <c r="L805" i="6" s="1"/>
  <c r="E804" i="6"/>
  <c r="E803" i="6"/>
  <c r="E802" i="6"/>
  <c r="E800" i="6"/>
  <c r="E799" i="6"/>
  <c r="E798" i="6"/>
  <c r="E797" i="6"/>
  <c r="E796" i="6"/>
  <c r="L796" i="6" s="1"/>
  <c r="N796" i="6" s="1"/>
  <c r="E795" i="6"/>
  <c r="E794" i="6"/>
  <c r="E793" i="6"/>
  <c r="E792" i="6"/>
  <c r="L792" i="6" s="1"/>
  <c r="N792" i="6" s="1"/>
  <c r="E791" i="6"/>
  <c r="E790" i="6"/>
  <c r="E789" i="6"/>
  <c r="E788" i="6"/>
  <c r="L788" i="6" s="1"/>
  <c r="N788" i="6" s="1"/>
  <c r="E787" i="6"/>
  <c r="E786" i="6"/>
  <c r="E785" i="6"/>
  <c r="E784" i="6"/>
  <c r="L784" i="6" s="1"/>
  <c r="N784" i="6" s="1"/>
  <c r="E783" i="6"/>
  <c r="E782" i="6"/>
  <c r="E781" i="6"/>
  <c r="E780" i="6"/>
  <c r="L780" i="6" s="1"/>
  <c r="N780" i="6" s="1"/>
  <c r="E779" i="6"/>
  <c r="E778" i="6"/>
  <c r="E777" i="6"/>
  <c r="E776" i="6"/>
  <c r="L776" i="6" s="1"/>
  <c r="N776" i="6" s="1"/>
  <c r="E775" i="6"/>
  <c r="E774" i="6"/>
  <c r="E773" i="6"/>
  <c r="E772" i="6"/>
  <c r="L772" i="6" s="1"/>
  <c r="N772" i="6" s="1"/>
  <c r="E771" i="6"/>
  <c r="E770" i="6"/>
  <c r="E769" i="6"/>
  <c r="E768" i="6"/>
  <c r="L768" i="6" s="1"/>
  <c r="N768" i="6" s="1"/>
  <c r="E767" i="6"/>
  <c r="E766" i="6"/>
  <c r="E765" i="6"/>
  <c r="E764" i="6"/>
  <c r="L764" i="6" s="1"/>
  <c r="N764" i="6" s="1"/>
  <c r="E763" i="6"/>
  <c r="E762" i="6"/>
  <c r="E761" i="6"/>
  <c r="E760" i="6"/>
  <c r="L760" i="6" s="1"/>
  <c r="N760" i="6" s="1"/>
  <c r="E759" i="6"/>
  <c r="E758" i="6"/>
  <c r="E757" i="6"/>
  <c r="E756" i="6"/>
  <c r="L756" i="6" s="1"/>
  <c r="N756" i="6" s="1"/>
  <c r="E755" i="6"/>
  <c r="E754" i="6"/>
  <c r="E753" i="6"/>
  <c r="E752" i="6"/>
  <c r="L752" i="6" s="1"/>
  <c r="N752" i="6" s="1"/>
  <c r="E751" i="6"/>
  <c r="E750" i="6"/>
  <c r="E749" i="6"/>
  <c r="E748" i="6"/>
  <c r="E747" i="6"/>
  <c r="E746" i="6"/>
  <c r="E745" i="6"/>
  <c r="E744" i="6"/>
  <c r="L744" i="6" s="1"/>
  <c r="N744" i="6" s="1"/>
  <c r="E743" i="6"/>
  <c r="E742" i="6"/>
  <c r="E741" i="6"/>
  <c r="E740" i="6"/>
  <c r="L740" i="6" s="1"/>
  <c r="N740" i="6" s="1"/>
  <c r="E739" i="6"/>
  <c r="E738" i="6"/>
  <c r="E737" i="6"/>
  <c r="E736" i="6"/>
  <c r="L736" i="6" s="1"/>
  <c r="N736" i="6" s="1"/>
  <c r="E735" i="6"/>
  <c r="E734" i="6"/>
  <c r="E733" i="6"/>
  <c r="E732" i="6"/>
  <c r="L732" i="6" s="1"/>
  <c r="N732" i="6" s="1"/>
  <c r="E731" i="6"/>
  <c r="E730" i="6"/>
  <c r="E729" i="6"/>
  <c r="E728" i="6"/>
  <c r="L728" i="6" s="1"/>
  <c r="N728" i="6" s="1"/>
  <c r="E727" i="6"/>
  <c r="E726" i="6"/>
  <c r="E725" i="6"/>
  <c r="E724" i="6"/>
  <c r="E723" i="6"/>
  <c r="E722" i="6"/>
  <c r="E721" i="6"/>
  <c r="E720" i="6"/>
  <c r="L720" i="6" s="1"/>
  <c r="N720" i="6" s="1"/>
  <c r="E719" i="6"/>
  <c r="E718" i="6"/>
  <c r="E717" i="6"/>
  <c r="E716" i="6"/>
  <c r="L716" i="6" s="1"/>
  <c r="N716" i="6" s="1"/>
  <c r="E715" i="6"/>
  <c r="E714" i="6"/>
  <c r="E713" i="6"/>
  <c r="E712" i="6"/>
  <c r="L712" i="6" s="1"/>
  <c r="N712" i="6" s="1"/>
  <c r="E711" i="6"/>
  <c r="E710" i="6"/>
  <c r="E709" i="6"/>
  <c r="E708" i="6"/>
  <c r="L708" i="6" s="1"/>
  <c r="N708" i="6" s="1"/>
  <c r="E707" i="6"/>
  <c r="E706" i="6"/>
  <c r="E705" i="6"/>
  <c r="E704" i="6"/>
  <c r="L704" i="6" s="1"/>
  <c r="N704" i="6" s="1"/>
  <c r="E703" i="6"/>
  <c r="E702" i="6"/>
  <c r="E701" i="6"/>
  <c r="E700" i="6"/>
  <c r="L700" i="6" s="1"/>
  <c r="N700" i="6" s="1"/>
  <c r="E699" i="6"/>
  <c r="E698" i="6"/>
  <c r="E697" i="6"/>
  <c r="E696" i="6"/>
  <c r="L696" i="6" s="1"/>
  <c r="N696" i="6" s="1"/>
  <c r="E695" i="6"/>
  <c r="E694" i="6"/>
  <c r="E693" i="6"/>
  <c r="E692" i="6"/>
  <c r="L692" i="6" s="1"/>
  <c r="N692" i="6" s="1"/>
  <c r="E691" i="6"/>
  <c r="E690" i="6"/>
  <c r="E689" i="6"/>
  <c r="E688" i="6"/>
  <c r="L688" i="6" s="1"/>
  <c r="N688" i="6" s="1"/>
  <c r="E687" i="6"/>
  <c r="E686" i="6"/>
  <c r="E685" i="6"/>
  <c r="E684" i="6"/>
  <c r="L684" i="6" s="1"/>
  <c r="N684" i="6" s="1"/>
  <c r="E683" i="6"/>
  <c r="E682" i="6"/>
  <c r="E681" i="6"/>
  <c r="E680" i="6"/>
  <c r="L680" i="6" s="1"/>
  <c r="N680" i="6" s="1"/>
  <c r="E679" i="6"/>
  <c r="E678" i="6"/>
  <c r="E677" i="6"/>
  <c r="E676" i="6"/>
  <c r="L676" i="6" s="1"/>
  <c r="N676" i="6" s="1"/>
  <c r="E675" i="6"/>
  <c r="E674" i="6"/>
  <c r="E673" i="6"/>
  <c r="E672" i="6"/>
  <c r="L672" i="6" s="1"/>
  <c r="N672" i="6" s="1"/>
  <c r="E671" i="6"/>
  <c r="E670" i="6"/>
  <c r="E669" i="6"/>
  <c r="E668" i="6"/>
  <c r="L668" i="6" s="1"/>
  <c r="N668" i="6" s="1"/>
  <c r="E667" i="6"/>
  <c r="E666" i="6"/>
  <c r="E665" i="6"/>
  <c r="E664" i="6"/>
  <c r="L664" i="6" s="1"/>
  <c r="N664" i="6" s="1"/>
  <c r="E663" i="6"/>
  <c r="E662" i="6"/>
  <c r="E661" i="6"/>
  <c r="E660" i="6"/>
  <c r="L660" i="6" s="1"/>
  <c r="N660" i="6" s="1"/>
  <c r="E659" i="6"/>
  <c r="E658" i="6"/>
  <c r="E657" i="6"/>
  <c r="E656" i="6"/>
  <c r="L656" i="6" s="1"/>
  <c r="N656" i="6" s="1"/>
  <c r="E655" i="6"/>
  <c r="E654" i="6"/>
  <c r="E653" i="6"/>
  <c r="E652" i="6"/>
  <c r="L652" i="6" s="1"/>
  <c r="N652" i="6" s="1"/>
  <c r="E651" i="6"/>
  <c r="E650" i="6"/>
  <c r="E649" i="6"/>
  <c r="E648" i="6"/>
  <c r="E647" i="6"/>
  <c r="E646" i="6"/>
  <c r="E645" i="6"/>
  <c r="E644" i="6"/>
  <c r="L644" i="6" s="1"/>
  <c r="N644" i="6" s="1"/>
  <c r="E643" i="6"/>
  <c r="E642" i="6"/>
  <c r="L642" i="6" s="1"/>
  <c r="E641" i="6"/>
  <c r="E640" i="6"/>
  <c r="L640" i="6" s="1"/>
  <c r="N640" i="6" s="1"/>
  <c r="E639" i="6"/>
  <c r="E638" i="6"/>
  <c r="E637" i="6"/>
  <c r="E636" i="6"/>
  <c r="L636" i="6" s="1"/>
  <c r="N636" i="6" s="1"/>
  <c r="E635" i="6"/>
  <c r="E634" i="6"/>
  <c r="E633" i="6"/>
  <c r="E632" i="6"/>
  <c r="L632" i="6" s="1"/>
  <c r="N632" i="6" s="1"/>
  <c r="E631" i="6"/>
  <c r="E630" i="6"/>
  <c r="E629" i="6"/>
  <c r="E628" i="6"/>
  <c r="L628" i="6" s="1"/>
  <c r="N628" i="6" s="1"/>
  <c r="E627" i="6"/>
  <c r="E626" i="6"/>
  <c r="E625" i="6"/>
  <c r="E624" i="6"/>
  <c r="L624" i="6" s="1"/>
  <c r="N624" i="6" s="1"/>
  <c r="E623" i="6"/>
  <c r="E622" i="6"/>
  <c r="E621" i="6"/>
  <c r="E620" i="6"/>
  <c r="L620" i="6" s="1"/>
  <c r="N620" i="6" s="1"/>
  <c r="E619" i="6"/>
  <c r="E618" i="6"/>
  <c r="E617" i="6"/>
  <c r="E616" i="6"/>
  <c r="L616" i="6" s="1"/>
  <c r="N616" i="6" s="1"/>
  <c r="E615" i="6"/>
  <c r="E614" i="6"/>
  <c r="E613" i="6"/>
  <c r="E612" i="6"/>
  <c r="L612" i="6" s="1"/>
  <c r="N612" i="6" s="1"/>
  <c r="E611" i="6"/>
  <c r="E610" i="6"/>
  <c r="E609" i="6"/>
  <c r="E608" i="6"/>
  <c r="E607" i="6"/>
  <c r="E606" i="6"/>
  <c r="E605" i="6"/>
  <c r="E604" i="6"/>
  <c r="L604" i="6" s="1"/>
  <c r="N604" i="6" s="1"/>
  <c r="E603" i="6"/>
  <c r="E602" i="6"/>
  <c r="E601" i="6"/>
  <c r="E600" i="6"/>
  <c r="L600" i="6" s="1"/>
  <c r="N600" i="6" s="1"/>
  <c r="E599" i="6"/>
  <c r="E598" i="6"/>
  <c r="E597" i="6"/>
  <c r="E596" i="6"/>
  <c r="L596" i="6" s="1"/>
  <c r="N596" i="6" s="1"/>
  <c r="E595" i="6"/>
  <c r="E594" i="6"/>
  <c r="E593" i="6"/>
  <c r="E592" i="6"/>
  <c r="L592" i="6" s="1"/>
  <c r="N592" i="6" s="1"/>
  <c r="E591" i="6"/>
  <c r="E590" i="6"/>
  <c r="E589" i="6"/>
  <c r="E588" i="6"/>
  <c r="L588" i="6" s="1"/>
  <c r="N588" i="6" s="1"/>
  <c r="E587" i="6"/>
  <c r="E586" i="6"/>
  <c r="E585" i="6"/>
  <c r="E584" i="6"/>
  <c r="E583" i="6"/>
  <c r="E582" i="6"/>
  <c r="E581" i="6"/>
  <c r="E580" i="6"/>
  <c r="L580" i="6" s="1"/>
  <c r="N580" i="6" s="1"/>
  <c r="E579" i="6"/>
  <c r="E578" i="6"/>
  <c r="E577" i="6"/>
  <c r="E576" i="6"/>
  <c r="L576" i="6" s="1"/>
  <c r="N576" i="6" s="1"/>
  <c r="E575" i="6"/>
  <c r="E574" i="6"/>
  <c r="E573" i="6"/>
  <c r="E572" i="6"/>
  <c r="L572" i="6" s="1"/>
  <c r="N572" i="6" s="1"/>
  <c r="E571" i="6"/>
  <c r="E570" i="6"/>
  <c r="E569" i="6"/>
  <c r="E568" i="6"/>
  <c r="L568" i="6" s="1"/>
  <c r="N568" i="6" s="1"/>
  <c r="E567" i="6"/>
  <c r="E566" i="6"/>
  <c r="E565" i="6"/>
  <c r="E564" i="6"/>
  <c r="L564" i="6" s="1"/>
  <c r="N564" i="6" s="1"/>
  <c r="E563" i="6"/>
  <c r="E562" i="6"/>
  <c r="E561" i="6"/>
  <c r="E560" i="6"/>
  <c r="L560" i="6" s="1"/>
  <c r="N560" i="6" s="1"/>
  <c r="E559" i="6"/>
  <c r="E558" i="6"/>
  <c r="E557" i="6"/>
  <c r="E556" i="6"/>
  <c r="L556" i="6" s="1"/>
  <c r="N556" i="6" s="1"/>
  <c r="E555" i="6"/>
  <c r="E554" i="6"/>
  <c r="E553" i="6"/>
  <c r="E552" i="6"/>
  <c r="L552" i="6" s="1"/>
  <c r="N552" i="6" s="1"/>
  <c r="E551" i="6"/>
  <c r="E550" i="6"/>
  <c r="E549" i="6"/>
  <c r="E548" i="6"/>
  <c r="E547" i="6"/>
  <c r="E546" i="6"/>
  <c r="E545" i="6"/>
  <c r="E544" i="6"/>
  <c r="L544" i="6" s="1"/>
  <c r="N544" i="6" s="1"/>
  <c r="E543" i="6"/>
  <c r="E542" i="6"/>
  <c r="E541" i="6"/>
  <c r="E540" i="6"/>
  <c r="L540" i="6" s="1"/>
  <c r="N540" i="6" s="1"/>
  <c r="E539" i="6"/>
  <c r="E538" i="6"/>
  <c r="E537" i="6"/>
  <c r="E536" i="6"/>
  <c r="L536" i="6" s="1"/>
  <c r="N536" i="6" s="1"/>
  <c r="E535" i="6"/>
  <c r="E534" i="6"/>
  <c r="E533" i="6"/>
  <c r="E532" i="6"/>
  <c r="L532" i="6" s="1"/>
  <c r="N532" i="6" s="1"/>
  <c r="E531" i="6"/>
  <c r="E530" i="6"/>
  <c r="E529" i="6"/>
  <c r="E528" i="6"/>
  <c r="L528" i="6" s="1"/>
  <c r="N528" i="6" s="1"/>
  <c r="E527" i="6"/>
  <c r="E526" i="6"/>
  <c r="E525" i="6"/>
  <c r="E524" i="6"/>
  <c r="L524" i="6" s="1"/>
  <c r="N524" i="6" s="1"/>
  <c r="E523" i="6"/>
  <c r="E522" i="6"/>
  <c r="E521" i="6"/>
  <c r="E520" i="6"/>
  <c r="L520" i="6" s="1"/>
  <c r="N520" i="6" s="1"/>
  <c r="E519" i="6"/>
  <c r="E518" i="6"/>
  <c r="E517" i="6"/>
  <c r="E516" i="6"/>
  <c r="L516" i="6" s="1"/>
  <c r="N516" i="6" s="1"/>
  <c r="E515" i="6"/>
  <c r="E514" i="6"/>
  <c r="E513" i="6"/>
  <c r="E512" i="6"/>
  <c r="L512" i="6" s="1"/>
  <c r="N512" i="6" s="1"/>
  <c r="E511" i="6"/>
  <c r="E510" i="6"/>
  <c r="E509" i="6"/>
  <c r="E508" i="6"/>
  <c r="L508" i="6" s="1"/>
  <c r="N508" i="6" s="1"/>
  <c r="E507" i="6"/>
  <c r="E506" i="6"/>
  <c r="E505" i="6"/>
  <c r="E504" i="6"/>
  <c r="L504" i="6" s="1"/>
  <c r="N504" i="6" s="1"/>
  <c r="E503" i="6"/>
  <c r="E502" i="6"/>
  <c r="E501" i="6"/>
  <c r="E500" i="6"/>
  <c r="E499" i="6"/>
  <c r="E498" i="6"/>
  <c r="E497" i="6"/>
  <c r="E496" i="6"/>
  <c r="L496" i="6" s="1"/>
  <c r="N496" i="6" s="1"/>
  <c r="E495" i="6"/>
  <c r="E494" i="6"/>
  <c r="E493" i="6"/>
  <c r="E492" i="6"/>
  <c r="L492" i="6" s="1"/>
  <c r="N492" i="6" s="1"/>
  <c r="E491" i="6"/>
  <c r="E490" i="6"/>
  <c r="E489" i="6"/>
  <c r="E488" i="6"/>
  <c r="L488" i="6" s="1"/>
  <c r="N488" i="6" s="1"/>
  <c r="E487" i="6"/>
  <c r="E486" i="6"/>
  <c r="E485" i="6"/>
  <c r="E484" i="6"/>
  <c r="L484" i="6" s="1"/>
  <c r="N484" i="6" s="1"/>
  <c r="E483" i="6"/>
  <c r="E482" i="6"/>
  <c r="E481" i="6"/>
  <c r="E480" i="6"/>
  <c r="L480" i="6" s="1"/>
  <c r="N480" i="6" s="1"/>
  <c r="E479" i="6"/>
  <c r="E478" i="6"/>
  <c r="E477" i="6"/>
  <c r="E476" i="6"/>
  <c r="L476" i="6" s="1"/>
  <c r="N476" i="6" s="1"/>
  <c r="E475" i="6"/>
  <c r="E474" i="6"/>
  <c r="E473" i="6"/>
  <c r="E472" i="6"/>
  <c r="L472" i="6" s="1"/>
  <c r="N472" i="6" s="1"/>
  <c r="E471" i="6"/>
  <c r="E470" i="6"/>
  <c r="E469" i="6"/>
  <c r="E468" i="6"/>
  <c r="L468" i="6" s="1"/>
  <c r="N468" i="6" s="1"/>
  <c r="E467" i="6"/>
  <c r="E466" i="6"/>
  <c r="E465" i="6"/>
  <c r="E464" i="6"/>
  <c r="L464" i="6" s="1"/>
  <c r="N464" i="6" s="1"/>
  <c r="E463" i="6"/>
  <c r="E462" i="6"/>
  <c r="E461" i="6"/>
  <c r="E460" i="6"/>
  <c r="L460" i="6" s="1"/>
  <c r="N460" i="6" s="1"/>
  <c r="E459" i="6"/>
  <c r="E458" i="6"/>
  <c r="E457" i="6"/>
  <c r="E456" i="6"/>
  <c r="E455" i="6"/>
  <c r="E454" i="6"/>
  <c r="E453" i="6"/>
  <c r="E452" i="6"/>
  <c r="L452" i="6" s="1"/>
  <c r="N452" i="6" s="1"/>
  <c r="E451" i="6"/>
  <c r="E450" i="6"/>
  <c r="E449" i="6"/>
  <c r="E448" i="6"/>
  <c r="E447" i="6"/>
  <c r="E446" i="6"/>
  <c r="E445" i="6"/>
  <c r="E444" i="6"/>
  <c r="L444" i="6" s="1"/>
  <c r="N444" i="6" s="1"/>
  <c r="E443" i="6"/>
  <c r="E442" i="6"/>
  <c r="E441" i="6"/>
  <c r="E440" i="6"/>
  <c r="L440" i="6" s="1"/>
  <c r="N440" i="6" s="1"/>
  <c r="E439" i="6"/>
  <c r="E438" i="6"/>
  <c r="E437" i="6"/>
  <c r="E436" i="6"/>
  <c r="L436" i="6" s="1"/>
  <c r="N436" i="6" s="1"/>
  <c r="E435" i="6"/>
  <c r="E434" i="6"/>
  <c r="E433" i="6"/>
  <c r="E432" i="6"/>
  <c r="L432" i="6" s="1"/>
  <c r="N432" i="6" s="1"/>
  <c r="E431" i="6"/>
  <c r="E430" i="6"/>
  <c r="E429" i="6"/>
  <c r="E428" i="6"/>
  <c r="L428" i="6" s="1"/>
  <c r="N428" i="6" s="1"/>
  <c r="E427" i="6"/>
  <c r="E426" i="6"/>
  <c r="E425" i="6"/>
  <c r="E424" i="6"/>
  <c r="L424" i="6" s="1"/>
  <c r="N424" i="6" s="1"/>
  <c r="E423" i="6"/>
  <c r="E422" i="6"/>
  <c r="E421" i="6"/>
  <c r="E420" i="6"/>
  <c r="L420" i="6" s="1"/>
  <c r="N420" i="6" s="1"/>
  <c r="E419" i="6"/>
  <c r="E418" i="6"/>
  <c r="E417" i="6"/>
  <c r="E416" i="6"/>
  <c r="L416" i="6" s="1"/>
  <c r="N416" i="6" s="1"/>
  <c r="E415" i="6"/>
  <c r="E414" i="6"/>
  <c r="E413" i="6"/>
  <c r="E412" i="6"/>
  <c r="E411" i="6"/>
  <c r="E410" i="6"/>
  <c r="E409" i="6"/>
  <c r="E408" i="6"/>
  <c r="L408" i="6" s="1"/>
  <c r="N408" i="6" s="1"/>
  <c r="E407" i="6"/>
  <c r="E406" i="6"/>
  <c r="E405" i="6"/>
  <c r="E404" i="6"/>
  <c r="L404" i="6" s="1"/>
  <c r="N404" i="6" s="1"/>
  <c r="E403" i="6"/>
  <c r="E402" i="6"/>
  <c r="E401" i="6"/>
  <c r="E400" i="6"/>
  <c r="L400" i="6" s="1"/>
  <c r="N400" i="6" s="1"/>
  <c r="E399" i="6"/>
  <c r="E398" i="6"/>
  <c r="E397" i="6"/>
  <c r="E396" i="6"/>
  <c r="L396" i="6" s="1"/>
  <c r="N396" i="6" s="1"/>
  <c r="E395" i="6"/>
  <c r="E394" i="6"/>
  <c r="E393" i="6"/>
  <c r="E392" i="6"/>
  <c r="L392" i="6" s="1"/>
  <c r="N392" i="6" s="1"/>
  <c r="E391" i="6"/>
  <c r="E390" i="6"/>
  <c r="E389" i="6"/>
  <c r="E388" i="6"/>
  <c r="L388" i="6" s="1"/>
  <c r="N388" i="6" s="1"/>
  <c r="E387" i="6"/>
  <c r="E386" i="6"/>
  <c r="E385" i="6"/>
  <c r="E384" i="6"/>
  <c r="L384" i="6" s="1"/>
  <c r="N384" i="6" s="1"/>
  <c r="E383" i="6"/>
  <c r="E382" i="6"/>
  <c r="E381" i="6"/>
  <c r="E380" i="6"/>
  <c r="L380" i="6" s="1"/>
  <c r="N380" i="6" s="1"/>
  <c r="E379" i="6"/>
  <c r="E378" i="6"/>
  <c r="E377" i="6"/>
  <c r="E376" i="6"/>
  <c r="L376" i="6" s="1"/>
  <c r="N376" i="6" s="1"/>
  <c r="E375" i="6"/>
  <c r="E374" i="6"/>
  <c r="E373" i="6"/>
  <c r="E372" i="6"/>
  <c r="L372" i="6" s="1"/>
  <c r="N372" i="6" s="1"/>
  <c r="E371" i="6"/>
  <c r="E370" i="6"/>
  <c r="E369" i="6"/>
  <c r="E368" i="6"/>
  <c r="L368" i="6" s="1"/>
  <c r="N368" i="6" s="1"/>
  <c r="E367" i="6"/>
  <c r="E366" i="6"/>
  <c r="E365" i="6"/>
  <c r="E364" i="6"/>
  <c r="L364" i="6" s="1"/>
  <c r="N364" i="6" s="1"/>
  <c r="E363" i="6"/>
  <c r="E362" i="6"/>
  <c r="E361" i="6"/>
  <c r="E360" i="6"/>
  <c r="L360" i="6" s="1"/>
  <c r="N360" i="6" s="1"/>
  <c r="E359" i="6"/>
  <c r="E358" i="6"/>
  <c r="E357" i="6"/>
  <c r="E356" i="6"/>
  <c r="L356" i="6" s="1"/>
  <c r="N356" i="6" s="1"/>
  <c r="E355" i="6"/>
  <c r="E354" i="6"/>
  <c r="E353" i="6"/>
  <c r="E352" i="6"/>
  <c r="L352" i="6" s="1"/>
  <c r="N352" i="6" s="1"/>
  <c r="E351" i="6"/>
  <c r="E350" i="6"/>
  <c r="E349" i="6"/>
  <c r="E348" i="6"/>
  <c r="L348" i="6" s="1"/>
  <c r="N348" i="6" s="1"/>
  <c r="E347" i="6"/>
  <c r="E346" i="6"/>
  <c r="E345" i="6"/>
  <c r="E344" i="6"/>
  <c r="L344" i="6" s="1"/>
  <c r="N344" i="6" s="1"/>
  <c r="E343" i="6"/>
  <c r="E342" i="6"/>
  <c r="E341" i="6"/>
  <c r="E340" i="6"/>
  <c r="L340" i="6" s="1"/>
  <c r="N340" i="6" s="1"/>
  <c r="E339" i="6"/>
  <c r="E338" i="6"/>
  <c r="E337" i="6"/>
  <c r="E336" i="6"/>
  <c r="L336" i="6" s="1"/>
  <c r="N336" i="6" s="1"/>
  <c r="E335" i="6"/>
  <c r="E334" i="6"/>
  <c r="E333" i="6"/>
  <c r="E332" i="6"/>
  <c r="L332" i="6" s="1"/>
  <c r="N332" i="6" s="1"/>
  <c r="E331" i="6"/>
  <c r="E330" i="6"/>
  <c r="E329" i="6"/>
  <c r="E328" i="6"/>
  <c r="L328" i="6" s="1"/>
  <c r="N328" i="6" s="1"/>
  <c r="E327" i="6"/>
  <c r="E326" i="6"/>
  <c r="E325" i="6"/>
  <c r="E324" i="6"/>
  <c r="L324" i="6" s="1"/>
  <c r="N324" i="6" s="1"/>
  <c r="E323" i="6"/>
  <c r="E322" i="6"/>
  <c r="E321" i="6"/>
  <c r="E320" i="6"/>
  <c r="L320" i="6" s="1"/>
  <c r="N320" i="6" s="1"/>
  <c r="E319" i="6"/>
  <c r="E318" i="6"/>
  <c r="E317" i="6"/>
  <c r="E316" i="6"/>
  <c r="L316" i="6" s="1"/>
  <c r="N316" i="6" s="1"/>
  <c r="E315" i="6"/>
  <c r="E314" i="6"/>
  <c r="E313" i="6"/>
  <c r="E312" i="6"/>
  <c r="L312" i="6" s="1"/>
  <c r="N312" i="6" s="1"/>
  <c r="E311" i="6"/>
  <c r="E310" i="6"/>
  <c r="E309" i="6"/>
  <c r="E308" i="6"/>
  <c r="L308" i="6" s="1"/>
  <c r="N308" i="6" s="1"/>
  <c r="E307" i="6"/>
  <c r="E306" i="6"/>
  <c r="E305" i="6"/>
  <c r="E304" i="6"/>
  <c r="L304" i="6" s="1"/>
  <c r="N304" i="6" s="1"/>
  <c r="E303" i="6"/>
  <c r="E302" i="6"/>
  <c r="E301" i="6"/>
  <c r="E300" i="6"/>
  <c r="L300" i="6" s="1"/>
  <c r="N300" i="6" s="1"/>
  <c r="E299" i="6"/>
  <c r="E298" i="6"/>
  <c r="E297" i="6"/>
  <c r="E296" i="6"/>
  <c r="L296" i="6" s="1"/>
  <c r="N296" i="6" s="1"/>
  <c r="E295" i="6"/>
  <c r="E294" i="6"/>
  <c r="E293" i="6"/>
  <c r="E292" i="6"/>
  <c r="L292" i="6" s="1"/>
  <c r="N292" i="6" s="1"/>
  <c r="E291" i="6"/>
  <c r="E290" i="6"/>
  <c r="E289" i="6"/>
  <c r="E288" i="6"/>
  <c r="L288" i="6" s="1"/>
  <c r="N288" i="6" s="1"/>
  <c r="E287" i="6"/>
  <c r="E286" i="6"/>
  <c r="E285" i="6"/>
  <c r="E284" i="6"/>
  <c r="L284" i="6" s="1"/>
  <c r="N284" i="6" s="1"/>
  <c r="E283" i="6"/>
  <c r="E282" i="6"/>
  <c r="E281" i="6"/>
  <c r="E280" i="6"/>
  <c r="L280" i="6" s="1"/>
  <c r="N280" i="6" s="1"/>
  <c r="E279" i="6"/>
  <c r="E278" i="6"/>
  <c r="E277" i="6"/>
  <c r="E276" i="6"/>
  <c r="L276" i="6" s="1"/>
  <c r="N276" i="6" s="1"/>
  <c r="E275" i="6"/>
  <c r="E274" i="6"/>
  <c r="E273" i="6"/>
  <c r="E272" i="6"/>
  <c r="L272" i="6" s="1"/>
  <c r="N272" i="6" s="1"/>
  <c r="E271" i="6"/>
  <c r="E270" i="6"/>
  <c r="E269" i="6"/>
  <c r="E268" i="6"/>
  <c r="L268" i="6" s="1"/>
  <c r="N268" i="6" s="1"/>
  <c r="E267" i="6"/>
  <c r="E266" i="6"/>
  <c r="E265" i="6"/>
  <c r="E264" i="6"/>
  <c r="L264" i="6" s="1"/>
  <c r="N264" i="6" s="1"/>
  <c r="E263" i="6"/>
  <c r="E262" i="6"/>
  <c r="E261" i="6"/>
  <c r="E260" i="6"/>
  <c r="L260" i="6" s="1"/>
  <c r="N260" i="6" s="1"/>
  <c r="E259" i="6"/>
  <c r="E258" i="6"/>
  <c r="E257" i="6"/>
  <c r="E256" i="6"/>
  <c r="E255" i="6"/>
  <c r="E254" i="6"/>
  <c r="E253" i="6"/>
  <c r="E252" i="6"/>
  <c r="L252" i="6" s="1"/>
  <c r="N252" i="6" s="1"/>
  <c r="E251" i="6"/>
  <c r="E250" i="6"/>
  <c r="E249" i="6"/>
  <c r="E248" i="6"/>
  <c r="L248" i="6" s="1"/>
  <c r="N248" i="6" s="1"/>
  <c r="E247" i="6"/>
  <c r="E246" i="6"/>
  <c r="E245" i="6"/>
  <c r="E244" i="6"/>
  <c r="L244" i="6" s="1"/>
  <c r="N244" i="6" s="1"/>
  <c r="E243" i="6"/>
  <c r="E242" i="6"/>
  <c r="E241" i="6"/>
  <c r="E240" i="6"/>
  <c r="L240" i="6" s="1"/>
  <c r="N240" i="6" s="1"/>
  <c r="E239" i="6"/>
  <c r="E238" i="6"/>
  <c r="E237" i="6"/>
  <c r="E236" i="6"/>
  <c r="L236" i="6" s="1"/>
  <c r="N236" i="6" s="1"/>
  <c r="E235" i="6"/>
  <c r="E234" i="6"/>
  <c r="E233" i="6"/>
  <c r="E232" i="6"/>
  <c r="L232" i="6" s="1"/>
  <c r="N232" i="6" s="1"/>
  <c r="E231" i="6"/>
  <c r="E230" i="6"/>
  <c r="E229" i="6"/>
  <c r="E228" i="6"/>
  <c r="L228" i="6" s="1"/>
  <c r="N228" i="6" s="1"/>
  <c r="E227" i="6"/>
  <c r="E226" i="6"/>
  <c r="E225" i="6"/>
  <c r="E224" i="6"/>
  <c r="L224" i="6" s="1"/>
  <c r="N224" i="6" s="1"/>
  <c r="E223" i="6"/>
  <c r="E222" i="6"/>
  <c r="E221" i="6"/>
  <c r="E220" i="6"/>
  <c r="L220" i="6" s="1"/>
  <c r="N220" i="6" s="1"/>
  <c r="E219" i="6"/>
  <c r="E218" i="6"/>
  <c r="E217" i="6"/>
  <c r="E216" i="6"/>
  <c r="L216" i="6" s="1"/>
  <c r="N216" i="6" s="1"/>
  <c r="E215" i="6"/>
  <c r="E214" i="6"/>
  <c r="E213" i="6"/>
  <c r="E212" i="6"/>
  <c r="L212" i="6" s="1"/>
  <c r="N212" i="6" s="1"/>
  <c r="E211" i="6"/>
  <c r="E210" i="6"/>
  <c r="E209" i="6"/>
  <c r="E208" i="6"/>
  <c r="L208" i="6" s="1"/>
  <c r="N208" i="6" s="1"/>
  <c r="E207" i="6"/>
  <c r="E206" i="6"/>
  <c r="E205" i="6"/>
  <c r="E204" i="6"/>
  <c r="L204" i="6" s="1"/>
  <c r="N204" i="6" s="1"/>
  <c r="E203" i="6"/>
  <c r="E202" i="6"/>
  <c r="E201" i="6"/>
  <c r="E200" i="6"/>
  <c r="L200" i="6" s="1"/>
  <c r="N200" i="6" s="1"/>
  <c r="E199" i="6"/>
  <c r="E198" i="6"/>
  <c r="E197" i="6"/>
  <c r="E196" i="6"/>
  <c r="L196" i="6" s="1"/>
  <c r="N196" i="6" s="1"/>
  <c r="E195" i="6"/>
  <c r="E194" i="6"/>
  <c r="E193" i="6"/>
  <c r="E192" i="6"/>
  <c r="L192" i="6" s="1"/>
  <c r="N192" i="6" s="1"/>
  <c r="E191" i="6"/>
  <c r="E190" i="6"/>
  <c r="E189" i="6"/>
  <c r="E188" i="6"/>
  <c r="L188" i="6" s="1"/>
  <c r="N188" i="6" s="1"/>
  <c r="E187" i="6"/>
  <c r="E186" i="6"/>
  <c r="E185" i="6"/>
  <c r="E184" i="6"/>
  <c r="L184" i="6" s="1"/>
  <c r="N184" i="6" s="1"/>
  <c r="E183" i="6"/>
  <c r="E182" i="6"/>
  <c r="E181" i="6"/>
  <c r="E180" i="6"/>
  <c r="L180" i="6" s="1"/>
  <c r="N180" i="6" s="1"/>
  <c r="E179" i="6"/>
  <c r="E178" i="6"/>
  <c r="E177" i="6"/>
  <c r="E176" i="6"/>
  <c r="L176" i="6" s="1"/>
  <c r="N176" i="6" s="1"/>
  <c r="E175" i="6"/>
  <c r="E174" i="6"/>
  <c r="E173" i="6"/>
  <c r="E172" i="6"/>
  <c r="L172" i="6" s="1"/>
  <c r="N172" i="6" s="1"/>
  <c r="E171" i="6"/>
  <c r="E170" i="6"/>
  <c r="E169" i="6"/>
  <c r="E168" i="6"/>
  <c r="L168" i="6" s="1"/>
  <c r="N168" i="6" s="1"/>
  <c r="E167" i="6"/>
  <c r="E166" i="6"/>
  <c r="L166" i="6" s="1"/>
  <c r="E165" i="6"/>
  <c r="E164" i="6"/>
  <c r="L164" i="6" s="1"/>
  <c r="N164" i="6" s="1"/>
  <c r="E163" i="6"/>
  <c r="E162" i="6"/>
  <c r="E161" i="6"/>
  <c r="E160" i="6"/>
  <c r="L160" i="6" s="1"/>
  <c r="N160" i="6" s="1"/>
  <c r="E159" i="6"/>
  <c r="E158" i="6"/>
  <c r="E157" i="6"/>
  <c r="E156" i="6"/>
  <c r="L156" i="6" s="1"/>
  <c r="N156" i="6" s="1"/>
  <c r="E155" i="6"/>
  <c r="E154" i="6"/>
  <c r="E153" i="6"/>
  <c r="E152" i="6"/>
  <c r="L152" i="6" s="1"/>
  <c r="N152" i="6" s="1"/>
  <c r="E151" i="6"/>
  <c r="E150" i="6"/>
  <c r="E149" i="6"/>
  <c r="E148" i="6"/>
  <c r="E147" i="6"/>
  <c r="E146" i="6"/>
  <c r="E145" i="6"/>
  <c r="E144" i="6"/>
  <c r="L144" i="6" s="1"/>
  <c r="N144" i="6" s="1"/>
  <c r="E143" i="6"/>
  <c r="E142" i="6"/>
  <c r="E141" i="6"/>
  <c r="E140" i="6"/>
  <c r="L140" i="6" s="1"/>
  <c r="N140" i="6" s="1"/>
  <c r="E139" i="6"/>
  <c r="E138" i="6"/>
  <c r="E137" i="6"/>
  <c r="E136" i="6"/>
  <c r="L136" i="6" s="1"/>
  <c r="N136" i="6" s="1"/>
  <c r="E135" i="6"/>
  <c r="E134" i="6"/>
  <c r="L134" i="6" s="1"/>
  <c r="E133" i="6"/>
  <c r="E132" i="6"/>
  <c r="L132" i="6" s="1"/>
  <c r="N132" i="6" s="1"/>
  <c r="E131" i="6"/>
  <c r="E130" i="6"/>
  <c r="E129" i="6"/>
  <c r="E128" i="6"/>
  <c r="L128" i="6" s="1"/>
  <c r="N128" i="6" s="1"/>
  <c r="E127" i="6"/>
  <c r="E126" i="6"/>
  <c r="E125" i="6"/>
  <c r="E124" i="6"/>
  <c r="L124" i="6" s="1"/>
  <c r="N124" i="6" s="1"/>
  <c r="E123" i="6"/>
  <c r="E122" i="6"/>
  <c r="E121" i="6"/>
  <c r="E120" i="6"/>
  <c r="L120" i="6" s="1"/>
  <c r="N120" i="6" s="1"/>
  <c r="E119" i="6"/>
  <c r="E118" i="6"/>
  <c r="E117" i="6"/>
  <c r="E116" i="6"/>
  <c r="L116" i="6" s="1"/>
  <c r="N116" i="6" s="1"/>
  <c r="E115" i="6"/>
  <c r="E114" i="6"/>
  <c r="E113" i="6"/>
  <c r="E112" i="6"/>
  <c r="L112" i="6" s="1"/>
  <c r="N112" i="6" s="1"/>
  <c r="E111" i="6"/>
  <c r="E110" i="6"/>
  <c r="E109" i="6"/>
  <c r="E108" i="6"/>
  <c r="L108" i="6" s="1"/>
  <c r="N108" i="6" s="1"/>
  <c r="E107" i="6"/>
  <c r="E106" i="6"/>
  <c r="E105" i="6"/>
  <c r="E104" i="6"/>
  <c r="L104" i="6" s="1"/>
  <c r="N104" i="6" s="1"/>
  <c r="E103" i="6"/>
  <c r="E102" i="6"/>
  <c r="E101" i="6"/>
  <c r="E100" i="6"/>
  <c r="L100" i="6" s="1"/>
  <c r="N100" i="6" s="1"/>
  <c r="E99" i="6"/>
  <c r="E98" i="6"/>
  <c r="E97" i="6"/>
  <c r="E96" i="6"/>
  <c r="L96" i="6" s="1"/>
  <c r="N96" i="6" s="1"/>
  <c r="E95" i="6"/>
  <c r="E94" i="6"/>
  <c r="E93" i="6"/>
  <c r="E92" i="6"/>
  <c r="L92" i="6" s="1"/>
  <c r="N92" i="6" s="1"/>
  <c r="E91" i="6"/>
  <c r="E90" i="6"/>
  <c r="E73" i="6"/>
  <c r="E59" i="6"/>
  <c r="L59" i="6" s="1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K3015" i="6" s="1"/>
  <c r="C3015" i="6"/>
  <c r="F3015" i="6"/>
  <c r="G3015" i="6"/>
  <c r="H3015" i="6"/>
  <c r="I3015" i="6"/>
  <c r="J3015" i="6"/>
  <c r="A3016" i="6"/>
  <c r="B3016" i="6"/>
  <c r="K3016" i="6" s="1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K3027" i="6" s="1"/>
  <c r="C3027" i="6"/>
  <c r="F3027" i="6"/>
  <c r="G3027" i="6"/>
  <c r="H3027" i="6"/>
  <c r="I3027" i="6"/>
  <c r="J3027" i="6"/>
  <c r="A3028" i="6"/>
  <c r="B3028" i="6"/>
  <c r="K3028" i="6" s="1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K3043" i="6" s="1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K3045" i="6" s="1"/>
  <c r="C3045" i="6"/>
  <c r="F3045" i="6"/>
  <c r="G3045" i="6"/>
  <c r="H3045" i="6"/>
  <c r="I3045" i="6"/>
  <c r="J3045" i="6"/>
  <c r="A3046" i="6"/>
  <c r="B3046" i="6"/>
  <c r="K3046" i="6" s="1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K3057" i="6" s="1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K3085" i="6" s="1"/>
  <c r="C3085" i="6"/>
  <c r="F3085" i="6"/>
  <c r="G3085" i="6"/>
  <c r="H3085" i="6"/>
  <c r="I3085" i="6"/>
  <c r="J3085" i="6"/>
  <c r="A3086" i="6"/>
  <c r="B3086" i="6"/>
  <c r="K3086" i="6" s="1"/>
  <c r="C3086" i="6"/>
  <c r="F3086" i="6"/>
  <c r="G3086" i="6"/>
  <c r="H3086" i="6"/>
  <c r="I3086" i="6"/>
  <c r="J3086" i="6"/>
  <c r="A3087" i="6"/>
  <c r="B3087" i="6"/>
  <c r="K3087" i="6" s="1"/>
  <c r="C3087" i="6"/>
  <c r="F3087" i="6"/>
  <c r="G3087" i="6"/>
  <c r="H3087" i="6"/>
  <c r="I3087" i="6"/>
  <c r="J3087" i="6"/>
  <c r="A3088" i="6"/>
  <c r="B3088" i="6"/>
  <c r="K3088" i="6" s="1"/>
  <c r="C3088" i="6"/>
  <c r="F3088" i="6"/>
  <c r="G3088" i="6"/>
  <c r="H3088" i="6"/>
  <c r="I3088" i="6"/>
  <c r="J3088" i="6"/>
  <c r="A3089" i="6"/>
  <c r="B3089" i="6"/>
  <c r="K3089" i="6" s="1"/>
  <c r="C3089" i="6"/>
  <c r="F3089" i="6"/>
  <c r="G3089" i="6"/>
  <c r="H3089" i="6"/>
  <c r="I3089" i="6"/>
  <c r="J3089" i="6"/>
  <c r="A3090" i="6"/>
  <c r="B3090" i="6"/>
  <c r="K3090" i="6" s="1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K3093" i="6" s="1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K3126" i="6" s="1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K3129" i="6" s="1"/>
  <c r="C3129" i="6"/>
  <c r="F3129" i="6"/>
  <c r="G3129" i="6"/>
  <c r="H3129" i="6"/>
  <c r="I3129" i="6"/>
  <c r="J3129" i="6"/>
  <c r="A3130" i="6"/>
  <c r="B3130" i="6"/>
  <c r="K3130" i="6" s="1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K3156" i="6" s="1"/>
  <c r="C3156" i="6"/>
  <c r="F3156" i="6"/>
  <c r="G3156" i="6"/>
  <c r="H3156" i="6"/>
  <c r="I3156" i="6"/>
  <c r="J3156" i="6"/>
  <c r="A3157" i="6"/>
  <c r="B3157" i="6"/>
  <c r="K3157" i="6" s="1"/>
  <c r="C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K3194" i="6" s="1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K3234" i="6" s="1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K3306" i="6" s="1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K3320" i="6" s="1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K3372" i="6" s="1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K3496" i="6" s="1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K3499" i="6" s="1"/>
  <c r="C3499" i="6"/>
  <c r="F3499" i="6"/>
  <c r="G3499" i="6"/>
  <c r="H3499" i="6"/>
  <c r="I3499" i="6"/>
  <c r="J3499" i="6"/>
  <c r="A3500" i="6"/>
  <c r="B3500" i="6"/>
  <c r="K3500" i="6" s="1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K3582" i="6" s="1"/>
  <c r="C3582" i="6"/>
  <c r="F3582" i="6"/>
  <c r="G3582" i="6"/>
  <c r="H3582" i="6"/>
  <c r="I3582" i="6"/>
  <c r="J3582" i="6"/>
  <c r="A3583" i="6"/>
  <c r="B3583" i="6"/>
  <c r="K3583" i="6" s="1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K3639" i="6" s="1"/>
  <c r="C3639" i="6"/>
  <c r="F3639" i="6"/>
  <c r="G3639" i="6"/>
  <c r="H3639" i="6"/>
  <c r="I3639" i="6"/>
  <c r="J3639" i="6"/>
  <c r="A3640" i="6"/>
  <c r="B3640" i="6"/>
  <c r="K3640" i="6" s="1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K3642" i="6" s="1"/>
  <c r="C3642" i="6"/>
  <c r="F3642" i="6"/>
  <c r="G3642" i="6"/>
  <c r="H3642" i="6"/>
  <c r="I3642" i="6"/>
  <c r="J3642" i="6"/>
  <c r="A3643" i="6"/>
  <c r="B3643" i="6"/>
  <c r="K3643" i="6" s="1"/>
  <c r="C3643" i="6"/>
  <c r="F3643" i="6"/>
  <c r="G3643" i="6"/>
  <c r="H3643" i="6"/>
  <c r="I3643" i="6"/>
  <c r="J3643" i="6"/>
  <c r="A3644" i="6"/>
  <c r="B3644" i="6"/>
  <c r="K3644" i="6" s="1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K3647" i="6" s="1"/>
  <c r="C3647" i="6"/>
  <c r="F3647" i="6"/>
  <c r="G3647" i="6"/>
  <c r="H3647" i="6"/>
  <c r="I3647" i="6"/>
  <c r="J3647" i="6"/>
  <c r="A3648" i="6"/>
  <c r="B3648" i="6"/>
  <c r="K3648" i="6" s="1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K3983" i="6" s="1"/>
  <c r="C3983" i="6"/>
  <c r="F3983" i="6"/>
  <c r="G3983" i="6"/>
  <c r="H3983" i="6"/>
  <c r="I3983" i="6"/>
  <c r="J3983" i="6"/>
  <c r="A3984" i="6"/>
  <c r="B3984" i="6"/>
  <c r="K3984" i="6" s="1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K4032" i="6" s="1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L4" i="6" s="1"/>
  <c r="N4" i="6" s="1"/>
  <c r="E5" i="6"/>
  <c r="E6" i="6"/>
  <c r="L6" i="6" s="1"/>
  <c r="N6" i="6" s="1"/>
  <c r="E7" i="6"/>
  <c r="E8" i="6"/>
  <c r="L8" i="6" s="1"/>
  <c r="N8" i="6" s="1"/>
  <c r="E9" i="6"/>
  <c r="E10" i="6"/>
  <c r="L10" i="6" s="1"/>
  <c r="N10" i="6" s="1"/>
  <c r="E11" i="6"/>
  <c r="E12" i="6"/>
  <c r="E13" i="6"/>
  <c r="E14" i="6"/>
  <c r="L14" i="6" s="1"/>
  <c r="N14" i="6" s="1"/>
  <c r="E15" i="6"/>
  <c r="E16" i="6"/>
  <c r="L16" i="6" s="1"/>
  <c r="N16" i="6" s="1"/>
  <c r="E17" i="6"/>
  <c r="E18" i="6"/>
  <c r="E19" i="6"/>
  <c r="E20" i="6"/>
  <c r="E21" i="6"/>
  <c r="E22" i="6"/>
  <c r="L22" i="6" s="1"/>
  <c r="N22" i="6" s="1"/>
  <c r="E23" i="6"/>
  <c r="E24" i="6"/>
  <c r="L24" i="6" s="1"/>
  <c r="N24" i="6" s="1"/>
  <c r="E25" i="6"/>
  <c r="E26" i="6"/>
  <c r="E27" i="6"/>
  <c r="E28" i="6"/>
  <c r="E29" i="6"/>
  <c r="E30" i="6"/>
  <c r="E31" i="6"/>
  <c r="E32" i="6"/>
  <c r="L32" i="6" s="1"/>
  <c r="N32" i="6" s="1"/>
  <c r="E33" i="6"/>
  <c r="E34" i="6"/>
  <c r="L34" i="6" s="1"/>
  <c r="N34" i="6" s="1"/>
  <c r="E35" i="6"/>
  <c r="E36" i="6"/>
  <c r="L36" i="6" s="1"/>
  <c r="N36" i="6" s="1"/>
  <c r="E37" i="6"/>
  <c r="E38" i="6"/>
  <c r="L38" i="6" s="1"/>
  <c r="N38" i="6" s="1"/>
  <c r="E39" i="6"/>
  <c r="E40" i="6"/>
  <c r="L40" i="6" s="1"/>
  <c r="N40" i="6" s="1"/>
  <c r="E41" i="6"/>
  <c r="E42" i="6"/>
  <c r="E43" i="6"/>
  <c r="E44" i="6"/>
  <c r="E46" i="6"/>
  <c r="E47" i="6"/>
  <c r="L47" i="6" s="1"/>
  <c r="E48" i="6"/>
  <c r="L48" i="6" s="1"/>
  <c r="N48" i="6" s="1"/>
  <c r="E49" i="6"/>
  <c r="L49" i="6" s="1"/>
  <c r="E50" i="6"/>
  <c r="E51" i="6"/>
  <c r="L51" i="6" s="1"/>
  <c r="E52" i="6"/>
  <c r="E53" i="6"/>
  <c r="L53" i="6" s="1"/>
  <c r="E54" i="6"/>
  <c r="E55" i="6"/>
  <c r="L55" i="6" s="1"/>
  <c r="E56" i="6"/>
  <c r="L56" i="6" s="1"/>
  <c r="N56" i="6" s="1"/>
  <c r="E57" i="6"/>
  <c r="L57" i="6" s="1"/>
  <c r="N57" i="6" s="1"/>
  <c r="E58" i="6"/>
  <c r="E60" i="6"/>
  <c r="E61" i="6"/>
  <c r="L61" i="6" s="1"/>
  <c r="E62" i="6"/>
  <c r="L62" i="6" s="1"/>
  <c r="N62" i="6" s="1"/>
  <c r="E63" i="6"/>
  <c r="E64" i="6"/>
  <c r="L64" i="6" s="1"/>
  <c r="N64" i="6" s="1"/>
  <c r="E65" i="6"/>
  <c r="L65" i="6" s="1"/>
  <c r="E66" i="6"/>
  <c r="L66" i="6" s="1"/>
  <c r="N66" i="6" s="1"/>
  <c r="E67" i="6"/>
  <c r="E68" i="6"/>
  <c r="L68" i="6" s="1"/>
  <c r="N68" i="6" s="1"/>
  <c r="E69" i="6"/>
  <c r="L69" i="6" s="1"/>
  <c r="E70" i="6"/>
  <c r="E71" i="6"/>
  <c r="E72" i="6"/>
  <c r="L72" i="6" s="1"/>
  <c r="N72" i="6" s="1"/>
  <c r="E74" i="6"/>
  <c r="E75" i="6"/>
  <c r="E76" i="6"/>
  <c r="E77" i="6"/>
  <c r="L77" i="6" s="1"/>
  <c r="E78" i="6"/>
  <c r="E79" i="6"/>
  <c r="L79" i="6" s="1"/>
  <c r="E80" i="6"/>
  <c r="E81" i="6"/>
  <c r="L81" i="6" s="1"/>
  <c r="E82" i="6"/>
  <c r="E83" i="6"/>
  <c r="E84" i="6"/>
  <c r="E85" i="6"/>
  <c r="L85" i="6" s="1"/>
  <c r="E86" i="6"/>
  <c r="E87" i="6"/>
  <c r="L87" i="6" s="1"/>
  <c r="E88" i="6"/>
  <c r="E89" i="6"/>
  <c r="L89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K9" i="6" s="1"/>
  <c r="M9" i="6" s="1"/>
  <c r="B10" i="6"/>
  <c r="B11" i="6"/>
  <c r="B12" i="6"/>
  <c r="B13" i="6"/>
  <c r="K13" i="6" s="1"/>
  <c r="M13" i="6" s="1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K33" i="6" s="1"/>
  <c r="B34" i="6"/>
  <c r="B35" i="6"/>
  <c r="B36" i="6"/>
  <c r="B37" i="6"/>
  <c r="B38" i="6"/>
  <c r="B39" i="6"/>
  <c r="B40" i="6"/>
  <c r="B41" i="6"/>
  <c r="B42" i="6"/>
  <c r="B43" i="6"/>
  <c r="B44" i="6"/>
  <c r="B45" i="6"/>
  <c r="K45" i="6" s="1"/>
  <c r="B46" i="6"/>
  <c r="B47" i="6"/>
  <c r="K47" i="6" s="1"/>
  <c r="B48" i="6"/>
  <c r="K48" i="6" s="1"/>
  <c r="M48" i="6" s="1"/>
  <c r="B49" i="6"/>
  <c r="K49" i="6" s="1"/>
  <c r="B50" i="6"/>
  <c r="K50" i="6" s="1"/>
  <c r="M50" i="6" s="1"/>
  <c r="B51" i="6"/>
  <c r="K51" i="6" s="1"/>
  <c r="B52" i="6"/>
  <c r="K52" i="6" s="1"/>
  <c r="B53" i="6"/>
  <c r="K53" i="6" s="1"/>
  <c r="B54" i="6"/>
  <c r="K54" i="6" s="1"/>
  <c r="M54" i="6" s="1"/>
  <c r="B55" i="6"/>
  <c r="K55" i="6" s="1"/>
  <c r="B56" i="6"/>
  <c r="B57" i="6"/>
  <c r="K57" i="6" s="1"/>
  <c r="M57" i="6" s="1"/>
  <c r="B58" i="6"/>
  <c r="B59" i="6"/>
  <c r="B60" i="6"/>
  <c r="B61" i="6"/>
  <c r="B62" i="6"/>
  <c r="B63" i="6"/>
  <c r="B64" i="6"/>
  <c r="B65" i="6"/>
  <c r="B66" i="6"/>
  <c r="B67" i="6"/>
  <c r="K67" i="6" s="1"/>
  <c r="M67" i="6" s="1"/>
  <c r="B68" i="6"/>
  <c r="B69" i="6"/>
  <c r="B70" i="6"/>
  <c r="B71" i="6"/>
  <c r="K71" i="6" s="1"/>
  <c r="M71" i="6" s="1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K91" i="6" s="1"/>
  <c r="M91" i="6" s="1"/>
  <c r="B92" i="6"/>
  <c r="B93" i="6"/>
  <c r="B94" i="6"/>
  <c r="B95" i="6"/>
  <c r="K95" i="6" s="1"/>
  <c r="M95" i="6" s="1"/>
  <c r="B96" i="6"/>
  <c r="B97" i="6"/>
  <c r="B98" i="6"/>
  <c r="B99" i="6"/>
  <c r="K99" i="6" s="1"/>
  <c r="M99" i="6" s="1"/>
  <c r="B100" i="6"/>
  <c r="B101" i="6"/>
  <c r="B102" i="6"/>
  <c r="B103" i="6"/>
  <c r="B104" i="6"/>
  <c r="B105" i="6"/>
  <c r="B106" i="6"/>
  <c r="B107" i="6"/>
  <c r="K107" i="6" s="1"/>
  <c r="B108" i="6"/>
  <c r="B109" i="6"/>
  <c r="B110" i="6"/>
  <c r="B111" i="6"/>
  <c r="K111" i="6" s="1"/>
  <c r="B112" i="6"/>
  <c r="B113" i="6"/>
  <c r="B114" i="6"/>
  <c r="B115" i="6"/>
  <c r="K115" i="6" s="1"/>
  <c r="M115" i="6" s="1"/>
  <c r="B116" i="6"/>
  <c r="B117" i="6"/>
  <c r="B118" i="6"/>
  <c r="B119" i="6"/>
  <c r="B120" i="6"/>
  <c r="B121" i="6"/>
  <c r="B122" i="6"/>
  <c r="B123" i="6"/>
  <c r="K123" i="6" s="1"/>
  <c r="B124" i="6"/>
  <c r="B125" i="6"/>
  <c r="B126" i="6"/>
  <c r="B127" i="6"/>
  <c r="K127" i="6" s="1"/>
  <c r="B128" i="6"/>
  <c r="B129" i="6"/>
  <c r="B130" i="6"/>
  <c r="B131" i="6"/>
  <c r="K131" i="6" s="1"/>
  <c r="B132" i="6"/>
  <c r="B133" i="6"/>
  <c r="B134" i="6"/>
  <c r="B135" i="6"/>
  <c r="B136" i="6"/>
  <c r="B137" i="6"/>
  <c r="B138" i="6"/>
  <c r="B139" i="6"/>
  <c r="K139" i="6" s="1"/>
  <c r="B140" i="6"/>
  <c r="B141" i="6"/>
  <c r="B142" i="6"/>
  <c r="B143" i="6"/>
  <c r="K143" i="6" s="1"/>
  <c r="B144" i="6"/>
  <c r="B145" i="6"/>
  <c r="K145" i="6" s="1"/>
  <c r="M145" i="6" s="1"/>
  <c r="B146" i="6"/>
  <c r="B147" i="6"/>
  <c r="B148" i="6"/>
  <c r="B149" i="6"/>
  <c r="B150" i="6"/>
  <c r="B151" i="6"/>
  <c r="K151" i="6" s="1"/>
  <c r="M151" i="6" s="1"/>
  <c r="B152" i="6"/>
  <c r="B153" i="6"/>
  <c r="B154" i="6"/>
  <c r="B155" i="6"/>
  <c r="B156" i="6"/>
  <c r="B157" i="6"/>
  <c r="B158" i="6"/>
  <c r="B159" i="6"/>
  <c r="K159" i="6" s="1"/>
  <c r="B160" i="6"/>
  <c r="B161" i="6"/>
  <c r="B162" i="6"/>
  <c r="B163" i="6"/>
  <c r="K163" i="6" s="1"/>
  <c r="B164" i="6"/>
  <c r="B165" i="6"/>
  <c r="B166" i="6"/>
  <c r="B167" i="6"/>
  <c r="K167" i="6" s="1"/>
  <c r="M167" i="6" s="1"/>
  <c r="B168" i="6"/>
  <c r="B169" i="6"/>
  <c r="B170" i="6"/>
  <c r="B171" i="6"/>
  <c r="B172" i="6"/>
  <c r="B173" i="6"/>
  <c r="K173" i="6" s="1"/>
  <c r="B174" i="6"/>
  <c r="B175" i="6"/>
  <c r="K175" i="6" s="1"/>
  <c r="B176" i="6"/>
  <c r="B177" i="6"/>
  <c r="K177" i="6" s="1"/>
  <c r="B178" i="6"/>
  <c r="B179" i="6"/>
  <c r="B180" i="6"/>
  <c r="B181" i="6"/>
  <c r="B182" i="6"/>
  <c r="B183" i="6"/>
  <c r="B184" i="6"/>
  <c r="B185" i="6"/>
  <c r="B186" i="6"/>
  <c r="B187" i="6"/>
  <c r="K187" i="6" s="1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K203" i="6" s="1"/>
  <c r="B204" i="6"/>
  <c r="B205" i="6"/>
  <c r="B206" i="6"/>
  <c r="B207" i="6"/>
  <c r="K207" i="6" s="1"/>
  <c r="B208" i="6"/>
  <c r="B209" i="6"/>
  <c r="B210" i="6"/>
  <c r="B211" i="6"/>
  <c r="K211" i="6" s="1"/>
  <c r="B212" i="6"/>
  <c r="B213" i="6"/>
  <c r="B214" i="6"/>
  <c r="B215" i="6"/>
  <c r="K215" i="6" s="1"/>
  <c r="B216" i="6"/>
  <c r="B217" i="6"/>
  <c r="B218" i="6"/>
  <c r="B219" i="6"/>
  <c r="K219" i="6" s="1"/>
  <c r="B220" i="6"/>
  <c r="B221" i="6"/>
  <c r="B222" i="6"/>
  <c r="B223" i="6"/>
  <c r="K223" i="6" s="1"/>
  <c r="B224" i="6"/>
  <c r="B225" i="6"/>
  <c r="B226" i="6"/>
  <c r="B227" i="6"/>
  <c r="B228" i="6"/>
  <c r="B229" i="6"/>
  <c r="B230" i="6"/>
  <c r="B231" i="6"/>
  <c r="K231" i="6" s="1"/>
  <c r="M231" i="6" s="1"/>
  <c r="B232" i="6"/>
  <c r="B233" i="6"/>
  <c r="B234" i="6"/>
  <c r="K234" i="6" s="1"/>
  <c r="M234" i="6" s="1"/>
  <c r="B235" i="6"/>
  <c r="B236" i="6"/>
  <c r="B237" i="6"/>
  <c r="B238" i="6"/>
  <c r="B239" i="6"/>
  <c r="K239" i="6" s="1"/>
  <c r="M239" i="6" s="1"/>
  <c r="B240" i="6"/>
  <c r="B241" i="6"/>
  <c r="B242" i="6"/>
  <c r="B243" i="6"/>
  <c r="K243" i="6" s="1"/>
  <c r="B244" i="6"/>
  <c r="B245" i="6"/>
  <c r="B246" i="6"/>
  <c r="B247" i="6"/>
  <c r="K247" i="6" s="1"/>
  <c r="B248" i="6"/>
  <c r="B249" i="6"/>
  <c r="B250" i="6"/>
  <c r="B251" i="6"/>
  <c r="B252" i="6"/>
  <c r="B253" i="6"/>
  <c r="B254" i="6"/>
  <c r="B255" i="6"/>
  <c r="K255" i="6" s="1"/>
  <c r="B256" i="6"/>
  <c r="B257" i="6"/>
  <c r="B258" i="6"/>
  <c r="B259" i="6"/>
  <c r="K259" i="6" s="1"/>
  <c r="B260" i="6"/>
  <c r="B261" i="6"/>
  <c r="B262" i="6"/>
  <c r="K262" i="6" s="1"/>
  <c r="M262" i="6" s="1"/>
  <c r="B263" i="6"/>
  <c r="K263" i="6" s="1"/>
  <c r="B264" i="6"/>
  <c r="B265" i="6"/>
  <c r="B266" i="6"/>
  <c r="B267" i="6"/>
  <c r="B268" i="6"/>
  <c r="B269" i="6"/>
  <c r="B270" i="6"/>
  <c r="B271" i="6"/>
  <c r="K271" i="6" s="1"/>
  <c r="B272" i="6"/>
  <c r="B273" i="6"/>
  <c r="B274" i="6"/>
  <c r="B275" i="6"/>
  <c r="K275" i="6" s="1"/>
  <c r="M275" i="6" s="1"/>
  <c r="B276" i="6"/>
  <c r="B277" i="6"/>
  <c r="B278" i="6"/>
  <c r="B279" i="6"/>
  <c r="K279" i="6" s="1"/>
  <c r="M279" i="6" s="1"/>
  <c r="B280" i="6"/>
  <c r="B281" i="6"/>
  <c r="B282" i="6"/>
  <c r="B283" i="6"/>
  <c r="K283" i="6" s="1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K299" i="6" s="1"/>
  <c r="B300" i="6"/>
  <c r="B301" i="6"/>
  <c r="B302" i="6"/>
  <c r="B303" i="6"/>
  <c r="K303" i="6" s="1"/>
  <c r="M303" i="6" s="1"/>
  <c r="B304" i="6"/>
  <c r="B305" i="6"/>
  <c r="B306" i="6"/>
  <c r="B307" i="6"/>
  <c r="K307" i="6" s="1"/>
  <c r="M307" i="6" s="1"/>
  <c r="B308" i="6"/>
  <c r="B309" i="6"/>
  <c r="B310" i="6"/>
  <c r="B311" i="6"/>
  <c r="B312" i="6"/>
  <c r="B313" i="6"/>
  <c r="B314" i="6"/>
  <c r="B315" i="6"/>
  <c r="K315" i="6" s="1"/>
  <c r="B316" i="6"/>
  <c r="B317" i="6"/>
  <c r="B318" i="6"/>
  <c r="B319" i="6"/>
  <c r="K319" i="6" s="1"/>
  <c r="M319" i="6" s="1"/>
  <c r="B320" i="6"/>
  <c r="B321" i="6"/>
  <c r="K321" i="6" s="1"/>
  <c r="M321" i="6" s="1"/>
  <c r="B322" i="6"/>
  <c r="B323" i="6"/>
  <c r="K323" i="6" s="1"/>
  <c r="M323" i="6" s="1"/>
  <c r="B324" i="6"/>
  <c r="B325" i="6"/>
  <c r="B326" i="6"/>
  <c r="B327" i="6"/>
  <c r="K327" i="6" s="1"/>
  <c r="M327" i="6" s="1"/>
  <c r="B328" i="6"/>
  <c r="B329" i="6"/>
  <c r="B330" i="6"/>
  <c r="B331" i="6"/>
  <c r="B332" i="6"/>
  <c r="B333" i="6"/>
  <c r="B334" i="6"/>
  <c r="B335" i="6"/>
  <c r="K335" i="6" s="1"/>
  <c r="M335" i="6" s="1"/>
  <c r="B336" i="6"/>
  <c r="B337" i="6"/>
  <c r="B338" i="6"/>
  <c r="B339" i="6"/>
  <c r="K339" i="6" s="1"/>
  <c r="B340" i="6"/>
  <c r="B341" i="6"/>
  <c r="B342" i="6"/>
  <c r="B343" i="6"/>
  <c r="B344" i="6"/>
  <c r="B345" i="6"/>
  <c r="B346" i="6"/>
  <c r="B347" i="6"/>
  <c r="K347" i="6" s="1"/>
  <c r="B348" i="6"/>
  <c r="B349" i="6"/>
  <c r="B350" i="6"/>
  <c r="B351" i="6"/>
  <c r="K351" i="6" s="1"/>
  <c r="M351" i="6" s="1"/>
  <c r="B352" i="6"/>
  <c r="B353" i="6"/>
  <c r="K353" i="6" s="1"/>
  <c r="B354" i="6"/>
  <c r="B355" i="6"/>
  <c r="B356" i="6"/>
  <c r="B357" i="6"/>
  <c r="B358" i="6"/>
  <c r="B359" i="6"/>
  <c r="K359" i="6" s="1"/>
  <c r="M359" i="6" s="1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K375" i="6" s="1"/>
  <c r="B376" i="6"/>
  <c r="B377" i="6"/>
  <c r="B378" i="6"/>
  <c r="B379" i="6"/>
  <c r="K379" i="6" s="1"/>
  <c r="B380" i="6"/>
  <c r="B381" i="6"/>
  <c r="B382" i="6"/>
  <c r="B383" i="6"/>
  <c r="B384" i="6"/>
  <c r="B385" i="6"/>
  <c r="K385" i="6" s="1"/>
  <c r="B386" i="6"/>
  <c r="B387" i="6"/>
  <c r="K387" i="6" s="1"/>
  <c r="B388" i="6"/>
  <c r="B389" i="6"/>
  <c r="K389" i="6" s="1"/>
  <c r="B390" i="6"/>
  <c r="B391" i="6"/>
  <c r="K391" i="6" s="1"/>
  <c r="B392" i="6"/>
  <c r="B393" i="6"/>
  <c r="K393" i="6" s="1"/>
  <c r="B394" i="6"/>
  <c r="B395" i="6"/>
  <c r="K395" i="6" s="1"/>
  <c r="B396" i="6"/>
  <c r="B397" i="6"/>
  <c r="K397" i="6" s="1"/>
  <c r="B398" i="6"/>
  <c r="B399" i="6"/>
  <c r="K399" i="6" s="1"/>
  <c r="B400" i="6"/>
  <c r="B401" i="6"/>
  <c r="B402" i="6"/>
  <c r="B403" i="6"/>
  <c r="K403" i="6" s="1"/>
  <c r="B404" i="6"/>
  <c r="B405" i="6"/>
  <c r="K405" i="6" s="1"/>
  <c r="B406" i="6"/>
  <c r="B407" i="6"/>
  <c r="K407" i="6" s="1"/>
  <c r="B408" i="6"/>
  <c r="B409" i="6"/>
  <c r="K409" i="6" s="1"/>
  <c r="B410" i="6"/>
  <c r="B411" i="6"/>
  <c r="B412" i="6"/>
  <c r="B413" i="6"/>
  <c r="K413" i="6" s="1"/>
  <c r="M413" i="6" s="1"/>
  <c r="B414" i="6"/>
  <c r="B415" i="6"/>
  <c r="K415" i="6" s="1"/>
  <c r="M415" i="6" s="1"/>
  <c r="B416" i="6"/>
  <c r="B417" i="6"/>
  <c r="K417" i="6" s="1"/>
  <c r="M417" i="6" s="1"/>
  <c r="B418" i="6"/>
  <c r="B419" i="6"/>
  <c r="K419" i="6" s="1"/>
  <c r="M419" i="6" s="1"/>
  <c r="B420" i="6"/>
  <c r="B421" i="6"/>
  <c r="K421" i="6" s="1"/>
  <c r="M421" i="6" s="1"/>
  <c r="B422" i="6"/>
  <c r="B423" i="6"/>
  <c r="B424" i="6"/>
  <c r="B425" i="6"/>
  <c r="K425" i="6" s="1"/>
  <c r="M425" i="6" s="1"/>
  <c r="B426" i="6"/>
  <c r="B427" i="6"/>
  <c r="B428" i="6"/>
  <c r="B429" i="6"/>
  <c r="K429" i="6" s="1"/>
  <c r="M429" i="6" s="1"/>
  <c r="B430" i="6"/>
  <c r="B431" i="6"/>
  <c r="K431" i="6" s="1"/>
  <c r="M431" i="6" s="1"/>
  <c r="B432" i="6"/>
  <c r="B433" i="6"/>
  <c r="B434" i="6"/>
  <c r="B435" i="6"/>
  <c r="K435" i="6" s="1"/>
  <c r="M435" i="6" s="1"/>
  <c r="B436" i="6"/>
  <c r="B437" i="6"/>
  <c r="K437" i="6" s="1"/>
  <c r="M437" i="6" s="1"/>
  <c r="B438" i="6"/>
  <c r="K438" i="6" s="1"/>
  <c r="M438" i="6" s="1"/>
  <c r="B439" i="6"/>
  <c r="K439" i="6" s="1"/>
  <c r="M439" i="6" s="1"/>
  <c r="B440" i="6"/>
  <c r="B441" i="6"/>
  <c r="B442" i="6"/>
  <c r="B443" i="6"/>
  <c r="K443" i="6" s="1"/>
  <c r="B444" i="6"/>
  <c r="B445" i="6"/>
  <c r="B446" i="6"/>
  <c r="B447" i="6"/>
  <c r="K447" i="6" s="1"/>
  <c r="B448" i="6"/>
  <c r="B449" i="6"/>
  <c r="K449" i="6" s="1"/>
  <c r="B450" i="6"/>
  <c r="B451" i="6"/>
  <c r="K451" i="6" s="1"/>
  <c r="B452" i="6"/>
  <c r="B453" i="6"/>
  <c r="K453" i="6" s="1"/>
  <c r="B454" i="6"/>
  <c r="B455" i="6"/>
  <c r="K455" i="6" s="1"/>
  <c r="B456" i="6"/>
  <c r="B457" i="6"/>
  <c r="K457" i="6" s="1"/>
  <c r="B458" i="6"/>
  <c r="B459" i="6"/>
  <c r="K459" i="6" s="1"/>
  <c r="B460" i="6"/>
  <c r="B461" i="6"/>
  <c r="K461" i="6" s="1"/>
  <c r="B462" i="6"/>
  <c r="B463" i="6"/>
  <c r="K463" i="6" s="1"/>
  <c r="B464" i="6"/>
  <c r="B465" i="6"/>
  <c r="K465" i="6" s="1"/>
  <c r="B466" i="6"/>
  <c r="B467" i="6"/>
  <c r="K467" i="6" s="1"/>
  <c r="B468" i="6"/>
  <c r="B469" i="6"/>
  <c r="K469" i="6" s="1"/>
  <c r="B470" i="6"/>
  <c r="B471" i="6"/>
  <c r="K471" i="6" s="1"/>
  <c r="B472" i="6"/>
  <c r="B473" i="6"/>
  <c r="K473" i="6" s="1"/>
  <c r="B474" i="6"/>
  <c r="B475" i="6"/>
  <c r="K475" i="6" s="1"/>
  <c r="B476" i="6"/>
  <c r="B477" i="6"/>
  <c r="K477" i="6" s="1"/>
  <c r="B478" i="6"/>
  <c r="B479" i="6"/>
  <c r="K479" i="6" s="1"/>
  <c r="B480" i="6"/>
  <c r="B481" i="6"/>
  <c r="K481" i="6" s="1"/>
  <c r="B482" i="6"/>
  <c r="B483" i="6"/>
  <c r="K483" i="6" s="1"/>
  <c r="B484" i="6"/>
  <c r="B485" i="6"/>
  <c r="K485" i="6" s="1"/>
  <c r="B486" i="6"/>
  <c r="B487" i="6"/>
  <c r="K487" i="6" s="1"/>
  <c r="B488" i="6"/>
  <c r="B489" i="6"/>
  <c r="K489" i="6" s="1"/>
  <c r="B490" i="6"/>
  <c r="B491" i="6"/>
  <c r="K491" i="6" s="1"/>
  <c r="B492" i="6"/>
  <c r="B493" i="6"/>
  <c r="K493" i="6" s="1"/>
  <c r="B494" i="6"/>
  <c r="B495" i="6"/>
  <c r="K495" i="6" s="1"/>
  <c r="B496" i="6"/>
  <c r="B497" i="6"/>
  <c r="K497" i="6" s="1"/>
  <c r="B498" i="6"/>
  <c r="B499" i="6"/>
  <c r="K499" i="6" s="1"/>
  <c r="B500" i="6"/>
  <c r="B501" i="6"/>
  <c r="K501" i="6" s="1"/>
  <c r="B502" i="6"/>
  <c r="B503" i="6"/>
  <c r="K503" i="6" s="1"/>
  <c r="B504" i="6"/>
  <c r="B505" i="6"/>
  <c r="B506" i="6"/>
  <c r="B507" i="6"/>
  <c r="K507" i="6" s="1"/>
  <c r="B508" i="6"/>
  <c r="B509" i="6"/>
  <c r="B510" i="6"/>
  <c r="B511" i="6"/>
  <c r="K511" i="6" s="1"/>
  <c r="B512" i="6"/>
  <c r="B513" i="6"/>
  <c r="K513" i="6" s="1"/>
  <c r="B514" i="6"/>
  <c r="B515" i="6"/>
  <c r="K515" i="6" s="1"/>
  <c r="B516" i="6"/>
  <c r="B517" i="6"/>
  <c r="K517" i="6" s="1"/>
  <c r="B518" i="6"/>
  <c r="B519" i="6"/>
  <c r="K519" i="6" s="1"/>
  <c r="B520" i="6"/>
  <c r="B521" i="6"/>
  <c r="K521" i="6" s="1"/>
  <c r="B522" i="6"/>
  <c r="B523" i="6"/>
  <c r="K523" i="6" s="1"/>
  <c r="M523" i="6" s="1"/>
  <c r="B524" i="6"/>
  <c r="B525" i="6"/>
  <c r="K525" i="6" s="1"/>
  <c r="B526" i="6"/>
  <c r="B527" i="6"/>
  <c r="K527" i="6" s="1"/>
  <c r="M527" i="6" s="1"/>
  <c r="B528" i="6"/>
  <c r="B529" i="6"/>
  <c r="K529" i="6" s="1"/>
  <c r="B530" i="6"/>
  <c r="B531" i="6"/>
  <c r="K531" i="6" s="1"/>
  <c r="M531" i="6" s="1"/>
  <c r="B532" i="6"/>
  <c r="B533" i="6"/>
  <c r="K533" i="6" s="1"/>
  <c r="B534" i="6"/>
  <c r="B535" i="6"/>
  <c r="K535" i="6" s="1"/>
  <c r="M535" i="6" s="1"/>
  <c r="B536" i="6"/>
  <c r="B537" i="6"/>
  <c r="K537" i="6" s="1"/>
  <c r="B538" i="6"/>
  <c r="B539" i="6"/>
  <c r="K539" i="6" s="1"/>
  <c r="M539" i="6" s="1"/>
  <c r="B540" i="6"/>
  <c r="B541" i="6"/>
  <c r="K541" i="6" s="1"/>
  <c r="B542" i="6"/>
  <c r="B543" i="6"/>
  <c r="K543" i="6" s="1"/>
  <c r="M543" i="6" s="1"/>
  <c r="B544" i="6"/>
  <c r="B545" i="6"/>
  <c r="K545" i="6" s="1"/>
  <c r="B546" i="6"/>
  <c r="B547" i="6"/>
  <c r="K547" i="6" s="1"/>
  <c r="M547" i="6" s="1"/>
  <c r="B548" i="6"/>
  <c r="B549" i="6"/>
  <c r="K549" i="6" s="1"/>
  <c r="B550" i="6"/>
  <c r="B551" i="6"/>
  <c r="K551" i="6" s="1"/>
  <c r="M551" i="6" s="1"/>
  <c r="B552" i="6"/>
  <c r="B553" i="6"/>
  <c r="B554" i="6"/>
  <c r="B555" i="6"/>
  <c r="K555" i="6" s="1"/>
  <c r="M555" i="6" s="1"/>
  <c r="B556" i="6"/>
  <c r="B557" i="6"/>
  <c r="B558" i="6"/>
  <c r="K558" i="6" s="1"/>
  <c r="M558" i="6" s="1"/>
  <c r="B559" i="6"/>
  <c r="K559" i="6" s="1"/>
  <c r="B560" i="6"/>
  <c r="B561" i="6"/>
  <c r="K561" i="6" s="1"/>
  <c r="B562" i="6"/>
  <c r="B563" i="6"/>
  <c r="K563" i="6" s="1"/>
  <c r="B564" i="6"/>
  <c r="B565" i="6"/>
  <c r="K565" i="6" s="1"/>
  <c r="B566" i="6"/>
  <c r="B567" i="6"/>
  <c r="K567" i="6" s="1"/>
  <c r="B568" i="6"/>
  <c r="B569" i="6"/>
  <c r="K569" i="6" s="1"/>
  <c r="B570" i="6"/>
  <c r="K570" i="6" s="1"/>
  <c r="M570" i="6" s="1"/>
  <c r="B571" i="6"/>
  <c r="K571" i="6" s="1"/>
  <c r="B572" i="6"/>
  <c r="B573" i="6"/>
  <c r="K573" i="6" s="1"/>
  <c r="B574" i="6"/>
  <c r="B575" i="6"/>
  <c r="K575" i="6" s="1"/>
  <c r="B576" i="6"/>
  <c r="B577" i="6"/>
  <c r="K577" i="6" s="1"/>
  <c r="B578" i="6"/>
  <c r="B579" i="6"/>
  <c r="K579" i="6" s="1"/>
  <c r="B580" i="6"/>
  <c r="B581" i="6"/>
  <c r="K581" i="6" s="1"/>
  <c r="B582" i="6"/>
  <c r="K582" i="6" s="1"/>
  <c r="M582" i="6" s="1"/>
  <c r="B583" i="6"/>
  <c r="K583" i="6" s="1"/>
  <c r="B584" i="6"/>
  <c r="B585" i="6"/>
  <c r="B586" i="6"/>
  <c r="B587" i="6"/>
  <c r="K587" i="6" s="1"/>
  <c r="B588" i="6"/>
  <c r="B589" i="6"/>
  <c r="B590" i="6"/>
  <c r="B591" i="6"/>
  <c r="K591" i="6" s="1"/>
  <c r="B592" i="6"/>
  <c r="B593" i="6"/>
  <c r="K593" i="6" s="1"/>
  <c r="B594" i="6"/>
  <c r="B595" i="6"/>
  <c r="K595" i="6" s="1"/>
  <c r="B596" i="6"/>
  <c r="B597" i="6"/>
  <c r="K597" i="6" s="1"/>
  <c r="B598" i="6"/>
  <c r="B599" i="6"/>
  <c r="K599" i="6" s="1"/>
  <c r="B600" i="6"/>
  <c r="B601" i="6"/>
  <c r="K601" i="6" s="1"/>
  <c r="B602" i="6"/>
  <c r="B603" i="6"/>
  <c r="K603" i="6" s="1"/>
  <c r="M603" i="6" s="1"/>
  <c r="B604" i="6"/>
  <c r="B605" i="6"/>
  <c r="K605" i="6" s="1"/>
  <c r="M605" i="6" s="1"/>
  <c r="B606" i="6"/>
  <c r="B607" i="6"/>
  <c r="K607" i="6" s="1"/>
  <c r="M607" i="6" s="1"/>
  <c r="B608" i="6"/>
  <c r="B609" i="6"/>
  <c r="K609" i="6" s="1"/>
  <c r="M609" i="6" s="1"/>
  <c r="B610" i="6"/>
  <c r="B611" i="6"/>
  <c r="K611" i="6" s="1"/>
  <c r="M611" i="6" s="1"/>
  <c r="B612" i="6"/>
  <c r="B613" i="6"/>
  <c r="K613" i="6" s="1"/>
  <c r="M613" i="6" s="1"/>
  <c r="B614" i="6"/>
  <c r="B615" i="6"/>
  <c r="K615" i="6" s="1"/>
  <c r="M615" i="6" s="1"/>
  <c r="B616" i="6"/>
  <c r="B617" i="6"/>
  <c r="B618" i="6"/>
  <c r="B619" i="6"/>
  <c r="K619" i="6" s="1"/>
  <c r="M619" i="6" s="1"/>
  <c r="B620" i="6"/>
  <c r="B621" i="6"/>
  <c r="B622" i="6"/>
  <c r="B623" i="6"/>
  <c r="K623" i="6" s="1"/>
  <c r="M623" i="6" s="1"/>
  <c r="B624" i="6"/>
  <c r="B625" i="6"/>
  <c r="K625" i="6" s="1"/>
  <c r="M625" i="6" s="1"/>
  <c r="B626" i="6"/>
  <c r="B627" i="6"/>
  <c r="K627" i="6" s="1"/>
  <c r="M627" i="6" s="1"/>
  <c r="B628" i="6"/>
  <c r="B629" i="6"/>
  <c r="K629" i="6" s="1"/>
  <c r="M629" i="6" s="1"/>
  <c r="B630" i="6"/>
  <c r="B631" i="6"/>
  <c r="K631" i="6" s="1"/>
  <c r="M631" i="6" s="1"/>
  <c r="B632" i="6"/>
  <c r="B633" i="6"/>
  <c r="K633" i="6" s="1"/>
  <c r="M633" i="6" s="1"/>
  <c r="B634" i="6"/>
  <c r="B635" i="6"/>
  <c r="K635" i="6" s="1"/>
  <c r="M635" i="6" s="1"/>
  <c r="B636" i="6"/>
  <c r="B637" i="6"/>
  <c r="K637" i="6" s="1"/>
  <c r="M637" i="6" s="1"/>
  <c r="B638" i="6"/>
  <c r="B639" i="6"/>
  <c r="K639" i="6" s="1"/>
  <c r="M639" i="6" s="1"/>
  <c r="B640" i="6"/>
  <c r="B641" i="6"/>
  <c r="K641" i="6" s="1"/>
  <c r="M641" i="6" s="1"/>
  <c r="B642" i="6"/>
  <c r="B643" i="6"/>
  <c r="K643" i="6" s="1"/>
  <c r="M643" i="6" s="1"/>
  <c r="B644" i="6"/>
  <c r="B645" i="6"/>
  <c r="K645" i="6" s="1"/>
  <c r="M645" i="6" s="1"/>
  <c r="B646" i="6"/>
  <c r="B647" i="6"/>
  <c r="K647" i="6" s="1"/>
  <c r="M647" i="6" s="1"/>
  <c r="B648" i="6"/>
  <c r="B649" i="6"/>
  <c r="B650" i="6"/>
  <c r="B651" i="6"/>
  <c r="K651" i="6" s="1"/>
  <c r="M651" i="6" s="1"/>
  <c r="B652" i="6"/>
  <c r="B653" i="6"/>
  <c r="B654" i="6"/>
  <c r="B655" i="6"/>
  <c r="K655" i="6" s="1"/>
  <c r="M655" i="6" s="1"/>
  <c r="B656" i="6"/>
  <c r="B657" i="6"/>
  <c r="K657" i="6" s="1"/>
  <c r="M657" i="6" s="1"/>
  <c r="B658" i="6"/>
  <c r="B659" i="6"/>
  <c r="K659" i="6" s="1"/>
  <c r="M659" i="6" s="1"/>
  <c r="B660" i="6"/>
  <c r="B661" i="6"/>
  <c r="K661" i="6" s="1"/>
  <c r="M661" i="6" s="1"/>
  <c r="B662" i="6"/>
  <c r="B663" i="6"/>
  <c r="K663" i="6" s="1"/>
  <c r="M663" i="6" s="1"/>
  <c r="B664" i="6"/>
  <c r="B665" i="6"/>
  <c r="K665" i="6" s="1"/>
  <c r="M665" i="6" s="1"/>
  <c r="B666" i="6"/>
  <c r="B667" i="6"/>
  <c r="K667" i="6" s="1"/>
  <c r="M667" i="6" s="1"/>
  <c r="B668" i="6"/>
  <c r="B669" i="6"/>
  <c r="K669" i="6" s="1"/>
  <c r="M669" i="6" s="1"/>
  <c r="B670" i="6"/>
  <c r="B671" i="6"/>
  <c r="K671" i="6" s="1"/>
  <c r="M671" i="6" s="1"/>
  <c r="B672" i="6"/>
  <c r="B673" i="6"/>
  <c r="K673" i="6" s="1"/>
  <c r="M673" i="6" s="1"/>
  <c r="B674" i="6"/>
  <c r="B675" i="6"/>
  <c r="K675" i="6" s="1"/>
  <c r="M675" i="6" s="1"/>
  <c r="B676" i="6"/>
  <c r="B677" i="6"/>
  <c r="K677" i="6" s="1"/>
  <c r="M677" i="6" s="1"/>
  <c r="B678" i="6"/>
  <c r="B679" i="6"/>
  <c r="K679" i="6" s="1"/>
  <c r="M679" i="6" s="1"/>
  <c r="B680" i="6"/>
  <c r="B681" i="6"/>
  <c r="B682" i="6"/>
  <c r="B683" i="6"/>
  <c r="K683" i="6" s="1"/>
  <c r="M683" i="6" s="1"/>
  <c r="B684" i="6"/>
  <c r="B685" i="6"/>
  <c r="B686" i="6"/>
  <c r="B687" i="6"/>
  <c r="K687" i="6" s="1"/>
  <c r="M687" i="6" s="1"/>
  <c r="B688" i="6"/>
  <c r="B689" i="6"/>
  <c r="K689" i="6" s="1"/>
  <c r="M689" i="6" s="1"/>
  <c r="B690" i="6"/>
  <c r="B691" i="6"/>
  <c r="K691" i="6" s="1"/>
  <c r="M691" i="6" s="1"/>
  <c r="B692" i="6"/>
  <c r="B693" i="6"/>
  <c r="K693" i="6" s="1"/>
  <c r="M693" i="6" s="1"/>
  <c r="B694" i="6"/>
  <c r="B695" i="6"/>
  <c r="K695" i="6" s="1"/>
  <c r="M695" i="6" s="1"/>
  <c r="B696" i="6"/>
  <c r="B697" i="6"/>
  <c r="K697" i="6" s="1"/>
  <c r="M697" i="6" s="1"/>
  <c r="B698" i="6"/>
  <c r="B699" i="6"/>
  <c r="K699" i="6" s="1"/>
  <c r="M699" i="6" s="1"/>
  <c r="B700" i="6"/>
  <c r="B701" i="6"/>
  <c r="K701" i="6" s="1"/>
  <c r="M701" i="6" s="1"/>
  <c r="B702" i="6"/>
  <c r="B703" i="6"/>
  <c r="K703" i="6" s="1"/>
  <c r="M703" i="6" s="1"/>
  <c r="B704" i="6"/>
  <c r="B705" i="6"/>
  <c r="K705" i="6" s="1"/>
  <c r="M705" i="6" s="1"/>
  <c r="B706" i="6"/>
  <c r="B707" i="6"/>
  <c r="K707" i="6" s="1"/>
  <c r="M707" i="6" s="1"/>
  <c r="B708" i="6"/>
  <c r="B709" i="6"/>
  <c r="K709" i="6" s="1"/>
  <c r="M709" i="6" s="1"/>
  <c r="B710" i="6"/>
  <c r="B711" i="6"/>
  <c r="K711" i="6" s="1"/>
  <c r="M711" i="6" s="1"/>
  <c r="B712" i="6"/>
  <c r="B713" i="6"/>
  <c r="B714" i="6"/>
  <c r="B715" i="6"/>
  <c r="K715" i="6" s="1"/>
  <c r="M715" i="6" s="1"/>
  <c r="B716" i="6"/>
  <c r="B717" i="6"/>
  <c r="K717" i="6" s="1"/>
  <c r="M717" i="6" s="1"/>
  <c r="B718" i="6"/>
  <c r="B719" i="6"/>
  <c r="K719" i="6" s="1"/>
  <c r="M719" i="6" s="1"/>
  <c r="B720" i="6"/>
  <c r="B721" i="6"/>
  <c r="K721" i="6" s="1"/>
  <c r="M721" i="6" s="1"/>
  <c r="B722" i="6"/>
  <c r="K722" i="6" s="1"/>
  <c r="M722" i="6" s="1"/>
  <c r="B723" i="6"/>
  <c r="K723" i="6" s="1"/>
  <c r="M723" i="6" s="1"/>
  <c r="B724" i="6"/>
  <c r="B725" i="6"/>
  <c r="K725" i="6" s="1"/>
  <c r="M725" i="6" s="1"/>
  <c r="B726" i="6"/>
  <c r="B727" i="6"/>
  <c r="K727" i="6" s="1"/>
  <c r="M727" i="6" s="1"/>
  <c r="B728" i="6"/>
  <c r="B729" i="6"/>
  <c r="K729" i="6" s="1"/>
  <c r="M729" i="6" s="1"/>
  <c r="B730" i="6"/>
  <c r="B731" i="6"/>
  <c r="K731" i="6" s="1"/>
  <c r="M731" i="6" s="1"/>
  <c r="B732" i="6"/>
  <c r="B733" i="6"/>
  <c r="K733" i="6" s="1"/>
  <c r="B734" i="6"/>
  <c r="B735" i="6"/>
  <c r="K735" i="6" s="1"/>
  <c r="M735" i="6" s="1"/>
  <c r="B736" i="6"/>
  <c r="B737" i="6"/>
  <c r="K737" i="6" s="1"/>
  <c r="M737" i="6" s="1"/>
  <c r="B738" i="6"/>
  <c r="B739" i="6"/>
  <c r="K739" i="6" s="1"/>
  <c r="M739" i="6" s="1"/>
  <c r="B740" i="6"/>
  <c r="B741" i="6"/>
  <c r="B742" i="6"/>
  <c r="K742" i="6" s="1"/>
  <c r="M742" i="6" s="1"/>
  <c r="B743" i="6"/>
  <c r="K743" i="6" s="1"/>
  <c r="M743" i="6" s="1"/>
  <c r="B744" i="6"/>
  <c r="B745" i="6"/>
  <c r="K745" i="6" s="1"/>
  <c r="M745" i="6" s="1"/>
  <c r="B746" i="6"/>
  <c r="B747" i="6"/>
  <c r="K747" i="6" s="1"/>
  <c r="M747" i="6" s="1"/>
  <c r="B748" i="6"/>
  <c r="B749" i="6"/>
  <c r="K749" i="6" s="1"/>
  <c r="M749" i="6" s="1"/>
  <c r="B750" i="6"/>
  <c r="K750" i="6" s="1"/>
  <c r="M750" i="6" s="1"/>
  <c r="B751" i="6"/>
  <c r="K751" i="6" s="1"/>
  <c r="M751" i="6" s="1"/>
  <c r="B752" i="6"/>
  <c r="B753" i="6"/>
  <c r="K753" i="6" s="1"/>
  <c r="M753" i="6" s="1"/>
  <c r="B754" i="6"/>
  <c r="B755" i="6"/>
  <c r="K755" i="6" s="1"/>
  <c r="M755" i="6" s="1"/>
  <c r="B756" i="6"/>
  <c r="B757" i="6"/>
  <c r="B758" i="6"/>
  <c r="B759" i="6"/>
  <c r="K759" i="6" s="1"/>
  <c r="M759" i="6" s="1"/>
  <c r="B760" i="6"/>
  <c r="B761" i="6"/>
  <c r="K761" i="6" s="1"/>
  <c r="M761" i="6" s="1"/>
  <c r="B762" i="6"/>
  <c r="K762" i="6" s="1"/>
  <c r="M762" i="6" s="1"/>
  <c r="B763" i="6"/>
  <c r="K763" i="6" s="1"/>
  <c r="M763" i="6" s="1"/>
  <c r="B764" i="6"/>
  <c r="B765" i="6"/>
  <c r="K765" i="6" s="1"/>
  <c r="M765" i="6" s="1"/>
  <c r="B766" i="6"/>
  <c r="B767" i="6"/>
  <c r="K767" i="6" s="1"/>
  <c r="M767" i="6" s="1"/>
  <c r="B768" i="6"/>
  <c r="B769" i="6"/>
  <c r="B770" i="6"/>
  <c r="B771" i="6"/>
  <c r="K771" i="6" s="1"/>
  <c r="M771" i="6" s="1"/>
  <c r="B772" i="6"/>
  <c r="B773" i="6"/>
  <c r="K773" i="6" s="1"/>
  <c r="M773" i="6" s="1"/>
  <c r="B774" i="6"/>
  <c r="B775" i="6"/>
  <c r="K775" i="6" s="1"/>
  <c r="M775" i="6" s="1"/>
  <c r="B776" i="6"/>
  <c r="B777" i="6"/>
  <c r="B778" i="6"/>
  <c r="K778" i="6" s="1"/>
  <c r="M778" i="6" s="1"/>
  <c r="B779" i="6"/>
  <c r="K779" i="6" s="1"/>
  <c r="M779" i="6" s="1"/>
  <c r="B780" i="6"/>
  <c r="B781" i="6"/>
  <c r="K781" i="6" s="1"/>
  <c r="M781" i="6" s="1"/>
  <c r="B782" i="6"/>
  <c r="B783" i="6"/>
  <c r="K783" i="6" s="1"/>
  <c r="M783" i="6" s="1"/>
  <c r="B784" i="6"/>
  <c r="B785" i="6"/>
  <c r="B786" i="6"/>
  <c r="B787" i="6"/>
  <c r="K787" i="6" s="1"/>
  <c r="B788" i="6"/>
  <c r="B789" i="6"/>
  <c r="K789" i="6" s="1"/>
  <c r="B790" i="6"/>
  <c r="B791" i="6"/>
  <c r="K791" i="6" s="1"/>
  <c r="B792" i="6"/>
  <c r="B793" i="6"/>
  <c r="B794" i="6"/>
  <c r="K794" i="6" s="1"/>
  <c r="M794" i="6" s="1"/>
  <c r="B795" i="6"/>
  <c r="K795" i="6" s="1"/>
  <c r="B796" i="6"/>
  <c r="B797" i="6"/>
  <c r="K797" i="6" s="1"/>
  <c r="B798" i="6"/>
  <c r="B799" i="6"/>
  <c r="K799" i="6" s="1"/>
  <c r="B800" i="6"/>
  <c r="B801" i="6"/>
  <c r="B802" i="6"/>
  <c r="K802" i="6" s="1"/>
  <c r="M802" i="6" s="1"/>
  <c r="B803" i="6"/>
  <c r="K803" i="6" s="1"/>
  <c r="B804" i="6"/>
  <c r="K804" i="6" s="1"/>
  <c r="M804" i="6" s="1"/>
  <c r="B805" i="6"/>
  <c r="B806" i="6"/>
  <c r="B807" i="6"/>
  <c r="B808" i="6"/>
  <c r="K808" i="6" s="1"/>
  <c r="M808" i="6" s="1"/>
  <c r="B809" i="6"/>
  <c r="B810" i="6"/>
  <c r="B811" i="6"/>
  <c r="B812" i="6"/>
  <c r="K812" i="6" s="1"/>
  <c r="M812" i="6" s="1"/>
  <c r="B813" i="6"/>
  <c r="B814" i="6"/>
  <c r="K814" i="6" s="1"/>
  <c r="M814" i="6" s="1"/>
  <c r="B815" i="6"/>
  <c r="K815" i="6" s="1"/>
  <c r="B816" i="6"/>
  <c r="K816" i="6" s="1"/>
  <c r="M816" i="6" s="1"/>
  <c r="B817" i="6"/>
  <c r="B818" i="6"/>
  <c r="B819" i="6"/>
  <c r="B820" i="6"/>
  <c r="K820" i="6" s="1"/>
  <c r="M820" i="6" s="1"/>
  <c r="B821" i="6"/>
  <c r="B822" i="6"/>
  <c r="B823" i="6"/>
  <c r="K823" i="6" s="1"/>
  <c r="B824" i="6"/>
  <c r="K824" i="6" s="1"/>
  <c r="M824" i="6" s="1"/>
  <c r="B825" i="6"/>
  <c r="B826" i="6"/>
  <c r="K826" i="6" s="1"/>
  <c r="M826" i="6" s="1"/>
  <c r="B827" i="6"/>
  <c r="B828" i="6"/>
  <c r="B829" i="6"/>
  <c r="B830" i="6"/>
  <c r="B831" i="6"/>
  <c r="K831" i="6" s="1"/>
  <c r="M831" i="6" s="1"/>
  <c r="B832" i="6"/>
  <c r="K832" i="6" s="1"/>
  <c r="M832" i="6" s="1"/>
  <c r="B833" i="6"/>
  <c r="B834" i="6"/>
  <c r="K834" i="6" s="1"/>
  <c r="M834" i="6" s="1"/>
  <c r="B835" i="6"/>
  <c r="B836" i="6"/>
  <c r="K836" i="6" s="1"/>
  <c r="M836" i="6" s="1"/>
  <c r="B837" i="6"/>
  <c r="B838" i="6"/>
  <c r="B839" i="6"/>
  <c r="K839" i="6" s="1"/>
  <c r="M839" i="6" s="1"/>
  <c r="B840" i="6"/>
  <c r="K840" i="6" s="1"/>
  <c r="M840" i="6" s="1"/>
  <c r="B841" i="6"/>
  <c r="B842" i="6"/>
  <c r="K842" i="6" s="1"/>
  <c r="M842" i="6" s="1"/>
  <c r="B843" i="6"/>
  <c r="B844" i="6"/>
  <c r="K844" i="6" s="1"/>
  <c r="M844" i="6" s="1"/>
  <c r="B845" i="6"/>
  <c r="B846" i="6"/>
  <c r="K846" i="6" s="1"/>
  <c r="M846" i="6" s="1"/>
  <c r="B847" i="6"/>
  <c r="B848" i="6"/>
  <c r="B849" i="6"/>
  <c r="B850" i="6"/>
  <c r="B851" i="6"/>
  <c r="K851" i="6" s="1"/>
  <c r="B852" i="6"/>
  <c r="B853" i="6"/>
  <c r="B854" i="6"/>
  <c r="B855" i="6"/>
  <c r="B856" i="6"/>
  <c r="K856" i="6" s="1"/>
  <c r="M856" i="6" s="1"/>
  <c r="B857" i="6"/>
  <c r="B858" i="6"/>
  <c r="K858" i="6" s="1"/>
  <c r="M858" i="6" s="1"/>
  <c r="B859" i="6"/>
  <c r="B860" i="6"/>
  <c r="K860" i="6" s="1"/>
  <c r="M860" i="6" s="1"/>
  <c r="B861" i="6"/>
  <c r="B862" i="6"/>
  <c r="K862" i="6" s="1"/>
  <c r="M862" i="6" s="1"/>
  <c r="B863" i="6"/>
  <c r="B864" i="6"/>
  <c r="K864" i="6" s="1"/>
  <c r="M864" i="6" s="1"/>
  <c r="B865" i="6"/>
  <c r="B866" i="6"/>
  <c r="B867" i="6"/>
  <c r="K867" i="6" s="1"/>
  <c r="B868" i="6"/>
  <c r="K868" i="6" s="1"/>
  <c r="M868" i="6" s="1"/>
  <c r="B869" i="6"/>
  <c r="B870" i="6"/>
  <c r="K870" i="6" s="1"/>
  <c r="M870" i="6" s="1"/>
  <c r="B871" i="6"/>
  <c r="B872" i="6"/>
  <c r="K872" i="6" s="1"/>
  <c r="M872" i="6" s="1"/>
  <c r="B873" i="6"/>
  <c r="B874" i="6"/>
  <c r="K874" i="6" s="1"/>
  <c r="M874" i="6" s="1"/>
  <c r="B875" i="6"/>
  <c r="B876" i="6"/>
  <c r="B877" i="6"/>
  <c r="B878" i="6"/>
  <c r="B879" i="6"/>
  <c r="K879" i="6" s="1"/>
  <c r="M879" i="6" s="1"/>
  <c r="B880" i="6"/>
  <c r="K880" i="6" s="1"/>
  <c r="M880" i="6" s="1"/>
  <c r="B881" i="6"/>
  <c r="B882" i="6"/>
  <c r="B883" i="6"/>
  <c r="K883" i="6" s="1"/>
  <c r="M883" i="6" s="1"/>
  <c r="B884" i="6"/>
  <c r="K884" i="6" s="1"/>
  <c r="M884" i="6" s="1"/>
  <c r="B885" i="6"/>
  <c r="B886" i="6"/>
  <c r="K886" i="6" s="1"/>
  <c r="M886" i="6" s="1"/>
  <c r="B887" i="6"/>
  <c r="K887" i="6" s="1"/>
  <c r="B888" i="6"/>
  <c r="B889" i="6"/>
  <c r="B890" i="6"/>
  <c r="B891" i="6"/>
  <c r="K891" i="6" s="1"/>
  <c r="M891" i="6" s="1"/>
  <c r="B892" i="6"/>
  <c r="B893" i="6"/>
  <c r="B894" i="6"/>
  <c r="B895" i="6"/>
  <c r="K895" i="6" s="1"/>
  <c r="B896" i="6"/>
  <c r="K896" i="6" s="1"/>
  <c r="M896" i="6" s="1"/>
  <c r="B897" i="6"/>
  <c r="B898" i="6"/>
  <c r="K898" i="6" s="1"/>
  <c r="M898" i="6" s="1"/>
  <c r="B899" i="6"/>
  <c r="K899" i="6" s="1"/>
  <c r="B900" i="6"/>
  <c r="K900" i="6" s="1"/>
  <c r="M900" i="6" s="1"/>
  <c r="B901" i="6"/>
  <c r="B902" i="6"/>
  <c r="B903" i="6"/>
  <c r="B904" i="6"/>
  <c r="K904" i="6" s="1"/>
  <c r="M904" i="6" s="1"/>
  <c r="B905" i="6"/>
  <c r="B906" i="6"/>
  <c r="K906" i="6" s="1"/>
  <c r="M906" i="6" s="1"/>
  <c r="B907" i="6"/>
  <c r="B908" i="6"/>
  <c r="K908" i="6" s="1"/>
  <c r="M908" i="6" s="1"/>
  <c r="B909" i="6"/>
  <c r="B910" i="6"/>
  <c r="B911" i="6"/>
  <c r="K911" i="6" s="1"/>
  <c r="B912" i="6"/>
  <c r="K912" i="6" s="1"/>
  <c r="M912" i="6" s="1"/>
  <c r="B913" i="6"/>
  <c r="B914" i="6"/>
  <c r="K914" i="6" s="1"/>
  <c r="M914" i="6" s="1"/>
  <c r="B915" i="6"/>
  <c r="B916" i="6"/>
  <c r="K916" i="6" s="1"/>
  <c r="M916" i="6" s="1"/>
  <c r="B917" i="6"/>
  <c r="B918" i="6"/>
  <c r="B919" i="6"/>
  <c r="B920" i="6"/>
  <c r="B921" i="6"/>
  <c r="B922" i="6"/>
  <c r="K922" i="6" s="1"/>
  <c r="M922" i="6" s="1"/>
  <c r="B923" i="6"/>
  <c r="B924" i="6"/>
  <c r="K924" i="6" s="1"/>
  <c r="M924" i="6" s="1"/>
  <c r="B925" i="6"/>
  <c r="B926" i="6"/>
  <c r="B927" i="6"/>
  <c r="K927" i="6" s="1"/>
  <c r="B928" i="6"/>
  <c r="K928" i="6" s="1"/>
  <c r="M928" i="6" s="1"/>
  <c r="B929" i="6"/>
  <c r="B930" i="6"/>
  <c r="K930" i="6" s="1"/>
  <c r="M930" i="6" s="1"/>
  <c r="B931" i="6"/>
  <c r="K931" i="6" s="1"/>
  <c r="B932" i="6"/>
  <c r="K932" i="6" s="1"/>
  <c r="M932" i="6" s="1"/>
  <c r="B933" i="6"/>
  <c r="B934" i="6"/>
  <c r="B935" i="6"/>
  <c r="K935" i="6" s="1"/>
  <c r="B936" i="6"/>
  <c r="K936" i="6" s="1"/>
  <c r="M936" i="6" s="1"/>
  <c r="B937" i="6"/>
  <c r="B938" i="6"/>
  <c r="B939" i="6"/>
  <c r="K939" i="6" s="1"/>
  <c r="B940" i="6"/>
  <c r="K940" i="6" s="1"/>
  <c r="M940" i="6" s="1"/>
  <c r="B941" i="6"/>
  <c r="B942" i="6"/>
  <c r="K942" i="6" s="1"/>
  <c r="M942" i="6" s="1"/>
  <c r="B943" i="6"/>
  <c r="B944" i="6"/>
  <c r="K944" i="6" s="1"/>
  <c r="M944" i="6" s="1"/>
  <c r="B945" i="6"/>
  <c r="B946" i="6"/>
  <c r="B947" i="6"/>
  <c r="B948" i="6"/>
  <c r="K948" i="6" s="1"/>
  <c r="M948" i="6" s="1"/>
  <c r="B949" i="6"/>
  <c r="B950" i="6"/>
  <c r="B951" i="6"/>
  <c r="B952" i="6"/>
  <c r="B953" i="6"/>
  <c r="B954" i="6"/>
  <c r="B955" i="6"/>
  <c r="B956" i="6"/>
  <c r="K956" i="6" s="1"/>
  <c r="M956" i="6" s="1"/>
  <c r="B957" i="6"/>
  <c r="B958" i="6"/>
  <c r="B959" i="6"/>
  <c r="B960" i="6"/>
  <c r="K960" i="6" s="1"/>
  <c r="M960" i="6" s="1"/>
  <c r="B961" i="6"/>
  <c r="B962" i="6"/>
  <c r="K962" i="6" s="1"/>
  <c r="M962" i="6" s="1"/>
  <c r="B963" i="6"/>
  <c r="B964" i="6"/>
  <c r="K964" i="6" s="1"/>
  <c r="M964" i="6" s="1"/>
  <c r="B965" i="6"/>
  <c r="B966" i="6"/>
  <c r="B967" i="6"/>
  <c r="B968" i="6"/>
  <c r="K968" i="6" s="1"/>
  <c r="M968" i="6" s="1"/>
  <c r="B969" i="6"/>
  <c r="B970" i="6"/>
  <c r="K970" i="6" s="1"/>
  <c r="M970" i="6" s="1"/>
  <c r="B971" i="6"/>
  <c r="B972" i="6"/>
  <c r="K972" i="6" s="1"/>
  <c r="M972" i="6" s="1"/>
  <c r="B973" i="6"/>
  <c r="B974" i="6"/>
  <c r="B975" i="6"/>
  <c r="B976" i="6"/>
  <c r="K976" i="6" s="1"/>
  <c r="M976" i="6" s="1"/>
  <c r="B977" i="6"/>
  <c r="B978" i="6"/>
  <c r="K978" i="6" s="1"/>
  <c r="M978" i="6" s="1"/>
  <c r="B979" i="6"/>
  <c r="B980" i="6"/>
  <c r="B981" i="6"/>
  <c r="B982" i="6"/>
  <c r="K982" i="6" s="1"/>
  <c r="M982" i="6" s="1"/>
  <c r="B983" i="6"/>
  <c r="B984" i="6"/>
  <c r="K984" i="6" s="1"/>
  <c r="M984" i="6" s="1"/>
  <c r="B985" i="6"/>
  <c r="B986" i="6"/>
  <c r="B987" i="6"/>
  <c r="B988" i="6"/>
  <c r="K988" i="6" s="1"/>
  <c r="M988" i="6" s="1"/>
  <c r="B989" i="6"/>
  <c r="B990" i="6"/>
  <c r="K990" i="6" s="1"/>
  <c r="M990" i="6" s="1"/>
  <c r="B991" i="6"/>
  <c r="B992" i="6"/>
  <c r="K992" i="6" s="1"/>
  <c r="M992" i="6" s="1"/>
  <c r="B993" i="6"/>
  <c r="B994" i="6"/>
  <c r="B995" i="6"/>
  <c r="B996" i="6"/>
  <c r="K996" i="6" s="1"/>
  <c r="M996" i="6" s="1"/>
  <c r="B997" i="6"/>
  <c r="B998" i="6"/>
  <c r="K998" i="6" s="1"/>
  <c r="M998" i="6" s="1"/>
  <c r="B999" i="6"/>
  <c r="B1000" i="6"/>
  <c r="K1000" i="6" s="1"/>
  <c r="M1000" i="6" s="1"/>
  <c r="B1001" i="6"/>
  <c r="B1002" i="6"/>
  <c r="B1003" i="6"/>
  <c r="B1004" i="6"/>
  <c r="K1004" i="6" s="1"/>
  <c r="M1004" i="6" s="1"/>
  <c r="B1005" i="6"/>
  <c r="B1006" i="6"/>
  <c r="K1006" i="6" s="1"/>
  <c r="M1006" i="6" s="1"/>
  <c r="B1007" i="6"/>
  <c r="B1008" i="6"/>
  <c r="K1008" i="6" s="1"/>
  <c r="M1008" i="6" s="1"/>
  <c r="B1009" i="6"/>
  <c r="B1010" i="6"/>
  <c r="B1011" i="6"/>
  <c r="B1012" i="6"/>
  <c r="B1013" i="6"/>
  <c r="B1014" i="6"/>
  <c r="K1014" i="6" s="1"/>
  <c r="M1014" i="6" s="1"/>
  <c r="B1015" i="6"/>
  <c r="B1016" i="6"/>
  <c r="K1016" i="6" s="1"/>
  <c r="M1016" i="6" s="1"/>
  <c r="B1017" i="6"/>
  <c r="B1018" i="6"/>
  <c r="B1019" i="6"/>
  <c r="B1020" i="6"/>
  <c r="K1020" i="6" s="1"/>
  <c r="M1020" i="6" s="1"/>
  <c r="B1021" i="6"/>
  <c r="B1022" i="6"/>
  <c r="K1022" i="6" s="1"/>
  <c r="M1022" i="6" s="1"/>
  <c r="B1023" i="6"/>
  <c r="B1024" i="6"/>
  <c r="K1024" i="6" s="1"/>
  <c r="B1025" i="6"/>
  <c r="B1026" i="6"/>
  <c r="K1026" i="6" s="1"/>
  <c r="M1026" i="6" s="1"/>
  <c r="B1027" i="6"/>
  <c r="B1028" i="6"/>
  <c r="K1028" i="6" s="1"/>
  <c r="M1028" i="6" s="1"/>
  <c r="B1029" i="6"/>
  <c r="B1030" i="6"/>
  <c r="B1031" i="6"/>
  <c r="B1032" i="6"/>
  <c r="K1032" i="6" s="1"/>
  <c r="M1032" i="6" s="1"/>
  <c r="B1033" i="6"/>
  <c r="B1034" i="6"/>
  <c r="K1034" i="6" s="1"/>
  <c r="M1034" i="6" s="1"/>
  <c r="B1035" i="6"/>
  <c r="B1036" i="6"/>
  <c r="K1036" i="6" s="1"/>
  <c r="M1036" i="6" s="1"/>
  <c r="B1037" i="6"/>
  <c r="B1038" i="6"/>
  <c r="B1039" i="6"/>
  <c r="B1040" i="6"/>
  <c r="K1040" i="6" s="1"/>
  <c r="M1040" i="6" s="1"/>
  <c r="B1041" i="6"/>
  <c r="B1042" i="6"/>
  <c r="K1042" i="6" s="1"/>
  <c r="M1042" i="6" s="1"/>
  <c r="B1043" i="6"/>
  <c r="K1043" i="6" s="1"/>
  <c r="M1043" i="6" s="1"/>
  <c r="B1044" i="6"/>
  <c r="K1044" i="6" s="1"/>
  <c r="M1044" i="6" s="1"/>
  <c r="B1045" i="6"/>
  <c r="B1046" i="6"/>
  <c r="B1047" i="6"/>
  <c r="K1047" i="6" s="1"/>
  <c r="M1047" i="6" s="1"/>
  <c r="B1048" i="6"/>
  <c r="K1048" i="6" s="1"/>
  <c r="M1048" i="6" s="1"/>
  <c r="B1049" i="6"/>
  <c r="B1050" i="6"/>
  <c r="B1051" i="6"/>
  <c r="B1052" i="6"/>
  <c r="K1052" i="6" s="1"/>
  <c r="M1052" i="6" s="1"/>
  <c r="B1053" i="6"/>
  <c r="B1054" i="6"/>
  <c r="K1054" i="6" s="1"/>
  <c r="M1054" i="6" s="1"/>
  <c r="B1055" i="6"/>
  <c r="B1056" i="6"/>
  <c r="K1056" i="6" s="1"/>
  <c r="M1056" i="6" s="1"/>
  <c r="B1057" i="6"/>
  <c r="B1058" i="6"/>
  <c r="B1059" i="6"/>
  <c r="B1060" i="6"/>
  <c r="K1060" i="6" s="1"/>
  <c r="M1060" i="6" s="1"/>
  <c r="B1061" i="6"/>
  <c r="B1062" i="6"/>
  <c r="K1062" i="6" s="1"/>
  <c r="M1062" i="6" s="1"/>
  <c r="B1063" i="6"/>
  <c r="B1064" i="6"/>
  <c r="B1065" i="6"/>
  <c r="B1066" i="6"/>
  <c r="K1066" i="6" s="1"/>
  <c r="B1067" i="6"/>
  <c r="B1068" i="6"/>
  <c r="K1068" i="6" s="1"/>
  <c r="B1069" i="6"/>
  <c r="B1070" i="6"/>
  <c r="K1070" i="6" s="1"/>
  <c r="B1071" i="6"/>
  <c r="K1071" i="6" s="1"/>
  <c r="B1072" i="6"/>
  <c r="K1072" i="6" s="1"/>
  <c r="B1073" i="6"/>
  <c r="B1074" i="6"/>
  <c r="K1074" i="6" s="1"/>
  <c r="B1075" i="6"/>
  <c r="B1076" i="6"/>
  <c r="B1077" i="6"/>
  <c r="B1078" i="6"/>
  <c r="K1078" i="6" s="1"/>
  <c r="B1079" i="6"/>
  <c r="B1080" i="6"/>
  <c r="K1080" i="6" s="1"/>
  <c r="B1081" i="6"/>
  <c r="B1082" i="6"/>
  <c r="K1082" i="6" s="1"/>
  <c r="B1083" i="6"/>
  <c r="K1083" i="6" s="1"/>
  <c r="B1084" i="6"/>
  <c r="B1085" i="6"/>
  <c r="B1086" i="6"/>
  <c r="K1086" i="6" s="1"/>
  <c r="B1087" i="6"/>
  <c r="K1087" i="6" s="1"/>
  <c r="B1088" i="6"/>
  <c r="K1088" i="6" s="1"/>
  <c r="B1089" i="6"/>
  <c r="B1090" i="6"/>
  <c r="K1090" i="6" s="1"/>
  <c r="B1091" i="6"/>
  <c r="B1092" i="6"/>
  <c r="K1092" i="6" s="1"/>
  <c r="B1093" i="6"/>
  <c r="B1094" i="6"/>
  <c r="K1094" i="6" s="1"/>
  <c r="B1095" i="6"/>
  <c r="K1095" i="6" s="1"/>
  <c r="B1096" i="6"/>
  <c r="K1096" i="6" s="1"/>
  <c r="B1097" i="6"/>
  <c r="B1098" i="6"/>
  <c r="K1098" i="6" s="1"/>
  <c r="B1099" i="6"/>
  <c r="K1099" i="6" s="1"/>
  <c r="B1100" i="6"/>
  <c r="K1100" i="6" s="1"/>
  <c r="B1101" i="6"/>
  <c r="B1102" i="6"/>
  <c r="K1102" i="6" s="1"/>
  <c r="B1103" i="6"/>
  <c r="K1103" i="6" s="1"/>
  <c r="B1104" i="6"/>
  <c r="K1104" i="6" s="1"/>
  <c r="B1105" i="6"/>
  <c r="B1106" i="6"/>
  <c r="K1106" i="6" s="1"/>
  <c r="B1107" i="6"/>
  <c r="B1108" i="6"/>
  <c r="K1108" i="6" s="1"/>
  <c r="B1109" i="6"/>
  <c r="B1110" i="6"/>
  <c r="K1110" i="6" s="1"/>
  <c r="B1111" i="6"/>
  <c r="K1111" i="6" s="1"/>
  <c r="B1112" i="6"/>
  <c r="K1112" i="6" s="1"/>
  <c r="B1113" i="6"/>
  <c r="B1114" i="6"/>
  <c r="K1114" i="6" s="1"/>
  <c r="B1115" i="6"/>
  <c r="K1115" i="6" s="1"/>
  <c r="B1116" i="6"/>
  <c r="B1117" i="6"/>
  <c r="B1118" i="6"/>
  <c r="K1118" i="6" s="1"/>
  <c r="B1119" i="6"/>
  <c r="B1120" i="6"/>
  <c r="K1120" i="6" s="1"/>
  <c r="B1121" i="6"/>
  <c r="B1122" i="6"/>
  <c r="K1122" i="6" s="1"/>
  <c r="B1123" i="6"/>
  <c r="B1124" i="6"/>
  <c r="B1125" i="6"/>
  <c r="B1126" i="6"/>
  <c r="K1126" i="6" s="1"/>
  <c r="B1127" i="6"/>
  <c r="K1127" i="6" s="1"/>
  <c r="B1128" i="6"/>
  <c r="K1128" i="6" s="1"/>
  <c r="B1129" i="6"/>
  <c r="B1130" i="6"/>
  <c r="K1130" i="6" s="1"/>
  <c r="B1131" i="6"/>
  <c r="B1132" i="6"/>
  <c r="K1132" i="6" s="1"/>
  <c r="B1133" i="6"/>
  <c r="B1134" i="6"/>
  <c r="K1134" i="6" s="1"/>
  <c r="B1135" i="6"/>
  <c r="K1135" i="6" s="1"/>
  <c r="B1136" i="6"/>
  <c r="K1136" i="6" s="1"/>
  <c r="B1137" i="6"/>
  <c r="B1138" i="6"/>
  <c r="K1138" i="6" s="1"/>
  <c r="B1139" i="6"/>
  <c r="B1140" i="6"/>
  <c r="K1140" i="6" s="1"/>
  <c r="B1141" i="6"/>
  <c r="B1142" i="6"/>
  <c r="K1142" i="6" s="1"/>
  <c r="B1143" i="6"/>
  <c r="B1144" i="6"/>
  <c r="K1144" i="6" s="1"/>
  <c r="B1145" i="6"/>
  <c r="B1146" i="6"/>
  <c r="K1146" i="6" s="1"/>
  <c r="B1147" i="6"/>
  <c r="K1147" i="6" s="1"/>
  <c r="B1148" i="6"/>
  <c r="K1148" i="6" s="1"/>
  <c r="B1149" i="6"/>
  <c r="B1150" i="6"/>
  <c r="K1150" i="6" s="1"/>
  <c r="B1151" i="6"/>
  <c r="K1151" i="6" s="1"/>
  <c r="B1152" i="6"/>
  <c r="B1153" i="6"/>
  <c r="B1154" i="6"/>
  <c r="K1154" i="6" s="1"/>
  <c r="B1155" i="6"/>
  <c r="B1156" i="6"/>
  <c r="K1156" i="6" s="1"/>
  <c r="B1157" i="6"/>
  <c r="B1158" i="6"/>
  <c r="K1158" i="6" s="1"/>
  <c r="B1159" i="6"/>
  <c r="K1159" i="6" s="1"/>
  <c r="B1160" i="6"/>
  <c r="B1161" i="6"/>
  <c r="B1162" i="6"/>
  <c r="K1162" i="6" s="1"/>
  <c r="B1163" i="6"/>
  <c r="K1163" i="6" s="1"/>
  <c r="B1164" i="6"/>
  <c r="K1164" i="6" s="1"/>
  <c r="B1165" i="6"/>
  <c r="B1166" i="6"/>
  <c r="K1166" i="6" s="1"/>
  <c r="B1167" i="6"/>
  <c r="K1167" i="6" s="1"/>
  <c r="B1168" i="6"/>
  <c r="K1168" i="6" s="1"/>
  <c r="B1169" i="6"/>
  <c r="B1170" i="6"/>
  <c r="K1170" i="6" s="1"/>
  <c r="B1171" i="6"/>
  <c r="B1172" i="6"/>
  <c r="K1172" i="6" s="1"/>
  <c r="B1173" i="6"/>
  <c r="B1174" i="6"/>
  <c r="K1174" i="6" s="1"/>
  <c r="B1175" i="6"/>
  <c r="K1175" i="6" s="1"/>
  <c r="B1176" i="6"/>
  <c r="K1176" i="6" s="1"/>
  <c r="B1177" i="6"/>
  <c r="B1178" i="6"/>
  <c r="K1178" i="6" s="1"/>
  <c r="B1179" i="6"/>
  <c r="K1179" i="6" s="1"/>
  <c r="B1180" i="6"/>
  <c r="K1180" i="6" s="1"/>
  <c r="B1181" i="6"/>
  <c r="B1182" i="6"/>
  <c r="K1182" i="6" s="1"/>
  <c r="B1183" i="6"/>
  <c r="B1184" i="6"/>
  <c r="K1184" i="6" s="1"/>
  <c r="B1185" i="6"/>
  <c r="B1186" i="6"/>
  <c r="K1186" i="6" s="1"/>
  <c r="B1187" i="6"/>
  <c r="B1188" i="6"/>
  <c r="K1188" i="6" s="1"/>
  <c r="B1189" i="6"/>
  <c r="B1190" i="6"/>
  <c r="K1190" i="6" s="1"/>
  <c r="B1191" i="6"/>
  <c r="K1191" i="6" s="1"/>
  <c r="B1192" i="6"/>
  <c r="B1193" i="6"/>
  <c r="B1194" i="6"/>
  <c r="K1194" i="6" s="1"/>
  <c r="B1195" i="6"/>
  <c r="B1196" i="6"/>
  <c r="K1196" i="6" s="1"/>
  <c r="B1197" i="6"/>
  <c r="B1198" i="6"/>
  <c r="K1198" i="6" s="1"/>
  <c r="B1199" i="6"/>
  <c r="K1199" i="6" s="1"/>
  <c r="B1200" i="6"/>
  <c r="B1201" i="6"/>
  <c r="B1202" i="6"/>
  <c r="K1202" i="6" s="1"/>
  <c r="B1203" i="6"/>
  <c r="B1204" i="6"/>
  <c r="K1204" i="6" s="1"/>
  <c r="B1205" i="6"/>
  <c r="B1206" i="6"/>
  <c r="K1206" i="6" s="1"/>
  <c r="B1207" i="6"/>
  <c r="B1208" i="6"/>
  <c r="B1209" i="6"/>
  <c r="B1210" i="6"/>
  <c r="K1210" i="6" s="1"/>
  <c r="B1211" i="6"/>
  <c r="K1211" i="6" s="1"/>
  <c r="B1212" i="6"/>
  <c r="K1212" i="6" s="1"/>
  <c r="B1213" i="6"/>
  <c r="B1214" i="6"/>
  <c r="K1214" i="6" s="1"/>
  <c r="B1215" i="6"/>
  <c r="K1215" i="6" s="1"/>
  <c r="B1216" i="6"/>
  <c r="K1216" i="6" s="1"/>
  <c r="B1217" i="6"/>
  <c r="B1218" i="6"/>
  <c r="K1218" i="6" s="1"/>
  <c r="B1219" i="6"/>
  <c r="B1220" i="6"/>
  <c r="K1220" i="6" s="1"/>
  <c r="B1221" i="6"/>
  <c r="B1222" i="6"/>
  <c r="K1222" i="6" s="1"/>
  <c r="B1223" i="6"/>
  <c r="K1223" i="6" s="1"/>
  <c r="B1224" i="6"/>
  <c r="K1224" i="6" s="1"/>
  <c r="B1225" i="6"/>
  <c r="B1226" i="6"/>
  <c r="K1226" i="6" s="1"/>
  <c r="B1227" i="6"/>
  <c r="K1227" i="6" s="1"/>
  <c r="B1228" i="6"/>
  <c r="B1229" i="6"/>
  <c r="B1230" i="6"/>
  <c r="K1230" i="6" s="1"/>
  <c r="B1231" i="6"/>
  <c r="K1231" i="6" s="1"/>
  <c r="B1232" i="6"/>
  <c r="K1232" i="6" s="1"/>
  <c r="B1233" i="6"/>
  <c r="B1234" i="6"/>
  <c r="K1234" i="6" s="1"/>
  <c r="B1235" i="6"/>
  <c r="B1236" i="6"/>
  <c r="B1237" i="6"/>
  <c r="B1238" i="6"/>
  <c r="K1238" i="6" s="1"/>
  <c r="B1239" i="6"/>
  <c r="K1239" i="6" s="1"/>
  <c r="B1240" i="6"/>
  <c r="K1240" i="6" s="1"/>
  <c r="B1241" i="6"/>
  <c r="B1242" i="6"/>
  <c r="K1242" i="6" s="1"/>
  <c r="B1243" i="6"/>
  <c r="K1243" i="6" s="1"/>
  <c r="B1244" i="6"/>
  <c r="K1244" i="6" s="1"/>
  <c r="B1245" i="6"/>
  <c r="B1246" i="6"/>
  <c r="K1246" i="6" s="1"/>
  <c r="B1247" i="6"/>
  <c r="B1248" i="6"/>
  <c r="B1249" i="6"/>
  <c r="B1250" i="6"/>
  <c r="K1250" i="6" s="1"/>
  <c r="B1251" i="6"/>
  <c r="K1251" i="6" s="1"/>
  <c r="B1252" i="6"/>
  <c r="K1252" i="6" s="1"/>
  <c r="B1253" i="6"/>
  <c r="B1254" i="6"/>
  <c r="K1254" i="6" s="1"/>
  <c r="B1255" i="6"/>
  <c r="K1255" i="6" s="1"/>
  <c r="B1256" i="6"/>
  <c r="K1256" i="6" s="1"/>
  <c r="B1257" i="6"/>
  <c r="B1258" i="6"/>
  <c r="K1258" i="6" s="1"/>
  <c r="B1259" i="6"/>
  <c r="K1259" i="6" s="1"/>
  <c r="B1260" i="6"/>
  <c r="B1261" i="6"/>
  <c r="B1262" i="6"/>
  <c r="K1262" i="6" s="1"/>
  <c r="B1263" i="6"/>
  <c r="B1264" i="6"/>
  <c r="K1264" i="6" s="1"/>
  <c r="B1265" i="6"/>
  <c r="B1266" i="6"/>
  <c r="K1266" i="6" s="1"/>
  <c r="B1267" i="6"/>
  <c r="K1267" i="6" s="1"/>
  <c r="B1268" i="6"/>
  <c r="B1269" i="6"/>
  <c r="B1270" i="6"/>
  <c r="K1270" i="6" s="1"/>
  <c r="B1271" i="6"/>
  <c r="K1271" i="6" s="1"/>
  <c r="B1272" i="6"/>
  <c r="K1272" i="6" s="1"/>
  <c r="B1273" i="6"/>
  <c r="B1274" i="6"/>
  <c r="K1274" i="6" s="1"/>
  <c r="B1275" i="6"/>
  <c r="K1275" i="6" s="1"/>
  <c r="B1276" i="6"/>
  <c r="K1276" i="6" s="1"/>
  <c r="B1277" i="6"/>
  <c r="B1278" i="6"/>
  <c r="K1278" i="6" s="1"/>
  <c r="B1279" i="6"/>
  <c r="B1280" i="6"/>
  <c r="B1281" i="6"/>
  <c r="B1282" i="6"/>
  <c r="K1282" i="6" s="1"/>
  <c r="B1283" i="6"/>
  <c r="K1283" i="6" s="1"/>
  <c r="B1284" i="6"/>
  <c r="K1284" i="6" s="1"/>
  <c r="B1285" i="6"/>
  <c r="B1286" i="6"/>
  <c r="K1286" i="6" s="1"/>
  <c r="B1287" i="6"/>
  <c r="K1287" i="6" s="1"/>
  <c r="B1288" i="6"/>
  <c r="K1288" i="6" s="1"/>
  <c r="B1289" i="6"/>
  <c r="B1290" i="6"/>
  <c r="K1290" i="6" s="1"/>
  <c r="B1291" i="6"/>
  <c r="B1292" i="6"/>
  <c r="B1293" i="6"/>
  <c r="B1294" i="6"/>
  <c r="K1294" i="6" s="1"/>
  <c r="B1295" i="6"/>
  <c r="B1296" i="6"/>
  <c r="K1296" i="6" s="1"/>
  <c r="B1297" i="6"/>
  <c r="B1298" i="6"/>
  <c r="K1298" i="6" s="1"/>
  <c r="B1299" i="6"/>
  <c r="K1299" i="6" s="1"/>
  <c r="B1300" i="6"/>
  <c r="B1301" i="6"/>
  <c r="B1302" i="6"/>
  <c r="K1302" i="6" s="1"/>
  <c r="B1303" i="6"/>
  <c r="K1303" i="6" s="1"/>
  <c r="B1304" i="6"/>
  <c r="K1304" i="6" s="1"/>
  <c r="B1305" i="6"/>
  <c r="B1306" i="6"/>
  <c r="K1306" i="6" s="1"/>
  <c r="B1307" i="6"/>
  <c r="K1307" i="6" s="1"/>
  <c r="B1308" i="6"/>
  <c r="K1308" i="6" s="1"/>
  <c r="B1309" i="6"/>
  <c r="B1310" i="6"/>
  <c r="K1310" i="6" s="1"/>
  <c r="B1311" i="6"/>
  <c r="B1312" i="6"/>
  <c r="B1313" i="6"/>
  <c r="B1314" i="6"/>
  <c r="K1314" i="6" s="1"/>
  <c r="B1315" i="6"/>
  <c r="K1315" i="6" s="1"/>
  <c r="B1316" i="6"/>
  <c r="K1316" i="6" s="1"/>
  <c r="B1317" i="6"/>
  <c r="B1318" i="6"/>
  <c r="K1318" i="6" s="1"/>
  <c r="B1319" i="6"/>
  <c r="K1319" i="6" s="1"/>
  <c r="B1320" i="6"/>
  <c r="K1320" i="6" s="1"/>
  <c r="B1321" i="6"/>
  <c r="B1322" i="6"/>
  <c r="K1322" i="6" s="1"/>
  <c r="B1323" i="6"/>
  <c r="K1323" i="6" s="1"/>
  <c r="B1324" i="6"/>
  <c r="B1325" i="6"/>
  <c r="B1326" i="6"/>
  <c r="K1326" i="6" s="1"/>
  <c r="B1327" i="6"/>
  <c r="B1328" i="6"/>
  <c r="K1328" i="6" s="1"/>
  <c r="B1329" i="6"/>
  <c r="B1330" i="6"/>
  <c r="K1330" i="6" s="1"/>
  <c r="B1331" i="6"/>
  <c r="K1331" i="6" s="1"/>
  <c r="B1332" i="6"/>
  <c r="B1333" i="6"/>
  <c r="B1334" i="6"/>
  <c r="K1334" i="6" s="1"/>
  <c r="B1335" i="6"/>
  <c r="K1335" i="6" s="1"/>
  <c r="B1336" i="6"/>
  <c r="K1336" i="6" s="1"/>
  <c r="B1337" i="6"/>
  <c r="B1338" i="6"/>
  <c r="K1338" i="6" s="1"/>
  <c r="B1339" i="6"/>
  <c r="K1339" i="6" s="1"/>
  <c r="B1340" i="6"/>
  <c r="K1340" i="6" s="1"/>
  <c r="B1341" i="6"/>
  <c r="B1342" i="6"/>
  <c r="K1342" i="6" s="1"/>
  <c r="B1343" i="6"/>
  <c r="B1344" i="6"/>
  <c r="B1345" i="6"/>
  <c r="B1346" i="6"/>
  <c r="K1346" i="6" s="1"/>
  <c r="B1347" i="6"/>
  <c r="K1347" i="6" s="1"/>
  <c r="B1348" i="6"/>
  <c r="K1348" i="6" s="1"/>
  <c r="B1349" i="6"/>
  <c r="B1350" i="6"/>
  <c r="K1350" i="6" s="1"/>
  <c r="B1351" i="6"/>
  <c r="K1351" i="6" s="1"/>
  <c r="B1352" i="6"/>
  <c r="K1352" i="6" s="1"/>
  <c r="B1353" i="6"/>
  <c r="B1354" i="6"/>
  <c r="K1354" i="6" s="1"/>
  <c r="B1355" i="6"/>
  <c r="K1355" i="6" s="1"/>
  <c r="B1356" i="6"/>
  <c r="B1357" i="6"/>
  <c r="B1358" i="6"/>
  <c r="K1358" i="6" s="1"/>
  <c r="B1359" i="6"/>
  <c r="B1360" i="6"/>
  <c r="K1360" i="6" s="1"/>
  <c r="B1361" i="6"/>
  <c r="B1362" i="6"/>
  <c r="K1362" i="6" s="1"/>
  <c r="B1363" i="6"/>
  <c r="K1363" i="6" s="1"/>
  <c r="B1364" i="6"/>
  <c r="B1365" i="6"/>
  <c r="B1366" i="6"/>
  <c r="K1366" i="6" s="1"/>
  <c r="B1367" i="6"/>
  <c r="B1368" i="6"/>
  <c r="K1368" i="6" s="1"/>
  <c r="B1369" i="6"/>
  <c r="B1370" i="6"/>
  <c r="K1370" i="6" s="1"/>
  <c r="B1371" i="6"/>
  <c r="K1371" i="6" s="1"/>
  <c r="B1372" i="6"/>
  <c r="K1372" i="6" s="1"/>
  <c r="B1373" i="6"/>
  <c r="B1374" i="6"/>
  <c r="K1374" i="6" s="1"/>
  <c r="B1375" i="6"/>
  <c r="B1376" i="6"/>
  <c r="B1377" i="6"/>
  <c r="B1378" i="6"/>
  <c r="K1378" i="6" s="1"/>
  <c r="B1379" i="6"/>
  <c r="K1379" i="6" s="1"/>
  <c r="B1380" i="6"/>
  <c r="K1380" i="6" s="1"/>
  <c r="B1381" i="6"/>
  <c r="B1382" i="6"/>
  <c r="K1382" i="6" s="1"/>
  <c r="B1383" i="6"/>
  <c r="K1383" i="6" s="1"/>
  <c r="B1384" i="6"/>
  <c r="K1384" i="6" s="1"/>
  <c r="B1385" i="6"/>
  <c r="B1386" i="6"/>
  <c r="K1386" i="6" s="1"/>
  <c r="B1387" i="6"/>
  <c r="B1388" i="6"/>
  <c r="B1389" i="6"/>
  <c r="B1390" i="6"/>
  <c r="K1390" i="6" s="1"/>
  <c r="B1391" i="6"/>
  <c r="B1392" i="6"/>
  <c r="K1392" i="6" s="1"/>
  <c r="B1393" i="6"/>
  <c r="B1394" i="6"/>
  <c r="K1394" i="6" s="1"/>
  <c r="B1395" i="6"/>
  <c r="K1395" i="6" s="1"/>
  <c r="B1396" i="6"/>
  <c r="B1397" i="6"/>
  <c r="B1398" i="6"/>
  <c r="K1398" i="6" s="1"/>
  <c r="B1399" i="6"/>
  <c r="K1399" i="6" s="1"/>
  <c r="B1400" i="6"/>
  <c r="K1400" i="6" s="1"/>
  <c r="B1401" i="6"/>
  <c r="B1402" i="6"/>
  <c r="K1402" i="6" s="1"/>
  <c r="B1403" i="6"/>
  <c r="K1403" i="6" s="1"/>
  <c r="B1404" i="6"/>
  <c r="K1404" i="6" s="1"/>
  <c r="B1405" i="6"/>
  <c r="B1406" i="6"/>
  <c r="K1406" i="6" s="1"/>
  <c r="B1407" i="6"/>
  <c r="K1407" i="6" s="1"/>
  <c r="B1408" i="6"/>
  <c r="K1408" i="6" s="1"/>
  <c r="B1409" i="6"/>
  <c r="B1410" i="6"/>
  <c r="B1411" i="6"/>
  <c r="K1411" i="6" s="1"/>
  <c r="B1412" i="6"/>
  <c r="K1412" i="6" s="1"/>
  <c r="B1413" i="6"/>
  <c r="B1414" i="6"/>
  <c r="B1415" i="6"/>
  <c r="K1415" i="6" s="1"/>
  <c r="B1416" i="6"/>
  <c r="K1416" i="6" s="1"/>
  <c r="B1417" i="6"/>
  <c r="B1418" i="6"/>
  <c r="B1419" i="6"/>
  <c r="K1419" i="6" s="1"/>
  <c r="B1420" i="6"/>
  <c r="K1420" i="6" s="1"/>
  <c r="B1421" i="6"/>
  <c r="B1422" i="6"/>
  <c r="K1422" i="6" s="1"/>
  <c r="B1423" i="6"/>
  <c r="K1423" i="6" s="1"/>
  <c r="B1424" i="6"/>
  <c r="K1424" i="6" s="1"/>
  <c r="B1425" i="6"/>
  <c r="B1426" i="6"/>
  <c r="B1427" i="6"/>
  <c r="K1427" i="6" s="1"/>
  <c r="B1428" i="6"/>
  <c r="K1428" i="6" s="1"/>
  <c r="B1429" i="6"/>
  <c r="B1430" i="6"/>
  <c r="B1431" i="6"/>
  <c r="K1431" i="6" s="1"/>
  <c r="B1432" i="6"/>
  <c r="K1432" i="6" s="1"/>
  <c r="B1433" i="6"/>
  <c r="B1434" i="6"/>
  <c r="B1435" i="6"/>
  <c r="K1435" i="6" s="1"/>
  <c r="B1436" i="6"/>
  <c r="K1436" i="6" s="1"/>
  <c r="B1437" i="6"/>
  <c r="B1438" i="6"/>
  <c r="K1438" i="6" s="1"/>
  <c r="B1439" i="6"/>
  <c r="K1439" i="6" s="1"/>
  <c r="B1440" i="6"/>
  <c r="K1440" i="6" s="1"/>
  <c r="B1441" i="6"/>
  <c r="B1442" i="6"/>
  <c r="B1443" i="6"/>
  <c r="K1443" i="6" s="1"/>
  <c r="B1444" i="6"/>
  <c r="K1444" i="6" s="1"/>
  <c r="B1445" i="6"/>
  <c r="B1446" i="6"/>
  <c r="B1447" i="6"/>
  <c r="K1447" i="6" s="1"/>
  <c r="B1448" i="6"/>
  <c r="K1448" i="6" s="1"/>
  <c r="B1449" i="6"/>
  <c r="B1450" i="6"/>
  <c r="B1451" i="6"/>
  <c r="K1451" i="6" s="1"/>
  <c r="B1452" i="6"/>
  <c r="K1452" i="6" s="1"/>
  <c r="B1453" i="6"/>
  <c r="B1454" i="6"/>
  <c r="K1454" i="6" s="1"/>
  <c r="B1455" i="6"/>
  <c r="K1455" i="6" s="1"/>
  <c r="B1456" i="6"/>
  <c r="K1456" i="6" s="1"/>
  <c r="B1457" i="6"/>
  <c r="B1458" i="6"/>
  <c r="B1459" i="6"/>
  <c r="K1459" i="6" s="1"/>
  <c r="B1460" i="6"/>
  <c r="K1460" i="6" s="1"/>
  <c r="B1461" i="6"/>
  <c r="B1462" i="6"/>
  <c r="B1463" i="6"/>
  <c r="K1463" i="6" s="1"/>
  <c r="B1464" i="6"/>
  <c r="K1464" i="6" s="1"/>
  <c r="B1465" i="6"/>
  <c r="B1466" i="6"/>
  <c r="B1467" i="6"/>
  <c r="K1467" i="6" s="1"/>
  <c r="B1468" i="6"/>
  <c r="K1468" i="6" s="1"/>
  <c r="B1469" i="6"/>
  <c r="B1470" i="6"/>
  <c r="K1470" i="6" s="1"/>
  <c r="B1471" i="6"/>
  <c r="K1471" i="6" s="1"/>
  <c r="B1472" i="6"/>
  <c r="K1472" i="6" s="1"/>
  <c r="B1473" i="6"/>
  <c r="B1474" i="6"/>
  <c r="B1475" i="6"/>
  <c r="K1475" i="6" s="1"/>
  <c r="B1476" i="6"/>
  <c r="K1476" i="6" s="1"/>
  <c r="B1477" i="6"/>
  <c r="B1478" i="6"/>
  <c r="B1479" i="6"/>
  <c r="K1479" i="6" s="1"/>
  <c r="B1480" i="6"/>
  <c r="K1480" i="6" s="1"/>
  <c r="B1481" i="6"/>
  <c r="B1482" i="6"/>
  <c r="B1483" i="6"/>
  <c r="K1483" i="6" s="1"/>
  <c r="B1484" i="6"/>
  <c r="K1484" i="6" s="1"/>
  <c r="B1485" i="6"/>
  <c r="B1486" i="6"/>
  <c r="K1486" i="6" s="1"/>
  <c r="B1487" i="6"/>
  <c r="K1487" i="6" s="1"/>
  <c r="B1488" i="6"/>
  <c r="K1488" i="6" s="1"/>
  <c r="B1489" i="6"/>
  <c r="B1490" i="6"/>
  <c r="B1491" i="6"/>
  <c r="K1491" i="6" s="1"/>
  <c r="B1492" i="6"/>
  <c r="K1492" i="6" s="1"/>
  <c r="B1493" i="6"/>
  <c r="B1494" i="6"/>
  <c r="B1495" i="6"/>
  <c r="K1495" i="6" s="1"/>
  <c r="B1496" i="6"/>
  <c r="K1496" i="6" s="1"/>
  <c r="B1497" i="6"/>
  <c r="B1498" i="6"/>
  <c r="B1499" i="6"/>
  <c r="K1499" i="6" s="1"/>
  <c r="B1500" i="6"/>
  <c r="K1500" i="6" s="1"/>
  <c r="B1501" i="6"/>
  <c r="B1502" i="6"/>
  <c r="K1502" i="6" s="1"/>
  <c r="B1503" i="6"/>
  <c r="K1503" i="6" s="1"/>
  <c r="B1504" i="6"/>
  <c r="K1504" i="6" s="1"/>
  <c r="B1505" i="6"/>
  <c r="B1506" i="6"/>
  <c r="B1507" i="6"/>
  <c r="K1507" i="6" s="1"/>
  <c r="B1508" i="6"/>
  <c r="K1508" i="6" s="1"/>
  <c r="B1509" i="6"/>
  <c r="B1510" i="6"/>
  <c r="B1511" i="6"/>
  <c r="K1511" i="6" s="1"/>
  <c r="B1512" i="6"/>
  <c r="K1512" i="6" s="1"/>
  <c r="B1513" i="6"/>
  <c r="B1514" i="6"/>
  <c r="B1515" i="6"/>
  <c r="K1515" i="6" s="1"/>
  <c r="B1516" i="6"/>
  <c r="K1516" i="6" s="1"/>
  <c r="B1517" i="6"/>
  <c r="B1518" i="6"/>
  <c r="K1518" i="6" s="1"/>
  <c r="B1519" i="6"/>
  <c r="K1519" i="6" s="1"/>
  <c r="B1520" i="6"/>
  <c r="K1520" i="6" s="1"/>
  <c r="B1521" i="6"/>
  <c r="B1522" i="6"/>
  <c r="B1523" i="6"/>
  <c r="K1523" i="6" s="1"/>
  <c r="B1524" i="6"/>
  <c r="K1524" i="6" s="1"/>
  <c r="B1525" i="6"/>
  <c r="B1526" i="6"/>
  <c r="B1527" i="6"/>
  <c r="K1527" i="6" s="1"/>
  <c r="B1528" i="6"/>
  <c r="K1528" i="6" s="1"/>
  <c r="B1529" i="6"/>
  <c r="B1530" i="6"/>
  <c r="B1531" i="6"/>
  <c r="K1531" i="6" s="1"/>
  <c r="B1532" i="6"/>
  <c r="K1532" i="6" s="1"/>
  <c r="B1533" i="6"/>
  <c r="B1534" i="6"/>
  <c r="B1535" i="6"/>
  <c r="K1535" i="6" s="1"/>
  <c r="B1536" i="6"/>
  <c r="K1536" i="6" s="1"/>
  <c r="B1537" i="6"/>
  <c r="B1538" i="6"/>
  <c r="B1539" i="6"/>
  <c r="K1539" i="6" s="1"/>
  <c r="B1540" i="6"/>
  <c r="K1540" i="6" s="1"/>
  <c r="B1541" i="6"/>
  <c r="B1542" i="6"/>
  <c r="B1543" i="6"/>
  <c r="K1543" i="6" s="1"/>
  <c r="B1544" i="6"/>
  <c r="K1544" i="6" s="1"/>
  <c r="B1545" i="6"/>
  <c r="B1546" i="6"/>
  <c r="B1547" i="6"/>
  <c r="B1548" i="6"/>
  <c r="K1548" i="6" s="1"/>
  <c r="B1549" i="6"/>
  <c r="B1550" i="6"/>
  <c r="B1551" i="6"/>
  <c r="K1551" i="6" s="1"/>
  <c r="B1552" i="6"/>
  <c r="K1552" i="6" s="1"/>
  <c r="B1553" i="6"/>
  <c r="B1554" i="6"/>
  <c r="B1555" i="6"/>
  <c r="K1555" i="6" s="1"/>
  <c r="B1556" i="6"/>
  <c r="K1556" i="6" s="1"/>
  <c r="B1557" i="6"/>
  <c r="B1558" i="6"/>
  <c r="B1559" i="6"/>
  <c r="K1559" i="6" s="1"/>
  <c r="B1560" i="6"/>
  <c r="K1560" i="6" s="1"/>
  <c r="B1561" i="6"/>
  <c r="B1562" i="6"/>
  <c r="B1563" i="6"/>
  <c r="K1563" i="6" s="1"/>
  <c r="B1564" i="6"/>
  <c r="K1564" i="6" s="1"/>
  <c r="B1565" i="6"/>
  <c r="B1566" i="6"/>
  <c r="B1567" i="6"/>
  <c r="K1567" i="6" s="1"/>
  <c r="B1568" i="6"/>
  <c r="K1568" i="6" s="1"/>
  <c r="B1569" i="6"/>
  <c r="B1570" i="6"/>
  <c r="B1571" i="6"/>
  <c r="K1571" i="6" s="1"/>
  <c r="B1572" i="6"/>
  <c r="K1572" i="6" s="1"/>
  <c r="B1573" i="6"/>
  <c r="B1574" i="6"/>
  <c r="B1575" i="6"/>
  <c r="K1575" i="6" s="1"/>
  <c r="B1576" i="6"/>
  <c r="K1576" i="6" s="1"/>
  <c r="B1577" i="6"/>
  <c r="B1578" i="6"/>
  <c r="B1579" i="6"/>
  <c r="B1580" i="6"/>
  <c r="K1580" i="6" s="1"/>
  <c r="B1581" i="6"/>
  <c r="B1582" i="6"/>
  <c r="B1583" i="6"/>
  <c r="K1583" i="6" s="1"/>
  <c r="B1584" i="6"/>
  <c r="B1585" i="6"/>
  <c r="B1586" i="6"/>
  <c r="B1587" i="6"/>
  <c r="K1587" i="6" s="1"/>
  <c r="B1588" i="6"/>
  <c r="B1589" i="6"/>
  <c r="B1590" i="6"/>
  <c r="B1591" i="6"/>
  <c r="K1591" i="6" s="1"/>
  <c r="B1592" i="6"/>
  <c r="B1593" i="6"/>
  <c r="B1594" i="6"/>
  <c r="B1595" i="6"/>
  <c r="K1595" i="6" s="1"/>
  <c r="B1596" i="6"/>
  <c r="B1597" i="6"/>
  <c r="B1598" i="6"/>
  <c r="B1599" i="6"/>
  <c r="K1599" i="6" s="1"/>
  <c r="B1600" i="6"/>
  <c r="B1601" i="6"/>
  <c r="B1602" i="6"/>
  <c r="B1603" i="6"/>
  <c r="K1603" i="6" s="1"/>
  <c r="B1604" i="6"/>
  <c r="B1605" i="6"/>
  <c r="B1606" i="6"/>
  <c r="B1607" i="6"/>
  <c r="K1607" i="6" s="1"/>
  <c r="B1608" i="6"/>
  <c r="B1609" i="6"/>
  <c r="B1610" i="6"/>
  <c r="B1611" i="6"/>
  <c r="K1611" i="6" s="1"/>
  <c r="B1612" i="6"/>
  <c r="B1613" i="6"/>
  <c r="B1614" i="6"/>
  <c r="B1615" i="6"/>
  <c r="K1615" i="6" s="1"/>
  <c r="B1616" i="6"/>
  <c r="B1617" i="6"/>
  <c r="B1618" i="6"/>
  <c r="B1619" i="6"/>
  <c r="K1619" i="6" s="1"/>
  <c r="B1620" i="6"/>
  <c r="B1621" i="6"/>
  <c r="B1622" i="6"/>
  <c r="B1623" i="6"/>
  <c r="K1623" i="6" s="1"/>
  <c r="B1624" i="6"/>
  <c r="B1625" i="6"/>
  <c r="B1626" i="6"/>
  <c r="B1627" i="6"/>
  <c r="K1627" i="6" s="1"/>
  <c r="B1628" i="6"/>
  <c r="B1629" i="6"/>
  <c r="B1630" i="6"/>
  <c r="B1631" i="6"/>
  <c r="K1631" i="6" s="1"/>
  <c r="B1632" i="6"/>
  <c r="B1633" i="6"/>
  <c r="B1634" i="6"/>
  <c r="B1635" i="6"/>
  <c r="K1635" i="6" s="1"/>
  <c r="B1636" i="6"/>
  <c r="B1637" i="6"/>
  <c r="B1638" i="6"/>
  <c r="B1639" i="6"/>
  <c r="K1639" i="6" s="1"/>
  <c r="B1640" i="6"/>
  <c r="B1641" i="6"/>
  <c r="B1642" i="6"/>
  <c r="B1643" i="6"/>
  <c r="K1643" i="6" s="1"/>
  <c r="B1644" i="6"/>
  <c r="B1645" i="6"/>
  <c r="B1646" i="6"/>
  <c r="B1647" i="6"/>
  <c r="K1647" i="6" s="1"/>
  <c r="B1648" i="6"/>
  <c r="B1649" i="6"/>
  <c r="B1650" i="6"/>
  <c r="B1651" i="6"/>
  <c r="K1651" i="6" s="1"/>
  <c r="B1652" i="6"/>
  <c r="B1653" i="6"/>
  <c r="B1654" i="6"/>
  <c r="B1655" i="6"/>
  <c r="K1655" i="6" s="1"/>
  <c r="B1656" i="6"/>
  <c r="B1657" i="6"/>
  <c r="B1658" i="6"/>
  <c r="B1659" i="6"/>
  <c r="K1659" i="6" s="1"/>
  <c r="B1660" i="6"/>
  <c r="B1661" i="6"/>
  <c r="B1662" i="6"/>
  <c r="B1663" i="6"/>
  <c r="K1663" i="6" s="1"/>
  <c r="B1664" i="6"/>
  <c r="B1665" i="6"/>
  <c r="B1666" i="6"/>
  <c r="B1667" i="6"/>
  <c r="K1667" i="6" s="1"/>
  <c r="B1668" i="6"/>
  <c r="B1669" i="6"/>
  <c r="B1670" i="6"/>
  <c r="B1671" i="6"/>
  <c r="K1671" i="6" s="1"/>
  <c r="B1672" i="6"/>
  <c r="B1673" i="6"/>
  <c r="B1674" i="6"/>
  <c r="B1675" i="6"/>
  <c r="K1675" i="6" s="1"/>
  <c r="B1676" i="6"/>
  <c r="B1677" i="6"/>
  <c r="B1678" i="6"/>
  <c r="B1679" i="6"/>
  <c r="K1679" i="6" s="1"/>
  <c r="B1680" i="6"/>
  <c r="B1681" i="6"/>
  <c r="B1682" i="6"/>
  <c r="B1683" i="6"/>
  <c r="K1683" i="6" s="1"/>
  <c r="B1684" i="6"/>
  <c r="B1685" i="6"/>
  <c r="B1686" i="6"/>
  <c r="B1687" i="6"/>
  <c r="K1687" i="6" s="1"/>
  <c r="B1688" i="6"/>
  <c r="B1689" i="6"/>
  <c r="B1690" i="6"/>
  <c r="B1691" i="6"/>
  <c r="K1691" i="6" s="1"/>
  <c r="B1692" i="6"/>
  <c r="B1693" i="6"/>
  <c r="B1694" i="6"/>
  <c r="B1695" i="6"/>
  <c r="K1695" i="6" s="1"/>
  <c r="B1696" i="6"/>
  <c r="B1697" i="6"/>
  <c r="B1698" i="6"/>
  <c r="B1699" i="6"/>
  <c r="K1699" i="6" s="1"/>
  <c r="B1700" i="6"/>
  <c r="B1701" i="6"/>
  <c r="B1702" i="6"/>
  <c r="B1703" i="6"/>
  <c r="K1703" i="6" s="1"/>
  <c r="B1704" i="6"/>
  <c r="B1705" i="6"/>
  <c r="B1706" i="6"/>
  <c r="B1707" i="6"/>
  <c r="K1707" i="6" s="1"/>
  <c r="B1708" i="6"/>
  <c r="B1709" i="6"/>
  <c r="B1710" i="6"/>
  <c r="B1711" i="6"/>
  <c r="K1711" i="6" s="1"/>
  <c r="B1712" i="6"/>
  <c r="B1713" i="6"/>
  <c r="B1714" i="6"/>
  <c r="B1715" i="6"/>
  <c r="K1715" i="6" s="1"/>
  <c r="B1716" i="6"/>
  <c r="B1717" i="6"/>
  <c r="B1718" i="6"/>
  <c r="B1719" i="6"/>
  <c r="K1719" i="6" s="1"/>
  <c r="B1720" i="6"/>
  <c r="B1721" i="6"/>
  <c r="B1722" i="6"/>
  <c r="B1723" i="6"/>
  <c r="K1723" i="6" s="1"/>
  <c r="B1724" i="6"/>
  <c r="B1725" i="6"/>
  <c r="B1726" i="6"/>
  <c r="B1727" i="6"/>
  <c r="K1727" i="6" s="1"/>
  <c r="B1728" i="6"/>
  <c r="B1729" i="6"/>
  <c r="B1730" i="6"/>
  <c r="B1731" i="6"/>
  <c r="K1731" i="6" s="1"/>
  <c r="B1732" i="6"/>
  <c r="B1733" i="6"/>
  <c r="B1734" i="6"/>
  <c r="B1735" i="6"/>
  <c r="K1735" i="6" s="1"/>
  <c r="B1736" i="6"/>
  <c r="B1737" i="6"/>
  <c r="B1738" i="6"/>
  <c r="B1739" i="6"/>
  <c r="K1739" i="6" s="1"/>
  <c r="B1740" i="6"/>
  <c r="B1741" i="6"/>
  <c r="B1742" i="6"/>
  <c r="B1743" i="6"/>
  <c r="K1743" i="6" s="1"/>
  <c r="B1744" i="6"/>
  <c r="B1745" i="6"/>
  <c r="B1746" i="6"/>
  <c r="B1747" i="6"/>
  <c r="K1747" i="6" s="1"/>
  <c r="B1748" i="6"/>
  <c r="B1749" i="6"/>
  <c r="B1750" i="6"/>
  <c r="B1751" i="6"/>
  <c r="K1751" i="6" s="1"/>
  <c r="B1752" i="6"/>
  <c r="B1753" i="6"/>
  <c r="B1754" i="6"/>
  <c r="B1755" i="6"/>
  <c r="K1755" i="6" s="1"/>
  <c r="B1756" i="6"/>
  <c r="B1757" i="6"/>
  <c r="B1758" i="6"/>
  <c r="B1759" i="6"/>
  <c r="K1759" i="6" s="1"/>
  <c r="B1760" i="6"/>
  <c r="B1761" i="6"/>
  <c r="B1762" i="6"/>
  <c r="B1763" i="6"/>
  <c r="K1763" i="6" s="1"/>
  <c r="B1764" i="6"/>
  <c r="B1765" i="6"/>
  <c r="B1766" i="6"/>
  <c r="B1767" i="6"/>
  <c r="K1767" i="6" s="1"/>
  <c r="B1768" i="6"/>
  <c r="B1769" i="6"/>
  <c r="B1770" i="6"/>
  <c r="B1771" i="6"/>
  <c r="K1771" i="6" s="1"/>
  <c r="B1772" i="6"/>
  <c r="B1773" i="6"/>
  <c r="B1774" i="6"/>
  <c r="B1775" i="6"/>
  <c r="K1775" i="6" s="1"/>
  <c r="B1776" i="6"/>
  <c r="B1777" i="6"/>
  <c r="B1778" i="6"/>
  <c r="B1779" i="6"/>
  <c r="K1779" i="6" s="1"/>
  <c r="B1780" i="6"/>
  <c r="B1781" i="6"/>
  <c r="B1782" i="6"/>
  <c r="B1783" i="6"/>
  <c r="K1783" i="6" s="1"/>
  <c r="B1784" i="6"/>
  <c r="B1785" i="6"/>
  <c r="B1786" i="6"/>
  <c r="B1787" i="6"/>
  <c r="K1787" i="6" s="1"/>
  <c r="B1788" i="6"/>
  <c r="B1789" i="6"/>
  <c r="B1790" i="6"/>
  <c r="B1791" i="6"/>
  <c r="K1791" i="6" s="1"/>
  <c r="B1792" i="6"/>
  <c r="B1793" i="6"/>
  <c r="B1794" i="6"/>
  <c r="B1795" i="6"/>
  <c r="K1795" i="6" s="1"/>
  <c r="B1796" i="6"/>
  <c r="B1797" i="6"/>
  <c r="B1798" i="6"/>
  <c r="B1799" i="6"/>
  <c r="K1799" i="6" s="1"/>
  <c r="B1800" i="6"/>
  <c r="B1801" i="6"/>
  <c r="B1802" i="6"/>
  <c r="B1803" i="6"/>
  <c r="K1803" i="6" s="1"/>
  <c r="B1804" i="6"/>
  <c r="B1805" i="6"/>
  <c r="B1806" i="6"/>
  <c r="B1807" i="6"/>
  <c r="K1807" i="6" s="1"/>
  <c r="B1808" i="6"/>
  <c r="B1809" i="6"/>
  <c r="B1810" i="6"/>
  <c r="B1811" i="6"/>
  <c r="K1811" i="6" s="1"/>
  <c r="B1812" i="6"/>
  <c r="B1813" i="6"/>
  <c r="B1814" i="6"/>
  <c r="B1815" i="6"/>
  <c r="K1815" i="6" s="1"/>
  <c r="B1816" i="6"/>
  <c r="B1817" i="6"/>
  <c r="B1818" i="6"/>
  <c r="B1819" i="6"/>
  <c r="K1819" i="6" s="1"/>
  <c r="B1820" i="6"/>
  <c r="B1821" i="6"/>
  <c r="B1822" i="6"/>
  <c r="B1823" i="6"/>
  <c r="K1823" i="6" s="1"/>
  <c r="B1824" i="6"/>
  <c r="B1825" i="6"/>
  <c r="B1826" i="6"/>
  <c r="B1827" i="6"/>
  <c r="K1827" i="6" s="1"/>
  <c r="B1828" i="6"/>
  <c r="B1829" i="6"/>
  <c r="B1830" i="6"/>
  <c r="B1831" i="6"/>
  <c r="K1831" i="6" s="1"/>
  <c r="B1832" i="6"/>
  <c r="B1833" i="6"/>
  <c r="B1834" i="6"/>
  <c r="B1835" i="6"/>
  <c r="K1835" i="6" s="1"/>
  <c r="B1836" i="6"/>
  <c r="B1837" i="6"/>
  <c r="B1838" i="6"/>
  <c r="B1839" i="6"/>
  <c r="K1839" i="6" s="1"/>
  <c r="B1840" i="6"/>
  <c r="B1841" i="6"/>
  <c r="B1842" i="6"/>
  <c r="B1843" i="6"/>
  <c r="K1843" i="6" s="1"/>
  <c r="B1844" i="6"/>
  <c r="B1845" i="6"/>
  <c r="B1846" i="6"/>
  <c r="B1847" i="6"/>
  <c r="K1847" i="6" s="1"/>
  <c r="B1848" i="6"/>
  <c r="B1849" i="6"/>
  <c r="B1850" i="6"/>
  <c r="B1851" i="6"/>
  <c r="K1851" i="6" s="1"/>
  <c r="B1852" i="6"/>
  <c r="B1853" i="6"/>
  <c r="B1854" i="6"/>
  <c r="B1855" i="6"/>
  <c r="K1855" i="6" s="1"/>
  <c r="B1856" i="6"/>
  <c r="B1857" i="6"/>
  <c r="B1858" i="6"/>
  <c r="B1859" i="6"/>
  <c r="K1859" i="6" s="1"/>
  <c r="B1860" i="6"/>
  <c r="B1861" i="6"/>
  <c r="B1862" i="6"/>
  <c r="B1863" i="6"/>
  <c r="K1863" i="6" s="1"/>
  <c r="B1864" i="6"/>
  <c r="B1865" i="6"/>
  <c r="B1866" i="6"/>
  <c r="B1867" i="6"/>
  <c r="K1867" i="6" s="1"/>
  <c r="B1868" i="6"/>
  <c r="B1869" i="6"/>
  <c r="B1870" i="6"/>
  <c r="B1871" i="6"/>
  <c r="K1871" i="6" s="1"/>
  <c r="B1872" i="6"/>
  <c r="B1873" i="6"/>
  <c r="B1874" i="6"/>
  <c r="B1875" i="6"/>
  <c r="K1875" i="6" s="1"/>
  <c r="B1876" i="6"/>
  <c r="B1877" i="6"/>
  <c r="B1878" i="6"/>
  <c r="B1879" i="6"/>
  <c r="K1879" i="6" s="1"/>
  <c r="B1880" i="6"/>
  <c r="B1881" i="6"/>
  <c r="B1882" i="6"/>
  <c r="B1883" i="6"/>
  <c r="K1883" i="6" s="1"/>
  <c r="B1884" i="6"/>
  <c r="B1885" i="6"/>
  <c r="B1886" i="6"/>
  <c r="B1887" i="6"/>
  <c r="K1887" i="6" s="1"/>
  <c r="B1888" i="6"/>
  <c r="B1889" i="6"/>
  <c r="B1890" i="6"/>
  <c r="B1891" i="6"/>
  <c r="K1891" i="6" s="1"/>
  <c r="B1892" i="6"/>
  <c r="B1893" i="6"/>
  <c r="B1894" i="6"/>
  <c r="B1895" i="6"/>
  <c r="K1895" i="6" s="1"/>
  <c r="B1896" i="6"/>
  <c r="B1897" i="6"/>
  <c r="B1898" i="6"/>
  <c r="B1899" i="6"/>
  <c r="K1899" i="6" s="1"/>
  <c r="B1900" i="6"/>
  <c r="B1901" i="6"/>
  <c r="B1902" i="6"/>
  <c r="B1903" i="6"/>
  <c r="K1903" i="6" s="1"/>
  <c r="B1904" i="6"/>
  <c r="B1905" i="6"/>
  <c r="B1906" i="6"/>
  <c r="B1907" i="6"/>
  <c r="K1907" i="6" s="1"/>
  <c r="B1908" i="6"/>
  <c r="B1909" i="6"/>
  <c r="B1910" i="6"/>
  <c r="B1911" i="6"/>
  <c r="K1911" i="6" s="1"/>
  <c r="B1912" i="6"/>
  <c r="B1913" i="6"/>
  <c r="B1914" i="6"/>
  <c r="B1915" i="6"/>
  <c r="K1915" i="6" s="1"/>
  <c r="B1916" i="6"/>
  <c r="B1917" i="6"/>
  <c r="B1918" i="6"/>
  <c r="B1919" i="6"/>
  <c r="K1919" i="6" s="1"/>
  <c r="B1920" i="6"/>
  <c r="B1921" i="6"/>
  <c r="B1922" i="6"/>
  <c r="B1923" i="6"/>
  <c r="K1923" i="6" s="1"/>
  <c r="B1924" i="6"/>
  <c r="B1925" i="6"/>
  <c r="B1926" i="6"/>
  <c r="B1927" i="6"/>
  <c r="K1927" i="6" s="1"/>
  <c r="B1928" i="6"/>
  <c r="B1929" i="6"/>
  <c r="B1930" i="6"/>
  <c r="B1931" i="6"/>
  <c r="K1931" i="6" s="1"/>
  <c r="B1932" i="6"/>
  <c r="B1933" i="6"/>
  <c r="B1934" i="6"/>
  <c r="B1935" i="6"/>
  <c r="K1935" i="6" s="1"/>
  <c r="B1936" i="6"/>
  <c r="B1937" i="6"/>
  <c r="B1938" i="6"/>
  <c r="B1939" i="6"/>
  <c r="K1939" i="6" s="1"/>
  <c r="B1940" i="6"/>
  <c r="B1941" i="6"/>
  <c r="B1942" i="6"/>
  <c r="B1943" i="6"/>
  <c r="K1943" i="6" s="1"/>
  <c r="B1944" i="6"/>
  <c r="B1945" i="6"/>
  <c r="B1946" i="6"/>
  <c r="B1947" i="6"/>
  <c r="K1947" i="6" s="1"/>
  <c r="B1948" i="6"/>
  <c r="B1949" i="6"/>
  <c r="B1950" i="6"/>
  <c r="B1951" i="6"/>
  <c r="K1951" i="6" s="1"/>
  <c r="B1952" i="6"/>
  <c r="B1953" i="6"/>
  <c r="B1954" i="6"/>
  <c r="B1955" i="6"/>
  <c r="K1955" i="6" s="1"/>
  <c r="B1956" i="6"/>
  <c r="B1957" i="6"/>
  <c r="B1958" i="6"/>
  <c r="B1959" i="6"/>
  <c r="K1959" i="6" s="1"/>
  <c r="B1960" i="6"/>
  <c r="B1961" i="6"/>
  <c r="B1962" i="6"/>
  <c r="B1963" i="6"/>
  <c r="K1963" i="6" s="1"/>
  <c r="B1964" i="6"/>
  <c r="B1965" i="6"/>
  <c r="B1966" i="6"/>
  <c r="B1967" i="6"/>
  <c r="K1967" i="6" s="1"/>
  <c r="B1968" i="6"/>
  <c r="B1969" i="6"/>
  <c r="B1970" i="6"/>
  <c r="B1971" i="6"/>
  <c r="K1971" i="6" s="1"/>
  <c r="B1972" i="6"/>
  <c r="B1973" i="6"/>
  <c r="B1974" i="6"/>
  <c r="B1975" i="6"/>
  <c r="K1975" i="6" s="1"/>
  <c r="B1976" i="6"/>
  <c r="B1977" i="6"/>
  <c r="B1978" i="6"/>
  <c r="B1979" i="6"/>
  <c r="K1979" i="6" s="1"/>
  <c r="B1980" i="6"/>
  <c r="B1981" i="6"/>
  <c r="B1982" i="6"/>
  <c r="B1983" i="6"/>
  <c r="K1983" i="6" s="1"/>
  <c r="B1984" i="6"/>
  <c r="B1985" i="6"/>
  <c r="B1986" i="6"/>
  <c r="B1987" i="6"/>
  <c r="K1987" i="6" s="1"/>
  <c r="B1988" i="6"/>
  <c r="B1989" i="6"/>
  <c r="B1990" i="6"/>
  <c r="B1991" i="6"/>
  <c r="K1991" i="6" s="1"/>
  <c r="B1992" i="6"/>
  <c r="B1993" i="6"/>
  <c r="B1994" i="6"/>
  <c r="B1995" i="6"/>
  <c r="K1995" i="6" s="1"/>
  <c r="B1996" i="6"/>
  <c r="B1997" i="6"/>
  <c r="B1998" i="6"/>
  <c r="B1999" i="6"/>
  <c r="K1999" i="6" s="1"/>
  <c r="B2000" i="6"/>
  <c r="B2001" i="6"/>
  <c r="B2002" i="6"/>
  <c r="B2003" i="6"/>
  <c r="K2003" i="6" s="1"/>
  <c r="B2004" i="6"/>
  <c r="B2005" i="6"/>
  <c r="B2006" i="6"/>
  <c r="B2007" i="6"/>
  <c r="K2007" i="6" s="1"/>
  <c r="B2008" i="6"/>
  <c r="B2009" i="6"/>
  <c r="B2010" i="6"/>
  <c r="B2011" i="6"/>
  <c r="K2011" i="6" s="1"/>
  <c r="B2012" i="6"/>
  <c r="B2013" i="6"/>
  <c r="B2014" i="6"/>
  <c r="B2015" i="6"/>
  <c r="K2015" i="6" s="1"/>
  <c r="B2016" i="6"/>
  <c r="B2017" i="6"/>
  <c r="B2018" i="6"/>
  <c r="B2019" i="6"/>
  <c r="K2019" i="6" s="1"/>
  <c r="B2020" i="6"/>
  <c r="B2021" i="6"/>
  <c r="B2022" i="6"/>
  <c r="B2023" i="6"/>
  <c r="K2023" i="6" s="1"/>
  <c r="B2024" i="6"/>
  <c r="B2025" i="6"/>
  <c r="B2026" i="6"/>
  <c r="B2027" i="6"/>
  <c r="K2027" i="6" s="1"/>
  <c r="B2028" i="6"/>
  <c r="B2029" i="6"/>
  <c r="B2030" i="6"/>
  <c r="B2031" i="6"/>
  <c r="K2031" i="6" s="1"/>
  <c r="B2032" i="6"/>
  <c r="B2033" i="6"/>
  <c r="B2034" i="6"/>
  <c r="B2035" i="6"/>
  <c r="K2035" i="6" s="1"/>
  <c r="B2036" i="6"/>
  <c r="B2037" i="6"/>
  <c r="B2038" i="6"/>
  <c r="B2039" i="6"/>
  <c r="K2039" i="6" s="1"/>
  <c r="B2040" i="6"/>
  <c r="B2041" i="6"/>
  <c r="B2042" i="6"/>
  <c r="B2043" i="6"/>
  <c r="K2043" i="6" s="1"/>
  <c r="B2044" i="6"/>
  <c r="B2045" i="6"/>
  <c r="B2046" i="6"/>
  <c r="B2047" i="6"/>
  <c r="K2047" i="6" s="1"/>
  <c r="B2048" i="6"/>
  <c r="B2049" i="6"/>
  <c r="B2050" i="6"/>
  <c r="B2051" i="6"/>
  <c r="K2051" i="6" s="1"/>
  <c r="B2052" i="6"/>
  <c r="B2053" i="6"/>
  <c r="B2054" i="6"/>
  <c r="B2055" i="6"/>
  <c r="K2055" i="6" s="1"/>
  <c r="B2056" i="6"/>
  <c r="B2057" i="6"/>
  <c r="B2058" i="6"/>
  <c r="B2059" i="6"/>
  <c r="K2059" i="6" s="1"/>
  <c r="B2060" i="6"/>
  <c r="B2061" i="6"/>
  <c r="B2062" i="6"/>
  <c r="B2063" i="6"/>
  <c r="K2063" i="6" s="1"/>
  <c r="B2064" i="6"/>
  <c r="B2065" i="6"/>
  <c r="B2066" i="6"/>
  <c r="B2067" i="6"/>
  <c r="K2067" i="6" s="1"/>
  <c r="B2068" i="6"/>
  <c r="B2069" i="6"/>
  <c r="B2070" i="6"/>
  <c r="B2071" i="6"/>
  <c r="K2071" i="6" s="1"/>
  <c r="B2072" i="6"/>
  <c r="B2073" i="6"/>
  <c r="B2074" i="6"/>
  <c r="B2075" i="6"/>
  <c r="K2075" i="6" s="1"/>
  <c r="B2076" i="6"/>
  <c r="B2077" i="6"/>
  <c r="B2078" i="6"/>
  <c r="B2079" i="6"/>
  <c r="K2079" i="6" s="1"/>
  <c r="B2080" i="6"/>
  <c r="B2081" i="6"/>
  <c r="B2082" i="6"/>
  <c r="B2083" i="6"/>
  <c r="K2083" i="6" s="1"/>
  <c r="B2084" i="6"/>
  <c r="B2085" i="6"/>
  <c r="B2086" i="6"/>
  <c r="B2087" i="6"/>
  <c r="K2087" i="6" s="1"/>
  <c r="B2088" i="6"/>
  <c r="B2089" i="6"/>
  <c r="B2090" i="6"/>
  <c r="B2091" i="6"/>
  <c r="K2091" i="6" s="1"/>
  <c r="B2092" i="6"/>
  <c r="B2093" i="6"/>
  <c r="B2094" i="6"/>
  <c r="B2095" i="6"/>
  <c r="K2095" i="6" s="1"/>
  <c r="B2096" i="6"/>
  <c r="B2097" i="6"/>
  <c r="B2098" i="6"/>
  <c r="B2099" i="6"/>
  <c r="K2099" i="6" s="1"/>
  <c r="B2100" i="6"/>
  <c r="B2101" i="6"/>
  <c r="B2102" i="6"/>
  <c r="B2103" i="6"/>
  <c r="K2103" i="6" s="1"/>
  <c r="B2104" i="6"/>
  <c r="B2105" i="6"/>
  <c r="B2106" i="6"/>
  <c r="B2107" i="6"/>
  <c r="K2107" i="6" s="1"/>
  <c r="B2108" i="6"/>
  <c r="B2109" i="6"/>
  <c r="B2110" i="6"/>
  <c r="B2111" i="6"/>
  <c r="K2111" i="6" s="1"/>
  <c r="B2112" i="6"/>
  <c r="B2113" i="6"/>
  <c r="B2114" i="6"/>
  <c r="B2115" i="6"/>
  <c r="K2115" i="6" s="1"/>
  <c r="B2116" i="6"/>
  <c r="B2117" i="6"/>
  <c r="B2118" i="6"/>
  <c r="B2119" i="6"/>
  <c r="K2119" i="6" s="1"/>
  <c r="B2120" i="6"/>
  <c r="B2121" i="6"/>
  <c r="B2122" i="6"/>
  <c r="B2123" i="6"/>
  <c r="K2123" i="6" s="1"/>
  <c r="B2124" i="6"/>
  <c r="B2125" i="6"/>
  <c r="B2126" i="6"/>
  <c r="B2127" i="6"/>
  <c r="K2127" i="6" s="1"/>
  <c r="B2128" i="6"/>
  <c r="B2129" i="6"/>
  <c r="B2130" i="6"/>
  <c r="B2131" i="6"/>
  <c r="K2131" i="6" s="1"/>
  <c r="B2132" i="6"/>
  <c r="B2133" i="6"/>
  <c r="B2134" i="6"/>
  <c r="B2135" i="6"/>
  <c r="K2135" i="6" s="1"/>
  <c r="B2136" i="6"/>
  <c r="B2137" i="6"/>
  <c r="B2138" i="6"/>
  <c r="B2139" i="6"/>
  <c r="K2139" i="6" s="1"/>
  <c r="B2140" i="6"/>
  <c r="B2141" i="6"/>
  <c r="B2142" i="6"/>
  <c r="B2143" i="6"/>
  <c r="K2143" i="6" s="1"/>
  <c r="B2144" i="6"/>
  <c r="B2145" i="6"/>
  <c r="B2146" i="6"/>
  <c r="B2147" i="6"/>
  <c r="K2147" i="6" s="1"/>
  <c r="B2148" i="6"/>
  <c r="B2149" i="6"/>
  <c r="B2150" i="6"/>
  <c r="B2151" i="6"/>
  <c r="K2151" i="6" s="1"/>
  <c r="B2152" i="6"/>
  <c r="B2153" i="6"/>
  <c r="B2154" i="6"/>
  <c r="B2155" i="6"/>
  <c r="K2155" i="6" s="1"/>
  <c r="B2156" i="6"/>
  <c r="B2157" i="6"/>
  <c r="B2158" i="6"/>
  <c r="B2159" i="6"/>
  <c r="K2159" i="6" s="1"/>
  <c r="B2160" i="6"/>
  <c r="B2161" i="6"/>
  <c r="B2162" i="6"/>
  <c r="B2163" i="6"/>
  <c r="K2163" i="6" s="1"/>
  <c r="B2164" i="6"/>
  <c r="B2165" i="6"/>
  <c r="B2166" i="6"/>
  <c r="B2167" i="6"/>
  <c r="K2167" i="6" s="1"/>
  <c r="B2168" i="6"/>
  <c r="B2169" i="6"/>
  <c r="B2170" i="6"/>
  <c r="B2171" i="6"/>
  <c r="K2171" i="6" s="1"/>
  <c r="B2172" i="6"/>
  <c r="B2173" i="6"/>
  <c r="B2174" i="6"/>
  <c r="B2175" i="6"/>
  <c r="K2175" i="6" s="1"/>
  <c r="B2176" i="6"/>
  <c r="B2177" i="6"/>
  <c r="B2178" i="6"/>
  <c r="B2179" i="6"/>
  <c r="K2179" i="6" s="1"/>
  <c r="B2180" i="6"/>
  <c r="B2181" i="6"/>
  <c r="B2182" i="6"/>
  <c r="B2183" i="6"/>
  <c r="K2183" i="6" s="1"/>
  <c r="B2184" i="6"/>
  <c r="B2185" i="6"/>
  <c r="B2186" i="6"/>
  <c r="B2187" i="6"/>
  <c r="K2187" i="6" s="1"/>
  <c r="B2188" i="6"/>
  <c r="B2189" i="6"/>
  <c r="B2190" i="6"/>
  <c r="B2191" i="6"/>
  <c r="K2191" i="6" s="1"/>
  <c r="B2192" i="6"/>
  <c r="B2193" i="6"/>
  <c r="B2194" i="6"/>
  <c r="B2195" i="6"/>
  <c r="K2195" i="6" s="1"/>
  <c r="B2196" i="6"/>
  <c r="B2197" i="6"/>
  <c r="B2198" i="6"/>
  <c r="B2199" i="6"/>
  <c r="K2199" i="6" s="1"/>
  <c r="B2200" i="6"/>
  <c r="B2201" i="6"/>
  <c r="B2202" i="6"/>
  <c r="B2203" i="6"/>
  <c r="K2203" i="6" s="1"/>
  <c r="B2204" i="6"/>
  <c r="B2205" i="6"/>
  <c r="B2206" i="6"/>
  <c r="B2207" i="6"/>
  <c r="K2207" i="6" s="1"/>
  <c r="B2208" i="6"/>
  <c r="B2209" i="6"/>
  <c r="B2210" i="6"/>
  <c r="B2211" i="6"/>
  <c r="K2211" i="6" s="1"/>
  <c r="B2212" i="6"/>
  <c r="B2213" i="6"/>
  <c r="B2214" i="6"/>
  <c r="B2215" i="6"/>
  <c r="K2215" i="6" s="1"/>
  <c r="B2216" i="6"/>
  <c r="B2217" i="6"/>
  <c r="B2218" i="6"/>
  <c r="B2219" i="6"/>
  <c r="K2219" i="6" s="1"/>
  <c r="B2220" i="6"/>
  <c r="B2221" i="6"/>
  <c r="B2222" i="6"/>
  <c r="B2223" i="6"/>
  <c r="K2223" i="6" s="1"/>
  <c r="B2224" i="6"/>
  <c r="B2225" i="6"/>
  <c r="B2226" i="6"/>
  <c r="B2227" i="6"/>
  <c r="K2227" i="6" s="1"/>
  <c r="B2228" i="6"/>
  <c r="B2229" i="6"/>
  <c r="B2230" i="6"/>
  <c r="B2231" i="6"/>
  <c r="K2231" i="6" s="1"/>
  <c r="B2232" i="6"/>
  <c r="B2233" i="6"/>
  <c r="B2234" i="6"/>
  <c r="B2235" i="6"/>
  <c r="K2235" i="6" s="1"/>
  <c r="B2236" i="6"/>
  <c r="B2237" i="6"/>
  <c r="B2238" i="6"/>
  <c r="B2239" i="6"/>
  <c r="K2239" i="6" s="1"/>
  <c r="B2240" i="6"/>
  <c r="B2241" i="6"/>
  <c r="B2242" i="6"/>
  <c r="B2243" i="6"/>
  <c r="K2243" i="6" s="1"/>
  <c r="B2244" i="6"/>
  <c r="B2245" i="6"/>
  <c r="B2246" i="6"/>
  <c r="B2247" i="6"/>
  <c r="K2247" i="6" s="1"/>
  <c r="B2248" i="6"/>
  <c r="B2249" i="6"/>
  <c r="B2250" i="6"/>
  <c r="B2251" i="6"/>
  <c r="K2251" i="6" s="1"/>
  <c r="B2252" i="6"/>
  <c r="B2253" i="6"/>
  <c r="B2254" i="6"/>
  <c r="B2255" i="6"/>
  <c r="K2255" i="6" s="1"/>
  <c r="B2256" i="6"/>
  <c r="B2257" i="6"/>
  <c r="B2258" i="6"/>
  <c r="B2259" i="6"/>
  <c r="K2259" i="6" s="1"/>
  <c r="B2260" i="6"/>
  <c r="B2261" i="6"/>
  <c r="B2262" i="6"/>
  <c r="B2263" i="6"/>
  <c r="K2263" i="6" s="1"/>
  <c r="B2264" i="6"/>
  <c r="B2265" i="6"/>
  <c r="B2266" i="6"/>
  <c r="B2267" i="6"/>
  <c r="K2267" i="6" s="1"/>
  <c r="B2268" i="6"/>
  <c r="B2269" i="6"/>
  <c r="B2270" i="6"/>
  <c r="B2271" i="6"/>
  <c r="K2271" i="6" s="1"/>
  <c r="B2272" i="6"/>
  <c r="B2273" i="6"/>
  <c r="B2274" i="6"/>
  <c r="B2275" i="6"/>
  <c r="K2275" i="6" s="1"/>
  <c r="B2276" i="6"/>
  <c r="B2277" i="6"/>
  <c r="B2278" i="6"/>
  <c r="B2279" i="6"/>
  <c r="K2279" i="6" s="1"/>
  <c r="B2280" i="6"/>
  <c r="B2281" i="6"/>
  <c r="B2282" i="6"/>
  <c r="B2283" i="6"/>
  <c r="K2283" i="6" s="1"/>
  <c r="B2284" i="6"/>
  <c r="B2285" i="6"/>
  <c r="B2286" i="6"/>
  <c r="B2287" i="6"/>
  <c r="K2287" i="6" s="1"/>
  <c r="B2288" i="6"/>
  <c r="B2289" i="6"/>
  <c r="B2290" i="6"/>
  <c r="B2291" i="6"/>
  <c r="K2291" i="6" s="1"/>
  <c r="B2292" i="6"/>
  <c r="B2293" i="6"/>
  <c r="B2294" i="6"/>
  <c r="B2295" i="6"/>
  <c r="K2295" i="6" s="1"/>
  <c r="B2296" i="6"/>
  <c r="B2297" i="6"/>
  <c r="B2298" i="6"/>
  <c r="B2299" i="6"/>
  <c r="K2299" i="6" s="1"/>
  <c r="B2300" i="6"/>
  <c r="B2301" i="6"/>
  <c r="B2302" i="6"/>
  <c r="B2303" i="6"/>
  <c r="K2303" i="6" s="1"/>
  <c r="B2304" i="6"/>
  <c r="B2305" i="6"/>
  <c r="B2306" i="6"/>
  <c r="B2307" i="6"/>
  <c r="K2307" i="6" s="1"/>
  <c r="B2308" i="6"/>
  <c r="B2309" i="6"/>
  <c r="B2310" i="6"/>
  <c r="B2311" i="6"/>
  <c r="K2311" i="6" s="1"/>
  <c r="B2312" i="6"/>
  <c r="B2313" i="6"/>
  <c r="B2314" i="6"/>
  <c r="B2315" i="6"/>
  <c r="K2315" i="6" s="1"/>
  <c r="B2316" i="6"/>
  <c r="B2317" i="6"/>
  <c r="B2318" i="6"/>
  <c r="B2319" i="6"/>
  <c r="K2319" i="6" s="1"/>
  <c r="B2320" i="6"/>
  <c r="B2321" i="6"/>
  <c r="B2322" i="6"/>
  <c r="B2323" i="6"/>
  <c r="K2323" i="6" s="1"/>
  <c r="B2324" i="6"/>
  <c r="B2325" i="6"/>
  <c r="B2326" i="6"/>
  <c r="B2327" i="6"/>
  <c r="K2327" i="6" s="1"/>
  <c r="B2328" i="6"/>
  <c r="B2329" i="6"/>
  <c r="B2330" i="6"/>
  <c r="B2331" i="6"/>
  <c r="K2331" i="6" s="1"/>
  <c r="B2332" i="6"/>
  <c r="B2333" i="6"/>
  <c r="B2334" i="6"/>
  <c r="B2335" i="6"/>
  <c r="K2335" i="6" s="1"/>
  <c r="B2336" i="6"/>
  <c r="B2337" i="6"/>
  <c r="B2338" i="6"/>
  <c r="B2339" i="6"/>
  <c r="K2339" i="6" s="1"/>
  <c r="B2340" i="6"/>
  <c r="B2341" i="6"/>
  <c r="B2342" i="6"/>
  <c r="B2343" i="6"/>
  <c r="K2343" i="6" s="1"/>
  <c r="B2344" i="6"/>
  <c r="B2345" i="6"/>
  <c r="B2346" i="6"/>
  <c r="B2347" i="6"/>
  <c r="K2347" i="6" s="1"/>
  <c r="B2348" i="6"/>
  <c r="B2349" i="6"/>
  <c r="B2350" i="6"/>
  <c r="B2351" i="6"/>
  <c r="K2351" i="6" s="1"/>
  <c r="B2352" i="6"/>
  <c r="B2353" i="6"/>
  <c r="B2354" i="6"/>
  <c r="B2355" i="6"/>
  <c r="K2355" i="6" s="1"/>
  <c r="B2356" i="6"/>
  <c r="B2357" i="6"/>
  <c r="B2358" i="6"/>
  <c r="B2359" i="6"/>
  <c r="K2359" i="6" s="1"/>
  <c r="B2360" i="6"/>
  <c r="B2361" i="6"/>
  <c r="B2362" i="6"/>
  <c r="B2363" i="6"/>
  <c r="K2363" i="6" s="1"/>
  <c r="B2364" i="6"/>
  <c r="B2365" i="6"/>
  <c r="B2366" i="6"/>
  <c r="B2367" i="6"/>
  <c r="K2367" i="6" s="1"/>
  <c r="B2368" i="6"/>
  <c r="B2369" i="6"/>
  <c r="B2370" i="6"/>
  <c r="B2371" i="6"/>
  <c r="K2371" i="6" s="1"/>
  <c r="B2372" i="6"/>
  <c r="B2373" i="6"/>
  <c r="B2374" i="6"/>
  <c r="B2375" i="6"/>
  <c r="K2375" i="6" s="1"/>
  <c r="B2376" i="6"/>
  <c r="B2377" i="6"/>
  <c r="B2378" i="6"/>
  <c r="B2379" i="6"/>
  <c r="K2379" i="6" s="1"/>
  <c r="B2380" i="6"/>
  <c r="B2381" i="6"/>
  <c r="B2382" i="6"/>
  <c r="B2383" i="6"/>
  <c r="K2383" i="6" s="1"/>
  <c r="B2384" i="6"/>
  <c r="B2385" i="6"/>
  <c r="B2386" i="6"/>
  <c r="B2387" i="6"/>
  <c r="K2387" i="6" s="1"/>
  <c r="B2388" i="6"/>
  <c r="B2389" i="6"/>
  <c r="B2390" i="6"/>
  <c r="B2391" i="6"/>
  <c r="K2391" i="6" s="1"/>
  <c r="B2392" i="6"/>
  <c r="B2393" i="6"/>
  <c r="B2394" i="6"/>
  <c r="B2395" i="6"/>
  <c r="K2395" i="6" s="1"/>
  <c r="B2396" i="6"/>
  <c r="B2397" i="6"/>
  <c r="B2398" i="6"/>
  <c r="B2399" i="6"/>
  <c r="K2399" i="6" s="1"/>
  <c r="B2400" i="6"/>
  <c r="B2401" i="6"/>
  <c r="B2402" i="6"/>
  <c r="B2403" i="6"/>
  <c r="K2403" i="6" s="1"/>
  <c r="B2404" i="6"/>
  <c r="B2405" i="6"/>
  <c r="B2406" i="6"/>
  <c r="B2407" i="6"/>
  <c r="K2407" i="6" s="1"/>
  <c r="B2408" i="6"/>
  <c r="B2409" i="6"/>
  <c r="B2410" i="6"/>
  <c r="B2411" i="6"/>
  <c r="K2411" i="6" s="1"/>
  <c r="B2412" i="6"/>
  <c r="B2413" i="6"/>
  <c r="B2414" i="6"/>
  <c r="B2415" i="6"/>
  <c r="K2415" i="6" s="1"/>
  <c r="B2416" i="6"/>
  <c r="B2417" i="6"/>
  <c r="B2418" i="6"/>
  <c r="B2419" i="6"/>
  <c r="K2419" i="6" s="1"/>
  <c r="B2420" i="6"/>
  <c r="B2421" i="6"/>
  <c r="B2422" i="6"/>
  <c r="B2423" i="6"/>
  <c r="K2423" i="6" s="1"/>
  <c r="B2424" i="6"/>
  <c r="B2425" i="6"/>
  <c r="B2426" i="6"/>
  <c r="B2427" i="6"/>
  <c r="K2427" i="6" s="1"/>
  <c r="B2428" i="6"/>
  <c r="B2429" i="6"/>
  <c r="B2430" i="6"/>
  <c r="B2431" i="6"/>
  <c r="K2431" i="6" s="1"/>
  <c r="B2432" i="6"/>
  <c r="B2433" i="6"/>
  <c r="B2434" i="6"/>
  <c r="B2435" i="6"/>
  <c r="K2435" i="6" s="1"/>
  <c r="B2436" i="6"/>
  <c r="B2437" i="6"/>
  <c r="B2438" i="6"/>
  <c r="B2439" i="6"/>
  <c r="K2439" i="6" s="1"/>
  <c r="B2440" i="6"/>
  <c r="B2441" i="6"/>
  <c r="B2442" i="6"/>
  <c r="B2443" i="6"/>
  <c r="K2443" i="6" s="1"/>
  <c r="B2444" i="6"/>
  <c r="B2445" i="6"/>
  <c r="B2446" i="6"/>
  <c r="B2447" i="6"/>
  <c r="K2447" i="6" s="1"/>
  <c r="B2448" i="6"/>
  <c r="B2449" i="6"/>
  <c r="B2450" i="6"/>
  <c r="B2451" i="6"/>
  <c r="K2451" i="6" s="1"/>
  <c r="B2452" i="6"/>
  <c r="B2453" i="6"/>
  <c r="B2454" i="6"/>
  <c r="B2455" i="6"/>
  <c r="K2455" i="6" s="1"/>
  <c r="B2456" i="6"/>
  <c r="B2457" i="6"/>
  <c r="B2458" i="6"/>
  <c r="B2459" i="6"/>
  <c r="K2459" i="6" s="1"/>
  <c r="B2460" i="6"/>
  <c r="B2461" i="6"/>
  <c r="B2462" i="6"/>
  <c r="B2463" i="6"/>
  <c r="K2463" i="6" s="1"/>
  <c r="B2464" i="6"/>
  <c r="B2465" i="6"/>
  <c r="B2466" i="6"/>
  <c r="B2467" i="6"/>
  <c r="K2467" i="6" s="1"/>
  <c r="B2468" i="6"/>
  <c r="B2469" i="6"/>
  <c r="B2470" i="6"/>
  <c r="B2471" i="6"/>
  <c r="K2471" i="6" s="1"/>
  <c r="B2472" i="6"/>
  <c r="B2473" i="6"/>
  <c r="B2474" i="6"/>
  <c r="B2475" i="6"/>
  <c r="K2475" i="6" s="1"/>
  <c r="B2476" i="6"/>
  <c r="B2477" i="6"/>
  <c r="B2478" i="6"/>
  <c r="B2479" i="6"/>
  <c r="K2479" i="6" s="1"/>
  <c r="B2480" i="6"/>
  <c r="B2481" i="6"/>
  <c r="B2482" i="6"/>
  <c r="B2483" i="6"/>
  <c r="K2483" i="6" s="1"/>
  <c r="B2484" i="6"/>
  <c r="B2485" i="6"/>
  <c r="B2486" i="6"/>
  <c r="B2487" i="6"/>
  <c r="K2487" i="6" s="1"/>
  <c r="B2488" i="6"/>
  <c r="B2489" i="6"/>
  <c r="B2490" i="6"/>
  <c r="B2491" i="6"/>
  <c r="K2491" i="6" s="1"/>
  <c r="B2492" i="6"/>
  <c r="B2493" i="6"/>
  <c r="B2494" i="6"/>
  <c r="B2495" i="6"/>
  <c r="K2495" i="6" s="1"/>
  <c r="B2496" i="6"/>
  <c r="B2497" i="6"/>
  <c r="B2498" i="6"/>
  <c r="B2499" i="6"/>
  <c r="K2499" i="6" s="1"/>
  <c r="B2500" i="6"/>
  <c r="B2501" i="6"/>
  <c r="B2502" i="6"/>
  <c r="B2503" i="6"/>
  <c r="K2503" i="6" s="1"/>
  <c r="B2504" i="6"/>
  <c r="B2505" i="6"/>
  <c r="B2506" i="6"/>
  <c r="B2507" i="6"/>
  <c r="K2507" i="6" s="1"/>
  <c r="B2508" i="6"/>
  <c r="B2509" i="6"/>
  <c r="B2510" i="6"/>
  <c r="B2511" i="6"/>
  <c r="K2511" i="6" s="1"/>
  <c r="B2512" i="6"/>
  <c r="B2513" i="6"/>
  <c r="B2514" i="6"/>
  <c r="B2515" i="6"/>
  <c r="K2515" i="6" s="1"/>
  <c r="B2516" i="6"/>
  <c r="B2517" i="6"/>
  <c r="B2518" i="6"/>
  <c r="B2519" i="6"/>
  <c r="K2519" i="6" s="1"/>
  <c r="B2520" i="6"/>
  <c r="B2521" i="6"/>
  <c r="B2522" i="6"/>
  <c r="B2523" i="6"/>
  <c r="K2523" i="6" s="1"/>
  <c r="B2524" i="6"/>
  <c r="B2525" i="6"/>
  <c r="B2526" i="6"/>
  <c r="B2527" i="6"/>
  <c r="K2527" i="6" s="1"/>
  <c r="B2528" i="6"/>
  <c r="B2529" i="6"/>
  <c r="B2530" i="6"/>
  <c r="B2531" i="6"/>
  <c r="K2531" i="6" s="1"/>
  <c r="B2532" i="6"/>
  <c r="B2533" i="6"/>
  <c r="B2534" i="6"/>
  <c r="B2535" i="6"/>
  <c r="K2535" i="6" s="1"/>
  <c r="B2536" i="6"/>
  <c r="B2537" i="6"/>
  <c r="B2538" i="6"/>
  <c r="B2539" i="6"/>
  <c r="K2539" i="6" s="1"/>
  <c r="B2540" i="6"/>
  <c r="B2541" i="6"/>
  <c r="B2542" i="6"/>
  <c r="B2543" i="6"/>
  <c r="K2543" i="6" s="1"/>
  <c r="B2544" i="6"/>
  <c r="B2545" i="6"/>
  <c r="B2546" i="6"/>
  <c r="B2547" i="6"/>
  <c r="K2547" i="6" s="1"/>
  <c r="B2548" i="6"/>
  <c r="B2549" i="6"/>
  <c r="B2550" i="6"/>
  <c r="B2551" i="6"/>
  <c r="K2551" i="6" s="1"/>
  <c r="B2552" i="6"/>
  <c r="B2553" i="6"/>
  <c r="B2554" i="6"/>
  <c r="B2555" i="6"/>
  <c r="K2555" i="6" s="1"/>
  <c r="B2556" i="6"/>
  <c r="B2557" i="6"/>
  <c r="B2558" i="6"/>
  <c r="B2559" i="6"/>
  <c r="K2559" i="6" s="1"/>
  <c r="B2560" i="6"/>
  <c r="B2561" i="6"/>
  <c r="B2562" i="6"/>
  <c r="B2563" i="6"/>
  <c r="K2563" i="6" s="1"/>
  <c r="B2564" i="6"/>
  <c r="B2565" i="6"/>
  <c r="B2566" i="6"/>
  <c r="B2567" i="6"/>
  <c r="K2567" i="6" s="1"/>
  <c r="B2568" i="6"/>
  <c r="B2569" i="6"/>
  <c r="B2570" i="6"/>
  <c r="B2571" i="6"/>
  <c r="K2571" i="6" s="1"/>
  <c r="B2572" i="6"/>
  <c r="B2573" i="6"/>
  <c r="B2574" i="6"/>
  <c r="B2575" i="6"/>
  <c r="K2575" i="6" s="1"/>
  <c r="B2576" i="6"/>
  <c r="B2577" i="6"/>
  <c r="B2578" i="6"/>
  <c r="B2579" i="6"/>
  <c r="K2579" i="6" s="1"/>
  <c r="B2580" i="6"/>
  <c r="B2581" i="6"/>
  <c r="B2582" i="6"/>
  <c r="B2583" i="6"/>
  <c r="K2583" i="6" s="1"/>
  <c r="B2584" i="6"/>
  <c r="B2585" i="6"/>
  <c r="B2586" i="6"/>
  <c r="B2587" i="6"/>
  <c r="K2587" i="6" s="1"/>
  <c r="B2588" i="6"/>
  <c r="B2589" i="6"/>
  <c r="B2590" i="6"/>
  <c r="B2591" i="6"/>
  <c r="K2591" i="6" s="1"/>
  <c r="B2592" i="6"/>
  <c r="B2593" i="6"/>
  <c r="B2594" i="6"/>
  <c r="B2595" i="6"/>
  <c r="K2595" i="6" s="1"/>
  <c r="B2596" i="6"/>
  <c r="B2597" i="6"/>
  <c r="B2598" i="6"/>
  <c r="B2599" i="6"/>
  <c r="K2599" i="6" s="1"/>
  <c r="B2600" i="6"/>
  <c r="B2601" i="6"/>
  <c r="B2602" i="6"/>
  <c r="B2603" i="6"/>
  <c r="K2603" i="6" s="1"/>
  <c r="B2604" i="6"/>
  <c r="B2605" i="6"/>
  <c r="B2606" i="6"/>
  <c r="B2607" i="6"/>
  <c r="K2607" i="6" s="1"/>
  <c r="B2608" i="6"/>
  <c r="B2609" i="6"/>
  <c r="B2610" i="6"/>
  <c r="B2611" i="6"/>
  <c r="K2611" i="6" s="1"/>
  <c r="B2612" i="6"/>
  <c r="B2613" i="6"/>
  <c r="B2614" i="6"/>
  <c r="B2615" i="6"/>
  <c r="K2615" i="6" s="1"/>
  <c r="B2616" i="6"/>
  <c r="B2617" i="6"/>
  <c r="B2618" i="6"/>
  <c r="B2619" i="6"/>
  <c r="K2619" i="6" s="1"/>
  <c r="B2620" i="6"/>
  <c r="B2621" i="6"/>
  <c r="B2622" i="6"/>
  <c r="B2623" i="6"/>
  <c r="K2623" i="6" s="1"/>
  <c r="B2624" i="6"/>
  <c r="B2625" i="6"/>
  <c r="B2626" i="6"/>
  <c r="B2627" i="6"/>
  <c r="K2627" i="6" s="1"/>
  <c r="B2628" i="6"/>
  <c r="B2629" i="6"/>
  <c r="B2630" i="6"/>
  <c r="B2631" i="6"/>
  <c r="K2631" i="6" s="1"/>
  <c r="B2632" i="6"/>
  <c r="B2633" i="6"/>
  <c r="B2634" i="6"/>
  <c r="B2635" i="6"/>
  <c r="K2635" i="6" s="1"/>
  <c r="B2636" i="6"/>
  <c r="B2637" i="6"/>
  <c r="B2638" i="6"/>
  <c r="B2639" i="6"/>
  <c r="K2639" i="6" s="1"/>
  <c r="B2640" i="6"/>
  <c r="B2641" i="6"/>
  <c r="B2642" i="6"/>
  <c r="B2643" i="6"/>
  <c r="K2643" i="6" s="1"/>
  <c r="B2644" i="6"/>
  <c r="B2645" i="6"/>
  <c r="B2646" i="6"/>
  <c r="B2647" i="6"/>
  <c r="K2647" i="6" s="1"/>
  <c r="B2648" i="6"/>
  <c r="B2649" i="6"/>
  <c r="B2650" i="6"/>
  <c r="B2651" i="6"/>
  <c r="K2651" i="6" s="1"/>
  <c r="B2652" i="6"/>
  <c r="B2653" i="6"/>
  <c r="B2654" i="6"/>
  <c r="B2655" i="6"/>
  <c r="K2655" i="6" s="1"/>
  <c r="B2656" i="6"/>
  <c r="B2657" i="6"/>
  <c r="B2658" i="6"/>
  <c r="B2659" i="6"/>
  <c r="K2659" i="6" s="1"/>
  <c r="B2660" i="6"/>
  <c r="B2661" i="6"/>
  <c r="B2662" i="6"/>
  <c r="B2663" i="6"/>
  <c r="K2663" i="6" s="1"/>
  <c r="B2664" i="6"/>
  <c r="B2665" i="6"/>
  <c r="B2666" i="6"/>
  <c r="B2667" i="6"/>
  <c r="K2667" i="6" s="1"/>
  <c r="B2668" i="6"/>
  <c r="B2669" i="6"/>
  <c r="B2670" i="6"/>
  <c r="B2671" i="6"/>
  <c r="K2671" i="6" s="1"/>
  <c r="B2672" i="6"/>
  <c r="B2673" i="6"/>
  <c r="B2674" i="6"/>
  <c r="B2675" i="6"/>
  <c r="K2675" i="6" s="1"/>
  <c r="B2676" i="6"/>
  <c r="B2677" i="6"/>
  <c r="B2678" i="6"/>
  <c r="B2679" i="6"/>
  <c r="K2679" i="6" s="1"/>
  <c r="B2680" i="6"/>
  <c r="B2681" i="6"/>
  <c r="B2682" i="6"/>
  <c r="B2683" i="6"/>
  <c r="K2683" i="6" s="1"/>
  <c r="B2684" i="6"/>
  <c r="B2685" i="6"/>
  <c r="B2686" i="6"/>
  <c r="B2687" i="6"/>
  <c r="K2687" i="6" s="1"/>
  <c r="B2688" i="6"/>
  <c r="B2689" i="6"/>
  <c r="B2690" i="6"/>
  <c r="B2691" i="6"/>
  <c r="K2691" i="6" s="1"/>
  <c r="B2692" i="6"/>
  <c r="B2693" i="6"/>
  <c r="B2694" i="6"/>
  <c r="B2695" i="6"/>
  <c r="K2695" i="6" s="1"/>
  <c r="B2696" i="6"/>
  <c r="B2697" i="6"/>
  <c r="B2698" i="6"/>
  <c r="B2699" i="6"/>
  <c r="K2699" i="6" s="1"/>
  <c r="B2700" i="6"/>
  <c r="B2701" i="6"/>
  <c r="B2702" i="6"/>
  <c r="B2703" i="6"/>
  <c r="K2703" i="6" s="1"/>
  <c r="B2704" i="6"/>
  <c r="B2705" i="6"/>
  <c r="B2706" i="6"/>
  <c r="B2707" i="6"/>
  <c r="K2707" i="6" s="1"/>
  <c r="B2708" i="6"/>
  <c r="B2709" i="6"/>
  <c r="B2710" i="6"/>
  <c r="B2711" i="6"/>
  <c r="K2711" i="6" s="1"/>
  <c r="B2712" i="6"/>
  <c r="B2713" i="6"/>
  <c r="B2714" i="6"/>
  <c r="B2715" i="6"/>
  <c r="K2715" i="6" s="1"/>
  <c r="B2716" i="6"/>
  <c r="B2717" i="6"/>
  <c r="B2718" i="6"/>
  <c r="B2719" i="6"/>
  <c r="K2719" i="6" s="1"/>
  <c r="B2720" i="6"/>
  <c r="B2721" i="6"/>
  <c r="B2722" i="6"/>
  <c r="B2723" i="6"/>
  <c r="K2723" i="6" s="1"/>
  <c r="B2724" i="6"/>
  <c r="B2725" i="6"/>
  <c r="B2726" i="6"/>
  <c r="B2727" i="6"/>
  <c r="K2727" i="6" s="1"/>
  <c r="B2728" i="6"/>
  <c r="B2729" i="6"/>
  <c r="B2730" i="6"/>
  <c r="B2731" i="6"/>
  <c r="K2731" i="6" s="1"/>
  <c r="B2732" i="6"/>
  <c r="B2733" i="6"/>
  <c r="B2734" i="6"/>
  <c r="B2735" i="6"/>
  <c r="K2735" i="6" s="1"/>
  <c r="B2736" i="6"/>
  <c r="B2737" i="6"/>
  <c r="B2738" i="6"/>
  <c r="B2739" i="6"/>
  <c r="K2739" i="6" s="1"/>
  <c r="B2740" i="6"/>
  <c r="B2741" i="6"/>
  <c r="B2742" i="6"/>
  <c r="B2743" i="6"/>
  <c r="K2743" i="6" s="1"/>
  <c r="B2744" i="6"/>
  <c r="B2745" i="6"/>
  <c r="B2746" i="6"/>
  <c r="B2747" i="6"/>
  <c r="K2747" i="6" s="1"/>
  <c r="B2748" i="6"/>
  <c r="B2749" i="6"/>
  <c r="B2750" i="6"/>
  <c r="B2751" i="6"/>
  <c r="K2751" i="6" s="1"/>
  <c r="B2752" i="6"/>
  <c r="B2753" i="6"/>
  <c r="B2754" i="6"/>
  <c r="B2755" i="6"/>
  <c r="K2755" i="6" s="1"/>
  <c r="B2756" i="6"/>
  <c r="B2757" i="6"/>
  <c r="B2758" i="6"/>
  <c r="B2759" i="6"/>
  <c r="K2759" i="6" s="1"/>
  <c r="B2760" i="6"/>
  <c r="B2761" i="6"/>
  <c r="B2762" i="6"/>
  <c r="B2763" i="6"/>
  <c r="K2763" i="6" s="1"/>
  <c r="B2764" i="6"/>
  <c r="B2765" i="6"/>
  <c r="B2766" i="6"/>
  <c r="B2767" i="6"/>
  <c r="K2767" i="6" s="1"/>
  <c r="B2768" i="6"/>
  <c r="B2769" i="6"/>
  <c r="B2770" i="6"/>
  <c r="B2771" i="6"/>
  <c r="K2771" i="6" s="1"/>
  <c r="B2772" i="6"/>
  <c r="B2773" i="6"/>
  <c r="B2774" i="6"/>
  <c r="B2775" i="6"/>
  <c r="K2775" i="6" s="1"/>
  <c r="B2776" i="6"/>
  <c r="B2777" i="6"/>
  <c r="B2778" i="6"/>
  <c r="B2779" i="6"/>
  <c r="K2779" i="6" s="1"/>
  <c r="B2780" i="6"/>
  <c r="B2781" i="6"/>
  <c r="B2782" i="6"/>
  <c r="B2783" i="6"/>
  <c r="K2783" i="6" s="1"/>
  <c r="B2784" i="6"/>
  <c r="B2785" i="6"/>
  <c r="B2786" i="6"/>
  <c r="B2787" i="6"/>
  <c r="K2787" i="6" s="1"/>
  <c r="B2788" i="6"/>
  <c r="B2789" i="6"/>
  <c r="B2790" i="6"/>
  <c r="B2791" i="6"/>
  <c r="K2791" i="6" s="1"/>
  <c r="B2792" i="6"/>
  <c r="B2793" i="6"/>
  <c r="B2794" i="6"/>
  <c r="B2795" i="6"/>
  <c r="K2795" i="6" s="1"/>
  <c r="B2796" i="6"/>
  <c r="B2797" i="6"/>
  <c r="B2798" i="6"/>
  <c r="B2799" i="6"/>
  <c r="K2799" i="6" s="1"/>
  <c r="B2800" i="6"/>
  <c r="B2801" i="6"/>
  <c r="B2802" i="6"/>
  <c r="B2803" i="6"/>
  <c r="K2803" i="6" s="1"/>
  <c r="B2804" i="6"/>
  <c r="B2805" i="6"/>
  <c r="B2806" i="6"/>
  <c r="B2807" i="6"/>
  <c r="K2807" i="6" s="1"/>
  <c r="B2808" i="6"/>
  <c r="B2809" i="6"/>
  <c r="B2810" i="6"/>
  <c r="B2811" i="6"/>
  <c r="K2811" i="6" s="1"/>
  <c r="B2812" i="6"/>
  <c r="B2813" i="6"/>
  <c r="B2814" i="6"/>
  <c r="B2815" i="6"/>
  <c r="K2815" i="6" s="1"/>
  <c r="B2816" i="6"/>
  <c r="B2817" i="6"/>
  <c r="B2818" i="6"/>
  <c r="B2819" i="6"/>
  <c r="K2819" i="6" s="1"/>
  <c r="B2820" i="6"/>
  <c r="B2821" i="6"/>
  <c r="B2822" i="6"/>
  <c r="B2823" i="6"/>
  <c r="K2823" i="6" s="1"/>
  <c r="B2824" i="6"/>
  <c r="B2825" i="6"/>
  <c r="B2826" i="6"/>
  <c r="B2827" i="6"/>
  <c r="K2827" i="6" s="1"/>
  <c r="B2828" i="6"/>
  <c r="B2829" i="6"/>
  <c r="B2830" i="6"/>
  <c r="B2831" i="6"/>
  <c r="K2831" i="6" s="1"/>
  <c r="B2832" i="6"/>
  <c r="B2833" i="6"/>
  <c r="B2834" i="6"/>
  <c r="B2835" i="6"/>
  <c r="K2835" i="6" s="1"/>
  <c r="B2836" i="6"/>
  <c r="B2837" i="6"/>
  <c r="B2838" i="6"/>
  <c r="B2839" i="6"/>
  <c r="K2839" i="6" s="1"/>
  <c r="B2840" i="6"/>
  <c r="B2841" i="6"/>
  <c r="B2842" i="6"/>
  <c r="B2843" i="6"/>
  <c r="K2843" i="6" s="1"/>
  <c r="B2844" i="6"/>
  <c r="B2845" i="6"/>
  <c r="B2846" i="6"/>
  <c r="B2847" i="6"/>
  <c r="K2847" i="6" s="1"/>
  <c r="B2848" i="6"/>
  <c r="B2849" i="6"/>
  <c r="B2850" i="6"/>
  <c r="B2851" i="6"/>
  <c r="K2851" i="6" s="1"/>
  <c r="B2852" i="6"/>
  <c r="B2853" i="6"/>
  <c r="B2854" i="6"/>
  <c r="B2855" i="6"/>
  <c r="K2855" i="6" s="1"/>
  <c r="B2856" i="6"/>
  <c r="B2857" i="6"/>
  <c r="B2858" i="6"/>
  <c r="B2859" i="6"/>
  <c r="K2859" i="6" s="1"/>
  <c r="B2860" i="6"/>
  <c r="B2861" i="6"/>
  <c r="B2862" i="6"/>
  <c r="B2863" i="6"/>
  <c r="K2863" i="6" s="1"/>
  <c r="B2864" i="6"/>
  <c r="B2865" i="6"/>
  <c r="B2866" i="6"/>
  <c r="B2867" i="6"/>
  <c r="K2867" i="6" s="1"/>
  <c r="B2868" i="6"/>
  <c r="B2869" i="6"/>
  <c r="B2870" i="6"/>
  <c r="B2871" i="6"/>
  <c r="K2871" i="6" s="1"/>
  <c r="B2872" i="6"/>
  <c r="B2873" i="6"/>
  <c r="B2874" i="6"/>
  <c r="B2875" i="6"/>
  <c r="K2875" i="6" s="1"/>
  <c r="B2876" i="6"/>
  <c r="B2877" i="6"/>
  <c r="B2878" i="6"/>
  <c r="B2879" i="6"/>
  <c r="K2879" i="6" s="1"/>
  <c r="B2880" i="6"/>
  <c r="B2881" i="6"/>
  <c r="B2882" i="6"/>
  <c r="B2883" i="6"/>
  <c r="K2883" i="6" s="1"/>
  <c r="B2884" i="6"/>
  <c r="B2885" i="6"/>
  <c r="B2886" i="6"/>
  <c r="B2887" i="6"/>
  <c r="K2887" i="6" s="1"/>
  <c r="B2888" i="6"/>
  <c r="B2889" i="6"/>
  <c r="B2890" i="6"/>
  <c r="B2891" i="6"/>
  <c r="K2891" i="6" s="1"/>
  <c r="B2892" i="6"/>
  <c r="B2893" i="6"/>
  <c r="B2894" i="6"/>
  <c r="B2895" i="6"/>
  <c r="K2895" i="6" s="1"/>
  <c r="B2896" i="6"/>
  <c r="B2897" i="6"/>
  <c r="B2898" i="6"/>
  <c r="B2899" i="6"/>
  <c r="K2899" i="6" s="1"/>
  <c r="B2900" i="6"/>
  <c r="B2901" i="6"/>
  <c r="B2902" i="6"/>
  <c r="B2903" i="6"/>
  <c r="K2903" i="6" s="1"/>
  <c r="B2904" i="6"/>
  <c r="B2905" i="6"/>
  <c r="B2906" i="6"/>
  <c r="B2907" i="6"/>
  <c r="K2907" i="6" s="1"/>
  <c r="B2908" i="6"/>
  <c r="B2909" i="6"/>
  <c r="B2910" i="6"/>
  <c r="B2911" i="6"/>
  <c r="K2911" i="6" s="1"/>
  <c r="B2912" i="6"/>
  <c r="B2913" i="6"/>
  <c r="B2914" i="6"/>
  <c r="B2915" i="6"/>
  <c r="K2915" i="6" s="1"/>
  <c r="B2916" i="6"/>
  <c r="B2917" i="6"/>
  <c r="B2918" i="6"/>
  <c r="B2919" i="6"/>
  <c r="K2919" i="6" s="1"/>
  <c r="B2920" i="6"/>
  <c r="B2921" i="6"/>
  <c r="B2922" i="6"/>
  <c r="B2923" i="6"/>
  <c r="K2923" i="6" s="1"/>
  <c r="B2924" i="6"/>
  <c r="B2925" i="6"/>
  <c r="B2926" i="6"/>
  <c r="B2927" i="6"/>
  <c r="K2927" i="6" s="1"/>
  <c r="B2928" i="6"/>
  <c r="B2929" i="6"/>
  <c r="B2930" i="6"/>
  <c r="B2931" i="6"/>
  <c r="K2931" i="6" s="1"/>
  <c r="B2932" i="6"/>
  <c r="B2933" i="6"/>
  <c r="B2934" i="6"/>
  <c r="B2935" i="6"/>
  <c r="K2935" i="6" s="1"/>
  <c r="B2936" i="6"/>
  <c r="B2937" i="6"/>
  <c r="B2938" i="6"/>
  <c r="B2939" i="6"/>
  <c r="K2939" i="6" s="1"/>
  <c r="B2940" i="6"/>
  <c r="B2941" i="6"/>
  <c r="B2942" i="6"/>
  <c r="B2943" i="6"/>
  <c r="K2943" i="6" s="1"/>
  <c r="B2944" i="6"/>
  <c r="B2945" i="6"/>
  <c r="B2946" i="6"/>
  <c r="B2947" i="6"/>
  <c r="K2947" i="6" s="1"/>
  <c r="B2948" i="6"/>
  <c r="B2949" i="6"/>
  <c r="B2950" i="6"/>
  <c r="B2951" i="6"/>
  <c r="K2951" i="6" s="1"/>
  <c r="B2952" i="6"/>
  <c r="B2953" i="6"/>
  <c r="B2954" i="6"/>
  <c r="B2955" i="6"/>
  <c r="K2955" i="6" s="1"/>
  <c r="B2956" i="6"/>
  <c r="B2957" i="6"/>
  <c r="B2958" i="6"/>
  <c r="B2959" i="6"/>
  <c r="K2959" i="6" s="1"/>
  <c r="B2960" i="6"/>
  <c r="B2961" i="6"/>
  <c r="B2962" i="6"/>
  <c r="B2963" i="6"/>
  <c r="K2963" i="6" s="1"/>
  <c r="B2964" i="6"/>
  <c r="B2965" i="6"/>
  <c r="B2966" i="6"/>
  <c r="B2967" i="6"/>
  <c r="K2967" i="6" s="1"/>
  <c r="B2968" i="6"/>
  <c r="B2969" i="6"/>
  <c r="B2970" i="6"/>
  <c r="B2971" i="6"/>
  <c r="K2971" i="6" s="1"/>
  <c r="B2972" i="6"/>
  <c r="B2973" i="6"/>
  <c r="B2974" i="6"/>
  <c r="B2975" i="6"/>
  <c r="K2975" i="6" s="1"/>
  <c r="B2976" i="6"/>
  <c r="B2977" i="6"/>
  <c r="B2978" i="6"/>
  <c r="B2979" i="6"/>
  <c r="K2979" i="6" s="1"/>
  <c r="B2980" i="6"/>
  <c r="B2981" i="6"/>
  <c r="B2982" i="6"/>
  <c r="B2983" i="6"/>
  <c r="K2983" i="6" s="1"/>
  <c r="B2984" i="6"/>
  <c r="B2985" i="6"/>
  <c r="B2986" i="6"/>
  <c r="B2987" i="6"/>
  <c r="K2987" i="6" s="1"/>
  <c r="B2988" i="6"/>
  <c r="B2989" i="6"/>
  <c r="B2990" i="6"/>
  <c r="B2991" i="6"/>
  <c r="K2991" i="6" s="1"/>
  <c r="B2992" i="6"/>
  <c r="B2993" i="6"/>
  <c r="B2994" i="6"/>
  <c r="B2995" i="6"/>
  <c r="K2995" i="6" s="1"/>
  <c r="B2996" i="6"/>
  <c r="B2997" i="6"/>
  <c r="B2998" i="6"/>
  <c r="B2999" i="6"/>
  <c r="K2999" i="6" s="1"/>
  <c r="B3000" i="6"/>
  <c r="B3001" i="6"/>
  <c r="B3002" i="6"/>
  <c r="B3003" i="6"/>
  <c r="K3003" i="6" s="1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226" i="6"/>
  <c r="K6616" i="6"/>
  <c r="K6440" i="6"/>
  <c r="K6304" i="6"/>
  <c r="K6412" i="6"/>
  <c r="K6095" i="6"/>
  <c r="L6142" i="6"/>
  <c r="L6815" i="6"/>
  <c r="M6800" i="6"/>
  <c r="N6251" i="6"/>
  <c r="M6204" i="6"/>
  <c r="K6090" i="6"/>
  <c r="M6339" i="6"/>
  <c r="M6154" i="6"/>
  <c r="L6154" i="6"/>
  <c r="K6480" i="6"/>
  <c r="L6751" i="6"/>
  <c r="N6840" i="6"/>
  <c r="M6580" i="6"/>
  <c r="N6476" i="6"/>
  <c r="M6396" i="6"/>
  <c r="K6841" i="6"/>
  <c r="M6591" i="6"/>
  <c r="K6548" i="6"/>
  <c r="K6529" i="6"/>
  <c r="K6396" i="6"/>
  <c r="M6122" i="6"/>
  <c r="M6785" i="6"/>
  <c r="L6591" i="6"/>
  <c r="K6409" i="6"/>
  <c r="N6548" i="6"/>
  <c r="N6313" i="6"/>
  <c r="K6256" i="6"/>
  <c r="L6451" i="6"/>
  <c r="M6412" i="6"/>
  <c r="L6339" i="6"/>
  <c r="N6112" i="6"/>
  <c r="M6592" i="6"/>
  <c r="N6589" i="6"/>
  <c r="L6592" i="6"/>
  <c r="N6792" i="6"/>
  <c r="M6736" i="6"/>
  <c r="M6655" i="6"/>
  <c r="M6636" i="6"/>
  <c r="N6616" i="6"/>
  <c r="L6611" i="6"/>
  <c r="K6592" i="6"/>
  <c r="N6561" i="6"/>
  <c r="N6408" i="6"/>
  <c r="N6397" i="6"/>
  <c r="N6360" i="6"/>
  <c r="N6291" i="6"/>
  <c r="M6239" i="6"/>
  <c r="N6207" i="6"/>
  <c r="M6135" i="6"/>
  <c r="L6903" i="6"/>
  <c r="K6896" i="6"/>
  <c r="N6849" i="6"/>
  <c r="M6840" i="6"/>
  <c r="K6792" i="6"/>
  <c r="K6736" i="6"/>
  <c r="K6636" i="6"/>
  <c r="M6616" i="6"/>
  <c r="K6580" i="6"/>
  <c r="M6434" i="6"/>
  <c r="M6360" i="6"/>
  <c r="L6263" i="6"/>
  <c r="M6207" i="6"/>
  <c r="L6155" i="6"/>
  <c r="N6151" i="6"/>
  <c r="N6736" i="6"/>
  <c r="N6636" i="6"/>
  <c r="N6135" i="6"/>
  <c r="N6772" i="6"/>
  <c r="N6761" i="6"/>
  <c r="N6853" i="6"/>
  <c r="N6848" i="6"/>
  <c r="M6772" i="6"/>
  <c r="M6560" i="6"/>
  <c r="M6523" i="6"/>
  <c r="L6400" i="6"/>
  <c r="N6363" i="6"/>
  <c r="L6302" i="6"/>
  <c r="N6560" i="6"/>
  <c r="N6448" i="6"/>
  <c r="M6400" i="6"/>
  <c r="M6302" i="6"/>
  <c r="K6231" i="6"/>
  <c r="L6151" i="6"/>
  <c r="M6853" i="6"/>
  <c r="M6795" i="6"/>
  <c r="K6772" i="6"/>
  <c r="N6760" i="6"/>
  <c r="K6712" i="6"/>
  <c r="K6560" i="6"/>
  <c r="L6523" i="6"/>
  <c r="M6509" i="6"/>
  <c r="K6400" i="6"/>
  <c r="M6363" i="6"/>
  <c r="K6318" i="6"/>
  <c r="K6302" i="6"/>
  <c r="L6250" i="6"/>
  <c r="K6240" i="6"/>
  <c r="K6208" i="6"/>
  <c r="M6631" i="6"/>
  <c r="M6873" i="6"/>
  <c r="M6815" i="6"/>
  <c r="M6776" i="6"/>
  <c r="K6737" i="6"/>
  <c r="L6727" i="6"/>
  <c r="N6720" i="6"/>
  <c r="N6552" i="6"/>
  <c r="N6464" i="6"/>
  <c r="M6451" i="6"/>
  <c r="L6412" i="6"/>
  <c r="M6409" i="6"/>
  <c r="K6339" i="6"/>
  <c r="N6223" i="6"/>
  <c r="K6154" i="6"/>
  <c r="L6673" i="6"/>
  <c r="L6828" i="6"/>
  <c r="N6828" i="6"/>
  <c r="L6527" i="6"/>
  <c r="M6527" i="6"/>
  <c r="N6896" i="6"/>
  <c r="M6896" i="6"/>
  <c r="L6877" i="6"/>
  <c r="N6877" i="6"/>
  <c r="L6777" i="6"/>
  <c r="N6747" i="6"/>
  <c r="M6747" i="6"/>
  <c r="L6701" i="6"/>
  <c r="M6485" i="6"/>
  <c r="L6266" i="6"/>
  <c r="M6266" i="6"/>
  <c r="N6200" i="6"/>
  <c r="K6200" i="6"/>
  <c r="N6836" i="6"/>
  <c r="L6836" i="6"/>
  <c r="M6801" i="6"/>
  <c r="K6532" i="6"/>
  <c r="M6532" i="6"/>
  <c r="N6279" i="6"/>
  <c r="K6279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M6279" i="6"/>
  <c r="N6159" i="6"/>
  <c r="K6159" i="6"/>
  <c r="N6819" i="6"/>
  <c r="L6819" i="6"/>
  <c r="N6659" i="6"/>
  <c r="M6659" i="6"/>
  <c r="N6648" i="6"/>
  <c r="M6564" i="6"/>
  <c r="N6488" i="6"/>
  <c r="L6488" i="6"/>
  <c r="N6424" i="6"/>
  <c r="L6424" i="6"/>
  <c r="N6322" i="6"/>
  <c r="K6322" i="6"/>
  <c r="M6322" i="6"/>
  <c r="L6283" i="6"/>
  <c r="N6283" i="6"/>
  <c r="K6247" i="6"/>
  <c r="L6247" i="6"/>
  <c r="N6190" i="6"/>
  <c r="L6190" i="6"/>
  <c r="M6190" i="6"/>
  <c r="K6091" i="6"/>
  <c r="L6091" i="6"/>
  <c r="L6880" i="6"/>
  <c r="K6880" i="6"/>
  <c r="M6880" i="6"/>
  <c r="L6860" i="6"/>
  <c r="K6860" i="6"/>
  <c r="N6812" i="6"/>
  <c r="M6812" i="6"/>
  <c r="L6773" i="6"/>
  <c r="K6773" i="6"/>
  <c r="N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N6275" i="6"/>
  <c r="K6275" i="6"/>
  <c r="L6275" i="6"/>
  <c r="M6091" i="6"/>
  <c r="K6728" i="6"/>
  <c r="N6728" i="6"/>
  <c r="L6355" i="6"/>
  <c r="M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N6355" i="6"/>
  <c r="K6315" i="6"/>
  <c r="N6271" i="6"/>
  <c r="K6271" i="6"/>
  <c r="N6880" i="6"/>
  <c r="L6864" i="6"/>
  <c r="N6864" i="6"/>
  <c r="M6860" i="6"/>
  <c r="K6748" i="6"/>
  <c r="N6695" i="6"/>
  <c r="M6695" i="6"/>
  <c r="M6691" i="6"/>
  <c r="N6675" i="6"/>
  <c r="L6675" i="6"/>
  <c r="M6548" i="6"/>
  <c r="N6327" i="6"/>
  <c r="K6327" i="6"/>
  <c r="L6327" i="6"/>
  <c r="K6840" i="6"/>
  <c r="K6741" i="6"/>
  <c r="L6396" i="6"/>
  <c r="K6260" i="6"/>
  <c r="K3358" i="6"/>
  <c r="K3342" i="6"/>
  <c r="N6905" i="6"/>
  <c r="N6884" i="6"/>
  <c r="M6716" i="6"/>
  <c r="N6704" i="6"/>
  <c r="M6699" i="6"/>
  <c r="M6632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88" i="6"/>
  <c r="M6720" i="6"/>
  <c r="L6716" i="6"/>
  <c r="M6676" i="6"/>
  <c r="K6640" i="6"/>
  <c r="L6616" i="6"/>
  <c r="L6580" i="6"/>
  <c r="M6575" i="6"/>
  <c r="L6556" i="6"/>
  <c r="M6448" i="6"/>
  <c r="K6444" i="6"/>
  <c r="M6427" i="6"/>
  <c r="M6338" i="6"/>
  <c r="K6300" i="6"/>
  <c r="N6284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49" i="6"/>
  <c r="M6611" i="6"/>
  <c r="K6460" i="6"/>
  <c r="K6448" i="6"/>
  <c r="N6377" i="6"/>
  <c r="K6338" i="6"/>
  <c r="M6323" i="6"/>
  <c r="M6284" i="6"/>
  <c r="K6284" i="6"/>
  <c r="M6259" i="6"/>
  <c r="M6224" i="6"/>
  <c r="K6224" i="6"/>
  <c r="K6180" i="6"/>
  <c r="M6155" i="6"/>
  <c r="N6152" i="6"/>
  <c r="K6146" i="6"/>
  <c r="K6122" i="6"/>
  <c r="M6090" i="6"/>
  <c r="K3248" i="6"/>
  <c r="K3202" i="6"/>
  <c r="K3166" i="6"/>
  <c r="K3370" i="6"/>
  <c r="K3362" i="6"/>
  <c r="K3374" i="6"/>
  <c r="K3332" i="6"/>
  <c r="K3214" i="6"/>
  <c r="K3206" i="6"/>
  <c r="K3174" i="6"/>
  <c r="K3396" i="6"/>
  <c r="K3262" i="6"/>
  <c r="K3222" i="6"/>
  <c r="K3284" i="6"/>
  <c r="K3232" i="6"/>
  <c r="K3340" i="6"/>
  <c r="K3298" i="6"/>
  <c r="K3290" i="6"/>
  <c r="K3252" i="6"/>
  <c r="K3162" i="6"/>
  <c r="K3230" i="6"/>
  <c r="K3190" i="6"/>
  <c r="K3150" i="6"/>
  <c r="K3144" i="6"/>
  <c r="K3322" i="6"/>
  <c r="K3266" i="6"/>
  <c r="K3280" i="6"/>
  <c r="K3366" i="6"/>
  <c r="K3348" i="6"/>
  <c r="K3346" i="6"/>
  <c r="K3148" i="6"/>
  <c r="K3146" i="6"/>
  <c r="K3338" i="6"/>
  <c r="K3246" i="6"/>
  <c r="K3198" i="6"/>
  <c r="K3178" i="6"/>
  <c r="K3154" i="6"/>
  <c r="K3400" i="6"/>
  <c r="K3398" i="6"/>
  <c r="K3388" i="6"/>
  <c r="K3382" i="6"/>
  <c r="K3316" i="6"/>
  <c r="K3242" i="6"/>
  <c r="K3352" i="6"/>
  <c r="K3350" i="6"/>
  <c r="K3328" i="6"/>
  <c r="K3326" i="6"/>
  <c r="K3310" i="6"/>
  <c r="K3294" i="6"/>
  <c r="K3236" i="6"/>
  <c r="K3218" i="6"/>
  <c r="K3182" i="6"/>
  <c r="K3164" i="6"/>
  <c r="K5224" i="6"/>
  <c r="K5168" i="6"/>
  <c r="K3390" i="6"/>
  <c r="K3356" i="6"/>
  <c r="K3354" i="6"/>
  <c r="K3286" i="6"/>
  <c r="K3272" i="6"/>
  <c r="K3258" i="6"/>
  <c r="K3254" i="6"/>
  <c r="K3158" i="6"/>
  <c r="K3336" i="6"/>
  <c r="K3334" i="6"/>
  <c r="K3302" i="6"/>
  <c r="K3300" i="6"/>
  <c r="K3270" i="6"/>
  <c r="K6074" i="6"/>
  <c r="K3386" i="6"/>
  <c r="K3364" i="6"/>
  <c r="K3360" i="6"/>
  <c r="K3314" i="6"/>
  <c r="K3288" i="6"/>
  <c r="K3256" i="6"/>
  <c r="K3160" i="6"/>
  <c r="K3152" i="6"/>
  <c r="K3368" i="6"/>
  <c r="M3368" i="6"/>
  <c r="K3292" i="6"/>
  <c r="K3274" i="6"/>
  <c r="K3260" i="6"/>
  <c r="K3238" i="6"/>
  <c r="K3212" i="6"/>
  <c r="K3204" i="6"/>
  <c r="K3188" i="6"/>
  <c r="K3184" i="6"/>
  <c r="K3168" i="6"/>
  <c r="K3406" i="6"/>
  <c r="K3402" i="6"/>
  <c r="K3394" i="6"/>
  <c r="K3376" i="6"/>
  <c r="K3304" i="6"/>
  <c r="K3296" i="6"/>
  <c r="K3278" i="6"/>
  <c r="K3264" i="6"/>
  <c r="K3220" i="6"/>
  <c r="K3216" i="6"/>
  <c r="K3208" i="6"/>
  <c r="K3200" i="6"/>
  <c r="K3196" i="6"/>
  <c r="K3192" i="6"/>
  <c r="K3180" i="6"/>
  <c r="K3176" i="6"/>
  <c r="K3172" i="6"/>
  <c r="K3380" i="6"/>
  <c r="K3312" i="6"/>
  <c r="K3308" i="6"/>
  <c r="K3282" i="6"/>
  <c r="K3268" i="6"/>
  <c r="K3250" i="6"/>
  <c r="K3228" i="6"/>
  <c r="K3224" i="6"/>
  <c r="K3324" i="6"/>
  <c r="K3276" i="6"/>
  <c r="K3244" i="6"/>
  <c r="K3240" i="6"/>
  <c r="K3210" i="6"/>
  <c r="K3170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N6219" i="6"/>
  <c r="N6804" i="6"/>
  <c r="L6597" i="6"/>
  <c r="N6597" i="6"/>
  <c r="M6593" i="6"/>
  <c r="N6559" i="6"/>
  <c r="M6559" i="6"/>
  <c r="N6299" i="6"/>
  <c r="K6299" i="6"/>
  <c r="L6299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18" i="6"/>
  <c r="M6118" i="6"/>
  <c r="M6100" i="6"/>
  <c r="N6100" i="6"/>
  <c r="L6628" i="6"/>
  <c r="M6628" i="6"/>
  <c r="N6593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312" i="6"/>
  <c r="N6312" i="6"/>
  <c r="M6312" i="6"/>
  <c r="K6191" i="6"/>
  <c r="L6191" i="6"/>
  <c r="K6119" i="6"/>
  <c r="N6119" i="6"/>
  <c r="L6901" i="6"/>
  <c r="M6901" i="6"/>
  <c r="N6888" i="6"/>
  <c r="M6888" i="6"/>
  <c r="L6837" i="6"/>
  <c r="K6837" i="6"/>
  <c r="M6837" i="6"/>
  <c r="K6821" i="6"/>
  <c r="K6808" i="6"/>
  <c r="M6781" i="6"/>
  <c r="L6767" i="6"/>
  <c r="M6767" i="6"/>
  <c r="N6764" i="6"/>
  <c r="N6753" i="6"/>
  <c r="N6715" i="6"/>
  <c r="L6715" i="6"/>
  <c r="M6715" i="6"/>
  <c r="M6712" i="6"/>
  <c r="L6652" i="6"/>
  <c r="M6652" i="6"/>
  <c r="N6643" i="6"/>
  <c r="K6637" i="6"/>
  <c r="N6637" i="6"/>
  <c r="M6609" i="6"/>
  <c r="L6536" i="6"/>
  <c r="K6536" i="6"/>
  <c r="L6432" i="6"/>
  <c r="K6432" i="6"/>
  <c r="M6420" i="6"/>
  <c r="K6388" i="6"/>
  <c r="L6388" i="6"/>
  <c r="M6388" i="6"/>
  <c r="K6343" i="6"/>
  <c r="M6191" i="6"/>
  <c r="N6132" i="6"/>
  <c r="M6132" i="6"/>
  <c r="K6123" i="6"/>
  <c r="M6889" i="6"/>
  <c r="M6876" i="6"/>
  <c r="L6875" i="6"/>
  <c r="M6875" i="6"/>
  <c r="N6872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L6375" i="6"/>
  <c r="M6375" i="6"/>
  <c r="M6343" i="6"/>
  <c r="K6303" i="6"/>
  <c r="L6303" i="6"/>
  <c r="N6301" i="6"/>
  <c r="K6259" i="6"/>
  <c r="M6257" i="6"/>
  <c r="N6257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K6227" i="6"/>
  <c r="N6901" i="6"/>
  <c r="N6892" i="6"/>
  <c r="L6892" i="6"/>
  <c r="L6876" i="6"/>
  <c r="N6861" i="6"/>
  <c r="M6844" i="6"/>
  <c r="L6844" i="6"/>
  <c r="N6837" i="6"/>
  <c r="M6828" i="6"/>
  <c r="L6824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M6539" i="6"/>
  <c r="M6536" i="6"/>
  <c r="L6441" i="6"/>
  <c r="K6441" i="6"/>
  <c r="M6441" i="6"/>
  <c r="N6441" i="6"/>
  <c r="M6432" i="6"/>
  <c r="K6408" i="6"/>
  <c r="L6408" i="6"/>
  <c r="N6395" i="6"/>
  <c r="M6395" i="6"/>
  <c r="N6388" i="6"/>
  <c r="K6347" i="6"/>
  <c r="L6347" i="6"/>
  <c r="L6343" i="6"/>
  <c r="L6332" i="6"/>
  <c r="N6332" i="6"/>
  <c r="N6329" i="6"/>
  <c r="K6291" i="6"/>
  <c r="L6291" i="6"/>
  <c r="M6283" i="6"/>
  <c r="M6282" i="6"/>
  <c r="L6282" i="6"/>
  <c r="L6749" i="6"/>
  <c r="N6749" i="6"/>
  <c r="L6587" i="6"/>
  <c r="N6508" i="6"/>
  <c r="M6508" i="6"/>
  <c r="N6295" i="6"/>
  <c r="K6184" i="6"/>
  <c r="N6184" i="6"/>
  <c r="N6869" i="6"/>
  <c r="L6789" i="6"/>
  <c r="K6789" i="6"/>
  <c r="N6789" i="6"/>
  <c r="L6708" i="6"/>
  <c r="K6708" i="6"/>
  <c r="M6708" i="6"/>
  <c r="N6708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M6563" i="6"/>
  <c r="N6543" i="6"/>
  <c r="L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N6607" i="6"/>
  <c r="M6607" i="6"/>
  <c r="L6573" i="6"/>
  <c r="K6573" i="6"/>
  <c r="L6516" i="6"/>
  <c r="K6516" i="6"/>
  <c r="M6516" i="6"/>
  <c r="L6352" i="6"/>
  <c r="N6352" i="6"/>
  <c r="N6319" i="6"/>
  <c r="M6179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L6383" i="6"/>
  <c r="M6379" i="6"/>
  <c r="N6349" i="6"/>
  <c r="M6345" i="6"/>
  <c r="K6319" i="6"/>
  <c r="L6234" i="6"/>
  <c r="M6234" i="6"/>
  <c r="M6171" i="6"/>
  <c r="N6171" i="6"/>
  <c r="N6168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K6776" i="6"/>
  <c r="M6769" i="6"/>
  <c r="M6763" i="6"/>
  <c r="M6760" i="6"/>
  <c r="L6756" i="6"/>
  <c r="N6744" i="6"/>
  <c r="M6733" i="6"/>
  <c r="M6728" i="6"/>
  <c r="N6724" i="6"/>
  <c r="M6717" i="6"/>
  <c r="L6713" i="6"/>
  <c r="N6713" i="6"/>
  <c r="L6711" i="6"/>
  <c r="N6689" i="6"/>
  <c r="L6688" i="6"/>
  <c r="M6688" i="6"/>
  <c r="M6672" i="6"/>
  <c r="N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L6504" i="6"/>
  <c r="N6504" i="6"/>
  <c r="N6487" i="6"/>
  <c r="K6476" i="6"/>
  <c r="L6467" i="6"/>
  <c r="K6464" i="6"/>
  <c r="L6460" i="6"/>
  <c r="M6383" i="6"/>
  <c r="K6376" i="6"/>
  <c r="N6376" i="6"/>
  <c r="L6372" i="6"/>
  <c r="K6372" i="6"/>
  <c r="N6367" i="6"/>
  <c r="N6348" i="6"/>
  <c r="L6204" i="6"/>
  <c r="K6204" i="6"/>
  <c r="L6195" i="6"/>
  <c r="M6102" i="6"/>
  <c r="L6090" i="6"/>
  <c r="K6628" i="6"/>
  <c r="K6556" i="6"/>
  <c r="K6484" i="6"/>
  <c r="K6392" i="6"/>
  <c r="K6341" i="6"/>
  <c r="K6333" i="6"/>
  <c r="K6120" i="6"/>
  <c r="K6604" i="6"/>
  <c r="K6353" i="6"/>
  <c r="K6293" i="6"/>
  <c r="K6223" i="6"/>
  <c r="N4755" i="6"/>
  <c r="N6673" i="6"/>
  <c r="N6604" i="6"/>
  <c r="M6565" i="6"/>
  <c r="K6251" i="6"/>
  <c r="K6151" i="6"/>
  <c r="K6110" i="6"/>
  <c r="K5930" i="6"/>
  <c r="K5812" i="6"/>
  <c r="N5129" i="6"/>
  <c r="K4892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K4672" i="6"/>
  <c r="M4672" i="6"/>
  <c r="K4652" i="6"/>
  <c r="K4628" i="6"/>
  <c r="M4628" i="6"/>
  <c r="K4210" i="6"/>
  <c r="M4210" i="6"/>
  <c r="N3884" i="6"/>
  <c r="K3736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5" i="6"/>
  <c r="M6665" i="6"/>
  <c r="N6647" i="6"/>
  <c r="L6621" i="6"/>
  <c r="K6621" i="6"/>
  <c r="L6617" i="6"/>
  <c r="K6617" i="6"/>
  <c r="M6617" i="6"/>
  <c r="N6479" i="6"/>
  <c r="L6479" i="6"/>
  <c r="N6472" i="6"/>
  <c r="K6472" i="6"/>
  <c r="L6472" i="6"/>
  <c r="K6468" i="6"/>
  <c r="L6468" i="6"/>
  <c r="M6468" i="6"/>
  <c r="N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M6431" i="6"/>
  <c r="L6431" i="6"/>
  <c r="N6366" i="6"/>
  <c r="L6366" i="6"/>
  <c r="M6366" i="6"/>
  <c r="K6366" i="6"/>
  <c r="N6346" i="6"/>
  <c r="M6346" i="6"/>
  <c r="L6346" i="6"/>
  <c r="M6183" i="6"/>
  <c r="N6183" i="6"/>
  <c r="N6131" i="6"/>
  <c r="K6131" i="6"/>
  <c r="M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N6528" i="6"/>
  <c r="K6528" i="6"/>
  <c r="L6528" i="6"/>
  <c r="L6524" i="6"/>
  <c r="M6524" i="6"/>
  <c r="K6520" i="6"/>
  <c r="L6520" i="6"/>
  <c r="M6520" i="6"/>
  <c r="N6511" i="6"/>
  <c r="M6511" i="6"/>
  <c r="L6511" i="6"/>
  <c r="L6499" i="6"/>
  <c r="M6499" i="6"/>
  <c r="L6496" i="6"/>
  <c r="K6496" i="6"/>
  <c r="M6496" i="6"/>
  <c r="N6423" i="6"/>
  <c r="L6423" i="6"/>
  <c r="L6369" i="6"/>
  <c r="M6369" i="6"/>
  <c r="K6369" i="6"/>
  <c r="N6369" i="6"/>
  <c r="K6307" i="6"/>
  <c r="M6307" i="6"/>
  <c r="L6307" i="6"/>
  <c r="L6236" i="6"/>
  <c r="K6236" i="6"/>
  <c r="M6236" i="6"/>
  <c r="N6236" i="6"/>
  <c r="K6148" i="6"/>
  <c r="M6148" i="6"/>
  <c r="N6148" i="6"/>
  <c r="N6567" i="6"/>
  <c r="M6567" i="6"/>
  <c r="L6553" i="6"/>
  <c r="K6553" i="6"/>
  <c r="L6515" i="6"/>
  <c r="L6513" i="6"/>
  <c r="M6513" i="6"/>
  <c r="M6491" i="6"/>
  <c r="L6453" i="6"/>
  <c r="K6453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N6440" i="6"/>
  <c r="L6440" i="6"/>
  <c r="N6437" i="6"/>
  <c r="L6435" i="6"/>
  <c r="L6433" i="6"/>
  <c r="M6433" i="6"/>
  <c r="N6433" i="6"/>
  <c r="K6424" i="6"/>
  <c r="M6424" i="6"/>
  <c r="L6420" i="6"/>
  <c r="K6420" i="6"/>
  <c r="N6407" i="6"/>
  <c r="M6407" i="6"/>
  <c r="N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M6335" i="6"/>
  <c r="M6334" i="6"/>
  <c r="M6333" i="6"/>
  <c r="M6332" i="6"/>
  <c r="M6331" i="6"/>
  <c r="L6323" i="6"/>
  <c r="L6316" i="6"/>
  <c r="M6316" i="6"/>
  <c r="N6314" i="6"/>
  <c r="L6314" i="6"/>
  <c r="M6314" i="6"/>
  <c r="L6311" i="6"/>
  <c r="M6311" i="6"/>
  <c r="L6288" i="6"/>
  <c r="N6288" i="6"/>
  <c r="K6288" i="6"/>
  <c r="N6287" i="6"/>
  <c r="K6267" i="6"/>
  <c r="L6254" i="6"/>
  <c r="M6254" i="6"/>
  <c r="L6240" i="6"/>
  <c r="M6240" i="6"/>
  <c r="N6240" i="6"/>
  <c r="N6226" i="6"/>
  <c r="M6226" i="6"/>
  <c r="L6226" i="6"/>
  <c r="L6212" i="6"/>
  <c r="M6212" i="6"/>
  <c r="K6212" i="6"/>
  <c r="M6203" i="6"/>
  <c r="K6199" i="6"/>
  <c r="M6199" i="6"/>
  <c r="N6194" i="6"/>
  <c r="L6194" i="6"/>
  <c r="M6194" i="6"/>
  <c r="N6186" i="6"/>
  <c r="M6186" i="6"/>
  <c r="K6175" i="6"/>
  <c r="L6175" i="6"/>
  <c r="L6171" i="6"/>
  <c r="K6171" i="6"/>
  <c r="M6167" i="6"/>
  <c r="N6150" i="6"/>
  <c r="K6150" i="6"/>
  <c r="M6150" i="6"/>
  <c r="L6147" i="6"/>
  <c r="M6147" i="6"/>
  <c r="K6128" i="6"/>
  <c r="M6128" i="6"/>
  <c r="N6128" i="6"/>
  <c r="N6126" i="6"/>
  <c r="L6126" i="6"/>
  <c r="K6126" i="6"/>
  <c r="M6107" i="6"/>
  <c r="N6107" i="6"/>
  <c r="N6099" i="6"/>
  <c r="K6099" i="6"/>
  <c r="K6092" i="6"/>
  <c r="N6092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K6156" i="6"/>
  <c r="N6156" i="6"/>
  <c r="M6156" i="6"/>
  <c r="M6475" i="6"/>
  <c r="L6465" i="6"/>
  <c r="K6465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M4085" i="6"/>
  <c r="K4077" i="6"/>
  <c r="M4077" i="6"/>
  <c r="K4065" i="6"/>
  <c r="M4065" i="6"/>
  <c r="K4064" i="6"/>
  <c r="M4064" i="6"/>
  <c r="M3771" i="6"/>
  <c r="N3593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K3620" i="6"/>
  <c r="M3620" i="6"/>
  <c r="N3494" i="6"/>
  <c r="K3076" i="6"/>
  <c r="M3076" i="6"/>
  <c r="N6024" i="6"/>
  <c r="N5763" i="6"/>
  <c r="N5555" i="6"/>
  <c r="N5229" i="6"/>
  <c r="M5212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M3537" i="6"/>
  <c r="K3536" i="6"/>
  <c r="M3536" i="6"/>
  <c r="K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500" i="6"/>
  <c r="M3383" i="6"/>
  <c r="N3278" i="6"/>
  <c r="N5221" i="6"/>
  <c r="N3900" i="6"/>
  <c r="K3466" i="6"/>
  <c r="M3466" i="6"/>
  <c r="K3465" i="6"/>
  <c r="M3447" i="6"/>
  <c r="K3408" i="6"/>
  <c r="M3408" i="6"/>
  <c r="M3308" i="6"/>
  <c r="M3296" i="6"/>
  <c r="N3188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M3863" i="6"/>
  <c r="N3733" i="6"/>
  <c r="M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N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L3715" i="6"/>
  <c r="K3509" i="6"/>
  <c r="L3477" i="6"/>
  <c r="K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M3713" i="6"/>
  <c r="K3478" i="6"/>
  <c r="M3478" i="6"/>
  <c r="M3394" i="6"/>
  <c r="M3390" i="6"/>
  <c r="N3364" i="6"/>
  <c r="N3294" i="6"/>
  <c r="M3276" i="6"/>
  <c r="M3274" i="6"/>
  <c r="N3238" i="6"/>
  <c r="K3140" i="6"/>
  <c r="M3140" i="6"/>
  <c r="N3447" i="6"/>
  <c r="N3438" i="6"/>
  <c r="N3426" i="6"/>
  <c r="M3376" i="6"/>
  <c r="M3347" i="6"/>
  <c r="N3344" i="6"/>
  <c r="N3220" i="6"/>
  <c r="N3212" i="6"/>
  <c r="N3204" i="6"/>
  <c r="N3180" i="6"/>
  <c r="K4013" i="6"/>
  <c r="M4013" i="6"/>
  <c r="K3854" i="6"/>
  <c r="M3847" i="6"/>
  <c r="K3511" i="6"/>
  <c r="K3508" i="6"/>
  <c r="M3508" i="6"/>
  <c r="N3504" i="6"/>
  <c r="N3472" i="6"/>
  <c r="N3376" i="6"/>
  <c r="M3317" i="6"/>
  <c r="N3308" i="6"/>
  <c r="M3206" i="6"/>
  <c r="M3200" i="6"/>
  <c r="M3198" i="6"/>
  <c r="M3196" i="6"/>
  <c r="K3136" i="6"/>
  <c r="M3136" i="6"/>
  <c r="N3076" i="6"/>
  <c r="K3064" i="6"/>
  <c r="M3064" i="6"/>
  <c r="K3012" i="6"/>
  <c r="M3012" i="6"/>
  <c r="L4450" i="6"/>
  <c r="K4450" i="6"/>
  <c r="M4450" i="6"/>
  <c r="K4116" i="6"/>
  <c r="M4116" i="6"/>
  <c r="L4116" i="6"/>
  <c r="N4116" i="6"/>
  <c r="K3567" i="6"/>
  <c r="L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M3978" i="6"/>
  <c r="K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M3675" i="6"/>
  <c r="N3534" i="6"/>
  <c r="L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M4032" i="6"/>
  <c r="L3954" i="6"/>
  <c r="N3954" i="6"/>
  <c r="K3954" i="6"/>
  <c r="M3954" i="6"/>
  <c r="M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72" i="6"/>
  <c r="K3124" i="6"/>
  <c r="M3124" i="6"/>
  <c r="L3064" i="6"/>
  <c r="N3064" i="6"/>
  <c r="K3056" i="6"/>
  <c r="M3056" i="6"/>
  <c r="L3012" i="6"/>
  <c r="N3012" i="6"/>
  <c r="N3811" i="6"/>
  <c r="N3380" i="6"/>
  <c r="N3369" i="6"/>
  <c r="N3262" i="6"/>
  <c r="N3226" i="6"/>
  <c r="K3068" i="6"/>
  <c r="M3068" i="6"/>
  <c r="K3709" i="6"/>
  <c r="M3709" i="6"/>
  <c r="K3530" i="6"/>
  <c r="M3530" i="6"/>
  <c r="K3482" i="6"/>
  <c r="K3459" i="6"/>
  <c r="K3446" i="6"/>
  <c r="M3446" i="6"/>
  <c r="K3440" i="6"/>
  <c r="M3440" i="6"/>
  <c r="M3384" i="6"/>
  <c r="N3357" i="6"/>
  <c r="N3325" i="6"/>
  <c r="M3292" i="6"/>
  <c r="M3270" i="6"/>
  <c r="M3244" i="6"/>
  <c r="N3161" i="6"/>
  <c r="M3028" i="6"/>
  <c r="M3016" i="6"/>
  <c r="K4048" i="6"/>
  <c r="M4048" i="6"/>
  <c r="K4034" i="6"/>
  <c r="M4034" i="6"/>
  <c r="K4004" i="6"/>
  <c r="M4004" i="6"/>
  <c r="K3988" i="6"/>
  <c r="M3988" i="6"/>
  <c r="K3969" i="6"/>
  <c r="M3969" i="6"/>
  <c r="M3948" i="6"/>
  <c r="K3866" i="6"/>
  <c r="K3846" i="6"/>
  <c r="M3846" i="6"/>
  <c r="M3811" i="6"/>
  <c r="K3725" i="6"/>
  <c r="M3725" i="6"/>
  <c r="K3724" i="6"/>
  <c r="M3724" i="6"/>
  <c r="K3696" i="6"/>
  <c r="M3696" i="6"/>
  <c r="M3644" i="6"/>
  <c r="K3628" i="6"/>
  <c r="M3628" i="6"/>
  <c r="K3611" i="6"/>
  <c r="K3609" i="6"/>
  <c r="M3609" i="6"/>
  <c r="K3608" i="6"/>
  <c r="K3545" i="6"/>
  <c r="M3545" i="6"/>
  <c r="K3544" i="6"/>
  <c r="M3544" i="6"/>
  <c r="K3532" i="6"/>
  <c r="M3532" i="6"/>
  <c r="K3515" i="6"/>
  <c r="N3462" i="6"/>
  <c r="K3452" i="6"/>
  <c r="M3452" i="6"/>
  <c r="K3432" i="6"/>
  <c r="M3432" i="6"/>
  <c r="K3409" i="6"/>
  <c r="M3409" i="6"/>
  <c r="M3369" i="6"/>
  <c r="M3365" i="6"/>
  <c r="M3337" i="6"/>
  <c r="M3333" i="6"/>
  <c r="M3316" i="6"/>
  <c r="M3310" i="6"/>
  <c r="M3301" i="6"/>
  <c r="N3298" i="6"/>
  <c r="M3230" i="6"/>
  <c r="M3228" i="6"/>
  <c r="M3222" i="6"/>
  <c r="M3188" i="6"/>
  <c r="M3186" i="6"/>
  <c r="K3120" i="6"/>
  <c r="M3120" i="6"/>
  <c r="N3103" i="6"/>
  <c r="M4053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L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K3791" i="6"/>
  <c r="L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K3428" i="6"/>
  <c r="M3428" i="6"/>
  <c r="L3428" i="6"/>
  <c r="N3428" i="6"/>
  <c r="M3411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K3835" i="6"/>
  <c r="K3779" i="6"/>
  <c r="L3779" i="6"/>
  <c r="L3747" i="6"/>
  <c r="K3747" i="6"/>
  <c r="L3716" i="6"/>
  <c r="N3716" i="6"/>
  <c r="K3716" i="6"/>
  <c r="M3716" i="6"/>
  <c r="L3707" i="6"/>
  <c r="K3707" i="6"/>
  <c r="L3667" i="6"/>
  <c r="K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N3859" i="6"/>
  <c r="M3859" i="6"/>
  <c r="L3688" i="6"/>
  <c r="N3688" i="6"/>
  <c r="K3688" i="6"/>
  <c r="M3688" i="6"/>
  <c r="L3676" i="6"/>
  <c r="N3676" i="6"/>
  <c r="K3676" i="6"/>
  <c r="M3676" i="6"/>
  <c r="N3649" i="6"/>
  <c r="L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K3823" i="6"/>
  <c r="L3807" i="6"/>
  <c r="K3787" i="6"/>
  <c r="L3771" i="6"/>
  <c r="K3759" i="6"/>
  <c r="K3735" i="6"/>
  <c r="K3723" i="6"/>
  <c r="K3721" i="6"/>
  <c r="M3721" i="6"/>
  <c r="K3720" i="6"/>
  <c r="M3720" i="6"/>
  <c r="K3695" i="6"/>
  <c r="K3692" i="6"/>
  <c r="M3692" i="6"/>
  <c r="K3684" i="6"/>
  <c r="M3684" i="6"/>
  <c r="K3651" i="6"/>
  <c r="L3651" i="6"/>
  <c r="K3627" i="6"/>
  <c r="L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M3984" i="6"/>
  <c r="K3957" i="6"/>
  <c r="M3957" i="6"/>
  <c r="K3920" i="6"/>
  <c r="M3920" i="6"/>
  <c r="K3917" i="6"/>
  <c r="M3917" i="6"/>
  <c r="K3860" i="6"/>
  <c r="M3860" i="6"/>
  <c r="N3767" i="6"/>
  <c r="M3763" i="6"/>
  <c r="K3717" i="6"/>
  <c r="M3717" i="6"/>
  <c r="L3656" i="6"/>
  <c r="N3656" i="6"/>
  <c r="K3656" i="6"/>
  <c r="M3656" i="6"/>
  <c r="M3635" i="6"/>
  <c r="N3635" i="6"/>
  <c r="L3616" i="6"/>
  <c r="N3616" i="6"/>
  <c r="K3616" i="6"/>
  <c r="M3616" i="6"/>
  <c r="N3575" i="6"/>
  <c r="M3575" i="6"/>
  <c r="K3549" i="6"/>
  <c r="M3549" i="6"/>
  <c r="L3549" i="6"/>
  <c r="N3549" i="6"/>
  <c r="M3495" i="6"/>
  <c r="N3495" i="6"/>
  <c r="L3489" i="6"/>
  <c r="N3489" i="6"/>
  <c r="K3489" i="6"/>
  <c r="M3489" i="6"/>
  <c r="N3419" i="6"/>
  <c r="M3419" i="6"/>
  <c r="N3306" i="6"/>
  <c r="N3286" i="6"/>
  <c r="L3214" i="6"/>
  <c r="N3214" i="6"/>
  <c r="L3182" i="6"/>
  <c r="N3182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L3659" i="6"/>
  <c r="L3640" i="6"/>
  <c r="N3640" i="6"/>
  <c r="M3640" i="6"/>
  <c r="L3619" i="6"/>
  <c r="K3619" i="6"/>
  <c r="K3599" i="6"/>
  <c r="L3599" i="6"/>
  <c r="K3595" i="6"/>
  <c r="L3595" i="6"/>
  <c r="N3585" i="6"/>
  <c r="N3518" i="6"/>
  <c r="L3497" i="6"/>
  <c r="N3497" i="6"/>
  <c r="M3497" i="6"/>
  <c r="L3423" i="6"/>
  <c r="K3423" i="6"/>
  <c r="N3348" i="6"/>
  <c r="N3571" i="6"/>
  <c r="N3543" i="6"/>
  <c r="N3415" i="6"/>
  <c r="M3415" i="6"/>
  <c r="N3392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M3166" i="6"/>
  <c r="M3150" i="6"/>
  <c r="M3135" i="6"/>
  <c r="M3132" i="6"/>
  <c r="N3107" i="6"/>
  <c r="M3107" i="6"/>
  <c r="N3091" i="6"/>
  <c r="M3091" i="6"/>
  <c r="K3072" i="6"/>
  <c r="M3072" i="6"/>
  <c r="L3072" i="6"/>
  <c r="N3072" i="6"/>
  <c r="M3059" i="6"/>
  <c r="N3059" i="6"/>
  <c r="K3040" i="6"/>
  <c r="M3040" i="6"/>
  <c r="L3040" i="6"/>
  <c r="N3040" i="6"/>
  <c r="M3027" i="6"/>
  <c r="L3027" i="6"/>
  <c r="N3027" i="6"/>
  <c r="M3015" i="6"/>
  <c r="L3015" i="6"/>
  <c r="N3015" i="6"/>
  <c r="N3711" i="6"/>
  <c r="K3663" i="6"/>
  <c r="M3663" i="6"/>
  <c r="K3657" i="6"/>
  <c r="M3657" i="6"/>
  <c r="K3655" i="6"/>
  <c r="M3655" i="6"/>
  <c r="M3647" i="6"/>
  <c r="M3641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M3585" i="6"/>
  <c r="K3584" i="6"/>
  <c r="M3584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M3090" i="6"/>
  <c r="L3090" i="6"/>
  <c r="N3090" i="6"/>
  <c r="M3087" i="6"/>
  <c r="L3087" i="6"/>
  <c r="N3087" i="6"/>
  <c r="L3085" i="6"/>
  <c r="N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M3089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10" i="6"/>
  <c r="M10" i="6" s="1"/>
  <c r="K17" i="6"/>
  <c r="M17" i="6" s="1"/>
  <c r="K46" i="6"/>
  <c r="M46" i="6" s="1"/>
  <c r="K58" i="6"/>
  <c r="M58" i="6" s="1"/>
  <c r="K80" i="6"/>
  <c r="M80" i="6" s="1"/>
  <c r="K134" i="6"/>
  <c r="M134" i="6" s="1"/>
  <c r="K141" i="6"/>
  <c r="M141" i="6" s="1"/>
  <c r="K186" i="6"/>
  <c r="M186" i="6" s="1"/>
  <c r="K210" i="6"/>
  <c r="M210" i="6" s="1"/>
  <c r="K242" i="6"/>
  <c r="M242" i="6" s="1"/>
  <c r="K294" i="6"/>
  <c r="M294" i="6" s="1"/>
  <c r="K317" i="6"/>
  <c r="M317" i="6" s="1"/>
  <c r="K390" i="6"/>
  <c r="M390" i="6" s="1"/>
  <c r="K401" i="6"/>
  <c r="K433" i="6"/>
  <c r="M433" i="6" s="1"/>
  <c r="K441" i="6"/>
  <c r="K445" i="6"/>
  <c r="K505" i="6"/>
  <c r="K509" i="6"/>
  <c r="K530" i="6"/>
  <c r="M530" i="6" s="1"/>
  <c r="K538" i="6"/>
  <c r="M538" i="6" s="1"/>
  <c r="K550" i="6"/>
  <c r="M550" i="6" s="1"/>
  <c r="K553" i="6"/>
  <c r="K554" i="6"/>
  <c r="M554" i="6" s="1"/>
  <c r="K557" i="6"/>
  <c r="M557" i="6" s="1"/>
  <c r="K574" i="6"/>
  <c r="M574" i="6" s="1"/>
  <c r="K585" i="6"/>
  <c r="K589" i="6"/>
  <c r="K617" i="6"/>
  <c r="M617" i="6" s="1"/>
  <c r="K621" i="6"/>
  <c r="M621" i="6" s="1"/>
  <c r="K649" i="6"/>
  <c r="M649" i="6" s="1"/>
  <c r="K653" i="6"/>
  <c r="M653" i="6" s="1"/>
  <c r="K681" i="6"/>
  <c r="M681" i="6" s="1"/>
  <c r="K685" i="6"/>
  <c r="M685" i="6" s="1"/>
  <c r="K713" i="6"/>
  <c r="M713" i="6" s="1"/>
  <c r="M733" i="6"/>
  <c r="K738" i="6"/>
  <c r="M738" i="6" s="1"/>
  <c r="K741" i="6"/>
  <c r="M741" i="6" s="1"/>
  <c r="K757" i="6"/>
  <c r="M757" i="6" s="1"/>
  <c r="K758" i="6"/>
  <c r="M758" i="6" s="1"/>
  <c r="K766" i="6"/>
  <c r="M766" i="6" s="1"/>
  <c r="K769" i="6"/>
  <c r="M769" i="6" s="1"/>
  <c r="K770" i="6"/>
  <c r="M770" i="6" s="1"/>
  <c r="K774" i="6"/>
  <c r="M774" i="6" s="1"/>
  <c r="K777" i="6"/>
  <c r="M777" i="6" s="1"/>
  <c r="K782" i="6"/>
  <c r="M782" i="6" s="1"/>
  <c r="K785" i="6"/>
  <c r="M785" i="6" s="1"/>
  <c r="K790" i="6"/>
  <c r="M790" i="6" s="1"/>
  <c r="K793" i="6"/>
  <c r="K798" i="6"/>
  <c r="M798" i="6" s="1"/>
  <c r="K801" i="6"/>
  <c r="K806" i="6"/>
  <c r="M806" i="6" s="1"/>
  <c r="K810" i="6"/>
  <c r="M810" i="6" s="1"/>
  <c r="K818" i="6"/>
  <c r="M818" i="6" s="1"/>
  <c r="K822" i="6"/>
  <c r="M822" i="6" s="1"/>
  <c r="K828" i="6"/>
  <c r="M828" i="6" s="1"/>
  <c r="K830" i="6"/>
  <c r="M830" i="6" s="1"/>
  <c r="K838" i="6"/>
  <c r="M838" i="6" s="1"/>
  <c r="K848" i="6"/>
  <c r="M848" i="6" s="1"/>
  <c r="K850" i="6"/>
  <c r="M850" i="6" s="1"/>
  <c r="K852" i="6"/>
  <c r="M852" i="6" s="1"/>
  <c r="K854" i="6"/>
  <c r="M854" i="6" s="1"/>
  <c r="K866" i="6"/>
  <c r="M866" i="6" s="1"/>
  <c r="K876" i="6"/>
  <c r="M876" i="6" s="1"/>
  <c r="K878" i="6"/>
  <c r="M878" i="6" s="1"/>
  <c r="K882" i="6"/>
  <c r="M882" i="6" s="1"/>
  <c r="K888" i="6"/>
  <c r="M888" i="6" s="1"/>
  <c r="K890" i="6"/>
  <c r="M890" i="6" s="1"/>
  <c r="K892" i="6"/>
  <c r="M892" i="6" s="1"/>
  <c r="K894" i="6"/>
  <c r="M894" i="6" s="1"/>
  <c r="K902" i="6"/>
  <c r="M902" i="6" s="1"/>
  <c r="K910" i="6"/>
  <c r="M910" i="6" s="1"/>
  <c r="K918" i="6"/>
  <c r="M918" i="6" s="1"/>
  <c r="K920" i="6"/>
  <c r="M920" i="6" s="1"/>
  <c r="K926" i="6"/>
  <c r="M926" i="6" s="1"/>
  <c r="K934" i="6"/>
  <c r="M934" i="6" s="1"/>
  <c r="K938" i="6"/>
  <c r="M938" i="6" s="1"/>
  <c r="K946" i="6"/>
  <c r="M946" i="6" s="1"/>
  <c r="K950" i="6"/>
  <c r="M950" i="6" s="1"/>
  <c r="K952" i="6"/>
  <c r="M952" i="6" s="1"/>
  <c r="K954" i="6"/>
  <c r="M954" i="6" s="1"/>
  <c r="K958" i="6"/>
  <c r="M958" i="6" s="1"/>
  <c r="K966" i="6"/>
  <c r="M966" i="6" s="1"/>
  <c r="K974" i="6"/>
  <c r="M974" i="6" s="1"/>
  <c r="K980" i="6"/>
  <c r="M980" i="6" s="1"/>
  <c r="K986" i="6"/>
  <c r="M986" i="6" s="1"/>
  <c r="K994" i="6"/>
  <c r="M994" i="6" s="1"/>
  <c r="K1002" i="6"/>
  <c r="M1002" i="6" s="1"/>
  <c r="K1010" i="6"/>
  <c r="M1010" i="6" s="1"/>
  <c r="K1012" i="6"/>
  <c r="M1012" i="6" s="1"/>
  <c r="K1018" i="6"/>
  <c r="M1018" i="6" s="1"/>
  <c r="M1024" i="6"/>
  <c r="K1030" i="6"/>
  <c r="M1030" i="6" s="1"/>
  <c r="K1038" i="6"/>
  <c r="M1038" i="6" s="1"/>
  <c r="K1046" i="6"/>
  <c r="M1046" i="6" s="1"/>
  <c r="K1050" i="6"/>
  <c r="M1050" i="6" s="1"/>
  <c r="K1058" i="6"/>
  <c r="M1058" i="6" s="1"/>
  <c r="K1061" i="6"/>
  <c r="M1061" i="6" s="1"/>
  <c r="K1064" i="6"/>
  <c r="M1064" i="6" s="1"/>
  <c r="K1065" i="6"/>
  <c r="M1065" i="6"/>
  <c r="M1066" i="6"/>
  <c r="M1067" i="6"/>
  <c r="M1068" i="6"/>
  <c r="K1069" i="6"/>
  <c r="M1070" i="6"/>
  <c r="M1072" i="6"/>
  <c r="M1074" i="6"/>
  <c r="M1075" i="6"/>
  <c r="K1076" i="6"/>
  <c r="M1076" i="6"/>
  <c r="K1077" i="6"/>
  <c r="M1077" i="6"/>
  <c r="M1078" i="6"/>
  <c r="M1079" i="6"/>
  <c r="M1080" i="6"/>
  <c r="K1081" i="6"/>
  <c r="M1082" i="6"/>
  <c r="K1084" i="6"/>
  <c r="M1084" i="6"/>
  <c r="M1085" i="6"/>
  <c r="M1086" i="6"/>
  <c r="M1087" i="6"/>
  <c r="M1088" i="6"/>
  <c r="K1089" i="6"/>
  <c r="M1090" i="6"/>
  <c r="M1091" i="6"/>
  <c r="M1092" i="6"/>
  <c r="M1094" i="6"/>
  <c r="M1096" i="6"/>
  <c r="M1097" i="6"/>
  <c r="M1098" i="6"/>
  <c r="M1099" i="6"/>
  <c r="M1100" i="6"/>
  <c r="K1101" i="6"/>
  <c r="M1102" i="6"/>
  <c r="M1103" i="6"/>
  <c r="M1104" i="6"/>
  <c r="M1105" i="6"/>
  <c r="M1106" i="6"/>
  <c r="M1108" i="6"/>
  <c r="M1109" i="6"/>
  <c r="M1110" i="6"/>
  <c r="M1111" i="6"/>
  <c r="M1112" i="6"/>
  <c r="K1113" i="6"/>
  <c r="M1114" i="6"/>
  <c r="M1115" i="6"/>
  <c r="K1116" i="6"/>
  <c r="M1116" i="6"/>
  <c r="K1117" i="6"/>
  <c r="M1117" i="6"/>
  <c r="M1118" i="6"/>
  <c r="M1119" i="6"/>
  <c r="M1120" i="6"/>
  <c r="K1121" i="6"/>
  <c r="M1122" i="6"/>
  <c r="M1123" i="6"/>
  <c r="K1124" i="6"/>
  <c r="M1124" i="6"/>
  <c r="M1125" i="6"/>
  <c r="M1126" i="6"/>
  <c r="M1127" i="6"/>
  <c r="M1128" i="6"/>
  <c r="K1129" i="6"/>
  <c r="M1130" i="6"/>
  <c r="M1131" i="6"/>
  <c r="M1132" i="6"/>
  <c r="M1134" i="6"/>
  <c r="M1136" i="6"/>
  <c r="M1137" i="6"/>
  <c r="M1138" i="6"/>
  <c r="M1139" i="6"/>
  <c r="M1140" i="6"/>
  <c r="K1141" i="6"/>
  <c r="M1141" i="6"/>
  <c r="M1142" i="6"/>
  <c r="M1143" i="6"/>
  <c r="M1144" i="6"/>
  <c r="K1145" i="6"/>
  <c r="M1146" i="6"/>
  <c r="M1148" i="6"/>
  <c r="M1150" i="6"/>
  <c r="M1151" i="6"/>
  <c r="K1152" i="6"/>
  <c r="M1152" i="6"/>
  <c r="K1153" i="6"/>
  <c r="M1154" i="6"/>
  <c r="M1155" i="6"/>
  <c r="M1156" i="6"/>
  <c r="M1158" i="6"/>
  <c r="K1160" i="6"/>
  <c r="M1160" i="6"/>
  <c r="K1161" i="6"/>
  <c r="M1161" i="6"/>
  <c r="M1162" i="6"/>
  <c r="M1163" i="6"/>
  <c r="M1164" i="6"/>
  <c r="M1166" i="6"/>
  <c r="M1167" i="6"/>
  <c r="M1168" i="6"/>
  <c r="K1169" i="6"/>
  <c r="M1169" i="6"/>
  <c r="M1170" i="6"/>
  <c r="M1172" i="6"/>
  <c r="K1173" i="6"/>
  <c r="M1173" i="6"/>
  <c r="M1174" i="6"/>
  <c r="M1175" i="6"/>
  <c r="M1176" i="6"/>
  <c r="M1178" i="6"/>
  <c r="M1179" i="6"/>
  <c r="M1180" i="6"/>
  <c r="K1181" i="6"/>
  <c r="M1181" i="6"/>
  <c r="M1182" i="6"/>
  <c r="M1183" i="6"/>
  <c r="M1184" i="6"/>
  <c r="K1185" i="6"/>
  <c r="M1186" i="6"/>
  <c r="M1187" i="6"/>
  <c r="M1188" i="6"/>
  <c r="M1190" i="6"/>
  <c r="M1191" i="6"/>
  <c r="K1192" i="6"/>
  <c r="M1192" i="6"/>
  <c r="K1193" i="6"/>
  <c r="M1194" i="6"/>
  <c r="M1195" i="6"/>
  <c r="M1196" i="6"/>
  <c r="M1198" i="6"/>
  <c r="K1200" i="6"/>
  <c r="M1200" i="6"/>
  <c r="K1201" i="6"/>
  <c r="M1201" i="6"/>
  <c r="M1202" i="6"/>
  <c r="M1203" i="6"/>
  <c r="M1204" i="6"/>
  <c r="K1205" i="6"/>
  <c r="M1206" i="6"/>
  <c r="M1207" i="6"/>
  <c r="K1208" i="6"/>
  <c r="M1208" i="6"/>
  <c r="M1209" i="6"/>
  <c r="M1210" i="6"/>
  <c r="M1212" i="6"/>
  <c r="K1213" i="6"/>
  <c r="M1213" i="6"/>
  <c r="M1214" i="6"/>
  <c r="M1215" i="6"/>
  <c r="M1216" i="6"/>
  <c r="M1218" i="6"/>
  <c r="M1219" i="6"/>
  <c r="M1220" i="6"/>
  <c r="M1221" i="6"/>
  <c r="M1222" i="6"/>
  <c r="M1224" i="6"/>
  <c r="K1225" i="6"/>
  <c r="M1225" i="6"/>
  <c r="M1226" i="6"/>
  <c r="M1227" i="6"/>
  <c r="K1228" i="6"/>
  <c r="M1228" i="6"/>
  <c r="M1229" i="6"/>
  <c r="M1230" i="6"/>
  <c r="M1231" i="6"/>
  <c r="M1232" i="6"/>
  <c r="K1233" i="6"/>
  <c r="M1234" i="6"/>
  <c r="K1236" i="6"/>
  <c r="M1236" i="6"/>
  <c r="M1238" i="6"/>
  <c r="M1239" i="6"/>
  <c r="M1240" i="6"/>
  <c r="K1241" i="6"/>
  <c r="M1241" i="6"/>
  <c r="M1242" i="6"/>
  <c r="M1243" i="6"/>
  <c r="M1244" i="6"/>
  <c r="M1246" i="6"/>
  <c r="M1247" i="6"/>
  <c r="K1248" i="6"/>
  <c r="M1248" i="6"/>
  <c r="K1249" i="6"/>
  <c r="M1249" i="6"/>
  <c r="M1250" i="6"/>
  <c r="M1252" i="6"/>
  <c r="K1253" i="6"/>
  <c r="M1254" i="6"/>
  <c r="M1255" i="6"/>
  <c r="M1256" i="6"/>
  <c r="M1257" i="6"/>
  <c r="M1258" i="6"/>
  <c r="M1259" i="6"/>
  <c r="K1260" i="6"/>
  <c r="M1260" i="6"/>
  <c r="M1262" i="6"/>
  <c r="M1263" i="6"/>
  <c r="M1264" i="6"/>
  <c r="M1265" i="6"/>
  <c r="M1266" i="6"/>
  <c r="K1268" i="6"/>
  <c r="M1268" i="6"/>
  <c r="K1269" i="6"/>
  <c r="M1270" i="6"/>
  <c r="M1271" i="6"/>
  <c r="M1272" i="6"/>
  <c r="M1273" i="6"/>
  <c r="M1274" i="6"/>
  <c r="M1275" i="6"/>
  <c r="M1276" i="6"/>
  <c r="K1277" i="6"/>
  <c r="M1278" i="6"/>
  <c r="M1279" i="6"/>
  <c r="K1280" i="6"/>
  <c r="M1280" i="6"/>
  <c r="M1281" i="6"/>
  <c r="M1282" i="6"/>
  <c r="M1284" i="6"/>
  <c r="K1285" i="6"/>
  <c r="M1285" i="6"/>
  <c r="M1286" i="6"/>
  <c r="M1287" i="6"/>
  <c r="M1288" i="6"/>
  <c r="M1290" i="6"/>
  <c r="K1291" i="6"/>
  <c r="M1291" i="6"/>
  <c r="K1292" i="6"/>
  <c r="M1292" i="6"/>
  <c r="K1293" i="6"/>
  <c r="M1294" i="6"/>
  <c r="M1295" i="6"/>
  <c r="M1296" i="6"/>
  <c r="M1298" i="6"/>
  <c r="K1300" i="6"/>
  <c r="M1300" i="6"/>
  <c r="K1301" i="6"/>
  <c r="M1301" i="6"/>
  <c r="M1302" i="6"/>
  <c r="M1303" i="6"/>
  <c r="M1304" i="6"/>
  <c r="M1306" i="6"/>
  <c r="M1307" i="6"/>
  <c r="M1308" i="6"/>
  <c r="K1309" i="6"/>
  <c r="M1309" i="6"/>
  <c r="M1310" i="6"/>
  <c r="M1311" i="6"/>
  <c r="K1312" i="6"/>
  <c r="M1312" i="6"/>
  <c r="M1314" i="6"/>
  <c r="M1316" i="6"/>
  <c r="M1317" i="6"/>
  <c r="M1318" i="6"/>
  <c r="M1319" i="6"/>
  <c r="M1320" i="6"/>
  <c r="K1321" i="6"/>
  <c r="M1322" i="6"/>
  <c r="M1323" i="6"/>
  <c r="K1324" i="6"/>
  <c r="M1324" i="6"/>
  <c r="K1325" i="6"/>
  <c r="M1325" i="6"/>
  <c r="M1326" i="6"/>
  <c r="M1327" i="6"/>
  <c r="M1328" i="6"/>
  <c r="K1329" i="6"/>
  <c r="M1330" i="6"/>
  <c r="K1332" i="6"/>
  <c r="M1332" i="6"/>
  <c r="M1333" i="6"/>
  <c r="M1334" i="6"/>
  <c r="M1335" i="6"/>
  <c r="M1336" i="6"/>
  <c r="K1337" i="6"/>
  <c r="M1338" i="6"/>
  <c r="M1339" i="6"/>
  <c r="M1340" i="6"/>
  <c r="M1341" i="6"/>
  <c r="M1342" i="6"/>
  <c r="M1343" i="6"/>
  <c r="K1344" i="6"/>
  <c r="M1344" i="6"/>
  <c r="K1345" i="6"/>
  <c r="M1346" i="6"/>
  <c r="M1348" i="6"/>
  <c r="M1350" i="6"/>
  <c r="M1351" i="6"/>
  <c r="M1352" i="6"/>
  <c r="K1353" i="6"/>
  <c r="M1353" i="6"/>
  <c r="M1354" i="6"/>
  <c r="M1355" i="6"/>
  <c r="K1356" i="6"/>
  <c r="M1356" i="6"/>
  <c r="M1357" i="6"/>
  <c r="M1358" i="6"/>
  <c r="M1359" i="6"/>
  <c r="M1360" i="6"/>
  <c r="K1361" i="6"/>
  <c r="M1361" i="6"/>
  <c r="M1362" i="6"/>
  <c r="K1364" i="6"/>
  <c r="M1364" i="6"/>
  <c r="M1366" i="6"/>
  <c r="K1367" i="6"/>
  <c r="M1367" i="6"/>
  <c r="M1368" i="6"/>
  <c r="K1369" i="6"/>
  <c r="M1369" i="6"/>
  <c r="M1370" i="6"/>
  <c r="M1371" i="6"/>
  <c r="M1372" i="6"/>
  <c r="M1374" i="6"/>
  <c r="M1375" i="6"/>
  <c r="K1376" i="6"/>
  <c r="M1376" i="6"/>
  <c r="K1377" i="6"/>
  <c r="M1377" i="6"/>
  <c r="M1378" i="6"/>
  <c r="M1380" i="6"/>
  <c r="K1381" i="6"/>
  <c r="M1381" i="6"/>
  <c r="M1382" i="6"/>
  <c r="M1383" i="6"/>
  <c r="M1384" i="6"/>
  <c r="M1385" i="6"/>
  <c r="M1386" i="6"/>
  <c r="K1387" i="6"/>
  <c r="M1387" i="6"/>
  <c r="K1388" i="6"/>
  <c r="M1388" i="6"/>
  <c r="K1389" i="6"/>
  <c r="M1390" i="6"/>
  <c r="M1391" i="6"/>
  <c r="M1392" i="6"/>
  <c r="M1393" i="6"/>
  <c r="M1394" i="6"/>
  <c r="K1396" i="6"/>
  <c r="M1396" i="6"/>
  <c r="K1397" i="6"/>
  <c r="M1397" i="6"/>
  <c r="M1398" i="6"/>
  <c r="M1399" i="6"/>
  <c r="M1400" i="6"/>
  <c r="M1401" i="6"/>
  <c r="M1402" i="6"/>
  <c r="M1403" i="6"/>
  <c r="M1404" i="6"/>
  <c r="K1405" i="6"/>
  <c r="M1405" i="6"/>
  <c r="M1406" i="6"/>
  <c r="M1407" i="6"/>
  <c r="M1408" i="6"/>
  <c r="K1409" i="6"/>
  <c r="M1409" i="6"/>
  <c r="K1410" i="6"/>
  <c r="M1410" i="6"/>
  <c r="M1411" i="6"/>
  <c r="M1412" i="6"/>
  <c r="M1413" i="6"/>
  <c r="K1414" i="6"/>
  <c r="M1414" i="6"/>
  <c r="M1415" i="6"/>
  <c r="M1416" i="6"/>
  <c r="K1417" i="6"/>
  <c r="K1418" i="6"/>
  <c r="M1418" i="6"/>
  <c r="M1419" i="6"/>
  <c r="M1420" i="6"/>
  <c r="K1421" i="6"/>
  <c r="M1421" i="6"/>
  <c r="M1422" i="6"/>
  <c r="M1423" i="6"/>
  <c r="M1424" i="6"/>
  <c r="K1425" i="6"/>
  <c r="M1425" i="6"/>
  <c r="K1426" i="6"/>
  <c r="M1426" i="6"/>
  <c r="M1427" i="6"/>
  <c r="M1428" i="6"/>
  <c r="M1429" i="6"/>
  <c r="K1430" i="6"/>
  <c r="M1430" i="6"/>
  <c r="M1431" i="6"/>
  <c r="M1432" i="6"/>
  <c r="K1433" i="6"/>
  <c r="K1434" i="6"/>
  <c r="M1434" i="6"/>
  <c r="M1435" i="6"/>
  <c r="M1436" i="6"/>
  <c r="K1437" i="6"/>
  <c r="M1437" i="6"/>
  <c r="M1438" i="6"/>
  <c r="M1439" i="6"/>
  <c r="M1440" i="6"/>
  <c r="K1441" i="6"/>
  <c r="M1441" i="6"/>
  <c r="K1442" i="6"/>
  <c r="M1442" i="6"/>
  <c r="M1443" i="6"/>
  <c r="M1444" i="6"/>
  <c r="M1445" i="6"/>
  <c r="K1446" i="6"/>
  <c r="M1446" i="6"/>
  <c r="M1447" i="6"/>
  <c r="M1448" i="6"/>
  <c r="K1449" i="6"/>
  <c r="K1450" i="6"/>
  <c r="M1450" i="6"/>
  <c r="M1451" i="6"/>
  <c r="M1452" i="6"/>
  <c r="K1453" i="6"/>
  <c r="M1453" i="6"/>
  <c r="M1454" i="6"/>
  <c r="M1455" i="6"/>
  <c r="M1456" i="6"/>
  <c r="K1457" i="6"/>
  <c r="M1457" i="6"/>
  <c r="K1458" i="6"/>
  <c r="M1458" i="6"/>
  <c r="M1459" i="6"/>
  <c r="M1460" i="6"/>
  <c r="M1461" i="6"/>
  <c r="K1462" i="6"/>
  <c r="M1462" i="6"/>
  <c r="M1463" i="6"/>
  <c r="M1464" i="6"/>
  <c r="K1465" i="6"/>
  <c r="K1466" i="6"/>
  <c r="M1466" i="6"/>
  <c r="M1467" i="6"/>
  <c r="M1468" i="6"/>
  <c r="K1469" i="6"/>
  <c r="M1469" i="6"/>
  <c r="M1470" i="6"/>
  <c r="M1471" i="6"/>
  <c r="M1472" i="6"/>
  <c r="K1473" i="6"/>
  <c r="M1473" i="6"/>
  <c r="K1474" i="6"/>
  <c r="M1474" i="6"/>
  <c r="M1475" i="6"/>
  <c r="M1476" i="6"/>
  <c r="M1477" i="6"/>
  <c r="K1478" i="6"/>
  <c r="M1478" i="6"/>
  <c r="M1479" i="6"/>
  <c r="M1480" i="6"/>
  <c r="K1481" i="6"/>
  <c r="K1482" i="6"/>
  <c r="M1482" i="6"/>
  <c r="M1483" i="6"/>
  <c r="M1484" i="6"/>
  <c r="K1485" i="6"/>
  <c r="M1485" i="6"/>
  <c r="M1486" i="6"/>
  <c r="M1487" i="6"/>
  <c r="M1488" i="6"/>
  <c r="K1489" i="6"/>
  <c r="M1489" i="6"/>
  <c r="K1490" i="6"/>
  <c r="M1490" i="6"/>
  <c r="M1491" i="6"/>
  <c r="M1492" i="6"/>
  <c r="M1493" i="6"/>
  <c r="K1494" i="6"/>
  <c r="M1494" i="6"/>
  <c r="M1495" i="6"/>
  <c r="M1496" i="6"/>
  <c r="K1497" i="6"/>
  <c r="K1498" i="6"/>
  <c r="M1498" i="6"/>
  <c r="M1499" i="6"/>
  <c r="M1500" i="6"/>
  <c r="K1501" i="6"/>
  <c r="M1501" i="6"/>
  <c r="M1502" i="6"/>
  <c r="M1503" i="6"/>
  <c r="M1504" i="6"/>
  <c r="K1505" i="6"/>
  <c r="M1505" i="6"/>
  <c r="K1506" i="6"/>
  <c r="M1506" i="6"/>
  <c r="M1507" i="6"/>
  <c r="M1508" i="6"/>
  <c r="M1509" i="6"/>
  <c r="K1510" i="6"/>
  <c r="M1510" i="6"/>
  <c r="M1511" i="6"/>
  <c r="M1512" i="6"/>
  <c r="K1513" i="6"/>
  <c r="K1514" i="6"/>
  <c r="M1514" i="6"/>
  <c r="M1515" i="6"/>
  <c r="M1516" i="6"/>
  <c r="K1517" i="6"/>
  <c r="M1517" i="6"/>
  <c r="M1518" i="6"/>
  <c r="M1519" i="6"/>
  <c r="M1520" i="6"/>
  <c r="K1521" i="6"/>
  <c r="M1521" i="6"/>
  <c r="K1522" i="6"/>
  <c r="M1522" i="6"/>
  <c r="M1523" i="6"/>
  <c r="M1524" i="6"/>
  <c r="M1525" i="6"/>
  <c r="K1526" i="6"/>
  <c r="M1526" i="6"/>
  <c r="M1527" i="6"/>
  <c r="M1528" i="6"/>
  <c r="K1529" i="6"/>
  <c r="M1529" i="6"/>
  <c r="K1530" i="6"/>
  <c r="M1530" i="6"/>
  <c r="M1531" i="6"/>
  <c r="M1532" i="6"/>
  <c r="K1533" i="6"/>
  <c r="M1533" i="6"/>
  <c r="K1534" i="6"/>
  <c r="M1534" i="6"/>
  <c r="M1535" i="6"/>
  <c r="M1536" i="6"/>
  <c r="K1537" i="6"/>
  <c r="M1537" i="6"/>
  <c r="K1538" i="6"/>
  <c r="M1538" i="6"/>
  <c r="M1539" i="6"/>
  <c r="M1540" i="6"/>
  <c r="K1541" i="6"/>
  <c r="M1541" i="6"/>
  <c r="K1542" i="6"/>
  <c r="M1542" i="6"/>
  <c r="M1543" i="6"/>
  <c r="M1544" i="6"/>
  <c r="K1545" i="6"/>
  <c r="M1545" i="6"/>
  <c r="K1546" i="6"/>
  <c r="M1546" i="6"/>
  <c r="K1547" i="6"/>
  <c r="M1547" i="6"/>
  <c r="M1548" i="6"/>
  <c r="K1549" i="6"/>
  <c r="M1549" i="6"/>
  <c r="K1550" i="6"/>
  <c r="M1550" i="6"/>
  <c r="M1551" i="6"/>
  <c r="M1552" i="6"/>
  <c r="K1553" i="6"/>
  <c r="M1553" i="6"/>
  <c r="K1554" i="6"/>
  <c r="M1554" i="6"/>
  <c r="M1555" i="6"/>
  <c r="M1556" i="6"/>
  <c r="K1557" i="6"/>
  <c r="M1557" i="6"/>
  <c r="K1558" i="6"/>
  <c r="M1558" i="6"/>
  <c r="M1559" i="6"/>
  <c r="M1560" i="6"/>
  <c r="K1561" i="6"/>
  <c r="M1561" i="6"/>
  <c r="K1562" i="6"/>
  <c r="M1562" i="6"/>
  <c r="M1563" i="6"/>
  <c r="M1564" i="6"/>
  <c r="K1565" i="6"/>
  <c r="M1565" i="6"/>
  <c r="K1566" i="6"/>
  <c r="M1566" i="6"/>
  <c r="M1567" i="6"/>
  <c r="M1568" i="6"/>
  <c r="K1569" i="6"/>
  <c r="M1569" i="6"/>
  <c r="K1570" i="6"/>
  <c r="M1570" i="6"/>
  <c r="M1571" i="6"/>
  <c r="M1572" i="6"/>
  <c r="K1573" i="6"/>
  <c r="M1573" i="6"/>
  <c r="K1574" i="6"/>
  <c r="M1574" i="6"/>
  <c r="M1575" i="6"/>
  <c r="M1576" i="6"/>
  <c r="K1577" i="6"/>
  <c r="M1577" i="6"/>
  <c r="K1578" i="6"/>
  <c r="M1578" i="6"/>
  <c r="K1579" i="6"/>
  <c r="M1579" i="6"/>
  <c r="M1580" i="6"/>
  <c r="K1581" i="6"/>
  <c r="M1581" i="6"/>
  <c r="K1582" i="6"/>
  <c r="M1582" i="6"/>
  <c r="M1583" i="6"/>
  <c r="K1584" i="6"/>
  <c r="M1584" i="6"/>
  <c r="K1585" i="6"/>
  <c r="M1585" i="6"/>
  <c r="K1586" i="6"/>
  <c r="M1586" i="6"/>
  <c r="M1587" i="6"/>
  <c r="K1588" i="6"/>
  <c r="M1588" i="6"/>
  <c r="K1589" i="6"/>
  <c r="M1589" i="6"/>
  <c r="K1590" i="6"/>
  <c r="M1590" i="6"/>
  <c r="M1591" i="6"/>
  <c r="K1592" i="6"/>
  <c r="M1592" i="6"/>
  <c r="K1593" i="6"/>
  <c r="M1593" i="6"/>
  <c r="K1594" i="6"/>
  <c r="M1594" i="6"/>
  <c r="M1595" i="6"/>
  <c r="K1596" i="6"/>
  <c r="M1596" i="6"/>
  <c r="K1597" i="6"/>
  <c r="M1597" i="6"/>
  <c r="K1598" i="6"/>
  <c r="M1598" i="6"/>
  <c r="M1599" i="6"/>
  <c r="K1600" i="6"/>
  <c r="M1600" i="6"/>
  <c r="K1601" i="6"/>
  <c r="M1601" i="6"/>
  <c r="K1602" i="6"/>
  <c r="M1602" i="6"/>
  <c r="M1603" i="6"/>
  <c r="K1604" i="6"/>
  <c r="M1604" i="6"/>
  <c r="K1605" i="6"/>
  <c r="M1605" i="6"/>
  <c r="K1606" i="6"/>
  <c r="M1606" i="6"/>
  <c r="M1607" i="6"/>
  <c r="K1608" i="6"/>
  <c r="M1608" i="6"/>
  <c r="K1609" i="6"/>
  <c r="M1609" i="6"/>
  <c r="K1610" i="6"/>
  <c r="M1610" i="6"/>
  <c r="M1611" i="6"/>
  <c r="K1612" i="6"/>
  <c r="M1612" i="6"/>
  <c r="K1613" i="6"/>
  <c r="M1613" i="6"/>
  <c r="K1614" i="6"/>
  <c r="M1614" i="6"/>
  <c r="M1615" i="6"/>
  <c r="K1616" i="6"/>
  <c r="M1616" i="6"/>
  <c r="K1617" i="6"/>
  <c r="M1617" i="6"/>
  <c r="K1618" i="6"/>
  <c r="M1618" i="6"/>
  <c r="M1619" i="6"/>
  <c r="K1620" i="6"/>
  <c r="M1620" i="6"/>
  <c r="K1621" i="6"/>
  <c r="M1621" i="6"/>
  <c r="K1622" i="6"/>
  <c r="M1622" i="6"/>
  <c r="M1623" i="6"/>
  <c r="K1624" i="6"/>
  <c r="M1624" i="6"/>
  <c r="K1625" i="6"/>
  <c r="M1625" i="6"/>
  <c r="K1626" i="6"/>
  <c r="M1626" i="6"/>
  <c r="M1627" i="6"/>
  <c r="K1628" i="6"/>
  <c r="M1628" i="6"/>
  <c r="K1629" i="6"/>
  <c r="M1629" i="6"/>
  <c r="K1630" i="6"/>
  <c r="M1630" i="6"/>
  <c r="M1631" i="6"/>
  <c r="K1632" i="6"/>
  <c r="M1632" i="6"/>
  <c r="K1633" i="6"/>
  <c r="M1633" i="6"/>
  <c r="K1634" i="6"/>
  <c r="M1634" i="6"/>
  <c r="M1635" i="6"/>
  <c r="K1636" i="6"/>
  <c r="M1636" i="6"/>
  <c r="K1637" i="6"/>
  <c r="M1637" i="6"/>
  <c r="K1638" i="6"/>
  <c r="M1638" i="6"/>
  <c r="M1639" i="6"/>
  <c r="K1640" i="6"/>
  <c r="M1640" i="6"/>
  <c r="K1641" i="6"/>
  <c r="M1641" i="6"/>
  <c r="K1642" i="6"/>
  <c r="M1642" i="6"/>
  <c r="M1643" i="6"/>
  <c r="K1644" i="6"/>
  <c r="M1644" i="6"/>
  <c r="K1645" i="6"/>
  <c r="M1645" i="6"/>
  <c r="K1646" i="6"/>
  <c r="M1646" i="6"/>
  <c r="M1647" i="6"/>
  <c r="K1648" i="6"/>
  <c r="M1648" i="6"/>
  <c r="K1649" i="6"/>
  <c r="M1649" i="6"/>
  <c r="K1650" i="6"/>
  <c r="M1650" i="6"/>
  <c r="M1651" i="6"/>
  <c r="K1652" i="6"/>
  <c r="M1652" i="6"/>
  <c r="K1653" i="6"/>
  <c r="M1653" i="6"/>
  <c r="K1654" i="6"/>
  <c r="M1654" i="6"/>
  <c r="M1655" i="6"/>
  <c r="K1656" i="6"/>
  <c r="M1656" i="6"/>
  <c r="K1657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K1665" i="6"/>
  <c r="M1665" i="6"/>
  <c r="K1666" i="6"/>
  <c r="M1666" i="6"/>
  <c r="M1667" i="6"/>
  <c r="K1668" i="6"/>
  <c r="M1668" i="6"/>
  <c r="K1669" i="6"/>
  <c r="M1669" i="6"/>
  <c r="K1670" i="6"/>
  <c r="M1670" i="6"/>
  <c r="M1671" i="6"/>
  <c r="K1672" i="6"/>
  <c r="M1672" i="6"/>
  <c r="K1673" i="6"/>
  <c r="M1673" i="6"/>
  <c r="K1674" i="6"/>
  <c r="M1674" i="6"/>
  <c r="M1675" i="6"/>
  <c r="K1676" i="6"/>
  <c r="M1676" i="6"/>
  <c r="K1677" i="6"/>
  <c r="M1677" i="6"/>
  <c r="K1678" i="6"/>
  <c r="M1678" i="6"/>
  <c r="M1679" i="6"/>
  <c r="K1680" i="6"/>
  <c r="M1680" i="6"/>
  <c r="K1681" i="6"/>
  <c r="M1681" i="6"/>
  <c r="K1682" i="6"/>
  <c r="M1682" i="6"/>
  <c r="M1683" i="6"/>
  <c r="K1684" i="6"/>
  <c r="M1684" i="6"/>
  <c r="K1685" i="6"/>
  <c r="M1685" i="6"/>
  <c r="K1686" i="6"/>
  <c r="M1686" i="6"/>
  <c r="M1687" i="6"/>
  <c r="K1688" i="6"/>
  <c r="M1688" i="6"/>
  <c r="K1689" i="6"/>
  <c r="M1689" i="6"/>
  <c r="K1690" i="6"/>
  <c r="M1690" i="6"/>
  <c r="M1691" i="6"/>
  <c r="K1692" i="6"/>
  <c r="M1692" i="6"/>
  <c r="K1693" i="6"/>
  <c r="M1693" i="6"/>
  <c r="K1694" i="6"/>
  <c r="M1694" i="6"/>
  <c r="M1695" i="6"/>
  <c r="K1696" i="6"/>
  <c r="M1696" i="6"/>
  <c r="K1697" i="6"/>
  <c r="M1697" i="6"/>
  <c r="K1698" i="6"/>
  <c r="M1698" i="6"/>
  <c r="M1699" i="6"/>
  <c r="K1700" i="6"/>
  <c r="M1700" i="6"/>
  <c r="K1701" i="6"/>
  <c r="M1701" i="6"/>
  <c r="K1702" i="6"/>
  <c r="M1702" i="6"/>
  <c r="M1703" i="6"/>
  <c r="K1704" i="6"/>
  <c r="M1704" i="6"/>
  <c r="K1705" i="6"/>
  <c r="M1705" i="6"/>
  <c r="K1706" i="6"/>
  <c r="M1706" i="6"/>
  <c r="M1707" i="6"/>
  <c r="K1708" i="6"/>
  <c r="M1708" i="6"/>
  <c r="K1709" i="6"/>
  <c r="M1709" i="6"/>
  <c r="K1710" i="6"/>
  <c r="M1710" i="6"/>
  <c r="M1711" i="6"/>
  <c r="K1712" i="6"/>
  <c r="M1712" i="6"/>
  <c r="K1713" i="6"/>
  <c r="M1713" i="6"/>
  <c r="K1714" i="6"/>
  <c r="M1714" i="6"/>
  <c r="M1715" i="6"/>
  <c r="K1716" i="6"/>
  <c r="M1716" i="6"/>
  <c r="K1717" i="6"/>
  <c r="M1717" i="6"/>
  <c r="K1718" i="6"/>
  <c r="M1718" i="6"/>
  <c r="M1719" i="6"/>
  <c r="K1720" i="6"/>
  <c r="M1720" i="6"/>
  <c r="K1721" i="6"/>
  <c r="M1721" i="6"/>
  <c r="K1722" i="6"/>
  <c r="M1722" i="6"/>
  <c r="M1723" i="6"/>
  <c r="K1724" i="6"/>
  <c r="M1724" i="6"/>
  <c r="K1725" i="6"/>
  <c r="M1725" i="6"/>
  <c r="K1726" i="6"/>
  <c r="M1726" i="6"/>
  <c r="M1727" i="6"/>
  <c r="K1728" i="6"/>
  <c r="M1728" i="6"/>
  <c r="K1729" i="6"/>
  <c r="M1729" i="6"/>
  <c r="K1730" i="6"/>
  <c r="M1730" i="6"/>
  <c r="M1731" i="6"/>
  <c r="K1732" i="6"/>
  <c r="M1732" i="6"/>
  <c r="K1733" i="6"/>
  <c r="M1733" i="6"/>
  <c r="K1734" i="6"/>
  <c r="M1734" i="6"/>
  <c r="M1735" i="6"/>
  <c r="K1736" i="6"/>
  <c r="M1736" i="6"/>
  <c r="K1737" i="6"/>
  <c r="M1737" i="6"/>
  <c r="K1738" i="6"/>
  <c r="M1738" i="6"/>
  <c r="M1739" i="6"/>
  <c r="K1740" i="6"/>
  <c r="M1740" i="6"/>
  <c r="K1741" i="6"/>
  <c r="M1741" i="6"/>
  <c r="K1742" i="6"/>
  <c r="M1742" i="6"/>
  <c r="M1743" i="6"/>
  <c r="K1744" i="6"/>
  <c r="M1744" i="6"/>
  <c r="K1745" i="6"/>
  <c r="M1745" i="6"/>
  <c r="K1746" i="6"/>
  <c r="M1746" i="6"/>
  <c r="M1747" i="6"/>
  <c r="K1748" i="6"/>
  <c r="M1748" i="6"/>
  <c r="K1749" i="6"/>
  <c r="M1749" i="6"/>
  <c r="K1750" i="6"/>
  <c r="M1750" i="6"/>
  <c r="M1751" i="6"/>
  <c r="K1752" i="6"/>
  <c r="M1752" i="6"/>
  <c r="K1753" i="6"/>
  <c r="M1753" i="6"/>
  <c r="K1754" i="6"/>
  <c r="M1754" i="6"/>
  <c r="M1755" i="6"/>
  <c r="K1756" i="6"/>
  <c r="M1756" i="6"/>
  <c r="K1757" i="6"/>
  <c r="M1757" i="6"/>
  <c r="K1758" i="6"/>
  <c r="M1758" i="6"/>
  <c r="M1759" i="6"/>
  <c r="K1760" i="6"/>
  <c r="M1760" i="6"/>
  <c r="K1761" i="6"/>
  <c r="M1761" i="6"/>
  <c r="K1762" i="6"/>
  <c r="M1762" i="6"/>
  <c r="M1763" i="6"/>
  <c r="K1764" i="6"/>
  <c r="M1764" i="6"/>
  <c r="K1765" i="6"/>
  <c r="M1765" i="6"/>
  <c r="K1766" i="6"/>
  <c r="M1766" i="6"/>
  <c r="M1767" i="6"/>
  <c r="K1768" i="6"/>
  <c r="M1768" i="6"/>
  <c r="K1769" i="6"/>
  <c r="M1769" i="6"/>
  <c r="K1770" i="6"/>
  <c r="M1770" i="6"/>
  <c r="M1771" i="6"/>
  <c r="K1772" i="6"/>
  <c r="M1772" i="6"/>
  <c r="K1773" i="6"/>
  <c r="M1773" i="6"/>
  <c r="K1774" i="6"/>
  <c r="M1774" i="6"/>
  <c r="M1775" i="6"/>
  <c r="K1776" i="6"/>
  <c r="M1776" i="6"/>
  <c r="K1777" i="6"/>
  <c r="M1777" i="6"/>
  <c r="K1778" i="6"/>
  <c r="M1778" i="6"/>
  <c r="M1779" i="6"/>
  <c r="K1780" i="6"/>
  <c r="M1780" i="6"/>
  <c r="K1781" i="6"/>
  <c r="M1781" i="6"/>
  <c r="K1782" i="6"/>
  <c r="M1782" i="6"/>
  <c r="M1783" i="6"/>
  <c r="K1784" i="6"/>
  <c r="M1784" i="6"/>
  <c r="K1785" i="6"/>
  <c r="M1785" i="6"/>
  <c r="K1786" i="6"/>
  <c r="M1786" i="6"/>
  <c r="M1787" i="6"/>
  <c r="K1788" i="6"/>
  <c r="M1788" i="6"/>
  <c r="K1789" i="6"/>
  <c r="M1789" i="6"/>
  <c r="K1790" i="6"/>
  <c r="M1790" i="6"/>
  <c r="M1791" i="6"/>
  <c r="K1792" i="6"/>
  <c r="M1792" i="6"/>
  <c r="K1793" i="6"/>
  <c r="M1793" i="6"/>
  <c r="K1794" i="6"/>
  <c r="M1794" i="6"/>
  <c r="M1795" i="6"/>
  <c r="K1796" i="6"/>
  <c r="M1796" i="6"/>
  <c r="K1797" i="6"/>
  <c r="M1797" i="6"/>
  <c r="K1798" i="6"/>
  <c r="M1798" i="6"/>
  <c r="M1799" i="6"/>
  <c r="K1800" i="6"/>
  <c r="M1800" i="6"/>
  <c r="K1801" i="6"/>
  <c r="M1801" i="6"/>
  <c r="K1802" i="6"/>
  <c r="M1802" i="6"/>
  <c r="M1803" i="6"/>
  <c r="K1804" i="6"/>
  <c r="M1804" i="6"/>
  <c r="K1805" i="6"/>
  <c r="M1805" i="6"/>
  <c r="K1806" i="6"/>
  <c r="M1806" i="6"/>
  <c r="M1807" i="6"/>
  <c r="K1808" i="6"/>
  <c r="M1808" i="6"/>
  <c r="K1809" i="6"/>
  <c r="M1809" i="6"/>
  <c r="K1810" i="6"/>
  <c r="M1810" i="6"/>
  <c r="M1811" i="6"/>
  <c r="K1812" i="6"/>
  <c r="M1812" i="6"/>
  <c r="K1813" i="6"/>
  <c r="M1813" i="6"/>
  <c r="K1814" i="6"/>
  <c r="M1814" i="6"/>
  <c r="M1815" i="6"/>
  <c r="K1816" i="6"/>
  <c r="M1816" i="6"/>
  <c r="K1817" i="6"/>
  <c r="M1817" i="6"/>
  <c r="K1818" i="6"/>
  <c r="M1818" i="6"/>
  <c r="M1819" i="6"/>
  <c r="K1820" i="6"/>
  <c r="M1820" i="6"/>
  <c r="K1821" i="6"/>
  <c r="M1821" i="6"/>
  <c r="K1822" i="6"/>
  <c r="M1822" i="6"/>
  <c r="M1823" i="6"/>
  <c r="K1824" i="6"/>
  <c r="M1824" i="6"/>
  <c r="K1825" i="6"/>
  <c r="M1825" i="6"/>
  <c r="K1826" i="6"/>
  <c r="M1826" i="6"/>
  <c r="M1827" i="6"/>
  <c r="K1828" i="6"/>
  <c r="M1828" i="6"/>
  <c r="K1829" i="6"/>
  <c r="M1829" i="6"/>
  <c r="K1830" i="6"/>
  <c r="M1830" i="6"/>
  <c r="M1831" i="6"/>
  <c r="K1832" i="6"/>
  <c r="M1832" i="6"/>
  <c r="K1833" i="6"/>
  <c r="M1833" i="6"/>
  <c r="K1834" i="6"/>
  <c r="M1834" i="6"/>
  <c r="M1835" i="6"/>
  <c r="K1836" i="6"/>
  <c r="M1836" i="6"/>
  <c r="K1837" i="6"/>
  <c r="M1837" i="6"/>
  <c r="K1838" i="6"/>
  <c r="M1838" i="6"/>
  <c r="M1839" i="6"/>
  <c r="K1840" i="6"/>
  <c r="M1840" i="6"/>
  <c r="K1841" i="6"/>
  <c r="M1841" i="6"/>
  <c r="K1842" i="6"/>
  <c r="M1842" i="6"/>
  <c r="M1843" i="6"/>
  <c r="K1844" i="6"/>
  <c r="M1844" i="6"/>
  <c r="K1845" i="6"/>
  <c r="M1845" i="6"/>
  <c r="K1846" i="6"/>
  <c r="M1846" i="6"/>
  <c r="M1847" i="6"/>
  <c r="K1848" i="6"/>
  <c r="M1848" i="6"/>
  <c r="K1849" i="6"/>
  <c r="M1849" i="6"/>
  <c r="K1850" i="6"/>
  <c r="M1850" i="6"/>
  <c r="M1851" i="6"/>
  <c r="K1852" i="6"/>
  <c r="M1852" i="6"/>
  <c r="K1853" i="6"/>
  <c r="M1853" i="6"/>
  <c r="K1854" i="6"/>
  <c r="M1854" i="6"/>
  <c r="M1855" i="6"/>
  <c r="K1856" i="6"/>
  <c r="M1856" i="6"/>
  <c r="K1857" i="6"/>
  <c r="M1857" i="6"/>
  <c r="K1858" i="6"/>
  <c r="M1858" i="6"/>
  <c r="M1859" i="6"/>
  <c r="K1860" i="6"/>
  <c r="M1860" i="6"/>
  <c r="K1861" i="6"/>
  <c r="M1861" i="6"/>
  <c r="K1862" i="6"/>
  <c r="M1862" i="6"/>
  <c r="M1863" i="6"/>
  <c r="K1864" i="6"/>
  <c r="M1864" i="6"/>
  <c r="K1865" i="6"/>
  <c r="M1865" i="6"/>
  <c r="K1866" i="6"/>
  <c r="M1866" i="6"/>
  <c r="M1867" i="6"/>
  <c r="K1868" i="6"/>
  <c r="M1868" i="6"/>
  <c r="K1869" i="6"/>
  <c r="M1869" i="6"/>
  <c r="K1870" i="6"/>
  <c r="M1870" i="6"/>
  <c r="M1871" i="6"/>
  <c r="K1872" i="6"/>
  <c r="M1872" i="6"/>
  <c r="K1873" i="6"/>
  <c r="M1873" i="6"/>
  <c r="K1874" i="6"/>
  <c r="M1874" i="6"/>
  <c r="M1875" i="6"/>
  <c r="K1876" i="6"/>
  <c r="M1876" i="6"/>
  <c r="K1877" i="6"/>
  <c r="M1877" i="6"/>
  <c r="K1878" i="6"/>
  <c r="M1878" i="6"/>
  <c r="M1879" i="6"/>
  <c r="K1880" i="6"/>
  <c r="M1880" i="6"/>
  <c r="K1881" i="6"/>
  <c r="M1881" i="6"/>
  <c r="K1882" i="6"/>
  <c r="M1882" i="6"/>
  <c r="M1883" i="6"/>
  <c r="K1884" i="6"/>
  <c r="M1884" i="6"/>
  <c r="K1885" i="6"/>
  <c r="M1885" i="6"/>
  <c r="K1886" i="6"/>
  <c r="M1886" i="6"/>
  <c r="M1887" i="6"/>
  <c r="K1888" i="6"/>
  <c r="M1888" i="6"/>
  <c r="K1889" i="6"/>
  <c r="M1889" i="6"/>
  <c r="K1890" i="6"/>
  <c r="M1890" i="6"/>
  <c r="M1891" i="6"/>
  <c r="K1892" i="6"/>
  <c r="M1892" i="6"/>
  <c r="K1893" i="6"/>
  <c r="M1893" i="6"/>
  <c r="K1894" i="6"/>
  <c r="M1894" i="6"/>
  <c r="M1895" i="6"/>
  <c r="K1896" i="6"/>
  <c r="M1896" i="6"/>
  <c r="K1897" i="6"/>
  <c r="M1897" i="6"/>
  <c r="K1898" i="6"/>
  <c r="M1898" i="6"/>
  <c r="M1899" i="6"/>
  <c r="K1900" i="6"/>
  <c r="M1900" i="6"/>
  <c r="K1901" i="6"/>
  <c r="M1901" i="6"/>
  <c r="K1902" i="6"/>
  <c r="M1902" i="6"/>
  <c r="M1903" i="6"/>
  <c r="K1904" i="6"/>
  <c r="M1904" i="6"/>
  <c r="K1905" i="6"/>
  <c r="M1905" i="6"/>
  <c r="K1906" i="6"/>
  <c r="M1906" i="6"/>
  <c r="M1907" i="6"/>
  <c r="K1908" i="6"/>
  <c r="M1908" i="6"/>
  <c r="K1909" i="6"/>
  <c r="M1909" i="6"/>
  <c r="K1910" i="6"/>
  <c r="M1910" i="6"/>
  <c r="M1911" i="6"/>
  <c r="K1912" i="6"/>
  <c r="M1912" i="6"/>
  <c r="K1913" i="6"/>
  <c r="M1913" i="6"/>
  <c r="K1914" i="6"/>
  <c r="M1914" i="6"/>
  <c r="M1915" i="6"/>
  <c r="K1916" i="6"/>
  <c r="M1916" i="6"/>
  <c r="K1917" i="6"/>
  <c r="M1917" i="6"/>
  <c r="K1918" i="6"/>
  <c r="M1918" i="6"/>
  <c r="M1919" i="6"/>
  <c r="K1920" i="6"/>
  <c r="M1920" i="6"/>
  <c r="K1921" i="6"/>
  <c r="M1921" i="6"/>
  <c r="K1922" i="6"/>
  <c r="M1922" i="6"/>
  <c r="M1923" i="6"/>
  <c r="K1924" i="6"/>
  <c r="M1924" i="6"/>
  <c r="K1925" i="6"/>
  <c r="M1925" i="6"/>
  <c r="K1926" i="6"/>
  <c r="M1926" i="6"/>
  <c r="M1927" i="6"/>
  <c r="K1928" i="6"/>
  <c r="M1928" i="6"/>
  <c r="K1929" i="6"/>
  <c r="M1929" i="6"/>
  <c r="K1930" i="6"/>
  <c r="M1930" i="6"/>
  <c r="M1931" i="6"/>
  <c r="K1932" i="6"/>
  <c r="M1932" i="6"/>
  <c r="K1933" i="6"/>
  <c r="M1933" i="6"/>
  <c r="K1934" i="6"/>
  <c r="M1934" i="6"/>
  <c r="M1935" i="6"/>
  <c r="K1936" i="6"/>
  <c r="M1936" i="6"/>
  <c r="K1937" i="6"/>
  <c r="M1937" i="6"/>
  <c r="K1938" i="6"/>
  <c r="M1938" i="6"/>
  <c r="M1939" i="6"/>
  <c r="K1940" i="6"/>
  <c r="M1940" i="6"/>
  <c r="K1941" i="6"/>
  <c r="M1941" i="6"/>
  <c r="K1942" i="6"/>
  <c r="M1942" i="6"/>
  <c r="M1943" i="6"/>
  <c r="K1944" i="6"/>
  <c r="M1944" i="6"/>
  <c r="K1945" i="6"/>
  <c r="M1945" i="6"/>
  <c r="K1946" i="6"/>
  <c r="M1946" i="6"/>
  <c r="M1947" i="6"/>
  <c r="K1948" i="6"/>
  <c r="M1948" i="6"/>
  <c r="K1949" i="6"/>
  <c r="M1949" i="6"/>
  <c r="K1950" i="6"/>
  <c r="M1950" i="6"/>
  <c r="M1951" i="6"/>
  <c r="K1952" i="6"/>
  <c r="M1952" i="6"/>
  <c r="K1953" i="6"/>
  <c r="M1953" i="6"/>
  <c r="K1954" i="6"/>
  <c r="M1954" i="6"/>
  <c r="M1955" i="6"/>
  <c r="K1956" i="6"/>
  <c r="M1956" i="6"/>
  <c r="K1957" i="6"/>
  <c r="M1957" i="6"/>
  <c r="K1958" i="6"/>
  <c r="M1958" i="6"/>
  <c r="M1959" i="6"/>
  <c r="K1960" i="6"/>
  <c r="M1960" i="6"/>
  <c r="K1961" i="6"/>
  <c r="M1961" i="6"/>
  <c r="K1962" i="6"/>
  <c r="M1962" i="6"/>
  <c r="M1963" i="6"/>
  <c r="K1964" i="6"/>
  <c r="M1964" i="6"/>
  <c r="K1965" i="6"/>
  <c r="M1965" i="6"/>
  <c r="K1966" i="6"/>
  <c r="M1966" i="6"/>
  <c r="M1967" i="6"/>
  <c r="K1968" i="6"/>
  <c r="M1968" i="6"/>
  <c r="K1969" i="6"/>
  <c r="M1969" i="6"/>
  <c r="K1970" i="6"/>
  <c r="M1970" i="6"/>
  <c r="M1971" i="6"/>
  <c r="K1972" i="6"/>
  <c r="M1972" i="6"/>
  <c r="K1973" i="6"/>
  <c r="M1973" i="6"/>
  <c r="K1974" i="6"/>
  <c r="M1974" i="6"/>
  <c r="M1975" i="6"/>
  <c r="K1976" i="6"/>
  <c r="M1976" i="6"/>
  <c r="K1977" i="6"/>
  <c r="M1977" i="6"/>
  <c r="K1978" i="6"/>
  <c r="M1978" i="6"/>
  <c r="M1979" i="6"/>
  <c r="K1980" i="6"/>
  <c r="M1980" i="6"/>
  <c r="K1981" i="6"/>
  <c r="M1981" i="6"/>
  <c r="K1982" i="6"/>
  <c r="M1982" i="6"/>
  <c r="M1983" i="6"/>
  <c r="K1984" i="6"/>
  <c r="M1984" i="6"/>
  <c r="K1985" i="6"/>
  <c r="M1985" i="6"/>
  <c r="K1986" i="6"/>
  <c r="M1986" i="6"/>
  <c r="M1987" i="6"/>
  <c r="K1988" i="6"/>
  <c r="M1988" i="6"/>
  <c r="K1989" i="6"/>
  <c r="M1989" i="6"/>
  <c r="K1990" i="6"/>
  <c r="M1990" i="6"/>
  <c r="M1991" i="6"/>
  <c r="K1992" i="6"/>
  <c r="M1992" i="6"/>
  <c r="K1993" i="6"/>
  <c r="M1993" i="6"/>
  <c r="K1994" i="6"/>
  <c r="M1994" i="6"/>
  <c r="M1995" i="6"/>
  <c r="K1996" i="6"/>
  <c r="M1996" i="6"/>
  <c r="K1997" i="6"/>
  <c r="M1997" i="6"/>
  <c r="K1998" i="6"/>
  <c r="M1998" i="6"/>
  <c r="M1999" i="6"/>
  <c r="K2000" i="6"/>
  <c r="M2000" i="6"/>
  <c r="K2001" i="6"/>
  <c r="M2001" i="6"/>
  <c r="K2002" i="6"/>
  <c r="M2002" i="6"/>
  <c r="M2003" i="6"/>
  <c r="K2004" i="6"/>
  <c r="M2004" i="6"/>
  <c r="K2005" i="6"/>
  <c r="M2005" i="6"/>
  <c r="K2006" i="6"/>
  <c r="M2006" i="6"/>
  <c r="M2007" i="6"/>
  <c r="K2008" i="6"/>
  <c r="M2008" i="6"/>
  <c r="K2009" i="6"/>
  <c r="M2009" i="6"/>
  <c r="K2010" i="6"/>
  <c r="M2010" i="6"/>
  <c r="M2011" i="6"/>
  <c r="K2012" i="6"/>
  <c r="M2012" i="6"/>
  <c r="K2013" i="6"/>
  <c r="M2013" i="6"/>
  <c r="K2014" i="6"/>
  <c r="M2014" i="6"/>
  <c r="M2015" i="6"/>
  <c r="K2016" i="6"/>
  <c r="M2016" i="6"/>
  <c r="K2017" i="6"/>
  <c r="M2017" i="6"/>
  <c r="K2018" i="6"/>
  <c r="M2018" i="6"/>
  <c r="M2019" i="6"/>
  <c r="K2020" i="6"/>
  <c r="M2020" i="6"/>
  <c r="K2021" i="6"/>
  <c r="M2021" i="6"/>
  <c r="K2022" i="6"/>
  <c r="M2022" i="6"/>
  <c r="M2023" i="6"/>
  <c r="K2024" i="6"/>
  <c r="M2024" i="6"/>
  <c r="K2025" i="6"/>
  <c r="M2025" i="6"/>
  <c r="K2026" i="6"/>
  <c r="M2026" i="6"/>
  <c r="M2027" i="6"/>
  <c r="K2028" i="6"/>
  <c r="M2028" i="6"/>
  <c r="K2029" i="6"/>
  <c r="M2029" i="6"/>
  <c r="K2030" i="6"/>
  <c r="M2030" i="6"/>
  <c r="M2031" i="6"/>
  <c r="K2032" i="6"/>
  <c r="M2032" i="6"/>
  <c r="K2033" i="6"/>
  <c r="M2033" i="6"/>
  <c r="K2034" i="6"/>
  <c r="M2034" i="6"/>
  <c r="M2035" i="6"/>
  <c r="K2036" i="6"/>
  <c r="M2036" i="6"/>
  <c r="K2037" i="6"/>
  <c r="M2037" i="6"/>
  <c r="K2038" i="6"/>
  <c r="M2038" i="6"/>
  <c r="M2039" i="6"/>
  <c r="K2040" i="6"/>
  <c r="M2040" i="6"/>
  <c r="K2041" i="6"/>
  <c r="M2041" i="6"/>
  <c r="K2042" i="6"/>
  <c r="M2042" i="6"/>
  <c r="M2043" i="6"/>
  <c r="K2044" i="6"/>
  <c r="M2044" i="6"/>
  <c r="K2045" i="6"/>
  <c r="M2045" i="6"/>
  <c r="K2046" i="6"/>
  <c r="M2046" i="6"/>
  <c r="M2047" i="6"/>
  <c r="K2048" i="6"/>
  <c r="M2048" i="6"/>
  <c r="K2049" i="6"/>
  <c r="M2049" i="6"/>
  <c r="K2050" i="6"/>
  <c r="M2050" i="6"/>
  <c r="M2051" i="6"/>
  <c r="K2052" i="6"/>
  <c r="M2052" i="6"/>
  <c r="K2053" i="6"/>
  <c r="M2053" i="6"/>
  <c r="K2054" i="6"/>
  <c r="M2054" i="6"/>
  <c r="M2055" i="6"/>
  <c r="K2056" i="6"/>
  <c r="M2056" i="6"/>
  <c r="K2057" i="6"/>
  <c r="M2057" i="6"/>
  <c r="K2058" i="6"/>
  <c r="M2058" i="6"/>
  <c r="M2059" i="6"/>
  <c r="K2060" i="6"/>
  <c r="M2060" i="6"/>
  <c r="K2061" i="6"/>
  <c r="M2061" i="6"/>
  <c r="K2062" i="6"/>
  <c r="M2062" i="6"/>
  <c r="M2063" i="6"/>
  <c r="K2064" i="6"/>
  <c r="M2064" i="6"/>
  <c r="K2065" i="6"/>
  <c r="M2065" i="6"/>
  <c r="K2066" i="6"/>
  <c r="M2066" i="6"/>
  <c r="M2067" i="6"/>
  <c r="K2068" i="6"/>
  <c r="M2068" i="6"/>
  <c r="K2069" i="6"/>
  <c r="M2069" i="6"/>
  <c r="K2070" i="6"/>
  <c r="M2070" i="6"/>
  <c r="M2071" i="6"/>
  <c r="K2072" i="6"/>
  <c r="M2072" i="6"/>
  <c r="K2073" i="6"/>
  <c r="M2073" i="6"/>
  <c r="K2074" i="6"/>
  <c r="M2074" i="6"/>
  <c r="M2075" i="6"/>
  <c r="K2076" i="6"/>
  <c r="M2076" i="6"/>
  <c r="K2077" i="6"/>
  <c r="M2077" i="6"/>
  <c r="K2078" i="6"/>
  <c r="M2078" i="6"/>
  <c r="M2079" i="6"/>
  <c r="K2080" i="6"/>
  <c r="M2080" i="6"/>
  <c r="K2081" i="6"/>
  <c r="M2081" i="6"/>
  <c r="K2082" i="6"/>
  <c r="M2082" i="6"/>
  <c r="M2083" i="6"/>
  <c r="K2084" i="6"/>
  <c r="M2084" i="6"/>
  <c r="K2085" i="6"/>
  <c r="M2085" i="6"/>
  <c r="K2086" i="6"/>
  <c r="M2086" i="6"/>
  <c r="M2087" i="6"/>
  <c r="K2088" i="6"/>
  <c r="M2088" i="6"/>
  <c r="K2089" i="6"/>
  <c r="M2089" i="6"/>
  <c r="K2090" i="6"/>
  <c r="M2090" i="6"/>
  <c r="M2091" i="6"/>
  <c r="K2092" i="6"/>
  <c r="M2092" i="6"/>
  <c r="K2093" i="6"/>
  <c r="M2093" i="6"/>
  <c r="K2094" i="6"/>
  <c r="M2094" i="6"/>
  <c r="M2095" i="6"/>
  <c r="K2096" i="6"/>
  <c r="M2096" i="6"/>
  <c r="K2097" i="6"/>
  <c r="M2097" i="6"/>
  <c r="K2098" i="6"/>
  <c r="M2098" i="6"/>
  <c r="M2099" i="6"/>
  <c r="K2100" i="6"/>
  <c r="M2100" i="6"/>
  <c r="K2101" i="6"/>
  <c r="M2101" i="6"/>
  <c r="K2102" i="6"/>
  <c r="M2102" i="6"/>
  <c r="M2103" i="6"/>
  <c r="K2104" i="6"/>
  <c r="M2104" i="6"/>
  <c r="K2105" i="6"/>
  <c r="M2105" i="6"/>
  <c r="K2106" i="6"/>
  <c r="M2106" i="6"/>
  <c r="M2107" i="6"/>
  <c r="K2108" i="6"/>
  <c r="M2108" i="6"/>
  <c r="K2109" i="6"/>
  <c r="M2109" i="6"/>
  <c r="K2110" i="6"/>
  <c r="M2110" i="6"/>
  <c r="M2111" i="6"/>
  <c r="K2112" i="6"/>
  <c r="M2112" i="6"/>
  <c r="K2113" i="6"/>
  <c r="M2113" i="6"/>
  <c r="K2114" i="6"/>
  <c r="M2114" i="6"/>
  <c r="M2115" i="6"/>
  <c r="K2116" i="6"/>
  <c r="M2116" i="6"/>
  <c r="K2117" i="6"/>
  <c r="M2117" i="6"/>
  <c r="K2118" i="6"/>
  <c r="M2118" i="6"/>
  <c r="M2119" i="6"/>
  <c r="K2120" i="6"/>
  <c r="M2120" i="6"/>
  <c r="K2121" i="6"/>
  <c r="M2121" i="6"/>
  <c r="K2122" i="6"/>
  <c r="M2122" i="6"/>
  <c r="M2123" i="6"/>
  <c r="K2124" i="6"/>
  <c r="M2124" i="6"/>
  <c r="K2125" i="6"/>
  <c r="M2125" i="6"/>
  <c r="K2126" i="6"/>
  <c r="M2126" i="6"/>
  <c r="M2127" i="6"/>
  <c r="K2128" i="6"/>
  <c r="M2128" i="6"/>
  <c r="K2129" i="6"/>
  <c r="M2129" i="6"/>
  <c r="K2130" i="6"/>
  <c r="M2130" i="6"/>
  <c r="M2131" i="6"/>
  <c r="K2132" i="6"/>
  <c r="M2132" i="6"/>
  <c r="K2133" i="6"/>
  <c r="M2133" i="6"/>
  <c r="K2134" i="6"/>
  <c r="M2134" i="6"/>
  <c r="M2135" i="6"/>
  <c r="K2136" i="6"/>
  <c r="M2136" i="6"/>
  <c r="K2137" i="6"/>
  <c r="M2137" i="6"/>
  <c r="K2138" i="6"/>
  <c r="M2138" i="6"/>
  <c r="M2139" i="6"/>
  <c r="K2140" i="6"/>
  <c r="M2140" i="6"/>
  <c r="K2141" i="6"/>
  <c r="M2141" i="6"/>
  <c r="K2142" i="6"/>
  <c r="M2142" i="6"/>
  <c r="M2143" i="6"/>
  <c r="K2144" i="6"/>
  <c r="M2144" i="6"/>
  <c r="K2145" i="6"/>
  <c r="M2145" i="6"/>
  <c r="K2146" i="6"/>
  <c r="M2146" i="6"/>
  <c r="M2147" i="6"/>
  <c r="K2148" i="6"/>
  <c r="M2148" i="6"/>
  <c r="K2149" i="6"/>
  <c r="M2149" i="6"/>
  <c r="K2150" i="6"/>
  <c r="M2150" i="6"/>
  <c r="M2151" i="6"/>
  <c r="K2152" i="6"/>
  <c r="M2152" i="6"/>
  <c r="K2153" i="6"/>
  <c r="M2153" i="6"/>
  <c r="K2154" i="6"/>
  <c r="M2154" i="6"/>
  <c r="M2155" i="6"/>
  <c r="K2156" i="6"/>
  <c r="M2156" i="6"/>
  <c r="K2157" i="6"/>
  <c r="M2157" i="6"/>
  <c r="K2158" i="6"/>
  <c r="M2158" i="6"/>
  <c r="M2159" i="6"/>
  <c r="K2160" i="6"/>
  <c r="M2160" i="6"/>
  <c r="K2161" i="6"/>
  <c r="M2161" i="6"/>
  <c r="K2162" i="6"/>
  <c r="M2162" i="6"/>
  <c r="M2163" i="6"/>
  <c r="K2164" i="6"/>
  <c r="M2164" i="6"/>
  <c r="K2165" i="6"/>
  <c r="M2165" i="6"/>
  <c r="K2166" i="6"/>
  <c r="M2166" i="6"/>
  <c r="M2167" i="6"/>
  <c r="K2168" i="6"/>
  <c r="M2168" i="6"/>
  <c r="K2169" i="6"/>
  <c r="M2169" i="6"/>
  <c r="K2170" i="6"/>
  <c r="M2170" i="6"/>
  <c r="M2171" i="6"/>
  <c r="K2172" i="6"/>
  <c r="M2172" i="6"/>
  <c r="K2173" i="6"/>
  <c r="M2173" i="6"/>
  <c r="K2174" i="6"/>
  <c r="M2174" i="6"/>
  <c r="M2175" i="6"/>
  <c r="K2176" i="6"/>
  <c r="M2176" i="6"/>
  <c r="K2177" i="6"/>
  <c r="M2177" i="6"/>
  <c r="K2178" i="6"/>
  <c r="M2178" i="6"/>
  <c r="M2179" i="6"/>
  <c r="K2180" i="6"/>
  <c r="M2180" i="6"/>
  <c r="K2181" i="6"/>
  <c r="M2181" i="6"/>
  <c r="K2182" i="6"/>
  <c r="M2182" i="6"/>
  <c r="M2183" i="6"/>
  <c r="K2184" i="6"/>
  <c r="M2184" i="6"/>
  <c r="K2185" i="6"/>
  <c r="M2185" i="6"/>
  <c r="K2186" i="6"/>
  <c r="M2186" i="6"/>
  <c r="M2187" i="6"/>
  <c r="K2188" i="6"/>
  <c r="M2188" i="6"/>
  <c r="K2189" i="6"/>
  <c r="M2189" i="6"/>
  <c r="K2190" i="6"/>
  <c r="M2190" i="6"/>
  <c r="M2191" i="6"/>
  <c r="K2192" i="6"/>
  <c r="M2192" i="6"/>
  <c r="K2193" i="6"/>
  <c r="M2193" i="6"/>
  <c r="K2194" i="6"/>
  <c r="M2194" i="6"/>
  <c r="M2195" i="6"/>
  <c r="K2196" i="6"/>
  <c r="M2196" i="6"/>
  <c r="K2197" i="6"/>
  <c r="M2197" i="6"/>
  <c r="K2198" i="6"/>
  <c r="M2198" i="6"/>
  <c r="M2199" i="6"/>
  <c r="K2200" i="6"/>
  <c r="M2200" i="6"/>
  <c r="K2201" i="6"/>
  <c r="M2201" i="6"/>
  <c r="K2202" i="6"/>
  <c r="M2202" i="6"/>
  <c r="M2203" i="6"/>
  <c r="K2204" i="6"/>
  <c r="M2204" i="6"/>
  <c r="K2205" i="6"/>
  <c r="M2205" i="6"/>
  <c r="K2206" i="6"/>
  <c r="M2206" i="6"/>
  <c r="M2207" i="6"/>
  <c r="K2208" i="6"/>
  <c r="M2208" i="6"/>
  <c r="K2209" i="6"/>
  <c r="M2209" i="6"/>
  <c r="K2210" i="6"/>
  <c r="M2210" i="6"/>
  <c r="M2211" i="6"/>
  <c r="K2212" i="6"/>
  <c r="M2212" i="6"/>
  <c r="K2213" i="6"/>
  <c r="M2213" i="6"/>
  <c r="K2214" i="6"/>
  <c r="M2214" i="6"/>
  <c r="M2215" i="6"/>
  <c r="K2216" i="6"/>
  <c r="M2216" i="6"/>
  <c r="K2217" i="6"/>
  <c r="M2217" i="6"/>
  <c r="K2218" i="6"/>
  <c r="M2218" i="6"/>
  <c r="M2219" i="6"/>
  <c r="K2220" i="6"/>
  <c r="M2220" i="6"/>
  <c r="K2221" i="6"/>
  <c r="M2221" i="6"/>
  <c r="K2222" i="6"/>
  <c r="M2222" i="6"/>
  <c r="M2223" i="6"/>
  <c r="K2224" i="6"/>
  <c r="M2224" i="6"/>
  <c r="K2225" i="6"/>
  <c r="M2225" i="6"/>
  <c r="K2226" i="6"/>
  <c r="M2226" i="6"/>
  <c r="M2227" i="6"/>
  <c r="K2228" i="6"/>
  <c r="M2228" i="6"/>
  <c r="K2229" i="6"/>
  <c r="M2229" i="6"/>
  <c r="K2230" i="6"/>
  <c r="M2230" i="6"/>
  <c r="M2231" i="6"/>
  <c r="K2232" i="6"/>
  <c r="M2232" i="6"/>
  <c r="K2233" i="6"/>
  <c r="M2233" i="6"/>
  <c r="K2234" i="6"/>
  <c r="M2234" i="6"/>
  <c r="M2235" i="6"/>
  <c r="K2236" i="6"/>
  <c r="M2236" i="6"/>
  <c r="K2237" i="6"/>
  <c r="M2237" i="6"/>
  <c r="K2238" i="6"/>
  <c r="M2238" i="6"/>
  <c r="M2239" i="6"/>
  <c r="K2240" i="6"/>
  <c r="M2240" i="6"/>
  <c r="K2241" i="6"/>
  <c r="M2241" i="6"/>
  <c r="K2242" i="6"/>
  <c r="M2242" i="6"/>
  <c r="M2243" i="6"/>
  <c r="K2244" i="6"/>
  <c r="M2244" i="6"/>
  <c r="K2245" i="6"/>
  <c r="M2245" i="6"/>
  <c r="K2246" i="6"/>
  <c r="M2246" i="6"/>
  <c r="M2247" i="6"/>
  <c r="K2248" i="6"/>
  <c r="M2248" i="6"/>
  <c r="K2249" i="6"/>
  <c r="M2249" i="6"/>
  <c r="K2250" i="6"/>
  <c r="M2250" i="6"/>
  <c r="M2251" i="6"/>
  <c r="K2252" i="6"/>
  <c r="M2252" i="6"/>
  <c r="K2253" i="6"/>
  <c r="M2253" i="6"/>
  <c r="K2254" i="6"/>
  <c r="M2254" i="6"/>
  <c r="M2255" i="6"/>
  <c r="K2256" i="6"/>
  <c r="M2256" i="6"/>
  <c r="K2257" i="6"/>
  <c r="M2257" i="6"/>
  <c r="K2258" i="6"/>
  <c r="M2258" i="6"/>
  <c r="M2259" i="6"/>
  <c r="K2260" i="6"/>
  <c r="M2260" i="6"/>
  <c r="K2261" i="6"/>
  <c r="M2261" i="6"/>
  <c r="K2262" i="6"/>
  <c r="M2262" i="6"/>
  <c r="M2263" i="6"/>
  <c r="K2264" i="6"/>
  <c r="M2264" i="6"/>
  <c r="K2265" i="6"/>
  <c r="M2265" i="6"/>
  <c r="K2266" i="6"/>
  <c r="M2266" i="6"/>
  <c r="M2267" i="6"/>
  <c r="K2268" i="6"/>
  <c r="M2268" i="6"/>
  <c r="K2269" i="6"/>
  <c r="M2269" i="6"/>
  <c r="K2270" i="6"/>
  <c r="M2270" i="6"/>
  <c r="M2271" i="6"/>
  <c r="K2272" i="6"/>
  <c r="M2272" i="6"/>
  <c r="K2273" i="6"/>
  <c r="M2273" i="6"/>
  <c r="K2274" i="6"/>
  <c r="M2274" i="6"/>
  <c r="M2275" i="6"/>
  <c r="K2276" i="6"/>
  <c r="M2276" i="6"/>
  <c r="K2277" i="6"/>
  <c r="M2277" i="6"/>
  <c r="K2278" i="6"/>
  <c r="M2278" i="6"/>
  <c r="M2279" i="6"/>
  <c r="K2280" i="6"/>
  <c r="M2280" i="6"/>
  <c r="K2281" i="6"/>
  <c r="M2281" i="6"/>
  <c r="K2282" i="6"/>
  <c r="M2282" i="6"/>
  <c r="M2283" i="6"/>
  <c r="K2284" i="6"/>
  <c r="M2284" i="6"/>
  <c r="K2285" i="6"/>
  <c r="M2285" i="6"/>
  <c r="K2286" i="6"/>
  <c r="M2286" i="6"/>
  <c r="M2287" i="6"/>
  <c r="K2288" i="6"/>
  <c r="M2288" i="6"/>
  <c r="K2289" i="6"/>
  <c r="M2289" i="6"/>
  <c r="K2290" i="6"/>
  <c r="M2290" i="6"/>
  <c r="M2291" i="6"/>
  <c r="K2292" i="6"/>
  <c r="M2292" i="6"/>
  <c r="K2293" i="6"/>
  <c r="M2293" i="6"/>
  <c r="K2294" i="6"/>
  <c r="M2294" i="6"/>
  <c r="M2295" i="6"/>
  <c r="K2296" i="6"/>
  <c r="M2296" i="6"/>
  <c r="K2297" i="6"/>
  <c r="M2297" i="6"/>
  <c r="K2298" i="6"/>
  <c r="M2298" i="6"/>
  <c r="M2299" i="6"/>
  <c r="K2300" i="6"/>
  <c r="M2300" i="6"/>
  <c r="K2301" i="6"/>
  <c r="M2301" i="6"/>
  <c r="K2302" i="6"/>
  <c r="M2302" i="6"/>
  <c r="M2303" i="6"/>
  <c r="K2304" i="6"/>
  <c r="M2304" i="6"/>
  <c r="K2305" i="6"/>
  <c r="M2305" i="6"/>
  <c r="K2306" i="6"/>
  <c r="M2306" i="6"/>
  <c r="M2307" i="6"/>
  <c r="K2308" i="6"/>
  <c r="M2308" i="6"/>
  <c r="K2309" i="6"/>
  <c r="M2309" i="6"/>
  <c r="K2310" i="6"/>
  <c r="M2310" i="6"/>
  <c r="M2311" i="6"/>
  <c r="K2312" i="6"/>
  <c r="M2312" i="6"/>
  <c r="K2313" i="6"/>
  <c r="M2313" i="6"/>
  <c r="K2314" i="6"/>
  <c r="M2314" i="6"/>
  <c r="M2315" i="6"/>
  <c r="K2316" i="6"/>
  <c r="M2316" i="6"/>
  <c r="K2317" i="6"/>
  <c r="M2317" i="6"/>
  <c r="K2318" i="6"/>
  <c r="M2318" i="6"/>
  <c r="M2319" i="6"/>
  <c r="K2320" i="6"/>
  <c r="M2320" i="6"/>
  <c r="K2321" i="6"/>
  <c r="M2321" i="6"/>
  <c r="K2322" i="6"/>
  <c r="M2322" i="6"/>
  <c r="M2323" i="6"/>
  <c r="K2324" i="6"/>
  <c r="M2324" i="6"/>
  <c r="K2325" i="6"/>
  <c r="M2325" i="6"/>
  <c r="K2326" i="6"/>
  <c r="M2326" i="6"/>
  <c r="M2327" i="6"/>
  <c r="K2328" i="6"/>
  <c r="M2328" i="6"/>
  <c r="K2329" i="6"/>
  <c r="M2329" i="6"/>
  <c r="K2330" i="6"/>
  <c r="M2330" i="6"/>
  <c r="M2331" i="6"/>
  <c r="K2332" i="6"/>
  <c r="M2332" i="6"/>
  <c r="K2333" i="6"/>
  <c r="M2333" i="6"/>
  <c r="K2334" i="6"/>
  <c r="M2334" i="6"/>
  <c r="M2335" i="6"/>
  <c r="K2336" i="6"/>
  <c r="M2336" i="6"/>
  <c r="K2337" i="6"/>
  <c r="M2337" i="6"/>
  <c r="K2338" i="6"/>
  <c r="M2338" i="6"/>
  <c r="M2339" i="6"/>
  <c r="K2340" i="6"/>
  <c r="M2340" i="6"/>
  <c r="K2341" i="6"/>
  <c r="M2341" i="6"/>
  <c r="K2342" i="6"/>
  <c r="M2342" i="6"/>
  <c r="M2343" i="6"/>
  <c r="K2344" i="6"/>
  <c r="M2344" i="6"/>
  <c r="K2345" i="6"/>
  <c r="M2345" i="6"/>
  <c r="K2346" i="6"/>
  <c r="M2346" i="6"/>
  <c r="M2347" i="6"/>
  <c r="K2348" i="6"/>
  <c r="M2348" i="6"/>
  <c r="K2349" i="6"/>
  <c r="M2349" i="6"/>
  <c r="K2350" i="6"/>
  <c r="M2350" i="6"/>
  <c r="M2351" i="6"/>
  <c r="K2352" i="6"/>
  <c r="M2352" i="6"/>
  <c r="K2353" i="6"/>
  <c r="M2353" i="6"/>
  <c r="K2354" i="6"/>
  <c r="M2354" i="6"/>
  <c r="M2355" i="6"/>
  <c r="K2356" i="6"/>
  <c r="M2356" i="6"/>
  <c r="K2357" i="6"/>
  <c r="M2357" i="6"/>
  <c r="K2358" i="6"/>
  <c r="M2358" i="6"/>
  <c r="M2359" i="6"/>
  <c r="K2360" i="6"/>
  <c r="M2360" i="6"/>
  <c r="K2361" i="6"/>
  <c r="M2361" i="6"/>
  <c r="K2362" i="6"/>
  <c r="M2362" i="6"/>
  <c r="M2363" i="6"/>
  <c r="K2364" i="6"/>
  <c r="M2364" i="6"/>
  <c r="K2365" i="6"/>
  <c r="M2365" i="6"/>
  <c r="K2366" i="6"/>
  <c r="M2366" i="6"/>
  <c r="M2367" i="6"/>
  <c r="K2368" i="6"/>
  <c r="M2368" i="6"/>
  <c r="K2369" i="6"/>
  <c r="M2369" i="6"/>
  <c r="K2370" i="6"/>
  <c r="M2370" i="6"/>
  <c r="M2371" i="6"/>
  <c r="K2372" i="6"/>
  <c r="M2372" i="6"/>
  <c r="K2373" i="6"/>
  <c r="M2373" i="6"/>
  <c r="K2374" i="6"/>
  <c r="M2374" i="6"/>
  <c r="M2375" i="6"/>
  <c r="K2376" i="6"/>
  <c r="M2376" i="6"/>
  <c r="K2377" i="6"/>
  <c r="M2377" i="6"/>
  <c r="K2378" i="6"/>
  <c r="M2378" i="6"/>
  <c r="M2379" i="6"/>
  <c r="K2380" i="6"/>
  <c r="M2380" i="6"/>
  <c r="K2381" i="6"/>
  <c r="M2381" i="6"/>
  <c r="K2382" i="6"/>
  <c r="M2382" i="6"/>
  <c r="M2383" i="6"/>
  <c r="K2384" i="6"/>
  <c r="M2384" i="6"/>
  <c r="K2385" i="6"/>
  <c r="M2385" i="6"/>
  <c r="K2386" i="6"/>
  <c r="M2386" i="6"/>
  <c r="M2387" i="6"/>
  <c r="K2388" i="6"/>
  <c r="M2388" i="6"/>
  <c r="K2389" i="6"/>
  <c r="M2389" i="6"/>
  <c r="K2390" i="6"/>
  <c r="M2390" i="6"/>
  <c r="M2391" i="6"/>
  <c r="K2392" i="6"/>
  <c r="M2392" i="6"/>
  <c r="K2393" i="6"/>
  <c r="M2393" i="6"/>
  <c r="K2394" i="6"/>
  <c r="M2394" i="6"/>
  <c r="M2395" i="6"/>
  <c r="K2396" i="6"/>
  <c r="M2396" i="6"/>
  <c r="K2397" i="6"/>
  <c r="M2397" i="6"/>
  <c r="K2398" i="6"/>
  <c r="M2398" i="6"/>
  <c r="M2399" i="6"/>
  <c r="K2400" i="6"/>
  <c r="M2400" i="6"/>
  <c r="K2401" i="6"/>
  <c r="M2401" i="6"/>
  <c r="K2402" i="6"/>
  <c r="M2402" i="6"/>
  <c r="M2403" i="6"/>
  <c r="K2404" i="6"/>
  <c r="M2404" i="6"/>
  <c r="K2405" i="6"/>
  <c r="M2405" i="6"/>
  <c r="K2406" i="6"/>
  <c r="M2406" i="6"/>
  <c r="M2407" i="6"/>
  <c r="K2408" i="6"/>
  <c r="M2408" i="6"/>
  <c r="K2409" i="6"/>
  <c r="M2409" i="6"/>
  <c r="K2410" i="6"/>
  <c r="M2410" i="6"/>
  <c r="M2411" i="6"/>
  <c r="K2412" i="6"/>
  <c r="M2412" i="6"/>
  <c r="K2413" i="6"/>
  <c r="M2413" i="6"/>
  <c r="K2414" i="6"/>
  <c r="M2414" i="6"/>
  <c r="M2415" i="6"/>
  <c r="K2416" i="6"/>
  <c r="M2416" i="6"/>
  <c r="K2417" i="6"/>
  <c r="M2417" i="6"/>
  <c r="K2418" i="6"/>
  <c r="M2418" i="6"/>
  <c r="M2419" i="6"/>
  <c r="K2420" i="6"/>
  <c r="M2420" i="6"/>
  <c r="K2421" i="6"/>
  <c r="M2421" i="6"/>
  <c r="K2422" i="6"/>
  <c r="M2422" i="6"/>
  <c r="M2423" i="6"/>
  <c r="K2424" i="6"/>
  <c r="M2424" i="6"/>
  <c r="K2425" i="6"/>
  <c r="M2425" i="6"/>
  <c r="K2426" i="6"/>
  <c r="M2426" i="6"/>
  <c r="M2427" i="6"/>
  <c r="K2428" i="6"/>
  <c r="M2428" i="6"/>
  <c r="K2429" i="6"/>
  <c r="M2429" i="6"/>
  <c r="K2430" i="6"/>
  <c r="M2430" i="6"/>
  <c r="M2431" i="6"/>
  <c r="K2432" i="6"/>
  <c r="M2432" i="6"/>
  <c r="K2433" i="6"/>
  <c r="M2433" i="6"/>
  <c r="K2434" i="6"/>
  <c r="M2434" i="6"/>
  <c r="M2435" i="6"/>
  <c r="K2436" i="6"/>
  <c r="M2436" i="6"/>
  <c r="K2437" i="6"/>
  <c r="M2437" i="6"/>
  <c r="K2438" i="6"/>
  <c r="M2438" i="6"/>
  <c r="M2439" i="6"/>
  <c r="K2440" i="6"/>
  <c r="M2440" i="6"/>
  <c r="K2441" i="6"/>
  <c r="M2441" i="6"/>
  <c r="K2442" i="6"/>
  <c r="M2442" i="6"/>
  <c r="M2443" i="6"/>
  <c r="K2444" i="6"/>
  <c r="M2444" i="6"/>
  <c r="K2445" i="6"/>
  <c r="M2445" i="6"/>
  <c r="K2446" i="6"/>
  <c r="M2446" i="6"/>
  <c r="M2447" i="6"/>
  <c r="K2448" i="6"/>
  <c r="M2448" i="6"/>
  <c r="K2449" i="6"/>
  <c r="M2449" i="6"/>
  <c r="K2450" i="6"/>
  <c r="M2450" i="6"/>
  <c r="M2451" i="6"/>
  <c r="K2452" i="6"/>
  <c r="M2452" i="6"/>
  <c r="K2453" i="6"/>
  <c r="M2453" i="6"/>
  <c r="K2454" i="6"/>
  <c r="M2454" i="6"/>
  <c r="M2455" i="6"/>
  <c r="K2456" i="6"/>
  <c r="M2456" i="6"/>
  <c r="K2457" i="6"/>
  <c r="M2457" i="6"/>
  <c r="K2458" i="6"/>
  <c r="M2458" i="6"/>
  <c r="M2459" i="6"/>
  <c r="K2460" i="6"/>
  <c r="M2460" i="6"/>
  <c r="K2461" i="6"/>
  <c r="M2461" i="6"/>
  <c r="K2462" i="6"/>
  <c r="M2462" i="6"/>
  <c r="M2463" i="6"/>
  <c r="K2464" i="6"/>
  <c r="M2464" i="6"/>
  <c r="K2465" i="6"/>
  <c r="M2465" i="6"/>
  <c r="K2466" i="6"/>
  <c r="M2466" i="6"/>
  <c r="M2467" i="6"/>
  <c r="K2468" i="6"/>
  <c r="M2468" i="6"/>
  <c r="K2469" i="6"/>
  <c r="M2469" i="6"/>
  <c r="K2470" i="6"/>
  <c r="M2470" i="6"/>
  <c r="M2471" i="6"/>
  <c r="K2472" i="6"/>
  <c r="M2472" i="6"/>
  <c r="K2473" i="6"/>
  <c r="M2473" i="6"/>
  <c r="K2474" i="6"/>
  <c r="M2474" i="6"/>
  <c r="M2475" i="6"/>
  <c r="K2476" i="6"/>
  <c r="M2476" i="6"/>
  <c r="K2477" i="6"/>
  <c r="M2477" i="6"/>
  <c r="K2478" i="6"/>
  <c r="M2478" i="6"/>
  <c r="M2479" i="6"/>
  <c r="K2480" i="6"/>
  <c r="M2480" i="6"/>
  <c r="K2481" i="6"/>
  <c r="M2481" i="6"/>
  <c r="K2482" i="6"/>
  <c r="M2482" i="6"/>
  <c r="M2483" i="6"/>
  <c r="K2484" i="6"/>
  <c r="M2484" i="6"/>
  <c r="K2485" i="6"/>
  <c r="M2485" i="6"/>
  <c r="K2486" i="6"/>
  <c r="M2486" i="6"/>
  <c r="M2487" i="6"/>
  <c r="K2488" i="6"/>
  <c r="M2488" i="6"/>
  <c r="K2489" i="6"/>
  <c r="M2489" i="6"/>
  <c r="K2490" i="6"/>
  <c r="M2490" i="6"/>
  <c r="M2491" i="6"/>
  <c r="K2492" i="6"/>
  <c r="M2492" i="6"/>
  <c r="K2493" i="6"/>
  <c r="M2493" i="6"/>
  <c r="K2494" i="6"/>
  <c r="M2494" i="6"/>
  <c r="M2495" i="6"/>
  <c r="K2496" i="6"/>
  <c r="M2496" i="6"/>
  <c r="K2497" i="6"/>
  <c r="M2497" i="6"/>
  <c r="K2498" i="6"/>
  <c r="M2498" i="6"/>
  <c r="M2499" i="6"/>
  <c r="K2500" i="6"/>
  <c r="M2500" i="6"/>
  <c r="K2501" i="6"/>
  <c r="M2501" i="6"/>
  <c r="K2502" i="6"/>
  <c r="M2502" i="6"/>
  <c r="M2503" i="6"/>
  <c r="K2504" i="6"/>
  <c r="M2504" i="6"/>
  <c r="K2505" i="6"/>
  <c r="M2505" i="6"/>
  <c r="K2506" i="6"/>
  <c r="M2506" i="6"/>
  <c r="M2507" i="6"/>
  <c r="K2508" i="6"/>
  <c r="M2508" i="6"/>
  <c r="K2509" i="6"/>
  <c r="M2509" i="6"/>
  <c r="K2510" i="6"/>
  <c r="M2510" i="6"/>
  <c r="M2511" i="6"/>
  <c r="K2512" i="6"/>
  <c r="M2512" i="6"/>
  <c r="K2513" i="6"/>
  <c r="M2513" i="6"/>
  <c r="K2514" i="6"/>
  <c r="M2514" i="6"/>
  <c r="M2515" i="6"/>
  <c r="K2516" i="6"/>
  <c r="M2516" i="6"/>
  <c r="K2517" i="6"/>
  <c r="M2517" i="6"/>
  <c r="K2518" i="6"/>
  <c r="M2518" i="6"/>
  <c r="M2519" i="6"/>
  <c r="K2520" i="6"/>
  <c r="M2520" i="6"/>
  <c r="K2521" i="6"/>
  <c r="M2521" i="6"/>
  <c r="K2522" i="6"/>
  <c r="M2522" i="6"/>
  <c r="M2523" i="6"/>
  <c r="K2524" i="6"/>
  <c r="M2524" i="6"/>
  <c r="K2525" i="6"/>
  <c r="M2525" i="6"/>
  <c r="K2526" i="6"/>
  <c r="M2526" i="6"/>
  <c r="M2527" i="6"/>
  <c r="K2528" i="6"/>
  <c r="M2528" i="6"/>
  <c r="K2529" i="6"/>
  <c r="M2529" i="6"/>
  <c r="K2530" i="6"/>
  <c r="M2530" i="6"/>
  <c r="M2531" i="6"/>
  <c r="K2532" i="6"/>
  <c r="M2532" i="6"/>
  <c r="K2533" i="6"/>
  <c r="M2533" i="6"/>
  <c r="K2534" i="6"/>
  <c r="M2534" i="6"/>
  <c r="M2535" i="6"/>
  <c r="K2536" i="6"/>
  <c r="M2536" i="6"/>
  <c r="K2537" i="6"/>
  <c r="M2537" i="6"/>
  <c r="K2538" i="6"/>
  <c r="M2538" i="6"/>
  <c r="M2539" i="6"/>
  <c r="K2540" i="6"/>
  <c r="M2540" i="6"/>
  <c r="K2541" i="6"/>
  <c r="M2541" i="6"/>
  <c r="K2542" i="6"/>
  <c r="M2542" i="6"/>
  <c r="M2543" i="6"/>
  <c r="K2544" i="6"/>
  <c r="M2544" i="6"/>
  <c r="K2545" i="6"/>
  <c r="M2545" i="6"/>
  <c r="K2546" i="6"/>
  <c r="M2546" i="6"/>
  <c r="M2547" i="6"/>
  <c r="K2548" i="6"/>
  <c r="M2548" i="6"/>
  <c r="K2549" i="6"/>
  <c r="M2549" i="6"/>
  <c r="K2550" i="6"/>
  <c r="M2550" i="6"/>
  <c r="M2551" i="6"/>
  <c r="K2552" i="6"/>
  <c r="M2552" i="6"/>
  <c r="K2553" i="6"/>
  <c r="M2553" i="6"/>
  <c r="K2554" i="6"/>
  <c r="M2554" i="6"/>
  <c r="M2555" i="6"/>
  <c r="K2556" i="6"/>
  <c r="M2556" i="6"/>
  <c r="K2557" i="6"/>
  <c r="M2557" i="6"/>
  <c r="K2558" i="6"/>
  <c r="M2558" i="6"/>
  <c r="M2559" i="6"/>
  <c r="K2560" i="6"/>
  <c r="M2560" i="6"/>
  <c r="K2561" i="6"/>
  <c r="M2561" i="6"/>
  <c r="K2562" i="6"/>
  <c r="M2562" i="6"/>
  <c r="M2563" i="6"/>
  <c r="K2564" i="6"/>
  <c r="M2564" i="6"/>
  <c r="K2565" i="6"/>
  <c r="M2565" i="6"/>
  <c r="K2566" i="6"/>
  <c r="M2566" i="6"/>
  <c r="M2567" i="6"/>
  <c r="K2568" i="6"/>
  <c r="M2568" i="6"/>
  <c r="K2569" i="6"/>
  <c r="M2569" i="6"/>
  <c r="K2570" i="6"/>
  <c r="M2570" i="6"/>
  <c r="M2571" i="6"/>
  <c r="K2572" i="6"/>
  <c r="M2572" i="6"/>
  <c r="K2573" i="6"/>
  <c r="M2573" i="6"/>
  <c r="K2574" i="6"/>
  <c r="M2574" i="6"/>
  <c r="M2575" i="6"/>
  <c r="K2576" i="6"/>
  <c r="M2576" i="6"/>
  <c r="K2577" i="6"/>
  <c r="M2577" i="6"/>
  <c r="K2578" i="6"/>
  <c r="M2578" i="6"/>
  <c r="M2579" i="6"/>
  <c r="K2580" i="6"/>
  <c r="M2580" i="6"/>
  <c r="K2581" i="6"/>
  <c r="M2581" i="6"/>
  <c r="K2582" i="6"/>
  <c r="M2582" i="6"/>
  <c r="M2583" i="6"/>
  <c r="K2584" i="6"/>
  <c r="M2584" i="6"/>
  <c r="K2585" i="6"/>
  <c r="M2585" i="6"/>
  <c r="K2586" i="6"/>
  <c r="M2586" i="6"/>
  <c r="M2587" i="6"/>
  <c r="K2588" i="6"/>
  <c r="M2588" i="6"/>
  <c r="K2589" i="6"/>
  <c r="M2589" i="6"/>
  <c r="K2590" i="6"/>
  <c r="M2590" i="6"/>
  <c r="M2591" i="6"/>
  <c r="K2592" i="6"/>
  <c r="M2592" i="6"/>
  <c r="K2593" i="6"/>
  <c r="M2593" i="6"/>
  <c r="K2594" i="6"/>
  <c r="M2594" i="6"/>
  <c r="M2595" i="6"/>
  <c r="K2596" i="6"/>
  <c r="M2596" i="6"/>
  <c r="K2597" i="6"/>
  <c r="M2597" i="6"/>
  <c r="K2598" i="6"/>
  <c r="M2598" i="6"/>
  <c r="M2599" i="6"/>
  <c r="K2600" i="6"/>
  <c r="M2600" i="6"/>
  <c r="K2601" i="6"/>
  <c r="M2601" i="6"/>
  <c r="K2602" i="6"/>
  <c r="M2602" i="6"/>
  <c r="M2603" i="6"/>
  <c r="K2604" i="6"/>
  <c r="M2604" i="6"/>
  <c r="K2605" i="6"/>
  <c r="M2605" i="6"/>
  <c r="K2606" i="6"/>
  <c r="M2606" i="6"/>
  <c r="M2607" i="6"/>
  <c r="K2608" i="6"/>
  <c r="M2608" i="6"/>
  <c r="K2609" i="6"/>
  <c r="M2609" i="6"/>
  <c r="K2610" i="6"/>
  <c r="M2610" i="6"/>
  <c r="M2611" i="6"/>
  <c r="K2612" i="6"/>
  <c r="M2612" i="6"/>
  <c r="K2613" i="6"/>
  <c r="M2613" i="6"/>
  <c r="K2614" i="6"/>
  <c r="M2614" i="6"/>
  <c r="M2615" i="6"/>
  <c r="K2616" i="6"/>
  <c r="M2616" i="6"/>
  <c r="K2617" i="6"/>
  <c r="M2617" i="6"/>
  <c r="K2618" i="6"/>
  <c r="M2618" i="6"/>
  <c r="M2619" i="6"/>
  <c r="K2620" i="6"/>
  <c r="M2620" i="6"/>
  <c r="K2621" i="6"/>
  <c r="M2621" i="6"/>
  <c r="K2622" i="6"/>
  <c r="M2622" i="6"/>
  <c r="M2623" i="6"/>
  <c r="K2624" i="6"/>
  <c r="M2624" i="6"/>
  <c r="K2625" i="6"/>
  <c r="M2625" i="6"/>
  <c r="K2626" i="6"/>
  <c r="M2626" i="6"/>
  <c r="M2627" i="6"/>
  <c r="K2628" i="6"/>
  <c r="M2628" i="6"/>
  <c r="K2629" i="6"/>
  <c r="M2629" i="6"/>
  <c r="K2630" i="6"/>
  <c r="M2630" i="6"/>
  <c r="M2631" i="6"/>
  <c r="K2632" i="6"/>
  <c r="M2632" i="6"/>
  <c r="K2633" i="6"/>
  <c r="M2633" i="6"/>
  <c r="K2634" i="6"/>
  <c r="M2634" i="6"/>
  <c r="M2635" i="6"/>
  <c r="K2636" i="6"/>
  <c r="M2636" i="6"/>
  <c r="K2637" i="6"/>
  <c r="M2637" i="6"/>
  <c r="K2638" i="6"/>
  <c r="M2638" i="6"/>
  <c r="M2639" i="6"/>
  <c r="K2640" i="6"/>
  <c r="M2640" i="6"/>
  <c r="K2641" i="6"/>
  <c r="M2641" i="6"/>
  <c r="K2642" i="6"/>
  <c r="M2642" i="6"/>
  <c r="M2643" i="6"/>
  <c r="K2644" i="6"/>
  <c r="M2644" i="6"/>
  <c r="K2645" i="6"/>
  <c r="M2645" i="6"/>
  <c r="K2646" i="6"/>
  <c r="M2646" i="6"/>
  <c r="M2647" i="6"/>
  <c r="K2648" i="6"/>
  <c r="M2648" i="6"/>
  <c r="K2649" i="6"/>
  <c r="M2649" i="6"/>
  <c r="K2650" i="6"/>
  <c r="M2650" i="6"/>
  <c r="M2651" i="6"/>
  <c r="K2652" i="6"/>
  <c r="M2652" i="6"/>
  <c r="K2653" i="6"/>
  <c r="M2653" i="6"/>
  <c r="K2654" i="6"/>
  <c r="M2654" i="6"/>
  <c r="M2655" i="6"/>
  <c r="K2656" i="6"/>
  <c r="M2656" i="6"/>
  <c r="K2657" i="6"/>
  <c r="M2657" i="6"/>
  <c r="K2658" i="6"/>
  <c r="M2658" i="6"/>
  <c r="M2659" i="6"/>
  <c r="K2660" i="6"/>
  <c r="M2660" i="6"/>
  <c r="K2661" i="6"/>
  <c r="M2661" i="6"/>
  <c r="K2662" i="6"/>
  <c r="M2662" i="6"/>
  <c r="M2663" i="6"/>
  <c r="K2664" i="6"/>
  <c r="M2664" i="6"/>
  <c r="K2665" i="6"/>
  <c r="M2665" i="6"/>
  <c r="K2666" i="6"/>
  <c r="M2666" i="6"/>
  <c r="M2667" i="6"/>
  <c r="K2668" i="6"/>
  <c r="M2668" i="6"/>
  <c r="K2669" i="6"/>
  <c r="M2669" i="6"/>
  <c r="K2670" i="6"/>
  <c r="M2670" i="6"/>
  <c r="M2671" i="6"/>
  <c r="K2672" i="6"/>
  <c r="M2672" i="6"/>
  <c r="K2673" i="6"/>
  <c r="M2673" i="6"/>
  <c r="K2674" i="6"/>
  <c r="M2674" i="6"/>
  <c r="M2675" i="6"/>
  <c r="K2676" i="6"/>
  <c r="M2676" i="6"/>
  <c r="K2677" i="6"/>
  <c r="M2677" i="6"/>
  <c r="K2678" i="6"/>
  <c r="M2678" i="6"/>
  <c r="M2679" i="6"/>
  <c r="K2680" i="6"/>
  <c r="M2680" i="6"/>
  <c r="K2681" i="6"/>
  <c r="M2681" i="6"/>
  <c r="K2682" i="6"/>
  <c r="M2682" i="6"/>
  <c r="M2683" i="6"/>
  <c r="K2684" i="6"/>
  <c r="M2684" i="6"/>
  <c r="K2685" i="6"/>
  <c r="M2685" i="6"/>
  <c r="K2686" i="6"/>
  <c r="M2686" i="6"/>
  <c r="M2687" i="6"/>
  <c r="K2688" i="6"/>
  <c r="M2688" i="6"/>
  <c r="K2689" i="6"/>
  <c r="M2689" i="6"/>
  <c r="K2690" i="6"/>
  <c r="M2690" i="6"/>
  <c r="M2691" i="6"/>
  <c r="K2692" i="6"/>
  <c r="M2692" i="6"/>
  <c r="K2693" i="6"/>
  <c r="M2693" i="6"/>
  <c r="K2694" i="6"/>
  <c r="M2694" i="6"/>
  <c r="M2695" i="6"/>
  <c r="K2696" i="6"/>
  <c r="M2696" i="6"/>
  <c r="K2697" i="6"/>
  <c r="M2697" i="6"/>
  <c r="K2698" i="6"/>
  <c r="M2698" i="6"/>
  <c r="M2699" i="6"/>
  <c r="K2700" i="6"/>
  <c r="M2700" i="6"/>
  <c r="K2701" i="6"/>
  <c r="M2701" i="6"/>
  <c r="K2702" i="6"/>
  <c r="M2702" i="6"/>
  <c r="M2703" i="6"/>
  <c r="K2704" i="6"/>
  <c r="M2704" i="6"/>
  <c r="K2705" i="6"/>
  <c r="M2705" i="6"/>
  <c r="K2706" i="6"/>
  <c r="M2706" i="6"/>
  <c r="M2707" i="6"/>
  <c r="K2708" i="6"/>
  <c r="M2708" i="6"/>
  <c r="K2709" i="6"/>
  <c r="M2709" i="6"/>
  <c r="K2710" i="6"/>
  <c r="M2710" i="6"/>
  <c r="M2711" i="6"/>
  <c r="K2712" i="6"/>
  <c r="M2712" i="6"/>
  <c r="K2713" i="6"/>
  <c r="M2713" i="6"/>
  <c r="K2714" i="6"/>
  <c r="M2714" i="6"/>
  <c r="M2715" i="6"/>
  <c r="K2716" i="6"/>
  <c r="M2716" i="6"/>
  <c r="K2717" i="6"/>
  <c r="M2717" i="6"/>
  <c r="K2718" i="6"/>
  <c r="M2718" i="6"/>
  <c r="M2719" i="6"/>
  <c r="K2720" i="6"/>
  <c r="M2720" i="6"/>
  <c r="K2721" i="6"/>
  <c r="M2721" i="6"/>
  <c r="K2722" i="6"/>
  <c r="M2722" i="6"/>
  <c r="M2723" i="6"/>
  <c r="K2724" i="6"/>
  <c r="M2724" i="6"/>
  <c r="K2725" i="6"/>
  <c r="M2725" i="6"/>
  <c r="K2726" i="6"/>
  <c r="M2726" i="6"/>
  <c r="M2727" i="6"/>
  <c r="K2728" i="6"/>
  <c r="M2728" i="6"/>
  <c r="K2729" i="6"/>
  <c r="M2729" i="6"/>
  <c r="K2730" i="6"/>
  <c r="M2730" i="6"/>
  <c r="M2731" i="6"/>
  <c r="K2732" i="6"/>
  <c r="M2732" i="6"/>
  <c r="K2733" i="6"/>
  <c r="M2733" i="6"/>
  <c r="K2734" i="6"/>
  <c r="M2734" i="6"/>
  <c r="M2735" i="6"/>
  <c r="K2736" i="6"/>
  <c r="M2736" i="6"/>
  <c r="K2737" i="6"/>
  <c r="M2737" i="6"/>
  <c r="K2738" i="6"/>
  <c r="M2738" i="6"/>
  <c r="M2739" i="6"/>
  <c r="K2740" i="6"/>
  <c r="M2740" i="6"/>
  <c r="K2741" i="6"/>
  <c r="M2741" i="6"/>
  <c r="K2742" i="6"/>
  <c r="M2742" i="6"/>
  <c r="M2743" i="6"/>
  <c r="K2744" i="6"/>
  <c r="M2744" i="6"/>
  <c r="K2745" i="6"/>
  <c r="M2745" i="6"/>
  <c r="K2746" i="6"/>
  <c r="M2746" i="6"/>
  <c r="M2747" i="6"/>
  <c r="K2748" i="6"/>
  <c r="M2748" i="6"/>
  <c r="K2749" i="6"/>
  <c r="M2749" i="6"/>
  <c r="K2750" i="6"/>
  <c r="M2750" i="6"/>
  <c r="M2751" i="6"/>
  <c r="K2752" i="6"/>
  <c r="M2752" i="6"/>
  <c r="K2753" i="6"/>
  <c r="M2753" i="6"/>
  <c r="K2754" i="6"/>
  <c r="M2754" i="6"/>
  <c r="M2755" i="6"/>
  <c r="K2756" i="6"/>
  <c r="M2756" i="6"/>
  <c r="K2757" i="6"/>
  <c r="M2757" i="6"/>
  <c r="K2758" i="6"/>
  <c r="M2758" i="6"/>
  <c r="M2759" i="6"/>
  <c r="K2760" i="6"/>
  <c r="M2760" i="6"/>
  <c r="K2761" i="6"/>
  <c r="M2761" i="6"/>
  <c r="K2762" i="6"/>
  <c r="M2762" i="6"/>
  <c r="M2763" i="6"/>
  <c r="K2764" i="6"/>
  <c r="M2764" i="6"/>
  <c r="K2765" i="6"/>
  <c r="M2765" i="6"/>
  <c r="K2766" i="6"/>
  <c r="M2766" i="6"/>
  <c r="M2767" i="6"/>
  <c r="K2768" i="6"/>
  <c r="M2768" i="6"/>
  <c r="K2769" i="6"/>
  <c r="M2769" i="6"/>
  <c r="K2770" i="6"/>
  <c r="M2770" i="6"/>
  <c r="M2771" i="6"/>
  <c r="K2772" i="6"/>
  <c r="M2772" i="6"/>
  <c r="K2773" i="6"/>
  <c r="M2773" i="6"/>
  <c r="K2774" i="6"/>
  <c r="M2774" i="6"/>
  <c r="M2775" i="6"/>
  <c r="K2776" i="6"/>
  <c r="M2776" i="6"/>
  <c r="K2777" i="6"/>
  <c r="M2777" i="6"/>
  <c r="K2778" i="6"/>
  <c r="M2778" i="6"/>
  <c r="M2779" i="6"/>
  <c r="K2780" i="6"/>
  <c r="M2780" i="6"/>
  <c r="K2781" i="6"/>
  <c r="M2781" i="6"/>
  <c r="K2782" i="6"/>
  <c r="M2782" i="6"/>
  <c r="M2783" i="6"/>
  <c r="K2784" i="6"/>
  <c r="M2784" i="6"/>
  <c r="K2785" i="6"/>
  <c r="M2785" i="6"/>
  <c r="K2786" i="6"/>
  <c r="M2786" i="6"/>
  <c r="M2787" i="6"/>
  <c r="K2788" i="6"/>
  <c r="M2788" i="6"/>
  <c r="K2789" i="6"/>
  <c r="M2789" i="6"/>
  <c r="K2790" i="6"/>
  <c r="M2790" i="6"/>
  <c r="M2791" i="6"/>
  <c r="K2792" i="6"/>
  <c r="M2792" i="6"/>
  <c r="K2793" i="6"/>
  <c r="M2793" i="6"/>
  <c r="K2794" i="6"/>
  <c r="M2794" i="6"/>
  <c r="M2795" i="6"/>
  <c r="K2796" i="6"/>
  <c r="M2796" i="6"/>
  <c r="K2797" i="6"/>
  <c r="M2797" i="6"/>
  <c r="K2798" i="6"/>
  <c r="M2798" i="6"/>
  <c r="M2799" i="6"/>
  <c r="K2800" i="6"/>
  <c r="M2800" i="6"/>
  <c r="K2801" i="6"/>
  <c r="M2801" i="6"/>
  <c r="K2802" i="6"/>
  <c r="M2802" i="6"/>
  <c r="M2803" i="6"/>
  <c r="K2804" i="6"/>
  <c r="M2804" i="6"/>
  <c r="K2805" i="6"/>
  <c r="M2805" i="6"/>
  <c r="K2806" i="6"/>
  <c r="M2806" i="6"/>
  <c r="M2807" i="6"/>
  <c r="K2808" i="6"/>
  <c r="M2808" i="6"/>
  <c r="K2809" i="6"/>
  <c r="M2809" i="6"/>
  <c r="K2810" i="6"/>
  <c r="M2810" i="6"/>
  <c r="M2811" i="6"/>
  <c r="K2812" i="6"/>
  <c r="M2812" i="6"/>
  <c r="K2813" i="6"/>
  <c r="M2813" i="6"/>
  <c r="K2814" i="6"/>
  <c r="M2814" i="6"/>
  <c r="M2815" i="6"/>
  <c r="K2816" i="6"/>
  <c r="M2816" i="6"/>
  <c r="K2817" i="6"/>
  <c r="M2817" i="6"/>
  <c r="K2818" i="6"/>
  <c r="M2818" i="6"/>
  <c r="M2819" i="6"/>
  <c r="K2820" i="6"/>
  <c r="M2820" i="6"/>
  <c r="K2821" i="6"/>
  <c r="M2821" i="6"/>
  <c r="K2822" i="6"/>
  <c r="M2822" i="6"/>
  <c r="M2823" i="6"/>
  <c r="K2824" i="6"/>
  <c r="M2824" i="6"/>
  <c r="K2825" i="6"/>
  <c r="M2825" i="6"/>
  <c r="K2826" i="6"/>
  <c r="M2826" i="6"/>
  <c r="M2827" i="6"/>
  <c r="K2828" i="6"/>
  <c r="M2828" i="6"/>
  <c r="K2829" i="6"/>
  <c r="M2829" i="6"/>
  <c r="K2830" i="6"/>
  <c r="M2830" i="6"/>
  <c r="M2831" i="6"/>
  <c r="K2832" i="6"/>
  <c r="M2832" i="6"/>
  <c r="K2833" i="6"/>
  <c r="M2833" i="6"/>
  <c r="K2834" i="6"/>
  <c r="M2834" i="6"/>
  <c r="M2835" i="6"/>
  <c r="K2836" i="6"/>
  <c r="M2836" i="6"/>
  <c r="K2837" i="6"/>
  <c r="M2837" i="6"/>
  <c r="K2838" i="6"/>
  <c r="M2838" i="6"/>
  <c r="M2839" i="6"/>
  <c r="K2840" i="6"/>
  <c r="M2840" i="6"/>
  <c r="K2841" i="6"/>
  <c r="M2841" i="6"/>
  <c r="K2842" i="6"/>
  <c r="M2842" i="6"/>
  <c r="M2843" i="6"/>
  <c r="K2844" i="6"/>
  <c r="M2844" i="6"/>
  <c r="K2845" i="6"/>
  <c r="M2845" i="6"/>
  <c r="K2846" i="6"/>
  <c r="M2846" i="6"/>
  <c r="M2847" i="6"/>
  <c r="K2848" i="6"/>
  <c r="M2848" i="6"/>
  <c r="K2849" i="6"/>
  <c r="M2849" i="6"/>
  <c r="K2850" i="6"/>
  <c r="M2850" i="6"/>
  <c r="M2851" i="6"/>
  <c r="K2852" i="6"/>
  <c r="M2852" i="6"/>
  <c r="K2853" i="6"/>
  <c r="M2853" i="6"/>
  <c r="K2854" i="6"/>
  <c r="M2854" i="6"/>
  <c r="M2855" i="6"/>
  <c r="K2856" i="6"/>
  <c r="M2856" i="6"/>
  <c r="K2857" i="6"/>
  <c r="M2857" i="6"/>
  <c r="K2858" i="6"/>
  <c r="M2858" i="6"/>
  <c r="M2859" i="6"/>
  <c r="K2860" i="6"/>
  <c r="M2860" i="6"/>
  <c r="K2861" i="6"/>
  <c r="M2861" i="6"/>
  <c r="K2862" i="6"/>
  <c r="M2862" i="6"/>
  <c r="M2863" i="6"/>
  <c r="K2864" i="6"/>
  <c r="M2864" i="6"/>
  <c r="K2865" i="6"/>
  <c r="M2865" i="6"/>
  <c r="K2866" i="6"/>
  <c r="M2866" i="6"/>
  <c r="M2867" i="6"/>
  <c r="K2868" i="6"/>
  <c r="M2868" i="6"/>
  <c r="K2869" i="6"/>
  <c r="M2869" i="6"/>
  <c r="K2870" i="6"/>
  <c r="M2870" i="6"/>
  <c r="M2871" i="6"/>
  <c r="K2872" i="6"/>
  <c r="M2872" i="6"/>
  <c r="K2873" i="6"/>
  <c r="M2873" i="6"/>
  <c r="K2874" i="6"/>
  <c r="M2874" i="6"/>
  <c r="M2875" i="6"/>
  <c r="K2876" i="6"/>
  <c r="M2876" i="6"/>
  <c r="K2877" i="6"/>
  <c r="M2877" i="6"/>
  <c r="K2878" i="6"/>
  <c r="M2878" i="6"/>
  <c r="M2879" i="6"/>
  <c r="K2880" i="6"/>
  <c r="M2880" i="6"/>
  <c r="K2881" i="6"/>
  <c r="M2881" i="6"/>
  <c r="K2882" i="6"/>
  <c r="M2882" i="6"/>
  <c r="M2883" i="6"/>
  <c r="K2884" i="6"/>
  <c r="M2884" i="6"/>
  <c r="K2885" i="6"/>
  <c r="M2885" i="6"/>
  <c r="K2886" i="6"/>
  <c r="M2886" i="6"/>
  <c r="M2887" i="6"/>
  <c r="K2888" i="6"/>
  <c r="M2888" i="6"/>
  <c r="K2889" i="6"/>
  <c r="M2889" i="6"/>
  <c r="K2890" i="6"/>
  <c r="M2890" i="6"/>
  <c r="M2891" i="6"/>
  <c r="K2892" i="6"/>
  <c r="M2892" i="6"/>
  <c r="K2893" i="6"/>
  <c r="M2893" i="6"/>
  <c r="K2894" i="6"/>
  <c r="M2894" i="6"/>
  <c r="M2895" i="6"/>
  <c r="K2896" i="6"/>
  <c r="M2896" i="6"/>
  <c r="K2897" i="6"/>
  <c r="M2897" i="6"/>
  <c r="K2898" i="6"/>
  <c r="M2898" i="6"/>
  <c r="M2899" i="6"/>
  <c r="K2900" i="6"/>
  <c r="M2900" i="6"/>
  <c r="K2901" i="6"/>
  <c r="M2901" i="6"/>
  <c r="K2902" i="6"/>
  <c r="M2902" i="6"/>
  <c r="M2903" i="6"/>
  <c r="K2904" i="6"/>
  <c r="M2904" i="6"/>
  <c r="K2905" i="6"/>
  <c r="M2905" i="6"/>
  <c r="K2906" i="6"/>
  <c r="M2906" i="6"/>
  <c r="M2907" i="6"/>
  <c r="K2908" i="6"/>
  <c r="M2908" i="6"/>
  <c r="K2909" i="6"/>
  <c r="M2909" i="6"/>
  <c r="K2910" i="6"/>
  <c r="M2910" i="6"/>
  <c r="M2911" i="6"/>
  <c r="K2912" i="6"/>
  <c r="M2912" i="6"/>
  <c r="K2913" i="6"/>
  <c r="M2913" i="6"/>
  <c r="K2914" i="6"/>
  <c r="M2914" i="6"/>
  <c r="M2915" i="6"/>
  <c r="K2916" i="6"/>
  <c r="M2916" i="6"/>
  <c r="K2917" i="6"/>
  <c r="M2917" i="6"/>
  <c r="K2918" i="6"/>
  <c r="M2918" i="6"/>
  <c r="M2919" i="6"/>
  <c r="K2920" i="6"/>
  <c r="M2920" i="6"/>
  <c r="K2921" i="6"/>
  <c r="M2921" i="6"/>
  <c r="K2922" i="6"/>
  <c r="M2922" i="6"/>
  <c r="M2923" i="6"/>
  <c r="K2924" i="6"/>
  <c r="M2924" i="6"/>
  <c r="K2925" i="6"/>
  <c r="M2925" i="6"/>
  <c r="K2926" i="6"/>
  <c r="M2926" i="6"/>
  <c r="M2927" i="6"/>
  <c r="K2928" i="6"/>
  <c r="M2928" i="6"/>
  <c r="K2929" i="6"/>
  <c r="M2929" i="6"/>
  <c r="K2930" i="6"/>
  <c r="M2930" i="6"/>
  <c r="M2931" i="6"/>
  <c r="K2932" i="6"/>
  <c r="M2932" i="6"/>
  <c r="K2933" i="6"/>
  <c r="M2933" i="6"/>
  <c r="K2934" i="6"/>
  <c r="M2934" i="6"/>
  <c r="M2935" i="6"/>
  <c r="K2936" i="6"/>
  <c r="M2936" i="6"/>
  <c r="K2937" i="6"/>
  <c r="M2937" i="6"/>
  <c r="K2938" i="6"/>
  <c r="M2938" i="6"/>
  <c r="M2939" i="6"/>
  <c r="K2940" i="6"/>
  <c r="M2940" i="6"/>
  <c r="K2941" i="6"/>
  <c r="M2941" i="6"/>
  <c r="K2942" i="6"/>
  <c r="M2942" i="6"/>
  <c r="M2943" i="6"/>
  <c r="K2944" i="6"/>
  <c r="M2944" i="6"/>
  <c r="K2945" i="6"/>
  <c r="M2945" i="6"/>
  <c r="K2946" i="6"/>
  <c r="M2946" i="6"/>
  <c r="M2947" i="6"/>
  <c r="K2948" i="6"/>
  <c r="M2948" i="6"/>
  <c r="K2949" i="6"/>
  <c r="M2949" i="6"/>
  <c r="K2950" i="6"/>
  <c r="M2950" i="6"/>
  <c r="M2951" i="6"/>
  <c r="K2952" i="6"/>
  <c r="M2952" i="6"/>
  <c r="K2953" i="6"/>
  <c r="M2953" i="6"/>
  <c r="K2954" i="6"/>
  <c r="M2954" i="6"/>
  <c r="M2955" i="6"/>
  <c r="K2956" i="6"/>
  <c r="M2956" i="6"/>
  <c r="K2957" i="6"/>
  <c r="M2957" i="6"/>
  <c r="K2958" i="6"/>
  <c r="M2958" i="6"/>
  <c r="M2959" i="6"/>
  <c r="K2960" i="6"/>
  <c r="M2960" i="6"/>
  <c r="K2961" i="6"/>
  <c r="M2961" i="6"/>
  <c r="K2962" i="6"/>
  <c r="M2962" i="6"/>
  <c r="M2963" i="6"/>
  <c r="K2964" i="6"/>
  <c r="M2964" i="6"/>
  <c r="K2965" i="6"/>
  <c r="M2965" i="6"/>
  <c r="K2966" i="6"/>
  <c r="M2966" i="6"/>
  <c r="M2967" i="6"/>
  <c r="K2968" i="6"/>
  <c r="M2968" i="6"/>
  <c r="K2969" i="6"/>
  <c r="M2969" i="6"/>
  <c r="K2970" i="6"/>
  <c r="M2970" i="6"/>
  <c r="M2971" i="6"/>
  <c r="K2972" i="6"/>
  <c r="M2972" i="6"/>
  <c r="K2973" i="6"/>
  <c r="M2973" i="6"/>
  <c r="K2974" i="6"/>
  <c r="M2974" i="6"/>
  <c r="M2975" i="6"/>
  <c r="K2976" i="6"/>
  <c r="M2976" i="6"/>
  <c r="K2977" i="6"/>
  <c r="M2977" i="6"/>
  <c r="K2978" i="6"/>
  <c r="M2978" i="6"/>
  <c r="M2979" i="6"/>
  <c r="K2980" i="6"/>
  <c r="M2980" i="6"/>
  <c r="K2981" i="6"/>
  <c r="M2981" i="6"/>
  <c r="K2982" i="6"/>
  <c r="M2982" i="6"/>
  <c r="M2983" i="6"/>
  <c r="K2984" i="6"/>
  <c r="M2984" i="6"/>
  <c r="K2985" i="6"/>
  <c r="M2985" i="6"/>
  <c r="K2986" i="6"/>
  <c r="M2986" i="6"/>
  <c r="M2987" i="6"/>
  <c r="K2988" i="6"/>
  <c r="M2988" i="6"/>
  <c r="K2989" i="6"/>
  <c r="M2989" i="6"/>
  <c r="K2990" i="6"/>
  <c r="M2990" i="6"/>
  <c r="M2991" i="6"/>
  <c r="K2992" i="6"/>
  <c r="M2992" i="6"/>
  <c r="K2993" i="6"/>
  <c r="M2993" i="6"/>
  <c r="K2994" i="6"/>
  <c r="M2994" i="6"/>
  <c r="M2995" i="6"/>
  <c r="K2996" i="6"/>
  <c r="M2996" i="6"/>
  <c r="K2997" i="6"/>
  <c r="M2997" i="6"/>
  <c r="K2998" i="6"/>
  <c r="M2998" i="6"/>
  <c r="M2999" i="6"/>
  <c r="K3000" i="6"/>
  <c r="M3000" i="6"/>
  <c r="K3001" i="6"/>
  <c r="M3001" i="6"/>
  <c r="K3002" i="6"/>
  <c r="M3002" i="6"/>
  <c r="M3003" i="6"/>
  <c r="K3004" i="6"/>
  <c r="M3004" i="6"/>
  <c r="L3" i="6"/>
  <c r="L5" i="6"/>
  <c r="N5" i="6" s="1"/>
  <c r="L7" i="6"/>
  <c r="L9" i="6"/>
  <c r="N9" i="6" s="1"/>
  <c r="L11" i="6"/>
  <c r="L12" i="6"/>
  <c r="N12" i="6" s="1"/>
  <c r="L13" i="6"/>
  <c r="N13" i="6" s="1"/>
  <c r="L15" i="6"/>
  <c r="L17" i="6"/>
  <c r="N17" i="6" s="1"/>
  <c r="L19" i="6"/>
  <c r="L21" i="6"/>
  <c r="N21" i="6" s="1"/>
  <c r="L23" i="6"/>
  <c r="L25" i="6"/>
  <c r="N25" i="6" s="1"/>
  <c r="L27" i="6"/>
  <c r="N27" i="6" s="1"/>
  <c r="L28" i="6"/>
  <c r="N28" i="6" s="1"/>
  <c r="L29" i="6"/>
  <c r="L31" i="6"/>
  <c r="N31" i="6" s="1"/>
  <c r="L33" i="6"/>
  <c r="L35" i="6"/>
  <c r="N35" i="6" s="1"/>
  <c r="L37" i="6"/>
  <c r="L39" i="6"/>
  <c r="N39" i="6" s="1"/>
  <c r="L41" i="6"/>
  <c r="L43" i="6"/>
  <c r="N43" i="6" s="1"/>
  <c r="L44" i="6"/>
  <c r="N44" i="6" s="1"/>
  <c r="L45" i="6"/>
  <c r="L46" i="6"/>
  <c r="N46" i="6" s="1"/>
  <c r="L50" i="6"/>
  <c r="N50" i="6" s="1"/>
  <c r="L54" i="6"/>
  <c r="N54" i="6" s="1"/>
  <c r="L58" i="6"/>
  <c r="N58" i="6" s="1"/>
  <c r="L63" i="6"/>
  <c r="L67" i="6"/>
  <c r="L71" i="6"/>
  <c r="L73" i="6"/>
  <c r="N73" i="6" s="1"/>
  <c r="L75" i="6"/>
  <c r="L76" i="6"/>
  <c r="N76" i="6" s="1"/>
  <c r="L80" i="6"/>
  <c r="N80" i="6" s="1"/>
  <c r="L83" i="6"/>
  <c r="L84" i="6"/>
  <c r="N84" i="6" s="1"/>
  <c r="L86" i="6"/>
  <c r="L88" i="6"/>
  <c r="N88" i="6" s="1"/>
  <c r="L90" i="6"/>
  <c r="N90" i="6" s="1"/>
  <c r="L91" i="6"/>
  <c r="L93" i="6"/>
  <c r="N93" i="6" s="1"/>
  <c r="L94" i="6"/>
  <c r="N94" i="6" s="1"/>
  <c r="L95" i="6"/>
  <c r="L97" i="6"/>
  <c r="N97" i="6" s="1"/>
  <c r="L99" i="6"/>
  <c r="L101" i="6"/>
  <c r="N101" i="6" s="1"/>
  <c r="L103" i="6"/>
  <c r="L105" i="6"/>
  <c r="N105" i="6" s="1"/>
  <c r="L106" i="6"/>
  <c r="N106" i="6" s="1"/>
  <c r="L107" i="6"/>
  <c r="L109" i="6"/>
  <c r="L111" i="6"/>
  <c r="L113" i="6"/>
  <c r="L115" i="6"/>
  <c r="L117" i="6"/>
  <c r="L119" i="6"/>
  <c r="L121" i="6"/>
  <c r="L122" i="6"/>
  <c r="L123" i="6"/>
  <c r="N123" i="6" s="1"/>
  <c r="L125" i="6"/>
  <c r="L127" i="6"/>
  <c r="N127" i="6" s="1"/>
  <c r="L129" i="6"/>
  <c r="L131" i="6"/>
  <c r="N131" i="6" s="1"/>
  <c r="L133" i="6"/>
  <c r="N133" i="6" s="1"/>
  <c r="N134" i="6"/>
  <c r="L135" i="6"/>
  <c r="L137" i="6"/>
  <c r="N137" i="6" s="1"/>
  <c r="L139" i="6"/>
  <c r="L141" i="6"/>
  <c r="N141" i="6" s="1"/>
  <c r="L143" i="6"/>
  <c r="L145" i="6"/>
  <c r="N145" i="6" s="1"/>
  <c r="L146" i="6"/>
  <c r="L147" i="6"/>
  <c r="L149" i="6"/>
  <c r="N149" i="6" s="1"/>
  <c r="L151" i="6"/>
  <c r="L153" i="6"/>
  <c r="L154" i="6"/>
  <c r="L155" i="6"/>
  <c r="L157" i="6"/>
  <c r="L159" i="6"/>
  <c r="N159" i="6" s="1"/>
  <c r="L161" i="6"/>
  <c r="L163" i="6"/>
  <c r="N163" i="6" s="1"/>
  <c r="L165" i="6"/>
  <c r="N166" i="6"/>
  <c r="L167" i="6"/>
  <c r="L169" i="6"/>
  <c r="L170" i="6"/>
  <c r="L171" i="6"/>
  <c r="L173" i="6"/>
  <c r="L175" i="6"/>
  <c r="L177" i="6"/>
  <c r="L178" i="6"/>
  <c r="N178" i="6" s="1"/>
  <c r="L179" i="6"/>
  <c r="N179" i="6" s="1"/>
  <c r="L181" i="6"/>
  <c r="L182" i="6"/>
  <c r="N182" i="6" s="1"/>
  <c r="L183" i="6"/>
  <c r="N183" i="6" s="1"/>
  <c r="L185" i="6"/>
  <c r="L186" i="6"/>
  <c r="N186" i="6" s="1"/>
  <c r="L187" i="6"/>
  <c r="N187" i="6" s="1"/>
  <c r="L189" i="6"/>
  <c r="L190" i="6"/>
  <c r="N190" i="6" s="1"/>
  <c r="L191" i="6"/>
  <c r="N191" i="6" s="1"/>
  <c r="L193" i="6"/>
  <c r="L195" i="6"/>
  <c r="N195" i="6" s="1"/>
  <c r="L197" i="6"/>
  <c r="L199" i="6"/>
  <c r="N199" i="6" s="1"/>
  <c r="L201" i="6"/>
  <c r="L202" i="6"/>
  <c r="L203" i="6"/>
  <c r="N203" i="6" s="1"/>
  <c r="L205" i="6"/>
  <c r="L207" i="6"/>
  <c r="N207" i="6" s="1"/>
  <c r="L209" i="6"/>
  <c r="L210" i="6"/>
  <c r="N210" i="6" s="1"/>
  <c r="L211" i="6"/>
  <c r="N211" i="6" s="1"/>
  <c r="L213" i="6"/>
  <c r="L214" i="6"/>
  <c r="N214" i="6" s="1"/>
  <c r="L215" i="6"/>
  <c r="N215" i="6" s="1"/>
  <c r="L217" i="6"/>
  <c r="L218" i="6"/>
  <c r="N218" i="6" s="1"/>
  <c r="L219" i="6"/>
  <c r="N219" i="6" s="1"/>
  <c r="L221" i="6"/>
  <c r="L222" i="6"/>
  <c r="N222" i="6" s="1"/>
  <c r="L223" i="6"/>
  <c r="N223" i="6" s="1"/>
  <c r="L225" i="6"/>
  <c r="L227" i="6"/>
  <c r="N227" i="6" s="1"/>
  <c r="L229" i="6"/>
  <c r="L230" i="6"/>
  <c r="N230" i="6" s="1"/>
  <c r="L231" i="6"/>
  <c r="L233" i="6"/>
  <c r="L234" i="6"/>
  <c r="N234" i="6" s="1"/>
  <c r="L235" i="6"/>
  <c r="N235" i="6" s="1"/>
  <c r="L237" i="6"/>
  <c r="L238" i="6"/>
  <c r="N238" i="6" s="1"/>
  <c r="L239" i="6"/>
  <c r="L241" i="6"/>
  <c r="L242" i="6"/>
  <c r="N242" i="6" s="1"/>
  <c r="L243" i="6"/>
  <c r="N243" i="6" s="1"/>
  <c r="L245" i="6"/>
  <c r="L246" i="6"/>
  <c r="N246" i="6" s="1"/>
  <c r="L247" i="6"/>
  <c r="N247" i="6" s="1"/>
  <c r="L249" i="6"/>
  <c r="L250" i="6"/>
  <c r="L251" i="6"/>
  <c r="N251" i="6" s="1"/>
  <c r="L253" i="6"/>
  <c r="L255" i="6"/>
  <c r="N255" i="6" s="1"/>
  <c r="L257" i="6"/>
  <c r="L259" i="6"/>
  <c r="N259" i="6" s="1"/>
  <c r="L261" i="6"/>
  <c r="L262" i="6"/>
  <c r="N262" i="6" s="1"/>
  <c r="L263" i="6"/>
  <c r="N263" i="6" s="1"/>
  <c r="L265" i="6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L277" i="6"/>
  <c r="N277" i="6" s="1"/>
  <c r="L278" i="6"/>
  <c r="N278" i="6" s="1"/>
  <c r="L279" i="6"/>
  <c r="L281" i="6"/>
  <c r="N281" i="6" s="1"/>
  <c r="L282" i="6"/>
  <c r="N282" i="6" s="1"/>
  <c r="L283" i="6"/>
  <c r="N283" i="6" s="1"/>
  <c r="L285" i="6"/>
  <c r="L286" i="6"/>
  <c r="N286" i="6" s="1"/>
  <c r="L287" i="6"/>
  <c r="N287" i="6" s="1"/>
  <c r="L289" i="6"/>
  <c r="L291" i="6"/>
  <c r="N291" i="6" s="1"/>
  <c r="L293" i="6"/>
  <c r="L294" i="6"/>
  <c r="L295" i="6"/>
  <c r="L297" i="6"/>
  <c r="N297" i="6" s="1"/>
  <c r="L299" i="6"/>
  <c r="L301" i="6"/>
  <c r="N301" i="6" s="1"/>
  <c r="L302" i="6"/>
  <c r="L303" i="6"/>
  <c r="L305" i="6"/>
  <c r="N305" i="6" s="1"/>
  <c r="L307" i="6"/>
  <c r="L309" i="6"/>
  <c r="N309" i="6" s="1"/>
  <c r="L311" i="6"/>
  <c r="L313" i="6"/>
  <c r="N313" i="6" s="1"/>
  <c r="L315" i="6"/>
  <c r="L317" i="6"/>
  <c r="N317" i="6" s="1"/>
  <c r="L319" i="6"/>
  <c r="L321" i="6"/>
  <c r="N321" i="6" s="1"/>
  <c r="L323" i="6"/>
  <c r="L325" i="6"/>
  <c r="N325" i="6" s="1"/>
  <c r="L326" i="6"/>
  <c r="N326" i="6" s="1"/>
  <c r="L327" i="6"/>
  <c r="L329" i="6"/>
  <c r="N329" i="6" s="1"/>
  <c r="L331" i="6"/>
  <c r="L333" i="6"/>
  <c r="N333" i="6" s="1"/>
  <c r="L334" i="6"/>
  <c r="L335" i="6"/>
  <c r="L337" i="6"/>
  <c r="N337" i="6" s="1"/>
  <c r="L339" i="6"/>
  <c r="N339" i="6" s="1"/>
  <c r="L341" i="6"/>
  <c r="L343" i="6"/>
  <c r="L345" i="6"/>
  <c r="L347" i="6"/>
  <c r="N347" i="6" s="1"/>
  <c r="L349" i="6"/>
  <c r="L351" i="6"/>
  <c r="L353" i="6"/>
  <c r="L355" i="6"/>
  <c r="L357" i="6"/>
  <c r="L358" i="6"/>
  <c r="N358" i="6" s="1"/>
  <c r="L359" i="6"/>
  <c r="L361" i="6"/>
  <c r="L363" i="6"/>
  <c r="N363" i="6" s="1"/>
  <c r="L365" i="6"/>
  <c r="L366" i="6"/>
  <c r="L367" i="6"/>
  <c r="L369" i="6"/>
  <c r="L371" i="6"/>
  <c r="L373" i="6"/>
  <c r="L375" i="6"/>
  <c r="N375" i="6" s="1"/>
  <c r="L377" i="6"/>
  <c r="L379" i="6"/>
  <c r="N379" i="6" s="1"/>
  <c r="L381" i="6"/>
  <c r="L383" i="6"/>
  <c r="N383" i="6" s="1"/>
  <c r="L385" i="6"/>
  <c r="L387" i="6"/>
  <c r="N387" i="6" s="1"/>
  <c r="L389" i="6"/>
  <c r="L390" i="6"/>
  <c r="N390" i="6" s="1"/>
  <c r="L391" i="6"/>
  <c r="N391" i="6" s="1"/>
  <c r="L393" i="6"/>
  <c r="L395" i="6"/>
  <c r="N395" i="6" s="1"/>
  <c r="L397" i="6"/>
  <c r="L398" i="6"/>
  <c r="L399" i="6"/>
  <c r="N399" i="6" s="1"/>
  <c r="L401" i="6"/>
  <c r="L403" i="6"/>
  <c r="N403" i="6" s="1"/>
  <c r="L405" i="6"/>
  <c r="L407" i="6"/>
  <c r="N407" i="6" s="1"/>
  <c r="L409" i="6"/>
  <c r="L411" i="6"/>
  <c r="L413" i="6"/>
  <c r="N413" i="6" s="1"/>
  <c r="L414" i="6"/>
  <c r="N414" i="6" s="1"/>
  <c r="L415" i="6"/>
  <c r="L417" i="6"/>
  <c r="N417" i="6" s="1"/>
  <c r="L419" i="6"/>
  <c r="L421" i="6"/>
  <c r="N421" i="6" s="1"/>
  <c r="L422" i="6"/>
  <c r="L423" i="6"/>
  <c r="L425" i="6"/>
  <c r="N425" i="6" s="1"/>
  <c r="L427" i="6"/>
  <c r="L429" i="6"/>
  <c r="N429" i="6" s="1"/>
  <c r="L430" i="6"/>
  <c r="N430" i="6" s="1"/>
  <c r="L431" i="6"/>
  <c r="L433" i="6"/>
  <c r="N433" i="6" s="1"/>
  <c r="L434" i="6"/>
  <c r="N434" i="6" s="1"/>
  <c r="L435" i="6"/>
  <c r="L437" i="6"/>
  <c r="N437" i="6" s="1"/>
  <c r="L438" i="6"/>
  <c r="N438" i="6" s="1"/>
  <c r="L439" i="6"/>
  <c r="L441" i="6"/>
  <c r="L443" i="6"/>
  <c r="N443" i="6" s="1"/>
  <c r="L445" i="6"/>
  <c r="L446" i="6"/>
  <c r="L447" i="6"/>
  <c r="N447" i="6" s="1"/>
  <c r="L448" i="6"/>
  <c r="N448" i="6" s="1"/>
  <c r="L449" i="6"/>
  <c r="L451" i="6"/>
  <c r="N451" i="6" s="1"/>
  <c r="L453" i="6"/>
  <c r="L454" i="6"/>
  <c r="L455" i="6"/>
  <c r="N455" i="6" s="1"/>
  <c r="L457" i="6"/>
  <c r="L459" i="6"/>
  <c r="N459" i="6" s="1"/>
  <c r="L461" i="6"/>
  <c r="L462" i="6"/>
  <c r="L463" i="6"/>
  <c r="N463" i="6" s="1"/>
  <c r="L465" i="6"/>
  <c r="L467" i="6"/>
  <c r="N467" i="6" s="1"/>
  <c r="L469" i="6"/>
  <c r="L471" i="6"/>
  <c r="N471" i="6" s="1"/>
  <c r="L473" i="6"/>
  <c r="L474" i="6"/>
  <c r="N474" i="6" s="1"/>
  <c r="L475" i="6"/>
  <c r="N475" i="6" s="1"/>
  <c r="L477" i="6"/>
  <c r="L478" i="6"/>
  <c r="N478" i="6" s="1"/>
  <c r="L479" i="6"/>
  <c r="N479" i="6" s="1"/>
  <c r="L481" i="6"/>
  <c r="L482" i="6"/>
  <c r="N482" i="6" s="1"/>
  <c r="L483" i="6"/>
  <c r="N483" i="6" s="1"/>
  <c r="L485" i="6"/>
  <c r="L487" i="6"/>
  <c r="N487" i="6" s="1"/>
  <c r="L489" i="6"/>
  <c r="L491" i="6"/>
  <c r="N491" i="6" s="1"/>
  <c r="L493" i="6"/>
  <c r="L495" i="6"/>
  <c r="N495" i="6" s="1"/>
  <c r="L497" i="6"/>
  <c r="L499" i="6"/>
  <c r="N499" i="6" s="1"/>
  <c r="L500" i="6"/>
  <c r="N500" i="6" s="1"/>
  <c r="L501" i="6"/>
  <c r="L503" i="6"/>
  <c r="N503" i="6" s="1"/>
  <c r="L505" i="6"/>
  <c r="L506" i="6"/>
  <c r="N506" i="6" s="1"/>
  <c r="L507" i="6"/>
  <c r="N507" i="6" s="1"/>
  <c r="L509" i="6"/>
  <c r="L510" i="6"/>
  <c r="N510" i="6" s="1"/>
  <c r="L511" i="6"/>
  <c r="N511" i="6" s="1"/>
  <c r="L513" i="6"/>
  <c r="L514" i="6"/>
  <c r="N514" i="6" s="1"/>
  <c r="L515" i="6"/>
  <c r="N515" i="6" s="1"/>
  <c r="L517" i="6"/>
  <c r="L518" i="6"/>
  <c r="N518" i="6" s="1"/>
  <c r="L519" i="6"/>
  <c r="N519" i="6" s="1"/>
  <c r="L521" i="6"/>
  <c r="L522" i="6"/>
  <c r="N522" i="6" s="1"/>
  <c r="L523" i="6"/>
  <c r="L525" i="6"/>
  <c r="L526" i="6"/>
  <c r="N526" i="6" s="1"/>
  <c r="L527" i="6"/>
  <c r="N527" i="6" s="1"/>
  <c r="L529" i="6"/>
  <c r="L530" i="6"/>
  <c r="N530" i="6" s="1"/>
  <c r="L531" i="6"/>
  <c r="L533" i="6"/>
  <c r="L534" i="6"/>
  <c r="N534" i="6" s="1"/>
  <c r="L535" i="6"/>
  <c r="L537" i="6"/>
  <c r="L538" i="6"/>
  <c r="N538" i="6" s="1"/>
  <c r="L539" i="6"/>
  <c r="L541" i="6"/>
  <c r="L542" i="6"/>
  <c r="N542" i="6" s="1"/>
  <c r="L543" i="6"/>
  <c r="N543" i="6" s="1"/>
  <c r="L545" i="6"/>
  <c r="L546" i="6"/>
  <c r="N546" i="6" s="1"/>
  <c r="L547" i="6"/>
  <c r="L549" i="6"/>
  <c r="L550" i="6"/>
  <c r="N550" i="6" s="1"/>
  <c r="L551" i="6"/>
  <c r="L553" i="6"/>
  <c r="L554" i="6"/>
  <c r="N554" i="6" s="1"/>
  <c r="L555" i="6"/>
  <c r="L557" i="6"/>
  <c r="N557" i="6" s="1"/>
  <c r="L558" i="6"/>
  <c r="N558" i="6" s="1"/>
  <c r="L559" i="6"/>
  <c r="N559" i="6" s="1"/>
  <c r="L561" i="6"/>
  <c r="L562" i="6"/>
  <c r="N562" i="6" s="1"/>
  <c r="L563" i="6"/>
  <c r="N563" i="6" s="1"/>
  <c r="L565" i="6"/>
  <c r="L566" i="6"/>
  <c r="N566" i="6" s="1"/>
  <c r="L567" i="6"/>
  <c r="N567" i="6" s="1"/>
  <c r="L569" i="6"/>
  <c r="L570" i="6"/>
  <c r="N570" i="6" s="1"/>
  <c r="L571" i="6"/>
  <c r="N571" i="6" s="1"/>
  <c r="L573" i="6"/>
  <c r="L574" i="6"/>
  <c r="N574" i="6" s="1"/>
  <c r="L575" i="6"/>
  <c r="N575" i="6" s="1"/>
  <c r="L577" i="6"/>
  <c r="L578" i="6"/>
  <c r="N578" i="6" s="1"/>
  <c r="L579" i="6"/>
  <c r="N579" i="6" s="1"/>
  <c r="L581" i="6"/>
  <c r="L582" i="6"/>
  <c r="N582" i="6" s="1"/>
  <c r="L583" i="6"/>
  <c r="N583" i="6" s="1"/>
  <c r="L585" i="6"/>
  <c r="L587" i="6"/>
  <c r="N587" i="6" s="1"/>
  <c r="L589" i="6"/>
  <c r="L591" i="6"/>
  <c r="N591" i="6" s="1"/>
  <c r="L593" i="6"/>
  <c r="L594" i="6"/>
  <c r="N594" i="6" s="1"/>
  <c r="L595" i="6"/>
  <c r="N595" i="6" s="1"/>
  <c r="L597" i="6"/>
  <c r="L598" i="6"/>
  <c r="N598" i="6" s="1"/>
  <c r="L599" i="6"/>
  <c r="N599" i="6" s="1"/>
  <c r="L601" i="6"/>
  <c r="L602" i="6"/>
  <c r="N602" i="6" s="1"/>
  <c r="L603" i="6"/>
  <c r="L605" i="6"/>
  <c r="N605" i="6" s="1"/>
  <c r="L606" i="6"/>
  <c r="N606" i="6" s="1"/>
  <c r="L607" i="6"/>
  <c r="L609" i="6"/>
  <c r="N609" i="6" s="1"/>
  <c r="L610" i="6"/>
  <c r="N610" i="6" s="1"/>
  <c r="L611" i="6"/>
  <c r="L613" i="6"/>
  <c r="N613" i="6" s="1"/>
  <c r="L614" i="6"/>
  <c r="N614" i="6" s="1"/>
  <c r="L615" i="6"/>
  <c r="L617" i="6"/>
  <c r="N617" i="6" s="1"/>
  <c r="L618" i="6"/>
  <c r="N618" i="6" s="1"/>
  <c r="L619" i="6"/>
  <c r="L621" i="6"/>
  <c r="N621" i="6" s="1"/>
  <c r="L622" i="6"/>
  <c r="N622" i="6" s="1"/>
  <c r="L623" i="6"/>
  <c r="L625" i="6"/>
  <c r="N625" i="6" s="1"/>
  <c r="L627" i="6"/>
  <c r="L629" i="6"/>
  <c r="N629" i="6" s="1"/>
  <c r="L631" i="6"/>
  <c r="L633" i="6"/>
  <c r="N633" i="6" s="1"/>
  <c r="L635" i="6"/>
  <c r="L637" i="6"/>
  <c r="N637" i="6" s="1"/>
  <c r="L639" i="6"/>
  <c r="L641" i="6"/>
  <c r="N641" i="6" s="1"/>
  <c r="L643" i="6"/>
  <c r="L645" i="6"/>
  <c r="N645" i="6" s="1"/>
  <c r="L646" i="6"/>
  <c r="N646" i="6" s="1"/>
  <c r="L647" i="6"/>
  <c r="L649" i="6"/>
  <c r="N649" i="6" s="1"/>
  <c r="L650" i="6"/>
  <c r="N650" i="6" s="1"/>
  <c r="L651" i="6"/>
  <c r="L653" i="6"/>
  <c r="N653" i="6" s="1"/>
  <c r="L654" i="6"/>
  <c r="N654" i="6" s="1"/>
  <c r="L655" i="6"/>
  <c r="L657" i="6"/>
  <c r="N657" i="6" s="1"/>
  <c r="L659" i="6"/>
  <c r="L661" i="6"/>
  <c r="N661" i="6" s="1"/>
  <c r="L663" i="6"/>
  <c r="L665" i="6"/>
  <c r="N665" i="6" s="1"/>
  <c r="L666" i="6"/>
  <c r="N666" i="6" s="1"/>
  <c r="L667" i="6"/>
  <c r="L669" i="6"/>
  <c r="N669" i="6" s="1"/>
  <c r="L670" i="6"/>
  <c r="N670" i="6" s="1"/>
  <c r="L671" i="6"/>
  <c r="L673" i="6"/>
  <c r="N673" i="6" s="1"/>
  <c r="L674" i="6"/>
  <c r="N674" i="6" s="1"/>
  <c r="L675" i="6"/>
  <c r="L677" i="6"/>
  <c r="N677" i="6" s="1"/>
  <c r="L678" i="6"/>
  <c r="N678" i="6" s="1"/>
  <c r="L679" i="6"/>
  <c r="L681" i="6"/>
  <c r="N681" i="6" s="1"/>
  <c r="L682" i="6"/>
  <c r="N682" i="6" s="1"/>
  <c r="L683" i="6"/>
  <c r="L685" i="6"/>
  <c r="N685" i="6" s="1"/>
  <c r="L686" i="6"/>
  <c r="N686" i="6" s="1"/>
  <c r="L687" i="6"/>
  <c r="L689" i="6"/>
  <c r="N689" i="6" s="1"/>
  <c r="L690" i="6"/>
  <c r="N690" i="6" s="1"/>
  <c r="L691" i="6"/>
  <c r="L693" i="6"/>
  <c r="N693" i="6" s="1"/>
  <c r="L694" i="6"/>
  <c r="N694" i="6" s="1"/>
  <c r="L695" i="6"/>
  <c r="L697" i="6"/>
  <c r="N697" i="6" s="1"/>
  <c r="L698" i="6"/>
  <c r="N698" i="6" s="1"/>
  <c r="L699" i="6"/>
  <c r="L701" i="6"/>
  <c r="N701" i="6" s="1"/>
  <c r="L702" i="6"/>
  <c r="N702" i="6" s="1"/>
  <c r="L703" i="6"/>
  <c r="L705" i="6"/>
  <c r="N705" i="6" s="1"/>
  <c r="L706" i="6"/>
  <c r="N706" i="6" s="1"/>
  <c r="L707" i="6"/>
  <c r="L709" i="6"/>
  <c r="N709" i="6" s="1"/>
  <c r="L711" i="6"/>
  <c r="L713" i="6"/>
  <c r="N713" i="6" s="1"/>
  <c r="L714" i="6"/>
  <c r="N714" i="6" s="1"/>
  <c r="L715" i="6"/>
  <c r="L717" i="6"/>
  <c r="N717" i="6" s="1"/>
  <c r="L718" i="6"/>
  <c r="N718" i="6" s="1"/>
  <c r="L719" i="6"/>
  <c r="L721" i="6"/>
  <c r="N721" i="6" s="1"/>
  <c r="L722" i="6"/>
  <c r="N722" i="6" s="1"/>
  <c r="L723" i="6"/>
  <c r="L725" i="6"/>
  <c r="N725" i="6" s="1"/>
  <c r="L726" i="6"/>
  <c r="N726" i="6" s="1"/>
  <c r="L727" i="6"/>
  <c r="L729" i="6"/>
  <c r="N729" i="6" s="1"/>
  <c r="L730" i="6"/>
  <c r="N730" i="6" s="1"/>
  <c r="L731" i="6"/>
  <c r="L733" i="6"/>
  <c r="N733" i="6" s="1"/>
  <c r="L734" i="6"/>
  <c r="N734" i="6" s="1"/>
  <c r="L735" i="6"/>
  <c r="L737" i="6"/>
  <c r="N737" i="6" s="1"/>
  <c r="L738" i="6"/>
  <c r="N738" i="6" s="1"/>
  <c r="L739" i="6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L753" i="6"/>
  <c r="N753" i="6" s="1"/>
  <c r="L754" i="6"/>
  <c r="N754" i="6" s="1"/>
  <c r="L755" i="6"/>
  <c r="L757" i="6"/>
  <c r="N757" i="6" s="1"/>
  <c r="L758" i="6"/>
  <c r="N758" i="6" s="1"/>
  <c r="L759" i="6"/>
  <c r="L761" i="6"/>
  <c r="N761" i="6" s="1"/>
  <c r="L762" i="6"/>
  <c r="N762" i="6" s="1"/>
  <c r="L763" i="6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L777" i="6"/>
  <c r="N777" i="6" s="1"/>
  <c r="L778" i="6"/>
  <c r="N778" i="6" s="1"/>
  <c r="L779" i="6"/>
  <c r="L781" i="6"/>
  <c r="N781" i="6" s="1"/>
  <c r="L782" i="6"/>
  <c r="N782" i="6" s="1"/>
  <c r="L783" i="6"/>
  <c r="L785" i="6"/>
  <c r="N785" i="6" s="1"/>
  <c r="L786" i="6"/>
  <c r="N786" i="6" s="1"/>
  <c r="L787" i="6"/>
  <c r="N787" i="6" s="1"/>
  <c r="L789" i="6"/>
  <c r="L790" i="6"/>
  <c r="N790" i="6" s="1"/>
  <c r="L791" i="6"/>
  <c r="N791" i="6" s="1"/>
  <c r="L793" i="6"/>
  <c r="L794" i="6"/>
  <c r="N794" i="6" s="1"/>
  <c r="L795" i="6"/>
  <c r="N795" i="6" s="1"/>
  <c r="L797" i="6"/>
  <c r="L798" i="6"/>
  <c r="N798" i="6" s="1"/>
  <c r="L799" i="6"/>
  <c r="N799" i="6" s="1"/>
  <c r="L800" i="6"/>
  <c r="N800" i="6" s="1"/>
  <c r="L801" i="6"/>
  <c r="L802" i="6"/>
  <c r="N802" i="6" s="1"/>
  <c r="L803" i="6"/>
  <c r="N803" i="6" s="1"/>
  <c r="L804" i="6"/>
  <c r="N804" i="6" s="1"/>
  <c r="L806" i="6"/>
  <c r="N806" i="6" s="1"/>
  <c r="L807" i="6"/>
  <c r="N807" i="6" s="1"/>
  <c r="L808" i="6"/>
  <c r="N808" i="6" s="1"/>
  <c r="L810" i="6"/>
  <c r="N810" i="6" s="1"/>
  <c r="L811" i="6"/>
  <c r="N811" i="6" s="1"/>
  <c r="L812" i="6"/>
  <c r="N812" i="6" s="1"/>
  <c r="L814" i="6"/>
  <c r="N814" i="6" s="1"/>
  <c r="L815" i="6"/>
  <c r="N815" i="6" s="1"/>
  <c r="L816" i="6"/>
  <c r="N816" i="6" s="1"/>
  <c r="L818" i="6"/>
  <c r="N818" i="6" s="1"/>
  <c r="L819" i="6"/>
  <c r="L820" i="6"/>
  <c r="N820" i="6" s="1"/>
  <c r="L822" i="6"/>
  <c r="N822" i="6" s="1"/>
  <c r="L823" i="6"/>
  <c r="N823" i="6" s="1"/>
  <c r="L824" i="6"/>
  <c r="N824" i="6" s="1"/>
  <c r="L826" i="6"/>
  <c r="N826" i="6" s="1"/>
  <c r="L827" i="6"/>
  <c r="N827" i="6" s="1"/>
  <c r="L828" i="6"/>
  <c r="N828" i="6" s="1"/>
  <c r="L830" i="6"/>
  <c r="N830" i="6" s="1"/>
  <c r="L831" i="6"/>
  <c r="L832" i="6"/>
  <c r="N832" i="6" s="1"/>
  <c r="L834" i="6"/>
  <c r="N834" i="6" s="1"/>
  <c r="L835" i="6"/>
  <c r="L836" i="6"/>
  <c r="N836" i="6" s="1"/>
  <c r="L838" i="6"/>
  <c r="N838" i="6" s="1"/>
  <c r="L839" i="6"/>
  <c r="L840" i="6"/>
  <c r="N840" i="6" s="1"/>
  <c r="L842" i="6"/>
  <c r="N842" i="6" s="1"/>
  <c r="L843" i="6"/>
  <c r="N843" i="6" s="1"/>
  <c r="L844" i="6"/>
  <c r="N844" i="6" s="1"/>
  <c r="L846" i="6"/>
  <c r="N846" i="6" s="1"/>
  <c r="L847" i="6"/>
  <c r="L848" i="6"/>
  <c r="N848" i="6" s="1"/>
  <c r="L850" i="6"/>
  <c r="N850" i="6" s="1"/>
  <c r="L851" i="6"/>
  <c r="N851" i="6" s="1"/>
  <c r="L852" i="6"/>
  <c r="N852" i="6" s="1"/>
  <c r="L854" i="6"/>
  <c r="N854" i="6" s="1"/>
  <c r="L855" i="6"/>
  <c r="L856" i="6"/>
  <c r="N856" i="6" s="1"/>
  <c r="L858" i="6"/>
  <c r="N858" i="6" s="1"/>
  <c r="L859" i="6"/>
  <c r="L860" i="6"/>
  <c r="N860" i="6" s="1"/>
  <c r="L862" i="6"/>
  <c r="N862" i="6" s="1"/>
  <c r="L863" i="6"/>
  <c r="L864" i="6"/>
  <c r="N864" i="6" s="1"/>
  <c r="L866" i="6"/>
  <c r="N866" i="6" s="1"/>
  <c r="L867" i="6"/>
  <c r="N867" i="6" s="1"/>
  <c r="L868" i="6"/>
  <c r="N868" i="6" s="1"/>
  <c r="L870" i="6"/>
  <c r="N870" i="6" s="1"/>
  <c r="L871" i="6"/>
  <c r="L872" i="6"/>
  <c r="N872" i="6" s="1"/>
  <c r="L874" i="6"/>
  <c r="N874" i="6" s="1"/>
  <c r="L875" i="6"/>
  <c r="N875" i="6" s="1"/>
  <c r="L876" i="6"/>
  <c r="N876" i="6" s="1"/>
  <c r="L878" i="6"/>
  <c r="N878" i="6" s="1"/>
  <c r="L879" i="6"/>
  <c r="L880" i="6"/>
  <c r="N880" i="6" s="1"/>
  <c r="L882" i="6"/>
  <c r="N882" i="6" s="1"/>
  <c r="L883" i="6"/>
  <c r="L884" i="6"/>
  <c r="N884" i="6" s="1"/>
  <c r="L886" i="6"/>
  <c r="N886" i="6" s="1"/>
  <c r="L887" i="6"/>
  <c r="N887" i="6" s="1"/>
  <c r="L888" i="6"/>
  <c r="N888" i="6" s="1"/>
  <c r="L890" i="6"/>
  <c r="N890" i="6" s="1"/>
  <c r="L891" i="6"/>
  <c r="N891" i="6" s="1"/>
  <c r="L892" i="6"/>
  <c r="N892" i="6" s="1"/>
  <c r="L894" i="6"/>
  <c r="N894" i="6" s="1"/>
  <c r="L895" i="6"/>
  <c r="N895" i="6" s="1"/>
  <c r="L896" i="6"/>
  <c r="N896" i="6" s="1"/>
  <c r="L898" i="6"/>
  <c r="N898" i="6" s="1"/>
  <c r="L899" i="6"/>
  <c r="N899" i="6" s="1"/>
  <c r="L900" i="6"/>
  <c r="N900" i="6" s="1"/>
  <c r="L902" i="6"/>
  <c r="N902" i="6" s="1"/>
  <c r="L903" i="6"/>
  <c r="N903" i="6" s="1"/>
  <c r="L904" i="6"/>
  <c r="N904" i="6" s="1"/>
  <c r="L906" i="6"/>
  <c r="N906" i="6" s="1"/>
  <c r="L907" i="6"/>
  <c r="N907" i="6" s="1"/>
  <c r="L908" i="6"/>
  <c r="N908" i="6" s="1"/>
  <c r="L910" i="6"/>
  <c r="N910" i="6" s="1"/>
  <c r="L911" i="6"/>
  <c r="N911" i="6" s="1"/>
  <c r="L912" i="6"/>
  <c r="N912" i="6" s="1"/>
  <c r="L914" i="6"/>
  <c r="N914" i="6" s="1"/>
  <c r="L915" i="6"/>
  <c r="N915" i="6" s="1"/>
  <c r="L916" i="6"/>
  <c r="N916" i="6" s="1"/>
  <c r="L918" i="6"/>
  <c r="N918" i="6" s="1"/>
  <c r="L919" i="6"/>
  <c r="L920" i="6"/>
  <c r="N920" i="6" s="1"/>
  <c r="L922" i="6"/>
  <c r="N922" i="6" s="1"/>
  <c r="L923" i="6"/>
  <c r="N923" i="6" s="1"/>
  <c r="L924" i="6"/>
  <c r="N924" i="6" s="1"/>
  <c r="L926" i="6"/>
  <c r="N926" i="6" s="1"/>
  <c r="L927" i="6"/>
  <c r="N927" i="6" s="1"/>
  <c r="L928" i="6"/>
  <c r="N928" i="6" s="1"/>
  <c r="L930" i="6"/>
  <c r="N930" i="6" s="1"/>
  <c r="L931" i="6"/>
  <c r="N931" i="6" s="1"/>
  <c r="L932" i="6"/>
  <c r="N932" i="6" s="1"/>
  <c r="L934" i="6"/>
  <c r="N934" i="6" s="1"/>
  <c r="L935" i="6"/>
  <c r="N935" i="6" s="1"/>
  <c r="L936" i="6"/>
  <c r="N936" i="6" s="1"/>
  <c r="L938" i="6"/>
  <c r="N938" i="6" s="1"/>
  <c r="L939" i="6"/>
  <c r="N939" i="6" s="1"/>
  <c r="L940" i="6"/>
  <c r="N940" i="6" s="1"/>
  <c r="L942" i="6"/>
  <c r="N942" i="6" s="1"/>
  <c r="L943" i="6"/>
  <c r="N943" i="6" s="1"/>
  <c r="L944" i="6"/>
  <c r="N944" i="6" s="1"/>
  <c r="L946" i="6"/>
  <c r="N946" i="6" s="1"/>
  <c r="L948" i="6"/>
  <c r="N948" i="6" s="1"/>
  <c r="L950" i="6"/>
  <c r="N950" i="6" s="1"/>
  <c r="L952" i="6"/>
  <c r="N952" i="6" s="1"/>
  <c r="L954" i="6"/>
  <c r="N954" i="6" s="1"/>
  <c r="L956" i="6"/>
  <c r="N956" i="6" s="1"/>
  <c r="L958" i="6"/>
  <c r="N958" i="6" s="1"/>
  <c r="L960" i="6"/>
  <c r="N960" i="6" s="1"/>
  <c r="L962" i="6"/>
  <c r="N962" i="6" s="1"/>
  <c r="L964" i="6"/>
  <c r="N964" i="6" s="1"/>
  <c r="L966" i="6"/>
  <c r="N966" i="6" s="1"/>
  <c r="L967" i="6"/>
  <c r="N967" i="6" s="1"/>
  <c r="L968" i="6"/>
  <c r="N968" i="6" s="1"/>
  <c r="L970" i="6"/>
  <c r="N970" i="6" s="1"/>
  <c r="L971" i="6"/>
  <c r="L972" i="6"/>
  <c r="N972" i="6" s="1"/>
  <c r="L974" i="6"/>
  <c r="N974" i="6" s="1"/>
  <c r="L975" i="6"/>
  <c r="N975" i="6" s="1"/>
  <c r="L976" i="6"/>
  <c r="N976" i="6" s="1"/>
  <c r="L978" i="6"/>
  <c r="N978" i="6" s="1"/>
  <c r="L980" i="6"/>
  <c r="N980" i="6" s="1"/>
  <c r="L981" i="6"/>
  <c r="L982" i="6"/>
  <c r="N982" i="6" s="1"/>
  <c r="L983" i="6"/>
  <c r="N983" i="6" s="1"/>
  <c r="L984" i="6"/>
  <c r="N984" i="6" s="1"/>
  <c r="L985" i="6"/>
  <c r="L986" i="6"/>
  <c r="N986" i="6" s="1"/>
  <c r="L987" i="6"/>
  <c r="N987" i="6" s="1"/>
  <c r="L988" i="6"/>
  <c r="N988" i="6" s="1"/>
  <c r="L989" i="6"/>
  <c r="N989" i="6" s="1"/>
  <c r="L990" i="6"/>
  <c r="N990" i="6" s="1"/>
  <c r="L991" i="6"/>
  <c r="N991" i="6" s="1"/>
  <c r="L992" i="6"/>
  <c r="N992" i="6" s="1"/>
  <c r="L993" i="6"/>
  <c r="L994" i="6"/>
  <c r="N994" i="6" s="1"/>
  <c r="L995" i="6"/>
  <c r="N995" i="6" s="1"/>
  <c r="L996" i="6"/>
  <c r="N996" i="6" s="1"/>
  <c r="L997" i="6"/>
  <c r="L998" i="6"/>
  <c r="N998" i="6" s="1"/>
  <c r="L1000" i="6"/>
  <c r="N1000" i="6" s="1"/>
  <c r="L1002" i="6"/>
  <c r="N1002" i="6" s="1"/>
  <c r="L1003" i="6"/>
  <c r="L1004" i="6"/>
  <c r="N1004" i="6" s="1"/>
  <c r="L1006" i="6"/>
  <c r="N1006" i="6" s="1"/>
  <c r="L1007" i="6"/>
  <c r="L1008" i="6"/>
  <c r="N1008" i="6" s="1"/>
  <c r="L1010" i="6"/>
  <c r="N1010" i="6" s="1"/>
  <c r="L1011" i="6"/>
  <c r="N1011" i="6" s="1"/>
  <c r="L1012" i="6"/>
  <c r="N1012" i="6" s="1"/>
  <c r="L1014" i="6"/>
  <c r="N1014" i="6" s="1"/>
  <c r="L1015" i="6"/>
  <c r="N1015" i="6" s="1"/>
  <c r="L1016" i="6"/>
  <c r="N1016" i="6" s="1"/>
  <c r="L1018" i="6"/>
  <c r="N1018" i="6" s="1"/>
  <c r="L1019" i="6"/>
  <c r="N1019" i="6" s="1"/>
  <c r="L1020" i="6"/>
  <c r="N1020" i="6" s="1"/>
  <c r="L1022" i="6"/>
  <c r="N1022" i="6" s="1"/>
  <c r="L1023" i="6"/>
  <c r="N1023" i="6" s="1"/>
  <c r="L1024" i="6"/>
  <c r="N1024" i="6" s="1"/>
  <c r="L1026" i="6"/>
  <c r="N1026" i="6" s="1"/>
  <c r="L1027" i="6"/>
  <c r="N1027" i="6" s="1"/>
  <c r="L1028" i="6"/>
  <c r="N1028" i="6" s="1"/>
  <c r="L1030" i="6"/>
  <c r="N1030" i="6" s="1"/>
  <c r="L1032" i="6"/>
  <c r="N1032" i="6" s="1"/>
  <c r="L1034" i="6"/>
  <c r="N1034" i="6" s="1"/>
  <c r="L1035" i="6"/>
  <c r="N1035" i="6" s="1"/>
  <c r="L1036" i="6"/>
  <c r="N1036" i="6" s="1"/>
  <c r="L1038" i="6"/>
  <c r="N1038" i="6" s="1"/>
  <c r="L1039" i="6"/>
  <c r="N1039" i="6" s="1"/>
  <c r="L1040" i="6"/>
  <c r="N1040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7" i="8"/>
  <c r="E7" i="8" s="1"/>
  <c r="L70" i="6" l="1"/>
  <c r="N70" i="6" s="1"/>
  <c r="K70" i="6"/>
  <c r="M70" i="6" s="1"/>
  <c r="L20" i="6"/>
  <c r="N20" i="6" s="1"/>
  <c r="K20" i="6"/>
  <c r="K256" i="6"/>
  <c r="M256" i="6" s="1"/>
  <c r="K412" i="6"/>
  <c r="M412" i="6" s="1"/>
  <c r="K456" i="6"/>
  <c r="M456" i="6" s="1"/>
  <c r="K548" i="6"/>
  <c r="M548" i="6" s="1"/>
  <c r="K584" i="6"/>
  <c r="M584" i="6" s="1"/>
  <c r="K608" i="6"/>
  <c r="M608" i="6" s="1"/>
  <c r="K648" i="6"/>
  <c r="M648" i="6" s="1"/>
  <c r="K724" i="6"/>
  <c r="M724" i="6" s="1"/>
  <c r="K748" i="6"/>
  <c r="M748" i="6" s="1"/>
  <c r="K809" i="6"/>
  <c r="K817" i="6"/>
  <c r="K825" i="6"/>
  <c r="K833" i="6"/>
  <c r="M833" i="6" s="1"/>
  <c r="N837" i="6"/>
  <c r="K841" i="6"/>
  <c r="K849" i="6"/>
  <c r="K857" i="6"/>
  <c r="M857" i="6" s="1"/>
  <c r="N861" i="6"/>
  <c r="N865" i="6"/>
  <c r="N889" i="6"/>
  <c r="K921" i="6"/>
  <c r="K929" i="6"/>
  <c r="K937" i="6"/>
  <c r="M937" i="6" s="1"/>
  <c r="K945" i="6"/>
  <c r="K953" i="6"/>
  <c r="K961" i="6"/>
  <c r="K965" i="6"/>
  <c r="K969" i="6"/>
  <c r="K973" i="6"/>
  <c r="K977" i="6"/>
  <c r="K981" i="6"/>
  <c r="K985" i="6"/>
  <c r="K989" i="6"/>
  <c r="M989" i="6" s="1"/>
  <c r="K993" i="6"/>
  <c r="K997" i="6"/>
  <c r="K1001" i="6"/>
  <c r="K1005" i="6"/>
  <c r="K1009" i="6"/>
  <c r="K1013" i="6"/>
  <c r="M1013" i="6" s="1"/>
  <c r="K1017" i="6"/>
  <c r="K1021" i="6"/>
  <c r="N69" i="6"/>
  <c r="N65" i="6"/>
  <c r="N61" i="6"/>
  <c r="M939" i="6"/>
  <c r="M935" i="6"/>
  <c r="M931" i="6"/>
  <c r="M927" i="6"/>
  <c r="M911" i="6"/>
  <c r="M899" i="6"/>
  <c r="M895" i="6"/>
  <c r="M887" i="6"/>
  <c r="M867" i="6"/>
  <c r="M851" i="6"/>
  <c r="M823" i="6"/>
  <c r="M815" i="6"/>
  <c r="M803" i="6"/>
  <c r="M799" i="6"/>
  <c r="M795" i="6"/>
  <c r="M791" i="6"/>
  <c r="M787" i="6"/>
  <c r="M599" i="6"/>
  <c r="M595" i="6"/>
  <c r="M591" i="6"/>
  <c r="M587" i="6"/>
  <c r="M583" i="6"/>
  <c r="M579" i="6"/>
  <c r="M575" i="6"/>
  <c r="M571" i="6"/>
  <c r="M567" i="6"/>
  <c r="M563" i="6"/>
  <c r="M559" i="6"/>
  <c r="M519" i="6"/>
  <c r="M515" i="6"/>
  <c r="M511" i="6"/>
  <c r="M507" i="6"/>
  <c r="M503" i="6"/>
  <c r="M499" i="6"/>
  <c r="M495" i="6"/>
  <c r="M491" i="6"/>
  <c r="M487" i="6"/>
  <c r="M483" i="6"/>
  <c r="M479" i="6"/>
  <c r="M475" i="6"/>
  <c r="M471" i="6"/>
  <c r="M467" i="6"/>
  <c r="M463" i="6"/>
  <c r="M459" i="6"/>
  <c r="M455" i="6"/>
  <c r="M451" i="6"/>
  <c r="M447" i="6"/>
  <c r="M443" i="6"/>
  <c r="M407" i="6"/>
  <c r="M403" i="6"/>
  <c r="M399" i="6"/>
  <c r="M395" i="6"/>
  <c r="M391" i="6"/>
  <c r="M387" i="6"/>
  <c r="M379" i="6"/>
  <c r="M375" i="6"/>
  <c r="M347" i="6"/>
  <c r="M339" i="6"/>
  <c r="M283" i="6"/>
  <c r="M271" i="6"/>
  <c r="M263" i="6"/>
  <c r="M259" i="6"/>
  <c r="M255" i="6"/>
  <c r="M247" i="6"/>
  <c r="M243" i="6"/>
  <c r="M219" i="6"/>
  <c r="M215" i="6"/>
  <c r="M211" i="6"/>
  <c r="M187" i="6"/>
  <c r="M163" i="6"/>
  <c r="M131" i="6"/>
  <c r="M127" i="6"/>
  <c r="M55" i="6"/>
  <c r="M51" i="6"/>
  <c r="M47" i="6"/>
  <c r="N89" i="6"/>
  <c r="N85" i="6"/>
  <c r="N81" i="6"/>
  <c r="N77" i="6"/>
  <c r="N55" i="6"/>
  <c r="N51" i="6"/>
  <c r="N47" i="6"/>
  <c r="N3117" i="6"/>
  <c r="M3209" i="6"/>
  <c r="N3317" i="6"/>
  <c r="M3193" i="6"/>
  <c r="M3149" i="6"/>
  <c r="M3477" i="6"/>
  <c r="M3509" i="6"/>
  <c r="M3177" i="6"/>
  <c r="M3381" i="6"/>
  <c r="M3465" i="6"/>
  <c r="K3229" i="6"/>
  <c r="K3301" i="6"/>
  <c r="K3257" i="6"/>
  <c r="K3165" i="6"/>
  <c r="N6465" i="6"/>
  <c r="K3273" i="6"/>
  <c r="K3225" i="6"/>
  <c r="N3093" i="6"/>
  <c r="N3337" i="6"/>
  <c r="N3633" i="6"/>
  <c r="L3161" i="6"/>
  <c r="K3161" i="6"/>
  <c r="L3173" i="6"/>
  <c r="K3173" i="6"/>
  <c r="L3205" i="6"/>
  <c r="K3205" i="6"/>
  <c r="L3233" i="6"/>
  <c r="K3233" i="6"/>
  <c r="L3241" i="6"/>
  <c r="K3241" i="6"/>
  <c r="L3245" i="6"/>
  <c r="K3245" i="6"/>
  <c r="L3261" i="6"/>
  <c r="K3261" i="6"/>
  <c r="L3305" i="6"/>
  <c r="K3305" i="6"/>
  <c r="M6253" i="6"/>
  <c r="N6253" i="6"/>
  <c r="L6381" i="6"/>
  <c r="N6381" i="6"/>
  <c r="M6393" i="6"/>
  <c r="K6393" i="6"/>
  <c r="L6393" i="6"/>
  <c r="N6393" i="6"/>
  <c r="L6397" i="6"/>
  <c r="M6397" i="6"/>
  <c r="K6397" i="6"/>
  <c r="N6401" i="6"/>
  <c r="K6401" i="6"/>
  <c r="N6409" i="6"/>
  <c r="L6409" i="6"/>
  <c r="N6413" i="6"/>
  <c r="M6413" i="6"/>
  <c r="N6417" i="6"/>
  <c r="K6417" i="6"/>
  <c r="K6425" i="6"/>
  <c r="N6425" i="6"/>
  <c r="N6429" i="6"/>
  <c r="K6429" i="6"/>
  <c r="M6429" i="6"/>
  <c r="M6457" i="6"/>
  <c r="L6457" i="6"/>
  <c r="N6457" i="6"/>
  <c r="L6485" i="6"/>
  <c r="K6485" i="6"/>
  <c r="M6489" i="6"/>
  <c r="L6489" i="6"/>
  <c r="N6489" i="6"/>
  <c r="K6489" i="6"/>
  <c r="L6505" i="6"/>
  <c r="N6505" i="6"/>
  <c r="L6509" i="6"/>
  <c r="K6509" i="6"/>
  <c r="N6509" i="6"/>
  <c r="L6529" i="6"/>
  <c r="N6529" i="6"/>
  <c r="M6529" i="6"/>
  <c r="K6545" i="6"/>
  <c r="N6545" i="6"/>
  <c r="N6557" i="6"/>
  <c r="L6557" i="6"/>
  <c r="K6557" i="6"/>
  <c r="L6561" i="6"/>
  <c r="K6561" i="6"/>
  <c r="M6561" i="6"/>
  <c r="N6565" i="6"/>
  <c r="K6565" i="6"/>
  <c r="L6589" i="6"/>
  <c r="M6589" i="6"/>
  <c r="K6589" i="6"/>
  <c r="L6601" i="6"/>
  <c r="N6601" i="6"/>
  <c r="N6629" i="6"/>
  <c r="M6629" i="6"/>
  <c r="N6653" i="6"/>
  <c r="M6653" i="6"/>
  <c r="L6657" i="6"/>
  <c r="N6657" i="6"/>
  <c r="M6661" i="6"/>
  <c r="L6661" i="6"/>
  <c r="N6661" i="6"/>
  <c r="K6661" i="6"/>
  <c r="L6677" i="6"/>
  <c r="K6677" i="6"/>
  <c r="L6693" i="6"/>
  <c r="N6693" i="6"/>
  <c r="N6697" i="6"/>
  <c r="L6697" i="6"/>
  <c r="K59" i="6"/>
  <c r="M59" i="6" s="1"/>
  <c r="M3225" i="6"/>
  <c r="K3281" i="6"/>
  <c r="K3237" i="6"/>
  <c r="K3213" i="6"/>
  <c r="K3193" i="6"/>
  <c r="M3273" i="6"/>
  <c r="K3265" i="6"/>
  <c r="K3221" i="6"/>
  <c r="K3985" i="6"/>
  <c r="K6801" i="6"/>
  <c r="M6765" i="6"/>
  <c r="N6845" i="6"/>
  <c r="K6785" i="6"/>
  <c r="L6785" i="6"/>
  <c r="L6765" i="6"/>
  <c r="K3497" i="6"/>
  <c r="N6769" i="6"/>
  <c r="N6729" i="6"/>
  <c r="N6717" i="6"/>
  <c r="K6845" i="6"/>
  <c r="M6893" i="6"/>
  <c r="N6893" i="6"/>
  <c r="K6893" i="6"/>
  <c r="K3645" i="6"/>
  <c r="K3641" i="6"/>
  <c r="K3585" i="6"/>
  <c r="K3581" i="6"/>
  <c r="N6733" i="6"/>
  <c r="K3317" i="6"/>
  <c r="K3249" i="6"/>
  <c r="K3217" i="6"/>
  <c r="K3293" i="6"/>
  <c r="K3181" i="6"/>
  <c r="K3325" i="6"/>
  <c r="K3397" i="6"/>
  <c r="K3185" i="6"/>
  <c r="K3289" i="6"/>
  <c r="K3177" i="6"/>
  <c r="K3401" i="6"/>
  <c r="K3277" i="6"/>
  <c r="K3337" i="6"/>
  <c r="L3377" i="6"/>
  <c r="K3269" i="6"/>
  <c r="K3297" i="6"/>
  <c r="K3209" i="6"/>
  <c r="K3285" i="6"/>
  <c r="K3369" i="6"/>
  <c r="K3201" i="6"/>
  <c r="K3189" i="6"/>
  <c r="K3145" i="6"/>
  <c r="K3357" i="6"/>
  <c r="K3197" i="6"/>
  <c r="N971" i="6"/>
  <c r="N879" i="6"/>
  <c r="N847" i="6"/>
  <c r="N547" i="6"/>
  <c r="N531" i="6"/>
  <c r="N367" i="6"/>
  <c r="N355" i="6"/>
  <c r="N239" i="6"/>
  <c r="N175" i="6"/>
  <c r="N115" i="6"/>
  <c r="N107" i="6"/>
  <c r="N1003" i="6"/>
  <c r="N883" i="6"/>
  <c r="N819" i="6"/>
  <c r="N551" i="6"/>
  <c r="N535" i="6"/>
  <c r="N359" i="6"/>
  <c r="N167" i="6"/>
  <c r="N1007" i="6"/>
  <c r="N919" i="6"/>
  <c r="N871" i="6"/>
  <c r="N555" i="6"/>
  <c r="N539" i="6"/>
  <c r="N523" i="6"/>
  <c r="N371" i="6"/>
  <c r="N351" i="6"/>
  <c r="N343" i="6"/>
  <c r="N231" i="6"/>
  <c r="N171" i="6"/>
  <c r="N119" i="6"/>
  <c r="N111" i="6"/>
  <c r="L953" i="6"/>
  <c r="L1021" i="6"/>
  <c r="N1021" i="6" s="1"/>
  <c r="L1017" i="6"/>
  <c r="L1013" i="6"/>
  <c r="N1013" i="6" s="1"/>
  <c r="L1009" i="6"/>
  <c r="L1005" i="6"/>
  <c r="L1001" i="6"/>
  <c r="L608" i="6"/>
  <c r="N608" i="6" s="1"/>
  <c r="L961" i="6"/>
  <c r="N961" i="6" s="1"/>
  <c r="L945" i="6"/>
  <c r="N945" i="6" s="1"/>
  <c r="L937" i="6"/>
  <c r="N937" i="6" s="1"/>
  <c r="L929" i="6"/>
  <c r="L921" i="6"/>
  <c r="N921" i="6" s="1"/>
  <c r="L648" i="6"/>
  <c r="N648" i="6" s="1"/>
  <c r="L977" i="6"/>
  <c r="L973" i="6"/>
  <c r="L969" i="6"/>
  <c r="N969" i="6" s="1"/>
  <c r="L965" i="6"/>
  <c r="L857" i="6"/>
  <c r="L849" i="6"/>
  <c r="L841" i="6"/>
  <c r="N841" i="6" s="1"/>
  <c r="L833" i="6"/>
  <c r="N833" i="6" s="1"/>
  <c r="L825" i="6"/>
  <c r="L817" i="6"/>
  <c r="L809" i="6"/>
  <c r="N809" i="6" s="1"/>
  <c r="L584" i="6"/>
  <c r="N584" i="6" s="1"/>
  <c r="L548" i="6"/>
  <c r="N548" i="6" s="1"/>
  <c r="L456" i="6"/>
  <c r="N456" i="6" s="1"/>
  <c r="K1033" i="6"/>
  <c r="M1033" i="6" s="1"/>
  <c r="L412" i="6"/>
  <c r="N412" i="6" s="1"/>
  <c r="L724" i="6"/>
  <c r="N724" i="6" s="1"/>
  <c r="M501" i="6"/>
  <c r="M493" i="6"/>
  <c r="M397" i="6"/>
  <c r="N1017" i="6"/>
  <c r="N1009" i="6"/>
  <c r="N1005" i="6"/>
  <c r="N1001" i="6"/>
  <c r="N957" i="6"/>
  <c r="N397" i="6"/>
  <c r="N353" i="6"/>
  <c r="N289" i="6"/>
  <c r="L256" i="6"/>
  <c r="N256" i="6" s="1"/>
  <c r="N143" i="6"/>
  <c r="L1029" i="6"/>
  <c r="N1029" i="6" s="1"/>
  <c r="L1025" i="6"/>
  <c r="N1025" i="6" s="1"/>
  <c r="K1041" i="6"/>
  <c r="M1041" i="6" s="1"/>
  <c r="L1037" i="6"/>
  <c r="N1037" i="6" s="1"/>
  <c r="K60" i="6"/>
  <c r="M60" i="6" s="1"/>
  <c r="L60" i="6"/>
  <c r="N60" i="6" s="1"/>
  <c r="L42" i="6"/>
  <c r="N42" i="6" s="1"/>
  <c r="K42" i="6"/>
  <c r="M42" i="6" s="1"/>
  <c r="L18" i="6"/>
  <c r="N18" i="6" s="1"/>
  <c r="K18" i="6"/>
  <c r="M18" i="6" s="1"/>
  <c r="N59" i="6"/>
  <c r="K148" i="6"/>
  <c r="M148" i="6" s="1"/>
  <c r="L148" i="6"/>
  <c r="N148" i="6" s="1"/>
  <c r="N401" i="6"/>
  <c r="N377" i="6"/>
  <c r="N261" i="6"/>
  <c r="N99" i="6"/>
  <c r="N75" i="6"/>
  <c r="N53" i="6"/>
  <c r="N977" i="6"/>
  <c r="N973" i="6"/>
  <c r="N965" i="6"/>
  <c r="N949" i="6"/>
  <c r="N853" i="6"/>
  <c r="N849" i="6"/>
  <c r="N845" i="6"/>
  <c r="N829" i="6"/>
  <c r="N825" i="6"/>
  <c r="N821" i="6"/>
  <c r="N817" i="6"/>
  <c r="N813" i="6"/>
  <c r="N805" i="6"/>
  <c r="N801" i="6"/>
  <c r="N797" i="6"/>
  <c r="N767" i="6"/>
  <c r="N763" i="6"/>
  <c r="N743" i="6"/>
  <c r="N655" i="6"/>
  <c r="N651" i="6"/>
  <c r="N647" i="6"/>
  <c r="N643" i="6"/>
  <c r="N627" i="6"/>
  <c r="N589" i="6"/>
  <c r="N493" i="6"/>
  <c r="N465" i="6"/>
  <c r="N461" i="6"/>
  <c r="N319" i="6"/>
  <c r="N299" i="6"/>
  <c r="N265" i="6"/>
  <c r="N997" i="6"/>
  <c r="N993" i="6"/>
  <c r="N985" i="6"/>
  <c r="N981" i="6"/>
  <c r="N953" i="6"/>
  <c r="N303" i="6"/>
  <c r="N285" i="6"/>
  <c r="N201" i="6"/>
  <c r="M809" i="6"/>
  <c r="M817" i="6"/>
  <c r="M825" i="6"/>
  <c r="M841" i="6"/>
  <c r="M849" i="6"/>
  <c r="N869" i="6"/>
  <c r="N873" i="6"/>
  <c r="N877" i="6"/>
  <c r="N885" i="6"/>
  <c r="N893" i="6"/>
  <c r="N901" i="6"/>
  <c r="N909" i="6"/>
  <c r="N917" i="6"/>
  <c r="M921" i="6"/>
  <c r="M929" i="6"/>
  <c r="M945" i="6"/>
  <c r="M953" i="6"/>
  <c r="M961" i="6"/>
  <c r="M965" i="6"/>
  <c r="M969" i="6"/>
  <c r="M973" i="6"/>
  <c r="M977" i="6"/>
  <c r="M981" i="6"/>
  <c r="M985" i="6"/>
  <c r="M993" i="6"/>
  <c r="M997" i="6"/>
  <c r="M1001" i="6"/>
  <c r="M1009" i="6"/>
  <c r="M1017" i="6"/>
  <c r="M1021" i="6"/>
  <c r="N771" i="6"/>
  <c r="N747" i="6"/>
  <c r="N659" i="6"/>
  <c r="N631" i="6"/>
  <c r="N601" i="6"/>
  <c r="N597" i="6"/>
  <c r="N593" i="6"/>
  <c r="N497" i="6"/>
  <c r="N469" i="6"/>
  <c r="N441" i="6"/>
  <c r="N415" i="6"/>
  <c r="N411" i="6"/>
  <c r="N405" i="6"/>
  <c r="N381" i="6"/>
  <c r="N361" i="6"/>
  <c r="N357" i="6"/>
  <c r="N341" i="6"/>
  <c r="N327" i="6"/>
  <c r="N323" i="6"/>
  <c r="N307" i="6"/>
  <c r="N293" i="6"/>
  <c r="N205" i="6"/>
  <c r="N147" i="6"/>
  <c r="M497" i="6"/>
  <c r="N859" i="6"/>
  <c r="N855" i="6"/>
  <c r="N839" i="6"/>
  <c r="N835" i="6"/>
  <c r="N831" i="6"/>
  <c r="N789" i="6"/>
  <c r="N779" i="6"/>
  <c r="N775" i="6"/>
  <c r="N755" i="6"/>
  <c r="N751" i="6"/>
  <c r="N707" i="6"/>
  <c r="N703" i="6"/>
  <c r="N699" i="6"/>
  <c r="N695" i="6"/>
  <c r="N691" i="6"/>
  <c r="N687" i="6"/>
  <c r="N683" i="6"/>
  <c r="N679" i="6"/>
  <c r="N675" i="6"/>
  <c r="N671" i="6"/>
  <c r="N667" i="6"/>
  <c r="N663" i="6"/>
  <c r="N635" i="6"/>
  <c r="N501" i="6"/>
  <c r="N485" i="6"/>
  <c r="N481" i="6"/>
  <c r="N477" i="6"/>
  <c r="N473" i="6"/>
  <c r="N449" i="6"/>
  <c r="N445" i="6"/>
  <c r="N423" i="6"/>
  <c r="N419" i="6"/>
  <c r="N409" i="6"/>
  <c r="N385" i="6"/>
  <c r="N369" i="6"/>
  <c r="N365" i="6"/>
  <c r="N345" i="6"/>
  <c r="N335" i="6"/>
  <c r="N331" i="6"/>
  <c r="N311" i="6"/>
  <c r="N279" i="6"/>
  <c r="N275" i="6"/>
  <c r="N253" i="6"/>
  <c r="N249" i="6"/>
  <c r="N245" i="6"/>
  <c r="N241" i="6"/>
  <c r="N237" i="6"/>
  <c r="N233" i="6"/>
  <c r="N113" i="6"/>
  <c r="M1005" i="6"/>
  <c r="M353" i="6"/>
  <c r="M177" i="6"/>
  <c r="N941" i="6"/>
  <c r="N933" i="6"/>
  <c r="N929" i="6"/>
  <c r="N925" i="6"/>
  <c r="N863" i="6"/>
  <c r="N793" i="6"/>
  <c r="N783" i="6"/>
  <c r="N759" i="6"/>
  <c r="N739" i="6"/>
  <c r="N735" i="6"/>
  <c r="N731" i="6"/>
  <c r="N727" i="6"/>
  <c r="N723" i="6"/>
  <c r="N719" i="6"/>
  <c r="N715" i="6"/>
  <c r="N711" i="6"/>
  <c r="N639" i="6"/>
  <c r="N623" i="6"/>
  <c r="N619" i="6"/>
  <c r="N615" i="6"/>
  <c r="N611" i="6"/>
  <c r="N607" i="6"/>
  <c r="N603" i="6"/>
  <c r="N585" i="6"/>
  <c r="N581" i="6"/>
  <c r="N577" i="6"/>
  <c r="N573" i="6"/>
  <c r="N569" i="6"/>
  <c r="N565" i="6"/>
  <c r="N561" i="6"/>
  <c r="N553" i="6"/>
  <c r="N549" i="6"/>
  <c r="N545" i="6"/>
  <c r="N541" i="6"/>
  <c r="N537" i="6"/>
  <c r="N533" i="6"/>
  <c r="N529" i="6"/>
  <c r="N525" i="6"/>
  <c r="N521" i="6"/>
  <c r="N517" i="6"/>
  <c r="N513" i="6"/>
  <c r="N509" i="6"/>
  <c r="N505" i="6"/>
  <c r="N489" i="6"/>
  <c r="N457" i="6"/>
  <c r="N453" i="6"/>
  <c r="N439" i="6"/>
  <c r="N435" i="6"/>
  <c r="N431" i="6"/>
  <c r="N427" i="6"/>
  <c r="N393" i="6"/>
  <c r="N389" i="6"/>
  <c r="N373" i="6"/>
  <c r="N349" i="6"/>
  <c r="N315" i="6"/>
  <c r="N295" i="6"/>
  <c r="N257" i="6"/>
  <c r="N225" i="6"/>
  <c r="N161" i="6"/>
  <c r="N63" i="6"/>
  <c r="N41" i="6"/>
  <c r="N15" i="6"/>
  <c r="M793" i="6"/>
  <c r="M553" i="6"/>
  <c r="M441" i="6"/>
  <c r="N221" i="6"/>
  <c r="N217" i="6"/>
  <c r="N213" i="6"/>
  <c r="N209" i="6"/>
  <c r="N173" i="6"/>
  <c r="N169" i="6"/>
  <c r="N165" i="6"/>
  <c r="N155" i="6"/>
  <c r="N151" i="6"/>
  <c r="N117" i="6"/>
  <c r="N103" i="6"/>
  <c r="N67" i="6"/>
  <c r="N45" i="6"/>
  <c r="N29" i="6"/>
  <c r="N19" i="6"/>
  <c r="N3" i="6"/>
  <c r="M509" i="6"/>
  <c r="M401" i="6"/>
  <c r="M173" i="6"/>
  <c r="N229" i="6"/>
  <c r="N193" i="6"/>
  <c r="N189" i="6"/>
  <c r="N185" i="6"/>
  <c r="N181" i="6"/>
  <c r="N177" i="6"/>
  <c r="N135" i="6"/>
  <c r="N125" i="6"/>
  <c r="N121" i="6"/>
  <c r="N79" i="6"/>
  <c r="N71" i="6"/>
  <c r="N49" i="6"/>
  <c r="N33" i="6"/>
  <c r="N23" i="6"/>
  <c r="N7" i="6"/>
  <c r="M801" i="6"/>
  <c r="M589" i="6"/>
  <c r="M505" i="6"/>
  <c r="K2" i="6"/>
  <c r="M2" i="6" s="1"/>
  <c r="M797" i="6"/>
  <c r="M789" i="6"/>
  <c r="M601" i="6"/>
  <c r="M597" i="6"/>
  <c r="M593" i="6"/>
  <c r="M581" i="6"/>
  <c r="M577" i="6"/>
  <c r="M573" i="6"/>
  <c r="M569" i="6"/>
  <c r="M565" i="6"/>
  <c r="M561" i="6"/>
  <c r="M549" i="6"/>
  <c r="M545" i="6"/>
  <c r="M541" i="6"/>
  <c r="M537" i="6"/>
  <c r="M533" i="6"/>
  <c r="M529" i="6"/>
  <c r="M525" i="6"/>
  <c r="M521" i="6"/>
  <c r="M517" i="6"/>
  <c r="M513" i="6"/>
  <c r="M489" i="6"/>
  <c r="M485" i="6"/>
  <c r="M481" i="6"/>
  <c r="M477" i="6"/>
  <c r="M473" i="6"/>
  <c r="M469" i="6"/>
  <c r="M465" i="6"/>
  <c r="M461" i="6"/>
  <c r="M457" i="6"/>
  <c r="M453" i="6"/>
  <c r="M449" i="6"/>
  <c r="M409" i="6"/>
  <c r="M405" i="6"/>
  <c r="M393" i="6"/>
  <c r="M389" i="6"/>
  <c r="M385" i="6"/>
  <c r="M53" i="6"/>
  <c r="M49" i="6"/>
  <c r="M45" i="6"/>
  <c r="N197" i="6"/>
  <c r="N157" i="6"/>
  <c r="N153" i="6"/>
  <c r="N139" i="6"/>
  <c r="N129" i="6"/>
  <c r="N109" i="6"/>
  <c r="N95" i="6"/>
  <c r="N91" i="6"/>
  <c r="N87" i="6"/>
  <c r="N83" i="6"/>
  <c r="N37" i="6"/>
  <c r="N11" i="6"/>
  <c r="M585" i="6"/>
  <c r="M445" i="6"/>
  <c r="M33" i="6"/>
  <c r="L30" i="6"/>
  <c r="N30" i="6" s="1"/>
  <c r="K30" i="6"/>
  <c r="M30" i="6" s="1"/>
  <c r="K26" i="6"/>
  <c r="M26" i="6" s="1"/>
  <c r="L26" i="6"/>
  <c r="N26" i="6" s="1"/>
  <c r="L881" i="6"/>
  <c r="N881" i="6" s="1"/>
  <c r="K881" i="6"/>
  <c r="M881" i="6" s="1"/>
  <c r="L897" i="6"/>
  <c r="N897" i="6" s="1"/>
  <c r="K897" i="6"/>
  <c r="M897" i="6" s="1"/>
  <c r="L905" i="6"/>
  <c r="N905" i="6" s="1"/>
  <c r="K905" i="6"/>
  <c r="M905" i="6" s="1"/>
  <c r="L913" i="6"/>
  <c r="N913" i="6" s="1"/>
  <c r="K913" i="6"/>
  <c r="M913" i="6" s="1"/>
  <c r="K1073" i="6"/>
  <c r="M1073" i="6"/>
  <c r="K1093" i="6"/>
  <c r="M1093" i="6"/>
  <c r="K1133" i="6"/>
  <c r="M1133" i="6"/>
  <c r="K1149" i="6"/>
  <c r="M1149" i="6"/>
  <c r="K1157" i="6"/>
  <c r="M1157" i="6"/>
  <c r="K1165" i="6"/>
  <c r="M1165" i="6"/>
  <c r="K1177" i="6"/>
  <c r="M1177" i="6"/>
  <c r="K1189" i="6"/>
  <c r="M1189" i="6"/>
  <c r="K1197" i="6"/>
  <c r="M1197" i="6"/>
  <c r="K1217" i="6"/>
  <c r="M1217" i="6"/>
  <c r="K1237" i="6"/>
  <c r="M1237" i="6"/>
  <c r="K1245" i="6"/>
  <c r="M1245" i="6"/>
  <c r="K1261" i="6"/>
  <c r="M1261" i="6"/>
  <c r="K1289" i="6"/>
  <c r="M1289" i="6"/>
  <c r="K1297" i="6"/>
  <c r="M1297" i="6"/>
  <c r="K1305" i="6"/>
  <c r="M1305" i="6"/>
  <c r="K1313" i="6"/>
  <c r="M1313" i="6"/>
  <c r="K1349" i="6"/>
  <c r="M1349" i="6"/>
  <c r="K1365" i="6"/>
  <c r="M1365" i="6"/>
  <c r="K1373" i="6"/>
  <c r="M1373" i="6"/>
  <c r="K38" i="6"/>
  <c r="M38" i="6" s="1"/>
  <c r="K22" i="6"/>
  <c r="M22" i="6" s="1"/>
  <c r="K14" i="6"/>
  <c r="M14" i="6" s="1"/>
  <c r="K957" i="6"/>
  <c r="M957" i="6" s="1"/>
  <c r="K949" i="6"/>
  <c r="M949" i="6" s="1"/>
  <c r="K941" i="6"/>
  <c r="M941" i="6" s="1"/>
  <c r="K933" i="6"/>
  <c r="M933" i="6" s="1"/>
  <c r="K925" i="6"/>
  <c r="M925" i="6" s="1"/>
  <c r="K800" i="6"/>
  <c r="M800" i="6" s="1"/>
  <c r="K788" i="6"/>
  <c r="M788" i="6" s="1"/>
  <c r="K776" i="6"/>
  <c r="M776" i="6" s="1"/>
  <c r="K764" i="6"/>
  <c r="M764" i="6" s="1"/>
  <c r="K752" i="6"/>
  <c r="M752" i="6" s="1"/>
  <c r="K736" i="6"/>
  <c r="M736" i="6" s="1"/>
  <c r="K732" i="6"/>
  <c r="M732" i="6" s="1"/>
  <c r="K728" i="6"/>
  <c r="M728" i="6" s="1"/>
  <c r="K720" i="6"/>
  <c r="M720" i="6" s="1"/>
  <c r="K716" i="6"/>
  <c r="M716" i="6" s="1"/>
  <c r="K712" i="6"/>
  <c r="M712" i="6" s="1"/>
  <c r="K708" i="6"/>
  <c r="M708" i="6" s="1"/>
  <c r="K704" i="6"/>
  <c r="M704" i="6" s="1"/>
  <c r="K700" i="6"/>
  <c r="M700" i="6" s="1"/>
  <c r="K696" i="6"/>
  <c r="M696" i="6" s="1"/>
  <c r="K692" i="6"/>
  <c r="M692" i="6" s="1"/>
  <c r="K688" i="6"/>
  <c r="M688" i="6" s="1"/>
  <c r="K684" i="6"/>
  <c r="M684" i="6" s="1"/>
  <c r="K680" i="6"/>
  <c r="M680" i="6" s="1"/>
  <c r="K676" i="6"/>
  <c r="M676" i="6" s="1"/>
  <c r="K672" i="6"/>
  <c r="M672" i="6" s="1"/>
  <c r="K668" i="6"/>
  <c r="M668" i="6" s="1"/>
  <c r="K664" i="6"/>
  <c r="M664" i="6" s="1"/>
  <c r="K660" i="6"/>
  <c r="M660" i="6" s="1"/>
  <c r="K656" i="6"/>
  <c r="M656" i="6" s="1"/>
  <c r="K652" i="6"/>
  <c r="M652" i="6" s="1"/>
  <c r="K644" i="6"/>
  <c r="M644" i="6" s="1"/>
  <c r="K640" i="6"/>
  <c r="M640" i="6" s="1"/>
  <c r="K636" i="6"/>
  <c r="M636" i="6" s="1"/>
  <c r="K632" i="6"/>
  <c r="M632" i="6" s="1"/>
  <c r="K628" i="6"/>
  <c r="M628" i="6" s="1"/>
  <c r="K624" i="6"/>
  <c r="M624" i="6" s="1"/>
  <c r="K620" i="6"/>
  <c r="M620" i="6" s="1"/>
  <c r="K616" i="6"/>
  <c r="M616" i="6" s="1"/>
  <c r="K612" i="6"/>
  <c r="M612" i="6" s="1"/>
  <c r="K604" i="6"/>
  <c r="M604" i="6" s="1"/>
  <c r="K600" i="6"/>
  <c r="M600" i="6" s="1"/>
  <c r="K596" i="6"/>
  <c r="M596" i="6" s="1"/>
  <c r="K592" i="6"/>
  <c r="M592" i="6" s="1"/>
  <c r="K588" i="6"/>
  <c r="M588" i="6" s="1"/>
  <c r="K580" i="6"/>
  <c r="M580" i="6" s="1"/>
  <c r="K576" i="6"/>
  <c r="M576" i="6" s="1"/>
  <c r="K572" i="6"/>
  <c r="M572" i="6" s="1"/>
  <c r="K568" i="6"/>
  <c r="M568" i="6" s="1"/>
  <c r="K564" i="6"/>
  <c r="M564" i="6" s="1"/>
  <c r="K560" i="6"/>
  <c r="M560" i="6" s="1"/>
  <c r="K556" i="6"/>
  <c r="M556" i="6" s="1"/>
  <c r="K552" i="6"/>
  <c r="M552" i="6" s="1"/>
  <c r="K544" i="6"/>
  <c r="M544" i="6" s="1"/>
  <c r="K540" i="6"/>
  <c r="M540" i="6" s="1"/>
  <c r="K536" i="6"/>
  <c r="M536" i="6" s="1"/>
  <c r="K532" i="6"/>
  <c r="M532" i="6" s="1"/>
  <c r="K528" i="6"/>
  <c r="M528" i="6" s="1"/>
  <c r="K524" i="6"/>
  <c r="M524" i="6" s="1"/>
  <c r="K520" i="6"/>
  <c r="M520" i="6" s="1"/>
  <c r="K516" i="6"/>
  <c r="M516" i="6" s="1"/>
  <c r="K512" i="6"/>
  <c r="M512" i="6" s="1"/>
  <c r="K508" i="6"/>
  <c r="M508" i="6" s="1"/>
  <c r="K504" i="6"/>
  <c r="M504" i="6" s="1"/>
  <c r="K500" i="6"/>
  <c r="M500" i="6" s="1"/>
  <c r="K496" i="6"/>
  <c r="M496" i="6" s="1"/>
  <c r="K492" i="6"/>
  <c r="M492" i="6" s="1"/>
  <c r="K488" i="6"/>
  <c r="M488" i="6" s="1"/>
  <c r="K484" i="6"/>
  <c r="M484" i="6" s="1"/>
  <c r="K480" i="6"/>
  <c r="M480" i="6" s="1"/>
  <c r="K476" i="6"/>
  <c r="M476" i="6" s="1"/>
  <c r="K472" i="6"/>
  <c r="M472" i="6" s="1"/>
  <c r="K468" i="6"/>
  <c r="M468" i="6" s="1"/>
  <c r="K464" i="6"/>
  <c r="M464" i="6" s="1"/>
  <c r="K460" i="6"/>
  <c r="M460" i="6" s="1"/>
  <c r="K452" i="6"/>
  <c r="M452" i="6" s="1"/>
  <c r="K448" i="6"/>
  <c r="M448" i="6" s="1"/>
  <c r="K444" i="6"/>
  <c r="M444" i="6" s="1"/>
  <c r="K440" i="6"/>
  <c r="M440" i="6" s="1"/>
  <c r="K436" i="6"/>
  <c r="M436" i="6" s="1"/>
  <c r="K432" i="6"/>
  <c r="M432" i="6" s="1"/>
  <c r="K428" i="6"/>
  <c r="M428" i="6" s="1"/>
  <c r="K424" i="6"/>
  <c r="M424" i="6" s="1"/>
  <c r="K420" i="6"/>
  <c r="M420" i="6" s="1"/>
  <c r="K416" i="6"/>
  <c r="M416" i="6" s="1"/>
  <c r="K408" i="6"/>
  <c r="M408" i="6" s="1"/>
  <c r="K404" i="6"/>
  <c r="M404" i="6" s="1"/>
  <c r="K400" i="6"/>
  <c r="M400" i="6" s="1"/>
  <c r="K396" i="6"/>
  <c r="M396" i="6" s="1"/>
  <c r="K392" i="6"/>
  <c r="M392" i="6" s="1"/>
  <c r="K388" i="6"/>
  <c r="M388" i="6" s="1"/>
  <c r="K384" i="6"/>
  <c r="M384" i="6" s="1"/>
  <c r="K380" i="6"/>
  <c r="M380" i="6" s="1"/>
  <c r="K376" i="6"/>
  <c r="M376" i="6" s="1"/>
  <c r="K372" i="6"/>
  <c r="M372" i="6" s="1"/>
  <c r="K368" i="6"/>
  <c r="M368" i="6" s="1"/>
  <c r="K364" i="6"/>
  <c r="M364" i="6" s="1"/>
  <c r="K360" i="6"/>
  <c r="M360" i="6" s="1"/>
  <c r="K356" i="6"/>
  <c r="M356" i="6" s="1"/>
  <c r="K352" i="6"/>
  <c r="M352" i="6" s="1"/>
  <c r="K348" i="6"/>
  <c r="M348" i="6" s="1"/>
  <c r="K344" i="6"/>
  <c r="M344" i="6" s="1"/>
  <c r="K340" i="6"/>
  <c r="M340" i="6" s="1"/>
  <c r="K336" i="6"/>
  <c r="M336" i="6" s="1"/>
  <c r="K332" i="6"/>
  <c r="M332" i="6" s="1"/>
  <c r="K4085" i="6"/>
  <c r="K328" i="6"/>
  <c r="M328" i="6" s="1"/>
  <c r="K324" i="6"/>
  <c r="M324" i="6" s="1"/>
  <c r="K320" i="6"/>
  <c r="M320" i="6" s="1"/>
  <c r="K316" i="6"/>
  <c r="M316" i="6" s="1"/>
  <c r="K312" i="6"/>
  <c r="M312" i="6" s="1"/>
  <c r="K308" i="6"/>
  <c r="M308" i="6" s="1"/>
  <c r="K304" i="6"/>
  <c r="M304" i="6" s="1"/>
  <c r="K300" i="6"/>
  <c r="M300" i="6" s="1"/>
  <c r="K296" i="6"/>
  <c r="M296" i="6" s="1"/>
  <c r="K292" i="6"/>
  <c r="M292" i="6" s="1"/>
  <c r="K288" i="6"/>
  <c r="M288" i="6" s="1"/>
  <c r="K284" i="6"/>
  <c r="M284" i="6" s="1"/>
  <c r="K280" i="6"/>
  <c r="M280" i="6" s="1"/>
  <c r="K276" i="6"/>
  <c r="M276" i="6" s="1"/>
  <c r="K272" i="6"/>
  <c r="M272" i="6" s="1"/>
  <c r="K268" i="6"/>
  <c r="M268" i="6" s="1"/>
  <c r="K264" i="6"/>
  <c r="M264" i="6" s="1"/>
  <c r="K260" i="6"/>
  <c r="M260" i="6" s="1"/>
  <c r="K252" i="6"/>
  <c r="M252" i="6" s="1"/>
  <c r="K248" i="6"/>
  <c r="M248" i="6" s="1"/>
  <c r="K244" i="6"/>
  <c r="M244" i="6" s="1"/>
  <c r="K240" i="6"/>
  <c r="M240" i="6" s="1"/>
  <c r="K236" i="6"/>
  <c r="M236" i="6" s="1"/>
  <c r="K232" i="6"/>
  <c r="M232" i="6" s="1"/>
  <c r="K228" i="6"/>
  <c r="M228" i="6" s="1"/>
  <c r="K224" i="6"/>
  <c r="M224" i="6" s="1"/>
  <c r="K220" i="6"/>
  <c r="M220" i="6" s="1"/>
  <c r="K216" i="6"/>
  <c r="M216" i="6" s="1"/>
  <c r="K212" i="6"/>
  <c r="M212" i="6" s="1"/>
  <c r="K208" i="6"/>
  <c r="M208" i="6" s="1"/>
  <c r="K204" i="6"/>
  <c r="M204" i="6" s="1"/>
  <c r="K200" i="6"/>
  <c r="M200" i="6" s="1"/>
  <c r="K196" i="6"/>
  <c r="M196" i="6" s="1"/>
  <c r="K192" i="6"/>
  <c r="M192" i="6" s="1"/>
  <c r="K188" i="6"/>
  <c r="M188" i="6" s="1"/>
  <c r="K184" i="6"/>
  <c r="M184" i="6" s="1"/>
  <c r="K180" i="6"/>
  <c r="M180" i="6" s="1"/>
  <c r="K176" i="6"/>
  <c r="M176" i="6" s="1"/>
  <c r="K172" i="6"/>
  <c r="M172" i="6" s="1"/>
  <c r="K168" i="6"/>
  <c r="M168" i="6" s="1"/>
  <c r="K164" i="6"/>
  <c r="M164" i="6" s="1"/>
  <c r="K160" i="6"/>
  <c r="M160" i="6" s="1"/>
  <c r="K156" i="6"/>
  <c r="M156" i="6" s="1"/>
  <c r="K152" i="6"/>
  <c r="M152" i="6" s="1"/>
  <c r="K144" i="6"/>
  <c r="M144" i="6" s="1"/>
  <c r="K140" i="6"/>
  <c r="M140" i="6" s="1"/>
  <c r="K136" i="6"/>
  <c r="M136" i="6" s="1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M108" i="6" s="1"/>
  <c r="K104" i="6"/>
  <c r="M104" i="6" s="1"/>
  <c r="K100" i="6"/>
  <c r="M100" i="6" s="1"/>
  <c r="K96" i="6"/>
  <c r="M96" i="6" s="1"/>
  <c r="K92" i="6"/>
  <c r="M92" i="6" s="1"/>
  <c r="K84" i="6"/>
  <c r="M84" i="6" s="1"/>
  <c r="K82" i="6"/>
  <c r="M82" i="6" s="1"/>
  <c r="K78" i="6"/>
  <c r="M78" i="6" s="1"/>
  <c r="K74" i="6"/>
  <c r="M74" i="6" s="1"/>
  <c r="K43" i="6"/>
  <c r="M43" i="6" s="1"/>
  <c r="K35" i="6"/>
  <c r="M35" i="6" s="1"/>
  <c r="K31" i="6"/>
  <c r="K19" i="6"/>
  <c r="K15" i="6"/>
  <c r="K3" i="6"/>
  <c r="K3713" i="6"/>
  <c r="N857" i="6"/>
  <c r="L748" i="6"/>
  <c r="N748" i="6" s="1"/>
  <c r="K873" i="6"/>
  <c r="M873" i="6" s="1"/>
  <c r="K865" i="6"/>
  <c r="M865" i="6" s="1"/>
  <c r="K917" i="6"/>
  <c r="M917" i="6" s="1"/>
  <c r="K909" i="6"/>
  <c r="M909" i="6" s="1"/>
  <c r="K901" i="6"/>
  <c r="M901" i="6" s="1"/>
  <c r="K893" i="6"/>
  <c r="M893" i="6" s="1"/>
  <c r="K885" i="6"/>
  <c r="M885" i="6" s="1"/>
  <c r="K877" i="6"/>
  <c r="M877" i="6" s="1"/>
  <c r="K869" i="6"/>
  <c r="M869" i="6" s="1"/>
  <c r="K861" i="6"/>
  <c r="M861" i="6" s="1"/>
  <c r="K853" i="6"/>
  <c r="M853" i="6" s="1"/>
  <c r="K845" i="6"/>
  <c r="M845" i="6" s="1"/>
  <c r="K837" i="6"/>
  <c r="M837" i="6" s="1"/>
  <c r="K829" i="6"/>
  <c r="M829" i="6" s="1"/>
  <c r="K821" i="6"/>
  <c r="M821" i="6" s="1"/>
  <c r="K813" i="6"/>
  <c r="M813" i="6" s="1"/>
  <c r="K805" i="6"/>
  <c r="M805" i="6" s="1"/>
  <c r="K889" i="6"/>
  <c r="M889" i="6" s="1"/>
  <c r="K796" i="6"/>
  <c r="M796" i="6" s="1"/>
  <c r="K792" i="6"/>
  <c r="M792" i="6" s="1"/>
  <c r="K784" i="6"/>
  <c r="M784" i="6" s="1"/>
  <c r="K780" i="6"/>
  <c r="M780" i="6" s="1"/>
  <c r="K772" i="6"/>
  <c r="M772" i="6" s="1"/>
  <c r="K768" i="6"/>
  <c r="M768" i="6" s="1"/>
  <c r="K760" i="6"/>
  <c r="M760" i="6" s="1"/>
  <c r="K756" i="6"/>
  <c r="M756" i="6" s="1"/>
  <c r="K744" i="6"/>
  <c r="M744" i="6" s="1"/>
  <c r="K740" i="6"/>
  <c r="M740" i="6" s="1"/>
  <c r="K81" i="6"/>
  <c r="M81" i="6" s="1"/>
  <c r="K34" i="6"/>
  <c r="M34" i="6" s="1"/>
  <c r="K6" i="6"/>
  <c r="M6" i="6" s="1"/>
  <c r="K3309" i="6"/>
  <c r="K3329" i="6"/>
  <c r="K64" i="6"/>
  <c r="M64" i="6" s="1"/>
  <c r="K90" i="6"/>
  <c r="M90" i="6" s="1"/>
  <c r="K94" i="6"/>
  <c r="M94" i="6" s="1"/>
  <c r="K106" i="6"/>
  <c r="M106" i="6" s="1"/>
  <c r="K178" i="6"/>
  <c r="M178" i="6" s="1"/>
  <c r="K182" i="6"/>
  <c r="M182" i="6" s="1"/>
  <c r="K190" i="6"/>
  <c r="M190" i="6" s="1"/>
  <c r="K214" i="6"/>
  <c r="M214" i="6" s="1"/>
  <c r="K218" i="6"/>
  <c r="M218" i="6" s="1"/>
  <c r="K222" i="6"/>
  <c r="M222" i="6" s="1"/>
  <c r="K230" i="6"/>
  <c r="M230" i="6" s="1"/>
  <c r="K238" i="6"/>
  <c r="M238" i="6" s="1"/>
  <c r="K246" i="6"/>
  <c r="M246" i="6" s="1"/>
  <c r="K266" i="6"/>
  <c r="M266" i="6" s="1"/>
  <c r="K270" i="6"/>
  <c r="M270" i="6" s="1"/>
  <c r="K274" i="6"/>
  <c r="M274" i="6" s="1"/>
  <c r="K278" i="6"/>
  <c r="M278" i="6" s="1"/>
  <c r="K282" i="6"/>
  <c r="M282" i="6" s="1"/>
  <c r="K286" i="6"/>
  <c r="M286" i="6" s="1"/>
  <c r="K302" i="6"/>
  <c r="M302" i="6" s="1"/>
  <c r="K310" i="6"/>
  <c r="M310" i="6" s="1"/>
  <c r="K314" i="6"/>
  <c r="M314" i="6" s="1"/>
  <c r="K322" i="6"/>
  <c r="K326" i="6"/>
  <c r="M326" i="6" s="1"/>
  <c r="K342" i="6"/>
  <c r="M342" i="6" s="1"/>
  <c r="K346" i="6"/>
  <c r="M346" i="6" s="1"/>
  <c r="K350" i="6"/>
  <c r="M350" i="6" s="1"/>
  <c r="K358" i="6"/>
  <c r="M358" i="6" s="1"/>
  <c r="K366" i="6"/>
  <c r="M366" i="6" s="1"/>
  <c r="K374" i="6"/>
  <c r="M374" i="6" s="1"/>
  <c r="K382" i="6"/>
  <c r="M382" i="6" s="1"/>
  <c r="K398" i="6"/>
  <c r="M398" i="6" s="1"/>
  <c r="K406" i="6"/>
  <c r="M406" i="6" s="1"/>
  <c r="K414" i="6"/>
  <c r="M414" i="6" s="1"/>
  <c r="K422" i="6"/>
  <c r="M422" i="6" s="1"/>
  <c r="K426" i="6"/>
  <c r="M426" i="6" s="1"/>
  <c r="K430" i="6"/>
  <c r="M430" i="6" s="1"/>
  <c r="K434" i="6"/>
  <c r="M434" i="6" s="1"/>
  <c r="K442" i="6"/>
  <c r="M442" i="6" s="1"/>
  <c r="K446" i="6"/>
  <c r="M446" i="6" s="1"/>
  <c r="K450" i="6"/>
  <c r="M450" i="6" s="1"/>
  <c r="K454" i="6"/>
  <c r="M454" i="6" s="1"/>
  <c r="K458" i="6"/>
  <c r="M458" i="6" s="1"/>
  <c r="K466" i="6"/>
  <c r="M466" i="6" s="1"/>
  <c r="K470" i="6"/>
  <c r="M470" i="6" s="1"/>
  <c r="K474" i="6"/>
  <c r="M474" i="6" s="1"/>
  <c r="K478" i="6"/>
  <c r="M478" i="6" s="1"/>
  <c r="K482" i="6"/>
  <c r="M482" i="6" s="1"/>
  <c r="K490" i="6"/>
  <c r="M490" i="6" s="1"/>
  <c r="K494" i="6"/>
  <c r="M494" i="6" s="1"/>
  <c r="K498" i="6"/>
  <c r="M498" i="6" s="1"/>
  <c r="K502" i="6"/>
  <c r="M502" i="6" s="1"/>
  <c r="K506" i="6"/>
  <c r="M506" i="6" s="1"/>
  <c r="K510" i="6"/>
  <c r="M510" i="6" s="1"/>
  <c r="K514" i="6"/>
  <c r="M514" i="6" s="1"/>
  <c r="K518" i="6"/>
  <c r="M518" i="6" s="1"/>
  <c r="K522" i="6"/>
  <c r="M522" i="6" s="1"/>
  <c r="K526" i="6"/>
  <c r="M526" i="6" s="1"/>
  <c r="K534" i="6"/>
  <c r="M534" i="6" s="1"/>
  <c r="K542" i="6"/>
  <c r="M542" i="6" s="1"/>
  <c r="K546" i="6"/>
  <c r="M546" i="6" s="1"/>
  <c r="K562" i="6"/>
  <c r="M562" i="6" s="1"/>
  <c r="K566" i="6"/>
  <c r="M566" i="6" s="1"/>
  <c r="K578" i="6"/>
  <c r="M578" i="6" s="1"/>
  <c r="K586" i="6"/>
  <c r="M586" i="6" s="1"/>
  <c r="K590" i="6"/>
  <c r="M590" i="6" s="1"/>
  <c r="K594" i="6"/>
  <c r="M594" i="6" s="1"/>
  <c r="K598" i="6"/>
  <c r="M598" i="6" s="1"/>
  <c r="K602" i="6"/>
  <c r="M602" i="6" s="1"/>
  <c r="K606" i="6"/>
  <c r="M606" i="6" s="1"/>
  <c r="K610" i="6"/>
  <c r="M610" i="6" s="1"/>
  <c r="K614" i="6"/>
  <c r="M614" i="6" s="1"/>
  <c r="K618" i="6"/>
  <c r="M618" i="6" s="1"/>
  <c r="K622" i="6"/>
  <c r="M622" i="6" s="1"/>
  <c r="K626" i="6"/>
  <c r="M626" i="6" s="1"/>
  <c r="K630" i="6"/>
  <c r="M630" i="6" s="1"/>
  <c r="K634" i="6"/>
  <c r="M634" i="6" s="1"/>
  <c r="K638" i="6"/>
  <c r="M638" i="6" s="1"/>
  <c r="N642" i="6"/>
  <c r="K646" i="6"/>
  <c r="M646" i="6" s="1"/>
  <c r="K650" i="6"/>
  <c r="M650" i="6" s="1"/>
  <c r="K654" i="6"/>
  <c r="M654" i="6" s="1"/>
  <c r="K658" i="6"/>
  <c r="M658" i="6" s="1"/>
  <c r="K662" i="6"/>
  <c r="M662" i="6" s="1"/>
  <c r="K666" i="6"/>
  <c r="M666" i="6" s="1"/>
  <c r="K670" i="6"/>
  <c r="M670" i="6" s="1"/>
  <c r="K674" i="6"/>
  <c r="M674" i="6" s="1"/>
  <c r="K678" i="6"/>
  <c r="M678" i="6" s="1"/>
  <c r="K682" i="6"/>
  <c r="M682" i="6" s="1"/>
  <c r="K686" i="6"/>
  <c r="M686" i="6" s="1"/>
  <c r="K690" i="6"/>
  <c r="M690" i="6" s="1"/>
  <c r="K694" i="6"/>
  <c r="M694" i="6" s="1"/>
  <c r="K698" i="6"/>
  <c r="M698" i="6" s="1"/>
  <c r="K702" i="6"/>
  <c r="M702" i="6" s="1"/>
  <c r="K706" i="6"/>
  <c r="M706" i="6" s="1"/>
  <c r="K710" i="6"/>
  <c r="M710" i="6" s="1"/>
  <c r="K714" i="6"/>
  <c r="M714" i="6" s="1"/>
  <c r="K718" i="6"/>
  <c r="M718" i="6" s="1"/>
  <c r="K726" i="6"/>
  <c r="M726" i="6" s="1"/>
  <c r="K734" i="6"/>
  <c r="M734" i="6" s="1"/>
  <c r="K746" i="6"/>
  <c r="M746" i="6" s="1"/>
  <c r="K754" i="6"/>
  <c r="M754" i="6" s="1"/>
  <c r="K786" i="6"/>
  <c r="M786" i="6" s="1"/>
  <c r="K807" i="6"/>
  <c r="M807" i="6" s="1"/>
  <c r="K811" i="6"/>
  <c r="M811" i="6" s="1"/>
  <c r="K859" i="6"/>
  <c r="M859" i="6" s="1"/>
  <c r="K875" i="6"/>
  <c r="M875" i="6" s="1"/>
  <c r="K62" i="6"/>
  <c r="M62" i="6" s="1"/>
  <c r="K903" i="6"/>
  <c r="M903" i="6" s="1"/>
  <c r="K907" i="6"/>
  <c r="M907" i="6" s="1"/>
  <c r="K923" i="6"/>
  <c r="M923" i="6" s="1"/>
  <c r="K943" i="6"/>
  <c r="M943" i="6" s="1"/>
  <c r="N947" i="6"/>
  <c r="N951" i="6"/>
  <c r="K955" i="6"/>
  <c r="M955" i="6" s="1"/>
  <c r="K959" i="6"/>
  <c r="M959" i="6" s="1"/>
  <c r="K963" i="6"/>
  <c r="M963" i="6" s="1"/>
  <c r="K971" i="6"/>
  <c r="M971" i="6" s="1"/>
  <c r="K975" i="6"/>
  <c r="M975" i="6" s="1"/>
  <c r="N979" i="6"/>
  <c r="K987" i="6"/>
  <c r="M987" i="6" s="1"/>
  <c r="K991" i="6"/>
  <c r="M991" i="6" s="1"/>
  <c r="K999" i="6"/>
  <c r="M999" i="6" s="1"/>
  <c r="K1003" i="6"/>
  <c r="M1003" i="6" s="1"/>
  <c r="K1007" i="6"/>
  <c r="M1007" i="6" s="1"/>
  <c r="K1011" i="6"/>
  <c r="M1011" i="6" s="1"/>
  <c r="K1015" i="6"/>
  <c r="M1015" i="6" s="1"/>
  <c r="K1019" i="6"/>
  <c r="M1019" i="6" s="1"/>
  <c r="K1023" i="6"/>
  <c r="M1023" i="6" s="1"/>
  <c r="K1027" i="6"/>
  <c r="M1027" i="6" s="1"/>
  <c r="K1031" i="6"/>
  <c r="M1031" i="6" s="1"/>
  <c r="K1035" i="6"/>
  <c r="M1035" i="6" s="1"/>
  <c r="K1039" i="6"/>
  <c r="M1039" i="6" s="1"/>
  <c r="N1043" i="6"/>
  <c r="K1051" i="6"/>
  <c r="M1051" i="6" s="1"/>
  <c r="K1055" i="6"/>
  <c r="M1055" i="6" s="1"/>
  <c r="K1067" i="6"/>
  <c r="K1079" i="6"/>
  <c r="K1119" i="6"/>
  <c r="K1131" i="6"/>
  <c r="K1143" i="6"/>
  <c r="K1183" i="6"/>
  <c r="K1195" i="6"/>
  <c r="K1207" i="6"/>
  <c r="K1247" i="6"/>
  <c r="K1263" i="6"/>
  <c r="K1279" i="6"/>
  <c r="K1295" i="6"/>
  <c r="K1311" i="6"/>
  <c r="K1327" i="6"/>
  <c r="K1343" i="6"/>
  <c r="K1359" i="6"/>
  <c r="K1375" i="6"/>
  <c r="K1391" i="6"/>
  <c r="K3011" i="6"/>
  <c r="K3039" i="6"/>
  <c r="K3119" i="6"/>
  <c r="K3159" i="6"/>
  <c r="K3167" i="6"/>
  <c r="K3183" i="6"/>
  <c r="K3187" i="6"/>
  <c r="K3191" i="6"/>
  <c r="K3195" i="6"/>
  <c r="K3199" i="6"/>
  <c r="K3203" i="6"/>
  <c r="K3207" i="6"/>
  <c r="K3211" i="6"/>
  <c r="K3215" i="6"/>
  <c r="K3223" i="6"/>
  <c r="K3227" i="6"/>
  <c r="K3231" i="6"/>
  <c r="K3235" i="6"/>
  <c r="K3239" i="6"/>
  <c r="K3243" i="6"/>
  <c r="K3247" i="6"/>
  <c r="K3251" i="6"/>
  <c r="K3255" i="6"/>
  <c r="K3259" i="6"/>
  <c r="K3263" i="6"/>
  <c r="K3267" i="6"/>
  <c r="K3271" i="6"/>
  <c r="K3279" i="6"/>
  <c r="K3287" i="6"/>
  <c r="K3291" i="6"/>
  <c r="K3295" i="6"/>
  <c r="K3303" i="6"/>
  <c r="K3307" i="6"/>
  <c r="K3351" i="6"/>
  <c r="K3371" i="6"/>
  <c r="K3383" i="6"/>
  <c r="K3387" i="6"/>
  <c r="K3403" i="6"/>
  <c r="K3847" i="6"/>
  <c r="E10" i="8"/>
  <c r="N294" i="6"/>
  <c r="K41" i="6"/>
  <c r="M41" i="6" s="1"/>
  <c r="K37" i="6"/>
  <c r="M37" i="6" s="1"/>
  <c r="K29" i="6"/>
  <c r="M29" i="6" s="1"/>
  <c r="K25" i="6"/>
  <c r="M25" i="6" s="1"/>
  <c r="K21" i="6"/>
  <c r="M21" i="6" s="1"/>
  <c r="L126" i="6"/>
  <c r="N126" i="6" s="1"/>
  <c r="K126" i="6"/>
  <c r="M126" i="6" s="1"/>
  <c r="K130" i="6"/>
  <c r="M130" i="6" s="1"/>
  <c r="L130" i="6"/>
  <c r="N130" i="6" s="1"/>
  <c r="K250" i="6"/>
  <c r="M250" i="6" s="1"/>
  <c r="N250" i="6"/>
  <c r="K254" i="6"/>
  <c r="M254" i="6" s="1"/>
  <c r="L254" i="6"/>
  <c r="N254" i="6" s="1"/>
  <c r="K258" i="6"/>
  <c r="M258" i="6" s="1"/>
  <c r="L258" i="6"/>
  <c r="N258" i="6" s="1"/>
  <c r="L318" i="6"/>
  <c r="N318" i="6" s="1"/>
  <c r="K318" i="6"/>
  <c r="M318" i="6" s="1"/>
  <c r="N462" i="6"/>
  <c r="K462" i="6"/>
  <c r="M462" i="6" s="1"/>
  <c r="L486" i="6"/>
  <c r="N486" i="6" s="1"/>
  <c r="K486" i="6"/>
  <c r="M486" i="6" s="1"/>
  <c r="L4719" i="6"/>
  <c r="N4719" i="6"/>
  <c r="L6099" i="6"/>
  <c r="M6099" i="6"/>
  <c r="N6103" i="6"/>
  <c r="M6103" i="6"/>
  <c r="L6103" i="6"/>
  <c r="K6107" i="6"/>
  <c r="L6107" i="6"/>
  <c r="N6163" i="6"/>
  <c r="L6163" i="6"/>
  <c r="N6179" i="6"/>
  <c r="K6179" i="6"/>
  <c r="L6179" i="6"/>
  <c r="N6187" i="6"/>
  <c r="L6187" i="6"/>
  <c r="K6187" i="6"/>
  <c r="M6195" i="6"/>
  <c r="N6195" i="6"/>
  <c r="K6195" i="6"/>
  <c r="M6223" i="6"/>
  <c r="L6223" i="6"/>
  <c r="N6227" i="6"/>
  <c r="L6227" i="6"/>
  <c r="L6231" i="6"/>
  <c r="M6231" i="6"/>
  <c r="N6239" i="6"/>
  <c r="K6239" i="6"/>
  <c r="N6247" i="6"/>
  <c r="M6247" i="6"/>
  <c r="M6251" i="6"/>
  <c r="L6251" i="6"/>
  <c r="L6259" i="6"/>
  <c r="N6259" i="6"/>
  <c r="M6263" i="6"/>
  <c r="K6263" i="6"/>
  <c r="N6263" i="6"/>
  <c r="M6267" i="6"/>
  <c r="N6267" i="6"/>
  <c r="L6267" i="6"/>
  <c r="M6271" i="6"/>
  <c r="L6271" i="6"/>
  <c r="K6311" i="6"/>
  <c r="N6311" i="6"/>
  <c r="K6331" i="6"/>
  <c r="N6331" i="6"/>
  <c r="N6335" i="6"/>
  <c r="L6335" i="6"/>
  <c r="N6347" i="6"/>
  <c r="M6347" i="6"/>
  <c r="L6363" i="6"/>
  <c r="K6363" i="6"/>
  <c r="M6403" i="6"/>
  <c r="L6403" i="6"/>
  <c r="N6411" i="6"/>
  <c r="M6411" i="6"/>
  <c r="L6411" i="6"/>
  <c r="N6427" i="6"/>
  <c r="L6427" i="6"/>
  <c r="M6435" i="6"/>
  <c r="N6435" i="6"/>
  <c r="N6455" i="6"/>
  <c r="L6455" i="6"/>
  <c r="K642" i="6"/>
  <c r="M642" i="6" s="1"/>
  <c r="M3039" i="6"/>
  <c r="M3011" i="6"/>
  <c r="K427" i="6"/>
  <c r="M427" i="6" s="1"/>
  <c r="K423" i="6"/>
  <c r="M423" i="6" s="1"/>
  <c r="K411" i="6"/>
  <c r="M411" i="6" s="1"/>
  <c r="K383" i="6"/>
  <c r="M383" i="6" s="1"/>
  <c r="K371" i="6"/>
  <c r="M371" i="6" s="1"/>
  <c r="K367" i="6"/>
  <c r="M367" i="6" s="1"/>
  <c r="K363" i="6"/>
  <c r="M363" i="6" s="1"/>
  <c r="K355" i="6"/>
  <c r="K343" i="6"/>
  <c r="M343" i="6" s="1"/>
  <c r="K331" i="6"/>
  <c r="M331" i="6" s="1"/>
  <c r="K311" i="6"/>
  <c r="M311" i="6" s="1"/>
  <c r="K295" i="6"/>
  <c r="M295" i="6" s="1"/>
  <c r="K291" i="6"/>
  <c r="M291" i="6" s="1"/>
  <c r="K287" i="6"/>
  <c r="M287" i="6" s="1"/>
  <c r="K267" i="6"/>
  <c r="M267" i="6" s="1"/>
  <c r="K251" i="6"/>
  <c r="M251" i="6" s="1"/>
  <c r="K235" i="6"/>
  <c r="M235" i="6" s="1"/>
  <c r="K227" i="6"/>
  <c r="M227" i="6" s="1"/>
  <c r="K199" i="6"/>
  <c r="M199" i="6" s="1"/>
  <c r="K195" i="6"/>
  <c r="M195" i="6" s="1"/>
  <c r="K191" i="6"/>
  <c r="M191" i="6" s="1"/>
  <c r="K183" i="6"/>
  <c r="M183" i="6" s="1"/>
  <c r="K179" i="6"/>
  <c r="M179" i="6" s="1"/>
  <c r="K171" i="6"/>
  <c r="M171" i="6" s="1"/>
  <c r="K155" i="6"/>
  <c r="K147" i="6"/>
  <c r="M147" i="6" s="1"/>
  <c r="K135" i="6"/>
  <c r="M135" i="6" s="1"/>
  <c r="K119" i="6"/>
  <c r="M119" i="6" s="1"/>
  <c r="K103" i="6"/>
  <c r="M103" i="6" s="1"/>
  <c r="N6783" i="6"/>
  <c r="N6699" i="6"/>
  <c r="N6631" i="6"/>
  <c r="M6587" i="6"/>
  <c r="N6575" i="6"/>
  <c r="L6475" i="6"/>
  <c r="M6487" i="6"/>
  <c r="L6731" i="6"/>
  <c r="L6771" i="6"/>
  <c r="M6799" i="6"/>
  <c r="L6687" i="6"/>
  <c r="K3392" i="6"/>
  <c r="K4140" i="6"/>
  <c r="K3948" i="6"/>
  <c r="K3395" i="6"/>
  <c r="K3375" i="6"/>
  <c r="N86" i="6"/>
  <c r="M52" i="6"/>
  <c r="L3007" i="6"/>
  <c r="K3007" i="6"/>
  <c r="M3007" i="6"/>
  <c r="L3019" i="6"/>
  <c r="K3019" i="6"/>
  <c r="M3019" i="6"/>
  <c r="L3051" i="6"/>
  <c r="K3051" i="6"/>
  <c r="L3059" i="6"/>
  <c r="K3059" i="6"/>
  <c r="K3091" i="6"/>
  <c r="L3091" i="6"/>
  <c r="L3095" i="6"/>
  <c r="K3095" i="6"/>
  <c r="N3095" i="6"/>
  <c r="L3103" i="6"/>
  <c r="K3103" i="6"/>
  <c r="M3103" i="6"/>
  <c r="K3107" i="6"/>
  <c r="L3107" i="6"/>
  <c r="L3111" i="6"/>
  <c r="K3111" i="6"/>
  <c r="N3111" i="6"/>
  <c r="M3111" i="6"/>
  <c r="L3119" i="6"/>
  <c r="M3119" i="6"/>
  <c r="L3123" i="6"/>
  <c r="K3123" i="6"/>
  <c r="M3123" i="6"/>
  <c r="L3127" i="6"/>
  <c r="K3127" i="6"/>
  <c r="L3131" i="6"/>
  <c r="K3131" i="6"/>
  <c r="N3131" i="6"/>
  <c r="L3135" i="6"/>
  <c r="K3135" i="6"/>
  <c r="L3139" i="6"/>
  <c r="K3139" i="6"/>
  <c r="M3139" i="6"/>
  <c r="L3143" i="6"/>
  <c r="K3143" i="6"/>
  <c r="M3143" i="6"/>
  <c r="L3155" i="6"/>
  <c r="K3155" i="6"/>
  <c r="N3155" i="6"/>
  <c r="L3159" i="6"/>
  <c r="N3159" i="6"/>
  <c r="L3167" i="6"/>
  <c r="N3167" i="6"/>
  <c r="L3171" i="6"/>
  <c r="M3171" i="6"/>
  <c r="N3171" i="6"/>
  <c r="K3171" i="6"/>
  <c r="K3283" i="6"/>
  <c r="M3283" i="6"/>
  <c r="K3299" i="6"/>
  <c r="M3299" i="6"/>
  <c r="L3315" i="6"/>
  <c r="K3315" i="6"/>
  <c r="L3323" i="6"/>
  <c r="K3323" i="6"/>
  <c r="L3339" i="6"/>
  <c r="K3339" i="6"/>
  <c r="L3343" i="6"/>
  <c r="K3343" i="6"/>
  <c r="L3347" i="6"/>
  <c r="K3347" i="6"/>
  <c r="L3363" i="6"/>
  <c r="K3363" i="6"/>
  <c r="M3363" i="6"/>
  <c r="L3379" i="6"/>
  <c r="K3379" i="6"/>
  <c r="L3391" i="6"/>
  <c r="K3391" i="6"/>
  <c r="M3391" i="6"/>
  <c r="L3399" i="6"/>
  <c r="K3399" i="6"/>
  <c r="M3399" i="6"/>
  <c r="L3407" i="6"/>
  <c r="K3407" i="6"/>
  <c r="L3411" i="6"/>
  <c r="N3411" i="6"/>
  <c r="K3411" i="6"/>
  <c r="K3415" i="6"/>
  <c r="L3415" i="6"/>
  <c r="L3419" i="6"/>
  <c r="K3419" i="6"/>
  <c r="M3423" i="6"/>
  <c r="N3423" i="6"/>
  <c r="L3431" i="6"/>
  <c r="N3431" i="6"/>
  <c r="K3431" i="6"/>
  <c r="K3435" i="6"/>
  <c r="M3435" i="6"/>
  <c r="K3447" i="6"/>
  <c r="L3447" i="6"/>
  <c r="N3451" i="6"/>
  <c r="K3451" i="6"/>
  <c r="M3451" i="6"/>
  <c r="N3467" i="6"/>
  <c r="K3467" i="6"/>
  <c r="M3467" i="6"/>
  <c r="L3491" i="6"/>
  <c r="K3491" i="6"/>
  <c r="K3495" i="6"/>
  <c r="L3495" i="6"/>
  <c r="K3527" i="6"/>
  <c r="M3527" i="6"/>
  <c r="K3531" i="6"/>
  <c r="M3531" i="6"/>
  <c r="L3551" i="6"/>
  <c r="N3551" i="6"/>
  <c r="L3555" i="6"/>
  <c r="N3555" i="6"/>
  <c r="K3559" i="6"/>
  <c r="M3559" i="6"/>
  <c r="L3559" i="6"/>
  <c r="L3563" i="6"/>
  <c r="N3563" i="6"/>
  <c r="M3567" i="6"/>
  <c r="L3567" i="6"/>
  <c r="N3567" i="6"/>
  <c r="L3575" i="6"/>
  <c r="K3575" i="6"/>
  <c r="L3583" i="6"/>
  <c r="N3583" i="6"/>
  <c r="L3587" i="6"/>
  <c r="K3587" i="6"/>
  <c r="M3587" i="6"/>
  <c r="L3591" i="6"/>
  <c r="K3591" i="6"/>
  <c r="M3591" i="6"/>
  <c r="N3591" i="6"/>
  <c r="M3595" i="6"/>
  <c r="N3595" i="6"/>
  <c r="M3599" i="6"/>
  <c r="N3599" i="6"/>
  <c r="L3603" i="6"/>
  <c r="K3603" i="6"/>
  <c r="M3603" i="6"/>
  <c r="L3611" i="6"/>
  <c r="M3611" i="6"/>
  <c r="N3619" i="6"/>
  <c r="M3619" i="6"/>
  <c r="L3623" i="6"/>
  <c r="N3623" i="6"/>
  <c r="N3627" i="6"/>
  <c r="M3627" i="6"/>
  <c r="L3631" i="6"/>
  <c r="N3631" i="6"/>
  <c r="K3635" i="6"/>
  <c r="L3635" i="6"/>
  <c r="N3643" i="6"/>
  <c r="M3643" i="6"/>
  <c r="N3647" i="6"/>
  <c r="L3647" i="6"/>
  <c r="N3651" i="6"/>
  <c r="M3651" i="6"/>
  <c r="M3659" i="6"/>
  <c r="N3659" i="6"/>
  <c r="L3663" i="6"/>
  <c r="N3663" i="6"/>
  <c r="N3667" i="6"/>
  <c r="M3667" i="6"/>
  <c r="L3675" i="6"/>
  <c r="N3675" i="6"/>
  <c r="K3675" i="6"/>
  <c r="N3679" i="6"/>
  <c r="K3679" i="6"/>
  <c r="M3679" i="6"/>
  <c r="L3683" i="6"/>
  <c r="N3683" i="6"/>
  <c r="M3683" i="6"/>
  <c r="L3687" i="6"/>
  <c r="N3687" i="6"/>
  <c r="K3687" i="6"/>
  <c r="L3691" i="6"/>
  <c r="K3691" i="6"/>
  <c r="M3691" i="6"/>
  <c r="L3695" i="6"/>
  <c r="M3695" i="6"/>
  <c r="L3699" i="6"/>
  <c r="N3699" i="6"/>
  <c r="K3699" i="6"/>
  <c r="L3703" i="6"/>
  <c r="K3703" i="6"/>
  <c r="N3707" i="6"/>
  <c r="M3707" i="6"/>
  <c r="N3715" i="6"/>
  <c r="K3715" i="6"/>
  <c r="M3715" i="6"/>
  <c r="L3723" i="6"/>
  <c r="M3723" i="6"/>
  <c r="L3735" i="6"/>
  <c r="M3735" i="6"/>
  <c r="N3743" i="6"/>
  <c r="K3743" i="6"/>
  <c r="M3743" i="6"/>
  <c r="N3747" i="6"/>
  <c r="M3747" i="6"/>
  <c r="L3759" i="6"/>
  <c r="M3759" i="6"/>
  <c r="L3763" i="6"/>
  <c r="K3763" i="6"/>
  <c r="N3763" i="6"/>
  <c r="L3767" i="6"/>
  <c r="K3767" i="6"/>
  <c r="M3767" i="6"/>
  <c r="N3775" i="6"/>
  <c r="K3775" i="6"/>
  <c r="M3775" i="6"/>
  <c r="M3779" i="6"/>
  <c r="N3779" i="6"/>
  <c r="L3783" i="6"/>
  <c r="N3783" i="6"/>
  <c r="L3787" i="6"/>
  <c r="M3787" i="6"/>
  <c r="M3791" i="6"/>
  <c r="L3791" i="6"/>
  <c r="N3791" i="6"/>
  <c r="L3799" i="6"/>
  <c r="N3799" i="6"/>
  <c r="M3803" i="6"/>
  <c r="L3803" i="6"/>
  <c r="N3803" i="6"/>
  <c r="M3807" i="6"/>
  <c r="N3807" i="6"/>
  <c r="L3811" i="6"/>
  <c r="K3811" i="6"/>
  <c r="M3815" i="6"/>
  <c r="L3815" i="6"/>
  <c r="N3815" i="6"/>
  <c r="M3819" i="6"/>
  <c r="L3819" i="6"/>
  <c r="N3819" i="6"/>
  <c r="L3823" i="6"/>
  <c r="N3823" i="6"/>
  <c r="M3823" i="6"/>
  <c r="N3835" i="6"/>
  <c r="M3835" i="6"/>
  <c r="L3839" i="6"/>
  <c r="M3839" i="6"/>
  <c r="L3859" i="6"/>
  <c r="K3859" i="6"/>
  <c r="L3863" i="6"/>
  <c r="N3863" i="6"/>
  <c r="K3863" i="6"/>
  <c r="K56" i="6"/>
  <c r="M56" i="6" s="1"/>
  <c r="K381" i="6"/>
  <c r="M381" i="6" s="1"/>
  <c r="K377" i="6"/>
  <c r="M377" i="6" s="1"/>
  <c r="K373" i="6"/>
  <c r="M373" i="6" s="1"/>
  <c r="K369" i="6"/>
  <c r="M369" i="6" s="1"/>
  <c r="K365" i="6"/>
  <c r="M365" i="6" s="1"/>
  <c r="K361" i="6"/>
  <c r="M361" i="6" s="1"/>
  <c r="K357" i="6"/>
  <c r="M357" i="6" s="1"/>
  <c r="K349" i="6"/>
  <c r="M349" i="6" s="1"/>
  <c r="K345" i="6"/>
  <c r="M345" i="6" s="1"/>
  <c r="K341" i="6"/>
  <c r="M341" i="6" s="1"/>
  <c r="K337" i="6"/>
  <c r="M337" i="6" s="1"/>
  <c r="K333" i="6"/>
  <c r="M333" i="6" s="1"/>
  <c r="K329" i="6"/>
  <c r="M329" i="6" s="1"/>
  <c r="K325" i="6"/>
  <c r="M325" i="6" s="1"/>
  <c r="K313" i="6"/>
  <c r="M313" i="6" s="1"/>
  <c r="K309" i="6"/>
  <c r="M309" i="6" s="1"/>
  <c r="K305" i="6"/>
  <c r="M305" i="6" s="1"/>
  <c r="K301" i="6"/>
  <c r="M301" i="6" s="1"/>
  <c r="K297" i="6"/>
  <c r="M297" i="6" s="1"/>
  <c r="K293" i="6"/>
  <c r="M293" i="6" s="1"/>
  <c r="K289" i="6"/>
  <c r="M289" i="6" s="1"/>
  <c r="K285" i="6"/>
  <c r="M285" i="6" s="1"/>
  <c r="K281" i="6"/>
  <c r="M281" i="6" s="1"/>
  <c r="K277" i="6"/>
  <c r="M277" i="6" s="1"/>
  <c r="K273" i="6"/>
  <c r="M273" i="6" s="1"/>
  <c r="K269" i="6"/>
  <c r="M269" i="6" s="1"/>
  <c r="K265" i="6"/>
  <c r="M265" i="6" s="1"/>
  <c r="K261" i="6"/>
  <c r="M261" i="6" s="1"/>
  <c r="K257" i="6"/>
  <c r="M257" i="6" s="1"/>
  <c r="K253" i="6"/>
  <c r="M253" i="6" s="1"/>
  <c r="K249" i="6"/>
  <c r="M249" i="6" s="1"/>
  <c r="K245" i="6"/>
  <c r="M245" i="6" s="1"/>
  <c r="K241" i="6"/>
  <c r="M241" i="6" s="1"/>
  <c r="K237" i="6"/>
  <c r="M237" i="6" s="1"/>
  <c r="K233" i="6"/>
  <c r="M233" i="6" s="1"/>
  <c r="K229" i="6"/>
  <c r="M229" i="6" s="1"/>
  <c r="K225" i="6"/>
  <c r="M225" i="6" s="1"/>
  <c r="K221" i="6"/>
  <c r="M221" i="6" s="1"/>
  <c r="K217" i="6"/>
  <c r="M217" i="6" s="1"/>
  <c r="K213" i="6"/>
  <c r="M213" i="6" s="1"/>
  <c r="K209" i="6"/>
  <c r="M209" i="6" s="1"/>
  <c r="K205" i="6"/>
  <c r="M205" i="6" s="1"/>
  <c r="K201" i="6"/>
  <c r="M201" i="6" s="1"/>
  <c r="K197" i="6"/>
  <c r="M197" i="6" s="1"/>
  <c r="K193" i="6"/>
  <c r="M193" i="6" s="1"/>
  <c r="K189" i="6"/>
  <c r="M189" i="6" s="1"/>
  <c r="K185" i="6"/>
  <c r="M185" i="6" s="1"/>
  <c r="K181" i="6"/>
  <c r="M181" i="6" s="1"/>
  <c r="K169" i="6"/>
  <c r="M169" i="6" s="1"/>
  <c r="K165" i="6"/>
  <c r="M165" i="6" s="1"/>
  <c r="K161" i="6"/>
  <c r="M161" i="6" s="1"/>
  <c r="K157" i="6"/>
  <c r="M157" i="6" s="1"/>
  <c r="K153" i="6"/>
  <c r="M153" i="6" s="1"/>
  <c r="K149" i="6"/>
  <c r="M149" i="6" s="1"/>
  <c r="K137" i="6"/>
  <c r="M137" i="6" s="1"/>
  <c r="K133" i="6"/>
  <c r="M133" i="6" s="1"/>
  <c r="K129" i="6"/>
  <c r="M129" i="6" s="1"/>
  <c r="K125" i="6"/>
  <c r="M125" i="6" s="1"/>
  <c r="K121" i="6"/>
  <c r="M121" i="6" s="1"/>
  <c r="K117" i="6"/>
  <c r="M117" i="6" s="1"/>
  <c r="K113" i="6"/>
  <c r="M113" i="6" s="1"/>
  <c r="K109" i="6"/>
  <c r="M109" i="6" s="1"/>
  <c r="K105" i="6"/>
  <c r="M105" i="6" s="1"/>
  <c r="K101" i="6"/>
  <c r="M101" i="6" s="1"/>
  <c r="K97" i="6"/>
  <c r="M97" i="6" s="1"/>
  <c r="K93" i="6"/>
  <c r="M93" i="6" s="1"/>
  <c r="K73" i="6"/>
  <c r="M73" i="6" s="1"/>
  <c r="K3978" i="6"/>
  <c r="L82" i="6"/>
  <c r="N82" i="6" s="1"/>
  <c r="L78" i="6"/>
  <c r="N78" i="6" s="1"/>
  <c r="L74" i="6"/>
  <c r="N74" i="6" s="1"/>
  <c r="K86" i="6"/>
  <c r="M86" i="6" s="1"/>
  <c r="K39" i="6"/>
  <c r="M39" i="6" s="1"/>
  <c r="K27" i="6"/>
  <c r="M27" i="6" s="1"/>
  <c r="K23" i="6"/>
  <c r="M23" i="6" s="1"/>
  <c r="K11" i="6"/>
  <c r="M11" i="6" s="1"/>
  <c r="K7" i="6"/>
  <c r="L3371" i="6"/>
  <c r="L3351" i="6"/>
  <c r="L52" i="6"/>
  <c r="N52" i="6" s="1"/>
  <c r="L3383" i="6"/>
  <c r="N334" i="6"/>
  <c r="N366" i="6"/>
  <c r="L3147" i="6"/>
  <c r="K3147" i="6"/>
  <c r="L3151" i="6"/>
  <c r="K3151" i="6"/>
  <c r="L3163" i="6"/>
  <c r="K3163" i="6"/>
  <c r="L3175" i="6"/>
  <c r="K3175" i="6"/>
  <c r="L3179" i="6"/>
  <c r="K3179" i="6"/>
  <c r="L3311" i="6"/>
  <c r="K3311" i="6"/>
  <c r="L3319" i="6"/>
  <c r="K3319" i="6"/>
  <c r="K3327" i="6"/>
  <c r="L3327" i="6"/>
  <c r="K3335" i="6"/>
  <c r="L3335" i="6"/>
  <c r="L3355" i="6"/>
  <c r="K3355" i="6"/>
  <c r="L3359" i="6"/>
  <c r="K3359" i="6"/>
  <c r="K3783" i="6"/>
  <c r="K3771" i="6"/>
  <c r="K3683" i="6"/>
  <c r="K3367" i="6"/>
  <c r="K3331" i="6"/>
  <c r="K3275" i="6"/>
  <c r="K88" i="6"/>
  <c r="M88" i="6" s="1"/>
  <c r="K76" i="6"/>
  <c r="M76" i="6" s="1"/>
  <c r="K1235" i="6"/>
  <c r="K1219" i="6"/>
  <c r="K1203" i="6"/>
  <c r="K1187" i="6"/>
  <c r="K1171" i="6"/>
  <c r="K1155" i="6"/>
  <c r="K1139" i="6"/>
  <c r="K1123" i="6"/>
  <c r="K1107" i="6"/>
  <c r="K1091" i="6"/>
  <c r="K1075" i="6"/>
  <c r="K919" i="6"/>
  <c r="M919" i="6" s="1"/>
  <c r="K915" i="6"/>
  <c r="M915" i="6" s="1"/>
  <c r="K871" i="6"/>
  <c r="M871" i="6" s="1"/>
  <c r="K863" i="6"/>
  <c r="M863" i="6" s="1"/>
  <c r="K855" i="6"/>
  <c r="M855" i="6" s="1"/>
  <c r="K847" i="6"/>
  <c r="M847" i="6" s="1"/>
  <c r="K843" i="6"/>
  <c r="M843" i="6" s="1"/>
  <c r="K835" i="6"/>
  <c r="M835" i="6" s="1"/>
  <c r="K827" i="6"/>
  <c r="M827" i="6" s="1"/>
  <c r="K819" i="6"/>
  <c r="M819" i="6" s="1"/>
  <c r="K63" i="6"/>
  <c r="M63" i="6" s="1"/>
  <c r="K3219" i="6"/>
  <c r="K98" i="6"/>
  <c r="M98" i="6" s="1"/>
  <c r="L102" i="6"/>
  <c r="K102" i="6"/>
  <c r="M102" i="6" s="1"/>
  <c r="L110" i="6"/>
  <c r="N110" i="6" s="1"/>
  <c r="K110" i="6"/>
  <c r="M110" i="6" s="1"/>
  <c r="K114" i="6"/>
  <c r="M114" i="6" s="1"/>
  <c r="K118" i="6"/>
  <c r="M118" i="6" s="1"/>
  <c r="L118" i="6"/>
  <c r="N118" i="6" s="1"/>
  <c r="N122" i="6"/>
  <c r="K122" i="6"/>
  <c r="M122" i="6" s="1"/>
  <c r="K138" i="6"/>
  <c r="M138" i="6" s="1"/>
  <c r="K142" i="6"/>
  <c r="M142" i="6" s="1"/>
  <c r="L142" i="6"/>
  <c r="N142" i="6" s="1"/>
  <c r="N146" i="6"/>
  <c r="K146" i="6"/>
  <c r="M146" i="6" s="1"/>
  <c r="K150" i="6"/>
  <c r="M150" i="6" s="1"/>
  <c r="L150" i="6"/>
  <c r="N150" i="6" s="1"/>
  <c r="N154" i="6"/>
  <c r="K154" i="6"/>
  <c r="M154" i="6" s="1"/>
  <c r="K158" i="6"/>
  <c r="M158" i="6" s="1"/>
  <c r="L158" i="6"/>
  <c r="K162" i="6"/>
  <c r="M162" i="6" s="1"/>
  <c r="N170" i="6"/>
  <c r="K170" i="6"/>
  <c r="M170" i="6" s="1"/>
  <c r="K174" i="6"/>
  <c r="M174" i="6" s="1"/>
  <c r="L174" i="6"/>
  <c r="N174" i="6" s="1"/>
  <c r="K194" i="6"/>
  <c r="M194" i="6" s="1"/>
  <c r="K198" i="6"/>
  <c r="M198" i="6" s="1"/>
  <c r="L198" i="6"/>
  <c r="N198" i="6" s="1"/>
  <c r="N202" i="6"/>
  <c r="K202" i="6"/>
  <c r="M202" i="6" s="1"/>
  <c r="K206" i="6"/>
  <c r="M206" i="6" s="1"/>
  <c r="L206" i="6"/>
  <c r="N206" i="6" s="1"/>
  <c r="L226" i="6"/>
  <c r="N226" i="6" s="1"/>
  <c r="K226" i="6"/>
  <c r="M226" i="6" s="1"/>
  <c r="K290" i="6"/>
  <c r="M290" i="6" s="1"/>
  <c r="L290" i="6"/>
  <c r="N290" i="6" s="1"/>
  <c r="K298" i="6"/>
  <c r="M298" i="6" s="1"/>
  <c r="L298" i="6"/>
  <c r="N298" i="6" s="1"/>
  <c r="L306" i="6"/>
  <c r="N306" i="6" s="1"/>
  <c r="L314" i="6"/>
  <c r="N314" i="6" s="1"/>
  <c r="M322" i="6"/>
  <c r="L322" i="6"/>
  <c r="N322" i="6" s="1"/>
  <c r="L330" i="6"/>
  <c r="N330" i="6" s="1"/>
  <c r="K330" i="6"/>
  <c r="M330" i="6" s="1"/>
  <c r="L338" i="6"/>
  <c r="N338" i="6" s="1"/>
  <c r="K338" i="6"/>
  <c r="M338" i="6" s="1"/>
  <c r="L346" i="6"/>
  <c r="N346" i="6" s="1"/>
  <c r="K354" i="6"/>
  <c r="M354" i="6" s="1"/>
  <c r="L354" i="6"/>
  <c r="N354" i="6" s="1"/>
  <c r="L362" i="6"/>
  <c r="N362" i="6" s="1"/>
  <c r="K362" i="6"/>
  <c r="M362" i="6" s="1"/>
  <c r="L370" i="6"/>
  <c r="N370" i="6" s="1"/>
  <c r="K370" i="6"/>
  <c r="M370" i="6" s="1"/>
  <c r="L378" i="6"/>
  <c r="N378" i="6" s="1"/>
  <c r="K386" i="6"/>
  <c r="M386" i="6" s="1"/>
  <c r="L386" i="6"/>
  <c r="N386" i="6" s="1"/>
  <c r="L394" i="6"/>
  <c r="N394" i="6" s="1"/>
  <c r="K394" i="6"/>
  <c r="M394" i="6" s="1"/>
  <c r="L402" i="6"/>
  <c r="N402" i="6" s="1"/>
  <c r="K402" i="6"/>
  <c r="M402" i="6" s="1"/>
  <c r="K410" i="6"/>
  <c r="M410" i="6" s="1"/>
  <c r="L410" i="6"/>
  <c r="N410" i="6" s="1"/>
  <c r="L418" i="6"/>
  <c r="N418" i="6" s="1"/>
  <c r="K418" i="6"/>
  <c r="M418" i="6" s="1"/>
  <c r="K730" i="6"/>
  <c r="M730" i="6" s="1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K334" i="6"/>
  <c r="M334" i="6" s="1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K378" i="6"/>
  <c r="M378" i="6" s="1"/>
  <c r="K306" i="6"/>
  <c r="M306" i="6" s="1"/>
  <c r="K166" i="6"/>
  <c r="M166" i="6" s="1"/>
  <c r="K5" i="6"/>
  <c r="M5" i="6" s="1"/>
  <c r="K1063" i="6"/>
  <c r="M1063" i="6" s="1"/>
  <c r="K1059" i="6"/>
  <c r="M1059" i="6" s="1"/>
  <c r="K995" i="6"/>
  <c r="M995" i="6" s="1"/>
  <c r="K983" i="6"/>
  <c r="M983" i="6" s="1"/>
  <c r="K979" i="6"/>
  <c r="M979" i="6" s="1"/>
  <c r="K967" i="6"/>
  <c r="M967" i="6" s="1"/>
  <c r="K951" i="6"/>
  <c r="M951" i="6" s="1"/>
  <c r="K947" i="6"/>
  <c r="M947" i="6" s="1"/>
  <c r="K72" i="6"/>
  <c r="M72" i="6" s="1"/>
  <c r="K68" i="6"/>
  <c r="M68" i="6" s="1"/>
  <c r="K89" i="6"/>
  <c r="M89" i="6" s="1"/>
  <c r="K85" i="6"/>
  <c r="M85" i="6" s="1"/>
  <c r="K77" i="6"/>
  <c r="M77" i="6" s="1"/>
  <c r="K69" i="6"/>
  <c r="M69" i="6" s="1"/>
  <c r="K65" i="6"/>
  <c r="M65" i="6" s="1"/>
  <c r="K61" i="6"/>
  <c r="K87" i="6"/>
  <c r="M87" i="6" s="1"/>
  <c r="K83" i="6"/>
  <c r="M83" i="6" s="1"/>
  <c r="K79" i="6"/>
  <c r="M79" i="6" s="1"/>
  <c r="K75" i="6"/>
  <c r="M75" i="6" s="1"/>
  <c r="K40" i="6"/>
  <c r="M40" i="6" s="1"/>
  <c r="K36" i="6"/>
  <c r="M36" i="6" s="1"/>
  <c r="K16" i="6"/>
  <c r="M16" i="6" s="1"/>
  <c r="K66" i="6"/>
  <c r="M66" i="6" s="1"/>
  <c r="K44" i="6"/>
  <c r="M44" i="6" s="1"/>
  <c r="M20" i="6"/>
  <c r="K32" i="6"/>
  <c r="M32" i="6" s="1"/>
  <c r="K28" i="6"/>
  <c r="M28" i="6" s="1"/>
  <c r="K24" i="6"/>
  <c r="M24" i="6" s="1"/>
  <c r="K12" i="6"/>
  <c r="M12" i="6" s="1"/>
  <c r="K8" i="6"/>
  <c r="M8" i="6" s="1"/>
  <c r="K4" i="6"/>
  <c r="M4" i="6" s="1"/>
  <c r="M223" i="6"/>
  <c r="M207" i="6"/>
  <c r="M175" i="6"/>
  <c r="M159" i="6"/>
  <c r="M143" i="6"/>
  <c r="M111" i="6"/>
  <c r="M355" i="6"/>
  <c r="M315" i="6"/>
  <c r="M299" i="6"/>
  <c r="M203" i="6"/>
  <c r="M155" i="6"/>
  <c r="M139" i="6"/>
  <c r="M123" i="6"/>
  <c r="M107" i="6"/>
  <c r="M61" i="6"/>
  <c r="M31" i="6"/>
  <c r="M19" i="6"/>
  <c r="M15" i="6"/>
  <c r="M7" i="6"/>
  <c r="M3" i="6"/>
  <c r="N2" i="6"/>
</calcChain>
</file>

<file path=xl/sharedStrings.xml><?xml version="1.0" encoding="utf-8"?>
<sst xmlns="http://schemas.openxmlformats.org/spreadsheetml/2006/main" count="16883" uniqueCount="2988">
  <si>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</si>
  <si>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</si>
  <si>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</si>
  <si>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</si>
  <si>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</si>
  <si>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</si>
  <si>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</si>
  <si>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</si>
  <si>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</si>
  <si>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</si>
  <si>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</si>
  <si>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</si>
  <si>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</si>
  <si>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</si>
  <si>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</si>
  <si>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</si>
  <si>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</si>
  <si>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</si>
  <si>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</si>
  <si>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</si>
  <si>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</si>
  <si>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</si>
  <si>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</si>
  <si>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</si>
  <si>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</si>
  <si>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</si>
  <si>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</si>
  <si>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</si>
  <si>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</si>
  <si>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</si>
  <si>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</si>
  <si>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</si>
  <si>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</si>
  <si>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</si>
  <si>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</si>
  <si>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</si>
  <si>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</si>
  <si>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</si>
  <si>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</si>
  <si>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</si>
  <si>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</si>
  <si>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</si>
  <si>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</si>
  <si>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</si>
  <si>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</si>
  <si>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</si>
  <si>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</si>
  <si>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</si>
  <si>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</si>
  <si>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BR_AAF_DSY_PRESA_ND_NC_2019Q1FEB_TCR_Pre-Venda-T-Cross</t>
  </si>
  <si>
    <t>Google Brasil</t>
  </si>
  <si>
    <t>BR_AAF_SOC_NONMS_ND_AS_2019Q1FEB_RNG_BrandedContent</t>
  </si>
  <si>
    <t>Facebook</t>
  </si>
  <si>
    <t>alp_BrandedContent_facebook_social_gesture_control_newsfeed_cpm_prospecting_pagepost_gesture_control_AMC-open</t>
  </si>
  <si>
    <t>228026362</t>
  </si>
  <si>
    <t>426180193</t>
  </si>
  <si>
    <t>alp_BrandedContent_facebook_social_howto_newsfeed_cpm_prospecting_pagepost_polo_lancamento_polo_amc</t>
  </si>
  <si>
    <t>220279175</t>
  </si>
  <si>
    <t>418647357</t>
  </si>
  <si>
    <t>alp_BrandedContent_facebook_social_seguranca_newsfeed_cpm_prospecting_pagepost_Bebe_AMC-open</t>
  </si>
  <si>
    <t>234784559</t>
  </si>
  <si>
    <t>432608743</t>
  </si>
  <si>
    <t>alp_BrandedContent_facebook_social_seguranca_newsfeed_cpm_prospecting_pagepost_Corredor_AMC-open</t>
  </si>
  <si>
    <t>234784568</t>
  </si>
  <si>
    <t>432608752</t>
  </si>
  <si>
    <t>alp_BrandedContent_facebook_social_timelines_newsfeed_cpm_prospecting_carrossel_golf-10-07_AMC-open</t>
  </si>
  <si>
    <t>228468725</t>
  </si>
  <si>
    <t>426655131</t>
  </si>
  <si>
    <t>(not set)</t>
  </si>
  <si>
    <t>alp_BrandedContent_facebook_social_timelines_newsfeed_cpm_prospecting_pagepost_Premios-tiguan-consumidores-reais_AMC-open</t>
  </si>
  <si>
    <t>236930093</t>
  </si>
  <si>
    <t>434399278</t>
  </si>
  <si>
    <t>alp_BrandedContent_facebook_social_timelines_newsfeed_cpm_prospecting_pagepost_Virtus-360-180314_AMC-Virtus-BETA</t>
  </si>
  <si>
    <t>216106658</t>
  </si>
  <si>
    <t>415062382</t>
  </si>
  <si>
    <t>alp_BrandedContent_facebook_social_timelines_newsfeed_cpm_prospecting_pagepost_Virtus-360_AMC-Virtus-BETA</t>
  </si>
  <si>
    <t>215057529</t>
  </si>
  <si>
    <t>414119548</t>
  </si>
  <si>
    <t>alp_BrandedContent_facebook_social_timelines_newsfeed_cpm_prospecting_pagepost_sensor-de-fadiga_AMC-open</t>
  </si>
  <si>
    <t>227583598</t>
  </si>
  <si>
    <t>425618574</t>
  </si>
  <si>
    <t>alp_BrandedContent_facebook_social_timelines_newsfeed_cpm_prospecting_pagepost_trainee_AMC-open</t>
  </si>
  <si>
    <t>228043067</t>
  </si>
  <si>
    <t>426195341</t>
  </si>
  <si>
    <t>alp_BrandedContent_facebook_social_timelines_newsfeed_cpv_prospecting_pagepost_novo_polo_AMC-open</t>
  </si>
  <si>
    <t>221781584</t>
  </si>
  <si>
    <t>420191869</t>
  </si>
  <si>
    <t>Google - YouTube</t>
  </si>
  <si>
    <t>TEADS</t>
  </si>
  <si>
    <t>alp_BrandedContent_teads_social_T-Cross_newsfeed_cpv_view_video_Video-7_WalkAround</t>
  </si>
  <si>
    <t>238636353</t>
  </si>
  <si>
    <t>435546563</t>
  </si>
  <si>
    <t>alp_BrandedContent_teads_social_T-Cross_newsfeed_cpv_view_video_Video-8_WalkAround</t>
  </si>
  <si>
    <t>238292876</t>
  </si>
  <si>
    <t>435546560</t>
  </si>
  <si>
    <t>faceinsta</t>
  </si>
  <si>
    <t>alp_BC_faceinsta_social_timelines_newsfeed_cpm_prospecting_pagepost_Virtus-Foto_AMC-AUTENTICO</t>
  </si>
  <si>
    <t>213305838</t>
  </si>
  <si>
    <t>412394541</t>
  </si>
  <si>
    <t>instagram.com</t>
  </si>
  <si>
    <t>alp_BrandedContent_instagram_social_T-Cross_newsfeed_cpv_alcance_stories_Video-3_WalkAround</t>
  </si>
  <si>
    <t>238273976</t>
  </si>
  <si>
    <t>435533703</t>
  </si>
  <si>
    <t>alp_BrandedContent_instagram_social_T-Cross_newsfeed_cpv_view_video_Video-7_WalkAround</t>
  </si>
  <si>
    <t>238273925</t>
  </si>
  <si>
    <t>435533652</t>
  </si>
  <si>
    <t>alp_BrandedContent_instagram_social_jetta_newsfeed_cpm_prospecting_pagepost_novo-jetta_AMC-open</t>
  </si>
  <si>
    <t>232554535</t>
  </si>
  <si>
    <t>430232499</t>
  </si>
  <si>
    <t>BR_IMC_DSY_PRESA_ND_NC_2019Q1FEB_TCR_Pre-Venda-T-Cross</t>
  </si>
  <si>
    <t>BR_VW_TCR_dv360-uol_DIS_PROG_CPM_STD__IMC_HTO_CXD_Pre-Venda-Tcross-AMC-Tcross_PD_1190x250-1190x460</t>
  </si>
  <si>
    <t>240760095</t>
  </si>
  <si>
    <t>437502530</t>
  </si>
  <si>
    <t>BR_VW_TCR_dv360-uol_MOB_PROG_CPM_STD_MPU_IMC_HTO_CXD_Pre-Venda-Tcross-AMC-Tcross_PD_300x450</t>
  </si>
  <si>
    <t>240758661</t>
  </si>
  <si>
    <t>437502536</t>
  </si>
  <si>
    <t>300x250 Default Web Ad</t>
  </si>
  <si>
    <t>320x50 Default Web Ad</t>
  </si>
  <si>
    <t>Oath BR</t>
  </si>
  <si>
    <t>BR_VW_TCR_oath_DIS_DRCT_CPM_CLK_SRB_IMC_RON_CXD_Pre-Venda-Tcross-AMC-Tcross_PD_1200x675</t>
  </si>
  <si>
    <t>240503012</t>
  </si>
  <si>
    <t>437587771</t>
  </si>
  <si>
    <t>BR_VW_TCR_oath_DIS_DRCT_CPM_CLK__IMC_RON_CXD_Pre-Venda-Tcross-AMC-Tcross_PD_627x627</t>
  </si>
  <si>
    <t>240502745</t>
  </si>
  <si>
    <t>437539160</t>
  </si>
  <si>
    <t>BR_IMC_SOC_PRESA_ND_NC_2019Q1FEB_TCR_Pre-Venda-T-Cross</t>
  </si>
  <si>
    <t>BR_VW_TCR_faceinsta_SOC_DRCT_CPM_CLK_SRB_IMC_ROS_CXD_Pre-Venda-Tcross-AMC-Tcross_PD_1200x628</t>
  </si>
  <si>
    <t>240533722</t>
  </si>
  <si>
    <t>437461146</t>
  </si>
  <si>
    <t>BR_TAT_DSY_NONMS_ND_NC_2019Q1FEB_RNG_AlwaysOn</t>
  </si>
  <si>
    <t>BR_VW_RNG_dv360_DIS_PROG_CPM_STD_SKY_TAT_RON_CXD_PosLead-PosLead_PD_300x600</t>
  </si>
  <si>
    <t>239997232</t>
  </si>
  <si>
    <t>437045561</t>
  </si>
  <si>
    <t>yahoo.com.br</t>
  </si>
  <si>
    <t>alp_AlwaysOn</t>
  </si>
  <si>
    <t>BR MSN.</t>
  </si>
  <si>
    <t>GDN</t>
  </si>
  <si>
    <t>alp_AlwaysOn_gdn_network_gsp_gsppatrocinado_cpc_prospecting_1200x1200_Ano-Novo_na</t>
  </si>
  <si>
    <t>240289178</t>
  </si>
  <si>
    <t>437296836</t>
  </si>
  <si>
    <t>alp_AlwaysOn_gdn_network_gsp_gsppatrocinado_cpc_remarketing_1200x1200_Fox-Xtreme_na</t>
  </si>
  <si>
    <t>228026671</t>
  </si>
  <si>
    <t>426185983</t>
  </si>
  <si>
    <t>alp_AlwaysOn_gdn_network_gsp_gsppatrocinado_cpc_remarketing_1200x1200_Gol_na</t>
  </si>
  <si>
    <t>228023230</t>
  </si>
  <si>
    <t>426105353</t>
  </si>
  <si>
    <t>alp_AlwaysOn_gdn_network_gsp_gsppatrocinado_cpc_remarketing_1200x1200_Jetta_na</t>
  </si>
  <si>
    <t>240152680</t>
  </si>
  <si>
    <t>437109891</t>
  </si>
  <si>
    <t>alp_AlwaysOn_gdn_network_gsp_gsppatrocinado_cpc_remarketing_1200x1200_Passat_na</t>
  </si>
  <si>
    <t>230732168</t>
  </si>
  <si>
    <t>428604284</t>
  </si>
  <si>
    <t>alp_AlwaysOn_gdn_network_gsp_gsppatrocinado_cpc_remarketing_1200x1200_Voyage_na</t>
  </si>
  <si>
    <t>227936651</t>
  </si>
  <si>
    <t>426103898</t>
  </si>
  <si>
    <t>alp_AlwaysOn_gdn_network_gsp_gsppatrocinado_cpc_remarketing_1200x1200_up!-Pepper_na</t>
  </si>
  <si>
    <t>240374847</t>
  </si>
  <si>
    <t>437203012</t>
  </si>
  <si>
    <t>alp_AlwaysOn_gdn_network_smart-display_smart-display_cpc_prospecting_smart-display_prospecting_na</t>
  </si>
  <si>
    <t>227903815</t>
  </si>
  <si>
    <t>426001554</t>
  </si>
  <si>
    <t>GSD</t>
  </si>
  <si>
    <t>alp_AlwaysOn_gsd_network_smart-display_smart-display_cpc_na_smart-display_prospecting_na</t>
  </si>
  <si>
    <t>233468515</t>
  </si>
  <si>
    <t>431205523</t>
  </si>
  <si>
    <t>alp_AlwaysOn_dbm_network_native-ads_dbm-native_cpm_prospecting_nativeads_Amarok-Prospect_na</t>
  </si>
  <si>
    <t>228878582</t>
  </si>
  <si>
    <t>427031720</t>
  </si>
  <si>
    <t>alp_AlwaysOn_dbm_network_native-ads_dbm-native_cpm_prospecting_nativeads_FoxConnect-Prospect_na</t>
  </si>
  <si>
    <t>228878579</t>
  </si>
  <si>
    <t>427031717</t>
  </si>
  <si>
    <t>alp_AlwaysOn_dbm_network_native-ads_dbm-native_cpm_prospecting_nativeads_FoxXtreme-Prospect_na</t>
  </si>
  <si>
    <t>228878576</t>
  </si>
  <si>
    <t>427031714</t>
  </si>
  <si>
    <t>alp_AlwaysOn_dbm_network_native-ads_dbm-native_cpm_prospecting_nativeads_Gol-Prospect_na</t>
  </si>
  <si>
    <t>228878573</t>
  </si>
  <si>
    <t>427031711</t>
  </si>
  <si>
    <t>alp_AlwaysOn_dbm_network_native-ads_dbm-native_cpm_prospecting_nativeads_Jetta-Prospect_na</t>
  </si>
  <si>
    <t>228878567</t>
  </si>
  <si>
    <t>427031705</t>
  </si>
  <si>
    <t>alp_AlwaysOn_dbm_network_native-ads_dbm-native_cpm_prospecting_nativeads_Passat-Prospect_na</t>
  </si>
  <si>
    <t>228878564</t>
  </si>
  <si>
    <t>427031702</t>
  </si>
  <si>
    <t>alp_AlwaysOn_dbm_network_native-ads_dbm-native_cpm_prospecting_nativeads_Polo-Prospect_na</t>
  </si>
  <si>
    <t>228878561</t>
  </si>
  <si>
    <t>427031699</t>
  </si>
  <si>
    <t>alp_AlwaysOn_dbm_network_native-ads_dbm-native_cpm_prospecting_nativeads_Saveiro-Prospect_na</t>
  </si>
  <si>
    <t>228878558</t>
  </si>
  <si>
    <t>427031696</t>
  </si>
  <si>
    <t>alp_AlwaysOn_dbm_network_native-ads_dbm-native_cpm_prospecting_nativeads_SaveiroPepper-Prospect_na</t>
  </si>
  <si>
    <t>228878555</t>
  </si>
  <si>
    <t>427031693</t>
  </si>
  <si>
    <t>alp_AlwaysOn_dbm_network_native-ads_dbm-native_cpm_prospecting_nativeads_Tiguan-Prospect_na</t>
  </si>
  <si>
    <t>232437873</t>
  </si>
  <si>
    <t>429893282</t>
  </si>
  <si>
    <t>alp_AlwaysOn_dbm_network_native-ads_dbm-native_cpm_prospecting_nativeads_UP-Prospect_na</t>
  </si>
  <si>
    <t>228878549</t>
  </si>
  <si>
    <t>alp_AlwaysOn_yahoo_horizontal_native-ads_native_cpc_prospecting_nativeads_Tiguan-Prospect_na</t>
  </si>
  <si>
    <t>427031687</t>
  </si>
  <si>
    <t>alp_AlwaysOn_dbm_network_native-ads_dbm-native_cpm_prospecting_nativeads_UPPepper-Prospect_na</t>
  </si>
  <si>
    <t>228878546</t>
  </si>
  <si>
    <t>427031684</t>
  </si>
  <si>
    <t>alp_AlwaysOn_dbm_network_native-ads_dbm-native_cpm_prospecting_nativeads_Virtus-Prospect_na</t>
  </si>
  <si>
    <t>228878543</t>
  </si>
  <si>
    <t>427031681</t>
  </si>
  <si>
    <t>alp_AlwaysOn_dbm_network_native-ads_dbm-native_cpm_prospecting_nativeads_Voyage-Prospect_na</t>
  </si>
  <si>
    <t>228878540</t>
  </si>
  <si>
    <t>427031678</t>
  </si>
  <si>
    <t>alp_AlwaysOn_dbm_network_native-ads_dbm-native_cpm_remarketing_nativeads_Amarok-Rmkt_na</t>
  </si>
  <si>
    <t>228878537</t>
  </si>
  <si>
    <t>427031675</t>
  </si>
  <si>
    <t>alp_AlwaysOn_dbm_network_native-ads_dbm-native_cpm_remarketing_nativeads_FoxConnect-Rmkt_na</t>
  </si>
  <si>
    <t>228878534</t>
  </si>
  <si>
    <t>427031672</t>
  </si>
  <si>
    <t>alp_AlwaysOn_dbm_network_native-ads_dbm-native_cpm_remarketing_nativeads_FoxXtreme-Rmkt_na</t>
  </si>
  <si>
    <t>228878531</t>
  </si>
  <si>
    <t>427031669</t>
  </si>
  <si>
    <t>alp_AlwaysOn_dbm_network_native-ads_dbm-native_cpm_remarketing_nativeads_Gol-Rmkt_na</t>
  </si>
  <si>
    <t>228878528</t>
  </si>
  <si>
    <t>427031666</t>
  </si>
  <si>
    <t>alp_AlwaysOn_dbm_network_native-ads_dbm-native_cpm_remarketing_nativeads_Golf-Rmkt_na</t>
  </si>
  <si>
    <t>228878525</t>
  </si>
  <si>
    <t>427031663</t>
  </si>
  <si>
    <t>alp_AlwaysOn_dbm_network_native-ads_dbm-native_cpm_remarketing_nativeads_Jetta-Rmkt_na</t>
  </si>
  <si>
    <t>228878522</t>
  </si>
  <si>
    <t>427031660</t>
  </si>
  <si>
    <t>alp_AlwaysOn_dbm_network_native-ads_dbm-native_cpm_remarketing_nativeads_Polo-Rmkt_na</t>
  </si>
  <si>
    <t>228878516</t>
  </si>
  <si>
    <t>427031654</t>
  </si>
  <si>
    <t>alp_AlwaysOn_dbm_network_native-ads_dbm-native_cpm_remarketing_nativeads_Saveiro-Rmkt_na</t>
  </si>
  <si>
    <t>228878513</t>
  </si>
  <si>
    <t>427031651</t>
  </si>
  <si>
    <t>alp_AlwaysOn_dbm_network_native-ads_dbm-native_cpm_remarketing_nativeads_SaveiroPepper-Rmkt_na</t>
  </si>
  <si>
    <t>228878510</t>
  </si>
  <si>
    <t>427031648</t>
  </si>
  <si>
    <t>alp_AlwaysOn_dbm_network_native-ads_dbm-native_cpm_remarketing_nativeads_Tiguan-Rmkt_na</t>
  </si>
  <si>
    <t>232437870</t>
  </si>
  <si>
    <t>429893285</t>
  </si>
  <si>
    <t>alp_AlwaysOn_dbm_network_native-ads_dbm-native_cpm_remarketing_nativeads_UP-Rmkt_na</t>
  </si>
  <si>
    <t>228878504</t>
  </si>
  <si>
    <t>427031642</t>
  </si>
  <si>
    <t>alp_AlwaysOn_dbm_network_native-ads_dbm-native_cpm_remarketing_nativeads_UPPepper-Rmkt_na</t>
  </si>
  <si>
    <t>228878501</t>
  </si>
  <si>
    <t>427031639</t>
  </si>
  <si>
    <t>alp_AlwaysOn_dbm_network_native-ads_dbm-native_cpm_remarketing_nativeads_Virtus-Rmkt_na</t>
  </si>
  <si>
    <t>228878498</t>
  </si>
  <si>
    <t>427031636</t>
  </si>
  <si>
    <t>alp_AlwaysOn_dbm_network_native-ads_dbm-native_cpm_remarketing_nativeads_Voyage-Rmkt_na</t>
  </si>
  <si>
    <t>228878495</t>
  </si>
  <si>
    <t>427031633</t>
  </si>
  <si>
    <t>alp_AlwaysOn_dbm_network_varejo_dbm-native_cpm_remarketing_nativeads_Black-Friday_na</t>
  </si>
  <si>
    <t>233487961</t>
  </si>
  <si>
    <t>431195779</t>
  </si>
  <si>
    <t>br.yahoo.com</t>
  </si>
  <si>
    <t>alp_AlwaysOn_yahoo_horizontal_dpa_native_cpc_remarketing_nativeads_FoxConnect-ViewContent_na</t>
  </si>
  <si>
    <t>228309970</t>
  </si>
  <si>
    <t>426395336</t>
  </si>
  <si>
    <t>alp_AlwaysOn_yahoo_horizontal_dpa_native_cpc_remarketing_nativeads_Gol-ViewContent_na</t>
  </si>
  <si>
    <t>228309964</t>
  </si>
  <si>
    <t>426395330</t>
  </si>
  <si>
    <t>alp_AlwaysOn_yahoo_horizontal_dpa_native_cpc_remarketing_nativeads_Jetta-ViewContent_na</t>
  </si>
  <si>
    <t>228309955</t>
  </si>
  <si>
    <t>426395321</t>
  </si>
  <si>
    <t>alp_AlwaysOn_yahoo_horizontal_dpa_native_cpc_remarketing_nativeads_Passat-ViewContent_na</t>
  </si>
  <si>
    <t>228488847</t>
  </si>
  <si>
    <t>426395318</t>
  </si>
  <si>
    <t>alp_AlwaysOn_yahoo_horizontal_dpa_native_cpc_remarketing_nativeads_Polo-ViewContent_na</t>
  </si>
  <si>
    <t>228488844</t>
  </si>
  <si>
    <t>426395315</t>
  </si>
  <si>
    <t>alp_AlwaysOn_yahoo_horizontal_dpa_native_cpc_remarketing_nativeads_Saveiro-ViewContent_na</t>
  </si>
  <si>
    <t>228488841</t>
  </si>
  <si>
    <t>426395312</t>
  </si>
  <si>
    <t>alp_AlwaysOn_yahoo_horizontal_dpa_native_cpc_remarketing_nativeads_Tiguan-ViewContent_na</t>
  </si>
  <si>
    <t>alp_AlwaysOn_yahoo_horizontal_dpa_native_cpc_remarketing_nativeads_UP-ViewContent_na</t>
  </si>
  <si>
    <t>228488832</t>
  </si>
  <si>
    <t>426395303</t>
  </si>
  <si>
    <t>alp_AlwaysOn_yahoo_horizontal_dpa_native_cpc_remarketing_nativeads_Virtus-ViewContent_na</t>
  </si>
  <si>
    <t>228488826</t>
  </si>
  <si>
    <t>426395297</t>
  </si>
  <si>
    <t>alp_AlwaysOn_yahoo_horizontal_dpa_native_cpc_remarketing_nativeads_Voyage-ViewContent_na</t>
  </si>
  <si>
    <t>228488823</t>
  </si>
  <si>
    <t>426395294</t>
  </si>
  <si>
    <t>alp_AlwaysOn_yahoo_horizontal_native-ads_native_cpc_prospecting_nativeads_FoxConnect-Prospect_na</t>
  </si>
  <si>
    <t>231859048</t>
  </si>
  <si>
    <t>429612226</t>
  </si>
  <si>
    <t>alp_AlwaysOn_yahoo_horizontal_native-ads_native_cpc_prospecting_nativeads_FoxXtreme-Prospect_na</t>
  </si>
  <si>
    <t>231859042</t>
  </si>
  <si>
    <t>429612220</t>
  </si>
  <si>
    <t>alp_AlwaysOn_yahoo_horizontal_native-ads_native_cpc_prospecting_nativeads_Gol-Prospect_na</t>
  </si>
  <si>
    <t>231859036</t>
  </si>
  <si>
    <t>429612214</t>
  </si>
  <si>
    <t>alp_AlwaysOn_yahoo_horizontal_native-ads_native_cpc_prospecting_nativeads_Golf-Prospect_na</t>
  </si>
  <si>
    <t>231859030</t>
  </si>
  <si>
    <t>429612208</t>
  </si>
  <si>
    <t>alp_AlwaysOn_yahoo_horizontal_native-ads_native_cpc_prospecting_nativeads_Passat-Prospect_na</t>
  </si>
  <si>
    <t>231859024</t>
  </si>
  <si>
    <t>429612202</t>
  </si>
  <si>
    <t>alp_AlwaysOn_yahoo_horizontal_native-ads_native_cpc_prospecting_nativeads_Polo-Prospect_na</t>
  </si>
  <si>
    <t>234951501</t>
  </si>
  <si>
    <t>432383681</t>
  </si>
  <si>
    <t>alp_AlwaysOn_yahoo_horizontal_native-ads_native_cpc_prospecting_nativeads_Saveiro-Prospect_na</t>
  </si>
  <si>
    <t>231859018</t>
  </si>
  <si>
    <t>429612196</t>
  </si>
  <si>
    <t>alp_AlwaysOn_yahoo_horizontal_native-ads_native_cpc_prospecting_nativeads_SpaceFox-Prospect_na</t>
  </si>
  <si>
    <t>231859006</t>
  </si>
  <si>
    <t>429612184</t>
  </si>
  <si>
    <t>232437867</t>
  </si>
  <si>
    <t>429893288</t>
  </si>
  <si>
    <t>alp_AlwaysOn_yahoo_horizontal_native-ads_native_cpc_prospecting_nativeads_UP-Prospect_na</t>
  </si>
  <si>
    <t>231859000</t>
  </si>
  <si>
    <t>alp_AlwaysOn_yahoo_horizontal_native-ads_native_cpc_remarketing_nativeads_Tiguan-Rmkt_na</t>
  </si>
  <si>
    <t>429612178</t>
  </si>
  <si>
    <t>alp_AlwaysOn_yahoo_horizontal_native-ads_native_cpc_prospecting_nativeads_UPPepper-Prospect_na</t>
  </si>
  <si>
    <t>231858997</t>
  </si>
  <si>
    <t>429612175</t>
  </si>
  <si>
    <t>alp_AlwaysOn_yahoo_horizontal_native-ads_native_cpc_prospecting_nativeads_Voyage-Prospect_na</t>
  </si>
  <si>
    <t>231858991</t>
  </si>
  <si>
    <t>429612169</t>
  </si>
  <si>
    <t>alp_AlwaysOn_yahoo_horizontal_native-ads_native_cpc_remarketing_nativeads_FoxConnect-Rmkt_na</t>
  </si>
  <si>
    <t>231858988</t>
  </si>
  <si>
    <t>429612166</t>
  </si>
  <si>
    <t>alp_AlwaysOn_yahoo_horizontal_native-ads_native_cpc_remarketing_nativeads_FoxXtreme-Rmkt_na</t>
  </si>
  <si>
    <t>231858985</t>
  </si>
  <si>
    <t>429612163</t>
  </si>
  <si>
    <t>alp_AlwaysOn_yahoo_horizontal_native-ads_native_cpc_remarketing_nativeads_UP-Rmkt_na</t>
  </si>
  <si>
    <t>231859021</t>
  </si>
  <si>
    <t>429612199</t>
  </si>
  <si>
    <t>alp_AlwaysOn_yahoo_horizontal_native-ads_native_cpc_remarketing_nativeads_Voyage-Rmkt_na</t>
  </si>
  <si>
    <t>231859003</t>
  </si>
  <si>
    <t>429612181</t>
  </si>
  <si>
    <t>alp_AlwaysOn_DBM-Estrutura-2015</t>
  </si>
  <si>
    <t>always-on-Medio|google|dbm|120x600</t>
  </si>
  <si>
    <t>125063529</t>
  </si>
  <si>
    <t>120x600 Default Web Ad</t>
  </si>
  <si>
    <t>297951980</t>
  </si>
  <si>
    <t>120x600_GerouLead_Concessionarias_MEDIO</t>
  </si>
  <si>
    <t>297951358</t>
  </si>
  <si>
    <t>120x600_GerouRadar_Radar_MEDIO</t>
  </si>
  <si>
    <t>297953700</t>
  </si>
  <si>
    <t>120x600_Prospeccao_Institucional_Condicoes_Produto_MEDIO</t>
  </si>
  <si>
    <t>297947048</t>
  </si>
  <si>
    <t>120x600_ViuCarro_Features_Intencao_MEDIO</t>
  </si>
  <si>
    <t>302661358</t>
  </si>
  <si>
    <t>120x600_ViuCarro_Features_MEDIO</t>
  </si>
  <si>
    <t>297952203</t>
  </si>
  <si>
    <t>always-on-Medio|google|dbm|120x600_TESTE</t>
  </si>
  <si>
    <t>138030220</t>
  </si>
  <si>
    <t>always-on-Medio|google|dbm|160x600</t>
  </si>
  <si>
    <t>125063534</t>
  </si>
  <si>
    <t>160x600 Default Web Ad</t>
  </si>
  <si>
    <t>297953405</t>
  </si>
  <si>
    <t>160x600_GerouLead_Concessionarias_MEDIO</t>
  </si>
  <si>
    <t>297947052</t>
  </si>
  <si>
    <t>160x600_GerouRadar_Radar_MEDIO</t>
  </si>
  <si>
    <t>302818183</t>
  </si>
  <si>
    <t>160x600_Prospeccao_Institucional_Condicoes_Produto_MEDIO</t>
  </si>
  <si>
    <t>297953711</t>
  </si>
  <si>
    <t>160x600_ViuCarro_Features_Intencao_MEDIO</t>
  </si>
  <si>
    <t>302822197</t>
  </si>
  <si>
    <t>160x600_ViuCarro_Features_MEDIO</t>
  </si>
  <si>
    <t>297953410</t>
  </si>
  <si>
    <t>always-on-Medio|google|dbm|300x50</t>
  </si>
  <si>
    <t>125065153</t>
  </si>
  <si>
    <t>300x50 Default Web Ad</t>
  </si>
  <si>
    <t>297953347</t>
  </si>
  <si>
    <t>300x50_GerouLead_Concessionarias_MEDIO</t>
  </si>
  <si>
    <t>297953517</t>
  </si>
  <si>
    <t>300x50_GerouRadar_Radar_MEDIO</t>
  </si>
  <si>
    <t>302822868</t>
  </si>
  <si>
    <t>300x50_Prospeccao_Institucional_Condicoes_Produto_MEDIO</t>
  </si>
  <si>
    <t>297953426</t>
  </si>
  <si>
    <t>300x50_ViuCarro_Features_Intencao_MEDIO</t>
  </si>
  <si>
    <t>297954500</t>
  </si>
  <si>
    <t>300x50_ViuCarro_Features_MEDIO</t>
  </si>
  <si>
    <t>302824609</t>
  </si>
  <si>
    <t>always-on-Medio|google|dbm|320x50</t>
  </si>
  <si>
    <t>125065068</t>
  </si>
  <si>
    <t>297946946</t>
  </si>
  <si>
    <t>320x50_GerouLead_Concessionarias_MEDIO</t>
  </si>
  <si>
    <t>297949654</t>
  </si>
  <si>
    <t>320x50_GerouRadar_Radar_MEDIO</t>
  </si>
  <si>
    <t>302829129</t>
  </si>
  <si>
    <t>320x50_Prospeccao_Institucional_Condicoes_Produto_MEDIO</t>
  </si>
  <si>
    <t>297951897</t>
  </si>
  <si>
    <t>320x50_ViuCarro_Features_Intencao_MEDIO</t>
  </si>
  <si>
    <t>297946615</t>
  </si>
  <si>
    <t>320x50_ViuCarro_Features_MEDIO</t>
  </si>
  <si>
    <t>302829138</t>
  </si>
  <si>
    <t>always-on-Medio|google|dbm|468x60</t>
  </si>
  <si>
    <t>125065089</t>
  </si>
  <si>
    <t>468x60 Default Web Ad</t>
  </si>
  <si>
    <t>297946650</t>
  </si>
  <si>
    <t>468x60_GerouLead_Concessionarias_MEDIO</t>
  </si>
  <si>
    <t>297951134</t>
  </si>
  <si>
    <t>468x60_GerouRadar_Radar_MEDIO</t>
  </si>
  <si>
    <t>302824566</t>
  </si>
  <si>
    <t>468x60_Prospeccao_Institucional_Condicoes_Produto_MEDIO</t>
  </si>
  <si>
    <t>297951150</t>
  </si>
  <si>
    <t>468x60_ViuCarro_Features_Intencao_MEDIO</t>
  </si>
  <si>
    <t>297947859</t>
  </si>
  <si>
    <t>468x60_ViuCarro_Features_MEDIO</t>
  </si>
  <si>
    <t>302824923</t>
  </si>
  <si>
    <t>always-on-Medio|google|dbm|970x250</t>
  </si>
  <si>
    <t>125060879</t>
  </si>
  <si>
    <t>970x250 Default Web Ad</t>
  </si>
  <si>
    <t>297950089</t>
  </si>
  <si>
    <t>970x250_GerouLead_Concessionarias_MEDIO</t>
  </si>
  <si>
    <t>297949728</t>
  </si>
  <si>
    <t>970x250_GerouRadar_Radar_MEDIO</t>
  </si>
  <si>
    <t>302851315</t>
  </si>
  <si>
    <t>970x250_Prospeccao_Institucional_Condicoes_Produto_MEDIO</t>
  </si>
  <si>
    <t>297949282</t>
  </si>
  <si>
    <t>970x250_ViuCarro_Features_Intencao_MEDIO</t>
  </si>
  <si>
    <t>297947882</t>
  </si>
  <si>
    <t>970x250_ViuCarro_Features_MEDIO</t>
  </si>
  <si>
    <t>302846061</t>
  </si>
  <si>
    <t>always-on-Medio|google|dbm|970x90</t>
  </si>
  <si>
    <t>125061312</t>
  </si>
  <si>
    <t>970x90 Default Web Ad</t>
  </si>
  <si>
    <t>297947867</t>
  </si>
  <si>
    <t>970x90_GerouLead_Concessionarias_MEDIO</t>
  </si>
  <si>
    <t>297947014</t>
  </si>
  <si>
    <t>970x90_GerouRadar_Radar_MEDIO</t>
  </si>
  <si>
    <t>302844584</t>
  </si>
  <si>
    <t>970x90_Prospeccao_Institucional_Condicoes_Produto_MEDIO</t>
  </si>
  <si>
    <t>297947625</t>
  </si>
  <si>
    <t>970x90_ViuCarro_Features_Intencao_MEDIO</t>
  </si>
  <si>
    <t>297951333</t>
  </si>
  <si>
    <t>970x90_ViuCarro_Features_MEDIO</t>
  </si>
  <si>
    <t>302846458</t>
  </si>
  <si>
    <t>always-on-Medio|google|dbm|half-page-300x600</t>
  </si>
  <si>
    <t>125047163</t>
  </si>
  <si>
    <t>300x600 Default Web Ad</t>
  </si>
  <si>
    <t>297934556</t>
  </si>
  <si>
    <t>300x600_GerouLead_Concessionarias_MEDIO</t>
  </si>
  <si>
    <t>297933377</t>
  </si>
  <si>
    <t>300x600_GerouRadar_Radar_MEDIO</t>
  </si>
  <si>
    <t>302828048</t>
  </si>
  <si>
    <t>300x600_Prospeccao_Institucional_Condicoes_Produto_MEDIO</t>
  </si>
  <si>
    <t>297935609</t>
  </si>
  <si>
    <t>300x600_ViuCarro_Features_Intencao_MEDIO</t>
  </si>
  <si>
    <t>297933987</t>
  </si>
  <si>
    <t>300x600_ViuCarro_Features_MEDIO</t>
  </si>
  <si>
    <t>302828053</t>
  </si>
  <si>
    <t>always-on-Medio|google|dbm|retangulo-medio-300x250</t>
  </si>
  <si>
    <t>125031467</t>
  </si>
  <si>
    <t>297931212</t>
  </si>
  <si>
    <t>300x250_GerouLead_Concessionarias_MEDIO</t>
  </si>
  <si>
    <t>297930750</t>
  </si>
  <si>
    <t>300x250_GerouRadar_Radar_MEDIO</t>
  </si>
  <si>
    <t>302829256</t>
  </si>
  <si>
    <t>300x250_Prospeccao_Institucional_Condicoes_Produto_MEDIO</t>
  </si>
  <si>
    <t>297933737</t>
  </si>
  <si>
    <t>300x250_ViuCarro_Features_Intencao_MEDIO</t>
  </si>
  <si>
    <t>297933196</t>
  </si>
  <si>
    <t>300x250_ViuCarro_Features_MEDIO</t>
  </si>
  <si>
    <t>302829813</t>
  </si>
  <si>
    <t>always-on-Medio|google|dbm|super-banner-728x90</t>
  </si>
  <si>
    <t>124051936</t>
  </si>
  <si>
    <t>728x90 Default Web Ad</t>
  </si>
  <si>
    <t>297012945</t>
  </si>
  <si>
    <t>728x90_GerouLead_Concessionarias_MEDIO</t>
  </si>
  <si>
    <t>299649364</t>
  </si>
  <si>
    <t>728x90_GerouRadar_Radar_MEDIO</t>
  </si>
  <si>
    <t>302828302</t>
  </si>
  <si>
    <t>728x90_Prospeccao_Institucional_Condicoes_Produto_MEDIO</t>
  </si>
  <si>
    <t>299649357</t>
  </si>
  <si>
    <t>728x90_ViuCarro_Features_Intencao_MEDIO</t>
  </si>
  <si>
    <t>299649358</t>
  </si>
  <si>
    <t>728x90_ViuCarro_Features_MEDIO</t>
  </si>
  <si>
    <t>302827216</t>
  </si>
  <si>
    <t>always-on-Premium|google|dbm|120x600</t>
  </si>
  <si>
    <t>125065622</t>
  </si>
  <si>
    <t>120x600_GerouLead_Concessionarias_PREMIUM</t>
  </si>
  <si>
    <t>299652238</t>
  </si>
  <si>
    <t>120x600_GerouRadar_Radar_PREMIUM</t>
  </si>
  <si>
    <t>299652236</t>
  </si>
  <si>
    <t>120x600_Prospeccao_Institucional_Condicoes_Produto_PREMIUM</t>
  </si>
  <si>
    <t>299652234</t>
  </si>
  <si>
    <t>120x600_ViuCarro_Features_Intencao_PREMIUM</t>
  </si>
  <si>
    <t>302822408</t>
  </si>
  <si>
    <t>120x600_ViuCarro_Features_PREMIUM</t>
  </si>
  <si>
    <t>299652235</t>
  </si>
  <si>
    <t>always-on-Premium|google|dbm|160x600</t>
  </si>
  <si>
    <t>125065152</t>
  </si>
  <si>
    <t>160x600_GerouLead_Concessionarias_PREMIUM</t>
  </si>
  <si>
    <t>299682295</t>
  </si>
  <si>
    <t>160x600_GerouRadar_Radar_PREMIUM</t>
  </si>
  <si>
    <t>299682291</t>
  </si>
  <si>
    <t>160x600_Prospeccao_Institucional_Condicoes_Produto_PREMIUM</t>
  </si>
  <si>
    <t>299682294</t>
  </si>
  <si>
    <t>160x600_ViuCarro_Features_Intencao_PREMIUM</t>
  </si>
  <si>
    <t>302822280</t>
  </si>
  <si>
    <t>160x600_ViuCarro_Features_PREMIUM</t>
  </si>
  <si>
    <t>299682292</t>
  </si>
  <si>
    <t>always-on-Premium|google|dbm|300x50</t>
  </si>
  <si>
    <t>125066125</t>
  </si>
  <si>
    <t>300x50_GerouLead_Concessionarias_PREMIUM</t>
  </si>
  <si>
    <t>299686770</t>
  </si>
  <si>
    <t>300x50_GerouRadar_Radar_PREMIUM</t>
  </si>
  <si>
    <t>299686768</t>
  </si>
  <si>
    <t>300x50_Prospeccao_Institucional_Condicoes_Produto_PREMIUM</t>
  </si>
  <si>
    <t>299686775</t>
  </si>
  <si>
    <t>300x50_ViuCarro_Features_Intencao_PREMIUM</t>
  </si>
  <si>
    <t>302824620</t>
  </si>
  <si>
    <t>300x50_ViuCarro_Features_PREMIUM</t>
  </si>
  <si>
    <t>299686773</t>
  </si>
  <si>
    <t>always-on-Premium|google|dbm|320x50</t>
  </si>
  <si>
    <t>125061306</t>
  </si>
  <si>
    <t>320x50_GerouLead_Concessionarias_PREMIUM</t>
  </si>
  <si>
    <t>299687003</t>
  </si>
  <si>
    <t>320x50_GerouRadar_Radar_PREMIUM</t>
  </si>
  <si>
    <t>299687006</t>
  </si>
  <si>
    <t>320x50_Prospeccao_Institucional_Condicoes_Produto_PREMIUM</t>
  </si>
  <si>
    <t>299687001</t>
  </si>
  <si>
    <t>320x50_ViuCarro_Features_Intencao_PREMIUM</t>
  </si>
  <si>
    <t>302829318</t>
  </si>
  <si>
    <t>320x50_ViuCarro_Features_PREMIUM</t>
  </si>
  <si>
    <t>299683599</t>
  </si>
  <si>
    <t>always-on-Premium|google|dbm|468x60</t>
  </si>
  <si>
    <t>125061310</t>
  </si>
  <si>
    <t>468x60_GerouLead_Concessionarias_PREMIUM</t>
  </si>
  <si>
    <t>299685253</t>
  </si>
  <si>
    <t>468x60_GerouRadar_Radar_PREMIUM</t>
  </si>
  <si>
    <t>299685250</t>
  </si>
  <si>
    <t>468x60_Prospeccao_Institucional_Condicoes_Produto_PREMIUM</t>
  </si>
  <si>
    <t>299685184</t>
  </si>
  <si>
    <t>468x60_ViuCarro_Features_Intencao_PREMIUM</t>
  </si>
  <si>
    <t>302824951</t>
  </si>
  <si>
    <t>468x60_ViuCarro_Features_PREMIUM</t>
  </si>
  <si>
    <t>299685185</t>
  </si>
  <si>
    <t>always-on-Premium|google|dbm|970x250</t>
  </si>
  <si>
    <t>125063524</t>
  </si>
  <si>
    <t>970x250_GerouLead_Concessionarias_PREMIUM</t>
  </si>
  <si>
    <t>299689554</t>
  </si>
  <si>
    <t>970x250_GerouRadar_Radar_PREMIUM</t>
  </si>
  <si>
    <t>299689559</t>
  </si>
  <si>
    <t>970x250_Prospeccao_Institucional_Condicoes_Produto_PREMIUM</t>
  </si>
  <si>
    <t>299689557</t>
  </si>
  <si>
    <t>970x250_ViuCarro_Features_Intencao_PREMIUM</t>
  </si>
  <si>
    <t>302850325</t>
  </si>
  <si>
    <t>970x250_ViuCarro_Features_PREMIUM</t>
  </si>
  <si>
    <t>299689561</t>
  </si>
  <si>
    <t>always-on-Premium|google|dbm|970x90</t>
  </si>
  <si>
    <t>125060470</t>
  </si>
  <si>
    <t>970x90_GerouLead_Concessionarias_PREMIUM</t>
  </si>
  <si>
    <t>299687991</t>
  </si>
  <si>
    <t>970x90_GerouRadar_Radar_PREMIUM</t>
  </si>
  <si>
    <t>299687995</t>
  </si>
  <si>
    <t>970x90_Prospeccao_Institucional_Condicoes_Produto_PREMIUM</t>
  </si>
  <si>
    <t>299687993</t>
  </si>
  <si>
    <t>970x90_ViuCarro_Features_Intencao_PREMIUM</t>
  </si>
  <si>
    <t>302850518</t>
  </si>
  <si>
    <t>970x90_ViuCarro_Features_PREMIUM</t>
  </si>
  <si>
    <t>299687987</t>
  </si>
  <si>
    <t>always-on-Premium|google|dbm|half-page-300x600</t>
  </si>
  <si>
    <t>125044472</t>
  </si>
  <si>
    <t>300x600_GerouLead_Concessionarias_PREMIUM</t>
  </si>
  <si>
    <t>299687661</t>
  </si>
  <si>
    <t>300x600_GerouRadar_Radar_PREMIUM</t>
  </si>
  <si>
    <t>299687666</t>
  </si>
  <si>
    <t>300x600_Prospeccao_Institucional_Condicoes_Produto_PREMIUM</t>
  </si>
  <si>
    <t>299687660</t>
  </si>
  <si>
    <t>300x600_ViuCarro_Features_Intencao_PREMIUM</t>
  </si>
  <si>
    <t>302828079</t>
  </si>
  <si>
    <t>300x600_ViuCarro_Features_PREMIUM</t>
  </si>
  <si>
    <t>299687668</t>
  </si>
  <si>
    <t>always-on-Premium|google|dbm|retangulo-medio-300x250</t>
  </si>
  <si>
    <t>125045551</t>
  </si>
  <si>
    <t>300x250_GerouLead_Concessionarias_PREMIUM</t>
  </si>
  <si>
    <t>299686038</t>
  </si>
  <si>
    <t>300x250_GerouRadar_Radar_PREMIUM</t>
  </si>
  <si>
    <t>299686040</t>
  </si>
  <si>
    <t>300x250_Prospeccao_Institucional_Condicoes_Produto_PREMIUM</t>
  </si>
  <si>
    <t>299686047</t>
  </si>
  <si>
    <t>300x250_ViuCarro_Features_Intencao_PREMIUM</t>
  </si>
  <si>
    <t>302846767</t>
  </si>
  <si>
    <t>300x250_ViuCarro_Features_PREMIUM</t>
  </si>
  <si>
    <t>299686043</t>
  </si>
  <si>
    <t>always-on-Premium|google|dbm|super-banner-728x90</t>
  </si>
  <si>
    <t>125044006</t>
  </si>
  <si>
    <t>728x90_GerouLead_Concessionarias_PREMIUM</t>
  </si>
  <si>
    <t>297012987</t>
  </si>
  <si>
    <t>728x90_GerouRadar_Radar_PREMIUM</t>
  </si>
  <si>
    <t>297013842</t>
  </si>
  <si>
    <t>728x90_Prospeccao_Institucional_Condicoes_Produto_PREMIUM</t>
  </si>
  <si>
    <t>297014270</t>
  </si>
  <si>
    <t>728x90_ViuCarro_Features_Intencao_PREMIUM</t>
  </si>
  <si>
    <t>302826947</t>
  </si>
  <si>
    <t>728x90_ViuCarro_Features_PREMIUM</t>
  </si>
  <si>
    <t>297014528</t>
  </si>
  <si>
    <t>always-on-Volume|google|dbm|120x600</t>
  </si>
  <si>
    <t>125065533</t>
  </si>
  <si>
    <t>120x600_GerouLead_Concessionarias_VOLUME</t>
  </si>
  <si>
    <t>299651850</t>
  </si>
  <si>
    <t>120x600_GerouRadar_Radar_VOLUME</t>
  </si>
  <si>
    <t>299651848</t>
  </si>
  <si>
    <t>120x600_Prospeccao_Institucional_Condicoes_Produto_VOLUME</t>
  </si>
  <si>
    <t>299651846</t>
  </si>
  <si>
    <t>120x600_ViuCarro_Features_Intencao_VOLUME</t>
  </si>
  <si>
    <t>302822410</t>
  </si>
  <si>
    <t>120x600_ViuCarro_Features_VOLUME</t>
  </si>
  <si>
    <t>299651847</t>
  </si>
  <si>
    <t>always-on-Volume|google|dbm|160x600</t>
  </si>
  <si>
    <t>125063540</t>
  </si>
  <si>
    <t>160x600_GerouLead_Concessionarias_VOLUME</t>
  </si>
  <si>
    <t>299687461</t>
  </si>
  <si>
    <t>160x600_GerouRadar_Radar_VOLUME</t>
  </si>
  <si>
    <t>299687457</t>
  </si>
  <si>
    <t>160x600_Prospeccao_Institucional_Condicoes_Produto_VOLUME</t>
  </si>
  <si>
    <t>299687460</t>
  </si>
  <si>
    <t>160x600_ViuCarro_Features_Intencao_VOLUME</t>
  </si>
  <si>
    <t>302821966</t>
  </si>
  <si>
    <t>160x600_ViuCarro_Features_VOLUME</t>
  </si>
  <si>
    <t>299687458</t>
  </si>
  <si>
    <t>always-on-Volume|google|dbm|300x50</t>
  </si>
  <si>
    <t>125065543</t>
  </si>
  <si>
    <t>300x50_GerouLead_Concessionarias_VOLUME</t>
  </si>
  <si>
    <t>299686769</t>
  </si>
  <si>
    <t>300x50_GerouRadar_Radar_VOLUME</t>
  </si>
  <si>
    <t>299686767</t>
  </si>
  <si>
    <t>300x50_Prospeccao_Institucional_Condicoes_Produto_VOLUME</t>
  </si>
  <si>
    <t>299686776</t>
  </si>
  <si>
    <t>300x50_ViuCarro_Features_Intencao_VOLUME</t>
  </si>
  <si>
    <t>302823735</t>
  </si>
  <si>
    <t>300x50_ViuCarro_Features_VOLUME</t>
  </si>
  <si>
    <t>299686774</t>
  </si>
  <si>
    <t>always-on-Volume|google|dbm|320x50</t>
  </si>
  <si>
    <t>125060846</t>
  </si>
  <si>
    <t>320x50_GerouLead_Concessionarias_VOLUME</t>
  </si>
  <si>
    <t>299687004</t>
  </si>
  <si>
    <t>320x50_GerouRadar_Radar_VOLUME</t>
  </si>
  <si>
    <t>299687005</t>
  </si>
  <si>
    <t>320x50_Prospeccao_Institucional_Condicoes_Produto_VOLUME</t>
  </si>
  <si>
    <t>299687000</t>
  </si>
  <si>
    <t>320x50_ViuCarro_Features_Intencao_VOLUME</t>
  </si>
  <si>
    <t>302829522</t>
  </si>
  <si>
    <t>320x50_ViuCarro_Features_VOLUME</t>
  </si>
  <si>
    <t>299683598</t>
  </si>
  <si>
    <t>always-on-Volume|google|dbm|468x60</t>
  </si>
  <si>
    <t>125061459</t>
  </si>
  <si>
    <t>468x60_GerouLead_Concessionarias_VOLUME</t>
  </si>
  <si>
    <t>299685186</t>
  </si>
  <si>
    <t>468x60_GerouRadar_Radar_VOLUME</t>
  </si>
  <si>
    <t>299685183</t>
  </si>
  <si>
    <t>468x60_Prospeccao_Institucional_Condicoes_Produto_VOLUME</t>
  </si>
  <si>
    <t>299685251</t>
  </si>
  <si>
    <t>468x60_ViuCarro_Features_Intencao_VOLUME</t>
  </si>
  <si>
    <t>302825157</t>
  </si>
  <si>
    <t>468x60_ViuCarro_Features_VOLUME</t>
  </si>
  <si>
    <t>299685252</t>
  </si>
  <si>
    <t>always-on-Volume|google|dbm|970x250</t>
  </si>
  <si>
    <t>125063523</t>
  </si>
  <si>
    <t>970x250_GerouLead_Concessionarias_VOLUME</t>
  </si>
  <si>
    <t>299689555</t>
  </si>
  <si>
    <t>970x250_GerouRadar_Radar_VOLUME</t>
  </si>
  <si>
    <t>299689558</t>
  </si>
  <si>
    <t>970x250_Prospeccao_Institucional_Condicoes_Produto_VOLUME</t>
  </si>
  <si>
    <t>299689556</t>
  </si>
  <si>
    <t>970x250_ViuCarro_Features_Intencao_VOLUME</t>
  </si>
  <si>
    <t>302846957</t>
  </si>
  <si>
    <t>970x250_ViuCarro_Features_VOLUME</t>
  </si>
  <si>
    <t>299689560</t>
  </si>
  <si>
    <t>always-on-Volume|google|dbm|970x90</t>
  </si>
  <si>
    <t>125061323</t>
  </si>
  <si>
    <t>970x90_GerouLead_Concessionarias_VOLUME</t>
  </si>
  <si>
    <t>299687990</t>
  </si>
  <si>
    <t>970x90_GerouRadar_Radar_VOLUME</t>
  </si>
  <si>
    <t>299687994</t>
  </si>
  <si>
    <t>970x90_Prospeccao_Institucional_Condicoes_Produto_VOLUME</t>
  </si>
  <si>
    <t>299687992</t>
  </si>
  <si>
    <t>970x90_ViuCarro_Features_Intencao_VOLUME</t>
  </si>
  <si>
    <t>302846797</t>
  </si>
  <si>
    <t>970x90_ViuCarro_Features_VOLUME</t>
  </si>
  <si>
    <t>299687986</t>
  </si>
  <si>
    <t>always-on-Volume|google|dbm|half-page-300x600</t>
  </si>
  <si>
    <t>125047071</t>
  </si>
  <si>
    <t>300x600_GerouLead_Concessionarias_VOLUME</t>
  </si>
  <si>
    <t>299687662</t>
  </si>
  <si>
    <t>300x600_GerouRadar_Radar_VOLUME</t>
  </si>
  <si>
    <t>299687665</t>
  </si>
  <si>
    <t>300x600_Prospeccao_Institucional_Condicoes_Produto_VOLUME</t>
  </si>
  <si>
    <t>299687659</t>
  </si>
  <si>
    <t>300x600_ViuCarro_Features_Intencao_VOLUME</t>
  </si>
  <si>
    <t>302829107</t>
  </si>
  <si>
    <t>300x600_ViuCarro_Features_VOLUME</t>
  </si>
  <si>
    <t>299687667</t>
  </si>
  <si>
    <t>always-on-Volume|google|dbm|retangulo-medio-300x250</t>
  </si>
  <si>
    <t>125044248</t>
  </si>
  <si>
    <t>300x250_GerouLead_Concessionarias_VOLUME</t>
  </si>
  <si>
    <t>299686039</t>
  </si>
  <si>
    <t>300x250_GerouRadar_Radar_VOLUME</t>
  </si>
  <si>
    <t>299686041</t>
  </si>
  <si>
    <t>300x250_Prospeccao_Institucional_Condicoes_Produto_VOLUME</t>
  </si>
  <si>
    <t>299686046</t>
  </si>
  <si>
    <t>300x250_ViuCarro_Features_Intencao_VOLUME</t>
  </si>
  <si>
    <t>302845419</t>
  </si>
  <si>
    <t>300x250_ViuCarro_Features_VOLUME</t>
  </si>
  <si>
    <t>299686042</t>
  </si>
  <si>
    <t>always-on-Volume|google|dbm|super-banner-728x90</t>
  </si>
  <si>
    <t>125047100</t>
  </si>
  <si>
    <t>728x90_GerouLead_Concessionarias_VOLUME</t>
  </si>
  <si>
    <t>299649326</t>
  </si>
  <si>
    <t>728x90_GerouRadar_Radar_VOLUME</t>
  </si>
  <si>
    <t>299649329</t>
  </si>
  <si>
    <t>728x90_Prospeccao_Institucional_Condicoes_Produto_VOLUME</t>
  </si>
  <si>
    <t>299649327</t>
  </si>
  <si>
    <t>728x90_ViuCarro_Features_Intencao_VOLUME</t>
  </si>
  <si>
    <t>302825096</t>
  </si>
  <si>
    <t>728x90_ViuCarro_Features_VOLUME</t>
  </si>
  <si>
    <t>299649330</t>
  </si>
  <si>
    <t>alp_AlwaysOn_Facebook-DPA</t>
  </si>
  <si>
    <t>alp_AlwaysOn_Facebook-DPA_facebook_social_ao_ros_cpm_na_pagepost_DPA-Spacefox-Add-to-Cart_na</t>
  </si>
  <si>
    <t>137583117</t>
  </si>
  <si>
    <t>309929506</t>
  </si>
  <si>
    <t>alp_AlwaysOn_Yahoo-Native</t>
  </si>
  <si>
    <t>alp_AlwaysOn_Yahoo-Native_yahoo_network_always-on_ros_cpc_N/A_nativeads_fox_N/A</t>
  </si>
  <si>
    <t>135137335</t>
  </si>
  <si>
    <t>307676952</t>
  </si>
  <si>
    <t>alp_AlwaysOn_Yahoo-Native_yahoo_network_always-on_ros_cpc_prospecting_nativeads_spacefox_N/A</t>
  </si>
  <si>
    <t>144133799</t>
  </si>
  <si>
    <t>315994379</t>
  </si>
  <si>
    <t>alp_AlwaysOn_Yahoo-Native_yahoo_network_always-on_ros_cpc_remarketing_nativeads_fox_N/A</t>
  </si>
  <si>
    <t>149160878</t>
  </si>
  <si>
    <t>320175812</t>
  </si>
  <si>
    <t>alp_AlwaysOn_Yahoo-Native_yahoo_network_always-on_ros_cpc_remarketing_nativeads_gol_N/A</t>
  </si>
  <si>
    <t>149160879</t>
  </si>
  <si>
    <t>320175813</t>
  </si>
  <si>
    <t>alp_AlwaysOn_Yahoo-Native_yahoo_network_always-on_ros_cpc_remarketing_nativeads_passat_N/A</t>
  </si>
  <si>
    <t>149160888</t>
  </si>
  <si>
    <t>320175822</t>
  </si>
  <si>
    <t>alp_AlwaysOn_Yahoo-Native_yahoo_network_always-on_ros_cpc_remarketing_nativeads_saveiro_N/A</t>
  </si>
  <si>
    <t>149160877</t>
  </si>
  <si>
    <t>320175811</t>
  </si>
  <si>
    <t>alp_Amarok-Extreme</t>
  </si>
  <si>
    <t>BR UOL.</t>
  </si>
  <si>
    <t>BR Webmotors</t>
  </si>
  <si>
    <t>alp_Amarok-Extreme_facebook_Social_amarok-extreme_facebook_cpm_prospecting_pagepost_Amarok-Extreme-UFC-sabado_amc-open</t>
  </si>
  <si>
    <t>229887084</t>
  </si>
  <si>
    <t>427644675</t>
  </si>
  <si>
    <t>alp_Amarok-Extreme_facebook_Social_amarok-extreme_facebook_cpm_prospecting_pagepost_Amarok-Extreme-UFC-sexta_amc-open</t>
  </si>
  <si>
    <t>229731898</t>
  </si>
  <si>
    <t>427644150</t>
  </si>
  <si>
    <t>alp_Amarok-Extreme_facebook_social_lancamento_newsfeed_cpc_prospecting_carousel_Amarok-Extreme-Setembro_Vw-lights</t>
  </si>
  <si>
    <t>229036484</t>
  </si>
  <si>
    <t>427169907</t>
  </si>
  <si>
    <t>alp_Amarok-Extreme_facebook_social_lancamento_newsfeed_cpc_prospecting_pagepost_Amarok-Extreme-Setembro_Vw-lights</t>
  </si>
  <si>
    <t>229754114</t>
  </si>
  <si>
    <t>427849429</t>
  </si>
  <si>
    <t>alp_Amarok-Extreme_facebook_social_lancamento_newsfeed_cpc_prospecting_pagepost_Amarok-Extreme_Vw-lights</t>
  </si>
  <si>
    <t>226713753</t>
  </si>
  <si>
    <t>424601922</t>
  </si>
  <si>
    <t>alp_Amarok-Extreme_oath_horizontal_lancamento_ROS_cpm_prospecting_627x627_Amarok-Extreme_Vw-lights</t>
  </si>
  <si>
    <t>226833526</t>
  </si>
  <si>
    <t>424873193</t>
  </si>
  <si>
    <t>Planeta Offroad BR</t>
  </si>
  <si>
    <t>alp_Amarok-Extreme_planeta-off_horizontal_lancamento_ROS_cpm_prospecting_728x90_Amarok-Extreme-Rural_Vw-lights</t>
  </si>
  <si>
    <t>227059844</t>
  </si>
  <si>
    <t>425209491</t>
  </si>
  <si>
    <t>revistapegn.globo.com</t>
  </si>
  <si>
    <t>BR OLX</t>
  </si>
  <si>
    <t>In Loco Media</t>
  </si>
  <si>
    <t>br.linkedin.com</t>
  </si>
  <si>
    <t>teads.tv</t>
  </si>
  <si>
    <t>alp_Amarok-Varejo-Fevereiro-2019</t>
  </si>
  <si>
    <t>alp_Amarok-Varejo-Fevereiro-2019_olx_horizontal_hardsell_olx_cpm_prospecting_1200x672_Amarok-Varejo-Fevereiro-Privado_open</t>
  </si>
  <si>
    <t>239833533</t>
  </si>
  <si>
    <t>436700810</t>
  </si>
  <si>
    <t>alp_Amarok-Varejo-Fevereiro-2019_olx_horizontal_hardsell_olx_cpm_prospecting_300x250_Amarok-Varejo-Fevereiro-Corporativo-Urbano_open</t>
  </si>
  <si>
    <t>239833524</t>
  </si>
  <si>
    <t>436700801</t>
  </si>
  <si>
    <t>alp_Amarok-Varejo-Fevereiro-2019_olx_horizontal_hardsell_olx_cpm_prospecting_600x600_Amarok-Varejo-Fevereiro-Privado_open</t>
  </si>
  <si>
    <t>239833536</t>
  </si>
  <si>
    <t>436700813</t>
  </si>
  <si>
    <t>alp_Amarok-Varejo-Fevereiro-2019_facebook_Social_hardsell_facebook_cpm_prospecting_pagepost_Amarok-Varejo-Fevereiro-Corporativo-Urbano_open</t>
  </si>
  <si>
    <t>239833686</t>
  </si>
  <si>
    <t>436663077</t>
  </si>
  <si>
    <t>alp_Amarok-Varejo-Fevereiro-2019_facebook_Social_hardsell_facebook_cpm_prospecting_pagepost_Amarok-Varejo-Fevereiro-Privado_open</t>
  </si>
  <si>
    <t>239833710</t>
  </si>
  <si>
    <t>436663104</t>
  </si>
  <si>
    <t>alp_Amarok-Varejo-Fevereiro-2019_facebook_Social_hardsell_facebook_cpm_prospecting_video_Amarok-Varejo-Fevereiro-Privado_open</t>
  </si>
  <si>
    <t>239833704</t>
  </si>
  <si>
    <t>436663095</t>
  </si>
  <si>
    <t>alp_Amarok-Varejo-Fevereiro-2019_OATH_horizontal_hardsell_DSP_cpm_prospecting_300x250_Amarok-Varejo-Fevereiro-Corporativo-Urbano_open</t>
  </si>
  <si>
    <t>240058421</t>
  </si>
  <si>
    <t>437289961</t>
  </si>
  <si>
    <t>1x1 Default Web Ad</t>
  </si>
  <si>
    <t>alp_Amarok-Varejo-Fevereiro-2019_OATH_horizontal_hardsell_Native_cpm_prospecting_1200x627_Amarok-Varejo-Fevereiro-Privado_open</t>
  </si>
  <si>
    <t>240058442</t>
  </si>
  <si>
    <t>437115525</t>
  </si>
  <si>
    <t>alp_Amarok-Varejo-Fevereiro-2019_linkedin_horizontal_hardsell_linkedin_cpm_prospecting_300x250_Amarok-Varejo-Fevereiro-Corporativo-Campo_open</t>
  </si>
  <si>
    <t>240533004</t>
  </si>
  <si>
    <t>437363419</t>
  </si>
  <si>
    <t>alp_Amarok-Varejo-Fevereiro-2019_linkedin_horizontal_hardsell_linkedin_cpm_prospecting_300x250_Amarok-Varejo-Fevereiro-Corporativo-Urbano-InMail_open</t>
  </si>
  <si>
    <t>240532998</t>
  </si>
  <si>
    <t>437363413</t>
  </si>
  <si>
    <t>alp_Amarok-Varejo-Fevereiro-2019_yahoo_horizontal_hardsell_yahoo_cpm_prospecting_1440x1024_Amarok-Varejo-Fevereiro-Corporativo-Urbano_open</t>
  </si>
  <si>
    <t>239602018</t>
  </si>
  <si>
    <t>436700789</t>
  </si>
  <si>
    <t>alp_Amarok-Varejo-Fevereiro-2019_yahoo_horizontal_hardsell_yahoo_cpm_prospecting_1440x1024_Amarok-Varejo-Fevereiro-Privado_open</t>
  </si>
  <si>
    <t>239602012</t>
  </si>
  <si>
    <t>436700783</t>
  </si>
  <si>
    <t>alp_Amarok-Varejo-Fevereiro-2019_instagram_Social_hardsell_instagram_cpm_prospecting_pagepost_Amarok-Varejo-Fevereiro-Corporativo-Urbano_open</t>
  </si>
  <si>
    <t>239833650</t>
  </si>
  <si>
    <t>436700927</t>
  </si>
  <si>
    <t>alp_Amarok-Varejo-Janeiro-2019</t>
  </si>
  <si>
    <t>alp_Amarok-Varejo-Janeiro-2019_olx_horizontal_hardsell_olx_cpm_prospecting_600x600_Amarok-Varejo-Janeiro-Corporativo-18_open</t>
  </si>
  <si>
    <t>238387832</t>
  </si>
  <si>
    <t>435752995</t>
  </si>
  <si>
    <t>alp_Amarok-Varejo-Janeiro-2019_OATH_horizontal_hardsell_Native_cpm_prospecting_627x627_Amarok-Varejo-Janeiro-Privado_open</t>
  </si>
  <si>
    <t>238569330</t>
  </si>
  <si>
    <t>435487040</t>
  </si>
  <si>
    <t>alp_Amarok-Varejo-Janeiro-2019_teads_horizontal_hardsell_teads_visitas_prospecting_scroller-landscape-_Amarok-Varejo-Janeiro-Corporativo-18-2_open</t>
  </si>
  <si>
    <t>238222883</t>
  </si>
  <si>
    <t>435571906</t>
  </si>
  <si>
    <t>alp_PosVendas2018</t>
  </si>
  <si>
    <t>alp_PosVendas2018_facebook_social_pos_vendas_newsfeed_cpm_prospecting_pagepost_Black-Friday_AMC-open</t>
  </si>
  <si>
    <t>234202512</t>
  </si>
  <si>
    <t>431590967</t>
  </si>
  <si>
    <t>alp_PosVendas2018_facebook_social_pos_vendas_newsfeed_cpm_prospecting_pagepost_Promo-R5_AMC-open</t>
  </si>
  <si>
    <t>234197814</t>
  </si>
  <si>
    <t>431590769</t>
  </si>
  <si>
    <t>Mercado Livre</t>
  </si>
  <si>
    <t>alp_PosVendas2018_Mercado-livre_network_pos-vendas_prospeccao_cpm_prospecting_300x250_Black-Friday_AMC-open</t>
  </si>
  <si>
    <t>236414905</t>
  </si>
  <si>
    <t>433975693</t>
  </si>
  <si>
    <t>alp_PosVendas2019</t>
  </si>
  <si>
    <t>alp_PosVendas2019_facebook_social_pos-vendas_newsfeed_cpm_prospecting_1200x628_Lead-NET-1_AMC-open</t>
  </si>
  <si>
    <t>238457290</t>
  </si>
  <si>
    <t>435626108</t>
  </si>
  <si>
    <t>alp_PosVendas2019_facebook_social_pos-vendas_newsfeed_cpm_prospecting_600x600_carrossel-NET-2_AMC-open</t>
  </si>
  <si>
    <t>238457299</t>
  </si>
  <si>
    <t>435626117</t>
  </si>
  <si>
    <t>alp_PosVendas2019_facebook_social_pos-vendas_newsfeed_cpm_prospecting_600x600_pos-vendas-fevereiro-regional-2_AMC-open</t>
  </si>
  <si>
    <t>241195748</t>
  </si>
  <si>
    <t>438188578</t>
  </si>
  <si>
    <t>alp_PosVendas2019_facebook_social_pos-vendas_newsfeed_cpm_prospecting_600x600_pos-vendas-fevereiro-regional-3_AMC-open</t>
  </si>
  <si>
    <t>241195745</t>
  </si>
  <si>
    <t>438188575</t>
  </si>
  <si>
    <t>alp_PosVendas2019_facebook_social_pos-vendas_newsfeed_cpm_prospecting_600x600_pos-vendas-fevereiro-regional-4_AMC-open</t>
  </si>
  <si>
    <t>241195742</t>
  </si>
  <si>
    <t>438188572</t>
  </si>
  <si>
    <t>alp_PosVendas2019_facebook_social_pos-vendas_newsfeed_cpm_prospecting_600x600_pos-vendas-fevereiro-regional-6_AMC-open</t>
  </si>
  <si>
    <t>241195736</t>
  </si>
  <si>
    <t>438188566</t>
  </si>
  <si>
    <t>alp_PosVendas2019_facebook_social_pos-vendas_newsfeed_cpm_prospecting_600x600_pos-vendas-fevereiro-regional-7_AMC-open</t>
  </si>
  <si>
    <t>241195733</t>
  </si>
  <si>
    <t>438188563</t>
  </si>
  <si>
    <t>alp_Premios</t>
  </si>
  <si>
    <t>alp_Premios_facebook_social_premios_newsfeed_cpm_prospecting_carrossel_step1_premios_vw_AMC-open</t>
  </si>
  <si>
    <t>226364342</t>
  </si>
  <si>
    <t>424618087</t>
  </si>
  <si>
    <t>alp_Premios_facebook_social_premios_newsfeed_cpm_prospecting_carrossel_step3_premios_vw_AMC-open</t>
  </si>
  <si>
    <t>226364336</t>
  </si>
  <si>
    <t>424618081</t>
  </si>
  <si>
    <t>alp_Premios_facebook_social_premios_newsfeed_cpm_prospecting_pagepost_premios_tiguan_AMC-open</t>
  </si>
  <si>
    <t>222623911</t>
  </si>
  <si>
    <t>420973327</t>
  </si>
  <si>
    <t>alp_Premios_facebook_social_premios_newsfeed_cpm_prospecting_pagepost_premios_vw_AMC-open</t>
  </si>
  <si>
    <t>226084738</t>
  </si>
  <si>
    <t>424171929</t>
  </si>
  <si>
    <t>alp_ShowRoomTraffic</t>
  </si>
  <si>
    <t>alp_Tiguan</t>
  </si>
  <si>
    <t>alp_tiguan_uol_network_lancamento_prospeccao_cpm_prospecting_1190x250_lancamento-tiguan_tiguan-AMC</t>
  </si>
  <si>
    <t>226760527</t>
  </si>
  <si>
    <t>424803075</t>
  </si>
  <si>
    <t>alp_tiguan_facebook_social_lancamento_newsfeed_cpm_prospecting_pagepost_lancamento-tiguan-04-09_tiguan-AMC</t>
  </si>
  <si>
    <t>228352039</t>
  </si>
  <si>
    <t>426468954</t>
  </si>
  <si>
    <t>alp_tiguan_facebook_social_lancamento_newsfeed_cpm_prospecting_pagepost_lancamento-tiguan-18-09_tiguan-AMC</t>
  </si>
  <si>
    <t>229565751</t>
  </si>
  <si>
    <t>427390197</t>
  </si>
  <si>
    <t>alp_tiguan_facebook_social_lancamento_newsfeed_cpm_prospecting_pagepost_lancamento-tiguan-video-360_tiguan-AMC</t>
  </si>
  <si>
    <t>226672798</t>
  </si>
  <si>
    <t>424734935</t>
  </si>
  <si>
    <t>alp_tiguan_facebook_social_pre-venda_newsfeed_cpm_prospecting_carrossel_prevenda_carrossel_tiguan-AMC</t>
  </si>
  <si>
    <t>218561660</t>
  </si>
  <si>
    <t>417160326</t>
  </si>
  <si>
    <t>alp_tiguan_facebook_social_pre-venda_newsfeed_cpm_prospecting_pagepost_prevenda_post1_tiguan-AMC</t>
  </si>
  <si>
    <t>218561657</t>
  </si>
  <si>
    <t>417160323</t>
  </si>
  <si>
    <t>alp_tiguan_linkedin_network_lancamento_prospeccao_cpc_prospecting_300x250_lancamento-tiguan_tiguan-AMC</t>
  </si>
  <si>
    <t>229048294</t>
  </si>
  <si>
    <t>427143535</t>
  </si>
  <si>
    <t>alp_tiguan_yahoo_network_lancamento_prospeccao_cpm_prospecting_1200x627_lancamento-tiguan_tiguan-AMC</t>
  </si>
  <si>
    <t>229497973</t>
  </si>
  <si>
    <t>427475043</t>
  </si>
  <si>
    <t>outlook.com</t>
  </si>
  <si>
    <t>alp_tiguan_outlook_network_lancamento_prospeccao_cpm_prospecting_160x600_tiguan-AMC</t>
  </si>
  <si>
    <t>227354265</t>
  </si>
  <si>
    <t>alp_tiguan_outlook_network_lancamento_prospeccao_cpm_prospecting_160x600_lancamento-tiguan-generico3_tiguan-AMC</t>
  </si>
  <si>
    <t>425234175</t>
  </si>
  <si>
    <t>alp_Varejo-Nacional-Fevereiro-2-2019</t>
  </si>
  <si>
    <t>alp_Varejo-Nacional-Fevereiro-2-2019_olx_horizontal_hardsell_olx_cpm_prospecting_1080x1080_Varejo-Nacional-Fevereiro-2_open</t>
  </si>
  <si>
    <t>240462108</t>
  </si>
  <si>
    <t>437207946</t>
  </si>
  <si>
    <t>alp_Varejo-Nacional-Fevereiro-2-2019_facebook_Social_hardsell_facebook_cpm_prospecting_pagepost_Varejo-Nacional-Fevereiro-2_open</t>
  </si>
  <si>
    <t>240359055</t>
  </si>
  <si>
    <t>437143289</t>
  </si>
  <si>
    <t>alp_Varejo-Nacional-Fevereiro-2-2019_inloco_horizontal_hardsell_inloco_cpm_prospecting_1200x627_Varejo-Nacional-Fevereiro-2-concorrentes_open</t>
  </si>
  <si>
    <t>240235537</t>
  </si>
  <si>
    <t>437248019</t>
  </si>
  <si>
    <t>alp_Varejo-Nacional-Fevereiro-2-2019_inloco_horizontal_hardsell_inloco_cpm_prospecting_1200x627_Varejo-Nacional-Fevereiro-2-lojasproprias_open</t>
  </si>
  <si>
    <t>240235549</t>
  </si>
  <si>
    <t>437248031</t>
  </si>
  <si>
    <t>alp_Varejo-Nacional-Fevereiro-2-2019_inloco_horizontal_hardsell_inloco_cpm_prospecting_900x750_Varejo-Nacional-Fevereiro-2-concorrentes_open</t>
  </si>
  <si>
    <t>240235543</t>
  </si>
  <si>
    <t>437248025</t>
  </si>
  <si>
    <t>alp_Varejo-Nacional-Fevereiro-2-2019_inloco_horizontal_hardsell_inloco_cpm_prospecting_900x750_Varejo-Nacional-Fevereiro-2-lojasproprias_open</t>
  </si>
  <si>
    <t>240235507</t>
  </si>
  <si>
    <t>437247989</t>
  </si>
  <si>
    <t>alp_Varejo-Nacional-Fevereiro-2-2019_inloco_horizontal_hardsell_inloco_cpm_prospecting_900x750_Varejo-Nacional-Fevereiro-2-neutro_open</t>
  </si>
  <si>
    <t>240235525</t>
  </si>
  <si>
    <t>437248007</t>
  </si>
  <si>
    <t>alp_Varejo-Nacional-Fevereiro-2-2019_inloco_horizontal_hardsell_inloco_cpm_prospecting_960x1440_Varejo-Nacional-Fevereiro-2-concorrentes_open</t>
  </si>
  <si>
    <t>240235552</t>
  </si>
  <si>
    <t>437248034</t>
  </si>
  <si>
    <t>alp_Varejo-Nacional-Fevereiro-2-2019_inloco_horizontal_hardsell_inloco_cpm_prospecting_960x1440_Varejo-Nacional-Fevereiro-2-lojasproprias_open</t>
  </si>
  <si>
    <t>240235513</t>
  </si>
  <si>
    <t>437247995</t>
  </si>
  <si>
    <t>alp_Varejo-Nacional-Fevereiro-2-2019_inloco_horizontal_hardsell_inloco_cpm_prospecting_960x1440_Varejo-Nacional-Fevereiro-2-neutro_open</t>
  </si>
  <si>
    <t>240235531</t>
  </si>
  <si>
    <t>437248013</t>
  </si>
  <si>
    <t>alp_Varejo-Nacional-Fevereiro-2-2019_inloco_horizontal_hardsell_inloco_cpm_prospecting_960x150_Varejo-Nacional-Fevereiro-2-lojasproprias_open</t>
  </si>
  <si>
    <t>240235516</t>
  </si>
  <si>
    <t>437247998</t>
  </si>
  <si>
    <t>alp_Varejo-Nacional-Fevereiro-2-2019_yahoo_horizontal_hardsell_yahoo_cpm_prospecting_1440x1024_Varejo-Nacional-Fevereiro-2_open</t>
  </si>
  <si>
    <t>240120472</t>
  </si>
  <si>
    <t>437133512</t>
  </si>
  <si>
    <t>alp_Varejo-Nacional-Fevereiro-2-2019_instagram_Social_hardsell_instagram_cpm_prospecting_pagepost_Varejo-Nacional-Fevereiro-2_open</t>
  </si>
  <si>
    <t>240359031</t>
  </si>
  <si>
    <t>437143265</t>
  </si>
  <si>
    <t>alp_Varejo-Nacional-Fevereiro-2-2019_instagram_Social_hardsell_instagram_cpm_prospecting_stories_Varejo-Nacional-Fevereiro-2_open</t>
  </si>
  <si>
    <t>240359046</t>
  </si>
  <si>
    <t>437143280</t>
  </si>
  <si>
    <t>alp_Varejo-Nacional-Fevereiro-2-2019_teads_horizontal_hardsell_teads_visitas_prospecting_scroller-landscape-_Varejo-Nacional-Scroller-1_open</t>
  </si>
  <si>
    <t>240515437</t>
  </si>
  <si>
    <t>437438268</t>
  </si>
  <si>
    <t>alp_Varejo-Nacional-janeiro-2019</t>
  </si>
  <si>
    <t>alp_Varejo-Nacional-janeiro-2019_facebook_Social_hardsell_facebook_cpm_prospecting_pagepost_Varejo-Nacional-janeiro_open</t>
  </si>
  <si>
    <t>238229697</t>
  </si>
  <si>
    <t>435261862</t>
  </si>
  <si>
    <t>alp_Varejo-Nacional-janeiro-2019_dbm-terra_horizontal_hardsell_terra_cpm_prospecting_970x250_Varejo-Nacional-janeiro_open</t>
  </si>
  <si>
    <t>238116650</t>
  </si>
  <si>
    <t>435379815</t>
  </si>
  <si>
    <t>alp_Varejo-Nacional-janeiro-2019_inloco_horizontal_hardsell_inloco_cpm_prospecting_960x1440_Varejo-Nacional-janeiro-lojasproprias_open</t>
  </si>
  <si>
    <t>237925375</t>
  </si>
  <si>
    <t>435251803</t>
  </si>
  <si>
    <t>alp_Varejo-Nacional-janeiro-2019_inloco_horizontal_hardsell_inloco_cpm_prospecting_960x1440_Varejo-Nacional-janeiro-neutro_open</t>
  </si>
  <si>
    <t>237925393</t>
  </si>
  <si>
    <t>435251821</t>
  </si>
  <si>
    <t>alp_Varejo-Nacional-janeiro-2019_inloco_horizontal_hardsell_inloco_cpm_prospecting_960x150_Varejo-Nacional-janeiro-lojasproprias_open</t>
  </si>
  <si>
    <t>237925378</t>
  </si>
  <si>
    <t>435251806</t>
  </si>
  <si>
    <t>alp_Varejo-Nacional-janeiro-2019_inloco_horizontal_hardsell_inloco_cpm_prospecting_960x150_Varejo-Nacional-janeiro-neutro_open</t>
  </si>
  <si>
    <t>237925396</t>
  </si>
  <si>
    <t>435251824</t>
  </si>
  <si>
    <t>alp_Varejo-Nacional-janeiro-2019_teads_horizontal_hardsell_teads_visitas_prospecting_carrossel-landscape-_Varejo-Nacional-Carousel-1_open</t>
  </si>
  <si>
    <t>239191584</t>
  </si>
  <si>
    <t>436216339</t>
  </si>
  <si>
    <t>alp_Varejo-Nacional-janeiro-2019_yahoo_horizontal_hardsell_yahoo_cpm_prospecting_1440x1024_Varejo-Nacional-Dezembro_open</t>
  </si>
  <si>
    <t>237780302</t>
  </si>
  <si>
    <t>435079433</t>
  </si>
  <si>
    <t>alp_Varejo_Amarok</t>
  </si>
  <si>
    <t>alp_jetta</t>
  </si>
  <si>
    <t>alp_jetta_facebook_network_lancamento_prospeccao_cpm_prospecting_carrossel_AMC-Jetta_jetta</t>
  </si>
  <si>
    <t>234715843</t>
  </si>
  <si>
    <t>432397772</t>
  </si>
  <si>
    <t>alp_jetta_facebook_network_lancamento_prospeccao_cpm_prospecting_linkad_AMC-Jetta-cores_jetta</t>
  </si>
  <si>
    <t>236326935</t>
  </si>
  <si>
    <t>433561682</t>
  </si>
  <si>
    <t>alp_jetta_facebook_network_lancamento_prospeccao_cpm_prospecting_linkad_AMC-Jetta_jetta</t>
  </si>
  <si>
    <t>231765855</t>
  </si>
  <si>
    <t>429250292</t>
  </si>
  <si>
    <t>alp_jetta_facebook_network_lancamento_prospeccao_cpm_prospecting_linkad_AMC-Jetta_linkad_jetta</t>
  </si>
  <si>
    <t>234069999</t>
  </si>
  <si>
    <t>431577871</t>
  </si>
  <si>
    <t>alp_jetta_oath_network_lancamento_prospeccao_cpm_prospecting_627x627_AMC-Jetta_interesse-negocios</t>
  </si>
  <si>
    <t>231895961</t>
  </si>
  <si>
    <t>429694782</t>
  </si>
  <si>
    <t>In-Stream Video</t>
  </si>
  <si>
    <t>alp_jetta_linkedin_network_lancamento_prospeccao_cpm_prospecting_300x250_AMC-Jetta_jetta</t>
  </si>
  <si>
    <t>233132487</t>
  </si>
  <si>
    <t>430633123</t>
  </si>
  <si>
    <t>alp_jetta_outlook_network_lancamento_prospeccao_cpm_prospecting_160x600_AMC-Jetta_interesse-tecnologia</t>
  </si>
  <si>
    <t>alp_polobeats</t>
  </si>
  <si>
    <t>Deezer</t>
  </si>
  <si>
    <t>alp_polobeats_deezer_network_lancamento_prospeccao_cpm_prospecting_640x960_AMC-Polo-Beats_polo-beats</t>
  </si>
  <si>
    <t>232714288</t>
  </si>
  <si>
    <t>430367801</t>
  </si>
  <si>
    <t>alp_polobeats_facebook_network_lancamento_prospeccao_cpm_prospecting_carrossel_AMC-Polo-Beats-28-08_polo-beats</t>
  </si>
  <si>
    <t>232106406</t>
  </si>
  <si>
    <t>429665041</t>
  </si>
  <si>
    <t>alp_polobeats_facebook_network_lancamento_prospeccao_cpm_prospecting_carrossel_AMC-Polo-Beats_polo-beats</t>
  </si>
  <si>
    <t>230774986</t>
  </si>
  <si>
    <t>428508734</t>
  </si>
  <si>
    <t>alp_polobeats_facebook_network_lancamento_prospeccao_cpm_prospecting_video-90_AMC-Polo-Beats_polo-beats</t>
  </si>
  <si>
    <t>230236333</t>
  </si>
  <si>
    <t>428075796</t>
  </si>
  <si>
    <t>alp_polobeats_oath_network_lancamento_prospeccao_cpm_prospecting_1200x627_AMC-Polo-Beats_polo-beats-opcao-1</t>
  </si>
  <si>
    <t>231615110</t>
  </si>
  <si>
    <t>429384503</t>
  </si>
  <si>
    <t>alp_polobeats_oath_network_lancamento_prospeccao_cpm_prospecting_1200x627_AMC-Polo-Beats_polo-beats-opcao-3</t>
  </si>
  <si>
    <t>231700105</t>
  </si>
  <si>
    <t>429384488</t>
  </si>
  <si>
    <t>Spotify</t>
  </si>
  <si>
    <t>alp_polobeats_spotify_network_lancamento_prospeccao_cpm_prospecting_video-30_AMC-Polo-Beats_polo-beats</t>
  </si>
  <si>
    <t>231171231</t>
  </si>
  <si>
    <t>428743565</t>
  </si>
  <si>
    <t>Twitter</t>
  </si>
  <si>
    <t>alp_polobeats_twitter_network_lancamento_prospeccao_cpm_prospecting_pagepost_AMC-Polo-Beats_polo-beats</t>
  </si>
  <si>
    <t>237181089</t>
  </si>
  <si>
    <t>434250411</t>
  </si>
  <si>
    <t>alp_polobeats_faceinsta_network_lancamento_prospeccao_cpm_prospecting_carrossel_AMC-Polo-Beats_polo-beats</t>
  </si>
  <si>
    <t>230791582</t>
  </si>
  <si>
    <t>428577016</t>
  </si>
  <si>
    <t>alp_polobeats_instagram_network_lancamento_prospeccao_cpm_prospecting_carrossel_AMC-Polo-Beats_polo-beats</t>
  </si>
  <si>
    <t>230776738</t>
  </si>
  <si>
    <t>428509604</t>
  </si>
  <si>
    <t>Month</t>
  </si>
  <si>
    <t>2019-02</t>
  </si>
  <si>
    <t>2019-01</t>
  </si>
  <si>
    <t>PG ALMAP</t>
  </si>
  <si>
    <t>PG CM</t>
  </si>
  <si>
    <t>BR_AAF_DSY_LANCH_ND_NC_2019Q1MAR_TCR_WebSerie</t>
  </si>
  <si>
    <t>BR_VW_TCR_DV360-Partner_DIS_PROG_CPM_STD_MPU_AAF_RON_CXD_T-Cross-WebSerie-Trailer-T-Cross-AMC_PD_Video</t>
  </si>
  <si>
    <t>242118930</t>
  </si>
  <si>
    <t>438749890</t>
  </si>
  <si>
    <t>BR_AAF_DSY_NONMS_ND_NC_2018Q1MAR_RNG_AlwaysOn</t>
  </si>
  <si>
    <t>BR_VW_RNG_gdn_DIS_DRCT_CPC_CAI_MPU_AAF_RON_CXD_Varejo-Outlet-Prospect_PD_email</t>
  </si>
  <si>
    <t>242024039</t>
  </si>
  <si>
    <t>438871542</t>
  </si>
  <si>
    <t>GSP</t>
  </si>
  <si>
    <t>BR_VW_RNG_dv360_DIS_PROG_CPM_STD_SKY_AAF_RON_CXD_Prospecting-Prospecting_PD_300x600</t>
  </si>
  <si>
    <t>243048557</t>
  </si>
  <si>
    <t>439781607</t>
  </si>
  <si>
    <t>BR_VW_RNG_oath_DIS_DRCT_CPC_CAI_MXD_AAF_RON_CXD_FoxConnect-Prospect_PD_nativeads</t>
  </si>
  <si>
    <t>243732381</t>
  </si>
  <si>
    <t>440222423</t>
  </si>
  <si>
    <t>BR_VW_RNG_oath_DIS_DRCT_CPC_CAI_MXD_AAF_RON_CXD_FoxXtreme-Prospect_PD_nativeads</t>
  </si>
  <si>
    <t>243732378</t>
  </si>
  <si>
    <t>440222420</t>
  </si>
  <si>
    <t>BR_VW_RNG_oath_DIS_DRCT_CPC_CAI_MXD_AAF_RON_CXD_Gol-Prospect_PD_nativeads</t>
  </si>
  <si>
    <t>243732375</t>
  </si>
  <si>
    <t>440222417</t>
  </si>
  <si>
    <t>BR_VW_RNG_oath_DIS_DRCT_CPC_CAI_MXD_AAF_RON_CXD_Jetta-Prospect_PD_nativeads</t>
  </si>
  <si>
    <t>243732372</t>
  </si>
  <si>
    <t>440222414</t>
  </si>
  <si>
    <t>BR_VW_RNG_oath_DIS_DRCT_CPC_CAI_MXD_AAF_RON_CXD_Passat-Prospect_PD_nativeads</t>
  </si>
  <si>
    <t>243732369</t>
  </si>
  <si>
    <t>440222411</t>
  </si>
  <si>
    <t>BR_VW_RNG_oath_DIS_DRCT_CPC_CAI_MXD_AAF_RON_CXD_Polo-Prospect_PD_nativeads</t>
  </si>
  <si>
    <t>243732366</t>
  </si>
  <si>
    <t>440222408</t>
  </si>
  <si>
    <t>BR_VW_RNG_oath_DIS_DRCT_CPC_CAI_MXD_AAF_RON_CXD_Saveiro-Prospect_PD_nativeads</t>
  </si>
  <si>
    <t>243732363</t>
  </si>
  <si>
    <t>440222405</t>
  </si>
  <si>
    <t>BR_VW_RNG_oath_DIS_DRCT_CPC_CAI_MXD_AAF_RON_CXD_SaveiroPepper-Prospect_PD_nativeads</t>
  </si>
  <si>
    <t>243732360</t>
  </si>
  <si>
    <t>440222402</t>
  </si>
  <si>
    <t>BR_VW_RNG_oath_DIS_DRCT_CPC_CAI_MXD_AAF_RON_CXD_Tiguan-Prospect_PD_nativeads</t>
  </si>
  <si>
    <t>243732357</t>
  </si>
  <si>
    <t>440222399</t>
  </si>
  <si>
    <t>BR_VW_RNG_oath_DIS_DRCT_CPC_CAI_MXD_AAF_RON_CXD_UP-Prospect_PD_nativeads</t>
  </si>
  <si>
    <t>243732351</t>
  </si>
  <si>
    <t>440222393</t>
  </si>
  <si>
    <t>BR_VW_RNG_oath_DIS_DRCT_CPC_CAI_MXD_AAF_RON_CXD_UPPepper-Prospect_PD_nativeads</t>
  </si>
  <si>
    <t>243732354</t>
  </si>
  <si>
    <t>440222396</t>
  </si>
  <si>
    <t>BR_VW_RNG_oath_DIS_DRCT_CPC_CAI_MXD_AAF_RON_CXD_Varejo-Outlet-Prospect_PD_nativeads</t>
  </si>
  <si>
    <t>242021264</t>
  </si>
  <si>
    <t>438955055</t>
  </si>
  <si>
    <t>BR_VW_RNG_oath_DIS_DRCT_CPC_CAI_MXD_AAF_RON_CXD_Voyage-Prospect_PD_nativeads</t>
  </si>
  <si>
    <t>243732345</t>
  </si>
  <si>
    <t>440222387</t>
  </si>
  <si>
    <t>BR_VW_RNG_faceinsta_SOC_DRCT_CPM_CLK_MXD_AAF_RON_CXD_DPA-Amarok-Prospect_PD_pagepost</t>
  </si>
  <si>
    <t>242415377</t>
  </si>
  <si>
    <t>439260088</t>
  </si>
  <si>
    <t>BR_VW_RNG_faceinsta_SOC_DRCT_CPM_CLK_MXD_AAF_RON_CXD_DPA-Fox-Prospect_PD_pagepost</t>
  </si>
  <si>
    <t>242415380</t>
  </si>
  <si>
    <t>439260085</t>
  </si>
  <si>
    <t>BR_VW_RNG_faceinsta_SOC_DRCT_CPM_CLK_MXD_AAF_RON_CXD_DPA-Gol-Prospect_PD_pagepost</t>
  </si>
  <si>
    <t>242415383</t>
  </si>
  <si>
    <t>439260082</t>
  </si>
  <si>
    <t>BR_VW_RNG_faceinsta_SOC_DRCT_CPM_CLK_MXD_AAF_RON_CXD_DPA-Passat-Prospect_PD_pagepost</t>
  </si>
  <si>
    <t>242415392</t>
  </si>
  <si>
    <t>439260073</t>
  </si>
  <si>
    <t>BR_VW_RNG_faceinsta_SOC_DRCT_CPM_CLK_MXD_AAF_RON_CXD_DPA-Polo-Prospect_PD_pagepost</t>
  </si>
  <si>
    <t>242415374</t>
  </si>
  <si>
    <t>439260091</t>
  </si>
  <si>
    <t>BR_VW_RNG_faceinsta_SOC_DRCT_CPM_CLK_MXD_AAF_RON_CXD_DPA-Saveiro-Prospect_PD_pagepost</t>
  </si>
  <si>
    <t>242415395</t>
  </si>
  <si>
    <t>439260070</t>
  </si>
  <si>
    <t>BR_VW_RNG_faceinsta_SOC_DRCT_CPM_CLK_MXD_AAF_RON_CXD_DPA-Tiguan-Prospect_PD_pagepost</t>
  </si>
  <si>
    <t>242415398</t>
  </si>
  <si>
    <t>439260067</t>
  </si>
  <si>
    <t>BR_VW_RNG_faceinsta_SOC_DRCT_CPM_CLK_MXD_AAF_RON_CXD_DPA-Virtus-Prospect_PD_pagepost</t>
  </si>
  <si>
    <t>242415401</t>
  </si>
  <si>
    <t>439260064</t>
  </si>
  <si>
    <t>BR_VW_RNG_faceinsta_SOC_DRCT_CPM_CLK_MXD_AAF_RON_CXD_DPA-Voyage-Prospect_PD_pagepost</t>
  </si>
  <si>
    <t>242415404</t>
  </si>
  <si>
    <t>439260061</t>
  </si>
  <si>
    <t>BR_VW_RNG_faceinsta_SOC_DRCT_CPM_CLK_MXD_AAF_RON_CXD_DPA-up!-Prospect_PD_pagepost</t>
  </si>
  <si>
    <t>242415389</t>
  </si>
  <si>
    <t>439260076</t>
  </si>
  <si>
    <t>BR_VW_TCR_olx_DIS_DRCT_CPC_STD_MPU_AAF_HTO_CXD_Pre-Venda-Tcross-AMC-Tcross_PD_300x250</t>
  </si>
  <si>
    <t>240497159</t>
  </si>
  <si>
    <t>437574754</t>
  </si>
  <si>
    <t>BR_AAF_DSY_RUNOT_ND_NC_2019Q1MAR_AMV_VarejoAmarokMarco</t>
  </si>
  <si>
    <t>BR_VW_AMV_dv360_DIS_PROG_CPM_STD_LDR_AAF_RON_CXD_Amarok-Varejo-Marco-Corporativo-OLD-CIDADE-Amarok-AMC_PD_728X90</t>
  </si>
  <si>
    <t>241739181</t>
  </si>
  <si>
    <t>438407590</t>
  </si>
  <si>
    <t>BR_VW_AMV_dv360_DIS_PROG_CPM_STD_LDR_AAF_RON_CXD_Amarok-Varejo-Marco-PRIVADO-Amarok-AMC_PD_728X90</t>
  </si>
  <si>
    <t>242922728</t>
  </si>
  <si>
    <t>439748054</t>
  </si>
  <si>
    <t>BR_VW_AMV_dv360_DIS_PROG_CPM_STD_MPU_AAF_RON_CXD_Amarok-Varejo-Marco-Corporativo-CAMPO-NOVO-Amarok-AMC_PD_300x250</t>
  </si>
  <si>
    <t>243292125</t>
  </si>
  <si>
    <t>439675803</t>
  </si>
  <si>
    <t>BR_VW_AMV_dv360_DIS_PROG_CPM_STD_MPU_AAF_RON_CXD_Amarok-Varejo-Marco-Corporativo-CAMPO-NOVO-Amarok-AMC_PD_320X50</t>
  </si>
  <si>
    <t>243292122</t>
  </si>
  <si>
    <t>439675800</t>
  </si>
  <si>
    <t>BR_VW_AMV_dv360_DIS_PROG_CPM_STD_MPU_AAF_RON_CXD_Amarok-Varejo-Marco-Corporativo-CIDADE-NOVO-Amarok-AMC_PD_300x250</t>
  </si>
  <si>
    <t>243490212</t>
  </si>
  <si>
    <t>439973078</t>
  </si>
  <si>
    <t>BR_VW_AMV_dv360_DIS_PROG_CPM_STD_MPU_AAF_RON_CXD_Amarok-Varejo-Marco-Corporativo-CIDADE-NOVO-Amarok-AMC_PD_320X50</t>
  </si>
  <si>
    <t>243490209</t>
  </si>
  <si>
    <t>439973075</t>
  </si>
  <si>
    <t>BR_VW_AMV_dv360_DIS_PROG_CPM_STD_MPU_AAF_RON_CXD_Amarok-Varejo-Marco-Corporativo-OLD-CAMPO-Amarok-AMC_PD_300x250</t>
  </si>
  <si>
    <t>241739247</t>
  </si>
  <si>
    <t>438419468</t>
  </si>
  <si>
    <t>BR_VW_AMV_dv360_DIS_PROG_CPM_STD_MPU_AAF_RON_CXD_Amarok-Varejo-Marco-Corporativo-OLD-CAMPO-Amarok-AMC_PD_320X100</t>
  </si>
  <si>
    <t>241739241</t>
  </si>
  <si>
    <t>438419462</t>
  </si>
  <si>
    <t>BR_VW_AMV_dv360_DIS_PROG_CPM_STD_MPU_AAF_RON_CXD_Amarok-Varejo-Marco-Corporativo-OLD-CIDADE-Amarok-AMC_PD_320X100</t>
  </si>
  <si>
    <t>241739199</t>
  </si>
  <si>
    <t>438407608</t>
  </si>
  <si>
    <t>BR_VW_AMV_dv360_DIS_PROG_CPM_STD_MPU_AAF_RON_CXD_Amarok-Varejo-Marco-PRIVADO-Amarok-AMC_PD_300x250</t>
  </si>
  <si>
    <t>242764834</t>
  </si>
  <si>
    <t>439444598</t>
  </si>
  <si>
    <t>BR_VW_AMV_dv360_DIS_PROG_CPM_STD_MPU_AAF_RON_CXD_Amarok-Varejo-Marco-PRIVADO-Amarok-AMC_PD_320X50</t>
  </si>
  <si>
    <t>243228027</t>
  </si>
  <si>
    <t>439739935</t>
  </si>
  <si>
    <t>BR_VW_AMV_dv360_DIS_PROG_CPM_STD_SKY_AAF_RON_CXD_Amarok-Varejo-Marco-Corporativo-CAMPO-NOVO-Amarok-AMC_PD_300X600</t>
  </si>
  <si>
    <t>243275007</t>
  </si>
  <si>
    <t>439675785</t>
  </si>
  <si>
    <t>BR_VW_AMV_dv360_DIS_PROG_CPM_STD_SKY_AAF_RON_CXD_Amarok-Varejo-Marco-Corporativo-CIDADE-NOVO-Amarok-AMC_PD_300X600</t>
  </si>
  <si>
    <t>243490194</t>
  </si>
  <si>
    <t>439973060</t>
  </si>
  <si>
    <t>BR_VW_AMV_dv360_DIS_PROG_CPM_STD_SKY_AAF_RON_CXD_Amarok-Varejo-Marco-Corporativo-OLD-CIDADE-Amarok-AMC_PD_300X600</t>
  </si>
  <si>
    <t>241739187</t>
  </si>
  <si>
    <t>438407596</t>
  </si>
  <si>
    <t>BR_VW_AMV_dv360_DIS_PROG_CPM_STD_SKY_AAF_RON_CXD_Amarok-Varejo-Marco-PRIVADO-Amarok-AMC_PD_300X600</t>
  </si>
  <si>
    <t>242764828</t>
  </si>
  <si>
    <t>439444592</t>
  </si>
  <si>
    <t>BR_VW_AMV_Inloco_DIS_DRCT_CPM_STD_LDR_AAF_RON_CXD_Amarok-Varejo-Marco-Corporativo-CAMPO-NOVO-Amarok-AMC_PD_900x750</t>
  </si>
  <si>
    <t>243286686</t>
  </si>
  <si>
    <t>439764770</t>
  </si>
  <si>
    <t>BR_VW_AMV_Inloco_DIS_DRCT_CPM_STD_LDR_AAF_RON_CXD_Amarok-Varejo-Marco-Corporativo-CAMPO-NOVO-Amarok-AMC_PD_960x1440</t>
  </si>
  <si>
    <t>243286692</t>
  </si>
  <si>
    <t>439764776</t>
  </si>
  <si>
    <t>BR_VW_AMV_Inloco_DIS_DRCT_CPM_STD_LDR_AAF_RON_CXD_Amarok-Varejo-Marco-Corporativo-CIDADE-NOVO-Amarok-AMC_PD_900x750</t>
  </si>
  <si>
    <t>243163442</t>
  </si>
  <si>
    <t>439883178</t>
  </si>
  <si>
    <t>BR_VW_AMV_Inloco_DIS_DRCT_CPM_STD_LDR_AAF_RON_CXD_Amarok-Varejo-Marco-Corporativo-CIDADE-NOVO-Amarok-AMC_PD_960x1440</t>
  </si>
  <si>
    <t>243163448</t>
  </si>
  <si>
    <t>439883184</t>
  </si>
  <si>
    <t>BR_VW_AMV_Inloco_DIS_DRCT_CPM_STD_LDR_AAF_RON_CXD_Amarok-Varejo-Marco-Corporativo-OLD-CAMPO-Amarok-AMC_PD_900x750</t>
  </si>
  <si>
    <t>241429877</t>
  </si>
  <si>
    <t>438411124</t>
  </si>
  <si>
    <t>BR_VW_AMV_Inloco_DIS_DRCT_CPM_STD_LDR_AAF_RON_CXD_Amarok-Varejo-Marco-Corporativo-OLD-CAMPO-Amarok-AMC_PD_960x1440</t>
  </si>
  <si>
    <t>241429883</t>
  </si>
  <si>
    <t>438411130</t>
  </si>
  <si>
    <t>BR_VW_AMV_Inloco_DIS_DRCT_CPM_STD_LDR_AAF_RON_CXD_Amarok-Varejo-Marco-Corporativo-OLD-CIDADE-Amarok-AMC_PD_900x750</t>
  </si>
  <si>
    <t>241429850</t>
  </si>
  <si>
    <t>438411097</t>
  </si>
  <si>
    <t>BR_VW_AMV_Inloco_DIS_DRCT_CPM_STD_LDR_AAF_RON_CXD_Amarok-Varejo-Marco-Corporativo-OLD-CIDADE-Amarok-AMC_PD_960x1440</t>
  </si>
  <si>
    <t>241429856</t>
  </si>
  <si>
    <t>438411103</t>
  </si>
  <si>
    <t>BR_VW_AMV_Inloco_DIS_DRCT_CPM_STD_LDR_AAF_RON_CXD_Amarok-Varejo-Marco-PRIVADO-Amarok-AMC_PD_900x750</t>
  </si>
  <si>
    <t>243222939</t>
  </si>
  <si>
    <t>439719830</t>
  </si>
  <si>
    <t>BR_VW_AMV_Inloco_DIS_DRCT_CPM_STD_LDR_AAF_RON_CXD_Amarok-Varejo-Marco-PRIVADO-Amarok-AMC_PD_960x1440</t>
  </si>
  <si>
    <t>243222945</t>
  </si>
  <si>
    <t>439719836</t>
  </si>
  <si>
    <t>BR_VW_AMV_Inloco_DIS_DRCT_CPM_STD_LDR_AAF_RON_CXD_Amarok-Varejo-Marco-PRIVADO-Amarok-AMC_PD_960x150</t>
  </si>
  <si>
    <t>243222948</t>
  </si>
  <si>
    <t>439719839</t>
  </si>
  <si>
    <t>BR_VW_AMV_Inloco_DIS_DRCT_CPM_STD_SRB_AAF_RON_CXD_Amarok-Varejo-Marco-Corporativo-CAMPO-NOVO-Amarok-AMC_PD_1200x627</t>
  </si>
  <si>
    <t>243286704</t>
  </si>
  <si>
    <t>439764788</t>
  </si>
  <si>
    <t>BR_VW_AMV_Inloco_DIS_DRCT_CPM_STD_SRB_AAF_RON_CXD_Amarok-Varejo-Marco-Corporativo-CAMPO-NOVO-Amarok-AMC_PD_1440x960</t>
  </si>
  <si>
    <t>243286689</t>
  </si>
  <si>
    <t>439764773</t>
  </si>
  <si>
    <t>BR_VW_AMV_Inloco_DIS_DRCT_CPM_STD_SRB_AAF_RON_CXD_Amarok-Varejo-Marco-Corporativo-CIDADE-NOVO-Amarok-AMC_PD_1200x627</t>
  </si>
  <si>
    <t>243163460</t>
  </si>
  <si>
    <t>439883199</t>
  </si>
  <si>
    <t>BR_VW_AMV_Inloco_DIS_DRCT_CPM_STD_SRB_AAF_RON_CXD_Amarok-Varejo-Marco-PRIVADO-Amarok-AMC_PD_1440x960</t>
  </si>
  <si>
    <t>243222942</t>
  </si>
  <si>
    <t>439719833</t>
  </si>
  <si>
    <t>BR_VW_AMV_DSP_DIS_PROG_CPM_STD_LDR_AAF_RON_CXD_Amarok-Varejo-Marco-Corporativo-CAMPO-NOVO-Amarok-AMC_PD_728x90</t>
  </si>
  <si>
    <t>243292134</t>
  </si>
  <si>
    <t>439675812</t>
  </si>
  <si>
    <t>BR_VW_AMV_DSP_DIS_PROG_CPM_STD_LDR_AAF_RON_CXD_Amarok-Varejo-Marco-Corporativo-CIDADE-NOVO-Amarok-AMC_PD_728x90</t>
  </si>
  <si>
    <t>243490221</t>
  </si>
  <si>
    <t>439973087</t>
  </si>
  <si>
    <t>BR_VW_AMV_DSP_DIS_PROG_CPM_STD_LDR_AAF_RON_CXD_Amarok-Varejo-Marco-Corporativo-OLD-CAMPO-Amarok-AMC_PD_728x90</t>
  </si>
  <si>
    <t>241922121</t>
  </si>
  <si>
    <t>438500442</t>
  </si>
  <si>
    <t>BR_VW_AMV_DSP_DIS_PROG_CPM_STD_LDR_AAF_RON_CXD_Amarok-Varejo-Marco-Corporativo-OLD-CIDADE-Amarok-AMC_PD_728x90</t>
  </si>
  <si>
    <t>241922709</t>
  </si>
  <si>
    <t>438500430</t>
  </si>
  <si>
    <t>BR_VW_AMV_DSP_DIS_PROG_CPM_STD_LDR_AAF_RON_CXD_Amarok-Varejo-Marco-PRIVADO-Amarok-AMC_PD_970x250</t>
  </si>
  <si>
    <t>243228030</t>
  </si>
  <si>
    <t>439739938</t>
  </si>
  <si>
    <t>BR_VW_AMV_DSP_DIS_PROG_CPM_STD_MPU_AAF_RON_CXD_Amarok-Varejo-Marco-Corporativo-CAMPO-NOVO-Amarok-AMC_PD_300x250</t>
  </si>
  <si>
    <t>243292137</t>
  </si>
  <si>
    <t>439675815</t>
  </si>
  <si>
    <t>BR_VW_AMV_DSP_DIS_PROG_CPM_STD_MPU_AAF_RON_CXD_Amarok-Varejo-Marco-Corporativo-CIDADE-NOVO-Amarok-AMC_PD_300x250</t>
  </si>
  <si>
    <t>243490224</t>
  </si>
  <si>
    <t>439973090</t>
  </si>
  <si>
    <t>BR_VW_AMV_DSP_DIS_PROG_CPM_STD_MPU_AAF_RON_CXD_Amarok-Varejo-Marco-Corporativo-OLD-CAMPO-Amarok-AMC_PD_300x250</t>
  </si>
  <si>
    <t>241922124</t>
  </si>
  <si>
    <t>438500445</t>
  </si>
  <si>
    <t>BR_VW_AMV_DSP_DIS_PROG_CPM_STD_MPU_AAF_RON_CXD_Amarok-Varejo-Marco-Corporativo-OLD-CIDADE-Amarok-AMC_PD_300x250</t>
  </si>
  <si>
    <t>241922712</t>
  </si>
  <si>
    <t>438500433</t>
  </si>
  <si>
    <t>BR_VW_AMV_DSP_DIS_PROG_CPM_STD_MPU_AAF_RON_CXD_Amarok-Varejo-Marco-PRIVADO-Amarok-AMC_PD_300x250</t>
  </si>
  <si>
    <t>242764840</t>
  </si>
  <si>
    <t>439444604</t>
  </si>
  <si>
    <t>BR_VW_AMV_DSP_DIS_PROG_CPM_STD_SKY_AAF_RON_CXD_Amarok-Varejo-Marco-Corporativo-CAMPO-NOVO-Amarok-AMC_PD_300x600</t>
  </si>
  <si>
    <t>243292140</t>
  </si>
  <si>
    <t>439675818</t>
  </si>
  <si>
    <t>BR_VW_AMV_DSP_DIS_PROG_CPM_STD_SKY_AAF_RON_CXD_Amarok-Varejo-Marco-Corporativo-CIDADE-NOVO-Amarok-AMC_PD_300x600</t>
  </si>
  <si>
    <t>243490227</t>
  </si>
  <si>
    <t>439973093</t>
  </si>
  <si>
    <t>BR_VW_AMV_DSP_DIS_PROG_CPM_STD_SKY_AAF_RON_CXD_Amarok-Varejo-Marco-PRIVADO-Amarok-AMC_PD_300x600</t>
  </si>
  <si>
    <t>242764843</t>
  </si>
  <si>
    <t>439444607</t>
  </si>
  <si>
    <t>BR_VW_AMV_oath_DIS_PROG_CPC_STD_LDR_AAF_RON_CXD_Amarok-Varejo-Marco-Corporativo-CAMPO-NOVO-Amarok-AMC_PD_627x627</t>
  </si>
  <si>
    <t>243286707</t>
  </si>
  <si>
    <t>439764791</t>
  </si>
  <si>
    <t>BR_VW_AMV_oath_DIS_PROG_CPC_STD_LDR_AAF_RON_CXD_Amarok-Varejo-Marco-Corporativo-CIDADE-NOVO-Amarok-AMC_PD_627x627</t>
  </si>
  <si>
    <t>243163463</t>
  </si>
  <si>
    <t>439883202</t>
  </si>
  <si>
    <t>BR_VW_AMV_oath_DIS_PROG_CPC_STD_LDR_AAF_RON_CXD_Amarok-Varejo-Marco-Corporativo-OLD-CAMPO-Amarok-AMC_PD_627x627</t>
  </si>
  <si>
    <t>241429901</t>
  </si>
  <si>
    <t>438411148</t>
  </si>
  <si>
    <t>BR_VW_AMV_oath_DIS_PROG_CPC_STD_SRB_AAF_RON_CXD_Amarok-Varejo-Marco-PRIVADO-Amarok-AMC_PD_1200x627</t>
  </si>
  <si>
    <t>243083986</t>
  </si>
  <si>
    <t>439756673</t>
  </si>
  <si>
    <t>BR_VW_AMV_Teads_DIS_DRCT_CPM_STD_MPU_AAF_RON_CXD_Amarok-Varejo-Marco-Corporativo-OLD-CIDADE-1-Amarok-AMC_PD_scroller-landscape</t>
  </si>
  <si>
    <t>241969916</t>
  </si>
  <si>
    <t>438915784</t>
  </si>
  <si>
    <t>BR_VW_AMV_Teads_DIS_DRCT_CPM_STD_MPU_AAF_RON_CXD_Amarok-Varejo-Marco-Corporativo-OLD-CIDADE-2-Amarok-AMC_PD_carrossel-landscape</t>
  </si>
  <si>
    <t>241969907</t>
  </si>
  <si>
    <t>438915775</t>
  </si>
  <si>
    <t>BR_VW_AMV_Teads_DIS_DRCT_CPM_STD_MPU_AAF_RON_CXD_Amarok-Varejo-Marco-Corporativo-OLD-CIDADE-2-Amarok-AMC_PD_scroller-landscape</t>
  </si>
  <si>
    <t>241969910</t>
  </si>
  <si>
    <t>438915778</t>
  </si>
  <si>
    <t>BR_VW_AMV_Teads_DIS_DRCT_CPM_STD_MPU_AAF_RON_CXD_Amarok-Varejo-Marco-Corporativo-OLD-CIDADE-3-Amarok-AMC_PD_scroller-landscape</t>
  </si>
  <si>
    <t>241969904</t>
  </si>
  <si>
    <t>438915772</t>
  </si>
  <si>
    <t>BR_AAF_SOC_LANCH_ND_NC_2019Q1MAR_TCR_WebSerie</t>
  </si>
  <si>
    <t>BR_VW_TCR_youtube_SOC_DRCT_CPV_STD_MPU_AAF_RON_CXD_T-Cross-WebSerie-Ep-1-T-Cross-AMC_PD_Video</t>
  </si>
  <si>
    <t>241898582</t>
  </si>
  <si>
    <t>438853961</t>
  </si>
  <si>
    <t>BR_VW_TCR_youtube_SOC_DRCT_CPV_STD_MPU_AAF_RON_CXD_T-Cross-WebSerie-Ep-1-T-Cross-Remarketing_PD_Video</t>
  </si>
  <si>
    <t>241898576</t>
  </si>
  <si>
    <t>438853955</t>
  </si>
  <si>
    <t>BR_VW_TCR_youtube_SOC_DRCT_CPV_STD_MPU_AAF_RON_CXD_T-Cross-WebSerie-Ep-2-T-Cross-AMC_PD_Video</t>
  </si>
  <si>
    <t>241898546</t>
  </si>
  <si>
    <t>438853925</t>
  </si>
  <si>
    <t>BR_VW_TCR_youtube_SOC_DRCT_CPV_STD_MPU_AAF_RON_CXD_T-Cross-WebSerie-Ep-2-T-Cross-Remarketing_PD_Video</t>
  </si>
  <si>
    <t>241898540</t>
  </si>
  <si>
    <t>438853919</t>
  </si>
  <si>
    <t>BR_VW_TCR_youtube_SOC_DRCT_CPV_STD_MPU_AAF_RON_CXD_T-Cross-WebSerie-Ep-3-T-Cross-AMC_PD_Video</t>
  </si>
  <si>
    <t>241898510</t>
  </si>
  <si>
    <t>438853889</t>
  </si>
  <si>
    <t>BR_VW_TCR_youtube_SOC_DRCT_CPV_STD_MPU_AAF_RON_CXD_T-Cross-WebSerie-Ep-4-T-Cross-AMC_PD_Video</t>
  </si>
  <si>
    <t>241898480</t>
  </si>
  <si>
    <t>438853859</t>
  </si>
  <si>
    <t>BR_VW_TCR_youtube_SOC_DRCT_CPV_STD_MPU_AAF_RON_CXD_T-Cross-WebSerie-Ep-5-T-Cross-AMC_PD_Video</t>
  </si>
  <si>
    <t>241990726</t>
  </si>
  <si>
    <t>438853841</t>
  </si>
  <si>
    <t>BR_VW_TCR_youtube_SOC_DRCT_CPV_STD_MPU_AAF_RON_CXD_T-Cross-WebSerie-Ep-6-T-Cross-AMC_PD_Video</t>
  </si>
  <si>
    <t>241990708</t>
  </si>
  <si>
    <t>438853823</t>
  </si>
  <si>
    <t>BR_VW_TCR_faceinsta_SOC_DRCT_CPV_STD_MPU_AAF_RON_CXD_T-Cross-WebSerie-Trailer-T-Cross-AMC_PD_Video</t>
  </si>
  <si>
    <t>241790534</t>
  </si>
  <si>
    <t>438672468</t>
  </si>
  <si>
    <t>BR_VW_TCR_faceinsta_SOC_DRCT_CPV_STD_MPU_AAF_RON_CXD_T-Cross-WebSerie-Trailer-T-Cross-Remarketing_PD_Video</t>
  </si>
  <si>
    <t>241895485</t>
  </si>
  <si>
    <t>438668946</t>
  </si>
  <si>
    <t>BR_VW_TCR_instagram_SOC_DRCT_CPV_STD_MPU_AAF_RON_CXD_T-Cross-WebSerie-Ep-5-T-Cross-AMC_PD_Stories</t>
  </si>
  <si>
    <t>243623980</t>
  </si>
  <si>
    <t>440226117</t>
  </si>
  <si>
    <t>BR_VW_TCR_instagram_SOC_DRCT_CPV_STD_SRB_AAF_RON_CXD_T-Cross-WebSerie-Ep-1-T-Cross-AMC_PD_PagePost</t>
  </si>
  <si>
    <t>242732895</t>
  </si>
  <si>
    <t>439153827</t>
  </si>
  <si>
    <t>BR_VW_TCR_instagram_SOC_DRCT_CPV_STD_SRB_AAF_RON_CXD_T-Cross-WebSerie-Ep-1-T-Cross-Remarketing_PD_PagePost</t>
  </si>
  <si>
    <t>242732889</t>
  </si>
  <si>
    <t>439153833</t>
  </si>
  <si>
    <t>BR_VW_TCR_instagram_SOC_DRCT_CPV_STD_SRB_AAF_RON_CXD_T-Cross-WebSerie-Ep-2-T-Cross-AMC_PD_PagePost</t>
  </si>
  <si>
    <t>242645612</t>
  </si>
  <si>
    <t>439465256</t>
  </si>
  <si>
    <t>BR_VW_RNG_instagram_SOC_DRCT_CPM_CAI_MXD_AAF_ROS_CXD_BrandedContent-SandyeJunior-AMC_PD_pagepost</t>
  </si>
  <si>
    <t>242168747</t>
  </si>
  <si>
    <t>439079027</t>
  </si>
  <si>
    <t>BR_AAF_SOC_RUNOT_ND_NC_2019Q1MAR_AMV_VarejoAmarokMarco</t>
  </si>
  <si>
    <t>BR_VW_AMV_facebook_MOB_DRCT_CPM_CLK_SRB_AAF_RON_CXD_Amarok-Varejo-Marco-Corporativo-CAMPO-NOVO-Social-Amarok-AMC_PD_1200x628</t>
  </si>
  <si>
    <t>241644501</t>
  </si>
  <si>
    <t>438306479</t>
  </si>
  <si>
    <t>BR_VW_AMV_facebook_MOB_DRCT_CPM_CLK_SRB_AAF_RON_CXD_Amarok-Varejo-Marco-Corporativo-CIDADE-NOVO-Social-Amarok-AMC_PD_1200x628</t>
  </si>
  <si>
    <t>241644492</t>
  </si>
  <si>
    <t>438306470</t>
  </si>
  <si>
    <t>BR_VW_AMV_facebook_MOB_DRCT_CPM_CLK_SRB_AAF_RON_CXD_Amarok-Varejo-Marco-Corporativo-OLD-CAMPO-Social-Amarok-AMC_PD_1200x628</t>
  </si>
  <si>
    <t>241644519</t>
  </si>
  <si>
    <t>438306497</t>
  </si>
  <si>
    <t>BR_VW_AMV_facebook_MOB_DRCT_CPM_CLK_SRB_AAF_RON_CXD_Amarok-Varejo-Marco-Corporativo-OLD-CIDADE-Social-Amarok-AMC_PD_1200x628</t>
  </si>
  <si>
    <t>241644510</t>
  </si>
  <si>
    <t>438306488</t>
  </si>
  <si>
    <t>BR_VW_AMV_facebook_MOB_DRCT_CPM_CLK_SRB_AAF_RON_CXD_Amarok-Varejo-Marco-PRIVADO-SOCIAL-Amarok-AMC_PD_1200x628</t>
  </si>
  <si>
    <t>241644528</t>
  </si>
  <si>
    <t>438306506</t>
  </si>
  <si>
    <t>BR_VW_AMV_Instagram_MOB_DRCT_CPM_CLK_MPU_AAF_RON_CXD_Amarok-Varejo-Marco-PRIVADO-SOCIAL-Amarok-AMC_PD_Video</t>
  </si>
  <si>
    <t>241644522</t>
  </si>
  <si>
    <t>438306500</t>
  </si>
  <si>
    <t>BR_VW_AMV_Instagram_MOB_DRCT_CPM_CLK_SRB_AAF_RON_CXD_Amarok-Varejo-Marco-Corporativo-CAMPO-NOVO-Social-Amarok-AMC_PD_1200x628</t>
  </si>
  <si>
    <t>241644498</t>
  </si>
  <si>
    <t>438306476</t>
  </si>
  <si>
    <t>BR_VW_AMV_Instagram_MOB_DRCT_CPM_CLK_SRB_AAF_RON_CXD_Amarok-Varejo-Marco-Corporativo-CIDADE-NOVO-Social-Amarok-AMC_PD_1200x628</t>
  </si>
  <si>
    <t>241644489</t>
  </si>
  <si>
    <t>438306467</t>
  </si>
  <si>
    <t>BR_VW_AMV_Instagram_MOB_DRCT_CPM_CLK_SRB_AAF_RON_CXD_Amarok-Varejo-Marco-Corporativo-OLD-CIDADE-Social-Amarok-AMC_PD_1200x628</t>
  </si>
  <si>
    <t>241644507</t>
  </si>
  <si>
    <t>438306485</t>
  </si>
  <si>
    <t>BR_IMC_DSY_LANCH_ND_NC_2019Q1FEB_RNG_Outlet</t>
  </si>
  <si>
    <t>BR_VW_RNG_msn_DIS_DRCT_CPA_CAI_SKY_IMC_RON_CXD_outlet-polo-jetta-all-faixa-horaria-awareness_PD_160x600</t>
  </si>
  <si>
    <t>242022461</t>
  </si>
  <si>
    <t>438967775</t>
  </si>
  <si>
    <t>BR_VW_RNG_uol_DIS_DRCT_CPA_CAI_MPU_IMC_RON_CXD_outlet-polo-jetta-as-ab-25+-autos-awareness_PD_300x250</t>
  </si>
  <si>
    <t>242140816</t>
  </si>
  <si>
    <t>438890082</t>
  </si>
  <si>
    <t>BR_VW_RNG_facebook_SOC_DRCT_CPA_CAI_SRB_IMC_RON_CXD_outlet-cinza-remarketing_PD_1200x628</t>
  </si>
  <si>
    <t>242933761</t>
  </si>
  <si>
    <t>439653187</t>
  </si>
  <si>
    <t>BR_VW_RNG_facebook_SOC_DRCT_CPA_CAI_SRB_IMC_RON_CXD_outlet-jetta-in-mkt-autos-consideracao_PD_1200x628</t>
  </si>
  <si>
    <t>242043302</t>
  </si>
  <si>
    <t>438970913</t>
  </si>
  <si>
    <t>BR_VW_RNG_facebook_SOC_DRCT_CPA_CAI_SRB_IMC_RON_CXD_outlet-jetta-lal-reserva_PD_1200x628</t>
  </si>
  <si>
    <t>242857338</t>
  </si>
  <si>
    <t>439368302</t>
  </si>
  <si>
    <t>BR_VW_RNG_facebook_SOC_DRCT_CPA_CAI_SRB_IMC_RON_CXD_outlet-polo-in-mkt-autos-consideracao_PD_1200x628</t>
  </si>
  <si>
    <t>242160280</t>
  </si>
  <si>
    <t>438886710</t>
  </si>
  <si>
    <t>BR_VW_RNG_facebook_SOC_DRCT_CPA_CAI_SRB_IMC_RON_CXD_outlet-tiguan-in-mkt-autos-consideracao_PD_1200x628</t>
  </si>
  <si>
    <t>242022452</t>
  </si>
  <si>
    <t>438970916</t>
  </si>
  <si>
    <t>BR_VW_RNG_facebook_SOC_DRCT_CPA_CAI_SRB_IMC_RON_CXD_outlet-tiguan-lal-reserva_PD_1200x628</t>
  </si>
  <si>
    <t>242857335</t>
  </si>
  <si>
    <t>439371043</t>
  </si>
  <si>
    <t>BR_VW_RNG_facebook_SOC_DRCT_CPA_CAI_SRB_IMC_RON_CXD_outlet-virtus-in-mkt-autos-consideracao_PD_1200x628</t>
  </si>
  <si>
    <t>242043305</t>
  </si>
  <si>
    <t>438889326</t>
  </si>
  <si>
    <t>BR_VW_RNG_facebook_SOC_DRCT_CPA_CAI_SRB_IMC_RON_CXD_outlet-virtus-lal-reserva_PD_1200x628</t>
  </si>
  <si>
    <t>242857332</t>
  </si>
  <si>
    <t>439371988</t>
  </si>
  <si>
    <t>BR_VW_RNG_facebook_VID_DRCT_CPM_CAI_MPU_IMC_RON_CXD_outlet-awareness-5s-as-ab-25+autos_PD_9x16</t>
  </si>
  <si>
    <t>242608488</t>
  </si>
  <si>
    <t>439170205</t>
  </si>
  <si>
    <t>BR_VW_RNG_youtube_VID_PROG_CPA_CAI_MPU_IMC_RON_CXD_outlet-consideracao-15s-in-mkt-autos_PD_9x16</t>
  </si>
  <si>
    <t>242392117</t>
  </si>
  <si>
    <t>439063662</t>
  </si>
  <si>
    <t>BR_VW_RNG_youtube_VID_PROG_CPM_CAI_MPU_IMC_RON_CXD_outlet-awareness-5s-as-ab-25+autos_PD_9x16</t>
  </si>
  <si>
    <t>242585154</t>
  </si>
  <si>
    <t>439063653</t>
  </si>
  <si>
    <t>BR_VW_RNG_google_DIS_PROG_CPA_CAI_LDR_IMC_RON_CXD_outlet-cinza-remarketing_PD_728x90</t>
  </si>
  <si>
    <t>242941621</t>
  </si>
  <si>
    <t>439539462</t>
  </si>
  <si>
    <t>BR_VW_RNG_google_DIS_PROG_CPA_CAI_LDR_IMC_RON_CXD_outlet-polo-jetta-in-mkt-autos-consideracao_PD_728x90</t>
  </si>
  <si>
    <t>242144329</t>
  </si>
  <si>
    <t>438889329</t>
  </si>
  <si>
    <t>BR_VW_RNG_google_DIS_PROG_CPA_CAI_LDR_IMC_RON_CXD_outlet-polo-jetta-v3-in-mkt-autos-consideracao_PD_970x90</t>
  </si>
  <si>
    <t>242550672</t>
  </si>
  <si>
    <t>439135997</t>
  </si>
  <si>
    <t>BR_VW_RNG_google_DIS_PROG_CPA_CAI_MPU_IMC_RON_CXD_in-mkt-autos-consideracao_PD_320x50</t>
  </si>
  <si>
    <t>242023253</t>
  </si>
  <si>
    <t>BR_VW_RNG_google_DIS_PROG_CPA_CAI_MPU_IMC_RON_CXD_outlet-jetta-v1-in-mkt-autos-consideracao_PD_320x50</t>
  </si>
  <si>
    <t>439038789</t>
  </si>
  <si>
    <t>BR_VW_RNG_google_DIS_PROG_CPA_CAI_MPU_IMC_RON_CXD_outlet-cinza-remarketing_PD_320x100</t>
  </si>
  <si>
    <t>242941624</t>
  </si>
  <si>
    <t>439539465</t>
  </si>
  <si>
    <t>BR_VW_RNG_google_DIS_PROG_CPA_CAI_MPU_IMC_RON_CXD_outlet-cinza-remarketing_PD_320x50</t>
  </si>
  <si>
    <t>242941627</t>
  </si>
  <si>
    <t>439539468</t>
  </si>
  <si>
    <t>BR_VW_RNG_google_DIS_PROG_CPA_CAI_MPU_IMC_RON_CXD_outlet-polo-jetta-v3-in-mkt-autos-consideracao_PD_300x250</t>
  </si>
  <si>
    <t>242352391</t>
  </si>
  <si>
    <t>439135568</t>
  </si>
  <si>
    <t>BR_VW_RNG_google_DIS_PROG_CPA_CAI_SKY_IMC_RON_CXD_outlet-cinza-remarketing_PD_120x600</t>
  </si>
  <si>
    <t>242941654</t>
  </si>
  <si>
    <t>439539489</t>
  </si>
  <si>
    <t>BR_VW_RNG_google_DIS_PROG_CPA_CAI_SKY_IMC_RON_CXD_outlet-cinza-remarketing_PD_160x600</t>
  </si>
  <si>
    <t>242941648</t>
  </si>
  <si>
    <t>439653319</t>
  </si>
  <si>
    <t>BR_VW_RNG_google_DIS_PROG_CPA_CAI_SKY_IMC_RON_CXD_outlet-cinza-remarketing_PD_300x600</t>
  </si>
  <si>
    <t>242941630</t>
  </si>
  <si>
    <t>439539471</t>
  </si>
  <si>
    <t>BR_VW_RNG_google_DIS_PROG_CPA_CAI_SKY_IMC_RON_CXD_outlet-polo-jetta-in-mkt-autos-consideracao_PD_160x600</t>
  </si>
  <si>
    <t>242144347</t>
  </si>
  <si>
    <t>438967766</t>
  </si>
  <si>
    <t>BR_VW_RNG_google_DIS_PROG_CPA_CAI_SKY_IMC_RON_CXD_outlet-polo-jetta-v3-in-mkt-autos-consideracao_PD_120x600</t>
  </si>
  <si>
    <t>242550624</t>
  </si>
  <si>
    <t>439136482</t>
  </si>
  <si>
    <t>BR_VW_RNG_google_DIS_PROG_CPA_CAI_SKY_IMC_RON_CXD_outlet-polo-jetta-v3-in-mkt-autos-consideracao_PD_160x600</t>
  </si>
  <si>
    <t>242351413</t>
  </si>
  <si>
    <t>439135892</t>
  </si>
  <si>
    <t>BR_VW_RNG_google_DIS_PROG_CPA_CAI_SKY_IMC_RON_CXD_outlet-polo-jetta-v3-in-mkt-autos-consideracao_PD_300x600</t>
  </si>
  <si>
    <t>242245736</t>
  </si>
  <si>
    <t>439136477</t>
  </si>
  <si>
    <t>BR_VW_RNG_teads_DIS_DRCT_CPA_CAI_LDR_IMC_RON_MOB_Outlet-Carousel-2-visita-Lookalike-consideracao_PD_carrossel-landscape</t>
  </si>
  <si>
    <t>242434664</t>
  </si>
  <si>
    <t>439158168</t>
  </si>
  <si>
    <t>BR_VW_RNG_teads_DIS_DRCT_CPA_CAI_LDR_IMC_RON_MOB_Outlet-Carousel-3-visita-Lookalike-consideracao_PD_carrossel-landscape</t>
  </si>
  <si>
    <t>242431457</t>
  </si>
  <si>
    <t>439273424</t>
  </si>
  <si>
    <t>BR_VW_RNG_teads_DIS_DRCT_CPA_CAI_SRB_IMC_RON_MOB_Outlet-Scroller-1-visita-Lookalike-consideracao_PD_scroller-landscape-</t>
  </si>
  <si>
    <t>242637407</t>
  </si>
  <si>
    <t>439458380</t>
  </si>
  <si>
    <t>BR_IMC_DSY_LANCH_ND_NC_2019Q1MAR_RNG_varejoregionalmarco</t>
  </si>
  <si>
    <t>BR_VW_RNG_facebook_MOB_DRCT_CPM_CAI_SRB_IMC_RON_MOB_Reg4-vit-1-geolocalizado_PD_1200x627</t>
  </si>
  <si>
    <t>242277170</t>
  </si>
  <si>
    <t>439173809</t>
  </si>
  <si>
    <t>BR_VW_RNG_inloco_MOB_DRCT_CPV_CAI_SKY_IMC_RON_MOB_reg5-jetta-outlet-geolocalizado_PD_960x1440</t>
  </si>
  <si>
    <t>242107319</t>
  </si>
  <si>
    <t>438942087</t>
  </si>
  <si>
    <t>BR_IMC_DSY_RUNOT_ND_NC_2019Q1MAR_AMV_VarejoAmarokMarco</t>
  </si>
  <si>
    <t>BR_VW_AMV_Linkedin_DIS_DRCT_CPC_STD_MPU_IMC_RON_CXD_Amarok-Varejo-Marco-Corporativo-CAMPO-InMail-NOVO-Amarok-AMC_PD_300x250</t>
  </si>
  <si>
    <t>241650258</t>
  </si>
  <si>
    <t>438310760</t>
  </si>
  <si>
    <t>BR_VW_AMV_Linkedin_DIS_DRCT_CPC_STD_MPU_IMC_RON_CXD_Amarok-Varejo-Marco-Corporativo-CAMPO-OLD-InMail-Amarok-AMC_PD_300x250</t>
  </si>
  <si>
    <t>241650282</t>
  </si>
  <si>
    <t>438310784</t>
  </si>
  <si>
    <t>BR_VW_AMV_Linkedin_DIS_DRCT_CPC_STD_MPU_IMC_RON_CXD_Amarok-Varejo-Marco-Corporativo-CIDADE-InMail-NOVO-Amarok-AMC_PD_300x250</t>
  </si>
  <si>
    <t>241650303</t>
  </si>
  <si>
    <t>438310805</t>
  </si>
  <si>
    <t>BR_IMC_SOC_NONMS_ND_UC_2019Q1MAR_AFS_Outlet-Pos-Vendas</t>
  </si>
  <si>
    <t>BR_VW_AFS_facebook_SOC_DRCT_CPM_STD_MXD_IMC_RON_CXD_Outlet-Pos-Vendas-Pos-Vendas-AMC-Reg1_PD_carrossel-landscape-</t>
  </si>
  <si>
    <t>243048081</t>
  </si>
  <si>
    <t>439550269</t>
  </si>
  <si>
    <t>BR_VW_AFS_facebook_SOC_DRCT_CPM_STD_MXD_IMC_RON_CXD_Outlet-Pos-Vendas-Pos-Vendas-AMC-Reg2_PD_carrossel-landscape-</t>
  </si>
  <si>
    <t>243048078</t>
  </si>
  <si>
    <t>439550266</t>
  </si>
  <si>
    <t>BR_VW_AFS_facebook_SOC_DRCT_CPM_STD_MXD_IMC_RON_CXD_Outlet-Pos-Vendas-Pos-Vendas-AMC-Reg3_PD_carrossel-landscape-</t>
  </si>
  <si>
    <t>243048075</t>
  </si>
  <si>
    <t>439550263</t>
  </si>
  <si>
    <t>BR_VW_AFS_facebook_SOC_DRCT_CPM_STD_MXD_IMC_RON_CXD_Outlet-Pos-Vendas-Pos-Vendas-AMC-Reg4_PD_carrossel-landscape-</t>
  </si>
  <si>
    <t>243048072</t>
  </si>
  <si>
    <t>439550260</t>
  </si>
  <si>
    <t>BR_VW_AFS_facebook_SOC_DRCT_CPM_STD_MXD_IMC_RON_CXD_Outlet-Pos-Vendas-Pos-Vendas-AMC-Reg5_PD_carrossel-landscape-</t>
  </si>
  <si>
    <t>243048069</t>
  </si>
  <si>
    <t>439550257</t>
  </si>
  <si>
    <t>BR_VW_AFS_facebook_SOC_DRCT_CPM_STD_MXD_IMC_RON_CXD_Outlet-Pos-Vendas-Pos-Vendas-AMC-Reg6_PD_carrossel-landscape-</t>
  </si>
  <si>
    <t>243048066</t>
  </si>
  <si>
    <t>439550254</t>
  </si>
  <si>
    <t>BR_VW_AFS_facebook_SOC_DRCT_CPM_STD_MXD_IMC_RON_CXD_Outlet-Pos-Vendas-Pos-Vendas-AMC-Reg7_PD_carrossel-landscape-</t>
  </si>
  <si>
    <t>243048063</t>
  </si>
  <si>
    <t>439550251</t>
  </si>
  <si>
    <t>BR_VW_AFS_facebook_SOC_DRCT_CPM_STD_SRB_IMC_RON_CXD_Outlet-Pos-Vendas-Pos-Vendas-AMC_PD_PagePost</t>
  </si>
  <si>
    <t>243048084</t>
  </si>
  <si>
    <t>439550272</t>
  </si>
  <si>
    <t>BR_VW_RNG_gsp_DIS_DRCT_CPC_CLK_MPU_TAT_RON_CXD_fox-xtreme-Rmkt-View-content_PD_email</t>
  </si>
  <si>
    <t>242986564</t>
  </si>
  <si>
    <t>439684066</t>
  </si>
  <si>
    <t>BR_VW_RNG_gsp_DIS_DRCT_CPC_CLK_MPU_TAT_RON_CXD_gol-Rmkt-View-content_PD_email</t>
  </si>
  <si>
    <t>242986567</t>
  </si>
  <si>
    <t>439684069</t>
  </si>
  <si>
    <t>BR_VW_RNG_gsp_DIS_DRCT_CPC_CLK_MPU_TAT_RON_CXD_jetta-Rmkt-View-content_PD_email</t>
  </si>
  <si>
    <t>242986570</t>
  </si>
  <si>
    <t>439684072</t>
  </si>
  <si>
    <t>BR_VW_RNG_gsp_DIS_DRCT_CPC_CLK_MPU_TAT_RON_CXD_passat-Rmkt-View-content_PD_email</t>
  </si>
  <si>
    <t>242986573</t>
  </si>
  <si>
    <t>439684075</t>
  </si>
  <si>
    <t>BR_VW_RNG_gsp_DIS_DRCT_CPC_CLK_MPU_TAT_RON_CXD_polo-Rmkt-View-content_PD_email</t>
  </si>
  <si>
    <t>242986576</t>
  </si>
  <si>
    <t>439684078</t>
  </si>
  <si>
    <t>BR_VW_RNG_gsp_DIS_DRCT_CPC_CLK_MPU_TAT_RON_CXD_saveiro-Rmkt-View-content_PD_email</t>
  </si>
  <si>
    <t>242986579</t>
  </si>
  <si>
    <t>439684081</t>
  </si>
  <si>
    <t>BR_VW_RNG_gsp_DIS_DRCT_CPC_CLK_MPU_TAT_RON_CXD_tiguan-Rmkt-View-content_PD_email</t>
  </si>
  <si>
    <t>242986582</t>
  </si>
  <si>
    <t>439684084</t>
  </si>
  <si>
    <t>BR_VW_RNG_gsp_DIS_DRCT_CPC_CLK_MPU_TAT_RON_CXD_up-Rmkt-View-content_PD_email</t>
  </si>
  <si>
    <t>242986585</t>
  </si>
  <si>
    <t>439684087</t>
  </si>
  <si>
    <t>BR_VW_RNG_gsp_DIS_DRCT_CPC_CLK_MPU_TAT_RON_CXD_virtus-Rmkt-View-content_PD_email</t>
  </si>
  <si>
    <t>242986588</t>
  </si>
  <si>
    <t>439684090</t>
  </si>
  <si>
    <t>BR_VW_RNG_gsp_DIS_DRCT_CPC_CLK_MPU_TAT_RON_CXD_voyage-Rmkt-View-content_PD_email</t>
  </si>
  <si>
    <t>242992600</t>
  </si>
  <si>
    <t>439684093</t>
  </si>
  <si>
    <t>BR_VW_RNG_dv360_DIS_PROG_CPM_CAI_MXD_TAT_RON_CXD_Varejo-Outlet-Rmkt_PD_nativeads</t>
  </si>
  <si>
    <t>242131825</t>
  </si>
  <si>
    <t>438877305</t>
  </si>
  <si>
    <t>BR_VW_RNG_dv360_DIS_PROG_CPM_STD_LDR_TAT_RON_CXD_Reg01-Ad01_PD_728x90</t>
  </si>
  <si>
    <t>242627593</t>
  </si>
  <si>
    <t>BR_VW_RNG_dv360_DIS_PROG_CPM_STD_LDR_TAT_RON_CXD_Jetta-Reg01-Ad01_PD_728x90</t>
  </si>
  <si>
    <t>439244139</t>
  </si>
  <si>
    <t>BR_VW_RNG_dv360_DIS_PROG_CPM_STD_LDR_TAT_RON_CXD_Reg03-Ad01_PD_728x90</t>
  </si>
  <si>
    <t>242627578</t>
  </si>
  <si>
    <t>BR_VW_RNG_dv360_DIS_PROG_CPM_STD_LDR_TAT_RON_CXD_Polo-Reg03-Ad01_PD_728x90</t>
  </si>
  <si>
    <t>439244127</t>
  </si>
  <si>
    <t>BR_VW_RNG_dv360_DIS_PROG_CPM_STD_LDR_TAT_RON_CXD_Reg04-Ad01_PD_728x90</t>
  </si>
  <si>
    <t>242627566</t>
  </si>
  <si>
    <t>BR_VW_RNG_dv360_DIS_PROG_CPM_STD_LDR_TAT_RON_CXD_Reg05-Ad01_PD_728x90</t>
  </si>
  <si>
    <t>242627554</t>
  </si>
  <si>
    <t>BR_VW_RNG_dv360_DIS_PROG_CPM_STD_LDR_TAT_RON_CXD_Gol-Reg05-Ad01_PD_728x90</t>
  </si>
  <si>
    <t>439244091</t>
  </si>
  <si>
    <t>BR_VW_RNG_dv360_DIS_PROG_CPM_STD_LDR_TAT_RON_CXD_Reg06-Ad01_PD_728x90</t>
  </si>
  <si>
    <t>242627590</t>
  </si>
  <si>
    <t>BR_VW_RNG_dv360_DIS_PROG_CPM_STD_MPU_TAT_RON_CXD_Reg01-Ad01_PD_300x250</t>
  </si>
  <si>
    <t>242627605</t>
  </si>
  <si>
    <t>BR_VW_RNG_dv360_DIS_PROG_CPM_STD_MPU_TAT_RON_CXD_Jetta-Reg01-Ad01_PD_300x250</t>
  </si>
  <si>
    <t>439244145</t>
  </si>
  <si>
    <t>BR_VW_RNG_dv360_DIS_PROG_CPM_STD_MPU_TAT_RON_CXD_Reg04-Ad01_PD_300x250</t>
  </si>
  <si>
    <t>242627572</t>
  </si>
  <si>
    <t>BR_VW_RNG_dv360_DIS_PROG_CPM_STD_MPU_TAT_RON_CXD_Reg05-Ad01_PD_300x250</t>
  </si>
  <si>
    <t>242627560</t>
  </si>
  <si>
    <t>BR_VW_RNG_dv360_DIS_PROG_CPM_STD_MPU_TAT_RON_CXD_Gol-Reg05-Ad01_PD_300x250</t>
  </si>
  <si>
    <t>439244097</t>
  </si>
  <si>
    <t>BR_VW_RNG_dv360_DIS_PROG_CPM_STD_MPU_TAT_RON_CXD_Reg06-Ad01_PD_300x250</t>
  </si>
  <si>
    <t>242627602</t>
  </si>
  <si>
    <t>BR_VW_RNG_dv360_DIS_PROG_CPM_STD_SKY_TAT_RON_CXD_Reg01-Ad01_PD_160x600</t>
  </si>
  <si>
    <t>242627611</t>
  </si>
  <si>
    <t>BR_VW_RNG_dv360_DIS_PROG_CPM_STD_SKY_TAT_RON_CXD_Reg01-Ad01_PD_300x600</t>
  </si>
  <si>
    <t>242627599</t>
  </si>
  <si>
    <t>BR_VW_RNG_dv360_DIS_PROG_CPM_STD_SKY_TAT_RON_CXD_Reg03-Ad02_PD_300x600</t>
  </si>
  <si>
    <t>242651728</t>
  </si>
  <si>
    <t>BR_VW_RNG_dv360_DIS_PROG_CPM_STD_SKY_TAT_RON_CXD_Virtus-Reg03-Ad02_PD_300x600</t>
  </si>
  <si>
    <t>439244118</t>
  </si>
  <si>
    <t>BR_VW_RNG_dv360_DIS_PROG_CPM_STD_SKY_TAT_RON_CXD_Reg04-Ad01_PD_160x600</t>
  </si>
  <si>
    <t>242627575</t>
  </si>
  <si>
    <t>BR_VW_RNG_dv360_DIS_PROG_CPM_STD_SKY_TAT_RON_CXD_Reg04-Ad01_PD_300x600</t>
  </si>
  <si>
    <t>242627569</t>
  </si>
  <si>
    <t>BR_VW_RNG_dv360_DIS_PROG_CPM_STD_SKY_TAT_RON_CXD_Jetta-Reg04-Ad01_PD_300x600</t>
  </si>
  <si>
    <t>439244106</t>
  </si>
  <si>
    <t>BR_VW_RNG_dv360_DIS_PROG_CPM_STD_SKY_TAT_RON_CXD_Reg05-Ad01_PD_160x600</t>
  </si>
  <si>
    <t>242627563</t>
  </si>
  <si>
    <t>BR_VW_RNG_dv360_DIS_PROG_CPM_STD_SKY_TAT_RON_CXD_Reg05-Ad01_PD_300x600</t>
  </si>
  <si>
    <t>242627557</t>
  </si>
  <si>
    <t>BR_VW_RNG_dv360_DIS_PROG_CPM_STD_SKY_TAT_RON_CXD_Reg06-Ad01_PD_160x600</t>
  </si>
  <si>
    <t>242627608</t>
  </si>
  <si>
    <t>BR_VW_RNG_dv360_DIS_PROG_CPM_STD_SKY_TAT_RON_CXD_Polo-Reg06-Ad01_PD_160x600</t>
  </si>
  <si>
    <t>439244076</t>
  </si>
  <si>
    <t>BR_VW_RNG_dv360_DIS_PROG_CPM_STD_SKY_TAT_RON_CXD_Reg06-Ad01_PD_300x600</t>
  </si>
  <si>
    <t>242627596</t>
  </si>
  <si>
    <t>BR_VW_RNG_dv360_DIS_PROG_CPM_STD_SKY_TAT_RON_CXD_Polo-Reg06-Ad01_PD_300x600</t>
  </si>
  <si>
    <t>439244070</t>
  </si>
  <si>
    <t>Google-Discovery</t>
  </si>
  <si>
    <t>BR_VW_RNG_google-discovery_DIS_DRCT_CPC_CLK_MXD_TAT_RON_CXD_fox-Rmkt-View-content_PD_nativeads</t>
  </si>
  <si>
    <t>242986537</t>
  </si>
  <si>
    <t>439684036</t>
  </si>
  <si>
    <t>BR_VW_RNG_google-discovery_DIS_DRCT_CPC_CLK_MXD_TAT_RON_CXD_gol-Rmkt-View-content_PD_nativeads</t>
  </si>
  <si>
    <t>242986540</t>
  </si>
  <si>
    <t>439684039</t>
  </si>
  <si>
    <t>BR_VW_RNG_google-discovery_DIS_DRCT_CPC_CLK_MXD_TAT_RON_CXD_jetta-Rmkt-View-content_PD_nativeads</t>
  </si>
  <si>
    <t>242986543</t>
  </si>
  <si>
    <t>439684042</t>
  </si>
  <si>
    <t>BR_VW_RNG_google-discovery_DIS_DRCT_CPC_CLK_MXD_TAT_RON_CXD_passat-Rmkt-View-content_PD_nativeads</t>
  </si>
  <si>
    <t>242986546</t>
  </si>
  <si>
    <t>439684045</t>
  </si>
  <si>
    <t>BR_VW_RNG_google-discovery_DIS_DRCT_CPC_CLK_MXD_TAT_RON_CXD_polo-Rmkt-View-content_PD_nativeads</t>
  </si>
  <si>
    <t>242986549</t>
  </si>
  <si>
    <t>439684048</t>
  </si>
  <si>
    <t>BR_VW_RNG_google-discovery_DIS_DRCT_CPC_CLK_MXD_TAT_RON_CXD_saveiro-Rmkt-View-content_PD_nativeads</t>
  </si>
  <si>
    <t>242986552</t>
  </si>
  <si>
    <t>439684051</t>
  </si>
  <si>
    <t>BR_VW_RNG_google-discovery_DIS_DRCT_CPC_CLK_MXD_TAT_RON_CXD_tiguan-Rmkt-View-content_PD_nativeads</t>
  </si>
  <si>
    <t>242986555</t>
  </si>
  <si>
    <t>439684054</t>
  </si>
  <si>
    <t>BR_VW_RNG_google-discovery_DIS_DRCT_CPC_CLK_MXD_TAT_RON_CXD_up-Rmkt-View-content_PD_nativeads</t>
  </si>
  <si>
    <t>242986558</t>
  </si>
  <si>
    <t>439684057</t>
  </si>
  <si>
    <t>BR_VW_RNG_google-discovery_DIS_DRCT_CPC_CLK_MXD_TAT_RON_CXD_virtus-Rmkt-View-content_PD_nativeads</t>
  </si>
  <si>
    <t>242986561</t>
  </si>
  <si>
    <t>439684060</t>
  </si>
  <si>
    <t>BR_VW_RNG_google-discovery_DIS_DRCT_CPC_CLK_MXD_TAT_RON_CXD_voyage-Rmkt-View-content_PD_nativeads</t>
  </si>
  <si>
    <t>242992999</t>
  </si>
  <si>
    <t>439684063</t>
  </si>
  <si>
    <t>BR_VW_RNG_oath_DIS_DRCT_CPC_CAI_MXD_TAT_RON_CXD_FoxConnect-Rmkt_PD_nativeads</t>
  </si>
  <si>
    <t>243402818</t>
  </si>
  <si>
    <t>440130243</t>
  </si>
  <si>
    <t>BR_VW_RNG_oath_DIS_DRCT_CPC_CAI_MXD_TAT_RON_CXD_FoxXtreme-Rmkt_PD_nativeads</t>
  </si>
  <si>
    <t>243402812</t>
  </si>
  <si>
    <t>440130237</t>
  </si>
  <si>
    <t>BR_VW_RNG_oath_DIS_DRCT_CPC_CAI_MXD_TAT_RON_CXD_Gol-Rmkt_PD_nativeads</t>
  </si>
  <si>
    <t>243402806</t>
  </si>
  <si>
    <t>440130231</t>
  </si>
  <si>
    <t>BR_VW_RNG_oath_DIS_DRCT_CPC_CAI_MXD_TAT_RON_CXD_Jetta-Rmkt-ViewContent_PD_nativeads</t>
  </si>
  <si>
    <t>243402752</t>
  </si>
  <si>
    <t>440130177</t>
  </si>
  <si>
    <t>BR_VW_RNG_oath_DIS_DRCT_CPC_CAI_MXD_TAT_RON_CXD_Jetta-Rmkt_PD_nativeads</t>
  </si>
  <si>
    <t>243402800</t>
  </si>
  <si>
    <t>440130225</t>
  </si>
  <si>
    <t>BR_VW_RNG_oath_DIS_DRCT_CPC_CAI_MXD_TAT_RON_CXD_Passat-Rmkt-ViewContent_PD_nativeads</t>
  </si>
  <si>
    <t>243402815</t>
  </si>
  <si>
    <t>440130240</t>
  </si>
  <si>
    <t>BR_VW_RNG_oath_DIS_DRCT_CPC_CAI_MXD_TAT_RON_CXD_Passat-Rmkt_PD_nativeads</t>
  </si>
  <si>
    <t>243402794</t>
  </si>
  <si>
    <t>440130219</t>
  </si>
  <si>
    <t>BR_VW_RNG_oath_DIS_DRCT_CPC_CAI_MXD_TAT_RON_CXD_Polo-Rmkt_PD_nativeads</t>
  </si>
  <si>
    <t>243402788</t>
  </si>
  <si>
    <t>440130213</t>
  </si>
  <si>
    <t>BR_VW_RNG_oath_DIS_DRCT_CPC_CAI_MXD_TAT_RON_CXD_Saveiro-Rmkt_PD_nativeads</t>
  </si>
  <si>
    <t>243402782</t>
  </si>
  <si>
    <t>440130207</t>
  </si>
  <si>
    <t>BR_VW_RNG_oath_DIS_DRCT_CPC_CAI_MXD_TAT_RON_CXD_SaveiroPepper-Rmkt_PD_nativeads</t>
  </si>
  <si>
    <t>243402776</t>
  </si>
  <si>
    <t>440130201</t>
  </si>
  <si>
    <t>BR_VW_RNG_oath_DIS_DRCT_CPC_CAI_MXD_TAT_RON_CXD_Tiguan-Rmkt_PD_nativeads</t>
  </si>
  <si>
    <t>243402773</t>
  </si>
  <si>
    <t>440130198</t>
  </si>
  <si>
    <t>BR_VW_RNG_oath_DIS_DRCT_CPC_CAI_MXD_TAT_RON_CXD_UP-Rmkt_PD_nativeads</t>
  </si>
  <si>
    <t>243402767</t>
  </si>
  <si>
    <t>440130192</t>
  </si>
  <si>
    <t>BR_VW_RNG_oath_DIS_DRCT_CPC_CAI_MXD_TAT_RON_CXD_UPPepper-Rmkt_PD_nativeads</t>
  </si>
  <si>
    <t>243402770</t>
  </si>
  <si>
    <t>440130195</t>
  </si>
  <si>
    <t>BR_VW_RNG_oath_DIS_DRCT_CPC_CAI_MXD_TAT_RON_CXD_Varejo-Outlet-Rmkt_PD_nativeads</t>
  </si>
  <si>
    <t>242043182</t>
  </si>
  <si>
    <t>438886359</t>
  </si>
  <si>
    <t>BR_VW_RNG_oath_DIS_DRCT_CPC_CAI_MXD_TAT_RON_CXD_Virtus-Rmkt-ViewContent_PD_nativeads</t>
  </si>
  <si>
    <t>243402785</t>
  </si>
  <si>
    <t>440130210</t>
  </si>
  <si>
    <t>BR_VW_RNG_oath_DIS_DRCT_CPC_CAI_MXD_TAT_RON_CXD_Virtus-Rmkt_PD_nativeads</t>
  </si>
  <si>
    <t>243402764</t>
  </si>
  <si>
    <t>440130189</t>
  </si>
  <si>
    <t>BR_VW_RNG_oath_DIS_DRCT_CPC_CAI_MXD_TAT_RON_CXD_Voyage-Rmkt-ViewContent_PD_nativeads</t>
  </si>
  <si>
    <t>243402779</t>
  </si>
  <si>
    <t>440130204</t>
  </si>
  <si>
    <t>BR_VW_RNG_oath_DIS_DRCT_CPC_CAI_MXD_TAT_RON_CXD_Voyage-Rmkt_PD_nativeads</t>
  </si>
  <si>
    <t>243402761</t>
  </si>
  <si>
    <t>440130186</t>
  </si>
  <si>
    <t>BR_VW_RNG_faceinsta_SOC_DRCT_CPM_CLK_MXD_TAT_RON_CXD_DPA-Amarok-Rmkt-View-content_PD_pagepost</t>
  </si>
  <si>
    <t>242705856</t>
  </si>
  <si>
    <t>439229398</t>
  </si>
  <si>
    <t>BR_VW_RNG_faceinsta_SOC_DRCT_CPM_CLK_MXD_TAT_RON_CXD_DPA-Amarok-Rmkt-home_PD_pagepost</t>
  </si>
  <si>
    <t>242705904</t>
  </si>
  <si>
    <t>439229446</t>
  </si>
  <si>
    <t>BR_VW_RNG_faceinsta_SOC_DRCT_CPM_CLK_MXD_TAT_RON_CXD_DPA-Fox-Rmkt-View-content_PD_pagepost</t>
  </si>
  <si>
    <t>242705853</t>
  </si>
  <si>
    <t>439229395</t>
  </si>
  <si>
    <t>BR_VW_RNG_faceinsta_SOC_DRCT_CPM_CLK_MXD_TAT_RON_CXD_DPA-Fox-Rmkt-home_PD_pagepost</t>
  </si>
  <si>
    <t>242705898</t>
  </si>
  <si>
    <t>439229440</t>
  </si>
  <si>
    <t>BR_VW_RNG_faceinsta_SOC_DRCT_CPM_CLK_MXD_TAT_RON_CXD_DPA-Gol-Rmkt-View-content_PD_pagepost</t>
  </si>
  <si>
    <t>242705850</t>
  </si>
  <si>
    <t>439229392</t>
  </si>
  <si>
    <t>BR_VW_RNG_faceinsta_SOC_DRCT_CPM_CLK_MXD_TAT_RON_CXD_DPA-Gol-Rmkt-home_PD_pagepost</t>
  </si>
  <si>
    <t>242705892</t>
  </si>
  <si>
    <t>439229434</t>
  </si>
  <si>
    <t>BR_VW_RNG_faceinsta_SOC_DRCT_CPM_CLK_MXD_TAT_RON_CXD_DPA-Jetta-Rmkt-View-content_PD_pagepost</t>
  </si>
  <si>
    <t>242705847</t>
  </si>
  <si>
    <t>439229389</t>
  </si>
  <si>
    <t>BR_VW_RNG_faceinsta_SOC_DRCT_CPM_CLK_MXD_TAT_RON_CXD_DPA-Passat-Rmkt-View-content_PD_pagepost</t>
  </si>
  <si>
    <t>242705901</t>
  </si>
  <si>
    <t>439229443</t>
  </si>
  <si>
    <t>BR_VW_RNG_faceinsta_SOC_DRCT_CPM_CLK_MXD_TAT_RON_CXD_DPA-Passat-Rmkt-home_PD_pagepost</t>
  </si>
  <si>
    <t>242705874</t>
  </si>
  <si>
    <t>439229416</t>
  </si>
  <si>
    <t>BR_VW_RNG_faceinsta_SOC_DRCT_CPM_CLK_MXD_TAT_RON_CXD_DPA-Polo-Rmkt-View-content_PD_pagepost</t>
  </si>
  <si>
    <t>242705859</t>
  </si>
  <si>
    <t>439229401</t>
  </si>
  <si>
    <t>BR_VW_RNG_faceinsta_SOC_DRCT_CPM_CLK_MXD_TAT_RON_CXD_DPA-Polo-Rmkt-home_PD_pagepost</t>
  </si>
  <si>
    <t>242705910</t>
  </si>
  <si>
    <t>439269386</t>
  </si>
  <si>
    <t>BR_VW_RNG_faceinsta_SOC_DRCT_CPM_CLK_MXD_TAT_RON_CXD_DPA-Saveiro-Rmkt-View-content_PD_pagepost</t>
  </si>
  <si>
    <t>242705895</t>
  </si>
  <si>
    <t>439229437</t>
  </si>
  <si>
    <t>BR_VW_RNG_faceinsta_SOC_DRCT_CPM_CLK_MXD_TAT_RON_CXD_DPA-Saveiro-Rmkt-home_PD_pagepost</t>
  </si>
  <si>
    <t>242705871</t>
  </si>
  <si>
    <t>439229413</t>
  </si>
  <si>
    <t>BR_VW_RNG_faceinsta_SOC_DRCT_CPM_CLK_MXD_TAT_RON_CXD_DPA-Tiguan-Rmkt-home_PD_pagepost</t>
  </si>
  <si>
    <t>242705868</t>
  </si>
  <si>
    <t>439229410</t>
  </si>
  <si>
    <t>BR_VW_RNG_faceinsta_SOC_DRCT_CPM_CLK_MXD_TAT_RON_CXD_DPA-Virtus-Rmkt-View-content_PD_pagepost</t>
  </si>
  <si>
    <t>242705883</t>
  </si>
  <si>
    <t>439229425</t>
  </si>
  <si>
    <t>BR_VW_RNG_faceinsta_SOC_DRCT_CPM_CLK_MXD_TAT_RON_CXD_DPA-Virtus-Rmkt-home_PD_pagepost</t>
  </si>
  <si>
    <t>242705865</t>
  </si>
  <si>
    <t>439229407</t>
  </si>
  <si>
    <t>BR_VW_RNG_faceinsta_SOC_DRCT_CPM_CLK_MXD_TAT_RON_CXD_DPA-Voyage-Rmkt-View-content_PD_pagepost</t>
  </si>
  <si>
    <t>242705877</t>
  </si>
  <si>
    <t>439229419</t>
  </si>
  <si>
    <t>BR_VW_RNG_faceinsta_SOC_DRCT_CPM_CLK_MXD_TAT_RON_CXD_DPA-Voyage-Rmkt-home_PD_pagepost</t>
  </si>
  <si>
    <t>242705862</t>
  </si>
  <si>
    <t>439229404</t>
  </si>
  <si>
    <t>BR_VW_RNG_faceinsta_SOC_DRCT_CPM_CLK_MXD_TAT_RON_CXD_DPA-up-Rmkt-View-content_PD_pagepost</t>
  </si>
  <si>
    <t>242705907</t>
  </si>
  <si>
    <t>439269383</t>
  </si>
  <si>
    <t>BR_VW_RNG_faceinsta_SOC_DRCT_CPM_CLK_MXD_TAT_RON_CXD_DPA-up-Rmkt-home_PD_pagepost</t>
  </si>
  <si>
    <t>242705880</t>
  </si>
  <si>
    <t>439229422</t>
  </si>
  <si>
    <t>BR_VW_RNG_faceinsta_SOC_DRCT_CPM_CLK_SRB_TAT_RON_CXD_Varejo-Outlet-Rmkt_PD_1200x628</t>
  </si>
  <si>
    <t>242208841</t>
  </si>
  <si>
    <t>438936543</t>
  </si>
  <si>
    <t>424916688</t>
  </si>
  <si>
    <t>alp_AlwaysOn_dbm_network_native-ads_dbm-native_cpm_remarketing_nativeads_Passat-Rmkt_na</t>
  </si>
  <si>
    <t>228878519</t>
  </si>
  <si>
    <t>427031657</t>
  </si>
  <si>
    <t>always-on-dpa_facebook_newsfeed_dpa-1x1_up_view-content_por</t>
  </si>
  <si>
    <t>139556480</t>
  </si>
  <si>
    <t>311807950</t>
  </si>
  <si>
    <t>alp_AlwaysOn_Yahoo-Native_yahoo_network_always-on_ros_cpc_N/A_nativeads_spacefox_N/A</t>
  </si>
  <si>
    <t>140266015</t>
  </si>
  <si>
    <t>312479272</t>
  </si>
  <si>
    <t>alp_AlwaysOn_Yahoo-Native_yahoo_network_always-on_ros_cpc_remarketing_nativeads_jetta_N/A</t>
  </si>
  <si>
    <t>149160884</t>
  </si>
  <si>
    <t>320175818</t>
  </si>
  <si>
    <t>alp_Amarok-Extreme_uol_horizontal_lancamento_ROS_cpm_prospecting_728x90_Amarok-Extreme_Vw-lights</t>
  </si>
  <si>
    <t>226774026</t>
  </si>
  <si>
    <t>424686734</t>
  </si>
  <si>
    <t>alp_Amarok-Extreme_webmotors_horizontal_lancamento_ROS_cpm_prospecting_728×90_Amarok-Extreme_Vw-lights</t>
  </si>
  <si>
    <t>226529846</t>
  </si>
  <si>
    <t>424654137</t>
  </si>
  <si>
    <t>alp_Amarok-Extreme_pegn_horizontal_lancamento_ROS_cpm_prospecting_728x90_Amarok-Extreme_Vw-lights</t>
  </si>
  <si>
    <t>226529897</t>
  </si>
  <si>
    <t>424654188</t>
  </si>
  <si>
    <t>alp_tiguan_msn_vertical_pre-venda_outlook_cpm_prospecting_300x250_prevenda-generica_demografico</t>
  </si>
  <si>
    <t>219327484</t>
  </si>
  <si>
    <t>417836216</t>
  </si>
  <si>
    <t>alp_tiguan_youtube-dbm_social_lancamento_trueview_cpm_prospecting_video_lancamento-tiguan-video90_tiguan-AMC</t>
  </si>
  <si>
    <t>226032207</t>
  </si>
  <si>
    <t>424039351</t>
  </si>
  <si>
    <t>alp_tiguan_instagram_social_lancamento_stories_cpm_prospecting_stories_lancamento-tiguan_tiguan-AMC</t>
  </si>
  <si>
    <t>225646568</t>
  </si>
  <si>
    <t>423858212</t>
  </si>
  <si>
    <t>alp_Varejo_Amarok_olx_horizontal_hardsell_buscadores_cpm_prospecting_300x250_Varejo-Amarok-Junho_open</t>
  </si>
  <si>
    <t>223600550</t>
  </si>
  <si>
    <t>421787111</t>
  </si>
  <si>
    <t>alp_jetta_dbm-uol_network_lancamento_prospeccao_cpm_prospecting_1190x250-1190x460_AMC-Jetta_jetta-05-11</t>
  </si>
  <si>
    <t>231895991</t>
  </si>
  <si>
    <t>429694812</t>
  </si>
  <si>
    <t>alp_polobeats_oath-outlook_network_lancamento_prospeccao_cpm_prospecting_300x600_AMC-Polo-Beats_interesse-musica</t>
  </si>
  <si>
    <t>230878925</t>
  </si>
  <si>
    <t>428813227</t>
  </si>
  <si>
    <t>Standard_Tracking</t>
  </si>
  <si>
    <t>Rótulos de Linha</t>
  </si>
  <si>
    <t>Total Geral</t>
  </si>
  <si>
    <t>Soma de Impressions</t>
  </si>
  <si>
    <t>BR_VW_TCR_DV360-AdoroCinema_DIS_PROG_CPM_STD_LDR_AAF_RON_CXD_T-Cross-WebSerie-T-Cross-AMC_PD_728x90</t>
  </si>
  <si>
    <t>242582736</t>
  </si>
  <si>
    <t>439153825</t>
  </si>
  <si>
    <t>BR_VW_TCR_DV360-AdoroCinema_DIS_PROG_CPM_STD_LDR_AAF_RON_CXD_T-Cross-WebSerie-T-Cross-AMC_PD_970x250</t>
  </si>
  <si>
    <t>242655929</t>
  </si>
  <si>
    <t>439365867</t>
  </si>
  <si>
    <t>BR_VW_TCR_DV360-AdoroCinema_DIS_PROG_CPM_STD_LDR_AAF_RON_CXD_T-Cross-WebSerie-T-Cross-AMC_PD_970x90</t>
  </si>
  <si>
    <t>242655932</t>
  </si>
  <si>
    <t>439365870</t>
  </si>
  <si>
    <t>BR_VW_TCR_DV360-AdoroCinema_DIS_PROG_CPM_STD_MPU_AAF_RON_CXD_T-Cross-WebSerie-T-Cross-AMC_PD_300x250</t>
  </si>
  <si>
    <t>242582754</t>
  </si>
  <si>
    <t>439158343</t>
  </si>
  <si>
    <t>BR_VW_TCR_DV360-AdoroCinema_DIS_PROG_CPM_STD_MPU_AAF_RON_CXD_T-Cross-WebSerie-T-Cross-AMC_PD_320x100</t>
  </si>
  <si>
    <t>242582742</t>
  </si>
  <si>
    <t>439153831</t>
  </si>
  <si>
    <t>BR_VW_TCR_DV360-AdoroCinema_DIS_PROG_CPM_STD_MPU_AAF_RON_CXD_T-Cross-WebSerie-T-Cross-AMC_PD_320x50</t>
  </si>
  <si>
    <t>242582748</t>
  </si>
  <si>
    <t>439153837</t>
  </si>
  <si>
    <t>BR_VW_TCR_DV360-AdoroCinema_DIS_PROG_CPM_STD_SKY_AAF_RON_CXD_T-Cross-WebSerie-T-Cross-AMC_PD_120x600</t>
  </si>
  <si>
    <t>242582727</t>
  </si>
  <si>
    <t>439153816</t>
  </si>
  <si>
    <t>BR_VW_TCR_DV360-AdoroCinema_DIS_PROG_CPM_STD_SKY_AAF_RON_CXD_T-Cross-WebSerie-T-Cross-AMC_PD_160x600</t>
  </si>
  <si>
    <t>242582724</t>
  </si>
  <si>
    <t>439153813</t>
  </si>
  <si>
    <t>BR_VW_TCR_DV360-AdoroCinema_DIS_PROG_CPM_STD_SKY_AAF_RON_CXD_T-Cross-WebSerie-T-Cross-AMC_PD_300x600</t>
  </si>
  <si>
    <t>242655935</t>
  </si>
  <si>
    <t>439365873</t>
  </si>
  <si>
    <t>BR_VW_TCR_DV360-Omelete_DIS_PROG_CPM_STD_LDR_AAF_RON_CXD_T-Cross-WebSerie-T-Cross-AMC_PD_728x90</t>
  </si>
  <si>
    <t>242582730</t>
  </si>
  <si>
    <t>439153819</t>
  </si>
  <si>
    <t>BR_VW_TCR_DV360-Omelete_DIS_PROG_CPM_STD_LDR_AAF_RON_CXD_T-Cross-WebSerie-T-Cross-AMC_PD_970x250</t>
  </si>
  <si>
    <t>242655938</t>
  </si>
  <si>
    <t>439365876</t>
  </si>
  <si>
    <t>BR_VW_TCR_DV360-Omelete_DIS_PROG_CPM_STD_LDR_AAF_RON_CXD_T-Cross-WebSerie-T-Cross-AMC_PD_970x90</t>
  </si>
  <si>
    <t>242655941</t>
  </si>
  <si>
    <t>439365879</t>
  </si>
  <si>
    <t>BR_VW_TCR_DV360-Omelete_DIS_PROG_CPM_STD_MPU_AAF_RON_CXD_T-Cross-WebSerie-T-Cross-AMC_PD_300x250</t>
  </si>
  <si>
    <t>242582745</t>
  </si>
  <si>
    <t>439153834</t>
  </si>
  <si>
    <t>BR_VW_TCR_DV360-Omelete_DIS_PROG_CPM_STD_MPU_AAF_RON_CXD_T-Cross-WebSerie-T-Cross-AMC_PD_320x100</t>
  </si>
  <si>
    <t>242582733</t>
  </si>
  <si>
    <t>439153822</t>
  </si>
  <si>
    <t>BR_VW_TCR_DV360-Omelete_DIS_PROG_CPM_STD_MPU_AAF_RON_CXD_T-Cross-WebSerie-T-Cross-AMC_PD_320x50</t>
  </si>
  <si>
    <t>242582739</t>
  </si>
  <si>
    <t>439163722</t>
  </si>
  <si>
    <t>439153828</t>
  </si>
  <si>
    <t>BR_VW_TCR_DV360-Omelete_DIS_PROG_CPM_STD_SKY_AAF_RON_CXD_T-Cross-WebSerie-T-Cross-AMC_PD_120x600</t>
  </si>
  <si>
    <t>242582757</t>
  </si>
  <si>
    <t>439158346</t>
  </si>
  <si>
    <t>BR_VW_TCR_DV360-Omelete_DIS_PROG_CPM_STD_SKY_AAF_RON_CXD_T-Cross-WebSerie-T-Cross-AMC_PD_160x600</t>
  </si>
  <si>
    <t>242582751</t>
  </si>
  <si>
    <t>439153840</t>
  </si>
  <si>
    <t>BR_VW_TCR_DV360-Omelete_DIS_PROG_CPM_STD_SKY_AAF_RON_CXD_T-Cross-WebSerie-T-Cross-AMC_PD_300x600</t>
  </si>
  <si>
    <t>242655944</t>
  </si>
  <si>
    <t>439365882</t>
  </si>
  <si>
    <t>BR_VW_TCR_DV360-Partner_DIS_PROG_CPM_STD_MPU_AAF_RON_CXD_T-Cross-WebSerie-Ep-1-T-Cross-AMC_PD_Video</t>
  </si>
  <si>
    <t>242396377</t>
  </si>
  <si>
    <t>439165292</t>
  </si>
  <si>
    <t>BR_VW_TCR_DV360-Partner_DIS_PROG_CPM_STD_MPU_AAF_RON_CXD_T-Cross-WebSerie-Ep-1-T-Cross-Remarketing_PD_Video</t>
  </si>
  <si>
    <t>242592396</t>
  </si>
  <si>
    <t>439163150</t>
  </si>
  <si>
    <t>BR_VW_TCR_DV360-Partner_DIS_PROG_CPM_STD_MPU_AAF_RON_CXD_T-Cross-WebSerie-Ep-2-T-Cross-AMC_PD_Video</t>
  </si>
  <si>
    <t>242376926</t>
  </si>
  <si>
    <t>439107600</t>
  </si>
  <si>
    <t>BR_VW_TCR_DV360-Partner_DIS_PROG_CPM_STD_MPU_AAF_RON_CXD_T-Cross-WebSerie-Ep-2-T-Cross-Remarketing_PD_Video</t>
  </si>
  <si>
    <t>242492011</t>
  </si>
  <si>
    <t>439222852</t>
  </si>
  <si>
    <t>BR_VW_TCR_DV360-Partner_DIS_PROG_CPM_STD_MPU_AAF_RON_CXD_T-Cross-WebSerie-Trailer-T-Cross-Remarketing_PD_Video</t>
  </si>
  <si>
    <t>241802714</t>
  </si>
  <si>
    <t>438749413</t>
  </si>
  <si>
    <t>BR_VW_RNG_dv360_DIS_PROG_CPM_CAI_MXD_AAF_RON_CXD_Varejo-Outlet-Prospect_PD_nativeads</t>
  </si>
  <si>
    <t>242022281</t>
  </si>
  <si>
    <t>440228725</t>
  </si>
  <si>
    <t>438967652</t>
  </si>
  <si>
    <t>iCarros</t>
  </si>
  <si>
    <t>BR_VW_TCR_icarros_DIS_DRCT_CPC_STD_MPU_AAF_HTO_CXD_Pre-Venda-Tcross-AMC-Tcross_PD_300x250</t>
  </si>
  <si>
    <t>240497144</t>
  </si>
  <si>
    <t>437479668</t>
  </si>
  <si>
    <t>BR_VW_AMV_dv360_DIS_PROG_CPM_STD_LDR_AAF_RON_CXD_Amarok-Varejo-Marco-Corporativo-CAMPO-NOVO-Amarok-AMC_PD_728X90</t>
  </si>
  <si>
    <t>243275001</t>
  </si>
  <si>
    <t>439675779</t>
  </si>
  <si>
    <t>BR_VW_AMV_dv360_DIS_PROG_CPM_STD_LDR_AAF_RON_CXD_Amarok-Varejo-Marco-Corporativo-CAMPO-NOVO-Amarok-AMC_PD_970X250</t>
  </si>
  <si>
    <t>243275010</t>
  </si>
  <si>
    <t>439675788</t>
  </si>
  <si>
    <t>BR_VW_AMV_dv360_DIS_PROG_CPM_STD_LDR_AAF_RON_CXD_Amarok-Varejo-Marco-Corporativo-CAMPO-NOVO-Amarok-AMC_PD_970X90</t>
  </si>
  <si>
    <t>243292113</t>
  </si>
  <si>
    <t>439675791</t>
  </si>
  <si>
    <t>BR_VW_AMV_dv360_DIS_PROG_CPM_STD_LDR_AAF_RON_CXD_Amarok-Varejo-Marco-Corporativo-CIDADE-NOVO-Amarok-AMC_PD_728X90</t>
  </si>
  <si>
    <t>243490188</t>
  </si>
  <si>
    <t>439973054</t>
  </si>
  <si>
    <t>BR_VW_AMV_dv360_DIS_PROG_CPM_STD_LDR_AAF_RON_CXD_Amarok-Varejo-Marco-Corporativo-CIDADE-NOVO-Amarok-AMC_PD_970X250</t>
  </si>
  <si>
    <t>243490197</t>
  </si>
  <si>
    <t>439973063</t>
  </si>
  <si>
    <t>BR_VW_AMV_dv360_DIS_PROG_CPM_STD_LDR_AAF_RON_CXD_Amarok-Varejo-Marco-Corporativo-CIDADE-NOVO-Amarok-AMC_PD_970X90</t>
  </si>
  <si>
    <t>243490200</t>
  </si>
  <si>
    <t>439973066</t>
  </si>
  <si>
    <t>BR_VW_AMV_dv360_DIS_PROG_CPM_STD_LDR_AAF_RON_CXD_Amarok-Varejo-Marco-Corporativo-OLD-CAMPO-Amarok-AMC_PD_728X90</t>
  </si>
  <si>
    <t>241739223</t>
  </si>
  <si>
    <t>438419444</t>
  </si>
  <si>
    <t>BR_VW_AMV_dv360_DIS_PROG_CPM_STD_LDR_AAF_RON_CXD_Amarok-Varejo-Marco-Corporativo-OLD-CAMPO-Amarok-AMC_PD_970X250</t>
  </si>
  <si>
    <t>241739232</t>
  </si>
  <si>
    <t>438419453</t>
  </si>
  <si>
    <t>BR_VW_AMV_dv360_DIS_PROG_CPM_STD_LDR_AAF_RON_CXD_Amarok-Varejo-Marco-Corporativo-OLD-CAMPO-Amarok-AMC_PD_970X90</t>
  </si>
  <si>
    <t>241739235</t>
  </si>
  <si>
    <t>438419456</t>
  </si>
  <si>
    <t>BR_VW_AMV_dv360_DIS_PROG_CPM_STD_LDR_AAF_RON_CXD_Amarok-Varejo-Marco-Corporativo-OLD-CIDADE-Amarok-AMC_PD_970X250</t>
  </si>
  <si>
    <t>241739190</t>
  </si>
  <si>
    <t>438407599</t>
  </si>
  <si>
    <t>BR_VW_AMV_dv360_DIS_PROG_CPM_STD_LDR_AAF_RON_CXD_Amarok-Varejo-Marco-Corporativo-OLD-CIDADE-Amarok-AMC_PD_970X90</t>
  </si>
  <si>
    <t>241739193</t>
  </si>
  <si>
    <t>438407602</t>
  </si>
  <si>
    <t>BR_VW_AMV_dv360_DIS_PROG_CPM_STD_LDR_AAF_RON_CXD_Amarok-Varejo-Marco-PRIVADO-Amarok-AMC_PD_970X250</t>
  </si>
  <si>
    <t>243228018</t>
  </si>
  <si>
    <t>439739926</t>
  </si>
  <si>
    <t>BR_VW_AMV_dv360_DIS_PROG_CPM_STD_LDR_AAF_RON_CXD_Amarok-Varejo-Marco-PRIVADO-Amarok-AMC_PD_970X90</t>
  </si>
  <si>
    <t>243228021</t>
  </si>
  <si>
    <t>439739929</t>
  </si>
  <si>
    <t>BR_VW_AMV_dv360_DIS_PROG_CPM_STD_MPU_AAF_RON_CXD_Amarok-Varejo-Marco-Corporativo-CAMPO-NOVO-Amarok-AMC_PD_300X100</t>
  </si>
  <si>
    <t>243275004</t>
  </si>
  <si>
    <t>439675782</t>
  </si>
  <si>
    <t>BR_VW_AMV_dv360_DIS_PROG_CPM_STD_MPU_AAF_RON_CXD_Amarok-Varejo-Marco-Corporativo-CAMPO-NOVO-Amarok-AMC_PD_320X100</t>
  </si>
  <si>
    <t>243292119</t>
  </si>
  <si>
    <t>439675797</t>
  </si>
  <si>
    <t>BR_VW_AMV_dv360_DIS_PROG_CPM_STD_MPU_AAF_RON_CXD_Amarok-Varejo-Marco-Corporativo-CIDADE-NOVO-Amarok-AMC_PD_300X100</t>
  </si>
  <si>
    <t>243490191</t>
  </si>
  <si>
    <t>439973057</t>
  </si>
  <si>
    <t>BR_VW_AMV_dv360_DIS_PROG_CPM_STD_MPU_AAF_RON_CXD_Amarok-Varejo-Marco-Corporativo-CIDADE-NOVO-Amarok-AMC_PD_320X100</t>
  </si>
  <si>
    <t>243490206</t>
  </si>
  <si>
    <t>439973072</t>
  </si>
  <si>
    <t>BR_VW_AMV_dv360_DIS_PROG_CPM_STD_MPU_AAF_RON_CXD_Amarok-Varejo-Marco-Corporativo-OLD-CAMPO-Amarok-AMC_PD_300X100</t>
  </si>
  <si>
    <t>241739226</t>
  </si>
  <si>
    <t>438419447</t>
  </si>
  <si>
    <t>BR_VW_AMV_dv360_DIS_PROG_CPM_STD_MPU_AAF_RON_CXD_Amarok-Varejo-Marco-Corporativo-OLD-CAMPO-Amarok-AMC_PD_320X50</t>
  </si>
  <si>
    <t>241739244</t>
  </si>
  <si>
    <t>438419465</t>
  </si>
  <si>
    <t>BR_VW_AMV_dv360_DIS_PROG_CPM_STD_MPU_AAF_RON_CXD_Amarok-Varejo-Marco-Corporativo-OLD-CIDADE-Amarok-AMC_PD_300X100</t>
  </si>
  <si>
    <t>241739184</t>
  </si>
  <si>
    <t>438407593</t>
  </si>
  <si>
    <t>BR_VW_AMV_dv360_DIS_PROG_CPM_STD_MPU_AAF_RON_CXD_Amarok-Varejo-Marco-Corporativo-OLD-CIDADE-Amarok-AMC_PD_300x250</t>
  </si>
  <si>
    <t>241739205</t>
  </si>
  <si>
    <t>438407614</t>
  </si>
  <si>
    <t>BR_VW_AMV_dv360_DIS_PROG_CPM_STD_MPU_AAF_RON_CXD_Amarok-Varejo-Marco-Corporativo-OLD-CIDADE-Amarok-AMC_PD_320X50</t>
  </si>
  <si>
    <t>241739202</t>
  </si>
  <si>
    <t>438407611</t>
  </si>
  <si>
    <t>BR_VW_AMV_dv360_DIS_PROG_CPM_STD_MPU_AAF_RON_CXD_Amarok-Varejo-Marco-PRIVADO-Amarok-AMC_PD_300X100</t>
  </si>
  <si>
    <t>242764825</t>
  </si>
  <si>
    <t>439444589</t>
  </si>
  <si>
    <t>BR_VW_AMV_dv360_DIS_PROG_CPM_STD_MPU_AAF_RON_CXD_Amarok-Varejo-Marco-PRIVADO-Amarok-AMC_PD_320X100</t>
  </si>
  <si>
    <t>243228024</t>
  </si>
  <si>
    <t>439739932</t>
  </si>
  <si>
    <t>BR_VW_AMV_dv360_DIS_PROG_CPM_STD_SKY_AAF_RON_CXD_Amarok-Varejo-Marco-Corporativo-CAMPO-NOVO-Amarok-AMC_PD_120X600</t>
  </si>
  <si>
    <t>243292116</t>
  </si>
  <si>
    <t>439675794</t>
  </si>
  <si>
    <t>BR_VW_AMV_dv360_DIS_PROG_CPM_STD_SKY_AAF_RON_CXD_Amarok-Varejo-Marco-Corporativo-CAMPO-NOVO-Amarok-AMC_PD_160X600</t>
  </si>
  <si>
    <t>243292128</t>
  </si>
  <si>
    <t>439675806</t>
  </si>
  <si>
    <t>BR_VW_AMV_dv360_DIS_PROG_CPM_STD_SKY_AAF_RON_CXD_Amarok-Varejo-Marco-Corporativo-CIDADE-NOVO-Amarok-AMC_PD_120X600</t>
  </si>
  <si>
    <t>243490203</t>
  </si>
  <si>
    <t>439973069</t>
  </si>
  <si>
    <t>BR_VW_AMV_dv360_DIS_PROG_CPM_STD_SKY_AAF_RON_CXD_Amarok-Varejo-Marco-Corporativo-CIDADE-NOVO-Amarok-AMC_PD_160X600</t>
  </si>
  <si>
    <t>243490215</t>
  </si>
  <si>
    <t>439973081</t>
  </si>
  <si>
    <t>BR_VW_AMV_dv360_DIS_PROG_CPM_STD_SKY_AAF_RON_CXD_Amarok-Varejo-Marco-Corporativo-OLD-CAMPO-Amarok-AMC_PD_120X600</t>
  </si>
  <si>
    <t>241739238</t>
  </si>
  <si>
    <t>438419459</t>
  </si>
  <si>
    <t>BR_VW_AMV_dv360_DIS_PROG_CPM_STD_SKY_AAF_RON_CXD_Amarok-Varejo-Marco-Corporativo-OLD-CAMPO-Amarok-AMC_PD_160X600</t>
  </si>
  <si>
    <t>241739250</t>
  </si>
  <si>
    <t>438419471</t>
  </si>
  <si>
    <t>BR_VW_AMV_dv360_DIS_PROG_CPM_STD_SKY_AAF_RON_CXD_Amarok-Varejo-Marco-Corporativo-OLD-CAMPO-Amarok-AMC_PD_300X600</t>
  </si>
  <si>
    <t>241739229</t>
  </si>
  <si>
    <t>438419450</t>
  </si>
  <si>
    <t>BR_VW_AMV_dv360_DIS_PROG_CPM_STD_SKY_AAF_RON_CXD_Amarok-Varejo-Marco-Corporativo-OLD-CIDADE-Amarok-AMC_PD_120X600</t>
  </si>
  <si>
    <t>241739196</t>
  </si>
  <si>
    <t>438407605</t>
  </si>
  <si>
    <t>BR_VW_AMV_dv360_DIS_PROG_CPM_STD_SKY_AAF_RON_CXD_Amarok-Varejo-Marco-Corporativo-OLD-CIDADE-Amarok-AMC_PD_160X600</t>
  </si>
  <si>
    <t>241739208</t>
  </si>
  <si>
    <t>438407617</t>
  </si>
  <si>
    <t>BR_VW_AMV_dv360_DIS_PROG_CPM_STD_SKY_AAF_RON_CXD_Amarok-Varejo-Marco-PRIVADO-Amarok-AMC_PD_120X600</t>
  </si>
  <si>
    <t>242764831</t>
  </si>
  <si>
    <t>439444595</t>
  </si>
  <si>
    <t>BR_VW_AMV_dv360_DIS_PROG_CPM_STD_SKY_AAF_RON_CXD_Amarok-Varejo-Marco-PRIVADO-Amarok-AMC_PD_160X600</t>
  </si>
  <si>
    <t>242764837</t>
  </si>
  <si>
    <t>439444601</t>
  </si>
  <si>
    <t>BR_VW_AMV_Inloco_DIS_DRCT_CPM_STD_LDR_AAF_RON_CXD_Amarok-Varejo-Marco-Corporativo-CAMPO-NOVO-Amarok-AMC_PD_960x150</t>
  </si>
  <si>
    <t>243286695</t>
  </si>
  <si>
    <t>439764779</t>
  </si>
  <si>
    <t>BR_VW_AMV_Inloco_DIS_DRCT_CPM_STD_LDR_AAF_RON_CXD_Amarok-Varejo-Marco-Corporativo-CIDADE-NOVO-Amarok-AMC_PD_960x150</t>
  </si>
  <si>
    <t>243163451</t>
  </si>
  <si>
    <t>439883190</t>
  </si>
  <si>
    <t>BR_VW_AMV_Inloco_DIS_DRCT_CPM_STD_LDR_AAF_RON_CXD_Amarok-Varejo-Marco-Corporativo-OLD-CAMPO-Amarok-AMC_PD_960x150</t>
  </si>
  <si>
    <t>241429886</t>
  </si>
  <si>
    <t>438411133</t>
  </si>
  <si>
    <t>BR_VW_AMV_Inloco_DIS_DRCT_CPM_STD_LDR_AAF_RON_CXD_Amarok-Varejo-Marco-Corporativo-OLD-CIDADE-Amarok-AMC_PD_960x150</t>
  </si>
  <si>
    <t>241429859</t>
  </si>
  <si>
    <t>438411106</t>
  </si>
  <si>
    <t>BR_VW_AMV_Inloco_DIS_DRCT_CPM_STD_MPU_AAF_RON_CXD_Amarok-Varejo-Marco-Corporativo-CIDADE-NOVO-Amarok-AMC_PD_432x432</t>
  </si>
  <si>
    <t>243163439</t>
  </si>
  <si>
    <t>439883175</t>
  </si>
  <si>
    <t>BR_VW_AMV_Inloco_DIS_DRCT_CPM_STD_MPU_AAF_RON_CXD_Amarok-Varejo-Marco-PRIVADO-Amarok-AMC_PD_432x432</t>
  </si>
  <si>
    <t>242943396</t>
  </si>
  <si>
    <t>439339587</t>
  </si>
  <si>
    <t>BR_VW_AMV_Inloco_DIS_DRCT_CPM_STD_SRB_AAF_RON_CXD_Amarok-Varejo-Marco-Corporativo-CIDADE-NOVO-Amarok-AMC_PD_1440x960</t>
  </si>
  <si>
    <t>243163445</t>
  </si>
  <si>
    <t>439883181</t>
  </si>
  <si>
    <t>BR_VW_AMV_Inloco_DIS_DRCT_CPM_STD_SRB_AAF_RON_CXD_Amarok-Varejo-Marco-Corporativo-OLD-CAMPO-Amarok-AMC_PD_1200x627</t>
  </si>
  <si>
    <t>241429871</t>
  </si>
  <si>
    <t>438411118</t>
  </si>
  <si>
    <t>BR_VW_AMV_Inloco_DIS_DRCT_CPM_STD_SRB_AAF_RON_CXD_Amarok-Varejo-Marco-Corporativo-OLD-CAMPO-Amarok-AMC_PD_1440x960</t>
  </si>
  <si>
    <t>241429880</t>
  </si>
  <si>
    <t>438411127</t>
  </si>
  <si>
    <t>BR_VW_AMV_Inloco_DIS_DRCT_CPM_STD_SRB_AAF_RON_CXD_Amarok-Varejo-Marco-Corporativo-OLD-CIDADE-Amarok-AMC_PD_1200x627</t>
  </si>
  <si>
    <t>241429892</t>
  </si>
  <si>
    <t>438411139</t>
  </si>
  <si>
    <t>BR_VW_AMV_Inloco_DIS_DRCT_CPM_STD_SRB_AAF_RON_CXD_Amarok-Varejo-Marco-Corporativo-OLD-CIDADE-Amarok-AMC_PD_1440x960</t>
  </si>
  <si>
    <t>241429853</t>
  </si>
  <si>
    <t>438411100</t>
  </si>
  <si>
    <t>BR_VW_AMV_Inloco_DIS_DRCT_CPM_STD_SRB_AAF_RON_CXD_Amarok-Varejo-Marco-PRIVADO-Amarok-AMC_PD_1200x627</t>
  </si>
  <si>
    <t>243222936</t>
  </si>
  <si>
    <t>439719827</t>
  </si>
  <si>
    <t>BR_VW_AMV_DSP_DIS_PROG_CPM_STD_LDR_AAF_RON_CXD_Amarok-Varejo-Marco-Corporativo-CAMPO-NOVO-Amarok-AMC_PD_970x250</t>
  </si>
  <si>
    <t>243292131</t>
  </si>
  <si>
    <t>439675809</t>
  </si>
  <si>
    <t>BR_VW_AMV_DSP_DIS_PROG_CPM_STD_LDR_AAF_RON_CXD_Amarok-Varejo-Marco-Corporativo-CIDADE-NOVO-Amarok-AMC_PD_970x250</t>
  </si>
  <si>
    <t>243490218</t>
  </si>
  <si>
    <t>439973084</t>
  </si>
  <si>
    <t>BR_VW_AMV_DSP_DIS_PROG_CPM_STD_LDR_AAF_RON_CXD_Amarok-Varejo-Marco-Corporativo-OLD-CAMPO-Amarok-AMC_PD_970x250</t>
  </si>
  <si>
    <t>241922118</t>
  </si>
  <si>
    <t>438500439</t>
  </si>
  <si>
    <t>BR_VW_AMV_DSP_DIS_PROG_CPM_STD_LDR_AAF_RON_CXD_Amarok-Varejo-Marco-Corporativo-OLD-CIDADE-Amarok-AMC_PD_970x250</t>
  </si>
  <si>
    <t>241922706</t>
  </si>
  <si>
    <t>438500427</t>
  </si>
  <si>
    <t>BR_VW_AMV_DSP_DIS_PROG_CPM_STD_LDR_AAF_RON_CXD_Amarok-Varejo-Marco-PRIVADO-Amarok-AMC_PD_728x90</t>
  </si>
  <si>
    <t>243228033</t>
  </si>
  <si>
    <t>439739941</t>
  </si>
  <si>
    <t>BR_VW_AMV_DSP_DIS_PROG_CPM_STD_SKY_AAF_RON_CXD_Amarok-Varejo-Marco-Corporativo-OLD-CAMPO-Amarok-AMC_PD_300x600</t>
  </si>
  <si>
    <t>241922127</t>
  </si>
  <si>
    <t>438500448</t>
  </si>
  <si>
    <t>BR_VW_AMV_DSP_DIS_PROG_CPM_STD_SKY_AAF_RON_CXD_Amarok-Varejo-Marco-Corporativo-OLD-CIDADE-Amarok-AMC_PD_300x600</t>
  </si>
  <si>
    <t>241922715</t>
  </si>
  <si>
    <t>438500436</t>
  </si>
  <si>
    <t>438413237</t>
  </si>
  <si>
    <t>BR_VW_AMV_oath_DIS_PROG_CPC_STD_LDR_AAF_RON_CXD_Amarok-Varejo-Marco-Corporativo-OLD-CIDADE-Amarok-AMC_PD_627x627</t>
  </si>
  <si>
    <t>241429868</t>
  </si>
  <si>
    <t>438411115</t>
  </si>
  <si>
    <t>BR_VW_AMV_oath_DIS_PROG_CPC_STD_LDR_AAF_RON_CXD_Amarok-Varejo-Marco-PRIVADO-Amarok-AMC_PD_627x627</t>
  </si>
  <si>
    <t>242941382</t>
  </si>
  <si>
    <t>439661343</t>
  </si>
  <si>
    <t>BR_VW_AMV_oath_DIS_PROG_CPC_STD_SRB_AAF_RON_CXD_Amarok-Varejo-Marco-Corporativo-CAMPO-NOVO-Amarok-AMC_PD_1080x1920</t>
  </si>
  <si>
    <t>243286698</t>
  </si>
  <si>
    <t>439764782</t>
  </si>
  <si>
    <t>BR_VW_AMV_oath_DIS_PROG_CPC_STD_SRB_AAF_RON_CXD_Amarok-Varejo-Marco-Corporativo-OLD-CIDADE-Amarok-AMC_PD_1080x1920</t>
  </si>
  <si>
    <t>241429862</t>
  </si>
  <si>
    <t>BR_VW_AMV_oath_DIS_PROG_CPC_STD_SRB_AAF_RON_CXD_Amarok-Varejo-Marco-PRIVADO-Amarok-AMC_PD_1080x1920</t>
  </si>
  <si>
    <t>243083647</t>
  </si>
  <si>
    <t>439765933</t>
  </si>
  <si>
    <t>BR_VW_AMV_Teads_DIS_DRCT_CPM_STD_MPU_AAF_RON_CXD_Amarok-Varejo-Marco-Corporativo-CIDADE-NOVO-1-Amarok-AMC_PD_carrossel-landscape</t>
  </si>
  <si>
    <t>243681912</t>
  </si>
  <si>
    <t>440059896</t>
  </si>
  <si>
    <t>BR_VW_AMV_Teads_DIS_DRCT_CPM_STD_MPU_AAF_RON_CXD_Amarok-Varejo-Marco-Corporativo-CIDADE-NOVO-1-Amarok-AMC_PD_scroller-landscape</t>
  </si>
  <si>
    <t>243681915</t>
  </si>
  <si>
    <t>440059899</t>
  </si>
  <si>
    <t>BR_VW_AMV_Teads_DIS_DRCT_CPM_STD_MPU_AAF_RON_CXD_Amarok-Varejo-Marco-Corporativo-OLD-CIDADE-3-Amarok-AMC_PD_carrossel-landscape</t>
  </si>
  <si>
    <t>241969901</t>
  </si>
  <si>
    <t>438915769</t>
  </si>
  <si>
    <t>BR_VW_AMV_Teads_DIS_DRCT_CPM_STD_MPU_AAF_RON_CXD_Amarok-Varejo-Marco-PRIVADO-1-Amarok-AMC_PD_carrossel-landscape</t>
  </si>
  <si>
    <t>243681939</t>
  </si>
  <si>
    <t>440059923</t>
  </si>
  <si>
    <t>BR_VW_AMV_Teads_DIS_DRCT_CPM_STD_MPU_AAF_RON_CXD_Amarok-Varejo-Marco-PRIVADO-1-Amarok-AMC_PD_scroller-landscape</t>
  </si>
  <si>
    <t>243681945</t>
  </si>
  <si>
    <t>440085444</t>
  </si>
  <si>
    <t>BR_VW_AMV_Teads_DIS_DRCT_CPM_STD_MPU_AAF_RON_CXD_Amarok-Varejo-Marco-PRIVADO-2-Amarok-AMC_PD_carrossel-landscape</t>
  </si>
  <si>
    <t>243681927</t>
  </si>
  <si>
    <t>440059911</t>
  </si>
  <si>
    <t>BR_VW_AMV_Teads_DIS_DRCT_CPM_STD_MPU_AAF_RON_CXD_Amarok-Varejo-Marco-PRIVADO-2-Amarok-AMC_PD_scroller-landscape</t>
  </si>
  <si>
    <t>243681933</t>
  </si>
  <si>
    <t>440059917</t>
  </si>
  <si>
    <t>BR_VW_AMV_Teads_DIS_DRCT_CPM_STD_MPU_AAF_RON_CXD_Amarok-Varejo-Marco-PRIVADO-3-Amarok-AMC_PD_carrossel-landscape</t>
  </si>
  <si>
    <t>243681918</t>
  </si>
  <si>
    <t>440059902</t>
  </si>
  <si>
    <t>BR_VW_AMV_Teads_DIS_DRCT_CPM_STD_MPU_AAF_RON_CXD_Amarok-Varejo-Marco-PRIVADO-3-Amarok-AMC_PD_scroller-landscape</t>
  </si>
  <si>
    <t>243681921</t>
  </si>
  <si>
    <t>440059905</t>
  </si>
  <si>
    <t>BR_VW_AMV_Teads_DIS_DRCT_CPM_STD_MPU_AAF_RON_CXD_Amarok1-Varejo-Marco-Corporativo-OLD-CIDADE-1-Amarok-AMC_PD_carrossel-landscape</t>
  </si>
  <si>
    <t>241969913</t>
  </si>
  <si>
    <t>438915781</t>
  </si>
  <si>
    <t>BR_VW_TCR_facebook_SOC_DRCT_CPM_STD_MPU_AAF_RON_CXD_T-Cross-WebSerie-Trailer-T-Cross-AMC_PD_Video</t>
  </si>
  <si>
    <t>241849780</t>
  </si>
  <si>
    <t>438624828</t>
  </si>
  <si>
    <t>BR_VW_TCR_facebook_SOC_DRCT_CPM_STD_SRB_AAF_RON_CXD_T-Cross-WebSerie-Trailer-T-Cross-AMC_PD_PagePost</t>
  </si>
  <si>
    <t>242044956</t>
  </si>
  <si>
    <t>438690515</t>
  </si>
  <si>
    <t>BR_VW_TCR_youtube_SOC_DRCT_CPV_STD_MPU_AAF_RON_CXD_T-Cross-WebSerie-Trailer-T-Cross-AMC_PD_Video</t>
  </si>
  <si>
    <t>241735322</t>
  </si>
  <si>
    <t>438625044</t>
  </si>
  <si>
    <t>BR_VW_TCR_faceinsta_SOC_DRCT_CPV_STD_MPU_AAF_RON_CXD_T-Cross-WebSerie-Ep-8-T-Cross-Remarketing_PD_Video</t>
  </si>
  <si>
    <t>241898495</t>
  </si>
  <si>
    <t>438853874</t>
  </si>
  <si>
    <t>BR_VW_TCR_faceinsta_SOC_DRCT_CPV_STD_MPU_AAF_RON_CXD_T-Cross-WebSerie-Trailer-T-Cross-AMC_PD_Stories</t>
  </si>
  <si>
    <t>241898422</t>
  </si>
  <si>
    <t>438668355</t>
  </si>
  <si>
    <t>BR_VW_TCR_faceinsta_SOC_DRCT_CPV_STD_MPU_AAF_RON_CXD_T-Cross-WebSerie-Trailer-T-Cross-Remarketing_PD_Stories</t>
  </si>
  <si>
    <t>242100849</t>
  </si>
  <si>
    <t>438668952</t>
  </si>
  <si>
    <t>BR_VW_TCR_instagram_SOC_DRCT_CPM_STD_MPU_AAF_RON_CXD_T-Cross-WebSerie-Trailer-T-Cross-AMC_PD_Stories</t>
  </si>
  <si>
    <t>241849576</t>
  </si>
  <si>
    <t>438686590</t>
  </si>
  <si>
    <t>BR_VW_TCR_instagram_SOC_DRCT_CPM_STD_SRB_AAF_RON_CXD_T-Cross-WebSerie-Trailer-T-Cross-AMC_PD_PagePost</t>
  </si>
  <si>
    <t>241870519</t>
  </si>
  <si>
    <t>438706451</t>
  </si>
  <si>
    <t>BR_VW_TCR_instagram_SOC_DRCT_CPV_STD_MPU_AAF_RON_CXD_T-Cross-WebSerie-Ep-1-T-Cross-AMC_PD_Stories</t>
  </si>
  <si>
    <t>242732892</t>
  </si>
  <si>
    <t>439153830</t>
  </si>
  <si>
    <t>BR_VW_TCR_instagram_SOC_DRCT_CPV_STD_MPU_AAF_RON_CXD_T-Cross-WebSerie-Ep-1-T-Cross-Remarketing_PD_Stories</t>
  </si>
  <si>
    <t>242732886</t>
  </si>
  <si>
    <t>439153836</t>
  </si>
  <si>
    <t>BR_VW_TCR_instagram_SOC_DRCT_CPV_STD_MPU_AAF_RON_CXD_T-Cross-WebSerie-Ep-2-T-Cross-AMC_PD_Stories</t>
  </si>
  <si>
    <t>242732883</t>
  </si>
  <si>
    <t>439153839</t>
  </si>
  <si>
    <t>BR_VW_TCR_instagram_SOC_DRCT_CPV_STD_MPU_AAF_RON_CXD_T-Cross-WebSerie-Ep-2-T-Cross-Remarketing_PD_Stories</t>
  </si>
  <si>
    <t>242732880</t>
  </si>
  <si>
    <t>439153842</t>
  </si>
  <si>
    <t>BR_VW_TCR_instagram_SOC_DRCT_CPV_STD_MPU_AAF_RON_CXD_T-Cross-WebSerie-Ep-3-T-Cross-Remarketing_PD_Stories</t>
  </si>
  <si>
    <t>242926394</t>
  </si>
  <si>
    <t>439741070</t>
  </si>
  <si>
    <t>BR_VW_TCR_instagram_SOC_DRCT_CPV_STD_MPU_AAF_RON_CXD_T-Cross-WebSerie-Ep-6-T-Cross-Remarketing_PD_Stories</t>
  </si>
  <si>
    <t>243622873</t>
  </si>
  <si>
    <t>440225646</t>
  </si>
  <si>
    <t>BR_VW_TCR_instagram_SOC_DRCT_CPV_STD_SRB_AAF_RON_CXD_T-Cross-WebSerie-Ep-2-T-Cross-Remarketing_PD_PagePost</t>
  </si>
  <si>
    <t>242953557</t>
  </si>
  <si>
    <t>439349436</t>
  </si>
  <si>
    <t>BR_VW_TCR_instagram_SOC_DRCT_CPV_STD_SRB_AAF_RON_CXD_T-Cross-WebSerie-Ep-5-T-Cross-AMC_PD_PagePost</t>
  </si>
  <si>
    <t>243515846</t>
  </si>
  <si>
    <t>440328695</t>
  </si>
  <si>
    <t>BR_VW_RNG_facebook_SOC_DRCT_CPM_CAI_MXD_AAF_ROS_CXD_BrandedContent-SandyeJunior-AMC_PD_pagepost</t>
  </si>
  <si>
    <t>242478498</t>
  </si>
  <si>
    <t>438983343</t>
  </si>
  <si>
    <t>alp_BrandedContent_facebook_social_salao_newsfeed_cpm_prospecting_pagepost_manifesto_AMC-open</t>
  </si>
  <si>
    <t>232962432</t>
  </si>
  <si>
    <t>430381139</t>
  </si>
  <si>
    <t>alp_BrandedContent_facebook_social_salao_newsfeed_cpm_prospecting_pagepost_salao-abertura-millena_AMC-open</t>
  </si>
  <si>
    <t>233180786</t>
  </si>
  <si>
    <t>430919633</t>
  </si>
  <si>
    <t>alp_BrandedContent_facebook_social_salao_newsfeed_cpm_prospecting_pagepost_salao-melhores-momentos-1_AMC-open</t>
  </si>
  <si>
    <t>233639074</t>
  </si>
  <si>
    <t>431387002</t>
  </si>
  <si>
    <t>alp_BrandedContent_facebook_social_timelines_newsfeed_cpm_prospecting_carrossel_virtus-13-08_AMC-open</t>
  </si>
  <si>
    <t>226915442</t>
  </si>
  <si>
    <t>425247745</t>
  </si>
  <si>
    <t>alp_BrandedContent_facebook_social_timelines_newsfeed_cpm_prospecting_pagepost_Virtus-Design_AMC-Virtus-BETA</t>
  </si>
  <si>
    <t>215068759</t>
  </si>
  <si>
    <t>414197021</t>
  </si>
  <si>
    <t>alp_BrandedContent_facebook_social_timelines_newsfeed_cpm_prospecting_pagepost_Virtus-LatinNCAP_AMC-Virtus-BETA</t>
  </si>
  <si>
    <t>214326305</t>
  </si>
  <si>
    <t>413351073</t>
  </si>
  <si>
    <t>alp_BrandedContent_facebook_social_timelines_newsfeed_cpm_prospecting_pagepost_golf-10-08_AMC-open</t>
  </si>
  <si>
    <t>226902385</t>
  </si>
  <si>
    <t>424914915</t>
  </si>
  <si>
    <t>alp_BrandedContent_facebook_social_timelines_newsfeed_cpm_prospecting_pagepost_golf-blinkboard_AMC-open</t>
  </si>
  <si>
    <t>220000925</t>
  </si>
  <si>
    <t>418448903</t>
  </si>
  <si>
    <t>alp_BrandedContent_facebook_social_timelines_newsfeed_cpm_prospecting_pagepost_novo_polo_06-06_AMC-open</t>
  </si>
  <si>
    <t>222660782</t>
  </si>
  <si>
    <t>420999237</t>
  </si>
  <si>
    <t>alp_BrandedContent_facebook_social_timelines_newsfeed_cpm_prospecting_pagepost_novo_polo_12-06_AMC-open</t>
  </si>
  <si>
    <t>223033720</t>
  </si>
  <si>
    <t>421281507</t>
  </si>
  <si>
    <t>alp_BrandedContent_facebook_social_timelines_newsfeed_cpm_prospecting_pagepost_virtus-18-06_AMC-open</t>
  </si>
  <si>
    <t>223285400</t>
  </si>
  <si>
    <t>421677070</t>
  </si>
  <si>
    <t>alp_BrandedContent_facebook_social_timelines_newsfeed_cpv_prospecting_pagepost_virtus-03-07_AMC-open</t>
  </si>
  <si>
    <t>224535704</t>
  </si>
  <si>
    <t>422703303</t>
  </si>
  <si>
    <t>alp_BrandedContent_youtube_social_T-Cross_newsfeed_cpv_prospecting_video_Video-1_WalkAround</t>
  </si>
  <si>
    <t>238623765</t>
  </si>
  <si>
    <t>435533718</t>
  </si>
  <si>
    <t>alp_BrandedContent_youtube_social_T-Cross_newsfeed_cpv_prospecting_video_Video-4_WalkAround</t>
  </si>
  <si>
    <t>238273955</t>
  </si>
  <si>
    <t>435533682</t>
  </si>
  <si>
    <t>alp_BrandedContent_youtube_social_T-Cross_newsfeed_cpv_prospecting_video_Video-5_WalkAround</t>
  </si>
  <si>
    <t>238273943</t>
  </si>
  <si>
    <t>435533670</t>
  </si>
  <si>
    <t>alp_BrandedContent_youtube_social_T-Cross_newsfeed_cpv_prospecting_video_Video-6_WalkAround</t>
  </si>
  <si>
    <t>238273931</t>
  </si>
  <si>
    <t>435533658</t>
  </si>
  <si>
    <t>alp_BrandedContent_youtube_social_T-Cross_newsfeed_cpv_prospecting_video_Video-7_WalkAround</t>
  </si>
  <si>
    <t>238273919</t>
  </si>
  <si>
    <t>435533646</t>
  </si>
  <si>
    <t>alp_BrandedContent_youtube_social_T-Cross_newsfeed_cpv_prospecting_video_Video-8_WalkAround</t>
  </si>
  <si>
    <t>238273907</t>
  </si>
  <si>
    <t>435520434</t>
  </si>
  <si>
    <t>alp_BrandedContent_teads_social_T-Cross_newsfeed_cpv_view_video_Video-6_WalkAround</t>
  </si>
  <si>
    <t>238636356</t>
  </si>
  <si>
    <t>435546566</t>
  </si>
  <si>
    <t>alp_BrandedContent_instagram_social_T-Cross_newsfeed_cpm_prospecting_pagepost_T-Cross-Salao_AMC-open</t>
  </si>
  <si>
    <t>232642641</t>
  </si>
  <si>
    <t>430084518</t>
  </si>
  <si>
    <t>alp_BrandedContent_instagram_social_T-Cross_newsfeed_cpm_prospecting_stories_t-cross-carro1_AMC-open</t>
  </si>
  <si>
    <t>232642647</t>
  </si>
  <si>
    <t>430084524</t>
  </si>
  <si>
    <t>alp_BrandedContent_instagram_social_T-Cross_newsfeed_cpv_alcance_stories_Video-8_WalkAround</t>
  </si>
  <si>
    <t>238273916</t>
  </si>
  <si>
    <t>435533643</t>
  </si>
  <si>
    <t>alp_BrandedContent_instagram_social_T-Cross_newsfeed_cpv_prospecting_stories_T-Cross-Pactical_AMC-open</t>
  </si>
  <si>
    <t>236313129</t>
  </si>
  <si>
    <t>433561754</t>
  </si>
  <si>
    <t>alp_BrandedContent_instagram_social_T-Cross_newsfeed_cpv_view_video_Video-2_WalkAround</t>
  </si>
  <si>
    <t>238623759</t>
  </si>
  <si>
    <t>435533712</t>
  </si>
  <si>
    <t>alp_BrandedContent_instagram_social_T-Cross_newsfeed_cpv_view_video_Video-4_WalkAround</t>
  </si>
  <si>
    <t>238273961</t>
  </si>
  <si>
    <t>435533688</t>
  </si>
  <si>
    <t>alp_BrandedContent_instagram_social_T-Cross_newsfeed_cpv_view_video_Video-6_WalkAround</t>
  </si>
  <si>
    <t>238273937</t>
  </si>
  <si>
    <t>435533664</t>
  </si>
  <si>
    <t>alp_BrandedContent_instagram_social_salao_newsfeed_cpm_prospecting_carrossel_salao-07-11_AMC-open</t>
  </si>
  <si>
    <t>233447419</t>
  </si>
  <si>
    <t>431122335</t>
  </si>
  <si>
    <t>alp_BrandedContent_instagram_social_salao_newsfeed_cpm_prospecting_pagepost_salao-gts_AMC-open</t>
  </si>
  <si>
    <t>233881179</t>
  </si>
  <si>
    <t>431320026</t>
  </si>
  <si>
    <t>alp_BrandedContent_instagram_social_salao_newsfeed_cpm_prospecting_pagepost_salao-niina_AMC-open</t>
  </si>
  <si>
    <t>233875393</t>
  </si>
  <si>
    <t>431468234</t>
  </si>
  <si>
    <t>alp_BrandedContent_instagram_social_timelines_newsfeed_cpm_prospecting_pagepost_Polo-BrandedContent_AMC-Polo</t>
  </si>
  <si>
    <t>215454034</t>
  </si>
  <si>
    <t>414486316</t>
  </si>
  <si>
    <t>alp_BrandedContent_instagram_social_timelines_newsfeed_cpm_prospecting_pagepost_Virtus-BrandedContent-180307_AMC-Virtus-BETA</t>
  </si>
  <si>
    <t>216106652</t>
  </si>
  <si>
    <t>415062376</t>
  </si>
  <si>
    <t>alp_BrandedContent_instagram_social_timelines_newsfeed_cpm_prospecting_pagepost_virtus-17-07_AMC-open</t>
  </si>
  <si>
    <t>225615657</t>
  </si>
  <si>
    <t>423524190</t>
  </si>
  <si>
    <t>BR_VW_AMV_Instagram_MOB_DRCT_CPM_CLK_MPU_AAF_RON_CXD_Amarok-Varejo-Marco-Corporativo-OLD-CIDADE-Social-Amarok-AMC_PD_Video</t>
  </si>
  <si>
    <t>241644504</t>
  </si>
  <si>
    <t>438306482</t>
  </si>
  <si>
    <t>BR_VW_AMV_Instagram_MOB_DRCT_CPM_CLK_SRB_AAF_RON_CXD_Amarok-Varejo-Marco-Corporativo-OLD-CAMPO-Social-Amarok-AMC_PD_1200x628</t>
  </si>
  <si>
    <t>241644516</t>
  </si>
  <si>
    <t>438306494</t>
  </si>
  <si>
    <t>BR_VW_RNG_msn_DIS_DRCT_CPA_CAI_LDR_IMC_RON_CXD_outlet-polo-jetta-all-faixa-horaria-awareness_PD_728x90</t>
  </si>
  <si>
    <t>242024222</t>
  </si>
  <si>
    <t>438965567</t>
  </si>
  <si>
    <t>BR_VW_RNG_msn_DIS_DRCT_CPA_CAI_MPU_IMC_RON_CXD_outlet-polo-jetta-all-faixa-horaria-awareness_PD_300x250</t>
  </si>
  <si>
    <t>242043323</t>
  </si>
  <si>
    <t>438972533</t>
  </si>
  <si>
    <t>BR_VW_RNG_msn_DIS_DRCT_CPA_CAI_MPU_IMC_RON_CXD_outlet-polo-jetta-in-mkt-autos_PD_200x200</t>
  </si>
  <si>
    <t>242269294</t>
  </si>
  <si>
    <t>438977082</t>
  </si>
  <si>
    <t>BR_VW_RNG_msn_DIS_DRCT_CPA_CAI_SKY_IMC_RON_CXD_outlet-polo-jetta-all-faixa-horaria-awareness_PD_300x600</t>
  </si>
  <si>
    <t>242043320</t>
  </si>
  <si>
    <t>438972530</t>
  </si>
  <si>
    <t>BR_VW_RNG_uol_DIS_DRCT_CPA_CAI_LDR_IMC_RON_CXD_outlet-polo-jetta-as-ab-25+-autos-awareness_PD_728x90</t>
  </si>
  <si>
    <t>242140810</t>
  </si>
  <si>
    <t>438890076</t>
  </si>
  <si>
    <t>BR_VW_RNG_uol_DIS_DRCT_CPA_CAI_LDR_IMC_RON_CXD_outlet-polo-jetta-as-ab-25+-autos-awareness_PD_970x250</t>
  </si>
  <si>
    <t>242140804</t>
  </si>
  <si>
    <t>438890070</t>
  </si>
  <si>
    <t>BR_VW_RNG_uol_DIS_DRCT_CPA_CAI_LDR_IMC_RON_CXD_outlet-polo-jetta-as-ab-25+-autos-awareness_PD_970x90</t>
  </si>
  <si>
    <t>242140807</t>
  </si>
  <si>
    <t>438890073</t>
  </si>
  <si>
    <t>438970922</t>
  </si>
  <si>
    <t>BR_VW_RNG_uol_DIS_DRCT_CPA_CAI_SKY_IMC_RON_CXD_outlet-polo-jetta-as-ab-25+-autos-awareness_PD_120x600</t>
  </si>
  <si>
    <t>242140822</t>
  </si>
  <si>
    <t>438890088</t>
  </si>
  <si>
    <t>BR_VW_RNG_uol_DIS_DRCT_CPA_CAI_SKY_IMC_RON_CXD_outlet-polo-jetta-as-ab-25+-autos-awareness_PD_160x600</t>
  </si>
  <si>
    <t>242140819</t>
  </si>
  <si>
    <t>438890085</t>
  </si>
  <si>
    <t>BR_VW_RNG_uol_DIS_DRCT_CPA_CAI_SKY_IMC_RON_CXD_outlet-polo-jetta-as-ab-25+-autos-awareness_PD_300x600</t>
  </si>
  <si>
    <t>242140813</t>
  </si>
  <si>
    <t>438979459</t>
  </si>
  <si>
    <t>438890079</t>
  </si>
  <si>
    <t>BR_VW_RNG_facebook_SOC_DRCT_CPA_CAI_SRB_IMC_RON_CXD_outlet-polo-lal-reserva_PD_1200x628</t>
  </si>
  <si>
    <t>242857341</t>
  </si>
  <si>
    <t>439368299</t>
  </si>
  <si>
    <t>BR_VW_RNG_google_DIS_PROG_CPA_CAI_LDR_IMC_RON_CXD_outlet-cinza-remarketing_PD_480x60</t>
  </si>
  <si>
    <t>242941633</t>
  </si>
  <si>
    <t>439539474</t>
  </si>
  <si>
    <t>BR_VW_RNG_google_DIS_PROG_CPA_CAI_LDR_IMC_RON_CXD_outlet-cinza-remarketing_PD_970x250</t>
  </si>
  <si>
    <t>242941645</t>
  </si>
  <si>
    <t>439539483</t>
  </si>
  <si>
    <t>BR_VW_RNG_google_DIS_PROG_CPA_CAI_LDR_IMC_RON_CXD_outlet-cinza-remarketing_PD_970x90</t>
  </si>
  <si>
    <t>242941651</t>
  </si>
  <si>
    <t>439539486</t>
  </si>
  <si>
    <t>438968032</t>
  </si>
  <si>
    <t>BR_VW_RNG_google_DIS_PROG_CPA_CAI_LDR_IMC_RON_CXD_outlet-polo-jetta-in-mkt-autos-consideracao_PD_970x250</t>
  </si>
  <si>
    <t>242144335</t>
  </si>
  <si>
    <t>438965558</t>
  </si>
  <si>
    <t>438968038</t>
  </si>
  <si>
    <t>BR_VW_RNG_google_DIS_PROG_CPA_CAI_LDR_IMC_RON_CXD_outlet-polo-jetta-in-mkt-autos-consideracao_PD_970x90</t>
  </si>
  <si>
    <t>242144338</t>
  </si>
  <si>
    <t>438890856</t>
  </si>
  <si>
    <t>438968041</t>
  </si>
  <si>
    <t>BR_VW_RNG_google_DIS_PROG_CPA_CAI_LDR_IMC_RON_CXD_outlet-polo-jetta-v3-in-mkt-autos-consideracao_PD_728x90</t>
  </si>
  <si>
    <t>242553012</t>
  </si>
  <si>
    <t>439137085</t>
  </si>
  <si>
    <t>BR_VW_RNG_google_DIS_PROG_CPA_CAI_LDR_IMC_RON_CXD_outlet-polo-jetta-v3-in-mkt-autos-consideracao_PD_970x250</t>
  </si>
  <si>
    <t>242244707</t>
  </si>
  <si>
    <t>439136450</t>
  </si>
  <si>
    <t>BR_VW_RNG_google_DIS_PROG_CPA_CAI_MPU_IMC_RON_CXD_in-mkt-autos-consideracao_PD_300x100</t>
  </si>
  <si>
    <t>242058332</t>
  </si>
  <si>
    <t>BR_VW_RNG_google_DIS_PROG_CPA_CAI_MPU_IMC_RON_CXD_outlet-jetta-in-mkt-autos-consideracao_PD_300x100</t>
  </si>
  <si>
    <t>438959687</t>
  </si>
  <si>
    <t>BR_VW_RNG_google_DIS_PROG_CPA_CAI_MPU_IMC_RON_CXD_outlet-jetta-v1-in-mkt-autos-consideracao_PD_300x100</t>
  </si>
  <si>
    <t>439038861</t>
  </si>
  <si>
    <t>BR_VW_RNG_google_DIS_PROG_CPA_CAI_MPU_IMC_RON_CXD_outlet-polo-in-mkt-autos-consideracao_PD_300x100</t>
  </si>
  <si>
    <t>438959690</t>
  </si>
  <si>
    <t>BR_VW_RNG_google_DIS_PROG_CPA_CAI_MPU_IMC_RON_CXD_in-mkt-autos-consideracao_PD_320x100</t>
  </si>
  <si>
    <t>242138512</t>
  </si>
  <si>
    <t>BR_VW_RNG_google_DIS_PROG_CPA_CAI_MPU_IMC_RON_CXD_outlet-jetta-in-mkt-autos-consideracao_PD_320x100</t>
  </si>
  <si>
    <t>438974932</t>
  </si>
  <si>
    <t>BR_VW_RNG_google_DIS_PROG_CPA_CAI_MPU_IMC_RON_CXD_outlet-jetta-v1-in-mkt-autos-consideracao_PD_320x100</t>
  </si>
  <si>
    <t>439135958</t>
  </si>
  <si>
    <t>BR_VW_RNG_google_DIS_PROG_CPA_CAI_MPU_IMC_RON_CXD_outlet-polo-in-mkt-autos-consideracao_PD_320x100</t>
  </si>
  <si>
    <t>438974935</t>
  </si>
  <si>
    <t>438970721</t>
  </si>
  <si>
    <t>BR_VW_RNG_google_DIS_PROG_CPA_CAI_MPU_IMC_RON_CXD_outlet-jetta-in-mkt-autos-consideracao_PD_320x50</t>
  </si>
  <si>
    <t>438974938</t>
  </si>
  <si>
    <t>BR_VW_RNG_google_DIS_PROG_CPA_CAI_MPU_IMC_RON_CXD_outlet-polo-in-mkt-autos-consideracao_PD_320x50</t>
  </si>
  <si>
    <t>438974941</t>
  </si>
  <si>
    <t>BR_VW_RNG_google_DIS_PROG_CPA_CAI_MPU_IMC_RON_CXD_outlet-cinza-remarketing_PD_300x100</t>
  </si>
  <si>
    <t>242941642</t>
  </si>
  <si>
    <t>439539480</t>
  </si>
  <si>
    <t>BR_VW_RNG_google_DIS_PROG_CPA_CAI_MPU_IMC_RON_CXD_outlet-cinza-remarketing_PD_300x250</t>
  </si>
  <si>
    <t>242941636</t>
  </si>
  <si>
    <t>439662484</t>
  </si>
  <si>
    <t>BR_VW_RNG_google_DIS_PROG_CPA_CAI_MPU_IMC_RON_CXD_outlet-cinza-remarketing_PD_300x60</t>
  </si>
  <si>
    <t>242941639</t>
  </si>
  <si>
    <t>439539477</t>
  </si>
  <si>
    <t>BR_VW_RNG_google_DIS_PROG_CPA_CAI_MPU_IMC_RON_CXD_outlet-polo-jetta-in-mkt-autos-consideracao_PD_300x250</t>
  </si>
  <si>
    <t>242144344</t>
  </si>
  <si>
    <t>438968047</t>
  </si>
  <si>
    <t>BR_VW_RNG_google_DIS_PROG_CPA_CAI_SKY_IMC_RON_CXD_outlet-polo-jetta-in-mkt-autos-consideracao_PD_120x600</t>
  </si>
  <si>
    <t>242144341</t>
  </si>
  <si>
    <t>438965555</t>
  </si>
  <si>
    <t>438968044</t>
  </si>
  <si>
    <t>438968050</t>
  </si>
  <si>
    <t>BR_VW_RNG_google_DIS_PROG_CPA_CAI_SKY_IMC_RON_CXD_outlet-polo-jetta-in-mkt-autos-consideracao_PD_300x600</t>
  </si>
  <si>
    <t>242144332</t>
  </si>
  <si>
    <t>438968035</t>
  </si>
  <si>
    <t>BR_VW_RNG_instagram_SOC_DRCT_CPA_CAI_SRB_IMC_RON_CXD_outlet-cinza-remarketing_PD_1080x920</t>
  </si>
  <si>
    <t>242796668</t>
  </si>
  <si>
    <t>439653190</t>
  </si>
  <si>
    <t>BR_VW_RNG_instagram_SOC_DRCT_CPA_CAI_SRB_IMC_RON_CXD_outlet-stories-in-mkt-autos-consideracao_PD_1080x920</t>
  </si>
  <si>
    <t>242062820</t>
  </si>
  <si>
    <t>438971435</t>
  </si>
  <si>
    <t>BR_VW_RNG_teads_DIS_DRCT_CPA_CAI_LDR_IMC_RON_MOB_Outlet-Carousel-1-visita-Lookalike-consideracao_PD_carrossel-landscape</t>
  </si>
  <si>
    <t>242426360</t>
  </si>
  <si>
    <t>439155789</t>
  </si>
  <si>
    <t>BR_VW_RNG_teads_DIS_DRCT_CPA_CAI_LDR_IMC_RON_MOB_Outlet-Scroller-3-Lookalike-consideracao_PD_carrossel-landscape</t>
  </si>
  <si>
    <t>242967549</t>
  </si>
  <si>
    <t>439465024</t>
  </si>
  <si>
    <t>BR_VW_RNG_teads_DIS_DRCT_CPA_CAI_SRB_IMC_RON_MOB_Outlet-Scroller-2-visita-Lookalike-consideracao_PD_scroller-landscape-</t>
  </si>
  <si>
    <t>242953134</t>
  </si>
  <si>
    <t>439458383</t>
  </si>
  <si>
    <t>BR_VW_RNG_facebook_MOB_DRCT_CPM_CAI_SRB_IMC_RON_MOB_Reg4-rio1-geolocalizado_PD_1200x627</t>
  </si>
  <si>
    <t>242295302</t>
  </si>
  <si>
    <t>439071825</t>
  </si>
  <si>
    <t>BR_VW_RNG_facebook_MOB_DRCT_CPM_CAI_SRB_IMC_RON_MOB_Reg4-rio2-geolocalizado_PD_1200x627</t>
  </si>
  <si>
    <t>242392225</t>
  </si>
  <si>
    <t>439162528</t>
  </si>
  <si>
    <t>BR_VW_RNG_facebook_MOB_DRCT_CPM_CAI_SRB_IMC_RON_MOB_Reg4-vit-2-geolocalizado_PD_1200x627</t>
  </si>
  <si>
    <t>242392234</t>
  </si>
  <si>
    <t>439071831</t>
  </si>
  <si>
    <t>BR_VW_RNG_inloco_MOB_DRCT_CPV_CAI_LDR_IMC_RON_MOB_reg5-Tiguan-geolocalizado_PD_1440x960</t>
  </si>
  <si>
    <t>242107364</t>
  </si>
  <si>
    <t>439034120</t>
  </si>
  <si>
    <t>BR_VW_RNG_inloco_MOB_DRCT_CPV_CAI_LDR_IMC_RON_MOB_reg5-Tiguan-geolocalizado_PD_900x750</t>
  </si>
  <si>
    <t>242107358</t>
  </si>
  <si>
    <t>438942126</t>
  </si>
  <si>
    <t>BR_VW_RNG_inloco_MOB_DRCT_CPV_CAI_LDR_IMC_RON_MOB_reg5-Tiguan-geolocalizado_PD_960x150</t>
  </si>
  <si>
    <t>242425722</t>
  </si>
  <si>
    <t>439034126</t>
  </si>
  <si>
    <t>BR_VW_RNG_inloco_MOB_DRCT_CPV_CAI_LDR_IMC_RON_MOB_reg5-jetta-outlet-geolocalizado_PD_1440x960</t>
  </si>
  <si>
    <t>242107313</t>
  </si>
  <si>
    <t>438942081</t>
  </si>
  <si>
    <t>BR_VW_RNG_inloco_MOB_DRCT_CPV_CAI_LDR_IMC_RON_MOB_reg5-jetta-outlet-geolocalizado_PD_900x750</t>
  </si>
  <si>
    <t>242425731</t>
  </si>
  <si>
    <t>439034135</t>
  </si>
  <si>
    <t>BR_VW_RNG_inloco_MOB_DRCT_CPV_CAI_LDR_IMC_RON_MOB_reg5-jetta-outlet-geolocalizado_PD_960x150</t>
  </si>
  <si>
    <t>242107316</t>
  </si>
  <si>
    <t>438942084</t>
  </si>
  <si>
    <t>BR_VW_RNG_inloco_MOB_DRCT_CPV_CAI_LDR_IMC_RON_MOB_reg5-jetta-preto-geolocalizado_PD_1440x960</t>
  </si>
  <si>
    <t>242107331</t>
  </si>
  <si>
    <t>438942099</t>
  </si>
  <si>
    <t>BR_VW_RNG_inloco_MOB_DRCT_CPV_CAI_LDR_IMC_RON_MOB_reg5-jetta-preto-geolocalizado_PD_900x750</t>
  </si>
  <si>
    <t>242107328</t>
  </si>
  <si>
    <t>438942096</t>
  </si>
  <si>
    <t>BR_VW_RNG_inloco_MOB_DRCT_CPV_CAI_LDR_IMC_RON_MOB_reg5-jetta-preto-geolocalizado_PD_960x150</t>
  </si>
  <si>
    <t>242107334</t>
  </si>
  <si>
    <t>438942102</t>
  </si>
  <si>
    <t>BR_VW_RNG_inloco_MOB_DRCT_CPV_CAI_LDR_IMC_RON_MOB_reg5-polo-geolocalizado_PD_1440x960</t>
  </si>
  <si>
    <t>242107349</t>
  </si>
  <si>
    <t>438942117</t>
  </si>
  <si>
    <t>BR_VW_RNG_inloco_MOB_DRCT_CPV_CAI_LDR_IMC_RON_MOB_reg5-polo-geolocalizado_PD_900x750</t>
  </si>
  <si>
    <t>242107343</t>
  </si>
  <si>
    <t>438942111</t>
  </si>
  <si>
    <t>BR_VW_RNG_inloco_MOB_DRCT_CPV_CAI_LDR_IMC_RON_MOB_reg5-polo-geolocalizado_PD_960x150</t>
  </si>
  <si>
    <t>242107355</t>
  </si>
  <si>
    <t>438942123</t>
  </si>
  <si>
    <t>BR_VW_RNG_inloco_MOB_DRCT_CPV_CAI_MPU_IMC_RON_MOB_reg5-Tiguan-geolocalizado_PD_432x432</t>
  </si>
  <si>
    <t>242107352</t>
  </si>
  <si>
    <t>438942120</t>
  </si>
  <si>
    <t>BR_VW_RNG_inloco_MOB_DRCT_CPV_CAI_MPU_IMC_RON_MOB_reg5-jetta-outlet-geolocalizado_PD_432x432</t>
  </si>
  <si>
    <t>242425725</t>
  </si>
  <si>
    <t>439034129</t>
  </si>
  <si>
    <t>BR_VW_RNG_inloco_MOB_DRCT_CPV_CAI_MPU_IMC_RON_MOB_reg5-jetta-preto-geolocalizado_PD_432x432</t>
  </si>
  <si>
    <t>242107325</t>
  </si>
  <si>
    <t>438942093</t>
  </si>
  <si>
    <t>BR_VW_RNG_inloco_MOB_DRCT_CPV_CAI_MPU_IMC_RON_MOB_reg5-polo-geolocalizado_PD_432x432</t>
  </si>
  <si>
    <t>242107337</t>
  </si>
  <si>
    <t>438942105</t>
  </si>
  <si>
    <t>BR_VW_RNG_inloco_MOB_DRCT_CPV_CAI_SKY_IMC_RON_MOB_reg5-Tiguan-geolocalizado_PD_960x1440</t>
  </si>
  <si>
    <t>242425728</t>
  </si>
  <si>
    <t>439034132</t>
  </si>
  <si>
    <t>BR_VW_RNG_inloco_MOB_DRCT_CPV_CAI_SKY_IMC_RON_MOB_reg5-jetta-preto-geolocalizado_PD_960x1440</t>
  </si>
  <si>
    <t>242107340</t>
  </si>
  <si>
    <t>438942108</t>
  </si>
  <si>
    <t>BR_VW_RNG_inloco_MOB_DRCT_CPV_CAI_SKY_IMC_RON_MOB_reg5-polo-geolocalizado_PD_960x1440</t>
  </si>
  <si>
    <t>242107361</t>
  </si>
  <si>
    <t>439034117</t>
  </si>
  <si>
    <t>BR_VW_RNG_inloco_MOB_DRCT_CPV_CAI_SRB_IMC_RON_MOB_reg5-Tiguan-geolocalizado_PD_1200x627</t>
  </si>
  <si>
    <t>242425734</t>
  </si>
  <si>
    <t>439034138</t>
  </si>
  <si>
    <t>BR_VW_RNG_inloco_MOB_DRCT_CPV_CAI_SRB_IMC_RON_MOB_reg5-jetta-outlet-geolocalizado_PD_1200x627</t>
  </si>
  <si>
    <t>242107322</t>
  </si>
  <si>
    <t>438942090</t>
  </si>
  <si>
    <t>BR_VW_RNG_inloco_MOB_DRCT_CPV_CAI_SRB_IMC_RON_MOB_reg5-jetta-preto-geolocalizado_PD_1200x627</t>
  </si>
  <si>
    <t>242107346</t>
  </si>
  <si>
    <t>438942114</t>
  </si>
  <si>
    <t>BR_VW_RNG_inloco_MOB_DRCT_CPV_CAI_SRB_IMC_RON_MOB_reg5-polo-geolocalizado_PD_1200x627</t>
  </si>
  <si>
    <t>242107367</t>
  </si>
  <si>
    <t>439034123</t>
  </si>
  <si>
    <t>BR_VW_AMV_Linkedin_DIS_DRCT_CPC_STD_MPU_IMC_RON_CXD_Amarok-Varejo-Marco-Corporativo-CIDADE-OLD-InMail-Amarok-AMC_PD_300x250</t>
  </si>
  <si>
    <t>241650270</t>
  </si>
  <si>
    <t>438310772</t>
  </si>
  <si>
    <t>BR_VW_AMV_Linkedin_DIS_DRCT_CPC_STD_MPU_IMC_RON_CXD_Amarok-Varejo-Marco-Corporativo-OLD-CAMPO-Amarok-AMC_PD_300x250</t>
  </si>
  <si>
    <t>241650276</t>
  </si>
  <si>
    <t>438310778</t>
  </si>
  <si>
    <t>BR_VW_AMV_Linkedin_DIS_DRCT_CPC_STD_MPU_IMC_RON_CXD_Amarok-Varejo-Marco-PRIVADO-Amarok-AMC_PD_300x250</t>
  </si>
  <si>
    <t>241650294</t>
  </si>
  <si>
    <t>438310796</t>
  </si>
  <si>
    <t>BR_VW_AMV_Linkedin_DIS_DRCT_CPC_STD_SRB_IMC_RON_CXD_Amarok-Varejo-Marco-Corporativo-CAMPO-NOVO-Amarok-AMC_PD_1200x627</t>
  </si>
  <si>
    <t>241650255</t>
  </si>
  <si>
    <t>438310757</t>
  </si>
  <si>
    <t>BR_VW_AMV_Linkedin_DIS_DRCT_CPC_STD_SRB_IMC_RON_CXD_Amarok-Varejo-Marco-Corporativo-CIDADE-NOVO-Amarok-AMC_PD_1200x627</t>
  </si>
  <si>
    <t>241650297</t>
  </si>
  <si>
    <t>438310799</t>
  </si>
  <si>
    <t>BR_VW_AMV_Linkedin_DIS_DRCT_CPC_STD_SRB_IMC_RON_CXD_Amarok-Varejo-Marco-Corporativo-OLD-CAMPO-Amarok-AMC_PD_1080x1080</t>
  </si>
  <si>
    <t>241650273</t>
  </si>
  <si>
    <t>438310775</t>
  </si>
  <si>
    <t>BR_VW_AMV_Linkedin_DIS_DRCT_CPC_STD_SRB_IMC_RON_CXD_Amarok-Varejo-Marco-Corporativo-OLD-CAMPO-Amarok-AMC_PD_1200x627</t>
  </si>
  <si>
    <t>241650279</t>
  </si>
  <si>
    <t>438310781</t>
  </si>
  <si>
    <t>BR_VW_AMV_Linkedin_DIS_DRCT_CPC_STD_SRB_IMC_RON_CXD_Amarok-Varejo-Marco-Corporativo-OLD-CIDADE-Amarok-AMC_PD_1080x1080</t>
  </si>
  <si>
    <t>241650261</t>
  </si>
  <si>
    <t>438310763</t>
  </si>
  <si>
    <t>BR_VW_AMV_Linkedin_DIS_DRCT_CPC_STD_SRB_IMC_RON_CXD_Amarok-Varejo-Marco-Corporativo-OLD-CIDADE-Amarok-AMC_PD_1200x627</t>
  </si>
  <si>
    <t>241650267</t>
  </si>
  <si>
    <t>438310769</t>
  </si>
  <si>
    <t>BR_VW_TCR_faceinsta_SOC_DRCT_CPM_CLK_MPU_IMC_ROS_CXD_Pre-Venda-Tcross-AMC-Tcross_PD_Stories</t>
  </si>
  <si>
    <t>240534265</t>
  </si>
  <si>
    <t>437550820</t>
  </si>
  <si>
    <t>BR_VW_RNG_dv360_DIS_PROG_CPM_STD_LDR_TAT_RON_CXD_Reg03-Ad02_PD_728x90</t>
  </si>
  <si>
    <t>242651725</t>
  </si>
  <si>
    <t>BR_VW_RNG_dv360_DIS_PROG_CPM_STD_LDR_TAT_RON_CXD_Virtus-Reg03-Ad02_PD_728x90</t>
  </si>
  <si>
    <t>439244115</t>
  </si>
  <si>
    <t>BR_VW_RNG_dv360_DIS_PROG_CPM_STD_LDR_TAT_RON_CXD_Jetta-Reg04-Ad01_PD_728x90</t>
  </si>
  <si>
    <t>439244103</t>
  </si>
  <si>
    <t>BR_VW_RNG_dv360_DIS_PROG_CPM_STD_LDR_TAT_RON_CXD_Reg05-Ad02_PD_728x90</t>
  </si>
  <si>
    <t>242651716</t>
  </si>
  <si>
    <t>BR_VW_RNG_dv360_DIS_PROG_CPM_STD_LDR_TAT_RON_CXD_Virtus-Reg05-Ad02_PD_728x90</t>
  </si>
  <si>
    <t>439369783</t>
  </si>
  <si>
    <t>BR_VW_RNG_dv360_DIS_PROG_CPM_STD_LDR_TAT_RON_CXD_Polo-Reg06-Ad01_PD_728x90</t>
  </si>
  <si>
    <t>439244067</t>
  </si>
  <si>
    <t>BR_VW_RNG_dv360_DIS_PROG_CPM_STD_MPU_TAT_RON_CXD_Reg03-Ad01_PD_300x250</t>
  </si>
  <si>
    <t>242627584</t>
  </si>
  <si>
    <t>BR_VW_RNG_dv360_DIS_PROG_CPM_STD_MPU_TAT_RON_CXD_Polo-Reg03-Ad01_PD_300x250</t>
  </si>
  <si>
    <t>439244133</t>
  </si>
  <si>
    <t>BR_VW_RNG_dv360_DIS_PROG_CPM_STD_MPU_TAT_RON_CXD_Reg03-Ad02_PD_300x250</t>
  </si>
  <si>
    <t>242651731</t>
  </si>
  <si>
    <t>BR_VW_RNG_dv360_DIS_PROG_CPM_STD_MPU_TAT_RON_CXD_Virtus-Reg03-Ad02_PD_300x250</t>
  </si>
  <si>
    <t>439244121</t>
  </si>
  <si>
    <t>BR_VW_RNG_dv360_DIS_PROG_CPM_STD_MPU_TAT_RON_CXD_Jetta-Reg04-Ad01_PD_300x250</t>
  </si>
  <si>
    <t>439244109</t>
  </si>
  <si>
    <t>BR_VW_RNG_dv360_DIS_PROG_CPM_STD_MPU_TAT_RON_CXD_Reg05-Ad02_PD_300x250</t>
  </si>
  <si>
    <t>242651719</t>
  </si>
  <si>
    <t>BR_VW_RNG_dv360_DIS_PROG_CPM_STD_MPU_TAT_RON_CXD_Virtus-Reg05-Ad02_PD_300x250</t>
  </si>
  <si>
    <t>439244085</t>
  </si>
  <si>
    <t>BR_VW_RNG_dv360_DIS_PROG_CPM_STD_MPU_TAT_RON_CXD_Polo-Reg06-Ad01_PD_300x250</t>
  </si>
  <si>
    <t>439244073</t>
  </si>
  <si>
    <t>BR_VW_RNG_dv360_DIS_PROG_CPM_STD_SKY_TAT_RON_CXD_Jetta-Reg01-Ad01_PD_160x600</t>
  </si>
  <si>
    <t>439244148</t>
  </si>
  <si>
    <t>BR_VW_RNG_dv360_DIS_PROG_CPM_STD_SKY_TAT_RON_CXD_Jetta-Reg01-Ad01_PD_300x600</t>
  </si>
  <si>
    <t>439244142</t>
  </si>
  <si>
    <t>BR_VW_RNG_dv360_DIS_PROG_CPM_STD_SKY_TAT_RON_CXD_Reg03-Ad01_PD_160x600</t>
  </si>
  <si>
    <t>242627587</t>
  </si>
  <si>
    <t>BR_VW_RNG_dv360_DIS_PROG_CPM_STD_SKY_TAT_RON_CXD_Polo-Reg03-Ad01_PD_160x600</t>
  </si>
  <si>
    <t>439244136</t>
  </si>
  <si>
    <t>BR_VW_RNG_dv360_DIS_PROG_CPM_STD_SKY_TAT_RON_CXD_Reg03-Ad01_PD_300x600</t>
  </si>
  <si>
    <t>242627581</t>
  </si>
  <si>
    <t>BR_VW_RNG_dv360_DIS_PROG_CPM_STD_SKY_TAT_RON_CXD_Polo-Reg03-Ad01_PD_300x600</t>
  </si>
  <si>
    <t>439244130</t>
  </si>
  <si>
    <t>BR_VW_RNG_dv360_DIS_PROG_CPM_STD_SKY_TAT_RON_CXD_Reg03-Ad02_PD_160x600</t>
  </si>
  <si>
    <t>242651734</t>
  </si>
  <si>
    <t>BR_VW_RNG_dv360_DIS_PROG_CPM_STD_SKY_TAT_RON_CXD_Virtus-Reg03-Ad02_PD_160x600</t>
  </si>
  <si>
    <t>439244124</t>
  </si>
  <si>
    <t>BR_VW_RNG_dv360_DIS_PROG_CPM_STD_SKY_TAT_RON_CXD_Jetta-Reg04-Ad01_PD_160x600</t>
  </si>
  <si>
    <t>439244112</t>
  </si>
  <si>
    <t>BR_VW_RNG_dv360_DIS_PROG_CPM_STD_SKY_TAT_RON_CXD_Gol-Reg05-Ad01_PD_160x600</t>
  </si>
  <si>
    <t>439244100</t>
  </si>
  <si>
    <t>BR_VW_RNG_dv360_DIS_PROG_CPM_STD_SKY_TAT_RON_CXD_Gol-Reg05-Ad01_PD_300x600</t>
  </si>
  <si>
    <t>439244094</t>
  </si>
  <si>
    <t>BR_VW_RNG_dv360_DIS_PROG_CPM_STD_SKY_TAT_RON_CXD_Reg05-Ad02_PD_160x600</t>
  </si>
  <si>
    <t>242651722</t>
  </si>
  <si>
    <t>BR_VW_RNG_dv360_DIS_PROG_CPM_STD_SKY_TAT_RON_CXD_Virtus-Reg05-Ad02_PD_160x600</t>
  </si>
  <si>
    <t>439244088</t>
  </si>
  <si>
    <t>BR_VW_RNG_dv360_DIS_PROG_CPM_STD_SKY_TAT_RON_CXD_Reg05-Ad02_PD_300x600</t>
  </si>
  <si>
    <t>242651713</t>
  </si>
  <si>
    <t>BR_VW_RNG_dv360_DIS_PROG_CPM_STD_SKY_TAT_RON_CXD_Virtus-Reg05-Ad02_PD_300x600</t>
  </si>
  <si>
    <t>439244082</t>
  </si>
  <si>
    <t>alp_AlwaysOn_msn_horizontal_shopping_msn-shopping_cpc_na_200x200_Amarok_na</t>
  </si>
  <si>
    <t>227051652</t>
  </si>
  <si>
    <t>424938083</t>
  </si>
  <si>
    <t>alp_AlwaysOn_msn_horizontal_shopping_msn-shopping_cpc_na_200x200_Fox-Connect_na</t>
  </si>
  <si>
    <t>226905775</t>
  </si>
  <si>
    <t>424942061</t>
  </si>
  <si>
    <t>alp_AlwaysOn_msn_horizontal_shopping_msn-shopping_cpc_na_200x200_Fox-Xtreme_na</t>
  </si>
  <si>
    <t>226905769</t>
  </si>
  <si>
    <t>424942055</t>
  </si>
  <si>
    <t>alp_AlwaysOn_msn_horizontal_shopping_msn-shopping_cpc_na_200x200_Gol_na</t>
  </si>
  <si>
    <t>226905766</t>
  </si>
  <si>
    <t>424942052</t>
  </si>
  <si>
    <t>alp_AlwaysOn_msn_horizontal_shopping_msn-shopping_cpc_na_200x200_Passat_na</t>
  </si>
  <si>
    <t>226905751</t>
  </si>
  <si>
    <t>424942037</t>
  </si>
  <si>
    <t>alp_AlwaysOn_msn_horizontal_shopping_msn-shopping_cpc_na_200x200_Polo_na</t>
  </si>
  <si>
    <t>226905748</t>
  </si>
  <si>
    <t>424942034</t>
  </si>
  <si>
    <t>alp_AlwaysOn_msn_horizontal_shopping_msn-shopping_cpc_na_200x200_Saveiro-Pepper_na</t>
  </si>
  <si>
    <t>226905742</t>
  </si>
  <si>
    <t>424942028</t>
  </si>
  <si>
    <t>alp_AlwaysOn_msn_horizontal_shopping_msn-shopping_cpc_na_200x200_Saveiro_na</t>
  </si>
  <si>
    <t>226905745</t>
  </si>
  <si>
    <t>424942031</t>
  </si>
  <si>
    <t>alp_AlwaysOn_msn_horizontal_shopping_msn-shopping_cpc_na_200x200_Tiguan_na</t>
  </si>
  <si>
    <t>232437885</t>
  </si>
  <si>
    <t>429893270</t>
  </si>
  <si>
    <t>alp_AlwaysOn_msn_horizontal_shopping_msn-shopping_cpc_na_200x200_Up-Pepper_na</t>
  </si>
  <si>
    <t>226905733</t>
  </si>
  <si>
    <t>424942019</t>
  </si>
  <si>
    <t>alp_AlwaysOn_msn_horizontal_shopping_msn-shopping_cpc_na_200x200_Up_na</t>
  </si>
  <si>
    <t>226905736</t>
  </si>
  <si>
    <t>424942022</t>
  </si>
  <si>
    <t>alp_AlwaysOn_msn_horizontal_shopping_msn-shopping_cpc_na_200x200_Virtus_na</t>
  </si>
  <si>
    <t>226905730</t>
  </si>
  <si>
    <t>424942016</t>
  </si>
  <si>
    <t>alp_AlwaysOn_msn_horizontal_shopping_msn-shopping_cpc_na_200x200_Voyage_na</t>
  </si>
  <si>
    <t>226905727</t>
  </si>
  <si>
    <t>424942013</t>
  </si>
  <si>
    <t>alp_AlwaysOn_gdn_network_gsp_gsppatrocinado_cpc_remarketing_1200x1200_Golf_na</t>
  </si>
  <si>
    <t>230732162</t>
  </si>
  <si>
    <t>428659894</t>
  </si>
  <si>
    <t>alp_AlwaysOn_gdn_network_gsp_gsppatrocinado_cpc_remarketing_1200x1200_Polo-Beats_na</t>
  </si>
  <si>
    <t>233732162</t>
  </si>
  <si>
    <t>431480712</t>
  </si>
  <si>
    <t>alp_AlwaysOn_gdn_network_gsp_gsppatrocinado_cpc_remarketing_1200x1200_Polo_na</t>
  </si>
  <si>
    <t>228204708</t>
  </si>
  <si>
    <t>426100104</t>
  </si>
  <si>
    <t>alp_AlwaysOn_gdn_network_gsp_gsppatrocinado_cpc_remarketing_1200x1200_Saveiro_na</t>
  </si>
  <si>
    <t>231007269</t>
  </si>
  <si>
    <t>428604528</t>
  </si>
  <si>
    <t>alp_AlwaysOn_gdn_network_gsp_gsppatrocinado_cpc_remarketing_1200x1200_Tiguan_na</t>
  </si>
  <si>
    <t>230714048</t>
  </si>
  <si>
    <t>428663965</t>
  </si>
  <si>
    <t>alp_AlwaysOn_gdn_network_gsp_gsppatrocinado_cpc_remarketing_1200x1200_Up_na</t>
  </si>
  <si>
    <t>227935124</t>
  </si>
  <si>
    <t>426103892</t>
  </si>
  <si>
    <t>alp_AlwaysOn_gdn_network_gsp_gsppatrocinado_cpc_remarketing_1200x1200_Virtus_na</t>
  </si>
  <si>
    <t>228026689</t>
  </si>
  <si>
    <t>426186004</t>
  </si>
  <si>
    <t>alp_AlwaysOn_gdn_network_varejo_gsppatrocinado_cpc_prospecting_1200x1200_Black-Friday_na</t>
  </si>
  <si>
    <t>233490580</t>
  </si>
  <si>
    <t>431109761</t>
  </si>
  <si>
    <t>alp_AlwaysOn_gdn_network_varejo_gsppatrocinado_cpc_prospecting_1200x1200_Dezembro-Especial_na</t>
  </si>
  <si>
    <t>235649198</t>
  </si>
  <si>
    <t>433273964</t>
  </si>
  <si>
    <t>alp_AlwaysOn_dbm_network_regional_dbm-regional_cpm_remarketing_300x600_NA_Reg05-Ad02</t>
  </si>
  <si>
    <t>230096266</t>
  </si>
  <si>
    <t>alp_AlwaysOn_dbm_network_regional_dbm-regional_cpm_remarketing_300x600_Polo_Reg05-Ad02</t>
  </si>
  <si>
    <t>437536937</t>
  </si>
  <si>
    <t>alp_AlwaysOn_dbm_network_varejo_dbm-native_cpm_prospecting_nativeads_Ano-Novo_na</t>
  </si>
  <si>
    <t>238225230</t>
  </si>
  <si>
    <t>435158120</t>
  </si>
  <si>
    <t>alp_AlwaysOn_dbm_network_varejo_dbm-native_cpm_prospecting_nativeads_Outlet_na</t>
  </si>
  <si>
    <t>231617753</t>
  </si>
  <si>
    <t>429455806</t>
  </si>
  <si>
    <t>alp_AlwaysOn_dbm_network_varejo_dbm-native_cpm_remarketing_nativeads_Ano-Novo_na</t>
  </si>
  <si>
    <t>237948505</t>
  </si>
  <si>
    <t>435164205</t>
  </si>
  <si>
    <t>232437879</t>
  </si>
  <si>
    <t>429893276</t>
  </si>
  <si>
    <t>alp_AlwaysOn_yahoo_horizontal_native-ads_native_cpc_prospecting_nativeads_SaveiroPepper-Prospect_na</t>
  </si>
  <si>
    <t>231859012</t>
  </si>
  <si>
    <t>429612190</t>
  </si>
  <si>
    <t>alp_AlwaysOn_yahoo_horizontal_native-ads_native_cpc_remarketing_nativeads_Gol-Rmkt_na</t>
  </si>
  <si>
    <t>231858982</t>
  </si>
  <si>
    <t>429612160</t>
  </si>
  <si>
    <t>alp_AlwaysOn_yahoo_horizontal_native-ads_native_cpc_remarketing_nativeads_Golf-Rmkt_na</t>
  </si>
  <si>
    <t>231858979</t>
  </si>
  <si>
    <t>429612157</t>
  </si>
  <si>
    <t>alp_AlwaysOn_yahoo_horizontal_native-ads_native_cpc_remarketing_nativeads_Jetta-Rmkt_na</t>
  </si>
  <si>
    <t>240445505</t>
  </si>
  <si>
    <t>437442315</t>
  </si>
  <si>
    <t>alp_AlwaysOn_yahoo_horizontal_native-ads_native_cpc_remarketing_nativeads_Passat-Rmkt_na</t>
  </si>
  <si>
    <t>231859045</t>
  </si>
  <si>
    <t>429612223</t>
  </si>
  <si>
    <t>alp_AlwaysOn_yahoo_horizontal_native-ads_native_cpc_remarketing_nativeads_Polo-Rmkt_na</t>
  </si>
  <si>
    <t>234719206</t>
  </si>
  <si>
    <t>432385925</t>
  </si>
  <si>
    <t>alp_AlwaysOn_yahoo_horizontal_native-ads_native_cpc_remarketing_nativeads_Saveiro-Rmkt_na</t>
  </si>
  <si>
    <t>231859039</t>
  </si>
  <si>
    <t>429612217</t>
  </si>
  <si>
    <t>alp_AlwaysOn_yahoo_horizontal_native-ads_native_cpc_remarketing_nativeads_SaveiroPepper-Rmkt_na</t>
  </si>
  <si>
    <t>231859033</t>
  </si>
  <si>
    <t>429612211</t>
  </si>
  <si>
    <t>232437864</t>
  </si>
  <si>
    <t>alp_AlwaysOn_yahoo_horizontal_native-ads_native_cpc_remarketing_nativeads_UPPepper-Rmkt_na</t>
  </si>
  <si>
    <t>231859015</t>
  </si>
  <si>
    <t>429612193</t>
  </si>
  <si>
    <t>alp_AlwaysOn_yahoo_horizontal_native-ads_native_cpc_remarketing_nativeads_Virtus-Rmkt_na</t>
  </si>
  <si>
    <t>231859009</t>
  </si>
  <si>
    <t>429612187</t>
  </si>
  <si>
    <t>alp_AlwaysOn_yahoo_horizontal_varejo_native_cpc_prospecting_nativeads_Ano-Novo_na</t>
  </si>
  <si>
    <t>238224975</t>
  </si>
  <si>
    <t>435151752</t>
  </si>
  <si>
    <t>alp_AlwaysOn_yahoo_horizontal_varejo_native_cpc_remarketing_nativeads_Ano-Novo_na</t>
  </si>
  <si>
    <t>238228341</t>
  </si>
  <si>
    <t>435257164</t>
  </si>
  <si>
    <t>alp_AlwaysOn-DPA</t>
  </si>
  <si>
    <t>always-on-dpa-retarget|facebook|ros|dpa|varejo_nacional_facebook_dpa_retarget_voyage|por</t>
  </si>
  <si>
    <t>124153027</t>
  </si>
  <si>
    <t>297102056</t>
  </si>
  <si>
    <t>alp_AlwaysOn_Facebook-DPA_facebook_social_ao_ros_cpm_na_pagepost_DPA-Gol-Add-to-Cart_na</t>
  </si>
  <si>
    <t>137583130</t>
  </si>
  <si>
    <t>309929519</t>
  </si>
  <si>
    <t>alp_AlwaysOn_Facebook-DPA_facebook_social_ao_ros_cpm_na_pagepost_DPA-Gol-Track-Add-to-Cart_na</t>
  </si>
  <si>
    <t>144911939</t>
  </si>
  <si>
    <t>316633428</t>
  </si>
  <si>
    <t>alp_AlwaysOn_Facebook-DPA_facebook_social_ao_ros_cpm_na_pagepost_DPA-Golf-Variant-Add-to-Cart_na</t>
  </si>
  <si>
    <t>137583118</t>
  </si>
  <si>
    <t>309929507</t>
  </si>
  <si>
    <t>alp_AlwaysOn_Facebook-DPA_facebook_social_ao_ros_cpm_na_pagepost_DPA-Jetta-Add-to-Cart_na</t>
  </si>
  <si>
    <t>137583126</t>
  </si>
  <si>
    <t>309929515</t>
  </si>
  <si>
    <t>alp_AlwaysOn_Facebook-DPA_facebook_social_ao_ros_cpm_na_pagepost_DPA-Jetta-View-Content_na</t>
  </si>
  <si>
    <t>137193375</t>
  </si>
  <si>
    <t>309577095</t>
  </si>
  <si>
    <t>always-on-dpa_facebook_newsfeed_dpa-1x1_fox_add-to-cart_por</t>
  </si>
  <si>
    <t>138416199</t>
  </si>
  <si>
    <t>310737715</t>
  </si>
  <si>
    <t>always-on-dpa_facebook_newsfeed_dpa-1x1_fox_view-content_por</t>
  </si>
  <si>
    <t>138420209</t>
  </si>
  <si>
    <t>310735899</t>
  </si>
  <si>
    <t>always-on-dpa_facebook_newsfeed_dpa-1x1_up-tsi_view-content_por</t>
  </si>
  <si>
    <t>139556862</t>
  </si>
  <si>
    <t>311808439</t>
  </si>
  <si>
    <t>alp_AlwaysOn_Yahoo-Native_yahoo_network_always-on_ros_cpc_N/A_nativeads_gol_N/A</t>
  </si>
  <si>
    <t>131662158</t>
  </si>
  <si>
    <t>304325047</t>
  </si>
  <si>
    <t>alp_AlwaysOn_Yahoo-Native_yahoo_network_always-on_ros_cpc_N/A_nativeads_voyage_N/A</t>
  </si>
  <si>
    <t>135140813</t>
  </si>
  <si>
    <t>307672365</t>
  </si>
  <si>
    <t>alp_AlwaysOn_Yahoo-Native_yahoo_network_always-on_ros_cpc_remarketing_nativeads_golf_N/A</t>
  </si>
  <si>
    <t>149160886</t>
  </si>
  <si>
    <t>320175820</t>
  </si>
  <si>
    <t>alp_Amarok-Extreme_uol_horizontal_lancamento_ROS_cpm_prospecting_300x250_Amarok-Extreme_Vw-lights</t>
  </si>
  <si>
    <t>226534280</t>
  </si>
  <si>
    <t>424686755</t>
  </si>
  <si>
    <t>alp_Amarok-Extreme_uol_horizontal_lancamento_ROS_cpm_prospecting_970x90_Amarok-Extreme_Vw-lights</t>
  </si>
  <si>
    <t>226534268</t>
  </si>
  <si>
    <t>424686743</t>
  </si>
  <si>
    <t>Globo.com</t>
  </si>
  <si>
    <t>alp_Amarok-Extreme_ge_horizontal_lancamento_home_cpm_prospecting_300x250_Amarok-Extreme_Vw-lights</t>
  </si>
  <si>
    <t>226529912</t>
  </si>
  <si>
    <t>424654203</t>
  </si>
  <si>
    <t>alp_Amarok-Territorio</t>
  </si>
  <si>
    <t>4x4 Brasil</t>
  </si>
  <si>
    <t>territorio-amarok-_4x4-brasil_usuario_mensagem-privada-(500x700-estatica-com-link)-1x1_setembro_por_compra-direta</t>
  </si>
  <si>
    <t>204879460</t>
  </si>
  <si>
    <t>404723316</t>
  </si>
  <si>
    <t>alp_Amarok-Varejo-Fevereiro-2019_olx_horizontal_hardsell_olx_cpm_prospecting_300x250_Amarok-Varejo-Fevereiro-Privado_open</t>
  </si>
  <si>
    <t>239833539</t>
  </si>
  <si>
    <t>436700816</t>
  </si>
  <si>
    <t>alp_Amarok-Varejo-Fevereiro-2019_olx_horizontal_hardsell_olx_cpm_prospecting_300x600_Amarok-Varejo-Fevereiro-Corporativo-Urbano_open</t>
  </si>
  <si>
    <t>239833527</t>
  </si>
  <si>
    <t>436700804</t>
  </si>
  <si>
    <t>alp_Amarok-Varejo-Fevereiro-2019_facebook_Social_hardsell_facebook_cpm_prospecting_pagepost_Amarok-Varejo-Fevereiro-Corporativo-Campo_open</t>
  </si>
  <si>
    <t>239833644</t>
  </si>
  <si>
    <t>436700921</t>
  </si>
  <si>
    <t>alp_Amarok-Varejo-Fevereiro-2019_dbm-terra_horizontal_hardsell_terra_cpm_prospecting_1260X400_Amarok-Varejo-Fevereiro-Privado_open</t>
  </si>
  <si>
    <t>239741459</t>
  </si>
  <si>
    <t>436898639</t>
  </si>
  <si>
    <t>alp_Amarok-Varejo-Fevereiro-2019_dbm-terra_horizontal_hardsell_terra_cpm_prospecting_970x250_Amarok-Varejo-Fevereiro-Corporativo-Urbano_open</t>
  </si>
  <si>
    <t>239838018</t>
  </si>
  <si>
    <t>436784185</t>
  </si>
  <si>
    <t>alp_Amarok-Varejo-Fevereiro-2019_google-auction-dbm_horizontal_hardsell_google-dbm_cpm_prospecting_300x250_Amarok-Varejo-Fevereiro-Corporativo-Campo_open</t>
  </si>
  <si>
    <t>239509172</t>
  </si>
  <si>
    <t>436774261</t>
  </si>
  <si>
    <t>alp_Amarok-Varejo-Fevereiro-2019_google-auction-dbm_horizontal_hardsell_google-dbm_cpm_prospecting_300x250_Amarok-Varejo-Fevereiro-Corporativo-Urbano_open</t>
  </si>
  <si>
    <t>239553547</t>
  </si>
  <si>
    <t>436736692</t>
  </si>
  <si>
    <t>alp_Amarok-Varejo-Fevereiro-2019_google-auction-dbm_horizontal_hardsell_google-dbm_cpm_prospecting_300x250_Amarok-Varejo-Fevereiro-Privado_open</t>
  </si>
  <si>
    <t>239557349</t>
  </si>
  <si>
    <t>436690674</t>
  </si>
  <si>
    <t>alp_Amarok-Varejo-Fevereiro-2019_google-auction-dbm_horizontal_hardsell_google-dbm_cpm_prospecting_300x600_Amarok-Varejo-Fevereiro-Corporativo-Campo_open</t>
  </si>
  <si>
    <t>239509169</t>
  </si>
  <si>
    <t>436774258</t>
  </si>
  <si>
    <t>alp_Amarok-Varejo-Fevereiro-2019_google-auction-dbm_horizontal_hardsell_google-dbm_cpm_prospecting_300x600_Amarok-Varejo-Fevereiro-Corporativo-Urbano_open</t>
  </si>
  <si>
    <t>239553544</t>
  </si>
  <si>
    <t>436736689</t>
  </si>
  <si>
    <t>alp_Amarok-Varejo-Fevereiro-2019_google-auction-dbm_horizontal_hardsell_google-dbm_cpm_prospecting_300x600_Amarok-Varejo-Fevereiro-Privado_open</t>
  </si>
  <si>
    <t>239557346</t>
  </si>
  <si>
    <t>436690671</t>
  </si>
  <si>
    <t>alp_Amarok-Varejo-Fevereiro-2019_google-auction-dbm_horizontal_hardsell_google-dbm_cpm_prospecting_320x50_Amarok-Varejo-Fevereiro-Corporativo-Urbano_open</t>
  </si>
  <si>
    <t>239553541</t>
  </si>
  <si>
    <t>436736686</t>
  </si>
  <si>
    <t>alp_Amarok-Varejo-Fevereiro-2019_google-auction-dbm_horizontal_hardsell_google-dbm_cpm_prospecting_320x50_Amarok-Varejo-Fevereiro-Privado_open</t>
  </si>
  <si>
    <t>239867151</t>
  </si>
  <si>
    <t>436690668</t>
  </si>
  <si>
    <t>alp_Amarok-Varejo-Fevereiro-2019_inloco_horizontal_hardsell_inloco_cpm_prospecting_1200x627_Amarok-Varejo-Fevereiro-Corporativo-Campo_open</t>
  </si>
  <si>
    <t>239833560</t>
  </si>
  <si>
    <t>436700837</t>
  </si>
  <si>
    <t>alp_Amarok-Varejo-Fevereiro-2019_inloco_horizontal_hardsell_inloco_cpm_prospecting_1200x627_Amarok-Varejo-Fevereiro-Corporativo-Urbano_open</t>
  </si>
  <si>
    <t>239833578</t>
  </si>
  <si>
    <t>436700855</t>
  </si>
  <si>
    <t>alp_Amarok-Varejo-Fevereiro-2019_inloco_horizontal_hardsell_inloco_cpm_prospecting_1440x960_Amarok-Varejo-Fevereiro-Corporativo-Campo_open</t>
  </si>
  <si>
    <t>239833569</t>
  </si>
  <si>
    <t>436700846</t>
  </si>
  <si>
    <t>alp_Amarok-Varejo-Fevereiro-2019_inloco_horizontal_hardsell_inloco_cpm_prospecting_1440x960_Amarok-Varejo-Fevereiro-Corporativo-Urbano_open</t>
  </si>
  <si>
    <t>239833587</t>
  </si>
  <si>
    <t>436700864</t>
  </si>
  <si>
    <t>alp_Amarok-Varejo-Fevereiro-2019_inloco_horizontal_hardsell_inloco_cpm_prospecting_1440x960_Amarok-Varejo-Fevereiro-Privado_open</t>
  </si>
  <si>
    <t>239833605</t>
  </si>
  <si>
    <t>436700882</t>
  </si>
  <si>
    <t>alp_Amarok-Varejo-Fevereiro-2019_inloco_horizontal_hardsell_inloco_cpm_prospecting_900x750_Amarok-Varejo-Fevereiro-Corporativo-Campo_open</t>
  </si>
  <si>
    <t>239833566</t>
  </si>
  <si>
    <t>436700843</t>
  </si>
  <si>
    <t>alp_Amarok-Varejo-Fevereiro-2019_inloco_horizontal_hardsell_inloco_cpm_prospecting_900x750_Amarok-Varejo-Fevereiro-Corporativo-Urbano_open</t>
  </si>
  <si>
    <t>239833584</t>
  </si>
  <si>
    <t>436700861</t>
  </si>
  <si>
    <t>alp_Amarok-Varejo-Fevereiro-2019_inloco_horizontal_hardsell_inloco_cpm_prospecting_900x750_Amarok-Varejo-Fevereiro-Privado_open</t>
  </si>
  <si>
    <t>239833602</t>
  </si>
  <si>
    <t>436700879</t>
  </si>
  <si>
    <t>alp_Amarok-Varejo-Fevereiro-2019_inloco_horizontal_hardsell_inloco_cpm_prospecting_960x1440_Amarok-Varejo-Fevereiro-Corporativo-Campo_open</t>
  </si>
  <si>
    <t>239833572</t>
  </si>
  <si>
    <t>436700849</t>
  </si>
  <si>
    <t>alp_Amarok-Varejo-Fevereiro-2019_inloco_horizontal_hardsell_inloco_cpm_prospecting_960x1440_Amarok-Varejo-Fevereiro-Corporativo-Urbano_open</t>
  </si>
  <si>
    <t>239833590</t>
  </si>
  <si>
    <t>436700867</t>
  </si>
  <si>
    <t>alp_Amarok-Varejo-Fevereiro-2019_inloco_horizontal_hardsell_inloco_cpm_prospecting_960x1440_Amarok-Varejo-Fevereiro-Privado_open</t>
  </si>
  <si>
    <t>239833608</t>
  </si>
  <si>
    <t>436700885</t>
  </si>
  <si>
    <t>alp_Amarok-Varejo-Fevereiro-2019_inloco_horizontal_hardsell_inloco_cpm_prospecting_960x150_Amarok-Varejo-Fevereiro-Corporativo-Campo_open</t>
  </si>
  <si>
    <t>239833575</t>
  </si>
  <si>
    <t>436700852</t>
  </si>
  <si>
    <t>alp_Amarok-Varejo-Fevereiro-2019_inloco_horizontal_hardsell_inloco_cpm_prospecting_960x150_Amarok-Varejo-Fevereiro-Privado_open</t>
  </si>
  <si>
    <t>239833611</t>
  </si>
  <si>
    <t>436700888</t>
  </si>
  <si>
    <t>alp_Amarok-Varejo-Fevereiro-2019_OATH_horizontal_hardsell_DSP_cpm_prospecting_160x600_Amarok-Varejo-Fevereiro-Corporativo-Campo_open</t>
  </si>
  <si>
    <t>240058397</t>
  </si>
  <si>
    <t>437290033</t>
  </si>
  <si>
    <t>alp_Amarok-Varejo-Fevereiro-2019_OATH_horizontal_hardsell_DSP_cpm_prospecting_160x600_Amarok-Varejo-Fevereiro-Corporativo-Urbano_open</t>
  </si>
  <si>
    <t>240066566</t>
  </si>
  <si>
    <t>437202229</t>
  </si>
  <si>
    <t>alp_Amarok-Varejo-Fevereiro-2019_OATH_horizontal_hardsell_DSP_cpm_prospecting_300x250_Amarok-Varejo-Fevereiro-Corporativo-Campo_open</t>
  </si>
  <si>
    <t>240058388</t>
  </si>
  <si>
    <t>437291398</t>
  </si>
  <si>
    <t>alp_Amarok-Varejo-Fevereiro-2019_OATH_horizontal_hardsell_DSP_cpm_prospecting_300x600_Amarok-Varejo-Fevereiro-Corporativo-Campo_open</t>
  </si>
  <si>
    <t>240058394</t>
  </si>
  <si>
    <t>437230706</t>
  </si>
  <si>
    <t>alp_Amarok-Varejo-Fevereiro-2019_OATH_horizontal_hardsell_DSP_cpm_prospecting_300x600_Amarok-Varejo-Fevereiro-Corporativo-Urbano_open</t>
  </si>
  <si>
    <t>240058433</t>
  </si>
  <si>
    <t>437289949</t>
  </si>
  <si>
    <t>alp_Amarok-Varejo-Fevereiro-2019_OATH_horizontal_hardsell_DSP_cpm_prospecting_320x50_Amarok-Varejo-Fevereiro-Corporativo-Campo_open</t>
  </si>
  <si>
    <t>240058385</t>
  </si>
  <si>
    <t>437185635</t>
  </si>
  <si>
    <t>alp_Amarok-Varejo-Fevereiro-2019_OATH_horizontal_hardsell_DSP_cpm_prospecting_320x50_Amarok-Varejo-Fevereiro-Corporativo-Urbano_open</t>
  </si>
  <si>
    <t>240058415</t>
  </si>
  <si>
    <t>437289964</t>
  </si>
  <si>
    <t>alp_Amarok-Varejo-Fevereiro-2019_OATH_horizontal_hardsell_DSP_cpm_prospecting_728x90_Amarok-Varejo-Fevereiro-Corporativo-Campo_open</t>
  </si>
  <si>
    <t>240058382</t>
  </si>
  <si>
    <t>437291443</t>
  </si>
  <si>
    <t>alp_Amarok-Varejo-Fevereiro-2019_OATH_horizontal_hardsell_DSP_cpm_prospecting_728x90_Amarok-Varejo-Fevereiro-Corporativo-Urbano_open</t>
  </si>
  <si>
    <t>240058409</t>
  </si>
  <si>
    <t>437289757</t>
  </si>
  <si>
    <t>alp_Amarok-Varejo-Fevereiro-2019_OATH_horizontal_hardsell_DSP_cpm_prospecting_970x250_Amarok-Varejo-Fevereiro-Corporativo-Campo_open</t>
  </si>
  <si>
    <t>240058391</t>
  </si>
  <si>
    <t>437290084</t>
  </si>
  <si>
    <t>alp_Amarok-Varejo-Fevereiro-2019_OATH_horizontal_hardsell_DSP_cpm_prospecting_970x250_Amarok-Varejo-Fevereiro-Corporativo-Urbano_open</t>
  </si>
  <si>
    <t>240058427</t>
  </si>
  <si>
    <t>437289706</t>
  </si>
  <si>
    <t>alp_Amarok-Varejo-Fevereiro-2019_linkedin_horizontal_hardsell_linkedin_cpm_prospecting_1080x1080_Amarok-Varejo-Fevereiro-Corporativo-Urbano_open</t>
  </si>
  <si>
    <t>240532992</t>
  </si>
  <si>
    <t>437363407</t>
  </si>
  <si>
    <t>alp_Amarok-Varejo-Fevereiro-2019_linkedin_horizontal_hardsell_linkedin_cpm_prospecting_1200x672_Amarok-Varejo-Fevereiro-Corporativo-Urbano_open</t>
  </si>
  <si>
    <t>240532995</t>
  </si>
  <si>
    <t>437363410</t>
  </si>
  <si>
    <t>alp_Amarok-Varejo-Fevereiro-2019_instagram_Social_hardsell_instagram_cpm_prospecting_pagepost_Amarok-Varejo-Fevereiro-Privado-video_open</t>
  </si>
  <si>
    <t>239833617</t>
  </si>
  <si>
    <t>436700894</t>
  </si>
  <si>
    <t>alp_Amarok-Varejo-Fevereiro-2019_instagram_Social_hardsell_instagram_cpm_prospecting_pagepost_Amarok-Varejo-Fevereiro-Privado_open</t>
  </si>
  <si>
    <t>239833614</t>
  </si>
  <si>
    <t>436700891</t>
  </si>
  <si>
    <t>alp_Amarok-Varejo-Fevereiro-2019_instagram_Social_hardsell_instagram_cpm_prospecting_stories_Amarok-Varejo-Fevereiro-Corporativo-Urbano-estatico_open</t>
  </si>
  <si>
    <t>239833662</t>
  </si>
  <si>
    <t>436663053</t>
  </si>
  <si>
    <t>alp_Amarok-Varejo-Fevereiro-2019_instagram_Social_hardsell_instagram_cpm_prospecting_stories_Amarok-Varejo-Fevereiro-Privado-video_open</t>
  </si>
  <si>
    <t>239833692</t>
  </si>
  <si>
    <t>436663083</t>
  </si>
  <si>
    <t>alp_Amarok-Varejo-Fevereiro-2019_teads_horizontal_hardsell_teads_visitas_prospecting_carrossel-landscape-_Amarok-Varejo-Fevereiro-Corporativo-Urbano-1_open</t>
  </si>
  <si>
    <t>239601997</t>
  </si>
  <si>
    <t>436700768</t>
  </si>
  <si>
    <t>alp_Amarok-Varejo-Fevereiro-2019_teads_horizontal_hardsell_teads_visitas_prospecting_carrossel-landscape-_Amarok-Varejo-Fevereiro-Privado-1_open</t>
  </si>
  <si>
    <t>239836723</t>
  </si>
  <si>
    <t>436858851</t>
  </si>
  <si>
    <t>alp_Amarok-Varejo-Fevereiro-2019_teads_horizontal_hardsell_teads_visitas_prospecting_carrossel-landscape-_Amarok-Varejo-Fevereiro-Privado-2_open</t>
  </si>
  <si>
    <t>239836717</t>
  </si>
  <si>
    <t>436858845</t>
  </si>
  <si>
    <t>alp_Amarok-Varejo-Fevereiro-2019_teads_horizontal_hardsell_teads_visitas_prospecting_scroller-landscape-_Amarok-Varejo-Fevereiro-Corporativo-Urbano-3_open</t>
  </si>
  <si>
    <t>239601988</t>
  </si>
  <si>
    <t>436700759</t>
  </si>
  <si>
    <t>alp_Amarok-Varejo-Fevereiro-2019_teads_horizontal_hardsell_teads_visitas_prospecting_scroller-landscape-_Amarok-Varejo-Fevereiro-Privado-2_open</t>
  </si>
  <si>
    <t>239836720</t>
  </si>
  <si>
    <t>436858848</t>
  </si>
  <si>
    <t>alp_Amarok-Varejo-Fevereiro-2019_teads_horizontal_hardsell_teads_visitas_prospecting_scroller-landscape-_Amarok-Varejo-Fevereiro-Privado-3_open</t>
  </si>
  <si>
    <t>239836714</t>
  </si>
  <si>
    <t>436858842</t>
  </si>
  <si>
    <t>alp_Amarok-Varejo-Janeiro-2019_olx_horizontal_hardsell_olx_cpm_prospecting_1080x1080_Amarok-Varejo-Janeiro-Corporativo-18_open</t>
  </si>
  <si>
    <t>238387478</t>
  </si>
  <si>
    <t>435641363</t>
  </si>
  <si>
    <t>alp_Amarok-Varejo-Janeiro-2019_olx_horizontal_hardsell_olx_cpm_prospecting_1200x672_Amarok-Varejo-Janeiro-Corporativo-18_open</t>
  </si>
  <si>
    <t>238464799</t>
  </si>
  <si>
    <t>435641285</t>
  </si>
  <si>
    <t>alp_Amarok-Varejo-Janeiro-2019_olx_horizontal_hardsell_olx_cpm_prospecting_300x600_Amarok-Varejo-Janeiro-Corporativo-18_open</t>
  </si>
  <si>
    <t>238387757</t>
  </si>
  <si>
    <t>435642251</t>
  </si>
  <si>
    <t>alp_Amarok-Varejo-Janeiro-2019_olx_horizontal_hardsell_olx_cpm_prospecting_300x600_Amarok-Varejo-Janeiro-Privado_open</t>
  </si>
  <si>
    <t>238227806</t>
  </si>
  <si>
    <t>435480308</t>
  </si>
  <si>
    <t>alp_Amarok-Varejo-Janeiro-2019_OATH_horizontal_hardsell_DSP_cpm_prospecting_320x50_Amarok-Varejo-Janeiro-Privado_open-tag</t>
  </si>
  <si>
    <t>238773001</t>
  </si>
  <si>
    <t>alp_Amarok-Varejo-Janeiro-2019_OATH_horizontal_hardsell_DSP_cpm_prospecting_320x50_Amarok-Varejo-Janeiro-Privado_open</t>
  </si>
  <si>
    <t>435942894</t>
  </si>
  <si>
    <t>alp_Amarok-Varejo-Janeiro-2019_OATH_horizontal_hardsell_Outlook_cpm_prospecting_160x600_Amarok-Varejo-Janeiro-Corporativo-18_open</t>
  </si>
  <si>
    <t>238594040</t>
  </si>
  <si>
    <t>435972451</t>
  </si>
  <si>
    <t>alp_Amarok-Varejo-Janeiro-2019_teads_horizontal_hardsell_teads_visitas_prospecting_scroller-landscape-_Amarok-Varejo-Janeiro-Corporativo-18-1_open</t>
  </si>
  <si>
    <t>238222895</t>
  </si>
  <si>
    <t>435571918</t>
  </si>
  <si>
    <t>alp_Amarok-Varejo-Janeiro-2019_teads_horizontal_hardsell_teads_visitas_prospecting_scroller-landscape-_Amarok-Varejo-Janeiro-Privado-1_open</t>
  </si>
  <si>
    <t>238222865</t>
  </si>
  <si>
    <t>435571888</t>
  </si>
  <si>
    <t>alp_PosVendas2018_facebook_social_pos_vendas_newsfeed_cpm_prospecting_pagepost_Promo-R1_AMC-open</t>
  </si>
  <si>
    <t>234202617</t>
  </si>
  <si>
    <t>431706397</t>
  </si>
  <si>
    <t>alp_PosVendas2018_facebook_social_pos_vendas_newsfeed_cpm_prospecting_pagepost_Promo-R3_AMC-open</t>
  </si>
  <si>
    <t>234202434</t>
  </si>
  <si>
    <t>431590889</t>
  </si>
  <si>
    <t>alp_PosVendas2018_facebook_social_pos_vendas_newsfeed_cpm_prospecting_pagepost_Promo-R6_AMC-open</t>
  </si>
  <si>
    <t>234197754</t>
  </si>
  <si>
    <t>431699134</t>
  </si>
  <si>
    <t>alp_PosVendas2018_Mercado-livre_network_pos_vendas_prospeccao_cpm_prospecting_300x250_Black-Friday_AMC-open</t>
  </si>
  <si>
    <t>234202530</t>
  </si>
  <si>
    <t>431590985</t>
  </si>
  <si>
    <t>alp_PosVendas2019_facebook_social_pos-vendas_newsfeed_cpm_prospecting_600x600_carrossel-NET-1_AMC-open</t>
  </si>
  <si>
    <t>238720944</t>
  </si>
  <si>
    <t>435654987</t>
  </si>
  <si>
    <t>alp_PosVendas2019_facebook_social_pos-vendas_newsfeed_cpm_prospecting_600x600_pos-vendas-fevereiro-regional-1_AMC-open</t>
  </si>
  <si>
    <t>241195751</t>
  </si>
  <si>
    <t>438188581</t>
  </si>
  <si>
    <t>alp_PosVendas2019_facebook_social_pos-vendas_newsfeed_cpm_prospecting_600x600_pos-vendas-fevereiro-regional-5_AMC-open</t>
  </si>
  <si>
    <t>241195739</t>
  </si>
  <si>
    <t>438188569</t>
  </si>
  <si>
    <t>alp_Premios_facebook_social_premios_newsfeed_cpm_prospecting_carrossel_step4_premios_vw_AMC-open</t>
  </si>
  <si>
    <t>226364333</t>
  </si>
  <si>
    <t>424618078</t>
  </si>
  <si>
    <t>alp_ShowRoomTraffic_inloco_app_trafego_app_cpm_traffic_960x1440_oferta99-agosto_Proximity-VW</t>
  </si>
  <si>
    <t>227021797</t>
  </si>
  <si>
    <t>425073159</t>
  </si>
  <si>
    <t>alp_showroom-traffic_inloco_app_trafego_app_cpm_traffic_960x1440_Showroom-Traffic-Polo_Proximity-VW</t>
  </si>
  <si>
    <t>215576099</t>
  </si>
  <si>
    <t>414568167</t>
  </si>
  <si>
    <t>alp_showroom-traffic_inloco_app_trafego_app_cpm_traffic_960x1440_Showroom-Traffic-Polo_Proximity-competitors</t>
  </si>
  <si>
    <t>215576108</t>
  </si>
  <si>
    <t>414568176</t>
  </si>
  <si>
    <t>alp_tiguan_uol_network_lancamento_prospeccao_cpm_prospecting_cutting_edge_lancamento-tiguan_tiguan-AMC</t>
  </si>
  <si>
    <t>225848978</t>
  </si>
  <si>
    <t>424035797</t>
  </si>
  <si>
    <t>alp_tiguan_facebook_social_lancamento_newsfeed_cpm_prospecting_dark_post_lancamento-tiguan-28-08_tiguan-AMC</t>
  </si>
  <si>
    <t>227906164</t>
  </si>
  <si>
    <t>426003008</t>
  </si>
  <si>
    <t>alp_tiguan_facebook_social_lancamento_newsfeed_cpm_prospecting_pagepost_lancamento-tiguan1408_tiguan-AMC</t>
  </si>
  <si>
    <t>227005247</t>
  </si>
  <si>
    <t>425304154</t>
  </si>
  <si>
    <t>alp_tiguan_facebook_social_lancamento_newsfeed_cpm_prospecting_pagepost_lancamento-tiguan3107_tiguan-AMC</t>
  </si>
  <si>
    <t>226234331</t>
  </si>
  <si>
    <t>424401212</t>
  </si>
  <si>
    <t>alp_tiguan_youtube-dbm_social_lancamento_trueview_cpm_prospecting_video_lancamento-tiguan-video30_tiguan-AMC</t>
  </si>
  <si>
    <t>226032213</t>
  </si>
  <si>
    <t>423938912</t>
  </si>
  <si>
    <t>alp_tiguan_youtube-dbm_social_lancamento_trueview_cpm_prospecting_video_lancamento-tiguan-video60_tiguan-AMC</t>
  </si>
  <si>
    <t>226032210</t>
  </si>
  <si>
    <t>423938909</t>
  </si>
  <si>
    <t>alp_Varejo-Nacional-Fevereiro-2-2019_olx_horizontal_hardsell_olx_cpm_prospecting_1200x672_Varejo-Nacional-Fevereiro-2_open</t>
  </si>
  <si>
    <t>240461880</t>
  </si>
  <si>
    <t>437251931</t>
  </si>
  <si>
    <t>alp_Varejo-Nacional-Fevereiro-2-2019_facebook_Social_hardsell_facebook_cpm_prospecting_pagepost_Varejo-Nacional-Fevereiro-Jetta_open</t>
  </si>
  <si>
    <t>240359034</t>
  </si>
  <si>
    <t>437143268</t>
  </si>
  <si>
    <t>alp_Varejo-Nacional-Fevereiro-2-2019_dbm-uol_horizontal_hardsell_uol_cpm_prospecting_300x450_Varejo-Nacional-Fevereiro-2_open</t>
  </si>
  <si>
    <t>240428821</t>
  </si>
  <si>
    <t>437406740</t>
  </si>
  <si>
    <t>alp_Varejo-Nacional-Fevereiro-2-2019_inloco_horizontal_hardsell_inloco_cpm_prospecting_1200x627_Varejo-Nacional-Fevereiro-2-neutro_open</t>
  </si>
  <si>
    <t>240235519</t>
  </si>
  <si>
    <t>437248001</t>
  </si>
  <si>
    <t>alp_Varejo-Nacional-Fevereiro-2-2019_inloco_horizontal_hardsell_inloco_cpm_prospecting_1440x960_Varejo-Nacional-Fevereiro-2-concorrentes_open</t>
  </si>
  <si>
    <t>240235546</t>
  </si>
  <si>
    <t>437248028</t>
  </si>
  <si>
    <t>alp_Varejo-Nacional-Fevereiro-2-2019_inloco_horizontal_hardsell_inloco_cpm_prospecting_1440x960_Varejo-Nacional-Fevereiro-2-lojasproprias_open</t>
  </si>
  <si>
    <t>240235510</t>
  </si>
  <si>
    <t>437247992</t>
  </si>
  <si>
    <t>alp_Varejo-Nacional-Fevereiro-2-2019_inloco_horizontal_hardsell_inloco_cpm_prospecting_960x150_Varejo-Nacional-Fevereiro-2-concorrentes_open</t>
  </si>
  <si>
    <t>240235558</t>
  </si>
  <si>
    <t>437248040</t>
  </si>
  <si>
    <t>alp_Varejo-Nacional-Fevereiro-2-2019_inloco_horizontal_hardsell_inloco_cpm_prospecting_960x150_Varejo-Nacional-Fevereiro-2-neutro_open</t>
  </si>
  <si>
    <t>240235534</t>
  </si>
  <si>
    <t>437248016</t>
  </si>
  <si>
    <t>alp_Varejo-Nacional-Fevereiro-2-2019_teads_horizontal_hardsell_teads_visitas_prospecting_carrossel-landscape-_Varejo-Nacional-Carousel-1_open</t>
  </si>
  <si>
    <t>240515434</t>
  </si>
  <si>
    <t>437438265</t>
  </si>
  <si>
    <t>alp_Varejo-Nacional-Fevereiro-2-2019_teads_horizontal_hardsell_teads_visitas_prospecting_carrossel-landscape-_Varejo-Nacional-Carousel-2_open</t>
  </si>
  <si>
    <t>240515428</t>
  </si>
  <si>
    <t>437438259</t>
  </si>
  <si>
    <t>alp_Varejo-Nacional-Fevereiro-2-2019_teads_horizontal_hardsell_teads_visitas_prospecting_carrossel-landscape-_Varejo-Nacional-Carousel-3_open</t>
  </si>
  <si>
    <t>240515422</t>
  </si>
  <si>
    <t>437438253</t>
  </si>
  <si>
    <t>alp_Varejo-Nacional-Fevereiro-2-2019_teads_horizontal_hardsell_teads_visitas_prospecting_scroller-landscape-_Varejo-Nacional-Scroller-2_open</t>
  </si>
  <si>
    <t>240515431</t>
  </si>
  <si>
    <t>437438262</t>
  </si>
  <si>
    <t>alp_Varejo-Nacional-Fevereiro-2-2019_teads_horizontal_hardsell_teads_visitas_prospecting_scroller-landscape-_Varejo-Nacional-Scroller-3_open</t>
  </si>
  <si>
    <t>240515425</t>
  </si>
  <si>
    <t>437438256</t>
  </si>
  <si>
    <t>alp_Varejo-Nacional-Fevereiro-2019</t>
  </si>
  <si>
    <t>alp_Varejo-Nacional-Fevereiro-2019_olx_horizontal_hardsell_olx_cpm_prospecting_1080x1080_Varejo-Nacional-Fevereiro-lojasproprias-anonovo_open</t>
  </si>
  <si>
    <t>240225960</t>
  </si>
  <si>
    <t>437038394</t>
  </si>
  <si>
    <t>alp_Varejo-Nacional-Fevereiro-2019_inloco_horizontal_hardsell_inloco_cpm_prospecting_900x750_Varejo-Nacional-Fevereiro-concorrentes-anonovo_open</t>
  </si>
  <si>
    <t>240226005</t>
  </si>
  <si>
    <t>437038439</t>
  </si>
  <si>
    <t>alp_Varejo-Nacional-Fevereiro-2019_inloco_horizontal_hardsell_inloco_cpm_prospecting_900x750_Varejo-Nacional-Fevereiro-lojasproprias-anonovo_open</t>
  </si>
  <si>
    <t>240225969</t>
  </si>
  <si>
    <t>437038403</t>
  </si>
  <si>
    <t>alp_Varejo-Nacional-Fevereiro-2019_inloco_horizontal_hardsell_inloco_cpm_prospecting_900x750_Varejo-Nacional-Fevereiro-neutro-anonovo_open</t>
  </si>
  <si>
    <t>240225987</t>
  </si>
  <si>
    <t>437038421</t>
  </si>
  <si>
    <t>alp_Varejo-Nacional-Fevereiro-2019_inloco_horizontal_hardsell_inloco_cpm_prospecting_960x1440_Varejo-Nacional-Fevereiro-concorrentes-anonovo_open</t>
  </si>
  <si>
    <t>240226011</t>
  </si>
  <si>
    <t>437038445</t>
  </si>
  <si>
    <t>alp_Varejo-Nacional-Fevereiro-2019_inloco_horizontal_hardsell_inloco_cpm_prospecting_960x1440_Varejo-Nacional-Fevereiro-lojasproprias-anonovo_open</t>
  </si>
  <si>
    <t>240225975</t>
  </si>
  <si>
    <t>437038409</t>
  </si>
  <si>
    <t>alp_Varejo-Nacional-Fevereiro-2019_inloco_horizontal_hardsell_inloco_cpm_prospecting_960x1440_Varejo-Nacional-Fevereiro-neutro-anonovo_open</t>
  </si>
  <si>
    <t>240225993</t>
  </si>
  <si>
    <t>437038427</t>
  </si>
  <si>
    <t>alp_Varejo-Nacional-janeiro-2019_inloco_horizontal_hardsell_inloco_cpm_prospecting_1200x627_Varejo-Nacional-janeiro-lojasproprias_open</t>
  </si>
  <si>
    <t>237925411</t>
  </si>
  <si>
    <t>435153899</t>
  </si>
  <si>
    <t>alp_Varejo-Nacional-janeiro-2019_inloco_horizontal_hardsell_inloco_cpm_prospecting_432x432_Varejo-Nacional-janeiro-neutro_open</t>
  </si>
  <si>
    <t>237925384</t>
  </si>
  <si>
    <t>435251812</t>
  </si>
  <si>
    <t>alp_Varejo-Nacional-janeiro-2019_inloco_horizontal_hardsell_inloco_cpm_prospecting_900x750_Varejo-Nacional-janeiro-neutro_open</t>
  </si>
  <si>
    <t>237925387</t>
  </si>
  <si>
    <t>435251815</t>
  </si>
  <si>
    <t>alp_Varejo-Nacional-janeiro-2019_teads_horizontal_hardsell_teads_visitas_prospecting_scroller-landscape-_Varejo-Nacional-Scroller-1_open</t>
  </si>
  <si>
    <t>238961830</t>
  </si>
  <si>
    <t>436123148</t>
  </si>
  <si>
    <t>alp_Varejo-Nacional-janeiro-2019_teads_horizontal_hardsell_teads_visitas_prospecting_scroller-landscape-_Varejo-Nacional-Scroller-3_open</t>
  </si>
  <si>
    <t>239191575</t>
  </si>
  <si>
    <t>436216330</t>
  </si>
  <si>
    <t>alp_Varejo-Nacional-janeiro-2019_instagram_Social_hardsell_instagram_cpm_prospecting_pagepost_Varejo-Nacional-janeiro_open</t>
  </si>
  <si>
    <t>238229769</t>
  </si>
  <si>
    <t>435152621</t>
  </si>
  <si>
    <t>Autopapo</t>
  </si>
  <si>
    <t>alp_jetta_autopapo_network_lancamento_prospeccao_cpm_prospecting_300x600_AMC-Jetta_jetta</t>
  </si>
  <si>
    <t>234629313</t>
  </si>
  <si>
    <t>432020714</t>
  </si>
  <si>
    <t>alp_jetta_autopapo_network_lancamento_prospeccao_cpm_prospecting_320x100_AMC-Jetta-design_jetta</t>
  </si>
  <si>
    <t>235467777</t>
  </si>
  <si>
    <t>432885483</t>
  </si>
  <si>
    <t>alp_jetta_gsp_network_lancamento_prospeccao_cpm_prospecting_1200x1200_AMC-Jetta_jetta</t>
  </si>
  <si>
    <t>234645751</t>
  </si>
  <si>
    <t>432431857</t>
  </si>
  <si>
    <t>alp_jetta_gsp_network_lancamento_prospeccao_cpm_prospecting_1200x628_AMC-Jetta_jetta</t>
  </si>
  <si>
    <t>234594605</t>
  </si>
  <si>
    <t>432351930</t>
  </si>
  <si>
    <t>alp_jetta_oath_network_lancamento_prospeccao_cpm_prospecting_627x627_AMC-Jetta_interesse-tecnologia</t>
  </si>
  <si>
    <t>231895967</t>
  </si>
  <si>
    <t>429694788</t>
  </si>
  <si>
    <t>alp_jetta_linkedin_network_lancamento_prospeccao_cpm_prospecting_leadad_AMC-Jetta_jetta</t>
  </si>
  <si>
    <t>232915675</t>
  </si>
  <si>
    <t>430635163</t>
  </si>
  <si>
    <t>alp_jetta_outlook_network_lancamento_prospeccao_cpm_prospecting_160x600_AMC-Jetta_interesse-negocios</t>
  </si>
  <si>
    <t>231895925</t>
  </si>
  <si>
    <t>429694746</t>
  </si>
  <si>
    <t>231895943</t>
  </si>
  <si>
    <t>429694764</t>
  </si>
  <si>
    <t>alp_jetta_outlook_network_lancamento_prospeccao_cpm_prospecting_300x600_AMC-Jetta_interesse-negocios</t>
  </si>
  <si>
    <t>231895928</t>
  </si>
  <si>
    <t>429694749</t>
  </si>
  <si>
    <t>alp_jetta_teads_network_lancamento_prospeccao_cpm_prospecting_405x405_AMC-Jetta_interesse-autos</t>
  </si>
  <si>
    <t>231895895</t>
  </si>
  <si>
    <t>429694716</t>
  </si>
  <si>
    <t>alp_jetta_teads_network_lancamento_prospeccao_cpm_prospecting_405x405_AMC-Jetta_interesse-negocios</t>
  </si>
  <si>
    <t>231895886</t>
  </si>
  <si>
    <t>429694707</t>
  </si>
  <si>
    <t>alp_polobeats_deezer_network_lancamento_prospeccao_cpm_prospecting_1200x628_AMC-Polo-Beats_polo-beats</t>
  </si>
  <si>
    <t>232638107</t>
  </si>
  <si>
    <t>430365269</t>
  </si>
  <si>
    <t>alp_polobeats_facebook_network_lancamento_prospeccao_cpm_prospecting_1200x628_AMC-Polo-Beats_polo-beats</t>
  </si>
  <si>
    <t>230236327</t>
  </si>
  <si>
    <t>428075790</t>
  </si>
  <si>
    <t>alp_polobeats_oath-brightroll_network_lancamento_prospeccao_cpm_prospecting_300x250_AMC-Polo-Beats_interesse-musica</t>
  </si>
  <si>
    <t>230878955</t>
  </si>
  <si>
    <t>428813257</t>
  </si>
  <si>
    <t>alp_polobeats_oath-brightroll_network_lancamento_prospeccao_cpm_prospecting_300x250_AMC-Polo-Beats_interesse-viagem</t>
  </si>
  <si>
    <t>230878937</t>
  </si>
  <si>
    <t>428813239</t>
  </si>
  <si>
    <t>alp_polobeats_spotify_network_lancamento_prospeccao_cpm_prospecting_640x640_AMC-Polo-Beats_polo-beats</t>
  </si>
  <si>
    <t>231179838</t>
  </si>
  <si>
    <t>428743526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</si>
</sst>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* #,##0.00_-;\-&quot;R$&quot;* #,##0.00_-;_-&quot;R$&quot;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1" fontId="0" fillId="0" borderId="0" xfId="1" applyNumberFormat="1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592.681638194445" createdVersion="6" refreshedVersion="6" minRefreshableVersion="3" recordCount="1063" xr:uid="{D5CEBE16-A5BE-4FE0-804C-62EE36400B94}">
  <cacheSource type="worksheet">
    <worksheetSource ref="B19:O1079" sheet="Resumo"/>
  </cacheSource>
  <cacheFields count="14">
    <cacheField name="Campaign" numFmtId="0">
      <sharedItems/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 count="6">
        <s v="Rich Media display banner"/>
        <s v="Dynamic Click"/>
        <s v="Default"/>
        <s v="Standard"/>
        <s v="Rich Media 2.2mb"/>
        <s v="DCO"/>
      </sharedItems>
    </cacheField>
    <cacheField name="Ad" numFmtId="0">
      <sharedItems/>
    </cacheField>
    <cacheField name="Ad ID" numFmtId="0">
      <sharedItems/>
    </cacheField>
    <cacheField name="Creative Type" numFmtId="0">
      <sharedItems count="5">
        <s v="In-Stream Video"/>
        <s v="Tracking"/>
        <s v="Display"/>
        <s v="Rich Media display banner"/>
        <s v="(not set)"/>
      </sharedItems>
    </cacheField>
    <cacheField name="Impressions" numFmtId="0">
      <sharedItems containsSemiMixedTypes="0" containsString="0" containsNumber="1" containsInteger="1" minValue="0" maxValue="84696323"/>
    </cacheField>
    <cacheField name="Clicks" numFmtId="0">
      <sharedItems containsSemiMixedTypes="0" containsString="0" containsNumber="1" containsInteger="1" minValue="0" maxValue="496575"/>
    </cacheField>
    <cacheField name="Ferramenta" numFmtId="2">
      <sharedItems containsSemiMixedTypes="0" containsString="0" containsNumber="1" minValue="3.5000000000000001E-3" maxValue="0.91"/>
    </cacheField>
    <cacheField name="Adops" numFmtId="0">
      <sharedItems containsSemiMixedTypes="0" containsString="0" containsNumber="1" minValue="0.02" maxValue="0.35"/>
    </cacheField>
    <cacheField name="Total Ferramenta" numFmtId="2">
      <sharedItems containsSemiMixedTypes="0" containsString="0" containsNumber="1" minValue="0" maxValue="13526.836960000001"/>
    </cacheField>
    <cacheField name="Total AdOps" numFmtId="2">
      <sharedItems containsSemiMixedTypes="0" containsString="0" containsNumber="1" minValue="0" maxValue="9931.5" count="724">
        <n v="3.5E-4"/>
        <n v="0.02"/>
        <n v="8.9999999999999992E-5"/>
        <n v="4606.4052899999997"/>
        <n v="992.82987000000003"/>
        <n v="133.16444999999999"/>
        <n v="154.12841999999998"/>
        <n v="142.80237"/>
        <n v="139.89707999999999"/>
        <n v="2418.5662199999997"/>
        <n v="93.306330000000003"/>
        <n v="160.97201999999999"/>
        <n v="1584.1708199999998"/>
        <n v="1447.00731"/>
        <n v="34.635059999999996"/>
        <n v="1173.2561099999998"/>
        <n v="962.34794999999997"/>
        <n v="2.7E-4"/>
        <n v="7622.669069999999"/>
        <n v="967.29218999999989"/>
        <n v="439.12225000000001"/>
        <n v="142.02159999999998"/>
        <n v="22.986949999999997"/>
        <n v="20.795249999999999"/>
        <n v="29.495199999999997"/>
        <n v="29.846949999999996"/>
        <n v="9.7684999999999995"/>
        <n v="21.730449999999998"/>
        <n v="367.73307"/>
        <n v="27.37782"/>
        <n v="141.36111"/>
        <n v="217.74"/>
        <n v="1.7999999999999998E-4"/>
        <n v="401.10290999999995"/>
        <n v="173.33288999999999"/>
        <n v="403.07408999999996"/>
        <n v="198.19665000000001"/>
        <n v="394.71093000000002"/>
        <n v="181.85723999999999"/>
        <n v="402.54480000000001"/>
        <n v="172.87451999999999"/>
        <n v="0.76670999999999989"/>
        <n v="73.846890000000002"/>
        <n v="0.39446999999999999"/>
        <n v="40.64526"/>
        <n v="0.81585000000000008"/>
        <n v="71.862300000000005"/>
        <n v="0.75734999999999997"/>
        <n v="73.977029999999999"/>
        <n v="3.5999999999999997E-4"/>
        <n v="1.7099999999999999E-3"/>
        <n v="9.8999999999999999E-4"/>
        <n v="0.55313999999999997"/>
        <n v="0.23201999999999998"/>
        <n v="0.11195999999999999"/>
        <n v="1.0986299999999998"/>
        <n v="0.46853999999999996"/>
        <n v="0.34109999999999996"/>
        <n v="2.7845999999999997"/>
        <n v="1.2216599999999997"/>
        <n v="0.87075000000000002"/>
        <n v="1.6829999999999998E-2"/>
        <n v="1.08E-3"/>
        <n v="1.035E-2"/>
        <n v="4.8689999999999997E-2"/>
        <n v="8.6400000000000001E-3"/>
        <n v="2.8979999999999999E-2"/>
        <n v="441.20537999999999"/>
        <n v="0.37413000000000002"/>
        <n v="5.5066499999999996"/>
        <n v="17.334"/>
        <n v="0.55853999999999993"/>
        <n v="584.81415000000004"/>
        <n v="512.63945999999999"/>
        <n v="0.99197999999999997"/>
        <n v="384.68079"/>
        <n v="6.3E-3"/>
        <n v="1.2240000000000001E-2"/>
        <n v="10.476629999999998"/>
        <n v="86.177069999999986"/>
        <n v="7.100999999999999E-2"/>
        <n v="0.78912000000000004"/>
        <n v="115.30565999999999"/>
        <n v="2.8134899999999998"/>
        <n v="22.712129999999998"/>
        <n v="89.461529999999996"/>
        <n v="2.4678899999999997"/>
        <n v="1.03023"/>
        <n v="0.25631999999999999"/>
        <n v="2.9526300000000001"/>
        <n v="282.94"/>
        <n v="9867.42"/>
        <n v="57.32"/>
        <n v="4.7451600000000003"/>
        <n v="3.8235600000000001"/>
        <n v="5.8654799999999998"/>
        <n v="3.0694499999999998"/>
        <n v="3.3077700000000001"/>
        <n v="17.927820000000001"/>
        <n v="4.1036399999999995"/>
        <n v="3.9923999999999995"/>
        <n v="2.15937"/>
        <n v="3.8206799999999999"/>
        <n v="6.3710100000000001"/>
        <n v="3.9098699999999997"/>
        <n v="3.5668799999999998"/>
        <n v="3.63429"/>
        <n v="267.90570000000002"/>
        <n v="1.0499999999999997E-3"/>
        <n v="6.9999999999999999E-4"/>
        <n v="2.4299999999999999E-3"/>
        <n v="9.1000000000000004E-3"/>
        <n v="163.72"/>
        <n v="1171.56"/>
        <n v="1278.06"/>
        <n v="218.16"/>
        <n v="1617.42"/>
        <n v="185.28"/>
        <n v="374.78000000000003"/>
        <n v="424.5"/>
        <n v="9931.5"/>
        <n v="326.66000000000003"/>
        <n v="198.18"/>
        <n v="0.04"/>
        <n v="535.79999999999995"/>
        <n v="63.480000000000004"/>
        <n v="6.58"/>
        <n v="5.72"/>
        <n v="1.08"/>
        <n v="28.8"/>
        <n v="2.58"/>
        <n v="42.94"/>
        <n v="10.28"/>
        <n v="7.2"/>
        <n v="7.44"/>
        <n v="43.92"/>
        <n v="43.014869999999995"/>
        <n v="22.827869999999997"/>
        <n v="44.302500000000002"/>
        <n v="39.64"/>
        <n v="1.7561699999999998"/>
        <n v="0.68652000000000002"/>
        <n v="0.52730999999999995"/>
        <n v="13.812119999999998"/>
        <n v="1.9034099999999998"/>
        <n v="20.79738"/>
        <n v="6.153929999999999"/>
        <n v="14.911019999999999"/>
        <n v="14.18"/>
        <n v="0.80010000000000003"/>
        <n v="0"/>
        <n v="8.9999999999999987E-4"/>
        <n v="8.0999999999999996E-4"/>
        <n v="7.1999999999999994E-4"/>
        <n v="5.4000000000000001E-4"/>
        <n v="6.3000000000000003E-4"/>
        <n v="1.98E-3"/>
        <n v="0.34"/>
        <n v="1.5479999999999999E-2"/>
        <n v="0.16"/>
        <n v="8.982899999999999"/>
        <n v="1.85175"/>
        <n v="1.00746"/>
        <n v="0.14102999999999999"/>
        <n v="3.6860399999999998"/>
        <n v="4.1399999999999999E-2"/>
        <n v="1.0981800000000002"/>
        <n v="1.35E-2"/>
        <n v="0.504"/>
        <n v="2.8508399999999998"/>
        <n v="1.8527400000000001"/>
        <n v="0.8194499999999999"/>
        <n v="0.33668999999999999"/>
        <n v="68.164649999999995"/>
        <n v="2.5451999999999999"/>
        <n v="45.203939999999996"/>
        <n v="1.332E-2"/>
        <n v="0.20879999999999999"/>
        <n v="2.3357700000000001"/>
        <n v="49.23171"/>
        <n v="0.12761999999999998"/>
        <n v="3.3980399999999999"/>
        <n v="4.0423499999999999"/>
        <n v="42.876719999999999"/>
        <n v="0.31950000000000001"/>
        <n v="71.096580000000003"/>
        <n v="7.6499100000000002"/>
        <n v="91.640249999999995"/>
        <n v="0.59436"/>
        <n v="1.7043299999999999"/>
        <n v="15.969059999999999"/>
        <n v="2.8799999999999997E-3"/>
        <n v="0.24074999999999999"/>
        <n v="1.737E-2"/>
        <n v="1.16469"/>
        <n v="1.3206599999999999"/>
        <n v="15.23493"/>
        <n v="0.31257000000000001"/>
        <n v="1.8599399999999999"/>
        <n v="38.123549999999994"/>
        <n v="286.89884999999998"/>
        <n v="12.28068"/>
        <n v="3.0519000000000003"/>
        <n v="338.44256999999999"/>
        <n v="7.5149999999999995E-2"/>
        <n v="7.3805399999999999"/>
        <n v="7.8300000000000002E-3"/>
        <n v="1.8972899999999999"/>
        <n v="41.609790000000004"/>
        <n v="12.308219999999999"/>
        <n v="3.0362399999999998"/>
        <n v="55.906289999999998"/>
        <n v="0.21941999999999998"/>
        <n v="34.57638"/>
        <n v="56.015819999999998"/>
        <n v="8.3249999999999993"/>
        <n v="2.4300000000000002E-2"/>
        <n v="5.2523099999999996"/>
        <n v="8.2651500000000002"/>
        <n v="479.84000000000003"/>
        <n v="21.78"/>
        <n v="102.30155999999999"/>
        <n v="71.88"/>
        <n v="347.40890999999999"/>
        <n v="282.15395999999998"/>
        <n v="607.46156999999994"/>
        <n v="571.0871699999999"/>
        <n v="485.02916999999997"/>
        <n v="0.22"/>
        <n v="132.02000000000001"/>
        <n v="786.56000000000006"/>
        <n v="2745.58"/>
        <n v="838.54"/>
        <n v="695.78207999999995"/>
        <n v="69.58"/>
        <n v="77.100000000000009"/>
        <n v="90.72"/>
        <n v="165.84"/>
        <n v="182.86"/>
        <n v="137.97999999999999"/>
        <n v="172.46"/>
        <n v="139.88"/>
        <n v="129.52000000000001"/>
        <n v="161.72"/>
        <n v="259.02"/>
        <n v="480.48"/>
        <n v="195.3"/>
        <n v="450.84000000000003"/>
        <n v="17.740000000000002"/>
        <n v="523.64"/>
        <n v="171.28"/>
        <n v="77.58"/>
        <n v="81.38"/>
        <n v="29.62"/>
        <n v="40.82"/>
        <n v="26.16"/>
        <n v="21.82"/>
        <n v="21.62"/>
        <n v="0.12"/>
        <n v="0.36"/>
        <n v="0.08"/>
        <n v="0.06"/>
        <n v="8.24"/>
        <n v="56.84"/>
        <n v="43.64"/>
        <n v="52.94"/>
        <n v="38.6"/>
        <n v="54.18"/>
        <n v="24.18"/>
        <n v="173.76"/>
        <n v="24.62"/>
        <n v="20.5"/>
        <n v="191.54"/>
        <n v="684.62"/>
        <n v="490.86"/>
        <n v="499.42"/>
        <n v="746.14"/>
        <n v="676.86"/>
        <n v="226.14000000000001"/>
        <n v="510.12"/>
        <n v="221.64000000000001"/>
        <n v="2334.7800000000002"/>
        <n v="133.78"/>
        <n v="845.94"/>
        <n v="1197.72"/>
        <n v="15.88"/>
        <n v="62.34"/>
        <n v="207.6"/>
        <n v="181.18"/>
        <n v="0.2"/>
        <n v="0.28000000000000003"/>
        <n v="1.78"/>
        <n v="237"/>
        <n v="1055.52"/>
        <n v="1127.8600000000001"/>
        <n v="170.28"/>
        <n v="94.64"/>
        <n v="258.42"/>
        <n v="51.24"/>
        <n v="0.5"/>
        <n v="2.6999999999999997E-3"/>
        <n v="5.5799999999999999E-3"/>
        <n v="5.13E-3"/>
        <n v="1.3499999999999999E-3"/>
        <n v="4.437E-2"/>
        <n v="0.15021000000000001"/>
        <n v="8.8200000000000001E-2"/>
        <n v="7.3799999999999991E-2"/>
        <n v="0.10664999999999999"/>
        <n v="8.2259999999999986E-2"/>
        <n v="0.56150999999999995"/>
        <n v="11.79135"/>
        <n v="11.779920000000001"/>
        <n v="0.3"/>
        <n v="7.3058399999999999"/>
        <n v="16.22"/>
        <n v="3.7799999999999999E-3"/>
        <n v="5.2199999999999998E-3"/>
        <n v="5.4900000000000001E-3"/>
        <n v="4.7519999999999993E-2"/>
        <n v="5.1839999999999997E-2"/>
        <n v="5.0309999999999994E-2"/>
        <n v="5.9399999999999991E-3"/>
        <n v="3.5999999999999995E-3"/>
        <n v="2.043E-2"/>
        <n v="4.1309999999999993E-2"/>
        <n v="1.9620000000000002E-2"/>
        <n v="0.24"/>
        <n v="1.3"/>
        <n v="0.14000000000000001"/>
        <n v="565.38"/>
        <n v="1552.02"/>
        <n v="422.96000000000004"/>
        <n v="0.42"/>
        <n v="1.1000000000000001"/>
        <n v="1.3800000000000001"/>
        <n v="22.14"/>
        <n v="60.36"/>
        <n v="217.88"/>
        <n v="21.04"/>
        <n v="51.26"/>
        <n v="16.059999999999999"/>
        <n v="35.54"/>
        <n v="14.08"/>
        <n v="37"/>
        <n v="82.600000000000009"/>
        <n v="46.405889999999999"/>
        <n v="31.630500000000001"/>
        <n v="25.934489999999997"/>
        <n v="2.0083500000000001"/>
        <n v="18.590309999999999"/>
        <n v="23.377680000000002"/>
        <n v="17.591759999999997"/>
        <n v="24.232680000000002"/>
        <n v="18.992339999999999"/>
        <n v="6.8969699999999996"/>
        <n v="21.265559999999997"/>
        <n v="29.506679999999999"/>
        <n v="221.26463999999999"/>
        <n v="2.97"/>
        <n v="23.097239999999999"/>
        <n v="0.27845999999999999"/>
        <n v="794.42614999999989"/>
        <n v="0.20942999999999998"/>
        <n v="504.03114999999997"/>
        <n v="3.0600000000000002E-3"/>
        <n v="9.1339499999999987"/>
        <n v="1.4399999999999999E-3"/>
        <n v="2.5742500000000001"/>
        <n v="0.95723999999999998"/>
        <n v="0.32750999999999997"/>
        <n v="0.54566999999999999"/>
        <n v="0.65582999999999991"/>
        <n v="0.83321999999999996"/>
        <n v="1.91106"/>
        <n v="5202.6295999999993"/>
        <n v="0.14291999999999999"/>
        <n v="356.47184999999996"/>
        <n v="0.65051999999999999"/>
        <n v="1680.06475"/>
        <n v="1.4219999999999998E-2"/>
        <n v="43.071349999999995"/>
        <n v="0.83089999999999997"/>
        <n v="4.2299999999999994E-3"/>
        <n v="11.60075"/>
        <n v="2.60379"/>
        <n v="0.84411000000000003"/>
        <n v="1.6993799999999999"/>
        <n v="2.51919"/>
        <n v="2.1690900000000002"/>
        <n v="0.35613"/>
        <n v="655.64029999999991"/>
        <n v="0.21051"/>
        <n v="577.24484999999993"/>
        <n v="2.6099999999999999E-3"/>
        <n v="8.5921500000000002"/>
        <n v="1.6199999999999999E-3"/>
        <n v="5.601049999999999"/>
        <n v="0.33399000000000001"/>
        <n v="0.52073999999999998"/>
        <n v="0.10305"/>
        <n v="0.18512999999999999"/>
        <n v="0.20610000000000001"/>
        <n v="0.30446999999999996"/>
        <n v="0.22238999999999998"/>
        <n v="0.42093000000000003"/>
        <n v="0.31977"/>
        <n v="0.45144000000000001"/>
        <n v="30.64"/>
        <n v="3.86"/>
        <n v="2"/>
        <n v="4862"/>
        <n v="21.42"/>
        <n v="6.8"/>
        <n v="1.74"/>
        <n v="2.96"/>
        <n v="10.040000000000001"/>
        <n v="1.36"/>
        <n v="14.92"/>
        <n v="46.6"/>
        <n v="61.940000000000005"/>
        <n v="120.60000000000001"/>
        <n v="24.52"/>
        <n v="127.60000000000001"/>
        <n v="17.400000000000002"/>
        <n v="78.36"/>
        <n v="33.54"/>
        <n v="70.98"/>
        <n v="42.42"/>
        <n v="119.42"/>
        <n v="134.26"/>
        <n v="154.18"/>
        <n v="21.88"/>
        <n v="77.52"/>
        <n v="92.600000000000009"/>
        <n v="86.94"/>
        <n v="34.1"/>
        <n v="107.12"/>
        <n v="15.82"/>
        <n v="84.74"/>
        <n v="9.48"/>
        <n v="6.54"/>
        <n v="22.06"/>
        <n v="16.240000000000002"/>
        <n v="141.78"/>
        <n v="11.16"/>
        <n v="58.86"/>
        <n v="41.54"/>
        <n v="16.54"/>
        <n v="14.540000000000001"/>
        <n v="12.94"/>
        <n v="5.32"/>
        <n v="16.399999999999999"/>
        <n v="10.08"/>
        <n v="5.28"/>
        <n v="8.3800000000000008"/>
        <n v="10.4"/>
        <n v="5.74"/>
        <n v="110.9"/>
        <n v="47.74"/>
        <n v="71.12"/>
        <n v="13.98"/>
        <n v="280.82"/>
        <n v="26.14"/>
        <n v="151.52000000000001"/>
        <n v="151.20000000000002"/>
        <n v="68.56"/>
        <n v="189.26"/>
        <n v="37.6"/>
        <n v="248.8"/>
        <n v="42.7"/>
        <n v="218.6"/>
        <n v="12.86"/>
        <n v="124.18"/>
        <n v="163.30000000000001"/>
        <n v="17.2"/>
        <n v="92.460000000000008"/>
        <n v="14.8"/>
        <n v="442.1"/>
        <n v="49.4"/>
        <n v="0.1"/>
        <n v="44.7"/>
        <n v="2.5971299999999999"/>
        <n v="2.9070899999999997"/>
        <n v="3.2694299999999998"/>
        <n v="2.5710299999999999"/>
        <n v="2.5021799999999996"/>
        <n v="8.0185499999999994"/>
        <n v="0.11672999999999999"/>
        <n v="2.5075799999999999"/>
        <n v="0.11924999999999999"/>
        <n v="2.5622999999999996"/>
        <n v="0.12564"/>
        <n v="2.6036999999999999"/>
        <n v="0.12906000000000001"/>
        <n v="2.4232499999999999"/>
        <n v="0.12978000000000001"/>
        <n v="3.1939199999999999"/>
        <n v="0.12204"/>
        <n v="2.52738"/>
        <n v="0.12176999999999999"/>
        <n v="2.2157999999999998"/>
        <n v="0.12429"/>
        <n v="2.2796099999999999"/>
        <n v="7.890299999999999"/>
        <n v="3.1043699999999999"/>
        <n v="3.0809699999999998"/>
        <n v="35.631360000000001"/>
        <n v="8.3604599999999998"/>
        <n v="1.0013399999999999"/>
        <n v="2.5233300000000001"/>
        <n v="4.1864399999999993"/>
        <n v="3.5450999999999997"/>
        <n v="3.5955899999999996"/>
        <n v="1.4975999999999998"/>
        <n v="2.9196"/>
        <n v="2.85894"/>
        <n v="28.906379999999999"/>
        <n v="2.9934000000000003"/>
        <n v="29.82"/>
        <n v="2.94"/>
        <n v="1.06"/>
        <n v="0.96"/>
        <n v="2.06"/>
        <n v="2.14"/>
        <n v="1.76"/>
        <n v="0.76"/>
        <n v="0.18"/>
        <n v="0.44"/>
        <n v="9.4600000000000009"/>
        <n v="0.42263999999999996"/>
        <n v="2.2260000000000002E-2"/>
        <n v="1.4630000000000001E-2"/>
        <n v="14.051380000000002"/>
        <n v="1.5335600000000003"/>
        <n v="20.743100000000002"/>
        <n v="1.0889999999999999E-2"/>
        <n v="0.97454000000000007"/>
        <n v="4.9000000000000009E-4"/>
        <n v="6.3000000000000013E-4"/>
        <n v="0.64745999999999992"/>
        <n v="4.4520000000000004E-2"/>
        <n v="5.9290000000000009E-2"/>
        <n v="58.951689999999999"/>
        <n v="1.70513"/>
        <n v="30.705500000000004"/>
        <n v="0.57150000000000001"/>
        <n v="0.23520000000000002"/>
        <n v="5.1310000000000001E-2"/>
        <n v="130.17536000000001"/>
        <n v="1.76288"/>
        <n v="30.205840000000002"/>
        <n v="3.35277"/>
        <n v="1.79312"/>
        <n v="0.5146400000000001"/>
        <n v="772.01348000000007"/>
        <n v="10.819060000000002"/>
        <n v="192.83978000000002"/>
        <n v="0.21698999999999999"/>
        <n v="5.3200000000000001E-3"/>
        <n v="3.2200000000000002E-3"/>
        <n v="11.181660000000001"/>
        <n v="0.58345000000000002"/>
        <n v="7.6936300000000006"/>
        <n v="1.5794999999999999"/>
        <n v="4.1090000000000002E-2"/>
        <n v="4.5080000000000002E-2"/>
        <n v="67.811450000000008"/>
        <n v="3.9941300000000006"/>
        <n v="69.853350000000006"/>
        <n v="0.48554999999999998"/>
        <n v="2.1070000000000002E-2"/>
        <n v="1.6310000000000002E-2"/>
        <n v="20.104490000000002"/>
        <n v="1.5247400000000002"/>
        <n v="20.324010000000001"/>
        <n v="1.8914399999999998"/>
        <n v="7.1540000000000006E-2"/>
        <n v="6.4680000000000001E-2"/>
        <n v="123.61027000000001"/>
        <n v="4.6416300000000001"/>
        <n v="66.836980000000011"/>
        <n v="5.9475599999999993"/>
        <n v="0.44002000000000002"/>
        <n v="0.26040000000000002"/>
        <n v="520.13262000000009"/>
        <n v="13.271300000000002"/>
        <n v="243.95875000000004"/>
        <n v="1.8844199999999998"/>
        <n v="8.1200000000000008E-2"/>
        <n v="4.2770000000000002E-2"/>
        <n v="159.29081000000002"/>
        <n v="4.4234400000000003"/>
        <n v="55.77187"/>
        <n v="0.63126000000000004"/>
        <n v="2.0300000000000002E-2"/>
        <n v="1.1480000000000001E-2"/>
        <n v="35.340200000000003"/>
        <n v="1.7003000000000001"/>
        <n v="21.060340000000004"/>
        <n v="0.57878999999999992"/>
        <n v="4.4730000000000006E-2"/>
        <n v="6.2160000000000007E-2"/>
        <n v="41.553050000000006"/>
        <n v="1.7558800000000001"/>
        <n v="32.287010000000002"/>
        <n v="0.95589000000000002"/>
        <n v="0.34748000000000001"/>
        <n v="7.4270000000000017E-2"/>
        <n v="208.24370000000002"/>
        <n v="2.3089500000000003"/>
        <n v="48.113100000000003"/>
        <n v="2.1200399999999999"/>
        <n v="1.02536"/>
        <n v="0.1953"/>
        <n v="614.74133000000006"/>
        <n v="4.8573000000000004"/>
        <n v="88.650940000000006"/>
        <n v="0.14138999999999999"/>
        <n v="3.5000000000000005E-3"/>
        <n v="2.4500000000000004E-3"/>
        <n v="5.7983100000000007"/>
        <n v="0.45591000000000004"/>
        <n v="5.3344900000000006"/>
        <n v="2.9005199999999998"/>
        <n v="5.9990000000000009E-2"/>
        <n v="5.9220000000000009E-2"/>
        <n v="143.58736000000002"/>
        <n v="8.7323599999999999"/>
        <n v="114.75254000000001"/>
        <n v="0.56006999999999996"/>
        <n v="2.0650000000000002E-2"/>
        <n v="1.7569999999999999E-2"/>
        <n v="16.717190000000002"/>
        <n v="1.7135300000000002"/>
        <n v="27.560260000000003"/>
        <n v="2.12418"/>
        <n v="7.5880000000000003E-2"/>
        <n v="7.0070000000000007E-2"/>
        <n v="124.73258000000001"/>
        <n v="5.9705800000000009"/>
        <n v="74.833780000000019"/>
        <n v="4.2932699999999997"/>
        <n v="0.35266000000000003"/>
        <n v="0.20111000000000001"/>
        <n v="505.33630000000005"/>
        <n v="9.6690300000000011"/>
        <n v="164.33256000000003"/>
        <n v="2.0914200000000003"/>
        <n v="0.10619000000000001"/>
        <n v="7.2800000000000017E-2"/>
        <n v="88.729830000000007"/>
        <n v="5.8716700000000008"/>
        <n v="94.945130000000006"/>
        <n v="0.52100999999999997"/>
        <n v="2.2120000000000001E-2"/>
        <n v="1.848E-2"/>
        <n v="14.080640000000001"/>
        <n v="1.5638700000000001"/>
        <n v="25.653600000000001"/>
        <n v="0.66303000000000001"/>
        <n v="9.1560000000000002E-2"/>
        <n v="6.2300000000000001E-2"/>
        <n v="58.766750000000009"/>
        <n v="1.7057600000000002"/>
        <n v="30.883650000000003"/>
        <n v="0.74015999999999993"/>
        <n v="0.15659000000000001"/>
        <n v="4.4240000000000002E-2"/>
        <n v="252.30443000000002"/>
        <n v="1.51417"/>
        <n v="25.733330000000002"/>
        <n v="2.9397599999999997"/>
        <n v="0.42693000000000009"/>
        <n v="0.13034000000000001"/>
        <n v="1361.0039100000001"/>
        <n v="3.2472300000000005"/>
        <n v="66.058790000000002"/>
        <n v="0.15615000000000001"/>
        <n v="5.11E-3"/>
        <n v="3.0800000000000003E-3"/>
        <n v="5.9466400000000004"/>
        <n v="0.51240000000000008"/>
        <n v="6.5672600000000001"/>
        <n v="1.2745799999999998"/>
        <n v="5.8170000000000006E-2"/>
        <n v="4.6130000000000004E-2"/>
        <n v="54.454400000000007"/>
        <n v="4.156950000000001"/>
        <n v="55.458410000000001"/>
        <n v="0.48185999999999996"/>
        <n v="1.9880000000000002E-2"/>
        <n v="1.5260000000000001E-2"/>
        <n v="21.041580000000003"/>
        <n v="1.3248900000000001"/>
        <n v="20.354530000000004"/>
        <n v="2.0614499999999998"/>
        <n v="7.7490000000000003E-2"/>
        <n v="8.2250000000000018E-2"/>
        <n v="98.969290000000015"/>
        <n v="6.2040300000000004"/>
        <n v="90.727420000000009"/>
        <n v="5.8651200000000001"/>
        <n v="0.38626000000000005"/>
        <n v="0.21175000000000002"/>
        <n v="491.59166000000005"/>
        <n v="12.789840000000002"/>
        <n v="183.05693000000002"/>
        <n v="1.66374"/>
        <n v="8.4210000000000007E-2"/>
        <n v="5.0820000000000004E-2"/>
        <n v="116.18236000000002"/>
        <n v="4.2869400000000004"/>
        <n v="60.315220000000011"/>
        <n v="0.6"/>
        <n v="74.28"/>
        <n v="0.74"/>
        <n v="2.205E-2"/>
        <n v="2.1329999999999998E-2"/>
        <n v="0.72"/>
        <n v="1.17E-3"/>
        <n v="9.4950000000000007E-2"/>
        <n v="2.2499999999999998E-3"/>
        <n v="1.2600000000000001E-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3">
  <r>
    <s v="BR_AAF_DSY_LANCH_ND_NC_2019Q1MAR_TCR_WebSerie"/>
    <s v="Google Brasil"/>
    <s v="BR_VW_TCR_DV360-Partner_DIS_PROG_CPM_STD_MPU_AAF_RON_CXD_T-Cross-WebSerie-Trailer-T-Cross-AMC_PD_Video"/>
    <s v="242118930"/>
    <x v="0"/>
    <s v="BR_VW_TCR_DV360-Partner_DIS_PROG_CPM_STD_MPU_AAF_RON_CXD_T-Cross-WebSerie-Trailer-T-Cross-AMC_PD_Video"/>
    <s v="438749890"/>
    <x v="0"/>
    <n v="1"/>
    <n v="0"/>
    <n v="0.91"/>
    <n v="0.35"/>
    <n v="9.1E-4"/>
    <x v="0"/>
  </r>
  <r>
    <s v="BR_AAF_DSY_LANCH_ND_NC_2019Q2APR_TCR_Launch-T-Cross-Awareness-fase-um"/>
    <s v="BR UOL."/>
    <s v="BR_VW_TCR_uol_DIS_PROG_CPM_CLK_LDR_AAF_RON_CXD_T-Croos-Lancamento-Awareness-Display-DIARIAS-T-cross-AMC_PD_1190X250-1190x460"/>
    <s v="245332615"/>
    <x v="1"/>
    <s v="BR_VW_TCR_uol_DIS_PROG_CPM_CLK_LDR_AAF_RON_CXD_T-Croos-Lancamento-Awareness-Display-DIARIAS-T-cross-AMC_PD_1190X250-1190x460"/>
    <s v="442031566"/>
    <x v="1"/>
    <n v="1"/>
    <n v="1"/>
    <n v="3.5000000000000001E-3"/>
    <n v="0.02"/>
    <n v="3.5000000000000001E-3"/>
    <x v="1"/>
  </r>
  <r>
    <s v="BR_AAF_DSY_LANCH_ND_NC_2019Q2APR_TCR_Launch-T-Cross-Awareness-fase-um"/>
    <s v="BR UOL."/>
    <s v="BR_VW_TCR_uol_DIS_PROG_CPM_CLK_LDR_AAF_RON_CXD_T-Croos-Lancamento-Awareness-Display-DIARIAS-T-cross-AMC_PD_300x450"/>
    <s v="245334508"/>
    <x v="2"/>
    <s v="1x1 Default Web Ad"/>
    <s v="441288411"/>
    <x v="2"/>
    <n v="1"/>
    <n v="0"/>
    <n v="3.8199999999999998E-2"/>
    <n v="0.09"/>
    <n v="3.82E-5"/>
    <x v="2"/>
  </r>
  <r>
    <s v="BR_AAF_DSY_LANCH_ND_NC_2019Q2APR_TCR_Launch-T-Cross-Awareness-fase-um"/>
    <s v="BR UOL."/>
    <s v="BR_VW_TCR_uol_DIS_PROG_CPM_CLK_LDR_AAF_RON_CXD_T-Croos-Lancamento-Awareness-Display-DIARIAS-T-cross-AMC_PD_300x450"/>
    <s v="245334508"/>
    <x v="3"/>
    <s v="BR_VW_TCR_uol_DIS_PROG_CPM_CLK_LDR_AAF_RON_CXD_T-Croos-Lancamento-Awareness-Display-DIARIAS-T-cross-AMC_PD_300x450"/>
    <s v="442036220"/>
    <x v="1"/>
    <n v="51182281"/>
    <n v="38894"/>
    <n v="3.8199999999999998E-2"/>
    <n v="0.09"/>
    <n v="1955.1631342000001"/>
    <x v="3"/>
  </r>
  <r>
    <s v="BR_AAF_DSY_LANCH_ND_NC_2019Q2APR_TCR_Launch-T-Cross-Awareness-fase-um"/>
    <s v="BR UOL."/>
    <s v="BR_VW_TCR_uol_DIS_PROG_CPM_CLK_MPU_AAF_RON_CXD_T-Croos-Lancamento-Awareness-Display-DIARIAS-T-cross-AMC_PD_336x450"/>
    <s v="245415634"/>
    <x v="3"/>
    <s v="BR_VW_TCR_uol_DIS_PROG_CPM_CLK_MPU_AAF_RON_CXD_T-Croos-Lancamento-Awareness-Display-DIARIAS-T-cross-AMC_PD_336x450"/>
    <s v="442118302"/>
    <x v="1"/>
    <n v="11031443"/>
    <n v="21663"/>
    <n v="3.8199999999999998E-2"/>
    <n v="0.09"/>
    <n v="421.40112260000001"/>
    <x v="4"/>
  </r>
  <r>
    <s v="BR_AAF_DSY_LANCH_ND_NC_2019Q2APR_TCR_Launch-T-Cross-Awareness-fase-um"/>
    <s v="G1"/>
    <s v="BR_VW_TCR_G1_DIS_PROG_CPM_CLK_MPU_AAF_RON_CXD_T-Croos-Lancamento-Awareness-Display-DIARIAS-T-cross-AMC_PD_300x250"/>
    <s v="244495966"/>
    <x v="3"/>
    <s v="BR_VW_TCR_G1_DIS_PROG_CPM_CLK_MPU_AAF_RON_CXD_T-Croos-Lancamento-Awareness-Display-DIARIAS-T-cross-AMC_PD_300x250"/>
    <s v="441329717"/>
    <x v="2"/>
    <n v="1479605"/>
    <n v="4418"/>
    <n v="3.8199999999999998E-2"/>
    <n v="0.09"/>
    <n v="56.520910999999998"/>
    <x v="5"/>
  </r>
  <r>
    <s v="BR_AAF_DSY_LANCH_ND_NC_2019Q2APR_TCR_Launch-T-Cross-Awareness-fase-um"/>
    <s v="Google Brasil"/>
    <s v="BR_VW_TCR_DV360-g1_DIS_PROG_CPM_CLK_LDR_AAF_RON_CXD_T-Croos-Lancamento-Awareness-Display-DIARIAS-G1-T-cross-AMC_PD_970x150"/>
    <s v="245086776"/>
    <x v="3"/>
    <s v="BR_VW_TCR_DV360-g1_DIS_PROG_CPM_CLK_LDR_AAF_RON_CXD_T-Croos-Lancamento-Awareness-Display-DIARIAS-G1-T-cross-AMC_PD_970x150"/>
    <s v="441566523"/>
    <x v="2"/>
    <n v="1712538"/>
    <n v="4188"/>
    <n v="3.8199999999999998E-2"/>
    <n v="0.09"/>
    <n v="65.4189516"/>
    <x v="6"/>
  </r>
  <r>
    <s v="BR_AAF_DSY_LANCH_ND_NC_2019Q2APR_TCR_Launch-T-Cross-Awareness-fase-um"/>
    <s v="Google Brasil"/>
    <s v="BR_VW_TCR_DV360-g1_DIS_PROG_CPM_CLK_LDR_AAF_RON_CXD_T-Croos-Lancamento-Awareness-Display-DIARIAS-T-cross-AMC_PD_970x150"/>
    <s v="244481473"/>
    <x v="3"/>
    <s v="BR_VW_TCR_DV360-g1_DIS_PROG_CPM_CLK_LDR_AAF_RON_CXD_T-Croos-Lancamento-Awareness-Display-DIARIAS-T-cross-AMC_PD_970x150"/>
    <s v="441325670"/>
    <x v="2"/>
    <n v="1586693"/>
    <n v="4507"/>
    <n v="3.8199999999999998E-2"/>
    <n v="0.09"/>
    <n v="60.611672599999999"/>
    <x v="7"/>
  </r>
  <r>
    <s v="BR_AAF_DSY_LANCH_ND_NC_2019Q2APR_TCR_Launch-T-Cross-Awareness-fase-um"/>
    <s v="Google Brasil"/>
    <s v="BR_VW_TCR_DV360-g1_DIS_PROG_CPM_CLK_MPU_AAF_RON_CXD_T-Croos-Lancamento-Awareness-Display-DIARIAS-G1-T-cross-AMC_PD_300x250"/>
    <s v="245086803"/>
    <x v="3"/>
    <s v="BR_VW_TCR_DV360-g1_DIS_PROG_CPM_CLK_MPU_AAF_RON_CXD_T-Croos-Lancamento-Awareness-Display-DIARIAS-G1-T-cross-AMC_PD_300x250"/>
    <s v="441656063"/>
    <x v="2"/>
    <n v="1554412"/>
    <n v="4151"/>
    <n v="3.8199999999999998E-2"/>
    <n v="0.09"/>
    <n v="59.378538399999996"/>
    <x v="8"/>
  </r>
  <r>
    <s v="BR_AAF_DSY_LANCH_ND_NC_2019Q2APR_TCR_Launch-T-Cross-Awareness-fase-um"/>
    <s v="Google Brasil"/>
    <s v="BR_VW_TCR_DV360-globo.com_DIS_PROG_CPM_CLK_LDR_AAF_RON_CXD_T-Croos-Lancamento-Awareness-Display-DIARIAS-T-cross-AMC_PD_970x250"/>
    <s v="244377938"/>
    <x v="3"/>
    <s v="BR_VW_TCR_DV360-globo.com_DIS_PROG_CPM_CLK_LDR_AAF_RON_CXD_T-Croos-Lancamento-Awareness-Display-DIARIAS-T-cross-AMC_PD_970x250"/>
    <s v="441313964"/>
    <x v="2"/>
    <n v="26872958"/>
    <n v="54608"/>
    <n v="3.8199999999999998E-2"/>
    <n v="0.09"/>
    <n v="1026.5469955999999"/>
    <x v="9"/>
  </r>
  <r>
    <s v="BR_AAF_DSY_LANCH_ND_NC_2019Q2APR_TCR_Launch-T-Cross-Awareness-fase-um"/>
    <s v="Google Brasil"/>
    <s v="BR_VW_TCR_DV360-globo.com_DIS_PROG_CPM_CLK_LDR_AAF_RON_CXD_T-Croos-Lancamento-Awareness-Reach-T-cross-AMC_PD_970x150"/>
    <s v="245397828"/>
    <x v="3"/>
    <s v="BR_VW_TCR_DV360-globo.com_DIS_PROG_CPM_CLK_LDR_AAF_RON_CXD_T-Croos-Lancamento-Awareness-Reach-T-cross-AMC_PD_970x150"/>
    <s v="441803019"/>
    <x v="2"/>
    <n v="1036737"/>
    <n v="1214"/>
    <n v="3.8199999999999998E-2"/>
    <n v="0.09"/>
    <n v="39.603353400000003"/>
    <x v="10"/>
  </r>
  <r>
    <s v="BR_AAF_DSY_LANCH_ND_NC_2019Q2APR_TCR_Launch-T-Cross-Awareness-fase-um"/>
    <s v="Google Brasil"/>
    <s v="BR_VW_TCR_DV360-globo.com_DIS_PROG_CPM_CLK_LDR_AAF_RON_CXD_T-Croos-Lancamento-Awareness-Reach-T-cross-AMC_PD_970x250"/>
    <s v="245060993"/>
    <x v="3"/>
    <s v="BR_VW_TCR_DV360-globo.com_DIS_PROG_CPM_CLK_LDR_AAF_RON_CXD_T-Croos-Lancamento-Awareness-Reach-T-cross-AMC_PD_970x250"/>
    <s v="441805773"/>
    <x v="2"/>
    <n v="1788578"/>
    <n v="4724"/>
    <n v="3.8199999999999998E-2"/>
    <n v="0.09"/>
    <n v="68.323679600000006"/>
    <x v="11"/>
  </r>
  <r>
    <s v="BR_AAF_DSY_LANCH_ND_NC_2019Q2APR_TCR_Launch-T-Cross-Awareness-fase-um"/>
    <s v="Google Brasil"/>
    <s v="BR_VW_TCR_DV360-globo.com_DIS_PROG_CPM_CLK_MPU_AAF_RON_CXD_T-Croos-Lancamento-Awareness-Display-DIARIAS-T-cross-AMC_PD_300x250"/>
    <s v="244377935"/>
    <x v="3"/>
    <s v="BR_VW_TCR_DV360-globo.com_DIS_PROG_CPM_CLK_MPU_AAF_RON_CXD_T-Croos-Lancamento-Awareness-Display-DIARIAS-T-cross-AMC_PD_300x250"/>
    <s v="441313961"/>
    <x v="2"/>
    <n v="17601898"/>
    <n v="33903"/>
    <n v="3.8199999999999998E-2"/>
    <n v="0.09"/>
    <n v="672.39250359999994"/>
    <x v="12"/>
  </r>
  <r>
    <s v="BR_AAF_DSY_LANCH_ND_NC_2019Q2APR_TCR_Launch-T-Cross-Awareness-fase-um"/>
    <s v="Google Brasil"/>
    <s v="BR_VW_TCR_DV360-globo.com_DIS_PROG_CPM_CLK_MPU_AAF_RON_CXD_T-Croos-Lancamento-Awareness-Reach-T-cross-AMC_PD_300x250"/>
    <s v="245060501"/>
    <x v="3"/>
    <s v="BR_VW_TCR_DV360-globo.com_DIS_PROG_CPM_CLK_MPU_AAF_RON_CXD_T-Croos-Lancamento-Awareness-Reach-T-cross-AMC_PD_300x250"/>
    <s v="441804027"/>
    <x v="2"/>
    <n v="16077859"/>
    <n v="56625"/>
    <n v="3.8199999999999998E-2"/>
    <n v="0.09"/>
    <n v="614.17421379999996"/>
    <x v="13"/>
  </r>
  <r>
    <s v="BR_AAF_DSY_LANCH_ND_NC_2019Q2APR_TCR_Launch-T-Cross-Awareness-fase-um"/>
    <s v="Google Brasil"/>
    <s v="BR_VW_TCR_DV360-globo.com_DIS_PROG_CPM_CLK_SKY_AAF_RON_CXD_T-Croos-Lancamento-Awareness-Reach-T-cross-AMC_PD_300x600"/>
    <s v="245370084"/>
    <x v="3"/>
    <s v="BR_VW_TCR_DV360-globo.com_DIS_PROG_CPM_CLK_SKY_AAF_RON_CXD_T-Croos-Lancamento-Awareness-Reach-T-cross-AMC_PD_300x600"/>
    <s v="441906494"/>
    <x v="2"/>
    <n v="384834"/>
    <n v="430"/>
    <n v="3.8199999999999998E-2"/>
    <n v="0.09"/>
    <n v="14.700658799999999"/>
    <x v="14"/>
  </r>
  <r>
    <s v="BR_AAF_DSY_LANCH_ND_NC_2019Q2APR_TCR_Launch-T-Cross-Awareness-fase-um"/>
    <s v="Google Brasil"/>
    <s v="BR_VW_TCR_DV360-terra_DIS_PROG_CPM_CLK_LDR_AAF_RON_CXD_T-Croos-Lancamento-Awareness-Display-DIARIAS-T-cross-AMC_PD_1260x400"/>
    <s v="244371658"/>
    <x v="3"/>
    <s v="BR_VW_TCR_DV360-terra_DIS_PROG_CPM_CLK_LDR_AAF_RON_CXD_T-Croos-Lancamento-Awareness-Display-DIARIAS-T-cross-AMC_PD_1260x400"/>
    <s v="441218072"/>
    <x v="2"/>
    <n v="13036179"/>
    <n v="38354"/>
    <n v="3.8199999999999998E-2"/>
    <n v="0.09"/>
    <n v="497.9820378"/>
    <x v="15"/>
  </r>
  <r>
    <s v="BR_AAF_DSY_LANCH_ND_NC_2019Q2APR_TCR_Launch-T-Cross-Awareness-fase-um"/>
    <s v="Google Brasil"/>
    <s v="BR_VW_TCR_DV360_DIS_PROG_CPM_CLK_LDR_AAF_RON_CXD_T-Croos-Lancamento-Awareness-Display-T-cross-AMC_PD_970x250"/>
    <s v="244297580"/>
    <x v="2"/>
    <s v="970x250 Default Web Ad"/>
    <s v="441241202"/>
    <x v="2"/>
    <n v="1"/>
    <n v="0"/>
    <n v="3.8199999999999998E-2"/>
    <n v="0.09"/>
    <n v="3.82E-5"/>
    <x v="2"/>
  </r>
  <r>
    <s v="BR_AAF_DSY_LANCH_ND_NC_2019Q2APR_TCR_Launch-T-Cross-Awareness-fase-um"/>
    <s v="Google Brasil"/>
    <s v="BR_VW_TCR_DV360_DIS_PROG_CPM_CLK_LDR_AAF_RON_CXD_T-Croos-Lancamento-Awareness-Display-T-cross-AMC_PD_970x250"/>
    <s v="244297580"/>
    <x v="3"/>
    <s v="BR_VW_TCR_DV360_DIS_PROG_CPM_CLK_LDR_AAF_RON_CXD_T-Croos-Lancamento-Awareness-Display-T-cross-AMC_PD_970x250"/>
    <s v="441246460"/>
    <x v="2"/>
    <n v="10692755"/>
    <n v="34742"/>
    <n v="3.8199999999999998E-2"/>
    <n v="0.09"/>
    <n v="408.46324099999998"/>
    <x v="16"/>
  </r>
  <r>
    <s v="BR_AAF_DSY_LANCH_ND_NC_2019Q2APR_TCR_Launch-T-Cross-Awareness-fase-um"/>
    <s v="Google Brasil"/>
    <s v="BR_VW_TCR_DV360_DIS_PROG_CPM_CLK_MPU_AAF_RON_CXD_T-Croos-Lancamento-Awareness-Display-T-cross-AMC_PD_300x250"/>
    <s v="244283318"/>
    <x v="2"/>
    <s v="300x250 Default Web Ad"/>
    <s v="441120933"/>
    <x v="2"/>
    <n v="3"/>
    <n v="0"/>
    <n v="3.8199999999999998E-2"/>
    <n v="0.09"/>
    <n v="1.1459999999999999E-4"/>
    <x v="17"/>
  </r>
  <r>
    <s v="BR_AAF_DSY_LANCH_ND_NC_2019Q2APR_TCR_Launch-T-Cross-Awareness-fase-um"/>
    <s v="Google Brasil"/>
    <s v="BR_VW_TCR_DV360_DIS_PROG_CPM_CLK_MPU_AAF_RON_CXD_T-Croos-Lancamento-Awareness-Display-T-cross-AMC_PD_300x250"/>
    <s v="244283318"/>
    <x v="3"/>
    <s v="BR_VW_TCR_DV360_DIS_PROG_CPM_CLK_MPU_AAF_RON_CXD_T-Croos-Lancamento-Awareness-Display-T-cross-AMC_PD_300x250"/>
    <s v="441222935"/>
    <x v="2"/>
    <n v="84696323"/>
    <n v="285078"/>
    <n v="3.8199999999999998E-2"/>
    <n v="0.09"/>
    <n v="3235.3995385999997"/>
    <x v="18"/>
  </r>
  <r>
    <s v="BR_AAF_DSY_LANCH_ND_NC_2019Q2APR_TCR_Launch-T-Cross-Awareness-fase-um"/>
    <s v="Google Brasil"/>
    <s v="BR_VW_TCR_DV360_DIS_PROG_CPM_CLK_SKY_AAF_RON_CXD_T-Croos-Lancamento-Awareness-Display-T-cross-AMC_PD_300x600"/>
    <s v="244620453"/>
    <x v="3"/>
    <s v="BR_VW_TCR_DV360_DIS_PROG_CPM_CLK_SKY_AAF_RON_CXD_T-Croos-Lancamento-Awareness-Display-T-cross-AMC_PD_300x600"/>
    <s v="441124188"/>
    <x v="2"/>
    <n v="10747691"/>
    <n v="13435"/>
    <n v="3.8199999999999998E-2"/>
    <n v="0.09"/>
    <n v="410.5617962"/>
    <x v="19"/>
  </r>
  <r>
    <s v="BR_AAF_DSY_LANCH_ND_NC_2019Q2APR_TCR_Launch-T-Cross-Awareness-fase-um"/>
    <s v="Oath BR"/>
    <s v="BR_VW_TCR_oath_DIS_PROG_CPM_CLK_MPU_AAF_RON_CXD_T-Croos-Lancamento-Awareness-Display-30s-T-cross-AMC_PD_Video"/>
    <s v="244791405"/>
    <x v="0"/>
    <s v="BR_VW_TCR_oath_DIS_PROG_CPM_CLK_MPU_AAF_RON_CXD_T-Croos-Lancamento-Awareness-Display-30s-T-cross-AMC_PD_Video"/>
    <s v="441311622"/>
    <x v="0"/>
    <n v="1254635"/>
    <n v="13825"/>
    <n v="0.91"/>
    <n v="0.35"/>
    <n v="1141.71785"/>
    <x v="20"/>
  </r>
  <r>
    <s v="BR_AAF_DSY_LANCH_ND_NC_2019Q2APR_TCR_Launch-T-Cross-Awareness-fase-um"/>
    <s v="Oath BR"/>
    <s v="BR_VW_TCR_oath_DIS_PROG_CPM_CLK_MPU_AAF_RON_CXD_T-Croos-Lancamento-Awareness-Display-60s-T-cross-AMC_PD_Video"/>
    <s v="244700994"/>
    <x v="0"/>
    <s v="BR_VW_TCR_oath_DIS_PROG_CPM_CLK_MPU_AAF_RON_CXD_T-Croos-Lancamento-Awareness-Display-60s-T-cross-AMC_PD_Video"/>
    <s v="441322510"/>
    <x v="0"/>
    <n v="405776"/>
    <n v="11607"/>
    <n v="0.91"/>
    <n v="0.35"/>
    <n v="369.25616000000002"/>
    <x v="21"/>
  </r>
  <r>
    <s v="BR_AAF_DSY_LANCH_ND_NC_2019Q2APR_TCR_Launch-T-Cross-Awareness-fase-um"/>
    <s v="Oath BR"/>
    <s v="BR_VW_TCR_oath_DIS_PROG_CPM_CLK_SRB_AAF_RON_CXD_T-Croos-Lancamento-Awareness-Display-Assistente-de-Partida-T-cross-AMC_PD_Video"/>
    <s v="245630258"/>
    <x v="0"/>
    <s v="BR_VW_TCR_oath_DIS_PROG_CPM_CLK_SRB_AAF_RON_CXD_T-Croos-Lancamento-Awareness-Display-Assistente-de-Partida-T-cross-AMC_PD_Video"/>
    <s v="442290831"/>
    <x v="0"/>
    <n v="65677"/>
    <n v="1795"/>
    <n v="0.91"/>
    <n v="0.35"/>
    <n v="59.766069999999999"/>
    <x v="22"/>
  </r>
  <r>
    <s v="BR_AAF_DSY_LANCH_ND_NC_2019Q2APR_TCR_Launch-T-Cross-Awareness-fase-um"/>
    <s v="Oath BR"/>
    <s v="BR_VW_TCR_oath_DIS_PROG_CPM_CLK_SRB_AAF_RON_CXD_T-Croos-Lancamento-Awareness-Display-Senso-De-Re-T-cross-AMC_PD_Video"/>
    <s v="245770135"/>
    <x v="0"/>
    <s v="BR_VW_TCR_oath_DIS_PROG_CPM_CLK_SRB_AAF_RON_CXD_T-Croos-Lancamento-Awareness-Display-Senso-De-Re-T-cross-AMC_PD_Video"/>
    <s v="442289370"/>
    <x v="0"/>
    <n v="59415"/>
    <n v="1946"/>
    <n v="0.91"/>
    <n v="0.35"/>
    <n v="54.06765"/>
    <x v="23"/>
  </r>
  <r>
    <s v="BR_AAF_DSY_LANCH_ND_NC_2019Q2APR_TCR_Launch-T-Cross-Awareness-fase-um"/>
    <s v="Oath BR"/>
    <s v="BR_VW_TCR_oath_DIS_PROG_CPM_CLK_SRB_AAF_RON_CXD_T-Cross-Lancamento-Awareness-Display-Lane-Assist-T-cross-AMC_PD_Video"/>
    <s v="245770339"/>
    <x v="0"/>
    <s v="BR_VW_TCR_oath_DIS_PROG_CPM_CLK_SRB_AAF_RON_CXD_T-Cross-Lancamento-Awareness-Display-Lane-Assist-T-cross-AMC_PD_Video"/>
    <s v="442291395"/>
    <x v="0"/>
    <n v="84272"/>
    <n v="2507"/>
    <n v="0.91"/>
    <n v="0.35"/>
    <n v="76.687520000000006"/>
    <x v="24"/>
  </r>
  <r>
    <s v="BR_AAF_DSY_LANCH_ND_NC_2019Q2APR_TCR_Launch-T-Cross-Awareness-fase-um"/>
    <s v="Oath BR"/>
    <s v="BR_VW_TCR_oath_DIS_PROG_CPM_CLK_SRB_AAF_RON_CXD_T-Cross-Lancamento-Awareness-Display-Motor-TSI-T-cross-AMC_PD_Video"/>
    <s v="245770153"/>
    <x v="0"/>
    <s v="BR_VW_TCR_oath_DIS_PROG_CPM_CLK_SRB_AAF_RON_CXD_T-Cross-Lancamento-Awareness-Display-Motor-TSI-T-cross-AMC_PD_Video"/>
    <s v="442390118"/>
    <x v="0"/>
    <n v="85277"/>
    <n v="2038"/>
    <n v="0.91"/>
    <n v="0.35"/>
    <n v="77.602070000000012"/>
    <x v="25"/>
  </r>
  <r>
    <s v="BR_AAF_DSY_LANCH_ND_NC_2019Q2APR_TCR_Launch-T-Cross-Awareness-fase-um"/>
    <s v="Oath BR"/>
    <s v="BR_VW_TCR_oath_DIS_PROG_CPM_CLK_SRB_AAF_RON_CXD_T-Cross-Lancamento-Awareness-Display-Park-Assist-T-cross-AMC_PD_Video"/>
    <s v="245631536"/>
    <x v="0"/>
    <s v="BR_VW_TCR_oath_DIS_PROG_CPM_CLK_SRB_AAF_RON_CXD_T-Cross-Lancamento-Awareness-Display-Park-Assist-T-cross-AMC_PD_Video"/>
    <s v="442390121"/>
    <x v="0"/>
    <n v="27910"/>
    <n v="1413"/>
    <n v="0.91"/>
    <n v="0.35"/>
    <n v="25.398100000000003"/>
    <x v="26"/>
  </r>
  <r>
    <s v="BR_AAF_DSY_LANCH_ND_NC_2019Q2APR_TCR_Launch-T-Cross-Awareness-fase-um"/>
    <s v="Oath BR"/>
    <s v="BR_VW_TCR_oath_DIS_PROG_CPM_CLK_SRB_AAF_RON_CXD_T-Cross-Lancamento-Awareness-Display-Sensor-de-Fadiga-T-cross-AMC_PD_Video"/>
    <s v="245630486"/>
    <x v="0"/>
    <s v="BR_VW_TCR_oath_DIS_PROG_CPM_CLK_SRB_AAF_RON_CXD_T-Cross-Lancamento-Awareness-Display-Sensor-de-Fadiga-T-cross-AMC_PD_Video"/>
    <s v="442390211"/>
    <x v="0"/>
    <n v="62087"/>
    <n v="1945"/>
    <n v="0.91"/>
    <n v="0.35"/>
    <n v="56.499170000000007"/>
    <x v="27"/>
  </r>
  <r>
    <s v="BR_AAF_DSY_LANCH_ND_NC_2019Q2APR_TCR_Launch-T-Cross-Awareness-fase-um"/>
    <s v="TEADS"/>
    <s v="BR_VW_TCR_teads_DIS_PROG_CPM_CLK_MPU_AAF_RON_CXD_T-Croos-Lancamento-Awareness-Display-30s-T-cross-AMC_PD_Video"/>
    <s v="244799136"/>
    <x v="3"/>
    <s v="BR_VW_TCR_teads_DIS_PROG_CPM_CLK_MPU_AAF_RON_CXD_T-Croos-Lancamento-Awareness-Display-30s-T-cross-AMC_PD_Video"/>
    <s v="441383867"/>
    <x v="1"/>
    <n v="4085923"/>
    <n v="5013"/>
    <n v="3.8199999999999998E-2"/>
    <n v="0.09"/>
    <n v="156.08225859999999"/>
    <x v="28"/>
  </r>
  <r>
    <s v="BR_AAF_DSY_LANCH_ND_NC_2019Q2APR_TCR_Launch-T-Cross-Awareness-fase-um"/>
    <s v="TEADS"/>
    <s v="BR_VW_TCR_teads_DIS_PROG_CPM_CLK_MPU_AAF_RON_CXD_T-Croos-Lancamento-Awareness-Display-60s-T-cross-AMC_PD_Video"/>
    <s v="244472569"/>
    <x v="3"/>
    <s v="BR_VW_TCR_teads_DIS_PROG_CPM_CLK_MPU_AAF_RON_CXD_T-Croos-Lancamento-Awareness-Display-60s-T-cross-AMC_PD_Video"/>
    <s v="441324560"/>
    <x v="1"/>
    <n v="304198"/>
    <n v="1234"/>
    <n v="3.8199999999999998E-2"/>
    <n v="0.09"/>
    <n v="11.620363599999999"/>
    <x v="29"/>
  </r>
  <r>
    <s v="BR_AAF_DSY_LANCH_ND_NC_2019Q2APR_TCR_Launch-T-Cross-Awareness-fase-um"/>
    <s v="Waze, Inc"/>
    <s v="BR_VW_TCR_Waze_DIS_DRCT_CPM_CLK_LDR_AAF_RON_CXD_T-Croos-Lancamento-Awareness-Display-DIARIAS-T-cross-AMC_PD_608x240"/>
    <s v="245631592"/>
    <x v="1"/>
    <s v="BR_VW_TCR_Waze_DIS_DRCT_CPM_CLK_LDR_AAF_RON_CXD_T-Croos-Lancamento-Awareness-Display-DIARIAS-T-cross-AMC_PD_608x240"/>
    <s v="442284989"/>
    <x v="1"/>
    <n v="0"/>
    <n v="1"/>
    <n v="3.5000000000000001E-3"/>
    <n v="0.02"/>
    <n v="3.5000000000000001E-3"/>
    <x v="1"/>
  </r>
  <r>
    <s v="BR_AAF_DSY_LANCH_ND_NC_2019Q2APR_TCR_Launch-T-Cross-Awareness-fase-um"/>
    <s v="Waze, Inc"/>
    <s v="BR_VW_TCR_Waze_DIS_DRCT_CPM_CLK_LDR_AAF_RON_CXD_T-Croos-Lancamento-Awareness-Display-DIARIAS-T-cross-AMC_PD_788x240"/>
    <s v="245631637"/>
    <x v="3"/>
    <s v="BR_VW_TCR_Waze_DIS_DRCT_CPM_CLK_LDR_AAF_RON_CXD_T-Croos-Lancamento-Awareness-Display-DIARIAS-T-cross-AMC_PD_788x240"/>
    <s v="442295554"/>
    <x v="1"/>
    <n v="1570679"/>
    <n v="4591"/>
    <n v="3.8199999999999998E-2"/>
    <n v="0.09"/>
    <n v="59.999937799999998"/>
    <x v="30"/>
  </r>
  <r>
    <s v="BR_AAF_DSY_LANCH_ND_NC_2019Q2APR_TCR_Launch-T-Cross-Awareness-fase-um"/>
    <s v="br.linkedin.com"/>
    <s v="BR_VW_TCR_linkedin_DIS_DRCT_CPM_CLK_SRB_AAF_RON_CXD_T-Croos-Lancamento-Awareness-Display-T-cross-AMC_PD_1200x627"/>
    <s v="244755753"/>
    <x v="1"/>
    <s v="BR_VW_TCR_linkedin_DIS_DRCT_CPM_CLK_SRB_AAF_RON_CXD_T-Croos-Lancamento-Awareness-Display-T-cross-AMC_PD_1200x627"/>
    <s v="441369218"/>
    <x v="1"/>
    <n v="0"/>
    <n v="10887"/>
    <n v="3.5000000000000001E-3"/>
    <n v="0.02"/>
    <n v="38.104500000000002"/>
    <x v="31"/>
  </r>
  <r>
    <s v="BR_AAF_DSY_LANCH_ND_NC_2019Q2APR_TCR_Launch-T-Cross-Familiaridade-2"/>
    <s v="Google Brasil"/>
    <s v="BR_VW_TCR_DV360-Globo_DIS_PROG_CPM_CLK_LDR_AAF_RON_CXD_T-Croos-Lancamento-Familiaridade-Display-T-cross-RMKT-Diaria_PD_970x90"/>
    <s v="245846522"/>
    <x v="3"/>
    <s v="BR_VW_TCR_DV360-Globo_DIS_PROG_CPM_CLK_LDR_AAF_RON_CXD_T-Croos-Lancamento-Familiaridade-Display-T-cross-RMKT-Diaria_PD_970x90"/>
    <s v="442612655"/>
    <x v="2"/>
    <n v="1"/>
    <n v="1"/>
    <n v="3.8199999999999998E-2"/>
    <n v="0.09"/>
    <n v="3.82E-5"/>
    <x v="2"/>
  </r>
  <r>
    <s v="BR_AAF_DSY_LANCH_ND_NC_2019Q2APR_TCR_Launch-T-Cross-Familiaridade-2"/>
    <s v="Google Brasil"/>
    <s v="BR_VW_TCR_DV360-Globo_DIS_PROG_CPM_CLK_MPU_AAF_RON_CXD_T-Croos-Lancamento-Familiaridade-Display-T-cross-Moda-e-Beleza_PD_320x50"/>
    <s v="245846486"/>
    <x v="3"/>
    <s v="BR_VW_TCR_DV360-Globo_DIS_PROG_CPM_CLK_MPU_AAF_RON_CXD_T-Croos-Lancamento-Familiaridade-Display-T-cross-Moda-e-Beleza_PD_320x50"/>
    <s v="442596328"/>
    <x v="2"/>
    <n v="1"/>
    <n v="1"/>
    <n v="3.8199999999999998E-2"/>
    <n v="0.09"/>
    <n v="3.82E-5"/>
    <x v="2"/>
  </r>
  <r>
    <s v="BR_AAF_DSY_LANCH_ND_NC_2019Q2APR_TCR_Launch-T-Cross-Familiaridade-2"/>
    <s v="Google Brasil"/>
    <s v="BR_VW_TCR_DV360-Globo_DIS_PROG_CPM_CLK_MPU_AAF_RON_CXD_T-Croos-Lancamento-Familiaridade-Display-T-cross-RMKT-Diaria_PD_320x50"/>
    <s v="245846432"/>
    <x v="3"/>
    <s v="BR_VW_TCR_DV360-Globo_DIS_PROG_CPM_CLK_MPU_AAF_RON_CXD_T-Croos-Lancamento-Familiaridade-Display-T-cross-RMKT-Diaria_PD_320x50"/>
    <s v="442596274"/>
    <x v="2"/>
    <n v="2"/>
    <n v="2"/>
    <n v="3.8199999999999998E-2"/>
    <n v="0.09"/>
    <n v="7.64E-5"/>
    <x v="32"/>
  </r>
  <r>
    <s v="BR_AAF_DSY_LANCH_ND_NC_2019Q2APR_TCR_Launch-T-Cross-Familiaridade-2"/>
    <s v="Google Brasil"/>
    <s v="BR_VW_TCR_DV360-uol_DIS_PROG_CPM_CLK_MPU_AAF_RON_CXD_T-Croos-Lancamento-Familiaridade-Display-T-cross-Familia_PD_300x250"/>
    <s v="245587958"/>
    <x v="3"/>
    <s v="BR_VW_TCR_DV360-uol_DIS_PROG_CPM_CLK_MPU_AAF_RON_CXD_T-Croos-Lancamento-Familiaridade-Display-T-cross-Familia_PD_300x250"/>
    <s v="442367261"/>
    <x v="2"/>
    <n v="4456699"/>
    <n v="7448"/>
    <n v="3.8199999999999998E-2"/>
    <n v="0.09"/>
    <n v="170.24590179999998"/>
    <x v="33"/>
  </r>
  <r>
    <s v="BR_AAF_DSY_LANCH_ND_NC_2019Q2APR_TCR_Launch-T-Cross-Familiaridade-2"/>
    <s v="Google Brasil"/>
    <s v="BR_VW_TCR_DV360-uol_DIS_PROG_CPM_CLK_MPU_AAF_RON_CXD_T-Croos-Lancamento-Familiaridade-Display-T-cross-Familia_PD_320x50"/>
    <s v="245587952"/>
    <x v="3"/>
    <s v="BR_VW_TCR_DV360-uol_DIS_PROG_CPM_CLK_MPU_AAF_RON_CXD_T-Croos-Lancamento-Familiaridade-Display-T-cross-Familia_PD_320x50"/>
    <s v="442367255"/>
    <x v="2"/>
    <n v="1925921"/>
    <n v="4286"/>
    <n v="3.8199999999999998E-2"/>
    <n v="0.09"/>
    <n v="73.570182199999991"/>
    <x v="34"/>
  </r>
  <r>
    <s v="BR_AAF_DSY_LANCH_ND_NC_2019Q2APR_TCR_Launch-T-Cross-Familiaridade-2"/>
    <s v="Google Brasil"/>
    <s v="BR_VW_TCR_DV360-uol_DIS_PROG_CPM_CLK_MPU_AAF_RON_CXD_T-Croos-Lancamento-Familiaridade-Display-T-cross-Moda-e-Beleza_PD_300x250"/>
    <s v="245606021"/>
    <x v="3"/>
    <s v="BR_VW_TCR_DV360-uol_DIS_PROG_CPM_CLK_MPU_AAF_RON_CXD_T-Croos-Lancamento-Familiaridade-Display-T-cross-Moda-e-Beleza_PD_300x250"/>
    <s v="442367321"/>
    <x v="2"/>
    <n v="4478601"/>
    <n v="4543"/>
    <n v="3.8199999999999998E-2"/>
    <n v="0.09"/>
    <n v="171.08255819999999"/>
    <x v="35"/>
  </r>
  <r>
    <s v="BR_AAF_DSY_LANCH_ND_NC_2019Q2APR_TCR_Launch-T-Cross-Familiaridade-2"/>
    <s v="Google Brasil"/>
    <s v="BR_VW_TCR_DV360-uol_DIS_PROG_CPM_CLK_MPU_AAF_RON_CXD_T-Croos-Lancamento-Familiaridade-Display-T-cross-Moda-e-Beleza_PD_320x50"/>
    <s v="245606015"/>
    <x v="2"/>
    <s v="320x50 Default Web Ad"/>
    <s v="442269858"/>
    <x v="2"/>
    <n v="1"/>
    <n v="0"/>
    <n v="3.8199999999999998E-2"/>
    <n v="0.09"/>
    <n v="3.82E-5"/>
    <x v="2"/>
  </r>
  <r>
    <s v="BR_AAF_DSY_LANCH_ND_NC_2019Q2APR_TCR_Launch-T-Cross-Familiaridade-2"/>
    <s v="Google Brasil"/>
    <s v="BR_VW_TCR_DV360-uol_DIS_PROG_CPM_CLK_MPU_AAF_RON_CXD_T-Croos-Lancamento-Familiaridade-Display-T-cross-Moda-e-Beleza_PD_320x50"/>
    <s v="245606015"/>
    <x v="3"/>
    <s v="BR_VW_TCR_DV360-uol_DIS_PROG_CPM_CLK_MPU_AAF_RON_CXD_T-Croos-Lancamento-Familiaridade-Display-T-cross-Moda-e-Beleza_PD_320x50"/>
    <s v="442367315"/>
    <x v="2"/>
    <n v="2202185"/>
    <n v="3190"/>
    <n v="3.8199999999999998E-2"/>
    <n v="0.09"/>
    <n v="84.123466999999991"/>
    <x v="36"/>
  </r>
  <r>
    <s v="BR_AAF_DSY_LANCH_ND_NC_2019Q2APR_TCR_Launch-T-Cross-Familiaridade-2"/>
    <s v="Google Brasil"/>
    <s v="BR_VW_TCR_DV360-uol_DIS_PROG_CPM_CLK_MPU_AAF_RON_CXD_T-Croos-Lancamento-Familiaridade-Display-T-cross-Noticias_PD_300x250"/>
    <s v="245587988"/>
    <x v="3"/>
    <s v="BR_VW_TCR_DV360-uol_DIS_PROG_CPM_CLK_MPU_AAF_RON_CXD_T-Croos-Lancamento-Familiaridade-Display-T-cross-Noticias_PD_300x250"/>
    <s v="442367291"/>
    <x v="2"/>
    <n v="4385677"/>
    <n v="7382"/>
    <n v="3.8199999999999998E-2"/>
    <n v="0.09"/>
    <n v="167.5328614"/>
    <x v="37"/>
  </r>
  <r>
    <s v="BR_AAF_DSY_LANCH_ND_NC_2019Q2APR_TCR_Launch-T-Cross-Familiaridade-2"/>
    <s v="Google Brasil"/>
    <s v="BR_VW_TCR_DV360-uol_DIS_PROG_CPM_CLK_MPU_AAF_RON_CXD_T-Croos-Lancamento-Familiaridade-Display-T-cross-Noticias_PD_320x50"/>
    <s v="245587982"/>
    <x v="3"/>
    <s v="BR_VW_TCR_DV360-uol_DIS_PROG_CPM_CLK_MPU_AAF_RON_CXD_T-Croos-Lancamento-Familiaridade-Display-T-cross-Noticias_PD_320x50"/>
    <s v="442367285"/>
    <x v="2"/>
    <n v="2020636"/>
    <n v="4659"/>
    <n v="3.8199999999999998E-2"/>
    <n v="0.09"/>
    <n v="77.188295199999999"/>
    <x v="38"/>
  </r>
  <r>
    <s v="BR_AAF_DSY_LANCH_ND_NC_2019Q2APR_TCR_Launch-T-Cross-Familiaridade-2"/>
    <s v="Google Brasil"/>
    <s v="BR_VW_TCR_DV360-uol_DIS_PROG_CPM_CLK_MPU_AAF_RON_CXD_T-Croos-Lancamento-Familiaridade-Display-T-cross-RMKT-Fase-Awareness_PD_300x250"/>
    <s v="245587898"/>
    <x v="3"/>
    <s v="BR_VW_TCR_DV360-uol_DIS_PROG_CPM_CLK_MPU_AAF_RON_CXD_T-Croos-Lancamento-Familiaridade-Display-T-cross-RMKT-Fase-Awareness_PD_300x250"/>
    <s v="442367201"/>
    <x v="2"/>
    <n v="4472720"/>
    <n v="8000"/>
    <n v="3.8199999999999998E-2"/>
    <n v="0.09"/>
    <n v="170.85790399999999"/>
    <x v="39"/>
  </r>
  <r>
    <s v="BR_AAF_DSY_LANCH_ND_NC_2019Q2APR_TCR_Launch-T-Cross-Familiaridade-2"/>
    <s v="Google Brasil"/>
    <s v="BR_VW_TCR_DV360-uol_DIS_PROG_CPM_CLK_MPU_AAF_RON_CXD_T-Croos-Lancamento-Familiaridade-Display-T-cross-RMKT-Fase-Awareness_PD_320x50"/>
    <s v="245587892"/>
    <x v="3"/>
    <s v="BR_VW_TCR_DV360-uol_DIS_PROG_CPM_CLK_MPU_AAF_RON_CXD_T-Croos-Lancamento-Familiaridade-Display-T-cross-RMKT-Fase-Awareness_PD_320x50"/>
    <s v="442367195"/>
    <x v="2"/>
    <n v="1920828"/>
    <n v="4467"/>
    <n v="3.8199999999999998E-2"/>
    <n v="0.09"/>
    <n v="73.375629599999996"/>
    <x v="40"/>
  </r>
  <r>
    <s v="BR_AAF_DSY_LANCH_ND_NC_2019Q2APR_TCR_Launch-T-Cross-Familiaridade-2"/>
    <s v="Google Brasil"/>
    <s v="BR_VW_TCR_DV360-uol_DIS_PROG_CPM_CLK_SKY_AAF_RON_CXD_T-Croos-Lancamento-Familiaridade-Display-T-cross-Familia_PD_160x600"/>
    <s v="245587961"/>
    <x v="3"/>
    <s v="BR_VW_TCR_DV360-uol_DIS_PROG_CPM_CLK_SKY_AAF_RON_CXD_T-Croos-Lancamento-Familiaridade-Display-T-cross-Familia_PD_160x600"/>
    <s v="442367264"/>
    <x v="2"/>
    <n v="8519"/>
    <n v="6"/>
    <n v="3.8199999999999998E-2"/>
    <n v="0.09"/>
    <n v="0.32542579999999999"/>
    <x v="41"/>
  </r>
  <r>
    <s v="BR_AAF_DSY_LANCH_ND_NC_2019Q2APR_TCR_Launch-T-Cross-Familiaridade-2"/>
    <s v="Google Brasil"/>
    <s v="BR_VW_TCR_DV360-uol_DIS_PROG_CPM_CLK_SKY_AAF_RON_CXD_T-Croos-Lancamento-Familiaridade-Display-T-cross-Familia_PD_300x600"/>
    <s v="245587955"/>
    <x v="3"/>
    <s v="BR_VW_TCR_DV360-uol_DIS_PROG_CPM_CLK_SKY_AAF_RON_CXD_T-Croos-Lancamento-Familiaridade-Display-T-cross-Familia_PD_300x600"/>
    <s v="442367258"/>
    <x v="2"/>
    <n v="820521"/>
    <n v="897"/>
    <n v="3.8199999999999998E-2"/>
    <n v="0.09"/>
    <n v="31.343902199999995"/>
    <x v="42"/>
  </r>
  <r>
    <s v="BR_AAF_DSY_LANCH_ND_NC_2019Q2APR_TCR_Launch-T-Cross-Familiaridade-2"/>
    <s v="Google Brasil"/>
    <s v="BR_VW_TCR_DV360-uol_DIS_PROG_CPM_CLK_SKY_AAF_RON_CXD_T-Croos-Lancamento-Familiaridade-Display-T-cross-Moda-e-Beleza_PD_160x600"/>
    <s v="245606024"/>
    <x v="3"/>
    <s v="BR_VW_TCR_DV360-uol_DIS_PROG_CPM_CLK_SKY_AAF_RON_CXD_T-Croos-Lancamento-Familiaridade-Display-T-cross-Moda-e-Beleza_PD_160x600"/>
    <s v="442367324"/>
    <x v="2"/>
    <n v="4383"/>
    <n v="7"/>
    <n v="3.8199999999999998E-2"/>
    <n v="0.09"/>
    <n v="0.16743059999999998"/>
    <x v="43"/>
  </r>
  <r>
    <s v="BR_AAF_DSY_LANCH_ND_NC_2019Q2APR_TCR_Launch-T-Cross-Familiaridade-2"/>
    <s v="Google Brasil"/>
    <s v="BR_VW_TCR_DV360-uol_DIS_PROG_CPM_CLK_SKY_AAF_RON_CXD_T-Croos-Lancamento-Familiaridade-Display-T-cross-Moda-e-Beleza_PD_300x600"/>
    <s v="245606018"/>
    <x v="3"/>
    <s v="BR_VW_TCR_DV360-uol_DIS_PROG_CPM_CLK_SKY_AAF_RON_CXD_T-Croos-Lancamento-Familiaridade-Display-T-cross-Moda-e-Beleza_PD_300x600"/>
    <s v="442367318"/>
    <x v="2"/>
    <n v="451614"/>
    <n v="463"/>
    <n v="3.8199999999999998E-2"/>
    <n v="0.09"/>
    <n v="17.251654800000001"/>
    <x v="44"/>
  </r>
  <r>
    <s v="BR_AAF_DSY_LANCH_ND_NC_2019Q2APR_TCR_Launch-T-Cross-Familiaridade-2"/>
    <s v="Google Brasil"/>
    <s v="BR_VW_TCR_DV360-uol_DIS_PROG_CPM_CLK_SKY_AAF_RON_CXD_T-Croos-Lancamento-Familiaridade-Display-T-cross-Noticias_PD_160x600"/>
    <s v="245605994"/>
    <x v="3"/>
    <s v="BR_VW_TCR_DV360-uol_DIS_PROG_CPM_CLK_SKY_AAF_RON_CXD_T-Croos-Lancamento-Familiaridade-Display-T-cross-Noticias_PD_160x600"/>
    <s v="442367294"/>
    <x v="2"/>
    <n v="9065"/>
    <n v="6"/>
    <n v="3.8199999999999998E-2"/>
    <n v="0.09"/>
    <n v="0.34628299999999995"/>
    <x v="45"/>
  </r>
  <r>
    <s v="BR_AAF_DSY_LANCH_ND_NC_2019Q2APR_TCR_Launch-T-Cross-Familiaridade-2"/>
    <s v="Google Brasil"/>
    <s v="BR_VW_TCR_DV360-uol_DIS_PROG_CPM_CLK_SKY_AAF_RON_CXD_T-Croos-Lancamento-Familiaridade-Display-T-cross-Noticias_PD_300x600"/>
    <s v="245587985"/>
    <x v="3"/>
    <s v="BR_VW_TCR_DV360-uol_DIS_PROG_CPM_CLK_SKY_AAF_RON_CXD_T-Croos-Lancamento-Familiaridade-Display-T-cross-Noticias_PD_300x600"/>
    <s v="442367288"/>
    <x v="2"/>
    <n v="798470"/>
    <n v="873"/>
    <n v="3.8199999999999998E-2"/>
    <n v="0.09"/>
    <n v="30.501553999999999"/>
    <x v="46"/>
  </r>
  <r>
    <s v="BR_AAF_DSY_LANCH_ND_NC_2019Q2APR_TCR_Launch-T-Cross-Familiaridade-2"/>
    <s v="Google Brasil"/>
    <s v="BR_VW_TCR_DV360-uol_DIS_PROG_CPM_CLK_SKY_AAF_RON_CXD_T-Croos-Lancamento-Familiaridade-Display-T-cross-RMKT-Fase-Awareness_PD_160x600"/>
    <s v="245587901"/>
    <x v="3"/>
    <s v="BR_VW_TCR_DV360-uol_DIS_PROG_CPM_CLK_SKY_AAF_RON_CXD_T-Croos-Lancamento-Familiaridade-Display-T-cross-RMKT-Fase-Awareness_PD_160x600"/>
    <s v="442367204"/>
    <x v="2"/>
    <n v="8415"/>
    <n v="9"/>
    <n v="3.8199999999999998E-2"/>
    <n v="0.09"/>
    <n v="0.32145299999999999"/>
    <x v="47"/>
  </r>
  <r>
    <s v="BR_AAF_DSY_LANCH_ND_NC_2019Q2APR_TCR_Launch-T-Cross-Familiaridade-2"/>
    <s v="Google Brasil"/>
    <s v="BR_VW_TCR_DV360-uol_DIS_PROG_CPM_CLK_SKY_AAF_RON_CXD_T-Croos-Lancamento-Familiaridade-Display-T-cross-RMKT-Fase-Awareness_PD_300x600"/>
    <s v="245587895"/>
    <x v="3"/>
    <s v="BR_VW_TCR_DV360-uol_DIS_PROG_CPM_CLK_SKY_AAF_RON_CXD_T-Croos-Lancamento-Familiaridade-Display-T-cross-RMKT-Fase-Awareness_PD_300x600"/>
    <s v="442367198"/>
    <x v="2"/>
    <n v="821967"/>
    <n v="1250"/>
    <n v="3.8199999999999998E-2"/>
    <n v="0.09"/>
    <n v="31.399139399999999"/>
    <x v="48"/>
  </r>
  <r>
    <s v="BR_AAF_DSY_LANCH_ND_NC_2019Q2APR_TCR_Launch-T-Cross-Familiaridade-2"/>
    <s v="Google Brasil"/>
    <s v="BR_VW_TCR_DV360_DIS_PROG_CPM_CLK_LDR_AAF_RON_CXD_T-Croos-Lancamento-Familiaridade-Display-T-Cross-Autos_PD_728x90"/>
    <s v="245731433"/>
    <x v="3"/>
    <s v="BR_VW_TCR_DV360_DIS_PROG_CPM_CLK_LDR_AAF_RON_CXD_T-Croos-Lancamento-Familiaridade-Display-T-Cross-Autos_PD_728x90"/>
    <s v="442488091"/>
    <x v="2"/>
    <n v="4"/>
    <n v="0"/>
    <n v="3.8199999999999998E-2"/>
    <n v="0.09"/>
    <n v="1.528E-4"/>
    <x v="49"/>
  </r>
  <r>
    <s v="BR_AAF_DSY_LANCH_ND_NC_2019Q2APR_TCR_Launch-T-Cross-Familiaridade-2"/>
    <s v="Google Brasil"/>
    <s v="BR_VW_TCR_DV360_DIS_PROG_CPM_CLK_LDR_AAF_RON_CXD_T-Croos-Lancamento-Familiaridade-Display-T-Cross-Autos_PD_970x250"/>
    <s v="245844475"/>
    <x v="3"/>
    <s v="BR_VW_TCR_DV360_DIS_PROG_CPM_CLK_LDR_AAF_RON_CXD_T-Croos-Lancamento-Familiaridade-Display-T-Cross-Autos_PD_970x250"/>
    <s v="442488085"/>
    <x v="2"/>
    <n v="4"/>
    <n v="0"/>
    <n v="3.8199999999999998E-2"/>
    <n v="0.09"/>
    <n v="1.528E-4"/>
    <x v="49"/>
  </r>
  <r>
    <s v="BR_AAF_DSY_LANCH_ND_NC_2019Q2APR_TCR_Launch-T-Cross-Familiaridade-2"/>
    <s v="Google Brasil"/>
    <s v="BR_VW_TCR_DV360_DIS_PROG_CPM_CLK_LDR_AAF_RON_CXD_T-Croos-Lancamento-Familiaridade-Display-T-Cross-Autos_PD_970x90"/>
    <s v="245731430"/>
    <x v="3"/>
    <s v="BR_VW_TCR_DV360_DIS_PROG_CPM_CLK_LDR_AAF_RON_CXD_T-Croos-Lancamento-Familiaridade-Display-T-Cross-Autos_PD_970x90"/>
    <s v="442488088"/>
    <x v="2"/>
    <n v="1"/>
    <n v="0"/>
    <n v="3.8199999999999998E-2"/>
    <n v="0.09"/>
    <n v="3.82E-5"/>
    <x v="2"/>
  </r>
  <r>
    <s v="BR_AAF_DSY_LANCH_ND_NC_2019Q2APR_TCR_Launch-T-Cross-Familiaridade-2"/>
    <s v="Google Brasil"/>
    <s v="BR_VW_TCR_DV360_DIS_PROG_CPM_CLK_LDR_AAF_RON_CXD_T-Croos-Lancamento-Familiaridade-Display-T-Cross-Viagem_PD_728x90"/>
    <s v="245844454"/>
    <x v="3"/>
    <s v="BR_VW_TCR_DV360_DIS_PROG_CPM_CLK_LDR_AAF_RON_CXD_T-Croos-Lancamento-Familiaridade-Display-T-Cross-Viagem_PD_728x90"/>
    <s v="442488064"/>
    <x v="2"/>
    <n v="19"/>
    <n v="0"/>
    <n v="3.8199999999999998E-2"/>
    <n v="0.09"/>
    <n v="7.2579999999999997E-4"/>
    <x v="50"/>
  </r>
  <r>
    <s v="BR_AAF_DSY_LANCH_ND_NC_2019Q2APR_TCR_Launch-T-Cross-Familiaridade-2"/>
    <s v="Google Brasil"/>
    <s v="BR_VW_TCR_DV360_DIS_PROG_CPM_CLK_LDR_AAF_RON_CXD_T-Croos-Lancamento-Familiaridade-Display-T-Cross-Viagem_PD_970x250"/>
    <s v="245844448"/>
    <x v="3"/>
    <s v="BR_VW_TCR_DV360_DIS_PROG_CPM_CLK_LDR_AAF_RON_CXD_T-Croos-Lancamento-Familiaridade-Display-T-Cross-Viagem_PD_970x250"/>
    <s v="442488058"/>
    <x v="2"/>
    <n v="11"/>
    <n v="2"/>
    <n v="3.8199999999999998E-2"/>
    <n v="0.09"/>
    <n v="4.2019999999999997E-4"/>
    <x v="51"/>
  </r>
  <r>
    <s v="BR_AAF_DSY_LANCH_ND_NC_2019Q2APR_TCR_Launch-T-Cross-Familiaridade-2"/>
    <s v="Google Brasil"/>
    <s v="BR_VW_TCR_DV360_DIS_PROG_CPM_CLK_LDR_AAF_RON_CXD_T-Croos-Lancamento-Familiaridade-Display-T-Cross-Viagem_PD_970x90"/>
    <s v="245844451"/>
    <x v="3"/>
    <s v="BR_VW_TCR_DV360_DIS_PROG_CPM_CLK_LDR_AAF_RON_CXD_T-Croos-Lancamento-Familiaridade-Display-T-Cross-Viagem_PD_970x90"/>
    <s v="442488061"/>
    <x v="2"/>
    <n v="4"/>
    <n v="0"/>
    <n v="3.8199999999999998E-2"/>
    <n v="0.09"/>
    <n v="1.528E-4"/>
    <x v="49"/>
  </r>
  <r>
    <s v="BR_AAF_DSY_LANCH_ND_NC_2019Q2APR_TCR_Launch-T-Cross-Familiaridade-2"/>
    <s v="Google Brasil"/>
    <s v="BR_VW_TCR_DV360_DIS_PROG_CPM_CLK_LDR_AAF_RON_CXD_T-Croos-Lancamento-Familiaridade-Display-T-cross-Familia_PD_728x90"/>
    <s v="246034458"/>
    <x v="3"/>
    <s v="BR_VW_TCR_DV360_DIS_PROG_CPM_CLK_LDR_AAF_RON_CXD_T-Croos-Lancamento-Familiaridade-Display-T-cross-Familia_PD_728x90"/>
    <s v="442456253"/>
    <x v="2"/>
    <n v="6146"/>
    <n v="8"/>
    <n v="3.8199999999999998E-2"/>
    <n v="0.09"/>
    <n v="0.23477719999999999"/>
    <x v="52"/>
  </r>
  <r>
    <s v="BR_AAF_DSY_LANCH_ND_NC_2019Q2APR_TCR_Launch-T-Cross-Familiaridade-2"/>
    <s v="Google Brasil"/>
    <s v="BR_VW_TCR_DV360_DIS_PROG_CPM_CLK_LDR_AAF_RON_CXD_T-Croos-Lancamento-Familiaridade-Display-T-cross-Familia_PD_970x250"/>
    <s v="246034452"/>
    <x v="3"/>
    <s v="BR_VW_TCR_DV360_DIS_PROG_CPM_CLK_LDR_AAF_RON_CXD_T-Croos-Lancamento-Familiaridade-Display-T-cross-Familia_PD_970x250"/>
    <s v="442455041"/>
    <x v="2"/>
    <n v="2578"/>
    <n v="7"/>
    <n v="3.8199999999999998E-2"/>
    <n v="0.09"/>
    <n v="9.8479599999999987E-2"/>
    <x v="53"/>
  </r>
  <r>
    <s v="BR_AAF_DSY_LANCH_ND_NC_2019Q2APR_TCR_Launch-T-Cross-Familiaridade-2"/>
    <s v="Google Brasil"/>
    <s v="BR_VW_TCR_DV360_DIS_PROG_CPM_CLK_LDR_AAF_RON_CXD_T-Croos-Lancamento-Familiaridade-Display-T-cross-Familia_PD_970x90"/>
    <s v="246034455"/>
    <x v="3"/>
    <s v="BR_VW_TCR_DV360_DIS_PROG_CPM_CLK_LDR_AAF_RON_CXD_T-Croos-Lancamento-Familiaridade-Display-T-cross-Familia_PD_970x90"/>
    <s v="442456250"/>
    <x v="2"/>
    <n v="1244"/>
    <n v="0"/>
    <n v="3.8199999999999998E-2"/>
    <n v="0.09"/>
    <n v="4.7520799999999995E-2"/>
    <x v="54"/>
  </r>
  <r>
    <s v="BR_AAF_DSY_LANCH_ND_NC_2019Q2APR_TCR_Launch-T-Cross-Familiaridade-2"/>
    <s v="Google Brasil"/>
    <s v="BR_VW_TCR_DV360_DIS_PROG_CPM_CLK_LDR_AAF_RON_CXD_T-Croos-Lancamento-Familiaridade-Display-T-cross-Moda-e-Beleza_PD_728x90"/>
    <s v="246034842"/>
    <x v="3"/>
    <s v="BR_VW_TCR_DV360_DIS_PROG_CPM_CLK_LDR_AAF_RON_CXD_T-Croos-Lancamento-Familiaridade-Display-T-cross-Moda-e-Beleza_PD_728x90"/>
    <s v="442456334"/>
    <x v="2"/>
    <n v="12207"/>
    <n v="7"/>
    <n v="3.8199999999999998E-2"/>
    <n v="0.09"/>
    <n v="0.46630739999999998"/>
    <x v="55"/>
  </r>
  <r>
    <s v="BR_AAF_DSY_LANCH_ND_NC_2019Q2APR_TCR_Launch-T-Cross-Familiaridade-2"/>
    <s v="Google Brasil"/>
    <s v="BR_VW_TCR_DV360_DIS_PROG_CPM_CLK_LDR_AAF_RON_CXD_T-Croos-Lancamento-Familiaridade-Display-T-cross-Moda-e-Beleza_PD_970x250"/>
    <s v="246034830"/>
    <x v="3"/>
    <s v="BR_VW_TCR_DV360_DIS_PROG_CPM_CLK_LDR_AAF_RON_CXD_T-Croos-Lancamento-Familiaridade-Display-T-cross-Moda-e-Beleza_PD_970x250"/>
    <s v="442456322"/>
    <x v="2"/>
    <n v="5206"/>
    <n v="12"/>
    <n v="3.8199999999999998E-2"/>
    <n v="0.09"/>
    <n v="0.19886919999999997"/>
    <x v="56"/>
  </r>
  <r>
    <s v="BR_AAF_DSY_LANCH_ND_NC_2019Q2APR_TCR_Launch-T-Cross-Familiaridade-2"/>
    <s v="Google Brasil"/>
    <s v="BR_VW_TCR_DV360_DIS_PROG_CPM_CLK_LDR_AAF_RON_CXD_T-Croos-Lancamento-Familiaridade-Display-T-cross-Moda-e-Beleza_PD_970x90"/>
    <s v="246034836"/>
    <x v="3"/>
    <s v="BR_VW_TCR_DV360_DIS_PROG_CPM_CLK_LDR_AAF_RON_CXD_T-Croos-Lancamento-Familiaridade-Display-T-cross-Moda-e-Beleza_PD_970x90"/>
    <s v="442456328"/>
    <x v="2"/>
    <n v="3790"/>
    <n v="1"/>
    <n v="3.8199999999999998E-2"/>
    <n v="0.09"/>
    <n v="0.14477799999999999"/>
    <x v="57"/>
  </r>
  <r>
    <s v="BR_AAF_DSY_LANCH_ND_NC_2019Q2APR_TCR_Launch-T-Cross-Familiaridade-2"/>
    <s v="Google Brasil"/>
    <s v="BR_VW_TCR_DV360_DIS_PROG_CPM_CLK_LDR_AAF_RON_CXD_T-Croos-Lancamento-Familiaridade-Display-T-cross-Negocios_PD_728x90"/>
    <s v="246034434"/>
    <x v="3"/>
    <s v="BR_VW_TCR_DV360_DIS_PROG_CPM_CLK_LDR_AAF_RON_CXD_T-Croos-Lancamento-Familiaridade-Display-T-cross-Negocios_PD_728x90"/>
    <s v="442455023"/>
    <x v="2"/>
    <n v="30940"/>
    <n v="33"/>
    <n v="3.8199999999999998E-2"/>
    <n v="0.09"/>
    <n v="1.181908"/>
    <x v="58"/>
  </r>
  <r>
    <s v="BR_AAF_DSY_LANCH_ND_NC_2019Q2APR_TCR_Launch-T-Cross-Familiaridade-2"/>
    <s v="Google Brasil"/>
    <s v="BR_VW_TCR_DV360_DIS_PROG_CPM_CLK_LDR_AAF_RON_CXD_T-Croos-Lancamento-Familiaridade-Display-T-cross-Negocios_PD_970x250"/>
    <s v="246034428"/>
    <x v="3"/>
    <s v="BR_VW_TCR_DV360_DIS_PROG_CPM_CLK_LDR_AAF_RON_CXD_T-Croos-Lancamento-Familiaridade-Display-T-cross-Negocios_PD_970x250"/>
    <s v="442455017"/>
    <x v="2"/>
    <n v="13574"/>
    <n v="20"/>
    <n v="3.8199999999999998E-2"/>
    <n v="0.09"/>
    <n v="0.51852679999999995"/>
    <x v="59"/>
  </r>
  <r>
    <s v="BR_AAF_DSY_LANCH_ND_NC_2019Q2APR_TCR_Launch-T-Cross-Familiaridade-2"/>
    <s v="Google Brasil"/>
    <s v="BR_VW_TCR_DV360_DIS_PROG_CPM_CLK_LDR_AAF_RON_CXD_T-Croos-Lancamento-Familiaridade-Display-T-cross-Negocios_PD_970x90"/>
    <s v="246034431"/>
    <x v="3"/>
    <s v="BR_VW_TCR_DV360_DIS_PROG_CPM_CLK_LDR_AAF_RON_CXD_T-Croos-Lancamento-Familiaridade-Display-T-cross-Negocios_PD_970x90"/>
    <s v="442455020"/>
    <x v="2"/>
    <n v="9675"/>
    <n v="1"/>
    <n v="3.8199999999999998E-2"/>
    <n v="0.09"/>
    <n v="0.369585"/>
    <x v="60"/>
  </r>
  <r>
    <s v="BR_AAF_DSY_LANCH_ND_NC_2019Q2APR_TCR_Launch-T-Cross-Familiaridade-2"/>
    <s v="Google Brasil"/>
    <s v="BR_VW_TCR_DV360_DIS_PROG_CPM_CLK_MPU_AAF_RON_CXD_T-Croos-Lancamento-Familiaridade-Display-T-Cross-Autos_PD_300x250"/>
    <s v="245731445"/>
    <x v="3"/>
    <s v="BR_VW_TCR_DV360_DIS_PROG_CPM_CLK_MPU_AAF_RON_CXD_T-Croos-Lancamento-Familiaridade-Display-T-Cross-Autos_PD_300x250"/>
    <s v="442488103"/>
    <x v="2"/>
    <n v="187"/>
    <n v="1"/>
    <n v="3.8199999999999998E-2"/>
    <n v="0.09"/>
    <n v="7.1433999999999994E-3"/>
    <x v="61"/>
  </r>
  <r>
    <s v="BR_AAF_DSY_LANCH_ND_NC_2019Q2APR_TCR_Launch-T-Cross-Familiaridade-2"/>
    <s v="Google Brasil"/>
    <s v="BR_VW_TCR_DV360_DIS_PROG_CPM_CLK_MPU_AAF_RON_CXD_T-Croos-Lancamento-Familiaridade-Display-T-Cross-Autos_PD_320x100"/>
    <s v="245731436"/>
    <x v="3"/>
    <s v="BR_VW_TCR_DV360_DIS_PROG_CPM_CLK_MPU_AAF_RON_CXD_T-Croos-Lancamento-Familiaridade-Display-T-Cross-Autos_PD_320x100"/>
    <s v="442488094"/>
    <x v="2"/>
    <n v="12"/>
    <n v="1"/>
    <n v="3.8199999999999998E-2"/>
    <n v="0.09"/>
    <n v="4.5839999999999998E-4"/>
    <x v="62"/>
  </r>
  <r>
    <s v="BR_AAF_DSY_LANCH_ND_NC_2019Q2APR_TCR_Launch-T-Cross-Familiaridade-2"/>
    <s v="Google Brasil"/>
    <s v="BR_VW_TCR_DV360_DIS_PROG_CPM_CLK_MPU_AAF_RON_CXD_T-Croos-Lancamento-Familiaridade-Display-T-Cross-Autos_PD_320x50"/>
    <s v="245731439"/>
    <x v="3"/>
    <s v="BR_VW_TCR_DV360_DIS_PROG_CPM_CLK_MPU_AAF_RON_CXD_T-Croos-Lancamento-Familiaridade-Display-T-Cross-Autos_PD_320x50"/>
    <s v="442488097"/>
    <x v="2"/>
    <n v="115"/>
    <n v="4"/>
    <n v="3.8199999999999998E-2"/>
    <n v="0.09"/>
    <n v="4.3930000000000002E-3"/>
    <x v="63"/>
  </r>
  <r>
    <s v="BR_AAF_DSY_LANCH_ND_NC_2019Q2APR_TCR_Launch-T-Cross-Familiaridade-2"/>
    <s v="Google Brasil"/>
    <s v="BR_VW_TCR_DV360_DIS_PROG_CPM_CLK_MPU_AAF_RON_CXD_T-Croos-Lancamento-Familiaridade-Display-T-Cross-Viagem_PD_300x250"/>
    <s v="245844466"/>
    <x v="3"/>
    <s v="BR_VW_TCR_DV360_DIS_PROG_CPM_CLK_MPU_AAF_RON_CXD_T-Croos-Lancamento-Familiaridade-Display-T-Cross-Viagem_PD_300x250"/>
    <s v="442488076"/>
    <x v="2"/>
    <n v="541"/>
    <n v="1"/>
    <n v="3.8199999999999998E-2"/>
    <n v="0.09"/>
    <n v="2.0666199999999999E-2"/>
    <x v="64"/>
  </r>
  <r>
    <s v="BR_AAF_DSY_LANCH_ND_NC_2019Q2APR_TCR_Launch-T-Cross-Familiaridade-2"/>
    <s v="Google Brasil"/>
    <s v="BR_VW_TCR_DV360_DIS_PROG_CPM_CLK_MPU_AAF_RON_CXD_T-Croos-Lancamento-Familiaridade-Display-T-Cross-Viagem_PD_320x100"/>
    <s v="245844457"/>
    <x v="3"/>
    <s v="BR_VW_TCR_DV360_DIS_PROG_CPM_CLK_MPU_AAF_RON_CXD_T-Croos-Lancamento-Familiaridade-Display-T-Cross-Viagem_PD_320x100"/>
    <s v="442488067"/>
    <x v="2"/>
    <n v="96"/>
    <n v="0"/>
    <n v="3.8199999999999998E-2"/>
    <n v="0.09"/>
    <n v="3.6671999999999998E-3"/>
    <x v="65"/>
  </r>
  <r>
    <s v="BR_AAF_DSY_LANCH_ND_NC_2019Q2APR_TCR_Launch-T-Cross-Familiaridade-2"/>
    <s v="Google Brasil"/>
    <s v="BR_VW_TCR_DV360_DIS_PROG_CPM_CLK_MPU_AAF_RON_CXD_T-Croos-Lancamento-Familiaridade-Display-T-Cross-Viagem_PD_320x50"/>
    <s v="245844460"/>
    <x v="3"/>
    <s v="BR_VW_TCR_DV360_DIS_PROG_CPM_CLK_MPU_AAF_RON_CXD_T-Croos-Lancamento-Familiaridade-Display-T-Cross-Viagem_PD_320x50"/>
    <s v="442488070"/>
    <x v="2"/>
    <n v="322"/>
    <n v="3"/>
    <n v="3.8199999999999998E-2"/>
    <n v="0.09"/>
    <n v="1.23004E-2"/>
    <x v="66"/>
  </r>
  <r>
    <s v="BR_AAF_DSY_LANCH_ND_NC_2019Q2APR_TCR_Launch-T-Cross-Familiaridade-2"/>
    <s v="Google Brasil"/>
    <s v="BR_VW_TCR_DV360_DIS_PROG_CPM_CLK_MPU_AAF_RON_CXD_T-Croos-Lancamento-Familiaridade-Display-T-cross-Familia_PD_300x250"/>
    <s v="245587973"/>
    <x v="3"/>
    <s v="BR_VW_TCR_DV360_DIS_PROG_CPM_CLK_MPU_AAF_RON_CXD_T-Croos-Lancamento-Familiaridade-Display-T-cross-Familia_PD_300x250"/>
    <s v="442367276"/>
    <x v="2"/>
    <n v="4902282"/>
    <n v="27238"/>
    <n v="3.8199999999999998E-2"/>
    <n v="0.09"/>
    <n v="187.26717239999999"/>
    <x v="67"/>
  </r>
  <r>
    <s v="BR_AAF_DSY_LANCH_ND_NC_2019Q2APR_TCR_Launch-T-Cross-Familiaridade-2"/>
    <s v="Google Brasil"/>
    <s v="BR_VW_TCR_DV360_DIS_PROG_CPM_CLK_MPU_AAF_RON_CXD_T-Croos-Lancamento-Familiaridade-Display-T-cross-Familia_PD_320x100"/>
    <s v="246034461"/>
    <x v="3"/>
    <s v="BR_VW_TCR_DV360_DIS_PROG_CPM_CLK_MPU_AAF_RON_CXD_T-Croos-Lancamento-Familiaridade-Display-T-cross-Familia_PD_320x100"/>
    <s v="442456256"/>
    <x v="2"/>
    <n v="4157"/>
    <n v="17"/>
    <n v="3.8199999999999998E-2"/>
    <n v="0.09"/>
    <n v="0.15879739999999998"/>
    <x v="68"/>
  </r>
  <r>
    <s v="BR_AAF_DSY_LANCH_ND_NC_2019Q2APR_TCR_Launch-T-Cross-Familiaridade-2"/>
    <s v="Google Brasil"/>
    <s v="BR_VW_TCR_DV360_DIS_PROG_CPM_CLK_MPU_AAF_RON_CXD_T-Croos-Lancamento-Familiaridade-Display-T-cross-Familia_PD_320x50"/>
    <s v="245587967"/>
    <x v="3"/>
    <s v="BR_VW_TCR_DV360_DIS_PROG_CPM_CLK_MPU_AAF_RON_CXD_T-Croos-Lancamento-Familiaridade-Display-T-cross-Familia_PD_320x50"/>
    <s v="442367270"/>
    <x v="2"/>
    <n v="61185"/>
    <n v="280"/>
    <n v="3.8199999999999998E-2"/>
    <n v="0.09"/>
    <n v="2.3372669999999998"/>
    <x v="69"/>
  </r>
  <r>
    <s v="BR_AAF_DSY_LANCH_ND_NC_2019Q2APR_TCR_Launch-T-Cross-Familiaridade-2"/>
    <s v="Google Brasil"/>
    <s v="BR_VW_TCR_DV360_DIS_PROG_CPM_CLK_MPU_AAF_RON_CXD_T-Croos-Lancamento-Familiaridade-Display-T-cross-Moda-e-Beleza_PD_300x250"/>
    <s v="245606036"/>
    <x v="3"/>
    <s v="BR_VW_TCR_DV360_DIS_PROG_CPM_CLK_MPU_AAF_RON_CXD_T-Croos-Lancamento-Familiaridade-Display-T-cross-Moda-e-Beleza_PD_300x250"/>
    <s v="442367336"/>
    <x v="2"/>
    <n v="192600"/>
    <n v="953"/>
    <n v="3.8199999999999998E-2"/>
    <n v="0.09"/>
    <n v="7.3573199999999996"/>
    <x v="70"/>
  </r>
  <r>
    <s v="BR_AAF_DSY_LANCH_ND_NC_2019Q2APR_TCR_Launch-T-Cross-Familiaridade-2"/>
    <s v="Google Brasil"/>
    <s v="BR_VW_TCR_DV360_DIS_PROG_CPM_CLK_MPU_AAF_RON_CXD_T-Croos-Lancamento-Familiaridade-Display-T-cross-Moda-e-Beleza_PD_320x100"/>
    <s v="246034848"/>
    <x v="3"/>
    <s v="BR_VW_TCR_DV360_DIS_PROG_CPM_CLK_MPU_AAF_RON_CXD_T-Croos-Lancamento-Familiaridade-Display-T-cross-Moda-e-Beleza_PD_320x100"/>
    <s v="442456340"/>
    <x v="2"/>
    <n v="6206"/>
    <n v="22"/>
    <n v="3.8199999999999998E-2"/>
    <n v="0.09"/>
    <n v="0.23706920000000001"/>
    <x v="71"/>
  </r>
  <r>
    <s v="BR_AAF_DSY_LANCH_ND_NC_2019Q2APR_TCR_Launch-T-Cross-Familiaridade-2"/>
    <s v="Google Brasil"/>
    <s v="BR_VW_TCR_DV360_DIS_PROG_CPM_CLK_MPU_AAF_RON_CXD_T-Croos-Lancamento-Familiaridade-Display-T-cross-Moda-e-Beleza_PD_320x50"/>
    <s v="245606030"/>
    <x v="3"/>
    <s v="BR_VW_TCR_DV360_DIS_PROG_CPM_CLK_MPU_AAF_RON_CXD_T-Croos-Lancamento-Familiaridade-Display-T-cross-Moda-e-Beleza_PD_320x50"/>
    <s v="442367330"/>
    <x v="2"/>
    <n v="6497935"/>
    <n v="33514"/>
    <n v="3.8199999999999998E-2"/>
    <n v="0.09"/>
    <n v="248.22111699999999"/>
    <x v="72"/>
  </r>
  <r>
    <s v="BR_AAF_DSY_LANCH_ND_NC_2019Q2APR_TCR_Launch-T-Cross-Familiaridade-2"/>
    <s v="Google Brasil"/>
    <s v="BR_VW_TCR_DV360_DIS_PROG_CPM_CLK_MPU_AAF_RON_CXD_T-Croos-Lancamento-Familiaridade-Display-T-cross-Negocios_PD_300x250"/>
    <s v="245587943"/>
    <x v="3"/>
    <s v="BR_VW_TCR_DV360_DIS_PROG_CPM_CLK_MPU_AAF_RON_CXD_T-Croos-Lancamento-Familiaridade-Display-T-cross-Negocios_PD_300x250"/>
    <s v="442367246"/>
    <x v="2"/>
    <n v="5695994"/>
    <n v="21473"/>
    <n v="3.8199999999999998E-2"/>
    <n v="0.09"/>
    <n v="217.58697079999999"/>
    <x v="73"/>
  </r>
  <r>
    <s v="BR_AAF_DSY_LANCH_ND_NC_2019Q2APR_TCR_Launch-T-Cross-Familiaridade-2"/>
    <s v="Google Brasil"/>
    <s v="BR_VW_TCR_DV360_DIS_PROG_CPM_CLK_MPU_AAF_RON_CXD_T-Croos-Lancamento-Familiaridade-Display-T-cross-Negocios_PD_320x100"/>
    <s v="246034437"/>
    <x v="3"/>
    <s v="BR_VW_TCR_DV360_DIS_PROG_CPM_CLK_MPU_AAF_RON_CXD_T-Croos-Lancamento-Familiaridade-Display-T-cross-Negocios_PD_320x100"/>
    <s v="442455026"/>
    <x v="2"/>
    <n v="11022"/>
    <n v="38"/>
    <n v="3.8199999999999998E-2"/>
    <n v="0.09"/>
    <n v="0.42104039999999998"/>
    <x v="74"/>
  </r>
  <r>
    <s v="BR_AAF_DSY_LANCH_ND_NC_2019Q2APR_TCR_Launch-T-Cross-Familiaridade-2"/>
    <s v="Google Brasil"/>
    <s v="BR_VW_TCR_DV360_DIS_PROG_CPM_CLK_MPU_AAF_RON_CXD_T-Croos-Lancamento-Familiaridade-Display-T-cross-Negocios_PD_320x50"/>
    <s v="245587937"/>
    <x v="3"/>
    <s v="BR_VW_TCR_DV360_DIS_PROG_CPM_CLK_MPU_AAF_RON_CXD_T-Croos-Lancamento-Familiaridade-Display-T-cross-Negocios_PD_320x50"/>
    <s v="442367240"/>
    <x v="2"/>
    <n v="4274231"/>
    <n v="19395"/>
    <n v="3.8199999999999998E-2"/>
    <n v="0.09"/>
    <n v="163.27562419999998"/>
    <x v="75"/>
  </r>
  <r>
    <s v="BR_AAF_DSY_LANCH_ND_NC_2019Q2APR_TCR_Launch-T-Cross-Familiaridade-2"/>
    <s v="Google Brasil"/>
    <s v="BR_VW_TCR_DV360_DIS_PROG_CPM_CLK_SKY_AAF_RON_CXD_T-Croos-Lancamento-Familiaridade-Display-T-Cross-Autos_PD_300x600"/>
    <s v="245731442"/>
    <x v="3"/>
    <s v="BR_VW_TCR_DV360_DIS_PROG_CPM_CLK_SKY_AAF_RON_CXD_T-Croos-Lancamento-Familiaridade-Display-T-Cross-Autos_PD_300x600"/>
    <s v="442488100"/>
    <x v="2"/>
    <n v="12"/>
    <n v="0"/>
    <n v="3.8199999999999998E-2"/>
    <n v="0.09"/>
    <n v="4.5839999999999998E-4"/>
    <x v="62"/>
  </r>
  <r>
    <s v="BR_AAF_DSY_LANCH_ND_NC_2019Q2APR_TCR_Launch-T-Cross-Familiaridade-2"/>
    <s v="Google Brasil"/>
    <s v="BR_VW_TCR_DV360_DIS_PROG_CPM_CLK_SKY_AAF_RON_CXD_T-Croos-Lancamento-Familiaridade-Display-T-Cross-Viagem_PD_160x600"/>
    <s v="245844469"/>
    <x v="3"/>
    <s v="BR_VW_TCR_DV360_DIS_PROG_CPM_CLK_SKY_AAF_RON_CXD_T-Croos-Lancamento-Familiaridade-Display-T-Cross-Viagem_PD_160x600"/>
    <s v="442488079"/>
    <x v="2"/>
    <n v="11"/>
    <n v="2"/>
    <n v="3.8199999999999998E-2"/>
    <n v="0.09"/>
    <n v="4.2019999999999997E-4"/>
    <x v="51"/>
  </r>
  <r>
    <s v="BR_AAF_DSY_LANCH_ND_NC_2019Q2APR_TCR_Launch-T-Cross-Familiaridade-2"/>
    <s v="Google Brasil"/>
    <s v="BR_VW_TCR_DV360_DIS_PROG_CPM_CLK_SKY_AAF_RON_CXD_T-Croos-Lancamento-Familiaridade-Display-T-Cross-Viagem_PD_300x600"/>
    <s v="245844463"/>
    <x v="3"/>
    <s v="BR_VW_TCR_DV360_DIS_PROG_CPM_CLK_SKY_AAF_RON_CXD_T-Croos-Lancamento-Familiaridade-Display-T-Cross-Viagem_PD_300x600"/>
    <s v="442488073"/>
    <x v="2"/>
    <n v="70"/>
    <n v="0"/>
    <n v="3.8199999999999998E-2"/>
    <n v="0.09"/>
    <n v="2.6739999999999997E-3"/>
    <x v="76"/>
  </r>
  <r>
    <s v="BR_AAF_DSY_LANCH_ND_NC_2019Q2APR_TCR_Launch-T-Cross-Familiaridade-2"/>
    <s v="Google Brasil"/>
    <s v="BR_VW_TCR_DV360_DIS_PROG_CPM_CLK_SKY_AAF_RON_CXD_T-Croos-Lancamento-Familiaridade-Display-T-cross-Familia_PD_120x600"/>
    <s v="245587979"/>
    <x v="3"/>
    <s v="BR_VW_TCR_DV360_DIS_PROG_CPM_CLK_SKY_AAF_RON_CXD_T-Croos-Lancamento-Familiaridade-Display-T-cross-Familia_PD_120x600"/>
    <s v="442367282"/>
    <x v="2"/>
    <n v="136"/>
    <n v="0"/>
    <n v="3.8199999999999998E-2"/>
    <n v="0.09"/>
    <n v="5.1951999999999996E-3"/>
    <x v="77"/>
  </r>
  <r>
    <s v="BR_AAF_DSY_LANCH_ND_NC_2019Q2APR_TCR_Launch-T-Cross-Familiaridade-2"/>
    <s v="Google Brasil"/>
    <s v="BR_VW_TCR_DV360_DIS_PROG_CPM_CLK_SKY_AAF_RON_CXD_T-Croos-Lancamento-Familiaridade-Display-T-cross-Familia_PD_160x600"/>
    <s v="245587976"/>
    <x v="3"/>
    <s v="BR_VW_TCR_DV360_DIS_PROG_CPM_CLK_SKY_AAF_RON_CXD_T-Croos-Lancamento-Familiaridade-Display-T-cross-Familia_PD_160x600"/>
    <s v="442367279"/>
    <x v="2"/>
    <n v="116407"/>
    <n v="59"/>
    <n v="3.8199999999999998E-2"/>
    <n v="0.09"/>
    <n v="4.4467474000000005"/>
    <x v="78"/>
  </r>
  <r>
    <s v="BR_AAF_DSY_LANCH_ND_NC_2019Q2APR_TCR_Launch-T-Cross-Familiaridade-2"/>
    <s v="Google Brasil"/>
    <s v="BR_VW_TCR_DV360_DIS_PROG_CPM_CLK_SKY_AAF_RON_CXD_T-Croos-Lancamento-Familiaridade-Display-T-cross-Familia_PD_300x600"/>
    <s v="245587970"/>
    <x v="3"/>
    <s v="BR_VW_TCR_DV360_DIS_PROG_CPM_CLK_SKY_AAF_RON_CXD_T-Croos-Lancamento-Familiaridade-Display-T-cross-Familia_PD_300x600"/>
    <s v="442367273"/>
    <x v="2"/>
    <n v="957523"/>
    <n v="18734"/>
    <n v="3.8199999999999998E-2"/>
    <n v="0.09"/>
    <n v="36.577378599999996"/>
    <x v="79"/>
  </r>
  <r>
    <s v="BR_AAF_DSY_LANCH_ND_NC_2019Q2APR_TCR_Launch-T-Cross-Familiaridade-2"/>
    <s v="Google Brasil"/>
    <s v="BR_VW_TCR_DV360_DIS_PROG_CPM_CLK_SKY_AAF_RON_CXD_T-Croos-Lancamento-Familiaridade-Display-T-cross-Moda-e-Beleza_PD_120x600"/>
    <s v="245948235"/>
    <x v="3"/>
    <s v="BR_VW_TCR_DV360_DIS_PROG_CPM_CLK_SKY_AAF_RON_CXD_T-Croos-Lancamento-Familiaridade-Display-T-cross-Moda-e-Beleza_PD_120x600"/>
    <s v="442269879"/>
    <x v="2"/>
    <n v="789"/>
    <n v="0"/>
    <n v="3.8199999999999998E-2"/>
    <n v="0.09"/>
    <n v="3.0139799999999998E-2"/>
    <x v="80"/>
  </r>
  <r>
    <s v="BR_AAF_DSY_LANCH_ND_NC_2019Q2APR_TCR_Launch-T-Cross-Familiaridade-2"/>
    <s v="Google Brasil"/>
    <s v="BR_VW_TCR_DV360_DIS_PROG_CPM_CLK_SKY_AAF_RON_CXD_T-Croos-Lancamento-Familiaridade-Display-T-cross-Moda-e-Beleza_PD_160x600"/>
    <s v="245606039"/>
    <x v="3"/>
    <s v="BR_VW_TCR_DV360_DIS_PROG_CPM_CLK_SKY_AAF_RON_CXD_T-Croos-Lancamento-Familiaridade-Display-T-cross-Moda-e-Beleza_PD_160x600"/>
    <s v="442367339"/>
    <x v="2"/>
    <n v="8768"/>
    <n v="2"/>
    <n v="3.8199999999999998E-2"/>
    <n v="0.09"/>
    <n v="0.3349376"/>
    <x v="81"/>
  </r>
  <r>
    <s v="BR_AAF_DSY_LANCH_ND_NC_2019Q2APR_TCR_Launch-T-Cross-Familiaridade-2"/>
    <s v="Google Brasil"/>
    <s v="BR_VW_TCR_DV360_DIS_PROG_CPM_CLK_SKY_AAF_RON_CXD_T-Croos-Lancamento-Familiaridade-Display-T-cross-Moda-e-Beleza_PD_300x600"/>
    <s v="245606033"/>
    <x v="3"/>
    <s v="BR_VW_TCR_DV360_DIS_PROG_CPM_CLK_SKY_AAF_RON_CXD_T-Croos-Lancamento-Familiaridade-Display-T-cross-Moda-e-Beleza_PD_300x600"/>
    <s v="442367333"/>
    <x v="2"/>
    <n v="1281174"/>
    <n v="24510"/>
    <n v="3.8199999999999998E-2"/>
    <n v="0.09"/>
    <n v="48.940846800000003"/>
    <x v="82"/>
  </r>
  <r>
    <s v="BR_AAF_DSY_LANCH_ND_NC_2019Q2APR_TCR_Launch-T-Cross-Familiaridade-2"/>
    <s v="Google Brasil"/>
    <s v="BR_VW_TCR_DV360_DIS_PROG_CPM_CLK_SKY_AAF_RON_CXD_T-Croos-Lancamento-Familiaridade-Display-T-cross-Negocios_PD_120x600"/>
    <s v="245587949"/>
    <x v="3"/>
    <s v="BR_VW_TCR_DV360_DIS_PROG_CPM_CLK_SKY_AAF_RON_CXD_T-Croos-Lancamento-Familiaridade-Display-T-cross-Negocios_PD_120x600"/>
    <s v="442367252"/>
    <x v="2"/>
    <n v="31261"/>
    <n v="18"/>
    <n v="3.8199999999999998E-2"/>
    <n v="0.09"/>
    <n v="1.1941702000000001"/>
    <x v="83"/>
  </r>
  <r>
    <s v="BR_AAF_DSY_LANCH_ND_NC_2019Q2APR_TCR_Launch-T-Cross-Familiaridade-2"/>
    <s v="Google Brasil"/>
    <s v="BR_VW_TCR_DV360_DIS_PROG_CPM_CLK_SKY_AAF_RON_CXD_T-Croos-Lancamento-Familiaridade-Display-T-cross-Negocios_PD_160x600"/>
    <s v="245587946"/>
    <x v="3"/>
    <s v="BR_VW_TCR_DV360_DIS_PROG_CPM_CLK_SKY_AAF_RON_CXD_T-Croos-Lancamento-Familiaridade-Display-T-cross-Negocios_PD_160x600"/>
    <s v="442367249"/>
    <x v="2"/>
    <n v="252357"/>
    <n v="124"/>
    <n v="3.8199999999999998E-2"/>
    <n v="0.09"/>
    <n v="9.6400373999999989"/>
    <x v="84"/>
  </r>
  <r>
    <s v="BR_AAF_DSY_LANCH_ND_NC_2019Q2APR_TCR_Launch-T-Cross-Familiaridade-2"/>
    <s v="Google Brasil"/>
    <s v="BR_VW_TCR_DV360_DIS_PROG_CPM_CLK_SKY_AAF_RON_CXD_T-Croos-Lancamento-Familiaridade-Display-T-cross-Negocios_PD_300x600"/>
    <s v="245587940"/>
    <x v="3"/>
    <s v="BR_VW_TCR_DV360_DIS_PROG_CPM_CLK_SKY_AAF_RON_CXD_T-Croos-Lancamento-Familiaridade-Display-T-cross-Negocios_PD_300x600"/>
    <s v="442367243"/>
    <x v="2"/>
    <n v="994017"/>
    <n v="14703"/>
    <n v="3.8199999999999998E-2"/>
    <n v="0.09"/>
    <n v="37.971449399999997"/>
    <x v="85"/>
  </r>
  <r>
    <s v="BR_AAF_DSY_LANCH_ND_NC_2019Q2APR_TCR_Launch-T-Cross-Familiaridade-2"/>
    <s v="Oath BR"/>
    <s v="BR_VW_TCR_oath_DIS_PROG_CPM_CLK_LDR_AAF_RON_CXD_T-Croos-Lancamento-Familiaridade-Display-T-cross-Familia_PD_627x627"/>
    <s v="245736986"/>
    <x v="3"/>
    <s v="BR_VW_TCR_oath_DIS_PROG_CPM_CLK_LDR_AAF_RON_CXD_T-Croos-Lancamento-Familiaridade-Display-T-cross-Familia_PD_627x627"/>
    <s v="442388634"/>
    <x v="1"/>
    <n v="1"/>
    <n v="0"/>
    <n v="3.8199999999999998E-2"/>
    <n v="0.09"/>
    <n v="3.82E-5"/>
    <x v="2"/>
  </r>
  <r>
    <s v="BR_AAF_DSY_LANCH_ND_NC_2019Q2APR_TCR_Launch-T-Cross-Familiaridade-2"/>
    <s v="Oath BR"/>
    <s v="BR_VW_TCR_oath_DIS_PROG_CPM_CLK_LDR_AAF_RON_CXD_T-Croos-Lancamento-Familiaridade-Display-T-cross-Moda-e-Beleza_PD_627x627"/>
    <s v="245737010"/>
    <x v="1"/>
    <s v="BR_VW_TCR_oath_DIS_PROG_CPM_CLK_LDR_AAF_RON_CXD_T-Croos-Lancamento-Familiaridade-Display-T-cross-Moda-e-Beleza_PD_627x627"/>
    <s v="442388658"/>
    <x v="1"/>
    <n v="1"/>
    <n v="1"/>
    <n v="3.5000000000000001E-3"/>
    <n v="0.02"/>
    <n v="3.5000000000000001E-3"/>
    <x v="1"/>
  </r>
  <r>
    <s v="BR_AAF_DSY_LANCH_ND_NC_2019Q2APR_TCR_Launch-T-Cross-Familiaridade-2"/>
    <s v="Oath BR"/>
    <s v="BR_VW_TCR_oath_DIS_PROG_CPM_CLK_LDR_AAF_RON_CXD_T-Croos-Lancamento-Familiaridade-Display-T-cross-Negocios_PD_627x627"/>
    <s v="245736980"/>
    <x v="3"/>
    <s v="BR_VW_TCR_oath_DIS_PROG_CPM_CLK_LDR_AAF_RON_CXD_T-Croos-Lancamento-Familiaridade-Display-T-cross-Negocios_PD_627x627"/>
    <s v="442388628"/>
    <x v="1"/>
    <n v="3"/>
    <n v="1"/>
    <n v="3.8199999999999998E-2"/>
    <n v="0.09"/>
    <n v="1.1459999999999999E-4"/>
    <x v="17"/>
  </r>
  <r>
    <s v="BR_AAF_DSY_LANCH_ND_NC_2019Q2APR_TCR_Launch-T-Cross-Familiaridade-2"/>
    <s v="Oath BR"/>
    <s v="BR_VW_TCR_oath_DIS_PROG_CPM_CLK_LDR_AAF_RON_CXD_T-Croos-Lancamento-Familiaridade-Display-T-cross-Noticias_PD_627x627"/>
    <s v="245736998"/>
    <x v="3"/>
    <s v="BR_VW_TCR_oath_DIS_PROG_CPM_CLK_LDR_AAF_RON_CXD_T-Croos-Lancamento-Familiaridade-Display-T-cross-Noticias_PD_627x627"/>
    <s v="442388646"/>
    <x v="1"/>
    <n v="2"/>
    <n v="0"/>
    <n v="3.8199999999999998E-2"/>
    <n v="0.09"/>
    <n v="7.64E-5"/>
    <x v="32"/>
  </r>
  <r>
    <s v="BR_AAF_DSY_LANCH_ND_NC_2019Q2APR_TCR_Launch-T-Cross-Familiaridade-2"/>
    <s v="Oath BR"/>
    <s v="BR_VW_TCR_oath_DIS_PROG_CPM_CLK_LDR_AAF_RON_CXD_T-Croos-Lancamento-Familiaridade-Display-T-cross-RMKT-Fase-Awareness_PD_627x627"/>
    <s v="245737007"/>
    <x v="3"/>
    <s v="BR_VW_TCR_oath_DIS_PROG_CPM_CLK_LDR_AAF_RON_CXD_T-Croos-Lancamento-Familiaridade-Display-T-cross-RMKT-Fase-Awareness_PD_627x627"/>
    <s v="442388655"/>
    <x v="1"/>
    <n v="1"/>
    <n v="0"/>
    <n v="3.8199999999999998E-2"/>
    <n v="0.09"/>
    <n v="3.82E-5"/>
    <x v="2"/>
  </r>
  <r>
    <s v="BR_AAF_DSY_LANCH_ND_NC_2019Q2APR_TCR_Launch-T-Cross-Familiaridade-2"/>
    <s v="Terra.br"/>
    <s v="BR_VW_TCR_Terra_DIS_PROG_CPM_CLK_MPU_AAF_RON_CXD_T-Croos-Lancamento-Familiaridade-Display-T-cross-Afinidade-Clusters_PD_300x154"/>
    <s v="245736995"/>
    <x v="3"/>
    <s v="BR_VW_TCR_Terra_DIS_PROG_CPM_CLK_MPU_AAF_RON_CXD_T-Croos-Lancamento-Familiaridade-Display-T-cross-Afinidade-Clusters_PD_300x154"/>
    <s v="442388643"/>
    <x v="1"/>
    <n v="27421"/>
    <n v="77"/>
    <n v="3.8199999999999998E-2"/>
    <n v="0.09"/>
    <n v="1.0474821999999999"/>
    <x v="86"/>
  </r>
  <r>
    <s v="BR_AAF_DSY_LANCH_ND_NC_2019Q2APR_TCR_Launch-T-Cross-Familiaridade-2"/>
    <s v="Terra.br"/>
    <s v="BR_VW_TCR_Terra_DIS_PROG_CPM_CLK_MPU_AAF_RON_CXD_T-Croos-Lancamento-Familiaridade-Display-T-cross-Afinidade-Clusters_PD_300x250"/>
    <s v="245587874"/>
    <x v="3"/>
    <s v="BR_VW_TCR_Terra_DIS_PROG_CPM_CLK_MPU_AAF_RON_CXD_T-Croos-Lancamento-Familiaridade-Display-T-cross-Afinidade-Clusters_PD_300x250"/>
    <s v="442367177"/>
    <x v="2"/>
    <n v="11447"/>
    <n v="9"/>
    <n v="3.8199999999999998E-2"/>
    <n v="0.09"/>
    <n v="0.43727539999999998"/>
    <x v="87"/>
  </r>
  <r>
    <s v="BR_AAF_DSY_LANCH_ND_NC_2019Q2APR_TCR_Launch-T-Cross-Familiaridade-2"/>
    <s v="Terra.br"/>
    <s v="BR_VW_TCR_Terra_DIS_PROG_CPM_CLK_MPU_AAF_RON_CXD_T-Croos-Lancamento-Familiaridade-Display-T-cross-Afinidade-Clusters_PD_300x375"/>
    <s v="245736989"/>
    <x v="3"/>
    <s v="BR_VW_TCR_Terra_DIS_PROG_CPM_CLK_MPU_AAF_RON_CXD_T-Croos-Lancamento-Familiaridade-Display-T-cross-Afinidade-Clusters_PD_300x375"/>
    <s v="442388637"/>
    <x v="1"/>
    <n v="2848"/>
    <n v="17"/>
    <n v="3.8199999999999998E-2"/>
    <n v="0.09"/>
    <n v="0.1087936"/>
    <x v="88"/>
  </r>
  <r>
    <s v="BR_AAF_DSY_LANCH_ND_NC_2019Q2APR_TCR_Launch-T-Cross-Familiaridade-2"/>
    <s v="Terra.br"/>
    <s v="BR_VW_TCR_Terra_DIS_PROG_CPM_CLK_SKY_AAF_RON_CXD_T-Croos-Lancamento-Familiaridade-Display-T-cross-Afinidade-Clusters_PD_300x600"/>
    <s v="245587871"/>
    <x v="3"/>
    <s v="BR_VW_TCR_Terra_DIS_PROG_CPM_CLK_SKY_AAF_RON_CXD_T-Croos-Lancamento-Familiaridade-Display-T-cross-Afinidade-Clusters_PD_300x600"/>
    <s v="442367174"/>
    <x v="2"/>
    <n v="32807"/>
    <n v="68"/>
    <n v="3.8199999999999998E-2"/>
    <n v="0.09"/>
    <n v="1.2532273999999999"/>
    <x v="89"/>
  </r>
  <r>
    <s v="BR_AAF_DSY_NONMS_ND_NC_2018Q1MAR_RNG_AlwaysOn"/>
    <s v="GDN"/>
    <s v="BR_VW_RNG_gdn_DIS_DRCT_CPC_CAI_MPU_AAF_RON_CXD_Varejo-Outlet-Prospect_PD_email"/>
    <s v="242024039"/>
    <x v="1"/>
    <s v="BR_VW_RNG_gdn_DIS_DRCT_CPC_CAI_MPU_AAF_RON_CXD_Varejo-Outlet-Prospect_PD_email"/>
    <s v="438871542"/>
    <x v="1"/>
    <n v="0"/>
    <n v="14147"/>
    <n v="3.5000000000000001E-3"/>
    <n v="0.02"/>
    <n v="49.514499999999998"/>
    <x v="90"/>
  </r>
  <r>
    <s v="BR_AAF_DSY_NONMS_ND_NC_2018Q1MAR_RNG_AlwaysOn"/>
    <s v="GSP"/>
    <s v="BR_VW_RNG_gsd_DIS_DRCT_CPC_CLK_MXD_AAF_RON_CXD_all-Prospect_PD_pagepost"/>
    <s v="242842511"/>
    <x v="1"/>
    <s v="BR_VW_RNG_gsd_DIS_DRCT_CPC_CLK_MXD_AAF_RON_CXD_all-Prospect_PD_pagepost"/>
    <s v="439679143"/>
    <x v="1"/>
    <n v="0"/>
    <n v="493371"/>
    <n v="3.5000000000000001E-3"/>
    <n v="0.02"/>
    <n v="1726.7985000000001"/>
    <x v="91"/>
  </r>
  <r>
    <s v="BR_AAF_DSY_NONMS_ND_NC_2018Q1MAR_RNG_AlwaysOn"/>
    <s v="GSP"/>
    <s v="BR_VW_RNG_gsp_DIS_DRCT_CPC_CAI_MPU_AAF_RON_CXD_varejo-Prospect_PD_email"/>
    <s v="244469626"/>
    <x v="1"/>
    <s v="BR_VW_RNG_gsp_DIS_DRCT_CPC_CAI_MPU_AAF_RON_CXD_varejo-Prospect_PD_email"/>
    <s v="441303827"/>
    <x v="1"/>
    <n v="0"/>
    <n v="2866"/>
    <n v="3.5000000000000001E-3"/>
    <n v="0.02"/>
    <n v="10.031000000000001"/>
    <x v="92"/>
  </r>
  <r>
    <s v="BR_AAF_DSY_NONMS_ND_NC_2018Q1MAR_RNG_AlwaysOn"/>
    <s v="Google Brasil"/>
    <s v="BR_VW_RNG_dv360_DIS_PROG_CPM_CAI_MXD_AAF_RON_CXD_Amarok-Prospect_PD_nativeads"/>
    <s v="243992610"/>
    <x v="3"/>
    <s v="BR_VW_RNG_dv360_DIS_PROG_CPM_CAI_MXD_AAF_RON_CXD_Amarok-Prospect_PD_nativeads"/>
    <s v="440470621"/>
    <x v="1"/>
    <n v="52724"/>
    <n v="277"/>
    <n v="3.8199999999999998E-2"/>
    <n v="0.09"/>
    <n v="2.0140567999999996"/>
    <x v="93"/>
  </r>
  <r>
    <s v="BR_AAF_DSY_NONMS_ND_NC_2018Q1MAR_RNG_AlwaysOn"/>
    <s v="Google Brasil"/>
    <s v="BR_VW_RNG_dv360_DIS_PROG_CPM_CAI_MXD_AAF_RON_CXD_FoxConnect-Prospect_PD_nativeads"/>
    <s v="243992607"/>
    <x v="3"/>
    <s v="BR_VW_RNG_dv360_DIS_PROG_CPM_CAI_MXD_AAF_RON_CXD_FoxConnect-Prospect_PD_nativeads"/>
    <s v="440470618"/>
    <x v="1"/>
    <n v="42484"/>
    <n v="180"/>
    <n v="3.8199999999999998E-2"/>
    <n v="0.09"/>
    <n v="1.6228887999999999"/>
    <x v="94"/>
  </r>
  <r>
    <s v="BR_AAF_DSY_NONMS_ND_NC_2018Q1MAR_RNG_AlwaysOn"/>
    <s v="Google Brasil"/>
    <s v="BR_VW_RNG_dv360_DIS_PROG_CPM_CAI_MXD_AAF_RON_CXD_FoxXtreme-Prospect_PD_nativeads"/>
    <s v="243992604"/>
    <x v="3"/>
    <s v="BR_VW_RNG_dv360_DIS_PROG_CPM_CAI_MXD_AAF_RON_CXD_FoxXtreme-Prospect_PD_nativeads"/>
    <s v="440470615"/>
    <x v="1"/>
    <n v="65172"/>
    <n v="387"/>
    <n v="3.8199999999999998E-2"/>
    <n v="0.09"/>
    <n v="2.4895703999999999"/>
    <x v="95"/>
  </r>
  <r>
    <s v="BR_AAF_DSY_NONMS_ND_NC_2018Q1MAR_RNG_AlwaysOn"/>
    <s v="Google Brasil"/>
    <s v="BR_VW_RNG_dv360_DIS_PROG_CPM_CAI_MXD_AAF_RON_CXD_Gol-Prospect_PD_nativeads"/>
    <s v="243992601"/>
    <x v="3"/>
    <s v="BR_VW_RNG_dv360_DIS_PROG_CPM_CAI_MXD_AAF_RON_CXD_Gol-Prospect_PD_nativeads"/>
    <s v="440470612"/>
    <x v="1"/>
    <n v="34105"/>
    <n v="187"/>
    <n v="3.8199999999999998E-2"/>
    <n v="0.09"/>
    <n v="1.3028109999999999"/>
    <x v="96"/>
  </r>
  <r>
    <s v="BR_AAF_DSY_NONMS_ND_NC_2018Q1MAR_RNG_AlwaysOn"/>
    <s v="Google Brasil"/>
    <s v="BR_VW_RNG_dv360_DIS_PROG_CPM_CAI_MXD_AAF_RON_CXD_Jetta-Prospect_PD_nativeads"/>
    <s v="243992598"/>
    <x v="3"/>
    <s v="BR_VW_RNG_dv360_DIS_PROG_CPM_CAI_MXD_AAF_RON_CXD_Jetta-Prospect_PD_nativeads"/>
    <s v="440470609"/>
    <x v="1"/>
    <n v="36753"/>
    <n v="170"/>
    <n v="3.8199999999999998E-2"/>
    <n v="0.09"/>
    <n v="1.4039646000000001"/>
    <x v="97"/>
  </r>
  <r>
    <s v="BR_AAF_DSY_NONMS_ND_NC_2018Q1MAR_RNG_AlwaysOn"/>
    <s v="Google Brasil"/>
    <s v="BR_VW_RNG_dv360_DIS_PROG_CPM_CAI_MXD_AAF_RON_CXD_Passat-Prospect_PD_nativeads"/>
    <s v="243992595"/>
    <x v="3"/>
    <s v="BR_VW_RNG_dv360_DIS_PROG_CPM_CAI_MXD_AAF_RON_CXD_Passat-Prospect_PD_nativeads"/>
    <s v="440470606"/>
    <x v="1"/>
    <n v="199198"/>
    <n v="861"/>
    <n v="3.8199999999999998E-2"/>
    <n v="0.09"/>
    <n v="7.6093636"/>
    <x v="98"/>
  </r>
  <r>
    <s v="BR_AAF_DSY_NONMS_ND_NC_2018Q1MAR_RNG_AlwaysOn"/>
    <s v="Google Brasil"/>
    <s v="BR_VW_RNG_dv360_DIS_PROG_CPM_CAI_MXD_AAF_RON_CXD_Polo-Prospect_PD_nativeads"/>
    <s v="243992592"/>
    <x v="3"/>
    <s v="BR_VW_RNG_dv360_DIS_PROG_CPM_CAI_MXD_AAF_RON_CXD_Polo-Prospect_PD_nativeads"/>
    <s v="440470603"/>
    <x v="1"/>
    <n v="45596"/>
    <n v="284"/>
    <n v="3.8199999999999998E-2"/>
    <n v="0.09"/>
    <n v="1.7417672"/>
    <x v="99"/>
  </r>
  <r>
    <s v="BR_AAF_DSY_NONMS_ND_NC_2018Q1MAR_RNG_AlwaysOn"/>
    <s v="Google Brasil"/>
    <s v="BR_VW_RNG_dv360_DIS_PROG_CPM_CAI_MXD_AAF_RON_CXD_Saveiro-Prospect_PD_nativeads"/>
    <s v="243992589"/>
    <x v="3"/>
    <s v="BR_VW_RNG_dv360_DIS_PROG_CPM_CAI_MXD_AAF_RON_CXD_Saveiro-Prospect_PD_nativeads"/>
    <s v="440470600"/>
    <x v="1"/>
    <n v="44360"/>
    <n v="268"/>
    <n v="3.8199999999999998E-2"/>
    <n v="0.09"/>
    <n v="1.6945519999999998"/>
    <x v="100"/>
  </r>
  <r>
    <s v="BR_AAF_DSY_NONMS_ND_NC_2018Q1MAR_RNG_AlwaysOn"/>
    <s v="Google Brasil"/>
    <s v="BR_VW_RNG_dv360_DIS_PROG_CPM_CAI_MXD_AAF_RON_CXD_SaveiroPepper-Prospect_PD_nativeads"/>
    <s v="243992586"/>
    <x v="3"/>
    <s v="BR_VW_RNG_dv360_DIS_PROG_CPM_CAI_MXD_AAF_RON_CXD_SaveiroPepper-Prospect_PD_nativeads"/>
    <s v="440470597"/>
    <x v="1"/>
    <n v="23993"/>
    <n v="112"/>
    <n v="3.8199999999999998E-2"/>
    <n v="0.09"/>
    <n v="0.91653260000000003"/>
    <x v="101"/>
  </r>
  <r>
    <s v="BR_AAF_DSY_NONMS_ND_NC_2018Q1MAR_RNG_AlwaysOn"/>
    <s v="Google Brasil"/>
    <s v="BR_VW_RNG_dv360_DIS_PROG_CPM_CAI_MXD_AAF_RON_CXD_Tiguan-Prospect_PD_nativeads"/>
    <s v="243992583"/>
    <x v="3"/>
    <s v="BR_VW_RNG_dv360_DIS_PROG_CPM_CAI_MXD_AAF_RON_CXD_Tiguan-Prospect_PD_nativeads"/>
    <s v="440470594"/>
    <x v="1"/>
    <n v="42452"/>
    <n v="292"/>
    <n v="3.8199999999999998E-2"/>
    <n v="0.09"/>
    <n v="1.6216663999999998"/>
    <x v="102"/>
  </r>
  <r>
    <s v="BR_AAF_DSY_NONMS_ND_NC_2018Q1MAR_RNG_AlwaysOn"/>
    <s v="Google Brasil"/>
    <s v="BR_VW_RNG_dv360_DIS_PROG_CPM_CAI_MXD_AAF_RON_CXD_UP-Prospect_PD_nativeads"/>
    <s v="243992577"/>
    <x v="3"/>
    <s v="BR_VW_RNG_dv360_DIS_PROG_CPM_CAI_MXD_AAF_RON_CXD_UP-Prospect_PD_nativeads"/>
    <s v="440470588"/>
    <x v="1"/>
    <n v="70789"/>
    <n v="396"/>
    <n v="3.8199999999999998E-2"/>
    <n v="0.09"/>
    <n v="2.7041398000000001"/>
    <x v="103"/>
  </r>
  <r>
    <s v="BR_AAF_DSY_NONMS_ND_NC_2018Q1MAR_RNG_AlwaysOn"/>
    <s v="Google Brasil"/>
    <s v="BR_VW_RNG_dv360_DIS_PROG_CPM_CAI_MXD_AAF_RON_CXD_UPPepper-Prospect_PD_nativeads"/>
    <s v="243992580"/>
    <x v="3"/>
    <s v="BR_VW_RNG_dv360_DIS_PROG_CPM_CAI_MXD_AAF_RON_CXD_UPPepper-Prospect_PD_nativeads"/>
    <s v="440470591"/>
    <x v="1"/>
    <n v="43443"/>
    <n v="259"/>
    <n v="3.8199999999999998E-2"/>
    <n v="0.09"/>
    <n v="1.6595226000000001"/>
    <x v="104"/>
  </r>
  <r>
    <s v="BR_AAF_DSY_NONMS_ND_NC_2018Q1MAR_RNG_AlwaysOn"/>
    <s v="Google Brasil"/>
    <s v="BR_VW_RNG_dv360_DIS_PROG_CPM_CAI_MXD_AAF_RON_CXD_Virtus-Prospect_PD_nativeads"/>
    <s v="243992574"/>
    <x v="3"/>
    <s v="BR_VW_RNG_dv360_DIS_PROG_CPM_CAI_MXD_AAF_RON_CXD_Virtus-Prospect_PD_nativeads"/>
    <s v="440470585"/>
    <x v="1"/>
    <n v="39632"/>
    <n v="260"/>
    <n v="3.8199999999999998E-2"/>
    <n v="0.09"/>
    <n v="1.5139423999999999"/>
    <x v="105"/>
  </r>
  <r>
    <s v="BR_AAF_DSY_NONMS_ND_NC_2018Q1MAR_RNG_AlwaysOn"/>
    <s v="Google Brasil"/>
    <s v="BR_VW_RNG_dv360_DIS_PROG_CPM_CAI_MXD_AAF_RON_CXD_Voyage-Prospect_PD_nativeads"/>
    <s v="243992571"/>
    <x v="3"/>
    <s v="BR_VW_RNG_dv360_DIS_PROG_CPM_CAI_MXD_AAF_RON_CXD_Voyage-Prospect_PD_nativeads"/>
    <s v="440470582"/>
    <x v="1"/>
    <n v="40381"/>
    <n v="248"/>
    <n v="3.8199999999999998E-2"/>
    <n v="0.09"/>
    <n v="1.5425541999999999"/>
    <x v="106"/>
  </r>
  <r>
    <s v="BR_AAF_DSY_NONMS_ND_NC_2018Q1MAR_RNG_AlwaysOn"/>
    <s v="Google Brasil"/>
    <s v="BR_VW_RNG_dv360_DIS_PROG_CPM_CAI_MXD_AAF_RON_CXD_varejo-Prospect_PD_nativeads"/>
    <s v="244366874"/>
    <x v="3"/>
    <s v="BR_VW_RNG_dv360_DIS_PROG_CPM_CAI_MXD_AAF_RON_CXD_varejo-Prospect_PD_nativeads"/>
    <s v="441318511"/>
    <x v="1"/>
    <n v="2976730"/>
    <n v="11933"/>
    <n v="3.8199999999999998E-2"/>
    <n v="0.09"/>
    <n v="113.71108599999999"/>
    <x v="107"/>
  </r>
  <r>
    <s v="BR_AAF_DSY_NONMS_ND_NC_2018Q1MAR_RNG_AlwaysOn"/>
    <s v="Google Brasil"/>
    <s v="BR_VW_RNG_dv360_DIS_PROG_CPM_STD_LDR_AAF_RON_CXD_Prospecting-Prospecting_PD_728x90"/>
    <s v="243378423"/>
    <x v="2"/>
    <s v="728x90 Default Web Ad"/>
    <s v="439785999"/>
    <x v="2"/>
    <n v="1"/>
    <n v="0"/>
    <n v="3.8199999999999998E-2"/>
    <n v="0.09"/>
    <n v="3.82E-5"/>
    <x v="2"/>
  </r>
  <r>
    <s v="BR_AAF_DSY_NONMS_ND_NC_2018Q1MAR_RNG_AlwaysOn"/>
    <s v="Google Brasil"/>
    <s v="BR_VW_RNG_dv360_DIS_PROG_CPM_STD_LDR_AAF_RON_CXD_Prospecting-Prospecting_PD_728x90"/>
    <s v="243378423"/>
    <x v="4"/>
    <s v="BR_VW_RNG_dv360_DIS_PROG_CPM_STD_LDR_AAF_RON_CXD_Prospecting-Prospecting_PD_728x90"/>
    <s v="439781628"/>
    <x v="3"/>
    <n v="1"/>
    <n v="0"/>
    <n v="0.91"/>
    <n v="0.35"/>
    <n v="9.1E-4"/>
    <x v="0"/>
  </r>
  <r>
    <s v="BR_AAF_DSY_NONMS_ND_NC_2018Q1MAR_RNG_AlwaysOn"/>
    <s v="Google Brasil"/>
    <s v="BR_VW_RNG_dv360_DIS_PROG_CPM_STD_LDR_AAF_RON_CXD_Prospecting-Prospecting_PD_970x250"/>
    <s v="243179263"/>
    <x v="2"/>
    <s v="970x250 Default Web Ad"/>
    <s v="439873021"/>
    <x v="2"/>
    <n v="2"/>
    <n v="0"/>
    <n v="3.8199999999999998E-2"/>
    <n v="0.09"/>
    <n v="7.64E-5"/>
    <x v="32"/>
  </r>
  <r>
    <s v="BR_AAF_DSY_NONMS_ND_NC_2018Q1MAR_RNG_AlwaysOn"/>
    <s v="Google Brasil"/>
    <s v="BR_VW_RNG_dv360_DIS_PROG_CPM_STD_LDR_AAF_RON_CXD_Prospecting-Prospecting_PD_970x250"/>
    <s v="243179263"/>
    <x v="4"/>
    <s v="BR_VW_RNG_dv360_DIS_PROG_CPM_STD_LDR_AAF_RON_CXD_Prospecting-Prospecting_PD_970x250"/>
    <s v="439779558"/>
    <x v="3"/>
    <n v="3"/>
    <n v="0"/>
    <n v="0.91"/>
    <n v="0.35"/>
    <n v="2.7299999999999998E-3"/>
    <x v="108"/>
  </r>
  <r>
    <s v="BR_AAF_DSY_NONMS_ND_NC_2018Q1MAR_RNG_AlwaysOn"/>
    <s v="Google Brasil"/>
    <s v="BR_VW_RNG_dv360_DIS_PROG_CPM_STD_MPU_AAF_RON_CXD_Prospecting-Prospecting_PD_300x250"/>
    <s v="243376959"/>
    <x v="2"/>
    <s v="300x250 Default Web Ad"/>
    <s v="439873012"/>
    <x v="2"/>
    <n v="3"/>
    <n v="0"/>
    <n v="3.8199999999999998E-2"/>
    <n v="0.09"/>
    <n v="1.1459999999999999E-4"/>
    <x v="17"/>
  </r>
  <r>
    <s v="BR_AAF_DSY_NONMS_ND_NC_2018Q1MAR_RNG_AlwaysOn"/>
    <s v="Google Brasil"/>
    <s v="BR_VW_RNG_dv360_DIS_PROG_CPM_STD_MPU_AAF_RON_CXD_Prospecting-Prospecting_PD_300x50"/>
    <s v="243049166"/>
    <x v="2"/>
    <s v="300x50 Default Web Ad"/>
    <s v="439873015"/>
    <x v="2"/>
    <n v="1"/>
    <n v="0"/>
    <n v="3.8199999999999998E-2"/>
    <n v="0.09"/>
    <n v="3.82E-5"/>
    <x v="2"/>
  </r>
  <r>
    <s v="BR_AAF_DSY_NONMS_ND_NC_2018Q1MAR_RNG_AlwaysOn"/>
    <s v="Google Brasil"/>
    <s v="BR_VW_RNG_dv360_DIS_PROG_CPM_STD_MPU_AAF_RON_CXD_Prospecting-Prospecting_PD_300x50"/>
    <s v="243049166"/>
    <x v="4"/>
    <s v="BR_VW_RNG_dv360_DIS_PROG_CPM_STD_MPU_AAF_RON_CXD_Prospecting-Prospecting_PD_300x50"/>
    <s v="439779567"/>
    <x v="3"/>
    <n v="2"/>
    <n v="0"/>
    <n v="0.91"/>
    <n v="0.35"/>
    <n v="1.82E-3"/>
    <x v="109"/>
  </r>
  <r>
    <s v="BR_AAF_DSY_NONMS_ND_NC_2018Q1MAR_RNG_AlwaysOn"/>
    <s v="Google Brasil"/>
    <s v="BR_VW_RNG_dv360_DIS_PROG_CPM_STD_MPU_AAF_RON_CXD_Prospecting-Prospecting_PD_320x50"/>
    <s v="243179254"/>
    <x v="2"/>
    <s v="320x50 Default Web Ad"/>
    <s v="439779594"/>
    <x v="2"/>
    <n v="3"/>
    <n v="0"/>
    <n v="3.8199999999999998E-2"/>
    <n v="0.09"/>
    <n v="1.1459999999999999E-4"/>
    <x v="17"/>
  </r>
  <r>
    <s v="BR_AAF_DSY_NONMS_ND_NC_2018Q1MAR_RNG_AlwaysOn"/>
    <s v="Google Brasil"/>
    <s v="BR_VW_RNG_dv360_DIS_PROG_CPM_STD_SKY_AAF_RON_CXD_Prospecting-Prospecting_PD_160x600"/>
    <s v="243179245"/>
    <x v="2"/>
    <s v="160x600 Default Web Ad"/>
    <s v="439779591"/>
    <x v="2"/>
    <n v="1"/>
    <n v="0"/>
    <n v="3.8199999999999998E-2"/>
    <n v="0.09"/>
    <n v="3.82E-5"/>
    <x v="2"/>
  </r>
  <r>
    <s v="BR_AAF_DSY_NONMS_ND_NC_2018Q1MAR_RNG_AlwaysOn"/>
    <s v="Google Brasil"/>
    <s v="BR_VW_RNG_dv360_DIS_PROG_CPM_STD_SKY_AAF_RON_CXD_Prospecting-Prospecting_PD_300x600"/>
    <s v="243048557"/>
    <x v="2"/>
    <s v="300x600 Default Web Ad"/>
    <s v="439873018"/>
    <x v="2"/>
    <n v="27"/>
    <n v="0"/>
    <n v="3.8199999999999998E-2"/>
    <n v="0.09"/>
    <n v="1.0313999999999998E-3"/>
    <x v="110"/>
  </r>
  <r>
    <s v="BR_AAF_DSY_NONMS_ND_NC_2018Q1MAR_RNG_AlwaysOn"/>
    <s v="Google Brasil"/>
    <s v="BR_VW_RNG_dv360_DIS_PROG_CPM_STD_SKY_AAF_RON_CXD_Prospecting-Prospecting_PD_300x600"/>
    <s v="243048557"/>
    <x v="4"/>
    <s v="BR_VW_RNG_dv360_DIS_PROG_CPM_STD_SKY_AAF_RON_CXD_Prospecting-Prospecting_PD_300x600"/>
    <s v="439781607"/>
    <x v="3"/>
    <n v="26"/>
    <n v="0"/>
    <n v="0.91"/>
    <n v="0.35"/>
    <n v="2.366E-2"/>
    <x v="111"/>
  </r>
  <r>
    <s v="BR_AAF_DSY_NONMS_ND_NC_2018Q1MAR_RNG_AlwaysOn"/>
    <s v="Oath BR"/>
    <s v="BR_VW_RNG_oath_DIS_DRCT_CPC_CAI_MXD_AAF_RON_CXD_FoxConnect-Prospect_PD_nativeads"/>
    <s v="243732381"/>
    <x v="1"/>
    <s v="BR_VW_RNG_oath_DIS_DRCT_CPC_CAI_MXD_AAF_RON_CXD_FoxConnect-Prospect_PD_nativeads"/>
    <s v="440222423"/>
    <x v="1"/>
    <n v="0"/>
    <n v="8186"/>
    <n v="3.5000000000000001E-3"/>
    <n v="0.02"/>
    <n v="28.651"/>
    <x v="112"/>
  </r>
  <r>
    <s v="BR_AAF_DSY_NONMS_ND_NC_2018Q1MAR_RNG_AlwaysOn"/>
    <s v="Oath BR"/>
    <s v="BR_VW_RNG_oath_DIS_DRCT_CPC_CAI_MXD_AAF_RON_CXD_FoxXtreme-Prospect_PD_nativeads"/>
    <s v="243732378"/>
    <x v="1"/>
    <s v="BR_VW_RNG_oath_DIS_DRCT_CPC_CAI_MXD_AAF_RON_CXD_FoxXtreme-Prospect_PD_nativeads"/>
    <s v="440222420"/>
    <x v="1"/>
    <n v="0"/>
    <n v="58578"/>
    <n v="3.5000000000000001E-3"/>
    <n v="0.02"/>
    <n v="205.023"/>
    <x v="113"/>
  </r>
  <r>
    <s v="BR_AAF_DSY_NONMS_ND_NC_2018Q1MAR_RNG_AlwaysOn"/>
    <s v="Oath BR"/>
    <s v="BR_VW_RNG_oath_DIS_DRCT_CPC_CAI_MXD_AAF_RON_CXD_Gol-Prospect_PD_nativeads"/>
    <s v="243732375"/>
    <x v="1"/>
    <s v="BR_VW_RNG_oath_DIS_DRCT_CPC_CAI_MXD_AAF_RON_CXD_Gol-Prospect_PD_nativeads"/>
    <s v="440222417"/>
    <x v="1"/>
    <n v="0"/>
    <n v="63903"/>
    <n v="3.5000000000000001E-3"/>
    <n v="0.02"/>
    <n v="223.66050000000001"/>
    <x v="114"/>
  </r>
  <r>
    <s v="BR_AAF_DSY_NONMS_ND_NC_2018Q1MAR_RNG_AlwaysOn"/>
    <s v="Oath BR"/>
    <s v="BR_VW_RNG_oath_DIS_DRCT_CPC_CAI_MXD_AAF_RON_CXD_Jetta-Prospect_PD_nativeads"/>
    <s v="243732372"/>
    <x v="1"/>
    <s v="BR_VW_RNG_oath_DIS_DRCT_CPC_CAI_MXD_AAF_RON_CXD_Jetta-Prospect_PD_nativeads"/>
    <s v="440222414"/>
    <x v="1"/>
    <n v="0"/>
    <n v="10908"/>
    <n v="3.5000000000000001E-3"/>
    <n v="0.02"/>
    <n v="38.177999999999997"/>
    <x v="115"/>
  </r>
  <r>
    <s v="BR_AAF_DSY_NONMS_ND_NC_2018Q1MAR_RNG_AlwaysOn"/>
    <s v="Oath BR"/>
    <s v="BR_VW_RNG_oath_DIS_DRCT_CPC_CAI_MXD_AAF_RON_CXD_Passat-Prospect_PD_nativeads"/>
    <s v="243732369"/>
    <x v="1"/>
    <s v="BR_VW_RNG_oath_DIS_DRCT_CPC_CAI_MXD_AAF_RON_CXD_Passat-Prospect_PD_nativeads"/>
    <s v="440222411"/>
    <x v="1"/>
    <n v="0"/>
    <n v="80871"/>
    <n v="3.5000000000000001E-3"/>
    <n v="0.02"/>
    <n v="283.04849999999999"/>
    <x v="116"/>
  </r>
  <r>
    <s v="BR_AAF_DSY_NONMS_ND_NC_2018Q1MAR_RNG_AlwaysOn"/>
    <s v="Oath BR"/>
    <s v="BR_VW_RNG_oath_DIS_DRCT_CPC_CAI_MXD_AAF_RON_CXD_Polo-Prospect_PD_nativeads"/>
    <s v="243732366"/>
    <x v="1"/>
    <s v="BR_VW_RNG_oath_DIS_DRCT_CPC_CAI_MXD_AAF_RON_CXD_Polo-Prospect_PD_nativeads"/>
    <s v="440222408"/>
    <x v="1"/>
    <n v="0"/>
    <n v="9264"/>
    <n v="3.5000000000000001E-3"/>
    <n v="0.02"/>
    <n v="32.423999999999999"/>
    <x v="117"/>
  </r>
  <r>
    <s v="BR_AAF_DSY_NONMS_ND_NC_2018Q1MAR_RNG_AlwaysOn"/>
    <s v="Oath BR"/>
    <s v="BR_VW_RNG_oath_DIS_DRCT_CPC_CAI_MXD_AAF_RON_CXD_Saveiro-Prospect_PD_nativeads"/>
    <s v="243732363"/>
    <x v="1"/>
    <s v="BR_VW_RNG_oath_DIS_DRCT_CPC_CAI_MXD_AAF_RON_CXD_Saveiro-Prospect_PD_nativeads"/>
    <s v="440222405"/>
    <x v="1"/>
    <n v="0"/>
    <n v="18739"/>
    <n v="3.5000000000000001E-3"/>
    <n v="0.02"/>
    <n v="65.586500000000001"/>
    <x v="118"/>
  </r>
  <r>
    <s v="BR_AAF_DSY_NONMS_ND_NC_2018Q1MAR_RNG_AlwaysOn"/>
    <s v="Oath BR"/>
    <s v="BR_VW_RNG_oath_DIS_DRCT_CPC_CAI_MXD_AAF_RON_CXD_SaveiroPepper-Prospect_PD_nativeads"/>
    <s v="243732360"/>
    <x v="1"/>
    <s v="BR_VW_RNG_oath_DIS_DRCT_CPC_CAI_MXD_AAF_RON_CXD_SaveiroPepper-Prospect_PD_nativeads"/>
    <s v="440222402"/>
    <x v="1"/>
    <n v="0"/>
    <n v="21225"/>
    <n v="3.5000000000000001E-3"/>
    <n v="0.02"/>
    <n v="74.287500000000009"/>
    <x v="119"/>
  </r>
  <r>
    <s v="BR_AAF_DSY_NONMS_ND_NC_2018Q1MAR_RNG_AlwaysOn"/>
    <s v="Oath BR"/>
    <s v="BR_VW_RNG_oath_DIS_DRCT_CPC_CAI_MXD_AAF_RON_CXD_Tiguan-Prospect_PD_nativeads"/>
    <s v="243732357"/>
    <x v="1"/>
    <s v="BR_VW_RNG_oath_DIS_DRCT_CPC_CAI_MXD_AAF_RON_CXD_Tiguan-Prospect_PD_nativeads"/>
    <s v="440222399"/>
    <x v="1"/>
    <n v="0"/>
    <n v="496575"/>
    <n v="3.5000000000000001E-3"/>
    <n v="0.02"/>
    <n v="1738.0125"/>
    <x v="120"/>
  </r>
  <r>
    <s v="BR_AAF_DSY_NONMS_ND_NC_2018Q1MAR_RNG_AlwaysOn"/>
    <s v="Oath BR"/>
    <s v="BR_VW_RNG_oath_DIS_DRCT_CPC_CAI_MXD_AAF_RON_CXD_UP-Prospect_PD_nativeads"/>
    <s v="243732351"/>
    <x v="1"/>
    <s v="BR_VW_RNG_oath_DIS_DRCT_CPC_CAI_MXD_AAF_RON_CXD_UP-Prospect_PD_nativeads"/>
    <s v="440222393"/>
    <x v="1"/>
    <n v="0"/>
    <n v="16333"/>
    <n v="3.5000000000000001E-3"/>
    <n v="0.02"/>
    <n v="57.165500000000002"/>
    <x v="121"/>
  </r>
  <r>
    <s v="BR_AAF_DSY_NONMS_ND_NC_2018Q1MAR_RNG_AlwaysOn"/>
    <s v="Oath BR"/>
    <s v="BR_VW_RNG_oath_DIS_DRCT_CPC_CAI_MXD_AAF_RON_CXD_UPPepper-Prospect_PD_nativeads"/>
    <s v="243732354"/>
    <x v="1"/>
    <s v="BR_VW_RNG_oath_DIS_DRCT_CPC_CAI_MXD_AAF_RON_CXD_UPPepper-Prospect_PD_nativeads"/>
    <s v="440222396"/>
    <x v="1"/>
    <n v="0"/>
    <n v="9909"/>
    <n v="3.5000000000000001E-3"/>
    <n v="0.02"/>
    <n v="34.6815"/>
    <x v="122"/>
  </r>
  <r>
    <s v="BR_AAF_DSY_NONMS_ND_NC_2018Q1MAR_RNG_AlwaysOn"/>
    <s v="Oath BR"/>
    <s v="BR_VW_RNG_oath_DIS_DRCT_CPC_CAI_MXD_AAF_RON_CXD_Varejo-Outlet-Prospect_PD_nativeads"/>
    <s v="242021264"/>
    <x v="1"/>
    <s v="BR_VW_RNG_oath_DIS_DRCT_CPC_CAI_MXD_AAF_RON_CXD_Varejo-Outlet-Prospect_PD_nativeads"/>
    <s v="438955055"/>
    <x v="1"/>
    <n v="0"/>
    <n v="2"/>
    <n v="3.5000000000000001E-3"/>
    <n v="0.02"/>
    <n v="7.0000000000000001E-3"/>
    <x v="123"/>
  </r>
  <r>
    <s v="BR_AAF_DSY_NONMS_ND_NC_2018Q1MAR_RNG_AlwaysOn"/>
    <s v="Oath BR"/>
    <s v="BR_VW_RNG_oath_DIS_DRCT_CPC_CAI_MXD_AAF_RON_CXD_Voyage-Prospect_PD_nativeads"/>
    <s v="243732345"/>
    <x v="1"/>
    <s v="BR_VW_RNG_oath_DIS_DRCT_CPC_CAI_MXD_AAF_RON_CXD_Voyage-Prospect_PD_nativeads"/>
    <s v="440222387"/>
    <x v="1"/>
    <n v="0"/>
    <n v="26790"/>
    <n v="3.5000000000000001E-3"/>
    <n v="0.02"/>
    <n v="93.765000000000001"/>
    <x v="124"/>
  </r>
  <r>
    <s v="BR_AAF_DSY_NONMS_ND_NC_2018Q1MAR_RNG_AlwaysOn"/>
    <s v="Oath BR"/>
    <s v="BR_VW_RNG_oath_DIS_DRCT_CPM_CAI_MXD_AAF_RON_CXD_varejo-Prospect_PD_nativeads"/>
    <s v="244366859"/>
    <x v="1"/>
    <s v="BR_VW_RNG_oath_DIS_DRCT_CPM_CAI_MXD_AAF_RON_CXD_varejo-Prospect_PD_nativeads"/>
    <s v="441319183"/>
    <x v="1"/>
    <n v="0"/>
    <n v="3174"/>
    <n v="3.5000000000000001E-3"/>
    <n v="0.02"/>
    <n v="11.109"/>
    <x v="125"/>
  </r>
  <r>
    <s v="BR_AAF_DSY_NONMS_ND_NC_2018Q1MAR_RNG_AlwaysOn"/>
    <s v="faceinsta"/>
    <s v="BR_VW_RNG_faceinsta_SOC_DRCT_CPM_CLK_MXD_AAF_RON_CXD_DPA-Amarok-Prospect_PD_pagepost"/>
    <s v="242415377"/>
    <x v="1"/>
    <s v="BR_VW_RNG_faceinsta_SOC_DRCT_CPM_CLK_MXD_AAF_RON_CXD_DPA-Amarok-Prospect_PD_pagepost"/>
    <s v="439260088"/>
    <x v="1"/>
    <n v="0"/>
    <n v="329"/>
    <n v="3.5000000000000001E-3"/>
    <n v="0.02"/>
    <n v="1.1515"/>
    <x v="126"/>
  </r>
  <r>
    <s v="BR_AAF_DSY_NONMS_ND_NC_2018Q1MAR_RNG_AlwaysOn"/>
    <s v="faceinsta"/>
    <s v="BR_VW_RNG_faceinsta_SOC_DRCT_CPM_CLK_MXD_AAF_RON_CXD_DPA-Fox-Prospect_PD_pagepost"/>
    <s v="242415380"/>
    <x v="1"/>
    <s v="BR_VW_RNG_faceinsta_SOC_DRCT_CPM_CLK_MXD_AAF_RON_CXD_DPA-Fox-Prospect_PD_pagepost"/>
    <s v="439260085"/>
    <x v="1"/>
    <n v="0"/>
    <n v="286"/>
    <n v="3.5000000000000001E-3"/>
    <n v="0.02"/>
    <n v="1.0010000000000001"/>
    <x v="127"/>
  </r>
  <r>
    <s v="BR_AAF_DSY_NONMS_ND_NC_2018Q1MAR_RNG_AlwaysOn"/>
    <s v="faceinsta"/>
    <s v="BR_VW_RNG_faceinsta_SOC_DRCT_CPM_CLK_MXD_AAF_RON_CXD_DPA-Gol-Prospect_PD_pagepost"/>
    <s v="242415383"/>
    <x v="1"/>
    <s v="BR_VW_RNG_faceinsta_SOC_DRCT_CPM_CLK_MXD_AAF_RON_CXD_DPA-Gol-Prospect_PD_pagepost"/>
    <s v="439260082"/>
    <x v="1"/>
    <n v="0"/>
    <n v="54"/>
    <n v="3.5000000000000001E-3"/>
    <n v="0.02"/>
    <n v="0.189"/>
    <x v="128"/>
  </r>
  <r>
    <s v="BR_AAF_DSY_NONMS_ND_NC_2018Q1MAR_RNG_AlwaysOn"/>
    <s v="faceinsta"/>
    <s v="BR_VW_RNG_faceinsta_SOC_DRCT_CPM_CLK_MXD_AAF_RON_CXD_DPA-Passat-Prospect_PD_pagepost"/>
    <s v="242415392"/>
    <x v="1"/>
    <s v="BR_VW_RNG_faceinsta_SOC_DRCT_CPM_CLK_MXD_AAF_RON_CXD_DPA-Passat-Prospect_PD_pagepost"/>
    <s v="439260073"/>
    <x v="1"/>
    <n v="0"/>
    <n v="1440"/>
    <n v="3.5000000000000001E-3"/>
    <n v="0.02"/>
    <n v="5.04"/>
    <x v="129"/>
  </r>
  <r>
    <s v="BR_AAF_DSY_NONMS_ND_NC_2018Q1MAR_RNG_AlwaysOn"/>
    <s v="faceinsta"/>
    <s v="BR_VW_RNG_faceinsta_SOC_DRCT_CPM_CLK_MXD_AAF_RON_CXD_DPA-Polo-Prospect_PD_pagepost"/>
    <s v="242415374"/>
    <x v="1"/>
    <s v="BR_VW_RNG_faceinsta_SOC_DRCT_CPM_CLK_MXD_AAF_RON_CXD_DPA-Polo-Prospect_PD_pagepost"/>
    <s v="439260091"/>
    <x v="1"/>
    <n v="0"/>
    <n v="129"/>
    <n v="3.5000000000000001E-3"/>
    <n v="0.02"/>
    <n v="0.45150000000000001"/>
    <x v="130"/>
  </r>
  <r>
    <s v="BR_AAF_DSY_NONMS_ND_NC_2018Q1MAR_RNG_AlwaysOn"/>
    <s v="faceinsta"/>
    <s v="BR_VW_RNG_faceinsta_SOC_DRCT_CPM_CLK_MXD_AAF_RON_CXD_DPA-Saveiro-Prospect_PD_pagepost"/>
    <s v="242415395"/>
    <x v="1"/>
    <s v="BR_VW_RNG_faceinsta_SOC_DRCT_CPM_CLK_MXD_AAF_RON_CXD_DPA-Saveiro-Prospect_PD_pagepost"/>
    <s v="439260070"/>
    <x v="1"/>
    <n v="0"/>
    <n v="2147"/>
    <n v="3.5000000000000001E-3"/>
    <n v="0.02"/>
    <n v="7.5145"/>
    <x v="131"/>
  </r>
  <r>
    <s v="BR_AAF_DSY_NONMS_ND_NC_2018Q1MAR_RNG_AlwaysOn"/>
    <s v="faceinsta"/>
    <s v="BR_VW_RNG_faceinsta_SOC_DRCT_CPM_CLK_MXD_AAF_RON_CXD_DPA-Tiguan-Prospect_PD_pagepost"/>
    <s v="242415398"/>
    <x v="1"/>
    <s v="BR_VW_RNG_faceinsta_SOC_DRCT_CPM_CLK_MXD_AAF_RON_CXD_DPA-Tiguan-Prospect_PD_pagepost"/>
    <s v="439260067"/>
    <x v="1"/>
    <n v="0"/>
    <n v="514"/>
    <n v="3.5000000000000001E-3"/>
    <n v="0.02"/>
    <n v="1.7989999999999999"/>
    <x v="132"/>
  </r>
  <r>
    <s v="BR_AAF_DSY_NONMS_ND_NC_2018Q1MAR_RNG_AlwaysOn"/>
    <s v="faceinsta"/>
    <s v="BR_VW_RNG_faceinsta_SOC_DRCT_CPM_CLK_MXD_AAF_RON_CXD_DPA-Virtus-Prospect_PD_pagepost"/>
    <s v="242415401"/>
    <x v="1"/>
    <s v="BR_VW_RNG_faceinsta_SOC_DRCT_CPM_CLK_MXD_AAF_RON_CXD_DPA-Virtus-Prospect_PD_pagepost"/>
    <s v="439260064"/>
    <x v="1"/>
    <n v="0"/>
    <n v="360"/>
    <n v="3.5000000000000001E-3"/>
    <n v="0.02"/>
    <n v="1.26"/>
    <x v="133"/>
  </r>
  <r>
    <s v="BR_AAF_DSY_NONMS_ND_NC_2018Q1MAR_RNG_AlwaysOn"/>
    <s v="faceinsta"/>
    <s v="BR_VW_RNG_faceinsta_SOC_DRCT_CPM_CLK_MXD_AAF_RON_CXD_DPA-Voyage-Prospect_PD_pagepost"/>
    <s v="242415404"/>
    <x v="1"/>
    <s v="BR_VW_RNG_faceinsta_SOC_DRCT_CPM_CLK_MXD_AAF_RON_CXD_DPA-Voyage-Prospect_PD_pagepost"/>
    <s v="439260061"/>
    <x v="1"/>
    <n v="0"/>
    <n v="372"/>
    <n v="3.5000000000000001E-3"/>
    <n v="0.02"/>
    <n v="1.302"/>
    <x v="134"/>
  </r>
  <r>
    <s v="BR_AAF_DSY_NONMS_ND_NC_2018Q1MAR_RNG_AlwaysOn"/>
    <s v="faceinsta"/>
    <s v="BR_VW_RNG_faceinsta_SOC_DRCT_CPM_CLK_MXD_AAF_RON_CXD_DPA-up!-Prospect_PD_pagepost"/>
    <s v="242415389"/>
    <x v="1"/>
    <s v="BR_VW_RNG_faceinsta_SOC_DRCT_CPM_CLK_MXD_AAF_RON_CXD_DPA-up!-Prospect_PD_pagepost"/>
    <s v="439260076"/>
    <x v="1"/>
    <n v="0"/>
    <n v="2196"/>
    <n v="3.5000000000000001E-3"/>
    <n v="0.02"/>
    <n v="7.6859999999999999"/>
    <x v="135"/>
  </r>
  <r>
    <s v="BR_AAF_DSY_NONMS_ND_NC_2019Q1MAR_AMV_Feiras-Agrishow-Amarok"/>
    <s v="In Loco Media"/>
    <s v="BR_VW_AMV_Inloco_DIS_DRCT_CPM_STD_LDR_AAF_RON_CXD_Amarok-Feira-Agrishow-Amarok-AMC_PD_900x750"/>
    <s v="245375573"/>
    <x v="3"/>
    <s v="BR_VW_AMV_Inloco_DIS_DRCT_CPM_STD_LDR_AAF_RON_CXD_Amarok-Feira-Agrishow-Amarok-AMC_PD_900x750"/>
    <s v="442075923"/>
    <x v="1"/>
    <n v="477943"/>
    <n v="1519"/>
    <n v="3.8199999999999998E-2"/>
    <n v="0.09"/>
    <n v="18.257422599999998"/>
    <x v="136"/>
  </r>
  <r>
    <s v="BR_AAF_DSY_NONMS_ND_NC_2019Q1MAR_AMV_Feiras-Agrishow-Amarok"/>
    <s v="In Loco Media"/>
    <s v="BR_VW_AMV_Inloco_DIS_DRCT_CPM_STD_LDR_AAF_RON_CXD_Amarok-Feira-Agrishow-Amarok-AMC_PD_960x1440"/>
    <s v="245375579"/>
    <x v="3"/>
    <s v="BR_VW_AMV_Inloco_DIS_DRCT_CPM_STD_LDR_AAF_RON_CXD_Amarok-Feira-Agrishow-Amarok-AMC_PD_960x1440"/>
    <s v="442075929"/>
    <x v="1"/>
    <n v="253643"/>
    <n v="3797"/>
    <n v="3.8199999999999998E-2"/>
    <n v="0.09"/>
    <n v="9.6891625999999995"/>
    <x v="137"/>
  </r>
  <r>
    <s v="BR_AAF_DSY_NONMS_ND_NC_2019Q1MAR_AMV_Feiras-Agrishow-Amarok"/>
    <s v="In Loco Media"/>
    <s v="BR_VW_AMV_Inloco_DIS_DRCT_CPM_STD_LDR_AAF_RON_CXD_Amarok-Feira-Agrishow-Amarok-AMC_PD_960x150"/>
    <s v="245472415"/>
    <x v="3"/>
    <s v="BR_VW_AMV_Inloco_DIS_DRCT_CPM_STD_LDR_AAF_RON_CXD_Amarok-Feira-Agrishow-Amarok-AMC_PD_960x150"/>
    <s v="442053597"/>
    <x v="1"/>
    <n v="492250"/>
    <n v="2341"/>
    <n v="3.8199999999999998E-2"/>
    <n v="0.09"/>
    <n v="18.80395"/>
    <x v="138"/>
  </r>
  <r>
    <s v="BR_AAF_DSY_NONMS_ND_NC_2019Q1MAR_AMV_Feiras-Agrishow-Amarok"/>
    <s v="In Loco Media"/>
    <s v="BR_VW_AMV_Inloco_DIS_DRCT_CPM_STD_SRB_AAF_RON_CXD_Amarok-Feira-Agrishow-Amarok-AMC_PD_1200x627"/>
    <s v="245375567"/>
    <x v="1"/>
    <s v="BR_VW_AMV_Inloco_DIS_DRCT_CPM_STD_SRB_AAF_RON_CXD_Amarok-Feira-Agrishow-Amarok-AMC_PD_1200x627"/>
    <s v="442075917"/>
    <x v="1"/>
    <n v="0"/>
    <n v="1982"/>
    <n v="3.5000000000000001E-3"/>
    <n v="0.02"/>
    <n v="6.9370000000000003"/>
    <x v="139"/>
  </r>
  <r>
    <s v="BR_AAF_DSY_NONMS_ND_NC_2019Q1MAR_AMV_Feiras-Agrishow-Amarok"/>
    <s v="In Loco Media"/>
    <s v="BR_VW_AMV_Inloco_DIS_DRCT_CPM_STD_SRB_AAF_RON_CXD_Amarok-Feira-Agrishow-Amarok-AMC_PD_1440x960"/>
    <s v="245375576"/>
    <x v="3"/>
    <s v="BR_VW_AMV_Inloco_DIS_DRCT_CPM_STD_SRB_AAF_RON_CXD_Amarok-Feira-Agrishow-Amarok-AMC_PD_1440x960"/>
    <s v="442075926"/>
    <x v="1"/>
    <n v="19513"/>
    <n v="149"/>
    <n v="3.8199999999999998E-2"/>
    <n v="0.09"/>
    <n v="0.74539659999999996"/>
    <x v="140"/>
  </r>
  <r>
    <s v="BR_AAF_DSY_NONMS_ND_NC_2019Q1MAR_AMV_Feiras-Agrishow-Amarok"/>
    <s v="Waze, Inc"/>
    <s v="BR_VW_AMV_Waze_DIS_DRCT_CPM_STD_LDR_AAF_RON_CXD_Amarok-Feira-Agrishow-Amarok-AMC_PD_608x240"/>
    <s v="245501428"/>
    <x v="3"/>
    <s v="BR_VW_AMV_Waze_DIS_DRCT_CPM_STD_LDR_AAF_RON_CXD_Amarok-Feira-Agrishow-Amarok-AMC_PD_608x240"/>
    <s v="442182089"/>
    <x v="1"/>
    <n v="7628"/>
    <n v="11"/>
    <n v="3.8199999999999998E-2"/>
    <n v="0.09"/>
    <n v="0.29138959999999997"/>
    <x v="141"/>
  </r>
  <r>
    <s v="BR_AAF_DSY_NONMS_ND_NC_2019Q1MAR_AMV_Feiras-Agrishow-Amarok"/>
    <s v="Waze, Inc"/>
    <s v="BR_VW_AMV_Waze_DIS_DRCT_CPM_STD_LDR_AAF_RON_CXD_Amarok-Feira-Agrishow-Amarok-AMC_PD_690x550"/>
    <s v="245387387"/>
    <x v="3"/>
    <s v="BR_VW_AMV_Waze_DIS_DRCT_CPM_STD_LDR_AAF_RON_CXD_Amarok-Feira-Agrishow-Amarok-AMC_PD_690x550"/>
    <s v="442085049"/>
    <x v="1"/>
    <n v="5859"/>
    <n v="8"/>
    <n v="3.8199999999999998E-2"/>
    <n v="0.09"/>
    <n v="0.22381379999999998"/>
    <x v="142"/>
  </r>
  <r>
    <s v="BR_AAF_DSY_NONMS_ND_NC_2019Q1MAR_AMV_Feiras-Agrishow-Amarok"/>
    <s v="Waze, Inc"/>
    <s v="BR_VW_AMV_Waze_DIS_DRCT_CPM_STD_LDR_AAF_RON_CXD_Amarok-Feira-Agrishow-Amarok-AMC_PD_788x240"/>
    <s v="245386742"/>
    <x v="3"/>
    <s v="BR_VW_AMV_Waze_DIS_DRCT_CPM_STD_LDR_AAF_RON_CXD_Amarok-Feira-Agrishow-Amarok-AMC_PD_788x240"/>
    <s v="442085793"/>
    <x v="1"/>
    <n v="153468"/>
    <n v="622"/>
    <n v="3.8199999999999998E-2"/>
    <n v="0.09"/>
    <n v="5.8624775999999992"/>
    <x v="143"/>
  </r>
  <r>
    <s v="BR_AAF_DSY_NONMS_ND_NC_2019Q1MAR_AMV_Feiras-Agrishow-Amarok"/>
    <s v="Waze, Inc"/>
    <s v="BR_VW_AMV_Waze_DIS_DRCT_CPM_STD_MPU_AAF_RON_CXD_Amarok-Feira-Agrishow-Amarok-AMC_PD_152x112"/>
    <s v="245387330"/>
    <x v="3"/>
    <s v="BR_VW_AMV_Waze_DIS_DRCT_CPM_STD_MPU_AAF_RON_CXD_Amarok-Feira-Agrishow-Amarok-AMC_PD_152x112"/>
    <s v="442085028"/>
    <x v="1"/>
    <n v="21149"/>
    <n v="82"/>
    <n v="3.8199999999999998E-2"/>
    <n v="0.09"/>
    <n v="0.80789179999999994"/>
    <x v="144"/>
  </r>
  <r>
    <s v="BR_AAF_DSY_NONMS_ND_NC_2019Q1MAR_AMV_Feiras-TecnoShow-Amarok"/>
    <s v="In Loco Media"/>
    <s v="BR_VW_AMV_Inloco_DIS_DRCT_CPM_STD_LDR_AAF_RON_CXD_Amarok-Feira-Tecnoshow-Amarok-AMC_PD_900x750"/>
    <s v="243740317"/>
    <x v="3"/>
    <s v="BR_VW_AMV_Inloco_DIS_DRCT_CPM_STD_LDR_AAF_RON_CXD_Amarok-Feira-Tecnoshow-Amarok-AMC_PD_900x750"/>
    <s v="440438869"/>
    <x v="1"/>
    <n v="231082"/>
    <n v="1175"/>
    <n v="3.8199999999999998E-2"/>
    <n v="0.09"/>
    <n v="8.8273323999999995"/>
    <x v="145"/>
  </r>
  <r>
    <s v="BR_AAF_DSY_NONMS_ND_NC_2019Q1MAR_AMV_Feiras-TecnoShow-Amarok"/>
    <s v="In Loco Media"/>
    <s v="BR_VW_AMV_Inloco_DIS_DRCT_CPM_STD_LDR_AAF_RON_CXD_Amarok-Feira-Tecnoshow-Amarok-AMC_PD_960x1440"/>
    <s v="243740326"/>
    <x v="3"/>
    <s v="BR_VW_AMV_Inloco_DIS_DRCT_CPM_STD_LDR_AAF_RON_CXD_Amarok-Feira-Tecnoshow-Amarok-AMC_PD_960x1440"/>
    <s v="440438878"/>
    <x v="1"/>
    <n v="68377"/>
    <n v="1205"/>
    <n v="3.8199999999999998E-2"/>
    <n v="0.09"/>
    <n v="2.6120013999999996"/>
    <x v="146"/>
  </r>
  <r>
    <s v="BR_AAF_DSY_NONMS_ND_NC_2019Q1MAR_AMV_Feiras-TecnoShow-Amarok"/>
    <s v="In Loco Media"/>
    <s v="BR_VW_AMV_Inloco_DIS_DRCT_CPM_STD_LDR_AAF_RON_CXD_Amarok-Feira-Tecnoshow-Amarok-AMC_PD_960x150"/>
    <s v="243740332"/>
    <x v="3"/>
    <s v="BR_VW_AMV_Inloco_DIS_DRCT_CPM_STD_LDR_AAF_RON_CXD_Amarok-Feira-Tecnoshow-Amarok-AMC_PD_960x150"/>
    <s v="440438884"/>
    <x v="1"/>
    <n v="165678"/>
    <n v="845"/>
    <n v="3.8199999999999998E-2"/>
    <n v="0.09"/>
    <n v="6.3288995999999997"/>
    <x v="147"/>
  </r>
  <r>
    <s v="BR_AAF_DSY_NONMS_ND_NC_2019Q1MAR_AMV_Feiras-TecnoShow-Amarok"/>
    <s v="In Loco Media"/>
    <s v="BR_VW_AMV_Inloco_DIS_DRCT_CPM_STD_SRB_AAF_RON_CXD_Amarok-Feira-Tecnoshow-Amarok-AMC_PD_1200x627"/>
    <s v="243740311"/>
    <x v="1"/>
    <s v="BR_VW_AMV_Inloco_DIS_DRCT_CPM_STD_SRB_AAF_RON_CXD_Amarok-Feira-Tecnoshow-Amarok-AMC_PD_1200x627"/>
    <s v="440438863"/>
    <x v="1"/>
    <n v="0"/>
    <n v="709"/>
    <n v="3.5000000000000001E-3"/>
    <n v="0.02"/>
    <n v="2.4815"/>
    <x v="148"/>
  </r>
  <r>
    <s v="BR_AAF_DSY_NONMS_ND_NC_2019Q1MAR_AMV_Feiras-TecnoShow-Amarok"/>
    <s v="In Loco Media"/>
    <s v="BR_VW_AMV_Inloco_DIS_DRCT_CPM_STD_SRB_AAF_RON_CXD_Amarok-Feira-Tecnoshow-Amarok-AMC_PD_1440x960"/>
    <s v="243740320"/>
    <x v="3"/>
    <s v="BR_VW_AMV_Inloco_DIS_DRCT_CPM_STD_SRB_AAF_RON_CXD_Amarok-Feira-Tecnoshow-Amarok-AMC_PD_1440x960"/>
    <s v="440438872"/>
    <x v="1"/>
    <n v="8890"/>
    <n v="57"/>
    <n v="3.8199999999999998E-2"/>
    <n v="0.09"/>
    <n v="0.33959799999999996"/>
    <x v="149"/>
  </r>
  <r>
    <s v="BR_AAF_DSY_NONMS_ND_NC_2019Q1MAR_AMV_Feiras-TecnoShow-Amarok"/>
    <s v="Waze, Inc"/>
    <s v="BR_VW_AMV_waze_DIS_DRCT_CPM_STD_LDR_AAF_RON_CXD_Amarok-Feira-Tecnoshow-2-Amarok-AMC_PD_608x240"/>
    <s v="244093158"/>
    <x v="1"/>
    <s v="BR_VW_AMV_waze_DIS_DRCT_CPM_STD_LDR_AAF_RON_CXD_Amarok-Feira-Tecnoshow-2-Amarok-AMC_PD_608x240"/>
    <s v="440549878"/>
    <x v="1"/>
    <n v="0"/>
    <n v="1"/>
    <n v="3.5000000000000001E-3"/>
    <n v="0.02"/>
    <n v="3.5000000000000001E-3"/>
    <x v="1"/>
  </r>
  <r>
    <s v="BR_AAF_DSY_NONMS_ND_NC_2019Q1MAR_AMV_Feiras-TecnoShow-Amarok"/>
    <s v="Waze, Inc"/>
    <s v="BR_VW_AMV_waze_DIS_DRCT_CPM_STD_LDR_AAF_RON_CXD_Amarok-Feira-Tecnoshow-Amarok-AMC_PD_690x550"/>
    <s v="243740329"/>
    <x v="1"/>
    <s v="BR_VW_AMV_waze_DIS_DRCT_CPM_STD_LDR_AAF_RON_CXD_Amarok-Feira-Tecnoshow-Amarok-AMC_PD_690x550"/>
    <s v="440438881"/>
    <x v="1"/>
    <n v="0"/>
    <n v="1"/>
    <n v="3.5000000000000001E-3"/>
    <n v="0.02"/>
    <n v="3.5000000000000001E-3"/>
    <x v="1"/>
  </r>
  <r>
    <s v="BR_AAF_DSY_NONMS_ND_NC_2019Q1MAR_AMV_Feiras-TecnoShow-Amarok"/>
    <s v="Waze, Inc"/>
    <s v="BR_VW_AMV_waze_DIS_DRCT_CPM_STD_LDR_AAF_RON_CXD_Amarok-Feira-Tecnoshow-Amarok-AMC_PD_788x240"/>
    <s v="243740323"/>
    <x v="1"/>
    <s v="BR_VW_AMV_waze_DIS_DRCT_CPM_STD_LDR_AAF_RON_CXD_Amarok-Feira-Tecnoshow-Amarok-AMC_PD_788x240"/>
    <s v="440438875"/>
    <x v="1"/>
    <n v="0"/>
    <n v="1"/>
    <n v="3.5000000000000001E-3"/>
    <n v="0.02"/>
    <n v="3.5000000000000001E-3"/>
    <x v="1"/>
  </r>
  <r>
    <s v="BR_AAF_DSY_PRESA_ND_NC_2019Q1FEB_TCR_Pre-Venda-T-Cross"/>
    <s v="BR OLX"/>
    <s v="BR_VW_TCR_olx_DIS_DRCT_CPC_STD_MPU_AAF_HTO_CXD_Pre-Venda-Tcross-AMC-Tcross_PD_300x250"/>
    <s v="240497159"/>
    <x v="1"/>
    <s v="BR_VW_TCR_olx_DIS_DRCT_CPC_STD_MPU_AAF_HTO_CXD_Pre-Venda-Tcross-AMC-Tcross_PD_300x250"/>
    <s v="437574754"/>
    <x v="1"/>
    <n v="0"/>
    <n v="1"/>
    <n v="3.5000000000000001E-3"/>
    <n v="0.02"/>
    <n v="3.5000000000000001E-3"/>
    <x v="1"/>
  </r>
  <r>
    <s v="BR_AAF_DSY_RUNOT_ND_NC_2019Q1MAR_AMV_VarejoAmarokMarco"/>
    <s v="Google Brasil"/>
    <s v="BR_VW_AMV_dv360_DIS_PROG_CPM_STD_LDR_AAF_RON_CXD_Amarok-Varejo-Marco-Corporativo-OLD-CIDADE-Amarok-AMC_PD_728X90"/>
    <s v="241739181"/>
    <x v="3"/>
    <s v="BR_VW_AMV_dv360_DIS_PROG_CPM_STD_LDR_AAF_RON_CXD_Amarok-Varejo-Marco-Corporativo-OLD-CIDADE-Amarok-AMC_PD_728X90"/>
    <s v="438407590"/>
    <x v="2"/>
    <n v="3"/>
    <n v="0"/>
    <n v="3.8199999999999998E-2"/>
    <n v="0.09"/>
    <n v="1.1459999999999999E-4"/>
    <x v="17"/>
  </r>
  <r>
    <s v="BR_AAF_DSY_RUNOT_ND_NC_2019Q1MAR_AMV_VarejoAmarokMarco"/>
    <s v="Google Brasil"/>
    <s v="BR_VW_AMV_dv360_DIS_PROG_CPM_STD_LDR_AAF_RON_CXD_Amarok-Varejo-Marco-PRIVADO-Amarok-AMC_PD_728X90"/>
    <s v="242922728"/>
    <x v="3"/>
    <s v="BR_VW_AMV_dv360_DIS_PROG_CPM_STD_LDR_AAF_RON_CXD_Amarok-Varejo-Marco-PRIVADO-Amarok-AMC_PD_728X90"/>
    <s v="439748054"/>
    <x v="2"/>
    <n v="3"/>
    <n v="0"/>
    <n v="3.8199999999999998E-2"/>
    <n v="0.09"/>
    <n v="1.1459999999999999E-4"/>
    <x v="17"/>
  </r>
  <r>
    <s v="BR_AAF_DSY_RUNOT_ND_NC_2019Q1MAR_AMV_VarejoAmarokMarco"/>
    <s v="Google Brasil"/>
    <s v="BR_VW_AMV_dv360_DIS_PROG_CPM_STD_MPU_AAF_RON_CXD_Amarok-Varejo-Marco-Corporativo-CAMPO-NOVO-Amarok-AMC_PD_300x250"/>
    <s v="243292125"/>
    <x v="3"/>
    <s v="BR_VW_AMV_dv360_DIS_PROG_CPM_STD_MPU_AAF_RON_CXD_Amarok-Varejo-Marco-Corporativo-CAMPO-NOVO-Amarok-AMC_PD_300x250"/>
    <s v="439675803"/>
    <x v="2"/>
    <n v="0"/>
    <n v="1"/>
    <n v="3.8199999999999998E-2"/>
    <n v="0.09"/>
    <n v="0"/>
    <x v="150"/>
  </r>
  <r>
    <s v="BR_AAF_DSY_RUNOT_ND_NC_2019Q1MAR_AMV_VarejoAmarokMarco"/>
    <s v="Google Brasil"/>
    <s v="BR_VW_AMV_dv360_DIS_PROG_CPM_STD_MPU_AAF_RON_CXD_Amarok-Varejo-Marco-Corporativo-CAMPO-NOVO-Amarok-AMC_PD_320X50"/>
    <s v="243292122"/>
    <x v="3"/>
    <s v="BR_VW_AMV_dv360_DIS_PROG_CPM_STD_MPU_AAF_RON_CXD_Amarok-Varejo-Marco-Corporativo-CAMPO-NOVO-Amarok-AMC_PD_320X50"/>
    <s v="439675800"/>
    <x v="2"/>
    <n v="0"/>
    <n v="1"/>
    <n v="3.8199999999999998E-2"/>
    <n v="0.09"/>
    <n v="0"/>
    <x v="150"/>
  </r>
  <r>
    <s v="BR_AAF_DSY_RUNOT_ND_NC_2019Q1MAR_AMV_VarejoAmarokMarco"/>
    <s v="Google Brasil"/>
    <s v="BR_VW_AMV_dv360_DIS_PROG_CPM_STD_MPU_AAF_RON_CXD_Amarok-Varejo-Marco-Corporativo-CIDADE-NOVO-Amarok-AMC_PD_300x250"/>
    <s v="243490212"/>
    <x v="3"/>
    <s v="BR_VW_AMV_dv360_DIS_PROG_CPM_STD_MPU_AAF_RON_CXD_Amarok-Varejo-Marco-Corporativo-CIDADE-NOVO-Amarok-AMC_PD_300x250"/>
    <s v="439973078"/>
    <x v="2"/>
    <n v="0"/>
    <n v="3"/>
    <n v="3.8199999999999998E-2"/>
    <n v="0.09"/>
    <n v="0"/>
    <x v="150"/>
  </r>
  <r>
    <s v="BR_AAF_DSY_RUNOT_ND_NC_2019Q1MAR_AMV_VarejoAmarokMarco"/>
    <s v="Google Brasil"/>
    <s v="BR_VW_AMV_dv360_DIS_PROG_CPM_STD_MPU_AAF_RON_CXD_Amarok-Varejo-Marco-Corporativo-CIDADE-NOVO-Amarok-AMC_PD_320X50"/>
    <s v="243490209"/>
    <x v="3"/>
    <s v="BR_VW_AMV_dv360_DIS_PROG_CPM_STD_MPU_AAF_RON_CXD_Amarok-Varejo-Marco-Corporativo-CIDADE-NOVO-Amarok-AMC_PD_320X50"/>
    <s v="439973075"/>
    <x v="2"/>
    <n v="0"/>
    <n v="2"/>
    <n v="3.8199999999999998E-2"/>
    <n v="0.09"/>
    <n v="0"/>
    <x v="150"/>
  </r>
  <r>
    <s v="BR_AAF_DSY_RUNOT_ND_NC_2019Q1MAR_AMV_VarejoAmarokMarco"/>
    <s v="Google Brasil"/>
    <s v="BR_VW_AMV_dv360_DIS_PROG_CPM_STD_MPU_AAF_RON_CXD_Amarok-Varejo-Marco-Corporativo-OLD-CAMPO-Amarok-AMC_PD_300x250"/>
    <s v="241739247"/>
    <x v="3"/>
    <s v="BR_VW_AMV_dv360_DIS_PROG_CPM_STD_MPU_AAF_RON_CXD_Amarok-Varejo-Marco-Corporativo-OLD-CAMPO-Amarok-AMC_PD_300x250"/>
    <s v="438419468"/>
    <x v="2"/>
    <n v="3"/>
    <n v="0"/>
    <n v="3.8199999999999998E-2"/>
    <n v="0.09"/>
    <n v="1.1459999999999999E-4"/>
    <x v="17"/>
  </r>
  <r>
    <s v="BR_AAF_DSY_RUNOT_ND_NC_2019Q1MAR_AMV_VarejoAmarokMarco"/>
    <s v="Google Brasil"/>
    <s v="BR_VW_AMV_dv360_DIS_PROG_CPM_STD_MPU_AAF_RON_CXD_Amarok-Varejo-Marco-Corporativo-OLD-CAMPO-Amarok-AMC_PD_320X100"/>
    <s v="241739241"/>
    <x v="3"/>
    <s v="BR_VW_AMV_dv360_DIS_PROG_CPM_STD_MPU_AAF_RON_CXD_Amarok-Varejo-Marco-Corporativo-OLD-CAMPO-Amarok-AMC_PD_320X100"/>
    <s v="438419462"/>
    <x v="2"/>
    <n v="3"/>
    <n v="0"/>
    <n v="3.8199999999999998E-2"/>
    <n v="0.09"/>
    <n v="1.1459999999999999E-4"/>
    <x v="17"/>
  </r>
  <r>
    <s v="BR_AAF_DSY_RUNOT_ND_NC_2019Q1MAR_AMV_VarejoAmarokMarco"/>
    <s v="Google Brasil"/>
    <s v="BR_VW_AMV_dv360_DIS_PROG_CPM_STD_MPU_AAF_RON_CXD_Amarok-Varejo-Marco-Corporativo-OLD-CIDADE-Amarok-AMC_PD_320X100"/>
    <s v="241739199"/>
    <x v="3"/>
    <s v="BR_VW_AMV_dv360_DIS_PROG_CPM_STD_MPU_AAF_RON_CXD_Amarok-Varejo-Marco-Corporativo-OLD-CIDADE-Amarok-AMC_PD_320X100"/>
    <s v="438407608"/>
    <x v="2"/>
    <n v="3"/>
    <n v="0"/>
    <n v="3.8199999999999998E-2"/>
    <n v="0.09"/>
    <n v="1.1459999999999999E-4"/>
    <x v="17"/>
  </r>
  <r>
    <s v="BR_AAF_DSY_RUNOT_ND_NC_2019Q1MAR_AMV_VarejoAmarokMarco"/>
    <s v="Google Brasil"/>
    <s v="BR_VW_AMV_dv360_DIS_PROG_CPM_STD_MPU_AAF_RON_CXD_Amarok-Varejo-Marco-PRIVADO-Amarok-AMC_PD_300x250"/>
    <s v="242764834"/>
    <x v="3"/>
    <s v="BR_VW_AMV_dv360_DIS_PROG_CPM_STD_MPU_AAF_RON_CXD_Amarok-Varejo-Marco-PRIVADO-Amarok-AMC_PD_300x250"/>
    <s v="439444598"/>
    <x v="2"/>
    <n v="2"/>
    <n v="2"/>
    <n v="3.8199999999999998E-2"/>
    <n v="0.09"/>
    <n v="7.64E-5"/>
    <x v="32"/>
  </r>
  <r>
    <s v="BR_AAF_DSY_RUNOT_ND_NC_2019Q1MAR_AMV_VarejoAmarokMarco"/>
    <s v="Google Brasil"/>
    <s v="BR_VW_AMV_dv360_DIS_PROG_CPM_STD_MPU_AAF_RON_CXD_Amarok-Varejo-Marco-PRIVADO-Amarok-AMC_PD_320X50"/>
    <s v="243228027"/>
    <x v="3"/>
    <s v="BR_VW_AMV_dv360_DIS_PROG_CPM_STD_MPU_AAF_RON_CXD_Amarok-Varejo-Marco-PRIVADO-Amarok-AMC_PD_320X50"/>
    <s v="439739935"/>
    <x v="2"/>
    <n v="3"/>
    <n v="0"/>
    <n v="3.8199999999999998E-2"/>
    <n v="0.09"/>
    <n v="1.1459999999999999E-4"/>
    <x v="17"/>
  </r>
  <r>
    <s v="BR_AAF_DSY_RUNOT_ND_NC_2019Q1MAR_AMV_VarejoAmarokMarco"/>
    <s v="Google Brasil"/>
    <s v="BR_VW_AMV_dv360_DIS_PROG_CPM_STD_SKY_AAF_RON_CXD_Amarok-Varejo-Marco-Corporativo-CAMPO-NOVO-Amarok-AMC_PD_300X600"/>
    <s v="243275007"/>
    <x v="3"/>
    <s v="BR_VW_AMV_dv360_DIS_PROG_CPM_STD_SKY_AAF_RON_CXD_Amarok-Varejo-Marco-Corporativo-CAMPO-NOVO-Amarok-AMC_PD_300X600"/>
    <s v="439675785"/>
    <x v="2"/>
    <n v="0"/>
    <n v="5"/>
    <n v="3.8199999999999998E-2"/>
    <n v="0.09"/>
    <n v="0"/>
    <x v="150"/>
  </r>
  <r>
    <s v="BR_AAF_DSY_RUNOT_ND_NC_2019Q1MAR_AMV_VarejoAmarokMarco"/>
    <s v="Google Brasil"/>
    <s v="BR_VW_AMV_dv360_DIS_PROG_CPM_STD_SKY_AAF_RON_CXD_Amarok-Varejo-Marco-Corporativo-CIDADE-NOVO-Amarok-AMC_PD_300X600"/>
    <s v="243490194"/>
    <x v="3"/>
    <s v="BR_VW_AMV_dv360_DIS_PROG_CPM_STD_SKY_AAF_RON_CXD_Amarok-Varejo-Marco-Corporativo-CIDADE-NOVO-Amarok-AMC_PD_300X600"/>
    <s v="439973060"/>
    <x v="2"/>
    <n v="0"/>
    <n v="3"/>
    <n v="3.8199999999999998E-2"/>
    <n v="0.09"/>
    <n v="0"/>
    <x v="150"/>
  </r>
  <r>
    <s v="BR_AAF_DSY_RUNOT_ND_NC_2019Q1MAR_AMV_VarejoAmarokMarco"/>
    <s v="Google Brasil"/>
    <s v="BR_VW_AMV_dv360_DIS_PROG_CPM_STD_SKY_AAF_RON_CXD_Amarok-Varejo-Marco-Corporativo-OLD-CIDADE-Amarok-AMC_PD_300X600"/>
    <s v="241739187"/>
    <x v="3"/>
    <s v="BR_VW_AMV_dv360_DIS_PROG_CPM_STD_SKY_AAF_RON_CXD_Amarok-Varejo-Marco-Corporativo-OLD-CIDADE-Amarok-AMC_PD_300X600"/>
    <s v="438407596"/>
    <x v="2"/>
    <n v="3"/>
    <n v="0"/>
    <n v="3.8199999999999998E-2"/>
    <n v="0.09"/>
    <n v="1.1459999999999999E-4"/>
    <x v="17"/>
  </r>
  <r>
    <s v="BR_AAF_DSY_RUNOT_ND_NC_2019Q1MAR_AMV_VarejoAmarokMarco"/>
    <s v="Google Brasil"/>
    <s v="BR_VW_AMV_dv360_DIS_PROG_CPM_STD_SKY_AAF_RON_CXD_Amarok-Varejo-Marco-PRIVADO-Amarok-AMC_PD_300X600"/>
    <s v="242764828"/>
    <x v="3"/>
    <s v="BR_VW_AMV_dv360_DIS_PROG_CPM_STD_SKY_AAF_RON_CXD_Amarok-Varejo-Marco-PRIVADO-Amarok-AMC_PD_300X600"/>
    <s v="439444592"/>
    <x v="2"/>
    <n v="3"/>
    <n v="3"/>
    <n v="3.8199999999999998E-2"/>
    <n v="0.09"/>
    <n v="1.1459999999999999E-4"/>
    <x v="17"/>
  </r>
  <r>
    <s v="BR_AAF_DSY_RUNOT_ND_NC_2019Q1MAR_AMV_VarejoAmarokMarco"/>
    <s v="In Loco Media"/>
    <s v="BR_VW_AMV_Inloco_DIS_DRCT_CPM_STD_LDR_AAF_RON_CXD_Amarok-Varejo-Marco-Corporativo-CAMPO-NOVO-Amarok-AMC_PD_900x750"/>
    <s v="243286686"/>
    <x v="1"/>
    <s v="BR_VW_AMV_Inloco_DIS_DRCT_CPM_STD_LDR_AAF_RON_CXD_Amarok-Varejo-Marco-Corporativo-CAMPO-NOVO-Amarok-AMC_PD_900x750"/>
    <s v="439764770"/>
    <x v="1"/>
    <n v="1"/>
    <n v="2"/>
    <n v="3.5000000000000001E-3"/>
    <n v="0.02"/>
    <n v="7.0000000000000001E-3"/>
    <x v="123"/>
  </r>
  <r>
    <s v="BR_AAF_DSY_RUNOT_ND_NC_2019Q1MAR_AMV_VarejoAmarokMarco"/>
    <s v="In Loco Media"/>
    <s v="BR_VW_AMV_Inloco_DIS_DRCT_CPM_STD_LDR_AAF_RON_CXD_Amarok-Varejo-Marco-Corporativo-CAMPO-NOVO-Amarok-AMC_PD_960x1440"/>
    <s v="243286692"/>
    <x v="3"/>
    <s v="BR_VW_AMV_Inloco_DIS_DRCT_CPM_STD_LDR_AAF_RON_CXD_Amarok-Varejo-Marco-Corporativo-CAMPO-NOVO-Amarok-AMC_PD_960x1440"/>
    <s v="439764776"/>
    <x v="1"/>
    <n v="10"/>
    <n v="1"/>
    <n v="3.8199999999999998E-2"/>
    <n v="0.09"/>
    <n v="3.8200000000000002E-4"/>
    <x v="151"/>
  </r>
  <r>
    <s v="BR_AAF_DSY_RUNOT_ND_NC_2019Q1MAR_AMV_VarejoAmarokMarco"/>
    <s v="In Loco Media"/>
    <s v="BR_VW_AMV_Inloco_DIS_DRCT_CPM_STD_LDR_AAF_RON_CXD_Amarok-Varejo-Marco-Corporativo-CIDADE-NOVO-Amarok-AMC_PD_900x750"/>
    <s v="243163442"/>
    <x v="3"/>
    <s v="BR_VW_AMV_Inloco_DIS_DRCT_CPM_STD_LDR_AAF_RON_CXD_Amarok-Varejo-Marco-Corporativo-CIDADE-NOVO-Amarok-AMC_PD_900x750"/>
    <s v="439883178"/>
    <x v="1"/>
    <n v="3"/>
    <n v="1"/>
    <n v="3.8199999999999998E-2"/>
    <n v="0.09"/>
    <n v="1.1459999999999999E-4"/>
    <x v="17"/>
  </r>
  <r>
    <s v="BR_AAF_DSY_RUNOT_ND_NC_2019Q1MAR_AMV_VarejoAmarokMarco"/>
    <s v="In Loco Media"/>
    <s v="BR_VW_AMV_Inloco_DIS_DRCT_CPM_STD_LDR_AAF_RON_CXD_Amarok-Varejo-Marco-Corporativo-CIDADE-NOVO-Amarok-AMC_PD_960x1440"/>
    <s v="243163448"/>
    <x v="3"/>
    <s v="BR_VW_AMV_Inloco_DIS_DRCT_CPM_STD_LDR_AAF_RON_CXD_Amarok-Varejo-Marco-Corporativo-CIDADE-NOVO-Amarok-AMC_PD_960x1440"/>
    <s v="439883184"/>
    <x v="1"/>
    <n v="3"/>
    <n v="0"/>
    <n v="3.8199999999999998E-2"/>
    <n v="0.09"/>
    <n v="1.1459999999999999E-4"/>
    <x v="17"/>
  </r>
  <r>
    <s v="BR_AAF_DSY_RUNOT_ND_NC_2019Q1MAR_AMV_VarejoAmarokMarco"/>
    <s v="In Loco Media"/>
    <s v="BR_VW_AMV_Inloco_DIS_DRCT_CPM_STD_LDR_AAF_RON_CXD_Amarok-Varejo-Marco-Corporativo-OLD-CAMPO-Amarok-AMC_PD_900x750"/>
    <s v="241429877"/>
    <x v="3"/>
    <s v="BR_VW_AMV_Inloco_DIS_DRCT_CPM_STD_LDR_AAF_RON_CXD_Amarok-Varejo-Marco-Corporativo-OLD-CAMPO-Amarok-AMC_PD_900x750"/>
    <s v="438411124"/>
    <x v="1"/>
    <n v="2"/>
    <n v="0"/>
    <n v="3.8199999999999998E-2"/>
    <n v="0.09"/>
    <n v="7.64E-5"/>
    <x v="32"/>
  </r>
  <r>
    <s v="BR_AAF_DSY_RUNOT_ND_NC_2019Q1MAR_AMV_VarejoAmarokMarco"/>
    <s v="In Loco Media"/>
    <s v="BR_VW_AMV_Inloco_DIS_DRCT_CPM_STD_LDR_AAF_RON_CXD_Amarok-Varejo-Marco-Corporativo-OLD-CAMPO-Amarok-AMC_PD_960x1440"/>
    <s v="241429883"/>
    <x v="3"/>
    <s v="BR_VW_AMV_Inloco_DIS_DRCT_CPM_STD_LDR_AAF_RON_CXD_Amarok-Varejo-Marco-Corporativo-OLD-CAMPO-Amarok-AMC_PD_960x1440"/>
    <s v="438411130"/>
    <x v="1"/>
    <n v="9"/>
    <n v="0"/>
    <n v="3.8199999999999998E-2"/>
    <n v="0.09"/>
    <n v="3.4380000000000001E-4"/>
    <x v="152"/>
  </r>
  <r>
    <s v="BR_AAF_DSY_RUNOT_ND_NC_2019Q1MAR_AMV_VarejoAmarokMarco"/>
    <s v="In Loco Media"/>
    <s v="BR_VW_AMV_Inloco_DIS_DRCT_CPM_STD_LDR_AAF_RON_CXD_Amarok-Varejo-Marco-Corporativo-OLD-CIDADE-Amarok-AMC_PD_900x750"/>
    <s v="241429850"/>
    <x v="3"/>
    <s v="BR_VW_AMV_Inloco_DIS_DRCT_CPM_STD_LDR_AAF_RON_CXD_Amarok-Varejo-Marco-Corporativo-OLD-CIDADE-Amarok-AMC_PD_900x750"/>
    <s v="438411097"/>
    <x v="1"/>
    <n v="1"/>
    <n v="0"/>
    <n v="3.8199999999999998E-2"/>
    <n v="0.09"/>
    <n v="3.82E-5"/>
    <x v="2"/>
  </r>
  <r>
    <s v="BR_AAF_DSY_RUNOT_ND_NC_2019Q1MAR_AMV_VarejoAmarokMarco"/>
    <s v="In Loco Media"/>
    <s v="BR_VW_AMV_Inloco_DIS_DRCT_CPM_STD_LDR_AAF_RON_CXD_Amarok-Varejo-Marco-Corporativo-OLD-CIDADE-Amarok-AMC_PD_960x1440"/>
    <s v="241429856"/>
    <x v="3"/>
    <s v="BR_VW_AMV_Inloco_DIS_DRCT_CPM_STD_LDR_AAF_RON_CXD_Amarok-Varejo-Marco-Corporativo-OLD-CIDADE-Amarok-AMC_PD_960x1440"/>
    <s v="438411103"/>
    <x v="1"/>
    <n v="8"/>
    <n v="0"/>
    <n v="3.8199999999999998E-2"/>
    <n v="0.09"/>
    <n v="3.056E-4"/>
    <x v="153"/>
  </r>
  <r>
    <s v="BR_AAF_DSY_RUNOT_ND_NC_2019Q1MAR_AMV_VarejoAmarokMarco"/>
    <s v="In Loco Media"/>
    <s v="BR_VW_AMV_Inloco_DIS_DRCT_CPM_STD_LDR_AAF_RON_CXD_Amarok-Varejo-Marco-PRIVADO-Amarok-AMC_PD_900x750"/>
    <s v="243222939"/>
    <x v="3"/>
    <s v="BR_VW_AMV_Inloco_DIS_DRCT_CPM_STD_LDR_AAF_RON_CXD_Amarok-Varejo-Marco-PRIVADO-Amarok-AMC_PD_900x750"/>
    <s v="439719830"/>
    <x v="1"/>
    <n v="6"/>
    <n v="1"/>
    <n v="3.8199999999999998E-2"/>
    <n v="0.09"/>
    <n v="2.2919999999999999E-4"/>
    <x v="154"/>
  </r>
  <r>
    <s v="BR_AAF_DSY_RUNOT_ND_NC_2019Q1MAR_AMV_VarejoAmarokMarco"/>
    <s v="In Loco Media"/>
    <s v="BR_VW_AMV_Inloco_DIS_DRCT_CPM_STD_LDR_AAF_RON_CXD_Amarok-Varejo-Marco-PRIVADO-Amarok-AMC_PD_960x1440"/>
    <s v="243222945"/>
    <x v="3"/>
    <s v="BR_VW_AMV_Inloco_DIS_DRCT_CPM_STD_LDR_AAF_RON_CXD_Amarok-Varejo-Marco-PRIVADO-Amarok-AMC_PD_960x1440"/>
    <s v="439719836"/>
    <x v="1"/>
    <n v="10"/>
    <n v="2"/>
    <n v="3.8199999999999998E-2"/>
    <n v="0.09"/>
    <n v="3.8200000000000002E-4"/>
    <x v="151"/>
  </r>
  <r>
    <s v="BR_AAF_DSY_RUNOT_ND_NC_2019Q1MAR_AMV_VarejoAmarokMarco"/>
    <s v="In Loco Media"/>
    <s v="BR_VW_AMV_Inloco_DIS_DRCT_CPM_STD_LDR_AAF_RON_CXD_Amarok-Varejo-Marco-PRIVADO-Amarok-AMC_PD_960x150"/>
    <s v="243222948"/>
    <x v="3"/>
    <s v="BR_VW_AMV_Inloco_DIS_DRCT_CPM_STD_LDR_AAF_RON_CXD_Amarok-Varejo-Marco-PRIVADO-Amarok-AMC_PD_960x150"/>
    <s v="439719839"/>
    <x v="1"/>
    <n v="2"/>
    <n v="0"/>
    <n v="3.8199999999999998E-2"/>
    <n v="0.09"/>
    <n v="7.64E-5"/>
    <x v="32"/>
  </r>
  <r>
    <s v="BR_AAF_DSY_RUNOT_ND_NC_2019Q1MAR_AMV_VarejoAmarokMarco"/>
    <s v="In Loco Media"/>
    <s v="BR_VW_AMV_Inloco_DIS_DRCT_CPM_STD_SRB_AAF_RON_CXD_Amarok-Varejo-Marco-Corporativo-CAMPO-NOVO-Amarok-AMC_PD_1200x627"/>
    <s v="243286704"/>
    <x v="1"/>
    <s v="BR_VW_AMV_Inloco_DIS_DRCT_CPM_STD_SRB_AAF_RON_CXD_Amarok-Varejo-Marco-Corporativo-CAMPO-NOVO-Amarok-AMC_PD_1200x627"/>
    <s v="439764788"/>
    <x v="1"/>
    <n v="0"/>
    <n v="1"/>
    <n v="3.5000000000000001E-3"/>
    <n v="0.02"/>
    <n v="3.5000000000000001E-3"/>
    <x v="1"/>
  </r>
  <r>
    <s v="BR_AAF_DSY_RUNOT_ND_NC_2019Q1MAR_AMV_VarejoAmarokMarco"/>
    <s v="In Loco Media"/>
    <s v="BR_VW_AMV_Inloco_DIS_DRCT_CPM_STD_SRB_AAF_RON_CXD_Amarok-Varejo-Marco-Corporativo-CAMPO-NOVO-Amarok-AMC_PD_1440x960"/>
    <s v="243286689"/>
    <x v="3"/>
    <s v="BR_VW_AMV_Inloco_DIS_DRCT_CPM_STD_SRB_AAF_RON_CXD_Amarok-Varejo-Marco-Corporativo-CAMPO-NOVO-Amarok-AMC_PD_1440x960"/>
    <s v="439764773"/>
    <x v="1"/>
    <n v="1"/>
    <n v="0"/>
    <n v="3.8199999999999998E-2"/>
    <n v="0.09"/>
    <n v="3.82E-5"/>
    <x v="2"/>
  </r>
  <r>
    <s v="BR_AAF_DSY_RUNOT_ND_NC_2019Q1MAR_AMV_VarejoAmarokMarco"/>
    <s v="In Loco Media"/>
    <s v="BR_VW_AMV_Inloco_DIS_DRCT_CPM_STD_SRB_AAF_RON_CXD_Amarok-Varejo-Marco-Corporativo-CIDADE-NOVO-Amarok-AMC_PD_1200x627"/>
    <s v="243163460"/>
    <x v="1"/>
    <s v="BR_VW_AMV_Inloco_DIS_DRCT_CPM_STD_SRB_AAF_RON_CXD_Amarok-Varejo-Marco-Corporativo-CIDADE-NOVO-Amarok-AMC_PD_1200x627"/>
    <s v="439883199"/>
    <x v="1"/>
    <n v="0"/>
    <n v="2"/>
    <n v="3.5000000000000001E-3"/>
    <n v="0.02"/>
    <n v="7.0000000000000001E-3"/>
    <x v="123"/>
  </r>
  <r>
    <s v="BR_AAF_DSY_RUNOT_ND_NC_2019Q1MAR_AMV_VarejoAmarokMarco"/>
    <s v="In Loco Media"/>
    <s v="BR_VW_AMV_Inloco_DIS_DRCT_CPM_STD_SRB_AAF_RON_CXD_Amarok-Varejo-Marco-PRIVADO-Amarok-AMC_PD_1440x960"/>
    <s v="243222942"/>
    <x v="3"/>
    <s v="BR_VW_AMV_Inloco_DIS_DRCT_CPM_STD_SRB_AAF_RON_CXD_Amarok-Varejo-Marco-PRIVADO-Amarok-AMC_PD_1440x960"/>
    <s v="439719833"/>
    <x v="1"/>
    <n v="1"/>
    <n v="0"/>
    <n v="3.8199999999999998E-2"/>
    <n v="0.09"/>
    <n v="3.82E-5"/>
    <x v="2"/>
  </r>
  <r>
    <s v="BR_AAF_DSY_RUNOT_ND_NC_2019Q1MAR_AMV_VarejoAmarokMarco"/>
    <s v="Oath BR"/>
    <s v="BR_VW_AMV_DSP_DIS_PROG_CPM_STD_LDR_AAF_RON_CXD_Amarok-Varejo-Marco-Corporativo-CAMPO-NOVO-Amarok-AMC_PD_728x90"/>
    <s v="243292134"/>
    <x v="3"/>
    <s v="BR_VW_AMV_DSP_DIS_PROG_CPM_STD_LDR_AAF_RON_CXD_Amarok-Varejo-Marco-Corporativo-CAMPO-NOVO-Amarok-AMC_PD_728x90"/>
    <s v="439675812"/>
    <x v="2"/>
    <n v="7"/>
    <n v="0"/>
    <n v="3.8199999999999998E-2"/>
    <n v="0.09"/>
    <n v="2.6739999999999999E-4"/>
    <x v="155"/>
  </r>
  <r>
    <s v="BR_AAF_DSY_RUNOT_ND_NC_2019Q1MAR_AMV_VarejoAmarokMarco"/>
    <s v="Oath BR"/>
    <s v="BR_VW_AMV_DSP_DIS_PROG_CPM_STD_LDR_AAF_RON_CXD_Amarok-Varejo-Marco-Corporativo-CIDADE-NOVO-Amarok-AMC_PD_728x90"/>
    <s v="243490221"/>
    <x v="3"/>
    <s v="BR_VW_AMV_DSP_DIS_PROG_CPM_STD_LDR_AAF_RON_CXD_Amarok-Varejo-Marco-Corporativo-CIDADE-NOVO-Amarok-AMC_PD_728x90"/>
    <s v="439973087"/>
    <x v="2"/>
    <n v="6"/>
    <n v="0"/>
    <n v="3.8199999999999998E-2"/>
    <n v="0.09"/>
    <n v="2.2919999999999999E-4"/>
    <x v="154"/>
  </r>
  <r>
    <s v="BR_AAF_DSY_RUNOT_ND_NC_2019Q1MAR_AMV_VarejoAmarokMarco"/>
    <s v="Oath BR"/>
    <s v="BR_VW_AMV_DSP_DIS_PROG_CPM_STD_LDR_AAF_RON_CXD_Amarok-Varejo-Marco-Corporativo-OLD-CAMPO-Amarok-AMC_PD_728x90"/>
    <s v="241922121"/>
    <x v="3"/>
    <s v="BR_VW_AMV_DSP_DIS_PROG_CPM_STD_LDR_AAF_RON_CXD_Amarok-Varejo-Marco-Corporativo-OLD-CAMPO-Amarok-AMC_PD_728x90"/>
    <s v="438500442"/>
    <x v="2"/>
    <n v="3"/>
    <n v="0"/>
    <n v="3.8199999999999998E-2"/>
    <n v="0.09"/>
    <n v="1.1459999999999999E-4"/>
    <x v="17"/>
  </r>
  <r>
    <s v="BR_AAF_DSY_RUNOT_ND_NC_2019Q1MAR_AMV_VarejoAmarokMarco"/>
    <s v="Oath BR"/>
    <s v="BR_VW_AMV_DSP_DIS_PROG_CPM_STD_LDR_AAF_RON_CXD_Amarok-Varejo-Marco-Corporativo-OLD-CIDADE-Amarok-AMC_PD_728x90"/>
    <s v="241922709"/>
    <x v="3"/>
    <s v="BR_VW_AMV_DSP_DIS_PROG_CPM_STD_LDR_AAF_RON_CXD_Amarok-Varejo-Marco-Corporativo-OLD-CIDADE-Amarok-AMC_PD_728x90"/>
    <s v="438500430"/>
    <x v="2"/>
    <n v="6"/>
    <n v="0"/>
    <n v="3.8199999999999998E-2"/>
    <n v="0.09"/>
    <n v="2.2919999999999999E-4"/>
    <x v="154"/>
  </r>
  <r>
    <s v="BR_AAF_DSY_RUNOT_ND_NC_2019Q1MAR_AMV_VarejoAmarokMarco"/>
    <s v="Oath BR"/>
    <s v="BR_VW_AMV_DSP_DIS_PROG_CPM_STD_LDR_AAF_RON_CXD_Amarok-Varejo-Marco-PRIVADO-Amarok-AMC_PD_970x250"/>
    <s v="243228030"/>
    <x v="3"/>
    <s v="BR_VW_AMV_DSP_DIS_PROG_CPM_STD_LDR_AAF_RON_CXD_Amarok-Varejo-Marco-PRIVADO-Amarok-AMC_PD_970x250"/>
    <s v="439739938"/>
    <x v="2"/>
    <n v="3"/>
    <n v="0"/>
    <n v="3.8199999999999998E-2"/>
    <n v="0.09"/>
    <n v="1.1459999999999999E-4"/>
    <x v="17"/>
  </r>
  <r>
    <s v="BR_AAF_DSY_RUNOT_ND_NC_2019Q1MAR_AMV_VarejoAmarokMarco"/>
    <s v="Oath BR"/>
    <s v="BR_VW_AMV_DSP_DIS_PROG_CPM_STD_MPU_AAF_RON_CXD_Amarok-Varejo-Marco-Corporativo-CAMPO-NOVO-Amarok-AMC_PD_300x250"/>
    <s v="243292137"/>
    <x v="3"/>
    <s v="BR_VW_AMV_DSP_DIS_PROG_CPM_STD_MPU_AAF_RON_CXD_Amarok-Varejo-Marco-Corporativo-CAMPO-NOVO-Amarok-AMC_PD_300x250"/>
    <s v="439675815"/>
    <x v="2"/>
    <n v="4"/>
    <n v="0"/>
    <n v="3.8199999999999998E-2"/>
    <n v="0.09"/>
    <n v="1.528E-4"/>
    <x v="49"/>
  </r>
  <r>
    <s v="BR_AAF_DSY_RUNOT_ND_NC_2019Q1MAR_AMV_VarejoAmarokMarco"/>
    <s v="Oath BR"/>
    <s v="BR_VW_AMV_DSP_DIS_PROG_CPM_STD_MPU_AAF_RON_CXD_Amarok-Varejo-Marco-Corporativo-CIDADE-NOVO-Amarok-AMC_PD_300x250"/>
    <s v="243490224"/>
    <x v="3"/>
    <s v="BR_VW_AMV_DSP_DIS_PROG_CPM_STD_MPU_AAF_RON_CXD_Amarok-Varejo-Marco-Corporativo-CIDADE-NOVO-Amarok-AMC_PD_300x250"/>
    <s v="439973090"/>
    <x v="2"/>
    <n v="22"/>
    <n v="0"/>
    <n v="3.8199999999999998E-2"/>
    <n v="0.09"/>
    <n v="8.4039999999999994E-4"/>
    <x v="156"/>
  </r>
  <r>
    <s v="BR_AAF_DSY_RUNOT_ND_NC_2019Q1MAR_AMV_VarejoAmarokMarco"/>
    <s v="Oath BR"/>
    <s v="BR_VW_AMV_DSP_DIS_PROG_CPM_STD_MPU_AAF_RON_CXD_Amarok-Varejo-Marco-Corporativo-OLD-CAMPO-Amarok-AMC_PD_300x250"/>
    <s v="241922124"/>
    <x v="3"/>
    <s v="BR_VW_AMV_DSP_DIS_PROG_CPM_STD_MPU_AAF_RON_CXD_Amarok-Varejo-Marco-Corporativo-OLD-CAMPO-Amarok-AMC_PD_300x250"/>
    <s v="438500445"/>
    <x v="2"/>
    <n v="3"/>
    <n v="0"/>
    <n v="3.8199999999999998E-2"/>
    <n v="0.09"/>
    <n v="1.1459999999999999E-4"/>
    <x v="17"/>
  </r>
  <r>
    <s v="BR_AAF_DSY_RUNOT_ND_NC_2019Q1MAR_AMV_VarejoAmarokMarco"/>
    <s v="Oath BR"/>
    <s v="BR_VW_AMV_DSP_DIS_PROG_CPM_STD_MPU_AAF_RON_CXD_Amarok-Varejo-Marco-Corporativo-OLD-CIDADE-Amarok-AMC_PD_300x250"/>
    <s v="241922712"/>
    <x v="3"/>
    <s v="BR_VW_AMV_DSP_DIS_PROG_CPM_STD_MPU_AAF_RON_CXD_Amarok-Varejo-Marco-Corporativo-OLD-CIDADE-Amarok-AMC_PD_300x250"/>
    <s v="438500433"/>
    <x v="2"/>
    <n v="3"/>
    <n v="0"/>
    <n v="3.8199999999999998E-2"/>
    <n v="0.09"/>
    <n v="1.1459999999999999E-4"/>
    <x v="17"/>
  </r>
  <r>
    <s v="BR_AAF_DSY_RUNOT_ND_NC_2019Q1MAR_AMV_VarejoAmarokMarco"/>
    <s v="Oath BR"/>
    <s v="BR_VW_AMV_DSP_DIS_PROG_CPM_STD_MPU_AAF_RON_CXD_Amarok-Varejo-Marco-PRIVADO-Amarok-AMC_PD_300x250"/>
    <s v="242764840"/>
    <x v="3"/>
    <s v="BR_VW_AMV_DSP_DIS_PROG_CPM_STD_MPU_AAF_RON_CXD_Amarok-Varejo-Marco-PRIVADO-Amarok-AMC_PD_300x250"/>
    <s v="439444604"/>
    <x v="2"/>
    <n v="3"/>
    <n v="0"/>
    <n v="3.8199999999999998E-2"/>
    <n v="0.09"/>
    <n v="1.1459999999999999E-4"/>
    <x v="17"/>
  </r>
  <r>
    <s v="BR_AAF_DSY_RUNOT_ND_NC_2019Q1MAR_AMV_VarejoAmarokMarco"/>
    <s v="Oath BR"/>
    <s v="BR_VW_AMV_DSP_DIS_PROG_CPM_STD_SKY_AAF_RON_CXD_Amarok-Varejo-Marco-Corporativo-CAMPO-NOVO-Amarok-AMC_PD_300x600"/>
    <s v="243292140"/>
    <x v="3"/>
    <s v="BR_VW_AMV_DSP_DIS_PROG_CPM_STD_SKY_AAF_RON_CXD_Amarok-Varejo-Marco-Corporativo-CAMPO-NOVO-Amarok-AMC_PD_300x600"/>
    <s v="439675818"/>
    <x v="2"/>
    <n v="3"/>
    <n v="0"/>
    <n v="3.8199999999999998E-2"/>
    <n v="0.09"/>
    <n v="1.1459999999999999E-4"/>
    <x v="17"/>
  </r>
  <r>
    <s v="BR_AAF_DSY_RUNOT_ND_NC_2019Q1MAR_AMV_VarejoAmarokMarco"/>
    <s v="Oath BR"/>
    <s v="BR_VW_AMV_DSP_DIS_PROG_CPM_STD_SKY_AAF_RON_CXD_Amarok-Varejo-Marco-Corporativo-CIDADE-NOVO-Amarok-AMC_PD_300x600"/>
    <s v="243490227"/>
    <x v="3"/>
    <s v="BR_VW_AMV_DSP_DIS_PROG_CPM_STD_SKY_AAF_RON_CXD_Amarok-Varejo-Marco-Corporativo-CIDADE-NOVO-Amarok-AMC_PD_300x600"/>
    <s v="439973093"/>
    <x v="2"/>
    <n v="3"/>
    <n v="0"/>
    <n v="3.8199999999999998E-2"/>
    <n v="0.09"/>
    <n v="1.1459999999999999E-4"/>
    <x v="17"/>
  </r>
  <r>
    <s v="BR_AAF_DSY_RUNOT_ND_NC_2019Q1MAR_AMV_VarejoAmarokMarco"/>
    <s v="Oath BR"/>
    <s v="BR_VW_AMV_DSP_DIS_PROG_CPM_STD_SKY_AAF_RON_CXD_Amarok-Varejo-Marco-PRIVADO-Amarok-AMC_PD_300x600"/>
    <s v="242764843"/>
    <x v="3"/>
    <s v="BR_VW_AMV_DSP_DIS_PROG_CPM_STD_SKY_AAF_RON_CXD_Amarok-Varejo-Marco-PRIVADO-Amarok-AMC_PD_300x600"/>
    <s v="439444607"/>
    <x v="2"/>
    <n v="7"/>
    <n v="0"/>
    <n v="3.8199999999999998E-2"/>
    <n v="0.09"/>
    <n v="2.6739999999999999E-4"/>
    <x v="155"/>
  </r>
  <r>
    <s v="BR_AAF_DSY_RUNOT_ND_NC_2019Q1MAR_AMV_VarejoAmarokMarco"/>
    <s v="Oath BR"/>
    <s v="BR_VW_AMV_oath_DIS_PROG_CPC_STD_LDR_AAF_RON_CXD_Amarok-Varejo-Marco-Corporativo-CAMPO-NOVO-Amarok-AMC_PD_627x627"/>
    <s v="243286707"/>
    <x v="1"/>
    <s v="BR_VW_AMV_oath_DIS_PROG_CPC_STD_LDR_AAF_RON_CXD_Amarok-Varejo-Marco-Corporativo-CAMPO-NOVO-Amarok-AMC_PD_627x627"/>
    <s v="439764791"/>
    <x v="1"/>
    <n v="4"/>
    <n v="17"/>
    <n v="3.5000000000000001E-3"/>
    <n v="0.02"/>
    <n v="5.9500000000000004E-2"/>
    <x v="157"/>
  </r>
  <r>
    <s v="BR_AAF_DSY_RUNOT_ND_NC_2019Q1MAR_AMV_VarejoAmarokMarco"/>
    <s v="Oath BR"/>
    <s v="BR_VW_AMV_oath_DIS_PROG_CPC_STD_LDR_AAF_RON_CXD_Amarok-Varejo-Marco-Corporativo-CIDADE-NOVO-Amarok-AMC_PD_627x627"/>
    <s v="243163463"/>
    <x v="3"/>
    <s v="BR_VW_AMV_oath_DIS_PROG_CPC_STD_LDR_AAF_RON_CXD_Amarok-Varejo-Marco-Corporativo-CIDADE-NOVO-Amarok-AMC_PD_627x627"/>
    <s v="439883202"/>
    <x v="1"/>
    <n v="2"/>
    <n v="0"/>
    <n v="3.8199999999999998E-2"/>
    <n v="0.09"/>
    <n v="7.64E-5"/>
    <x v="32"/>
  </r>
  <r>
    <s v="BR_AAF_DSY_RUNOT_ND_NC_2019Q1MAR_AMV_VarejoAmarokMarco"/>
    <s v="Oath BR"/>
    <s v="BR_VW_AMV_oath_DIS_PROG_CPC_STD_LDR_AAF_RON_CXD_Amarok-Varejo-Marco-Corporativo-OLD-CAMPO-Amarok-AMC_PD_627x627"/>
    <s v="241429901"/>
    <x v="3"/>
    <s v="BR_VW_AMV_oath_DIS_PROG_CPC_STD_LDR_AAF_RON_CXD_Amarok-Varejo-Marco-Corporativo-OLD-CAMPO-Amarok-AMC_PD_627x627"/>
    <s v="438411148"/>
    <x v="1"/>
    <n v="172"/>
    <n v="37"/>
    <n v="3.8199999999999998E-2"/>
    <n v="0.09"/>
    <n v="6.5703999999999997E-3"/>
    <x v="158"/>
  </r>
  <r>
    <s v="BR_AAF_DSY_RUNOT_ND_NC_2019Q1MAR_AMV_VarejoAmarokMarco"/>
    <s v="Oath BR"/>
    <s v="BR_VW_AMV_oath_DIS_PROG_CPC_STD_SRB_AAF_RON_CXD_Amarok-Varejo-Marco-PRIVADO-Amarok-AMC_PD_1200x627"/>
    <s v="243083986"/>
    <x v="1"/>
    <s v="BR_VW_AMV_oath_DIS_PROG_CPC_STD_SRB_AAF_RON_CXD_Amarok-Varejo-Marco-PRIVADO-Amarok-AMC_PD_1200x627"/>
    <s v="439756673"/>
    <x v="1"/>
    <n v="0"/>
    <n v="8"/>
    <n v="3.5000000000000001E-3"/>
    <n v="0.02"/>
    <n v="2.8000000000000001E-2"/>
    <x v="159"/>
  </r>
  <r>
    <s v="BR_AAF_DSY_RUNOT_ND_NC_2019Q1MAR_AMV_VarejoAmarokMarco"/>
    <s v="teads.tv"/>
    <s v="BR_VW_AMV_Teads_DIS_DRCT_CPM_STD_MPU_AAF_RON_CXD_Amarok-Varejo-Marco-Corporativo-OLD-CIDADE-1-Amarok-AMC_PD_scroller-landscape"/>
    <s v="241969916"/>
    <x v="3"/>
    <s v="BR_VW_AMV_Teads_DIS_DRCT_CPM_STD_MPU_AAF_RON_CXD_Amarok-Varejo-Marco-Corporativo-OLD-CIDADE-1-Amarok-AMC_PD_scroller-landscape"/>
    <s v="438915784"/>
    <x v="1"/>
    <n v="4"/>
    <n v="0"/>
    <n v="3.8199999999999998E-2"/>
    <n v="0.09"/>
    <n v="1.528E-4"/>
    <x v="49"/>
  </r>
  <r>
    <s v="BR_AAF_DSY_RUNOT_ND_NC_2019Q1MAR_AMV_VarejoAmarokMarco"/>
    <s v="teads.tv"/>
    <s v="BR_VW_AMV_Teads_DIS_DRCT_CPM_STD_MPU_AAF_RON_CXD_Amarok-Varejo-Marco-Corporativo-OLD-CIDADE-2-Amarok-AMC_PD_carrossel-landscape"/>
    <s v="241969907"/>
    <x v="3"/>
    <s v="BR_VW_AMV_Teads_DIS_DRCT_CPM_STD_MPU_AAF_RON_CXD_Amarok-Varejo-Marco-Corporativo-OLD-CIDADE-2-Amarok-AMC_PD_carrossel-landscape"/>
    <s v="438915775"/>
    <x v="1"/>
    <n v="10"/>
    <n v="2"/>
    <n v="3.8199999999999998E-2"/>
    <n v="0.09"/>
    <n v="3.8200000000000002E-4"/>
    <x v="151"/>
  </r>
  <r>
    <s v="BR_AAF_DSY_RUNOT_ND_NC_2019Q1MAR_AMV_VarejoAmarokMarco"/>
    <s v="teads.tv"/>
    <s v="BR_VW_AMV_Teads_DIS_DRCT_CPM_STD_MPU_AAF_RON_CXD_Amarok-Varejo-Marco-Corporativo-OLD-CIDADE-2-Amarok-AMC_PD_scroller-landscape"/>
    <s v="241969910"/>
    <x v="3"/>
    <s v="BR_VW_AMV_Teads_DIS_DRCT_CPM_STD_MPU_AAF_RON_CXD_Amarok-Varejo-Marco-Corporativo-OLD-CIDADE-2-Amarok-AMC_PD_scroller-landscape"/>
    <s v="438915778"/>
    <x v="1"/>
    <n v="2"/>
    <n v="0"/>
    <n v="3.8199999999999998E-2"/>
    <n v="0.09"/>
    <n v="7.64E-5"/>
    <x v="32"/>
  </r>
  <r>
    <s v="BR_AAF_DSY_RUNOT_ND_NC_2019Q1MAR_AMV_VarejoAmarokMarco"/>
    <s v="teads.tv"/>
    <s v="BR_VW_AMV_Teads_DIS_DRCT_CPM_STD_MPU_AAF_RON_CXD_Amarok-Varejo-Marco-Corporativo-OLD-CIDADE-3-Amarok-AMC_PD_scroller-landscape"/>
    <s v="241969904"/>
    <x v="3"/>
    <s v="BR_VW_AMV_Teads_DIS_DRCT_CPM_STD_MPU_AAF_RON_CXD_Amarok-Varejo-Marco-Corporativo-OLD-CIDADE-3-Amarok-AMC_PD_scroller-landscape"/>
    <s v="438915772"/>
    <x v="1"/>
    <n v="4"/>
    <n v="0"/>
    <n v="3.8199999999999998E-2"/>
    <n v="0.09"/>
    <n v="1.528E-4"/>
    <x v="49"/>
  </r>
  <r>
    <s v="BR_AAF_DSY_RUNOT_ND_NC_2019Q2APR_AMV_VarejoAmarokAbril"/>
    <s v="Google Brasil"/>
    <s v="BR_VW_AMV_dv360_DIS_PROG_CPM_STD_LDR_AAF_RON_CXD_Amarok-Varejo-ABRIL-Corporativo-Cidade-Amarok-AMC_PD_728x90"/>
    <s v="243988160"/>
    <x v="3"/>
    <s v="BR_VW_AMV_dv360_DIS_PROG_CPM_STD_LDR_AAF_RON_CXD_Amarok-Varejo-ABRIL-Corporativo-Cidade-Amarok-AMC_PD_728x90"/>
    <s v="440899462"/>
    <x v="2"/>
    <n v="99810"/>
    <n v="132"/>
    <n v="3.8199999999999998E-2"/>
    <n v="0.09"/>
    <n v="3.8127419999999996"/>
    <x v="160"/>
  </r>
  <r>
    <s v="BR_AAF_DSY_RUNOT_ND_NC_2019Q2APR_AMV_VarejoAmarokAbril"/>
    <s v="Google Brasil"/>
    <s v="BR_VW_AMV_dv360_DIS_PROG_CPM_STD_LDR_AAF_RON_CXD_Amarok-Varejo-ABRIL-Corporativo-Cidade-Amarok-AMC_PD_970X250"/>
    <s v="243988169"/>
    <x v="3"/>
    <s v="BR_VW_AMV_dv360_DIS_PROG_CPM_STD_LDR_AAF_RON_CXD_Amarok-Varejo-ABRIL-Corporativo-Cidade-Amarok-AMC_PD_970X250"/>
    <s v="440899471"/>
    <x v="2"/>
    <n v="20575"/>
    <n v="114"/>
    <n v="3.8199999999999998E-2"/>
    <n v="0.09"/>
    <n v="0.78596499999999991"/>
    <x v="161"/>
  </r>
  <r>
    <s v="BR_AAF_DSY_RUNOT_ND_NC_2019Q2APR_AMV_VarejoAmarokAbril"/>
    <s v="Google Brasil"/>
    <s v="BR_VW_AMV_dv360_DIS_PROG_CPM_STD_LDR_AAF_RON_CXD_Amarok-Varejo-ABRIL-Corporativo-Cidade-Amarok-AMC_PD_970X90"/>
    <s v="243988172"/>
    <x v="3"/>
    <s v="BR_VW_AMV_dv360_DIS_PROG_CPM_STD_LDR_AAF_RON_CXD_Amarok-Varejo-ABRIL-Corporativo-Cidade-Amarok-AMC_PD_970X90"/>
    <s v="440899474"/>
    <x v="2"/>
    <n v="11194"/>
    <n v="3"/>
    <n v="3.8199999999999998E-2"/>
    <n v="0.09"/>
    <n v="0.42761079999999996"/>
    <x v="162"/>
  </r>
  <r>
    <s v="BR_AAF_DSY_RUNOT_ND_NC_2019Q2APR_AMV_VarejoAmarokAbril"/>
    <s v="Google Brasil"/>
    <s v="BR_VW_AMV_dv360_DIS_PROG_CPM_STD_LDR_AAF_RON_CXD_Amarok-Varejo-ABRIL-PRIVADO-Amarok-AMC_PD_728X90"/>
    <s v="244659256"/>
    <x v="2"/>
    <s v="728x90 Default Web Ad"/>
    <s v="440793972"/>
    <x v="2"/>
    <n v="1567"/>
    <n v="4"/>
    <n v="3.8199999999999998E-2"/>
    <n v="0.09"/>
    <n v="5.9859399999999993E-2"/>
    <x v="163"/>
  </r>
  <r>
    <s v="BR_AAF_DSY_RUNOT_ND_NC_2019Q2APR_AMV_VarejoAmarokAbril"/>
    <s v="Google Brasil"/>
    <s v="BR_VW_AMV_dv360_DIS_PROG_CPM_STD_LDR_AAF_RON_CXD_Amarok-Varejo-ABRIL-PRIVADO-Amarok-AMC_PD_728X90"/>
    <s v="244659256"/>
    <x v="3"/>
    <s v="BR_VW_AMV_dv360_DIS_PROG_CPM_STD_LDR_AAF_RON_CXD_Amarok-Varejo-ABRIL-PRIVADO-Amarok-AMC_PD_728X90"/>
    <s v="441503674"/>
    <x v="2"/>
    <n v="40956"/>
    <n v="89"/>
    <n v="3.8199999999999998E-2"/>
    <n v="0.09"/>
    <n v="1.5645191999999999"/>
    <x v="164"/>
  </r>
  <r>
    <s v="BR_AAF_DSY_RUNOT_ND_NC_2019Q2APR_AMV_VarejoAmarokAbril"/>
    <s v="Google Brasil"/>
    <s v="BR_VW_AMV_dv360_DIS_PROG_CPM_STD_LDR_AAF_RON_CXD_Amarok-Varejo-ABRIL-PRIVADO-Amarok-AMC_PD_970X250"/>
    <s v="244659265"/>
    <x v="2"/>
    <s v="970x250 Default Web Ad"/>
    <s v="440907866"/>
    <x v="2"/>
    <n v="460"/>
    <n v="12"/>
    <n v="3.8199999999999998E-2"/>
    <n v="0.09"/>
    <n v="1.7572000000000001E-2"/>
    <x v="165"/>
  </r>
  <r>
    <s v="BR_AAF_DSY_RUNOT_ND_NC_2019Q2APR_AMV_VarejoAmarokAbril"/>
    <s v="Google Brasil"/>
    <s v="BR_VW_AMV_dv360_DIS_PROG_CPM_STD_LDR_AAF_RON_CXD_Amarok-Varejo-ABRIL-PRIVADO-Amarok-AMC_PD_970X250"/>
    <s v="244659265"/>
    <x v="3"/>
    <s v="BR_VW_AMV_dv360_DIS_PROG_CPM_STD_LDR_AAF_RON_CXD_Amarok-Varejo-ABRIL-PRIVADO-Amarok-AMC_PD_970X250"/>
    <s v="441503683"/>
    <x v="2"/>
    <n v="12202"/>
    <n v="84"/>
    <n v="3.8199999999999998E-2"/>
    <n v="0.09"/>
    <n v="0.46611639999999999"/>
    <x v="166"/>
  </r>
  <r>
    <s v="BR_AAF_DSY_RUNOT_ND_NC_2019Q2APR_AMV_VarejoAmarokAbril"/>
    <s v="Google Brasil"/>
    <s v="BR_VW_AMV_dv360_DIS_PROG_CPM_STD_LDR_AAF_RON_CXD_Amarok-Varejo-ABRIL-PRIVADO-Amarok-AMC_PD_970X90"/>
    <s v="244659268"/>
    <x v="2"/>
    <s v="970x90 Default Web Ad"/>
    <s v="440792784"/>
    <x v="2"/>
    <n v="150"/>
    <n v="0"/>
    <n v="3.8199999999999998E-2"/>
    <n v="0.09"/>
    <n v="5.7299999999999999E-3"/>
    <x v="167"/>
  </r>
  <r>
    <s v="BR_AAF_DSY_RUNOT_ND_NC_2019Q2APR_AMV_VarejoAmarokAbril"/>
    <s v="Google Brasil"/>
    <s v="BR_VW_AMV_dv360_DIS_PROG_CPM_STD_LDR_AAF_RON_CXD_Amarok-Varejo-ABRIL-PRIVADO-Amarok-AMC_PD_970X90"/>
    <s v="244659268"/>
    <x v="3"/>
    <s v="BR_VW_AMV_dv360_DIS_PROG_CPM_STD_LDR_AAF_RON_CXD_Amarok-Varejo-ABRIL-PRIVADO-Amarok-AMC_PD_970X90"/>
    <s v="441503686"/>
    <x v="2"/>
    <n v="5600"/>
    <n v="2"/>
    <n v="3.8199999999999998E-2"/>
    <n v="0.09"/>
    <n v="0.21392"/>
    <x v="168"/>
  </r>
  <r>
    <s v="BR_AAF_DSY_RUNOT_ND_NC_2019Q2APR_AMV_VarejoAmarokAbril"/>
    <s v="Google Brasil"/>
    <s v="BR_VW_AMV_dv360_DIS_PROG_CPM_STD_LDR_AAF_RON_CXD_Amarok-Varejo-Abril-Corporativo--CAMPO-Amarok-AMC_PD_728X90"/>
    <s v="243988202"/>
    <x v="3"/>
    <s v="BR_VW_AMV_dv360_DIS_PROG_CPM_STD_LDR_AAF_RON_CXD_Amarok-Varejo-Abril-Corporativo--CAMPO-Amarok-AMC_PD_728X90"/>
    <s v="440813523"/>
    <x v="2"/>
    <n v="31676"/>
    <n v="32"/>
    <n v="3.8199999999999998E-2"/>
    <n v="0.09"/>
    <n v="1.2100232"/>
    <x v="169"/>
  </r>
  <r>
    <s v="BR_AAF_DSY_RUNOT_ND_NC_2019Q2APR_AMV_VarejoAmarokAbril"/>
    <s v="Google Brasil"/>
    <s v="BR_VW_AMV_dv360_DIS_PROG_CPM_STD_LDR_AAF_RON_CXD_Amarok-Varejo-Abril-Corporativo--CAMPO-Amarok-AMC_PD_970X250"/>
    <s v="243988211"/>
    <x v="3"/>
    <s v="BR_VW_AMV_dv360_DIS_PROG_CPM_STD_LDR_AAF_RON_CXD_Amarok-Varejo-Abril-Corporativo--CAMPO-Amarok-AMC_PD_970X250"/>
    <s v="440813532"/>
    <x v="2"/>
    <n v="20586"/>
    <n v="107"/>
    <n v="3.8199999999999998E-2"/>
    <n v="0.09"/>
    <n v="0.7863851999999999"/>
    <x v="170"/>
  </r>
  <r>
    <s v="BR_AAF_DSY_RUNOT_ND_NC_2019Q2APR_AMV_VarejoAmarokAbril"/>
    <s v="Google Brasil"/>
    <s v="BR_VW_AMV_dv360_DIS_PROG_CPM_STD_LDR_AAF_RON_CXD_Amarok-Varejo-Abril-Corporativo--CAMPO-Amarok-AMC_PD_970X90"/>
    <s v="243988214"/>
    <x v="3"/>
    <s v="BR_VW_AMV_dv360_DIS_PROG_CPM_STD_LDR_AAF_RON_CXD_Amarok-Varejo-Abril-Corporativo--CAMPO-Amarok-AMC_PD_970X90"/>
    <s v="440813535"/>
    <x v="2"/>
    <n v="9105"/>
    <n v="3"/>
    <n v="3.8199999999999998E-2"/>
    <n v="0.09"/>
    <n v="0.34781099999999998"/>
    <x v="171"/>
  </r>
  <r>
    <s v="BR_AAF_DSY_RUNOT_ND_NC_2019Q2APR_AMV_VarejoAmarokAbril"/>
    <s v="Google Brasil"/>
    <s v="BR_VW_AMV_dv360_DIS_PROG_CPM_STD_MPU_AAF_RON_CXD_Amarok-Varejo-ABRIL-Corporativo-Cidade-Amarok-AMC_PD_300x100"/>
    <s v="243988163"/>
    <x v="3"/>
    <s v="BR_VW_AMV_dv360_DIS_PROG_CPM_STD_MPU_AAF_RON_CXD_Amarok-Varejo-ABRIL-Corporativo-Cidade-Amarok-AMC_PD_300x100"/>
    <s v="440899465"/>
    <x v="2"/>
    <n v="3741"/>
    <n v="2"/>
    <n v="3.8199999999999998E-2"/>
    <n v="0.09"/>
    <n v="0.14290619999999998"/>
    <x v="172"/>
  </r>
  <r>
    <s v="BR_AAF_DSY_RUNOT_ND_NC_2019Q2APR_AMV_VarejoAmarokAbril"/>
    <s v="Google Brasil"/>
    <s v="BR_VW_AMV_dv360_DIS_PROG_CPM_STD_MPU_AAF_RON_CXD_Amarok-Varejo-ABRIL-Corporativo-Cidade-Amarok-AMC_PD_300x250"/>
    <s v="243988184"/>
    <x v="3"/>
    <s v="BR_VW_AMV_dv360_DIS_PROG_CPM_STD_MPU_AAF_RON_CXD_Amarok-Varejo-ABRIL-Corporativo-Cidade-Amarok-AMC_PD_300x250"/>
    <s v="440899486"/>
    <x v="2"/>
    <n v="757385"/>
    <n v="5784"/>
    <n v="3.8199999999999998E-2"/>
    <n v="0.09"/>
    <n v="28.932106999999998"/>
    <x v="173"/>
  </r>
  <r>
    <s v="BR_AAF_DSY_RUNOT_ND_NC_2019Q2APR_AMV_VarejoAmarokAbril"/>
    <s v="Google Brasil"/>
    <s v="BR_VW_AMV_dv360_DIS_PROG_CPM_STD_MPU_AAF_RON_CXD_Amarok-Varejo-ABRIL-Corporativo-Cidade-Amarok-AMC_PD_320X100"/>
    <s v="243988178"/>
    <x v="3"/>
    <s v="BR_VW_AMV_dv360_DIS_PROG_CPM_STD_MPU_AAF_RON_CXD_Amarok-Varejo-ABRIL-Corporativo-Cidade-Amarok-AMC_PD_320X100"/>
    <s v="440899480"/>
    <x v="2"/>
    <n v="28280"/>
    <n v="84"/>
    <n v="3.8199999999999998E-2"/>
    <n v="0.09"/>
    <n v="1.0802960000000001"/>
    <x v="174"/>
  </r>
  <r>
    <s v="BR_AAF_DSY_RUNOT_ND_NC_2019Q2APR_AMV_VarejoAmarokAbril"/>
    <s v="Google Brasil"/>
    <s v="BR_VW_AMV_dv360_DIS_PROG_CPM_STD_MPU_AAF_RON_CXD_Amarok-Varejo-ABRIL-Corporativo-Cidade-Amarok-AMC_PD_320X50"/>
    <s v="243988181"/>
    <x v="3"/>
    <s v="BR_VW_AMV_dv360_DIS_PROG_CPM_STD_MPU_AAF_RON_CXD_Amarok-Varejo-ABRIL-Corporativo-Cidade-Amarok-AMC_PD_320X50"/>
    <s v="440899483"/>
    <x v="2"/>
    <n v="502266"/>
    <n v="2935"/>
    <n v="3.8199999999999998E-2"/>
    <n v="0.09"/>
    <n v="19.1865612"/>
    <x v="175"/>
  </r>
  <r>
    <s v="BR_AAF_DSY_RUNOT_ND_NC_2019Q2APR_AMV_VarejoAmarokAbril"/>
    <s v="Google Brasil"/>
    <s v="BR_VW_AMV_dv360_DIS_PROG_CPM_STD_MPU_AAF_RON_CXD_Amarok-Varejo-ABRIL-PRIVADO-Amarok-AMC_PD_300X100"/>
    <s v="244659259"/>
    <x v="2"/>
    <s v="300x100 Default Web Ad"/>
    <s v="440907284"/>
    <x v="2"/>
    <n v="148"/>
    <n v="1"/>
    <n v="3.8199999999999998E-2"/>
    <n v="0.09"/>
    <n v="5.6535999999999999E-3"/>
    <x v="176"/>
  </r>
  <r>
    <s v="BR_AAF_DSY_RUNOT_ND_NC_2019Q2APR_AMV_VarejoAmarokAbril"/>
    <s v="Google Brasil"/>
    <s v="BR_VW_AMV_dv360_DIS_PROG_CPM_STD_MPU_AAF_RON_CXD_Amarok-Varejo-ABRIL-PRIVADO-Amarok-AMC_PD_300X100"/>
    <s v="244659259"/>
    <x v="3"/>
    <s v="BR_VW_AMV_dv360_DIS_PROG_CPM_STD_MPU_AAF_RON_CXD_Amarok-Varejo-ABRIL-PRIVADO-Amarok-AMC_PD_300X100"/>
    <s v="441503677"/>
    <x v="2"/>
    <n v="2320"/>
    <n v="1"/>
    <n v="3.8199999999999998E-2"/>
    <n v="0.09"/>
    <n v="8.8623999999999994E-2"/>
    <x v="177"/>
  </r>
  <r>
    <s v="BR_AAF_DSY_RUNOT_ND_NC_2019Q2APR_AMV_VarejoAmarokAbril"/>
    <s v="Google Brasil"/>
    <s v="BR_VW_AMV_dv360_DIS_PROG_CPM_STD_MPU_AAF_RON_CXD_Amarok-Varejo-ABRIL-PRIVADO-Amarok-AMC_PD_300x250"/>
    <s v="244659280"/>
    <x v="2"/>
    <s v="300x250 Default Web Ad"/>
    <s v="440793969"/>
    <x v="2"/>
    <n v="25953"/>
    <n v="366"/>
    <n v="3.8199999999999998E-2"/>
    <n v="0.09"/>
    <n v="0.99140459999999997"/>
    <x v="178"/>
  </r>
  <r>
    <s v="BR_AAF_DSY_RUNOT_ND_NC_2019Q2APR_AMV_VarejoAmarokAbril"/>
    <s v="Google Brasil"/>
    <s v="BR_VW_AMV_dv360_DIS_PROG_CPM_STD_MPU_AAF_RON_CXD_Amarok-Varejo-ABRIL-PRIVADO-Amarok-AMC_PD_300x250"/>
    <s v="244659280"/>
    <x v="3"/>
    <s v="BR_VW_AMV_dv360_DIS_PROG_CPM_STD_MPU_AAF_RON_CXD_Amarok-Varejo-ABRIL-PRIVADO-Amarok-AMC_PD_300x250"/>
    <s v="441503698"/>
    <x v="2"/>
    <n v="547019"/>
    <n v="4277"/>
    <n v="3.8199999999999998E-2"/>
    <n v="0.09"/>
    <n v="20.896125799999997"/>
    <x v="179"/>
  </r>
  <r>
    <s v="BR_AAF_DSY_RUNOT_ND_NC_2019Q2APR_AMV_VarejoAmarokAbril"/>
    <s v="Google Brasil"/>
    <s v="BR_VW_AMV_dv360_DIS_PROG_CPM_STD_MPU_AAF_RON_CXD_Amarok-Varejo-ABRIL-PRIVADO-Amarok-AMC_PD_320X100"/>
    <s v="244659274"/>
    <x v="2"/>
    <s v="320x100 Default Web Ad"/>
    <s v="440907287"/>
    <x v="2"/>
    <n v="1418"/>
    <n v="2"/>
    <n v="3.8199999999999998E-2"/>
    <n v="0.09"/>
    <n v="5.4167600000000003E-2"/>
    <x v="180"/>
  </r>
  <r>
    <s v="BR_AAF_DSY_RUNOT_ND_NC_2019Q2APR_AMV_VarejoAmarokAbril"/>
    <s v="Google Brasil"/>
    <s v="BR_VW_AMV_dv360_DIS_PROG_CPM_STD_MPU_AAF_RON_CXD_Amarok-Varejo-ABRIL-PRIVADO-Amarok-AMC_PD_320X100"/>
    <s v="244659274"/>
    <x v="3"/>
    <s v="BR_VW_AMV_dv360_DIS_PROG_CPM_STD_MPU_AAF_RON_CXD_Amarok-Varejo-ABRIL-PRIVADO-Amarok-AMC_PD_320X100"/>
    <s v="441503692"/>
    <x v="2"/>
    <n v="37756"/>
    <n v="126"/>
    <n v="3.8199999999999998E-2"/>
    <n v="0.09"/>
    <n v="1.4422792"/>
    <x v="181"/>
  </r>
  <r>
    <s v="BR_AAF_DSY_RUNOT_ND_NC_2019Q2APR_AMV_VarejoAmarokAbril"/>
    <s v="Google Brasil"/>
    <s v="BR_VW_AMV_dv360_DIS_PROG_CPM_STD_MPU_AAF_RON_CXD_Amarok-Varejo-ABRIL-PRIVADO-Amarok-AMC_PD_320X50"/>
    <s v="244659277"/>
    <x v="2"/>
    <s v="320x50 Default Web Ad"/>
    <s v="440792781"/>
    <x v="2"/>
    <n v="44915"/>
    <n v="200"/>
    <n v="3.8199999999999998E-2"/>
    <n v="0.09"/>
    <n v="1.7157529999999999"/>
    <x v="182"/>
  </r>
  <r>
    <s v="BR_AAF_DSY_RUNOT_ND_NC_2019Q2APR_AMV_VarejoAmarokAbril"/>
    <s v="Google Brasil"/>
    <s v="BR_VW_AMV_dv360_DIS_PROG_CPM_STD_MPU_AAF_RON_CXD_Amarok-Varejo-ABRIL-PRIVADO-Amarok-AMC_PD_320X50"/>
    <s v="244659277"/>
    <x v="3"/>
    <s v="BR_VW_AMV_dv360_DIS_PROG_CPM_STD_MPU_AAF_RON_CXD_Amarok-Varejo-ABRIL-PRIVADO-Amarok-AMC_PD_320X50"/>
    <s v="441503695"/>
    <x v="2"/>
    <n v="476408"/>
    <n v="2913"/>
    <n v="3.8199999999999998E-2"/>
    <n v="0.09"/>
    <n v="18.198785600000001"/>
    <x v="183"/>
  </r>
  <r>
    <s v="BR_AAF_DSY_RUNOT_ND_NC_2019Q2APR_AMV_VarejoAmarokAbril"/>
    <s v="Google Brasil"/>
    <s v="BR_VW_AMV_dv360_DIS_PROG_CPM_STD_MPU_AAF_RON_CXD_Amarok-Varejo-Abril-Corporativo--CAMPO-Amarok-AMC_PD_300X100"/>
    <s v="243988205"/>
    <x v="3"/>
    <s v="BR_VW_AMV_dv360_DIS_PROG_CPM_STD_MPU_AAF_RON_CXD_Amarok-Varejo-Abril-Corporativo--CAMPO-Amarok-AMC_PD_300X100"/>
    <s v="440813526"/>
    <x v="2"/>
    <n v="3550"/>
    <n v="1"/>
    <n v="3.8199999999999998E-2"/>
    <n v="0.09"/>
    <n v="0.13560999999999998"/>
    <x v="184"/>
  </r>
  <r>
    <s v="BR_AAF_DSY_RUNOT_ND_NC_2019Q2APR_AMV_VarejoAmarokAbril"/>
    <s v="Google Brasil"/>
    <s v="BR_VW_AMV_dv360_DIS_PROG_CPM_STD_MPU_AAF_RON_CXD_Amarok-Varejo-Abril-Corporativo--CAMPO-Amarok-AMC_PD_300x250"/>
    <s v="243988226"/>
    <x v="3"/>
    <s v="BR_VW_AMV_dv360_DIS_PROG_CPM_STD_MPU_AAF_RON_CXD_Amarok-Varejo-Abril-Corporativo--CAMPO-Amarok-AMC_PD_300x250"/>
    <s v="440813547"/>
    <x v="2"/>
    <n v="789962"/>
    <n v="6152"/>
    <n v="3.8199999999999998E-2"/>
    <n v="0.09"/>
    <n v="30.176548399999998"/>
    <x v="185"/>
  </r>
  <r>
    <s v="BR_AAF_DSY_RUNOT_ND_NC_2019Q2APR_AMV_VarejoAmarokAbril"/>
    <s v="Google Brasil"/>
    <s v="BR_VW_AMV_dv360_DIS_PROG_CPM_STD_MPU_AAF_RON_CXD_Amarok-Varejo-Abril-Corporativo--CAMPO-Amarok-AMC_PD_320X100"/>
    <s v="243988220"/>
    <x v="3"/>
    <s v="BR_VW_AMV_dv360_DIS_PROG_CPM_STD_MPU_AAF_RON_CXD_Amarok-Varejo-Abril-Corporativo--CAMPO-Amarok-AMC_PD_320X100"/>
    <s v="440813541"/>
    <x v="2"/>
    <n v="84999"/>
    <n v="310"/>
    <n v="3.8199999999999998E-2"/>
    <n v="0.09"/>
    <n v="3.2469618000000002"/>
    <x v="186"/>
  </r>
  <r>
    <s v="BR_AAF_DSY_RUNOT_ND_NC_2019Q2APR_AMV_VarejoAmarokAbril"/>
    <s v="Google Brasil"/>
    <s v="BR_VW_AMV_dv360_DIS_PROG_CPM_STD_MPU_AAF_RON_CXD_Amarok-Varejo-Abril-Corporativo--CAMPO-Amarok-AMC_PD_320X50"/>
    <s v="243988223"/>
    <x v="3"/>
    <s v="BR_VW_AMV_dv360_DIS_PROG_CPM_STD_MPU_AAF_RON_CXD_Amarok-Varejo-Abril-Corporativo--CAMPO-Amarok-AMC_PD_320X50"/>
    <s v="440813544"/>
    <x v="2"/>
    <n v="1018225"/>
    <n v="5701"/>
    <n v="3.8199999999999998E-2"/>
    <n v="0.09"/>
    <n v="38.896194999999999"/>
    <x v="187"/>
  </r>
  <r>
    <s v="BR_AAF_DSY_RUNOT_ND_NC_2019Q2APR_AMV_VarejoAmarokAbril"/>
    <s v="Google Brasil"/>
    <s v="BR_VW_AMV_dv360_DIS_PROG_CPM_STD_SKY_AAF_RON_CXD_Amarok-Varejo-ABRIL-Corporativo-Cidade-Amarok-AMC_PD_120X600"/>
    <s v="243988175"/>
    <x v="3"/>
    <s v="BR_VW_AMV_dv360_DIS_PROG_CPM_STD_SKY_AAF_RON_CXD_Amarok-Varejo-ABRIL-Corporativo-Cidade-Amarok-AMC_PD_120X600"/>
    <s v="440899477"/>
    <x v="2"/>
    <n v="6604"/>
    <n v="4"/>
    <n v="3.8199999999999998E-2"/>
    <n v="0.09"/>
    <n v="0.25227279999999996"/>
    <x v="188"/>
  </r>
  <r>
    <s v="BR_AAF_DSY_RUNOT_ND_NC_2019Q2APR_AMV_VarejoAmarokAbril"/>
    <s v="Google Brasil"/>
    <s v="BR_VW_AMV_dv360_DIS_PROG_CPM_STD_SKY_AAF_RON_CXD_Amarok-Varejo-ABRIL-Corporativo-Cidade-Amarok-AMC_PD_160X600"/>
    <s v="243988187"/>
    <x v="3"/>
    <s v="BR_VW_AMV_dv360_DIS_PROG_CPM_STD_SKY_AAF_RON_CXD_Amarok-Varejo-ABRIL-Corporativo-Cidade-Amarok-AMC_PD_160X600"/>
    <s v="440899489"/>
    <x v="2"/>
    <n v="18937"/>
    <n v="9"/>
    <n v="3.8199999999999998E-2"/>
    <n v="0.09"/>
    <n v="0.72339339999999996"/>
    <x v="189"/>
  </r>
  <r>
    <s v="BR_AAF_DSY_RUNOT_ND_NC_2019Q2APR_AMV_VarejoAmarokAbril"/>
    <s v="Google Brasil"/>
    <s v="BR_VW_AMV_dv360_DIS_PROG_CPM_STD_SKY_AAF_RON_CXD_Amarok-Varejo-ABRIL-Corporativo-Cidade-Amarok-AMC_PD_300X600"/>
    <s v="243988166"/>
    <x v="3"/>
    <s v="BR_VW_AMV_dv360_DIS_PROG_CPM_STD_SKY_AAF_RON_CXD_Amarok-Varejo-ABRIL-Corporativo-Cidade-Amarok-AMC_PD_300X600"/>
    <s v="440899468"/>
    <x v="2"/>
    <n v="177434"/>
    <n v="5347"/>
    <n v="3.8199999999999998E-2"/>
    <n v="0.09"/>
    <n v="6.7779787999999996"/>
    <x v="190"/>
  </r>
  <r>
    <s v="BR_AAF_DSY_RUNOT_ND_NC_2019Q2APR_AMV_VarejoAmarokAbril"/>
    <s v="Google Brasil"/>
    <s v="BR_VW_AMV_dv360_DIS_PROG_CPM_STD_SKY_AAF_RON_CXD_Amarok-Varejo-ABRIL-PRIVADO-Amarok-AMC_PD_120X600"/>
    <s v="244659271"/>
    <x v="2"/>
    <s v="120x600 Default Web Ad"/>
    <s v="440907863"/>
    <x v="2"/>
    <n v="32"/>
    <n v="0"/>
    <n v="3.8199999999999998E-2"/>
    <n v="0.09"/>
    <n v="1.2224E-3"/>
    <x v="191"/>
  </r>
  <r>
    <s v="BR_AAF_DSY_RUNOT_ND_NC_2019Q2APR_AMV_VarejoAmarokAbril"/>
    <s v="Google Brasil"/>
    <s v="BR_VW_AMV_dv360_DIS_PROG_CPM_STD_SKY_AAF_RON_CXD_Amarok-Varejo-ABRIL-PRIVADO-Amarok-AMC_PD_120X600"/>
    <s v="244659271"/>
    <x v="3"/>
    <s v="BR_VW_AMV_dv360_DIS_PROG_CPM_STD_SKY_AAF_RON_CXD_Amarok-Varejo-ABRIL-PRIVADO-Amarok-AMC_PD_120X600"/>
    <s v="441503689"/>
    <x v="2"/>
    <n v="2675"/>
    <n v="0"/>
    <n v="3.8199999999999998E-2"/>
    <n v="0.09"/>
    <n v="0.10218499999999998"/>
    <x v="192"/>
  </r>
  <r>
    <s v="BR_AAF_DSY_RUNOT_ND_NC_2019Q2APR_AMV_VarejoAmarokAbril"/>
    <s v="Google Brasil"/>
    <s v="BR_VW_AMV_dv360_DIS_PROG_CPM_STD_SKY_AAF_RON_CXD_Amarok-Varejo-ABRIL-PRIVADO-Amarok-AMC_PD_160X600"/>
    <s v="244659283"/>
    <x v="2"/>
    <s v="160x600 Default Web Ad"/>
    <s v="440898728"/>
    <x v="2"/>
    <n v="193"/>
    <n v="0"/>
    <n v="3.8199999999999998E-2"/>
    <n v="0.09"/>
    <n v="7.3725999999999991E-3"/>
    <x v="193"/>
  </r>
  <r>
    <s v="BR_AAF_DSY_RUNOT_ND_NC_2019Q2APR_AMV_VarejoAmarokAbril"/>
    <s v="Google Brasil"/>
    <s v="BR_VW_AMV_dv360_DIS_PROG_CPM_STD_SKY_AAF_RON_CXD_Amarok-Varejo-ABRIL-PRIVADO-Amarok-AMC_PD_160X600"/>
    <s v="244659283"/>
    <x v="3"/>
    <s v="BR_VW_AMV_dv360_DIS_PROG_CPM_STD_SKY_AAF_RON_CXD_Amarok-Varejo-ABRIL-PRIVADO-Amarok-AMC_PD_160X600"/>
    <s v="441503701"/>
    <x v="2"/>
    <n v="12941"/>
    <n v="11"/>
    <n v="3.8199999999999998E-2"/>
    <n v="0.09"/>
    <n v="0.49434619999999996"/>
    <x v="194"/>
  </r>
  <r>
    <s v="BR_AAF_DSY_RUNOT_ND_NC_2019Q2APR_AMV_VarejoAmarokAbril"/>
    <s v="Google Brasil"/>
    <s v="BR_VW_AMV_dv360_DIS_PROG_CPM_STD_SKY_AAF_RON_CXD_Amarok-Varejo-ABRIL-PRIVADO-Amarok-AMC_PD_300X600"/>
    <s v="244659262"/>
    <x v="2"/>
    <s v="300x600 Default Web Ad"/>
    <s v="440790984"/>
    <x v="2"/>
    <n v="14674"/>
    <n v="600"/>
    <n v="3.8199999999999998E-2"/>
    <n v="0.09"/>
    <n v="0.56054680000000001"/>
    <x v="195"/>
  </r>
  <r>
    <s v="BR_AAF_DSY_RUNOT_ND_NC_2019Q2APR_AMV_VarejoAmarokAbril"/>
    <s v="Google Brasil"/>
    <s v="BR_VW_AMV_dv360_DIS_PROG_CPM_STD_SKY_AAF_RON_CXD_Amarok-Varejo-ABRIL-PRIVADO-Amarok-AMC_PD_300X600"/>
    <s v="244659262"/>
    <x v="3"/>
    <s v="BR_VW_AMV_dv360_DIS_PROG_CPM_STD_SKY_AAF_RON_CXD_Amarok-Varejo-ABRIL-PRIVADO-Amarok-AMC_PD_300X600"/>
    <s v="441503680"/>
    <x v="2"/>
    <n v="169277"/>
    <n v="4681"/>
    <n v="3.8199999999999998E-2"/>
    <n v="0.09"/>
    <n v="6.4663813999999995"/>
    <x v="196"/>
  </r>
  <r>
    <s v="BR_AAF_DSY_RUNOT_ND_NC_2019Q2APR_AMV_VarejoAmarokAbril"/>
    <s v="Google Brasil"/>
    <s v="BR_VW_AMV_dv360_DIS_PROG_CPM_STD_SKY_AAF_RON_CXD_Amarok-Varejo-Abril-Corporativo--CAMPO-Amarok-AMC_PD_120X600"/>
    <s v="243988217"/>
    <x v="3"/>
    <s v="BR_VW_AMV_dv360_DIS_PROG_CPM_STD_SKY_AAF_RON_CXD_Amarok-Varejo-Abril-Corporativo--CAMPO-Amarok-AMC_PD_120X600"/>
    <s v="440813538"/>
    <x v="2"/>
    <n v="3473"/>
    <n v="0"/>
    <n v="3.8199999999999998E-2"/>
    <n v="0.09"/>
    <n v="0.1326686"/>
    <x v="197"/>
  </r>
  <r>
    <s v="BR_AAF_DSY_RUNOT_ND_NC_2019Q2APR_AMV_VarejoAmarokAbril"/>
    <s v="Google Brasil"/>
    <s v="BR_VW_AMV_dv360_DIS_PROG_CPM_STD_SKY_AAF_RON_CXD_Amarok-Varejo-Abril-Corporativo--CAMPO-Amarok-AMC_PD_160X600"/>
    <s v="243991469"/>
    <x v="3"/>
    <s v="BR_VW_AMV_dv360_DIS_PROG_CPM_STD_SKY_AAF_RON_CXD_Amarok-Varejo-Abril-Corporativo--CAMPO-Amarok-AMC_PD_160X600"/>
    <s v="440914474"/>
    <x v="2"/>
    <n v="20666"/>
    <n v="7"/>
    <n v="3.8199999999999998E-2"/>
    <n v="0.09"/>
    <n v="0.78944119999999995"/>
    <x v="198"/>
  </r>
  <r>
    <s v="BR_AAF_DSY_RUNOT_ND_NC_2019Q2APR_AMV_VarejoAmarokAbril"/>
    <s v="Google Brasil"/>
    <s v="BR_VW_AMV_dv360_DIS_PROG_CPM_STD_SKY_AAF_RON_CXD_Amarok-Varejo-Abril-Corporativo--CAMPO-Amarok-AMC_PD_300X600"/>
    <s v="243988208"/>
    <x v="3"/>
    <s v="BR_VW_AMV_dv360_DIS_PROG_CPM_STD_SKY_AAF_RON_CXD_Amarok-Varejo-Abril-Corporativo--CAMPO-Amarok-AMC_PD_300X600"/>
    <s v="440813529"/>
    <x v="2"/>
    <n v="423595"/>
    <n v="12642"/>
    <n v="3.8199999999999998E-2"/>
    <n v="0.09"/>
    <n v="16.181328999999998"/>
    <x v="199"/>
  </r>
  <r>
    <s v="BR_AAF_DSY_RUNOT_ND_NC_2019Q2APR_AMV_VarejoAmarokAbril"/>
    <s v="Oath BR"/>
    <s v="BR_VW_AMV_Oath-DSP_DIS_PROG_CPM_STD_LDR_AAF_RON_CXD_Amarok-Varejo-ABRIL-Corporativo-Cidade-Amarok-AMC_PD_627x627"/>
    <s v="244203116"/>
    <x v="3"/>
    <s v="BR_VW_AMV_Oath-DSP_DIS_PROG_CPM_STD_LDR_AAF_RON_CXD_Amarok-Varejo-ABRIL-Corporativo-Cidade-Amarok-AMC_PD_627x627"/>
    <s v="441051360"/>
    <x v="1"/>
    <n v="3187765"/>
    <n v="45825"/>
    <n v="3.8199999999999998E-2"/>
    <n v="0.09"/>
    <n v="121.772623"/>
    <x v="200"/>
  </r>
  <r>
    <s v="BR_AAF_DSY_RUNOT_ND_NC_2019Q2APR_AMV_VarejoAmarokAbril"/>
    <s v="Oath BR"/>
    <s v="BR_VW_AMV_Oath-DSP_DIS_PROG_CPM_STD_LDR_AAF_RON_CXD_Amarok-Varejo-ABRIL-Corporativo-Cidade-Amarok-AMC_PD_728x90"/>
    <s v="243988193"/>
    <x v="3"/>
    <s v="BR_VW_AMV_Oath-DSP_DIS_PROG_CPM_STD_LDR_AAF_RON_CXD_Amarok-Varejo-ABRIL-Corporativo-Cidade-Amarok-AMC_PD_728x90"/>
    <s v="440899495"/>
    <x v="2"/>
    <n v="136452"/>
    <n v="36"/>
    <n v="3.8199999999999998E-2"/>
    <n v="0.09"/>
    <n v="5.2124663999999994"/>
    <x v="201"/>
  </r>
  <r>
    <s v="BR_AAF_DSY_RUNOT_ND_NC_2019Q2APR_AMV_VarejoAmarokAbril"/>
    <s v="Oath BR"/>
    <s v="BR_VW_AMV_Oath-DSP_DIS_PROG_CPM_STD_LDR_AAF_RON_CXD_Amarok-Varejo-ABRIL-Corporativo-Cidade-Amarok-AMC_PD_970x250"/>
    <s v="243988190"/>
    <x v="3"/>
    <s v="BR_VW_AMV_Oath-DSP_DIS_PROG_CPM_STD_LDR_AAF_RON_CXD_Amarok-Varejo-ABRIL-Corporativo-Cidade-Amarok-AMC_PD_970x250"/>
    <s v="440899492"/>
    <x v="2"/>
    <n v="33910"/>
    <n v="33"/>
    <n v="3.8199999999999998E-2"/>
    <n v="0.09"/>
    <n v="1.2953619999999999"/>
    <x v="202"/>
  </r>
  <r>
    <s v="BR_AAF_DSY_RUNOT_ND_NC_2019Q2APR_AMV_VarejoAmarokAbril"/>
    <s v="Oath BR"/>
    <s v="BR_VW_AMV_Oath-DSP_DIS_PROG_CPM_STD_LDR_AAF_RON_CXD_Amarok-Varejo-ABRIL-PRIVADO-Amarok-AMC_PD_627x627"/>
    <s v="244659286"/>
    <x v="3"/>
    <s v="BR_VW_AMV_Oath-DSP_DIS_PROG_CPM_STD_LDR_AAF_RON_CXD_Amarok-Varejo-ABRIL-PRIVADO-Amarok-AMC_PD_627x627"/>
    <s v="441503704"/>
    <x v="1"/>
    <n v="3760473"/>
    <n v="28149"/>
    <n v="3.8199999999999998E-2"/>
    <n v="0.09"/>
    <n v="143.6500686"/>
    <x v="203"/>
  </r>
  <r>
    <s v="BR_AAF_DSY_RUNOT_ND_NC_2019Q2APR_AMV_VarejoAmarokAbril"/>
    <s v="Oath BR"/>
    <s v="BR_VW_AMV_Oath-DSP_DIS_PROG_CPM_STD_LDR_AAF_RON_CXD_Amarok-Varejo-ABRIL-PRIVADO-Amarok-AMC_PD_728x90"/>
    <s v="244659295"/>
    <x v="2"/>
    <s v="728x90 Default Web Ad"/>
    <s v="440793972"/>
    <x v="2"/>
    <n v="835"/>
    <n v="2"/>
    <n v="3.8199999999999998E-2"/>
    <n v="0.09"/>
    <n v="3.1897000000000002E-2"/>
    <x v="204"/>
  </r>
  <r>
    <s v="BR_AAF_DSY_RUNOT_ND_NC_2019Q2APR_AMV_VarejoAmarokAbril"/>
    <s v="Oath BR"/>
    <s v="BR_VW_AMV_Oath-DSP_DIS_PROG_CPM_STD_LDR_AAF_RON_CXD_Amarok-Varejo-ABRIL-PRIVADO-Amarok-AMC_PD_728x90"/>
    <s v="244659295"/>
    <x v="3"/>
    <s v="BR_VW_AMV_Oath-DSP_DIS_PROG_CPM_STD_LDR_AAF_RON_CXD_Amarok-Varejo-ABRIL-PRIVADO-Amarok-AMC_PD_728x90"/>
    <s v="441503713"/>
    <x v="2"/>
    <n v="82006"/>
    <n v="29"/>
    <n v="3.8199999999999998E-2"/>
    <n v="0.09"/>
    <n v="3.1326291999999998"/>
    <x v="205"/>
  </r>
  <r>
    <s v="BR_AAF_DSY_RUNOT_ND_NC_2019Q2APR_AMV_VarejoAmarokAbril"/>
    <s v="Oath BR"/>
    <s v="BR_VW_AMV_Oath-DSP_DIS_PROG_CPM_STD_LDR_AAF_RON_CXD_Amarok-Varejo-ABRIL-PRIVADO-Amarok-AMC_PD_970x250"/>
    <s v="244659292"/>
    <x v="2"/>
    <s v="970x250 Default Web Ad"/>
    <s v="440907866"/>
    <x v="2"/>
    <n v="87"/>
    <n v="1"/>
    <n v="3.8199999999999998E-2"/>
    <n v="0.09"/>
    <n v="3.3233999999999998E-3"/>
    <x v="206"/>
  </r>
  <r>
    <s v="BR_AAF_DSY_RUNOT_ND_NC_2019Q2APR_AMV_VarejoAmarokAbril"/>
    <s v="Oath BR"/>
    <s v="BR_VW_AMV_Oath-DSP_DIS_PROG_CPM_STD_LDR_AAF_RON_CXD_Amarok-Varejo-ABRIL-PRIVADO-Amarok-AMC_PD_970x250"/>
    <s v="244659292"/>
    <x v="3"/>
    <s v="BR_VW_AMV_Oath-DSP_DIS_PROG_CPM_STD_LDR_AAF_RON_CXD_Amarok-Varejo-ABRIL-PRIVADO-Amarok-AMC_PD_970x250"/>
    <s v="441503710"/>
    <x v="2"/>
    <n v="21081"/>
    <n v="28"/>
    <n v="3.8199999999999998E-2"/>
    <n v="0.09"/>
    <n v="0.80529419999999996"/>
    <x v="207"/>
  </r>
  <r>
    <s v="BR_AAF_DSY_RUNOT_ND_NC_2019Q2APR_AMV_VarejoAmarokAbril"/>
    <s v="Oath BR"/>
    <s v="BR_VW_AMV_Oath-DSP_DIS_PROG_CPM_STD_LDR_AAF_RON_CXD_Amarok-Varejo-Abril-Corporativo--CAMPO-Amarok-AMC_PD_627x627"/>
    <s v="244297174"/>
    <x v="3"/>
    <s v="BR_VW_AMV_Oath-DSP_DIS_PROG_CPM_STD_LDR_AAF_RON_CXD_Amarok-Varejo-Abril-Corporativo--CAMPO-Amarok-AMC_PD_627x627"/>
    <s v="441161374"/>
    <x v="1"/>
    <n v="462331"/>
    <n v="9440"/>
    <n v="3.8199999999999998E-2"/>
    <n v="0.09"/>
    <n v="17.661044199999999"/>
    <x v="208"/>
  </r>
  <r>
    <s v="BR_AAF_DSY_RUNOT_ND_NC_2019Q2APR_AMV_VarejoAmarokAbril"/>
    <s v="Oath BR"/>
    <s v="BR_VW_AMV_Oath-DSP_DIS_PROG_CPM_STD_LDR_AAF_RON_CXD_Amarok-Varejo-Abril-Corporativo--CAMPO-Amarok-AMC_PD_728x90"/>
    <s v="243988232"/>
    <x v="3"/>
    <s v="BR_VW_AMV_Oath-DSP_DIS_PROG_CPM_STD_LDR_AAF_RON_CXD_Amarok-Varejo-Abril-Corporativo--CAMPO-Amarok-AMC_PD_728x90"/>
    <s v="440813553"/>
    <x v="2"/>
    <n v="136758"/>
    <n v="51"/>
    <n v="3.8199999999999998E-2"/>
    <n v="0.09"/>
    <n v="5.2241556000000005"/>
    <x v="209"/>
  </r>
  <r>
    <s v="BR_AAF_DSY_RUNOT_ND_NC_2019Q2APR_AMV_VarejoAmarokAbril"/>
    <s v="Oath BR"/>
    <s v="BR_VW_AMV_Oath-DSP_DIS_PROG_CPM_STD_LDR_AAF_RON_CXD_Amarok-Varejo-Abril-Corporativo--CAMPO-Amarok-AMC_PD_970x250"/>
    <s v="243988229"/>
    <x v="3"/>
    <s v="BR_VW_AMV_Oath-DSP_DIS_PROG_CPM_STD_LDR_AAF_RON_CXD_Amarok-Varejo-Abril-Corporativo--CAMPO-Amarok-AMC_PD_970x250"/>
    <s v="440813550"/>
    <x v="2"/>
    <n v="33736"/>
    <n v="43"/>
    <n v="3.8199999999999998E-2"/>
    <n v="0.09"/>
    <n v="1.2887151999999999"/>
    <x v="210"/>
  </r>
  <r>
    <s v="BR_AAF_DSY_RUNOT_ND_NC_2019Q2APR_AMV_VarejoAmarokAbril"/>
    <s v="Oath BR"/>
    <s v="BR_VW_AMV_Oath-DSP_DIS_PROG_CPM_STD_MPU_AAF_RON_CXD_Amarok-Varejo-ABRIL-Corporativo-Cidade-Amarok-AMC_PD_300x250"/>
    <s v="243988196"/>
    <x v="3"/>
    <s v="BR_VW_AMV_Oath-DSP_DIS_PROG_CPM_STD_MPU_AAF_RON_CXD_Amarok-Varejo-ABRIL-Corporativo-Cidade-Amarok-AMC_PD_300x250"/>
    <s v="440899498"/>
    <x v="2"/>
    <n v="621181"/>
    <n v="390"/>
    <n v="3.8199999999999998E-2"/>
    <n v="0.09"/>
    <n v="23.729114200000001"/>
    <x v="211"/>
  </r>
  <r>
    <s v="BR_AAF_DSY_RUNOT_ND_NC_2019Q2APR_AMV_VarejoAmarokAbril"/>
    <s v="Oath BR"/>
    <s v="BR_VW_AMV_Oath-DSP_DIS_PROG_CPM_STD_MPU_AAF_RON_CXD_Amarok-Varejo-ABRIL-PRIVADO-Amarok-AMC_PD_300x250"/>
    <s v="244659298"/>
    <x v="2"/>
    <s v="300x250 Default Web Ad"/>
    <s v="440793969"/>
    <x v="2"/>
    <n v="2438"/>
    <n v="3"/>
    <n v="3.8199999999999998E-2"/>
    <n v="0.09"/>
    <n v="9.3131599999999995E-2"/>
    <x v="212"/>
  </r>
  <r>
    <s v="BR_AAF_DSY_RUNOT_ND_NC_2019Q2APR_AMV_VarejoAmarokAbril"/>
    <s v="Oath BR"/>
    <s v="BR_VW_AMV_Oath-DSP_DIS_PROG_CPM_STD_MPU_AAF_RON_CXD_Amarok-Varejo-ABRIL-PRIVADO-Amarok-AMC_PD_300x250"/>
    <s v="244659298"/>
    <x v="3"/>
    <s v="BR_VW_AMV_Oath-DSP_DIS_PROG_CPM_STD_MPU_AAF_RON_CXD_Amarok-Varejo-ABRIL-PRIVADO-Amarok-AMC_PD_300x250"/>
    <s v="441503716"/>
    <x v="2"/>
    <n v="384182"/>
    <n v="240"/>
    <n v="3.8199999999999998E-2"/>
    <n v="0.09"/>
    <n v="14.675752399999999"/>
    <x v="213"/>
  </r>
  <r>
    <s v="BR_AAF_DSY_RUNOT_ND_NC_2019Q2APR_AMV_VarejoAmarokAbril"/>
    <s v="Oath BR"/>
    <s v="BR_VW_AMV_Oath-DSP_DIS_PROG_CPM_STD_MPU_AAF_RON_CXD_Amarok-Varejo-Abril-Corporativo--CAMPO-Amarok-AMC_PD_300x250"/>
    <s v="243988235"/>
    <x v="3"/>
    <s v="BR_VW_AMV_Oath-DSP_DIS_PROG_CPM_STD_MPU_AAF_RON_CXD_Amarok-Varejo-Abril-Corporativo--CAMPO-Amarok-AMC_PD_300x250"/>
    <s v="440813556"/>
    <x v="2"/>
    <n v="622398"/>
    <n v="341"/>
    <n v="3.8199999999999998E-2"/>
    <n v="0.09"/>
    <n v="23.7756036"/>
    <x v="214"/>
  </r>
  <r>
    <s v="BR_AAF_DSY_RUNOT_ND_NC_2019Q2APR_AMV_VarejoAmarokAbril"/>
    <s v="Oath BR"/>
    <s v="BR_VW_AMV_Oath-DSP_DIS_PROG_CPM_STD_SKY_AAF_RON_CXD_Amarok-Varejo-ABRIL-Corporativo-Cidade-Amarok-AMC_PD_300x600"/>
    <s v="243988199"/>
    <x v="3"/>
    <s v="BR_VW_AMV_Oath-DSP_DIS_PROG_CPM_STD_SKY_AAF_RON_CXD_Amarok-Varejo-ABRIL-Corporativo-Cidade-Amarok-AMC_PD_300x600"/>
    <s v="440899501"/>
    <x v="2"/>
    <n v="92500"/>
    <n v="38"/>
    <n v="3.8199999999999998E-2"/>
    <n v="0.09"/>
    <n v="3.5335000000000001"/>
    <x v="215"/>
  </r>
  <r>
    <s v="BR_AAF_DSY_RUNOT_ND_NC_2019Q2APR_AMV_VarejoAmarokAbril"/>
    <s v="Oath BR"/>
    <s v="BR_VW_AMV_Oath-DSP_DIS_PROG_CPM_STD_SKY_AAF_RON_CXD_Amarok-Varejo-ABRIL-PRIVADO-Amarok-AMC_PD_300x600"/>
    <s v="244659301"/>
    <x v="2"/>
    <s v="300x600 Default Web Ad"/>
    <s v="440790984"/>
    <x v="2"/>
    <n v="270"/>
    <n v="2"/>
    <n v="3.8199999999999998E-2"/>
    <n v="0.09"/>
    <n v="1.0314E-2"/>
    <x v="216"/>
  </r>
  <r>
    <s v="BR_AAF_DSY_RUNOT_ND_NC_2019Q2APR_AMV_VarejoAmarokAbril"/>
    <s v="Oath BR"/>
    <s v="BR_VW_AMV_Oath-DSP_DIS_PROG_CPM_STD_SKY_AAF_RON_CXD_Amarok-Varejo-ABRIL-PRIVADO-Amarok-AMC_PD_300x600"/>
    <s v="244659301"/>
    <x v="3"/>
    <s v="BR_VW_AMV_Oath-DSP_DIS_PROG_CPM_STD_SKY_AAF_RON_CXD_Amarok-Varejo-ABRIL-PRIVADO-Amarok-AMC_PD_300x600"/>
    <s v="441503719"/>
    <x v="2"/>
    <n v="58359"/>
    <n v="40"/>
    <n v="3.8199999999999998E-2"/>
    <n v="0.09"/>
    <n v="2.2293137999999999"/>
    <x v="217"/>
  </r>
  <r>
    <s v="BR_AAF_DSY_RUNOT_ND_NC_2019Q2APR_AMV_VarejoAmarokAbril"/>
    <s v="Oath BR"/>
    <s v="BR_VW_AMV_Oath-DSP_DIS_PROG_CPM_STD_SKY_AAF_RON_CXD_Amarok-Varejo-Abril-Corporativo--CAMPO-Amarok-AMC_PD_300x600"/>
    <s v="244335861"/>
    <x v="3"/>
    <s v="BR_VW_AMV_Oath-DSP_DIS_PROG_CPM_STD_SKY_AAF_RON_CXD_Amarok-Varejo-Abril-Corporativo--CAMPO-Amarok-AMC_PD_300x600"/>
    <s v="440916124"/>
    <x v="2"/>
    <n v="91835"/>
    <n v="34"/>
    <n v="3.8199999999999998E-2"/>
    <n v="0.09"/>
    <n v="3.5080969999999998"/>
    <x v="218"/>
  </r>
  <r>
    <s v="BR_AAF_SOC_LANCH_ND_NC_2019Q1MAR_TCR_WebSerie"/>
    <s v="Google Brasil"/>
    <s v="BR_VW_TCR_youtube_SOC_DRCT_CPV_STD_MPU_AAF_RON_CXD_T-Cross-WebSerie-Ep-1-T-Cross-AMC_PD_Video"/>
    <s v="241898582"/>
    <x v="1"/>
    <s v="BR_VW_TCR_youtube_SOC_DRCT_CPV_STD_MPU_AAF_RON_CXD_T-Cross-WebSerie-Ep-1-T-Cross-AMC_PD_Video"/>
    <s v="438853961"/>
    <x v="1"/>
    <n v="0"/>
    <n v="23992"/>
    <n v="3.5000000000000001E-3"/>
    <n v="0.02"/>
    <n v="83.972000000000008"/>
    <x v="219"/>
  </r>
  <r>
    <s v="BR_AAF_SOC_LANCH_ND_NC_2019Q1MAR_TCR_WebSerie"/>
    <s v="Google Brasil"/>
    <s v="BR_VW_TCR_youtube_SOC_DRCT_CPV_STD_MPU_AAF_RON_CXD_T-Cross-WebSerie-Ep-1-T-Cross-Remarketing_PD_Video"/>
    <s v="241898576"/>
    <x v="1"/>
    <s v="BR_VW_TCR_youtube_SOC_DRCT_CPV_STD_MPU_AAF_RON_CXD_T-Cross-WebSerie-Ep-1-T-Cross-Remarketing_PD_Video"/>
    <s v="438853955"/>
    <x v="1"/>
    <n v="0"/>
    <n v="1089"/>
    <n v="3.5000000000000001E-3"/>
    <n v="0.02"/>
    <n v="3.8115000000000001"/>
    <x v="220"/>
  </r>
  <r>
    <s v="BR_AAF_SOC_LANCH_ND_NC_2019Q1MAR_TCR_WebSerie"/>
    <s v="Google Brasil"/>
    <s v="BR_VW_TCR_youtube_SOC_DRCT_CPV_STD_MPU_AAF_RON_CXD_T-Cross-WebSerie-Ep-2-T-Cross-AMC_PD_Video"/>
    <s v="241898546"/>
    <x v="3"/>
    <s v="BR_VW_TCR_youtube_SOC_DRCT_CPV_STD_MPU_AAF_RON_CXD_T-Cross-WebSerie-Ep-2-T-Cross-AMC_PD_Video"/>
    <s v="438853925"/>
    <x v="1"/>
    <n v="1136684"/>
    <n v="5840"/>
    <n v="3.8199999999999998E-2"/>
    <n v="0.09"/>
    <n v="43.421328799999998"/>
    <x v="221"/>
  </r>
  <r>
    <s v="BR_AAF_SOC_LANCH_ND_NC_2019Q1MAR_TCR_WebSerie"/>
    <s v="Google Brasil"/>
    <s v="BR_VW_TCR_youtube_SOC_DRCT_CPV_STD_MPU_AAF_RON_CXD_T-Cross-WebSerie-Ep-2-T-Cross-Remarketing_PD_Video"/>
    <s v="241898540"/>
    <x v="1"/>
    <s v="BR_VW_TCR_youtube_SOC_DRCT_CPV_STD_MPU_AAF_RON_CXD_T-Cross-WebSerie-Ep-2-T-Cross-Remarketing_PD_Video"/>
    <s v="438853919"/>
    <x v="1"/>
    <n v="0"/>
    <n v="3594"/>
    <n v="3.5000000000000001E-3"/>
    <n v="0.02"/>
    <n v="12.579000000000001"/>
    <x v="222"/>
  </r>
  <r>
    <s v="BR_AAF_SOC_LANCH_ND_NC_2019Q1MAR_TCR_WebSerie"/>
    <s v="Google Brasil"/>
    <s v="BR_VW_TCR_youtube_SOC_DRCT_CPV_STD_MPU_AAF_RON_CXD_T-Cross-WebSerie-Ep-3-T-Cross-AMC_PD_Video"/>
    <s v="241898510"/>
    <x v="3"/>
    <s v="BR_VW_TCR_youtube_SOC_DRCT_CPV_STD_MPU_AAF_RON_CXD_T-Cross-WebSerie-Ep-3-T-Cross-AMC_PD_Video"/>
    <s v="438853889"/>
    <x v="1"/>
    <n v="3860099"/>
    <n v="17760"/>
    <n v="3.8199999999999998E-2"/>
    <n v="0.09"/>
    <n v="147.45578180000001"/>
    <x v="223"/>
  </r>
  <r>
    <s v="BR_AAF_SOC_LANCH_ND_NC_2019Q1MAR_TCR_WebSerie"/>
    <s v="Google Brasil"/>
    <s v="BR_VW_TCR_youtube_SOC_DRCT_CPV_STD_MPU_AAF_RON_CXD_T-Cross-WebSerie-Ep-4-T-Cross-AMC_PD_Video"/>
    <s v="241898480"/>
    <x v="3"/>
    <s v="BR_VW_TCR_youtube_SOC_DRCT_CPV_STD_MPU_AAF_RON_CXD_T-Cross-WebSerie-Ep-4-T-Cross-AMC_PD_Video"/>
    <s v="438853859"/>
    <x v="1"/>
    <n v="3135044"/>
    <n v="13103"/>
    <n v="3.8199999999999998E-2"/>
    <n v="0.09"/>
    <n v="119.75868079999999"/>
    <x v="224"/>
  </r>
  <r>
    <s v="BR_AAF_SOC_LANCH_ND_NC_2019Q1MAR_TCR_WebSerie"/>
    <s v="Google Brasil"/>
    <s v="BR_VW_TCR_youtube_SOC_DRCT_CPV_STD_MPU_AAF_RON_CXD_T-Cross-WebSerie-Ep-5-T-Cross-AMC_PD_Video"/>
    <s v="241990726"/>
    <x v="3"/>
    <s v="BR_VW_TCR_youtube_SOC_DRCT_CPV_STD_MPU_AAF_RON_CXD_T-Cross-WebSerie-Ep-5-T-Cross-AMC_PD_Video"/>
    <s v="438853841"/>
    <x v="1"/>
    <n v="6749573"/>
    <n v="26233"/>
    <n v="3.8199999999999998E-2"/>
    <n v="0.09"/>
    <n v="257.83368860000002"/>
    <x v="225"/>
  </r>
  <r>
    <s v="BR_AAF_SOC_LANCH_ND_NC_2019Q1MAR_TCR_WebSerie"/>
    <s v="Google Brasil"/>
    <s v="BR_VW_TCR_youtube_SOC_DRCT_CPV_STD_MPU_AAF_RON_CXD_T-Cross-WebSerie-Ep-6-T-Cross-AMC_PD_Video"/>
    <s v="241990708"/>
    <x v="3"/>
    <s v="BR_VW_TCR_youtube_SOC_DRCT_CPV_STD_MPU_AAF_RON_CXD_T-Cross-WebSerie-Ep-6-T-Cross-AMC_PD_Video"/>
    <s v="438853823"/>
    <x v="1"/>
    <n v="6345413"/>
    <n v="26458"/>
    <n v="3.8199999999999998E-2"/>
    <n v="0.09"/>
    <n v="242.39477659999997"/>
    <x v="226"/>
  </r>
  <r>
    <s v="BR_AAF_SOC_LANCH_ND_NC_2019Q1MAR_TCR_WebSerie"/>
    <s v="Google Brasil"/>
    <s v="BR_VW_TCR_youtube_SOC_DRCT_CPV_STD_MPU_AAF_RON_CXD_T-Cross-WebSerie-Ep-7-T-Cross-AMC_PD_Video"/>
    <s v="241898555"/>
    <x v="3"/>
    <s v="BR_VW_TCR_youtube_SOC_DRCT_CPV_STD_MPU_AAF_RON_CXD_T-Cross-WebSerie-Ep-7-T-Cross-AMC_PD_Video"/>
    <s v="438853934"/>
    <x v="1"/>
    <n v="5389213"/>
    <n v="21253"/>
    <n v="3.8199999999999998E-2"/>
    <n v="0.09"/>
    <n v="205.86793659999998"/>
    <x v="227"/>
  </r>
  <r>
    <s v="BR_AAF_SOC_LANCH_ND_NC_2019Q1MAR_TCR_WebSerie"/>
    <s v="faceinsta"/>
    <s v="BR_VW_TCR_faceinsta_SOC_DRCT_CPV_STD_MPU_AAF_RON_CXD_T-Cross-WebSerie-Trailer-T-Cross-AMC_PD_Video"/>
    <s v="241790534"/>
    <x v="1"/>
    <s v="BR_VW_TCR_faceinsta_SOC_DRCT_CPV_STD_MPU_AAF_RON_CXD_T-Cross-WebSerie-Trailer-T-Cross-AMC_PD_Video"/>
    <s v="438672468"/>
    <x v="1"/>
    <n v="0"/>
    <n v="11"/>
    <n v="3.5000000000000001E-3"/>
    <n v="0.02"/>
    <n v="3.85E-2"/>
    <x v="228"/>
  </r>
  <r>
    <s v="BR_AAF_SOC_LANCH_ND_NC_2019Q1MAR_TCR_WebSerie"/>
    <s v="faceinsta"/>
    <s v="BR_VW_TCR_faceinsta_SOC_DRCT_CPV_STD_MPU_AAF_RON_CXD_T-Cross-WebSerie-Trailer-T-Cross-Remarketing_PD_Video"/>
    <s v="241895485"/>
    <x v="1"/>
    <s v="BR_VW_TCR_faceinsta_SOC_DRCT_CPV_STD_MPU_AAF_RON_CXD_T-Cross-WebSerie-Trailer-T-Cross-Remarketing_PD_Video"/>
    <s v="438668946"/>
    <x v="1"/>
    <n v="0"/>
    <n v="1"/>
    <n v="3.5000000000000001E-3"/>
    <n v="0.02"/>
    <n v="3.5000000000000001E-3"/>
    <x v="1"/>
  </r>
  <r>
    <s v="BR_AAF_SOC_LANCH_ND_NC_2019Q1MAR_TCR_WebSerie"/>
    <s v="instagram.com"/>
    <s v="BR_VW_TCR_instagram_SOC_DRCT_CPV_STD_MPU_AAF_RON_CXD_T-Cross-WebSerie-Ep-5-T-Cross-AMC_PD_Stories"/>
    <s v="243623980"/>
    <x v="1"/>
    <s v="BR_VW_TCR_instagram_SOC_DRCT_CPV_STD_MPU_AAF_RON_CXD_T-Cross-WebSerie-Ep-5-T-Cross-AMC_PD_Stories"/>
    <s v="440226117"/>
    <x v="1"/>
    <n v="0"/>
    <n v="6601"/>
    <n v="3.5000000000000001E-3"/>
    <n v="0.02"/>
    <n v="23.1035"/>
    <x v="229"/>
  </r>
  <r>
    <s v="BR_AAF_SOC_LANCH_ND_NC_2019Q1MAR_TCR_WebSerie"/>
    <s v="instagram.com"/>
    <s v="BR_VW_TCR_instagram_SOC_DRCT_CPV_STD_MPU_AAF_RON_CXD_T-Cross-WebSerie-Ep-7-T-Cross-AMC_PD_Stories"/>
    <s v="244033781"/>
    <x v="1"/>
    <s v="BR_VW_TCR_instagram_SOC_DRCT_CPV_STD_MPU_AAF_RON_CXD_T-Cross-WebSerie-Ep-7-T-Cross-AMC_PD_Stories"/>
    <s v="440979874"/>
    <x v="1"/>
    <n v="0"/>
    <n v="1"/>
    <n v="3.5000000000000001E-3"/>
    <n v="0.02"/>
    <n v="3.5000000000000001E-3"/>
    <x v="1"/>
  </r>
  <r>
    <s v="BR_AAF_SOC_LANCH_ND_NC_2019Q1MAR_TCR_WebSerie"/>
    <s v="instagram.com"/>
    <s v="BR_VW_TCR_instagram_SOC_DRCT_CPV_STD_MPU_AAF_RON_CXD_T-Cross-WebSerie-Ep-8-T-Cross-AMC_PD_Stories"/>
    <s v="244034567"/>
    <x v="1"/>
    <s v="BR_VW_TCR_instagram_SOC_DRCT_CPV_STD_MPU_AAF_RON_CXD_T-Cross-WebSerie-Ep-8-T-Cross-AMC_PD_Stories"/>
    <s v="440969846"/>
    <x v="1"/>
    <n v="0"/>
    <n v="1"/>
    <n v="3.5000000000000001E-3"/>
    <n v="0.02"/>
    <n v="3.5000000000000001E-3"/>
    <x v="1"/>
  </r>
  <r>
    <s v="BR_AAF_SOC_LANCH_ND_NC_2019Q1MAR_TCR_WebSerie"/>
    <s v="instagram.com"/>
    <s v="BR_VW_TCR_instagram_SOC_DRCT_CPV_STD_SRB_AAF_RON_CXD_T-Cross-WebSerie-Ep-1-T-Cross-AMC_PD_PagePost"/>
    <s v="242732895"/>
    <x v="1"/>
    <s v="BR_VW_TCR_instagram_SOC_DRCT_CPV_STD_SRB_AAF_RON_CXD_T-Cross-WebSerie-Ep-1-T-Cross-AMC_PD_PagePost"/>
    <s v="439153827"/>
    <x v="1"/>
    <n v="0"/>
    <n v="8"/>
    <n v="3.5000000000000001E-3"/>
    <n v="0.02"/>
    <n v="2.8000000000000001E-2"/>
    <x v="159"/>
  </r>
  <r>
    <s v="BR_AAF_SOC_LANCH_ND_NC_2019Q1MAR_TCR_WebSerie"/>
    <s v="instagram.com"/>
    <s v="BR_VW_TCR_instagram_SOC_DRCT_CPV_STD_SRB_AAF_RON_CXD_T-Cross-WebSerie-Ep-1-T-Cross-Remarketing_PD_PagePost"/>
    <s v="242732889"/>
    <x v="1"/>
    <s v="BR_VW_TCR_instagram_SOC_DRCT_CPV_STD_SRB_AAF_RON_CXD_T-Cross-WebSerie-Ep-1-T-Cross-Remarketing_PD_PagePost"/>
    <s v="439153833"/>
    <x v="1"/>
    <n v="0"/>
    <n v="2"/>
    <n v="3.5000000000000001E-3"/>
    <n v="0.02"/>
    <n v="7.0000000000000001E-3"/>
    <x v="123"/>
  </r>
  <r>
    <s v="BR_AAF_SOC_LANCH_ND_NC_2019Q1MAR_TCR_WebSerie"/>
    <s v="instagram.com"/>
    <s v="BR_VW_TCR_instagram_SOC_DRCT_CPV_STD_SRB_AAF_RON_CXD_T-Cross-WebSerie-Ep-2-T-Cross-AMC_PD_PagePost"/>
    <s v="242645612"/>
    <x v="1"/>
    <s v="BR_VW_TCR_instagram_SOC_DRCT_CPV_STD_SRB_AAF_RON_CXD_T-Cross-WebSerie-Ep-2-T-Cross-AMC_PD_PagePost"/>
    <s v="439465256"/>
    <x v="1"/>
    <n v="0"/>
    <n v="2"/>
    <n v="3.5000000000000001E-3"/>
    <n v="0.02"/>
    <n v="7.0000000000000001E-3"/>
    <x v="123"/>
  </r>
  <r>
    <s v="BR_AAF_SOC_LANCH_ND_NC_2019Q1MAR_TCR_WebSerie"/>
    <s v="instagram.com"/>
    <s v="BR_VW_TCR_instagram_SOC_DRCT_CPV_STD_SRB_AAF_RON_CXD_T-Cross-WebSerie-Ep-7-T-Cross-AMC_PD_PagePost"/>
    <s v="244033652"/>
    <x v="1"/>
    <s v="BR_VW_TCR_instagram_SOC_DRCT_CPV_STD_SRB_AAF_RON_CXD_T-Cross-WebSerie-Ep-7-T-Cross-AMC_PD_PagePost"/>
    <s v="440871993"/>
    <x v="1"/>
    <n v="0"/>
    <n v="1"/>
    <n v="3.5000000000000001E-3"/>
    <n v="0.02"/>
    <n v="3.5000000000000001E-3"/>
    <x v="1"/>
  </r>
  <r>
    <s v="BR_AAF_SOC_LANCH_ND_NC_2019Q1MAR_TCR_WebSerie"/>
    <s v="instagram.com"/>
    <s v="BR_VW_TCR_instagram_SOC_DRCT_CPV_STD_SRB_AAF_RON_CXD_T-Cross-WebSerie-Ep-8-T-Cross-AMC_PD_PagePost"/>
    <s v="244033265"/>
    <x v="1"/>
    <s v="BR_VW_TCR_instagram_SOC_DRCT_CPV_STD_SRB_AAF_RON_CXD_T-Cross-WebSerie-Ep-8-T-Cross-AMC_PD_PagePost"/>
    <s v="440969957"/>
    <x v="1"/>
    <n v="0"/>
    <n v="1"/>
    <n v="3.5000000000000001E-3"/>
    <n v="0.02"/>
    <n v="3.5000000000000001E-3"/>
    <x v="1"/>
  </r>
  <r>
    <s v="BR_AAF_SOC_LANCH_ND_NC_2019Q2APR_TCR_Launch-T-Cross-Awareness-fase-um"/>
    <s v="Facebook"/>
    <s v="BR_VW_TCR_facebook_MOB_DRCT_CPM_CLK_MPU_AAF_RON_CXD_T-Croos-Lancamento-Awareness-Social-30s-T-cross-AMC_PD_Video"/>
    <s v="244487210"/>
    <x v="1"/>
    <s v="BR_VW_TCR_facebook_MOB_DRCT_CPM_CLK_MPU_AAF_RON_CXD_T-Croos-Lancamento-Awareness-Social-30s-T-cross-AMC_PD_Video"/>
    <s v="441342024"/>
    <x v="1"/>
    <n v="0"/>
    <n v="39328"/>
    <n v="3.5000000000000001E-3"/>
    <n v="0.02"/>
    <n v="137.648"/>
    <x v="230"/>
  </r>
  <r>
    <s v="BR_AAF_SOC_LANCH_ND_NC_2019Q2APR_TCR_Launch-T-Cross-Awareness-fase-um"/>
    <s v="Facebook"/>
    <s v="BR_VW_TCR_facebook_MOB_DRCT_CPM_CLK_MPU_AAF_RON_CXD_T-Croos-Lancamento-Awareness-Social-T-cross-AMC_PD_Video"/>
    <s v="244615854"/>
    <x v="1"/>
    <s v="BR_VW_TCR_facebook_MOB_DRCT_CPM_CLK_MPU_AAF_RON_CXD_T-Croos-Lancamento-Awareness-Social-T-cross-AMC_PD_Video"/>
    <s v="441109626"/>
    <x v="1"/>
    <n v="0"/>
    <n v="137279"/>
    <n v="3.5000000000000001E-3"/>
    <n v="0.02"/>
    <n v="480.47649999999999"/>
    <x v="231"/>
  </r>
  <r>
    <s v="BR_AAF_SOC_LANCH_ND_NC_2019Q2APR_TCR_Launch-T-Cross-Awareness-fase-um"/>
    <s v="Facebook"/>
    <s v="BR_VW_TCR_facebook_MOB_DRCT_CPM_CLK_SRB_AAF_RON_CXD_T-Croos-Lancamento-Awareness-Social-T-cross-AMC_PD_1200x628"/>
    <s v="244371574"/>
    <x v="1"/>
    <s v="BR_VW_TCR_facebook_MOB_DRCT_CPM_CLK_SRB_AAF_RON_CXD_T-Croos-Lancamento-Awareness-Social-T-cross-AMC_PD_1200x628"/>
    <s v="441216896"/>
    <x v="1"/>
    <n v="0"/>
    <n v="41927"/>
    <n v="3.5000000000000001E-3"/>
    <n v="0.02"/>
    <n v="146.74450000000002"/>
    <x v="232"/>
  </r>
  <r>
    <s v="BR_AAF_SOC_LANCH_ND_NC_2019Q2APR_TCR_Launch-T-Cross-Awareness-fase-um"/>
    <s v="Google - YouTube"/>
    <s v="BR_VW_TCR_Youtube_MOB_DRCT_CPM_CLK_MPU_AAF_RON_CXD_T-Croos-Lancamento-Awareness-Social-T-cross-AMC_PD_TrueView"/>
    <s v="244615830"/>
    <x v="3"/>
    <s v="BR_VW_TCR_Youtube_MOB_DRCT_CPM_CLK_MPU_AAF_RON_CXD_T-Croos-Lancamento-Awareness-Social-T-cross-AMC_PD_TrueView"/>
    <s v="441109602"/>
    <x v="1"/>
    <n v="7730912"/>
    <n v="11192"/>
    <n v="3.8199999999999998E-2"/>
    <n v="0.09"/>
    <n v="295.32083840000001"/>
    <x v="233"/>
  </r>
  <r>
    <s v="BR_AAF_SOC_LANCH_ND_NC_2019Q2APR_TCR_Launch-T-Cross-Awareness-fase-um"/>
    <s v="Twitter"/>
    <s v="BR_VW_TCR_Twitter_SOC_DRCT_CPM_CLK_MPU_AAF_RON_CXD_T-Croos-Lancamento-Awareness-Social-30s-T-cross-AMC_PD_Video"/>
    <s v="244953913"/>
    <x v="1"/>
    <s v="BR_VW_TCR_Twitter_SOC_DRCT_CPM_CLK_MPU_AAF_RON_CXD_T-Croos-Lancamento-Awareness-Social-30s-T-cross-AMC_PD_Video"/>
    <s v="441729127"/>
    <x v="1"/>
    <n v="0"/>
    <n v="2"/>
    <n v="3.5000000000000001E-3"/>
    <n v="0.02"/>
    <n v="7.0000000000000001E-3"/>
    <x v="123"/>
  </r>
  <r>
    <s v="BR_AAF_SOC_LANCH_ND_NC_2019Q2APR_TCR_Launch-T-Cross-Awareness-fase-um"/>
    <s v="instagram.com"/>
    <s v="BR_VW_TCR_Instagram_MOB_DRCT_CPM_CLK_MPU_AAF_RON_CXD_T-Croos-Lancamento-Awareness-Social-30s-T-cross-AMC_PD_Video"/>
    <s v="244486970"/>
    <x v="1"/>
    <s v="BR_VW_TCR_Instagram_MOB_DRCT_CPM_CLK_MPU_AAF_RON_CXD_T-Croos-Lancamento-Awareness-Social-30s-T-cross-AMC_PD_Video"/>
    <s v="441445009"/>
    <x v="1"/>
    <n v="0"/>
    <n v="3479"/>
    <n v="3.5000000000000001E-3"/>
    <n v="0.02"/>
    <n v="12.176500000000001"/>
    <x v="234"/>
  </r>
  <r>
    <s v="BR_AAF_SOC_LANCH_ND_NC_2019Q2APR_TCR_Launch-T-Cross-Awareness-fase-um"/>
    <s v="instagram.com"/>
    <s v="BR_VW_TCR_Instagram_MOB_DRCT_CPM_CLK_MPU_AAF_RON_CXD_T-Croos-Lancamento-Awareness-Social-T-cross-AMC_PD_Video"/>
    <s v="244615833"/>
    <x v="1"/>
    <s v="BR_VW_TCR_Instagram_MOB_DRCT_CPM_CLK_MPU_AAF_RON_CXD_T-Croos-Lancamento-Awareness-Social-T-cross-AMC_PD_Video"/>
    <s v="441109605"/>
    <x v="1"/>
    <n v="0"/>
    <n v="3855"/>
    <n v="3.5000000000000001E-3"/>
    <n v="0.02"/>
    <n v="13.4925"/>
    <x v="235"/>
  </r>
  <r>
    <s v="BR_AAF_SOC_LANCH_ND_NC_2019Q2APR_TCR_Launch-T-Cross-Awareness-fase-um"/>
    <s v="instagram.com"/>
    <s v="BR_VW_TCR_Instagram_MOB_DRCT_CPM_CLK_SRB_AAF_RON_CXD_T-Croos-Lancamento-Awareness-Social-Post-T-Croos-T-cross-AMC_PD_600x600"/>
    <s v="244920647"/>
    <x v="1"/>
    <s v="BR_VW_TCR_Instagram_MOB_DRCT_CPM_CLK_SRB_AAF_RON_CXD_T-Croos-Lancamento-Awareness-Social-Post-T-Croos-T-cross-AMC_PD_600x600"/>
    <s v="441805051"/>
    <x v="1"/>
    <n v="0"/>
    <n v="1"/>
    <n v="3.5000000000000001E-3"/>
    <n v="0.02"/>
    <n v="3.5000000000000001E-3"/>
    <x v="1"/>
  </r>
  <r>
    <s v="BR_AAF_SOC_LANCH_ND_NC_2019Q2APR_TCR_Launch-T-Cross-Awareness-fase-um"/>
    <s v="instagram.com"/>
    <s v="BR_VW_TCR_Instagram_MOB_DRCT_CPM_CLK_SRB_AAF_RON_CXD_T-Croos-Lancamento-Awareness-Social-Post-T-Croos-T-cross-AMC_PD_Stories"/>
    <s v="245253756"/>
    <x v="1"/>
    <s v="BR_VW_TCR_Instagram_MOB_DRCT_CPM_CLK_SRB_AAF_RON_CXD_T-Croos-Lancamento-Awareness-Social-Post-T-Croos-T-cross-AMC_PD_Stories"/>
    <s v="441805879"/>
    <x v="1"/>
    <n v="0"/>
    <n v="4536"/>
    <n v="3.5000000000000001E-3"/>
    <n v="0.02"/>
    <n v="15.875999999999999"/>
    <x v="236"/>
  </r>
  <r>
    <s v="BR_AAF_SOC_LANCH_ND_NC_2019Q2APR_TCR_Launch-T-Cross-Awareness-fase-um"/>
    <s v="instagram.com"/>
    <s v="BR_VW_TCR_Instagram_MOB_DRCT_CPM_CLK_SRB_AAF_RON_CXD_T-Croos-Lancamento-Awareness-Social-Post-T-Cross-2-T-cross-AMC_PD_Stories"/>
    <s v="246176034"/>
    <x v="1"/>
    <s v="BR_VW_TCR_Instagram_MOB_DRCT_CPM_CLK_SRB_AAF_RON_CXD_T-Croos-Lancamento-Awareness-Social-Post-T-Cross-2-T-cross-AMC_PD_Stories"/>
    <s v="442591436"/>
    <x v="1"/>
    <n v="0"/>
    <n v="1"/>
    <n v="3.5000000000000001E-3"/>
    <n v="0.02"/>
    <n v="3.5000000000000001E-3"/>
    <x v="1"/>
  </r>
  <r>
    <s v="BR_AAF_SOC_LANCH_ND_NC_2019Q2APR_TCR_Launch-T-Cross-Familiaridade-2"/>
    <s v="Facebook"/>
    <s v="BR_VW_TCR_facebook_SOC_DRCT_CPM_CLK_MPU_AAF_RON_CXD_T-Croos-Lancamento-Familiaridade-Social-T-cross-Travel-_PD_Video"/>
    <s v="245315540"/>
    <x v="1"/>
    <s v="BR_VW_TCR_facebook_SOC_DRCT_CPM_CLK_MPU_AAF_RON_CXD_T-Croos-Lancamento-Familiaridade-Social-T-cross-Travel-_PD_Video"/>
    <s v="442117955"/>
    <x v="1"/>
    <n v="0"/>
    <n v="1"/>
    <n v="3.5000000000000001E-3"/>
    <n v="0.02"/>
    <n v="3.5000000000000001E-3"/>
    <x v="1"/>
  </r>
  <r>
    <s v="BR_AAF_SOC_LANCH_ND_NC_2019Q2APR_TCR_Launch-T-Cross-Familiaridade-2"/>
    <s v="Facebook"/>
    <s v="BR_VW_TCR_facebook_SOC_DRCT_CPM_CLK_SRB_AAF_RON_CXD_T-Croos-Lancamento-Familiaridade-Social-T-cross-Familia_PD_1080x1080"/>
    <s v="245383335"/>
    <x v="1"/>
    <s v="BR_VW_TCR_facebook_SOC_DRCT_CPM_CLK_SRB_AAF_RON_CXD_T-Croos-Lancamento-Familiaridade-Social-T-cross-Familia_PD_1080x1080"/>
    <s v="441812151"/>
    <x v="1"/>
    <n v="0"/>
    <n v="1"/>
    <n v="3.5000000000000001E-3"/>
    <n v="0.02"/>
    <n v="3.5000000000000001E-3"/>
    <x v="1"/>
  </r>
  <r>
    <s v="BR_AAF_SOC_LANCH_ND_NC_2019Q2APR_TCR_Launch-T-Cross-Familiaridade-2"/>
    <s v="Facebook"/>
    <s v="BR_VW_TCR_facebook_SOC_DRCT_CPM_CLK_SRB_AAF_RON_CXD_T-Croos-Lancamento-Familiaridade-Social-T-cross-Familia_PD_1200x628"/>
    <s v="245383344"/>
    <x v="1"/>
    <s v="BR_VW_TCR_facebook_SOC_DRCT_CPM_CLK_SRB_AAF_RON_CXD_T-Croos-Lancamento-Familiaridade-Social-T-cross-Familia_PD_1200x628"/>
    <s v="441812160"/>
    <x v="1"/>
    <n v="0"/>
    <n v="8292"/>
    <n v="3.5000000000000001E-3"/>
    <n v="0.02"/>
    <n v="29.022000000000002"/>
    <x v="237"/>
  </r>
  <r>
    <s v="BR_AAF_SOC_LANCH_ND_NC_2019Q2APR_TCR_Launch-T-Cross-Familiaridade-2"/>
    <s v="Facebook"/>
    <s v="BR_VW_TCR_facebook_SOC_DRCT_CPM_CLK_SRB_AAF_RON_CXD_T-Croos-Lancamento-Familiaridade-Social-T-cross-Familia_PD_LeadAD"/>
    <s v="245383338"/>
    <x v="1"/>
    <s v="BR_VW_TCR_facebook_SOC_DRCT_CPM_CLK_SRB_AAF_RON_CXD_T-Croos-Lancamento-Familiaridade-Social-T-cross-Familia_PD_LeadAD"/>
    <s v="441812154"/>
    <x v="1"/>
    <n v="0"/>
    <n v="1"/>
    <n v="3.5000000000000001E-3"/>
    <n v="0.02"/>
    <n v="3.5000000000000001E-3"/>
    <x v="1"/>
  </r>
  <r>
    <s v="BR_AAF_SOC_LANCH_ND_NC_2019Q2APR_TCR_Launch-T-Cross-Familiaridade-2"/>
    <s v="Facebook"/>
    <s v="BR_VW_TCR_facebook_SOC_DRCT_CPM_CLK_SRB_AAF_RON_CXD_T-Croos-Lancamento-Familiaridade-Social-T-cross-Moda-Beleza_PD_1200x628"/>
    <s v="245400792"/>
    <x v="1"/>
    <s v="BR_VW_TCR_facebook_SOC_DRCT_CPM_CLK_SRB_AAF_RON_CXD_T-Croos-Lancamento-Familiaridade-Social-T-cross-Moda-Beleza_PD_1200x628"/>
    <s v="441812208"/>
    <x v="1"/>
    <n v="0"/>
    <n v="9143"/>
    <n v="3.5000000000000001E-3"/>
    <n v="0.02"/>
    <n v="32.000500000000002"/>
    <x v="238"/>
  </r>
  <r>
    <s v="BR_AAF_SOC_LANCH_ND_NC_2019Q2APR_TCR_Launch-T-Cross-Familiaridade-2"/>
    <s v="Facebook"/>
    <s v="BR_VW_TCR_facebook_SOC_DRCT_CPM_CLK_SRB_AAF_RON_CXD_T-Croos-Lancamento-Familiaridade-Social-T-cross-Negocios_PD_1200x628"/>
    <s v="245383332"/>
    <x v="1"/>
    <s v="BR_VW_TCR_facebook_SOC_DRCT_CPM_CLK_SRB_AAF_RON_CXD_T-Croos-Lancamento-Familiaridade-Social-T-cross-Negocios_PD_1200x628"/>
    <s v="441903500"/>
    <x v="1"/>
    <n v="0"/>
    <n v="6899"/>
    <n v="3.5000000000000001E-3"/>
    <n v="0.02"/>
    <n v="24.1465"/>
    <x v="239"/>
  </r>
  <r>
    <s v="BR_AAF_SOC_LANCH_ND_NC_2019Q2APR_TCR_Launch-T-Cross-Familiaridade-2"/>
    <s v="Facebook"/>
    <s v="BR_VW_TCR_facebook_SOC_DRCT_CPM_CLK_SRB_AAF_RON_CXD_T-Croos-Lancamento-Familiaridade-Social-T-cross-Noticias_PD_LeadAD"/>
    <s v="245383356"/>
    <x v="1"/>
    <s v="BR_VW_TCR_facebook_SOC_DRCT_CPM_CLK_SRB_AAF_RON_CXD_T-Croos-Lancamento-Familiaridade-Social-T-cross-Noticias_PD_LeadAD"/>
    <s v="441812172"/>
    <x v="1"/>
    <n v="0"/>
    <n v="1"/>
    <n v="3.5000000000000001E-3"/>
    <n v="0.02"/>
    <n v="3.5000000000000001E-3"/>
    <x v="1"/>
  </r>
  <r>
    <s v="BR_AAF_SOC_LANCH_ND_NC_2019Q2APR_TCR_Launch-T-Cross-Familiaridade-2"/>
    <s v="Facebook"/>
    <s v="BR_VW_TCR_facebook_SOC_DRCT_CPM_CLK_SRB_AAF_RON_CXD_T-Croos-Lancamento-Familiaridade-Social-T-cross-RMKT-Awareness_PD_1200x628"/>
    <s v="245400789"/>
    <x v="1"/>
    <s v="BR_VW_TCR_facebook_SOC_DRCT_CPM_CLK_SRB_AAF_RON_CXD_T-Croos-Lancamento-Familiaridade-Social-T-cross-RMKT-Awareness_PD_1200x628"/>
    <s v="441812205"/>
    <x v="1"/>
    <n v="0"/>
    <n v="8623"/>
    <n v="3.5000000000000001E-3"/>
    <n v="0.02"/>
    <n v="30.180500000000002"/>
    <x v="240"/>
  </r>
  <r>
    <s v="BR_AAF_SOC_LANCH_ND_NC_2019Q2APR_TCR_Launch-T-Cross-Familiaridade-2"/>
    <s v="faceinsta"/>
    <s v="BR_VW_TCR_faceInsta_SOC_DRCT_CPM_CLK_MPU_AAF_RON_CXD_T-Croos-Lancamento-Familiaridade-Social-T-cross-Travel-_PD_Video"/>
    <s v="245428213"/>
    <x v="1"/>
    <s v="BR_VW_TCR_faceInsta_SOC_DRCT_CPM_CLK_MPU_AAF_RON_CXD_T-Croos-Lancamento-Familiaridade-Social-T-cross-Travel-_PD_Video"/>
    <s v="442120580"/>
    <x v="1"/>
    <n v="0"/>
    <n v="1"/>
    <n v="3.5000000000000001E-3"/>
    <n v="0.02"/>
    <n v="3.5000000000000001E-3"/>
    <x v="1"/>
  </r>
  <r>
    <s v="BR_AAF_SOC_LANCH_ND_NC_2019Q2APR_TCR_Launch-T-Cross-Familiaridade-2"/>
    <s v="faceinsta"/>
    <s v="BR_VW_TCR_faceInsta_SOC_DRCT_CPM_CLK_SRB_AAF_RON_CXD_T-Croos-Lancamento-Familiaridade-Social-T-cross-Familia_PD_1080x1080"/>
    <s v="245643474"/>
    <x v="1"/>
    <s v="BR_VW_TCR_faceInsta_SOC_DRCT_CPM_CLK_SRB_AAF_RON_CXD_T-Croos-Lancamento-Familiaridade-Social-T-cross-Familia_PD_1080x1080"/>
    <s v="442131892"/>
    <x v="1"/>
    <n v="0"/>
    <n v="6994"/>
    <n v="3.5000000000000001E-3"/>
    <n v="0.02"/>
    <n v="24.478999999999999"/>
    <x v="241"/>
  </r>
  <r>
    <s v="BR_AAF_SOC_LANCH_ND_NC_2019Q2APR_TCR_Launch-T-Cross-Familiaridade-2"/>
    <s v="faceinsta"/>
    <s v="BR_VW_TCR_faceInsta_SOC_DRCT_CPM_CLK_SRB_AAF_RON_CXD_T-Croos-Lancamento-Familiaridade-Social-T-cross-Familia_PD_1200x628"/>
    <s v="245643483"/>
    <x v="1"/>
    <s v="BR_VW_TCR_faceInsta_SOC_DRCT_CPM_CLK_SRB_AAF_RON_CXD_T-Croos-Lancamento-Familiaridade-Social-T-cross-Familia_PD_1200x628"/>
    <s v="442131901"/>
    <x v="1"/>
    <n v="0"/>
    <n v="6476"/>
    <n v="3.5000000000000001E-3"/>
    <n v="0.02"/>
    <n v="22.666"/>
    <x v="242"/>
  </r>
  <r>
    <s v="BR_AAF_SOC_LANCH_ND_NC_2019Q2APR_TCR_Launch-T-Cross-Familiaridade-2"/>
    <s v="faceinsta"/>
    <s v="BR_VW_TCR_faceInsta_SOC_DRCT_CPM_CLK_SRB_AAF_RON_CXD_T-Croos-Lancamento-Familiaridade-Social-T-cross-Moda-Beleza_PD_1080x1080"/>
    <s v="245643501"/>
    <x v="1"/>
    <s v="BR_VW_TCR_faceInsta_SOC_DRCT_CPM_CLK_SRB_AAF_RON_CXD_T-Croos-Lancamento-Familiaridade-Social-T-cross-Moda-Beleza_PD_1080x1080"/>
    <s v="442131919"/>
    <x v="1"/>
    <n v="0"/>
    <n v="8086"/>
    <n v="3.5000000000000001E-3"/>
    <n v="0.02"/>
    <n v="28.301000000000002"/>
    <x v="243"/>
  </r>
  <r>
    <s v="BR_AAF_SOC_LANCH_ND_NC_2019Q2APR_TCR_Launch-T-Cross-Familiaridade-2"/>
    <s v="faceinsta"/>
    <s v="BR_VW_TCR_faceInsta_SOC_DRCT_CPM_CLK_SRB_AAF_RON_CXD_T-Croos-Lancamento-Familiaridade-Social-T-cross-Moda-Beleza_PD_1200x628"/>
    <s v="245643519"/>
    <x v="1"/>
    <s v="BR_VW_TCR_faceInsta_SOC_DRCT_CPM_CLK_SRB_AAF_RON_CXD_T-Croos-Lancamento-Familiaridade-Social-T-cross-Moda-Beleza_PD_1200x628"/>
    <s v="442131937"/>
    <x v="1"/>
    <n v="0"/>
    <n v="12951"/>
    <n v="3.5000000000000001E-3"/>
    <n v="0.02"/>
    <n v="45.328499999999998"/>
    <x v="244"/>
  </r>
  <r>
    <s v="BR_AAF_SOC_LANCH_ND_NC_2019Q2APR_TCR_Launch-T-Cross-Familiaridade-2"/>
    <s v="faceinsta"/>
    <s v="BR_VW_TCR_faceInsta_SOC_DRCT_CPM_CLK_SRB_AAF_RON_CXD_T-Croos-Lancamento-Familiaridade-Social-T-cross-Negocios_PD_1080x1080"/>
    <s v="245643462"/>
    <x v="1"/>
    <s v="BR_VW_TCR_faceInsta_SOC_DRCT_CPM_CLK_SRB_AAF_RON_CXD_T-Croos-Lancamento-Familiaridade-Social-T-cross-Negocios_PD_1080x1080"/>
    <s v="442131880"/>
    <x v="1"/>
    <n v="0"/>
    <n v="24024"/>
    <n v="3.5000000000000001E-3"/>
    <n v="0.02"/>
    <n v="84.084000000000003"/>
    <x v="245"/>
  </r>
  <r>
    <s v="BR_AAF_SOC_LANCH_ND_NC_2019Q2APR_TCR_Launch-T-Cross-Familiaridade-2"/>
    <s v="faceinsta"/>
    <s v="BR_VW_TCR_faceInsta_SOC_DRCT_CPM_CLK_SRB_AAF_RON_CXD_T-Croos-Lancamento-Familiaridade-Social-T-cross-RMKT-Awareness_PD_1080x1080"/>
    <s v="245643498"/>
    <x v="1"/>
    <s v="BR_VW_TCR_faceInsta_SOC_DRCT_CPM_CLK_SRB_AAF_RON_CXD_T-Croos-Lancamento-Familiaridade-Social-T-cross-RMKT-Awareness_PD_1080x1080"/>
    <s v="442131916"/>
    <x v="1"/>
    <n v="0"/>
    <n v="9765"/>
    <n v="3.5000000000000001E-3"/>
    <n v="0.02"/>
    <n v="34.177500000000002"/>
    <x v="246"/>
  </r>
  <r>
    <s v="BR_AAF_SOC_LANCH_ND_NC_2019Q2APR_TCR_Launch-T-Cross-Familiaridade-2"/>
    <s v="faceinsta"/>
    <s v="BR_VW_TCR_faceInsta_SOC_DRCT_CPM_CLK_SRB_AAF_RON_CXD_T-Croos-Lancamento-Familiaridade-Social-T-cross-RMKT-Awareness_PD_1200x628"/>
    <s v="245643516"/>
    <x v="1"/>
    <s v="BR_VW_TCR_faceInsta_SOC_DRCT_CPM_CLK_SRB_AAF_RON_CXD_T-Croos-Lancamento-Familiaridade-Social-T-cross-RMKT-Awareness_PD_1200x628"/>
    <s v="442131934"/>
    <x v="1"/>
    <n v="0"/>
    <n v="22542"/>
    <n v="3.5000000000000001E-3"/>
    <n v="0.02"/>
    <n v="78.897000000000006"/>
    <x v="247"/>
  </r>
  <r>
    <s v="BR_AAF_SOC_LANCH_ND_NC_2019Q2APR_TCR_Launch-T-Cross-Familiaridade-2"/>
    <s v="faceinsta"/>
    <s v="BR_VW_TCR_faceInsta_SOC_DRCT_CPM_CLK_SRB_AAF_RON_CXD_T-Croos-Lancamento-Familiaridade-Social-T-cross-Travel-_PD_1080x1080"/>
    <s v="245646018"/>
    <x v="1"/>
    <s v="BR_VW_TCR_faceInsta_SOC_DRCT_CPM_CLK_SRB_AAF_RON_CXD_T-Croos-Lancamento-Familiaridade-Social-T-cross-Travel-_PD_1080x1080"/>
    <s v="442120589"/>
    <x v="1"/>
    <n v="0"/>
    <n v="887"/>
    <n v="3.5000000000000001E-3"/>
    <n v="0.02"/>
    <n v="3.1045000000000003"/>
    <x v="248"/>
  </r>
  <r>
    <s v="BR_AAF_SOC_LANCH_ND_NC_2019Q2APR_TCR_Launch-T-Cross-Familiaridade-2"/>
    <s v="faceinsta"/>
    <s v="BR_VW_TCR_faceInsta_SOC_DRCT_CPM_CLK_SRB_AAF_RON_CXD_T-Croos-Lancamento-Familiaridade-Social-T-cross-Travel-_PD_1200x628"/>
    <s v="245645946"/>
    <x v="1"/>
    <s v="BR_VW_TCR_faceInsta_SOC_DRCT_CPM_CLK_SRB_AAF_RON_CXD_T-Croos-Lancamento-Familiaridade-Social-T-cross-Travel-_PD_1200x628"/>
    <s v="442135309"/>
    <x v="1"/>
    <n v="0"/>
    <n v="26182"/>
    <n v="3.5000000000000001E-3"/>
    <n v="0.02"/>
    <n v="91.637"/>
    <x v="249"/>
  </r>
  <r>
    <s v="BR_AAF_SOC_LANCH_ND_NC_2019Q2APR_TCR_Launch-T-Cross-Familiaridade-2"/>
    <s v="faceinsta"/>
    <s v="BR_VW_TCR_faceInsta_SOC_DRCT_CPM_CLK_SRB_AAF_RON_CXD_T-Cross-Lancamento-Intencao-Social-T-cross-RMKT-Configuracao_PD_LeadAD"/>
    <s v="245648044"/>
    <x v="1"/>
    <s v="BR_VW_TCR_faceInsta_SOC_DRCT_CPM_CLK_SRB_AAF_RON_CXD_T-Cross-Lancamento-Intencao-Social-T-cross-RMKT-Configuracao_PD_LeadAD"/>
    <s v="442185864"/>
    <x v="1"/>
    <n v="0"/>
    <n v="1"/>
    <n v="3.5000000000000001E-3"/>
    <n v="0.02"/>
    <n v="3.5000000000000001E-3"/>
    <x v="1"/>
  </r>
  <r>
    <s v="BR_AAF_SOC_LANCH_ND_NC_2019Q2APR_TCR_T-crossTeaser"/>
    <s v="Facebook"/>
    <s v="BR_VW_TCR_facebook_SOC_DRCT_CPV_STD_MPU_AAF_RON_CXD_T-Cross-Teasear-1-T-Cross-AMC_PD_Video"/>
    <s v="244121619"/>
    <x v="1"/>
    <s v="BR_VW_TCR_facebook_SOC_DRCT_CPV_STD_MPU_AAF_RON_CXD_T-Cross-Teasear-1-T-Cross-AMC_PD_Video"/>
    <s v="440595410"/>
    <x v="1"/>
    <n v="0"/>
    <n v="8564"/>
    <n v="3.5000000000000001E-3"/>
    <n v="0.02"/>
    <n v="29.974"/>
    <x v="250"/>
  </r>
  <r>
    <s v="BR_AAF_SOC_LANCH_ND_NC_2019Q2APR_TCR_T-crossTeaser"/>
    <s v="Facebook"/>
    <s v="BR_VW_TCR_facebook_SOC_DRCT_CPV_STD_MPU_AAF_RON_CXD_T-Cross-Teasear-2-T-Cross-AMC_PD_Video"/>
    <s v="243877891"/>
    <x v="1"/>
    <s v="BR_VW_TCR_facebook_SOC_DRCT_CPV_STD_MPU_AAF_RON_CXD_T-Cross-Teasear-2-T-Cross-AMC_PD_Video"/>
    <s v="440487768"/>
    <x v="1"/>
    <n v="0"/>
    <n v="3879"/>
    <n v="3.5000000000000001E-3"/>
    <n v="0.02"/>
    <n v="13.576500000000001"/>
    <x v="251"/>
  </r>
  <r>
    <s v="BR_AAF_SOC_LANCH_ND_NC_2019Q2APR_TCR_T-crossTeaser"/>
    <s v="Facebook"/>
    <s v="BR_VW_TCR_facebook_SOC_DRCT_CPV_STD_MPU_AAF_RON_CXD_T-Cross-Teasear-3-T-Cross-AMC_PD_Video"/>
    <s v="243877870"/>
    <x v="1"/>
    <s v="BR_VW_TCR_facebook_SOC_DRCT_CPV_STD_MPU_AAF_RON_CXD_T-Cross-Teasear-3-T-Cross-AMC_PD_Video"/>
    <s v="440487747"/>
    <x v="1"/>
    <n v="0"/>
    <n v="4069"/>
    <n v="3.5000000000000001E-3"/>
    <n v="0.02"/>
    <n v="14.2415"/>
    <x v="252"/>
  </r>
  <r>
    <s v="BR_AAF_SOC_LANCH_ND_NC_2019Q2APR_TCR_T-crossTeaser"/>
    <s v="instagram.com"/>
    <s v="BR_VW_TCR_Instagram_SOC_DRCT_CPV_STD_MPU_AAF_RON_CXD_T-Cross-Teasear-1-T-Cross-AMC_PD_Video"/>
    <s v="243876823"/>
    <x v="1"/>
    <s v="BR_VW_TCR_Instagram_SOC_DRCT_CPV_STD_MPU_AAF_RON_CXD_T-Cross-Teasear-1-T-Cross-AMC_PD_Video"/>
    <s v="440577625"/>
    <x v="1"/>
    <n v="0"/>
    <n v="1481"/>
    <n v="3.5000000000000001E-3"/>
    <n v="0.02"/>
    <n v="5.1835000000000004"/>
    <x v="253"/>
  </r>
  <r>
    <s v="BR_AAF_SOC_LANCH_ND_NC_2019Q2APR_TCR_T-crossTeaser"/>
    <s v="instagram.com"/>
    <s v="BR_VW_TCR_Instagram_SOC_DRCT_CPV_STD_MPU_AAF_RON_CXD_T-Cross-Teasear-2-T-Cross-AMC_PD_Stories"/>
    <s v="243877879"/>
    <x v="1"/>
    <s v="BR_VW_TCR_Instagram_SOC_DRCT_CPV_STD_MPU_AAF_RON_CXD_T-Cross-Teasear-2-T-Cross-AMC_PD_Stories"/>
    <s v="440487756"/>
    <x v="1"/>
    <n v="0"/>
    <n v="2041"/>
    <n v="3.5000000000000001E-3"/>
    <n v="0.02"/>
    <n v="7.1435000000000004"/>
    <x v="254"/>
  </r>
  <r>
    <s v="BR_AAF_SOC_LANCH_ND_NC_2019Q2APR_TCR_T-crossTeaser"/>
    <s v="instagram.com"/>
    <s v="BR_VW_TCR_Instagram_SOC_DRCT_CPV_STD_MPU_AAF_RON_CXD_T-Cross-Teasear-2-T-Cross-AMC_PD_Video"/>
    <s v="243877885"/>
    <x v="1"/>
    <s v="BR_VW_TCR_Instagram_SOC_DRCT_CPV_STD_MPU_AAF_RON_CXD_T-Cross-Teasear-2-T-Cross-AMC_PD_Video"/>
    <s v="440487762"/>
    <x v="1"/>
    <n v="0"/>
    <n v="1308"/>
    <n v="3.5000000000000001E-3"/>
    <n v="0.02"/>
    <n v="4.5780000000000003"/>
    <x v="255"/>
  </r>
  <r>
    <s v="BR_AAF_SOC_LANCH_ND_NC_2019Q2APR_TCR_T-crossTeaser"/>
    <s v="instagram.com"/>
    <s v="BR_VW_TCR_Instagram_SOC_DRCT_CPV_STD_MPU_AAF_RON_CXD_T-Cross-Teasear-3-T-Cross-AMC_PD_Stories"/>
    <s v="243877864"/>
    <x v="1"/>
    <s v="BR_VW_TCR_Instagram_SOC_DRCT_CPV_STD_MPU_AAF_RON_CXD_T-Cross-Teasear-3-T-Cross-AMC_PD_Stories"/>
    <s v="440487741"/>
    <x v="1"/>
    <n v="0"/>
    <n v="1091"/>
    <n v="3.5000000000000001E-3"/>
    <n v="0.02"/>
    <n v="3.8185000000000002"/>
    <x v="256"/>
  </r>
  <r>
    <s v="BR_AAF_SOC_LANCH_ND_NC_2019Q2APR_TCR_T-crossTeaser"/>
    <s v="instagram.com"/>
    <s v="BR_VW_TCR_Instagram_SOC_DRCT_CPV_STD_MPU_AAF_RON_CXD_T-Cross-Teasear-3-T-Cross-AMC_PD_Video"/>
    <s v="243877867"/>
    <x v="1"/>
    <s v="BR_VW_TCR_Instagram_SOC_DRCT_CPV_STD_MPU_AAF_RON_CXD_T-Cross-Teasear-3-T-Cross-AMC_PD_Video"/>
    <s v="440487744"/>
    <x v="1"/>
    <n v="0"/>
    <n v="1081"/>
    <n v="3.5000000000000001E-3"/>
    <n v="0.02"/>
    <n v="3.7835000000000001"/>
    <x v="257"/>
  </r>
  <r>
    <s v="BR_AAF_SOC_NONMS_ND_AS_2019Q1FEB_RNG_BrandedContent"/>
    <s v="Facebook"/>
    <s v="alp_BrandedContent_facebook_social_gesture_control_newsfeed_cpm_prospecting_pagepost_gesture_control_AMC-open"/>
    <s v="228026362"/>
    <x v="1"/>
    <s v="alp_BrandedContent_facebook_social_gesture_control_newsfeed_cpm_prospecting_pagepost_gesture_control_AMC-open"/>
    <s v="426180193"/>
    <x v="1"/>
    <n v="0"/>
    <n v="2"/>
    <n v="3.5000000000000001E-3"/>
    <n v="0.02"/>
    <n v="7.0000000000000001E-3"/>
    <x v="123"/>
  </r>
  <r>
    <s v="BR_AAF_SOC_NONMS_ND_AS_2019Q1FEB_RNG_BrandedContent"/>
    <s v="Facebook"/>
    <s v="alp_BrandedContent_facebook_social_howto_newsfeed_cpm_prospecting_pagepost_polo_lancamento_polo_amc"/>
    <s v="220279175"/>
    <x v="1"/>
    <s v="alp_BrandedContent_facebook_social_howto_newsfeed_cpm_prospecting_pagepost_polo_lancamento_polo_amc"/>
    <s v="418647357"/>
    <x v="1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seguranca_newsfeed_cpm_prospecting_pagepost_Bebe_AMC-open"/>
    <s v="234784559"/>
    <x v="1"/>
    <s v="alp_BrandedContent_facebook_social_seguranca_newsfeed_cpm_prospecting_pagepost_Bebe_AMC-open"/>
    <s v="432608743"/>
    <x v="1"/>
    <n v="0"/>
    <n v="2"/>
    <n v="3.5000000000000001E-3"/>
    <n v="0.02"/>
    <n v="7.0000000000000001E-3"/>
    <x v="123"/>
  </r>
  <r>
    <s v="BR_AAF_SOC_NONMS_ND_AS_2019Q1FEB_RNG_BrandedContent"/>
    <s v="Facebook"/>
    <s v="alp_BrandedContent_facebook_social_seguranca_newsfeed_cpm_prospecting_pagepost_Corredor_AMC-open"/>
    <s v="234784568"/>
    <x v="1"/>
    <s v="alp_BrandedContent_facebook_social_seguranca_newsfeed_cpm_prospecting_pagepost_Corredor_AMC-open"/>
    <s v="432608752"/>
    <x v="1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timelines_newsfeed_cpm_prospecting_carrossel_golf-10-07_AMC-open"/>
    <s v="228468725"/>
    <x v="1"/>
    <s v="alp_BrandedContent_facebook_social_timelines_newsfeed_cpm_prospecting_carrossel_golf-10-07_AMC-open"/>
    <s v="426655131"/>
    <x v="1"/>
    <n v="0"/>
    <n v="6"/>
    <n v="3.5000000000000001E-3"/>
    <n v="0.02"/>
    <n v="2.1000000000000001E-2"/>
    <x v="258"/>
  </r>
  <r>
    <s v="BR_AAF_SOC_NONMS_ND_AS_2019Q1FEB_RNG_BrandedContent"/>
    <s v="Facebook"/>
    <s v="alp_BrandedContent_facebook_social_timelines_newsfeed_cpm_prospecting_pagepost_Estagio-Salao_AMC-open"/>
    <s v="219713391"/>
    <x v="1"/>
    <s v="alp_BrandedContent_facebook_social_timelines_newsfeed_cpm_prospecting_pagepost_Estagio-Salao_AMC-open"/>
    <s v="418072103"/>
    <x v="1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timelines_newsfeed_cpm_prospecting_pagepost_Premios-tiguan-consumidores-reais_AMC-open"/>
    <s v="236930093"/>
    <x v="1"/>
    <s v="alp_BrandedContent_facebook_social_timelines_newsfeed_cpm_prospecting_pagepost_Premios-tiguan-consumidores-reais_AMC-open"/>
    <s v="434399278"/>
    <x v="1"/>
    <n v="0"/>
    <n v="18"/>
    <n v="3.5000000000000001E-3"/>
    <n v="0.02"/>
    <n v="6.3E-2"/>
    <x v="259"/>
  </r>
  <r>
    <s v="BR_AAF_SOC_NONMS_ND_AS_2019Q1FEB_RNG_BrandedContent"/>
    <s v="Facebook"/>
    <s v="alp_BrandedContent_facebook_social_timelines_newsfeed_cpm_prospecting_pagepost_Virtus-360-180314_AMC-Virtus-BETA"/>
    <s v="216106658"/>
    <x v="1"/>
    <s v="alp_BrandedContent_facebook_social_timelines_newsfeed_cpm_prospecting_pagepost_Virtus-360-180314_AMC-Virtus-BETA"/>
    <s v="415062382"/>
    <x v="4"/>
    <n v="0"/>
    <n v="4"/>
    <n v="3.5000000000000001E-3"/>
    <n v="0.02"/>
    <n v="1.4E-2"/>
    <x v="260"/>
  </r>
  <r>
    <s v="BR_AAF_SOC_NONMS_ND_AS_2019Q1FEB_RNG_BrandedContent"/>
    <s v="Facebook"/>
    <s v="alp_BrandedContent_facebook_social_timelines_newsfeed_cpm_prospecting_pagepost_Virtus-360_AMC-Virtus-BETA"/>
    <s v="215057529"/>
    <x v="1"/>
    <s v="alp_BrandedContent_facebook_social_timelines_newsfeed_cpm_prospecting_pagepost_Virtus-360_AMC-Virtus-BETA"/>
    <s v="414119548"/>
    <x v="4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timelines_newsfeed_cpm_prospecting_pagepost_Virtus-Live_AMC-open"/>
    <s v="213259573"/>
    <x v="1"/>
    <s v="alp_BrandedContent_facebook_social_timelines_newsfeed_cpm_prospecting_pagepost_Virtus-Live_AMC-open"/>
    <s v="412394523"/>
    <x v="4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timelines_newsfeed_cpm_prospecting_pagepost_sensor-de-fadiga_AMC-open"/>
    <s v="227583598"/>
    <x v="1"/>
    <s v="alp_BrandedContent_facebook_social_timelines_newsfeed_cpm_prospecting_pagepost_sensor-de-fadiga_AMC-open"/>
    <s v="425618574"/>
    <x v="1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timelines_newsfeed_cpm_prospecting_pagepost_trainee_AMC-open"/>
    <s v="228043067"/>
    <x v="1"/>
    <s v="alp_BrandedContent_facebook_social_timelines_newsfeed_cpm_prospecting_pagepost_trainee_AMC-open"/>
    <s v="426195341"/>
    <x v="1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timelines_newsfeed_cpv_prospecting_pagepost_novo_polo_AMC-open"/>
    <s v="221781584"/>
    <x v="1"/>
    <s v="alp_BrandedContent_facebook_social_timelines_newsfeed_cpv_prospecting_pagepost_novo_polo_AMC-open"/>
    <s v="420191869"/>
    <x v="1"/>
    <n v="0"/>
    <n v="1"/>
    <n v="3.5000000000000001E-3"/>
    <n v="0.02"/>
    <n v="3.5000000000000001E-3"/>
    <x v="1"/>
  </r>
  <r>
    <s v="BR_AAF_SOC_NONMS_ND_AS_2019Q1FEB_RNG_BrandedContent"/>
    <s v="Facebook"/>
    <s v="alp_BrandedContent_facebook_social_tsi_pes_newsfeed_cpm_prospecting_pagepost_tsi_pes_AMC-open"/>
    <s v="231386188"/>
    <x v="1"/>
    <s v="alp_BrandedContent_facebook_social_tsi_pes_newsfeed_cpm_prospecting_pagepost_tsi_pes_AMC-open"/>
    <s v="429097280"/>
    <x v="1"/>
    <n v="0"/>
    <n v="1"/>
    <n v="3.5000000000000001E-3"/>
    <n v="0.02"/>
    <n v="3.5000000000000001E-3"/>
    <x v="1"/>
  </r>
  <r>
    <s v="BR_AAF_SOC_NONMS_ND_AS_2019Q1FEB_RNG_BrandedContent"/>
    <s v="Google Brasil"/>
    <s v="alp_BC_youtube-dbm_social_howto_prospeccao_cpm_prospecting_trueview_virtus_arcondicionado_AMC-Virtus-BETA"/>
    <s v="218178152"/>
    <x v="1"/>
    <s v="alp_BC_youtube-dbm_social_howto_prospeccao_cpm_prospecting_trueview_virtus_arcondicionado_AMC-Virtus-BETA"/>
    <s v="416852707"/>
    <x v="1"/>
    <n v="0"/>
    <n v="1"/>
    <n v="3.5000000000000001E-3"/>
    <n v="0.02"/>
    <n v="3.5000000000000001E-3"/>
    <x v="1"/>
  </r>
  <r>
    <s v="BR_AAF_SOC_NONMS_ND_AS_2019Q1FEB_RNG_BrandedContent"/>
    <s v="TEADS"/>
    <s v="alp_BrandedContent_teads_social_T-Cross_newsfeed_cpv_view_video_Video-7_WalkAround"/>
    <s v="238636353"/>
    <x v="3"/>
    <s v="alp_BrandedContent_teads_social_T-Cross_newsfeed_cpv_view_video_Video-7_WalkAround"/>
    <s v="435546563"/>
    <x v="1"/>
    <n v="1"/>
    <n v="0"/>
    <n v="3.8199999999999998E-2"/>
    <n v="0.09"/>
    <n v="3.82E-5"/>
    <x v="2"/>
  </r>
  <r>
    <s v="BR_AAF_SOC_NONMS_ND_AS_2019Q1FEB_RNG_BrandedContent"/>
    <s v="TEADS"/>
    <s v="alp_BrandedContent_teads_social_T-Cross_newsfeed_cpv_view_video_Video-8_WalkAround"/>
    <s v="238292876"/>
    <x v="3"/>
    <s v="alp_BrandedContent_teads_social_T-Cross_newsfeed_cpv_view_video_Video-8_WalkAround"/>
    <s v="435546560"/>
    <x v="1"/>
    <n v="2"/>
    <n v="1"/>
    <n v="3.8199999999999998E-2"/>
    <n v="0.09"/>
    <n v="7.64E-5"/>
    <x v="32"/>
  </r>
  <r>
    <s v="BR_AAF_SOC_NONMS_ND_AS_2019Q1FEB_RNG_BrandedContent"/>
    <s v="faceinsta"/>
    <s v="alp_BC_faceinsta_social_timelines_newsfeed_cpm_prospecting_pagepost_Virtus-Foto_AMC-AUTENTICO"/>
    <s v="213305838"/>
    <x v="1"/>
    <s v="alp_BC_faceinsta_social_timelines_newsfeed_cpm_prospecting_pagepost_Virtus-Foto_AMC-AUTENTICO"/>
    <s v="412394541"/>
    <x v="4"/>
    <n v="0"/>
    <n v="1"/>
    <n v="3.5000000000000001E-3"/>
    <n v="0.02"/>
    <n v="3.5000000000000001E-3"/>
    <x v="1"/>
  </r>
  <r>
    <s v="BR_AAF_SOC_NONMS_ND_AS_2019Q1FEB_RNG_BrandedContent"/>
    <s v="instagram.com"/>
    <s v="BR_VW_RNG_instagram_SOC_DRCT_CPM_CAI_MXD_AAF_ROS_CXD_BrandedContent-SandyeJunior-AMC_PD_pagepost"/>
    <s v="242168747"/>
    <x v="1"/>
    <s v="BR_VW_RNG_instagram_SOC_DRCT_CPM_CAI_MXD_AAF_ROS_CXD_BrandedContent-SandyeJunior-AMC_PD_pagepost"/>
    <s v="439079027"/>
    <x v="1"/>
    <n v="0"/>
    <n v="3"/>
    <n v="3.5000000000000001E-3"/>
    <n v="0.02"/>
    <n v="1.0500000000000001E-2"/>
    <x v="261"/>
  </r>
  <r>
    <s v="BR_AAF_SOC_NONMS_ND_AS_2019Q1FEB_RNG_BrandedContent"/>
    <s v="instagram.com"/>
    <s v="alp_BrandedContent_instagram_social_T-Cross_newsfeed_cpv_alcance_stories_Video-3_WalkAround"/>
    <s v="238273976"/>
    <x v="1"/>
    <s v="alp_BrandedContent_instagram_social_T-Cross_newsfeed_cpv_alcance_stories_Video-3_WalkAround"/>
    <s v="435533703"/>
    <x v="1"/>
    <n v="0"/>
    <n v="1"/>
    <n v="3.5000000000000001E-3"/>
    <n v="0.02"/>
    <n v="3.5000000000000001E-3"/>
    <x v="1"/>
  </r>
  <r>
    <s v="BR_AAF_SOC_NONMS_ND_AS_2019Q1FEB_RNG_BrandedContent"/>
    <s v="instagram.com"/>
    <s v="alp_BrandedContent_instagram_social_T-Cross_newsfeed_cpv_prospecting_video_T-Cross-Pactical_AMC-open"/>
    <s v="236313102"/>
    <x v="1"/>
    <s v="alp_BrandedContent_instagram_social_T-Cross_newsfeed_cpv_prospecting_video_T-Cross-Pactical_AMC-open"/>
    <s v="433589664"/>
    <x v="1"/>
    <n v="0"/>
    <n v="2"/>
    <n v="3.5000000000000001E-3"/>
    <n v="0.02"/>
    <n v="7.0000000000000001E-3"/>
    <x v="123"/>
  </r>
  <r>
    <s v="BR_AAF_SOC_NONMS_ND_AS_2019Q1FEB_RNG_BrandedContent"/>
    <s v="instagram.com"/>
    <s v="alp_BrandedContent_instagram_social_T-Cross_newsfeed_cpv_view_video_Video-7_WalkAround"/>
    <s v="238273925"/>
    <x v="1"/>
    <s v="alp_BrandedContent_instagram_social_T-Cross_newsfeed_cpv_view_video_Video-7_WalkAround"/>
    <s v="435533652"/>
    <x v="1"/>
    <n v="0"/>
    <n v="3"/>
    <n v="3.5000000000000001E-3"/>
    <n v="0.02"/>
    <n v="1.0500000000000001E-2"/>
    <x v="261"/>
  </r>
  <r>
    <s v="BR_AAF_SOC_NONMS_ND_AS_2019Q1FEB_RNG_BrandedContent"/>
    <s v="instagram.com"/>
    <s v="alp_BrandedContent_instagram_social_jetta_newsfeed_cpm_prospecting_pagepost_novo-jetta_AMC-open"/>
    <s v="232554535"/>
    <x v="1"/>
    <s v="alp_BrandedContent_instagram_social_jetta_newsfeed_cpm_prospecting_pagepost_novo-jetta_AMC-open"/>
    <s v="430232499"/>
    <x v="1"/>
    <n v="0"/>
    <n v="6"/>
    <n v="3.5000000000000001E-3"/>
    <n v="0.02"/>
    <n v="2.1000000000000001E-2"/>
    <x v="258"/>
  </r>
  <r>
    <s v="BR_AAF_SOC_NONMS_ND_AS_2019Q1FEB_RNG_BrandedContent"/>
    <s v="instagram.com"/>
    <s v="alp_BrandedContent_instagram_social_timelines_newsfeed_cpm_prospecting_pagepost_Passat-Foto_AMC-open"/>
    <s v="222553643"/>
    <x v="1"/>
    <s v="alp_BrandedContent_instagram_social_timelines_newsfeed_cpm_prospecting_pagepost_Passat-Foto_AMC-open"/>
    <s v="420965083"/>
    <x v="1"/>
    <n v="0"/>
    <n v="1"/>
    <n v="3.5000000000000001E-3"/>
    <n v="0.02"/>
    <n v="3.5000000000000001E-3"/>
    <x v="1"/>
  </r>
  <r>
    <s v="BR_AAF_SOC_NONMS_ND_AS_2019Q1FEB_RNG_BrandedContent"/>
    <s v="instagram.com"/>
    <s v="alp_BrandedContent_instagram_social_timelines_newsfeed_cpm_prospecting_stories_talento_design_AMC-open"/>
    <s v="221659182"/>
    <x v="1"/>
    <s v="alp_BrandedContent_instagram_social_timelines_newsfeed_cpm_prospecting_stories_talento_design_AMC-open"/>
    <s v="419832611"/>
    <x v="1"/>
    <n v="0"/>
    <n v="1"/>
    <n v="3.5000000000000001E-3"/>
    <n v="0.02"/>
    <n v="3.5000000000000001E-3"/>
    <x v="1"/>
  </r>
  <r>
    <s v="BR_AAF_SOC_NONMS_ND_AS_2019Q2APR_AFS_After-Sales"/>
    <s v="faceinsta"/>
    <s v="BR_VW_AFS_faceinsta_SOC_DRCT_CPM_CAI_LDR_AAF_RON_CXD_Pos-Venda-Abril-Reg01_PD_carrossel-landscape-"/>
    <s v="244583886"/>
    <x v="1"/>
    <s v="BR_VW_AFS_faceinsta_SOC_DRCT_CPM_CAI_LDR_AAF_RON_CXD_Pos-Venda-Abril-Reg01_PD_carrossel-landscape-"/>
    <s v="441208942"/>
    <x v="1"/>
    <n v="0"/>
    <n v="412"/>
    <n v="3.5000000000000001E-3"/>
    <n v="0.02"/>
    <n v="1.4419999999999999"/>
    <x v="262"/>
  </r>
  <r>
    <s v="BR_AAF_SOC_NONMS_ND_AS_2019Q2APR_AFS_After-Sales"/>
    <s v="faceinsta"/>
    <s v="BR_VW_AFS_faceinsta_SOC_DRCT_CPM_CAI_LDR_AAF_RON_CXD_Pos-Venda-Abril-Reg02_PD_carrossel-landscape-"/>
    <s v="244583883"/>
    <x v="1"/>
    <s v="BR_VW_AFS_faceinsta_SOC_DRCT_CPM_CAI_LDR_AAF_RON_CXD_Pos-Venda-Abril-Reg02_PD_carrossel-landscape-"/>
    <s v="441208939"/>
    <x v="1"/>
    <n v="0"/>
    <n v="2842"/>
    <n v="3.5000000000000001E-3"/>
    <n v="0.02"/>
    <n v="9.947000000000001"/>
    <x v="263"/>
  </r>
  <r>
    <s v="BR_AAF_SOC_NONMS_ND_AS_2019Q2APR_AFS_After-Sales"/>
    <s v="faceinsta"/>
    <s v="BR_VW_AFS_faceinsta_SOC_DRCT_CPM_CAI_LDR_AAF_RON_CXD_Pos-Venda-Abril-Reg03_PD_carrossel-landscape-"/>
    <s v="244583880"/>
    <x v="1"/>
    <s v="BR_VW_AFS_faceinsta_SOC_DRCT_CPM_CAI_LDR_AAF_RON_CXD_Pos-Venda-Abril-Reg03_PD_carrossel-landscape-"/>
    <s v="441208936"/>
    <x v="1"/>
    <n v="0"/>
    <n v="2182"/>
    <n v="3.5000000000000001E-3"/>
    <n v="0.02"/>
    <n v="7.6370000000000005"/>
    <x v="264"/>
  </r>
  <r>
    <s v="BR_AAF_SOC_NONMS_ND_AS_2019Q2APR_AFS_After-Sales"/>
    <s v="faceinsta"/>
    <s v="BR_VW_AFS_faceinsta_SOC_DRCT_CPM_CAI_LDR_AAF_RON_CXD_Pos-Venda-Abril-Reg04_PD_carrossel-landscape-"/>
    <s v="244583877"/>
    <x v="1"/>
    <s v="BR_VW_AFS_faceinsta_SOC_DRCT_CPM_CAI_LDR_AAF_RON_CXD_Pos-Venda-Abril-Reg04_PD_carrossel-landscape-"/>
    <s v="441208933"/>
    <x v="1"/>
    <n v="0"/>
    <n v="2647"/>
    <n v="3.5000000000000001E-3"/>
    <n v="0.02"/>
    <n v="9.2645"/>
    <x v="265"/>
  </r>
  <r>
    <s v="BR_AAF_SOC_NONMS_ND_AS_2019Q2APR_AFS_After-Sales"/>
    <s v="faceinsta"/>
    <s v="BR_VW_AFS_faceinsta_SOC_DRCT_CPM_CAI_LDR_AAF_RON_CXD_Pos-Venda-Abril-Reg05_PD_carrossel-landscape-"/>
    <s v="244583874"/>
    <x v="1"/>
    <s v="BR_VW_AFS_faceinsta_SOC_DRCT_CPM_CAI_LDR_AAF_RON_CXD_Pos-Venda-Abril-Reg05_PD_carrossel-landscape-"/>
    <s v="441208930"/>
    <x v="1"/>
    <n v="0"/>
    <n v="1930"/>
    <n v="3.5000000000000001E-3"/>
    <n v="0.02"/>
    <n v="6.7549999999999999"/>
    <x v="266"/>
  </r>
  <r>
    <s v="BR_AAF_SOC_NONMS_ND_AS_2019Q2APR_AFS_After-Sales"/>
    <s v="faceinsta"/>
    <s v="BR_VW_AFS_faceinsta_SOC_DRCT_CPM_CAI_LDR_AAF_RON_CXD_Pos-Venda-Abril-Reg06_PD_carrossel-landscape-"/>
    <s v="244583871"/>
    <x v="1"/>
    <s v="BR_VW_AFS_faceinsta_SOC_DRCT_CPM_CAI_LDR_AAF_RON_CXD_Pos-Venda-Abril-Reg06_PD_carrossel-landscape-"/>
    <s v="441208927"/>
    <x v="1"/>
    <n v="0"/>
    <n v="2709"/>
    <n v="3.5000000000000001E-3"/>
    <n v="0.02"/>
    <n v="9.4815000000000005"/>
    <x v="267"/>
  </r>
  <r>
    <s v="BR_AAF_SOC_NONMS_ND_AS_2019Q2APR_AFS_After-Sales"/>
    <s v="faceinsta"/>
    <s v="BR_VW_AFS_faceinsta_SOC_DRCT_CPM_CAI_LDR_AAF_RON_CXD_Pos-Venda-Abril-Reg07_PD_carrossel-landscape-"/>
    <s v="244583868"/>
    <x v="1"/>
    <s v="BR_VW_AFS_faceinsta_SOC_DRCT_CPM_CAI_LDR_AAF_RON_CXD_Pos-Venda-Abril-Reg07_PD_carrossel-landscape-"/>
    <s v="441204115"/>
    <x v="1"/>
    <n v="0"/>
    <n v="1209"/>
    <n v="3.5000000000000001E-3"/>
    <n v="0.02"/>
    <n v="4.2315000000000005"/>
    <x v="268"/>
  </r>
  <r>
    <s v="BR_AAF_SOC_NONMS_ND_AS_2019Q2APR_AFS_After-Sales"/>
    <s v="faceinsta"/>
    <s v="BR_VW_AFS_faceinsta_SOC_DRCT_CPM_CAI_SRB_AAF_RON_CXD_Pos-Venda-Abril-Prospect_PD_1200x628"/>
    <s v="244583865"/>
    <x v="1"/>
    <s v="BR_VW_AFS_faceinsta_SOC_DRCT_CPM_CAI_SRB_AAF_RON_CXD_Pos-Venda-Abril-Prospect_PD_1200x628"/>
    <s v="441204112"/>
    <x v="1"/>
    <n v="0"/>
    <n v="8688"/>
    <n v="3.5000000000000001E-3"/>
    <n v="0.02"/>
    <n v="30.408000000000001"/>
    <x v="269"/>
  </r>
  <r>
    <s v="BR_AAF_SOC_NONMS_ND_NC_2019Q1MAR_AMV_Feiras-Agrishow-Amarok"/>
    <s v="Facebook"/>
    <s v="BR_VW_AMV_facebook_SOC_DRCT_CPM_CLK_SRB_AAF_RON_CXD_Amarok-Varejo-Feira-Agrishow-Amarok-AMC_PD_1200x628"/>
    <s v="245378039"/>
    <x v="1"/>
    <s v="BR_VW_AMV_facebook_SOC_DRCT_CPM_CLK_SRB_AAF_RON_CXD_Amarok-Varejo-Feira-Agrishow-Amarok-AMC_PD_1200x628"/>
    <s v="442172771"/>
    <x v="1"/>
    <n v="0"/>
    <n v="1231"/>
    <n v="3.5000000000000001E-3"/>
    <n v="0.02"/>
    <n v="4.3085000000000004"/>
    <x v="270"/>
  </r>
  <r>
    <s v="BR_AAF_SOC_NONMS_ND_NC_2019Q1MAR_AMV_Feiras-TecnoShow-Amarok"/>
    <s v="Facebook"/>
    <s v="BR_VW_AMV_facebook_MOB_DRCT_CPM_CLK_SRB_AAF_RON_CXD_Amarok-Varejo-Feira-Tecnoshow-Amarok-AMC_PD_1200x628"/>
    <s v="243729595"/>
    <x v="1"/>
    <s v="BR_VW_AMV_facebook_MOB_DRCT_CPM_CLK_SRB_AAF_RON_CXD_Amarok-Varejo-Feira-Tecnoshow-Amarok-AMC_PD_1200x628"/>
    <s v="440434699"/>
    <x v="1"/>
    <n v="0"/>
    <n v="1025"/>
    <n v="3.5000000000000001E-3"/>
    <n v="0.02"/>
    <n v="3.5874999999999999"/>
    <x v="271"/>
  </r>
  <r>
    <s v="BR_AAF_SOC_NONMS_ND_NC_2019Q1MAR_RNG_AlwaysOn"/>
    <s v="faceinsta"/>
    <s v="BR_VW_RNG_faceinsta_SOC_DRCT_CPM_CAI_MXD_AAF_RON_CXD_DPA-Amarok-Prospect_PD_pagepost"/>
    <s v="243528415"/>
    <x v="1"/>
    <s v="BR_VW_RNG_faceinsta_SOC_DRCT_CPM_CAI_MXD_AAF_RON_CXD_DPA-Amarok-Prospect_PD_pagepost"/>
    <s v="440126412"/>
    <x v="1"/>
    <n v="0"/>
    <n v="9577"/>
    <n v="3.5000000000000001E-3"/>
    <n v="0.02"/>
    <n v="33.519500000000001"/>
    <x v="272"/>
  </r>
  <r>
    <s v="BR_AAF_SOC_NONMS_ND_NC_2019Q1MAR_RNG_AlwaysOn"/>
    <s v="faceinsta"/>
    <s v="BR_VW_RNG_faceinsta_SOC_DRCT_CPM_CAI_MXD_AAF_RON_CXD_DPA-Fox-Prospect_PD_pagepost"/>
    <s v="243528409"/>
    <x v="1"/>
    <s v="BR_VW_RNG_faceinsta_SOC_DRCT_CPM_CAI_MXD_AAF_RON_CXD_DPA-Fox-Prospect_PD_pagepost"/>
    <s v="440126406"/>
    <x v="1"/>
    <n v="0"/>
    <n v="34231"/>
    <n v="3.5000000000000001E-3"/>
    <n v="0.02"/>
    <n v="119.80850000000001"/>
    <x v="273"/>
  </r>
  <r>
    <s v="BR_AAF_SOC_NONMS_ND_NC_2019Q1MAR_RNG_AlwaysOn"/>
    <s v="faceinsta"/>
    <s v="BR_VW_RNG_faceinsta_SOC_DRCT_CPM_CAI_MXD_AAF_RON_CXD_DPA-Gol-Prospect_PD_pagepost"/>
    <s v="243528403"/>
    <x v="1"/>
    <s v="BR_VW_RNG_faceinsta_SOC_DRCT_CPM_CAI_MXD_AAF_RON_CXD_DPA-Gol-Prospect_PD_pagepost"/>
    <s v="440126400"/>
    <x v="1"/>
    <n v="0"/>
    <n v="24543"/>
    <n v="3.5000000000000001E-3"/>
    <n v="0.02"/>
    <n v="85.900500000000008"/>
    <x v="274"/>
  </r>
  <r>
    <s v="BR_AAF_SOC_NONMS_ND_NC_2019Q1MAR_RNG_AlwaysOn"/>
    <s v="faceinsta"/>
    <s v="BR_VW_RNG_faceinsta_SOC_DRCT_CPM_CAI_MXD_AAF_RON_CXD_DPA-Jetta-Prospect_PD_pagepost"/>
    <s v="243729150"/>
    <x v="1"/>
    <s v="BR_VW_RNG_faceinsta_SOC_DRCT_CPM_CAI_MXD_AAF_RON_CXD_DPA-Jetta-Prospect_PD_pagepost"/>
    <s v="440126397"/>
    <x v="1"/>
    <n v="0"/>
    <n v="1"/>
    <n v="3.5000000000000001E-3"/>
    <n v="0.02"/>
    <n v="3.5000000000000001E-3"/>
    <x v="1"/>
  </r>
  <r>
    <s v="BR_AAF_SOC_NONMS_ND_NC_2019Q1MAR_RNG_AlwaysOn"/>
    <s v="faceinsta"/>
    <s v="BR_VW_RNG_faceinsta_SOC_DRCT_CPM_CAI_MXD_AAF_RON_CXD_DPA-Passat-Prospect_PD_pagepost"/>
    <s v="243729144"/>
    <x v="1"/>
    <s v="BR_VW_RNG_faceinsta_SOC_DRCT_CPM_CAI_MXD_AAF_RON_CXD_DPA-Passat-Prospect_PD_pagepost"/>
    <s v="440126391"/>
    <x v="1"/>
    <n v="0"/>
    <n v="24971"/>
    <n v="3.5000000000000001E-3"/>
    <n v="0.02"/>
    <n v="87.398499999999999"/>
    <x v="275"/>
  </r>
  <r>
    <s v="BR_AAF_SOC_NONMS_ND_NC_2019Q1MAR_RNG_AlwaysOn"/>
    <s v="faceinsta"/>
    <s v="BR_VW_RNG_faceinsta_SOC_DRCT_CPM_CAI_MXD_AAF_RON_CXD_DPA-Polo-Prospect_PD_pagepost"/>
    <s v="243528421"/>
    <x v="1"/>
    <s v="BR_VW_RNG_faceinsta_SOC_DRCT_CPM_CAI_MXD_AAF_RON_CXD_DPA-Polo-Prospect_PD_pagepost"/>
    <s v="440126418"/>
    <x v="1"/>
    <n v="0"/>
    <n v="37307"/>
    <n v="3.5000000000000001E-3"/>
    <n v="0.02"/>
    <n v="130.5745"/>
    <x v="276"/>
  </r>
  <r>
    <s v="BR_AAF_SOC_NONMS_ND_NC_2019Q1MAR_RNG_AlwaysOn"/>
    <s v="faceinsta"/>
    <s v="BR_VW_RNG_faceinsta_SOC_DRCT_CPM_CAI_MXD_AAF_RON_CXD_DPA-Saveiro-Prospect_PD_pagepost"/>
    <s v="243729141"/>
    <x v="1"/>
    <s v="BR_VW_RNG_faceinsta_SOC_DRCT_CPM_CAI_MXD_AAF_RON_CXD_DPA-Saveiro-Prospect_PD_pagepost"/>
    <s v="440126388"/>
    <x v="1"/>
    <n v="0"/>
    <n v="33843"/>
    <n v="3.5000000000000001E-3"/>
    <n v="0.02"/>
    <n v="118.45050000000001"/>
    <x v="277"/>
  </r>
  <r>
    <s v="BR_AAF_SOC_NONMS_ND_NC_2019Q1MAR_RNG_AlwaysOn"/>
    <s v="faceinsta"/>
    <s v="BR_VW_RNG_faceinsta_SOC_DRCT_CPM_CAI_MXD_AAF_RON_CXD_DPA-Tiguan-Prospect_PD_pagepost"/>
    <s v="243528418"/>
    <x v="1"/>
    <s v="BR_VW_RNG_faceinsta_SOC_DRCT_CPM_CAI_MXD_AAF_RON_CXD_DPA-Tiguan-Prospect_PD_pagepost"/>
    <s v="440126415"/>
    <x v="1"/>
    <n v="0"/>
    <n v="11307"/>
    <n v="3.5000000000000001E-3"/>
    <n v="0.02"/>
    <n v="39.5745"/>
    <x v="278"/>
  </r>
  <r>
    <s v="BR_AAF_SOC_NONMS_ND_NC_2019Q1MAR_RNG_AlwaysOn"/>
    <s v="faceinsta"/>
    <s v="BR_VW_RNG_faceinsta_SOC_DRCT_CPM_CAI_MXD_AAF_RON_CXD_DPA-Virtus-Prospect_PD_pagepost"/>
    <s v="243528412"/>
    <x v="1"/>
    <s v="BR_VW_RNG_faceinsta_SOC_DRCT_CPM_CAI_MXD_AAF_RON_CXD_DPA-Virtus-Prospect_PD_pagepost"/>
    <s v="440126409"/>
    <x v="1"/>
    <n v="0"/>
    <n v="25506"/>
    <n v="3.5000000000000001E-3"/>
    <n v="0.02"/>
    <n v="89.271000000000001"/>
    <x v="279"/>
  </r>
  <r>
    <s v="BR_AAF_SOC_NONMS_ND_NC_2019Q1MAR_RNG_AlwaysOn"/>
    <s v="faceinsta"/>
    <s v="BR_VW_RNG_faceinsta_SOC_DRCT_CPM_CAI_MXD_AAF_RON_CXD_DPA-Voyage-Prospect_PD_pagepost"/>
    <s v="243528406"/>
    <x v="1"/>
    <s v="BR_VW_RNG_faceinsta_SOC_DRCT_CPM_CAI_MXD_AAF_RON_CXD_DPA-Voyage-Prospect_PD_pagepost"/>
    <s v="440126403"/>
    <x v="1"/>
    <n v="0"/>
    <n v="11082"/>
    <n v="3.5000000000000001E-3"/>
    <n v="0.02"/>
    <n v="38.786999999999999"/>
    <x v="280"/>
  </r>
  <r>
    <s v="BR_AAF_SOC_NONMS_ND_NC_2019Q1MAR_RNG_AlwaysOn"/>
    <s v="faceinsta"/>
    <s v="BR_VW_RNG_faceinsta_SOC_DRCT_CPM_CAI_MXD_AAF_RON_CXD_DPA-up-Prospect_PD_pagepost"/>
    <s v="243729147"/>
    <x v="1"/>
    <s v="BR_VW_RNG_faceinsta_SOC_DRCT_CPM_CAI_MXD_AAF_RON_CXD_DPA-up-Prospect_PD_pagepost"/>
    <s v="440126394"/>
    <x v="1"/>
    <n v="0"/>
    <n v="116739"/>
    <n v="3.5000000000000001E-3"/>
    <n v="0.02"/>
    <n v="408.5865"/>
    <x v="281"/>
  </r>
  <r>
    <s v="BR_AAF_SOC_NONMS_ND_NC_2019Q2APR_RNG_BrandedContent"/>
    <s v="Facebook"/>
    <s v="BR_VW_RNG_facebook_SOC_DRCT_CPM_STD_SRB_AAF_RON_CXD_BrandedContent-After-Movie-AMC_PD_PagePost"/>
    <s v="244190668"/>
    <x v="1"/>
    <s v="BR_VW_RNG_facebook_SOC_DRCT_CPM_STD_SRB_AAF_RON_CXD_BrandedContent-After-Movie-AMC_PD_PagePost"/>
    <s v="440933160"/>
    <x v="1"/>
    <n v="0"/>
    <n v="1"/>
    <n v="3.5000000000000001E-3"/>
    <n v="0.02"/>
    <n v="3.5000000000000001E-3"/>
    <x v="1"/>
  </r>
  <r>
    <s v="BR_AAF_SOC_NONMS_ND_NC_2019Q2APR_RNG_BrandedContent"/>
    <s v="Facebook"/>
    <s v="BR_VW_RNG_facebook_SOC_DRCT_CPM_STD_SRB_AAF_RON_CXD_BrandedContent-Tiguan-Pedretrian-Recognition-AMC_PD_PagePost"/>
    <s v="244848136"/>
    <x v="1"/>
    <s v="BR_VW_RNG_facebook_SOC_DRCT_CPM_STD_SRB_AAF_RON_CXD_BrandedContent-Tiguan-Pedretrian-Recognition-AMC_PD_PagePost"/>
    <s v="441644852"/>
    <x v="1"/>
    <n v="0"/>
    <n v="6689"/>
    <n v="3.5000000000000001E-3"/>
    <n v="0.02"/>
    <n v="23.4115"/>
    <x v="282"/>
  </r>
  <r>
    <s v="BR_AAF_SOC_NONMS_ND_NC_2019Q2APR_RNG_BrandedContent"/>
    <s v="Facebook"/>
    <s v="BR_VW_RNG_facebook_SOC_DRCT_CPM_STD_SRB_AAF_RON_CXD_BrandedContent-Virtus-Espaco-Interno-AMC_PD_PagePost"/>
    <s v="244848142"/>
    <x v="1"/>
    <s v="BR_VW_RNG_facebook_SOC_DRCT_CPM_STD_SRB_AAF_RON_CXD_BrandedContent-Virtus-Espaco-Interno-AMC_PD_PagePost"/>
    <s v="441644858"/>
    <x v="1"/>
    <n v="0"/>
    <n v="42297"/>
    <n v="3.5000000000000001E-3"/>
    <n v="0.02"/>
    <n v="148.0395"/>
    <x v="283"/>
  </r>
  <r>
    <s v="BR_AAF_SOC_NONMS_ND_NC_2019Q2APR_RNG_BrandedContent"/>
    <s v="Facebook"/>
    <s v="BR_VW_RNG_facebook_SOC_DRCT_CPM_STD_SRB_AAF_RON_CXD_BrandedContent-polo-active-Info-Display-AMC_PD_PagePost"/>
    <s v="244848148"/>
    <x v="1"/>
    <s v="BR_VW_RNG_facebook_SOC_DRCT_CPM_STD_SRB_AAF_RON_CXD_BrandedContent-polo-active-Info-Display-AMC_PD_PagePost"/>
    <s v="441644864"/>
    <x v="1"/>
    <n v="0"/>
    <n v="59886"/>
    <n v="3.5000000000000001E-3"/>
    <n v="0.02"/>
    <n v="209.601"/>
    <x v="284"/>
  </r>
  <r>
    <s v="BR_AAF_SOC_NONMS_ND_NC_2019Q2APR_RNG_BrandedContent"/>
    <s v="instagram.com"/>
    <s v="BR_VW_RNG_Instagram_SOC_DRCT_CPM_STD_MPU_AAF_RON_CXD_BrandedContent-Tiguan-Pedretrian-Recognition-AMC_PD_Stories"/>
    <s v="244848133"/>
    <x v="1"/>
    <s v="BR_VW_RNG_Instagram_SOC_DRCT_CPM_STD_MPU_AAF_RON_CXD_BrandedContent-Tiguan-Pedretrian-Recognition-AMC_PD_Stories"/>
    <s v="441644849"/>
    <x v="1"/>
    <n v="0"/>
    <n v="794"/>
    <n v="3.5000000000000001E-3"/>
    <n v="0.02"/>
    <n v="2.7789999999999999"/>
    <x v="285"/>
  </r>
  <r>
    <s v="BR_AAF_SOC_NONMS_ND_NC_2019Q2APR_RNG_BrandedContent"/>
    <s v="instagram.com"/>
    <s v="BR_VW_RNG_Instagram_SOC_DRCT_CPM_STD_MPU_AAF_RON_CXD_BrandedContent-Virtus-Espaco-Interno-AMC_PD_Stories"/>
    <s v="244848139"/>
    <x v="1"/>
    <s v="BR_VW_RNG_Instagram_SOC_DRCT_CPM_STD_MPU_AAF_RON_CXD_BrandedContent-Virtus-Espaco-Interno-AMC_PD_Stories"/>
    <s v="441644855"/>
    <x v="1"/>
    <n v="0"/>
    <n v="3117"/>
    <n v="3.5000000000000001E-3"/>
    <n v="0.02"/>
    <n v="10.9095"/>
    <x v="286"/>
  </r>
  <r>
    <s v="BR_AAF_SOC_NONMS_ND_NC_2019Q2APR_RNG_BrandedContent"/>
    <s v="instagram.com"/>
    <s v="BR_VW_RNG_Instagram_SOC_DRCT_CPM_STD_MPU_AAF_RON_CXD_BrandedContent-polo-active-Info-Display-AMC_PD_Stories"/>
    <s v="244848145"/>
    <x v="1"/>
    <s v="BR_VW_RNG_Instagram_SOC_DRCT_CPM_STD_MPU_AAF_RON_CXD_BrandedContent-polo-active-Info-Display-AMC_PD_Stories"/>
    <s v="441644861"/>
    <x v="1"/>
    <n v="0"/>
    <n v="10380"/>
    <n v="3.5000000000000001E-3"/>
    <n v="0.02"/>
    <n v="36.33"/>
    <x v="287"/>
  </r>
  <r>
    <s v="BR_AAF_SOC_NONMS_ND_NC_2019Q2APR_RNG_BrandedContent"/>
    <s v="instagram.com"/>
    <s v="BR_VW_RNG_Instagram_SOC_DRCT_CPM_STD_SRB_AAF_RON_CXD_BrandedContent-After-Movie-AMC_PD_PagePost"/>
    <s v="244426872"/>
    <x v="1"/>
    <s v="BR_VW_RNG_Instagram_SOC_DRCT_CPM_STD_SRB_AAF_RON_CXD_BrandedContent-After-Movie-AMC_PD_PagePost"/>
    <s v="440934126"/>
    <x v="1"/>
    <n v="0"/>
    <n v="9059"/>
    <n v="3.5000000000000001E-3"/>
    <n v="0.02"/>
    <n v="31.706500000000002"/>
    <x v="288"/>
  </r>
  <r>
    <s v="BR_AAF_SOC_RUNOT_ND_NC_2019Q1MAR_AMV_VarejoAmarokMarco"/>
    <s v="Facebook"/>
    <s v="BR_VW_AMV_facebook_MOB_DRCT_CPM_CLK_SRB_AAF_RON_CXD_Amarok-Varejo-Marco-Corporativo-CAMPO-NOVO-Social-Amarok-AMC_PD_1200x628"/>
    <s v="241644501"/>
    <x v="1"/>
    <s v="BR_VW_AMV_facebook_MOB_DRCT_CPM_CLK_SRB_AAF_RON_CXD_Amarok-Varejo-Marco-Corporativo-CAMPO-NOVO-Social-Amarok-AMC_PD_1200x628"/>
    <s v="438306479"/>
    <x v="1"/>
    <n v="0"/>
    <n v="10"/>
    <n v="3.5000000000000001E-3"/>
    <n v="0.02"/>
    <n v="3.5000000000000003E-2"/>
    <x v="289"/>
  </r>
  <r>
    <s v="BR_AAF_SOC_RUNOT_ND_NC_2019Q1MAR_AMV_VarejoAmarokMarco"/>
    <s v="Facebook"/>
    <s v="BR_VW_AMV_facebook_MOB_DRCT_CPM_CLK_SRB_AAF_RON_CXD_Amarok-Varejo-Marco-Corporativo-CIDADE-NOVO-Social-Amarok-AMC_PD_1200x628"/>
    <s v="241644492"/>
    <x v="1"/>
    <s v="BR_VW_AMV_facebook_MOB_DRCT_CPM_CLK_SRB_AAF_RON_CXD_Amarok-Varejo-Marco-Corporativo-CIDADE-NOVO-Social-Amarok-AMC_PD_1200x628"/>
    <s v="438306470"/>
    <x v="1"/>
    <n v="0"/>
    <n v="14"/>
    <n v="3.5000000000000001E-3"/>
    <n v="0.02"/>
    <n v="4.9000000000000002E-2"/>
    <x v="290"/>
  </r>
  <r>
    <s v="BR_AAF_SOC_RUNOT_ND_NC_2019Q1MAR_AMV_VarejoAmarokMarco"/>
    <s v="Facebook"/>
    <s v="BR_VW_AMV_facebook_MOB_DRCT_CPM_CLK_SRB_AAF_RON_CXD_Amarok-Varejo-Marco-Corporativo-OLD-CAMPO-Social-Amarok-AMC_PD_1200x628"/>
    <s v="241644519"/>
    <x v="1"/>
    <s v="BR_VW_AMV_facebook_MOB_DRCT_CPM_CLK_SRB_AAF_RON_CXD_Amarok-Varejo-Marco-Corporativo-OLD-CAMPO-Social-Amarok-AMC_PD_1200x628"/>
    <s v="438306497"/>
    <x v="1"/>
    <n v="0"/>
    <n v="1"/>
    <n v="3.5000000000000001E-3"/>
    <n v="0.02"/>
    <n v="3.5000000000000001E-3"/>
    <x v="1"/>
  </r>
  <r>
    <s v="BR_AAF_SOC_RUNOT_ND_NC_2019Q1MAR_AMV_VarejoAmarokMarco"/>
    <s v="Facebook"/>
    <s v="BR_VW_AMV_facebook_MOB_DRCT_CPM_CLK_SRB_AAF_RON_CXD_Amarok-Varejo-Marco-Corporativo-OLD-CIDADE-Social-Amarok-AMC_PD_1200x628"/>
    <s v="241644510"/>
    <x v="1"/>
    <s v="BR_VW_AMV_facebook_MOB_DRCT_CPM_CLK_SRB_AAF_RON_CXD_Amarok-Varejo-Marco-Corporativo-OLD-CIDADE-Social-Amarok-AMC_PD_1200x628"/>
    <s v="438306488"/>
    <x v="1"/>
    <n v="0"/>
    <n v="4"/>
    <n v="3.5000000000000001E-3"/>
    <n v="0.02"/>
    <n v="1.4E-2"/>
    <x v="260"/>
  </r>
  <r>
    <s v="BR_AAF_SOC_RUNOT_ND_NC_2019Q1MAR_AMV_VarejoAmarokMarco"/>
    <s v="Facebook"/>
    <s v="BR_VW_AMV_facebook_MOB_DRCT_CPM_CLK_SRB_AAF_RON_CXD_Amarok-Varejo-Marco-PRIVADO-SOCIAL-Amarok-AMC_PD_1200x628"/>
    <s v="241644528"/>
    <x v="1"/>
    <s v="BR_VW_AMV_facebook_MOB_DRCT_CPM_CLK_SRB_AAF_RON_CXD_Amarok-Varejo-Marco-PRIVADO-SOCIAL-Amarok-AMC_PD_1200x628"/>
    <s v="438306506"/>
    <x v="1"/>
    <n v="0"/>
    <n v="89"/>
    <n v="3.5000000000000001E-3"/>
    <n v="0.02"/>
    <n v="0.3115"/>
    <x v="291"/>
  </r>
  <r>
    <s v="BR_AAF_SOC_RUNOT_ND_NC_2019Q1MAR_AMV_VarejoAmarokMarco"/>
    <s v="instagram.com"/>
    <s v="BR_VW_AMV_Instagram_MOB_DRCT_CPM_CLK_MPU_AAF_RON_CXD_Amarok-Varejo-Marco-PRIVADO-SOCIAL-Amarok-AMC_PD_Video"/>
    <s v="241644522"/>
    <x v="1"/>
    <s v="BR_VW_AMV_Instagram_MOB_DRCT_CPM_CLK_MPU_AAF_RON_CXD_Amarok-Varejo-Marco-PRIVADO-SOCIAL-Amarok-AMC_PD_Video"/>
    <s v="438306500"/>
    <x v="1"/>
    <n v="0"/>
    <n v="4"/>
    <n v="3.5000000000000001E-3"/>
    <n v="0.02"/>
    <n v="1.4E-2"/>
    <x v="260"/>
  </r>
  <r>
    <s v="BR_AAF_SOC_RUNOT_ND_NC_2019Q1MAR_AMV_VarejoAmarokMarco"/>
    <s v="instagram.com"/>
    <s v="BR_VW_AMV_Instagram_MOB_DRCT_CPM_CLK_SRB_AAF_RON_CXD_Amarok-Varejo-Marco-Corporativo-CAMPO-NOVO-Social-Amarok-AMC_PD_1200x628"/>
    <s v="241644498"/>
    <x v="1"/>
    <s v="BR_VW_AMV_Instagram_MOB_DRCT_CPM_CLK_SRB_AAF_RON_CXD_Amarok-Varejo-Marco-Corporativo-CAMPO-NOVO-Social-Amarok-AMC_PD_1200x628"/>
    <s v="438306476"/>
    <x v="1"/>
    <n v="0"/>
    <n v="1"/>
    <n v="3.5000000000000001E-3"/>
    <n v="0.02"/>
    <n v="3.5000000000000001E-3"/>
    <x v="1"/>
  </r>
  <r>
    <s v="BR_AAF_SOC_RUNOT_ND_NC_2019Q1MAR_AMV_VarejoAmarokMarco"/>
    <s v="instagram.com"/>
    <s v="BR_VW_AMV_Instagram_MOB_DRCT_CPM_CLK_SRB_AAF_RON_CXD_Amarok-Varejo-Marco-Corporativo-CIDADE-NOVO-Social-Amarok-AMC_PD_1200x628"/>
    <s v="241644489"/>
    <x v="1"/>
    <s v="BR_VW_AMV_Instagram_MOB_DRCT_CPM_CLK_SRB_AAF_RON_CXD_Amarok-Varejo-Marco-Corporativo-CIDADE-NOVO-Social-Amarok-AMC_PD_1200x628"/>
    <s v="438306467"/>
    <x v="1"/>
    <n v="0"/>
    <n v="1"/>
    <n v="3.5000000000000001E-3"/>
    <n v="0.02"/>
    <n v="3.5000000000000001E-3"/>
    <x v="1"/>
  </r>
  <r>
    <s v="BR_AAF_SOC_RUNOT_ND_NC_2019Q1MAR_AMV_VarejoAmarokMarco"/>
    <s v="instagram.com"/>
    <s v="BR_VW_AMV_Instagram_MOB_DRCT_CPM_CLK_SRB_AAF_RON_CXD_Amarok-Varejo-Marco-Corporativo-OLD-CIDADE-Social-Amarok-AMC_PD_1200x628"/>
    <s v="241644507"/>
    <x v="1"/>
    <s v="BR_VW_AMV_Instagram_MOB_DRCT_CPM_CLK_SRB_AAF_RON_CXD_Amarok-Varejo-Marco-Corporativo-OLD-CIDADE-Social-Amarok-AMC_PD_1200x628"/>
    <s v="438306485"/>
    <x v="1"/>
    <n v="0"/>
    <n v="1"/>
    <n v="3.5000000000000001E-3"/>
    <n v="0.02"/>
    <n v="3.5000000000000001E-3"/>
    <x v="1"/>
  </r>
  <r>
    <s v="BR_AAF_SOC_RUNOT_ND_NC_2019Q2APR_AMV_VarejoAmarokAbril"/>
    <s v="Facebook"/>
    <s v="BR_VW_AMV_facebook_MOB_DRCT_CPM_CLK_SRB_AAF_RON_CXD_Amarok-Varejo-ABRIL-Corporativo-CAMPO-Social-Amarok-AMC_PD_1200x628"/>
    <s v="244161369"/>
    <x v="1"/>
    <s v="BR_VW_AMV_facebook_MOB_DRCT_CPM_CLK_SRB_AAF_RON_CXD_Amarok-Varejo-ABRIL-Corporativo-CAMPO-Social-Amarok-AMC_PD_1200x628"/>
    <s v="440664743"/>
    <x v="1"/>
    <n v="0"/>
    <n v="11850"/>
    <n v="3.5000000000000001E-3"/>
    <n v="0.02"/>
    <n v="41.475000000000001"/>
    <x v="292"/>
  </r>
  <r>
    <s v="BR_AAF_SOC_RUNOT_ND_NC_2019Q2APR_AMV_VarejoAmarokAbril"/>
    <s v="Facebook"/>
    <s v="BR_VW_AMV_facebook_MOB_DRCT_CPM_CLK_SRB_AAF_RON_CXD_Amarok-Varejo-ABRIL-Corporativo-CIDADE-Social-Amarok-AMC_PD_1200x628"/>
    <s v="244161360"/>
    <x v="1"/>
    <s v="BR_VW_AMV_facebook_MOB_DRCT_CPM_CLK_SRB_AAF_RON_CXD_Amarok-Varejo-ABRIL-Corporativo-CIDADE-Social-Amarok-AMC_PD_1200x628"/>
    <s v="440664734"/>
    <x v="1"/>
    <n v="0"/>
    <n v="52776"/>
    <n v="3.5000000000000001E-3"/>
    <n v="0.02"/>
    <n v="184.71600000000001"/>
    <x v="293"/>
  </r>
  <r>
    <s v="BR_AAF_SOC_RUNOT_ND_NC_2019Q2APR_AMV_VarejoAmarokAbril"/>
    <s v="Facebook"/>
    <s v="BR_VW_AMV_facebook_MOB_DRCT_CPM_CLK_SRB_AAF_RON_CXD_Amarok-Varejo-ABRIL-PRIVADO-SOCIAL-Amarok-AMC_PD_1200x628"/>
    <s v="244161381"/>
    <x v="1"/>
    <s v="BR_VW_AMV_facebook_MOB_DRCT_CPM_CLK_SRB_AAF_RON_CXD_Amarok-Varejo-ABRIL-PRIVADO-SOCIAL-Amarok-AMC_PD_1200x628"/>
    <s v="440664755"/>
    <x v="1"/>
    <n v="0"/>
    <n v="56393"/>
    <n v="3.5000000000000001E-3"/>
    <n v="0.02"/>
    <n v="197.37550000000002"/>
    <x v="294"/>
  </r>
  <r>
    <s v="BR_AAF_SOC_RUNOT_ND_NC_2019Q2APR_AMV_VarejoAmarokAbril"/>
    <s v="instagram.com"/>
    <s v="BR_VW_AMV_Instagram_MOB_DRCT_CPM_CLK_MPU_AAF_RON_CXD_Amarok-Varejo-ABRIL-PRIVADO-SOCIAL-Amarok-AMC_PD_Video"/>
    <s v="244161372"/>
    <x v="1"/>
    <s v="BR_VW_AMV_Instagram_MOB_DRCT_CPM_CLK_MPU_AAF_RON_CXD_Amarok-Varejo-ABRIL-PRIVADO-SOCIAL-Amarok-AMC_PD_Video"/>
    <s v="440664746"/>
    <x v="1"/>
    <n v="0"/>
    <n v="8514"/>
    <n v="3.5000000000000001E-3"/>
    <n v="0.02"/>
    <n v="29.798999999999999"/>
    <x v="295"/>
  </r>
  <r>
    <s v="BR_AAF_SOC_RUNOT_ND_NC_2019Q2APR_AMV_VarejoAmarokAbril"/>
    <s v="instagram.com"/>
    <s v="BR_VW_AMV_Instagram_MOB_DRCT_CPM_CLK_SRB_AAF_RON_CXD_Amarok-Varejo-ABRIL-Corporativo-CAMPO-Social-Amarok-AMC_PD_1200x628"/>
    <s v="244161366"/>
    <x v="1"/>
    <s v="BR_VW_AMV_Instagram_MOB_DRCT_CPM_CLK_SRB_AAF_RON_CXD_Amarok-Varejo-ABRIL-Corporativo-CAMPO-Social-Amarok-AMC_PD_1200x628"/>
    <s v="440664740"/>
    <x v="1"/>
    <n v="0"/>
    <n v="4732"/>
    <n v="3.5000000000000001E-3"/>
    <n v="0.02"/>
    <n v="16.562000000000001"/>
    <x v="296"/>
  </r>
  <r>
    <s v="BR_AAF_SOC_RUNOT_ND_NC_2019Q2APR_AMV_VarejoAmarokAbril"/>
    <s v="instagram.com"/>
    <s v="BR_VW_AMV_Instagram_MOB_DRCT_CPM_CLK_SRB_AAF_RON_CXD_Amarok-Varejo-ABRIL-Corporativo-CIDADE-Social-Amarok-AMC_PD_1200x628"/>
    <s v="244161357"/>
    <x v="1"/>
    <s v="BR_VW_AMV_Instagram_MOB_DRCT_CPM_CLK_SRB_AAF_RON_CXD_Amarok-Varejo-ABRIL-Corporativo-CIDADE-Social-Amarok-AMC_PD_1200x628"/>
    <s v="440664731"/>
    <x v="1"/>
    <n v="0"/>
    <n v="12921"/>
    <n v="3.5000000000000001E-3"/>
    <n v="0.02"/>
    <n v="45.223500000000001"/>
    <x v="297"/>
  </r>
  <r>
    <s v="BR_AAF_SOC_RUNOT_ND_NC_2019Q2APR_AMV_VarejoAmarokAbril"/>
    <s v="instagram.com"/>
    <s v="BR_VW_AMV_Instagram_MOB_DRCT_CPM_CLK_SRB_AAF_RON_CXD_Amarok-Varejo-ABRIL-PRIVADO-SOCIAL-Amarok-AMC_PD_1200x628"/>
    <s v="244161375"/>
    <x v="1"/>
    <s v="BR_VW_AMV_Instagram_MOB_DRCT_CPM_CLK_SRB_AAF_RON_CXD_Amarok-Varejo-ABRIL-PRIVADO-SOCIAL-Amarok-AMC_PD_1200x628"/>
    <s v="440664749"/>
    <x v="1"/>
    <n v="0"/>
    <n v="2562"/>
    <n v="3.5000000000000001E-3"/>
    <n v="0.02"/>
    <n v="8.9670000000000005"/>
    <x v="298"/>
  </r>
  <r>
    <s v="BR_IMC_DSY_LANCH_ND_NC_2019Q1FEB_RNG_Outlet"/>
    <s v="BR MSN."/>
    <s v="BR_VW_RNG_msn_DIS_DRCT_CPA_CAI_SKY_IMC_RON_CXD_outlet-polo-jetta-all-faixa-horaria-awareness_PD_160x600"/>
    <s v="242022461"/>
    <x v="3"/>
    <s v="BR_VW_RNG_msn_DIS_DRCT_CPA_CAI_SKY_IMC_RON_CXD_outlet-polo-jetta-all-faixa-horaria-awareness_PD_160x600"/>
    <s v="438967775"/>
    <x v="2"/>
    <n v="4"/>
    <n v="0"/>
    <n v="3.8199999999999998E-2"/>
    <n v="0.09"/>
    <n v="1.528E-4"/>
    <x v="49"/>
  </r>
  <r>
    <s v="BR_IMC_DSY_LANCH_ND_NC_2019Q1FEB_RNG_Outlet"/>
    <s v="BR UOL."/>
    <s v="BR_VW_RNG_uol_DIS_DRCT_CPA_CAI_MPU_IMC_RON_CXD_outlet-polo-jetta-as-ab-25+-autos-awareness_PD_300x250"/>
    <s v="242140816"/>
    <x v="3"/>
    <s v="BR_VW_RNG_uol_DIS_DRCT_CPA_CAI_MPU_IMC_RON_CXD_outlet-polo-jetta-as-ab-25+-autos-awareness_PD_300x250"/>
    <s v="438890082"/>
    <x v="2"/>
    <n v="2"/>
    <n v="0"/>
    <n v="3.8199999999999998E-2"/>
    <n v="0.09"/>
    <n v="7.64E-5"/>
    <x v="32"/>
  </r>
  <r>
    <s v="BR_IMC_DSY_LANCH_ND_NC_2019Q1FEB_RNG_Outlet"/>
    <s v="Facebook"/>
    <s v="BR_VW_RNG_facebook_SOC_DRCT_CPA_CAI_SRB_IMC_RON_CXD_outlet-cinza-remarketing_PD_1200x628"/>
    <s v="242933761"/>
    <x v="1"/>
    <s v="BR_VW_RNG_facebook_SOC_DRCT_CPA_CAI_SRB_IMC_RON_CXD_outlet-cinza-remarketing_PD_1200x628"/>
    <s v="439653187"/>
    <x v="1"/>
    <n v="0"/>
    <n v="3"/>
    <n v="3.5000000000000001E-3"/>
    <n v="0.02"/>
    <n v="1.0500000000000001E-2"/>
    <x v="261"/>
  </r>
  <r>
    <s v="BR_IMC_DSY_LANCH_ND_NC_2019Q1FEB_RNG_Outlet"/>
    <s v="Facebook"/>
    <s v="BR_VW_RNG_facebook_SOC_DRCT_CPA_CAI_SRB_IMC_RON_CXD_outlet-jetta-in-mkt-autos-consideracao_PD_1200x628"/>
    <s v="242043302"/>
    <x v="1"/>
    <s v="BR_VW_RNG_facebook_SOC_DRCT_CPA_CAI_SRB_IMC_RON_CXD_outlet-jetta-in-mkt-autos-consideracao_PD_1200x628"/>
    <s v="438970913"/>
    <x v="1"/>
    <n v="0"/>
    <n v="8"/>
    <n v="3.5000000000000001E-3"/>
    <n v="0.02"/>
    <n v="2.8000000000000001E-2"/>
    <x v="159"/>
  </r>
  <r>
    <s v="BR_IMC_DSY_LANCH_ND_NC_2019Q1FEB_RNG_Outlet"/>
    <s v="Facebook"/>
    <s v="BR_VW_RNG_facebook_SOC_DRCT_CPA_CAI_SRB_IMC_RON_CXD_outlet-jetta-lal-reserva_PD_1200x628"/>
    <s v="242857338"/>
    <x v="1"/>
    <s v="BR_VW_RNG_facebook_SOC_DRCT_CPA_CAI_SRB_IMC_RON_CXD_outlet-jetta-lal-reserva_PD_1200x628"/>
    <s v="439368302"/>
    <x v="1"/>
    <n v="0"/>
    <n v="2"/>
    <n v="3.5000000000000001E-3"/>
    <n v="0.02"/>
    <n v="7.0000000000000001E-3"/>
    <x v="123"/>
  </r>
  <r>
    <s v="BR_IMC_DSY_LANCH_ND_NC_2019Q1FEB_RNG_Outlet"/>
    <s v="Facebook"/>
    <s v="BR_VW_RNG_facebook_SOC_DRCT_CPA_CAI_SRB_IMC_RON_CXD_outlet-polo-in-mkt-autos-consideracao_PD_1200x628"/>
    <s v="242160280"/>
    <x v="1"/>
    <s v="BR_VW_RNG_facebook_SOC_DRCT_CPA_CAI_SRB_IMC_RON_CXD_outlet-polo-in-mkt-autos-consideracao_PD_1200x628"/>
    <s v="438886710"/>
    <x v="1"/>
    <n v="0"/>
    <n v="8"/>
    <n v="3.5000000000000001E-3"/>
    <n v="0.02"/>
    <n v="2.8000000000000001E-2"/>
    <x v="159"/>
  </r>
  <r>
    <s v="BR_IMC_DSY_LANCH_ND_NC_2019Q1FEB_RNG_Outlet"/>
    <s v="Facebook"/>
    <s v="BR_VW_RNG_facebook_SOC_DRCT_CPA_CAI_SRB_IMC_RON_CXD_outlet-tiguan-in-mkt-autos-consideracao_PD_1200x628"/>
    <s v="242022452"/>
    <x v="1"/>
    <s v="BR_VW_RNG_facebook_SOC_DRCT_CPA_CAI_SRB_IMC_RON_CXD_outlet-tiguan-in-mkt-autos-consideracao_PD_1200x628"/>
    <s v="438970916"/>
    <x v="1"/>
    <n v="0"/>
    <n v="11"/>
    <n v="3.5000000000000001E-3"/>
    <n v="0.02"/>
    <n v="3.85E-2"/>
    <x v="228"/>
  </r>
  <r>
    <s v="BR_IMC_DSY_LANCH_ND_NC_2019Q1FEB_RNG_Outlet"/>
    <s v="Facebook"/>
    <s v="BR_VW_RNG_facebook_SOC_DRCT_CPA_CAI_SRB_IMC_RON_CXD_outlet-tiguan-lal-reserva_PD_1200x628"/>
    <s v="242857335"/>
    <x v="1"/>
    <s v="BR_VW_RNG_facebook_SOC_DRCT_CPA_CAI_SRB_IMC_RON_CXD_outlet-tiguan-lal-reserva_PD_1200x628"/>
    <s v="439371043"/>
    <x v="1"/>
    <n v="0"/>
    <n v="1"/>
    <n v="3.5000000000000001E-3"/>
    <n v="0.02"/>
    <n v="3.5000000000000001E-3"/>
    <x v="1"/>
  </r>
  <r>
    <s v="BR_IMC_DSY_LANCH_ND_NC_2019Q1FEB_RNG_Outlet"/>
    <s v="Facebook"/>
    <s v="BR_VW_RNG_facebook_SOC_DRCT_CPA_CAI_SRB_IMC_RON_CXD_outlet-virtus-in-mkt-autos-consideracao_PD_1200x628"/>
    <s v="242043305"/>
    <x v="1"/>
    <s v="BR_VW_RNG_facebook_SOC_DRCT_CPA_CAI_SRB_IMC_RON_CXD_outlet-virtus-in-mkt-autos-consideracao_PD_1200x628"/>
    <s v="438889326"/>
    <x v="1"/>
    <n v="0"/>
    <n v="6"/>
    <n v="3.5000000000000001E-3"/>
    <n v="0.02"/>
    <n v="2.1000000000000001E-2"/>
    <x v="258"/>
  </r>
  <r>
    <s v="BR_IMC_DSY_LANCH_ND_NC_2019Q1FEB_RNG_Outlet"/>
    <s v="Facebook"/>
    <s v="BR_VW_RNG_facebook_SOC_DRCT_CPA_CAI_SRB_IMC_RON_CXD_outlet-virtus-lal-reserva_PD_1200x628"/>
    <s v="242857332"/>
    <x v="1"/>
    <s v="BR_VW_RNG_facebook_SOC_DRCT_CPA_CAI_SRB_IMC_RON_CXD_outlet-virtus-lal-reserva_PD_1200x628"/>
    <s v="439371988"/>
    <x v="1"/>
    <n v="0"/>
    <n v="3"/>
    <n v="3.5000000000000001E-3"/>
    <n v="0.02"/>
    <n v="1.0500000000000001E-2"/>
    <x v="261"/>
  </r>
  <r>
    <s v="BR_IMC_DSY_LANCH_ND_NC_2019Q1FEB_RNG_Outlet"/>
    <s v="Facebook"/>
    <s v="BR_VW_RNG_facebook_VID_DRCT_CPM_CAI_MPU_IMC_RON_CXD_outlet-awareness-5s-as-ab-25+autos_PD_9x16"/>
    <s v="242608488"/>
    <x v="1"/>
    <s v="BR_VW_RNG_facebook_VID_DRCT_CPM_CAI_MPU_IMC_RON_CXD_outlet-awareness-5s-as-ab-25+autos_PD_9x16"/>
    <s v="439170205"/>
    <x v="1"/>
    <n v="0"/>
    <n v="25"/>
    <n v="3.5000000000000001E-3"/>
    <n v="0.02"/>
    <n v="8.7500000000000008E-2"/>
    <x v="299"/>
  </r>
  <r>
    <s v="BR_IMC_DSY_LANCH_ND_NC_2019Q1FEB_RNG_Outlet"/>
    <s v="Google - YouTube"/>
    <s v="BR_VW_RNG_youtube_VID_PROG_CPA_CAI_MPU_IMC_RON_CXD_outlet-consideracao-15s-in-mkt-autos_PD_9x16"/>
    <s v="242392117"/>
    <x v="3"/>
    <s v="BR_VW_RNG_youtube_VID_PROG_CPA_CAI_MPU_IMC_RON_CXD_outlet-consideracao-15s-in-mkt-autos_PD_9x16"/>
    <s v="439063662"/>
    <x v="1"/>
    <n v="7"/>
    <n v="3"/>
    <n v="3.8199999999999998E-2"/>
    <n v="0.09"/>
    <n v="2.6739999999999999E-4"/>
    <x v="155"/>
  </r>
  <r>
    <s v="BR_IMC_DSY_LANCH_ND_NC_2019Q1FEB_RNG_Outlet"/>
    <s v="Google - YouTube"/>
    <s v="BR_VW_RNG_youtube_VID_PROG_CPM_CAI_MPU_IMC_RON_CXD_outlet-awareness-5s-as-ab-25+autos_PD_9x16"/>
    <s v="242585154"/>
    <x v="1"/>
    <s v="BR_VW_RNG_youtube_VID_PROG_CPM_CAI_MPU_IMC_RON_CXD_outlet-awareness-5s-as-ab-25+autos_PD_9x16"/>
    <s v="439063653"/>
    <x v="1"/>
    <n v="0"/>
    <n v="6"/>
    <n v="3.5000000000000001E-3"/>
    <n v="0.02"/>
    <n v="2.1000000000000001E-2"/>
    <x v="258"/>
  </r>
  <r>
    <s v="BR_IMC_DSY_LANCH_ND_NC_2019Q1FEB_RNG_Outlet"/>
    <s v="Google Brasil"/>
    <s v="BR_VW_RNG_google_DIS_PROG_CPA_CAI_LDR_IMC_RON_CXD_outlet-cinza-remarketing_PD_728x90"/>
    <s v="242941621"/>
    <x v="3"/>
    <s v="BR_VW_RNG_google_DIS_PROG_CPA_CAI_LDR_IMC_RON_CXD_outlet-cinza-remarketing_PD_728x90"/>
    <s v="439539462"/>
    <x v="2"/>
    <n v="2"/>
    <n v="0"/>
    <n v="3.8199999999999998E-2"/>
    <n v="0.09"/>
    <n v="7.64E-5"/>
    <x v="32"/>
  </r>
  <r>
    <s v="BR_IMC_DSY_LANCH_ND_NC_2019Q1FEB_RNG_Outlet"/>
    <s v="Google Brasil"/>
    <s v="BR_VW_RNG_google_DIS_PROG_CPA_CAI_LDR_IMC_RON_CXD_outlet-polo-jetta-in-mkt-autos-consideracao_PD_728x90"/>
    <s v="242144329"/>
    <x v="2"/>
    <s v="728x90 Default Web Ad"/>
    <s v="438889329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LDR_IMC_RON_CXD_outlet-polo-jetta-v3-in-mkt-autos-consideracao_PD_970x90"/>
    <s v="242550672"/>
    <x v="3"/>
    <s v="BR_VW_RNG_google_DIS_PROG_CPA_CAI_LDR_IMC_RON_CXD_outlet-polo-jetta-v3-in-mkt-autos-consideracao_PD_970x90"/>
    <s v="439135997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MPU_IMC_RON_CXD_in-mkt-autos-consideracao_PD_320x50"/>
    <s v="242023253"/>
    <x v="3"/>
    <s v="BR_VW_RNG_google_DIS_PROG_CPA_CAI_MPU_IMC_RON_CXD_outlet-jetta-v1-in-mkt-autos-consideracao_PD_320x50"/>
    <s v="439038789"/>
    <x v="2"/>
    <n v="6"/>
    <n v="0"/>
    <n v="3.8199999999999998E-2"/>
    <n v="0.09"/>
    <n v="2.2919999999999999E-4"/>
    <x v="154"/>
  </r>
  <r>
    <s v="BR_IMC_DSY_LANCH_ND_NC_2019Q1FEB_RNG_Outlet"/>
    <s v="Google Brasil"/>
    <s v="BR_VW_RNG_google_DIS_PROG_CPA_CAI_MPU_IMC_RON_CXD_outlet-cinza-remarketing_PD_320x100"/>
    <s v="242941624"/>
    <x v="3"/>
    <s v="BR_VW_RNG_google_DIS_PROG_CPA_CAI_MPU_IMC_RON_CXD_outlet-cinza-remarketing_PD_320x100"/>
    <s v="439539465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MPU_IMC_RON_CXD_outlet-cinza-remarketing_PD_320x50"/>
    <s v="242941627"/>
    <x v="3"/>
    <s v="BR_VW_RNG_google_DIS_PROG_CPA_CAI_MPU_IMC_RON_CXD_outlet-cinza-remarketing_PD_320x50"/>
    <s v="439539468"/>
    <x v="2"/>
    <n v="1"/>
    <n v="0"/>
    <n v="3.8199999999999998E-2"/>
    <n v="0.09"/>
    <n v="3.82E-5"/>
    <x v="2"/>
  </r>
  <r>
    <s v="BR_IMC_DSY_LANCH_ND_NC_2019Q1FEB_RNG_Outlet"/>
    <s v="Google Brasil"/>
    <s v="BR_VW_RNG_google_DIS_PROG_CPA_CAI_MPU_IMC_RON_CXD_outlet-polo-jetta-v3-in-mkt-autos-consideracao_PD_300x250"/>
    <s v="242352391"/>
    <x v="3"/>
    <s v="BR_VW_RNG_google_DIS_PROG_CPA_CAI_MPU_IMC_RON_CXD_outlet-polo-jetta-v3-in-mkt-autos-consideracao_PD_300x250"/>
    <s v="439135568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SKY_IMC_RON_CXD_outlet-cinza-remarketing_PD_120x600"/>
    <s v="242941654"/>
    <x v="3"/>
    <s v="BR_VW_RNG_google_DIS_PROG_CPA_CAI_SKY_IMC_RON_CXD_outlet-cinza-remarketing_PD_120x600"/>
    <s v="439539489"/>
    <x v="2"/>
    <n v="2"/>
    <n v="0"/>
    <n v="3.8199999999999998E-2"/>
    <n v="0.09"/>
    <n v="7.64E-5"/>
    <x v="32"/>
  </r>
  <r>
    <s v="BR_IMC_DSY_LANCH_ND_NC_2019Q1FEB_RNG_Outlet"/>
    <s v="Google Brasil"/>
    <s v="BR_VW_RNG_google_DIS_PROG_CPA_CAI_SKY_IMC_RON_CXD_outlet-cinza-remarketing_PD_160x600"/>
    <s v="242941648"/>
    <x v="3"/>
    <s v="BR_VW_RNG_google_DIS_PROG_CPA_CAI_SKY_IMC_RON_CXD_outlet-cinza-remarketing_PD_160x600"/>
    <s v="439653319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SKY_IMC_RON_CXD_outlet-cinza-remarketing_PD_300x600"/>
    <s v="242941630"/>
    <x v="3"/>
    <s v="BR_VW_RNG_google_DIS_PROG_CPA_CAI_SKY_IMC_RON_CXD_outlet-cinza-remarketing_PD_300x600"/>
    <s v="439539471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SKY_IMC_RON_CXD_outlet-polo-jetta-in-mkt-autos-consideracao_PD_160x600"/>
    <s v="242144347"/>
    <x v="2"/>
    <s v="160x600 Default Web Ad"/>
    <s v="438967766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SKY_IMC_RON_CXD_outlet-polo-jetta-v3-in-mkt-autos-consideracao_PD_120x600"/>
    <s v="242550624"/>
    <x v="3"/>
    <s v="BR_VW_RNG_google_DIS_PROG_CPA_CAI_SKY_IMC_RON_CXD_outlet-polo-jetta-v3-in-mkt-autos-consideracao_PD_120x600"/>
    <s v="439136482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SKY_IMC_RON_CXD_outlet-polo-jetta-v3-in-mkt-autos-consideracao_PD_160x600"/>
    <s v="242351413"/>
    <x v="3"/>
    <s v="BR_VW_RNG_google_DIS_PROG_CPA_CAI_SKY_IMC_RON_CXD_outlet-polo-jetta-v3-in-mkt-autos-consideracao_PD_160x600"/>
    <s v="439135892"/>
    <x v="2"/>
    <n v="3"/>
    <n v="0"/>
    <n v="3.8199999999999998E-2"/>
    <n v="0.09"/>
    <n v="1.1459999999999999E-4"/>
    <x v="17"/>
  </r>
  <r>
    <s v="BR_IMC_DSY_LANCH_ND_NC_2019Q1FEB_RNG_Outlet"/>
    <s v="Google Brasil"/>
    <s v="BR_VW_RNG_google_DIS_PROG_CPA_CAI_SKY_IMC_RON_CXD_outlet-polo-jetta-v3-in-mkt-autos-consideracao_PD_300x600"/>
    <s v="242245736"/>
    <x v="3"/>
    <s v="BR_VW_RNG_google_DIS_PROG_CPA_CAI_SKY_IMC_RON_CXD_outlet-polo-jetta-v3-in-mkt-autos-consideracao_PD_300x600"/>
    <s v="439136477"/>
    <x v="2"/>
    <n v="3"/>
    <n v="0"/>
    <n v="3.8199999999999998E-2"/>
    <n v="0.09"/>
    <n v="1.1459999999999999E-4"/>
    <x v="17"/>
  </r>
  <r>
    <s v="BR_IMC_DSY_LANCH_ND_NC_2019Q1FEB_RNG_Outlet"/>
    <s v="teads.tv"/>
    <s v="BR_VW_RNG_teads_DIS_DRCT_CPA_CAI_LDR_IMC_RON_MOB_Outlet-Carousel-2-visita-Lookalike-consideracao_PD_carrossel-landscape"/>
    <s v="242434664"/>
    <x v="3"/>
    <s v="BR_VW_RNG_teads_DIS_DRCT_CPA_CAI_LDR_IMC_RON_MOB_Outlet-Carousel-2-visita-Lookalike-consideracao_PD_carrossel-landscape"/>
    <s v="439158168"/>
    <x v="1"/>
    <n v="2"/>
    <n v="0"/>
    <n v="3.8199999999999998E-2"/>
    <n v="0.09"/>
    <n v="7.64E-5"/>
    <x v="32"/>
  </r>
  <r>
    <s v="BR_IMC_DSY_LANCH_ND_NC_2019Q1FEB_RNG_Outlet"/>
    <s v="teads.tv"/>
    <s v="BR_VW_RNG_teads_DIS_DRCT_CPA_CAI_LDR_IMC_RON_MOB_Outlet-Carousel-3-visita-Lookalike-consideracao_PD_carrossel-landscape"/>
    <s v="242431457"/>
    <x v="3"/>
    <s v="BR_VW_RNG_teads_DIS_DRCT_CPA_CAI_LDR_IMC_RON_MOB_Outlet-Carousel-3-visita-Lookalike-consideracao_PD_carrossel-landscape"/>
    <s v="439273424"/>
    <x v="1"/>
    <n v="1"/>
    <n v="0"/>
    <n v="3.8199999999999998E-2"/>
    <n v="0.09"/>
    <n v="3.82E-5"/>
    <x v="2"/>
  </r>
  <r>
    <s v="BR_IMC_DSY_LANCH_ND_NC_2019Q1FEB_RNG_Outlet"/>
    <s v="teads.tv"/>
    <s v="BR_VW_RNG_teads_DIS_DRCT_CPA_CAI_SRB_IMC_RON_MOB_Outlet-Scroller-1-visita-Lookalike-consideracao_PD_scroller-landscape-"/>
    <s v="242637407"/>
    <x v="3"/>
    <s v="BR_VW_RNG_teads_DIS_DRCT_CPA_CAI_SRB_IMC_RON_MOB_Outlet-Scroller-1-visita-Lookalike-consideracao_PD_scroller-landscape-"/>
    <s v="439458380"/>
    <x v="1"/>
    <n v="1"/>
    <n v="0"/>
    <n v="3.8199999999999998E-2"/>
    <n v="0.09"/>
    <n v="3.82E-5"/>
    <x v="2"/>
  </r>
  <r>
    <s v="BR_IMC_DSY_LANCH_ND_NC_2019Q1MAR_RNG_varejoregionalmarco"/>
    <s v="Facebook"/>
    <s v="BR_VW_RNG_facebook_MOB_DRCT_CPM_CAI_SRB_IMC_RON_MOB_Reg4-vit-1-geolocalizado_PD_1200x627"/>
    <s v="242277170"/>
    <x v="1"/>
    <s v="BR_VW_RNG_facebook_MOB_DRCT_CPM_CAI_SRB_IMC_RON_MOB_Reg4-vit-1-geolocalizado_PD_1200x627"/>
    <s v="439173809"/>
    <x v="1"/>
    <n v="0"/>
    <n v="1"/>
    <n v="3.5000000000000001E-3"/>
    <n v="0.02"/>
    <n v="3.5000000000000001E-3"/>
    <x v="1"/>
  </r>
  <r>
    <s v="BR_IMC_DSY_LANCH_ND_NC_2019Q1MAR_RNG_varejoregionalmarco"/>
    <s v="In Loco Media"/>
    <s v="BR_VW_RNG_inloco_MOB_DRCT_CPV_CAI_SKY_IMC_RON_MOB_reg5-jetta-outlet-geolocalizado_PD_960x1440"/>
    <s v="242107319"/>
    <x v="3"/>
    <s v="BR_VW_RNG_inloco_MOB_DRCT_CPV_CAI_SKY_IMC_RON_MOB_reg5-jetta-outlet-geolocalizado_PD_960x1440"/>
    <s v="438942087"/>
    <x v="1"/>
    <n v="1"/>
    <n v="0"/>
    <n v="3.8199999999999998E-2"/>
    <n v="0.09"/>
    <n v="3.82E-5"/>
    <x v="2"/>
  </r>
  <r>
    <s v="BR_IMC_DSY_LANCH_ND_NC_2019Q2APR_RNG_varejoregionalabril"/>
    <s v="Auto Esporte"/>
    <s v="BR_VW_RNG_Autoesporte_DIS_DRCT_CPM_CAI_LDR_IMC_HTO_CXD_regional4-geolocalizado_PD_970x250"/>
    <s v="245823104"/>
    <x v="3"/>
    <s v="BR_VW_RNG_Autoesporte_DIS_DRCT_CPM_CAI_LDR_IMC_HTO_CXD_regional4-geolocalizado_PD_970x250"/>
    <s v="442473135"/>
    <x v="1"/>
    <n v="30"/>
    <n v="1"/>
    <n v="3.8199999999999998E-2"/>
    <n v="0.09"/>
    <n v="1.1459999999999999E-3"/>
    <x v="300"/>
  </r>
  <r>
    <s v="BR_IMC_DSY_LANCH_ND_NC_2019Q2APR_RNG_varejoregionalabril"/>
    <s v="Auto Esporte"/>
    <s v="BR_VW_RNG_Autoesporte_DIS_DRCT_CPM_CAI_MPU_IMC_HTO_CXD_regional4-geolocalizado_PD_300x250"/>
    <s v="245823161"/>
    <x v="3"/>
    <s v="BR_VW_RNG_Autoesporte_DIS_DRCT_CPM_CAI_MPU_IMC_HTO_CXD_regional4-geolocalizado_PD_300x250"/>
    <s v="442473159"/>
    <x v="1"/>
    <n v="62"/>
    <n v="3"/>
    <n v="3.8199999999999998E-2"/>
    <n v="0.09"/>
    <n v="2.3683999999999997E-3"/>
    <x v="301"/>
  </r>
  <r>
    <s v="BR_IMC_DSY_LANCH_ND_NC_2019Q2APR_RNG_varejoregionalabril"/>
    <s v="Auto Esporte"/>
    <s v="BR_VW_RNG_Autoesporte_DIS_DRCT_CPM_CAI_MPU_IMC_HTO_CXD_regional4-geolocalizado_PD_320x50"/>
    <s v="245823521"/>
    <x v="3"/>
    <s v="BR_VW_RNG_Autoesporte_DIS_DRCT_CPM_CAI_MPU_IMC_HTO_CXD_regional4-geolocalizado_PD_320x50"/>
    <s v="442585493"/>
    <x v="1"/>
    <n v="57"/>
    <n v="4"/>
    <n v="3.8199999999999998E-2"/>
    <n v="0.09"/>
    <n v="2.1773999999999999E-3"/>
    <x v="302"/>
  </r>
  <r>
    <s v="BR_IMC_DSY_LANCH_ND_NC_2019Q2APR_RNG_varejoregionalabril"/>
    <s v="Conde Nast"/>
    <s v="BR_VW_RNG_Conde-Nast_DIS_DRCT_CPM_CAI_LDR_IMC_HTO_CXD_regional4-geolocalizado_PD_970x250"/>
    <s v="245188289"/>
    <x v="2"/>
    <s v="1x1 Default Web Ad"/>
    <s v="442013210"/>
    <x v="2"/>
    <n v="15"/>
    <n v="0"/>
    <n v="3.8199999999999998E-2"/>
    <n v="0.09"/>
    <n v="5.7299999999999994E-4"/>
    <x v="303"/>
  </r>
  <r>
    <s v="BR_IMC_DSY_LANCH_ND_NC_2019Q2APR_RNG_varejoregionalabril"/>
    <s v="Conde Nast"/>
    <s v="BR_VW_RNG_Conde-Nast_DIS_DRCT_CPM_CAI_LDR_IMC_HTO_CXD_regional4-geolocalizado_PD_970x250"/>
    <s v="245188289"/>
    <x v="3"/>
    <s v="BR_VW_RNG_Conde-Nast_DIS_DRCT_CPM_CAI_LDR_IMC_HTO_CXD_regional4-geolocalizado_PD_970x250"/>
    <s v="441906834"/>
    <x v="1"/>
    <n v="493"/>
    <n v="9"/>
    <n v="3.8199999999999998E-2"/>
    <n v="0.09"/>
    <n v="1.8832599999999998E-2"/>
    <x v="304"/>
  </r>
  <r>
    <s v="BR_IMC_DSY_LANCH_ND_NC_2019Q2APR_RNG_varejoregionalabril"/>
    <s v="Conde Nast"/>
    <s v="BR_VW_RNG_Conde-Nast_DIS_DRCT_CPM_CAI_MPU_IMC_HTO_CXD_regional4-geolocalizado_PD_300x250"/>
    <s v="245188799"/>
    <x v="3"/>
    <s v="BR_VW_RNG_Conde-Nast_DIS_DRCT_CPM_CAI_MPU_IMC_HTO_CXD_regional4-geolocalizado_PD_300x250"/>
    <s v="442013201"/>
    <x v="1"/>
    <n v="1669"/>
    <n v="5"/>
    <n v="3.8199999999999998E-2"/>
    <n v="0.09"/>
    <n v="6.3755799999999987E-2"/>
    <x v="305"/>
  </r>
  <r>
    <s v="BR_IMC_DSY_LANCH_ND_NC_2019Q2APR_RNG_varejoregionalabril"/>
    <s v="Conde Nast"/>
    <s v="BR_VW_RNG_Conde-Nast_DIS_DRCT_CPM_CAI_MPU_IMC_HTO_CXD_regional4-geolocalizado_PD_320x50"/>
    <s v="245188829"/>
    <x v="3"/>
    <s v="BR_VW_RNG_Conde-Nast_DIS_DRCT_CPM_CAI_MPU_IMC_HTO_CXD_regional4-geolocalizado_PD_320x50"/>
    <s v="441907512"/>
    <x v="1"/>
    <n v="980"/>
    <n v="6"/>
    <n v="3.8199999999999998E-2"/>
    <n v="0.09"/>
    <n v="3.7435999999999997E-2"/>
    <x v="306"/>
  </r>
  <r>
    <s v="BR_IMC_DSY_LANCH_ND_NC_2019Q2APR_RNG_varejoregionalabril"/>
    <s v="Ela - O Globo"/>
    <s v="BR_VW_RNG_Globo-Ela_DIS_DRCT_CPM_CAI_LDR_IMC_HTO_CXD_regional4-geolocalizado_PD_1060x400"/>
    <s v="245391581"/>
    <x v="1"/>
    <s v="BR_VW_RNG_Globo-Ela_DIS_DRCT_CPM_CAI_LDR_IMC_HTO_CXD_regional4-geolocalizado_PD_1060x400"/>
    <s v="442085127"/>
    <x v="1"/>
    <n v="0"/>
    <n v="3"/>
    <n v="3.5000000000000001E-3"/>
    <n v="0.02"/>
    <n v="1.0500000000000001E-2"/>
    <x v="261"/>
  </r>
  <r>
    <s v="BR_IMC_DSY_LANCH_ND_NC_2019Q2APR_RNG_varejoregionalabril"/>
    <s v="Ela - O Globo"/>
    <s v="BR_VW_RNG_Globo-Ela_DIS_DRCT_CPM_CAI_LDR_IMC_HTO_CXD_regional4-geolocalizado_PD_970x250"/>
    <s v="245192561"/>
    <x v="3"/>
    <s v="BR_VW_RNG_Globo-Ela_DIS_DRCT_CPM_CAI_LDR_IMC_HTO_CXD_regional4-geolocalizado_PD_970x250"/>
    <s v="441910545"/>
    <x v="1"/>
    <n v="820"/>
    <n v="5"/>
    <n v="3.8199999999999998E-2"/>
    <n v="0.09"/>
    <n v="3.1323999999999998E-2"/>
    <x v="307"/>
  </r>
  <r>
    <s v="BR_IMC_DSY_LANCH_ND_NC_2019Q2APR_RNG_varejoregionalabril"/>
    <s v="Ela - O Globo"/>
    <s v="BR_VW_RNG_Globo-Ela_DIS_DRCT_CPM_CAI_MPU_IMC_HTO_CXD_regional4-geolocalizado_PD_300x250"/>
    <s v="245191466"/>
    <x v="3"/>
    <s v="BR_VW_RNG_Globo-Ela_DIS_DRCT_CPM_CAI_MPU_IMC_HTO_CXD_regional4-geolocalizado_PD_300x250"/>
    <s v="441930399"/>
    <x v="1"/>
    <n v="1185"/>
    <n v="18"/>
    <n v="3.8199999999999998E-2"/>
    <n v="0.09"/>
    <n v="4.5266999999999995E-2"/>
    <x v="308"/>
  </r>
  <r>
    <s v="BR_IMC_DSY_LANCH_ND_NC_2019Q2APR_RNG_varejoregionalabril"/>
    <s v="Ela - O Globo"/>
    <s v="BR_VW_RNG_Globo-Ela_DIS_DRCT_CPM_CAI_MPU_IMC_HTO_CXD_regional4-geolocalizado_PD_320x50"/>
    <s v="245308351"/>
    <x v="3"/>
    <s v="BR_VW_RNG_Globo-Ela_DIS_DRCT_CPM_CAI_MPU_IMC_HTO_CXD_regional4-geolocalizado_PD_320x50"/>
    <s v="442016576"/>
    <x v="1"/>
    <n v="914"/>
    <n v="11"/>
    <n v="3.8199999999999998E-2"/>
    <n v="0.09"/>
    <n v="3.4914800000000003E-2"/>
    <x v="309"/>
  </r>
  <r>
    <s v="BR_IMC_DSY_LANCH_ND_NC_2019Q2APR_RNG_varejoregionalabril"/>
    <s v="In Loco Media"/>
    <s v="BR_VW_RNG_inloco_MOB_DRCT_CPV_CAI_LDR_IMC_RON_MOB_regional5_Virtus-geolocalizado_PD_1440x960"/>
    <s v="245364831"/>
    <x v="3"/>
    <s v="BR_VW_RNG_inloco_MOB_DRCT_CPV_CAI_LDR_IMC_RON_MOB_regional5_Virtus-geolocalizado_PD_1440x960"/>
    <s v="441889474"/>
    <x v="1"/>
    <n v="6239"/>
    <n v="41"/>
    <n v="3.8199999999999998E-2"/>
    <n v="0.09"/>
    <n v="0.23832979999999998"/>
    <x v="310"/>
  </r>
  <r>
    <s v="BR_IMC_DSY_LANCH_ND_NC_2019Q2APR_RNG_varejoregionalabril"/>
    <s v="In Loco Media"/>
    <s v="BR_VW_RNG_inloco_MOB_DRCT_CPV_CAI_LDR_IMC_RON_MOB_regional5_Virtus-geolocalizado_PD_900x750"/>
    <s v="245364843"/>
    <x v="3"/>
    <s v="BR_VW_RNG_inloco_MOB_DRCT_CPV_CAI_LDR_IMC_RON_MOB_regional5_Virtus-geolocalizado_PD_900x750"/>
    <s v="441889486"/>
    <x v="1"/>
    <n v="131015"/>
    <n v="202"/>
    <n v="3.8199999999999998E-2"/>
    <n v="0.09"/>
    <n v="5.0047730000000001"/>
    <x v="311"/>
  </r>
  <r>
    <s v="BR_IMC_DSY_LANCH_ND_NC_2019Q2APR_RNG_varejoregionalabril"/>
    <s v="In Loco Media"/>
    <s v="BR_VW_RNG_inloco_MOB_DRCT_CPV_CAI_LDR_IMC_RON_MOB_regional5_Virtus-geolocalizado_PD_960x150"/>
    <s v="245364840"/>
    <x v="3"/>
    <s v="BR_VW_RNG_inloco_MOB_DRCT_CPV_CAI_LDR_IMC_RON_MOB_regional5_Virtus-geolocalizado_PD_960x150"/>
    <s v="441889483"/>
    <x v="1"/>
    <n v="130888"/>
    <n v="302"/>
    <n v="3.8199999999999998E-2"/>
    <n v="0.09"/>
    <n v="4.9999215999999995"/>
    <x v="312"/>
  </r>
  <r>
    <s v="BR_IMC_DSY_LANCH_ND_NC_2019Q2APR_RNG_varejoregionalabril"/>
    <s v="In Loco Media"/>
    <s v="BR_VW_RNG_inloco_MOB_DRCT_CPV_CAI_MPU_IMC_RON_MOB_regional5_Op1-geolocalizado_PD_144x144"/>
    <s v="245134681"/>
    <x v="1"/>
    <s v="BR_VW_RNG_inloco_MOB_DRCT_CPV_CAI_MPU_IMC_RON_MOB_regional5_Op1-geolocalizado_PD_144x144"/>
    <s v="441887132"/>
    <x v="1"/>
    <n v="1"/>
    <n v="15"/>
    <n v="3.5000000000000001E-3"/>
    <n v="0.02"/>
    <n v="5.2499999999999998E-2"/>
    <x v="313"/>
  </r>
  <r>
    <s v="BR_IMC_DSY_LANCH_ND_NC_2019Q2APR_RNG_varejoregionalabril"/>
    <s v="In Loco Media"/>
    <s v="BR_VW_RNG_inloco_MOB_DRCT_CPV_CAI_MPU_IMC_RON_MOB_regional5_Op2-geolocalizado_PD_144x144"/>
    <s v="245364849"/>
    <x v="1"/>
    <s v="BR_VW_RNG_inloco_MOB_DRCT_CPV_CAI_MPU_IMC_RON_MOB_regional5_Op2-geolocalizado_PD_144x144"/>
    <s v="441889492"/>
    <x v="1"/>
    <n v="2"/>
    <n v="10"/>
    <n v="3.5000000000000001E-3"/>
    <n v="0.02"/>
    <n v="3.5000000000000003E-2"/>
    <x v="289"/>
  </r>
  <r>
    <s v="BR_IMC_DSY_LANCH_ND_NC_2019Q2APR_RNG_varejoregionalabril"/>
    <s v="In Loco Media"/>
    <s v="BR_VW_RNG_inloco_MOB_DRCT_CPV_CAI_SKY_IMC_RON_MOB_regional5_Virtus-geolocalizado_PD_960x1440"/>
    <s v="245364837"/>
    <x v="3"/>
    <s v="BR_VW_RNG_inloco_MOB_DRCT_CPV_CAI_SKY_IMC_RON_MOB_regional5_Virtus-geolocalizado_PD_960x1440"/>
    <s v="441889480"/>
    <x v="1"/>
    <n v="81176"/>
    <n v="418"/>
    <n v="3.8199999999999998E-2"/>
    <n v="0.09"/>
    <n v="3.1009231999999995"/>
    <x v="314"/>
  </r>
  <r>
    <s v="BR_IMC_DSY_LANCH_ND_NC_2019Q2APR_RNG_varejoregionalabril"/>
    <s v="In Loco Media"/>
    <s v="BR_VW_RNG_inloco_MOB_DRCT_CPV_CAI_SRB_IMC_RON_MOB_regional5_Virtus-geolocalizado_PD_1200x627"/>
    <s v="245364834"/>
    <x v="1"/>
    <s v="BR_VW_RNG_inloco_MOB_DRCT_CPV_CAI_SRB_IMC_RON_MOB_regional5_Virtus-geolocalizado_PD_1200x627"/>
    <s v="441889477"/>
    <x v="1"/>
    <n v="1"/>
    <n v="811"/>
    <n v="3.5000000000000001E-3"/>
    <n v="0.02"/>
    <n v="2.8385000000000002"/>
    <x v="315"/>
  </r>
  <r>
    <s v="BR_IMC_DSY_LANCH_ND_NC_2019Q2APR_RNG_varejoregionalabril"/>
    <s v="revistagalileu.globo.com"/>
    <s v="BR_VW_RNG_Galileu_DIS_DRCT_CPM_CAI_LDR_IMC_HTO_CXD_regional4-geolocalizado_PD_970x250"/>
    <s v="245519241"/>
    <x v="3"/>
    <s v="BR_VW_RNG_Galileu_DIS_DRCT_CPM_CAI_LDR_IMC_HTO_CXD_regional4-geolocalizado_PD_970x250"/>
    <s v="442015537"/>
    <x v="1"/>
    <n v="42"/>
    <n v="1"/>
    <n v="3.8199999999999998E-2"/>
    <n v="0.09"/>
    <n v="1.6043999999999997E-3"/>
    <x v="316"/>
  </r>
  <r>
    <s v="BR_IMC_DSY_LANCH_ND_NC_2019Q2APR_RNG_varejoregionalabril"/>
    <s v="revistagalileu.globo.com"/>
    <s v="BR_VW_RNG_Galileu_DIS_DRCT_CPM_CAI_MPU_IMC_HTO_CXD_regional4-geolocalizado_PD_300x250"/>
    <s v="245194247"/>
    <x v="2"/>
    <s v="1x1 Default Web Ad"/>
    <s v="442013210"/>
    <x v="2"/>
    <n v="3"/>
    <n v="0"/>
    <n v="3.8199999999999998E-2"/>
    <n v="0.09"/>
    <n v="1.1459999999999999E-4"/>
    <x v="17"/>
  </r>
  <r>
    <s v="BR_IMC_DSY_LANCH_ND_NC_2019Q2APR_RNG_varejoregionalabril"/>
    <s v="revistagalileu.globo.com"/>
    <s v="BR_VW_RNG_Galileu_DIS_DRCT_CPM_CAI_MPU_IMC_HTO_CXD_regional4-geolocalizado_PD_300x250"/>
    <s v="245194247"/>
    <x v="3"/>
    <s v="BR_VW_RNG_Galileu_DIS_DRCT_CPM_CAI_MPU_IMC_HTO_CXD_regional4-geolocalizado_PD_300x250"/>
    <s v="442017665"/>
    <x v="1"/>
    <n v="58"/>
    <n v="3"/>
    <n v="3.8199999999999998E-2"/>
    <n v="0.09"/>
    <n v="2.2155999999999999E-3"/>
    <x v="317"/>
  </r>
  <r>
    <s v="BR_IMC_DSY_LANCH_ND_NC_2019Q2APR_RNG_varejoregionalabril"/>
    <s v="revistagalileu.globo.com"/>
    <s v="BR_VW_RNG_Galileu_DIS_DRCT_CPM_CAI_MPU_IMC_HTO_CXD_regional4-geolocalizado_PD_320x50"/>
    <s v="245517801"/>
    <x v="3"/>
    <s v="BR_VW_RNG_Galileu_DIS_DRCT_CPM_CAI_MPU_IMC_HTO_CXD_regional4-geolocalizado_PD_320x50"/>
    <s v="442015207"/>
    <x v="1"/>
    <n v="61"/>
    <n v="0"/>
    <n v="3.8199999999999998E-2"/>
    <n v="0.09"/>
    <n v="2.3302000000000002E-3"/>
    <x v="318"/>
  </r>
  <r>
    <s v="BR_IMC_DSY_LANCH_ND_NC_2019Q2APR_RNG_varejoregionalabril"/>
    <s v="revistaquem.globo.com"/>
    <s v="BR_VW_RNG_QUEM_DIS_DRCT_CPM_CAI_LDR_IMC_HTO_CXD_regional4-geolocalizado_PD_970x250"/>
    <s v="245192657"/>
    <x v="3"/>
    <s v="BR_VW_RNG_QUEM_DIS_DRCT_CPM_CAI_LDR_IMC_HTO_CXD_regional4-geolocalizado_PD_970x250"/>
    <s v="442003808"/>
    <x v="1"/>
    <n v="528"/>
    <n v="4"/>
    <n v="3.8199999999999998E-2"/>
    <n v="0.09"/>
    <n v="2.0169599999999999E-2"/>
    <x v="319"/>
  </r>
  <r>
    <s v="BR_IMC_DSY_LANCH_ND_NC_2019Q2APR_RNG_varejoregionalabril"/>
    <s v="revistaquem.globo.com"/>
    <s v="BR_VW_RNG_QUEM_DIS_DRCT_CPM_CAI_MPU_IMC_HTO_CXD_regional4-geolocalizado_PD_300x250"/>
    <s v="245192618"/>
    <x v="3"/>
    <s v="BR_VW_RNG_QUEM_DIS_DRCT_CPM_CAI_MPU_IMC_HTO_CXD_regional4-geolocalizado_PD_300x250"/>
    <s v="442015235"/>
    <x v="1"/>
    <n v="576"/>
    <n v="3"/>
    <n v="3.8199999999999998E-2"/>
    <n v="0.09"/>
    <n v="2.2003200000000001E-2"/>
    <x v="320"/>
  </r>
  <r>
    <s v="BR_IMC_DSY_LANCH_ND_NC_2019Q2APR_RNG_varejoregionalabril"/>
    <s v="revistaquem.globo.com"/>
    <s v="BR_VW_RNG_QUEM_DIS_DRCT_CPM_CAI_MPU_IMC_HTO_CXD_regional4-geolocalizado_PD_320x50"/>
    <s v="245191391"/>
    <x v="3"/>
    <s v="BR_VW_RNG_QUEM_DIS_DRCT_CPM_CAI_MPU_IMC_HTO_CXD_regional4-geolocalizado_PD_320x50"/>
    <s v="441910605"/>
    <x v="1"/>
    <n v="559"/>
    <n v="4"/>
    <n v="3.8199999999999998E-2"/>
    <n v="0.09"/>
    <n v="2.1353799999999999E-2"/>
    <x v="321"/>
  </r>
  <r>
    <s v="BR_IMC_DSY_LANCH_ND_NC_2019Q2APR_RNG_varejoregionalabril"/>
    <s v="techtudo.com.br"/>
    <s v="BR_VW_RNG_Tech-Tudo_DIS_DRCT_CPM_CAI_LDR_IMC_HTO_CXD_regional4-geolocalizado_PD_970x250"/>
    <s v="245310772"/>
    <x v="3"/>
    <s v="BR_VW_RNG_Tech-Tudo_DIS_DRCT_CPM_CAI_LDR_IMC_HTO_CXD_regional4-geolocalizado_PD_970x250"/>
    <s v="442016635"/>
    <x v="1"/>
    <n v="62"/>
    <n v="2"/>
    <n v="3.8199999999999998E-2"/>
    <n v="0.09"/>
    <n v="2.3683999999999997E-3"/>
    <x v="301"/>
  </r>
  <r>
    <s v="BR_IMC_DSY_LANCH_ND_NC_2019Q2APR_RNG_varejoregionalabril"/>
    <s v="techtudo.com.br"/>
    <s v="BR_VW_RNG_Tech-Tudo_DIS_DRCT_CPM_CAI_MPU_IMC_HTO_CXD_regional4-geolocalizado_PD_300x250"/>
    <s v="245518047"/>
    <x v="3"/>
    <s v="BR_VW_RNG_Tech-Tudo_DIS_DRCT_CPM_CAI_MPU_IMC_HTO_CXD_regional4-geolocalizado_PD_300x250"/>
    <s v="441910683"/>
    <x v="1"/>
    <n v="66"/>
    <n v="1"/>
    <n v="3.8199999999999998E-2"/>
    <n v="0.09"/>
    <n v="2.5211999999999999E-3"/>
    <x v="322"/>
  </r>
  <r>
    <s v="BR_IMC_DSY_LANCH_ND_NC_2019Q2APR_RNG_varejoregionalabril"/>
    <s v="techtudo.com.br"/>
    <s v="BR_VW_RNG_Tech-Tudo_DIS_DRCT_CPM_CAI_MPU_IMC_HTO_CXD_regional4-geolocalizado_PD_320x50"/>
    <s v="245191715"/>
    <x v="3"/>
    <s v="BR_VW_RNG_Tech-Tudo_DIS_DRCT_CPM_CAI_MPU_IMC_HTO_CXD_regional4-geolocalizado_PD_320x50"/>
    <s v="442015510"/>
    <x v="1"/>
    <n v="40"/>
    <n v="2"/>
    <n v="3.8199999999999998E-2"/>
    <n v="0.09"/>
    <n v="1.5280000000000001E-3"/>
    <x v="323"/>
  </r>
  <r>
    <s v="BR_IMC_DSY_LANCH_ND_NC_2019Q2APR_RNG_varejoregionalabril"/>
    <s v="valor.com.br"/>
    <s v="BR_VW_RNG_Valor_DIS_DRCT_CPM_CAI_LDR_IMC_HTO_CXD_regional4-geolocalizado_PD_970x250"/>
    <s v="246168705"/>
    <x v="3"/>
    <s v="BR_VW_RNG_Valor_DIS_DRCT_CPM_CAI_LDR_IMC_HTO_CXD_regional4-geolocalizado_PD_970x250"/>
    <s v="442579186"/>
    <x v="1"/>
    <n v="227"/>
    <n v="1"/>
    <n v="3.8199999999999998E-2"/>
    <n v="0.09"/>
    <n v="8.671400000000001E-3"/>
    <x v="324"/>
  </r>
  <r>
    <s v="BR_IMC_DSY_LANCH_ND_NC_2019Q2APR_RNG_varejoregionalabril"/>
    <s v="valor.com.br"/>
    <s v="BR_VW_RNG_Valor_DIS_DRCT_CPM_CAI_MPU_IMC_HTO_CXD_regional4-geolocalizado_PD_300x250"/>
    <s v="245963026"/>
    <x v="3"/>
    <s v="BR_VW_RNG_Valor_DIS_DRCT_CPM_CAI_MPU_IMC_HTO_CXD_regional4-geolocalizado_PD_300x250"/>
    <s v="442475310"/>
    <x v="1"/>
    <n v="459"/>
    <n v="1"/>
    <n v="3.8199999999999998E-2"/>
    <n v="0.09"/>
    <n v="1.7533799999999999E-2"/>
    <x v="325"/>
  </r>
  <r>
    <s v="BR_IMC_DSY_LANCH_ND_NC_2019Q2APR_RNG_varejoregionalabril"/>
    <s v="valor.com.br"/>
    <s v="BR_VW_RNG_Valor_DIS_DRCT_CPM_CAI_MPU_IMC_HTO_CXD_regional4-geolocalizado_PD_320x50"/>
    <s v="246168717"/>
    <x v="3"/>
    <s v="BR_VW_RNG_Valor_DIS_DRCT_CPM_CAI_MPU_IMC_HTO_CXD_regional4-geolocalizado_PD_320x50"/>
    <s v="442583125"/>
    <x v="1"/>
    <n v="218"/>
    <n v="2"/>
    <n v="3.8199999999999998E-2"/>
    <n v="0.09"/>
    <n v="8.327600000000001E-3"/>
    <x v="326"/>
  </r>
  <r>
    <s v="BR_IMC_DSY_LANCH_ND_NC_2019Q2APR_TCR_Launch-T-Cross-In-Market-3"/>
    <s v="Google Brasil"/>
    <s v="BR_VW_TCR_DV360_DIS_PROG_CPM_CLK_MPU_IMC_RON_CXD_T-Croos-Lancamento-Consideracao-Display-T-cross-AudienciasCustomizadas_PD_320x50"/>
    <s v="246033615"/>
    <x v="3"/>
    <s v="BR_VW_TCR_DV360_DIS_PROG_CPM_CLK_MPU_IMC_RON_CXD_T-Croos-Lancamento-Consideracao-Display-T-cross-AudienciasCustomizadas_PD_320x50"/>
    <s v="442349607"/>
    <x v="2"/>
    <n v="1"/>
    <n v="1"/>
    <n v="3.8199999999999998E-2"/>
    <n v="0.09"/>
    <n v="3.82E-5"/>
    <x v="2"/>
  </r>
  <r>
    <s v="BR_IMC_DSY_LANCH_ND_NC_2019Q2APR_TCR_Launch-T-Cross-In-Market-3"/>
    <s v="Google Brasil"/>
    <s v="BR_VW_TCR_DV360_DIS_PROG_CPM_CLK_SKY_IMC_RON_CXD_T-Croos-Lancamento-Consideracao-Display-T-cross-AudienciasCustomizadas_PD_300x600"/>
    <s v="246033618"/>
    <x v="3"/>
    <s v="BR_VW_TCR_DV360_DIS_PROG_CPM_CLK_SKY_IMC_RON_CXD_T-Croos-Lancamento-Consideracao-Display-T-cross-AudienciasCustomizadas_PD_300x600"/>
    <s v="442350204"/>
    <x v="2"/>
    <n v="1"/>
    <n v="1"/>
    <n v="3.8199999999999998E-2"/>
    <n v="0.09"/>
    <n v="3.82E-5"/>
    <x v="2"/>
  </r>
  <r>
    <s v="BR_IMC_DSY_PRESA_ND_NC_2019Q1FEB_TCR_Pre-Venda-T-Cross"/>
    <s v="Google Brasil"/>
    <s v="BR_VW_TCR_dv360-uol_DIS_PROG_CPM_STD__IMC_HTO_CXD_Pre-Venda-Tcross-AMC-Tcross_PD_1190x250-1190x460"/>
    <s v="240760095"/>
    <x v="1"/>
    <s v="BR_VW_TCR_dv360-uol_DIS_PROG_CPM_STD__IMC_HTO_CXD_Pre-Venda-Tcross-AMC-Tcross_PD_1190x250-1190x460"/>
    <s v="437502530"/>
    <x v="1"/>
    <n v="0"/>
    <n v="1"/>
    <n v="3.5000000000000001E-3"/>
    <n v="0.02"/>
    <n v="3.5000000000000001E-3"/>
    <x v="1"/>
  </r>
  <r>
    <s v="BR_IMC_DSY_PRESA_ND_NC_2019Q1FEB_TCR_Pre-Venda-T-Cross"/>
    <s v="Google Brasil"/>
    <s v="BR_VW_TCR_dv360-uol_MOB_PROG_CPM_STD_MPU_IMC_HTO_CXD_Pre-Venda-Tcross-AMC-Tcross_PD_300x450"/>
    <s v="240758661"/>
    <x v="1"/>
    <s v="BR_VW_TCR_dv360-uol_MOB_PROG_CPM_STD_MPU_IMC_HTO_CXD_Pre-Venda-Tcross-AMC-Tcross_PD_300x450"/>
    <s v="437502536"/>
    <x v="1"/>
    <n v="0"/>
    <n v="6"/>
    <n v="3.5000000000000001E-3"/>
    <n v="0.02"/>
    <n v="2.1000000000000001E-2"/>
    <x v="258"/>
  </r>
  <r>
    <s v="BR_IMC_DSY_PRESA_ND_NC_2019Q1FEB_TCR_Pre-Venda-T-Cross"/>
    <s v="Oath BR"/>
    <s v="BR_VW_TCR_oath_DIS_DRCT_CPM_CLK_SRB_IMC_RON_CXD_Pre-Venda-Tcross-AMC-Tcross_PD_1200x675"/>
    <s v="240503012"/>
    <x v="1"/>
    <s v="BR_VW_TCR_oath_DIS_DRCT_CPM_CLK_SRB_IMC_RON_CXD_Pre-Venda-Tcross-AMC-Tcross_PD_1200x675"/>
    <s v="437587771"/>
    <x v="1"/>
    <n v="9"/>
    <n v="11"/>
    <n v="3.5000000000000001E-3"/>
    <n v="0.02"/>
    <n v="3.85E-2"/>
    <x v="228"/>
  </r>
  <r>
    <s v="BR_IMC_DSY_PRESA_ND_NC_2019Q1FEB_TCR_Pre-Venda-T-Cross"/>
    <s v="Oath BR"/>
    <s v="BR_VW_TCR_oath_DIS_DRCT_CPM_CLK__IMC_RON_CXD_Pre-Venda-Tcross-AMC-Tcross_PD_627x627"/>
    <s v="240502745"/>
    <x v="1"/>
    <s v="BR_VW_TCR_oath_DIS_DRCT_CPM_CLK__IMC_RON_CXD_Pre-Venda-Tcross-AMC-Tcross_PD_627x627"/>
    <s v="437539160"/>
    <x v="1"/>
    <n v="5"/>
    <n v="12"/>
    <n v="3.5000000000000001E-3"/>
    <n v="0.02"/>
    <n v="4.2000000000000003E-2"/>
    <x v="327"/>
  </r>
  <r>
    <s v="BR_IMC_DSY_RUNOT_ND_NC_2019Q1MAR_AMV_VarejoAmarokMarco"/>
    <s v="br.linkedin.com"/>
    <s v="BR_VW_AMV_Linkedin_DIS_DRCT_CPC_STD_MPU_IMC_RON_CXD_Amarok-Varejo-Marco-Corporativo-CAMPO-InMail-NOVO-Amarok-AMC_PD_300x250"/>
    <s v="241650258"/>
    <x v="1"/>
    <s v="BR_VW_AMV_Linkedin_DIS_DRCT_CPC_STD_MPU_IMC_RON_CXD_Amarok-Varejo-Marco-Corporativo-CAMPO-InMail-NOVO-Amarok-AMC_PD_300x250"/>
    <s v="438310760"/>
    <x v="1"/>
    <n v="0"/>
    <n v="4"/>
    <n v="3.5000000000000001E-3"/>
    <n v="0.02"/>
    <n v="1.4E-2"/>
    <x v="260"/>
  </r>
  <r>
    <s v="BR_IMC_DSY_RUNOT_ND_NC_2019Q1MAR_AMV_VarejoAmarokMarco"/>
    <s v="br.linkedin.com"/>
    <s v="BR_VW_AMV_Linkedin_DIS_DRCT_CPC_STD_MPU_IMC_RON_CXD_Amarok-Varejo-Marco-Corporativo-CAMPO-OLD-InMail-Amarok-AMC_PD_300x250"/>
    <s v="241650282"/>
    <x v="1"/>
    <s v="BR_VW_AMV_Linkedin_DIS_DRCT_CPC_STD_MPU_IMC_RON_CXD_Amarok-Varejo-Marco-Corporativo-CAMPO-OLD-InMail-Amarok-AMC_PD_300x250"/>
    <s v="438310784"/>
    <x v="1"/>
    <n v="0"/>
    <n v="65"/>
    <n v="3.5000000000000001E-3"/>
    <n v="0.02"/>
    <n v="0.22750000000000001"/>
    <x v="328"/>
  </r>
  <r>
    <s v="BR_IMC_DSY_RUNOT_ND_NC_2019Q1MAR_AMV_VarejoAmarokMarco"/>
    <s v="br.linkedin.com"/>
    <s v="BR_VW_AMV_Linkedin_DIS_DRCT_CPC_STD_MPU_IMC_RON_CXD_Amarok-Varejo-Marco-Corporativo-CIDADE-InMail-NOVO-Amarok-AMC_PD_300x250"/>
    <s v="241650303"/>
    <x v="1"/>
    <s v="BR_VW_AMV_Linkedin_DIS_DRCT_CPC_STD_MPU_IMC_RON_CXD_Amarok-Varejo-Marco-Corporativo-CIDADE-InMail-NOVO-Amarok-AMC_PD_300x250"/>
    <s v="438310805"/>
    <x v="1"/>
    <n v="0"/>
    <n v="7"/>
    <n v="3.5000000000000001E-3"/>
    <n v="0.02"/>
    <n v="2.4500000000000001E-2"/>
    <x v="329"/>
  </r>
  <r>
    <s v="BR_IMC_SOC_LANCH_ND_NC_2019Q2APR_TCR_Launch-T-Cross-Consideracao-3"/>
    <s v="faceinsta"/>
    <s v="BR_VW_TCR_faceInsta_SOC_DRCT_CPM_CLK_SRB_IMC_RON_CXD_T-Croos-Lancamento-Consideracao-Social-T-cross-5-CRM_PD_1200x628"/>
    <s v="245750248"/>
    <x v="1"/>
    <s v="BR_VW_TCR_faceInsta_SOC_DRCT_CPM_CLK_SRB_IMC_RON_CXD_T-Croos-Lancamento-Consideracao-Social-T-cross-5-CRM_PD_1200x628"/>
    <s v="442283979"/>
    <x v="1"/>
    <n v="0"/>
    <n v="28269"/>
    <n v="3.5000000000000001E-3"/>
    <n v="0.02"/>
    <n v="98.941500000000005"/>
    <x v="330"/>
  </r>
  <r>
    <s v="BR_IMC_SOC_LANCH_ND_NC_2019Q2APR_TCR_Launch-T-Cross-Consideracao-3"/>
    <s v="faceinsta"/>
    <s v="BR_VW_TCR_faceInsta_SOC_DRCT_CPM_CLK_SRB_IMC_RON_CXD_T-Croos-Lancamento-Consideracao-Social-T-cross-In-Market_PD_1200x628"/>
    <s v="245750272"/>
    <x v="1"/>
    <s v="BR_VW_TCR_faceInsta_SOC_DRCT_CPM_CLK_SRB_IMC_RON_CXD_T-Croos-Lancamento-Consideracao-Social-T-cross-In-Market_PD_1200x628"/>
    <s v="442374875"/>
    <x v="1"/>
    <n v="0"/>
    <n v="77601"/>
    <n v="3.5000000000000001E-3"/>
    <n v="0.02"/>
    <n v="271.6035"/>
    <x v="331"/>
  </r>
  <r>
    <s v="BR_IMC_SOC_LANCH_ND_NC_2019Q2APR_TCR_Launch-T-Cross-Consideracao-3"/>
    <s v="faceinsta"/>
    <s v="BR_VW_TCR_faceInsta_SOC_DRCT_CPM_CLK_SRB_IMC_RON_CXD_T-Croos-Lancamento-Consideracao-Social-T-cross-RMKT-Receptiva_PD_1200x628"/>
    <s v="245750260"/>
    <x v="1"/>
    <s v="BR_VW_TCR_faceInsta_SOC_DRCT_CPM_CLK_SRB_IMC_RON_CXD_T-Croos-Lancamento-Consideracao-Social-T-cross-RMKT-Receptiva_PD_1200x628"/>
    <s v="442374863"/>
    <x v="1"/>
    <n v="0"/>
    <n v="21148"/>
    <n v="3.5000000000000001E-3"/>
    <n v="0.02"/>
    <n v="74.018000000000001"/>
    <x v="332"/>
  </r>
  <r>
    <s v="BR_IMC_SOC_LANCH_ND_NC_2019Q2APR_TCR_Launch-T-Cross-Consideracao-3"/>
    <s v="faceinsta"/>
    <s v="BR_VW_TCR_faceInsta_SOC_DRCT_CPV_CLK_MPU_IMC_RON_CXD_T-Croos-Lancamento-Consideracao-Social-New-T-cross-5-CRM_PD_Video"/>
    <s v="246126927"/>
    <x v="1"/>
    <s v="BR_VW_TCR_faceInsta_SOC_DRCT_CPV_CLK_MPU_IMC_RON_CXD_T-Croos-Lancamento-Consideracao-Social-New-T-cross-5-CRM_PD_Video"/>
    <s v="442533982"/>
    <x v="1"/>
    <n v="0"/>
    <n v="1"/>
    <n v="3.5000000000000001E-3"/>
    <n v="0.02"/>
    <n v="3.5000000000000001E-3"/>
    <x v="1"/>
  </r>
  <r>
    <s v="BR_IMC_SOC_LANCH_ND_NC_2019Q2APR_TCR_Launch-T-Cross-Consideracao-3"/>
    <s v="faceinsta"/>
    <s v="BR_VW_TCR_faceInsta_SOC_DRCT_CPV_CLK_MPU_IMC_RON_CXD_T-Croos-Lancamento-Consideracao-Social-New-T-cross-SUV-Lovers_PD_Video"/>
    <s v="246126921"/>
    <x v="1"/>
    <s v="BR_VW_TCR_faceInsta_SOC_DRCT_CPV_CLK_MPU_IMC_RON_CXD_T-Croos-Lancamento-Consideracao-Social-New-T-cross-SUV-Lovers_PD_Video"/>
    <s v="442533976"/>
    <x v="1"/>
    <n v="0"/>
    <n v="1"/>
    <n v="3.5000000000000001E-3"/>
    <n v="0.02"/>
    <n v="3.5000000000000001E-3"/>
    <x v="1"/>
  </r>
  <r>
    <s v="BR_IMC_SOC_LANCH_ND_NC_2019Q2APR_TCR_Launch-T-Cross-Consideracao-3"/>
    <s v="instagram.com"/>
    <s v="BR_VW_TCR_Instagram_SOC_DRCT_CPV_CLK_SRB_IMC_RON_CXD_T-Croos-Lancamento-Consideracao-Social-New-T-cross-5-CRM_PD_Stories"/>
    <s v="246126924"/>
    <x v="1"/>
    <s v="BR_VW_TCR_Instagram_SOC_DRCT_CPV_CLK_SRB_IMC_RON_CXD_T-Croos-Lancamento-Consideracao-Social-New-T-cross-5-CRM_PD_Stories"/>
    <s v="442533979"/>
    <x v="1"/>
    <n v="0"/>
    <n v="1"/>
    <n v="3.5000000000000001E-3"/>
    <n v="0.02"/>
    <n v="3.5000000000000001E-3"/>
    <x v="1"/>
  </r>
  <r>
    <s v="BR_IMC_SOC_NONMS_ND_UC_2019Q1MAR_AFS_Outlet-Pos-Vendas"/>
    <s v="Facebook"/>
    <s v="BR_VW_AFS_facebook_SOC_DRCT_CPM_STD_MXD_IMC_RON_CXD_Outlet-Pos-Vendas-Pos-Vendas-AMC-Reg1_PD_carrossel-landscape-"/>
    <s v="243048081"/>
    <x v="1"/>
    <s v="BR_VW_AFS_facebook_SOC_DRCT_CPM_STD_MXD_IMC_RON_CXD_Outlet-Pos-Vendas-Pos-Vendas-AMC-Reg1_PD_carrossel-landscape-"/>
    <s v="439550269"/>
    <x v="1"/>
    <n v="0"/>
    <n v="4"/>
    <n v="3.5000000000000001E-3"/>
    <n v="0.02"/>
    <n v="1.4E-2"/>
    <x v="260"/>
  </r>
  <r>
    <s v="BR_IMC_SOC_NONMS_ND_UC_2019Q1MAR_AFS_Outlet-Pos-Vendas"/>
    <s v="Facebook"/>
    <s v="BR_VW_AFS_facebook_SOC_DRCT_CPM_STD_MXD_IMC_RON_CXD_Outlet-Pos-Vendas-Pos-Vendas-AMC-Reg2_PD_carrossel-landscape-"/>
    <s v="243048078"/>
    <x v="1"/>
    <s v="BR_VW_AFS_facebook_SOC_DRCT_CPM_STD_MXD_IMC_RON_CXD_Outlet-Pos-Vendas-Pos-Vendas-AMC-Reg2_PD_carrossel-landscape-"/>
    <s v="439550266"/>
    <x v="1"/>
    <n v="0"/>
    <n v="21"/>
    <n v="3.5000000000000001E-3"/>
    <n v="0.02"/>
    <n v="7.3499999999999996E-2"/>
    <x v="333"/>
  </r>
  <r>
    <s v="BR_IMC_SOC_NONMS_ND_UC_2019Q1MAR_AFS_Outlet-Pos-Vendas"/>
    <s v="Facebook"/>
    <s v="BR_VW_AFS_facebook_SOC_DRCT_CPM_STD_MXD_IMC_RON_CXD_Outlet-Pos-Vendas-Pos-Vendas-AMC-Reg3_PD_carrossel-landscape-"/>
    <s v="243048075"/>
    <x v="1"/>
    <s v="BR_VW_AFS_facebook_SOC_DRCT_CPM_STD_MXD_IMC_RON_CXD_Outlet-Pos-Vendas-Pos-Vendas-AMC-Reg3_PD_carrossel-landscape-"/>
    <s v="439550263"/>
    <x v="1"/>
    <n v="0"/>
    <n v="15"/>
    <n v="3.5000000000000001E-3"/>
    <n v="0.02"/>
    <n v="5.2499999999999998E-2"/>
    <x v="313"/>
  </r>
  <r>
    <s v="BR_IMC_SOC_NONMS_ND_UC_2019Q1MAR_AFS_Outlet-Pos-Vendas"/>
    <s v="Facebook"/>
    <s v="BR_VW_AFS_facebook_SOC_DRCT_CPM_STD_MXD_IMC_RON_CXD_Outlet-Pos-Vendas-Pos-Vendas-AMC-Reg4_PD_carrossel-landscape-"/>
    <s v="243048072"/>
    <x v="1"/>
    <s v="BR_VW_AFS_facebook_SOC_DRCT_CPM_STD_MXD_IMC_RON_CXD_Outlet-Pos-Vendas-Pos-Vendas-AMC-Reg4_PD_carrossel-landscape-"/>
    <s v="439550260"/>
    <x v="1"/>
    <n v="0"/>
    <n v="12"/>
    <n v="3.5000000000000001E-3"/>
    <n v="0.02"/>
    <n v="4.2000000000000003E-2"/>
    <x v="327"/>
  </r>
  <r>
    <s v="BR_IMC_SOC_NONMS_ND_UC_2019Q1MAR_AFS_Outlet-Pos-Vendas"/>
    <s v="Facebook"/>
    <s v="BR_VW_AFS_facebook_SOC_DRCT_CPM_STD_MXD_IMC_RON_CXD_Outlet-Pos-Vendas-Pos-Vendas-AMC-Reg5_PD_carrossel-landscape-"/>
    <s v="243048069"/>
    <x v="1"/>
    <s v="BR_VW_AFS_facebook_SOC_DRCT_CPM_STD_MXD_IMC_RON_CXD_Outlet-Pos-Vendas-Pos-Vendas-AMC-Reg5_PD_carrossel-landscape-"/>
    <s v="439550257"/>
    <x v="1"/>
    <n v="0"/>
    <n v="14"/>
    <n v="3.5000000000000001E-3"/>
    <n v="0.02"/>
    <n v="4.9000000000000002E-2"/>
    <x v="290"/>
  </r>
  <r>
    <s v="BR_IMC_SOC_NONMS_ND_UC_2019Q1MAR_AFS_Outlet-Pos-Vendas"/>
    <s v="Facebook"/>
    <s v="BR_VW_AFS_facebook_SOC_DRCT_CPM_STD_MXD_IMC_RON_CXD_Outlet-Pos-Vendas-Pos-Vendas-AMC-Reg6_PD_carrossel-landscape-"/>
    <s v="243048066"/>
    <x v="1"/>
    <s v="BR_VW_AFS_facebook_SOC_DRCT_CPM_STD_MXD_IMC_RON_CXD_Outlet-Pos-Vendas-Pos-Vendas-AMC-Reg6_PD_carrossel-landscape-"/>
    <s v="439550254"/>
    <x v="1"/>
    <n v="0"/>
    <n v="14"/>
    <n v="3.5000000000000001E-3"/>
    <n v="0.02"/>
    <n v="4.9000000000000002E-2"/>
    <x v="290"/>
  </r>
  <r>
    <s v="BR_IMC_SOC_NONMS_ND_UC_2019Q1MAR_AFS_Outlet-Pos-Vendas"/>
    <s v="Facebook"/>
    <s v="BR_VW_AFS_facebook_SOC_DRCT_CPM_STD_MXD_IMC_RON_CXD_Outlet-Pos-Vendas-Pos-Vendas-AMC-Reg7_PD_carrossel-landscape-"/>
    <s v="243048063"/>
    <x v="1"/>
    <s v="BR_VW_AFS_facebook_SOC_DRCT_CPM_STD_MXD_IMC_RON_CXD_Outlet-Pos-Vendas-Pos-Vendas-AMC-Reg7_PD_carrossel-landscape-"/>
    <s v="439550251"/>
    <x v="1"/>
    <n v="0"/>
    <n v="15"/>
    <n v="3.5000000000000001E-3"/>
    <n v="0.02"/>
    <n v="5.2499999999999998E-2"/>
    <x v="313"/>
  </r>
  <r>
    <s v="BR_IMC_SOC_NONMS_ND_UC_2019Q1MAR_AFS_Outlet-Pos-Vendas"/>
    <s v="Facebook"/>
    <s v="BR_VW_AFS_facebook_SOC_DRCT_CPM_STD_SRB_IMC_RON_CXD_Outlet-Pos-Vendas-Pos-Vendas-AMC_PD_PagePost"/>
    <s v="243048084"/>
    <x v="1"/>
    <s v="BR_VW_AFS_facebook_SOC_DRCT_CPM_STD_SRB_IMC_RON_CXD_Outlet-Pos-Vendas-Pos-Vendas-AMC_PD_PagePost"/>
    <s v="439550272"/>
    <x v="1"/>
    <n v="0"/>
    <n v="55"/>
    <n v="3.5000000000000001E-3"/>
    <n v="0.02"/>
    <n v="0.1925"/>
    <x v="334"/>
  </r>
  <r>
    <s v="BR_IMC_SOC_PRESA_ND_NC_2019Q1FEB_TCR_Pre-Venda-T-Cross"/>
    <s v="faceinsta"/>
    <s v="BR_VW_TCR_faceinsta_SOC_DRCT_CPM_CLK_SRB_IMC_ROS_CXD_Pre-Venda-Tcross-AMC-Tcross_PD_1200x628"/>
    <s v="240533722"/>
    <x v="1"/>
    <s v="BR_VW_TCR_faceinsta_SOC_DRCT_CPM_CLK_SRB_IMC_ROS_CXD_Pre-Venda-Tcross-AMC-Tcross_PD_1200x628"/>
    <s v="437461146"/>
    <x v="1"/>
    <n v="0"/>
    <n v="69"/>
    <n v="3.5000000000000001E-3"/>
    <n v="0.02"/>
    <n v="0.24149999999999999"/>
    <x v="335"/>
  </r>
  <r>
    <s v="BR_TAT_DSY_NONMS_ND_NC_2019Q1FEB_RNG_AlwaysOn"/>
    <s v="GSP"/>
    <s v="BR_VW_RNG_gsp_DIS_DRCT_CPC_CLK_MPU_TAT_RON_CXD_fox-xtreme-Rmkt-View-content_PD_email"/>
    <s v="242986564"/>
    <x v="1"/>
    <s v="BR_VW_RNG_gsp_DIS_DRCT_CPC_CLK_MPU_TAT_RON_CXD_fox-xtreme-Rmkt-View-content_PD_email"/>
    <s v="439684066"/>
    <x v="1"/>
    <n v="0"/>
    <n v="1107"/>
    <n v="3.5000000000000001E-3"/>
    <n v="0.02"/>
    <n v="3.8745000000000003"/>
    <x v="336"/>
  </r>
  <r>
    <s v="BR_TAT_DSY_NONMS_ND_NC_2019Q1FEB_RNG_AlwaysOn"/>
    <s v="GSP"/>
    <s v="BR_VW_RNG_gsp_DIS_DRCT_CPC_CLK_MPU_TAT_RON_CXD_gol-Rmkt-View-content_PD_email"/>
    <s v="242986567"/>
    <x v="1"/>
    <s v="BR_VW_RNG_gsp_DIS_DRCT_CPC_CLK_MPU_TAT_RON_CXD_gol-Rmkt-View-content_PD_email"/>
    <s v="439684069"/>
    <x v="1"/>
    <n v="0"/>
    <n v="3018"/>
    <n v="3.5000000000000001E-3"/>
    <n v="0.02"/>
    <n v="10.563000000000001"/>
    <x v="337"/>
  </r>
  <r>
    <s v="BR_TAT_DSY_NONMS_ND_NC_2019Q1FEB_RNG_AlwaysOn"/>
    <s v="GSP"/>
    <s v="BR_VW_RNG_gsp_DIS_DRCT_CPC_CLK_MPU_TAT_RON_CXD_jetta-Rmkt-View-content_PD_email"/>
    <s v="242986570"/>
    <x v="1"/>
    <s v="BR_VW_RNG_gsp_DIS_DRCT_CPC_CLK_MPU_TAT_RON_CXD_jetta-Rmkt-View-content_PD_email"/>
    <s v="439684072"/>
    <x v="1"/>
    <n v="0"/>
    <n v="10894"/>
    <n v="3.5000000000000001E-3"/>
    <n v="0.02"/>
    <n v="38.128999999999998"/>
    <x v="338"/>
  </r>
  <r>
    <s v="BR_TAT_DSY_NONMS_ND_NC_2019Q1FEB_RNG_AlwaysOn"/>
    <s v="GSP"/>
    <s v="BR_VW_RNG_gsp_DIS_DRCT_CPC_CLK_MPU_TAT_RON_CXD_passat-Rmkt-View-content_PD_email"/>
    <s v="242986573"/>
    <x v="1"/>
    <s v="BR_VW_RNG_gsp_DIS_DRCT_CPC_CLK_MPU_TAT_RON_CXD_passat-Rmkt-View-content_PD_email"/>
    <s v="439684075"/>
    <x v="1"/>
    <n v="0"/>
    <n v="1052"/>
    <n v="3.5000000000000001E-3"/>
    <n v="0.02"/>
    <n v="3.6819999999999999"/>
    <x v="339"/>
  </r>
  <r>
    <s v="BR_TAT_DSY_NONMS_ND_NC_2019Q1FEB_RNG_AlwaysOn"/>
    <s v="GSP"/>
    <s v="BR_VW_RNG_gsp_DIS_DRCT_CPC_CLK_MPU_TAT_RON_CXD_polo-Rmkt-View-content_PD_email"/>
    <s v="242986576"/>
    <x v="1"/>
    <s v="BR_VW_RNG_gsp_DIS_DRCT_CPC_CLK_MPU_TAT_RON_CXD_polo-Rmkt-View-content_PD_email"/>
    <s v="439684078"/>
    <x v="1"/>
    <n v="0"/>
    <n v="2563"/>
    <n v="3.5000000000000001E-3"/>
    <n v="0.02"/>
    <n v="8.9704999999999995"/>
    <x v="340"/>
  </r>
  <r>
    <s v="BR_TAT_DSY_NONMS_ND_NC_2019Q1FEB_RNG_AlwaysOn"/>
    <s v="GSP"/>
    <s v="BR_VW_RNG_gsp_DIS_DRCT_CPC_CLK_MPU_TAT_RON_CXD_saveiro-Rmkt-View-content_PD_email"/>
    <s v="242986579"/>
    <x v="1"/>
    <s v="BR_VW_RNG_gsp_DIS_DRCT_CPC_CLK_MPU_TAT_RON_CXD_saveiro-Rmkt-View-content_PD_email"/>
    <s v="439684081"/>
    <x v="1"/>
    <n v="0"/>
    <n v="803"/>
    <n v="3.5000000000000001E-3"/>
    <n v="0.02"/>
    <n v="2.8105000000000002"/>
    <x v="341"/>
  </r>
  <r>
    <s v="BR_TAT_DSY_NONMS_ND_NC_2019Q1FEB_RNG_AlwaysOn"/>
    <s v="GSP"/>
    <s v="BR_VW_RNG_gsp_DIS_DRCT_CPC_CLK_MPU_TAT_RON_CXD_tiguan-Rmkt-View-content_PD_email"/>
    <s v="242986582"/>
    <x v="1"/>
    <s v="BR_VW_RNG_gsp_DIS_DRCT_CPC_CLK_MPU_TAT_RON_CXD_tiguan-Rmkt-View-content_PD_email"/>
    <s v="439684084"/>
    <x v="1"/>
    <n v="0"/>
    <n v="1777"/>
    <n v="3.5000000000000001E-3"/>
    <n v="0.02"/>
    <n v="6.2195"/>
    <x v="342"/>
  </r>
  <r>
    <s v="BR_TAT_DSY_NONMS_ND_NC_2019Q1FEB_RNG_AlwaysOn"/>
    <s v="GSP"/>
    <s v="BR_VW_RNG_gsp_DIS_DRCT_CPC_CLK_MPU_TAT_RON_CXD_up-Rmkt-View-content_PD_email"/>
    <s v="242986585"/>
    <x v="1"/>
    <s v="BR_VW_RNG_gsp_DIS_DRCT_CPC_CLK_MPU_TAT_RON_CXD_up-Rmkt-View-content_PD_email"/>
    <s v="439684087"/>
    <x v="1"/>
    <n v="0"/>
    <n v="704"/>
    <n v="3.5000000000000001E-3"/>
    <n v="0.02"/>
    <n v="2.464"/>
    <x v="343"/>
  </r>
  <r>
    <s v="BR_TAT_DSY_NONMS_ND_NC_2019Q1FEB_RNG_AlwaysOn"/>
    <s v="GSP"/>
    <s v="BR_VW_RNG_gsp_DIS_DRCT_CPC_CLK_MPU_TAT_RON_CXD_virtus-Rmkt-View-content_PD_email"/>
    <s v="242986588"/>
    <x v="1"/>
    <s v="BR_VW_RNG_gsp_DIS_DRCT_CPC_CLK_MPU_TAT_RON_CXD_virtus-Rmkt-View-content_PD_email"/>
    <s v="439684090"/>
    <x v="1"/>
    <n v="0"/>
    <n v="1850"/>
    <n v="3.5000000000000001E-3"/>
    <n v="0.02"/>
    <n v="6.4750000000000005"/>
    <x v="344"/>
  </r>
  <r>
    <s v="BR_TAT_DSY_NONMS_ND_NC_2019Q1FEB_RNG_AlwaysOn"/>
    <s v="GSP"/>
    <s v="BR_VW_RNG_gsp_DIS_DRCT_CPC_CLK_MPU_TAT_RON_CXD_voyage-Rmkt-View-content_PD_email"/>
    <s v="242992600"/>
    <x v="1"/>
    <s v="BR_VW_RNG_gsp_DIS_DRCT_CPC_CLK_MPU_TAT_RON_CXD_voyage-Rmkt-View-content_PD_email"/>
    <s v="439684093"/>
    <x v="1"/>
    <n v="0"/>
    <n v="4130"/>
    <n v="3.5000000000000001E-3"/>
    <n v="0.02"/>
    <n v="14.455"/>
    <x v="345"/>
  </r>
  <r>
    <s v="BR_TAT_DSY_NONMS_ND_NC_2019Q1FEB_RNG_AlwaysOn"/>
    <s v="Google Brasil"/>
    <s v="BR_VW_RNG_dv360_DIS_PROG_CPM_CAI_MXD_TAT_RON_CXD_Amarok-Rmkt_PD_nativeads"/>
    <s v="243647042"/>
    <x v="3"/>
    <s v="BR_VW_RNG_dv360_DIS_PROG_CPM_CAI_MXD_TAT_RON_CXD_Amarok-Rmkt_PD_nativeads"/>
    <s v="440462506"/>
    <x v="1"/>
    <n v="515621"/>
    <n v="2704"/>
    <n v="3.8199999999999998E-2"/>
    <n v="0.09"/>
    <n v="19.6967222"/>
    <x v="346"/>
  </r>
  <r>
    <s v="BR_TAT_DSY_NONMS_ND_NC_2019Q1FEB_RNG_AlwaysOn"/>
    <s v="Google Brasil"/>
    <s v="BR_VW_RNG_dv360_DIS_PROG_CPM_CAI_MXD_TAT_RON_CXD_FoxConnect-Rmkt_PD_nativeads"/>
    <s v="243647039"/>
    <x v="3"/>
    <s v="BR_VW_RNG_dv360_DIS_PROG_CPM_CAI_MXD_TAT_RON_CXD_FoxConnect-Rmkt_PD_nativeads"/>
    <s v="440462503"/>
    <x v="1"/>
    <n v="351450"/>
    <n v="1926"/>
    <n v="3.8199999999999998E-2"/>
    <n v="0.09"/>
    <n v="13.42539"/>
    <x v="347"/>
  </r>
  <r>
    <s v="BR_TAT_DSY_NONMS_ND_NC_2019Q1FEB_RNG_AlwaysOn"/>
    <s v="Google Brasil"/>
    <s v="BR_VW_RNG_dv360_DIS_PROG_CPM_CAI_MXD_TAT_RON_CXD_FoxXtreme-Rmkt_PD_nativeads"/>
    <s v="243647036"/>
    <x v="3"/>
    <s v="BR_VW_RNG_dv360_DIS_PROG_CPM_CAI_MXD_TAT_RON_CXD_FoxXtreme-Rmkt_PD_nativeads"/>
    <s v="440462500"/>
    <x v="1"/>
    <n v="288161"/>
    <n v="1781"/>
    <n v="3.8199999999999998E-2"/>
    <n v="0.09"/>
    <n v="11.007750199999998"/>
    <x v="348"/>
  </r>
  <r>
    <s v="BR_TAT_DSY_NONMS_ND_NC_2019Q1FEB_RNG_AlwaysOn"/>
    <s v="Google Brasil"/>
    <s v="BR_VW_RNG_dv360_DIS_PROG_CPM_CAI_MXD_TAT_RON_CXD_Gol-Rmkt_PD_nativeads"/>
    <s v="243647033"/>
    <x v="3"/>
    <s v="BR_VW_RNG_dv360_DIS_PROG_CPM_CAI_MXD_TAT_RON_CXD_Gol-Rmkt_PD_nativeads"/>
    <s v="440462497"/>
    <x v="1"/>
    <n v="22315"/>
    <n v="30"/>
    <n v="3.8199999999999998E-2"/>
    <n v="0.09"/>
    <n v="0.852433"/>
    <x v="349"/>
  </r>
  <r>
    <s v="BR_TAT_DSY_NONMS_ND_NC_2019Q1FEB_RNG_AlwaysOn"/>
    <s v="Google Brasil"/>
    <s v="BR_VW_RNG_dv360_DIS_PROG_CPM_CAI_MXD_TAT_RON_CXD_Jetta-Rmkt_PD_nativeads"/>
    <s v="243647030"/>
    <x v="3"/>
    <s v="BR_VW_RNG_dv360_DIS_PROG_CPM_CAI_MXD_TAT_RON_CXD_Jetta-Rmkt_PD_nativeads"/>
    <s v="440462494"/>
    <x v="1"/>
    <n v="206559"/>
    <n v="1034"/>
    <n v="3.8199999999999998E-2"/>
    <n v="0.09"/>
    <n v="7.8905537999999993"/>
    <x v="350"/>
  </r>
  <r>
    <s v="BR_TAT_DSY_NONMS_ND_NC_2019Q1FEB_RNG_AlwaysOn"/>
    <s v="Google Brasil"/>
    <s v="BR_VW_RNG_dv360_DIS_PROG_CPM_CAI_MXD_TAT_RON_CXD_Passat-Rmkt_PD_nativeads"/>
    <s v="243647027"/>
    <x v="3"/>
    <s v="BR_VW_RNG_dv360_DIS_PROG_CPM_CAI_MXD_TAT_RON_CXD_Passat-Rmkt_PD_nativeads"/>
    <s v="440462491"/>
    <x v="1"/>
    <n v="259752"/>
    <n v="2353"/>
    <n v="3.8199999999999998E-2"/>
    <n v="0.09"/>
    <n v="9.9225263999999989"/>
    <x v="351"/>
  </r>
  <r>
    <s v="BR_TAT_DSY_NONMS_ND_NC_2019Q1FEB_RNG_AlwaysOn"/>
    <s v="Google Brasil"/>
    <s v="BR_VW_RNG_dv360_DIS_PROG_CPM_CAI_MXD_TAT_RON_CXD_Polo-Rmkt_PD_nativeads"/>
    <s v="243647024"/>
    <x v="3"/>
    <s v="BR_VW_RNG_dv360_DIS_PROG_CPM_CAI_MXD_TAT_RON_CXD_Polo-Rmkt_PD_nativeads"/>
    <s v="440462488"/>
    <x v="1"/>
    <n v="195464"/>
    <n v="455"/>
    <n v="3.8199999999999998E-2"/>
    <n v="0.09"/>
    <n v="7.4667247999999997"/>
    <x v="352"/>
  </r>
  <r>
    <s v="BR_TAT_DSY_NONMS_ND_NC_2019Q1FEB_RNG_AlwaysOn"/>
    <s v="Google Brasil"/>
    <s v="BR_VW_RNG_dv360_DIS_PROG_CPM_CAI_MXD_TAT_RON_CXD_Saveiro-Rmkt_PD_nativeads"/>
    <s v="243647021"/>
    <x v="3"/>
    <s v="BR_VW_RNG_dv360_DIS_PROG_CPM_CAI_MXD_TAT_RON_CXD_Saveiro-Rmkt_PD_nativeads"/>
    <s v="440462485"/>
    <x v="1"/>
    <n v="269252"/>
    <n v="1390"/>
    <n v="3.8199999999999998E-2"/>
    <n v="0.09"/>
    <n v="10.2854264"/>
    <x v="353"/>
  </r>
  <r>
    <s v="BR_TAT_DSY_NONMS_ND_NC_2019Q1FEB_RNG_AlwaysOn"/>
    <s v="Google Brasil"/>
    <s v="BR_VW_RNG_dv360_DIS_PROG_CPM_CAI_MXD_TAT_RON_CXD_SaveiroPepper-Rmkt_PD_nativeads"/>
    <s v="243647018"/>
    <x v="3"/>
    <s v="BR_VW_RNG_dv360_DIS_PROG_CPM_CAI_MXD_TAT_RON_CXD_SaveiroPepper-Rmkt_PD_nativeads"/>
    <s v="440462482"/>
    <x v="1"/>
    <n v="211026"/>
    <n v="1666"/>
    <n v="3.8199999999999998E-2"/>
    <n v="0.09"/>
    <n v="8.0611931999999999"/>
    <x v="354"/>
  </r>
  <r>
    <s v="BR_TAT_DSY_NONMS_ND_NC_2019Q1FEB_RNG_AlwaysOn"/>
    <s v="Google Brasil"/>
    <s v="BR_VW_RNG_dv360_DIS_PROG_CPM_CAI_MXD_TAT_RON_CXD_Tiguan-Rmkt_PD_nativeads"/>
    <s v="243647015"/>
    <x v="3"/>
    <s v="BR_VW_RNG_dv360_DIS_PROG_CPM_CAI_MXD_TAT_RON_CXD_Tiguan-Rmkt_PD_nativeads"/>
    <s v="440462479"/>
    <x v="1"/>
    <n v="76633"/>
    <n v="453"/>
    <n v="3.8199999999999998E-2"/>
    <n v="0.09"/>
    <n v="2.9273805999999998"/>
    <x v="355"/>
  </r>
  <r>
    <s v="BR_TAT_DSY_NONMS_ND_NC_2019Q1FEB_RNG_AlwaysOn"/>
    <s v="Google Brasil"/>
    <s v="BR_VW_RNG_dv360_DIS_PROG_CPM_CAI_MXD_TAT_RON_CXD_UP-Rmkt_PD_nativeads"/>
    <s v="243647009"/>
    <x v="3"/>
    <s v="BR_VW_RNG_dv360_DIS_PROG_CPM_CAI_MXD_TAT_RON_CXD_UP-Rmkt_PD_nativeads"/>
    <s v="440462473"/>
    <x v="1"/>
    <n v="236284"/>
    <n v="1378"/>
    <n v="3.8199999999999998E-2"/>
    <n v="0.09"/>
    <n v="9.0260487999999981"/>
    <x v="356"/>
  </r>
  <r>
    <s v="BR_TAT_DSY_NONMS_ND_NC_2019Q1FEB_RNG_AlwaysOn"/>
    <s v="Google Brasil"/>
    <s v="BR_VW_RNG_dv360_DIS_PROG_CPM_CAI_MXD_TAT_RON_CXD_UPPepper-Rmkt_PD_nativeads"/>
    <s v="243647012"/>
    <x v="3"/>
    <s v="BR_VW_RNG_dv360_DIS_PROG_CPM_CAI_MXD_TAT_RON_CXD_UPPepper-Rmkt_PD_nativeads"/>
    <s v="440462476"/>
    <x v="1"/>
    <n v="327852"/>
    <n v="1914"/>
    <n v="3.8199999999999998E-2"/>
    <n v="0.09"/>
    <n v="12.523946399999998"/>
    <x v="357"/>
  </r>
  <r>
    <s v="BR_TAT_DSY_NONMS_ND_NC_2019Q1FEB_RNG_AlwaysOn"/>
    <s v="Google Brasil"/>
    <s v="BR_VW_RNG_dv360_DIS_PROG_CPM_CAI_MXD_TAT_RON_CXD_Varejo-Outlet-Rmkt_PD_nativeads"/>
    <s v="242131825"/>
    <x v="3"/>
    <s v="BR_VW_RNG_dv360_DIS_PROG_CPM_CAI_MXD_TAT_RON_CXD_Varejo-Outlet-Rmkt_PD_nativeads"/>
    <s v="438877305"/>
    <x v="1"/>
    <n v="8"/>
    <n v="0"/>
    <n v="3.8199999999999998E-2"/>
    <n v="0.09"/>
    <n v="3.056E-4"/>
    <x v="153"/>
  </r>
  <r>
    <s v="BR_TAT_DSY_NONMS_ND_NC_2019Q1FEB_RNG_AlwaysOn"/>
    <s v="Google Brasil"/>
    <s v="BR_VW_RNG_dv360_DIS_PROG_CPM_CAI_MXD_TAT_RON_CXD_Varejo-Rmkt_PD_nativeads"/>
    <s v="244368827"/>
    <x v="3"/>
    <s v="BR_VW_RNG_dv360_DIS_PROG_CPM_CAI_MXD_TAT_RON_CXD_Varejo-Rmkt_PD_nativeads"/>
    <s v="441309275"/>
    <x v="1"/>
    <n v="2458496"/>
    <n v="22434"/>
    <n v="3.8199999999999998E-2"/>
    <n v="0.09"/>
    <n v="93.914547200000001"/>
    <x v="358"/>
  </r>
  <r>
    <s v="BR_TAT_DSY_NONMS_ND_NC_2019Q1FEB_RNG_AlwaysOn"/>
    <s v="Google Brasil"/>
    <s v="BR_VW_RNG_dv360_DIS_PROG_CPM_CAI_MXD_TAT_RON_CXD_Virtus-Rmkt_PD_nativeads"/>
    <s v="243647006"/>
    <x v="3"/>
    <s v="BR_VW_RNG_dv360_DIS_PROG_CPM_CAI_MXD_TAT_RON_CXD_Virtus-Rmkt_PD_nativeads"/>
    <s v="440462470"/>
    <x v="1"/>
    <n v="33000"/>
    <n v="120"/>
    <n v="3.8199999999999998E-2"/>
    <n v="0.09"/>
    <n v="1.2605999999999999"/>
    <x v="359"/>
  </r>
  <r>
    <s v="BR_TAT_DSY_NONMS_ND_NC_2019Q1FEB_RNG_AlwaysOn"/>
    <s v="Google Brasil"/>
    <s v="BR_VW_RNG_dv360_DIS_PROG_CPM_CAI_MXD_TAT_RON_CXD_Voyage-Rmkt_PD_nativeads"/>
    <s v="243647003"/>
    <x v="3"/>
    <s v="BR_VW_RNG_dv360_DIS_PROG_CPM_CAI_MXD_TAT_RON_CXD_Voyage-Rmkt_PD_nativeads"/>
    <s v="440462467"/>
    <x v="1"/>
    <n v="256636"/>
    <n v="1411"/>
    <n v="3.8199999999999998E-2"/>
    <n v="0.09"/>
    <n v="9.8034951999999986"/>
    <x v="360"/>
  </r>
  <r>
    <s v="BR_TAT_DSY_NONMS_ND_NC_2019Q1FEB_RNG_AlwaysOn"/>
    <s v="Google Brasil"/>
    <s v="BR_VW_RNG_dv360_DIS_PROG_CPM_STD_LDR_TAT_RON_CXD_Incentivo-Incentivo_PD_728x90"/>
    <s v="243014669"/>
    <x v="2"/>
    <s v="728x90 Default Web Ad"/>
    <s v="437090088"/>
    <x v="2"/>
    <n v="3094"/>
    <n v="6"/>
    <n v="3.8199999999999998E-2"/>
    <n v="0.09"/>
    <n v="0.1181908"/>
    <x v="361"/>
  </r>
  <r>
    <s v="BR_TAT_DSY_NONMS_ND_NC_2019Q1FEB_RNG_AlwaysOn"/>
    <s v="Google Brasil"/>
    <s v="BR_VW_RNG_dv360_DIS_PROG_CPM_STD_LDR_TAT_RON_CXD_Incentivo-Incentivo_PD_728x90"/>
    <s v="243014669"/>
    <x v="4"/>
    <s v="BR_VW_RNG_dv360_DIS_PROG_CPM_STD_LDR_TAT_RON_CXD_Incentivo-Incentivo_PD_728x90"/>
    <s v="439861684"/>
    <x v="3"/>
    <n v="2269789"/>
    <n v="6892"/>
    <n v="0.91"/>
    <n v="0.35"/>
    <n v="2065.5079900000001"/>
    <x v="362"/>
  </r>
  <r>
    <s v="BR_TAT_DSY_NONMS_ND_NC_2019Q1FEB_RNG_AlwaysOn"/>
    <s v="Google Brasil"/>
    <s v="BR_VW_RNG_dv360_DIS_PROG_CPM_STD_LDR_TAT_RON_CXD_Incentivo-Incentivo_PD_970x250"/>
    <s v="243014666"/>
    <x v="2"/>
    <s v="970x250 Default Web Ad"/>
    <s v="437091462"/>
    <x v="2"/>
    <n v="2327"/>
    <n v="7"/>
    <n v="3.8199999999999998E-2"/>
    <n v="0.09"/>
    <n v="8.8891399999999995E-2"/>
    <x v="363"/>
  </r>
  <r>
    <s v="BR_TAT_DSY_NONMS_ND_NC_2019Q1FEB_RNG_AlwaysOn"/>
    <s v="Google Brasil"/>
    <s v="BR_VW_RNG_dv360_DIS_PROG_CPM_STD_LDR_TAT_RON_CXD_Incentivo-Incentivo_PD_970x250"/>
    <s v="243014666"/>
    <x v="4"/>
    <s v="BR_VW_RNG_dv360_DIS_PROG_CPM_STD_LDR_TAT_RON_CXD_Incentivo-Incentivo_PD_970x250"/>
    <s v="439861687"/>
    <x v="3"/>
    <n v="1440089"/>
    <n v="2383"/>
    <n v="0.91"/>
    <n v="0.35"/>
    <n v="1310.48099"/>
    <x v="364"/>
  </r>
  <r>
    <s v="BR_TAT_DSY_NONMS_ND_NC_2019Q1FEB_RNG_AlwaysOn"/>
    <s v="Google Brasil"/>
    <s v="BR_VW_RNG_dv360_DIS_PROG_CPM_STD_LDR_TAT_RON_CXD_PosLead-PosLead_PD_728x90"/>
    <s v="239904113"/>
    <x v="2"/>
    <s v="728x90 Default Web Ad"/>
    <s v="437090088"/>
    <x v="2"/>
    <n v="34"/>
    <n v="0"/>
    <n v="3.8199999999999998E-2"/>
    <n v="0.09"/>
    <n v="1.2987999999999999E-3"/>
    <x v="365"/>
  </r>
  <r>
    <s v="BR_TAT_DSY_NONMS_ND_NC_2019Q1FEB_RNG_AlwaysOn"/>
    <s v="Google Brasil"/>
    <s v="BR_VW_RNG_dv360_DIS_PROG_CPM_STD_LDR_TAT_RON_CXD_PosLead-PosLead_PD_728x90"/>
    <s v="239904113"/>
    <x v="4"/>
    <s v="BR_VW_RNG_dv360_DIS_PROG_CPM_STD_LDR_TAT_RON_CXD_PosLead-PosLead_PD_728x90"/>
    <s v="437045777"/>
    <x v="3"/>
    <n v="26097"/>
    <n v="25"/>
    <n v="0.91"/>
    <n v="0.35"/>
    <n v="23.748270000000002"/>
    <x v="366"/>
  </r>
  <r>
    <s v="BR_TAT_DSY_NONMS_ND_NC_2019Q1FEB_RNG_AlwaysOn"/>
    <s v="Google Brasil"/>
    <s v="BR_VW_RNG_dv360_DIS_PROG_CPM_STD_LDR_TAT_RON_CXD_PosLead-PosLead_PD_970x250"/>
    <s v="240230097"/>
    <x v="2"/>
    <s v="970x250 Default Web Ad"/>
    <s v="437091462"/>
    <x v="2"/>
    <n v="16"/>
    <n v="0"/>
    <n v="3.8199999999999998E-2"/>
    <n v="0.09"/>
    <n v="6.112E-4"/>
    <x v="367"/>
  </r>
  <r>
    <s v="BR_TAT_DSY_NONMS_ND_NC_2019Q1FEB_RNG_AlwaysOn"/>
    <s v="Google Brasil"/>
    <s v="BR_VW_RNG_dv360_DIS_PROG_CPM_STD_LDR_TAT_RON_CXD_PosLead-PosLead_PD_970x250"/>
    <s v="240230097"/>
    <x v="4"/>
    <s v="BR_VW_RNG_dv360_DIS_PROG_CPM_STD_LDR_TAT_RON_CXD_PosLead-PosLead_PD_970x250"/>
    <s v="437003253"/>
    <x v="3"/>
    <n v="7355"/>
    <n v="37"/>
    <n v="0.91"/>
    <n v="0.35"/>
    <n v="6.6930500000000004"/>
    <x v="368"/>
  </r>
  <r>
    <s v="BR_TAT_DSY_NONMS_ND_NC_2019Q1FEB_RNG_AlwaysOn"/>
    <s v="Google Brasil"/>
    <s v="BR_VW_RNG_dv360_DIS_PROG_CPM_STD_LDR_TAT_RON_CXD_Reg01-Ad01_PD_728x90"/>
    <s v="242627593"/>
    <x v="3"/>
    <s v="BR_VW_RNG_dv360_DIS_PROG_CPM_STD_LDR_TAT_RON_CXD_Jetta-Reg01-Ad01_PD_728x90"/>
    <s v="439244139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LDR_TAT_RON_CXD_Reg01-Ad01_PD_728x90"/>
    <s v="242627593"/>
    <x v="3"/>
    <s v="BR_VW_RNG_dv360_DIS_PROG_CPM_STD_LDR_TAT_RON_CXD_Virtus-Reg01-Ad01_PD_728x90"/>
    <s v="442104876"/>
    <x v="2"/>
    <n v="10636"/>
    <n v="31"/>
    <n v="3.8199999999999998E-2"/>
    <n v="0.09"/>
    <n v="0.40629519999999997"/>
    <x v="369"/>
  </r>
  <r>
    <s v="BR_TAT_DSY_NONMS_ND_NC_2019Q1FEB_RNG_AlwaysOn"/>
    <s v="Google Brasil"/>
    <s v="BR_VW_RNG_dv360_DIS_PROG_CPM_STD_LDR_TAT_RON_CXD_Reg02-Ad01_PD_728x90"/>
    <s v="245744358"/>
    <x v="3"/>
    <s v="BR_VW_RNG_dv360_DIS_PROG_CPM_STD_LDR_TAT_RON_CXD_Virtus-Reg02-Ad01_PD_728x90"/>
    <s v="442104864"/>
    <x v="2"/>
    <n v="3639"/>
    <n v="21"/>
    <n v="3.8199999999999998E-2"/>
    <n v="0.09"/>
    <n v="0.13900979999999999"/>
    <x v="370"/>
  </r>
  <r>
    <s v="BR_TAT_DSY_NONMS_ND_NC_2019Q1FEB_RNG_AlwaysOn"/>
    <s v="Google Brasil"/>
    <s v="BR_VW_RNG_dv360_DIS_PROG_CPM_STD_LDR_TAT_RON_CXD_Reg03-Ad01_PD_728x90"/>
    <s v="242627578"/>
    <x v="3"/>
    <s v="BR_VW_RNG_dv360_DIS_PROG_CPM_STD_LDR_TAT_RON_CXD_Polo-Reg03-Ad01_PD_728x90"/>
    <s v="439244127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LDR_TAT_RON_CXD_Reg04-Ad01_PD_728x90"/>
    <s v="242627566"/>
    <x v="3"/>
    <s v="BR_VW_RNG_dv360_DIS_PROG_CPM_STD_LDR_TAT_RON_CXD_Virtus-Reg04-Ad01_PD_728x90"/>
    <s v="442104840"/>
    <x v="2"/>
    <n v="6063"/>
    <n v="19"/>
    <n v="3.8199999999999998E-2"/>
    <n v="0.09"/>
    <n v="0.2316066"/>
    <x v="371"/>
  </r>
  <r>
    <s v="BR_TAT_DSY_NONMS_ND_NC_2019Q1FEB_RNG_AlwaysOn"/>
    <s v="Google Brasil"/>
    <s v="BR_VW_RNG_dv360_DIS_PROG_CPM_STD_LDR_TAT_RON_CXD_Reg05-Ad01_PD_728x90"/>
    <s v="242627554"/>
    <x v="3"/>
    <s v="BR_VW_RNG_dv360_DIS_PROG_CPM_STD_LDR_TAT_RON_CXD_Gol-Reg05-Ad01_PD_728x90"/>
    <s v="439244091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LDR_TAT_RON_CXD_Reg05-Ad01_PD_728x90"/>
    <s v="242627554"/>
    <x v="3"/>
    <s v="BR_VW_RNG_dv360_DIS_PROG_CPM_STD_LDR_TAT_RON_CXD_Jetta-Reg05-Ad01_PD_728x90"/>
    <s v="442104828"/>
    <x v="2"/>
    <n v="7287"/>
    <n v="16"/>
    <n v="3.8199999999999998E-2"/>
    <n v="0.09"/>
    <n v="0.27836339999999998"/>
    <x v="372"/>
  </r>
  <r>
    <s v="BR_TAT_DSY_NONMS_ND_NC_2019Q1FEB_RNG_AlwaysOn"/>
    <s v="Google Brasil"/>
    <s v="BR_VW_RNG_dv360_DIS_PROG_CPM_STD_LDR_TAT_RON_CXD_Reg06-Ad01_PD_728x90"/>
    <s v="242627590"/>
    <x v="3"/>
    <s v="BR_VW_RNG_dv360_DIS_PROG_CPM_STD_LDR_TAT_RON_CXD_Virtus-Reg06-Ad01_PD_728x90"/>
    <s v="442104816"/>
    <x v="2"/>
    <n v="9258"/>
    <n v="32"/>
    <n v="3.8199999999999998E-2"/>
    <n v="0.09"/>
    <n v="0.35365560000000001"/>
    <x v="373"/>
  </r>
  <r>
    <s v="BR_TAT_DSY_NONMS_ND_NC_2019Q1FEB_RNG_AlwaysOn"/>
    <s v="Google Brasil"/>
    <s v="BR_VW_RNG_dv360_DIS_PROG_CPM_STD_MPU_TAT_RON_CXD_Incentivo-Incentivo_PD_300x250"/>
    <s v="243014684"/>
    <x v="2"/>
    <s v="300x250 Default Web Ad"/>
    <s v="437091456"/>
    <x v="2"/>
    <n v="21234"/>
    <n v="54"/>
    <n v="3.8199999999999998E-2"/>
    <n v="0.09"/>
    <n v="0.81113879999999994"/>
    <x v="374"/>
  </r>
  <r>
    <s v="BR_TAT_DSY_NONMS_ND_NC_2019Q1FEB_RNG_AlwaysOn"/>
    <s v="Google Brasil"/>
    <s v="BR_VW_RNG_dv360_DIS_PROG_CPM_STD_MPU_TAT_RON_CXD_Incentivo-Incentivo_PD_300x250"/>
    <s v="243014684"/>
    <x v="4"/>
    <s v="BR_VW_RNG_dv360_DIS_PROG_CPM_STD_MPU_TAT_RON_CXD_Incentivo-Incentivo_PD_300x250"/>
    <s v="439861669"/>
    <x v="3"/>
    <n v="14864656"/>
    <n v="26080"/>
    <n v="0.91"/>
    <n v="0.35"/>
    <n v="13526.836960000001"/>
    <x v="375"/>
  </r>
  <r>
    <s v="BR_TAT_DSY_NONMS_ND_NC_2019Q1FEB_RNG_AlwaysOn"/>
    <s v="Google Brasil"/>
    <s v="BR_VW_RNG_dv360_DIS_PROG_CPM_STD_MPU_TAT_RON_CXD_Incentivo-Incentivo_PD_300x50"/>
    <s v="243014663"/>
    <x v="2"/>
    <s v="300x50 Default Web Ad"/>
    <s v="437091459"/>
    <x v="2"/>
    <n v="1588"/>
    <n v="1"/>
    <n v="3.8199999999999998E-2"/>
    <n v="0.09"/>
    <n v="6.0661600000000003E-2"/>
    <x v="376"/>
  </r>
  <r>
    <s v="BR_TAT_DSY_NONMS_ND_NC_2019Q1FEB_RNG_AlwaysOn"/>
    <s v="Google Brasil"/>
    <s v="BR_VW_RNG_dv360_DIS_PROG_CPM_STD_MPU_TAT_RON_CXD_Incentivo-Incentivo_PD_300x50"/>
    <s v="243014663"/>
    <x v="4"/>
    <s v="BR_VW_RNG_dv360_DIS_PROG_CPM_STD_MPU_TAT_RON_CXD_Incentivo-Incentivo_PD_300x50"/>
    <s v="439861690"/>
    <x v="3"/>
    <n v="1018491"/>
    <n v="912"/>
    <n v="0.91"/>
    <n v="0.35"/>
    <n v="926.82681000000002"/>
    <x v="377"/>
  </r>
  <r>
    <s v="BR_TAT_DSY_NONMS_ND_NC_2019Q1FEB_RNG_AlwaysOn"/>
    <s v="Google Brasil"/>
    <s v="BR_VW_RNG_dv360_DIS_PROG_CPM_STD_MPU_TAT_RON_CXD_Incentivo-Incentivo_PD_320x50"/>
    <s v="243014672"/>
    <x v="2"/>
    <s v="320x50 Default Web Ad"/>
    <s v="437130317"/>
    <x v="2"/>
    <n v="7228"/>
    <n v="3"/>
    <n v="3.8199999999999998E-2"/>
    <n v="0.09"/>
    <n v="0.27610960000000001"/>
    <x v="378"/>
  </r>
  <r>
    <s v="BR_TAT_DSY_NONMS_ND_NC_2019Q1FEB_RNG_AlwaysOn"/>
    <s v="Google Brasil"/>
    <s v="BR_VW_RNG_dv360_DIS_PROG_CPM_STD_MPU_TAT_RON_CXD_Incentivo-Incentivo_PD_320x50"/>
    <s v="243014672"/>
    <x v="4"/>
    <s v="BR_VW_RNG_dv360_DIS_PROG_CPM_STD_MPU_TAT_RON_CXD_Incentivo-Incentivo_PD_320x50"/>
    <s v="439861681"/>
    <x v="3"/>
    <n v="4800185"/>
    <n v="5082"/>
    <n v="0.91"/>
    <n v="0.35"/>
    <n v="4368.1683500000008"/>
    <x v="379"/>
  </r>
  <r>
    <s v="BR_TAT_DSY_NONMS_ND_NC_2019Q1FEB_RNG_AlwaysOn"/>
    <s v="Google Brasil"/>
    <s v="BR_VW_RNG_dv360_DIS_PROG_CPM_STD_MPU_TAT_RON_CXD_PosLead-PosLead_PD_300x250"/>
    <s v="240230430"/>
    <x v="2"/>
    <s v="300x250 Default Web Ad"/>
    <s v="437091456"/>
    <x v="2"/>
    <n v="158"/>
    <n v="2"/>
    <n v="3.8199999999999998E-2"/>
    <n v="0.09"/>
    <n v="6.0355999999999995E-3"/>
    <x v="380"/>
  </r>
  <r>
    <s v="BR_TAT_DSY_NONMS_ND_NC_2019Q1FEB_RNG_AlwaysOn"/>
    <s v="Google Brasil"/>
    <s v="BR_VW_RNG_dv360_DIS_PROG_CPM_STD_MPU_TAT_RON_CXD_PosLead-PosLead_PD_300x250"/>
    <s v="240230430"/>
    <x v="4"/>
    <s v="BR_VW_RNG_dv360_DIS_PROG_CPM_STD_MPU_TAT_RON_CXD_PosLead-PosLead_PD_300x250"/>
    <s v="437045741"/>
    <x v="3"/>
    <n v="123061"/>
    <n v="404"/>
    <n v="0.91"/>
    <n v="0.35"/>
    <n v="111.98551"/>
    <x v="381"/>
  </r>
  <r>
    <s v="BR_TAT_DSY_NONMS_ND_NC_2019Q1FEB_RNG_AlwaysOn"/>
    <s v="Google Brasil"/>
    <s v="BR_VW_RNG_dv360_DIS_PROG_CPM_STD_MPU_TAT_RON_CXD_PosLead-PosLead_PD_300x50"/>
    <s v="239999167"/>
    <x v="2"/>
    <s v="300x50 Default Web Ad"/>
    <s v="437091459"/>
    <x v="2"/>
    <n v="2"/>
    <n v="0"/>
    <n v="3.8199999999999998E-2"/>
    <n v="0.09"/>
    <n v="7.64E-5"/>
    <x v="32"/>
  </r>
  <r>
    <s v="BR_TAT_DSY_NONMS_ND_NC_2019Q1FEB_RNG_AlwaysOn"/>
    <s v="Google Brasil"/>
    <s v="BR_VW_RNG_dv360_DIS_PROG_CPM_STD_MPU_TAT_RON_CXD_PosLead-PosLead_PD_300x50"/>
    <s v="239999167"/>
    <x v="4"/>
    <s v="BR_VW_RNG_dv360_DIS_PROG_CPM_STD_MPU_TAT_RON_CXD_PosLead-PosLead_PD_300x50"/>
    <s v="437003775"/>
    <x v="3"/>
    <n v="2374"/>
    <n v="7"/>
    <n v="0.91"/>
    <n v="0.35"/>
    <n v="2.1603400000000001"/>
    <x v="382"/>
  </r>
  <r>
    <s v="BR_TAT_DSY_NONMS_ND_NC_2019Q1FEB_RNG_AlwaysOn"/>
    <s v="Google Brasil"/>
    <s v="BR_VW_RNG_dv360_DIS_PROG_CPM_STD_MPU_TAT_RON_CXD_PosLead-PosLead_PD_320x50"/>
    <s v="240230439"/>
    <x v="2"/>
    <s v="320x50 Default Web Ad"/>
    <s v="437130317"/>
    <x v="2"/>
    <n v="47"/>
    <n v="0"/>
    <n v="3.8199999999999998E-2"/>
    <n v="0.09"/>
    <n v="1.7953999999999999E-3"/>
    <x v="383"/>
  </r>
  <r>
    <s v="BR_TAT_DSY_NONMS_ND_NC_2019Q1FEB_RNG_AlwaysOn"/>
    <s v="Google Brasil"/>
    <s v="BR_VW_RNG_dv360_DIS_PROG_CPM_STD_MPU_TAT_RON_CXD_PosLead-PosLead_PD_320x50"/>
    <s v="240230439"/>
    <x v="4"/>
    <s v="BR_VW_RNG_dv360_DIS_PROG_CPM_STD_MPU_TAT_RON_CXD_PosLead-PosLead_PD_320x50"/>
    <s v="437045759"/>
    <x v="3"/>
    <n v="33145"/>
    <n v="152"/>
    <n v="0.91"/>
    <n v="0.35"/>
    <n v="30.161950000000001"/>
    <x v="384"/>
  </r>
  <r>
    <s v="BR_TAT_DSY_NONMS_ND_NC_2019Q1FEB_RNG_AlwaysOn"/>
    <s v="Google Brasil"/>
    <s v="BR_VW_RNG_dv360_DIS_PROG_CPM_STD_MPU_TAT_RON_CXD_Reg01-Ad01_PD_300x250"/>
    <s v="242627605"/>
    <x v="3"/>
    <s v="BR_VW_RNG_dv360_DIS_PROG_CPM_STD_MPU_TAT_RON_CXD_Jetta-Reg01-Ad01_PD_300x250"/>
    <s v="439244145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MPU_TAT_RON_CXD_Reg01-Ad01_PD_300x250"/>
    <s v="242627605"/>
    <x v="3"/>
    <s v="BR_VW_RNG_dv360_DIS_PROG_CPM_STD_MPU_TAT_RON_CXD_Virtus-Reg01-Ad01_PD_300x250"/>
    <s v="442104882"/>
    <x v="2"/>
    <n v="28931"/>
    <n v="213"/>
    <n v="3.8199999999999998E-2"/>
    <n v="0.09"/>
    <n v="1.1051641999999999"/>
    <x v="385"/>
  </r>
  <r>
    <s v="BR_TAT_DSY_NONMS_ND_NC_2019Q1FEB_RNG_AlwaysOn"/>
    <s v="Google Brasil"/>
    <s v="BR_VW_RNG_dv360_DIS_PROG_CPM_STD_MPU_TAT_RON_CXD_Reg02-Ad01_PD_300x250"/>
    <s v="245744364"/>
    <x v="3"/>
    <s v="BR_VW_RNG_dv360_DIS_PROG_CPM_STD_MPU_TAT_RON_CXD_Virtus-Reg02-Ad01_PD_300x250"/>
    <s v="442104870"/>
    <x v="2"/>
    <n v="9379"/>
    <n v="54"/>
    <n v="3.8199999999999998E-2"/>
    <n v="0.09"/>
    <n v="0.35827779999999998"/>
    <x v="386"/>
  </r>
  <r>
    <s v="BR_TAT_DSY_NONMS_ND_NC_2019Q1FEB_RNG_AlwaysOn"/>
    <s v="Google Brasil"/>
    <s v="BR_VW_RNG_dv360_DIS_PROG_CPM_STD_MPU_TAT_RON_CXD_Reg04-Ad01_PD_300x250"/>
    <s v="242627572"/>
    <x v="3"/>
    <s v="BR_VW_RNG_dv360_DIS_PROG_CPM_STD_MPU_TAT_RON_CXD_Virtus-Reg04-Ad01_PD_300x250"/>
    <s v="442104846"/>
    <x v="2"/>
    <n v="18882"/>
    <n v="124"/>
    <n v="3.8199999999999998E-2"/>
    <n v="0.09"/>
    <n v="0.72129239999999994"/>
    <x v="387"/>
  </r>
  <r>
    <s v="BR_TAT_DSY_NONMS_ND_NC_2019Q1FEB_RNG_AlwaysOn"/>
    <s v="Google Brasil"/>
    <s v="BR_VW_RNG_dv360_DIS_PROG_CPM_STD_MPU_TAT_RON_CXD_Reg05-Ad01_PD_300x250"/>
    <s v="242627560"/>
    <x v="3"/>
    <s v="BR_VW_RNG_dv360_DIS_PROG_CPM_STD_MPU_TAT_RON_CXD_Gol-Reg05-Ad01_PD_300x250"/>
    <s v="439244097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MPU_TAT_RON_CXD_Reg05-Ad01_PD_300x250"/>
    <s v="242627560"/>
    <x v="3"/>
    <s v="BR_VW_RNG_dv360_DIS_PROG_CPM_STD_MPU_TAT_RON_CXD_Jetta-Reg05-Ad01_PD_300x250"/>
    <s v="442104834"/>
    <x v="2"/>
    <n v="27991"/>
    <n v="165"/>
    <n v="3.8199999999999998E-2"/>
    <n v="0.09"/>
    <n v="1.0692562000000001"/>
    <x v="388"/>
  </r>
  <r>
    <s v="BR_TAT_DSY_NONMS_ND_NC_2019Q1FEB_RNG_AlwaysOn"/>
    <s v="Google Brasil"/>
    <s v="BR_VW_RNG_dv360_DIS_PROG_CPM_STD_MPU_TAT_RON_CXD_Reg06-Ad01_PD_300x250"/>
    <s v="242627602"/>
    <x v="3"/>
    <s v="BR_VW_RNG_dv360_DIS_PROG_CPM_STD_MPU_TAT_RON_CXD_Virtus-Reg06-Ad01_PD_300x250"/>
    <s v="442104822"/>
    <x v="2"/>
    <n v="24101"/>
    <n v="148"/>
    <n v="3.8199999999999998E-2"/>
    <n v="0.09"/>
    <n v="0.92065819999999998"/>
    <x v="389"/>
  </r>
  <r>
    <s v="BR_TAT_DSY_NONMS_ND_NC_2019Q1FEB_RNG_AlwaysOn"/>
    <s v="Google Brasil"/>
    <s v="BR_VW_RNG_dv360_DIS_PROG_CPM_STD_SKY_TAT_RON_CXD_Incentivo-Incentivo_PD_160x600"/>
    <s v="243014690"/>
    <x v="2"/>
    <s v="160x600 Default Web Ad"/>
    <s v="437091453"/>
    <x v="2"/>
    <n v="3957"/>
    <n v="1"/>
    <n v="3.8199999999999998E-2"/>
    <n v="0.09"/>
    <n v="0.1511574"/>
    <x v="390"/>
  </r>
  <r>
    <s v="BR_TAT_DSY_NONMS_ND_NC_2019Q1FEB_RNG_AlwaysOn"/>
    <s v="Google Brasil"/>
    <s v="BR_VW_RNG_dv360_DIS_PROG_CPM_STD_SKY_TAT_RON_CXD_Incentivo-Incentivo_PD_160x600"/>
    <s v="243014690"/>
    <x v="4"/>
    <s v="BR_VW_RNG_dv360_DIS_PROG_CPM_STD_SKY_TAT_RON_CXD_Incentivo-Incentivo_PD_160x600"/>
    <s v="439855913"/>
    <x v="3"/>
    <n v="1873258"/>
    <n v="1899"/>
    <n v="0.91"/>
    <n v="0.35"/>
    <n v="1704.6647800000001"/>
    <x v="391"/>
  </r>
  <r>
    <s v="BR_TAT_DSY_NONMS_ND_NC_2019Q1FEB_RNG_AlwaysOn"/>
    <s v="Google Brasil"/>
    <s v="BR_VW_RNG_dv360_DIS_PROG_CPM_STD_SKY_TAT_RON_CXD_Incentivo-Incentivo_PD_300x600"/>
    <s v="243014678"/>
    <x v="2"/>
    <s v="300x600 Default Web Ad"/>
    <s v="437183710"/>
    <x v="2"/>
    <n v="2339"/>
    <n v="4"/>
    <n v="3.8199999999999998E-2"/>
    <n v="0.09"/>
    <n v="8.9349800000000007E-2"/>
    <x v="392"/>
  </r>
  <r>
    <s v="BR_TAT_DSY_NONMS_ND_NC_2019Q1FEB_RNG_AlwaysOn"/>
    <s v="Google Brasil"/>
    <s v="BR_VW_RNG_dv360_DIS_PROG_CPM_STD_SKY_TAT_RON_CXD_Incentivo-Incentivo_PD_300x600"/>
    <s v="243014678"/>
    <x v="4"/>
    <s v="BR_VW_RNG_dv360_DIS_PROG_CPM_STD_SKY_TAT_RON_CXD_Incentivo-Incentivo_PD_300x600"/>
    <s v="439861675"/>
    <x v="3"/>
    <n v="1649271"/>
    <n v="1863"/>
    <n v="0.91"/>
    <n v="0.35"/>
    <n v="1500.8366100000001"/>
    <x v="393"/>
  </r>
  <r>
    <s v="BR_TAT_DSY_NONMS_ND_NC_2019Q1FEB_RNG_AlwaysOn"/>
    <s v="Google Brasil"/>
    <s v="BR_VW_RNG_dv360_DIS_PROG_CPM_STD_SKY_TAT_RON_CXD_PosLead-PosLead_PD_160x600"/>
    <s v="240230418"/>
    <x v="2"/>
    <s v="160x600 Default Web Ad"/>
    <s v="437091453"/>
    <x v="2"/>
    <n v="29"/>
    <n v="0"/>
    <n v="3.8199999999999998E-2"/>
    <n v="0.09"/>
    <n v="1.1077999999999999E-3"/>
    <x v="394"/>
  </r>
  <r>
    <s v="BR_TAT_DSY_NONMS_ND_NC_2019Q1FEB_RNG_AlwaysOn"/>
    <s v="Google Brasil"/>
    <s v="BR_VW_RNG_dv360_DIS_PROG_CPM_STD_SKY_TAT_RON_CXD_PosLead-PosLead_PD_160x600"/>
    <s v="240230418"/>
    <x v="4"/>
    <s v="BR_VW_RNG_dv360_DIS_PROG_CPM_STD_SKY_TAT_RON_CXD_PosLead-PosLead_PD_160x600"/>
    <s v="437003205"/>
    <x v="3"/>
    <n v="24549"/>
    <n v="38"/>
    <n v="0.91"/>
    <n v="0.35"/>
    <n v="22.339590000000001"/>
    <x v="395"/>
  </r>
  <r>
    <s v="BR_TAT_DSY_NONMS_ND_NC_2019Q1FEB_RNG_AlwaysOn"/>
    <s v="Google Brasil"/>
    <s v="BR_VW_RNG_dv360_DIS_PROG_CPM_STD_SKY_TAT_RON_CXD_PosLead-PosLead_PD_300x600"/>
    <s v="239997232"/>
    <x v="2"/>
    <s v="300x600 Default Web Ad"/>
    <s v="437183710"/>
    <x v="2"/>
    <n v="18"/>
    <n v="0"/>
    <n v="3.8199999999999998E-2"/>
    <n v="0.09"/>
    <n v="6.8760000000000002E-4"/>
    <x v="396"/>
  </r>
  <r>
    <s v="BR_TAT_DSY_NONMS_ND_NC_2019Q1FEB_RNG_AlwaysOn"/>
    <s v="Google Brasil"/>
    <s v="BR_VW_RNG_dv360_DIS_PROG_CPM_STD_SKY_TAT_RON_CXD_PosLead-PosLead_PD_300x600"/>
    <s v="239997232"/>
    <x v="4"/>
    <s v="BR_VW_RNG_dv360_DIS_PROG_CPM_STD_SKY_TAT_RON_CXD_PosLead-PosLead_PD_300x600"/>
    <s v="437045561"/>
    <x v="3"/>
    <n v="16003"/>
    <n v="44"/>
    <n v="0.91"/>
    <n v="0.35"/>
    <n v="14.562730000000002"/>
    <x v="397"/>
  </r>
  <r>
    <s v="BR_TAT_DSY_NONMS_ND_NC_2019Q1FEB_RNG_AlwaysOn"/>
    <s v="Google Brasil"/>
    <s v="BR_VW_RNG_dv360_DIS_PROG_CPM_STD_SKY_TAT_RON_CXD_Reg01-Ad01_PD_160x600"/>
    <s v="242627611"/>
    <x v="3"/>
    <s v="BR_VW_RNG_dv360_DIS_PROG_CPM_STD_SKY_TAT_RON_CXD_Virtus-Reg01-Ad01_PD_160x600"/>
    <s v="442104885"/>
    <x v="2"/>
    <n v="3711"/>
    <n v="16"/>
    <n v="3.8199999999999998E-2"/>
    <n v="0.09"/>
    <n v="0.1417602"/>
    <x v="398"/>
  </r>
  <r>
    <s v="BR_TAT_DSY_NONMS_ND_NC_2019Q1FEB_RNG_AlwaysOn"/>
    <s v="Google Brasil"/>
    <s v="BR_VW_RNG_dv360_DIS_PROG_CPM_STD_SKY_TAT_RON_CXD_Reg01-Ad01_PD_300x600"/>
    <s v="242627599"/>
    <x v="3"/>
    <s v="BR_VW_RNG_dv360_DIS_PROG_CPM_STD_SKY_TAT_RON_CXD_Virtus-Reg01-Ad01_PD_300x600"/>
    <s v="442104879"/>
    <x v="2"/>
    <n v="5786"/>
    <n v="66"/>
    <n v="3.8199999999999998E-2"/>
    <n v="0.09"/>
    <n v="0.22102519999999998"/>
    <x v="399"/>
  </r>
  <r>
    <s v="BR_TAT_DSY_NONMS_ND_NC_2019Q1FEB_RNG_AlwaysOn"/>
    <s v="Google Brasil"/>
    <s v="BR_VW_RNG_dv360_DIS_PROG_CPM_STD_SKY_TAT_RON_CXD_Reg02-Ad01_PD_160x600"/>
    <s v="245744367"/>
    <x v="3"/>
    <s v="BR_VW_RNG_dv360_DIS_PROG_CPM_STD_SKY_TAT_RON_CXD_Virtus-Reg02-Ad01_PD_160x600"/>
    <s v="442104873"/>
    <x v="2"/>
    <n v="1145"/>
    <n v="4"/>
    <n v="3.8199999999999998E-2"/>
    <n v="0.09"/>
    <n v="4.3739E-2"/>
    <x v="400"/>
  </r>
  <r>
    <s v="BR_TAT_DSY_NONMS_ND_NC_2019Q1FEB_RNG_AlwaysOn"/>
    <s v="Google Brasil"/>
    <s v="BR_VW_RNG_dv360_DIS_PROG_CPM_STD_SKY_TAT_RON_CXD_Reg02-Ad01_PD_300x600"/>
    <s v="245744361"/>
    <x v="3"/>
    <s v="BR_VW_RNG_dv360_DIS_PROG_CPM_STD_SKY_TAT_RON_CXD_Virtus-Reg02-Ad01_PD_300x600"/>
    <s v="442104867"/>
    <x v="2"/>
    <n v="2057"/>
    <n v="15"/>
    <n v="3.8199999999999998E-2"/>
    <n v="0.09"/>
    <n v="7.8577399999999992E-2"/>
    <x v="401"/>
  </r>
  <r>
    <s v="BR_TAT_DSY_NONMS_ND_NC_2019Q1FEB_RNG_AlwaysOn"/>
    <s v="Google Brasil"/>
    <s v="BR_VW_RNG_dv360_DIS_PROG_CPM_STD_SKY_TAT_RON_CXD_Reg03-Ad02_PD_300x600"/>
    <s v="242651728"/>
    <x v="3"/>
    <s v="BR_VW_RNG_dv360_DIS_PROG_CPM_STD_SKY_TAT_RON_CXD_Virtus-Reg03-Ad02_PD_300x600"/>
    <s v="439244118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SKY_TAT_RON_CXD_Reg04-Ad01_PD_160x600"/>
    <s v="242627575"/>
    <x v="3"/>
    <s v="BR_VW_RNG_dv360_DIS_PROG_CPM_STD_SKY_TAT_RON_CXD_Virtus-Reg04-Ad01_PD_160x600"/>
    <s v="442104849"/>
    <x v="2"/>
    <n v="2290"/>
    <n v="6"/>
    <n v="3.8199999999999998E-2"/>
    <n v="0.09"/>
    <n v="8.7478E-2"/>
    <x v="402"/>
  </r>
  <r>
    <s v="BR_TAT_DSY_NONMS_ND_NC_2019Q1FEB_RNG_AlwaysOn"/>
    <s v="Google Brasil"/>
    <s v="BR_VW_RNG_dv360_DIS_PROG_CPM_STD_SKY_TAT_RON_CXD_Reg04-Ad01_PD_300x600"/>
    <s v="242627569"/>
    <x v="3"/>
    <s v="BR_VW_RNG_dv360_DIS_PROG_CPM_STD_SKY_TAT_RON_CXD_Jetta-Reg04-Ad01_PD_300x600"/>
    <s v="439244106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SKY_TAT_RON_CXD_Reg04-Ad01_PD_300x600"/>
    <s v="242627569"/>
    <x v="3"/>
    <s v="BR_VW_RNG_dv360_DIS_PROG_CPM_STD_SKY_TAT_RON_CXD_Virtus-Reg04-Ad01_PD_300x600"/>
    <s v="442104843"/>
    <x v="2"/>
    <n v="3383"/>
    <n v="24"/>
    <n v="3.8199999999999998E-2"/>
    <n v="0.09"/>
    <n v="0.12923059999999997"/>
    <x v="403"/>
  </r>
  <r>
    <s v="BR_TAT_DSY_NONMS_ND_NC_2019Q1FEB_RNG_AlwaysOn"/>
    <s v="Google Brasil"/>
    <s v="BR_VW_RNG_dv360_DIS_PROG_CPM_STD_SKY_TAT_RON_CXD_Reg05-Ad01_PD_160x600"/>
    <s v="242627563"/>
    <x v="3"/>
    <s v="BR_VW_RNG_dv360_DIS_PROG_CPM_STD_SKY_TAT_RON_CXD_Jetta-Reg05-Ad01_PD_160x600"/>
    <s v="442104837"/>
    <x v="2"/>
    <n v="2471"/>
    <n v="10"/>
    <n v="3.8199999999999998E-2"/>
    <n v="0.09"/>
    <n v="9.4392199999999982E-2"/>
    <x v="404"/>
  </r>
  <r>
    <s v="BR_TAT_DSY_NONMS_ND_NC_2019Q1FEB_RNG_AlwaysOn"/>
    <s v="Google Brasil"/>
    <s v="BR_VW_RNG_dv360_DIS_PROG_CPM_STD_SKY_TAT_RON_CXD_Reg05-Ad01_PD_300x600"/>
    <s v="242627557"/>
    <x v="3"/>
    <s v="BR_VW_RNG_dv360_DIS_PROG_CPM_STD_SKY_TAT_RON_CXD_Jetta-Reg05-Ad01_PD_300x600"/>
    <s v="442104831"/>
    <x v="2"/>
    <n v="4677"/>
    <n v="30"/>
    <n v="3.8199999999999998E-2"/>
    <n v="0.09"/>
    <n v="0.1786614"/>
    <x v="405"/>
  </r>
  <r>
    <s v="BR_TAT_DSY_NONMS_ND_NC_2019Q1FEB_RNG_AlwaysOn"/>
    <s v="Google Brasil"/>
    <s v="BR_VW_RNG_dv360_DIS_PROG_CPM_STD_SKY_TAT_RON_CXD_Reg06-Ad01_PD_160x600"/>
    <s v="242627608"/>
    <x v="3"/>
    <s v="BR_VW_RNG_dv360_DIS_PROG_CPM_STD_SKY_TAT_RON_CXD_Polo-Reg06-Ad01_PD_160x600"/>
    <s v="439244076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SKY_TAT_RON_CXD_Reg06-Ad01_PD_160x600"/>
    <s v="242627608"/>
    <x v="3"/>
    <s v="BR_VW_RNG_dv360_DIS_PROG_CPM_STD_SKY_TAT_RON_CXD_Virtus-Reg06-Ad01_PD_160x600"/>
    <s v="442104825"/>
    <x v="2"/>
    <n v="3553"/>
    <n v="14"/>
    <n v="3.8199999999999998E-2"/>
    <n v="0.09"/>
    <n v="0.13572459999999997"/>
    <x v="406"/>
  </r>
  <r>
    <s v="BR_TAT_DSY_NONMS_ND_NC_2019Q1FEB_RNG_AlwaysOn"/>
    <s v="Google Brasil"/>
    <s v="BR_VW_RNG_dv360_DIS_PROG_CPM_STD_SKY_TAT_RON_CXD_Reg06-Ad01_PD_300x600"/>
    <s v="242627596"/>
    <x v="3"/>
    <s v="BR_VW_RNG_dv360_DIS_PROG_CPM_STD_SKY_TAT_RON_CXD_Polo-Reg06-Ad01_PD_300x600"/>
    <s v="439244070"/>
    <x v="2"/>
    <n v="3"/>
    <n v="0"/>
    <n v="3.8199999999999998E-2"/>
    <n v="0.09"/>
    <n v="1.1459999999999999E-4"/>
    <x v="17"/>
  </r>
  <r>
    <s v="BR_TAT_DSY_NONMS_ND_NC_2019Q1FEB_RNG_AlwaysOn"/>
    <s v="Google Brasil"/>
    <s v="BR_VW_RNG_dv360_DIS_PROG_CPM_STD_SKY_TAT_RON_CXD_Reg06-Ad01_PD_300x600"/>
    <s v="242627596"/>
    <x v="3"/>
    <s v="BR_VW_RNG_dv360_DIS_PROG_CPM_STD_SKY_TAT_RON_CXD_Virtus-Reg06-Ad01_PD_300x600"/>
    <s v="442104819"/>
    <x v="2"/>
    <n v="5016"/>
    <n v="35"/>
    <n v="3.8199999999999998E-2"/>
    <n v="0.09"/>
    <n v="0.19161120000000001"/>
    <x v="407"/>
  </r>
  <r>
    <s v="BR_TAT_DSY_NONMS_ND_NC_2019Q1FEB_RNG_AlwaysOn"/>
    <s v="Google-Discovery"/>
    <s v="BR_VW_RNG_google-discovery_DIS_DRCT_CPC_CLK_MXD_TAT_RON_CXD_fox-Rmkt-View-content_PD_nativeads"/>
    <s v="242986537"/>
    <x v="1"/>
    <s v="BR_VW_RNG_google-discovery_DIS_DRCT_CPC_CLK_MXD_TAT_RON_CXD_fox-Rmkt-View-content_PD_nativeads"/>
    <s v="439684036"/>
    <x v="1"/>
    <n v="0"/>
    <n v="1532"/>
    <n v="3.5000000000000001E-3"/>
    <n v="0.02"/>
    <n v="5.3620000000000001"/>
    <x v="408"/>
  </r>
  <r>
    <s v="BR_TAT_DSY_NONMS_ND_NC_2019Q1FEB_RNG_AlwaysOn"/>
    <s v="Google-Discovery"/>
    <s v="BR_VW_RNG_google-discovery_DIS_DRCT_CPC_CLK_MXD_TAT_RON_CXD_gol-Rmkt-View-content_PD_nativeads"/>
    <s v="242986540"/>
    <x v="1"/>
    <s v="BR_VW_RNG_google-discovery_DIS_DRCT_CPC_CLK_MXD_TAT_RON_CXD_gol-Rmkt-View-content_PD_nativeads"/>
    <s v="439684039"/>
    <x v="1"/>
    <n v="0"/>
    <n v="193"/>
    <n v="3.5000000000000001E-3"/>
    <n v="0.02"/>
    <n v="0.67549999999999999"/>
    <x v="409"/>
  </r>
  <r>
    <s v="BR_TAT_DSY_NONMS_ND_NC_2019Q1FEB_RNG_AlwaysOn"/>
    <s v="Google-Discovery"/>
    <s v="BR_VW_RNG_google-discovery_DIS_DRCT_CPC_CLK_MXD_TAT_RON_CXD_jetta-Rmkt-View-content_PD_nativeads"/>
    <s v="242986543"/>
    <x v="1"/>
    <s v="BR_VW_RNG_google-discovery_DIS_DRCT_CPC_CLK_MXD_TAT_RON_CXD_jetta-Rmkt-View-content_PD_nativeads"/>
    <s v="439684042"/>
    <x v="1"/>
    <n v="0"/>
    <n v="100"/>
    <n v="3.5000000000000001E-3"/>
    <n v="0.02"/>
    <n v="0.35000000000000003"/>
    <x v="410"/>
  </r>
  <r>
    <s v="BR_TAT_DSY_NONMS_ND_NC_2019Q1FEB_RNG_AlwaysOn"/>
    <s v="Google-Discovery"/>
    <s v="BR_VW_RNG_google-discovery_DIS_DRCT_CPC_CLK_MXD_TAT_RON_CXD_passat-Rmkt-View-content_PD_nativeads"/>
    <s v="242986546"/>
    <x v="1"/>
    <s v="BR_VW_RNG_google-discovery_DIS_DRCT_CPC_CLK_MXD_TAT_RON_CXD_passat-Rmkt-View-content_PD_nativeads"/>
    <s v="439684045"/>
    <x v="1"/>
    <n v="0"/>
    <n v="243100"/>
    <n v="3.5000000000000001E-3"/>
    <n v="0.02"/>
    <n v="850.85"/>
    <x v="411"/>
  </r>
  <r>
    <s v="BR_TAT_DSY_NONMS_ND_NC_2019Q1FEB_RNG_AlwaysOn"/>
    <s v="Google-Discovery"/>
    <s v="BR_VW_RNG_google-discovery_DIS_DRCT_CPC_CLK_MXD_TAT_RON_CXD_polo-Rmkt-View-content_PD_nativeads"/>
    <s v="242986549"/>
    <x v="1"/>
    <s v="BR_VW_RNG_google-discovery_DIS_DRCT_CPC_CLK_MXD_TAT_RON_CXD_polo-Rmkt-View-content_PD_nativeads"/>
    <s v="439684048"/>
    <x v="1"/>
    <n v="0"/>
    <n v="1071"/>
    <n v="3.5000000000000001E-3"/>
    <n v="0.02"/>
    <n v="3.7484999999999999"/>
    <x v="412"/>
  </r>
  <r>
    <s v="BR_TAT_DSY_NONMS_ND_NC_2019Q1FEB_RNG_AlwaysOn"/>
    <s v="Google-Discovery"/>
    <s v="BR_VW_RNG_google-discovery_DIS_DRCT_CPC_CLK_MXD_TAT_RON_CXD_saveiro-Rmkt-View-content_PD_nativeads"/>
    <s v="242986552"/>
    <x v="1"/>
    <s v="BR_VW_RNG_google-discovery_DIS_DRCT_CPC_CLK_MXD_TAT_RON_CXD_saveiro-Rmkt-View-content_PD_nativeads"/>
    <s v="439684051"/>
    <x v="1"/>
    <n v="0"/>
    <n v="340"/>
    <n v="3.5000000000000001E-3"/>
    <n v="0.02"/>
    <n v="1.19"/>
    <x v="413"/>
  </r>
  <r>
    <s v="BR_TAT_DSY_NONMS_ND_NC_2019Q1FEB_RNG_AlwaysOn"/>
    <s v="Google-Discovery"/>
    <s v="BR_VW_RNG_google-discovery_DIS_DRCT_CPC_CLK_MXD_TAT_RON_CXD_tiguan-Rmkt-View-content_PD_nativeads"/>
    <s v="242986555"/>
    <x v="1"/>
    <s v="BR_VW_RNG_google-discovery_DIS_DRCT_CPC_CLK_MXD_TAT_RON_CXD_tiguan-Rmkt-View-content_PD_nativeads"/>
    <s v="439684054"/>
    <x v="1"/>
    <n v="0"/>
    <n v="87"/>
    <n v="3.5000000000000001E-3"/>
    <n v="0.02"/>
    <n v="0.30449999999999999"/>
    <x v="414"/>
  </r>
  <r>
    <s v="BR_TAT_DSY_NONMS_ND_NC_2019Q1FEB_RNG_AlwaysOn"/>
    <s v="Google-Discovery"/>
    <s v="BR_VW_RNG_google-discovery_DIS_DRCT_CPC_CLK_MXD_TAT_RON_CXD_up-Rmkt-View-content_PD_nativeads"/>
    <s v="242986558"/>
    <x v="1"/>
    <s v="BR_VW_RNG_google-discovery_DIS_DRCT_CPC_CLK_MXD_TAT_RON_CXD_up-Rmkt-View-content_PD_nativeads"/>
    <s v="439684057"/>
    <x v="1"/>
    <n v="0"/>
    <n v="148"/>
    <n v="3.5000000000000001E-3"/>
    <n v="0.02"/>
    <n v="0.51800000000000002"/>
    <x v="415"/>
  </r>
  <r>
    <s v="BR_TAT_DSY_NONMS_ND_NC_2019Q1FEB_RNG_AlwaysOn"/>
    <s v="Google-Discovery"/>
    <s v="BR_VW_RNG_google-discovery_DIS_DRCT_CPC_CLK_MXD_TAT_RON_CXD_virtus-Rmkt-View-content_PD_nativeads"/>
    <s v="242986561"/>
    <x v="1"/>
    <s v="BR_VW_RNG_google-discovery_DIS_DRCT_CPC_CLK_MXD_TAT_RON_CXD_virtus-Rmkt-View-content_PD_nativeads"/>
    <s v="439684060"/>
    <x v="1"/>
    <n v="0"/>
    <n v="502"/>
    <n v="3.5000000000000001E-3"/>
    <n v="0.02"/>
    <n v="1.7570000000000001"/>
    <x v="416"/>
  </r>
  <r>
    <s v="BR_TAT_DSY_NONMS_ND_NC_2019Q1FEB_RNG_AlwaysOn"/>
    <s v="Google-Discovery"/>
    <s v="BR_VW_RNG_google-discovery_DIS_DRCT_CPC_CLK_MXD_TAT_RON_CXD_voyage-Rmkt-View-content_PD_nativeads"/>
    <s v="242992999"/>
    <x v="1"/>
    <s v="BR_VW_RNG_google-discovery_DIS_DRCT_CPC_CLK_MXD_TAT_RON_CXD_voyage-Rmkt-View-content_PD_nativeads"/>
    <s v="439684063"/>
    <x v="1"/>
    <n v="0"/>
    <n v="68"/>
    <n v="3.5000000000000001E-3"/>
    <n v="0.02"/>
    <n v="0.23800000000000002"/>
    <x v="417"/>
  </r>
  <r>
    <s v="BR_TAT_DSY_NONMS_ND_NC_2019Q1FEB_RNG_AlwaysOn"/>
    <s v="Oath BR"/>
    <s v="BR_VW_RNG_oath_DIS_DRCT_CPC_CAI_MXD_TAT_RON_CXD_FoxConnect-Rmkt_PD_nativeads"/>
    <s v="243402818"/>
    <x v="1"/>
    <s v="BR_VW_RNG_oath_DIS_DRCT_CPC_CAI_MXD_TAT_RON_CXD_FoxConnect-Rmkt_PD_nativeads"/>
    <s v="440130243"/>
    <x v="1"/>
    <n v="0"/>
    <n v="746"/>
    <n v="3.5000000000000001E-3"/>
    <n v="0.02"/>
    <n v="2.6110000000000002"/>
    <x v="418"/>
  </r>
  <r>
    <s v="BR_TAT_DSY_NONMS_ND_NC_2019Q1FEB_RNG_AlwaysOn"/>
    <s v="Oath BR"/>
    <s v="BR_VW_RNG_oath_DIS_DRCT_CPC_CAI_MXD_TAT_RON_CXD_FoxXtreme-Rmkt_PD_nativeads"/>
    <s v="243402812"/>
    <x v="1"/>
    <s v="BR_VW_RNG_oath_DIS_DRCT_CPC_CAI_MXD_TAT_RON_CXD_FoxXtreme-Rmkt_PD_nativeads"/>
    <s v="440130237"/>
    <x v="1"/>
    <n v="0"/>
    <n v="2330"/>
    <n v="3.5000000000000001E-3"/>
    <n v="0.02"/>
    <n v="8.1549999999999994"/>
    <x v="419"/>
  </r>
  <r>
    <s v="BR_TAT_DSY_NONMS_ND_NC_2019Q1FEB_RNG_AlwaysOn"/>
    <s v="Oath BR"/>
    <s v="BR_VW_RNG_oath_DIS_DRCT_CPC_CAI_MXD_TAT_RON_CXD_Gol-Rmkt-ViewContent_PD_nativeads"/>
    <s v="243402755"/>
    <x v="1"/>
    <s v="BR_VW_RNG_oath_DIS_DRCT_CPC_CAI_MXD_TAT_RON_CXD_Gol-Rmkt-ViewContent_PD_nativeads"/>
    <s v="440130180"/>
    <x v="1"/>
    <n v="0"/>
    <n v="3097"/>
    <n v="3.5000000000000001E-3"/>
    <n v="0.02"/>
    <n v="10.839500000000001"/>
    <x v="420"/>
  </r>
  <r>
    <s v="BR_TAT_DSY_NONMS_ND_NC_2019Q1FEB_RNG_AlwaysOn"/>
    <s v="Oath BR"/>
    <s v="BR_VW_RNG_oath_DIS_DRCT_CPC_CAI_MXD_TAT_RON_CXD_Gol-Rmkt_PD_nativeads"/>
    <s v="243402806"/>
    <x v="1"/>
    <s v="BR_VW_RNG_oath_DIS_DRCT_CPC_CAI_MXD_TAT_RON_CXD_Gol-Rmkt_PD_nativeads"/>
    <s v="440130231"/>
    <x v="1"/>
    <n v="0"/>
    <n v="6030"/>
    <n v="3.5000000000000001E-3"/>
    <n v="0.02"/>
    <n v="21.105"/>
    <x v="421"/>
  </r>
  <r>
    <s v="BR_TAT_DSY_NONMS_ND_NC_2019Q1FEB_RNG_AlwaysOn"/>
    <s v="Oath BR"/>
    <s v="BR_VW_RNG_oath_DIS_DRCT_CPC_CAI_MXD_TAT_RON_CXD_Jetta-Rmkt-ViewContent_PD_nativeads"/>
    <s v="243402752"/>
    <x v="1"/>
    <s v="BR_VW_RNG_oath_DIS_DRCT_CPC_CAI_MXD_TAT_RON_CXD_Jetta-Rmkt-ViewContent_PD_nativeads"/>
    <s v="440130177"/>
    <x v="1"/>
    <n v="0"/>
    <n v="1226"/>
    <n v="3.5000000000000001E-3"/>
    <n v="0.02"/>
    <n v="4.2910000000000004"/>
    <x v="422"/>
  </r>
  <r>
    <s v="BR_TAT_DSY_NONMS_ND_NC_2019Q1FEB_RNG_AlwaysOn"/>
    <s v="Oath BR"/>
    <s v="BR_VW_RNG_oath_DIS_DRCT_CPC_CAI_MXD_TAT_RON_CXD_Jetta-Rmkt_PD_nativeads"/>
    <s v="243402800"/>
    <x v="1"/>
    <s v="BR_VW_RNG_oath_DIS_DRCT_CPC_CAI_MXD_TAT_RON_CXD_Jetta-Rmkt_PD_nativeads"/>
    <s v="440130225"/>
    <x v="1"/>
    <n v="0"/>
    <n v="6380"/>
    <n v="3.5000000000000001E-3"/>
    <n v="0.02"/>
    <n v="22.330000000000002"/>
    <x v="423"/>
  </r>
  <r>
    <s v="BR_TAT_DSY_NONMS_ND_NC_2019Q1FEB_RNG_AlwaysOn"/>
    <s v="Oath BR"/>
    <s v="BR_VW_RNG_oath_DIS_DRCT_CPC_CAI_MXD_TAT_RON_CXD_Passat-Rmkt-ViewContent_PD_nativeads"/>
    <s v="243402815"/>
    <x v="1"/>
    <s v="BR_VW_RNG_oath_DIS_DRCT_CPC_CAI_MXD_TAT_RON_CXD_Passat-Rmkt-ViewContent_PD_nativeads"/>
    <s v="440130240"/>
    <x v="1"/>
    <n v="0"/>
    <n v="870"/>
    <n v="3.5000000000000001E-3"/>
    <n v="0.02"/>
    <n v="3.0449999999999999"/>
    <x v="424"/>
  </r>
  <r>
    <s v="BR_TAT_DSY_NONMS_ND_NC_2019Q1FEB_RNG_AlwaysOn"/>
    <s v="Oath BR"/>
    <s v="BR_VW_RNG_oath_DIS_DRCT_CPC_CAI_MXD_TAT_RON_CXD_Passat-Rmkt_PD_nativeads"/>
    <s v="243402794"/>
    <x v="1"/>
    <s v="BR_VW_RNG_oath_DIS_DRCT_CPC_CAI_MXD_TAT_RON_CXD_Passat-Rmkt_PD_nativeads"/>
    <s v="440130219"/>
    <x v="1"/>
    <n v="0"/>
    <n v="3918"/>
    <n v="3.5000000000000001E-3"/>
    <n v="0.02"/>
    <n v="13.713000000000001"/>
    <x v="425"/>
  </r>
  <r>
    <s v="BR_TAT_DSY_NONMS_ND_NC_2019Q1FEB_RNG_AlwaysOn"/>
    <s v="Oath BR"/>
    <s v="BR_VW_RNG_oath_DIS_DRCT_CPC_CAI_MXD_TAT_RON_CXD_Polo-Rmkt-ViewContent_PD_nativeads"/>
    <s v="243402809"/>
    <x v="1"/>
    <s v="BR_VW_RNG_oath_DIS_DRCT_CPC_CAI_MXD_TAT_RON_CXD_Polo-Rmkt-ViewContent_PD_nativeads"/>
    <s v="440130234"/>
    <x v="1"/>
    <n v="0"/>
    <n v="1677"/>
    <n v="3.5000000000000001E-3"/>
    <n v="0.02"/>
    <n v="5.8695000000000004"/>
    <x v="426"/>
  </r>
  <r>
    <s v="BR_TAT_DSY_NONMS_ND_NC_2019Q1FEB_RNG_AlwaysOn"/>
    <s v="Oath BR"/>
    <s v="BR_VW_RNG_oath_DIS_DRCT_CPC_CAI_MXD_TAT_RON_CXD_Polo-Rmkt_PD_nativeads"/>
    <s v="243402788"/>
    <x v="1"/>
    <s v="BR_VW_RNG_oath_DIS_DRCT_CPC_CAI_MXD_TAT_RON_CXD_Polo-Rmkt_PD_nativeads"/>
    <s v="440130213"/>
    <x v="1"/>
    <n v="0"/>
    <n v="3549"/>
    <n v="3.5000000000000001E-3"/>
    <n v="0.02"/>
    <n v="12.4215"/>
    <x v="427"/>
  </r>
  <r>
    <s v="BR_TAT_DSY_NONMS_ND_NC_2019Q1FEB_RNG_AlwaysOn"/>
    <s v="Oath BR"/>
    <s v="BR_VW_RNG_oath_DIS_DRCT_CPC_CAI_MXD_TAT_RON_CXD_Saveiro-Rmkt-ViewContent_PD_nativeads"/>
    <s v="243402803"/>
    <x v="1"/>
    <s v="BR_VW_RNG_oath_DIS_DRCT_CPC_CAI_MXD_TAT_RON_CXD_Saveiro-Rmkt-ViewContent_PD_nativeads"/>
    <s v="440130228"/>
    <x v="1"/>
    <n v="0"/>
    <n v="2121"/>
    <n v="3.5000000000000001E-3"/>
    <n v="0.02"/>
    <n v="7.4234999999999998"/>
    <x v="428"/>
  </r>
  <r>
    <s v="BR_TAT_DSY_NONMS_ND_NC_2019Q1FEB_RNG_AlwaysOn"/>
    <s v="Oath BR"/>
    <s v="BR_VW_RNG_oath_DIS_DRCT_CPC_CAI_MXD_TAT_RON_CXD_Saveiro-Rmkt_PD_nativeads"/>
    <s v="243402782"/>
    <x v="1"/>
    <s v="BR_VW_RNG_oath_DIS_DRCT_CPC_CAI_MXD_TAT_RON_CXD_Saveiro-Rmkt_PD_nativeads"/>
    <s v="440130207"/>
    <x v="1"/>
    <n v="0"/>
    <n v="5971"/>
    <n v="3.5000000000000001E-3"/>
    <n v="0.02"/>
    <n v="20.898500000000002"/>
    <x v="429"/>
  </r>
  <r>
    <s v="BR_TAT_DSY_NONMS_ND_NC_2019Q1FEB_RNG_AlwaysOn"/>
    <s v="Oath BR"/>
    <s v="BR_VW_RNG_oath_DIS_DRCT_CPC_CAI_MXD_TAT_RON_CXD_SaveiroPepper-Rmkt_PD_nativeads"/>
    <s v="243402776"/>
    <x v="1"/>
    <s v="BR_VW_RNG_oath_DIS_DRCT_CPC_CAI_MXD_TAT_RON_CXD_SaveiroPepper-Rmkt_PD_nativeads"/>
    <s v="440130201"/>
    <x v="1"/>
    <n v="0"/>
    <n v="6713"/>
    <n v="3.5000000000000001E-3"/>
    <n v="0.02"/>
    <n v="23.4955"/>
    <x v="430"/>
  </r>
  <r>
    <s v="BR_TAT_DSY_NONMS_ND_NC_2019Q1FEB_RNG_AlwaysOn"/>
    <s v="Oath BR"/>
    <s v="BR_VW_RNG_oath_DIS_DRCT_CPC_CAI_MXD_TAT_RON_CXD_Tiguan-Rmkt_PD_nativeads"/>
    <s v="243402773"/>
    <x v="1"/>
    <s v="BR_VW_RNG_oath_DIS_DRCT_CPC_CAI_MXD_TAT_RON_CXD_Tiguan-Rmkt_PD_nativeads"/>
    <s v="440130198"/>
    <x v="1"/>
    <n v="0"/>
    <n v="7709"/>
    <n v="3.5000000000000001E-3"/>
    <n v="0.02"/>
    <n v="26.9815"/>
    <x v="431"/>
  </r>
  <r>
    <s v="BR_TAT_DSY_NONMS_ND_NC_2019Q1FEB_RNG_AlwaysOn"/>
    <s v="Oath BR"/>
    <s v="BR_VW_RNG_oath_DIS_DRCT_CPC_CAI_MXD_TAT_RON_CXD_UP-Rmkt-ViewContent_PD_nativeads"/>
    <s v="243402791"/>
    <x v="1"/>
    <s v="BR_VW_RNG_oath_DIS_DRCT_CPC_CAI_MXD_TAT_RON_CXD_UP-Rmkt-ViewContent_PD_nativeads"/>
    <s v="440130216"/>
    <x v="1"/>
    <n v="0"/>
    <n v="1094"/>
    <n v="3.5000000000000001E-3"/>
    <n v="0.02"/>
    <n v="3.8290000000000002"/>
    <x v="432"/>
  </r>
  <r>
    <s v="BR_TAT_DSY_NONMS_ND_NC_2019Q1FEB_RNG_AlwaysOn"/>
    <s v="Oath BR"/>
    <s v="BR_VW_RNG_oath_DIS_DRCT_CPC_CAI_MXD_TAT_RON_CXD_UP-Rmkt_PD_nativeads"/>
    <s v="243402767"/>
    <x v="1"/>
    <s v="BR_VW_RNG_oath_DIS_DRCT_CPC_CAI_MXD_TAT_RON_CXD_UP-Rmkt_PD_nativeads"/>
    <s v="440130192"/>
    <x v="1"/>
    <n v="0"/>
    <n v="3876"/>
    <n v="3.5000000000000001E-3"/>
    <n v="0.02"/>
    <n v="13.566000000000001"/>
    <x v="433"/>
  </r>
  <r>
    <s v="BR_TAT_DSY_NONMS_ND_NC_2019Q1FEB_RNG_AlwaysOn"/>
    <s v="Oath BR"/>
    <s v="BR_VW_RNG_oath_DIS_DRCT_CPC_CAI_MXD_TAT_RON_CXD_UPPepper-Rmkt_PD_nativeads"/>
    <s v="243402770"/>
    <x v="1"/>
    <s v="BR_VW_RNG_oath_DIS_DRCT_CPC_CAI_MXD_TAT_RON_CXD_UPPepper-Rmkt_PD_nativeads"/>
    <s v="440130195"/>
    <x v="1"/>
    <n v="0"/>
    <n v="4630"/>
    <n v="3.5000000000000001E-3"/>
    <n v="0.02"/>
    <n v="16.205000000000002"/>
    <x v="434"/>
  </r>
  <r>
    <s v="BR_TAT_DSY_NONMS_ND_NC_2019Q1FEB_RNG_AlwaysOn"/>
    <s v="Oath BR"/>
    <s v="BR_VW_RNG_oath_DIS_DRCT_CPC_CAI_MXD_TAT_RON_CXD_Varejo-Outlet-Rmkt_PD_nativeads"/>
    <s v="242043182"/>
    <x v="1"/>
    <s v="BR_VW_RNG_oath_DIS_DRCT_CPC_CAI_MXD_TAT_RON_CXD_Varejo-Outlet-Rmkt_PD_nativeads"/>
    <s v="438886359"/>
    <x v="1"/>
    <n v="0"/>
    <n v="2"/>
    <n v="3.5000000000000001E-3"/>
    <n v="0.02"/>
    <n v="7.0000000000000001E-3"/>
    <x v="123"/>
  </r>
  <r>
    <s v="BR_TAT_DSY_NONMS_ND_NC_2019Q1FEB_RNG_AlwaysOn"/>
    <s v="Oath BR"/>
    <s v="BR_VW_RNG_oath_DIS_DRCT_CPC_CAI_MXD_TAT_RON_CXD_Varejo-Rmkt_PD_nativeads"/>
    <s v="244469671"/>
    <x v="1"/>
    <s v="BR_VW_RNG_oath_DIS_DRCT_CPC_CAI_MXD_TAT_RON_CXD_Varejo-Rmkt_PD_nativeads"/>
    <s v="441309452"/>
    <x v="1"/>
    <n v="0"/>
    <n v="4347"/>
    <n v="3.5000000000000001E-3"/>
    <n v="0.02"/>
    <n v="15.214500000000001"/>
    <x v="435"/>
  </r>
  <r>
    <s v="BR_TAT_DSY_NONMS_ND_NC_2019Q1FEB_RNG_AlwaysOn"/>
    <s v="Oath BR"/>
    <s v="BR_VW_RNG_oath_DIS_DRCT_CPC_CAI_MXD_TAT_RON_CXD_Virtus-Rmkt-ViewContent_PD_nativeads"/>
    <s v="243402785"/>
    <x v="1"/>
    <s v="BR_VW_RNG_oath_DIS_DRCT_CPC_CAI_MXD_TAT_RON_CXD_Virtus-Rmkt-ViewContent_PD_nativeads"/>
    <s v="440130210"/>
    <x v="1"/>
    <n v="0"/>
    <n v="1705"/>
    <n v="3.5000000000000001E-3"/>
    <n v="0.02"/>
    <n v="5.9675000000000002"/>
    <x v="436"/>
  </r>
  <r>
    <s v="BR_TAT_DSY_NONMS_ND_NC_2019Q1FEB_RNG_AlwaysOn"/>
    <s v="Oath BR"/>
    <s v="BR_VW_RNG_oath_DIS_DRCT_CPC_CAI_MXD_TAT_RON_CXD_Virtus-Rmkt_PD_nativeads"/>
    <s v="243402764"/>
    <x v="1"/>
    <s v="BR_VW_RNG_oath_DIS_DRCT_CPC_CAI_MXD_TAT_RON_CXD_Virtus-Rmkt_PD_nativeads"/>
    <s v="440130189"/>
    <x v="1"/>
    <n v="0"/>
    <n v="5356"/>
    <n v="3.5000000000000001E-3"/>
    <n v="0.02"/>
    <n v="18.745999999999999"/>
    <x v="437"/>
  </r>
  <r>
    <s v="BR_TAT_DSY_NONMS_ND_NC_2019Q1FEB_RNG_AlwaysOn"/>
    <s v="Oath BR"/>
    <s v="BR_VW_RNG_oath_DIS_DRCT_CPC_CAI_MXD_TAT_RON_CXD_Voyage-Rmkt-ViewContent_PD_nativeads"/>
    <s v="243402779"/>
    <x v="1"/>
    <s v="BR_VW_RNG_oath_DIS_DRCT_CPC_CAI_MXD_TAT_RON_CXD_Voyage-Rmkt-ViewContent_PD_nativeads"/>
    <s v="440130204"/>
    <x v="1"/>
    <n v="0"/>
    <n v="791"/>
    <n v="3.5000000000000001E-3"/>
    <n v="0.02"/>
    <n v="2.7685"/>
    <x v="438"/>
  </r>
  <r>
    <s v="BR_TAT_DSY_NONMS_ND_NC_2019Q1FEB_RNG_AlwaysOn"/>
    <s v="Oath BR"/>
    <s v="BR_VW_RNG_oath_DIS_DRCT_CPC_CAI_MXD_TAT_RON_CXD_Voyage-Rmkt_PD_nativeads"/>
    <s v="243402761"/>
    <x v="1"/>
    <s v="BR_VW_RNG_oath_DIS_DRCT_CPC_CAI_MXD_TAT_RON_CXD_Voyage-Rmkt_PD_nativeads"/>
    <s v="440130186"/>
    <x v="1"/>
    <n v="0"/>
    <n v="4237"/>
    <n v="3.5000000000000001E-3"/>
    <n v="0.02"/>
    <n v="14.829499999999999"/>
    <x v="439"/>
  </r>
  <r>
    <s v="BR_TAT_DSY_NONMS_ND_NC_2019Q1FEB_RNG_AlwaysOn"/>
    <s v="faceinsta"/>
    <s v="BR_VW_RNG_faceinsta_SOC_DRCT_CPM_CLK_MXD_TAT_RON_CXD_DPA-Amarok-Rmkt-View-content_PD_pagepost"/>
    <s v="242705856"/>
    <x v="1"/>
    <s v="BR_VW_RNG_faceinsta_SOC_DRCT_CPM_CLK_MXD_TAT_RON_CXD_DPA-Amarok-Rmkt-View-content_PD_pagepost"/>
    <s v="439229398"/>
    <x v="1"/>
    <n v="0"/>
    <n v="474"/>
    <n v="3.5000000000000001E-3"/>
    <n v="0.02"/>
    <n v="1.659"/>
    <x v="440"/>
  </r>
  <r>
    <s v="BR_TAT_DSY_NONMS_ND_NC_2019Q1FEB_RNG_AlwaysOn"/>
    <s v="faceinsta"/>
    <s v="BR_VW_RNG_faceinsta_SOC_DRCT_CPM_CLK_MXD_TAT_RON_CXD_DPA-Amarok-Rmkt-home_PD_pagepost"/>
    <s v="242705904"/>
    <x v="1"/>
    <s v="BR_VW_RNG_faceinsta_SOC_DRCT_CPM_CLK_MXD_TAT_RON_CXD_DPA-Amarok-Rmkt-home_PD_pagepost"/>
    <s v="439229446"/>
    <x v="1"/>
    <n v="0"/>
    <n v="327"/>
    <n v="3.5000000000000001E-3"/>
    <n v="0.02"/>
    <n v="1.1445000000000001"/>
    <x v="441"/>
  </r>
  <r>
    <s v="BR_TAT_DSY_NONMS_ND_NC_2019Q1FEB_RNG_AlwaysOn"/>
    <s v="faceinsta"/>
    <s v="BR_VW_RNG_faceinsta_SOC_DRCT_CPM_CLK_MXD_TAT_RON_CXD_DPA-Fox-Rmkt-View-content_PD_pagepost"/>
    <s v="242705853"/>
    <x v="1"/>
    <s v="BR_VW_RNG_faceinsta_SOC_DRCT_CPM_CLK_MXD_TAT_RON_CXD_DPA-Fox-Rmkt-View-content_PD_pagepost"/>
    <s v="439229395"/>
    <x v="1"/>
    <n v="0"/>
    <n v="1103"/>
    <n v="3.5000000000000001E-3"/>
    <n v="0.02"/>
    <n v="3.8605"/>
    <x v="442"/>
  </r>
  <r>
    <s v="BR_TAT_DSY_NONMS_ND_NC_2019Q1FEB_RNG_AlwaysOn"/>
    <s v="faceinsta"/>
    <s v="BR_VW_RNG_faceinsta_SOC_DRCT_CPM_CLK_MXD_TAT_RON_CXD_DPA-Fox-Rmkt-home_PD_pagepost"/>
    <s v="242705898"/>
    <x v="1"/>
    <s v="BR_VW_RNG_faceinsta_SOC_DRCT_CPM_CLK_MXD_TAT_RON_CXD_DPA-Fox-Rmkt-home_PD_pagepost"/>
    <s v="439229440"/>
    <x v="1"/>
    <n v="0"/>
    <n v="812"/>
    <n v="3.5000000000000001E-3"/>
    <n v="0.02"/>
    <n v="2.8420000000000001"/>
    <x v="443"/>
  </r>
  <r>
    <s v="BR_TAT_DSY_NONMS_ND_NC_2019Q1FEB_RNG_AlwaysOn"/>
    <s v="faceinsta"/>
    <s v="BR_VW_RNG_faceinsta_SOC_DRCT_CPM_CLK_MXD_TAT_RON_CXD_DPA-Gol-Rmkt-View-content_PD_pagepost"/>
    <s v="242705850"/>
    <x v="1"/>
    <s v="BR_VW_RNG_faceinsta_SOC_DRCT_CPM_CLK_MXD_TAT_RON_CXD_DPA-Gol-Rmkt-View-content_PD_pagepost"/>
    <s v="439229392"/>
    <x v="1"/>
    <n v="0"/>
    <n v="7089"/>
    <n v="3.5000000000000001E-3"/>
    <n v="0.02"/>
    <n v="24.811499999999999"/>
    <x v="444"/>
  </r>
  <r>
    <s v="BR_TAT_DSY_NONMS_ND_NC_2019Q1FEB_RNG_AlwaysOn"/>
    <s v="faceinsta"/>
    <s v="BR_VW_RNG_faceinsta_SOC_DRCT_CPM_CLK_MXD_TAT_RON_CXD_DPA-Gol-Rmkt-home_PD_pagepost"/>
    <s v="242705892"/>
    <x v="1"/>
    <s v="BR_VW_RNG_faceinsta_SOC_DRCT_CPM_CLK_MXD_TAT_RON_CXD_DPA-Gol-Rmkt-home_PD_pagepost"/>
    <s v="439229434"/>
    <x v="1"/>
    <n v="0"/>
    <n v="558"/>
    <n v="3.5000000000000001E-3"/>
    <n v="0.02"/>
    <n v="1.9530000000000001"/>
    <x v="445"/>
  </r>
  <r>
    <s v="BR_TAT_DSY_NONMS_ND_NC_2019Q1FEB_RNG_AlwaysOn"/>
    <s v="faceinsta"/>
    <s v="BR_VW_RNG_faceinsta_SOC_DRCT_CPM_CLK_MXD_TAT_RON_CXD_DPA-Jetta-Rmkt-View-content_PD_pagepost"/>
    <s v="242705847"/>
    <x v="1"/>
    <s v="BR_VW_RNG_faceinsta_SOC_DRCT_CPM_CLK_MXD_TAT_RON_CXD_DPA-Jetta-Rmkt-View-content_PD_pagepost"/>
    <s v="439229389"/>
    <x v="1"/>
    <n v="0"/>
    <n v="2943"/>
    <n v="3.5000000000000001E-3"/>
    <n v="0.02"/>
    <n v="10.3005"/>
    <x v="446"/>
  </r>
  <r>
    <s v="BR_TAT_DSY_NONMS_ND_NC_2019Q1FEB_RNG_AlwaysOn"/>
    <s v="faceinsta"/>
    <s v="BR_VW_RNG_faceinsta_SOC_DRCT_CPM_CLK_MXD_TAT_RON_CXD_DPA-Passat-Rmkt-View-content_PD_pagepost"/>
    <s v="242705901"/>
    <x v="1"/>
    <s v="BR_VW_RNG_faceinsta_SOC_DRCT_CPM_CLK_MXD_TAT_RON_CXD_DPA-Passat-Rmkt-View-content_PD_pagepost"/>
    <s v="439229443"/>
    <x v="1"/>
    <n v="0"/>
    <n v="2077"/>
    <n v="3.5000000000000001E-3"/>
    <n v="0.02"/>
    <n v="7.2694999999999999"/>
    <x v="447"/>
  </r>
  <r>
    <s v="BR_TAT_DSY_NONMS_ND_NC_2019Q1FEB_RNG_AlwaysOn"/>
    <s v="faceinsta"/>
    <s v="BR_VW_RNG_faceinsta_SOC_DRCT_CPM_CLK_MXD_TAT_RON_CXD_DPA-Passat-Rmkt-home_PD_pagepost"/>
    <s v="242705874"/>
    <x v="1"/>
    <s v="BR_VW_RNG_faceinsta_SOC_DRCT_CPM_CLK_MXD_TAT_RON_CXD_DPA-Passat-Rmkt-home_PD_pagepost"/>
    <s v="439229416"/>
    <x v="1"/>
    <n v="0"/>
    <n v="827"/>
    <n v="3.5000000000000001E-3"/>
    <n v="0.02"/>
    <n v="2.8944999999999999"/>
    <x v="448"/>
  </r>
  <r>
    <s v="BR_TAT_DSY_NONMS_ND_NC_2019Q1FEB_RNG_AlwaysOn"/>
    <s v="faceinsta"/>
    <s v="BR_VW_RNG_faceinsta_SOC_DRCT_CPM_CLK_MXD_TAT_RON_CXD_DPA-Polo-Rmkt-View-content_PD_pagepost"/>
    <s v="242705859"/>
    <x v="1"/>
    <s v="BR_VW_RNG_faceinsta_SOC_DRCT_CPM_CLK_MXD_TAT_RON_CXD_DPA-Polo-Rmkt-View-content_PD_pagepost"/>
    <s v="439229401"/>
    <x v="1"/>
    <n v="0"/>
    <n v="727"/>
    <n v="3.5000000000000001E-3"/>
    <n v="0.02"/>
    <n v="2.5445000000000002"/>
    <x v="449"/>
  </r>
  <r>
    <s v="BR_TAT_DSY_NONMS_ND_NC_2019Q1FEB_RNG_AlwaysOn"/>
    <s v="faceinsta"/>
    <s v="BR_VW_RNG_faceinsta_SOC_DRCT_CPM_CLK_MXD_TAT_RON_CXD_DPA-Polo-Rmkt-home_PD_pagepost"/>
    <s v="242705910"/>
    <x v="1"/>
    <s v="BR_VW_RNG_faceinsta_SOC_DRCT_CPM_CLK_MXD_TAT_RON_CXD_DPA-Polo-Rmkt-home_PD_pagepost"/>
    <s v="439269386"/>
    <x v="1"/>
    <n v="0"/>
    <n v="647"/>
    <n v="3.5000000000000001E-3"/>
    <n v="0.02"/>
    <n v="2.2645"/>
    <x v="450"/>
  </r>
  <r>
    <s v="BR_TAT_DSY_NONMS_ND_NC_2019Q1FEB_RNG_AlwaysOn"/>
    <s v="faceinsta"/>
    <s v="BR_VW_RNG_faceinsta_SOC_DRCT_CPM_CLK_MXD_TAT_RON_CXD_DPA-Saveiro-Rmkt-View-content_PD_pagepost"/>
    <s v="242705895"/>
    <x v="1"/>
    <s v="BR_VW_RNG_faceinsta_SOC_DRCT_CPM_CLK_MXD_TAT_RON_CXD_DPA-Saveiro-Rmkt-View-content_PD_pagepost"/>
    <s v="439229437"/>
    <x v="1"/>
    <n v="0"/>
    <n v="266"/>
    <n v="3.5000000000000001E-3"/>
    <n v="0.02"/>
    <n v="0.93100000000000005"/>
    <x v="451"/>
  </r>
  <r>
    <s v="BR_TAT_DSY_NONMS_ND_NC_2019Q1FEB_RNG_AlwaysOn"/>
    <s v="faceinsta"/>
    <s v="BR_VW_RNG_faceinsta_SOC_DRCT_CPM_CLK_MXD_TAT_RON_CXD_DPA-Saveiro-Rmkt-home_PD_pagepost"/>
    <s v="242705871"/>
    <x v="1"/>
    <s v="BR_VW_RNG_faceinsta_SOC_DRCT_CPM_CLK_MXD_TAT_RON_CXD_DPA-Saveiro-Rmkt-home_PD_pagepost"/>
    <s v="439229413"/>
    <x v="1"/>
    <n v="0"/>
    <n v="820"/>
    <n v="3.5000000000000001E-3"/>
    <n v="0.02"/>
    <n v="2.87"/>
    <x v="452"/>
  </r>
  <r>
    <s v="BR_TAT_DSY_NONMS_ND_NC_2019Q1FEB_RNG_AlwaysOn"/>
    <s v="faceinsta"/>
    <s v="BR_VW_RNG_faceinsta_SOC_DRCT_CPM_CLK_MXD_TAT_RON_CXD_DPA-Tiguan-Rmkt-home_PD_pagepost"/>
    <s v="242705868"/>
    <x v="1"/>
    <s v="BR_VW_RNG_faceinsta_SOC_DRCT_CPM_CLK_MXD_TAT_RON_CXD_DPA-Tiguan-Rmkt-home_PD_pagepost"/>
    <s v="439229410"/>
    <x v="1"/>
    <n v="0"/>
    <n v="504"/>
    <n v="3.5000000000000001E-3"/>
    <n v="0.02"/>
    <n v="1.764"/>
    <x v="453"/>
  </r>
  <r>
    <s v="BR_TAT_DSY_NONMS_ND_NC_2019Q1FEB_RNG_AlwaysOn"/>
    <s v="faceinsta"/>
    <s v="BR_VW_RNG_faceinsta_SOC_DRCT_CPM_CLK_MXD_TAT_RON_CXD_DPA-Virtus-Rmkt-View-content_PD_pagepost"/>
    <s v="242705883"/>
    <x v="1"/>
    <s v="BR_VW_RNG_faceinsta_SOC_DRCT_CPM_CLK_MXD_TAT_RON_CXD_DPA-Virtus-Rmkt-View-content_PD_pagepost"/>
    <s v="439229425"/>
    <x v="1"/>
    <n v="0"/>
    <n v="264"/>
    <n v="3.5000000000000001E-3"/>
    <n v="0.02"/>
    <n v="0.92400000000000004"/>
    <x v="454"/>
  </r>
  <r>
    <s v="BR_TAT_DSY_NONMS_ND_NC_2019Q1FEB_RNG_AlwaysOn"/>
    <s v="faceinsta"/>
    <s v="BR_VW_RNG_faceinsta_SOC_DRCT_CPM_CLK_MXD_TAT_RON_CXD_DPA-Virtus-Rmkt-home_PD_pagepost"/>
    <s v="242705865"/>
    <x v="1"/>
    <s v="BR_VW_RNG_faceinsta_SOC_DRCT_CPM_CLK_MXD_TAT_RON_CXD_DPA-Virtus-Rmkt-home_PD_pagepost"/>
    <s v="439229407"/>
    <x v="1"/>
    <n v="0"/>
    <n v="419"/>
    <n v="3.5000000000000001E-3"/>
    <n v="0.02"/>
    <n v="1.4665000000000001"/>
    <x v="455"/>
  </r>
  <r>
    <s v="BR_TAT_DSY_NONMS_ND_NC_2019Q1FEB_RNG_AlwaysOn"/>
    <s v="faceinsta"/>
    <s v="BR_VW_RNG_faceinsta_SOC_DRCT_CPM_CLK_MXD_TAT_RON_CXD_DPA-Voyage-Rmkt-View-content_PD_pagepost"/>
    <s v="242705877"/>
    <x v="1"/>
    <s v="BR_VW_RNG_faceinsta_SOC_DRCT_CPM_CLK_MXD_TAT_RON_CXD_DPA-Voyage-Rmkt-View-content_PD_pagepost"/>
    <s v="439229419"/>
    <x v="1"/>
    <n v="0"/>
    <n v="520"/>
    <n v="3.5000000000000001E-3"/>
    <n v="0.02"/>
    <n v="1.82"/>
    <x v="456"/>
  </r>
  <r>
    <s v="BR_TAT_DSY_NONMS_ND_NC_2019Q1FEB_RNG_AlwaysOn"/>
    <s v="faceinsta"/>
    <s v="BR_VW_RNG_faceinsta_SOC_DRCT_CPM_CLK_MXD_TAT_RON_CXD_DPA-Voyage-Rmkt-home_PD_pagepost"/>
    <s v="242705862"/>
    <x v="1"/>
    <s v="BR_VW_RNG_faceinsta_SOC_DRCT_CPM_CLK_MXD_TAT_RON_CXD_DPA-Voyage-Rmkt-home_PD_pagepost"/>
    <s v="439229404"/>
    <x v="1"/>
    <n v="0"/>
    <n v="287"/>
    <n v="3.5000000000000001E-3"/>
    <n v="0.02"/>
    <n v="1.0044999999999999"/>
    <x v="457"/>
  </r>
  <r>
    <s v="BR_TAT_DSY_NONMS_ND_NC_2019Q1FEB_RNG_AlwaysOn"/>
    <s v="faceinsta"/>
    <s v="BR_VW_RNG_faceinsta_SOC_DRCT_CPM_CLK_MXD_TAT_RON_CXD_DPA-up-Rmkt-View-content_PD_pagepost"/>
    <s v="242705907"/>
    <x v="1"/>
    <s v="BR_VW_RNG_faceinsta_SOC_DRCT_CPM_CLK_MXD_TAT_RON_CXD_DPA-up-Rmkt-View-content_PD_pagepost"/>
    <s v="439269383"/>
    <x v="1"/>
    <n v="0"/>
    <n v="5545"/>
    <n v="3.5000000000000001E-3"/>
    <n v="0.02"/>
    <n v="19.407499999999999"/>
    <x v="458"/>
  </r>
  <r>
    <s v="BR_TAT_DSY_NONMS_ND_NC_2019Q1FEB_RNG_AlwaysOn"/>
    <s v="faceinsta"/>
    <s v="BR_VW_RNG_faceinsta_SOC_DRCT_CPM_CLK_MXD_TAT_RON_CXD_DPA-up-Rmkt-home_PD_pagepost"/>
    <s v="242705880"/>
    <x v="1"/>
    <s v="BR_VW_RNG_faceinsta_SOC_DRCT_CPM_CLK_MXD_TAT_RON_CXD_DPA-up-Rmkt-home_PD_pagepost"/>
    <s v="439229422"/>
    <x v="1"/>
    <n v="0"/>
    <n v="2387"/>
    <n v="3.5000000000000001E-3"/>
    <n v="0.02"/>
    <n v="8.3544999999999998"/>
    <x v="459"/>
  </r>
  <r>
    <s v="BR_TAT_DSY_NONMS_ND_NC_2019Q1FEB_RNG_AlwaysOn"/>
    <s v="faceinsta"/>
    <s v="BR_VW_RNG_faceinsta_SOC_DRCT_CPM_CLK_SRB_TAT_RON_CXD_Varejo-Outlet-Rmkt_PD_1200x628"/>
    <s v="242208841"/>
    <x v="1"/>
    <s v="BR_VW_RNG_faceinsta_SOC_DRCT_CPM_CLK_SRB_TAT_RON_CXD_Varejo-Outlet-Rmkt_PD_1200x628"/>
    <s v="438936543"/>
    <x v="1"/>
    <n v="0"/>
    <n v="3"/>
    <n v="3.5000000000000001E-3"/>
    <n v="0.02"/>
    <n v="1.0500000000000001E-2"/>
    <x v="261"/>
  </r>
  <r>
    <s v="BR_TAT_SOC_NONMS_ND_NC_2019Q1MAR_RNG_AlwaysOn"/>
    <s v="faceinsta"/>
    <s v="BR_VW_RNG_faceinsta_SOC_DRCT_CPM_CAI_MXD_TAT_RON_CXD_DPA-Amarok-Rmkt-Home_PD_pagepost"/>
    <s v="243536257"/>
    <x v="1"/>
    <s v="BR_VW_RNG_faceinsta_SOC_DRCT_CPM_CAI_MXD_TAT_RON_CXD_DPA-Amarok-Rmkt-Home_PD_pagepost"/>
    <s v="440130303"/>
    <x v="1"/>
    <n v="0"/>
    <n v="3556"/>
    <n v="3.5000000000000001E-3"/>
    <n v="0.02"/>
    <n v="12.446"/>
    <x v="460"/>
  </r>
  <r>
    <s v="BR_TAT_SOC_NONMS_ND_NC_2019Q1MAR_RNG_AlwaysOn"/>
    <s v="faceinsta"/>
    <s v="BR_VW_RNG_faceinsta_SOC_DRCT_CPM_CAI_MXD_TAT_RON_CXD_DPA-Amarok-Rmkt-View-Content_PD_pagepost"/>
    <s v="243536209"/>
    <x v="1"/>
    <s v="BR_VW_RNG_faceinsta_SOC_DRCT_CPM_CAI_MXD_TAT_RON_CXD_DPA-Amarok-Rmkt-View-Content_PD_pagepost"/>
    <s v="440130255"/>
    <x v="1"/>
    <n v="0"/>
    <n v="699"/>
    <n v="3.5000000000000001E-3"/>
    <n v="0.02"/>
    <n v="2.4464999999999999"/>
    <x v="461"/>
  </r>
  <r>
    <s v="BR_TAT_SOC_NONMS_ND_NC_2019Q1MAR_RNG_AlwaysOn"/>
    <s v="faceinsta"/>
    <s v="BR_VW_RNG_faceinsta_SOC_DRCT_CPM_CAI_MXD_TAT_RON_CXD_DPA-Fox-Rmkt-Home_PD_pagepost"/>
    <s v="243536251"/>
    <x v="1"/>
    <s v="BR_VW_RNG_faceinsta_SOC_DRCT_CPM_CAI_MXD_TAT_RON_CXD_DPA-Fox-Rmkt-Home_PD_pagepost"/>
    <s v="440130297"/>
    <x v="1"/>
    <n v="0"/>
    <n v="14041"/>
    <n v="3.5000000000000001E-3"/>
    <n v="0.02"/>
    <n v="49.143500000000003"/>
    <x v="462"/>
  </r>
  <r>
    <s v="BR_TAT_SOC_NONMS_ND_NC_2019Q1MAR_RNG_AlwaysOn"/>
    <s v="faceinsta"/>
    <s v="BR_VW_RNG_faceinsta_SOC_DRCT_CPM_CAI_MXD_TAT_RON_CXD_DPA-Fox-Rmkt-View-Content_PD_pagepost"/>
    <s v="243536206"/>
    <x v="1"/>
    <s v="BR_VW_RNG_faceinsta_SOC_DRCT_CPM_CAI_MXD_TAT_RON_CXD_DPA-Fox-Rmkt-View-Content_PD_pagepost"/>
    <s v="440130252"/>
    <x v="1"/>
    <n v="0"/>
    <n v="1307"/>
    <n v="3.5000000000000001E-3"/>
    <n v="0.02"/>
    <n v="4.5745000000000005"/>
    <x v="463"/>
  </r>
  <r>
    <s v="BR_TAT_SOC_NONMS_ND_NC_2019Q1MAR_RNG_AlwaysOn"/>
    <s v="faceinsta"/>
    <s v="BR_VW_RNG_faceinsta_SOC_DRCT_CPM_CAI_MXD_TAT_RON_CXD_DPA-Gol-Rmkt-Home_PD_pagepost"/>
    <s v="243536245"/>
    <x v="1"/>
    <s v="BR_VW_RNG_faceinsta_SOC_DRCT_CPM_CAI_MXD_TAT_RON_CXD_DPA-Gol-Rmkt-Home_PD_pagepost"/>
    <s v="440130291"/>
    <x v="1"/>
    <n v="0"/>
    <n v="7576"/>
    <n v="3.5000000000000001E-3"/>
    <n v="0.02"/>
    <n v="26.516000000000002"/>
    <x v="464"/>
  </r>
  <r>
    <s v="BR_TAT_SOC_NONMS_ND_NC_2019Q1MAR_RNG_AlwaysOn"/>
    <s v="faceinsta"/>
    <s v="BR_VW_RNG_faceinsta_SOC_DRCT_CPM_CAI_MXD_TAT_RON_CXD_DPA-Gol-Rmkt-View-Content_PD_pagepost"/>
    <s v="243536203"/>
    <x v="1"/>
    <s v="BR_VW_RNG_faceinsta_SOC_DRCT_CPM_CAI_MXD_TAT_RON_CXD_DPA-Gol-Rmkt-View-Content_PD_pagepost"/>
    <s v="440130249"/>
    <x v="1"/>
    <n v="0"/>
    <n v="7560"/>
    <n v="3.5000000000000001E-3"/>
    <n v="0.02"/>
    <n v="26.46"/>
    <x v="465"/>
  </r>
  <r>
    <s v="BR_TAT_SOC_NONMS_ND_NC_2019Q1MAR_RNG_AlwaysOn"/>
    <s v="faceinsta"/>
    <s v="BR_VW_RNG_faceinsta_SOC_DRCT_CPM_CAI_MXD_TAT_RON_CXD_DPA-Jetta-Rmkt-View-Content_PD_pagepost"/>
    <s v="243402821"/>
    <x v="1"/>
    <s v="BR_VW_RNG_faceinsta_SOC_DRCT_CPM_CAI_MXD_TAT_RON_CXD_DPA-Jetta-Rmkt-View-Content_PD_pagepost"/>
    <s v="440130246"/>
    <x v="1"/>
    <n v="0"/>
    <n v="3428"/>
    <n v="3.5000000000000001E-3"/>
    <n v="0.02"/>
    <n v="11.998000000000001"/>
    <x v="466"/>
  </r>
  <r>
    <s v="BR_TAT_SOC_NONMS_ND_NC_2019Q1MAR_RNG_AlwaysOn"/>
    <s v="faceinsta"/>
    <s v="BR_VW_RNG_faceinsta_SOC_DRCT_CPM_CAI_MXD_TAT_RON_CXD_DPA-Passat-Rmkt-Home_PD_pagepost"/>
    <s v="243536227"/>
    <x v="1"/>
    <s v="BR_VW_RNG_faceinsta_SOC_DRCT_CPM_CAI_MXD_TAT_RON_CXD_DPA-Passat-Rmkt-Home_PD_pagepost"/>
    <s v="440130273"/>
    <x v="1"/>
    <n v="0"/>
    <n v="9463"/>
    <n v="3.5000000000000001E-3"/>
    <n v="0.02"/>
    <n v="33.1205"/>
    <x v="467"/>
  </r>
  <r>
    <s v="BR_TAT_SOC_NONMS_ND_NC_2019Q1MAR_RNG_AlwaysOn"/>
    <s v="faceinsta"/>
    <s v="BR_VW_RNG_faceinsta_SOC_DRCT_CPM_CAI_MXD_TAT_RON_CXD_DPA-Passat-Rmkt-View-Content_PD_pagepost"/>
    <s v="243536254"/>
    <x v="1"/>
    <s v="BR_VW_RNG_faceinsta_SOC_DRCT_CPM_CAI_MXD_TAT_RON_CXD_DPA-Passat-Rmkt-View-Content_PD_pagepost"/>
    <s v="440130300"/>
    <x v="1"/>
    <n v="0"/>
    <n v="1880"/>
    <n v="3.5000000000000001E-3"/>
    <n v="0.02"/>
    <n v="6.58"/>
    <x v="468"/>
  </r>
  <r>
    <s v="BR_TAT_SOC_NONMS_ND_NC_2019Q1MAR_RNG_AlwaysOn"/>
    <s v="faceinsta"/>
    <s v="BR_VW_RNG_faceinsta_SOC_DRCT_CPM_CAI_MXD_TAT_RON_CXD_DPA-Polo-Rmkt-Home_PD_pagepost"/>
    <s v="243536263"/>
    <x v="1"/>
    <s v="BR_VW_RNG_faceinsta_SOC_DRCT_CPM_CAI_MXD_TAT_RON_CXD_DPA-Polo-Rmkt-Home_PD_pagepost"/>
    <s v="440130309"/>
    <x v="1"/>
    <n v="0"/>
    <n v="12440"/>
    <n v="3.5000000000000001E-3"/>
    <n v="0.02"/>
    <n v="43.54"/>
    <x v="469"/>
  </r>
  <r>
    <s v="BR_TAT_SOC_NONMS_ND_NC_2019Q1MAR_RNG_AlwaysOn"/>
    <s v="faceinsta"/>
    <s v="BR_VW_RNG_faceinsta_SOC_DRCT_CPM_CAI_MXD_TAT_RON_CXD_DPA-Polo-Rmkt-View-Content_PD_pagepost"/>
    <s v="243536212"/>
    <x v="1"/>
    <s v="BR_VW_RNG_faceinsta_SOC_DRCT_CPM_CAI_MXD_TAT_RON_CXD_DPA-Polo-Rmkt-View-Content_PD_pagepost"/>
    <s v="440130258"/>
    <x v="1"/>
    <n v="0"/>
    <n v="2135"/>
    <n v="3.5000000000000001E-3"/>
    <n v="0.02"/>
    <n v="7.4725000000000001"/>
    <x v="470"/>
  </r>
  <r>
    <s v="BR_TAT_SOC_NONMS_ND_NC_2019Q1MAR_RNG_AlwaysOn"/>
    <s v="faceinsta"/>
    <s v="BR_VW_RNG_faceinsta_SOC_DRCT_CPM_CAI_MXD_TAT_RON_CXD_DPA-Saveiro-Rmkt-Home_PD_pagepost"/>
    <s v="243536224"/>
    <x v="1"/>
    <s v="BR_VW_RNG_faceinsta_SOC_DRCT_CPM_CAI_MXD_TAT_RON_CXD_DPA-Saveiro-Rmkt-Home_PD_pagepost"/>
    <s v="440130270"/>
    <x v="1"/>
    <n v="0"/>
    <n v="10930"/>
    <n v="3.5000000000000001E-3"/>
    <n v="0.02"/>
    <n v="38.255000000000003"/>
    <x v="471"/>
  </r>
  <r>
    <s v="BR_TAT_SOC_NONMS_ND_NC_2019Q1MAR_RNG_AlwaysOn"/>
    <s v="faceinsta"/>
    <s v="BR_VW_RNG_faceinsta_SOC_DRCT_CPM_CAI_MXD_TAT_RON_CXD_DPA-Saveiro-Rmkt-View-Content_PD_pagepost"/>
    <s v="243536248"/>
    <x v="1"/>
    <s v="BR_VW_RNG_faceinsta_SOC_DRCT_CPM_CAI_MXD_TAT_RON_CXD_DPA-Saveiro-Rmkt-View-Content_PD_pagepost"/>
    <s v="440130294"/>
    <x v="1"/>
    <n v="0"/>
    <n v="643"/>
    <n v="3.5000000000000001E-3"/>
    <n v="0.02"/>
    <n v="2.2505000000000002"/>
    <x v="472"/>
  </r>
  <r>
    <s v="BR_TAT_SOC_NONMS_ND_NC_2019Q1MAR_RNG_AlwaysOn"/>
    <s v="faceinsta"/>
    <s v="BR_VW_RNG_faceinsta_SOC_DRCT_CPM_CAI_MXD_TAT_RON_CXD_DPA-Tiguan-Rmkt-Home_PD_pagepost"/>
    <s v="243536221"/>
    <x v="1"/>
    <s v="BR_VW_RNG_faceinsta_SOC_DRCT_CPM_CAI_MXD_TAT_RON_CXD_DPA-Tiguan-Rmkt-Home_PD_pagepost"/>
    <s v="440130267"/>
    <x v="1"/>
    <n v="0"/>
    <n v="6209"/>
    <n v="3.5000000000000001E-3"/>
    <n v="0.02"/>
    <n v="21.7315"/>
    <x v="473"/>
  </r>
  <r>
    <s v="BR_TAT_SOC_NONMS_ND_NC_2019Q1MAR_RNG_AlwaysOn"/>
    <s v="faceinsta"/>
    <s v="BR_VW_RNG_faceinsta_SOC_DRCT_CPM_CAI_MXD_TAT_RON_CXD_DPA-Tiguan-Rmkt-View-Content_PD_pagepost"/>
    <s v="243536242"/>
    <x v="1"/>
    <s v="BR_VW_RNG_faceinsta_SOC_DRCT_CPM_CAI_MXD_TAT_RON_CXD_DPA-Tiguan-Rmkt-View-Content_PD_pagepost"/>
    <s v="440130288"/>
    <x v="1"/>
    <n v="0"/>
    <n v="1"/>
    <n v="3.5000000000000001E-3"/>
    <n v="0.02"/>
    <n v="3.5000000000000001E-3"/>
    <x v="1"/>
  </r>
  <r>
    <s v="BR_TAT_SOC_NONMS_ND_NC_2019Q1MAR_RNG_AlwaysOn"/>
    <s v="faceinsta"/>
    <s v="BR_VW_RNG_faceinsta_SOC_DRCT_CPM_CAI_MXD_TAT_RON_CXD_DPA-Virtus-Rmkt-Home_PD_pagepost"/>
    <s v="243536218"/>
    <x v="1"/>
    <s v="BR_VW_RNG_faceinsta_SOC_DRCT_CPM_CAI_MXD_TAT_RON_CXD_DPA-Virtus-Rmkt-Home_PD_pagepost"/>
    <s v="440130264"/>
    <x v="1"/>
    <n v="0"/>
    <n v="8165"/>
    <n v="3.5000000000000001E-3"/>
    <n v="0.02"/>
    <n v="28.577500000000001"/>
    <x v="474"/>
  </r>
  <r>
    <s v="BR_TAT_SOC_NONMS_ND_NC_2019Q1MAR_RNG_AlwaysOn"/>
    <s v="faceinsta"/>
    <s v="BR_VW_RNG_faceinsta_SOC_DRCT_CPM_CAI_MXD_TAT_RON_CXD_DPA-Virtus-Rmkt-View-Content_PD_pagepost"/>
    <s v="243536236"/>
    <x v="1"/>
    <s v="BR_VW_RNG_faceinsta_SOC_DRCT_CPM_CAI_MXD_TAT_RON_CXD_DPA-Virtus-Rmkt-View-Content_PD_pagepost"/>
    <s v="440130282"/>
    <x v="1"/>
    <n v="0"/>
    <n v="860"/>
    <n v="3.5000000000000001E-3"/>
    <n v="0.02"/>
    <n v="3.0100000000000002"/>
    <x v="475"/>
  </r>
  <r>
    <s v="BR_TAT_SOC_NONMS_ND_NC_2019Q1MAR_RNG_AlwaysOn"/>
    <s v="faceinsta"/>
    <s v="BR_VW_RNG_faceinsta_SOC_DRCT_CPM_CAI_MXD_TAT_RON_CXD_DPA-Voyage-Rmkt-Home_PD_pagepost"/>
    <s v="243536215"/>
    <x v="1"/>
    <s v="BR_VW_RNG_faceinsta_SOC_DRCT_CPM_CAI_MXD_TAT_RON_CXD_DPA-Voyage-Rmkt-Home_PD_pagepost"/>
    <s v="440130261"/>
    <x v="1"/>
    <n v="0"/>
    <n v="4623"/>
    <n v="3.5000000000000001E-3"/>
    <n v="0.02"/>
    <n v="16.180500000000002"/>
    <x v="476"/>
  </r>
  <r>
    <s v="BR_TAT_SOC_NONMS_ND_NC_2019Q1MAR_RNG_AlwaysOn"/>
    <s v="faceinsta"/>
    <s v="BR_VW_RNG_faceinsta_SOC_DRCT_CPM_CAI_MXD_TAT_RON_CXD_DPA-Voyage-Rmkt-View-Content_PD_pagepost"/>
    <s v="243536230"/>
    <x v="1"/>
    <s v="BR_VW_RNG_faceinsta_SOC_DRCT_CPM_CAI_MXD_TAT_RON_CXD_DPA-Voyage-Rmkt-View-Content_PD_pagepost"/>
    <s v="440130276"/>
    <x v="1"/>
    <n v="0"/>
    <n v="740"/>
    <n v="3.5000000000000001E-3"/>
    <n v="0.02"/>
    <n v="2.59"/>
    <x v="477"/>
  </r>
  <r>
    <s v="BR_TAT_SOC_NONMS_ND_NC_2019Q1MAR_RNG_AlwaysOn"/>
    <s v="faceinsta"/>
    <s v="BR_VW_RNG_faceinsta_SOC_DRCT_CPM_CAI_MXD_TAT_RON_CXD_DPA-up-Rmkt-Home_PD_pagepost"/>
    <s v="243536233"/>
    <x v="1"/>
    <s v="BR_VW_RNG_faceinsta_SOC_DRCT_CPM_CAI_MXD_TAT_RON_CXD_DPA-up-Rmkt-Home_PD_pagepost"/>
    <s v="440130279"/>
    <x v="1"/>
    <n v="0"/>
    <n v="22105"/>
    <n v="3.5000000000000001E-3"/>
    <n v="0.02"/>
    <n v="77.367500000000007"/>
    <x v="478"/>
  </r>
  <r>
    <s v="BR_TAT_SOC_NONMS_ND_NC_2019Q1MAR_RNG_AlwaysOn"/>
    <s v="faceinsta"/>
    <s v="BR_VW_RNG_faceinsta_SOC_DRCT_CPM_CAI_MXD_TAT_RON_CXD_DPA-up-Rmkt-View-Content_PD_pagepost"/>
    <s v="243536260"/>
    <x v="1"/>
    <s v="BR_VW_RNG_faceinsta_SOC_DRCT_CPM_CAI_MXD_TAT_RON_CXD_DPA-up-Rmkt-View-Content_PD_pagepost"/>
    <s v="440130306"/>
    <x v="1"/>
    <n v="0"/>
    <n v="2470"/>
    <n v="3.5000000000000001E-3"/>
    <n v="0.02"/>
    <n v="8.6449999999999996"/>
    <x v="479"/>
  </r>
  <r>
    <s v="alp_AlwaysOn"/>
    <s v="GDN"/>
    <s v="alp_AlwaysOn_gdn_network_gsp_gsppatrocinado_cpc_prospecting_1200x1200_Ano-Novo_na"/>
    <s v="240289178"/>
    <x v="1"/>
    <s v="alp_AlwaysOn_gdn_network_gsp_gsppatrocinado_cpc_prospecting_1200x1200_Ano-Novo_na"/>
    <s v="437296836"/>
    <x v="1"/>
    <n v="0"/>
    <n v="1"/>
    <n v="3.5000000000000001E-3"/>
    <n v="0.02"/>
    <n v="3.5000000000000001E-3"/>
    <x v="1"/>
  </r>
  <r>
    <s v="alp_AlwaysOn"/>
    <s v="GDN"/>
    <s v="alp_AlwaysOn_gdn_network_gsp_gsppatrocinado_cpc_remarketing_1200x1200_Fox-Xtreme_na"/>
    <s v="228026671"/>
    <x v="1"/>
    <s v="alp_AlwaysOn_gdn_network_gsp_gsppatrocinado_cpc_remarketing_1200x1200_Fox-Xtreme_na"/>
    <s v="426185983"/>
    <x v="1"/>
    <n v="0"/>
    <n v="2"/>
    <n v="3.5000000000000001E-3"/>
    <n v="0.02"/>
    <n v="7.0000000000000001E-3"/>
    <x v="123"/>
  </r>
  <r>
    <s v="alp_AlwaysOn"/>
    <s v="GDN"/>
    <s v="alp_AlwaysOn_gdn_network_gsp_gsppatrocinado_cpc_remarketing_1200x1200_Gol_na"/>
    <s v="228023230"/>
    <x v="1"/>
    <s v="alp_AlwaysOn_gdn_network_gsp_gsppatrocinado_cpc_remarketing_1200x1200_Gol_na"/>
    <s v="426105353"/>
    <x v="1"/>
    <n v="0"/>
    <n v="3"/>
    <n v="3.5000000000000001E-3"/>
    <n v="0.02"/>
    <n v="1.0500000000000001E-2"/>
    <x v="261"/>
  </r>
  <r>
    <s v="alp_AlwaysOn"/>
    <s v="GDN"/>
    <s v="alp_AlwaysOn_gdn_network_gsp_gsppatrocinado_cpc_remarketing_1200x1200_Jetta_na"/>
    <s v="240152680"/>
    <x v="1"/>
    <s v="alp_AlwaysOn_gdn_network_gsp_gsppatrocinado_cpc_remarketing_1200x1200_Jetta_na"/>
    <s v="437109891"/>
    <x v="1"/>
    <n v="0"/>
    <n v="5"/>
    <n v="3.5000000000000001E-3"/>
    <n v="0.02"/>
    <n v="1.7500000000000002E-2"/>
    <x v="480"/>
  </r>
  <r>
    <s v="alp_AlwaysOn"/>
    <s v="GDN"/>
    <s v="alp_AlwaysOn_gdn_network_gsp_gsppatrocinado_cpc_remarketing_1200x1200_Passat_na"/>
    <s v="230732168"/>
    <x v="1"/>
    <s v="alp_AlwaysOn_gdn_network_gsp_gsppatrocinado_cpc_remarketing_1200x1200_Passat_na"/>
    <s v="428604284"/>
    <x v="1"/>
    <n v="0"/>
    <n v="2"/>
    <n v="3.5000000000000001E-3"/>
    <n v="0.02"/>
    <n v="7.0000000000000001E-3"/>
    <x v="123"/>
  </r>
  <r>
    <s v="alp_AlwaysOn"/>
    <s v="GDN"/>
    <s v="alp_AlwaysOn_gdn_network_gsp_gsppatrocinado_cpc_remarketing_1200x1200_Voyage_na"/>
    <s v="227936651"/>
    <x v="1"/>
    <s v="alp_AlwaysOn_gdn_network_gsp_gsppatrocinado_cpc_remarketing_1200x1200_Voyage_na"/>
    <s v="426103898"/>
    <x v="1"/>
    <n v="0"/>
    <n v="7"/>
    <n v="3.5000000000000001E-3"/>
    <n v="0.02"/>
    <n v="2.4500000000000001E-2"/>
    <x v="329"/>
  </r>
  <r>
    <s v="alp_AlwaysOn"/>
    <s v="GDN"/>
    <s v="alp_AlwaysOn_gdn_network_gsp_gsppatrocinado_cpc_remarketing_1200x1200_up!-Pepper_na"/>
    <s v="240374847"/>
    <x v="1"/>
    <s v="alp_AlwaysOn_gdn_network_gsp_gsppatrocinado_cpc_remarketing_1200x1200_up!-Pepper_na"/>
    <s v="437203012"/>
    <x v="1"/>
    <n v="0"/>
    <n v="502"/>
    <n v="3.5000000000000001E-3"/>
    <n v="0.02"/>
    <n v="1.7570000000000001"/>
    <x v="416"/>
  </r>
  <r>
    <s v="alp_AlwaysOn"/>
    <s v="GDN"/>
    <s v="alp_AlwaysOn_gdn_network_smart-display_smart-display_cpc_prospecting_smart-display_prospecting_na"/>
    <s v="227903815"/>
    <x v="1"/>
    <s v="alp_AlwaysOn_gdn_network_smart-display_smart-display_cpc_prospecting_smart-display_prospecting_na"/>
    <s v="426001554"/>
    <x v="1"/>
    <n v="0"/>
    <n v="1"/>
    <n v="3.5000000000000001E-3"/>
    <n v="0.02"/>
    <n v="3.5000000000000001E-3"/>
    <x v="1"/>
  </r>
  <r>
    <s v="alp_AlwaysOn"/>
    <s v="GDN"/>
    <s v="alp_AlwaysOn_gdn_network_varejo_gsppatrocinado_cpc_prospecting_1200x1200_Ano-Novo_na"/>
    <s v="237891686"/>
    <x v="1"/>
    <s v="alp_AlwaysOn_gdn_network_varejo_gsppatrocinado_cpc_prospecting_1200x1200_Ano-Novo_na"/>
    <s v="435257812"/>
    <x v="1"/>
    <n v="0"/>
    <n v="3"/>
    <n v="3.5000000000000001E-3"/>
    <n v="0.02"/>
    <n v="1.0500000000000001E-2"/>
    <x v="261"/>
  </r>
  <r>
    <s v="alp_AlwaysOn"/>
    <s v="GDN"/>
    <s v="alp_AlwaysOn_gdn_network_varejo_gsppatrocinado_cpc_remarketing_1200x1200_NovaVW_na"/>
    <s v="230960321"/>
    <x v="1"/>
    <s v="alp_AlwaysOn_gdn_network_varejo_gsppatrocinado_cpc_remarketing_1200x1200_NovaVW_na"/>
    <s v="428822162"/>
    <x v="1"/>
    <n v="0"/>
    <n v="1"/>
    <n v="3.5000000000000001E-3"/>
    <n v="0.02"/>
    <n v="3.5000000000000001E-3"/>
    <x v="1"/>
  </r>
  <r>
    <s v="alp_AlwaysOn"/>
    <s v="GDN"/>
    <s v="alp_AlwaysOn_gdn_network_varejo_gsppatrocinado_cpc_remarketing_1200x1200_Outlet_na"/>
    <s v="231611855"/>
    <x v="1"/>
    <s v="alp_AlwaysOn_gdn_network_varejo_gsppatrocinado_cpc_remarketing_1200x1200_Outlet_na"/>
    <s v="429457132"/>
    <x v="1"/>
    <n v="0"/>
    <n v="1"/>
    <n v="3.5000000000000001E-3"/>
    <n v="0.02"/>
    <n v="3.5000000000000001E-3"/>
    <x v="1"/>
  </r>
  <r>
    <s v="alp_AlwaysOn"/>
    <s v="GSD"/>
    <s v="alp_AlwaysOn_gsd_network_smart-display_smart-display_cpc_na_smart-display_prospecting_na"/>
    <s v="233468515"/>
    <x v="1"/>
    <s v="alp_AlwaysOn_gsd_network_smart-display_smart-display_cpc_na_smart-display_prospecting_na"/>
    <s v="431205523"/>
    <x v="1"/>
    <n v="0"/>
    <n v="2235"/>
    <n v="3.5000000000000001E-3"/>
    <n v="0.02"/>
    <n v="7.8224999999999998"/>
    <x v="481"/>
  </r>
  <r>
    <s v="alp_AlwaysOn"/>
    <s v="Google Brasil"/>
    <s v="alp_AlwaysOn_dbm_network_native-ads_dbm-native_cpm_prospecting_nativeads_Amarok-Prospect_na"/>
    <s v="228878582"/>
    <x v="3"/>
    <s v="alp_AlwaysOn_dbm_network_native-ads_dbm-native_cpm_prospecting_nativeads_Amarok-Prospect_na"/>
    <s v="427031720"/>
    <x v="1"/>
    <n v="28857"/>
    <n v="166"/>
    <n v="3.8199999999999998E-2"/>
    <n v="0.09"/>
    <n v="1.1023373999999999"/>
    <x v="482"/>
  </r>
  <r>
    <s v="alp_AlwaysOn"/>
    <s v="Google Brasil"/>
    <s v="alp_AlwaysOn_dbm_network_native-ads_dbm-native_cpm_prospecting_nativeads_FoxConnect-Prospect_na"/>
    <s v="228878579"/>
    <x v="3"/>
    <s v="alp_AlwaysOn_dbm_network_native-ads_dbm-native_cpm_prospecting_nativeads_FoxConnect-Prospect_na"/>
    <s v="427031717"/>
    <x v="1"/>
    <n v="32301"/>
    <n v="138"/>
    <n v="3.8199999999999998E-2"/>
    <n v="0.09"/>
    <n v="1.2338981999999998"/>
    <x v="483"/>
  </r>
  <r>
    <s v="alp_AlwaysOn"/>
    <s v="Google Brasil"/>
    <s v="alp_AlwaysOn_dbm_network_native-ads_dbm-native_cpm_prospecting_nativeads_FoxXtreme-Prospect_na"/>
    <s v="228878576"/>
    <x v="3"/>
    <s v="alp_AlwaysOn_dbm_network_native-ads_dbm-native_cpm_prospecting_nativeads_FoxXtreme-Prospect_na"/>
    <s v="427031714"/>
    <x v="1"/>
    <n v="36327"/>
    <n v="219"/>
    <n v="3.8199999999999998E-2"/>
    <n v="0.09"/>
    <n v="1.3876914"/>
    <x v="484"/>
  </r>
  <r>
    <s v="alp_AlwaysOn"/>
    <s v="Google Brasil"/>
    <s v="alp_AlwaysOn_dbm_network_native-ads_dbm-native_cpm_prospecting_nativeads_Gol-Prospect_na"/>
    <s v="228878573"/>
    <x v="3"/>
    <s v="alp_AlwaysOn_dbm_network_native-ads_dbm-native_cpm_prospecting_nativeads_Gol-Prospect_na"/>
    <s v="427031711"/>
    <x v="1"/>
    <n v="28567"/>
    <n v="124"/>
    <n v="3.8199999999999998E-2"/>
    <n v="0.09"/>
    <n v="1.0912594"/>
    <x v="485"/>
  </r>
  <r>
    <s v="alp_AlwaysOn"/>
    <s v="Google Brasil"/>
    <s v="alp_AlwaysOn_dbm_network_native-ads_dbm-native_cpm_prospecting_nativeads_Jetta-Prospect_na"/>
    <s v="228878567"/>
    <x v="3"/>
    <s v="alp_AlwaysOn_dbm_network_native-ads_dbm-native_cpm_prospecting_nativeads_Jetta-Prospect_na"/>
    <s v="427031705"/>
    <x v="1"/>
    <n v="27802"/>
    <n v="133"/>
    <n v="3.8199999999999998E-2"/>
    <n v="0.09"/>
    <n v="1.0620364"/>
    <x v="486"/>
  </r>
  <r>
    <s v="alp_AlwaysOn"/>
    <s v="Google Brasil"/>
    <s v="alp_AlwaysOn_dbm_network_native-ads_dbm-native_cpm_prospecting_nativeads_Passat-Prospect_na"/>
    <s v="228878564"/>
    <x v="3"/>
    <s v="alp_AlwaysOn_dbm_network_native-ads_dbm-native_cpm_prospecting_nativeads_Passat-Prospect_na"/>
    <s v="427031702"/>
    <x v="1"/>
    <n v="89095"/>
    <n v="620"/>
    <n v="3.8199999999999998E-2"/>
    <n v="0.09"/>
    <n v="3.4034289999999996"/>
    <x v="487"/>
  </r>
  <r>
    <s v="alp_AlwaysOn"/>
    <s v="Google Brasil"/>
    <s v="alp_AlwaysOn_dbm_network_native-ads_dbm-native_cpm_prospecting_nativeads_Polo-Prospect_na"/>
    <s v="228878561"/>
    <x v="2"/>
    <s v="1x1 Default Web Ad"/>
    <s v="424916688"/>
    <x v="2"/>
    <n v="1297"/>
    <n v="0"/>
    <n v="3.8199999999999998E-2"/>
    <n v="0.09"/>
    <n v="4.9545399999999996E-2"/>
    <x v="488"/>
  </r>
  <r>
    <s v="alp_AlwaysOn"/>
    <s v="Google Brasil"/>
    <s v="alp_AlwaysOn_dbm_network_native-ads_dbm-native_cpm_prospecting_nativeads_Polo-Prospect_na"/>
    <s v="228878561"/>
    <x v="3"/>
    <s v="alp_AlwaysOn_dbm_network_native-ads_dbm-native_cpm_prospecting_nativeads_Polo-Prospect_na"/>
    <s v="427031699"/>
    <x v="1"/>
    <n v="27862"/>
    <n v="120"/>
    <n v="3.8199999999999998E-2"/>
    <n v="0.09"/>
    <n v="1.0643284"/>
    <x v="489"/>
  </r>
  <r>
    <s v="alp_AlwaysOn"/>
    <s v="Google Brasil"/>
    <s v="alp_AlwaysOn_dbm_network_native-ads_dbm-native_cpm_prospecting_nativeads_Saveiro-Prospect_na"/>
    <s v="228878558"/>
    <x v="2"/>
    <s v="1x1 Default Web Ad"/>
    <s v="424916688"/>
    <x v="2"/>
    <n v="1325"/>
    <n v="0"/>
    <n v="3.8199999999999998E-2"/>
    <n v="0.09"/>
    <n v="5.0614999999999993E-2"/>
    <x v="490"/>
  </r>
  <r>
    <s v="alp_AlwaysOn"/>
    <s v="Google Brasil"/>
    <s v="alp_AlwaysOn_dbm_network_native-ads_dbm-native_cpm_prospecting_nativeads_Saveiro-Prospect_na"/>
    <s v="228878558"/>
    <x v="3"/>
    <s v="alp_AlwaysOn_dbm_network_native-ads_dbm-native_cpm_prospecting_nativeads_Saveiro-Prospect_na"/>
    <s v="427031696"/>
    <x v="1"/>
    <n v="28470"/>
    <n v="108"/>
    <n v="3.8199999999999998E-2"/>
    <n v="0.09"/>
    <n v="1.0875539999999999"/>
    <x v="491"/>
  </r>
  <r>
    <s v="alp_AlwaysOn"/>
    <s v="Google Brasil"/>
    <s v="alp_AlwaysOn_dbm_network_native-ads_dbm-native_cpm_prospecting_nativeads_SaveiroPepper-Prospect_na"/>
    <s v="228878555"/>
    <x v="2"/>
    <s v="1x1 Default Web Ad"/>
    <s v="424916688"/>
    <x v="2"/>
    <n v="1396"/>
    <n v="0"/>
    <n v="3.8199999999999998E-2"/>
    <n v="0.09"/>
    <n v="5.3327199999999998E-2"/>
    <x v="492"/>
  </r>
  <r>
    <s v="alp_AlwaysOn"/>
    <s v="Google Brasil"/>
    <s v="alp_AlwaysOn_dbm_network_native-ads_dbm-native_cpm_prospecting_nativeads_SaveiroPepper-Prospect_na"/>
    <s v="228878555"/>
    <x v="3"/>
    <s v="alp_AlwaysOn_dbm_network_native-ads_dbm-native_cpm_prospecting_nativeads_SaveiroPepper-Prospect_na"/>
    <s v="427031693"/>
    <x v="1"/>
    <n v="28930"/>
    <n v="114"/>
    <n v="3.8199999999999998E-2"/>
    <n v="0.09"/>
    <n v="1.1051260000000001"/>
    <x v="493"/>
  </r>
  <r>
    <s v="alp_AlwaysOn"/>
    <s v="Google Brasil"/>
    <s v="alp_AlwaysOn_dbm_network_native-ads_dbm-native_cpm_prospecting_nativeads_Tiguan-Prospect_na"/>
    <s v="232437873"/>
    <x v="2"/>
    <s v="1x1 Default Web Ad"/>
    <s v="424916688"/>
    <x v="2"/>
    <n v="1434"/>
    <n v="0"/>
    <n v="3.8199999999999998E-2"/>
    <n v="0.09"/>
    <n v="5.4778799999999996E-2"/>
    <x v="494"/>
  </r>
  <r>
    <s v="alp_AlwaysOn"/>
    <s v="Google Brasil"/>
    <s v="alp_AlwaysOn_dbm_network_native-ads_dbm-native_cpm_prospecting_nativeads_Tiguan-Prospect_na"/>
    <s v="232437873"/>
    <x v="3"/>
    <s v="alp_AlwaysOn_dbm_network_native-ads_dbm-native_cpm_prospecting_nativeads_Tiguan-Prospect_na"/>
    <s v="429893282"/>
    <x v="1"/>
    <n v="26925"/>
    <n v="120"/>
    <n v="3.8199999999999998E-2"/>
    <n v="0.09"/>
    <n v="1.0285349999999998"/>
    <x v="495"/>
  </r>
  <r>
    <s v="alp_AlwaysOn"/>
    <s v="Google Brasil"/>
    <s v="alp_AlwaysOn_dbm_network_native-ads_dbm-native_cpm_prospecting_nativeads_UP-Prospect_na"/>
    <s v="228878549"/>
    <x v="2"/>
    <s v="1x1 Default Web Ad"/>
    <s v="424916688"/>
    <x v="2"/>
    <n v="1442"/>
    <n v="0"/>
    <n v="3.8199999999999998E-2"/>
    <n v="0.09"/>
    <n v="5.5084399999999992E-2"/>
    <x v="496"/>
  </r>
  <r>
    <s v="alp_AlwaysOn"/>
    <s v="Google Brasil"/>
    <s v="alp_AlwaysOn_dbm_network_native-ads_dbm-native_cpm_prospecting_nativeads_UP-Prospect_na"/>
    <s v="228878549"/>
    <x v="3"/>
    <s v="alp_AlwaysOn_yahoo_horizontal_native-ads_native_cpc_prospecting_nativeads_Tiguan-Prospect_na"/>
    <s v="427031687"/>
    <x v="1"/>
    <n v="35488"/>
    <n v="165"/>
    <n v="3.8199999999999998E-2"/>
    <n v="0.09"/>
    <n v="1.3556416"/>
    <x v="497"/>
  </r>
  <r>
    <s v="alp_AlwaysOn"/>
    <s v="Google Brasil"/>
    <s v="alp_AlwaysOn_dbm_network_native-ads_dbm-native_cpm_prospecting_nativeads_UPPepper-Prospect_na"/>
    <s v="228878546"/>
    <x v="2"/>
    <s v="1x1 Default Web Ad"/>
    <s v="424916688"/>
    <x v="2"/>
    <n v="1356"/>
    <n v="0"/>
    <n v="3.8199999999999998E-2"/>
    <n v="0.09"/>
    <n v="5.1799199999999997E-2"/>
    <x v="498"/>
  </r>
  <r>
    <s v="alp_AlwaysOn"/>
    <s v="Google Brasil"/>
    <s v="alp_AlwaysOn_dbm_network_native-ads_dbm-native_cpm_prospecting_nativeads_UPPepper-Prospect_na"/>
    <s v="228878546"/>
    <x v="3"/>
    <s v="alp_AlwaysOn_dbm_network_native-ads_dbm-native_cpm_prospecting_nativeads_UPPepper-Prospect_na"/>
    <s v="427031684"/>
    <x v="1"/>
    <n v="28082"/>
    <n v="99"/>
    <n v="3.8199999999999998E-2"/>
    <n v="0.09"/>
    <n v="1.0727323999999998"/>
    <x v="499"/>
  </r>
  <r>
    <s v="alp_AlwaysOn"/>
    <s v="Google Brasil"/>
    <s v="alp_AlwaysOn_dbm_network_native-ads_dbm-native_cpm_prospecting_nativeads_Virtus-Prospect_na"/>
    <s v="228878543"/>
    <x v="2"/>
    <s v="1x1 Default Web Ad"/>
    <s v="424916688"/>
    <x v="2"/>
    <n v="1353"/>
    <n v="0"/>
    <n v="3.8199999999999998E-2"/>
    <n v="0.09"/>
    <n v="5.1684599999999997E-2"/>
    <x v="500"/>
  </r>
  <r>
    <s v="alp_AlwaysOn"/>
    <s v="Google Brasil"/>
    <s v="alp_AlwaysOn_dbm_network_native-ads_dbm-native_cpm_prospecting_nativeads_Virtus-Prospect_na"/>
    <s v="228878543"/>
    <x v="3"/>
    <s v="alp_AlwaysOn_dbm_network_native-ads_dbm-native_cpm_prospecting_nativeads_Virtus-Prospect_na"/>
    <s v="427031681"/>
    <x v="1"/>
    <n v="24620"/>
    <n v="109"/>
    <n v="3.8199999999999998E-2"/>
    <n v="0.09"/>
    <n v="0.94048399999999988"/>
    <x v="501"/>
  </r>
  <r>
    <s v="alp_AlwaysOn"/>
    <s v="Google Brasil"/>
    <s v="alp_AlwaysOn_dbm_network_native-ads_dbm-native_cpm_prospecting_nativeads_Voyage-Prospect_na"/>
    <s v="228878540"/>
    <x v="2"/>
    <s v="1x1 Default Web Ad"/>
    <s v="424916688"/>
    <x v="2"/>
    <n v="1381"/>
    <n v="0"/>
    <n v="3.8199999999999998E-2"/>
    <n v="0.09"/>
    <n v="5.2754199999999994E-2"/>
    <x v="502"/>
  </r>
  <r>
    <s v="alp_AlwaysOn"/>
    <s v="Google Brasil"/>
    <s v="alp_AlwaysOn_dbm_network_native-ads_dbm-native_cpm_prospecting_nativeads_Voyage-Prospect_na"/>
    <s v="228878540"/>
    <x v="3"/>
    <s v="alp_AlwaysOn_dbm_network_native-ads_dbm-native_cpm_prospecting_nativeads_Voyage-Prospect_na"/>
    <s v="427031678"/>
    <x v="1"/>
    <n v="25329"/>
    <n v="129"/>
    <n v="3.8199999999999998E-2"/>
    <n v="0.09"/>
    <n v="0.96756779999999987"/>
    <x v="503"/>
  </r>
  <r>
    <s v="alp_AlwaysOn"/>
    <s v="Google Brasil"/>
    <s v="alp_AlwaysOn_dbm_network_native-ads_dbm-native_cpm_remarketing_nativeads_Amarok-Rmkt_na"/>
    <s v="228878537"/>
    <x v="3"/>
    <s v="alp_AlwaysOn_dbm_network_native-ads_dbm-native_cpm_remarketing_nativeads_Amarok-Rmkt_na"/>
    <s v="427031675"/>
    <x v="1"/>
    <n v="87670"/>
    <n v="343"/>
    <n v="3.8199999999999998E-2"/>
    <n v="0.09"/>
    <n v="3.3489939999999998"/>
    <x v="504"/>
  </r>
  <r>
    <s v="alp_AlwaysOn"/>
    <s v="Google Brasil"/>
    <s v="alp_AlwaysOn_dbm_network_native-ads_dbm-native_cpm_remarketing_nativeads_FoxConnect-Rmkt_na"/>
    <s v="228878534"/>
    <x v="3"/>
    <s v="alp_AlwaysOn_dbm_network_native-ads_dbm-native_cpm_remarketing_nativeads_FoxConnect-Rmkt_na"/>
    <s v="427031672"/>
    <x v="1"/>
    <n v="34493"/>
    <n v="102"/>
    <n v="3.8199999999999998E-2"/>
    <n v="0.09"/>
    <n v="1.3176325999999998"/>
    <x v="505"/>
  </r>
  <r>
    <s v="alp_AlwaysOn"/>
    <s v="Google Brasil"/>
    <s v="alp_AlwaysOn_dbm_network_native-ads_dbm-native_cpm_remarketing_nativeads_FoxXtreme-Rmkt_na"/>
    <s v="228878531"/>
    <x v="3"/>
    <s v="alp_AlwaysOn_dbm_network_native-ads_dbm-native_cpm_remarketing_nativeads_FoxXtreme-Rmkt_na"/>
    <s v="427031669"/>
    <x v="1"/>
    <n v="34233"/>
    <n v="103"/>
    <n v="3.8199999999999998E-2"/>
    <n v="0.09"/>
    <n v="1.3077006"/>
    <x v="506"/>
  </r>
  <r>
    <s v="alp_AlwaysOn"/>
    <s v="Google Brasil"/>
    <s v="alp_AlwaysOn_dbm_network_native-ads_dbm-native_cpm_remarketing_nativeads_Gol-Rmkt_na"/>
    <s v="228878528"/>
    <x v="3"/>
    <s v="alp_AlwaysOn_dbm_network_native-ads_dbm-native_cpm_remarketing_nativeads_Gol-Rmkt_na"/>
    <s v="427031666"/>
    <x v="1"/>
    <n v="395904"/>
    <n v="1600"/>
    <n v="3.8199999999999998E-2"/>
    <n v="0.09"/>
    <n v="15.1235328"/>
    <x v="507"/>
  </r>
  <r>
    <s v="alp_AlwaysOn"/>
    <s v="Google Brasil"/>
    <s v="alp_AlwaysOn_dbm_network_native-ads_dbm-native_cpm_remarketing_nativeads_Golf-Rmkt_na"/>
    <s v="228878525"/>
    <x v="3"/>
    <s v="alp_AlwaysOn_dbm_network_native-ads_dbm-native_cpm_remarketing_nativeads_Golf-Rmkt_na"/>
    <s v="427031663"/>
    <x v="1"/>
    <n v="92894"/>
    <n v="201"/>
    <n v="3.8199999999999998E-2"/>
    <n v="0.09"/>
    <n v="3.5485508000000001"/>
    <x v="508"/>
  </r>
  <r>
    <s v="alp_AlwaysOn"/>
    <s v="Google Brasil"/>
    <s v="alp_AlwaysOn_dbm_network_native-ads_dbm-native_cpm_remarketing_nativeads_Jetta-Rmkt_na"/>
    <s v="228878522"/>
    <x v="3"/>
    <s v="alp_AlwaysOn_dbm_network_native-ads_dbm-native_cpm_remarketing_nativeads_Jetta-Rmkt_na"/>
    <s v="427031660"/>
    <x v="1"/>
    <n v="11126"/>
    <n v="41"/>
    <n v="3.8199999999999998E-2"/>
    <n v="0.09"/>
    <n v="0.42501319999999998"/>
    <x v="509"/>
  </r>
  <r>
    <s v="alp_AlwaysOn"/>
    <s v="Google Brasil"/>
    <s v="alp_AlwaysOn_dbm_network_native-ads_dbm-native_cpm_remarketing_nativeads_Passat-Rmkt_na"/>
    <s v="228878519"/>
    <x v="3"/>
    <s v="alp_AlwaysOn_dbm_network_native-ads_dbm-native_cpm_remarketing_nativeads_Passat-Rmkt_na"/>
    <s v="427031657"/>
    <x v="1"/>
    <n v="28037"/>
    <n v="166"/>
    <n v="3.8199999999999998E-2"/>
    <n v="0.09"/>
    <n v="1.0710134"/>
    <x v="510"/>
  </r>
  <r>
    <s v="alp_AlwaysOn"/>
    <s v="Google Brasil"/>
    <s v="alp_AlwaysOn_dbm_network_native-ads_dbm-native_cpm_remarketing_nativeads_Polo-Rmkt_na"/>
    <s v="228878516"/>
    <x v="3"/>
    <s v="alp_AlwaysOn_dbm_network_native-ads_dbm-native_cpm_remarketing_nativeads_Polo-Rmkt_na"/>
    <s v="427031654"/>
    <x v="1"/>
    <n v="46516"/>
    <n v="75"/>
    <n v="3.8199999999999998E-2"/>
    <n v="0.09"/>
    <n v="1.7769112"/>
    <x v="511"/>
  </r>
  <r>
    <s v="alp_AlwaysOn"/>
    <s v="Google Brasil"/>
    <s v="alp_AlwaysOn_dbm_network_native-ads_dbm-native_cpm_remarketing_nativeads_Saveiro-Rmkt_na"/>
    <s v="228878513"/>
    <x v="3"/>
    <s v="alp_AlwaysOn_dbm_network_native-ads_dbm-native_cpm_remarketing_nativeads_Saveiro-Rmkt_na"/>
    <s v="427031651"/>
    <x v="1"/>
    <n v="39390"/>
    <n v="170"/>
    <n v="3.8199999999999998E-2"/>
    <n v="0.09"/>
    <n v="1.5046979999999999"/>
    <x v="512"/>
  </r>
  <r>
    <s v="alp_AlwaysOn"/>
    <s v="Google Brasil"/>
    <s v="alp_AlwaysOn_dbm_network_native-ads_dbm-native_cpm_remarketing_nativeads_SaveiroPepper-Rmkt_na"/>
    <s v="228878510"/>
    <x v="3"/>
    <s v="alp_AlwaysOn_dbm_network_native-ads_dbm-native_cpm_remarketing_nativeads_SaveiroPepper-Rmkt_na"/>
    <s v="427031648"/>
    <x v="1"/>
    <n v="39951"/>
    <n v="183"/>
    <n v="3.8199999999999998E-2"/>
    <n v="0.09"/>
    <n v="1.5261281999999998"/>
    <x v="513"/>
  </r>
  <r>
    <s v="alp_AlwaysOn"/>
    <s v="Google Brasil"/>
    <s v="alp_AlwaysOn_dbm_network_native-ads_dbm-native_cpm_remarketing_nativeads_Tiguan-Rmkt_na"/>
    <s v="232437870"/>
    <x v="3"/>
    <s v="alp_AlwaysOn_dbm_network_native-ads_dbm-native_cpm_remarketing_nativeads_Tiguan-Rmkt_na"/>
    <s v="429893285"/>
    <x v="1"/>
    <n v="16640"/>
    <n v="70"/>
    <n v="3.8199999999999998E-2"/>
    <n v="0.09"/>
    <n v="0.63564799999999988"/>
    <x v="514"/>
  </r>
  <r>
    <s v="alp_AlwaysOn"/>
    <s v="Google Brasil"/>
    <s v="alp_AlwaysOn_dbm_network_native-ads_dbm-native_cpm_remarketing_nativeads_UP-Rmkt_na"/>
    <s v="228878504"/>
    <x v="3"/>
    <s v="alp_AlwaysOn_dbm_network_native-ads_dbm-native_cpm_remarketing_nativeads_Tiguan-Rmkt_na"/>
    <s v="427031642"/>
    <x v="1"/>
    <n v="32440"/>
    <n v="140"/>
    <n v="3.8199999999999998E-2"/>
    <n v="0.09"/>
    <n v="1.2392079999999999"/>
    <x v="515"/>
  </r>
  <r>
    <s v="alp_AlwaysOn"/>
    <s v="Google Brasil"/>
    <s v="alp_AlwaysOn_dbm_network_native-ads_dbm-native_cpm_remarketing_nativeads_UPPepper-Rmkt_na"/>
    <s v="228878501"/>
    <x v="3"/>
    <s v="alp_AlwaysOn_dbm_network_native-ads_dbm-native_cpm_remarketing_nativeads_UPPepper-Rmkt_na"/>
    <s v="427031639"/>
    <x v="1"/>
    <n v="31766"/>
    <n v="139"/>
    <n v="3.8199999999999998E-2"/>
    <n v="0.09"/>
    <n v="1.2134612"/>
    <x v="516"/>
  </r>
  <r>
    <s v="alp_AlwaysOn"/>
    <s v="Google Brasil"/>
    <s v="alp_AlwaysOn_dbm_network_native-ads_dbm-native_cpm_remarketing_nativeads_Virtus-Rmkt_na"/>
    <s v="228878498"/>
    <x v="3"/>
    <s v="alp_AlwaysOn_dbm_network_native-ads_dbm-native_cpm_remarketing_nativeads_Virtus-Rmkt_na"/>
    <s v="427031636"/>
    <x v="1"/>
    <n v="321182"/>
    <n v="921"/>
    <n v="3.8199999999999998E-2"/>
    <n v="0.09"/>
    <n v="12.269152399999999"/>
    <x v="517"/>
  </r>
  <r>
    <s v="alp_AlwaysOn"/>
    <s v="Google Brasil"/>
    <s v="alp_AlwaysOn_dbm_network_native-ads_dbm-native_cpm_remarketing_nativeads_Voyage-Rmkt_na"/>
    <s v="228878495"/>
    <x v="3"/>
    <s v="alp_AlwaysOn_dbm_network_native-ads_dbm-native_cpm_remarketing_nativeads_Voyage-Rmkt_na"/>
    <s v="427031633"/>
    <x v="1"/>
    <n v="33260"/>
    <n v="127"/>
    <n v="3.8199999999999998E-2"/>
    <n v="0.09"/>
    <n v="1.270532"/>
    <x v="518"/>
  </r>
  <r>
    <s v="alp_AlwaysOn"/>
    <s v="Google Brasil"/>
    <s v="alp_AlwaysOn_dbm_network_varejo_dbm-native_cpm_remarketing_nativeads_Black-Friday_na"/>
    <s v="233487961"/>
    <x v="1"/>
    <s v="alp_AlwaysOn_dbm_network_varejo_dbm-native_cpm_remarketing_nativeads_Black-Friday_na"/>
    <s v="431195779"/>
    <x v="1"/>
    <n v="0"/>
    <n v="1"/>
    <n v="3.5000000000000001E-3"/>
    <n v="0.02"/>
    <n v="3.5000000000000001E-3"/>
    <x v="1"/>
  </r>
  <r>
    <s v="alp_AlwaysOn"/>
    <s v="br.yahoo.com"/>
    <s v="alp_AlwaysOn_yahoo_horizontal_dpa_native_cpc_remarketing_nativeads_FoxConnect-ViewContent_na"/>
    <s v="228309970"/>
    <x v="1"/>
    <s v="alp_AlwaysOn_yahoo_horizontal_dpa_native_cpc_remarketing_nativeads_FoxConnect-ViewContent_na"/>
    <s v="426395336"/>
    <x v="1"/>
    <n v="0"/>
    <n v="1491"/>
    <n v="3.5000000000000001E-3"/>
    <n v="0.02"/>
    <n v="5.2184999999999997"/>
    <x v="519"/>
  </r>
  <r>
    <s v="alp_AlwaysOn"/>
    <s v="br.yahoo.com"/>
    <s v="alp_AlwaysOn_yahoo_horizontal_dpa_native_cpc_remarketing_nativeads_Gol-ViewContent_na"/>
    <s v="228309964"/>
    <x v="1"/>
    <s v="alp_AlwaysOn_yahoo_horizontal_dpa_native_cpc_remarketing_nativeads_Gol-ViewContent_na"/>
    <s v="426395330"/>
    <x v="1"/>
    <n v="0"/>
    <n v="147"/>
    <n v="3.5000000000000001E-3"/>
    <n v="0.02"/>
    <n v="0.51449999999999996"/>
    <x v="520"/>
  </r>
  <r>
    <s v="alp_AlwaysOn"/>
    <s v="br.yahoo.com"/>
    <s v="alp_AlwaysOn_yahoo_horizontal_dpa_native_cpc_remarketing_nativeads_Jetta-ViewContent_na"/>
    <s v="228309955"/>
    <x v="1"/>
    <s v="alp_AlwaysOn_yahoo_horizontal_dpa_native_cpc_remarketing_nativeads_Jetta-ViewContent_na"/>
    <s v="426395321"/>
    <x v="1"/>
    <n v="0"/>
    <n v="53"/>
    <n v="3.5000000000000001E-3"/>
    <n v="0.02"/>
    <n v="0.1855"/>
    <x v="521"/>
  </r>
  <r>
    <s v="alp_AlwaysOn"/>
    <s v="br.yahoo.com"/>
    <s v="alp_AlwaysOn_yahoo_horizontal_dpa_native_cpc_remarketing_nativeads_Passat-ViewContent_na"/>
    <s v="228488847"/>
    <x v="1"/>
    <s v="alp_AlwaysOn_yahoo_horizontal_dpa_native_cpc_remarketing_nativeads_Passat-ViewContent_na"/>
    <s v="426395318"/>
    <x v="1"/>
    <n v="0"/>
    <n v="48"/>
    <n v="3.5000000000000001E-3"/>
    <n v="0.02"/>
    <n v="0.16800000000000001"/>
    <x v="522"/>
  </r>
  <r>
    <s v="alp_AlwaysOn"/>
    <s v="br.yahoo.com"/>
    <s v="alp_AlwaysOn_yahoo_horizontal_dpa_native_cpc_remarketing_nativeads_Polo-ViewContent_na"/>
    <s v="228488844"/>
    <x v="1"/>
    <s v="alp_AlwaysOn_yahoo_horizontal_dpa_native_cpc_remarketing_nativeads_Polo-ViewContent_na"/>
    <s v="426395315"/>
    <x v="1"/>
    <n v="0"/>
    <n v="103"/>
    <n v="3.5000000000000001E-3"/>
    <n v="0.02"/>
    <n v="0.36049999999999999"/>
    <x v="523"/>
  </r>
  <r>
    <s v="alp_AlwaysOn"/>
    <s v="br.yahoo.com"/>
    <s v="alp_AlwaysOn_yahoo_horizontal_dpa_native_cpc_remarketing_nativeads_Saveiro-ViewContent_na"/>
    <s v="228488841"/>
    <x v="1"/>
    <s v="alp_AlwaysOn_yahoo_horizontal_dpa_native_cpc_remarketing_nativeads_Saveiro-ViewContent_na"/>
    <s v="426395312"/>
    <x v="1"/>
    <n v="0"/>
    <n v="107"/>
    <n v="3.5000000000000001E-3"/>
    <n v="0.02"/>
    <n v="0.3745"/>
    <x v="524"/>
  </r>
  <r>
    <s v="alp_AlwaysOn"/>
    <s v="br.yahoo.com"/>
    <s v="alp_AlwaysOn_yahoo_horizontal_dpa_native_cpc_remarketing_nativeads_UP-ViewContent_na"/>
    <s v="228488832"/>
    <x v="1"/>
    <s v="alp_AlwaysOn_yahoo_horizontal_dpa_native_cpc_remarketing_nativeads_Tiguan-ViewContent_na"/>
    <s v="426395303"/>
    <x v="1"/>
    <n v="0"/>
    <n v="55"/>
    <n v="3.5000000000000001E-3"/>
    <n v="0.02"/>
    <n v="0.1925"/>
    <x v="334"/>
  </r>
  <r>
    <s v="alp_AlwaysOn"/>
    <s v="br.yahoo.com"/>
    <s v="alp_AlwaysOn_yahoo_horizontal_dpa_native_cpc_remarketing_nativeads_Virtus-ViewContent_na"/>
    <s v="228488826"/>
    <x v="1"/>
    <s v="alp_AlwaysOn_yahoo_horizontal_dpa_native_cpc_remarketing_nativeads_Virtus-ViewContent_na"/>
    <s v="426395297"/>
    <x v="1"/>
    <n v="0"/>
    <n v="88"/>
    <n v="3.5000000000000001E-3"/>
    <n v="0.02"/>
    <n v="0.308"/>
    <x v="525"/>
  </r>
  <r>
    <s v="alp_AlwaysOn"/>
    <s v="br.yahoo.com"/>
    <s v="alp_AlwaysOn_yahoo_horizontal_dpa_native_cpc_remarketing_nativeads_Voyage-ViewContent_na"/>
    <s v="228488823"/>
    <x v="1"/>
    <s v="alp_AlwaysOn_yahoo_horizontal_dpa_native_cpc_remarketing_nativeads_Voyage-ViewContent_na"/>
    <s v="426395294"/>
    <x v="1"/>
    <n v="0"/>
    <n v="55"/>
    <n v="3.5000000000000001E-3"/>
    <n v="0.02"/>
    <n v="0.1925"/>
    <x v="334"/>
  </r>
  <r>
    <s v="alp_AlwaysOn"/>
    <s v="br.yahoo.com"/>
    <s v="alp_AlwaysOn_yahoo_horizontal_native-ads_native_cpc_prospecting_nativeads_FoxConnect-Prospect_na"/>
    <s v="231859048"/>
    <x v="1"/>
    <s v="alp_AlwaysOn_yahoo_horizontal_native-ads_native_cpc_prospecting_nativeads_FoxConnect-Prospect_na"/>
    <s v="429612226"/>
    <x v="1"/>
    <n v="0"/>
    <n v="11"/>
    <n v="3.5000000000000001E-3"/>
    <n v="0.02"/>
    <n v="3.85E-2"/>
    <x v="228"/>
  </r>
  <r>
    <s v="alp_AlwaysOn"/>
    <s v="br.yahoo.com"/>
    <s v="alp_AlwaysOn_yahoo_horizontal_native-ads_native_cpc_prospecting_nativeads_FoxXtreme-Prospect_na"/>
    <s v="231859042"/>
    <x v="1"/>
    <s v="alp_AlwaysOn_yahoo_horizontal_native-ads_native_cpc_prospecting_nativeads_FoxXtreme-Prospect_na"/>
    <s v="429612220"/>
    <x v="1"/>
    <n v="0"/>
    <n v="107"/>
    <n v="3.5000000000000001E-3"/>
    <n v="0.02"/>
    <n v="0.3745"/>
    <x v="524"/>
  </r>
  <r>
    <s v="alp_AlwaysOn"/>
    <s v="br.yahoo.com"/>
    <s v="alp_AlwaysOn_yahoo_horizontal_native-ads_native_cpc_prospecting_nativeads_Gol-Prospect_na"/>
    <s v="231859036"/>
    <x v="1"/>
    <s v="alp_AlwaysOn_yahoo_horizontal_native-ads_native_cpc_prospecting_nativeads_Gol-Prospect_na"/>
    <s v="429612214"/>
    <x v="1"/>
    <n v="0"/>
    <n v="17"/>
    <n v="3.5000000000000001E-3"/>
    <n v="0.02"/>
    <n v="5.9500000000000004E-2"/>
    <x v="157"/>
  </r>
  <r>
    <s v="alp_AlwaysOn"/>
    <s v="br.yahoo.com"/>
    <s v="alp_AlwaysOn_yahoo_horizontal_native-ads_native_cpc_prospecting_nativeads_Golf-Prospect_na"/>
    <s v="231859030"/>
    <x v="1"/>
    <s v="alp_AlwaysOn_yahoo_horizontal_native-ads_native_cpc_prospecting_nativeads_Golf-Prospect_na"/>
    <s v="429612208"/>
    <x v="1"/>
    <n v="0"/>
    <n v="3"/>
    <n v="3.5000000000000001E-3"/>
    <n v="0.02"/>
    <n v="1.0500000000000001E-2"/>
    <x v="261"/>
  </r>
  <r>
    <s v="alp_AlwaysOn"/>
    <s v="br.yahoo.com"/>
    <s v="alp_AlwaysOn_yahoo_horizontal_native-ads_native_cpc_prospecting_nativeads_Passat-Prospect_na"/>
    <s v="231859024"/>
    <x v="1"/>
    <s v="alp_AlwaysOn_yahoo_horizontal_native-ads_native_cpc_prospecting_nativeads_Passat-Prospect_na"/>
    <s v="429612202"/>
    <x v="1"/>
    <n v="0"/>
    <n v="89"/>
    <n v="3.5000000000000001E-3"/>
    <n v="0.02"/>
    <n v="0.3115"/>
    <x v="291"/>
  </r>
  <r>
    <s v="alp_AlwaysOn"/>
    <s v="br.yahoo.com"/>
    <s v="alp_AlwaysOn_yahoo_horizontal_native-ads_native_cpc_prospecting_nativeads_Polo-Prospect_na"/>
    <s v="234951501"/>
    <x v="1"/>
    <s v="alp_AlwaysOn_yahoo_horizontal_native-ads_native_cpc_prospecting_nativeads_Polo-Prospect_na"/>
    <s v="432383681"/>
    <x v="1"/>
    <n v="0"/>
    <n v="2"/>
    <n v="3.5000000000000001E-3"/>
    <n v="0.02"/>
    <n v="7.0000000000000001E-3"/>
    <x v="123"/>
  </r>
  <r>
    <s v="alp_AlwaysOn"/>
    <s v="br.yahoo.com"/>
    <s v="alp_AlwaysOn_yahoo_horizontal_native-ads_native_cpc_prospecting_nativeads_Saveiro-Prospect_na"/>
    <s v="231859018"/>
    <x v="1"/>
    <s v="alp_AlwaysOn_yahoo_horizontal_native-ads_native_cpc_prospecting_nativeads_Saveiro-Prospect_na"/>
    <s v="429612196"/>
    <x v="1"/>
    <n v="0"/>
    <n v="38"/>
    <n v="3.5000000000000001E-3"/>
    <n v="0.02"/>
    <n v="0.13300000000000001"/>
    <x v="526"/>
  </r>
  <r>
    <s v="alp_AlwaysOn"/>
    <s v="br.yahoo.com"/>
    <s v="alp_AlwaysOn_yahoo_horizontal_native-ads_native_cpc_prospecting_nativeads_SpaceFox-Prospect_na"/>
    <s v="231859006"/>
    <x v="1"/>
    <s v="alp_AlwaysOn_yahoo_horizontal_native-ads_native_cpc_prospecting_nativeads_SpaceFox-Prospect_na"/>
    <s v="429612184"/>
    <x v="1"/>
    <n v="0"/>
    <n v="9"/>
    <n v="3.5000000000000001E-3"/>
    <n v="0.02"/>
    <n v="3.15E-2"/>
    <x v="527"/>
  </r>
  <r>
    <s v="alp_AlwaysOn"/>
    <s v="br.yahoo.com"/>
    <s v="alp_AlwaysOn_yahoo_horizontal_native-ads_native_cpc_prospecting_nativeads_Tiguan-Prospect_na"/>
    <s v="232437867"/>
    <x v="1"/>
    <s v="alp_AlwaysOn_yahoo_horizontal_native-ads_native_cpc_prospecting_nativeads_Tiguan-Prospect_na"/>
    <s v="429893288"/>
    <x v="1"/>
    <n v="0"/>
    <n v="22"/>
    <n v="3.5000000000000001E-3"/>
    <n v="0.02"/>
    <n v="7.6999999999999999E-2"/>
    <x v="528"/>
  </r>
  <r>
    <s v="alp_AlwaysOn"/>
    <s v="br.yahoo.com"/>
    <s v="alp_AlwaysOn_yahoo_horizontal_native-ads_native_cpc_prospecting_nativeads_UP-Prospect_na"/>
    <s v="231859000"/>
    <x v="1"/>
    <s v="alp_AlwaysOn_yahoo_horizontal_native-ads_native_cpc_remarketing_nativeads_Tiguan-Rmkt_na"/>
    <s v="429612178"/>
    <x v="1"/>
    <n v="0"/>
    <n v="11"/>
    <n v="3.5000000000000001E-3"/>
    <n v="0.02"/>
    <n v="3.85E-2"/>
    <x v="228"/>
  </r>
  <r>
    <s v="alp_AlwaysOn"/>
    <s v="br.yahoo.com"/>
    <s v="alp_AlwaysOn_yahoo_horizontal_native-ads_native_cpc_prospecting_nativeads_UPPepper-Prospect_na"/>
    <s v="231858997"/>
    <x v="1"/>
    <s v="alp_AlwaysOn_yahoo_horizontal_native-ads_native_cpc_prospecting_nativeads_UPPepper-Prospect_na"/>
    <s v="429612175"/>
    <x v="1"/>
    <n v="0"/>
    <n v="5"/>
    <n v="3.5000000000000001E-3"/>
    <n v="0.02"/>
    <n v="1.7500000000000002E-2"/>
    <x v="480"/>
  </r>
  <r>
    <s v="alp_AlwaysOn"/>
    <s v="br.yahoo.com"/>
    <s v="alp_AlwaysOn_yahoo_horizontal_native-ads_native_cpc_prospecting_nativeads_Voyage-Prospect_na"/>
    <s v="231858991"/>
    <x v="1"/>
    <s v="alp_AlwaysOn_yahoo_horizontal_native-ads_native_cpc_prospecting_nativeads_Voyage-Prospect_na"/>
    <s v="429612169"/>
    <x v="1"/>
    <n v="0"/>
    <n v="2"/>
    <n v="3.5000000000000001E-3"/>
    <n v="0.02"/>
    <n v="7.0000000000000001E-3"/>
    <x v="123"/>
  </r>
  <r>
    <s v="alp_AlwaysOn"/>
    <s v="br.yahoo.com"/>
    <s v="alp_AlwaysOn_yahoo_horizontal_native-ads_native_cpc_remarketing_nativeads_FoxConnect-Rmkt_na"/>
    <s v="231858988"/>
    <x v="1"/>
    <s v="alp_AlwaysOn_yahoo_horizontal_native-ads_native_cpc_remarketing_nativeads_FoxConnect-Rmkt_na"/>
    <s v="429612166"/>
    <x v="1"/>
    <n v="0"/>
    <n v="1"/>
    <n v="3.5000000000000001E-3"/>
    <n v="0.02"/>
    <n v="3.5000000000000001E-3"/>
    <x v="1"/>
  </r>
  <r>
    <s v="alp_AlwaysOn"/>
    <s v="br.yahoo.com"/>
    <s v="alp_AlwaysOn_yahoo_horizontal_native-ads_native_cpc_remarketing_nativeads_FoxXtreme-Rmkt_na"/>
    <s v="231858985"/>
    <x v="1"/>
    <s v="alp_AlwaysOn_yahoo_horizontal_native-ads_native_cpc_remarketing_nativeads_FoxXtreme-Rmkt_na"/>
    <s v="429612163"/>
    <x v="1"/>
    <n v="0"/>
    <n v="1"/>
    <n v="3.5000000000000001E-3"/>
    <n v="0.02"/>
    <n v="3.5000000000000001E-3"/>
    <x v="1"/>
  </r>
  <r>
    <s v="alp_AlwaysOn"/>
    <s v="br.yahoo.com"/>
    <s v="alp_AlwaysOn_yahoo_horizontal_native-ads_native_cpc_remarketing_nativeads_UP-Rmkt_na"/>
    <s v="231859021"/>
    <x v="1"/>
    <s v="alp_AlwaysOn_yahoo_horizontal_native-ads_native_cpc_remarketing_nativeads_UP-Rmkt_na"/>
    <s v="429612199"/>
    <x v="1"/>
    <n v="0"/>
    <n v="4"/>
    <n v="3.5000000000000001E-3"/>
    <n v="0.02"/>
    <n v="1.4E-2"/>
    <x v="260"/>
  </r>
  <r>
    <s v="alp_AlwaysOn"/>
    <s v="br.yahoo.com"/>
    <s v="alp_AlwaysOn_yahoo_horizontal_native-ads_native_cpc_remarketing_nativeads_Voyage-Rmkt_na"/>
    <s v="231859003"/>
    <x v="1"/>
    <s v="alp_AlwaysOn_yahoo_horizontal_native-ads_native_cpc_remarketing_nativeads_Voyage-Rmkt_na"/>
    <s v="429612181"/>
    <x v="1"/>
    <n v="0"/>
    <n v="473"/>
    <n v="3.5000000000000001E-3"/>
    <n v="0.02"/>
    <n v="1.6555"/>
    <x v="529"/>
  </r>
  <r>
    <s v="alp_AlwaysOn"/>
    <s v="br.yahoo.com"/>
    <s v="alp_AlwaysOn_yahoo_horizontal_varejo_loginad_diaria_na_1440x1024_feirao-agosto_na"/>
    <s v="227644065"/>
    <x v="3"/>
    <s v="alp_AlwaysOn_yahoo_horizontal_varejo_loginad_diaria_na_1440x1024_feirao-agosto_na"/>
    <s v="425652358"/>
    <x v="1"/>
    <n v="1"/>
    <n v="0"/>
    <n v="3.8199999999999998E-2"/>
    <n v="0.09"/>
    <n v="3.82E-5"/>
    <x v="2"/>
  </r>
  <r>
    <s v="alp_AlwaysOn"/>
    <s v="br.yahoo.com"/>
    <s v="alp_AlwaysOn_yahoo_horizontal_varejo_native_cpc_prospecting_nativeads_99-parcelas_na"/>
    <s v="227270020"/>
    <x v="1"/>
    <s v="alp_AlwaysOn_yahoo_horizontal_varejo_native_cpc_prospecting_nativeads_99-parcelas_na"/>
    <s v="425300298"/>
    <x v="1"/>
    <n v="0"/>
    <n v="1"/>
    <n v="3.5000000000000001E-3"/>
    <n v="0.02"/>
    <n v="3.5000000000000001E-3"/>
    <x v="1"/>
  </r>
  <r>
    <s v="alp_AlwaysOn_DBM-Estrutura-2015"/>
    <s v="Google Brasil"/>
    <s v="always-on-Medio|google|dbm|120x600"/>
    <s v="125063529"/>
    <x v="2"/>
    <s v="120x600 Default Web Ad"/>
    <s v="297951980"/>
    <x v="2"/>
    <n v="4696"/>
    <n v="3"/>
    <n v="3.8199999999999998E-2"/>
    <n v="0.09"/>
    <n v="0.17938719999999997"/>
    <x v="530"/>
  </r>
  <r>
    <s v="alp_AlwaysOn_DBM-Estrutura-2015"/>
    <s v="Google Brasil"/>
    <s v="always-on-Medio|google|dbm|120x600"/>
    <s v="125063529"/>
    <x v="5"/>
    <s v="120x600_GerouLead_Concessionarias_MEDIO"/>
    <s v="297951358"/>
    <x v="3"/>
    <n v="318"/>
    <n v="0"/>
    <n v="0.10299999999999999"/>
    <n v="7.0000000000000007E-2"/>
    <n v="3.2753999999999998E-2"/>
    <x v="531"/>
  </r>
  <r>
    <s v="alp_AlwaysOn_DBM-Estrutura-2015"/>
    <s v="Google Brasil"/>
    <s v="always-on-Medio|google|dbm|120x600"/>
    <s v="125063529"/>
    <x v="5"/>
    <s v="120x600_GerouRadar_Radar_MEDIO"/>
    <s v="297953700"/>
    <x v="3"/>
    <n v="209"/>
    <n v="0"/>
    <n v="0.10299999999999999"/>
    <n v="7.0000000000000007E-2"/>
    <n v="2.1526999999999998E-2"/>
    <x v="532"/>
  </r>
  <r>
    <s v="alp_AlwaysOn_DBM-Estrutura-2015"/>
    <s v="Google Brasil"/>
    <s v="always-on-Medio|google|dbm|120x600"/>
    <s v="125063529"/>
    <x v="5"/>
    <s v="120x600_Prospeccao_Institucional_Condicoes_Produto_MEDIO"/>
    <s v="297947048"/>
    <x v="3"/>
    <n v="200734"/>
    <n v="183"/>
    <n v="0.10299999999999999"/>
    <n v="7.0000000000000007E-2"/>
    <n v="20.675601999999998"/>
    <x v="533"/>
  </r>
  <r>
    <s v="alp_AlwaysOn_DBM-Estrutura-2015"/>
    <s v="Google Brasil"/>
    <s v="always-on-Medio|google|dbm|120x600"/>
    <s v="125063529"/>
    <x v="5"/>
    <s v="120x600_ViuCarro_Features_Intencao_MEDIO"/>
    <s v="302661358"/>
    <x v="3"/>
    <n v="21908"/>
    <n v="37"/>
    <n v="0.10299999999999999"/>
    <n v="7.0000000000000007E-2"/>
    <n v="2.2565239999999998"/>
    <x v="534"/>
  </r>
  <r>
    <s v="alp_AlwaysOn_DBM-Estrutura-2015"/>
    <s v="Google Brasil"/>
    <s v="always-on-Medio|google|dbm|120x600"/>
    <s v="125063529"/>
    <x v="5"/>
    <s v="120x600_ViuCarro_Features_MEDIO"/>
    <s v="297952203"/>
    <x v="3"/>
    <n v="296330"/>
    <n v="223"/>
    <n v="0.10299999999999999"/>
    <n v="7.0000000000000007E-2"/>
    <n v="30.521989999999999"/>
    <x v="535"/>
  </r>
  <r>
    <s v="alp_AlwaysOn_DBM-Estrutura-2015"/>
    <s v="Google Brasil"/>
    <s v="always-on-Medio|google|dbm|120x600_TESTE"/>
    <s v="138030220"/>
    <x v="2"/>
    <s v="120x600 Default Web Ad"/>
    <s v="297951980"/>
    <x v="2"/>
    <n v="121"/>
    <n v="0"/>
    <n v="3.8199999999999998E-2"/>
    <n v="0.09"/>
    <n v="4.6221999999999991E-3"/>
    <x v="536"/>
  </r>
  <r>
    <s v="alp_AlwaysOn_DBM-Estrutura-2015"/>
    <s v="Google Brasil"/>
    <s v="always-on-Medio|google|dbm|120x600_TESTE"/>
    <s v="138030220"/>
    <x v="5"/>
    <s v="120x600_Prospeccao_Institucional_Condicoes_Produto_MEDIO"/>
    <s v="297947048"/>
    <x v="3"/>
    <n v="13922"/>
    <n v="7"/>
    <n v="0.10299999999999999"/>
    <n v="7.0000000000000007E-2"/>
    <n v="1.4339659999999999"/>
    <x v="537"/>
  </r>
  <r>
    <s v="alp_AlwaysOn_DBM-Estrutura-2015"/>
    <s v="Google Brasil"/>
    <s v="always-on-Medio|google|dbm|120x600_TESTE"/>
    <s v="138030220"/>
    <x v="5"/>
    <s v="120x600_ViuCarro_Features_Intencao_MEDIO"/>
    <s v="302661358"/>
    <x v="3"/>
    <n v="7"/>
    <n v="0"/>
    <n v="0.10299999999999999"/>
    <n v="7.0000000000000007E-2"/>
    <n v="7.2099999999999996E-4"/>
    <x v="538"/>
  </r>
  <r>
    <s v="alp_AlwaysOn_DBM-Estrutura-2015"/>
    <s v="Google Brasil"/>
    <s v="always-on-Medio|google|dbm|120x600_TESTE"/>
    <s v="138030220"/>
    <x v="5"/>
    <s v="120x600_ViuCarro_Features_MEDIO"/>
    <s v="297952203"/>
    <x v="3"/>
    <n v="9"/>
    <n v="0"/>
    <n v="0.10299999999999999"/>
    <n v="7.0000000000000007E-2"/>
    <n v="9.2699999999999998E-4"/>
    <x v="539"/>
  </r>
  <r>
    <s v="alp_AlwaysOn_DBM-Estrutura-2015"/>
    <s v="Google Brasil"/>
    <s v="always-on-Medio|google|dbm|160x600"/>
    <s v="125063534"/>
    <x v="2"/>
    <s v="160x600 Default Web Ad"/>
    <s v="297953405"/>
    <x v="2"/>
    <n v="7194"/>
    <n v="7"/>
    <n v="3.8199999999999998E-2"/>
    <n v="0.09"/>
    <n v="0.27481079999999997"/>
    <x v="540"/>
  </r>
  <r>
    <s v="alp_AlwaysOn_DBM-Estrutura-2015"/>
    <s v="Google Brasil"/>
    <s v="always-on-Medio|google|dbm|160x600"/>
    <s v="125063534"/>
    <x v="5"/>
    <s v="160x600_GerouLead_Concessionarias_MEDIO"/>
    <s v="297947052"/>
    <x v="3"/>
    <n v="636"/>
    <n v="1"/>
    <n v="0.10299999999999999"/>
    <n v="7.0000000000000007E-2"/>
    <n v="6.5507999999999997E-2"/>
    <x v="541"/>
  </r>
  <r>
    <s v="alp_AlwaysOn_DBM-Estrutura-2015"/>
    <s v="Google Brasil"/>
    <s v="always-on-Medio|google|dbm|160x600"/>
    <s v="125063534"/>
    <x v="5"/>
    <s v="160x600_GerouRadar_Radar_MEDIO"/>
    <s v="302818183"/>
    <x v="3"/>
    <n v="847"/>
    <n v="5"/>
    <n v="0.10299999999999999"/>
    <n v="7.0000000000000007E-2"/>
    <n v="8.7240999999999999E-2"/>
    <x v="542"/>
  </r>
  <r>
    <s v="alp_AlwaysOn_DBM-Estrutura-2015"/>
    <s v="Google Brasil"/>
    <s v="always-on-Medio|google|dbm|160x600"/>
    <s v="125063534"/>
    <x v="5"/>
    <s v="160x600_Prospeccao_Institucional_Condicoes_Produto_MEDIO"/>
    <s v="297953711"/>
    <x v="3"/>
    <n v="842167"/>
    <n v="1218"/>
    <n v="0.10299999999999999"/>
    <n v="7.0000000000000007E-2"/>
    <n v="86.743200999999999"/>
    <x v="543"/>
  </r>
  <r>
    <s v="alp_AlwaysOn_DBM-Estrutura-2015"/>
    <s v="Google Brasil"/>
    <s v="always-on-Medio|google|dbm|160x600"/>
    <s v="125063534"/>
    <x v="5"/>
    <s v="160x600_ViuCarro_Features_Intencao_MEDIO"/>
    <s v="302822197"/>
    <x v="3"/>
    <n v="24359"/>
    <n v="61"/>
    <n v="0.10299999999999999"/>
    <n v="7.0000000000000007E-2"/>
    <n v="2.5089769999999998"/>
    <x v="544"/>
  </r>
  <r>
    <s v="alp_AlwaysOn_DBM-Estrutura-2015"/>
    <s v="Google Brasil"/>
    <s v="always-on-Medio|google|dbm|160x600"/>
    <s v="125063534"/>
    <x v="5"/>
    <s v="160x600_ViuCarro_Features_MEDIO"/>
    <s v="297953410"/>
    <x v="3"/>
    <n v="438650"/>
    <n v="561"/>
    <n v="0.10299999999999999"/>
    <n v="7.0000000000000007E-2"/>
    <n v="45.180949999999996"/>
    <x v="545"/>
  </r>
  <r>
    <s v="alp_AlwaysOn_DBM-Estrutura-2015"/>
    <s v="Google Brasil"/>
    <s v="always-on-Medio|google|dbm|300x50"/>
    <s v="125065153"/>
    <x v="2"/>
    <s v="300x50 Default Web Ad"/>
    <s v="297953347"/>
    <x v="2"/>
    <n v="6350"/>
    <n v="7"/>
    <n v="3.8199999999999998E-2"/>
    <n v="0.09"/>
    <n v="0.24256999999999998"/>
    <x v="546"/>
  </r>
  <r>
    <s v="alp_AlwaysOn_DBM-Estrutura-2015"/>
    <s v="Google Brasil"/>
    <s v="always-on-Medio|google|dbm|300x50"/>
    <s v="125065153"/>
    <x v="5"/>
    <s v="300x50_GerouLead_Concessionarias_MEDIO"/>
    <s v="297953517"/>
    <x v="3"/>
    <n v="3360"/>
    <n v="8"/>
    <n v="0.10299999999999999"/>
    <n v="7.0000000000000007E-2"/>
    <n v="0.34608"/>
    <x v="547"/>
  </r>
  <r>
    <s v="alp_AlwaysOn_DBM-Estrutura-2015"/>
    <s v="Google Brasil"/>
    <s v="always-on-Medio|google|dbm|300x50"/>
    <s v="125065153"/>
    <x v="5"/>
    <s v="300x50_GerouRadar_Radar_MEDIO"/>
    <s v="302822868"/>
    <x v="3"/>
    <n v="733"/>
    <n v="9"/>
    <n v="0.10299999999999999"/>
    <n v="7.0000000000000007E-2"/>
    <n v="7.5498999999999997E-2"/>
    <x v="548"/>
  </r>
  <r>
    <s v="alp_AlwaysOn_DBM-Estrutura-2015"/>
    <s v="Google Brasil"/>
    <s v="always-on-Medio|google|dbm|300x50"/>
    <s v="125065153"/>
    <x v="5"/>
    <s v="300x50_Prospeccao_Institucional_Condicoes_Produto_MEDIO"/>
    <s v="297953426"/>
    <x v="3"/>
    <n v="1859648"/>
    <n v="1737"/>
    <n v="0.10299999999999999"/>
    <n v="7.0000000000000007E-2"/>
    <n v="191.54374399999998"/>
    <x v="549"/>
  </r>
  <r>
    <s v="alp_AlwaysOn_DBM-Estrutura-2015"/>
    <s v="Google Brasil"/>
    <s v="always-on-Medio|google|dbm|300x50"/>
    <s v="125065153"/>
    <x v="5"/>
    <s v="300x50_ViuCarro_Features_Intencao_MEDIO"/>
    <s v="297954500"/>
    <x v="3"/>
    <n v="25184"/>
    <n v="76"/>
    <n v="0.10299999999999999"/>
    <n v="7.0000000000000007E-2"/>
    <n v="2.5939519999999998"/>
    <x v="550"/>
  </r>
  <r>
    <s v="alp_AlwaysOn_DBM-Estrutura-2015"/>
    <s v="Google Brasil"/>
    <s v="always-on-Medio|google|dbm|300x50"/>
    <s v="125065153"/>
    <x v="5"/>
    <s v="300x50_ViuCarro_Features_MEDIO"/>
    <s v="302824609"/>
    <x v="3"/>
    <n v="431512"/>
    <n v="842"/>
    <n v="0.10299999999999999"/>
    <n v="7.0000000000000007E-2"/>
    <n v="44.445735999999997"/>
    <x v="551"/>
  </r>
  <r>
    <s v="alp_AlwaysOn_DBM-Estrutura-2015"/>
    <s v="Google Brasil"/>
    <s v="always-on-Medio|google|dbm|320x50"/>
    <s v="125065068"/>
    <x v="2"/>
    <s v="320x50 Default Web Ad"/>
    <s v="297946946"/>
    <x v="2"/>
    <n v="37253"/>
    <n v="59"/>
    <n v="3.8199999999999998E-2"/>
    <n v="0.09"/>
    <n v="1.4230646"/>
    <x v="552"/>
  </r>
  <r>
    <s v="alp_AlwaysOn_DBM-Estrutura-2015"/>
    <s v="Google Brasil"/>
    <s v="always-on-Medio|google|dbm|320x50"/>
    <s v="125065068"/>
    <x v="5"/>
    <s v="320x50_GerouLead_Concessionarias_MEDIO"/>
    <s v="297949654"/>
    <x v="3"/>
    <n v="25616"/>
    <n v="60"/>
    <n v="0.10299999999999999"/>
    <n v="7.0000000000000007E-2"/>
    <n v="2.6384479999999999"/>
    <x v="553"/>
  </r>
  <r>
    <s v="alp_AlwaysOn_DBM-Estrutura-2015"/>
    <s v="Google Brasil"/>
    <s v="always-on-Medio|google|dbm|320x50"/>
    <s v="125065068"/>
    <x v="5"/>
    <s v="320x50_GerouRadar_Radar_MEDIO"/>
    <s v="302829129"/>
    <x v="3"/>
    <n v="7352"/>
    <n v="38"/>
    <n v="0.10299999999999999"/>
    <n v="7.0000000000000007E-2"/>
    <n v="0.75725599999999993"/>
    <x v="554"/>
  </r>
  <r>
    <s v="alp_AlwaysOn_DBM-Estrutura-2015"/>
    <s v="Google Brasil"/>
    <s v="always-on-Medio|google|dbm|320x50"/>
    <s v="125065068"/>
    <x v="5"/>
    <s v="320x50_Prospeccao_Institucional_Condicoes_Produto_MEDIO"/>
    <s v="297951897"/>
    <x v="3"/>
    <n v="11028764"/>
    <n v="15607"/>
    <n v="0.10299999999999999"/>
    <n v="7.0000000000000007E-2"/>
    <n v="1135.9626920000001"/>
    <x v="555"/>
  </r>
  <r>
    <s v="alp_AlwaysOn_DBM-Estrutura-2015"/>
    <s v="Google Brasil"/>
    <s v="always-on-Medio|google|dbm|320x50"/>
    <s v="125065068"/>
    <x v="5"/>
    <s v="320x50_ViuCarro_Features_Intencao_MEDIO"/>
    <s v="297946615"/>
    <x v="3"/>
    <n v="154558"/>
    <n v="498"/>
    <n v="0.10299999999999999"/>
    <n v="7.0000000000000007E-2"/>
    <n v="15.919473999999997"/>
    <x v="556"/>
  </r>
  <r>
    <s v="alp_AlwaysOn_DBM-Estrutura-2015"/>
    <s v="Google Brasil"/>
    <s v="always-on-Medio|google|dbm|320x50"/>
    <s v="125065068"/>
    <x v="5"/>
    <s v="320x50_ViuCarro_Features_MEDIO"/>
    <s v="302829138"/>
    <x v="3"/>
    <n v="2754854"/>
    <n v="6193"/>
    <n v="0.10299999999999999"/>
    <n v="7.0000000000000007E-2"/>
    <n v="283.74996199999998"/>
    <x v="557"/>
  </r>
  <r>
    <s v="alp_AlwaysOn_DBM-Estrutura-2015"/>
    <s v="Google Brasil"/>
    <s v="always-on-Medio|google|dbm|468x60"/>
    <s v="125065089"/>
    <x v="2"/>
    <s v="468x60 Default Web Ad"/>
    <s v="297946650"/>
    <x v="2"/>
    <n v="2411"/>
    <n v="6"/>
    <n v="3.8199999999999998E-2"/>
    <n v="0.09"/>
    <n v="9.2100200000000007E-2"/>
    <x v="558"/>
  </r>
  <r>
    <s v="alp_AlwaysOn_DBM-Estrutura-2015"/>
    <s v="Google Brasil"/>
    <s v="always-on-Medio|google|dbm|468x60"/>
    <s v="125065089"/>
    <x v="5"/>
    <s v="468x60_GerouLead_Concessionarias_MEDIO"/>
    <s v="297951134"/>
    <x v="3"/>
    <n v="76"/>
    <n v="0"/>
    <n v="0.10299999999999999"/>
    <n v="7.0000000000000007E-2"/>
    <n v="7.8279999999999999E-3"/>
    <x v="559"/>
  </r>
  <r>
    <s v="alp_AlwaysOn_DBM-Estrutura-2015"/>
    <s v="Google Brasil"/>
    <s v="always-on-Medio|google|dbm|468x60"/>
    <s v="125065089"/>
    <x v="5"/>
    <s v="468x60_GerouRadar_Radar_MEDIO"/>
    <s v="302824566"/>
    <x v="3"/>
    <n v="46"/>
    <n v="0"/>
    <n v="0.10299999999999999"/>
    <n v="7.0000000000000007E-2"/>
    <n v="4.7379999999999992E-3"/>
    <x v="560"/>
  </r>
  <r>
    <s v="alp_AlwaysOn_DBM-Estrutura-2015"/>
    <s v="Google Brasil"/>
    <s v="always-on-Medio|google|dbm|468x60"/>
    <s v="125065089"/>
    <x v="5"/>
    <s v="468x60_Prospeccao_Institucional_Condicoes_Produto_MEDIO"/>
    <s v="297951150"/>
    <x v="3"/>
    <n v="159738"/>
    <n v="1106"/>
    <n v="0.10299999999999999"/>
    <n v="7.0000000000000007E-2"/>
    <n v="16.453014"/>
    <x v="561"/>
  </r>
  <r>
    <s v="alp_AlwaysOn_DBM-Estrutura-2015"/>
    <s v="Google Brasil"/>
    <s v="always-on-Medio|google|dbm|468x60"/>
    <s v="125065089"/>
    <x v="5"/>
    <s v="468x60_ViuCarro_Features_Intencao_MEDIO"/>
    <s v="297947859"/>
    <x v="3"/>
    <n v="8335"/>
    <n v="19"/>
    <n v="0.10299999999999999"/>
    <n v="7.0000000000000007E-2"/>
    <n v="0.85850499999999996"/>
    <x v="562"/>
  </r>
  <r>
    <s v="alp_AlwaysOn_DBM-Estrutura-2015"/>
    <s v="Google Brasil"/>
    <s v="always-on-Medio|google|dbm|468x60"/>
    <s v="125065089"/>
    <x v="5"/>
    <s v="468x60_ViuCarro_Features_MEDIO"/>
    <s v="302824923"/>
    <x v="3"/>
    <n v="109909"/>
    <n v="178"/>
    <n v="0.10299999999999999"/>
    <n v="7.0000000000000007E-2"/>
    <n v="11.320626999999998"/>
    <x v="563"/>
  </r>
  <r>
    <s v="alp_AlwaysOn_DBM-Estrutura-2015"/>
    <s v="Google Brasil"/>
    <s v="always-on-Medio|google|dbm|970x250"/>
    <s v="125060879"/>
    <x v="2"/>
    <s v="970x250 Default Web Ad"/>
    <s v="297950089"/>
    <x v="2"/>
    <n v="17550"/>
    <n v="41"/>
    <n v="3.8199999999999998E-2"/>
    <n v="0.09"/>
    <n v="0.67040999999999995"/>
    <x v="564"/>
  </r>
  <r>
    <s v="alp_AlwaysOn_DBM-Estrutura-2015"/>
    <s v="Google Brasil"/>
    <s v="always-on-Medio|google|dbm|970x250"/>
    <s v="125060879"/>
    <x v="5"/>
    <s v="970x250_GerouLead_Concessionarias_MEDIO"/>
    <s v="297949728"/>
    <x v="3"/>
    <n v="587"/>
    <n v="3"/>
    <n v="0.10299999999999999"/>
    <n v="7.0000000000000007E-2"/>
    <n v="6.0461000000000001E-2"/>
    <x v="565"/>
  </r>
  <r>
    <s v="alp_AlwaysOn_DBM-Estrutura-2015"/>
    <s v="Google Brasil"/>
    <s v="always-on-Medio|google|dbm|970x250"/>
    <s v="125060879"/>
    <x v="5"/>
    <s v="970x250_GerouRadar_Radar_MEDIO"/>
    <s v="302851315"/>
    <x v="3"/>
    <n v="644"/>
    <n v="9"/>
    <n v="0.10299999999999999"/>
    <n v="7.0000000000000007E-2"/>
    <n v="6.6331999999999988E-2"/>
    <x v="566"/>
  </r>
  <r>
    <s v="alp_AlwaysOn_DBM-Estrutura-2015"/>
    <s v="Google Brasil"/>
    <s v="always-on-Medio|google|dbm|970x250"/>
    <s v="125060879"/>
    <x v="5"/>
    <s v="970x250_Prospeccao_Institucional_Condicoes_Produto_MEDIO"/>
    <s v="297949282"/>
    <x v="3"/>
    <n v="968735"/>
    <n v="2157"/>
    <n v="0.10299999999999999"/>
    <n v="7.0000000000000007E-2"/>
    <n v="99.779705000000007"/>
    <x v="567"/>
  </r>
  <r>
    <s v="alp_AlwaysOn_DBM-Estrutura-2015"/>
    <s v="Google Brasil"/>
    <s v="always-on-Medio|google|dbm|970x250"/>
    <s v="125060879"/>
    <x v="5"/>
    <s v="970x250_ViuCarro_Features_Intencao_MEDIO"/>
    <s v="297947882"/>
    <x v="3"/>
    <n v="57059"/>
    <n v="295"/>
    <n v="0.10299999999999999"/>
    <n v="7.0000000000000007E-2"/>
    <n v="5.877076999999999"/>
    <x v="568"/>
  </r>
  <r>
    <s v="alp_AlwaysOn_DBM-Estrutura-2015"/>
    <s v="Google Brasil"/>
    <s v="always-on-Medio|google|dbm|970x250"/>
    <s v="125060879"/>
    <x v="5"/>
    <s v="970x250_ViuCarro_Features_MEDIO"/>
    <s v="302846061"/>
    <x v="3"/>
    <n v="997905"/>
    <n v="2743"/>
    <n v="0.10299999999999999"/>
    <n v="7.0000000000000007E-2"/>
    <n v="102.784215"/>
    <x v="569"/>
  </r>
  <r>
    <s v="alp_AlwaysOn_DBM-Estrutura-2015"/>
    <s v="Google Brasil"/>
    <s v="always-on-Medio|google|dbm|970x90"/>
    <s v="125061312"/>
    <x v="2"/>
    <s v="970x90 Default Web Ad"/>
    <s v="297947867"/>
    <x v="2"/>
    <n v="5395"/>
    <n v="3"/>
    <n v="3.8199999999999998E-2"/>
    <n v="0.09"/>
    <n v="0.20608899999999999"/>
    <x v="570"/>
  </r>
  <r>
    <s v="alp_AlwaysOn_DBM-Estrutura-2015"/>
    <s v="Google Brasil"/>
    <s v="always-on-Medio|google|dbm|970x90"/>
    <s v="125061312"/>
    <x v="5"/>
    <s v="970x90_GerouLead_Concessionarias_MEDIO"/>
    <s v="297947014"/>
    <x v="3"/>
    <n v="301"/>
    <n v="0"/>
    <n v="0.10299999999999999"/>
    <n v="7.0000000000000007E-2"/>
    <n v="3.1002999999999996E-2"/>
    <x v="571"/>
  </r>
  <r>
    <s v="alp_AlwaysOn_DBM-Estrutura-2015"/>
    <s v="Google Brasil"/>
    <s v="always-on-Medio|google|dbm|970x90"/>
    <s v="125061312"/>
    <x v="5"/>
    <s v="970x90_GerouRadar_Radar_MEDIO"/>
    <s v="302844584"/>
    <x v="3"/>
    <n v="233"/>
    <n v="2"/>
    <n v="0.10299999999999999"/>
    <n v="7.0000000000000007E-2"/>
    <n v="2.3998999999999999E-2"/>
    <x v="572"/>
  </r>
  <r>
    <s v="alp_AlwaysOn_DBM-Estrutura-2015"/>
    <s v="Google Brasil"/>
    <s v="always-on-Medio|google|dbm|970x90"/>
    <s v="125061312"/>
    <x v="5"/>
    <s v="970x90_Prospeccao_Institucional_Condicoes_Produto_MEDIO"/>
    <s v="297947625"/>
    <x v="3"/>
    <n v="287207"/>
    <n v="331"/>
    <n v="0.10299999999999999"/>
    <n v="7.0000000000000007E-2"/>
    <n v="29.582321"/>
    <x v="573"/>
  </r>
  <r>
    <s v="alp_AlwaysOn_DBM-Estrutura-2015"/>
    <s v="Google Brasil"/>
    <s v="always-on-Medio|google|dbm|970x90"/>
    <s v="125061312"/>
    <x v="5"/>
    <s v="970x90_ViuCarro_Features_Intencao_MEDIO"/>
    <s v="297951333"/>
    <x v="3"/>
    <n v="21782"/>
    <n v="46"/>
    <n v="0.10299999999999999"/>
    <n v="7.0000000000000007E-2"/>
    <n v="2.2435459999999998"/>
    <x v="574"/>
  </r>
  <r>
    <s v="alp_AlwaysOn_DBM-Estrutura-2015"/>
    <s v="Google Brasil"/>
    <s v="always-on-Medio|google|dbm|970x90"/>
    <s v="125061312"/>
    <x v="5"/>
    <s v="970x90_ViuCarro_Features_MEDIO"/>
    <s v="302846458"/>
    <x v="3"/>
    <n v="290343"/>
    <n v="230"/>
    <n v="0.10299999999999999"/>
    <n v="7.0000000000000007E-2"/>
    <n v="29.905328999999998"/>
    <x v="575"/>
  </r>
  <r>
    <s v="alp_AlwaysOn_DBM-Estrutura-2015"/>
    <s v="Google Brasil"/>
    <s v="always-on-Medio|google|dbm|half-page-300x600"/>
    <s v="125047163"/>
    <x v="2"/>
    <s v="300x600 Default Web Ad"/>
    <s v="297934556"/>
    <x v="2"/>
    <n v="21016"/>
    <n v="25"/>
    <n v="3.8199999999999998E-2"/>
    <n v="0.09"/>
    <n v="0.80281119999999995"/>
    <x v="576"/>
  </r>
  <r>
    <s v="alp_AlwaysOn_DBM-Estrutura-2015"/>
    <s v="Google Brasil"/>
    <s v="always-on-Medio|google|dbm|half-page-300x600"/>
    <s v="125047163"/>
    <x v="5"/>
    <s v="300x600_GerouLead_Concessionarias_MEDIO"/>
    <s v="297933377"/>
    <x v="3"/>
    <n v="1022"/>
    <n v="6"/>
    <n v="0.10299999999999999"/>
    <n v="7.0000000000000007E-2"/>
    <n v="0.10526599999999998"/>
    <x v="577"/>
  </r>
  <r>
    <s v="alp_AlwaysOn_DBM-Estrutura-2015"/>
    <s v="Google Brasil"/>
    <s v="always-on-Medio|google|dbm|half-page-300x600"/>
    <s v="125047163"/>
    <x v="5"/>
    <s v="300x600_GerouRadar_Radar_MEDIO"/>
    <s v="302828048"/>
    <x v="3"/>
    <n v="924"/>
    <n v="6"/>
    <n v="0.10299999999999999"/>
    <n v="7.0000000000000007E-2"/>
    <n v="9.5171999999999993E-2"/>
    <x v="578"/>
  </r>
  <r>
    <s v="alp_AlwaysOn_DBM-Estrutura-2015"/>
    <s v="Google Brasil"/>
    <s v="always-on-Medio|google|dbm|half-page-300x600"/>
    <s v="125047163"/>
    <x v="5"/>
    <s v="300x600_Prospeccao_Institucional_Condicoes_Produto_MEDIO"/>
    <s v="297935609"/>
    <x v="3"/>
    <n v="1765861"/>
    <n v="2193"/>
    <n v="0.10299999999999999"/>
    <n v="7.0000000000000007E-2"/>
    <n v="181.88368299999999"/>
    <x v="579"/>
  </r>
  <r>
    <s v="alp_AlwaysOn_DBM-Estrutura-2015"/>
    <s v="Google Brasil"/>
    <s v="always-on-Medio|google|dbm|half-page-300x600"/>
    <s v="125047163"/>
    <x v="5"/>
    <s v="300x600_ViuCarro_Features_Intencao_MEDIO"/>
    <s v="297933987"/>
    <x v="3"/>
    <n v="66309"/>
    <n v="227"/>
    <n v="0.10299999999999999"/>
    <n v="7.0000000000000007E-2"/>
    <n v="6.829826999999999"/>
    <x v="580"/>
  </r>
  <r>
    <s v="alp_AlwaysOn_DBM-Estrutura-2015"/>
    <s v="Google Brasil"/>
    <s v="always-on-Medio|google|dbm|half-page-300x600"/>
    <s v="125047163"/>
    <x v="5"/>
    <s v="300x600_ViuCarro_Features_MEDIO"/>
    <s v="302828053"/>
    <x v="3"/>
    <n v="954814"/>
    <n v="1954"/>
    <n v="0.10299999999999999"/>
    <n v="7.0000000000000007E-2"/>
    <n v="98.34584199999999"/>
    <x v="581"/>
  </r>
  <r>
    <s v="alp_AlwaysOn_DBM-Estrutura-2015"/>
    <s v="Google Brasil"/>
    <s v="always-on-Medio|google|dbm|retangulo-medio-300x250"/>
    <s v="125031467"/>
    <x v="2"/>
    <s v="300x250 Default Web Ad"/>
    <s v="297931212"/>
    <x v="2"/>
    <n v="66084"/>
    <n v="130"/>
    <n v="3.8199999999999998E-2"/>
    <n v="0.09"/>
    <n v="2.5244087999999998"/>
    <x v="582"/>
  </r>
  <r>
    <s v="alp_AlwaysOn_DBM-Estrutura-2015"/>
    <s v="Google Brasil"/>
    <s v="always-on-Medio|google|dbm|retangulo-medio-300x250"/>
    <s v="125031467"/>
    <x v="5"/>
    <s v="300x250_GerouLead_Concessionarias_MEDIO"/>
    <s v="297930750"/>
    <x v="3"/>
    <n v="6286"/>
    <n v="23"/>
    <n v="0.10299999999999999"/>
    <n v="7.0000000000000007E-2"/>
    <n v="0.64745799999999998"/>
    <x v="583"/>
  </r>
  <r>
    <s v="alp_AlwaysOn_DBM-Estrutura-2015"/>
    <s v="Google Brasil"/>
    <s v="always-on-Medio|google|dbm|retangulo-medio-300x250"/>
    <s v="125031467"/>
    <x v="5"/>
    <s v="300x250_GerouRadar_Radar_MEDIO"/>
    <s v="302829256"/>
    <x v="3"/>
    <n v="3720"/>
    <n v="37"/>
    <n v="0.10299999999999999"/>
    <n v="7.0000000000000007E-2"/>
    <n v="0.38315999999999995"/>
    <x v="584"/>
  </r>
  <r>
    <s v="alp_AlwaysOn_DBM-Estrutura-2015"/>
    <s v="Google Brasil"/>
    <s v="always-on-Medio|google|dbm|retangulo-medio-300x250"/>
    <s v="125031467"/>
    <x v="5"/>
    <s v="300x250_Prospeccao_Institucional_Condicoes_Produto_MEDIO"/>
    <s v="297933737"/>
    <x v="3"/>
    <n v="7430466"/>
    <n v="43445"/>
    <n v="0.10299999999999999"/>
    <n v="7.0000000000000007E-2"/>
    <n v="765.33799799999986"/>
    <x v="585"/>
  </r>
  <r>
    <s v="alp_AlwaysOn_DBM-Estrutura-2015"/>
    <s v="Google Brasil"/>
    <s v="always-on-Medio|google|dbm|retangulo-medio-300x250"/>
    <s v="125031467"/>
    <x v="5"/>
    <s v="300x250_ViuCarro_Features_Intencao_MEDIO"/>
    <s v="297933196"/>
    <x v="3"/>
    <n v="189590"/>
    <n v="693"/>
    <n v="0.10299999999999999"/>
    <n v="7.0000000000000007E-2"/>
    <n v="19.52777"/>
    <x v="586"/>
  </r>
  <r>
    <s v="alp_AlwaysOn_DBM-Estrutura-2015"/>
    <s v="Google Brasil"/>
    <s v="always-on-Medio|google|dbm|retangulo-medio-300x250"/>
    <s v="125031467"/>
    <x v="5"/>
    <s v="300x250_ViuCarro_Features_MEDIO"/>
    <s v="302829813"/>
    <x v="3"/>
    <n v="3485125"/>
    <n v="8337"/>
    <n v="0.10299999999999999"/>
    <n v="7.0000000000000007E-2"/>
    <n v="358.96787499999999"/>
    <x v="587"/>
  </r>
  <r>
    <s v="alp_AlwaysOn_DBM-Estrutura-2015"/>
    <s v="Google Brasil"/>
    <s v="always-on-Medio|google|dbm|super-banner-728x90"/>
    <s v="124051936"/>
    <x v="2"/>
    <s v="728x90 Default Web Ad"/>
    <s v="297012945"/>
    <x v="2"/>
    <n v="20938"/>
    <n v="48"/>
    <n v="3.8199999999999998E-2"/>
    <n v="0.09"/>
    <n v="0.79983159999999998"/>
    <x v="588"/>
  </r>
  <r>
    <s v="alp_AlwaysOn_DBM-Estrutura-2015"/>
    <s v="Google Brasil"/>
    <s v="always-on-Medio|google|dbm|super-banner-728x90"/>
    <s v="124051936"/>
    <x v="5"/>
    <s v="728x90_GerouLead_Concessionarias_MEDIO"/>
    <s v="299649364"/>
    <x v="3"/>
    <n v="1160"/>
    <n v="2"/>
    <n v="0.10299999999999999"/>
    <n v="7.0000000000000007E-2"/>
    <n v="0.11947999999999999"/>
    <x v="589"/>
  </r>
  <r>
    <s v="alp_AlwaysOn_DBM-Estrutura-2015"/>
    <s v="Google Brasil"/>
    <s v="always-on-Medio|google|dbm|super-banner-728x90"/>
    <s v="124051936"/>
    <x v="5"/>
    <s v="728x90_GerouRadar_Radar_MEDIO"/>
    <s v="302828302"/>
    <x v="3"/>
    <n v="611"/>
    <n v="6"/>
    <n v="0.10299999999999999"/>
    <n v="7.0000000000000007E-2"/>
    <n v="6.2933000000000003E-2"/>
    <x v="590"/>
  </r>
  <r>
    <s v="alp_AlwaysOn_DBM-Estrutura-2015"/>
    <s v="Google Brasil"/>
    <s v="always-on-Medio|google|dbm|super-banner-728x90"/>
    <s v="124051936"/>
    <x v="5"/>
    <s v="728x90_Prospeccao_Institucional_Condicoes_Produto_MEDIO"/>
    <s v="299649357"/>
    <x v="3"/>
    <n v="2275583"/>
    <n v="6576"/>
    <n v="0.10299999999999999"/>
    <n v="7.0000000000000007E-2"/>
    <n v="234.38504900000001"/>
    <x v="591"/>
  </r>
  <r>
    <s v="alp_AlwaysOn_DBM-Estrutura-2015"/>
    <s v="Google Brasil"/>
    <s v="always-on-Medio|google|dbm|super-banner-728x90"/>
    <s v="124051936"/>
    <x v="5"/>
    <s v="728x90_ViuCarro_Features_Intencao_MEDIO"/>
    <s v="299649358"/>
    <x v="3"/>
    <n v="63192"/>
    <n v="134"/>
    <n v="0.10299999999999999"/>
    <n v="7.0000000000000007E-2"/>
    <n v="6.5087760000000001"/>
    <x v="592"/>
  </r>
  <r>
    <s v="alp_AlwaysOn_DBM-Estrutura-2015"/>
    <s v="Google Brasil"/>
    <s v="always-on-Medio|google|dbm|super-banner-728x90"/>
    <s v="124051936"/>
    <x v="5"/>
    <s v="728x90_ViuCarro_Features_MEDIO"/>
    <s v="302827216"/>
    <x v="3"/>
    <n v="796741"/>
    <n v="898"/>
    <n v="0.10299999999999999"/>
    <n v="7.0000000000000007E-2"/>
    <n v="82.064322999999987"/>
    <x v="593"/>
  </r>
  <r>
    <s v="alp_AlwaysOn_DBM-Estrutura-2015"/>
    <s v="Google Brasil"/>
    <s v="always-on-Premium|google|dbm|120x600"/>
    <s v="125065622"/>
    <x v="2"/>
    <s v="120x600 Default Web Ad"/>
    <s v="297951980"/>
    <x v="2"/>
    <n v="7014"/>
    <n v="5"/>
    <n v="3.8199999999999998E-2"/>
    <n v="0.09"/>
    <n v="0.26793479999999997"/>
    <x v="594"/>
  </r>
  <r>
    <s v="alp_AlwaysOn_DBM-Estrutura-2015"/>
    <s v="Google Brasil"/>
    <s v="always-on-Premium|google|dbm|120x600"/>
    <s v="125065622"/>
    <x v="5"/>
    <s v="120x600_GerouLead_Concessionarias_PREMIUM"/>
    <s v="299652238"/>
    <x v="3"/>
    <n v="290"/>
    <n v="0"/>
    <n v="0.10299999999999999"/>
    <n v="7.0000000000000007E-2"/>
    <n v="2.9869999999999997E-2"/>
    <x v="595"/>
  </r>
  <r>
    <s v="alp_AlwaysOn_DBM-Estrutura-2015"/>
    <s v="Google Brasil"/>
    <s v="always-on-Premium|google|dbm|120x600"/>
    <s v="125065622"/>
    <x v="5"/>
    <s v="120x600_GerouRadar_Radar_PREMIUM"/>
    <s v="299652236"/>
    <x v="3"/>
    <n v="164"/>
    <n v="0"/>
    <n v="0.10299999999999999"/>
    <n v="7.0000000000000007E-2"/>
    <n v="1.6892000000000001E-2"/>
    <x v="596"/>
  </r>
  <r>
    <s v="alp_AlwaysOn_DBM-Estrutura-2015"/>
    <s v="Google Brasil"/>
    <s v="always-on-Premium|google|dbm|120x600"/>
    <s v="125065622"/>
    <x v="5"/>
    <s v="120x600_Prospeccao_Institucional_Condicoes_Produto_PREMIUM"/>
    <s v="299652234"/>
    <x v="3"/>
    <n v="504860"/>
    <n v="576"/>
    <n v="0.10299999999999999"/>
    <n v="7.0000000000000007E-2"/>
    <n v="52.000579999999992"/>
    <x v="597"/>
  </r>
  <r>
    <s v="alp_AlwaysOn_DBM-Estrutura-2015"/>
    <s v="Google Brasil"/>
    <s v="always-on-Premium|google|dbm|120x600"/>
    <s v="125065622"/>
    <x v="5"/>
    <s v="120x600_ViuCarro_Features_Intencao_PREMIUM"/>
    <s v="302822408"/>
    <x v="3"/>
    <n v="24290"/>
    <n v="32"/>
    <n v="0.10299999999999999"/>
    <n v="7.0000000000000007E-2"/>
    <n v="2.5018699999999998"/>
    <x v="598"/>
  </r>
  <r>
    <s v="alp_AlwaysOn_DBM-Estrutura-2015"/>
    <s v="Google Brasil"/>
    <s v="always-on-Premium|google|dbm|120x600"/>
    <s v="125065622"/>
    <x v="5"/>
    <s v="120x600_ViuCarro_Features_PREMIUM"/>
    <s v="299652235"/>
    <x v="3"/>
    <n v="300862"/>
    <n v="260"/>
    <n v="0.10299999999999999"/>
    <n v="7.0000000000000007E-2"/>
    <n v="30.988786000000001"/>
    <x v="599"/>
  </r>
  <r>
    <s v="alp_AlwaysOn_DBM-Estrutura-2015"/>
    <s v="Google Brasil"/>
    <s v="always-on-Premium|google|dbm|160x600"/>
    <s v="125065152"/>
    <x v="2"/>
    <s v="160x600 Default Web Ad"/>
    <s v="297953405"/>
    <x v="2"/>
    <n v="6431"/>
    <n v="8"/>
    <n v="3.8199999999999998E-2"/>
    <n v="0.09"/>
    <n v="0.2456642"/>
    <x v="600"/>
  </r>
  <r>
    <s v="alp_AlwaysOn_DBM-Estrutura-2015"/>
    <s v="Google Brasil"/>
    <s v="always-on-Premium|google|dbm|160x600"/>
    <s v="125065152"/>
    <x v="5"/>
    <s v="160x600_GerouLead_Concessionarias_PREMIUM"/>
    <s v="299682295"/>
    <x v="3"/>
    <n v="639"/>
    <n v="1"/>
    <n v="0.10299999999999999"/>
    <n v="7.0000000000000007E-2"/>
    <n v="6.5816999999999987E-2"/>
    <x v="601"/>
  </r>
  <r>
    <s v="alp_AlwaysOn_DBM-Estrutura-2015"/>
    <s v="Google Brasil"/>
    <s v="always-on-Premium|google|dbm|160x600"/>
    <s v="125065152"/>
    <x v="5"/>
    <s v="160x600_GerouRadar_Radar_PREMIUM"/>
    <s v="299682291"/>
    <x v="3"/>
    <n v="888"/>
    <n v="6"/>
    <n v="0.10299999999999999"/>
    <n v="7.0000000000000007E-2"/>
    <n v="9.1464000000000004E-2"/>
    <x v="602"/>
  </r>
  <r>
    <s v="alp_AlwaysOn_DBM-Estrutura-2015"/>
    <s v="Google Brasil"/>
    <s v="always-on-Premium|google|dbm|160x600"/>
    <s v="125065152"/>
    <x v="5"/>
    <s v="160x600_Prospeccao_Institucional_Condicoes_Produto_PREMIUM"/>
    <s v="299682294"/>
    <x v="3"/>
    <n v="593615"/>
    <n v="736"/>
    <n v="0.10299999999999999"/>
    <n v="7.0000000000000007E-2"/>
    <n v="61.142344999999992"/>
    <x v="603"/>
  </r>
  <r>
    <s v="alp_AlwaysOn_DBM-Estrutura-2015"/>
    <s v="Google Brasil"/>
    <s v="always-on-Premium|google|dbm|160x600"/>
    <s v="125065152"/>
    <x v="5"/>
    <s v="160x600_ViuCarro_Features_Intencao_PREMIUM"/>
    <s v="302822280"/>
    <x v="3"/>
    <n v="25084"/>
    <n v="75"/>
    <n v="0.10299999999999999"/>
    <n v="7.0000000000000007E-2"/>
    <n v="2.5836519999999998"/>
    <x v="604"/>
  </r>
  <r>
    <s v="alp_AlwaysOn_DBM-Estrutura-2015"/>
    <s v="Google Brasil"/>
    <s v="always-on-Premium|google|dbm|160x600"/>
    <s v="125065152"/>
    <x v="5"/>
    <s v="160x600_ViuCarro_Features_PREMIUM"/>
    <s v="299682292"/>
    <x v="3"/>
    <n v="461243"/>
    <n v="653"/>
    <n v="0.10299999999999999"/>
    <n v="7.0000000000000007E-2"/>
    <n v="47.508028999999993"/>
    <x v="605"/>
  </r>
  <r>
    <s v="alp_AlwaysOn_DBM-Estrutura-2015"/>
    <s v="Google Brasil"/>
    <s v="always-on-Premium|google|dbm|300x50"/>
    <s v="125066125"/>
    <x v="2"/>
    <s v="300x50 Default Web Ad"/>
    <s v="297953347"/>
    <x v="2"/>
    <n v="10621"/>
    <n v="14"/>
    <n v="3.8199999999999998E-2"/>
    <n v="0.09"/>
    <n v="0.40572219999999998"/>
    <x v="606"/>
  </r>
  <r>
    <s v="alp_AlwaysOn_DBM-Estrutura-2015"/>
    <s v="Google Brasil"/>
    <s v="always-on-Premium|google|dbm|300x50"/>
    <s v="125066125"/>
    <x v="5"/>
    <s v="300x50_GerouLead_Concessionarias_PREMIUM"/>
    <s v="299686770"/>
    <x v="3"/>
    <n v="4964"/>
    <n v="10"/>
    <n v="0.10299999999999999"/>
    <n v="7.0000000000000007E-2"/>
    <n v="0.51129199999999997"/>
    <x v="607"/>
  </r>
  <r>
    <s v="alp_AlwaysOn_DBM-Estrutura-2015"/>
    <s v="Google Brasil"/>
    <s v="always-on-Premium|google|dbm|300x50"/>
    <s v="125066125"/>
    <x v="5"/>
    <s v="300x50_GerouRadar_Radar_PREMIUM"/>
    <s v="299686768"/>
    <x v="3"/>
    <n v="1061"/>
    <n v="10"/>
    <n v="0.10299999999999999"/>
    <n v="7.0000000000000007E-2"/>
    <n v="0.10928299999999999"/>
    <x v="608"/>
  </r>
  <r>
    <s v="alp_AlwaysOn_DBM-Estrutura-2015"/>
    <s v="Google Brasil"/>
    <s v="always-on-Premium|google|dbm|300x50"/>
    <s v="125066125"/>
    <x v="5"/>
    <s v="300x50_Prospeccao_Institucional_Condicoes_Produto_PREMIUM"/>
    <s v="299686775"/>
    <x v="3"/>
    <n v="2974910"/>
    <n v="2882"/>
    <n v="0.10299999999999999"/>
    <n v="7.0000000000000007E-2"/>
    <n v="306.41573"/>
    <x v="609"/>
  </r>
  <r>
    <s v="alp_AlwaysOn_DBM-Estrutura-2015"/>
    <s v="Google Brasil"/>
    <s v="always-on-Premium|google|dbm|300x50"/>
    <s v="125066125"/>
    <x v="5"/>
    <s v="300x50_ViuCarro_Features_Intencao_PREMIUM"/>
    <s v="302824620"/>
    <x v="3"/>
    <n v="32985"/>
    <n v="91"/>
    <n v="0.10299999999999999"/>
    <n v="7.0000000000000007E-2"/>
    <n v="3.3974549999999999"/>
    <x v="610"/>
  </r>
  <r>
    <s v="alp_AlwaysOn_DBM-Estrutura-2015"/>
    <s v="Google Brasil"/>
    <s v="always-on-Premium|google|dbm|300x50"/>
    <s v="125066125"/>
    <x v="5"/>
    <s v="300x50_ViuCarro_Features_PREMIUM"/>
    <s v="299686773"/>
    <x v="3"/>
    <n v="687330"/>
    <n v="1466"/>
    <n v="0.10299999999999999"/>
    <n v="7.0000000000000007E-2"/>
    <n v="70.794989999999984"/>
    <x v="611"/>
  </r>
  <r>
    <s v="alp_AlwaysOn_DBM-Estrutura-2015"/>
    <s v="Google Brasil"/>
    <s v="always-on-Premium|google|dbm|320x50"/>
    <s v="125061306"/>
    <x v="2"/>
    <s v="320x50 Default Web Ad"/>
    <s v="297946946"/>
    <x v="2"/>
    <n v="23556"/>
    <n v="41"/>
    <n v="3.8199999999999998E-2"/>
    <n v="0.09"/>
    <n v="0.89983919999999995"/>
    <x v="612"/>
  </r>
  <r>
    <s v="alp_AlwaysOn_DBM-Estrutura-2015"/>
    <s v="Google Brasil"/>
    <s v="always-on-Premium|google|dbm|320x50"/>
    <s v="125061306"/>
    <x v="5"/>
    <s v="320x50_GerouLead_Concessionarias_PREMIUM"/>
    <s v="299687003"/>
    <x v="3"/>
    <n v="14648"/>
    <n v="37"/>
    <n v="0.10299999999999999"/>
    <n v="7.0000000000000007E-2"/>
    <n v="1.5087439999999999"/>
    <x v="613"/>
  </r>
  <r>
    <s v="alp_AlwaysOn_DBM-Estrutura-2015"/>
    <s v="Google Brasil"/>
    <s v="always-on-Premium|google|dbm|320x50"/>
    <s v="125061306"/>
    <x v="5"/>
    <s v="320x50_GerouRadar_Radar_PREMIUM"/>
    <s v="299687006"/>
    <x v="3"/>
    <n v="2790"/>
    <n v="24"/>
    <n v="0.10299999999999999"/>
    <n v="7.0000000000000007E-2"/>
    <n v="0.28737000000000001"/>
    <x v="614"/>
  </r>
  <r>
    <s v="alp_AlwaysOn_DBM-Estrutura-2015"/>
    <s v="Google Brasil"/>
    <s v="always-on-Premium|google|dbm|320x50"/>
    <s v="125061306"/>
    <x v="5"/>
    <s v="320x50_Prospeccao_Institucional_Condicoes_Produto_PREMIUM"/>
    <s v="299687001"/>
    <x v="3"/>
    <n v="8782019"/>
    <n v="16228"/>
    <n v="0.10299999999999999"/>
    <n v="7.0000000000000007E-2"/>
    <n v="904.54795699999988"/>
    <x v="615"/>
  </r>
  <r>
    <s v="alp_AlwaysOn_DBM-Estrutura-2015"/>
    <s v="Google Brasil"/>
    <s v="always-on-Premium|google|dbm|320x50"/>
    <s v="125061306"/>
    <x v="5"/>
    <s v="320x50_ViuCarro_Features_Intencao_PREMIUM"/>
    <s v="302829318"/>
    <x v="3"/>
    <n v="69390"/>
    <n v="226"/>
    <n v="0.10299999999999999"/>
    <n v="7.0000000000000007E-2"/>
    <n v="7.1471699999999991"/>
    <x v="616"/>
  </r>
  <r>
    <s v="alp_AlwaysOn_DBM-Estrutura-2015"/>
    <s v="Google Brasil"/>
    <s v="always-on-Premium|google|dbm|320x50"/>
    <s v="125061306"/>
    <x v="5"/>
    <s v="320x50_ViuCarro_Features_PREMIUM"/>
    <s v="299683599"/>
    <x v="3"/>
    <n v="1266442"/>
    <n v="3071"/>
    <n v="0.10299999999999999"/>
    <n v="7.0000000000000007E-2"/>
    <n v="130.44352599999999"/>
    <x v="617"/>
  </r>
  <r>
    <s v="alp_AlwaysOn_DBM-Estrutura-2015"/>
    <s v="Google Brasil"/>
    <s v="always-on-Premium|google|dbm|468x60"/>
    <s v="125061310"/>
    <x v="2"/>
    <s v="468x60 Default Web Ad"/>
    <s v="297946650"/>
    <x v="2"/>
    <n v="1571"/>
    <n v="7"/>
    <n v="3.8199999999999998E-2"/>
    <n v="0.09"/>
    <n v="6.0012200000000002E-2"/>
    <x v="618"/>
  </r>
  <r>
    <s v="alp_AlwaysOn_DBM-Estrutura-2015"/>
    <s v="Google Brasil"/>
    <s v="always-on-Premium|google|dbm|468x60"/>
    <s v="125061310"/>
    <x v="5"/>
    <s v="468x60_GerouLead_Concessionarias_PREMIUM"/>
    <s v="299685253"/>
    <x v="3"/>
    <n v="50"/>
    <n v="0"/>
    <n v="0.10299999999999999"/>
    <n v="7.0000000000000007E-2"/>
    <n v="5.1499999999999992E-3"/>
    <x v="619"/>
  </r>
  <r>
    <s v="alp_AlwaysOn_DBM-Estrutura-2015"/>
    <s v="Google Brasil"/>
    <s v="always-on-Premium|google|dbm|468x60"/>
    <s v="125061310"/>
    <x v="5"/>
    <s v="468x60_GerouRadar_Radar_PREMIUM"/>
    <s v="299685250"/>
    <x v="3"/>
    <n v="35"/>
    <n v="0"/>
    <n v="0.10299999999999999"/>
    <n v="7.0000000000000007E-2"/>
    <n v="3.6050000000000001E-3"/>
    <x v="620"/>
  </r>
  <r>
    <s v="alp_AlwaysOn_DBM-Estrutura-2015"/>
    <s v="Google Brasil"/>
    <s v="always-on-Premium|google|dbm|468x60"/>
    <s v="125061310"/>
    <x v="5"/>
    <s v="468x60_Prospeccao_Institucional_Condicoes_Produto_PREMIUM"/>
    <s v="299685184"/>
    <x v="3"/>
    <n v="82833"/>
    <n v="265"/>
    <n v="0.10299999999999999"/>
    <n v="7.0000000000000007E-2"/>
    <n v="8.5317989999999995"/>
    <x v="621"/>
  </r>
  <r>
    <s v="alp_AlwaysOn_DBM-Estrutura-2015"/>
    <s v="Google Brasil"/>
    <s v="always-on-Premium|google|dbm|468x60"/>
    <s v="125061310"/>
    <x v="5"/>
    <s v="468x60_ViuCarro_Features_Intencao_PREMIUM"/>
    <s v="302824951"/>
    <x v="3"/>
    <n v="6513"/>
    <n v="13"/>
    <n v="0.10299999999999999"/>
    <n v="7.0000000000000007E-2"/>
    <n v="0.67083899999999996"/>
    <x v="622"/>
  </r>
  <r>
    <s v="alp_AlwaysOn_DBM-Estrutura-2015"/>
    <s v="Google Brasil"/>
    <s v="always-on-Premium|google|dbm|468x60"/>
    <s v="125061310"/>
    <x v="5"/>
    <s v="468x60_ViuCarro_Features_PREMIUM"/>
    <s v="299685185"/>
    <x v="3"/>
    <n v="76207"/>
    <n v="102"/>
    <n v="0.10299999999999999"/>
    <n v="7.0000000000000007E-2"/>
    <n v="7.8493209999999998"/>
    <x v="623"/>
  </r>
  <r>
    <s v="alp_AlwaysOn_DBM-Estrutura-2015"/>
    <s v="Google Brasil"/>
    <s v="always-on-Premium|google|dbm|970x250"/>
    <s v="125063524"/>
    <x v="2"/>
    <s v="970x250 Default Web Ad"/>
    <s v="297950089"/>
    <x v="2"/>
    <n v="32228"/>
    <n v="69"/>
    <n v="3.8199999999999998E-2"/>
    <n v="0.09"/>
    <n v="1.2311095999999999"/>
    <x v="624"/>
  </r>
  <r>
    <s v="alp_AlwaysOn_DBM-Estrutura-2015"/>
    <s v="Google Brasil"/>
    <s v="always-on-Premium|google|dbm|970x250"/>
    <s v="125063524"/>
    <x v="5"/>
    <s v="970x250_GerouLead_Concessionarias_PREMIUM"/>
    <s v="299689554"/>
    <x v="3"/>
    <n v="857"/>
    <n v="3"/>
    <n v="0.10299999999999999"/>
    <n v="7.0000000000000007E-2"/>
    <n v="8.8271000000000002E-2"/>
    <x v="625"/>
  </r>
  <r>
    <s v="alp_AlwaysOn_DBM-Estrutura-2015"/>
    <s v="Google Brasil"/>
    <s v="always-on-Premium|google|dbm|970x250"/>
    <s v="125063524"/>
    <x v="5"/>
    <s v="970x250_GerouRadar_Radar_PREMIUM"/>
    <s v="299689559"/>
    <x v="3"/>
    <n v="846"/>
    <n v="14"/>
    <n v="0.10299999999999999"/>
    <n v="7.0000000000000007E-2"/>
    <n v="8.7137999999999993E-2"/>
    <x v="626"/>
  </r>
  <r>
    <s v="alp_AlwaysOn_DBM-Estrutura-2015"/>
    <s v="Google Brasil"/>
    <s v="always-on-Premium|google|dbm|970x250"/>
    <s v="125063524"/>
    <x v="5"/>
    <s v="970x250_Prospeccao_Institucional_Condicoes_Produto_PREMIUM"/>
    <s v="299689557"/>
    <x v="3"/>
    <n v="2051248"/>
    <n v="3780"/>
    <n v="0.10299999999999999"/>
    <n v="7.0000000000000007E-2"/>
    <n v="211.27854399999998"/>
    <x v="627"/>
  </r>
  <r>
    <s v="alp_AlwaysOn_DBM-Estrutura-2015"/>
    <s v="Google Brasil"/>
    <s v="always-on-Premium|google|dbm|970x250"/>
    <s v="125063524"/>
    <x v="5"/>
    <s v="970x250_ViuCarro_Features_Intencao_PREMIUM"/>
    <s v="302850325"/>
    <x v="3"/>
    <n v="124748"/>
    <n v="633"/>
    <n v="0.10299999999999999"/>
    <n v="7.0000000000000007E-2"/>
    <n v="12.849043999999999"/>
    <x v="628"/>
  </r>
  <r>
    <s v="alp_AlwaysOn_DBM-Estrutura-2015"/>
    <s v="Google Brasil"/>
    <s v="always-on-Premium|google|dbm|970x250"/>
    <s v="125063524"/>
    <x v="5"/>
    <s v="970x250_ViuCarro_Features_PREMIUM"/>
    <s v="299689561"/>
    <x v="3"/>
    <n v="1639322"/>
    <n v="5655"/>
    <n v="0.10299999999999999"/>
    <n v="7.0000000000000007E-2"/>
    <n v="168.850166"/>
    <x v="629"/>
  </r>
  <r>
    <s v="alp_AlwaysOn_DBM-Estrutura-2015"/>
    <s v="Google Brasil"/>
    <s v="always-on-Premium|google|dbm|970x90"/>
    <s v="125060470"/>
    <x v="2"/>
    <s v="970x90 Default Web Ad"/>
    <s v="297947867"/>
    <x v="2"/>
    <n v="6223"/>
    <n v="4"/>
    <n v="3.8199999999999998E-2"/>
    <n v="0.09"/>
    <n v="0.23771859999999997"/>
    <x v="630"/>
  </r>
  <r>
    <s v="alp_AlwaysOn_DBM-Estrutura-2015"/>
    <s v="Google Brasil"/>
    <s v="always-on-Premium|google|dbm|970x90"/>
    <s v="125060470"/>
    <x v="5"/>
    <s v="970x90_GerouLead_Concessionarias_PREMIUM"/>
    <s v="299687991"/>
    <x v="3"/>
    <n v="295"/>
    <n v="0"/>
    <n v="0.10299999999999999"/>
    <n v="7.0000000000000007E-2"/>
    <n v="3.0384999999999999E-2"/>
    <x v="631"/>
  </r>
  <r>
    <s v="alp_AlwaysOn_DBM-Estrutura-2015"/>
    <s v="Google Brasil"/>
    <s v="always-on-Premium|google|dbm|970x90"/>
    <s v="125060470"/>
    <x v="5"/>
    <s v="970x90_GerouRadar_Radar_PREMIUM"/>
    <s v="299687995"/>
    <x v="3"/>
    <n v="251"/>
    <n v="3"/>
    <n v="0.10299999999999999"/>
    <n v="7.0000000000000007E-2"/>
    <n v="2.5852999999999998E-2"/>
    <x v="632"/>
  </r>
  <r>
    <s v="alp_AlwaysOn_DBM-Estrutura-2015"/>
    <s v="Google Brasil"/>
    <s v="always-on-Premium|google|dbm|970x90"/>
    <s v="125060470"/>
    <x v="5"/>
    <s v="970x90_Prospeccao_Institucional_Condicoes_Produto_PREMIUM"/>
    <s v="299687993"/>
    <x v="3"/>
    <n v="238817"/>
    <n v="402"/>
    <n v="0.10299999999999999"/>
    <n v="7.0000000000000007E-2"/>
    <n v="24.598150999999998"/>
    <x v="633"/>
  </r>
  <r>
    <s v="alp_AlwaysOn_DBM-Estrutura-2015"/>
    <s v="Google Brasil"/>
    <s v="always-on-Premium|google|dbm|970x90"/>
    <s v="125060470"/>
    <x v="5"/>
    <s v="970x90_ViuCarro_Features_Intencao_PREMIUM"/>
    <s v="302850518"/>
    <x v="3"/>
    <n v="24479"/>
    <n v="29"/>
    <n v="0.10299999999999999"/>
    <n v="7.0000000000000007E-2"/>
    <n v="2.5213369999999999"/>
    <x v="634"/>
  </r>
  <r>
    <s v="alp_AlwaysOn_DBM-Estrutura-2015"/>
    <s v="Google Brasil"/>
    <s v="always-on-Premium|google|dbm|970x90"/>
    <s v="125060470"/>
    <x v="5"/>
    <s v="970x90_ViuCarro_Features_PREMIUM"/>
    <s v="299687987"/>
    <x v="3"/>
    <n v="393718"/>
    <n v="359"/>
    <n v="0.10299999999999999"/>
    <n v="7.0000000000000007E-2"/>
    <n v="40.552954"/>
    <x v="635"/>
  </r>
  <r>
    <s v="alp_AlwaysOn_DBM-Estrutura-2015"/>
    <s v="Google Brasil"/>
    <s v="always-on-Premium|google|dbm|half-page-300x600"/>
    <s v="125044472"/>
    <x v="2"/>
    <s v="300x600 Default Web Ad"/>
    <s v="297934556"/>
    <x v="2"/>
    <n v="23602"/>
    <n v="19"/>
    <n v="3.8199999999999998E-2"/>
    <n v="0.09"/>
    <n v="0.90159639999999985"/>
    <x v="636"/>
  </r>
  <r>
    <s v="alp_AlwaysOn_DBM-Estrutura-2015"/>
    <s v="Google Brasil"/>
    <s v="always-on-Premium|google|dbm|half-page-300x600"/>
    <s v="125044472"/>
    <x v="5"/>
    <s v="300x600_GerouLead_Concessionarias_PREMIUM"/>
    <s v="299687661"/>
    <x v="3"/>
    <n v="1084"/>
    <n v="6"/>
    <n v="0.10299999999999999"/>
    <n v="7.0000000000000007E-2"/>
    <n v="0.11165199999999999"/>
    <x v="637"/>
  </r>
  <r>
    <s v="alp_AlwaysOn_DBM-Estrutura-2015"/>
    <s v="Google Brasil"/>
    <s v="always-on-Premium|google|dbm|half-page-300x600"/>
    <s v="125044472"/>
    <x v="5"/>
    <s v="300x600_GerouRadar_Radar_PREMIUM"/>
    <s v="299687666"/>
    <x v="3"/>
    <n v="1001"/>
    <n v="14"/>
    <n v="0.10299999999999999"/>
    <n v="7.0000000000000007E-2"/>
    <n v="0.103103"/>
    <x v="638"/>
  </r>
  <r>
    <s v="alp_AlwaysOn_DBM-Estrutura-2015"/>
    <s v="Google Brasil"/>
    <s v="always-on-Premium|google|dbm|half-page-300x600"/>
    <s v="125044472"/>
    <x v="5"/>
    <s v="300x600_Prospeccao_Institucional_Condicoes_Produto_PREMIUM"/>
    <s v="299687660"/>
    <x v="3"/>
    <n v="1781894"/>
    <n v="2073"/>
    <n v="0.10299999999999999"/>
    <n v="7.0000000000000007E-2"/>
    <n v="183.53508199999999"/>
    <x v="639"/>
  </r>
  <r>
    <s v="alp_AlwaysOn_DBM-Estrutura-2015"/>
    <s v="Google Brasil"/>
    <s v="always-on-Premium|google|dbm|half-page-300x600"/>
    <s v="125044472"/>
    <x v="5"/>
    <s v="300x600_ViuCarro_Features_Intencao_PREMIUM"/>
    <s v="302828079"/>
    <x v="3"/>
    <n v="85294"/>
    <n v="290"/>
    <n v="0.10299999999999999"/>
    <n v="7.0000000000000007E-2"/>
    <n v="8.7852819999999987"/>
    <x v="640"/>
  </r>
  <r>
    <s v="alp_AlwaysOn_DBM-Estrutura-2015"/>
    <s v="Google Brasil"/>
    <s v="always-on-Premium|google|dbm|half-page-300x600"/>
    <s v="125044472"/>
    <x v="5"/>
    <s v="300x600_ViuCarro_Features_PREMIUM"/>
    <s v="299687668"/>
    <x v="3"/>
    <n v="1069054"/>
    <n v="2393"/>
    <n v="0.10299999999999999"/>
    <n v="7.0000000000000007E-2"/>
    <n v="110.112562"/>
    <x v="641"/>
  </r>
  <r>
    <s v="alp_AlwaysOn_DBM-Estrutura-2015"/>
    <s v="Google Brasil"/>
    <s v="always-on-Premium|google|dbm|retangulo-medio-300x250"/>
    <s v="125045551"/>
    <x v="2"/>
    <s v="300x250 Default Web Ad"/>
    <s v="297931212"/>
    <x v="2"/>
    <n v="47703"/>
    <n v="126"/>
    <n v="3.8199999999999998E-2"/>
    <n v="0.09"/>
    <n v="1.8222545999999999"/>
    <x v="642"/>
  </r>
  <r>
    <s v="alp_AlwaysOn_DBM-Estrutura-2015"/>
    <s v="Google Brasil"/>
    <s v="always-on-Premium|google|dbm|retangulo-medio-300x250"/>
    <s v="125045551"/>
    <x v="5"/>
    <s v="300x250_GerouLead_Concessionarias_PREMIUM"/>
    <s v="299686038"/>
    <x v="3"/>
    <n v="5038"/>
    <n v="12"/>
    <n v="0.10299999999999999"/>
    <n v="7.0000000000000007E-2"/>
    <n v="0.51891399999999999"/>
    <x v="643"/>
  </r>
  <r>
    <s v="alp_AlwaysOn_DBM-Estrutura-2015"/>
    <s v="Google Brasil"/>
    <s v="always-on-Premium|google|dbm|retangulo-medio-300x250"/>
    <s v="125045551"/>
    <x v="5"/>
    <s v="300x250_GerouRadar_Radar_PREMIUM"/>
    <s v="299686040"/>
    <x v="3"/>
    <n v="2873"/>
    <n v="33"/>
    <n v="0.10299999999999999"/>
    <n v="7.0000000000000007E-2"/>
    <n v="0.29591899999999999"/>
    <x v="644"/>
  </r>
  <r>
    <s v="alp_AlwaysOn_DBM-Estrutura-2015"/>
    <s v="Google Brasil"/>
    <s v="always-on-Premium|google|dbm|retangulo-medio-300x250"/>
    <s v="125045551"/>
    <x v="5"/>
    <s v="300x250_Prospeccao_Institucional_Condicoes_Produto_PREMIUM"/>
    <s v="299686047"/>
    <x v="3"/>
    <n v="7219090"/>
    <n v="46947"/>
    <n v="0.10299999999999999"/>
    <n v="7.0000000000000007E-2"/>
    <n v="743.56626999999992"/>
    <x v="645"/>
  </r>
  <r>
    <s v="alp_AlwaysOn_DBM-Estrutura-2015"/>
    <s v="Google Brasil"/>
    <s v="always-on-Premium|google|dbm|retangulo-medio-300x250"/>
    <s v="125045551"/>
    <x v="5"/>
    <s v="300x250_ViuCarro_Features_Intencao_PREMIUM"/>
    <s v="302846767"/>
    <x v="3"/>
    <n v="138129"/>
    <n v="606"/>
    <n v="0.10299999999999999"/>
    <n v="7.0000000000000007E-2"/>
    <n v="14.227286999999999"/>
    <x v="646"/>
  </r>
  <r>
    <s v="alp_AlwaysOn_DBM-Estrutura-2015"/>
    <s v="Google Brasil"/>
    <s v="always-on-Premium|google|dbm|retangulo-medio-300x250"/>
    <s v="125045551"/>
    <x v="5"/>
    <s v="300x250_ViuCarro_Features_PREMIUM"/>
    <s v="299686043"/>
    <x v="3"/>
    <n v="2347608"/>
    <n v="7045"/>
    <n v="0.10299999999999999"/>
    <n v="7.0000000000000007E-2"/>
    <n v="241.80362399999999"/>
    <x v="647"/>
  </r>
  <r>
    <s v="alp_AlwaysOn_DBM-Estrutura-2015"/>
    <s v="Google Brasil"/>
    <s v="always-on-Premium|google|dbm|super-banner-728x90"/>
    <s v="125044006"/>
    <x v="2"/>
    <s v="728x90 Default Web Ad"/>
    <s v="297012945"/>
    <x v="2"/>
    <n v="23238"/>
    <n v="33"/>
    <n v="3.8199999999999998E-2"/>
    <n v="0.09"/>
    <n v="0.88769160000000003"/>
    <x v="648"/>
  </r>
  <r>
    <s v="alp_AlwaysOn_DBM-Estrutura-2015"/>
    <s v="Google Brasil"/>
    <s v="always-on-Premium|google|dbm|super-banner-728x90"/>
    <s v="125044006"/>
    <x v="5"/>
    <s v="728x90_GerouLead_Concessionarias_PREMIUM"/>
    <s v="297012987"/>
    <x v="3"/>
    <n v="1517"/>
    <n v="0"/>
    <n v="0.10299999999999999"/>
    <n v="7.0000000000000007E-2"/>
    <n v="0.156251"/>
    <x v="649"/>
  </r>
  <r>
    <s v="alp_AlwaysOn_DBM-Estrutura-2015"/>
    <s v="Google Brasil"/>
    <s v="always-on-Premium|google|dbm|super-banner-728x90"/>
    <s v="125044006"/>
    <x v="5"/>
    <s v="728x90_GerouRadar_Radar_PREMIUM"/>
    <s v="297013842"/>
    <x v="3"/>
    <n v="1040"/>
    <n v="5"/>
    <n v="0.10299999999999999"/>
    <n v="7.0000000000000007E-2"/>
    <n v="0.10711999999999999"/>
    <x v="650"/>
  </r>
  <r>
    <s v="alp_AlwaysOn_DBM-Estrutura-2015"/>
    <s v="Google Brasil"/>
    <s v="always-on-Premium|google|dbm|super-banner-728x90"/>
    <s v="125044006"/>
    <x v="5"/>
    <s v="728x90_Prospeccao_Institucional_Condicoes_Produto_PREMIUM"/>
    <s v="297014270"/>
    <x v="3"/>
    <n v="1267569"/>
    <n v="3032"/>
    <n v="0.10299999999999999"/>
    <n v="7.0000000000000007E-2"/>
    <n v="130.559607"/>
    <x v="651"/>
  </r>
  <r>
    <s v="alp_AlwaysOn_DBM-Estrutura-2015"/>
    <s v="Google Brasil"/>
    <s v="always-on-Premium|google|dbm|super-banner-728x90"/>
    <s v="125044006"/>
    <x v="5"/>
    <s v="728x90_ViuCarro_Features_Intencao_PREMIUM"/>
    <s v="302826947"/>
    <x v="3"/>
    <n v="83881"/>
    <n v="171"/>
    <n v="0.10299999999999999"/>
    <n v="7.0000000000000007E-2"/>
    <n v="8.6397430000000011"/>
    <x v="652"/>
  </r>
  <r>
    <s v="alp_AlwaysOn_DBM-Estrutura-2015"/>
    <s v="Google Brasil"/>
    <s v="always-on-Premium|google|dbm|super-banner-728x90"/>
    <s v="125044006"/>
    <x v="5"/>
    <s v="728x90_ViuCarro_Features_PREMIUM"/>
    <s v="297014528"/>
    <x v="3"/>
    <n v="1356359"/>
    <n v="1397"/>
    <n v="0.10299999999999999"/>
    <n v="7.0000000000000007E-2"/>
    <n v="139.70497699999999"/>
    <x v="653"/>
  </r>
  <r>
    <s v="alp_AlwaysOn_DBM-Estrutura-2015"/>
    <s v="Google Brasil"/>
    <s v="always-on-Volume|google|dbm|120x600"/>
    <s v="125065533"/>
    <x v="2"/>
    <s v="120x600 Default Web Ad"/>
    <s v="297951980"/>
    <x v="2"/>
    <n v="5789"/>
    <n v="2"/>
    <n v="3.8199999999999998E-2"/>
    <n v="0.09"/>
    <n v="0.22113979999999997"/>
    <x v="654"/>
  </r>
  <r>
    <s v="alp_AlwaysOn_DBM-Estrutura-2015"/>
    <s v="Google Brasil"/>
    <s v="always-on-Volume|google|dbm|120x600"/>
    <s v="125065533"/>
    <x v="5"/>
    <s v="120x600_GerouLead_Concessionarias_VOLUME"/>
    <s v="299651850"/>
    <x v="3"/>
    <n v="316"/>
    <n v="0"/>
    <n v="0.10299999999999999"/>
    <n v="7.0000000000000007E-2"/>
    <n v="3.2547999999999994E-2"/>
    <x v="655"/>
  </r>
  <r>
    <s v="alp_AlwaysOn_DBM-Estrutura-2015"/>
    <s v="Google Brasil"/>
    <s v="always-on-Volume|google|dbm|120x600"/>
    <s v="125065533"/>
    <x v="5"/>
    <s v="120x600_GerouRadar_Radar_VOLUME"/>
    <s v="299651848"/>
    <x v="3"/>
    <n v="264"/>
    <n v="3"/>
    <n v="0.10299999999999999"/>
    <n v="7.0000000000000007E-2"/>
    <n v="2.7192000000000001E-2"/>
    <x v="656"/>
  </r>
  <r>
    <s v="alp_AlwaysOn_DBM-Estrutura-2015"/>
    <s v="Google Brasil"/>
    <s v="always-on-Volume|google|dbm|120x600"/>
    <s v="125065533"/>
    <x v="5"/>
    <s v="120x600_Prospeccao_Institucional_Condicoes_Produto_VOLUME"/>
    <s v="299651846"/>
    <x v="3"/>
    <n v="201152"/>
    <n v="177"/>
    <n v="0.10299999999999999"/>
    <n v="7.0000000000000007E-2"/>
    <n v="20.718655999999999"/>
    <x v="657"/>
  </r>
  <r>
    <s v="alp_AlwaysOn_DBM-Estrutura-2015"/>
    <s v="Google Brasil"/>
    <s v="always-on-Volume|google|dbm|120x600"/>
    <s v="125065533"/>
    <x v="5"/>
    <s v="120x600_ViuCarro_Features_Intencao_VOLUME"/>
    <s v="302822410"/>
    <x v="3"/>
    <n v="22341"/>
    <n v="35"/>
    <n v="0.10299999999999999"/>
    <n v="7.0000000000000007E-2"/>
    <n v="2.301123"/>
    <x v="658"/>
  </r>
  <r>
    <s v="alp_AlwaysOn_DBM-Estrutura-2015"/>
    <s v="Google Brasil"/>
    <s v="always-on-Volume|google|dbm|120x600"/>
    <s v="125065533"/>
    <x v="5"/>
    <s v="120x600_ViuCarro_Features_VOLUME"/>
    <s v="299651847"/>
    <x v="3"/>
    <n v="366480"/>
    <n v="300"/>
    <n v="0.10299999999999999"/>
    <n v="7.0000000000000007E-2"/>
    <n v="37.747439999999997"/>
    <x v="659"/>
  </r>
  <r>
    <s v="alp_AlwaysOn_DBM-Estrutura-2015"/>
    <s v="Google Brasil"/>
    <s v="always-on-Volume|google|dbm|160x600"/>
    <s v="125063540"/>
    <x v="2"/>
    <s v="160x600 Default Web Ad"/>
    <s v="297953405"/>
    <x v="2"/>
    <n v="7367"/>
    <n v="10"/>
    <n v="3.8199999999999998E-2"/>
    <n v="0.09"/>
    <n v="0.28141939999999999"/>
    <x v="660"/>
  </r>
  <r>
    <s v="alp_AlwaysOn_DBM-Estrutura-2015"/>
    <s v="Google Brasil"/>
    <s v="always-on-Volume|google|dbm|160x600"/>
    <s v="125063540"/>
    <x v="5"/>
    <s v="160x600_GerouLead_Concessionarias_VOLUME"/>
    <s v="299687461"/>
    <x v="3"/>
    <n v="1308"/>
    <n v="0"/>
    <n v="0.10299999999999999"/>
    <n v="7.0000000000000007E-2"/>
    <n v="0.13472399999999998"/>
    <x v="661"/>
  </r>
  <r>
    <s v="alp_AlwaysOn_DBM-Estrutura-2015"/>
    <s v="Google Brasil"/>
    <s v="always-on-Volume|google|dbm|160x600"/>
    <s v="125063540"/>
    <x v="5"/>
    <s v="160x600_GerouRadar_Radar_VOLUME"/>
    <s v="299687457"/>
    <x v="3"/>
    <n v="890"/>
    <n v="5"/>
    <n v="0.10299999999999999"/>
    <n v="7.0000000000000007E-2"/>
    <n v="9.1670000000000001E-2"/>
    <x v="662"/>
  </r>
  <r>
    <s v="alp_AlwaysOn_DBM-Estrutura-2015"/>
    <s v="Google Brasil"/>
    <s v="always-on-Volume|google|dbm|160x600"/>
    <s v="125063540"/>
    <x v="5"/>
    <s v="160x600_Prospeccao_Institucional_Condicoes_Produto_VOLUME"/>
    <s v="299687460"/>
    <x v="3"/>
    <n v="839525"/>
    <n v="1009"/>
    <n v="0.10299999999999999"/>
    <n v="7.0000000000000007E-2"/>
    <n v="86.471074999999999"/>
    <x v="663"/>
  </r>
  <r>
    <s v="alp_AlwaysOn_DBM-Estrutura-2015"/>
    <s v="Google Brasil"/>
    <s v="always-on-Volume|google|dbm|160x600"/>
    <s v="125063540"/>
    <x v="5"/>
    <s v="160x600_ViuCarro_Features_Intencao_VOLUME"/>
    <s v="302821966"/>
    <x v="3"/>
    <n v="24368"/>
    <n v="66"/>
    <n v="0.10299999999999999"/>
    <n v="7.0000000000000007E-2"/>
    <n v="2.5099040000000001"/>
    <x v="664"/>
  </r>
  <r>
    <s v="alp_AlwaysOn_DBM-Estrutura-2015"/>
    <s v="Google Brasil"/>
    <s v="always-on-Volume|google|dbm|160x600"/>
    <s v="125063540"/>
    <x v="5"/>
    <s v="160x600_ViuCarro_Features_VOLUME"/>
    <s v="299687458"/>
    <x v="3"/>
    <n v="441195"/>
    <n v="610"/>
    <n v="0.10299999999999999"/>
    <n v="7.0000000000000007E-2"/>
    <n v="45.443084999999996"/>
    <x v="665"/>
  </r>
  <r>
    <s v="alp_AlwaysOn_DBM-Estrutura-2015"/>
    <s v="Google Brasil"/>
    <s v="always-on-Volume|google|dbm|300x50"/>
    <s v="125065543"/>
    <x v="2"/>
    <s v="300x50 Default Web Ad"/>
    <s v="297953347"/>
    <x v="2"/>
    <n v="8224"/>
    <n v="8"/>
    <n v="3.8199999999999998E-2"/>
    <n v="0.09"/>
    <n v="0.31415679999999996"/>
    <x v="666"/>
  </r>
  <r>
    <s v="alp_AlwaysOn_DBM-Estrutura-2015"/>
    <s v="Google Brasil"/>
    <s v="always-on-Volume|google|dbm|300x50"/>
    <s v="125065543"/>
    <x v="5"/>
    <s v="300x50_GerouLead_Concessionarias_VOLUME"/>
    <s v="299686769"/>
    <x v="3"/>
    <n v="2237"/>
    <n v="4"/>
    <n v="0.10299999999999999"/>
    <n v="7.0000000000000007E-2"/>
    <n v="0.230411"/>
    <x v="667"/>
  </r>
  <r>
    <s v="alp_AlwaysOn_DBM-Estrutura-2015"/>
    <s v="Google Brasil"/>
    <s v="always-on-Volume|google|dbm|300x50"/>
    <s v="125065543"/>
    <x v="5"/>
    <s v="300x50_GerouRadar_Radar_VOLUME"/>
    <s v="299686767"/>
    <x v="3"/>
    <n v="632"/>
    <n v="2"/>
    <n v="0.10299999999999999"/>
    <n v="7.0000000000000007E-2"/>
    <n v="6.5095999999999987E-2"/>
    <x v="668"/>
  </r>
  <r>
    <s v="alp_AlwaysOn_DBM-Estrutura-2015"/>
    <s v="Google Brasil"/>
    <s v="always-on-Volume|google|dbm|300x50"/>
    <s v="125065543"/>
    <x v="5"/>
    <s v="300x50_Prospeccao_Institucional_Condicoes_Produto_VOLUME"/>
    <s v="299686776"/>
    <x v="3"/>
    <n v="3604349"/>
    <n v="2714"/>
    <n v="0.10299999999999999"/>
    <n v="7.0000000000000007E-2"/>
    <n v="371.24794700000001"/>
    <x v="669"/>
  </r>
  <r>
    <s v="alp_AlwaysOn_DBM-Estrutura-2015"/>
    <s v="Google Brasil"/>
    <s v="always-on-Volume|google|dbm|300x50"/>
    <s v="125065543"/>
    <x v="5"/>
    <s v="300x50_ViuCarro_Features_Intencao_VOLUME"/>
    <s v="302823735"/>
    <x v="3"/>
    <n v="21631"/>
    <n v="61"/>
    <n v="0.10299999999999999"/>
    <n v="7.0000000000000007E-2"/>
    <n v="2.2279930000000001"/>
    <x v="670"/>
  </r>
  <r>
    <s v="alp_AlwaysOn_DBM-Estrutura-2015"/>
    <s v="Google Brasil"/>
    <s v="always-on-Volume|google|dbm|300x50"/>
    <s v="125065543"/>
    <x v="5"/>
    <s v="300x50_ViuCarro_Features_VOLUME"/>
    <s v="299686774"/>
    <x v="3"/>
    <n v="367619"/>
    <n v="739"/>
    <n v="0.10299999999999999"/>
    <n v="7.0000000000000007E-2"/>
    <n v="37.864756999999997"/>
    <x v="671"/>
  </r>
  <r>
    <s v="alp_AlwaysOn_DBM-Estrutura-2015"/>
    <s v="Google Brasil"/>
    <s v="always-on-Volume|google|dbm|320x50"/>
    <s v="125060846"/>
    <x v="2"/>
    <s v="320x50 Default Web Ad"/>
    <s v="297946946"/>
    <x v="2"/>
    <n v="32664"/>
    <n v="114"/>
    <n v="3.8199999999999998E-2"/>
    <n v="0.09"/>
    <n v="1.2477647999999999"/>
    <x v="672"/>
  </r>
  <r>
    <s v="alp_AlwaysOn_DBM-Estrutura-2015"/>
    <s v="Google Brasil"/>
    <s v="always-on-Volume|google|dbm|320x50"/>
    <s v="125060846"/>
    <x v="5"/>
    <s v="320x50_GerouLead_Concessionarias_VOLUME"/>
    <s v="299687004"/>
    <x v="3"/>
    <n v="6099"/>
    <n v="22"/>
    <n v="0.10299999999999999"/>
    <n v="7.0000000000000007E-2"/>
    <n v="0.62819700000000001"/>
    <x v="673"/>
  </r>
  <r>
    <s v="alp_AlwaysOn_DBM-Estrutura-2015"/>
    <s v="Google Brasil"/>
    <s v="always-on-Volume|google|dbm|320x50"/>
    <s v="125060846"/>
    <x v="5"/>
    <s v="320x50_GerouRadar_Radar_VOLUME"/>
    <s v="299687005"/>
    <x v="3"/>
    <n v="1862"/>
    <n v="11"/>
    <n v="0.10299999999999999"/>
    <n v="7.0000000000000007E-2"/>
    <n v="0.19178600000000001"/>
    <x v="674"/>
  </r>
  <r>
    <s v="alp_AlwaysOn_DBM-Estrutura-2015"/>
    <s v="Google Brasil"/>
    <s v="always-on-Volume|google|dbm|320x50"/>
    <s v="125060846"/>
    <x v="5"/>
    <s v="320x50_Prospeccao_Institucional_Condicoes_Produto_VOLUME"/>
    <s v="299687000"/>
    <x v="3"/>
    <n v="19442913"/>
    <n v="117922"/>
    <n v="0.10299999999999999"/>
    <n v="7.0000000000000007E-2"/>
    <n v="2002.6200389999999"/>
    <x v="675"/>
  </r>
  <r>
    <s v="alp_AlwaysOn_DBM-Estrutura-2015"/>
    <s v="Google Brasil"/>
    <s v="always-on-Volume|google|dbm|320x50"/>
    <s v="125060846"/>
    <x v="5"/>
    <s v="320x50_ViuCarro_Features_Intencao_VOLUME"/>
    <s v="302829522"/>
    <x v="3"/>
    <n v="46389"/>
    <n v="153"/>
    <n v="0.10299999999999999"/>
    <n v="7.0000000000000007E-2"/>
    <n v="4.7780670000000001"/>
    <x v="676"/>
  </r>
  <r>
    <s v="alp_AlwaysOn_DBM-Estrutura-2015"/>
    <s v="Google Brasil"/>
    <s v="always-on-Volume|google|dbm|320x50"/>
    <s v="125060846"/>
    <x v="5"/>
    <s v="320x50_ViuCarro_Features_VOLUME"/>
    <s v="299683598"/>
    <x v="3"/>
    <n v="943697"/>
    <n v="2366"/>
    <n v="0.10299999999999999"/>
    <n v="7.0000000000000007E-2"/>
    <n v="97.200790999999995"/>
    <x v="677"/>
  </r>
  <r>
    <s v="alp_AlwaysOn_DBM-Estrutura-2015"/>
    <s v="Google Brasil"/>
    <s v="always-on-Volume|google|dbm|468x60"/>
    <s v="125061459"/>
    <x v="2"/>
    <s v="468x60 Default Web Ad"/>
    <s v="297946650"/>
    <x v="2"/>
    <n v="1735"/>
    <n v="2"/>
    <n v="3.8199999999999998E-2"/>
    <n v="0.09"/>
    <n v="6.6277000000000003E-2"/>
    <x v="678"/>
  </r>
  <r>
    <s v="alp_AlwaysOn_DBM-Estrutura-2015"/>
    <s v="Google Brasil"/>
    <s v="always-on-Volume|google|dbm|468x60"/>
    <s v="125061459"/>
    <x v="5"/>
    <s v="468x60_GerouLead_Concessionarias_VOLUME"/>
    <s v="299685186"/>
    <x v="3"/>
    <n v="73"/>
    <n v="1"/>
    <n v="0.10299999999999999"/>
    <n v="7.0000000000000007E-2"/>
    <n v="7.5189999999999996E-3"/>
    <x v="679"/>
  </r>
  <r>
    <s v="alp_AlwaysOn_DBM-Estrutura-2015"/>
    <s v="Google Brasil"/>
    <s v="always-on-Volume|google|dbm|468x60"/>
    <s v="125061459"/>
    <x v="5"/>
    <s v="468x60_GerouRadar_Radar_VOLUME"/>
    <s v="299685183"/>
    <x v="3"/>
    <n v="44"/>
    <n v="0"/>
    <n v="0.10299999999999999"/>
    <n v="7.0000000000000007E-2"/>
    <n v="4.5320000000000004E-3"/>
    <x v="680"/>
  </r>
  <r>
    <s v="alp_AlwaysOn_DBM-Estrutura-2015"/>
    <s v="Google Brasil"/>
    <s v="always-on-Volume|google|dbm|468x60"/>
    <s v="125061459"/>
    <x v="5"/>
    <s v="468x60_Prospeccao_Institucional_Condicoes_Produto_VOLUME"/>
    <s v="299685251"/>
    <x v="3"/>
    <n v="84952"/>
    <n v="306"/>
    <n v="0.10299999999999999"/>
    <n v="7.0000000000000007E-2"/>
    <n v="8.7500559999999989"/>
    <x v="681"/>
  </r>
  <r>
    <s v="alp_AlwaysOn_DBM-Estrutura-2015"/>
    <s v="Google Brasil"/>
    <s v="always-on-Volume|google|dbm|468x60"/>
    <s v="125061459"/>
    <x v="5"/>
    <s v="468x60_ViuCarro_Features_Intencao_VOLUME"/>
    <s v="302825157"/>
    <x v="3"/>
    <n v="7320"/>
    <n v="11"/>
    <n v="0.10299999999999999"/>
    <n v="7.0000000000000007E-2"/>
    <n v="0.75395999999999996"/>
    <x v="682"/>
  </r>
  <r>
    <s v="alp_AlwaysOn_DBM-Estrutura-2015"/>
    <s v="Google Brasil"/>
    <s v="always-on-Volume|google|dbm|468x60"/>
    <s v="125061459"/>
    <x v="5"/>
    <s v="468x60_ViuCarro_Features_VOLUME"/>
    <s v="299685252"/>
    <x v="3"/>
    <n v="93818"/>
    <n v="145"/>
    <n v="0.10299999999999999"/>
    <n v="7.0000000000000007E-2"/>
    <n v="9.6632539999999985"/>
    <x v="683"/>
  </r>
  <r>
    <s v="alp_AlwaysOn_DBM-Estrutura-2015"/>
    <s v="Google Brasil"/>
    <s v="always-on-Volume|google|dbm|970x250"/>
    <s v="125063523"/>
    <x v="2"/>
    <s v="970x250 Default Web Ad"/>
    <s v="297950089"/>
    <x v="2"/>
    <n v="14162"/>
    <n v="39"/>
    <n v="3.8199999999999998E-2"/>
    <n v="0.09"/>
    <n v="0.54098839999999992"/>
    <x v="684"/>
  </r>
  <r>
    <s v="alp_AlwaysOn_DBM-Estrutura-2015"/>
    <s v="Google Brasil"/>
    <s v="always-on-Volume|google|dbm|970x250"/>
    <s v="125063523"/>
    <x v="5"/>
    <s v="970x250_GerouLead_Concessionarias_VOLUME"/>
    <s v="299689555"/>
    <x v="3"/>
    <n v="831"/>
    <n v="9"/>
    <n v="0.10299999999999999"/>
    <n v="7.0000000000000007E-2"/>
    <n v="8.5592999999999989E-2"/>
    <x v="685"/>
  </r>
  <r>
    <s v="alp_AlwaysOn_DBM-Estrutura-2015"/>
    <s v="Google Brasil"/>
    <s v="always-on-Volume|google|dbm|970x250"/>
    <s v="125063523"/>
    <x v="5"/>
    <s v="970x250_GerouRadar_Radar_VOLUME"/>
    <s v="299689558"/>
    <x v="3"/>
    <n v="659"/>
    <n v="15"/>
    <n v="0.10299999999999999"/>
    <n v="7.0000000000000007E-2"/>
    <n v="6.7876999999999993E-2"/>
    <x v="686"/>
  </r>
  <r>
    <s v="alp_AlwaysOn_DBM-Estrutura-2015"/>
    <s v="Google Brasil"/>
    <s v="always-on-Volume|google|dbm|970x250"/>
    <s v="125063523"/>
    <x v="5"/>
    <s v="970x250_Prospeccao_Institucional_Condicoes_Produto_VOLUME"/>
    <s v="299689556"/>
    <x v="3"/>
    <n v="777920"/>
    <n v="1520"/>
    <n v="0.10299999999999999"/>
    <n v="7.0000000000000007E-2"/>
    <n v="80.12576"/>
    <x v="687"/>
  </r>
  <r>
    <s v="alp_AlwaysOn_DBM-Estrutura-2015"/>
    <s v="Google Brasil"/>
    <s v="always-on-Volume|google|dbm|970x250"/>
    <s v="125063523"/>
    <x v="5"/>
    <s v="970x250_ViuCarro_Features_Intencao_VOLUME"/>
    <s v="302846957"/>
    <x v="3"/>
    <n v="59385"/>
    <n v="323"/>
    <n v="0.10299999999999999"/>
    <n v="7.0000000000000007E-2"/>
    <n v="6.1166549999999997"/>
    <x v="688"/>
  </r>
  <r>
    <s v="alp_AlwaysOn_DBM-Estrutura-2015"/>
    <s v="Google Brasil"/>
    <s v="always-on-Volume|google|dbm|970x250"/>
    <s v="125063523"/>
    <x v="5"/>
    <s v="970x250_ViuCarro_Features_VOLUME"/>
    <s v="299689560"/>
    <x v="3"/>
    <n v="792263"/>
    <n v="2730"/>
    <n v="0.10299999999999999"/>
    <n v="7.0000000000000007E-2"/>
    <n v="81.603088999999997"/>
    <x v="689"/>
  </r>
  <r>
    <s v="alp_AlwaysOn_DBM-Estrutura-2015"/>
    <s v="Google Brasil"/>
    <s v="always-on-Volume|google|dbm|970x90"/>
    <s v="125061323"/>
    <x v="2"/>
    <s v="970x90 Default Web Ad"/>
    <s v="297947867"/>
    <x v="2"/>
    <n v="5354"/>
    <n v="5"/>
    <n v="3.8199999999999998E-2"/>
    <n v="0.09"/>
    <n v="0.20452279999999998"/>
    <x v="690"/>
  </r>
  <r>
    <s v="alp_AlwaysOn_DBM-Estrutura-2015"/>
    <s v="Google Brasil"/>
    <s v="always-on-Volume|google|dbm|970x90"/>
    <s v="125061323"/>
    <x v="5"/>
    <s v="970x90_GerouLead_Concessionarias_VOLUME"/>
    <s v="299687990"/>
    <x v="3"/>
    <n v="284"/>
    <n v="0"/>
    <n v="0.10299999999999999"/>
    <n v="7.0000000000000007E-2"/>
    <n v="2.9252E-2"/>
    <x v="691"/>
  </r>
  <r>
    <s v="alp_AlwaysOn_DBM-Estrutura-2015"/>
    <s v="Google Brasil"/>
    <s v="always-on-Volume|google|dbm|970x90"/>
    <s v="125061323"/>
    <x v="5"/>
    <s v="970x90_GerouRadar_Radar_VOLUME"/>
    <s v="299687994"/>
    <x v="3"/>
    <n v="218"/>
    <n v="1"/>
    <n v="0.10299999999999999"/>
    <n v="7.0000000000000007E-2"/>
    <n v="2.2453999999999998E-2"/>
    <x v="692"/>
  </r>
  <r>
    <s v="alp_AlwaysOn_DBM-Estrutura-2015"/>
    <s v="Google Brasil"/>
    <s v="always-on-Volume|google|dbm|970x90"/>
    <s v="125061323"/>
    <x v="5"/>
    <s v="970x90_Prospeccao_Institucional_Condicoes_Produto_VOLUME"/>
    <s v="299687992"/>
    <x v="3"/>
    <n v="300594"/>
    <n v="463"/>
    <n v="0.10299999999999999"/>
    <n v="7.0000000000000007E-2"/>
    <n v="30.961181999999997"/>
    <x v="693"/>
  </r>
  <r>
    <s v="alp_AlwaysOn_DBM-Estrutura-2015"/>
    <s v="Google Brasil"/>
    <s v="always-on-Volume|google|dbm|970x90"/>
    <s v="125061323"/>
    <x v="5"/>
    <s v="970x90_ViuCarro_Features_Intencao_VOLUME"/>
    <s v="302846797"/>
    <x v="3"/>
    <n v="18927"/>
    <n v="25"/>
    <n v="0.10299999999999999"/>
    <n v="7.0000000000000007E-2"/>
    <n v="1.949481"/>
    <x v="694"/>
  </r>
  <r>
    <s v="alp_AlwaysOn_DBM-Estrutura-2015"/>
    <s v="Google Brasil"/>
    <s v="always-on-Volume|google|dbm|970x90"/>
    <s v="125061323"/>
    <x v="5"/>
    <s v="970x90_ViuCarro_Features_VOLUME"/>
    <s v="299687986"/>
    <x v="3"/>
    <n v="290779"/>
    <n v="243"/>
    <n v="0.10299999999999999"/>
    <n v="7.0000000000000007E-2"/>
    <n v="29.950236999999998"/>
    <x v="695"/>
  </r>
  <r>
    <s v="alp_AlwaysOn_DBM-Estrutura-2015"/>
    <s v="Google Brasil"/>
    <s v="always-on-Volume|google|dbm|half-page-300x600"/>
    <s v="125047071"/>
    <x v="2"/>
    <s v="300x600 Default Web Ad"/>
    <s v="297934556"/>
    <x v="2"/>
    <n v="22905"/>
    <n v="34"/>
    <n v="3.8199999999999998E-2"/>
    <n v="0.09"/>
    <n v="0.87497100000000005"/>
    <x v="696"/>
  </r>
  <r>
    <s v="alp_AlwaysOn_DBM-Estrutura-2015"/>
    <s v="Google Brasil"/>
    <s v="always-on-Volume|google|dbm|half-page-300x600"/>
    <s v="125047071"/>
    <x v="5"/>
    <s v="300x600_GerouLead_Concessionarias_VOLUME"/>
    <s v="299687662"/>
    <x v="3"/>
    <n v="1107"/>
    <n v="4"/>
    <n v="0.10299999999999999"/>
    <n v="7.0000000000000007E-2"/>
    <n v="0.114021"/>
    <x v="697"/>
  </r>
  <r>
    <s v="alp_AlwaysOn_DBM-Estrutura-2015"/>
    <s v="Google Brasil"/>
    <s v="always-on-Volume|google|dbm|half-page-300x600"/>
    <s v="125047071"/>
    <x v="5"/>
    <s v="300x600_GerouRadar_Radar_VOLUME"/>
    <s v="299687665"/>
    <x v="3"/>
    <n v="1175"/>
    <n v="17"/>
    <n v="0.10299999999999999"/>
    <n v="7.0000000000000007E-2"/>
    <n v="0.12102499999999999"/>
    <x v="698"/>
  </r>
  <r>
    <s v="alp_AlwaysOn_DBM-Estrutura-2015"/>
    <s v="Google Brasil"/>
    <s v="always-on-Volume|google|dbm|half-page-300x600"/>
    <s v="125047071"/>
    <x v="5"/>
    <s v="300x600_Prospeccao_Institucional_Condicoes_Produto_VOLUME"/>
    <s v="299687659"/>
    <x v="3"/>
    <n v="1413847"/>
    <n v="1482"/>
    <n v="0.10299999999999999"/>
    <n v="7.0000000000000007E-2"/>
    <n v="145.62624099999999"/>
    <x v="699"/>
  </r>
  <r>
    <s v="alp_AlwaysOn_DBM-Estrutura-2015"/>
    <s v="Google Brasil"/>
    <s v="always-on-Volume|google|dbm|half-page-300x600"/>
    <s v="125047071"/>
    <x v="5"/>
    <s v="300x600_ViuCarro_Features_Intencao_VOLUME"/>
    <s v="302829107"/>
    <x v="3"/>
    <n v="88629"/>
    <n v="280"/>
    <n v="0.10299999999999999"/>
    <n v="7.0000000000000007E-2"/>
    <n v="9.1287870000000009"/>
    <x v="700"/>
  </r>
  <r>
    <s v="alp_AlwaysOn_DBM-Estrutura-2015"/>
    <s v="Google Brasil"/>
    <s v="always-on-Volume|google|dbm|half-page-300x600"/>
    <s v="125047071"/>
    <x v="5"/>
    <s v="300x600_ViuCarro_Features_VOLUME"/>
    <s v="299687667"/>
    <x v="3"/>
    <n v="1296106"/>
    <n v="2585"/>
    <n v="0.10299999999999999"/>
    <n v="7.0000000000000007E-2"/>
    <n v="133.498918"/>
    <x v="701"/>
  </r>
  <r>
    <s v="alp_AlwaysOn_DBM-Estrutura-2015"/>
    <s v="Google Brasil"/>
    <s v="always-on-Volume|google|dbm|retangulo-medio-300x250"/>
    <s v="125044248"/>
    <x v="2"/>
    <s v="300x250 Default Web Ad"/>
    <s v="297931212"/>
    <x v="2"/>
    <n v="65168"/>
    <n v="101"/>
    <n v="3.8199999999999998E-2"/>
    <n v="0.09"/>
    <n v="2.4894175999999999"/>
    <x v="702"/>
  </r>
  <r>
    <s v="alp_AlwaysOn_DBM-Estrutura-2015"/>
    <s v="Google Brasil"/>
    <s v="always-on-Volume|google|dbm|retangulo-medio-300x250"/>
    <s v="125044248"/>
    <x v="5"/>
    <s v="300x250_GerouLead_Concessionarias_VOLUME"/>
    <s v="299686039"/>
    <x v="3"/>
    <n v="5518"/>
    <n v="14"/>
    <n v="0.10299999999999999"/>
    <n v="7.0000000000000007E-2"/>
    <n v="0.56835399999999991"/>
    <x v="703"/>
  </r>
  <r>
    <s v="alp_AlwaysOn_DBM-Estrutura-2015"/>
    <s v="Google Brasil"/>
    <s v="always-on-Volume|google|dbm|retangulo-medio-300x250"/>
    <s v="125044248"/>
    <x v="5"/>
    <s v="300x250_GerouRadar_Radar_VOLUME"/>
    <s v="299686041"/>
    <x v="3"/>
    <n v="3025"/>
    <n v="35"/>
    <n v="0.10299999999999999"/>
    <n v="7.0000000000000007E-2"/>
    <n v="0.31157499999999999"/>
    <x v="704"/>
  </r>
  <r>
    <s v="alp_AlwaysOn_DBM-Estrutura-2015"/>
    <s v="Google Brasil"/>
    <s v="always-on-Volume|google|dbm|retangulo-medio-300x250"/>
    <s v="125044248"/>
    <x v="5"/>
    <s v="300x250_Prospeccao_Institucional_Condicoes_Produto_VOLUME"/>
    <s v="299686046"/>
    <x v="3"/>
    <n v="7022738"/>
    <n v="24086"/>
    <n v="0.10299999999999999"/>
    <n v="7.0000000000000007E-2"/>
    <n v="723.34201399999995"/>
    <x v="705"/>
  </r>
  <r>
    <s v="alp_AlwaysOn_DBM-Estrutura-2015"/>
    <s v="Google Brasil"/>
    <s v="always-on-Volume|google|dbm|retangulo-medio-300x250"/>
    <s v="125044248"/>
    <x v="5"/>
    <s v="300x250_ViuCarro_Features_Intencao_VOLUME"/>
    <s v="302845419"/>
    <x v="3"/>
    <n v="182712"/>
    <n v="603"/>
    <n v="0.10299999999999999"/>
    <n v="7.0000000000000007E-2"/>
    <n v="18.819336"/>
    <x v="706"/>
  </r>
  <r>
    <s v="alp_AlwaysOn_DBM-Estrutura-2015"/>
    <s v="Google Brasil"/>
    <s v="always-on-Volume|google|dbm|retangulo-medio-300x250"/>
    <s v="125044248"/>
    <x v="5"/>
    <s v="300x250_ViuCarro_Features_VOLUME"/>
    <s v="299686042"/>
    <x v="3"/>
    <n v="2615099"/>
    <n v="6992"/>
    <n v="0.10299999999999999"/>
    <n v="7.0000000000000007E-2"/>
    <n v="269.35519699999998"/>
    <x v="707"/>
  </r>
  <r>
    <s v="alp_AlwaysOn_DBM-Estrutura-2015"/>
    <s v="Google Brasil"/>
    <s v="always-on-Volume|google|dbm|super-banner-728x90"/>
    <s v="125047100"/>
    <x v="2"/>
    <s v="728x90 Default Web Ad"/>
    <s v="297012945"/>
    <x v="2"/>
    <n v="18486"/>
    <n v="25"/>
    <n v="3.8199999999999998E-2"/>
    <n v="0.09"/>
    <n v="0.70616519999999994"/>
    <x v="708"/>
  </r>
  <r>
    <s v="alp_AlwaysOn_DBM-Estrutura-2015"/>
    <s v="Google Brasil"/>
    <s v="always-on-Volume|google|dbm|super-banner-728x90"/>
    <s v="125047100"/>
    <x v="5"/>
    <s v="728x90_GerouLead_Concessionarias_VOLUME"/>
    <s v="299649326"/>
    <x v="3"/>
    <n v="1203"/>
    <n v="2"/>
    <n v="0.10299999999999999"/>
    <n v="7.0000000000000007E-2"/>
    <n v="0.12390899999999999"/>
    <x v="709"/>
  </r>
  <r>
    <s v="alp_AlwaysOn_DBM-Estrutura-2015"/>
    <s v="Google Brasil"/>
    <s v="always-on-Volume|google|dbm|super-banner-728x90"/>
    <s v="125047100"/>
    <x v="5"/>
    <s v="728x90_GerouRadar_Radar_VOLUME"/>
    <s v="299649329"/>
    <x v="3"/>
    <n v="726"/>
    <n v="5"/>
    <n v="0.10299999999999999"/>
    <n v="7.0000000000000007E-2"/>
    <n v="7.4777999999999997E-2"/>
    <x v="710"/>
  </r>
  <r>
    <s v="alp_AlwaysOn_DBM-Estrutura-2015"/>
    <s v="Google Brasil"/>
    <s v="always-on-Volume|google|dbm|super-banner-728x90"/>
    <s v="125047100"/>
    <x v="5"/>
    <s v="728x90_Prospeccao_Institucional_Condicoes_Produto_VOLUME"/>
    <s v="299649327"/>
    <x v="3"/>
    <n v="1659748"/>
    <n v="5094"/>
    <n v="0.10299999999999999"/>
    <n v="7.0000000000000007E-2"/>
    <n v="170.95404399999998"/>
    <x v="711"/>
  </r>
  <r>
    <s v="alp_AlwaysOn_DBM-Estrutura-2015"/>
    <s v="Google Brasil"/>
    <s v="always-on-Volume|google|dbm|super-banner-728x90"/>
    <s v="125047100"/>
    <x v="5"/>
    <s v="728x90_ViuCarro_Features_Intencao_VOLUME"/>
    <s v="302825096"/>
    <x v="3"/>
    <n v="61242"/>
    <n v="83"/>
    <n v="0.10299999999999999"/>
    <n v="7.0000000000000007E-2"/>
    <n v="6.3079259999999993"/>
    <x v="712"/>
  </r>
  <r>
    <s v="alp_AlwaysOn_DBM-Estrutura-2015"/>
    <s v="Google Brasil"/>
    <s v="always-on-Volume|google|dbm|super-banner-728x90"/>
    <s v="125047100"/>
    <x v="5"/>
    <s v="728x90_ViuCarro_Features_VOLUME"/>
    <s v="299649330"/>
    <x v="3"/>
    <n v="861646"/>
    <n v="828"/>
    <n v="0.10299999999999999"/>
    <n v="7.0000000000000007E-2"/>
    <n v="88.749538000000001"/>
    <x v="713"/>
  </r>
  <r>
    <s v="alp_AlwaysOn_Facebook-DPA"/>
    <s v="Facebook"/>
    <s v="alp_AlwaysOn_Facebook-DPA_facebook_social_ao_ros_cpm_na_pagepost_DPA-Gol-Track-View-Content_na"/>
    <s v="144911943"/>
    <x v="1"/>
    <s v="alp_AlwaysOn_Facebook-DPA_facebook_social_ao_ros_cpm_na_pagepost_DPA-Gol-Track-View-Content_na"/>
    <s v="316633432"/>
    <x v="4"/>
    <n v="0"/>
    <n v="2"/>
    <n v="3.5000000000000001E-3"/>
    <n v="0.02"/>
    <n v="7.0000000000000001E-3"/>
    <x v="123"/>
  </r>
  <r>
    <s v="alp_AlwaysOn_Facebook-DPA"/>
    <s v="Facebook"/>
    <s v="alp_AlwaysOn_Facebook-DPA_facebook_social_ao_ros_cpm_na_pagepost_DPA-Gol-View-Content_na"/>
    <s v="137193377"/>
    <x v="1"/>
    <s v="alp_AlwaysOn_Facebook-DPA_facebook_social_ao_ros_cpm_na_pagepost_DPA-Gol-View-Content_na"/>
    <s v="309577097"/>
    <x v="4"/>
    <n v="0"/>
    <n v="1"/>
    <n v="3.5000000000000001E-3"/>
    <n v="0.02"/>
    <n v="3.5000000000000001E-3"/>
    <x v="1"/>
  </r>
  <r>
    <s v="alp_AlwaysOn_Facebook-DPA"/>
    <s v="Facebook"/>
    <s v="alp_AlwaysOn_Facebook-DPA_facebook_social_ao_ros_cpm_na_pagepost_DPA-Passat-View-Content_na"/>
    <s v="137605847"/>
    <x v="1"/>
    <s v="alp_AlwaysOn_Facebook-DPA_facebook_social_ao_ros_cpm_na_pagepost_DPA-Passat-View-Content_na"/>
    <s v="309864375"/>
    <x v="4"/>
    <n v="0"/>
    <n v="1"/>
    <n v="3.5000000000000001E-3"/>
    <n v="0.02"/>
    <n v="3.5000000000000001E-3"/>
    <x v="1"/>
  </r>
  <r>
    <s v="alp_AlwaysOn_Facebook-DPA"/>
    <s v="Facebook"/>
    <s v="alp_AlwaysOn_Facebook-DPA_facebook_social_ao_ros_cpm_na_pagepost_DPA-Saveiro-View-Content_na"/>
    <s v="137193376"/>
    <x v="1"/>
    <s v="alp_AlwaysOn_Facebook-DPA_facebook_social_ao_ros_cpm_na_pagepost_DPA-Saveiro-View-Content_na"/>
    <s v="309577096"/>
    <x v="4"/>
    <n v="0"/>
    <n v="5"/>
    <n v="3.5000000000000001E-3"/>
    <n v="0.02"/>
    <n v="1.7500000000000002E-2"/>
    <x v="480"/>
  </r>
  <r>
    <s v="alp_AlwaysOn_Facebook-DPA"/>
    <s v="Facebook"/>
    <s v="alp_AlwaysOn_Facebook-DPA_facebook_social_ao_ros_cpm_na_pagepost_DPA-Spacefox-Add-to-Cart_na"/>
    <s v="137583117"/>
    <x v="1"/>
    <s v="alp_AlwaysOn_Facebook-DPA_facebook_social_ao_ros_cpm_na_pagepost_DPA-Spacefox-Add-to-Cart_na"/>
    <s v="309929506"/>
    <x v="4"/>
    <n v="0"/>
    <n v="1"/>
    <n v="3.5000000000000001E-3"/>
    <n v="0.02"/>
    <n v="3.5000000000000001E-3"/>
    <x v="1"/>
  </r>
  <r>
    <s v="alp_AlwaysOn_Facebook-DPA"/>
    <s v="Facebook"/>
    <s v="alp_AlwaysOn_Facebook-DPA_facebook_social_ao_ros_cpm_na_pagepost_DPA-Voyage-View-Content_na"/>
    <s v="137193373"/>
    <x v="1"/>
    <s v="alp_AlwaysOn_Facebook-DPA_facebook_social_ao_ros_cpm_na_pagepost_DPA-Voyage-View-Content_na"/>
    <s v="309577093"/>
    <x v="4"/>
    <n v="0"/>
    <n v="1"/>
    <n v="3.5000000000000001E-3"/>
    <n v="0.02"/>
    <n v="3.5000000000000001E-3"/>
    <x v="1"/>
  </r>
  <r>
    <s v="alp_AlwaysOn_Facebook-DPA"/>
    <s v="Facebook"/>
    <s v="always-on-dpa_facebook_newsfeed_dpa-1x1_up_view-content_por"/>
    <s v="139556480"/>
    <x v="1"/>
    <s v="always-on-dpa_facebook_newsfeed_dpa-1x1_up_view-content_por"/>
    <s v="311807950"/>
    <x v="4"/>
    <n v="0"/>
    <n v="1"/>
    <n v="3.5000000000000001E-3"/>
    <n v="0.02"/>
    <n v="3.5000000000000001E-3"/>
    <x v="1"/>
  </r>
  <r>
    <s v="alp_AlwaysOn_Facebook-DPA"/>
    <s v="Facebook"/>
    <s v="always-on-dpa|facebook|ros|dpa|lancamento-novo-gol|por"/>
    <s v="129807251"/>
    <x v="1"/>
    <s v="always-on-dpa|facebook|ros|dpa|lancamento-novo-gol|por"/>
    <s v="302707193"/>
    <x v="4"/>
    <n v="0"/>
    <n v="1"/>
    <n v="3.5000000000000001E-3"/>
    <n v="0.02"/>
    <n v="3.5000000000000001E-3"/>
    <x v="1"/>
  </r>
  <r>
    <s v="alp_AlwaysOn_Facebook-DPA"/>
    <s v="Facebook"/>
    <s v="always-on-dpa|facebook|ros|dpa|varejo_nacional_facebook_dpa_cross-fox|por"/>
    <s v="123938808"/>
    <x v="1"/>
    <s v="always-on-dpa|facebook|ros|dpa|varejo_nacional_facebook_dpa_cross-fox|por"/>
    <s v="296918947"/>
    <x v="4"/>
    <n v="0"/>
    <n v="1"/>
    <n v="3.5000000000000001E-3"/>
    <n v="0.02"/>
    <n v="3.5000000000000001E-3"/>
    <x v="1"/>
  </r>
  <r>
    <s v="alp_AlwaysOn_Yahoo-Native"/>
    <s v="yahoo.com.br"/>
    <s v="alp_AlwaysOn_Yahoo-Native_yahoo_network_always-on_ros_cpc_N/A_nativeads_fox_N/A"/>
    <s v="135137335"/>
    <x v="1"/>
    <s v="alp_AlwaysOn_Yahoo-Native_yahoo_network_always-on_ros_cpc_N/A_nativeads_fox_N/A"/>
    <s v="307676952"/>
    <x v="4"/>
    <n v="0"/>
    <n v="1"/>
    <n v="3.5000000000000001E-3"/>
    <n v="0.02"/>
    <n v="3.5000000000000001E-3"/>
    <x v="1"/>
  </r>
  <r>
    <s v="alp_AlwaysOn_Yahoo-Native"/>
    <s v="yahoo.com.br"/>
    <s v="alp_AlwaysOn_Yahoo-Native_yahoo_network_always-on_ros_cpc_N/A_nativeads_golf_N/A"/>
    <s v="131662311"/>
    <x v="1"/>
    <s v="alp_AlwaysOn_Yahoo-Native_yahoo_network_always-on_ros_cpc_N/A_nativeads_golf_N/A"/>
    <s v="304325220"/>
    <x v="4"/>
    <n v="0"/>
    <n v="1"/>
    <n v="3.5000000000000001E-3"/>
    <n v="0.02"/>
    <n v="3.5000000000000001E-3"/>
    <x v="1"/>
  </r>
  <r>
    <s v="alp_AlwaysOn_Yahoo-Native"/>
    <s v="yahoo.com.br"/>
    <s v="alp_AlwaysOn_Yahoo-Native_yahoo_network_always-on_ros_cpc_N/A_nativeads_saveiro_N/A"/>
    <s v="135136136"/>
    <x v="1"/>
    <s v="alp_AlwaysOn_Yahoo-Native_yahoo_network_always-on_ros_cpc_N/A_nativeads_saveiro_N/A"/>
    <s v="307675981"/>
    <x v="4"/>
    <n v="0"/>
    <n v="1"/>
    <n v="3.5000000000000001E-3"/>
    <n v="0.02"/>
    <n v="3.5000000000000001E-3"/>
    <x v="1"/>
  </r>
  <r>
    <s v="alp_AlwaysOn_Yahoo-Native"/>
    <s v="yahoo.com.br"/>
    <s v="alp_AlwaysOn_Yahoo-Native_yahoo_network_always-on_ros_cpc_N/A_nativeads_spacefox_N/A"/>
    <s v="140266015"/>
    <x v="1"/>
    <s v="alp_AlwaysOn_Yahoo-Native_yahoo_network_always-on_ros_cpc_N/A_nativeads_spacefox_N/A"/>
    <s v="312479272"/>
    <x v="4"/>
    <n v="0"/>
    <n v="30"/>
    <n v="3.5000000000000001E-3"/>
    <n v="0.02"/>
    <n v="0.105"/>
    <x v="714"/>
  </r>
  <r>
    <s v="alp_AlwaysOn_Yahoo-Native"/>
    <s v="yahoo.com.br"/>
    <s v="alp_AlwaysOn_Yahoo-Native_yahoo_network_always-on_ros_cpc_prospecting_nativeads_polo-02_N/A"/>
    <s v="214286061"/>
    <x v="1"/>
    <s v="alp_AlwaysOn_Yahoo-Native_yahoo_network_always-on_ros_cpc_prospecting_nativeads_polo-02_N/A"/>
    <s v="413219480"/>
    <x v="4"/>
    <n v="0"/>
    <n v="1"/>
    <n v="3.5000000000000001E-3"/>
    <n v="0.02"/>
    <n v="3.5000000000000001E-3"/>
    <x v="1"/>
  </r>
  <r>
    <s v="alp_AlwaysOn_Yahoo-Native"/>
    <s v="yahoo.com.br"/>
    <s v="alp_AlwaysOn_Yahoo-Native_yahoo_network_always-on_ros_cpc_prospecting_nativeads_spacefox_N/A"/>
    <s v="144133799"/>
    <x v="1"/>
    <s v="alp_AlwaysOn_Yahoo-Native_yahoo_network_always-on_ros_cpc_prospecting_nativeads_spacefox_N/A"/>
    <s v="315994379"/>
    <x v="4"/>
    <n v="0"/>
    <n v="1"/>
    <n v="3.5000000000000001E-3"/>
    <n v="0.02"/>
    <n v="3.5000000000000001E-3"/>
    <x v="1"/>
  </r>
  <r>
    <s v="alp_AlwaysOn_Yahoo-Native"/>
    <s v="yahoo.com.br"/>
    <s v="alp_AlwaysOn_Yahoo-Native_yahoo_network_always-on_ros_cpc_remarketing_nativeads_fox_N/A"/>
    <s v="149160878"/>
    <x v="1"/>
    <s v="alp_AlwaysOn_Yahoo-Native_yahoo_network_always-on_ros_cpc_remarketing_nativeads_fox_N/A"/>
    <s v="320175812"/>
    <x v="4"/>
    <n v="0"/>
    <n v="3"/>
    <n v="3.5000000000000001E-3"/>
    <n v="0.02"/>
    <n v="1.0500000000000001E-2"/>
    <x v="261"/>
  </r>
  <r>
    <s v="alp_AlwaysOn_Yahoo-Native"/>
    <s v="yahoo.com.br"/>
    <s v="alp_AlwaysOn_Yahoo-Native_yahoo_network_always-on_ros_cpc_remarketing_nativeads_gol_N/A"/>
    <s v="149160879"/>
    <x v="1"/>
    <s v="alp_AlwaysOn_Yahoo-Native_yahoo_network_always-on_ros_cpc_remarketing_nativeads_gol_N/A"/>
    <s v="320175813"/>
    <x v="4"/>
    <n v="0"/>
    <n v="2"/>
    <n v="3.5000000000000001E-3"/>
    <n v="0.02"/>
    <n v="7.0000000000000001E-3"/>
    <x v="123"/>
  </r>
  <r>
    <s v="alp_AlwaysOn_Yahoo-Native"/>
    <s v="yahoo.com.br"/>
    <s v="alp_AlwaysOn_Yahoo-Native_yahoo_network_always-on_ros_cpc_remarketing_nativeads_jetta_N/A"/>
    <s v="149160884"/>
    <x v="1"/>
    <s v="alp_AlwaysOn_Yahoo-Native_yahoo_network_always-on_ros_cpc_remarketing_nativeads_jetta_N/A"/>
    <s v="320175818"/>
    <x v="4"/>
    <n v="0"/>
    <n v="3714"/>
    <n v="3.5000000000000001E-3"/>
    <n v="0.02"/>
    <n v="12.999000000000001"/>
    <x v="715"/>
  </r>
  <r>
    <s v="alp_AlwaysOn_Yahoo-Native"/>
    <s v="yahoo.com.br"/>
    <s v="alp_AlwaysOn_Yahoo-Native_yahoo_network_always-on_ros_cpc_remarketing_nativeads_passat_N/A"/>
    <s v="149160888"/>
    <x v="1"/>
    <s v="alp_AlwaysOn_Yahoo-Native_yahoo_network_always-on_ros_cpc_remarketing_nativeads_passat_N/A"/>
    <s v="320175822"/>
    <x v="4"/>
    <n v="0"/>
    <n v="8"/>
    <n v="3.5000000000000001E-3"/>
    <n v="0.02"/>
    <n v="2.8000000000000001E-2"/>
    <x v="159"/>
  </r>
  <r>
    <s v="alp_AlwaysOn_Yahoo-Native"/>
    <s v="yahoo.com.br"/>
    <s v="alp_AlwaysOn_Yahoo-Native_yahoo_network_always-on_ros_cpc_remarketing_nativeads_saveiro_N/A"/>
    <s v="149160877"/>
    <x v="1"/>
    <s v="alp_AlwaysOn_Yahoo-Native_yahoo_network_always-on_ros_cpc_remarketing_nativeads_saveiro_N/A"/>
    <s v="320175811"/>
    <x v="4"/>
    <n v="0"/>
    <n v="30"/>
    <n v="3.5000000000000001E-3"/>
    <n v="0.02"/>
    <n v="0.105"/>
    <x v="714"/>
  </r>
  <r>
    <s v="alp_Amarok-Extreme"/>
    <s v="BR UOL."/>
    <s v="alp_Amarok-Extreme_uol_horizontal_lancamento_ROS_cpm_prospecting_160x600_Amarok-Extreme_Vw-lights"/>
    <s v="226534283"/>
    <x v="3"/>
    <s v="alp_Amarok-Extreme_uol_horizontal_lancamento_ROS_cpm_prospecting_160x600_Amarok-Extreme_Vw-lights"/>
    <s v="424686758"/>
    <x v="1"/>
    <n v="1"/>
    <n v="0"/>
    <n v="3.8199999999999998E-2"/>
    <n v="0.09"/>
    <n v="3.82E-5"/>
    <x v="2"/>
  </r>
  <r>
    <s v="alp_Amarok-Extreme"/>
    <s v="BR UOL."/>
    <s v="alp_Amarok-Extreme_uol_horizontal_lancamento_ROS_cpm_prospecting_728x90_Amarok-Extreme_Vw-lights"/>
    <s v="226774026"/>
    <x v="3"/>
    <s v="alp_Amarok-Extreme_uol_horizontal_lancamento_ROS_cpm_prospecting_728x90_Amarok-Extreme_Vw-lights"/>
    <s v="424686734"/>
    <x v="1"/>
    <n v="4"/>
    <n v="0"/>
    <n v="3.8199999999999998E-2"/>
    <n v="0.09"/>
    <n v="1.528E-4"/>
    <x v="49"/>
  </r>
  <r>
    <s v="alp_Amarok-Extreme"/>
    <s v="BR Webmotors"/>
    <s v="alp_Amarok-Extreme_webmotors_horizontal_lancamento_ROS_cpm_prospecting_728x90_Amarok-Extreme-Cidades_Vw-lights"/>
    <s v="227299410"/>
    <x v="3"/>
    <s v="alp_Amarok-Extreme_webmotors_horizontal_lancamento_ROS_cpm_prospecting_728x90_Amarok-Extreme-Cidades_Vw-lights"/>
    <s v="425209464"/>
    <x v="1"/>
    <n v="1"/>
    <n v="0"/>
    <n v="3.8199999999999998E-2"/>
    <n v="0.09"/>
    <n v="3.82E-5"/>
    <x v="2"/>
  </r>
  <r>
    <s v="alp_Amarok-Extreme"/>
    <s v="BR Webmotors"/>
    <s v="alp_Amarok-Extreme_webmotors_horizontal_lancamento_ROS_cpm_prospecting_728×90_Amarok-Extreme_Vw-lights"/>
    <s v="226529846"/>
    <x v="3"/>
    <s v="alp_Amarok-Extreme_webmotors_horizontal_lancamento_ROS_cpm_prospecting_728×90_Amarok-Extreme_Vw-lights"/>
    <s v="424654137"/>
    <x v="1"/>
    <n v="7"/>
    <n v="0"/>
    <n v="3.8199999999999998E-2"/>
    <n v="0.09"/>
    <n v="2.6739999999999999E-4"/>
    <x v="155"/>
  </r>
  <r>
    <s v="alp_Amarok-Extreme"/>
    <s v="Facebook"/>
    <s v="alp_Amarok-Extreme_facebook_Social_amarok-extreme_facebook_cpm_prospecting_pagepost_Amarok-Extreme-UFC-sabado_amc-open"/>
    <s v="229887084"/>
    <x v="1"/>
    <s v="alp_Amarok-Extreme_facebook_Social_amarok-extreme_facebook_cpm_prospecting_pagepost_Amarok-Extreme-UFC-sabado_amc-open"/>
    <s v="427644675"/>
    <x v="1"/>
    <n v="0"/>
    <n v="2"/>
    <n v="3.5000000000000001E-3"/>
    <n v="0.02"/>
    <n v="7.0000000000000001E-3"/>
    <x v="123"/>
  </r>
  <r>
    <s v="alp_Amarok-Extreme"/>
    <s v="Facebook"/>
    <s v="alp_Amarok-Extreme_facebook_Social_amarok-extreme_facebook_cpm_prospecting_pagepost_Amarok-Extreme-UFC-sexta_amc-open"/>
    <s v="229731898"/>
    <x v="1"/>
    <s v="alp_Amarok-Extreme_facebook_Social_amarok-extreme_facebook_cpm_prospecting_pagepost_Amarok-Extreme-UFC-sexta_amc-open"/>
    <s v="427644150"/>
    <x v="1"/>
    <n v="0"/>
    <n v="1"/>
    <n v="3.5000000000000001E-3"/>
    <n v="0.02"/>
    <n v="3.5000000000000001E-3"/>
    <x v="1"/>
  </r>
  <r>
    <s v="alp_Amarok-Extreme"/>
    <s v="Facebook"/>
    <s v="alp_Amarok-Extreme_facebook_social_lancamento_newsfeed_cpc_prospecting_carousel_Amarok-Extreme-Setembro_Vw-lights"/>
    <s v="229036484"/>
    <x v="1"/>
    <s v="alp_Amarok-Extreme_facebook_social_lancamento_newsfeed_cpc_prospecting_carousel_Amarok-Extreme-Setembro_Vw-lights"/>
    <s v="427169907"/>
    <x v="1"/>
    <n v="0"/>
    <n v="2"/>
    <n v="3.5000000000000001E-3"/>
    <n v="0.02"/>
    <n v="7.0000000000000001E-3"/>
    <x v="123"/>
  </r>
  <r>
    <s v="alp_Amarok-Extreme"/>
    <s v="Facebook"/>
    <s v="alp_Amarok-Extreme_facebook_social_lancamento_newsfeed_cpc_prospecting_pagepost_Amarok-Extreme-Setembro_Vw-lights"/>
    <s v="229754114"/>
    <x v="1"/>
    <s v="alp_Amarok-Extreme_facebook_social_lancamento_newsfeed_cpc_prospecting_pagepost_Amarok-Extreme-Setembro_Vw-lights"/>
    <s v="427849429"/>
    <x v="1"/>
    <n v="0"/>
    <n v="1"/>
    <n v="3.5000000000000001E-3"/>
    <n v="0.02"/>
    <n v="3.5000000000000001E-3"/>
    <x v="1"/>
  </r>
  <r>
    <s v="alp_Amarok-Extreme"/>
    <s v="Facebook"/>
    <s v="alp_Amarok-Extreme_facebook_social_lancamento_newsfeed_cpc_prospecting_pagepost_Amarok-Extreme_Vw-lights"/>
    <s v="226713753"/>
    <x v="1"/>
    <s v="alp_Amarok-Extreme_facebook_social_lancamento_newsfeed_cpc_prospecting_pagepost_Amarok-Extreme_Vw-lights"/>
    <s v="424601922"/>
    <x v="1"/>
    <n v="0"/>
    <n v="2"/>
    <n v="3.5000000000000001E-3"/>
    <n v="0.02"/>
    <n v="7.0000000000000001E-3"/>
    <x v="123"/>
  </r>
  <r>
    <s v="alp_Amarok-Extreme"/>
    <s v="Oath BR"/>
    <s v="alp_Amarok-Extreme_oath_horizontal_lancamento_ROS_cpm_prospecting_627x627_Amarok-Extreme_Vw-lights"/>
    <s v="226833526"/>
    <x v="1"/>
    <s v="alp_Amarok-Extreme_oath_horizontal_lancamento_ROS_cpm_prospecting_627x627_Amarok-Extreme_Vw-lights"/>
    <s v="424873193"/>
    <x v="1"/>
    <n v="0"/>
    <n v="7"/>
    <n v="3.5000000000000001E-3"/>
    <n v="0.02"/>
    <n v="2.4500000000000001E-2"/>
    <x v="329"/>
  </r>
  <r>
    <s v="alp_Amarok-Extreme"/>
    <s v="Planeta Offroad BR"/>
    <s v="alp_Amarok-Extreme_planeta-off_horizontal_lancamento_ROS_cpm_prospecting_728x90_Amarok-Extreme-Rural_Vw-lights"/>
    <s v="227059844"/>
    <x v="3"/>
    <s v="alp_Amarok-Extreme_planeta-off_horizontal_lancamento_ROS_cpm_prospecting_728x90_Amarok-Extreme-Rural_Vw-lights"/>
    <s v="425209491"/>
    <x v="1"/>
    <n v="57"/>
    <n v="2"/>
    <n v="3.8199999999999998E-2"/>
    <n v="0.09"/>
    <n v="2.1773999999999999E-3"/>
    <x v="302"/>
  </r>
  <r>
    <s v="alp_Amarok-Extreme"/>
    <s v="instagram.com"/>
    <s v="alp_Amarok-Extreme_instagram_social_lancamento_newsfeed_cpc_prospecting_pagepost_Amarok-Extreme-Video_Vw-lights"/>
    <s v="226501769"/>
    <x v="1"/>
    <s v="alp_Amarok-Extreme_instagram_social_lancamento_newsfeed_cpc_prospecting_pagepost_Amarok-Extreme-Video_Vw-lights"/>
    <s v="424664564"/>
    <x v="1"/>
    <n v="0"/>
    <n v="1"/>
    <n v="3.5000000000000001E-3"/>
    <n v="0.02"/>
    <n v="3.5000000000000001E-3"/>
    <x v="1"/>
  </r>
  <r>
    <s v="alp_Amarok-Extreme"/>
    <s v="revistapegn.globo.com"/>
    <s v="alp_Amarok-Extreme_pegn_horizontal_lancamento_ROS_cpm_prospecting_728x90_Amarok-Extreme_Vw-lights"/>
    <s v="226529897"/>
    <x v="3"/>
    <s v="alp_Amarok-Extreme_pegn_horizontal_lancamento_ROS_cpm_prospecting_728x90_Amarok-Extreme_Vw-lights"/>
    <s v="424654188"/>
    <x v="1"/>
    <n v="1"/>
    <n v="0"/>
    <n v="3.8199999999999998E-2"/>
    <n v="0.09"/>
    <n v="3.82E-5"/>
    <x v="2"/>
  </r>
  <r>
    <s v="alp_Amarok-Varejo-Fevereiro-2019"/>
    <s v="BR OLX"/>
    <s v="alp_Amarok-Varejo-Fevereiro-2019_olx_horizontal_hardsell_olx_cpm_prospecting_1200x672_Amarok-Varejo-Fevereiro-Privado_open"/>
    <s v="239833533"/>
    <x v="1"/>
    <s v="alp_Amarok-Varejo-Fevereiro-2019_olx_horizontal_hardsell_olx_cpm_prospecting_1200x672_Amarok-Varejo-Fevereiro-Privado_open"/>
    <s v="436700810"/>
    <x v="1"/>
    <n v="0"/>
    <n v="1"/>
    <n v="3.5000000000000001E-3"/>
    <n v="0.02"/>
    <n v="3.5000000000000001E-3"/>
    <x v="1"/>
  </r>
  <r>
    <s v="alp_Amarok-Varejo-Fevereiro-2019"/>
    <s v="BR OLX"/>
    <s v="alp_Amarok-Varejo-Fevereiro-2019_olx_horizontal_hardsell_olx_cpm_prospecting_300x250_Amarok-Varejo-Fevereiro-Corporativo-Urbano_open"/>
    <s v="239833524"/>
    <x v="1"/>
    <s v="alp_Amarok-Varejo-Fevereiro-2019_olx_horizontal_hardsell_olx_cpm_prospecting_300x250_Amarok-Varejo-Fevereiro-Corporativo-Urbano_open"/>
    <s v="436700801"/>
    <x v="1"/>
    <n v="0"/>
    <n v="1"/>
    <n v="3.5000000000000001E-3"/>
    <n v="0.02"/>
    <n v="3.5000000000000001E-3"/>
    <x v="1"/>
  </r>
  <r>
    <s v="alp_Amarok-Varejo-Fevereiro-2019"/>
    <s v="BR OLX"/>
    <s v="alp_Amarok-Varejo-Fevereiro-2019_olx_horizontal_hardsell_olx_cpm_prospecting_600x600_Amarok-Varejo-Fevereiro-Privado_open"/>
    <s v="239833536"/>
    <x v="1"/>
    <s v="alp_Amarok-Varejo-Fevereiro-2019_olx_horizontal_hardsell_olx_cpm_prospecting_600x600_Amarok-Varejo-Fevereiro-Privado_open"/>
    <s v="436700813"/>
    <x v="1"/>
    <n v="0"/>
    <n v="1"/>
    <n v="3.5000000000000001E-3"/>
    <n v="0.02"/>
    <n v="3.5000000000000001E-3"/>
    <x v="1"/>
  </r>
  <r>
    <s v="alp_Amarok-Varejo-Fevereiro-2019"/>
    <s v="Facebook"/>
    <s v="alp_Amarok-Varejo-Fevereiro-2019_facebook_Social_hardsell_facebook_cpm_prospecting_pagepost_Amarok-Varejo-Fevereiro-Corporativo-Urbano_open"/>
    <s v="239833686"/>
    <x v="1"/>
    <s v="alp_Amarok-Varejo-Fevereiro-2019_facebook_Social_hardsell_facebook_cpm_prospecting_pagepost_Amarok-Varejo-Fevereiro-Corporativo-Urbano_open"/>
    <s v="436663077"/>
    <x v="1"/>
    <n v="0"/>
    <n v="6"/>
    <n v="3.5000000000000001E-3"/>
    <n v="0.02"/>
    <n v="2.1000000000000001E-2"/>
    <x v="258"/>
  </r>
  <r>
    <s v="alp_Amarok-Varejo-Fevereiro-2019"/>
    <s v="Facebook"/>
    <s v="alp_Amarok-Varejo-Fevereiro-2019_facebook_Social_hardsell_facebook_cpm_prospecting_pagepost_Amarok-Varejo-Fevereiro-Privado_open"/>
    <s v="239833710"/>
    <x v="1"/>
    <s v="alp_Amarok-Varejo-Fevereiro-2019_facebook_Social_hardsell_facebook_cpm_prospecting_pagepost_Amarok-Varejo-Fevereiro-Privado_open"/>
    <s v="436663104"/>
    <x v="1"/>
    <n v="0"/>
    <n v="1"/>
    <n v="3.5000000000000001E-3"/>
    <n v="0.02"/>
    <n v="3.5000000000000001E-3"/>
    <x v="1"/>
  </r>
  <r>
    <s v="alp_Amarok-Varejo-Fevereiro-2019"/>
    <s v="Facebook"/>
    <s v="alp_Amarok-Varejo-Fevereiro-2019_facebook_Social_hardsell_facebook_cpm_prospecting_video_Amarok-Varejo-Fevereiro-Privado_open"/>
    <s v="239833704"/>
    <x v="1"/>
    <s v="alp_Amarok-Varejo-Fevereiro-2019_facebook_Social_hardsell_facebook_cpm_prospecting_video_Amarok-Varejo-Fevereiro-Privado_open"/>
    <s v="436663095"/>
    <x v="1"/>
    <n v="0"/>
    <n v="1"/>
    <n v="3.5000000000000001E-3"/>
    <n v="0.02"/>
    <n v="3.5000000000000001E-3"/>
    <x v="1"/>
  </r>
  <r>
    <s v="alp_Amarok-Varejo-Fevereiro-2019"/>
    <s v="In Loco Media"/>
    <s v="alp_Amarok-Varejo-Fevereiro-2019_inloco_horizontal_hardsell_inloco_cpm_prospecting_1200x627_Amarok-Varejo-Fevereiro-Privado_open"/>
    <s v="239833596"/>
    <x v="1"/>
    <s v="alp_Amarok-Varejo-Fevereiro-2019_inloco_horizontal_hardsell_inloco_cpm_prospecting_1200x627_Amarok-Varejo-Fevereiro-Privado_open"/>
    <s v="436700873"/>
    <x v="1"/>
    <n v="0"/>
    <n v="1"/>
    <n v="3.5000000000000001E-3"/>
    <n v="0.02"/>
    <n v="3.5000000000000001E-3"/>
    <x v="1"/>
  </r>
  <r>
    <s v="alp_Amarok-Varejo-Fevereiro-2019"/>
    <s v="Oath BR"/>
    <s v="alp_Amarok-Varejo-Fevereiro-2019_OATH_horizontal_hardsell_DSP_cpm_prospecting_300x250_Amarok-Varejo-Fevereiro-Corporativo-Urbano_open"/>
    <s v="240058421"/>
    <x v="3"/>
    <s v="alp_Amarok-Varejo-Fevereiro-2019_OATH_horizontal_hardsell_DSP_cpm_prospecting_300x250_Amarok-Varejo-Fevereiro-Corporativo-Urbano_open"/>
    <s v="437289961"/>
    <x v="2"/>
    <n v="1"/>
    <n v="0"/>
    <n v="3.8199999999999998E-2"/>
    <n v="0.09"/>
    <n v="3.82E-5"/>
    <x v="2"/>
  </r>
  <r>
    <s v="alp_Amarok-Varejo-Fevereiro-2019"/>
    <s v="Oath BR"/>
    <s v="alp_Amarok-Varejo-Fevereiro-2019_OATH_horizontal_hardsell_Native_cpm_prospecting_1200x627_Amarok-Varejo-Fevereiro-Privado_open"/>
    <s v="240058442"/>
    <x v="3"/>
    <s v="alp_Amarok-Varejo-Fevereiro-2019_OATH_horizontal_hardsell_Native_cpm_prospecting_1200x627_Amarok-Varejo-Fevereiro-Privado_open"/>
    <s v="437115525"/>
    <x v="1"/>
    <n v="9"/>
    <n v="0"/>
    <n v="3.8199999999999998E-2"/>
    <n v="0.09"/>
    <n v="3.4380000000000001E-4"/>
    <x v="152"/>
  </r>
  <r>
    <s v="alp_Amarok-Varejo-Fevereiro-2019"/>
    <s v="br.linkedin.com"/>
    <s v="alp_Amarok-Varejo-Fevereiro-2019_linkedin_horizontal_hardsell_linkedin_cpm_prospecting_300x250_Amarok-Varejo-Fevereiro-Corporativo-Campo_open"/>
    <s v="240533004"/>
    <x v="1"/>
    <s v="alp_Amarok-Varejo-Fevereiro-2019_linkedin_horizontal_hardsell_linkedin_cpm_prospecting_300x250_Amarok-Varejo-Fevereiro-Corporativo-Campo_open"/>
    <s v="437363419"/>
    <x v="1"/>
    <n v="0"/>
    <n v="5"/>
    <n v="3.5000000000000001E-3"/>
    <n v="0.02"/>
    <n v="1.7500000000000002E-2"/>
    <x v="480"/>
  </r>
  <r>
    <s v="alp_Amarok-Varejo-Fevereiro-2019"/>
    <s v="br.linkedin.com"/>
    <s v="alp_Amarok-Varejo-Fevereiro-2019_linkedin_horizontal_hardsell_linkedin_cpm_prospecting_300x250_Amarok-Varejo-Fevereiro-Corporativo-Urbano-InMail_open"/>
    <s v="240532998"/>
    <x v="1"/>
    <s v="alp_Amarok-Varejo-Fevereiro-2019_linkedin_horizontal_hardsell_linkedin_cpm_prospecting_300x250_Amarok-Varejo-Fevereiro-Corporativo-Urbano-InMail_open"/>
    <s v="437363413"/>
    <x v="1"/>
    <n v="0"/>
    <n v="37"/>
    <n v="3.5000000000000001E-3"/>
    <n v="0.02"/>
    <n v="0.1295"/>
    <x v="716"/>
  </r>
  <r>
    <s v="alp_Amarok-Varejo-Fevereiro-2019"/>
    <s v="br.yahoo.com"/>
    <s v="alp_Amarok-Varejo-Fevereiro-2019_yahoo_horizontal_hardsell_yahoo_cpm_prospecting_1440x1024_Amarok-Varejo-Fevereiro-Corporativo-Urbano_open"/>
    <s v="239602018"/>
    <x v="3"/>
    <s v="alp_Amarok-Varejo-Fevereiro-2019_yahoo_horizontal_hardsell_yahoo_cpm_prospecting_1440x1024_Amarok-Varejo-Fevereiro-Corporativo-Urbano_open"/>
    <s v="436700789"/>
    <x v="1"/>
    <n v="245"/>
    <n v="0"/>
    <n v="3.8199999999999998E-2"/>
    <n v="0.09"/>
    <n v="9.3589999999999993E-3"/>
    <x v="717"/>
  </r>
  <r>
    <s v="alp_Amarok-Varejo-Fevereiro-2019"/>
    <s v="br.yahoo.com"/>
    <s v="alp_Amarok-Varejo-Fevereiro-2019_yahoo_horizontal_hardsell_yahoo_cpm_prospecting_1440x1024_Amarok-Varejo-Fevereiro-Privado_open"/>
    <s v="239602012"/>
    <x v="3"/>
    <s v="alp_Amarok-Varejo-Fevereiro-2019_yahoo_horizontal_hardsell_yahoo_cpm_prospecting_1440x1024_Amarok-Varejo-Fevereiro-Privado_open"/>
    <s v="436700783"/>
    <x v="1"/>
    <n v="237"/>
    <n v="0"/>
    <n v="3.8199999999999998E-2"/>
    <n v="0.09"/>
    <n v="9.0533999999999996E-3"/>
    <x v="718"/>
  </r>
  <r>
    <s v="alp_Amarok-Varejo-Fevereiro-2019"/>
    <s v="instagram.com"/>
    <s v="alp_Amarok-Varejo-Fevereiro-2019_instagram_Social_hardsell_instagram_cpm_prospecting_pagepost_Amarok-Varejo-Fevereiro-Corporativo-Urbano_open"/>
    <s v="239833650"/>
    <x v="1"/>
    <s v="alp_Amarok-Varejo-Fevereiro-2019_instagram_Social_hardsell_instagram_cpm_prospecting_pagepost_Amarok-Varejo-Fevereiro-Corporativo-Urbano_open"/>
    <s v="436700927"/>
    <x v="1"/>
    <n v="0"/>
    <n v="1"/>
    <n v="3.5000000000000001E-3"/>
    <n v="0.02"/>
    <n v="3.5000000000000001E-3"/>
    <x v="1"/>
  </r>
  <r>
    <s v="alp_Amarok-Varejo-Janeiro-2019"/>
    <s v="BR OLX"/>
    <s v="alp_Amarok-Varejo-Janeiro-2019_olx_horizontal_hardsell_olx_cpm_prospecting_300x250_Amarok-Varejo-Janeiro-Corporativo-18_open"/>
    <s v="238463869"/>
    <x v="1"/>
    <s v="alp_Amarok-Varejo-Janeiro-2019_olx_horizontal_hardsell_olx_cpm_prospecting_300x250_Amarok-Varejo-Janeiro-Corporativo-18_open"/>
    <s v="435642671"/>
    <x v="1"/>
    <n v="0"/>
    <n v="1"/>
    <n v="3.5000000000000001E-3"/>
    <n v="0.02"/>
    <n v="3.5000000000000001E-3"/>
    <x v="1"/>
  </r>
  <r>
    <s v="alp_Amarok-Varejo-Janeiro-2019"/>
    <s v="BR OLX"/>
    <s v="alp_Amarok-Varejo-Janeiro-2019_olx_horizontal_hardsell_olx_cpm_prospecting_600x600_Amarok-Varejo-Janeiro-Corporativo-18_open"/>
    <s v="238387832"/>
    <x v="3"/>
    <s v="alp_Amarok-Varejo-Janeiro-2019_olx_horizontal_hardsell_olx_cpm_prospecting_600x600_Amarok-Varejo-Janeiro-Corporativo-18_open"/>
    <s v="435752995"/>
    <x v="1"/>
    <n v="8"/>
    <n v="0"/>
    <n v="3.8199999999999998E-2"/>
    <n v="0.09"/>
    <n v="3.056E-4"/>
    <x v="153"/>
  </r>
  <r>
    <s v="alp_Amarok-Varejo-Janeiro-2019"/>
    <s v="Google Brasil"/>
    <s v="alp_Amarok-Varejo-Janeiro-2019_dbm-terra_horizontal_hardsell_terra_cpm_prospecting_970x250_Amarok-Varejo-Janeiro-Privado_open"/>
    <s v="238229522"/>
    <x v="2"/>
    <s v="970x250 Default Web Ad"/>
    <s v="435484445"/>
    <x v="2"/>
    <n v="2"/>
    <n v="0"/>
    <n v="3.8199999999999998E-2"/>
    <n v="0.09"/>
    <n v="7.64E-5"/>
    <x v="32"/>
  </r>
  <r>
    <s v="alp_Amarok-Varejo-Janeiro-2019"/>
    <s v="Oath BR"/>
    <s v="alp_Amarok-Varejo-Janeiro-2019_OATH_horizontal_hardsell_Native_cpm_prospecting_627x627_Amarok-Varejo-Janeiro-Privado_open"/>
    <s v="238569330"/>
    <x v="3"/>
    <s v="alp_Amarok-Varejo-Janeiro-2019_OATH_horizontal_hardsell_Native_cpm_prospecting_627x627_Amarok-Varejo-Janeiro-Privado_open"/>
    <s v="435487040"/>
    <x v="1"/>
    <n v="2"/>
    <n v="1"/>
    <n v="3.8199999999999998E-2"/>
    <n v="0.09"/>
    <n v="7.64E-5"/>
    <x v="32"/>
  </r>
  <r>
    <s v="alp_Amarok-Varejo-Janeiro-2019"/>
    <s v="teads.tv"/>
    <s v="alp_Amarok-Varejo-Janeiro-2019_teads_horizontal_hardsell_teads_visitas_prospecting_scroller-landscape-_Amarok-Varejo-Janeiro-Corporativo-18-2_open"/>
    <s v="238222883"/>
    <x v="3"/>
    <s v="alp_Amarok-Varejo-Janeiro-2019_teads_horizontal_hardsell_teads_visitas_prospecting_scroller-landscape-_Amarok-Varejo-Janeiro-Corporativo-18-2_open"/>
    <s v="435571906"/>
    <x v="1"/>
    <n v="1"/>
    <n v="0"/>
    <n v="3.8199999999999998E-2"/>
    <n v="0.09"/>
    <n v="3.82E-5"/>
    <x v="2"/>
  </r>
  <r>
    <s v="alp_PosVendas2018"/>
    <s v="Facebook"/>
    <s v="alp_PosVendas2018_facebook_social_pos_vendas_newsfeed_cpm_prospecting_pagepost_Black-Friday_AMC-open"/>
    <s v="234202512"/>
    <x v="1"/>
    <s v="alp_PosVendas2018_facebook_social_pos_vendas_newsfeed_cpm_prospecting_pagepost_Black-Friday_AMC-open"/>
    <s v="431590967"/>
    <x v="1"/>
    <n v="0"/>
    <n v="1"/>
    <n v="3.5000000000000001E-3"/>
    <n v="0.02"/>
    <n v="3.5000000000000001E-3"/>
    <x v="1"/>
  </r>
  <r>
    <s v="alp_PosVendas2018"/>
    <s v="Facebook"/>
    <s v="alp_PosVendas2018_facebook_social_pos_vendas_newsfeed_cpm_prospecting_pagepost_Promo-R2_AMC-open"/>
    <s v="234202497"/>
    <x v="1"/>
    <s v="alp_PosVendas2018_facebook_social_pos_vendas_newsfeed_cpm_prospecting_pagepost_Promo-R2_AMC-open"/>
    <s v="431590952"/>
    <x v="1"/>
    <n v="0"/>
    <n v="2"/>
    <n v="3.5000000000000001E-3"/>
    <n v="0.02"/>
    <n v="7.0000000000000001E-3"/>
    <x v="123"/>
  </r>
  <r>
    <s v="alp_PosVendas2018"/>
    <s v="Facebook"/>
    <s v="alp_PosVendas2018_facebook_social_pos_vendas_newsfeed_cpm_prospecting_pagepost_Promo-R5_AMC-open"/>
    <s v="234197814"/>
    <x v="1"/>
    <s v="alp_PosVendas2018_facebook_social_pos_vendas_newsfeed_cpm_prospecting_pagepost_Promo-R5_AMC-open"/>
    <s v="431590769"/>
    <x v="1"/>
    <n v="0"/>
    <n v="1"/>
    <n v="3.5000000000000001E-3"/>
    <n v="0.02"/>
    <n v="3.5000000000000001E-3"/>
    <x v="1"/>
  </r>
  <r>
    <s v="alp_PosVendas2018"/>
    <s v="Facebook"/>
    <s v="alp_PosVendas2018_facebook_social_pos_vendas_newsfeed_cpm_prospecting_pagepost_Promo-R7_AMC-open"/>
    <s v="234197694"/>
    <x v="1"/>
    <s v="alp_PosVendas2018_facebook_social_pos_vendas_newsfeed_cpm_prospecting_pagepost_Promo-R7_AMC-open"/>
    <s v="431699074"/>
    <x v="1"/>
    <n v="0"/>
    <n v="1"/>
    <n v="3.5000000000000001E-3"/>
    <n v="0.02"/>
    <n v="3.5000000000000001E-3"/>
    <x v="1"/>
  </r>
  <r>
    <s v="alp_PosVendas2018"/>
    <s v="Facebook"/>
    <s v="alp_PosVendas2018_facebook_social_pos_vendas_newsfeed_cpm_prospecting_pagepost_varejo-r4-agosto_AMC-open"/>
    <s v="226771103"/>
    <x v="1"/>
    <s v="alp_PosVendas2018_facebook_social_pos_vendas_newsfeed_cpm_prospecting_pagepost_varejo-r4-agosto_AMC-open"/>
    <s v="424887858"/>
    <x v="1"/>
    <n v="0"/>
    <n v="1"/>
    <n v="3.5000000000000001E-3"/>
    <n v="0.02"/>
    <n v="3.5000000000000001E-3"/>
    <x v="1"/>
  </r>
  <r>
    <s v="alp_PosVendas2018"/>
    <s v="Facebook"/>
    <s v="alp_PosVendas2018_facebook_social_pos_vendas_newsfeed_cpm_prospecting_pagepost_varejo_r5_maio_AMC-open"/>
    <s v="220608396"/>
    <x v="1"/>
    <s v="alp_PosVendas2018_facebook_social_pos_vendas_newsfeed_cpm_prospecting_pagepost_varejo_r5_maio_AMC-open"/>
    <s v="418815713"/>
    <x v="1"/>
    <n v="0"/>
    <n v="1"/>
    <n v="3.5000000000000001E-3"/>
    <n v="0.02"/>
    <n v="3.5000000000000001E-3"/>
    <x v="1"/>
  </r>
  <r>
    <s v="alp_PosVendas2018"/>
    <s v="Mercado Livre"/>
    <s v="alp_PosVendas2018_Mercado-livre_network_pos-vendas_prospeccao_cpm_prospecting_300x250_Black-Friday_AMC-open"/>
    <s v="236414905"/>
    <x v="3"/>
    <s v="alp_PosVendas2018_Mercado-livre_network_pos-vendas_prospeccao_cpm_prospecting_300x250_Black-Friday_AMC-open"/>
    <s v="433975693"/>
    <x v="1"/>
    <n v="1"/>
    <n v="0"/>
    <n v="3.8199999999999998E-2"/>
    <n v="0.09"/>
    <n v="3.82E-5"/>
    <x v="2"/>
  </r>
  <r>
    <s v="alp_PosVendas2019"/>
    <s v="Facebook"/>
    <s v="alp_PosVendas2019_facebook_social_pos-vendas_newsfeed_cpm_prospecting_1200x628_Lead-NET-1_AMC-open"/>
    <s v="238457290"/>
    <x v="1"/>
    <s v="alp_PosVendas2019_facebook_social_pos-vendas_newsfeed_cpm_prospecting_1200x628_Lead-NET-1_AMC-open"/>
    <s v="435626108"/>
    <x v="1"/>
    <n v="0"/>
    <n v="1"/>
    <n v="3.5000000000000001E-3"/>
    <n v="0.02"/>
    <n v="3.5000000000000001E-3"/>
    <x v="1"/>
  </r>
  <r>
    <s v="alp_PosVendas2019"/>
    <s v="Facebook"/>
    <s v="alp_PosVendas2019_facebook_social_pos-vendas_newsfeed_cpm_prospecting_600x600_carrossel-NET-2_AMC-open"/>
    <s v="238457299"/>
    <x v="1"/>
    <s v="alp_PosVendas2019_facebook_social_pos-vendas_newsfeed_cpm_prospecting_600x600_carrossel-NET-2_AMC-open"/>
    <s v="435626117"/>
    <x v="1"/>
    <n v="0"/>
    <n v="10"/>
    <n v="3.5000000000000001E-3"/>
    <n v="0.02"/>
    <n v="3.5000000000000003E-2"/>
    <x v="289"/>
  </r>
  <r>
    <s v="alp_PosVendas2019"/>
    <s v="Facebook"/>
    <s v="alp_PosVendas2019_facebook_social_pos-vendas_newsfeed_cpm_prospecting_600x600_pos-vendas-fevereiro-regional-2_AMC-open"/>
    <s v="241195748"/>
    <x v="1"/>
    <s v="alp_PosVendas2019_facebook_social_pos-vendas_newsfeed_cpm_prospecting_600x600_pos-vendas-fevereiro-regional-2_AMC-open"/>
    <s v="438188578"/>
    <x v="1"/>
    <n v="0"/>
    <n v="1"/>
    <n v="3.5000000000000001E-3"/>
    <n v="0.02"/>
    <n v="3.5000000000000001E-3"/>
    <x v="1"/>
  </r>
  <r>
    <s v="alp_PosVendas2019"/>
    <s v="Facebook"/>
    <s v="alp_PosVendas2019_facebook_social_pos-vendas_newsfeed_cpm_prospecting_600x600_pos-vendas-fevereiro-regional-3_AMC-open"/>
    <s v="241195745"/>
    <x v="1"/>
    <s v="alp_PosVendas2019_facebook_social_pos-vendas_newsfeed_cpm_prospecting_600x600_pos-vendas-fevereiro-regional-3_AMC-open"/>
    <s v="438188575"/>
    <x v="1"/>
    <n v="0"/>
    <n v="1"/>
    <n v="3.5000000000000001E-3"/>
    <n v="0.02"/>
    <n v="3.5000000000000001E-3"/>
    <x v="1"/>
  </r>
  <r>
    <s v="alp_PosVendas2019"/>
    <s v="Facebook"/>
    <s v="alp_PosVendas2019_facebook_social_pos-vendas_newsfeed_cpm_prospecting_600x600_pos-vendas-fevereiro-regional-4_AMC-open"/>
    <s v="241195742"/>
    <x v="1"/>
    <s v="alp_PosVendas2019_facebook_social_pos-vendas_newsfeed_cpm_prospecting_600x600_pos-vendas-fevereiro-regional-4_AMC-open"/>
    <s v="438188572"/>
    <x v="1"/>
    <n v="0"/>
    <n v="3"/>
    <n v="3.5000000000000001E-3"/>
    <n v="0.02"/>
    <n v="1.0500000000000001E-2"/>
    <x v="261"/>
  </r>
  <r>
    <s v="alp_PosVendas2019"/>
    <s v="Facebook"/>
    <s v="alp_PosVendas2019_facebook_social_pos-vendas_newsfeed_cpm_prospecting_600x600_pos-vendas-fevereiro-regional-6_AMC-open"/>
    <s v="241195736"/>
    <x v="1"/>
    <s v="alp_PosVendas2019_facebook_social_pos-vendas_newsfeed_cpm_prospecting_600x600_pos-vendas-fevereiro-regional-6_AMC-open"/>
    <s v="438188566"/>
    <x v="1"/>
    <n v="0"/>
    <n v="1"/>
    <n v="3.5000000000000001E-3"/>
    <n v="0.02"/>
    <n v="3.5000000000000001E-3"/>
    <x v="1"/>
  </r>
  <r>
    <s v="alp_PosVendas2019"/>
    <s v="Facebook"/>
    <s v="alp_PosVendas2019_facebook_social_pos-vendas_newsfeed_cpm_prospecting_600x600_pos-vendas-fevereiro-regional-7_AMC-open"/>
    <s v="241195733"/>
    <x v="1"/>
    <s v="alp_PosVendas2019_facebook_social_pos-vendas_newsfeed_cpm_prospecting_600x600_pos-vendas-fevereiro-regional-7_AMC-open"/>
    <s v="438188563"/>
    <x v="1"/>
    <n v="0"/>
    <n v="1"/>
    <n v="3.5000000000000001E-3"/>
    <n v="0.02"/>
    <n v="3.5000000000000001E-3"/>
    <x v="1"/>
  </r>
  <r>
    <s v="alp_Premios"/>
    <s v="BR UOL."/>
    <s v="alp_Premios_uol_horizontal_premios_prospeccao_cpm_prospecting_300x250_premios_polo_AMC-open"/>
    <s v="219675745"/>
    <x v="3"/>
    <s v="alp_Premios_uol_horizontal_premios_prospeccao_cpm_prospecting_300x250_premios_polo_AMC-open"/>
    <s v="418131645"/>
    <x v="1"/>
    <n v="1"/>
    <n v="0"/>
    <n v="3.8199999999999998E-2"/>
    <n v="0.09"/>
    <n v="3.82E-5"/>
    <x v="2"/>
  </r>
  <r>
    <s v="alp_Premios"/>
    <s v="BR UOL."/>
    <s v="alp_Premios_uol_horizontal_premios_prospeccao_cpm_prospecting_320x50_premios_polo_AMC-open"/>
    <s v="219675736"/>
    <x v="3"/>
    <s v="alp_Premios_uol_horizontal_premios_prospeccao_cpm_prospecting_320x50_premios_polo_AMC-open"/>
    <s v="418131636"/>
    <x v="1"/>
    <n v="1"/>
    <n v="0"/>
    <n v="3.8199999999999998E-2"/>
    <n v="0.09"/>
    <n v="3.82E-5"/>
    <x v="2"/>
  </r>
  <r>
    <s v="alp_Premios"/>
    <s v="Facebook"/>
    <s v="alp_Premios_facebook_social_premios_newsfeed_cpm_prospecting_carrossel_step1_premios_vw_AMC-open"/>
    <s v="226364342"/>
    <x v="1"/>
    <s v="alp_Premios_facebook_social_premios_newsfeed_cpm_prospecting_carrossel_step1_premios_vw_AMC-open"/>
    <s v="424618087"/>
    <x v="1"/>
    <n v="0"/>
    <n v="2"/>
    <n v="3.5000000000000001E-3"/>
    <n v="0.02"/>
    <n v="7.0000000000000001E-3"/>
    <x v="123"/>
  </r>
  <r>
    <s v="alp_Premios"/>
    <s v="Facebook"/>
    <s v="alp_Premios_facebook_social_premios_newsfeed_cpm_prospecting_carrossel_step2_premios_vw_AMC-open"/>
    <s v="226364339"/>
    <x v="1"/>
    <s v="alp_Premios_facebook_social_premios_newsfeed_cpm_prospecting_carrossel_step2_premios_vw_AMC-open"/>
    <s v="424618084"/>
    <x v="1"/>
    <n v="0"/>
    <n v="3"/>
    <n v="3.5000000000000001E-3"/>
    <n v="0.02"/>
    <n v="1.0500000000000001E-2"/>
    <x v="261"/>
  </r>
  <r>
    <s v="alp_Premios"/>
    <s v="Facebook"/>
    <s v="alp_Premios_facebook_social_premios_newsfeed_cpm_prospecting_carrossel_step3_premios_vw_AMC-open"/>
    <s v="226364336"/>
    <x v="1"/>
    <s v="alp_Premios_facebook_social_premios_newsfeed_cpm_prospecting_carrossel_step3_premios_vw_AMC-open"/>
    <s v="424618081"/>
    <x v="1"/>
    <n v="0"/>
    <n v="3"/>
    <n v="3.5000000000000001E-3"/>
    <n v="0.02"/>
    <n v="1.0500000000000001E-2"/>
    <x v="261"/>
  </r>
  <r>
    <s v="alp_Premios"/>
    <s v="Facebook"/>
    <s v="alp_Premios_facebook_social_premios_newsfeed_cpm_prospecting_pagepost_premios_tiguan_AMC-open"/>
    <s v="222623911"/>
    <x v="1"/>
    <s v="alp_Premios_facebook_social_premios_newsfeed_cpm_prospecting_pagepost_premios_tiguan_AMC-open"/>
    <s v="420973327"/>
    <x v="1"/>
    <n v="0"/>
    <n v="1"/>
    <n v="3.5000000000000001E-3"/>
    <n v="0.02"/>
    <n v="3.5000000000000001E-3"/>
    <x v="1"/>
  </r>
  <r>
    <s v="alp_Premios"/>
    <s v="Facebook"/>
    <s v="alp_Premios_facebook_social_premios_newsfeed_cpm_prospecting_pagepost_premios_virtus_AMC-open"/>
    <s v="222831493"/>
    <x v="1"/>
    <s v="alp_Premios_facebook_social_premios_newsfeed_cpm_prospecting_pagepost_premios_virtus_AMC-open"/>
    <s v="421150819"/>
    <x v="1"/>
    <n v="0"/>
    <n v="2"/>
    <n v="3.5000000000000001E-3"/>
    <n v="0.02"/>
    <n v="7.0000000000000001E-3"/>
    <x v="123"/>
  </r>
  <r>
    <s v="alp_Premios"/>
    <s v="Facebook"/>
    <s v="alp_Premios_facebook_social_premios_newsfeed_cpm_prospecting_pagepost_premios_vw_AMC-open"/>
    <s v="226084738"/>
    <x v="1"/>
    <s v="alp_Premios_facebook_social_premios_newsfeed_cpm_prospecting_pagepost_premios_vw_AMC-open"/>
    <s v="424171929"/>
    <x v="1"/>
    <n v="0"/>
    <n v="1"/>
    <n v="3.5000000000000001E-3"/>
    <n v="0.02"/>
    <n v="3.5000000000000001E-3"/>
    <x v="1"/>
  </r>
  <r>
    <s v="alp_ShowRoomTraffic"/>
    <s v="In Loco Media"/>
    <s v="alp_showroom-traffic_inloco_app_trafego_app_cpm_traffic_1200x627_polo-julho_Proximity-competitors"/>
    <s v="225404928"/>
    <x v="1"/>
    <s v="alp_showroom-traffic_inloco_app_trafego_app_cpm_traffic_1200x627_polo-julho_Proximity-competitors"/>
    <s v="423232947"/>
    <x v="1"/>
    <n v="0"/>
    <n v="1"/>
    <n v="3.5000000000000001E-3"/>
    <n v="0.02"/>
    <n v="3.5000000000000001E-3"/>
    <x v="1"/>
  </r>
  <r>
    <s v="alp_ShowRoomTraffic"/>
    <s v="In Loco Media"/>
    <s v="alp_showroom-traffic_inloco_app_trafego_app_cpm_traffic_960x1440_Varejo-abril_Proximity-competitors"/>
    <s v="218487454"/>
    <x v="3"/>
    <s v="alp_showroom-traffic_inloco_app_trafego_app_cpm_traffic_960x1440_Varejo-abril_Proximity-competitors"/>
    <s v="417094154"/>
    <x v="1"/>
    <n v="1"/>
    <n v="0"/>
    <n v="3.8199999999999998E-2"/>
    <n v="0.09"/>
    <n v="3.82E-5"/>
    <x v="2"/>
  </r>
  <r>
    <s v="alp_Tiguan"/>
    <s v="BR MSN."/>
    <s v="alp_tiguan_msn_vertical_pre-venda_outlook_cpm_prospecting_160x600_prevenda-generica_demografico"/>
    <s v="219327487"/>
    <x v="3"/>
    <s v="alp_tiguan_msn_vertical_pre-venda_outlook_cpm_prospecting_160x600_prevenda-generica_demografico"/>
    <s v="417836219"/>
    <x v="1"/>
    <n v="1"/>
    <n v="0"/>
    <n v="3.8199999999999998E-2"/>
    <n v="0.09"/>
    <n v="3.82E-5"/>
    <x v="2"/>
  </r>
  <r>
    <s v="alp_Tiguan"/>
    <s v="BR MSN."/>
    <s v="alp_tiguan_msn_vertical_pre-venda_outlook_cpm_prospecting_300x250_prevenda-generica_demografico"/>
    <s v="219327484"/>
    <x v="3"/>
    <s v="alp_tiguan_msn_vertical_pre-venda_outlook_cpm_prospecting_300x250_prevenda-generica_demografico"/>
    <s v="417836216"/>
    <x v="1"/>
    <n v="3"/>
    <n v="0"/>
    <n v="3.8199999999999998E-2"/>
    <n v="0.09"/>
    <n v="1.1459999999999999E-4"/>
    <x v="17"/>
  </r>
  <r>
    <s v="alp_Tiguan"/>
    <s v="BR UOL."/>
    <s v="alp_tiguan_uol_network_lancamento_prospeccao_cpm_prospecting_1190x250_lancamento-tiguan_tiguan-AMC"/>
    <s v="226760527"/>
    <x v="1"/>
    <s v="alp_tiguan_uol_network_lancamento_prospeccao_cpm_prospecting_1190x250_lancamento-tiguan_tiguan-AMC"/>
    <s v="424803075"/>
    <x v="1"/>
    <n v="0"/>
    <n v="9"/>
    <n v="3.5000000000000001E-3"/>
    <n v="0.02"/>
    <n v="3.15E-2"/>
    <x v="527"/>
  </r>
  <r>
    <s v="alp_Tiguan"/>
    <s v="Facebook"/>
    <s v="alp_tiguan_facebook_social_lancamento_newsfeed_cpm_prospecting_pagepost_lancamento-tiguan-04-09_tiguan-AMC"/>
    <s v="228352039"/>
    <x v="1"/>
    <s v="alp_tiguan_facebook_social_lancamento_newsfeed_cpm_prospecting_pagepost_lancamento-tiguan-04-09_tiguan-AMC"/>
    <s v="426468954"/>
    <x v="1"/>
    <n v="0"/>
    <n v="14"/>
    <n v="3.5000000000000001E-3"/>
    <n v="0.02"/>
    <n v="4.9000000000000002E-2"/>
    <x v="290"/>
  </r>
  <r>
    <s v="alp_Tiguan"/>
    <s v="Facebook"/>
    <s v="alp_tiguan_facebook_social_lancamento_newsfeed_cpm_prospecting_pagepost_lancamento-tiguan-12-09_tiguan-AMC"/>
    <s v="229244334"/>
    <x v="1"/>
    <s v="alp_tiguan_facebook_social_lancamento_newsfeed_cpm_prospecting_pagepost_lancamento-tiguan-12-09_tiguan-AMC"/>
    <s v="427113440"/>
    <x v="1"/>
    <n v="0"/>
    <n v="1"/>
    <n v="3.5000000000000001E-3"/>
    <n v="0.02"/>
    <n v="3.5000000000000001E-3"/>
    <x v="1"/>
  </r>
  <r>
    <s v="alp_Tiguan"/>
    <s v="Facebook"/>
    <s v="alp_tiguan_facebook_social_lancamento_newsfeed_cpm_prospecting_pagepost_lancamento-tiguan-18-09_tiguan-AMC"/>
    <s v="229565751"/>
    <x v="1"/>
    <s v="alp_tiguan_facebook_social_lancamento_newsfeed_cpm_prospecting_pagepost_lancamento-tiguan-18-09_tiguan-AMC"/>
    <s v="427390197"/>
    <x v="1"/>
    <n v="0"/>
    <n v="3"/>
    <n v="3.5000000000000001E-3"/>
    <n v="0.02"/>
    <n v="1.0500000000000001E-2"/>
    <x v="261"/>
  </r>
  <r>
    <s v="alp_Tiguan"/>
    <s v="Facebook"/>
    <s v="alp_tiguan_facebook_social_lancamento_newsfeed_cpm_prospecting_pagepost_lancamento-tiguan-video-360_tiguan-AMC"/>
    <s v="226672798"/>
    <x v="1"/>
    <s v="alp_tiguan_facebook_social_lancamento_newsfeed_cpm_prospecting_pagepost_lancamento-tiguan-video-360_tiguan-AMC"/>
    <s v="424734935"/>
    <x v="1"/>
    <n v="0"/>
    <n v="7"/>
    <n v="3.5000000000000001E-3"/>
    <n v="0.02"/>
    <n v="2.4500000000000001E-2"/>
    <x v="329"/>
  </r>
  <r>
    <s v="alp_Tiguan"/>
    <s v="Facebook"/>
    <s v="alp_tiguan_facebook_social_lancamento_newsfeed_cpm_prospecting_pagepost_lancamento-tiguan2108_tiguan-AMC"/>
    <s v="227404751"/>
    <x v="1"/>
    <s v="alp_tiguan_facebook_social_lancamento_newsfeed_cpm_prospecting_pagepost_lancamento-tiguan2108_tiguan-AMC"/>
    <s v="425563964"/>
    <x v="1"/>
    <n v="0"/>
    <n v="1"/>
    <n v="3.5000000000000001E-3"/>
    <n v="0.02"/>
    <n v="3.5000000000000001E-3"/>
    <x v="1"/>
  </r>
  <r>
    <s v="alp_Tiguan"/>
    <s v="Facebook"/>
    <s v="alp_tiguan_facebook_social_pre-venda_newsfeed_cpm_prospecting_carrossel_prevenda_carrossel_tiguan-AMC"/>
    <s v="218561660"/>
    <x v="1"/>
    <s v="alp_tiguan_facebook_social_pre-venda_newsfeed_cpm_prospecting_carrossel_prevenda_carrossel_tiguan-AMC"/>
    <s v="417160326"/>
    <x v="1"/>
    <n v="0"/>
    <n v="3"/>
    <n v="3.5000000000000001E-3"/>
    <n v="0.02"/>
    <n v="1.0500000000000001E-2"/>
    <x v="261"/>
  </r>
  <r>
    <s v="alp_Tiguan"/>
    <s v="Facebook"/>
    <s v="alp_tiguan_facebook_social_pre-venda_newsfeed_cpm_prospecting_pagepost_prevenda_post1_tiguan-AMC"/>
    <s v="218561657"/>
    <x v="1"/>
    <s v="alp_tiguan_facebook_social_pre-venda_newsfeed_cpm_prospecting_pagepost_prevenda_post1_tiguan-AMC"/>
    <s v="417160323"/>
    <x v="1"/>
    <n v="0"/>
    <n v="1"/>
    <n v="3.5000000000000001E-3"/>
    <n v="0.02"/>
    <n v="3.5000000000000001E-3"/>
    <x v="1"/>
  </r>
  <r>
    <s v="alp_Tiguan"/>
    <s v="Google Brasil"/>
    <s v="alp_tiguan_youtube-dbm_social_lancamento_trueview_cpm_prospecting_video_lancamento-tiguan-video90_tiguan-AMC"/>
    <s v="226032207"/>
    <x v="1"/>
    <s v="alp_tiguan_youtube-dbm_social_lancamento_trueview_cpm_prospecting_video_lancamento-tiguan-video90_tiguan-AMC"/>
    <s v="424039351"/>
    <x v="1"/>
    <n v="0"/>
    <n v="2"/>
    <n v="3.5000000000000001E-3"/>
    <n v="0.02"/>
    <n v="7.0000000000000001E-3"/>
    <x v="123"/>
  </r>
  <r>
    <s v="alp_Tiguan"/>
    <s v="br.linkedin.com"/>
    <s v="alp_tiguan_linkedin_network_lancamento_prospeccao_cpc_prospecting_300x250_lancamento-tiguan_tiguan-AMC"/>
    <s v="229048294"/>
    <x v="1"/>
    <s v="alp_tiguan_linkedin_network_lancamento_prospeccao_cpc_prospecting_300x250_lancamento-tiguan_tiguan-AMC"/>
    <s v="427143535"/>
    <x v="1"/>
    <n v="0"/>
    <n v="36"/>
    <n v="3.5000000000000001E-3"/>
    <n v="0.02"/>
    <n v="0.126"/>
    <x v="719"/>
  </r>
  <r>
    <s v="alp_Tiguan"/>
    <s v="br.yahoo.com"/>
    <s v="alp_tiguan_yahoo_network_lancamento_prospeccao_cpm_prospecting_1200x627_lancamento-tiguan_tiguan-AMC"/>
    <s v="229497973"/>
    <x v="1"/>
    <s v="alp_tiguan_yahoo_network_lancamento_prospeccao_cpm_prospecting_1200x627_lancamento-tiguan_tiguan-AMC"/>
    <s v="427475043"/>
    <x v="1"/>
    <n v="2"/>
    <n v="8"/>
    <n v="3.5000000000000001E-3"/>
    <n v="0.02"/>
    <n v="2.8000000000000001E-2"/>
    <x v="159"/>
  </r>
  <r>
    <s v="alp_Tiguan"/>
    <s v="instagram.com"/>
    <s v="alp_tiguan_instagram_social_lancamento_stories_cpm_prospecting_stories_lancamento-tiguan_tiguan-AMC"/>
    <s v="225646568"/>
    <x v="1"/>
    <s v="alp_tiguan_instagram_social_lancamento_stories_cpm_prospecting_stories_lancamento-tiguan_tiguan-AMC"/>
    <s v="423858212"/>
    <x v="1"/>
    <n v="0"/>
    <n v="1"/>
    <n v="3.5000000000000001E-3"/>
    <n v="0.02"/>
    <n v="3.5000000000000001E-3"/>
    <x v="1"/>
  </r>
  <r>
    <s v="alp_Tiguan"/>
    <s v="outlook.com"/>
    <s v="alp_tiguan_outlook_network_lancamento_prospeccao_cpm_prospecting_160x600_tiguan-AMC"/>
    <s v="227354265"/>
    <x v="3"/>
    <s v="alp_tiguan_outlook_network_lancamento_prospeccao_cpm_prospecting_160x600_lancamento-tiguan-generico3_tiguan-AMC"/>
    <s v="425234175"/>
    <x v="2"/>
    <n v="13"/>
    <n v="0"/>
    <n v="3.8199999999999998E-2"/>
    <n v="0.09"/>
    <n v="4.9660000000000004E-4"/>
    <x v="720"/>
  </r>
  <r>
    <s v="alp_Tiguan"/>
    <s v="outlook.com"/>
    <s v="alp_tiguan_outlook_network_lancamento_prospeccao_cpm_prospecting_160x600_tiguan-AMC-estilo"/>
    <s v="229182400"/>
    <x v="3"/>
    <s v="alp_tiguan_outlook_network_lancamento_prospeccao_cpm_prospecting_160x600_Motor_tiguan-AMC-estilo"/>
    <s v="427270876"/>
    <x v="2"/>
    <n v="1"/>
    <n v="0"/>
    <n v="3.8199999999999998E-2"/>
    <n v="0.09"/>
    <n v="3.82E-5"/>
    <x v="2"/>
  </r>
  <r>
    <s v="alp_Tiguan"/>
    <s v="valor.com.br"/>
    <s v="alp_tiguan_valor-economico_network_lancamento_prospeccao_cpm_prospecting_728x90_lancamento-tiguan_tiguan-AMC"/>
    <s v="227138778"/>
    <x v="3"/>
    <s v="alp_tiguan_valor-economico_network_lancamento_prospeccao_cpm_prospecting_728x90_lancamento-tiguan_tiguan-AMC"/>
    <s v="425233450"/>
    <x v="1"/>
    <n v="3"/>
    <n v="0"/>
    <n v="3.8199999999999998E-2"/>
    <n v="0.09"/>
    <n v="1.1459999999999999E-4"/>
    <x v="17"/>
  </r>
  <r>
    <s v="alp_Varejo-Nacional-Fevereiro-2-2019"/>
    <s v="BR OLX"/>
    <s v="alp_Varejo-Nacional-Fevereiro-2-2019_olx_horizontal_hardsell_olx_cpm_prospecting_1080x1080_Varejo-Nacional-Fevereiro-2_open"/>
    <s v="240462108"/>
    <x v="1"/>
    <s v="alp_Varejo-Nacional-Fevereiro-2-2019_olx_horizontal_hardsell_olx_cpm_prospecting_1080x1080_Varejo-Nacional-Fevereiro-2_open"/>
    <s v="437207946"/>
    <x v="1"/>
    <n v="0"/>
    <n v="8"/>
    <n v="3.5000000000000001E-3"/>
    <n v="0.02"/>
    <n v="2.8000000000000001E-2"/>
    <x v="159"/>
  </r>
  <r>
    <s v="alp_Varejo-Nacional-Fevereiro-2-2019"/>
    <s v="Facebook"/>
    <s v="alp_Varejo-Nacional-Fevereiro-2-2019_facebook_Social_hardsell_facebook_cpm_prospecting_pagepost_Varejo-Nacional-Fevereiro-2_open"/>
    <s v="240359055"/>
    <x v="1"/>
    <s v="alp_Varejo-Nacional-Fevereiro-2-2019_facebook_Social_hardsell_facebook_cpm_prospecting_pagepost_Varejo-Nacional-Fevereiro-2_open"/>
    <s v="437143289"/>
    <x v="1"/>
    <n v="0"/>
    <n v="1"/>
    <n v="3.5000000000000001E-3"/>
    <n v="0.02"/>
    <n v="3.5000000000000001E-3"/>
    <x v="1"/>
  </r>
  <r>
    <s v="alp_Varejo-Nacional-Fevereiro-2-2019"/>
    <s v="In Loco Media"/>
    <s v="alp_Varejo-Nacional-Fevereiro-2-2019_inloco_horizontal_hardsell_inloco_cpm_prospecting_1200x627_Varejo-Nacional-Fevereiro-2-concorrentes_open"/>
    <s v="240235537"/>
    <x v="1"/>
    <s v="alp_Varejo-Nacional-Fevereiro-2-2019_inloco_horizontal_hardsell_inloco_cpm_prospecting_1200x627_Varejo-Nacional-Fevereiro-2-concorrentes_open"/>
    <s v="437248019"/>
    <x v="1"/>
    <n v="0"/>
    <n v="2"/>
    <n v="3.5000000000000001E-3"/>
    <n v="0.02"/>
    <n v="7.0000000000000001E-3"/>
    <x v="123"/>
  </r>
  <r>
    <s v="alp_Varejo-Nacional-Fevereiro-2-2019"/>
    <s v="In Loco Media"/>
    <s v="alp_Varejo-Nacional-Fevereiro-2-2019_inloco_horizontal_hardsell_inloco_cpm_prospecting_1200x627_Varejo-Nacional-Fevereiro-2-lojasproprias_open"/>
    <s v="240235549"/>
    <x v="1"/>
    <s v="alp_Varejo-Nacional-Fevereiro-2-2019_inloco_horizontal_hardsell_inloco_cpm_prospecting_1200x627_Varejo-Nacional-Fevereiro-2-lojasproprias_open"/>
    <s v="437248031"/>
    <x v="1"/>
    <n v="0"/>
    <n v="7"/>
    <n v="3.5000000000000001E-3"/>
    <n v="0.02"/>
    <n v="2.4500000000000001E-2"/>
    <x v="329"/>
  </r>
  <r>
    <s v="alp_Varejo-Nacional-Fevereiro-2-2019"/>
    <s v="In Loco Media"/>
    <s v="alp_Varejo-Nacional-Fevereiro-2-2019_inloco_horizontal_hardsell_inloco_cpm_prospecting_900x750_Varejo-Nacional-Fevereiro-2-concorrentes_open"/>
    <s v="240235543"/>
    <x v="1"/>
    <s v="alp_Varejo-Nacional-Fevereiro-2-2019_inloco_horizontal_hardsell_inloco_cpm_prospecting_900x750_Varejo-Nacional-Fevereiro-2-concorrentes_open"/>
    <s v="437248025"/>
    <x v="1"/>
    <n v="0"/>
    <n v="5"/>
    <n v="3.5000000000000001E-3"/>
    <n v="0.02"/>
    <n v="1.7500000000000002E-2"/>
    <x v="480"/>
  </r>
  <r>
    <s v="alp_Varejo-Nacional-Fevereiro-2-2019"/>
    <s v="In Loco Media"/>
    <s v="alp_Varejo-Nacional-Fevereiro-2-2019_inloco_horizontal_hardsell_inloco_cpm_prospecting_900x750_Varejo-Nacional-Fevereiro-2-lojasproprias_open"/>
    <s v="240235507"/>
    <x v="1"/>
    <s v="alp_Varejo-Nacional-Fevereiro-2-2019_inloco_horizontal_hardsell_inloco_cpm_prospecting_900x750_Varejo-Nacional-Fevereiro-2-lojasproprias_open"/>
    <s v="437247989"/>
    <x v="1"/>
    <n v="0"/>
    <n v="3"/>
    <n v="3.5000000000000001E-3"/>
    <n v="0.02"/>
    <n v="1.0500000000000001E-2"/>
    <x v="261"/>
  </r>
  <r>
    <s v="alp_Varejo-Nacional-Fevereiro-2-2019"/>
    <s v="In Loco Media"/>
    <s v="alp_Varejo-Nacional-Fevereiro-2-2019_inloco_horizontal_hardsell_inloco_cpm_prospecting_900x750_Varejo-Nacional-Fevereiro-2-neutro_open"/>
    <s v="240235525"/>
    <x v="1"/>
    <s v="alp_Varejo-Nacional-Fevereiro-2-2019_inloco_horizontal_hardsell_inloco_cpm_prospecting_900x750_Varejo-Nacional-Fevereiro-2-neutro_open"/>
    <s v="437248007"/>
    <x v="1"/>
    <n v="0"/>
    <n v="1"/>
    <n v="3.5000000000000001E-3"/>
    <n v="0.02"/>
    <n v="3.5000000000000001E-3"/>
    <x v="1"/>
  </r>
  <r>
    <s v="alp_Varejo-Nacional-Fevereiro-2-2019"/>
    <s v="In Loco Media"/>
    <s v="alp_Varejo-Nacional-Fevereiro-2-2019_inloco_horizontal_hardsell_inloco_cpm_prospecting_960x1440_Varejo-Nacional-Fevereiro-2-concorrentes_open"/>
    <s v="240235552"/>
    <x v="1"/>
    <s v="alp_Varejo-Nacional-Fevereiro-2-2019_inloco_horizontal_hardsell_inloco_cpm_prospecting_960x1440_Varejo-Nacional-Fevereiro-2-concorrentes_open"/>
    <s v="437248034"/>
    <x v="1"/>
    <n v="1"/>
    <n v="3"/>
    <n v="3.5000000000000001E-3"/>
    <n v="0.02"/>
    <n v="1.0500000000000001E-2"/>
    <x v="261"/>
  </r>
  <r>
    <s v="alp_Varejo-Nacional-Fevereiro-2-2019"/>
    <s v="In Loco Media"/>
    <s v="alp_Varejo-Nacional-Fevereiro-2-2019_inloco_horizontal_hardsell_inloco_cpm_prospecting_960x1440_Varejo-Nacional-Fevereiro-2-lojasproprias_open"/>
    <s v="240235513"/>
    <x v="1"/>
    <s v="alp_Varejo-Nacional-Fevereiro-2-2019_inloco_horizontal_hardsell_inloco_cpm_prospecting_960x1440_Varejo-Nacional-Fevereiro-2-lojasproprias_open"/>
    <s v="437247995"/>
    <x v="1"/>
    <n v="0"/>
    <n v="11"/>
    <n v="3.5000000000000001E-3"/>
    <n v="0.02"/>
    <n v="3.85E-2"/>
    <x v="228"/>
  </r>
  <r>
    <s v="alp_Varejo-Nacional-Fevereiro-2-2019"/>
    <s v="In Loco Media"/>
    <s v="alp_Varejo-Nacional-Fevereiro-2-2019_inloco_horizontal_hardsell_inloco_cpm_prospecting_960x1440_Varejo-Nacional-Fevereiro-2-neutro_open"/>
    <s v="240235531"/>
    <x v="1"/>
    <s v="alp_Varejo-Nacional-Fevereiro-2-2019_inloco_horizontal_hardsell_inloco_cpm_prospecting_960x1440_Varejo-Nacional-Fevereiro-2-neutro_open"/>
    <s v="437248013"/>
    <x v="1"/>
    <n v="1"/>
    <n v="1"/>
    <n v="3.5000000000000001E-3"/>
    <n v="0.02"/>
    <n v="3.5000000000000001E-3"/>
    <x v="1"/>
  </r>
  <r>
    <s v="alp_Varejo-Nacional-Fevereiro-2-2019"/>
    <s v="In Loco Media"/>
    <s v="alp_Varejo-Nacional-Fevereiro-2-2019_inloco_horizontal_hardsell_inloco_cpm_prospecting_960x150_Varejo-Nacional-Fevereiro-2-lojasproprias_open"/>
    <s v="240235516"/>
    <x v="1"/>
    <s v="alp_Varejo-Nacional-Fevereiro-2-2019_inloco_horizontal_hardsell_inloco_cpm_prospecting_960x150_Varejo-Nacional-Fevereiro-2-lojasproprias_open"/>
    <s v="437247998"/>
    <x v="1"/>
    <n v="0"/>
    <n v="1"/>
    <n v="3.5000000000000001E-3"/>
    <n v="0.02"/>
    <n v="3.5000000000000001E-3"/>
    <x v="1"/>
  </r>
  <r>
    <s v="alp_Varejo-Nacional-Fevereiro-2-2019"/>
    <s v="br.yahoo.com"/>
    <s v="alp_Varejo-Nacional-Fevereiro-2-2019_yahoo_horizontal_hardsell_yahoo_cpm_prospecting_1440x1024_Varejo-Nacional-Fevereiro-2_open"/>
    <s v="240120472"/>
    <x v="3"/>
    <s v="alp_Varejo-Nacional-Fevereiro-2-2019_yahoo_horizontal_hardsell_yahoo_cpm_prospecting_1440x1024_Varejo-Nacional-Fevereiro-2_open"/>
    <s v="437133512"/>
    <x v="1"/>
    <n v="1055"/>
    <n v="0"/>
    <n v="3.8199999999999998E-2"/>
    <n v="0.09"/>
    <n v="4.0300999999999997E-2"/>
    <x v="721"/>
  </r>
  <r>
    <s v="alp_Varejo-Nacional-Fevereiro-2-2019"/>
    <s v="instagram.com"/>
    <s v="alp_Varejo-Nacional-Fevereiro-2-2019_instagram_Social_hardsell_instagram_cpm_prospecting_pagepost_Varejo-Nacional-Fevereiro-2_open"/>
    <s v="240359031"/>
    <x v="1"/>
    <s v="alp_Varejo-Nacional-Fevereiro-2-2019_instagram_Social_hardsell_instagram_cpm_prospecting_pagepost_Varejo-Nacional-Fevereiro-2_open"/>
    <s v="437143265"/>
    <x v="1"/>
    <n v="0"/>
    <n v="2"/>
    <n v="3.5000000000000001E-3"/>
    <n v="0.02"/>
    <n v="7.0000000000000001E-3"/>
    <x v="123"/>
  </r>
  <r>
    <s v="alp_Varejo-Nacional-Fevereiro-2-2019"/>
    <s v="instagram.com"/>
    <s v="alp_Varejo-Nacional-Fevereiro-2-2019_instagram_Social_hardsell_instagram_cpm_prospecting_stories_Varejo-Nacional-Fevereiro-2_open"/>
    <s v="240359046"/>
    <x v="1"/>
    <s v="alp_Varejo-Nacional-Fevereiro-2-2019_instagram_Social_hardsell_instagram_cpm_prospecting_stories_Varejo-Nacional-Fevereiro-2_open"/>
    <s v="437143280"/>
    <x v="1"/>
    <n v="0"/>
    <n v="3"/>
    <n v="3.5000000000000001E-3"/>
    <n v="0.02"/>
    <n v="1.0500000000000001E-2"/>
    <x v="261"/>
  </r>
  <r>
    <s v="alp_Varejo-Nacional-Fevereiro-2-2019"/>
    <s v="teads.tv"/>
    <s v="alp_Varejo-Nacional-Fevereiro-2-2019_teads_horizontal_hardsell_teads_visitas_prospecting_scroller-landscape-_Varejo-Nacional-Scroller-1_open"/>
    <s v="240515437"/>
    <x v="1"/>
    <s v="alp_Varejo-Nacional-Fevereiro-2-2019_teads_horizontal_hardsell_teads_visitas_prospecting_scroller-landscape-_Varejo-Nacional-Scroller-1_open"/>
    <s v="437438268"/>
    <x v="1"/>
    <n v="0"/>
    <n v="1"/>
    <n v="3.5000000000000001E-3"/>
    <n v="0.02"/>
    <n v="3.5000000000000001E-3"/>
    <x v="1"/>
  </r>
  <r>
    <s v="alp_Varejo-Nacional-janeiro-2019"/>
    <s v="Facebook"/>
    <s v="alp_Varejo-Nacional-janeiro-2019_facebook_Social_hardsell_facebook_cpm_prospecting_pagepost_Varejo-Nacional-janeiro_open"/>
    <s v="238229697"/>
    <x v="1"/>
    <s v="alp_Varejo-Nacional-janeiro-2019_facebook_Social_hardsell_facebook_cpm_prospecting_pagepost_Varejo-Nacional-janeiro_open"/>
    <s v="435261862"/>
    <x v="1"/>
    <n v="0"/>
    <n v="1"/>
    <n v="3.5000000000000001E-3"/>
    <n v="0.02"/>
    <n v="3.5000000000000001E-3"/>
    <x v="1"/>
  </r>
  <r>
    <s v="alp_Varejo-Nacional-janeiro-2019"/>
    <s v="Google Brasil"/>
    <s v="alp_Varejo-Nacional-janeiro-2019_dbm-terra_horizontal_hardsell_terra_cpm_prospecting_970x250_Varejo-Nacional-janeiro_open"/>
    <s v="238116650"/>
    <x v="3"/>
    <s v="alp_Varejo-Nacional-janeiro-2019_dbm-terra_horizontal_hardsell_terra_cpm_prospecting_970x250_Varejo-Nacional-janeiro_open"/>
    <s v="435379815"/>
    <x v="2"/>
    <n v="2"/>
    <n v="0"/>
    <n v="3.8199999999999998E-2"/>
    <n v="0.09"/>
    <n v="7.64E-5"/>
    <x v="32"/>
  </r>
  <r>
    <s v="alp_Varejo-Nacional-janeiro-2019"/>
    <s v="In Loco Media"/>
    <s v="alp_Varejo-Nacional-janeiro-2019_inloco_horizontal_hardsell_inloco_cpm_prospecting_900x750_Varejo-Nacional-janeiro-lojasproprias_open"/>
    <s v="237925369"/>
    <x v="1"/>
    <s v="alp_Varejo-Nacional-janeiro-2019_inloco_horizontal_hardsell_inloco_cpm_prospecting_900x750_Varejo-Nacional-janeiro-lojasproprias_open"/>
    <s v="435251797"/>
    <x v="1"/>
    <n v="0"/>
    <n v="1"/>
    <n v="3.5000000000000001E-3"/>
    <n v="0.02"/>
    <n v="3.5000000000000001E-3"/>
    <x v="1"/>
  </r>
  <r>
    <s v="alp_Varejo-Nacional-janeiro-2019"/>
    <s v="In Loco Media"/>
    <s v="alp_Varejo-Nacional-janeiro-2019_inloco_horizontal_hardsell_inloco_cpm_prospecting_960x1440_Varejo-Nacional-janeiro-lojasproprias_open"/>
    <s v="237925375"/>
    <x v="3"/>
    <s v="alp_Varejo-Nacional-janeiro-2019_inloco_horizontal_hardsell_inloco_cpm_prospecting_960x1440_Varejo-Nacional-janeiro-lojasproprias_open"/>
    <s v="435251803"/>
    <x v="1"/>
    <n v="4"/>
    <n v="2"/>
    <n v="3.8199999999999998E-2"/>
    <n v="0.09"/>
    <n v="1.528E-4"/>
    <x v="49"/>
  </r>
  <r>
    <s v="alp_Varejo-Nacional-janeiro-2019"/>
    <s v="In Loco Media"/>
    <s v="alp_Varejo-Nacional-janeiro-2019_inloco_horizontal_hardsell_inloco_cpm_prospecting_960x1440_Varejo-Nacional-janeiro-neutro_open"/>
    <s v="237925393"/>
    <x v="3"/>
    <s v="alp_Varejo-Nacional-janeiro-2019_inloco_horizontal_hardsell_inloco_cpm_prospecting_960x1440_Varejo-Nacional-janeiro-neutro_open"/>
    <s v="435251821"/>
    <x v="1"/>
    <n v="25"/>
    <n v="3"/>
    <n v="3.8199999999999998E-2"/>
    <n v="0.09"/>
    <n v="9.5500000000000001E-4"/>
    <x v="722"/>
  </r>
  <r>
    <s v="alp_Varejo-Nacional-janeiro-2019"/>
    <s v="In Loco Media"/>
    <s v="alp_Varejo-Nacional-janeiro-2019_inloco_horizontal_hardsell_inloco_cpm_prospecting_960x150_Varejo-Nacional-janeiro-lojasproprias_open"/>
    <s v="237925378"/>
    <x v="1"/>
    <s v="alp_Varejo-Nacional-janeiro-2019_inloco_horizontal_hardsell_inloco_cpm_prospecting_960x150_Varejo-Nacional-janeiro-lojasproprias_open"/>
    <s v="435251806"/>
    <x v="1"/>
    <n v="0"/>
    <n v="1"/>
    <n v="3.5000000000000001E-3"/>
    <n v="0.02"/>
    <n v="3.5000000000000001E-3"/>
    <x v="1"/>
  </r>
  <r>
    <s v="alp_Varejo-Nacional-janeiro-2019"/>
    <s v="In Loco Media"/>
    <s v="alp_Varejo-Nacional-janeiro-2019_inloco_horizontal_hardsell_inloco_cpm_prospecting_960x150_Varejo-Nacional-janeiro-neutro_open"/>
    <s v="237925396"/>
    <x v="1"/>
    <s v="alp_Varejo-Nacional-janeiro-2019_inloco_horizontal_hardsell_inloco_cpm_prospecting_960x150_Varejo-Nacional-janeiro-neutro_open"/>
    <s v="435251824"/>
    <x v="1"/>
    <n v="0"/>
    <n v="1"/>
    <n v="3.5000000000000001E-3"/>
    <n v="0.02"/>
    <n v="3.5000000000000001E-3"/>
    <x v="1"/>
  </r>
  <r>
    <s v="alp_Varejo-Nacional-janeiro-2019"/>
    <s v="TEADS"/>
    <s v="alp_Varejo-Nacional-janeiro-2019_teads_horizontal_hardsell_teads_visitas_prospecting_carrossel-landscape-_Varejo-Nacional-Carousel-1_open"/>
    <s v="239191584"/>
    <x v="3"/>
    <s v="alp_Varejo-Nacional-janeiro-2019_teads_horizontal_hardsell_teads_visitas_prospecting_carrossel-landscape-_Varejo-Nacional-Carousel-1_open"/>
    <s v="436216339"/>
    <x v="1"/>
    <n v="1"/>
    <n v="0"/>
    <n v="3.8199999999999998E-2"/>
    <n v="0.09"/>
    <n v="3.82E-5"/>
    <x v="2"/>
  </r>
  <r>
    <s v="alp_Varejo-Nacional-janeiro-2019"/>
    <s v="br.yahoo.com"/>
    <s v="alp_Varejo-Nacional-janeiro-2019_yahoo_horizontal_hardsell_yahoo_cpm_prospecting_1440x1024_Varejo-Nacional-Dezembro_open"/>
    <s v="237780302"/>
    <x v="3"/>
    <s v="alp_Varejo-Nacional-janeiro-2019_yahoo_horizontal_hardsell_yahoo_cpm_prospecting_1440x1024_Varejo-Nacional-Dezembro_open"/>
    <s v="435079433"/>
    <x v="1"/>
    <n v="3"/>
    <n v="0"/>
    <n v="3.8199999999999998E-2"/>
    <n v="0.09"/>
    <n v="1.1459999999999999E-4"/>
    <x v="17"/>
  </r>
  <r>
    <s v="alp_Varejo_Amarok"/>
    <s v="BR OLX"/>
    <s v="alp_Varejo_Amarok_olx_horizontal_hardsell_buscadores_cpm_prospecting_300x250_Varejo-Amarok-Junho_open"/>
    <s v="223600550"/>
    <x v="3"/>
    <s v="alp_Varejo_Amarok_olx_horizontal_hardsell_buscadores_cpm_prospecting_300x250_Varejo-Amarok-Junho_open"/>
    <s v="421787111"/>
    <x v="1"/>
    <n v="1"/>
    <n v="0"/>
    <n v="3.8199999999999998E-2"/>
    <n v="0.09"/>
    <n v="3.82E-5"/>
    <x v="2"/>
  </r>
  <r>
    <s v="alp_Varejo_Amarok"/>
    <s v="BR OLX"/>
    <s v="alp_Varejo_Amarok_olx_horizontal_hardsell_buscadores_cpm_prospecting_300x600_Varejo-Amarok-Julho_open"/>
    <s v="225520271"/>
    <x v="3"/>
    <s v="alp_Varejo_Amarok_olx_horizontal_hardsell_buscadores_cpm_prospecting_300x600_Varejo-Amarok-Julho_open"/>
    <s v="423699036"/>
    <x v="1"/>
    <n v="1"/>
    <n v="0"/>
    <n v="3.8199999999999998E-2"/>
    <n v="0.09"/>
    <n v="3.82E-5"/>
    <x v="2"/>
  </r>
  <r>
    <s v="alp_Vendas-Corporativas"/>
    <s v="Sindloc MG"/>
    <s v="alp_Vendas-Corporativas_sindloc_mg_timelines_timelines_home_fixo_prospecting_300x180_saveiroabril_open"/>
    <s v="244474973"/>
    <x v="1"/>
    <s v="alp_Vendas-Corporativas_sindloc_mg_timelines_timelines_home_fixo_prospecting_300x180_saveiroabril_open"/>
    <s v="441447577"/>
    <x v="1"/>
    <n v="1"/>
    <n v="2"/>
    <n v="3.5000000000000001E-3"/>
    <n v="0.02"/>
    <n v="7.0000000000000001E-3"/>
    <x v="123"/>
  </r>
  <r>
    <s v="alp_jetta"/>
    <s v="Facebook"/>
    <s v="alp_jetta_facebook_network_lancamento_prospeccao_cpm_prospecting_carrossel_AMC-Jetta_jetta"/>
    <s v="234715843"/>
    <x v="1"/>
    <s v="alp_jetta_facebook_network_lancamento_prospeccao_cpm_prospecting_carrossel_AMC-Jetta_jetta"/>
    <s v="432397772"/>
    <x v="1"/>
    <n v="0"/>
    <n v="6"/>
    <n v="3.5000000000000001E-3"/>
    <n v="0.02"/>
    <n v="2.1000000000000001E-2"/>
    <x v="258"/>
  </r>
  <r>
    <s v="alp_jetta"/>
    <s v="Facebook"/>
    <s v="alp_jetta_facebook_network_lancamento_prospeccao_cpm_prospecting_linkad_AMC-Jetta-cores_jetta"/>
    <s v="236326935"/>
    <x v="1"/>
    <s v="alp_jetta_facebook_network_lancamento_prospeccao_cpm_prospecting_linkad_AMC-Jetta-cores_jetta"/>
    <s v="433561682"/>
    <x v="1"/>
    <n v="0"/>
    <n v="6"/>
    <n v="3.5000000000000001E-3"/>
    <n v="0.02"/>
    <n v="2.1000000000000001E-2"/>
    <x v="258"/>
  </r>
  <r>
    <s v="alp_jetta"/>
    <s v="Facebook"/>
    <s v="alp_jetta_facebook_network_lancamento_prospeccao_cpm_prospecting_linkad_AMC-Jetta_jetta"/>
    <s v="231765855"/>
    <x v="1"/>
    <s v="alp_jetta_facebook_network_lancamento_prospeccao_cpm_prospecting_linkad_AMC-Jetta_jetta"/>
    <s v="429250292"/>
    <x v="1"/>
    <n v="0"/>
    <n v="3"/>
    <n v="3.5000000000000001E-3"/>
    <n v="0.02"/>
    <n v="1.0500000000000001E-2"/>
    <x v="261"/>
  </r>
  <r>
    <s v="alp_jetta"/>
    <s v="Facebook"/>
    <s v="alp_jetta_facebook_network_lancamento_prospeccao_cpm_prospecting_linkad_AMC-Jetta_linkad_jetta"/>
    <s v="234069999"/>
    <x v="1"/>
    <s v="alp_jetta_facebook_network_lancamento_prospeccao_cpm_prospecting_linkad_AMC-Jetta_linkad_jetta"/>
    <s v="431577871"/>
    <x v="1"/>
    <n v="0"/>
    <n v="10"/>
    <n v="3.5000000000000001E-3"/>
    <n v="0.02"/>
    <n v="3.5000000000000003E-2"/>
    <x v="289"/>
  </r>
  <r>
    <s v="alp_jetta"/>
    <s v="Google Brasil"/>
    <s v="alp_jetta_dbm-uol_network_lancamento_prospeccao_cpm_prospecting_1190x250-1190x460_AMC-Jetta_jetta-05-11"/>
    <s v="231895991"/>
    <x v="3"/>
    <s v="alp_jetta_dbm-uol_network_lancamento_prospeccao_cpm_prospecting_1190x250-1190x460_AMC-Jetta_jetta-05-11"/>
    <s v="429694812"/>
    <x v="1"/>
    <n v="1"/>
    <n v="0"/>
    <n v="3.8199999999999998E-2"/>
    <n v="0.09"/>
    <n v="3.82E-5"/>
    <x v="2"/>
  </r>
  <r>
    <s v="alp_jetta"/>
    <s v="Google Brasil"/>
    <s v="alp_jetta_dbm-uol_network_lancamento_prospeccao_cpm_prospecting_336x450_AMC-Jetta_jetta-05-11"/>
    <s v="231895985"/>
    <x v="1"/>
    <s v="alp_jetta_dbm-uol_network_lancamento_prospeccao_cpm_prospecting_336x450_AMC-Jetta_jetta-05-11"/>
    <s v="429694806"/>
    <x v="1"/>
    <n v="0"/>
    <n v="1"/>
    <n v="3.5000000000000001E-3"/>
    <n v="0.02"/>
    <n v="3.5000000000000001E-3"/>
    <x v="1"/>
  </r>
  <r>
    <s v="alp_jetta"/>
    <s v="Google Brasil"/>
    <s v="alp_jetta_dbm-youtube_network_lancamento_prospeccao_cpv_prospecting_video-60_AMC-Jetta-mobile_jetta"/>
    <s v="231765864"/>
    <x v="1"/>
    <s v="alp_jetta_dbm-youtube_network_lancamento_prospeccao_cpv_prospecting_video-60_AMC-Jetta-mobile_jetta"/>
    <s v="429250301"/>
    <x v="1"/>
    <n v="0"/>
    <n v="1"/>
    <n v="3.5000000000000001E-3"/>
    <n v="0.02"/>
    <n v="3.5000000000000001E-3"/>
    <x v="1"/>
  </r>
  <r>
    <s v="alp_jetta"/>
    <s v="Oath BR"/>
    <s v="alp_jetta_oath-brightroll_network_lancamento_prospeccao_cpm_prospecting_300x250_AMC-Jetta_interesse-negocios"/>
    <s v="231984634"/>
    <x v="3"/>
    <s v="alp_jetta_oath-brightroll_network_lancamento_prospeccao_cpm_prospecting_300x250_AMC-Jetta_interesse-negocios"/>
    <s v="429705684"/>
    <x v="2"/>
    <n v="2"/>
    <n v="0"/>
    <n v="3.8199999999999998E-2"/>
    <n v="0.09"/>
    <n v="7.64E-5"/>
    <x v="32"/>
  </r>
  <r>
    <s v="alp_jetta"/>
    <s v="Oath BR"/>
    <s v="alp_jetta_oath_network_lancamento_prospeccao_cpm_prospecting_627x627_AMC-Jetta_interesse-negocios"/>
    <s v="231895961"/>
    <x v="3"/>
    <s v="alp_jetta_oath_network_lancamento_prospeccao_cpm_prospecting_627x627_AMC-Jetta_interesse-negocios"/>
    <s v="429694782"/>
    <x v="1"/>
    <n v="14"/>
    <n v="4"/>
    <n v="3.8199999999999998E-2"/>
    <n v="0.09"/>
    <n v="5.3479999999999999E-4"/>
    <x v="723"/>
  </r>
  <r>
    <s v="alp_jetta"/>
    <s v="br.linkedin.com"/>
    <s v="alp_jetta_linkedin_network_lancamento_prospeccao_cpm_prospecting_300x250_AMC-Jetta_jetta"/>
    <s v="233132487"/>
    <x v="1"/>
    <s v="alp_jetta_linkedin_network_lancamento_prospeccao_cpm_prospecting_300x250_AMC-Jetta_jetta"/>
    <s v="430633123"/>
    <x v="1"/>
    <n v="0"/>
    <n v="18"/>
    <n v="3.5000000000000001E-3"/>
    <n v="0.02"/>
    <n v="6.3E-2"/>
    <x v="259"/>
  </r>
  <r>
    <s v="alp_jetta"/>
    <s v="outlook.com"/>
    <s v="alp_jetta_outlook_network_lancamento_prospeccao_cpm_prospecting_160x600_AMC-Jetta_interesse-tecnologia"/>
    <s v="231895934"/>
    <x v="3"/>
    <s v="alp_jetta_outlook_network_lancamento_prospeccao_cpm_prospecting_160x600_AMC-Jetta_interesse-tecnologia"/>
    <s v="429694755"/>
    <x v="1"/>
    <n v="3"/>
    <n v="0"/>
    <n v="3.8199999999999998E-2"/>
    <n v="0.09"/>
    <n v="1.1459999999999999E-4"/>
    <x v="17"/>
  </r>
  <r>
    <s v="alp_jetta"/>
    <s v="teads.tv"/>
    <s v="alp_jetta_teads_network_lancamento_prospeccao_cpm_prospecting_405x405_AMC-Jetta_interesse-viagem"/>
    <s v="231895892"/>
    <x v="1"/>
    <s v="alp_jetta_teads_network_lancamento_prospeccao_cpm_prospecting_405x405_AMC-Jetta_interesse-viagem"/>
    <s v="429694713"/>
    <x v="1"/>
    <n v="0"/>
    <n v="1"/>
    <n v="3.5000000000000001E-3"/>
    <n v="0.02"/>
    <n v="3.5000000000000001E-3"/>
    <x v="1"/>
  </r>
  <r>
    <s v="alp_polobeats"/>
    <s v="Deezer"/>
    <s v="alp_polobeats_deezer_network_lancamento_prospeccao_cpm_prospecting_640x960_AMC-Polo-Beats_polo-beats"/>
    <s v="232714288"/>
    <x v="3"/>
    <s v="alp_polobeats_deezer_network_lancamento_prospeccao_cpm_prospecting_640x960_AMC-Polo-Beats_polo-beats"/>
    <s v="430367801"/>
    <x v="1"/>
    <n v="2"/>
    <n v="0"/>
    <n v="3.8199999999999998E-2"/>
    <n v="0.09"/>
    <n v="7.64E-5"/>
    <x v="32"/>
  </r>
  <r>
    <s v="alp_polobeats"/>
    <s v="Facebook"/>
    <s v="alp_polobeats_facebook_network_lancamento_prospeccao_cpm_prospecting_carrossel_AMC-Polo-Beats-28-08_polo-beats"/>
    <s v="232106406"/>
    <x v="1"/>
    <s v="alp_polobeats_facebook_network_lancamento_prospeccao_cpm_prospecting_carrossel_AMC-Polo-Beats-28-08_polo-beats"/>
    <s v="429665041"/>
    <x v="1"/>
    <n v="0"/>
    <n v="17"/>
    <n v="3.5000000000000001E-3"/>
    <n v="0.02"/>
    <n v="5.9500000000000004E-2"/>
    <x v="157"/>
  </r>
  <r>
    <s v="alp_polobeats"/>
    <s v="Facebook"/>
    <s v="alp_polobeats_facebook_network_lancamento_prospeccao_cpm_prospecting_carrossel_AMC-Polo-Beats_polo-beats"/>
    <s v="230774986"/>
    <x v="1"/>
    <s v="alp_polobeats_facebook_network_lancamento_prospeccao_cpm_prospecting_carrossel_AMC-Polo-Beats_polo-beats"/>
    <s v="428508734"/>
    <x v="1"/>
    <n v="0"/>
    <n v="4"/>
    <n v="3.5000000000000001E-3"/>
    <n v="0.02"/>
    <n v="1.4E-2"/>
    <x v="260"/>
  </r>
  <r>
    <s v="alp_polobeats"/>
    <s v="Facebook"/>
    <s v="alp_polobeats_facebook_network_lancamento_prospeccao_cpm_prospecting_video-90_AMC-Polo-Beats_polo-beats"/>
    <s v="230236333"/>
    <x v="1"/>
    <s v="alp_polobeats_facebook_network_lancamento_prospeccao_cpm_prospecting_video-90_AMC-Polo-Beats_polo-beats"/>
    <s v="428075796"/>
    <x v="1"/>
    <n v="0"/>
    <n v="2"/>
    <n v="3.5000000000000001E-3"/>
    <n v="0.02"/>
    <n v="7.0000000000000001E-3"/>
    <x v="123"/>
  </r>
  <r>
    <s v="alp_polobeats"/>
    <s v="Oath BR"/>
    <s v="alp_polobeats_oath-outlook_network_lancamento_prospeccao_cpm_prospecting_300x600_AMC-Polo-Beats_interesse-musica"/>
    <s v="230878925"/>
    <x v="3"/>
    <s v="alp_polobeats_oath-outlook_network_lancamento_prospeccao_cpm_prospecting_300x600_AMC-Polo-Beats_interesse-musica"/>
    <s v="428813227"/>
    <x v="2"/>
    <n v="2"/>
    <n v="0"/>
    <n v="3.8199999999999998E-2"/>
    <n v="0.09"/>
    <n v="7.64E-5"/>
    <x v="32"/>
  </r>
  <r>
    <s v="alp_polobeats"/>
    <s v="Oath BR"/>
    <s v="alp_polobeats_oath_network_lancamento_prospeccao_cpm_prospecting_1200x627_AMC-Polo-Beats_polo-beats-opcao-1"/>
    <s v="231615110"/>
    <x v="1"/>
    <s v="alp_polobeats_oath_network_lancamento_prospeccao_cpm_prospecting_1200x627_AMC-Polo-Beats_polo-beats-opcao-1"/>
    <s v="429384503"/>
    <x v="1"/>
    <n v="0"/>
    <n v="3"/>
    <n v="3.5000000000000001E-3"/>
    <n v="0.02"/>
    <n v="1.0500000000000001E-2"/>
    <x v="261"/>
  </r>
  <r>
    <s v="alp_polobeats"/>
    <s v="Oath BR"/>
    <s v="alp_polobeats_oath_network_lancamento_prospeccao_cpm_prospecting_1200x627_AMC-Polo-Beats_polo-beats-opcao-3"/>
    <s v="231700105"/>
    <x v="1"/>
    <s v="alp_polobeats_oath_network_lancamento_prospeccao_cpm_prospecting_1200x627_AMC-Polo-Beats_polo-beats-opcao-3"/>
    <s v="429384488"/>
    <x v="1"/>
    <n v="0"/>
    <n v="2"/>
    <n v="3.5000000000000001E-3"/>
    <n v="0.02"/>
    <n v="7.0000000000000001E-3"/>
    <x v="123"/>
  </r>
  <r>
    <s v="alp_polobeats"/>
    <s v="Spotify"/>
    <s v="alp_polobeats_spotify_network_lancamento_prospeccao_cpm_prospecting_630x920_AMC-Polo-Beats_polo-beats"/>
    <s v="231063539"/>
    <x v="1"/>
    <s v="alp_polobeats_spotify_network_lancamento_prospeccao_cpm_prospecting_630x920_AMC-Polo-Beats_polo-beats"/>
    <s v="428910264"/>
    <x v="1"/>
    <n v="0"/>
    <n v="1"/>
    <n v="3.5000000000000001E-3"/>
    <n v="0.02"/>
    <n v="3.5000000000000001E-3"/>
    <x v="1"/>
  </r>
  <r>
    <s v="alp_polobeats"/>
    <s v="Spotify"/>
    <s v="alp_polobeats_spotify_network_lancamento_prospeccao_cpm_prospecting_video-30_AMC-Polo-Beats_polo-beats"/>
    <s v="231171231"/>
    <x v="1"/>
    <s v="alp_polobeats_spotify_network_lancamento_prospeccao_cpm_prospecting_video-30_AMC-Polo-Beats_polo-beats"/>
    <s v="428743565"/>
    <x v="1"/>
    <n v="0"/>
    <n v="3"/>
    <n v="3.5000000000000001E-3"/>
    <n v="0.02"/>
    <n v="1.0500000000000001E-2"/>
    <x v="261"/>
  </r>
  <r>
    <s v="alp_polobeats"/>
    <s v="Twitter"/>
    <s v="alp_polobeats_twitter_network_lancamento_prospeccao_cpm_prospecting_pagepost_AMC-Polo-Beats_polo-beats"/>
    <s v="237181089"/>
    <x v="1"/>
    <s v="alp_polobeats_twitter_network_lancamento_prospeccao_cpm_prospecting_pagepost_AMC-Polo-Beats_polo-beats"/>
    <s v="434250411"/>
    <x v="1"/>
    <n v="0"/>
    <n v="5"/>
    <n v="3.5000000000000001E-3"/>
    <n v="0.02"/>
    <n v="1.7500000000000002E-2"/>
    <x v="480"/>
  </r>
  <r>
    <s v="alp_polobeats"/>
    <s v="faceinsta"/>
    <s v="alp_polobeats_faceinsta_network_lancamento_prospeccao_cpm_prospecting_carrossel_AMC-Polo-Beats_polo-beats"/>
    <s v="230791582"/>
    <x v="1"/>
    <s v="alp_polobeats_faceinsta_network_lancamento_prospeccao_cpm_prospecting_carrossel_AMC-Polo-Beats_polo-beats"/>
    <s v="428577016"/>
    <x v="1"/>
    <n v="0"/>
    <n v="4"/>
    <n v="3.5000000000000001E-3"/>
    <n v="0.02"/>
    <n v="1.4E-2"/>
    <x v="260"/>
  </r>
  <r>
    <s v="alp_polobeats"/>
    <s v="instagram.com"/>
    <s v="alp_polobeats_instagram_network_lancamento_prospeccao_cpm_prospecting_1200x628_AMC-Polo-Beats_polo-beats"/>
    <s v="230236324"/>
    <x v="1"/>
    <s v="alp_polobeats_instagram_network_lancamento_prospeccao_cpm_prospecting_1200x628_AMC-Polo-Beats_polo-beats"/>
    <s v="428075787"/>
    <x v="1"/>
    <n v="0"/>
    <n v="4"/>
    <n v="3.5000000000000001E-3"/>
    <n v="0.02"/>
    <n v="1.4E-2"/>
    <x v="260"/>
  </r>
  <r>
    <s v="alp_polobeats"/>
    <s v="instagram.com"/>
    <s v="alp_polobeats_instagram_network_lancamento_prospeccao_cpm_prospecting_carrossel_AMC-Polo-Beats_polo-beats"/>
    <s v="230776738"/>
    <x v="1"/>
    <s v="alp_polobeats_instagram_network_lancamento_prospeccao_cpm_prospecting_carrossel_AMC-Polo-Beats_polo-beats"/>
    <s v="428509604"/>
    <x v="1"/>
    <n v="0"/>
    <n v="1"/>
    <n v="3.5000000000000001E-3"/>
    <n v="0.02"/>
    <n v="3.5000000000000001E-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A815C-C845-43BF-A15B-D273B1317C9A}" name="Tabela dinâ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0" firstHeaderRow="1" firstDataRow="1" firstDataCol="1"/>
  <pivotFields count="14">
    <pivotField showAll="0"/>
    <pivotField showAll="0"/>
    <pivotField showAll="0"/>
    <pivotField showAll="0"/>
    <pivotField axis="axisRow" showAll="0">
      <items count="7">
        <item x="5"/>
        <item x="2"/>
        <item x="1"/>
        <item x="4"/>
        <item x="0"/>
        <item x="3"/>
        <item t="default"/>
      </items>
    </pivotField>
    <pivotField showAll="0"/>
    <pivotField showAll="0"/>
    <pivotField showAll="0">
      <items count="6">
        <item x="4"/>
        <item x="2"/>
        <item x="0"/>
        <item x="3"/>
        <item x="1"/>
        <item t="default"/>
      </items>
    </pivotField>
    <pivotField dataField="1" showAll="0"/>
    <pivotField showAll="0"/>
    <pivotField numFmtId="2" showAll="0"/>
    <pivotField showAll="0"/>
    <pivotField numFmtId="2" showAll="0"/>
    <pivotField numFmtId="2" showAll="0">
      <items count="725">
        <item x="150"/>
        <item x="2"/>
        <item x="32"/>
        <item x="17"/>
        <item x="0"/>
        <item x="49"/>
        <item x="538"/>
        <item x="154"/>
        <item x="155"/>
        <item x="539"/>
        <item x="109"/>
        <item x="153"/>
        <item x="152"/>
        <item x="151"/>
        <item x="51"/>
        <item x="108"/>
        <item x="62"/>
        <item x="720"/>
        <item x="723"/>
        <item x="303"/>
        <item x="367"/>
        <item x="396"/>
        <item x="50"/>
        <item x="156"/>
        <item x="722"/>
        <item x="110"/>
        <item x="620"/>
        <item x="394"/>
        <item x="300"/>
        <item x="191"/>
        <item x="365"/>
        <item x="680"/>
        <item x="560"/>
        <item x="619"/>
        <item x="323"/>
        <item x="316"/>
        <item x="383"/>
        <item x="679"/>
        <item x="302"/>
        <item x="317"/>
        <item x="559"/>
        <item x="318"/>
        <item x="301"/>
        <item x="322"/>
        <item x="76"/>
        <item x="206"/>
        <item x="65"/>
        <item x="111"/>
        <item x="63"/>
        <item x="536"/>
        <item x="596"/>
        <item x="77"/>
        <item x="176"/>
        <item x="167"/>
        <item x="380"/>
        <item x="532"/>
        <item x="692"/>
        <item x="158"/>
        <item x="572"/>
        <item x="61"/>
        <item x="193"/>
        <item x="632"/>
        <item x="656"/>
        <item x="326"/>
        <item x="691"/>
        <item x="1"/>
        <item x="595"/>
        <item x="324"/>
        <item x="631"/>
        <item x="571"/>
        <item x="718"/>
        <item x="717"/>
        <item x="655"/>
        <item x="531"/>
        <item x="216"/>
        <item x="66"/>
        <item x="123"/>
        <item x="565"/>
        <item x="325"/>
        <item x="165"/>
        <item x="590"/>
        <item x="668"/>
        <item x="304"/>
        <item x="541"/>
        <item x="601"/>
        <item x="566"/>
        <item x="686"/>
        <item x="319"/>
        <item x="64"/>
        <item x="321"/>
        <item x="710"/>
        <item x="548"/>
        <item x="320"/>
        <item x="685"/>
        <item x="626"/>
        <item x="542"/>
        <item x="625"/>
        <item x="261"/>
        <item x="602"/>
        <item x="662"/>
        <item x="578"/>
        <item x="638"/>
        <item x="80"/>
        <item x="577"/>
        <item x="650"/>
        <item x="307"/>
        <item x="608"/>
        <item x="204"/>
        <item x="637"/>
        <item x="697"/>
        <item x="260"/>
        <item x="589"/>
        <item x="698"/>
        <item x="309"/>
        <item x="709"/>
        <item x="306"/>
        <item x="661"/>
        <item x="721"/>
        <item x="480"/>
        <item x="400"/>
        <item x="649"/>
        <item x="308"/>
        <item x="54"/>
        <item x="488"/>
        <item x="490"/>
        <item x="258"/>
        <item x="500"/>
        <item x="498"/>
        <item x="502"/>
        <item x="492"/>
        <item x="180"/>
        <item x="494"/>
        <item x="496"/>
        <item x="674"/>
        <item x="329"/>
        <item x="163"/>
        <item x="618"/>
        <item x="376"/>
        <item x="305"/>
        <item x="678"/>
        <item x="667"/>
        <item x="159"/>
        <item x="527"/>
        <item x="401"/>
        <item x="614"/>
        <item x="289"/>
        <item x="644"/>
        <item x="402"/>
        <item x="177"/>
        <item x="363"/>
        <item x="392"/>
        <item x="704"/>
        <item x="558"/>
        <item x="212"/>
        <item x="228"/>
        <item x="404"/>
        <item x="53"/>
        <item x="547"/>
        <item x="327"/>
        <item x="192"/>
        <item x="88"/>
        <item x="584"/>
        <item x="361"/>
        <item x="290"/>
        <item x="313"/>
        <item x="403"/>
        <item x="197"/>
        <item x="184"/>
        <item x="406"/>
        <item x="370"/>
        <item x="398"/>
        <item x="172"/>
        <item x="157"/>
        <item x="57"/>
        <item x="607"/>
        <item x="643"/>
        <item x="390"/>
        <item x="259"/>
        <item x="68"/>
        <item x="703"/>
        <item x="43"/>
        <item x="333"/>
        <item x="405"/>
        <item x="530"/>
        <item x="673"/>
        <item x="528"/>
        <item x="583"/>
        <item x="407"/>
        <item x="622"/>
        <item x="56"/>
        <item x="690"/>
        <item x="570"/>
        <item x="299"/>
        <item x="168"/>
        <item x="682"/>
        <item x="554"/>
        <item x="399"/>
        <item x="654"/>
        <item x="142"/>
        <item x="371"/>
        <item x="52"/>
        <item x="71"/>
        <item x="630"/>
        <item x="310"/>
        <item x="546"/>
        <item x="600"/>
        <item x="562"/>
        <item x="188"/>
        <item x="714"/>
        <item x="594"/>
        <item x="540"/>
        <item x="378"/>
        <item x="372"/>
        <item x="660"/>
        <item x="141"/>
        <item x="719"/>
        <item x="716"/>
        <item x="666"/>
        <item x="47"/>
        <item x="526"/>
        <item x="41"/>
        <item x="81"/>
        <item x="149"/>
        <item x="45"/>
        <item x="171"/>
        <item x="382"/>
        <item x="373"/>
        <item x="386"/>
        <item x="60"/>
        <item x="606"/>
        <item x="369"/>
        <item x="522"/>
        <item x="537"/>
        <item x="74"/>
        <item x="509"/>
        <item x="162"/>
        <item x="613"/>
        <item x="87"/>
        <item x="521"/>
        <item x="128"/>
        <item x="166"/>
        <item x="55"/>
        <item x="334"/>
        <item x="194"/>
        <item x="59"/>
        <item x="684"/>
        <item x="328"/>
        <item x="195"/>
        <item x="694"/>
        <item x="417"/>
        <item x="335"/>
        <item x="514"/>
        <item x="670"/>
        <item x="574"/>
        <item x="534"/>
        <item x="658"/>
        <item x="564"/>
        <item x="708"/>
        <item x="387"/>
        <item x="598"/>
        <item x="189"/>
        <item x="544"/>
        <item x="664"/>
        <item x="634"/>
        <item x="414"/>
        <item x="604"/>
        <item x="140"/>
        <item x="525"/>
        <item x="550"/>
        <item x="291"/>
        <item x="553"/>
        <item x="161"/>
        <item x="170"/>
        <item x="198"/>
        <item x="588"/>
        <item x="576"/>
        <item x="207"/>
        <item x="144"/>
        <item x="374"/>
        <item x="410"/>
        <item x="349"/>
        <item x="523"/>
        <item x="696"/>
        <item x="648"/>
        <item x="612"/>
        <item x="636"/>
        <item x="524"/>
        <item x="101"/>
        <item x="389"/>
        <item x="501"/>
        <item x="503"/>
        <item x="610"/>
        <item x="178"/>
        <item x="495"/>
        <item x="86"/>
        <item x="486"/>
        <item x="489"/>
        <item x="388"/>
        <item x="510"/>
        <item x="499"/>
        <item x="174"/>
        <item x="491"/>
        <item x="485"/>
        <item x="368"/>
        <item x="130"/>
        <item x="482"/>
        <item x="493"/>
        <item x="385"/>
        <item x="58"/>
        <item x="83"/>
        <item x="169"/>
        <item x="516"/>
        <item x="624"/>
        <item x="483"/>
        <item x="515"/>
        <item x="672"/>
        <item x="520"/>
        <item x="89"/>
        <item x="415"/>
        <item x="359"/>
        <item x="518"/>
        <item x="210"/>
        <item x="202"/>
        <item x="96"/>
        <item x="506"/>
        <item x="505"/>
        <item x="497"/>
        <item x="676"/>
        <item x="484"/>
        <item x="97"/>
        <item x="552"/>
        <item x="181"/>
        <item x="512"/>
        <item x="105"/>
        <item x="513"/>
        <item x="106"/>
        <item x="164"/>
        <item x="102"/>
        <item x="94"/>
        <item x="409"/>
        <item x="104"/>
        <item x="100"/>
        <item x="568"/>
        <item x="182"/>
        <item x="99"/>
        <item x="688"/>
        <item x="511"/>
        <item x="712"/>
        <item x="642"/>
        <item x="592"/>
        <item x="580"/>
        <item x="93"/>
        <item x="616"/>
        <item x="217"/>
        <item x="454"/>
        <item x="451"/>
        <item x="623"/>
        <item x="69"/>
        <item x="397"/>
        <item x="127"/>
        <item x="457"/>
        <item x="621"/>
        <item x="702"/>
        <item x="95"/>
        <item x="652"/>
        <item x="681"/>
        <item x="582"/>
        <item x="640"/>
        <item x="146"/>
        <item x="700"/>
        <item x="103"/>
        <item x="441"/>
        <item x="683"/>
        <item x="126"/>
        <item x="413"/>
        <item x="355"/>
        <item x="133"/>
        <item x="314"/>
        <item x="205"/>
        <item x="134"/>
        <item x="186"/>
        <item x="563"/>
        <item x="504"/>
        <item x="487"/>
        <item x="262"/>
        <item x="218"/>
        <item x="215"/>
        <item x="508"/>
        <item x="455"/>
        <item x="395"/>
        <item x="628"/>
        <item x="160"/>
        <item x="366"/>
        <item x="529"/>
        <item x="440"/>
        <item x="646"/>
        <item x="26"/>
        <item x="416"/>
        <item x="453"/>
        <item x="132"/>
        <item x="456"/>
        <item x="78"/>
        <item x="556"/>
        <item x="445"/>
        <item x="561"/>
        <item x="384"/>
        <item x="312"/>
        <item x="311"/>
        <item x="201"/>
        <item x="209"/>
        <item x="706"/>
        <item x="472"/>
        <item x="450"/>
        <item x="586"/>
        <item x="143"/>
        <item x="461"/>
        <item x="533"/>
        <item x="343"/>
        <item x="657"/>
        <item x="148"/>
        <item x="449"/>
        <item x="477"/>
        <item x="147"/>
        <item x="418"/>
        <item x="196"/>
        <item x="438"/>
        <item x="285"/>
        <item x="190"/>
        <item x="341"/>
        <item x="315"/>
        <item x="443"/>
        <item x="452"/>
        <item x="448"/>
        <item x="633"/>
        <item x="475"/>
        <item x="70"/>
        <item x="424"/>
        <item x="352"/>
        <item x="248"/>
        <item x="98"/>
        <item x="350"/>
        <item x="354"/>
        <item x="573"/>
        <item x="575"/>
        <item x="695"/>
        <item x="271"/>
        <item x="535"/>
        <item x="23"/>
        <item x="145"/>
        <item x="339"/>
        <item x="693"/>
        <item x="599"/>
        <item x="356"/>
        <item x="412"/>
        <item x="257"/>
        <item x="27"/>
        <item x="220"/>
        <item x="256"/>
        <item x="432"/>
        <item x="442"/>
        <item x="336"/>
        <item x="84"/>
        <item x="137"/>
        <item x="22"/>
        <item x="360"/>
        <item x="351"/>
        <item x="268"/>
        <item x="353"/>
        <item x="422"/>
        <item x="270"/>
        <item x="659"/>
        <item x="671"/>
        <item x="348"/>
        <item x="463"/>
        <item x="255"/>
        <item x="29"/>
        <item x="635"/>
        <item x="129"/>
        <item x="517"/>
        <item x="24"/>
        <item x="357"/>
        <item x="253"/>
        <item x="519"/>
        <item x="25"/>
        <item x="551"/>
        <item x="408"/>
        <item x="545"/>
        <item x="665"/>
        <item x="347"/>
        <item x="605"/>
        <item x="426"/>
        <item x="436"/>
        <item x="213"/>
        <item x="14"/>
        <item x="597"/>
        <item x="342"/>
        <item x="507"/>
        <item x="344"/>
        <item x="468"/>
        <item x="199"/>
        <item x="266"/>
        <item x="139"/>
        <item x="44"/>
        <item x="254"/>
        <item x="447"/>
        <item x="603"/>
        <item x="208"/>
        <item x="428"/>
        <item x="470"/>
        <item x="183"/>
        <item x="131"/>
        <item x="136"/>
        <item x="381"/>
        <item x="264"/>
        <item x="135"/>
        <item x="138"/>
        <item x="481"/>
        <item x="175"/>
        <item x="346"/>
        <item x="419"/>
        <item x="459"/>
        <item x="611"/>
        <item x="179"/>
        <item x="479"/>
        <item x="298"/>
        <item x="340"/>
        <item x="265"/>
        <item x="267"/>
        <item x="687"/>
        <item x="689"/>
        <item x="593"/>
        <item x="211"/>
        <item x="214"/>
        <item x="263"/>
        <item x="92"/>
        <item x="663"/>
        <item x="446"/>
        <item x="543"/>
        <item x="713"/>
        <item x="337"/>
        <item x="420"/>
        <item x="286"/>
        <item x="125"/>
        <item x="677"/>
        <item x="581"/>
        <item x="567"/>
        <item x="173"/>
        <item x="466"/>
        <item x="234"/>
        <item x="569"/>
        <item x="427"/>
        <item x="185"/>
        <item x="460"/>
        <item x="46"/>
        <item x="222"/>
        <item x="42"/>
        <item x="48"/>
        <item x="715"/>
        <item x="641"/>
        <item x="235"/>
        <item x="433"/>
        <item x="251"/>
        <item x="425"/>
        <item x="252"/>
        <item x="345"/>
        <item x="439"/>
        <item x="79"/>
        <item x="435"/>
        <item x="617"/>
        <item x="651"/>
        <item x="85"/>
        <item x="236"/>
        <item x="701"/>
        <item x="187"/>
        <item x="476"/>
        <item x="434"/>
        <item x="10"/>
        <item x="296"/>
        <item x="653"/>
        <item x="699"/>
        <item x="221"/>
        <item x="437"/>
        <item x="458"/>
        <item x="629"/>
        <item x="82"/>
        <item x="711"/>
        <item x="429"/>
        <item x="421"/>
        <item x="579"/>
        <item x="473"/>
        <item x="639"/>
        <item x="423"/>
        <item x="242"/>
        <item x="549"/>
        <item x="229"/>
        <item x="5"/>
        <item x="282"/>
        <item x="430"/>
        <item x="239"/>
        <item x="241"/>
        <item x="8"/>
        <item x="30"/>
        <item x="444"/>
        <item x="21"/>
        <item x="7"/>
        <item x="627"/>
        <item x="465"/>
        <item x="464"/>
        <item x="6"/>
        <item x="431"/>
        <item x="591"/>
        <item x="11"/>
        <item x="243"/>
        <item x="474"/>
        <item x="112"/>
        <item x="647"/>
        <item x="237"/>
        <item x="295"/>
        <item x="250"/>
        <item x="240"/>
        <item x="40"/>
        <item x="34"/>
        <item x="269"/>
        <item x="288"/>
        <item x="38"/>
        <item x="238"/>
        <item x="707"/>
        <item x="117"/>
        <item x="467"/>
        <item x="272"/>
        <item x="557"/>
        <item x="246"/>
        <item x="122"/>
        <item x="36"/>
        <item x="287"/>
        <item x="609"/>
        <item x="31"/>
        <item x="338"/>
        <item x="115"/>
        <item x="471"/>
        <item x="358"/>
        <item x="280"/>
        <item x="278"/>
        <item x="292"/>
        <item x="587"/>
        <item x="469"/>
        <item x="669"/>
        <item x="297"/>
        <item x="244"/>
        <item x="107"/>
        <item x="462"/>
        <item x="224"/>
        <item x="90"/>
        <item x="200"/>
        <item x="121"/>
        <item x="203"/>
        <item x="223"/>
        <item x="377"/>
        <item x="28"/>
        <item x="118"/>
        <item x="75"/>
        <item x="37"/>
        <item x="33"/>
        <item x="39"/>
        <item x="35"/>
        <item x="332"/>
        <item x="119"/>
        <item x="20"/>
        <item x="67"/>
        <item x="478"/>
        <item x="247"/>
        <item x="219"/>
        <item x="245"/>
        <item x="227"/>
        <item x="274"/>
        <item x="705"/>
        <item x="275"/>
        <item x="364"/>
        <item x="645"/>
        <item x="279"/>
        <item x="73"/>
        <item x="585"/>
        <item x="249"/>
        <item x="124"/>
        <item x="330"/>
        <item x="226"/>
        <item x="393"/>
        <item x="72"/>
        <item x="225"/>
        <item x="615"/>
        <item x="391"/>
        <item x="277"/>
        <item x="273"/>
        <item x="233"/>
        <item x="276"/>
        <item x="555"/>
        <item x="230"/>
        <item x="362"/>
        <item x="232"/>
        <item x="283"/>
        <item x="16"/>
        <item x="19"/>
        <item x="4"/>
        <item x="293"/>
        <item x="294"/>
        <item x="113"/>
        <item x="15"/>
        <item x="284"/>
        <item x="114"/>
        <item x="675"/>
        <item x="13"/>
        <item x="331"/>
        <item x="12"/>
        <item x="116"/>
        <item x="379"/>
        <item x="281"/>
        <item x="9"/>
        <item x="231"/>
        <item x="3"/>
        <item x="411"/>
        <item x="375"/>
        <item x="18"/>
        <item x="91"/>
        <item x="120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mpression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K1850"/>
  <sheetViews>
    <sheetView topLeftCell="D1" workbookViewId="0">
      <selection activeCell="H30" sqref="H30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1019</v>
      </c>
    </row>
    <row r="2" spans="1:11" hidden="1">
      <c r="A2" s="17" t="s">
        <v>1024</v>
      </c>
      <c r="B2" s="19" t="s">
        <v>50</v>
      </c>
      <c r="C2" s="19" t="s">
        <v>1749</v>
      </c>
      <c r="D2" s="19" t="s">
        <v>1750</v>
      </c>
      <c r="E2" s="20" t="s">
        <v>12</v>
      </c>
      <c r="F2" s="19" t="s">
        <v>1749</v>
      </c>
      <c r="G2" s="19" t="s">
        <v>1751</v>
      </c>
      <c r="H2" s="19" t="s">
        <v>31</v>
      </c>
      <c r="I2">
        <v>185277</v>
      </c>
      <c r="J2">
        <v>61</v>
      </c>
      <c r="K2" s="1" t="s">
        <v>1020</v>
      </c>
    </row>
    <row r="3" spans="1:11" hidden="1">
      <c r="A3" s="17" t="s">
        <v>1024</v>
      </c>
      <c r="B3" s="19" t="s">
        <v>50</v>
      </c>
      <c r="C3" s="19" t="s">
        <v>1752</v>
      </c>
      <c r="D3" s="19" t="s">
        <v>1753</v>
      </c>
      <c r="E3" s="20" t="s">
        <v>12</v>
      </c>
      <c r="F3" s="19" t="s">
        <v>1752</v>
      </c>
      <c r="G3" s="19" t="s">
        <v>1754</v>
      </c>
      <c r="H3" s="19" t="s">
        <v>31</v>
      </c>
      <c r="I3">
        <v>13998</v>
      </c>
      <c r="J3">
        <v>3</v>
      </c>
      <c r="K3" s="1" t="s">
        <v>1020</v>
      </c>
    </row>
    <row r="4" spans="1:11" hidden="1">
      <c r="A4" s="17" t="s">
        <v>1024</v>
      </c>
      <c r="B4" s="19" t="s">
        <v>50</v>
      </c>
      <c r="C4" s="19" t="s">
        <v>1755</v>
      </c>
      <c r="D4" s="19" t="s">
        <v>1756</v>
      </c>
      <c r="E4" s="20" t="s">
        <v>12</v>
      </c>
      <c r="F4" s="19" t="s">
        <v>1755</v>
      </c>
      <c r="G4" s="19" t="s">
        <v>1757</v>
      </c>
      <c r="H4" s="19" t="s">
        <v>31</v>
      </c>
      <c r="I4">
        <v>16962</v>
      </c>
      <c r="J4">
        <v>8</v>
      </c>
      <c r="K4" s="1" t="s">
        <v>1020</v>
      </c>
    </row>
    <row r="5" spans="1:11" hidden="1">
      <c r="A5" s="17" t="s">
        <v>1024</v>
      </c>
      <c r="B5" s="19" t="s">
        <v>50</v>
      </c>
      <c r="C5" s="19" t="s">
        <v>1758</v>
      </c>
      <c r="D5" s="19" t="s">
        <v>1759</v>
      </c>
      <c r="E5" s="20" t="s">
        <v>12</v>
      </c>
      <c r="F5" s="19" t="s">
        <v>1758</v>
      </c>
      <c r="G5" s="19" t="s">
        <v>1760</v>
      </c>
      <c r="H5" s="19" t="s">
        <v>31</v>
      </c>
      <c r="I5">
        <v>1665508</v>
      </c>
      <c r="J5">
        <v>1937</v>
      </c>
      <c r="K5" s="1" t="s">
        <v>1020</v>
      </c>
    </row>
    <row r="6" spans="1:11" hidden="1">
      <c r="A6" s="17" t="s">
        <v>1024</v>
      </c>
      <c r="B6" s="19" t="s">
        <v>50</v>
      </c>
      <c r="C6" s="19" t="s">
        <v>1761</v>
      </c>
      <c r="D6" s="19" t="s">
        <v>1762</v>
      </c>
      <c r="E6" s="20" t="s">
        <v>12</v>
      </c>
      <c r="F6" s="19" t="s">
        <v>1761</v>
      </c>
      <c r="G6" s="19" t="s">
        <v>1763</v>
      </c>
      <c r="H6" s="19" t="s">
        <v>31</v>
      </c>
      <c r="I6">
        <v>446</v>
      </c>
      <c r="J6">
        <v>4</v>
      </c>
      <c r="K6" s="1" t="s">
        <v>1020</v>
      </c>
    </row>
    <row r="7" spans="1:11" hidden="1">
      <c r="A7" s="17" t="s">
        <v>1024</v>
      </c>
      <c r="B7" s="19" t="s">
        <v>50</v>
      </c>
      <c r="C7" s="19" t="s">
        <v>1764</v>
      </c>
      <c r="D7" s="19" t="s">
        <v>1765</v>
      </c>
      <c r="E7" s="20" t="s">
        <v>12</v>
      </c>
      <c r="F7" s="19" t="s">
        <v>1764</v>
      </c>
      <c r="G7" s="19" t="s">
        <v>1766</v>
      </c>
      <c r="H7" s="19" t="s">
        <v>31</v>
      </c>
      <c r="I7">
        <v>183290</v>
      </c>
      <c r="J7">
        <v>412</v>
      </c>
      <c r="K7" s="1" t="s">
        <v>1020</v>
      </c>
    </row>
    <row r="8" spans="1:11" hidden="1">
      <c r="A8" s="17" t="s">
        <v>1024</v>
      </c>
      <c r="B8" s="19" t="s">
        <v>50</v>
      </c>
      <c r="C8" s="19" t="s">
        <v>1767</v>
      </c>
      <c r="D8" s="19" t="s">
        <v>1768</v>
      </c>
      <c r="E8" s="20" t="s">
        <v>12</v>
      </c>
      <c r="F8" s="19" t="s">
        <v>1767</v>
      </c>
      <c r="G8" s="19" t="s">
        <v>1769</v>
      </c>
      <c r="H8" s="19" t="s">
        <v>31</v>
      </c>
      <c r="I8">
        <v>4160</v>
      </c>
      <c r="J8">
        <v>2</v>
      </c>
      <c r="K8" s="1" t="s">
        <v>1020</v>
      </c>
    </row>
    <row r="9" spans="1:11" hidden="1">
      <c r="A9" s="17" t="s">
        <v>1024</v>
      </c>
      <c r="B9" s="19" t="s">
        <v>50</v>
      </c>
      <c r="C9" s="19" t="s">
        <v>1770</v>
      </c>
      <c r="D9" s="19" t="s">
        <v>1771</v>
      </c>
      <c r="E9" s="20" t="s">
        <v>12</v>
      </c>
      <c r="F9" s="19" t="s">
        <v>1770</v>
      </c>
      <c r="G9" s="19" t="s">
        <v>1772</v>
      </c>
      <c r="H9" s="19" t="s">
        <v>31</v>
      </c>
      <c r="I9">
        <v>87595</v>
      </c>
      <c r="J9">
        <v>64</v>
      </c>
      <c r="K9" s="1" t="s">
        <v>1020</v>
      </c>
    </row>
    <row r="10" spans="1:11" hidden="1">
      <c r="A10" s="17" t="s">
        <v>1024</v>
      </c>
      <c r="B10" s="19" t="s">
        <v>50</v>
      </c>
      <c r="C10" s="19" t="s">
        <v>1773</v>
      </c>
      <c r="D10" s="19" t="s">
        <v>1774</v>
      </c>
      <c r="E10" s="20" t="s">
        <v>12</v>
      </c>
      <c r="F10" s="19" t="s">
        <v>1773</v>
      </c>
      <c r="G10" s="19" t="s">
        <v>1775</v>
      </c>
      <c r="H10" s="19" t="s">
        <v>31</v>
      </c>
      <c r="I10">
        <v>32286</v>
      </c>
      <c r="J10">
        <v>26</v>
      </c>
      <c r="K10" s="1" t="s">
        <v>1020</v>
      </c>
    </row>
    <row r="11" spans="1:11" hidden="1">
      <c r="A11" s="17" t="s">
        <v>1024</v>
      </c>
      <c r="B11" s="19" t="s">
        <v>50</v>
      </c>
      <c r="C11" s="19" t="s">
        <v>1776</v>
      </c>
      <c r="D11" s="19" t="s">
        <v>1777</v>
      </c>
      <c r="E11" s="20" t="s">
        <v>12</v>
      </c>
      <c r="F11" s="19" t="s">
        <v>1776</v>
      </c>
      <c r="G11" s="19" t="s">
        <v>1778</v>
      </c>
      <c r="H11" s="19" t="s">
        <v>31</v>
      </c>
      <c r="I11">
        <v>341697</v>
      </c>
      <c r="J11">
        <v>122</v>
      </c>
      <c r="K11" s="1" t="s">
        <v>1020</v>
      </c>
    </row>
    <row r="12" spans="1:11" hidden="1">
      <c r="A12" s="17" t="s">
        <v>1024</v>
      </c>
      <c r="B12" s="19" t="s">
        <v>50</v>
      </c>
      <c r="C12" s="19" t="s">
        <v>1779</v>
      </c>
      <c r="D12" s="19" t="s">
        <v>1780</v>
      </c>
      <c r="E12" s="20" t="s">
        <v>12</v>
      </c>
      <c r="F12" s="19" t="s">
        <v>1779</v>
      </c>
      <c r="G12" s="19" t="s">
        <v>1781</v>
      </c>
      <c r="H12" s="19" t="s">
        <v>31</v>
      </c>
      <c r="I12">
        <v>26269</v>
      </c>
      <c r="J12">
        <v>18</v>
      </c>
      <c r="K12" s="1" t="s">
        <v>1020</v>
      </c>
    </row>
    <row r="13" spans="1:11" hidden="1">
      <c r="A13" s="17" t="s">
        <v>1024</v>
      </c>
      <c r="B13" s="19" t="s">
        <v>50</v>
      </c>
      <c r="C13" s="19" t="s">
        <v>1782</v>
      </c>
      <c r="D13" s="19" t="s">
        <v>1783</v>
      </c>
      <c r="E13" s="20" t="s">
        <v>12</v>
      </c>
      <c r="F13" s="19" t="s">
        <v>1782</v>
      </c>
      <c r="G13" s="19" t="s">
        <v>1784</v>
      </c>
      <c r="H13" s="19" t="s">
        <v>31</v>
      </c>
      <c r="I13">
        <v>37076</v>
      </c>
      <c r="J13">
        <v>15</v>
      </c>
      <c r="K13" s="1" t="s">
        <v>1020</v>
      </c>
    </row>
    <row r="14" spans="1:11" hidden="1">
      <c r="A14" s="17" t="s">
        <v>1024</v>
      </c>
      <c r="B14" s="19" t="s">
        <v>50</v>
      </c>
      <c r="C14" s="19" t="s">
        <v>1785</v>
      </c>
      <c r="D14" s="19" t="s">
        <v>1786</v>
      </c>
      <c r="E14" s="20" t="s">
        <v>12</v>
      </c>
      <c r="F14" s="19" t="s">
        <v>1785</v>
      </c>
      <c r="G14" s="19" t="s">
        <v>1787</v>
      </c>
      <c r="H14" s="19" t="s">
        <v>31</v>
      </c>
      <c r="I14">
        <v>1733405</v>
      </c>
      <c r="J14">
        <v>1816</v>
      </c>
      <c r="K14" s="1" t="s">
        <v>1020</v>
      </c>
    </row>
    <row r="15" spans="1:11" hidden="1">
      <c r="A15" s="17" t="s">
        <v>1024</v>
      </c>
      <c r="B15" s="19" t="s">
        <v>50</v>
      </c>
      <c r="C15" s="19" t="s">
        <v>1788</v>
      </c>
      <c r="D15" s="19" t="s">
        <v>1789</v>
      </c>
      <c r="E15" s="20" t="s">
        <v>12</v>
      </c>
      <c r="F15" s="19" t="s">
        <v>1788</v>
      </c>
      <c r="G15" s="19" t="s">
        <v>1790</v>
      </c>
      <c r="H15" s="19" t="s">
        <v>31</v>
      </c>
      <c r="I15">
        <v>875</v>
      </c>
      <c r="J15">
        <v>5</v>
      </c>
      <c r="K15" s="1" t="s">
        <v>1020</v>
      </c>
    </row>
    <row r="16" spans="1:11" hidden="1">
      <c r="A16" s="17" t="s">
        <v>1024</v>
      </c>
      <c r="B16" s="19" t="s">
        <v>50</v>
      </c>
      <c r="C16" s="19" t="s">
        <v>1791</v>
      </c>
      <c r="D16" s="19" t="s">
        <v>1792</v>
      </c>
      <c r="E16" s="20" t="s">
        <v>11</v>
      </c>
      <c r="F16" s="19" t="s">
        <v>117</v>
      </c>
      <c r="G16" s="19" t="s">
        <v>1793</v>
      </c>
      <c r="H16" s="19" t="s">
        <v>31</v>
      </c>
      <c r="I16">
        <v>1</v>
      </c>
      <c r="J16">
        <v>0</v>
      </c>
      <c r="K16" s="1" t="s">
        <v>1020</v>
      </c>
    </row>
    <row r="17" spans="1:11" hidden="1">
      <c r="A17" s="17" t="s">
        <v>1024</v>
      </c>
      <c r="B17" s="19" t="s">
        <v>50</v>
      </c>
      <c r="C17" s="19" t="s">
        <v>1791</v>
      </c>
      <c r="D17" s="19" t="s">
        <v>1792</v>
      </c>
      <c r="E17" s="20" t="s">
        <v>12</v>
      </c>
      <c r="F17" s="19" t="s">
        <v>1791</v>
      </c>
      <c r="G17" s="19" t="s">
        <v>1794</v>
      </c>
      <c r="H17" s="19" t="s">
        <v>31</v>
      </c>
      <c r="I17">
        <v>393957</v>
      </c>
      <c r="J17">
        <v>849</v>
      </c>
      <c r="K17" s="1" t="s">
        <v>1020</v>
      </c>
    </row>
    <row r="18" spans="1:11" hidden="1">
      <c r="A18" s="17" t="s">
        <v>1024</v>
      </c>
      <c r="B18" s="19" t="s">
        <v>50</v>
      </c>
      <c r="C18" s="19" t="s">
        <v>1795</v>
      </c>
      <c r="D18" s="19" t="s">
        <v>1796</v>
      </c>
      <c r="E18" s="20" t="s">
        <v>12</v>
      </c>
      <c r="F18" s="19" t="s">
        <v>1795</v>
      </c>
      <c r="G18" s="19" t="s">
        <v>1797</v>
      </c>
      <c r="H18" s="19" t="s">
        <v>31</v>
      </c>
      <c r="I18">
        <v>8804</v>
      </c>
      <c r="J18">
        <v>5</v>
      </c>
      <c r="K18" s="1" t="s">
        <v>1020</v>
      </c>
    </row>
    <row r="19" spans="1:11" hidden="1">
      <c r="A19" s="17" t="s">
        <v>1024</v>
      </c>
      <c r="B19" s="19" t="s">
        <v>50</v>
      </c>
      <c r="C19" s="19" t="s">
        <v>1798</v>
      </c>
      <c r="D19" s="19" t="s">
        <v>1799</v>
      </c>
      <c r="E19" s="20" t="s">
        <v>12</v>
      </c>
      <c r="F19" s="19" t="s">
        <v>1798</v>
      </c>
      <c r="G19" s="19" t="s">
        <v>1800</v>
      </c>
      <c r="H19" s="19" t="s">
        <v>31</v>
      </c>
      <c r="I19">
        <v>192213</v>
      </c>
      <c r="J19">
        <v>150</v>
      </c>
      <c r="K19" s="1" t="s">
        <v>1020</v>
      </c>
    </row>
    <row r="20" spans="1:11" hidden="1">
      <c r="A20" s="17" t="s">
        <v>1024</v>
      </c>
      <c r="B20" s="19" t="s">
        <v>50</v>
      </c>
      <c r="C20" s="19" t="s">
        <v>1801</v>
      </c>
      <c r="D20" s="19" t="s">
        <v>1802</v>
      </c>
      <c r="E20" s="20" t="s">
        <v>12</v>
      </c>
      <c r="F20" s="19" t="s">
        <v>1801</v>
      </c>
      <c r="G20" s="19" t="s">
        <v>1803</v>
      </c>
      <c r="H20" s="19" t="s">
        <v>31</v>
      </c>
      <c r="I20">
        <v>59933</v>
      </c>
      <c r="J20">
        <v>35</v>
      </c>
      <c r="K20" s="1" t="s">
        <v>1021</v>
      </c>
    </row>
    <row r="21" spans="1:11" hidden="1">
      <c r="A21" s="17" t="s">
        <v>1024</v>
      </c>
      <c r="B21" s="19" t="s">
        <v>50</v>
      </c>
      <c r="C21" s="19" t="s">
        <v>1804</v>
      </c>
      <c r="D21" s="19" t="s">
        <v>1805</v>
      </c>
      <c r="E21" s="20" t="s">
        <v>980</v>
      </c>
      <c r="F21" s="19" t="s">
        <v>1804</v>
      </c>
      <c r="G21" s="19" t="s">
        <v>1806</v>
      </c>
      <c r="H21" s="19" t="s">
        <v>980</v>
      </c>
      <c r="I21">
        <v>3</v>
      </c>
      <c r="J21">
        <v>1</v>
      </c>
      <c r="K21" s="1" t="s">
        <v>1020</v>
      </c>
    </row>
    <row r="22" spans="1:11" hidden="1">
      <c r="A22" s="17" t="s">
        <v>1024</v>
      </c>
      <c r="B22" s="19" t="s">
        <v>50</v>
      </c>
      <c r="C22" s="19" t="s">
        <v>1807</v>
      </c>
      <c r="D22" s="19" t="s">
        <v>1808</v>
      </c>
      <c r="E22" s="20" t="s">
        <v>980</v>
      </c>
      <c r="F22" s="19" t="s">
        <v>1807</v>
      </c>
      <c r="G22" s="19" t="s">
        <v>1809</v>
      </c>
      <c r="H22" s="19" t="s">
        <v>980</v>
      </c>
      <c r="I22">
        <v>1</v>
      </c>
      <c r="J22">
        <v>1</v>
      </c>
      <c r="K22" s="1" t="s">
        <v>1021</v>
      </c>
    </row>
    <row r="23" spans="1:11" hidden="1">
      <c r="A23" s="17" t="s">
        <v>1024</v>
      </c>
      <c r="B23" s="19" t="s">
        <v>50</v>
      </c>
      <c r="C23" s="19" t="s">
        <v>1810</v>
      </c>
      <c r="D23" s="19" t="s">
        <v>1811</v>
      </c>
      <c r="E23" s="20" t="s">
        <v>980</v>
      </c>
      <c r="F23" s="19" t="s">
        <v>1810</v>
      </c>
      <c r="G23" s="19" t="s">
        <v>1812</v>
      </c>
      <c r="H23" s="19" t="s">
        <v>980</v>
      </c>
      <c r="I23">
        <v>2</v>
      </c>
      <c r="J23">
        <v>1</v>
      </c>
      <c r="K23" s="1" t="s">
        <v>1021</v>
      </c>
    </row>
    <row r="24" spans="1:11" hidden="1">
      <c r="A24" s="17" t="s">
        <v>1024</v>
      </c>
      <c r="B24" s="19" t="s">
        <v>50</v>
      </c>
      <c r="C24" s="19" t="s">
        <v>1813</v>
      </c>
      <c r="D24" s="19" t="s">
        <v>1814</v>
      </c>
      <c r="E24" s="20" t="s">
        <v>980</v>
      </c>
      <c r="F24" s="19" t="s">
        <v>1813</v>
      </c>
      <c r="G24" s="19" t="s">
        <v>1815</v>
      </c>
      <c r="H24" s="19" t="s">
        <v>980</v>
      </c>
      <c r="I24">
        <v>1</v>
      </c>
      <c r="J24">
        <v>1</v>
      </c>
      <c r="K24" s="1" t="s">
        <v>1020</v>
      </c>
    </row>
    <row r="25" spans="1:11" hidden="1">
      <c r="A25" s="17" t="s">
        <v>1024</v>
      </c>
      <c r="B25" s="19" t="s">
        <v>50</v>
      </c>
      <c r="C25" s="19" t="s">
        <v>1025</v>
      </c>
      <c r="D25" s="19" t="s">
        <v>1026</v>
      </c>
      <c r="E25" s="20" t="s">
        <v>980</v>
      </c>
      <c r="F25" s="19" t="s">
        <v>1025</v>
      </c>
      <c r="G25" s="19" t="s">
        <v>1027</v>
      </c>
      <c r="H25" s="19" t="s">
        <v>980</v>
      </c>
      <c r="I25">
        <v>4307197</v>
      </c>
      <c r="J25">
        <v>12139</v>
      </c>
      <c r="K25" s="1" t="s">
        <v>1020</v>
      </c>
    </row>
    <row r="26" spans="1:11" hidden="1">
      <c r="A26" s="17" t="s">
        <v>1024</v>
      </c>
      <c r="B26" s="19" t="s">
        <v>50</v>
      </c>
      <c r="C26" s="19" t="s">
        <v>1816</v>
      </c>
      <c r="D26" s="19" t="s">
        <v>1817</v>
      </c>
      <c r="E26" s="20" t="s">
        <v>980</v>
      </c>
      <c r="F26" s="19" t="s">
        <v>1816</v>
      </c>
      <c r="G26" s="19" t="s">
        <v>1818</v>
      </c>
      <c r="H26" s="19" t="s">
        <v>980</v>
      </c>
      <c r="I26">
        <v>1</v>
      </c>
      <c r="J26">
        <v>1</v>
      </c>
      <c r="K26" s="1" t="s">
        <v>1021</v>
      </c>
    </row>
    <row r="27" spans="1:11" hidden="1">
      <c r="A27" s="17" t="s">
        <v>1028</v>
      </c>
      <c r="B27" s="19" t="s">
        <v>136</v>
      </c>
      <c r="C27" s="19" t="s">
        <v>1029</v>
      </c>
      <c r="D27" s="19" t="s">
        <v>1030</v>
      </c>
      <c r="E27" s="20" t="str">
        <f>IF(I27&gt;J27,"Standard","Tracking")</f>
        <v>Tracking</v>
      </c>
      <c r="F27" s="19" t="s">
        <v>1029</v>
      </c>
      <c r="G27" s="19" t="s">
        <v>1031</v>
      </c>
      <c r="H27" s="19" t="s">
        <v>32</v>
      </c>
      <c r="I27">
        <v>0</v>
      </c>
      <c r="J27">
        <v>812</v>
      </c>
      <c r="K27" s="1" t="s">
        <v>1021</v>
      </c>
    </row>
    <row r="28" spans="1:11" hidden="1">
      <c r="A28" s="17" t="s">
        <v>1028</v>
      </c>
      <c r="B28" s="19" t="s">
        <v>50</v>
      </c>
      <c r="C28" s="19" t="s">
        <v>1819</v>
      </c>
      <c r="D28" s="19" t="s">
        <v>1820</v>
      </c>
      <c r="E28" s="20" t="s">
        <v>11</v>
      </c>
      <c r="F28" s="19" t="s">
        <v>786</v>
      </c>
      <c r="G28" s="19" t="s">
        <v>1821</v>
      </c>
      <c r="H28" s="19" t="s">
        <v>31</v>
      </c>
      <c r="I28">
        <v>1</v>
      </c>
      <c r="J28">
        <v>0</v>
      </c>
      <c r="K28" s="1" t="s">
        <v>1021</v>
      </c>
    </row>
    <row r="29" spans="1:11" hidden="1">
      <c r="A29" s="17" t="s">
        <v>1028</v>
      </c>
      <c r="B29" s="19" t="s">
        <v>50</v>
      </c>
      <c r="C29" s="19" t="s">
        <v>1819</v>
      </c>
      <c r="D29" s="19" t="s">
        <v>1820</v>
      </c>
      <c r="E29" s="20" t="str">
        <f>IF(I29&gt;J29,"Standard","Tracking")</f>
        <v>Standard</v>
      </c>
      <c r="F29" s="19" t="s">
        <v>1819</v>
      </c>
      <c r="G29" s="19" t="s">
        <v>1822</v>
      </c>
      <c r="H29" s="19" t="s">
        <v>32</v>
      </c>
      <c r="I29">
        <v>4047244</v>
      </c>
      <c r="J29">
        <v>5865</v>
      </c>
      <c r="K29" s="1" t="s">
        <v>1020</v>
      </c>
    </row>
    <row r="30" spans="1:11">
      <c r="A30" s="17" t="s">
        <v>1028</v>
      </c>
      <c r="B30" s="19" t="s">
        <v>50</v>
      </c>
      <c r="C30" s="19" t="s">
        <v>1033</v>
      </c>
      <c r="D30" s="19" t="s">
        <v>1034</v>
      </c>
      <c r="E30" s="20" t="s">
        <v>12</v>
      </c>
      <c r="F30" s="19" t="s">
        <v>1033</v>
      </c>
      <c r="G30" s="19" t="s">
        <v>1035</v>
      </c>
      <c r="H30" s="19" t="s">
        <v>30</v>
      </c>
      <c r="I30">
        <v>1</v>
      </c>
      <c r="J30">
        <v>0</v>
      </c>
      <c r="K30" s="1" t="s">
        <v>1021</v>
      </c>
    </row>
    <row r="31" spans="1:11" hidden="1">
      <c r="A31" s="17" t="s">
        <v>1028</v>
      </c>
      <c r="B31" s="19" t="s">
        <v>118</v>
      </c>
      <c r="C31" s="19" t="s">
        <v>1036</v>
      </c>
      <c r="D31" s="19" t="s">
        <v>1037</v>
      </c>
      <c r="E31" s="20" t="str">
        <f t="shared" ref="E31:E55" si="0">IF(I31&gt;J31,"Standard","Tracking")</f>
        <v>Tracking</v>
      </c>
      <c r="F31" s="19" t="s">
        <v>1036</v>
      </c>
      <c r="G31" s="19" t="s">
        <v>1038</v>
      </c>
      <c r="H31" s="19" t="s">
        <v>32</v>
      </c>
      <c r="I31">
        <v>0</v>
      </c>
      <c r="J31">
        <v>79</v>
      </c>
      <c r="K31" s="1" t="s">
        <v>1020</v>
      </c>
    </row>
    <row r="32" spans="1:11" hidden="1">
      <c r="A32" s="17" t="s">
        <v>1028</v>
      </c>
      <c r="B32" s="19" t="s">
        <v>118</v>
      </c>
      <c r="C32" s="19" t="s">
        <v>1039</v>
      </c>
      <c r="D32" s="19" t="s">
        <v>1040</v>
      </c>
      <c r="E32" s="20" t="str">
        <f t="shared" si="0"/>
        <v>Tracking</v>
      </c>
      <c r="F32" s="19" t="s">
        <v>1039</v>
      </c>
      <c r="G32" s="19" t="s">
        <v>1041</v>
      </c>
      <c r="H32" s="19" t="s">
        <v>32</v>
      </c>
      <c r="I32">
        <v>0</v>
      </c>
      <c r="J32">
        <v>15294</v>
      </c>
      <c r="K32" s="1" t="s">
        <v>1021</v>
      </c>
    </row>
    <row r="33" spans="1:11" hidden="1">
      <c r="A33" s="17" t="s">
        <v>1028</v>
      </c>
      <c r="B33" s="19" t="s">
        <v>118</v>
      </c>
      <c r="C33" s="19" t="s">
        <v>1042</v>
      </c>
      <c r="D33" s="19" t="s">
        <v>1043</v>
      </c>
      <c r="E33" s="20" t="str">
        <f t="shared" si="0"/>
        <v>Tracking</v>
      </c>
      <c r="F33" s="19" t="s">
        <v>1042</v>
      </c>
      <c r="G33" s="19" t="s">
        <v>1044</v>
      </c>
      <c r="H33" s="19" t="s">
        <v>32</v>
      </c>
      <c r="I33">
        <v>0</v>
      </c>
      <c r="J33">
        <v>6737</v>
      </c>
      <c r="K33" s="1" t="s">
        <v>1020</v>
      </c>
    </row>
    <row r="34" spans="1:11" hidden="1">
      <c r="A34" s="17" t="s">
        <v>1028</v>
      </c>
      <c r="B34" s="19" t="s">
        <v>118</v>
      </c>
      <c r="C34" s="19" t="s">
        <v>1045</v>
      </c>
      <c r="D34" s="19" t="s">
        <v>1046</v>
      </c>
      <c r="E34" s="20" t="str">
        <f t="shared" si="0"/>
        <v>Tracking</v>
      </c>
      <c r="F34" s="19" t="s">
        <v>1045</v>
      </c>
      <c r="G34" s="19" t="s">
        <v>1047</v>
      </c>
      <c r="H34" s="19" t="s">
        <v>32</v>
      </c>
      <c r="I34">
        <v>0</v>
      </c>
      <c r="J34">
        <v>718</v>
      </c>
      <c r="K34" s="1" t="s">
        <v>1021</v>
      </c>
    </row>
    <row r="35" spans="1:11" hidden="1">
      <c r="A35" s="17" t="s">
        <v>1028</v>
      </c>
      <c r="B35" s="19" t="s">
        <v>118</v>
      </c>
      <c r="C35" s="19" t="s">
        <v>1048</v>
      </c>
      <c r="D35" s="19" t="s">
        <v>1049</v>
      </c>
      <c r="E35" s="20" t="str">
        <f t="shared" si="0"/>
        <v>Tracking</v>
      </c>
      <c r="F35" s="19" t="s">
        <v>1048</v>
      </c>
      <c r="G35" s="19" t="s">
        <v>1050</v>
      </c>
      <c r="H35" s="19" t="s">
        <v>32</v>
      </c>
      <c r="I35">
        <v>0</v>
      </c>
      <c r="J35">
        <v>10035</v>
      </c>
      <c r="K35" s="1" t="s">
        <v>1020</v>
      </c>
    </row>
    <row r="36" spans="1:11" hidden="1">
      <c r="A36" s="17" t="s">
        <v>1028</v>
      </c>
      <c r="B36" s="19" t="s">
        <v>118</v>
      </c>
      <c r="C36" s="19" t="s">
        <v>1051</v>
      </c>
      <c r="D36" s="19" t="s">
        <v>1052</v>
      </c>
      <c r="E36" s="20" t="str">
        <f t="shared" si="0"/>
        <v>Tracking</v>
      </c>
      <c r="F36" s="19" t="s">
        <v>1051</v>
      </c>
      <c r="G36" s="19" t="s">
        <v>1053</v>
      </c>
      <c r="H36" s="19" t="s">
        <v>32</v>
      </c>
      <c r="I36">
        <v>0</v>
      </c>
      <c r="J36">
        <v>281</v>
      </c>
      <c r="K36" s="1" t="s">
        <v>1021</v>
      </c>
    </row>
    <row r="37" spans="1:11" hidden="1">
      <c r="A37" s="17" t="s">
        <v>1028</v>
      </c>
      <c r="B37" s="19" t="s">
        <v>118</v>
      </c>
      <c r="C37" s="19" t="s">
        <v>1054</v>
      </c>
      <c r="D37" s="19" t="s">
        <v>1055</v>
      </c>
      <c r="E37" s="20" t="str">
        <f t="shared" si="0"/>
        <v>Tracking</v>
      </c>
      <c r="F37" s="19" t="s">
        <v>1054</v>
      </c>
      <c r="G37" s="19" t="s">
        <v>1056</v>
      </c>
      <c r="H37" s="19" t="s">
        <v>32</v>
      </c>
      <c r="I37">
        <v>0</v>
      </c>
      <c r="J37">
        <v>2644</v>
      </c>
      <c r="K37" s="1" t="s">
        <v>1021</v>
      </c>
    </row>
    <row r="38" spans="1:11" hidden="1">
      <c r="A38" s="17" t="s">
        <v>1028</v>
      </c>
      <c r="B38" s="19" t="s">
        <v>118</v>
      </c>
      <c r="C38" s="19" t="s">
        <v>1057</v>
      </c>
      <c r="D38" s="19" t="s">
        <v>1058</v>
      </c>
      <c r="E38" s="20" t="str">
        <f t="shared" si="0"/>
        <v>Tracking</v>
      </c>
      <c r="F38" s="19" t="s">
        <v>1057</v>
      </c>
      <c r="G38" s="19" t="s">
        <v>1059</v>
      </c>
      <c r="H38" s="19" t="s">
        <v>32</v>
      </c>
      <c r="I38">
        <v>0</v>
      </c>
      <c r="J38">
        <v>1125</v>
      </c>
      <c r="K38" s="1" t="s">
        <v>1021</v>
      </c>
    </row>
    <row r="39" spans="1:11" hidden="1">
      <c r="A39" s="17" t="s">
        <v>1028</v>
      </c>
      <c r="B39" s="19" t="s">
        <v>118</v>
      </c>
      <c r="C39" s="19" t="s">
        <v>1060</v>
      </c>
      <c r="D39" s="19" t="s">
        <v>1061</v>
      </c>
      <c r="E39" s="20" t="str">
        <f t="shared" si="0"/>
        <v>Tracking</v>
      </c>
      <c r="F39" s="19" t="s">
        <v>1060</v>
      </c>
      <c r="G39" s="19" t="s">
        <v>1062</v>
      </c>
      <c r="H39" s="19" t="s">
        <v>32</v>
      </c>
      <c r="I39">
        <v>0</v>
      </c>
      <c r="J39">
        <v>35201</v>
      </c>
      <c r="K39" s="1" t="s">
        <v>1021</v>
      </c>
    </row>
    <row r="40" spans="1:11" hidden="1">
      <c r="A40" s="17" t="s">
        <v>1028</v>
      </c>
      <c r="B40" s="19" t="s">
        <v>118</v>
      </c>
      <c r="C40" s="19" t="s">
        <v>1063</v>
      </c>
      <c r="D40" s="19" t="s">
        <v>1064</v>
      </c>
      <c r="E40" s="20" t="str">
        <f t="shared" si="0"/>
        <v>Tracking</v>
      </c>
      <c r="F40" s="19" t="s">
        <v>1063</v>
      </c>
      <c r="G40" s="19" t="s">
        <v>1065</v>
      </c>
      <c r="H40" s="19" t="s">
        <v>32</v>
      </c>
      <c r="I40">
        <v>0</v>
      </c>
      <c r="J40">
        <v>974</v>
      </c>
      <c r="K40" s="1" t="s">
        <v>1020</v>
      </c>
    </row>
    <row r="41" spans="1:11" hidden="1">
      <c r="A41" s="17" t="s">
        <v>1028</v>
      </c>
      <c r="B41" s="19" t="s">
        <v>118</v>
      </c>
      <c r="C41" s="19" t="s">
        <v>1066</v>
      </c>
      <c r="D41" s="19" t="s">
        <v>1067</v>
      </c>
      <c r="E41" s="20" t="str">
        <f t="shared" si="0"/>
        <v>Tracking</v>
      </c>
      <c r="F41" s="19" t="s">
        <v>1066</v>
      </c>
      <c r="G41" s="19" t="s">
        <v>1068</v>
      </c>
      <c r="H41" s="19" t="s">
        <v>32</v>
      </c>
      <c r="I41">
        <v>0</v>
      </c>
      <c r="J41">
        <v>1010</v>
      </c>
      <c r="K41" s="1" t="s">
        <v>1021</v>
      </c>
    </row>
    <row r="42" spans="1:11" hidden="1">
      <c r="A42" s="17" t="s">
        <v>1028</v>
      </c>
      <c r="B42" s="19" t="s">
        <v>118</v>
      </c>
      <c r="C42" s="19" t="s">
        <v>1069</v>
      </c>
      <c r="D42" s="19" t="s">
        <v>1070</v>
      </c>
      <c r="E42" s="20" t="str">
        <f t="shared" si="0"/>
        <v>Tracking</v>
      </c>
      <c r="F42" s="19" t="s">
        <v>1069</v>
      </c>
      <c r="G42" s="19" t="s">
        <v>1071</v>
      </c>
      <c r="H42" s="19" t="s">
        <v>32</v>
      </c>
      <c r="I42">
        <v>0</v>
      </c>
      <c r="J42">
        <v>9103</v>
      </c>
      <c r="K42" s="1" t="s">
        <v>1020</v>
      </c>
    </row>
    <row r="43" spans="1:11" hidden="1">
      <c r="A43" s="17" t="s">
        <v>1028</v>
      </c>
      <c r="B43" s="19" t="s">
        <v>118</v>
      </c>
      <c r="C43" s="19" t="s">
        <v>1072</v>
      </c>
      <c r="D43" s="19" t="s">
        <v>1073</v>
      </c>
      <c r="E43" s="20" t="str">
        <f t="shared" si="0"/>
        <v>Tracking</v>
      </c>
      <c r="F43" s="19" t="s">
        <v>1072</v>
      </c>
      <c r="G43" s="19" t="s">
        <v>1074</v>
      </c>
      <c r="H43" s="19" t="s">
        <v>32</v>
      </c>
      <c r="I43">
        <v>0</v>
      </c>
      <c r="J43">
        <v>881</v>
      </c>
      <c r="K43" s="1" t="s">
        <v>1021</v>
      </c>
    </row>
    <row r="44" spans="1:11" hidden="1">
      <c r="A44" s="17" t="s">
        <v>1028</v>
      </c>
      <c r="B44" s="19" t="s">
        <v>95</v>
      </c>
      <c r="C44" s="19" t="s">
        <v>1075</v>
      </c>
      <c r="D44" s="19" t="s">
        <v>1076</v>
      </c>
      <c r="E44" s="20" t="str">
        <f t="shared" si="0"/>
        <v>Tracking</v>
      </c>
      <c r="F44" s="19" t="s">
        <v>1075</v>
      </c>
      <c r="G44" s="19" t="s">
        <v>1077</v>
      </c>
      <c r="H44" s="19" t="s">
        <v>32</v>
      </c>
      <c r="I44">
        <v>0</v>
      </c>
      <c r="J44">
        <v>304</v>
      </c>
      <c r="K44" s="1" t="s">
        <v>1020</v>
      </c>
    </row>
    <row r="45" spans="1:11" hidden="1">
      <c r="A45" s="17" t="s">
        <v>1028</v>
      </c>
      <c r="B45" s="19" t="s">
        <v>95</v>
      </c>
      <c r="C45" s="19" t="s">
        <v>1078</v>
      </c>
      <c r="D45" s="19" t="s">
        <v>1079</v>
      </c>
      <c r="E45" s="20" t="str">
        <f t="shared" si="0"/>
        <v>Tracking</v>
      </c>
      <c r="F45" s="19" t="s">
        <v>1078</v>
      </c>
      <c r="G45" s="19" t="s">
        <v>1080</v>
      </c>
      <c r="H45" s="19" t="s">
        <v>32</v>
      </c>
      <c r="I45">
        <v>0</v>
      </c>
      <c r="J45">
        <v>613</v>
      </c>
      <c r="K45" s="1" t="s">
        <v>1021</v>
      </c>
    </row>
    <row r="46" spans="1:11" hidden="1">
      <c r="A46" s="17" t="s">
        <v>1028</v>
      </c>
      <c r="B46" s="19" t="s">
        <v>95</v>
      </c>
      <c r="C46" s="19" t="s">
        <v>1081</v>
      </c>
      <c r="D46" s="19" t="s">
        <v>1082</v>
      </c>
      <c r="E46" s="20" t="str">
        <f t="shared" si="0"/>
        <v>Tracking</v>
      </c>
      <c r="F46" s="19" t="s">
        <v>1081</v>
      </c>
      <c r="G46" s="19" t="s">
        <v>1083</v>
      </c>
      <c r="H46" s="19" t="s">
        <v>32</v>
      </c>
      <c r="I46">
        <v>0</v>
      </c>
      <c r="J46">
        <v>242</v>
      </c>
      <c r="K46" s="1" t="s">
        <v>1021</v>
      </c>
    </row>
    <row r="47" spans="1:11" hidden="1">
      <c r="A47" s="17" t="s">
        <v>1028</v>
      </c>
      <c r="B47" s="19" t="s">
        <v>95</v>
      </c>
      <c r="C47" s="19" t="s">
        <v>1084</v>
      </c>
      <c r="D47" s="19" t="s">
        <v>1085</v>
      </c>
      <c r="E47" s="20" t="str">
        <f t="shared" si="0"/>
        <v>Tracking</v>
      </c>
      <c r="F47" s="19" t="s">
        <v>1084</v>
      </c>
      <c r="G47" s="19" t="s">
        <v>1086</v>
      </c>
      <c r="H47" s="19" t="s">
        <v>32</v>
      </c>
      <c r="I47">
        <v>0</v>
      </c>
      <c r="J47">
        <v>10898</v>
      </c>
      <c r="K47" s="1" t="s">
        <v>1020</v>
      </c>
    </row>
    <row r="48" spans="1:11" hidden="1">
      <c r="A48" s="17" t="s">
        <v>1028</v>
      </c>
      <c r="B48" s="19" t="s">
        <v>95</v>
      </c>
      <c r="C48" s="19" t="s">
        <v>1087</v>
      </c>
      <c r="D48" s="19" t="s">
        <v>1088</v>
      </c>
      <c r="E48" s="20" t="str">
        <f t="shared" si="0"/>
        <v>Tracking</v>
      </c>
      <c r="F48" s="19" t="s">
        <v>1087</v>
      </c>
      <c r="G48" s="19" t="s">
        <v>1089</v>
      </c>
      <c r="H48" s="19" t="s">
        <v>32</v>
      </c>
      <c r="I48">
        <v>0</v>
      </c>
      <c r="J48">
        <v>770</v>
      </c>
      <c r="K48" s="1" t="s">
        <v>1020</v>
      </c>
    </row>
    <row r="49" spans="1:11" hidden="1">
      <c r="A49" s="17" t="s">
        <v>1028</v>
      </c>
      <c r="B49" s="19" t="s">
        <v>95</v>
      </c>
      <c r="C49" s="19" t="s">
        <v>1090</v>
      </c>
      <c r="D49" s="19" t="s">
        <v>1091</v>
      </c>
      <c r="E49" s="20" t="str">
        <f t="shared" si="0"/>
        <v>Tracking</v>
      </c>
      <c r="F49" s="19" t="s">
        <v>1090</v>
      </c>
      <c r="G49" s="19" t="s">
        <v>1092</v>
      </c>
      <c r="H49" s="19" t="s">
        <v>32</v>
      </c>
      <c r="I49">
        <v>0</v>
      </c>
      <c r="J49">
        <v>3182</v>
      </c>
      <c r="K49" s="1" t="s">
        <v>1021</v>
      </c>
    </row>
    <row r="50" spans="1:11" hidden="1">
      <c r="A50" s="17" t="s">
        <v>1028</v>
      </c>
      <c r="B50" s="19" t="s">
        <v>95</v>
      </c>
      <c r="C50" s="19" t="s">
        <v>1093</v>
      </c>
      <c r="D50" s="19" t="s">
        <v>1094</v>
      </c>
      <c r="E50" s="20" t="str">
        <f t="shared" si="0"/>
        <v>Tracking</v>
      </c>
      <c r="F50" s="19" t="s">
        <v>1093</v>
      </c>
      <c r="G50" s="19" t="s">
        <v>1095</v>
      </c>
      <c r="H50" s="19" t="s">
        <v>32</v>
      </c>
      <c r="I50">
        <v>0</v>
      </c>
      <c r="J50">
        <v>6684</v>
      </c>
      <c r="K50" s="1" t="s">
        <v>1020</v>
      </c>
    </row>
    <row r="51" spans="1:11" hidden="1">
      <c r="A51" s="17" t="s">
        <v>1028</v>
      </c>
      <c r="B51" s="19" t="s">
        <v>95</v>
      </c>
      <c r="C51" s="19" t="s">
        <v>1096</v>
      </c>
      <c r="D51" s="19" t="s">
        <v>1097</v>
      </c>
      <c r="E51" s="20" t="str">
        <f t="shared" si="0"/>
        <v>Tracking</v>
      </c>
      <c r="F51" s="19" t="s">
        <v>1096</v>
      </c>
      <c r="G51" s="19" t="s">
        <v>1098</v>
      </c>
      <c r="H51" s="19" t="s">
        <v>32</v>
      </c>
      <c r="I51">
        <v>0</v>
      </c>
      <c r="J51">
        <v>253</v>
      </c>
      <c r="K51" s="1" t="s">
        <v>1021</v>
      </c>
    </row>
    <row r="52" spans="1:11" hidden="1">
      <c r="A52" s="17" t="s">
        <v>1028</v>
      </c>
      <c r="B52" s="19" t="s">
        <v>95</v>
      </c>
      <c r="C52" s="19" t="s">
        <v>1099</v>
      </c>
      <c r="D52" s="19" t="s">
        <v>1100</v>
      </c>
      <c r="E52" s="20" t="str">
        <f t="shared" si="0"/>
        <v>Tracking</v>
      </c>
      <c r="F52" s="19" t="s">
        <v>1099</v>
      </c>
      <c r="G52" s="19" t="s">
        <v>1101</v>
      </c>
      <c r="H52" s="19" t="s">
        <v>32</v>
      </c>
      <c r="I52">
        <v>0</v>
      </c>
      <c r="J52">
        <v>143</v>
      </c>
      <c r="K52" s="1" t="s">
        <v>1021</v>
      </c>
    </row>
    <row r="53" spans="1:11" hidden="1">
      <c r="A53" s="17" t="s">
        <v>1028</v>
      </c>
      <c r="B53" s="19" t="s">
        <v>95</v>
      </c>
      <c r="C53" s="19" t="s">
        <v>1102</v>
      </c>
      <c r="D53" s="19" t="s">
        <v>1103</v>
      </c>
      <c r="E53" s="20" t="str">
        <f t="shared" si="0"/>
        <v>Tracking</v>
      </c>
      <c r="F53" s="19" t="s">
        <v>1102</v>
      </c>
      <c r="G53" s="19" t="s">
        <v>1104</v>
      </c>
      <c r="H53" s="19" t="s">
        <v>32</v>
      </c>
      <c r="I53">
        <v>0</v>
      </c>
      <c r="J53">
        <v>10182</v>
      </c>
      <c r="K53" s="1" t="s">
        <v>1020</v>
      </c>
    </row>
    <row r="54" spans="1:11" hidden="1">
      <c r="A54" s="17" t="s">
        <v>49</v>
      </c>
      <c r="B54" s="19" t="s">
        <v>760</v>
      </c>
      <c r="C54" s="19" t="s">
        <v>1105</v>
      </c>
      <c r="D54" s="19" t="s">
        <v>1106</v>
      </c>
      <c r="E54" s="20" t="str">
        <f t="shared" si="0"/>
        <v>Tracking</v>
      </c>
      <c r="F54" s="19" t="s">
        <v>1105</v>
      </c>
      <c r="G54" s="19" t="s">
        <v>1107</v>
      </c>
      <c r="H54" s="19" t="s">
        <v>32</v>
      </c>
      <c r="I54">
        <v>0</v>
      </c>
      <c r="J54">
        <v>9</v>
      </c>
      <c r="K54" s="1" t="s">
        <v>1020</v>
      </c>
    </row>
    <row r="55" spans="1:11" hidden="1">
      <c r="A55" s="17" t="s">
        <v>49</v>
      </c>
      <c r="B55" s="19" t="s">
        <v>1823</v>
      </c>
      <c r="C55" s="19" t="s">
        <v>1824</v>
      </c>
      <c r="D55" s="19" t="s">
        <v>1825</v>
      </c>
      <c r="E55" s="20" t="str">
        <f t="shared" si="0"/>
        <v>Tracking</v>
      </c>
      <c r="F55" s="19" t="s">
        <v>1824</v>
      </c>
      <c r="G55" s="19" t="s">
        <v>1826</v>
      </c>
      <c r="H55" s="19" t="s">
        <v>32</v>
      </c>
      <c r="I55">
        <v>0</v>
      </c>
      <c r="J55">
        <v>2</v>
      </c>
      <c r="K55" s="1" t="s">
        <v>1021</v>
      </c>
    </row>
    <row r="56" spans="1:11" hidden="1">
      <c r="A56" s="17" t="s">
        <v>1108</v>
      </c>
      <c r="B56" s="19" t="s">
        <v>50</v>
      </c>
      <c r="C56" s="19" t="s">
        <v>1827</v>
      </c>
      <c r="D56" s="19" t="s">
        <v>1828</v>
      </c>
      <c r="E56" s="20" t="s">
        <v>12</v>
      </c>
      <c r="F56" s="19" t="s">
        <v>1827</v>
      </c>
      <c r="G56" s="19" t="s">
        <v>1829</v>
      </c>
      <c r="H56" s="19" t="s">
        <v>31</v>
      </c>
      <c r="I56">
        <v>25590</v>
      </c>
      <c r="J56">
        <v>35</v>
      </c>
      <c r="K56" s="1" t="s">
        <v>1020</v>
      </c>
    </row>
    <row r="57" spans="1:11" hidden="1">
      <c r="A57" s="17" t="s">
        <v>1108</v>
      </c>
      <c r="B57" s="19" t="s">
        <v>50</v>
      </c>
      <c r="C57" s="19" t="s">
        <v>1830</v>
      </c>
      <c r="D57" s="19" t="s">
        <v>1831</v>
      </c>
      <c r="E57" s="20" t="s">
        <v>12</v>
      </c>
      <c r="F57" s="19" t="s">
        <v>1830</v>
      </c>
      <c r="G57" s="19" t="s">
        <v>1832</v>
      </c>
      <c r="H57" s="19" t="s">
        <v>31</v>
      </c>
      <c r="I57">
        <v>5417</v>
      </c>
      <c r="J57">
        <v>34</v>
      </c>
      <c r="K57" s="1" t="s">
        <v>1020</v>
      </c>
    </row>
    <row r="58" spans="1:11" hidden="1">
      <c r="A58" s="17" t="s">
        <v>1108</v>
      </c>
      <c r="B58" s="19" t="s">
        <v>50</v>
      </c>
      <c r="C58" s="19" t="s">
        <v>1833</v>
      </c>
      <c r="D58" s="19" t="s">
        <v>1834</v>
      </c>
      <c r="E58" s="20" t="s">
        <v>12</v>
      </c>
      <c r="F58" s="19" t="s">
        <v>1833</v>
      </c>
      <c r="G58" s="19" t="s">
        <v>1835</v>
      </c>
      <c r="H58" s="19" t="s">
        <v>31</v>
      </c>
      <c r="I58">
        <v>3584</v>
      </c>
      <c r="J58">
        <v>2</v>
      </c>
      <c r="K58" s="1" t="s">
        <v>1021</v>
      </c>
    </row>
    <row r="59" spans="1:11" hidden="1">
      <c r="A59" s="17" t="s">
        <v>1108</v>
      </c>
      <c r="B59" s="19" t="s">
        <v>50</v>
      </c>
      <c r="C59" s="19" t="s">
        <v>1836</v>
      </c>
      <c r="D59" s="19" t="s">
        <v>1837</v>
      </c>
      <c r="E59" s="20" t="s">
        <v>12</v>
      </c>
      <c r="F59" s="19" t="s">
        <v>1836</v>
      </c>
      <c r="G59" s="19" t="s">
        <v>1838</v>
      </c>
      <c r="H59" s="19" t="s">
        <v>31</v>
      </c>
      <c r="I59">
        <v>11871</v>
      </c>
      <c r="J59">
        <v>10</v>
      </c>
      <c r="K59" s="1" t="s">
        <v>1021</v>
      </c>
    </row>
    <row r="60" spans="1:11" hidden="1">
      <c r="A60" s="17" t="s">
        <v>1108</v>
      </c>
      <c r="B60" s="19" t="s">
        <v>50</v>
      </c>
      <c r="C60" s="19" t="s">
        <v>1839</v>
      </c>
      <c r="D60" s="19" t="s">
        <v>1840</v>
      </c>
      <c r="E60" s="20" t="s">
        <v>12</v>
      </c>
      <c r="F60" s="19" t="s">
        <v>1839</v>
      </c>
      <c r="G60" s="19" t="s">
        <v>1841</v>
      </c>
      <c r="H60" s="19" t="s">
        <v>31</v>
      </c>
      <c r="I60">
        <v>4183</v>
      </c>
      <c r="J60">
        <v>19</v>
      </c>
      <c r="K60" s="1" t="s">
        <v>1021</v>
      </c>
    </row>
    <row r="61" spans="1:11" hidden="1">
      <c r="A61" s="17" t="s">
        <v>1108</v>
      </c>
      <c r="B61" s="19" t="s">
        <v>50</v>
      </c>
      <c r="C61" s="19" t="s">
        <v>1842</v>
      </c>
      <c r="D61" s="19" t="s">
        <v>1843</v>
      </c>
      <c r="E61" s="20" t="s">
        <v>12</v>
      </c>
      <c r="F61" s="19" t="s">
        <v>1842</v>
      </c>
      <c r="G61" s="19" t="s">
        <v>1844</v>
      </c>
      <c r="H61" s="19" t="s">
        <v>31</v>
      </c>
      <c r="I61">
        <v>1978</v>
      </c>
      <c r="J61">
        <v>1</v>
      </c>
      <c r="K61" s="1" t="s">
        <v>1021</v>
      </c>
    </row>
    <row r="62" spans="1:11" hidden="1">
      <c r="A62" s="17" t="s">
        <v>1108</v>
      </c>
      <c r="B62" s="19" t="s">
        <v>50</v>
      </c>
      <c r="C62" s="19" t="s">
        <v>1845</v>
      </c>
      <c r="D62" s="19" t="s">
        <v>1846</v>
      </c>
      <c r="E62" s="20" t="s">
        <v>12</v>
      </c>
      <c r="F62" s="19" t="s">
        <v>1845</v>
      </c>
      <c r="G62" s="19" t="s">
        <v>1847</v>
      </c>
      <c r="H62" s="19" t="s">
        <v>31</v>
      </c>
      <c r="I62">
        <v>54027</v>
      </c>
      <c r="J62">
        <v>146</v>
      </c>
      <c r="K62" s="1" t="s">
        <v>1020</v>
      </c>
    </row>
    <row r="63" spans="1:11" hidden="1">
      <c r="A63" s="17" t="s">
        <v>1108</v>
      </c>
      <c r="B63" s="19" t="s">
        <v>50</v>
      </c>
      <c r="C63" s="19" t="s">
        <v>1848</v>
      </c>
      <c r="D63" s="19" t="s">
        <v>1849</v>
      </c>
      <c r="E63" s="20" t="s">
        <v>12</v>
      </c>
      <c r="F63" s="19" t="s">
        <v>1848</v>
      </c>
      <c r="G63" s="19" t="s">
        <v>1850</v>
      </c>
      <c r="H63" s="19" t="s">
        <v>31</v>
      </c>
      <c r="I63">
        <v>14793</v>
      </c>
      <c r="J63">
        <v>103</v>
      </c>
      <c r="K63" s="1" t="s">
        <v>1021</v>
      </c>
    </row>
    <row r="64" spans="1:11" hidden="1">
      <c r="A64" s="17" t="s">
        <v>1108</v>
      </c>
      <c r="B64" s="19" t="s">
        <v>50</v>
      </c>
      <c r="C64" s="19" t="s">
        <v>1851</v>
      </c>
      <c r="D64" s="19" t="s">
        <v>1852</v>
      </c>
      <c r="E64" s="20" t="s">
        <v>12</v>
      </c>
      <c r="F64" s="19" t="s">
        <v>1851</v>
      </c>
      <c r="G64" s="19" t="s">
        <v>1853</v>
      </c>
      <c r="H64" s="19" t="s">
        <v>31</v>
      </c>
      <c r="I64">
        <v>7788</v>
      </c>
      <c r="J64">
        <v>1</v>
      </c>
      <c r="K64" s="1" t="s">
        <v>1020</v>
      </c>
    </row>
    <row r="65" spans="1:11" hidden="1">
      <c r="A65" s="17" t="s">
        <v>1108</v>
      </c>
      <c r="B65" s="19" t="s">
        <v>50</v>
      </c>
      <c r="C65" s="19" t="s">
        <v>1109</v>
      </c>
      <c r="D65" s="19" t="s">
        <v>1110</v>
      </c>
      <c r="E65" s="20" t="s">
        <v>12</v>
      </c>
      <c r="F65" s="19" t="s">
        <v>1109</v>
      </c>
      <c r="G65" s="19" t="s">
        <v>1111</v>
      </c>
      <c r="H65" s="19" t="s">
        <v>31</v>
      </c>
      <c r="I65">
        <v>82348</v>
      </c>
      <c r="J65">
        <v>171</v>
      </c>
      <c r="K65" s="1" t="s">
        <v>1021</v>
      </c>
    </row>
    <row r="66" spans="1:11" hidden="1">
      <c r="A66" s="17" t="s">
        <v>1108</v>
      </c>
      <c r="B66" s="19" t="s">
        <v>50</v>
      </c>
      <c r="C66" s="19" t="s">
        <v>1854</v>
      </c>
      <c r="D66" s="19" t="s">
        <v>1855</v>
      </c>
      <c r="E66" s="20" t="s">
        <v>12</v>
      </c>
      <c r="F66" s="19" t="s">
        <v>1854</v>
      </c>
      <c r="G66" s="19" t="s">
        <v>1856</v>
      </c>
      <c r="H66" s="19" t="s">
        <v>31</v>
      </c>
      <c r="I66">
        <v>27377</v>
      </c>
      <c r="J66">
        <v>187</v>
      </c>
      <c r="K66" s="1" t="s">
        <v>1020</v>
      </c>
    </row>
    <row r="67" spans="1:11" hidden="1">
      <c r="A67" s="17" t="s">
        <v>1108</v>
      </c>
      <c r="B67" s="19" t="s">
        <v>50</v>
      </c>
      <c r="C67" s="19" t="s">
        <v>1857</v>
      </c>
      <c r="D67" s="19" t="s">
        <v>1858</v>
      </c>
      <c r="E67" s="20" t="s">
        <v>12</v>
      </c>
      <c r="F67" s="19" t="s">
        <v>1857</v>
      </c>
      <c r="G67" s="19" t="s">
        <v>1859</v>
      </c>
      <c r="H67" s="19" t="s">
        <v>31</v>
      </c>
      <c r="I67">
        <v>14174</v>
      </c>
      <c r="J67">
        <v>4</v>
      </c>
      <c r="K67" s="1" t="s">
        <v>1021</v>
      </c>
    </row>
    <row r="68" spans="1:11" hidden="1">
      <c r="A68" s="17" t="s">
        <v>1108</v>
      </c>
      <c r="B68" s="19" t="s">
        <v>50</v>
      </c>
      <c r="C68" s="19" t="s">
        <v>1112</v>
      </c>
      <c r="D68" s="19" t="s">
        <v>1113</v>
      </c>
      <c r="E68" s="20" t="s">
        <v>12</v>
      </c>
      <c r="F68" s="19" t="s">
        <v>1112</v>
      </c>
      <c r="G68" s="19" t="s">
        <v>1114</v>
      </c>
      <c r="H68" s="19" t="s">
        <v>31</v>
      </c>
      <c r="I68">
        <v>22332</v>
      </c>
      <c r="J68">
        <v>39</v>
      </c>
      <c r="K68" s="1" t="s">
        <v>1020</v>
      </c>
    </row>
    <row r="69" spans="1:11" hidden="1">
      <c r="A69" s="17" t="s">
        <v>1108</v>
      </c>
      <c r="B69" s="19" t="s">
        <v>50</v>
      </c>
      <c r="C69" s="19" t="s">
        <v>1860</v>
      </c>
      <c r="D69" s="19" t="s">
        <v>1861</v>
      </c>
      <c r="E69" s="20" t="s">
        <v>12</v>
      </c>
      <c r="F69" s="19" t="s">
        <v>1860</v>
      </c>
      <c r="G69" s="19" t="s">
        <v>1862</v>
      </c>
      <c r="H69" s="19" t="s">
        <v>31</v>
      </c>
      <c r="I69">
        <v>5395</v>
      </c>
      <c r="J69">
        <v>19</v>
      </c>
      <c r="K69" s="1" t="s">
        <v>1021</v>
      </c>
    </row>
    <row r="70" spans="1:11" hidden="1">
      <c r="A70" s="17" t="s">
        <v>1108</v>
      </c>
      <c r="B70" s="19" t="s">
        <v>50</v>
      </c>
      <c r="C70" s="19" t="s">
        <v>1863</v>
      </c>
      <c r="D70" s="19" t="s">
        <v>1864</v>
      </c>
      <c r="E70" s="20" t="s">
        <v>12</v>
      </c>
      <c r="F70" s="19" t="s">
        <v>1863</v>
      </c>
      <c r="G70" s="19" t="s">
        <v>1865</v>
      </c>
      <c r="H70" s="19" t="s">
        <v>31</v>
      </c>
      <c r="I70">
        <v>3989</v>
      </c>
      <c r="J70">
        <v>2</v>
      </c>
      <c r="K70" s="1" t="s">
        <v>1020</v>
      </c>
    </row>
    <row r="71" spans="1:11" hidden="1">
      <c r="A71" s="17" t="s">
        <v>1108</v>
      </c>
      <c r="B71" s="19" t="s">
        <v>50</v>
      </c>
      <c r="C71" s="19" t="s">
        <v>1866</v>
      </c>
      <c r="D71" s="19" t="s">
        <v>1867</v>
      </c>
      <c r="E71" s="20" t="s">
        <v>12</v>
      </c>
      <c r="F71" s="19" t="s">
        <v>1866</v>
      </c>
      <c r="G71" s="19" t="s">
        <v>1868</v>
      </c>
      <c r="H71" s="19" t="s">
        <v>31</v>
      </c>
      <c r="I71">
        <v>1265</v>
      </c>
      <c r="J71">
        <v>1</v>
      </c>
      <c r="K71" s="1" t="s">
        <v>1020</v>
      </c>
    </row>
    <row r="72" spans="1:11" hidden="1">
      <c r="A72" s="17" t="s">
        <v>1108</v>
      </c>
      <c r="B72" s="19" t="s">
        <v>50</v>
      </c>
      <c r="C72" s="19" t="s">
        <v>1115</v>
      </c>
      <c r="D72" s="19" t="s">
        <v>1116</v>
      </c>
      <c r="E72" s="20" t="s">
        <v>12</v>
      </c>
      <c r="F72" s="19" t="s">
        <v>1115</v>
      </c>
      <c r="G72" s="19" t="s">
        <v>1117</v>
      </c>
      <c r="H72" s="19" t="s">
        <v>31</v>
      </c>
      <c r="I72">
        <v>228906</v>
      </c>
      <c r="J72">
        <v>1935</v>
      </c>
      <c r="K72" s="1" t="s">
        <v>1020</v>
      </c>
    </row>
    <row r="73" spans="1:11" hidden="1">
      <c r="A73" s="17" t="s">
        <v>1108</v>
      </c>
      <c r="B73" s="19" t="s">
        <v>50</v>
      </c>
      <c r="C73" s="19" t="s">
        <v>1869</v>
      </c>
      <c r="D73" s="19" t="s">
        <v>1870</v>
      </c>
      <c r="E73" s="20" t="s">
        <v>12</v>
      </c>
      <c r="F73" s="19" t="s">
        <v>1869</v>
      </c>
      <c r="G73" s="19" t="s">
        <v>1871</v>
      </c>
      <c r="H73" s="19" t="s">
        <v>31</v>
      </c>
      <c r="I73">
        <v>15316</v>
      </c>
      <c r="J73">
        <v>48</v>
      </c>
      <c r="K73" s="1" t="s">
        <v>1020</v>
      </c>
    </row>
    <row r="74" spans="1:11" hidden="1">
      <c r="A74" s="17" t="s">
        <v>1108</v>
      </c>
      <c r="B74" s="19" t="s">
        <v>50</v>
      </c>
      <c r="C74" s="19" t="s">
        <v>1118</v>
      </c>
      <c r="D74" s="19" t="s">
        <v>1119</v>
      </c>
      <c r="E74" s="20" t="s">
        <v>12</v>
      </c>
      <c r="F74" s="19" t="s">
        <v>1118</v>
      </c>
      <c r="G74" s="19" t="s">
        <v>1120</v>
      </c>
      <c r="H74" s="19" t="s">
        <v>31</v>
      </c>
      <c r="I74">
        <v>203565</v>
      </c>
      <c r="J74">
        <v>1160</v>
      </c>
      <c r="K74" s="1" t="s">
        <v>1020</v>
      </c>
    </row>
    <row r="75" spans="1:11" hidden="1">
      <c r="A75" s="17" t="s">
        <v>1108</v>
      </c>
      <c r="B75" s="19" t="s">
        <v>50</v>
      </c>
      <c r="C75" s="19" t="s">
        <v>1872</v>
      </c>
      <c r="D75" s="19" t="s">
        <v>1873</v>
      </c>
      <c r="E75" s="20" t="s">
        <v>12</v>
      </c>
      <c r="F75" s="19" t="s">
        <v>1872</v>
      </c>
      <c r="G75" s="19" t="s">
        <v>1874</v>
      </c>
      <c r="H75" s="19" t="s">
        <v>31</v>
      </c>
      <c r="I75">
        <v>844</v>
      </c>
      <c r="J75">
        <v>2</v>
      </c>
      <c r="K75" s="1" t="s">
        <v>1021</v>
      </c>
    </row>
    <row r="76" spans="1:11" hidden="1">
      <c r="A76" s="17" t="s">
        <v>1108</v>
      </c>
      <c r="B76" s="19" t="s">
        <v>50</v>
      </c>
      <c r="C76" s="19" t="s">
        <v>1121</v>
      </c>
      <c r="D76" s="19" t="s">
        <v>1122</v>
      </c>
      <c r="E76" s="20" t="s">
        <v>12</v>
      </c>
      <c r="F76" s="19" t="s">
        <v>1121</v>
      </c>
      <c r="G76" s="19" t="s">
        <v>1123</v>
      </c>
      <c r="H76" s="19" t="s">
        <v>31</v>
      </c>
      <c r="I76">
        <v>172403</v>
      </c>
      <c r="J76">
        <v>1380</v>
      </c>
      <c r="K76" s="1" t="s">
        <v>1021</v>
      </c>
    </row>
    <row r="77" spans="1:11" hidden="1">
      <c r="A77" s="17" t="s">
        <v>1108</v>
      </c>
      <c r="B77" s="19" t="s">
        <v>50</v>
      </c>
      <c r="C77" s="19" t="s">
        <v>1875</v>
      </c>
      <c r="D77" s="19" t="s">
        <v>1876</v>
      </c>
      <c r="E77" s="20" t="s">
        <v>12</v>
      </c>
      <c r="F77" s="19" t="s">
        <v>1875</v>
      </c>
      <c r="G77" s="19" t="s">
        <v>1877</v>
      </c>
      <c r="H77" s="19" t="s">
        <v>31</v>
      </c>
      <c r="I77">
        <v>11629</v>
      </c>
      <c r="J77">
        <v>33</v>
      </c>
      <c r="K77" s="1" t="s">
        <v>1021</v>
      </c>
    </row>
    <row r="78" spans="1:11" hidden="1">
      <c r="A78" s="17" t="s">
        <v>1108</v>
      </c>
      <c r="B78" s="19" t="s">
        <v>50</v>
      </c>
      <c r="C78" s="19" t="s">
        <v>1124</v>
      </c>
      <c r="D78" s="19" t="s">
        <v>1125</v>
      </c>
      <c r="E78" s="20" t="s">
        <v>12</v>
      </c>
      <c r="F78" s="19" t="s">
        <v>1124</v>
      </c>
      <c r="G78" s="19" t="s">
        <v>1126</v>
      </c>
      <c r="H78" s="19" t="s">
        <v>31</v>
      </c>
      <c r="I78">
        <v>149052</v>
      </c>
      <c r="J78">
        <v>796</v>
      </c>
      <c r="K78" s="1" t="s">
        <v>1020</v>
      </c>
    </row>
    <row r="79" spans="1:11" hidden="1">
      <c r="A79" s="17" t="s">
        <v>1108</v>
      </c>
      <c r="B79" s="19" t="s">
        <v>50</v>
      </c>
      <c r="C79" s="19" t="s">
        <v>1878</v>
      </c>
      <c r="D79" s="19" t="s">
        <v>1879</v>
      </c>
      <c r="E79" s="20" t="s">
        <v>12</v>
      </c>
      <c r="F79" s="19" t="s">
        <v>1878</v>
      </c>
      <c r="G79" s="19" t="s">
        <v>1880</v>
      </c>
      <c r="H79" s="19" t="s">
        <v>31</v>
      </c>
      <c r="I79">
        <v>4717</v>
      </c>
      <c r="J79">
        <v>3</v>
      </c>
      <c r="K79" s="1" t="s">
        <v>1020</v>
      </c>
    </row>
    <row r="80" spans="1:11" hidden="1">
      <c r="A80" s="17" t="s">
        <v>1108</v>
      </c>
      <c r="B80" s="19" t="s">
        <v>50</v>
      </c>
      <c r="C80" s="19" t="s">
        <v>1127</v>
      </c>
      <c r="D80" s="19" t="s">
        <v>1128</v>
      </c>
      <c r="E80" s="20" t="s">
        <v>12</v>
      </c>
      <c r="F80" s="19" t="s">
        <v>1127</v>
      </c>
      <c r="G80" s="19" t="s">
        <v>1129</v>
      </c>
      <c r="H80" s="19" t="s">
        <v>31</v>
      </c>
      <c r="I80">
        <v>1073873</v>
      </c>
      <c r="J80">
        <v>9143</v>
      </c>
      <c r="K80" s="1" t="s">
        <v>1021</v>
      </c>
    </row>
    <row r="81" spans="1:11" hidden="1">
      <c r="A81" s="17" t="s">
        <v>1108</v>
      </c>
      <c r="B81" s="19" t="s">
        <v>50</v>
      </c>
      <c r="C81" s="19" t="s">
        <v>1130</v>
      </c>
      <c r="D81" s="19" t="s">
        <v>1131</v>
      </c>
      <c r="E81" s="20" t="s">
        <v>12</v>
      </c>
      <c r="F81" s="19" t="s">
        <v>1130</v>
      </c>
      <c r="G81" s="19" t="s">
        <v>1132</v>
      </c>
      <c r="H81" s="19" t="s">
        <v>31</v>
      </c>
      <c r="I81">
        <v>45843</v>
      </c>
      <c r="J81">
        <v>170</v>
      </c>
      <c r="K81" s="1" t="s">
        <v>1021</v>
      </c>
    </row>
    <row r="82" spans="1:11" hidden="1">
      <c r="A82" s="17" t="s">
        <v>1108</v>
      </c>
      <c r="B82" s="19" t="s">
        <v>50</v>
      </c>
      <c r="C82" s="19" t="s">
        <v>1881</v>
      </c>
      <c r="D82" s="19" t="s">
        <v>1882</v>
      </c>
      <c r="E82" s="20" t="s">
        <v>12</v>
      </c>
      <c r="F82" s="19" t="s">
        <v>1881</v>
      </c>
      <c r="G82" s="19" t="s">
        <v>1883</v>
      </c>
      <c r="H82" s="19" t="s">
        <v>31</v>
      </c>
      <c r="I82">
        <v>1290878</v>
      </c>
      <c r="J82">
        <v>8057</v>
      </c>
      <c r="K82" s="1" t="s">
        <v>1020</v>
      </c>
    </row>
    <row r="83" spans="1:11" hidden="1">
      <c r="A83" s="17" t="s">
        <v>1108</v>
      </c>
      <c r="B83" s="19" t="s">
        <v>50</v>
      </c>
      <c r="C83" s="19" t="s">
        <v>1884</v>
      </c>
      <c r="D83" s="19" t="s">
        <v>1885</v>
      </c>
      <c r="E83" s="20" t="s">
        <v>12</v>
      </c>
      <c r="F83" s="19" t="s">
        <v>1884</v>
      </c>
      <c r="G83" s="19" t="s">
        <v>1886</v>
      </c>
      <c r="H83" s="19" t="s">
        <v>31</v>
      </c>
      <c r="I83">
        <v>3703</v>
      </c>
      <c r="J83">
        <v>1</v>
      </c>
      <c r="K83" s="1" t="s">
        <v>1020</v>
      </c>
    </row>
    <row r="84" spans="1:11" hidden="1">
      <c r="A84" s="17" t="s">
        <v>1108</v>
      </c>
      <c r="B84" s="19" t="s">
        <v>50</v>
      </c>
      <c r="C84" s="19" t="s">
        <v>1887</v>
      </c>
      <c r="D84" s="19" t="s">
        <v>1888</v>
      </c>
      <c r="E84" s="20" t="s">
        <v>12</v>
      </c>
      <c r="F84" s="19" t="s">
        <v>1887</v>
      </c>
      <c r="G84" s="19" t="s">
        <v>1889</v>
      </c>
      <c r="H84" s="19" t="s">
        <v>31</v>
      </c>
      <c r="I84">
        <v>1278146</v>
      </c>
      <c r="J84">
        <v>11540</v>
      </c>
      <c r="K84" s="1" t="s">
        <v>1021</v>
      </c>
    </row>
    <row r="85" spans="1:11" hidden="1">
      <c r="A85" s="17" t="s">
        <v>1108</v>
      </c>
      <c r="B85" s="19" t="s">
        <v>50</v>
      </c>
      <c r="C85" s="19" t="s">
        <v>1133</v>
      </c>
      <c r="D85" s="19" t="s">
        <v>1134</v>
      </c>
      <c r="E85" s="20" t="s">
        <v>12</v>
      </c>
      <c r="F85" s="19" t="s">
        <v>1133</v>
      </c>
      <c r="G85" s="19" t="s">
        <v>1135</v>
      </c>
      <c r="H85" s="19" t="s">
        <v>31</v>
      </c>
      <c r="I85">
        <v>106364</v>
      </c>
      <c r="J85">
        <v>403</v>
      </c>
      <c r="K85" s="1" t="s">
        <v>1021</v>
      </c>
    </row>
    <row r="86" spans="1:11" hidden="1">
      <c r="A86" s="17" t="s">
        <v>1108</v>
      </c>
      <c r="B86" s="19" t="s">
        <v>50</v>
      </c>
      <c r="C86" s="19" t="s">
        <v>1890</v>
      </c>
      <c r="D86" s="19" t="s">
        <v>1891</v>
      </c>
      <c r="E86" s="20" t="s">
        <v>12</v>
      </c>
      <c r="F86" s="19" t="s">
        <v>1890</v>
      </c>
      <c r="G86" s="19" t="s">
        <v>1892</v>
      </c>
      <c r="H86" s="19" t="s">
        <v>31</v>
      </c>
      <c r="I86">
        <v>636433</v>
      </c>
      <c r="J86">
        <v>3709</v>
      </c>
      <c r="K86" s="1" t="s">
        <v>1021</v>
      </c>
    </row>
    <row r="87" spans="1:11" hidden="1">
      <c r="A87" s="17" t="s">
        <v>1108</v>
      </c>
      <c r="B87" s="19" t="s">
        <v>50</v>
      </c>
      <c r="C87" s="19" t="s">
        <v>1893</v>
      </c>
      <c r="D87" s="19" t="s">
        <v>1894</v>
      </c>
      <c r="E87" s="20" t="s">
        <v>12</v>
      </c>
      <c r="F87" s="19" t="s">
        <v>1893</v>
      </c>
      <c r="G87" s="19" t="s">
        <v>1895</v>
      </c>
      <c r="H87" s="19" t="s">
        <v>31</v>
      </c>
      <c r="I87">
        <v>4846</v>
      </c>
      <c r="J87">
        <v>12</v>
      </c>
      <c r="K87" s="1" t="s">
        <v>1020</v>
      </c>
    </row>
    <row r="88" spans="1:11" hidden="1">
      <c r="A88" s="17" t="s">
        <v>1108</v>
      </c>
      <c r="B88" s="19" t="s">
        <v>50</v>
      </c>
      <c r="C88" s="19" t="s">
        <v>1136</v>
      </c>
      <c r="D88" s="19" t="s">
        <v>1137</v>
      </c>
      <c r="E88" s="20" t="s">
        <v>12</v>
      </c>
      <c r="F88" s="19" t="s">
        <v>1136</v>
      </c>
      <c r="G88" s="19" t="s">
        <v>1138</v>
      </c>
      <c r="H88" s="19" t="s">
        <v>31</v>
      </c>
      <c r="I88">
        <v>378166</v>
      </c>
      <c r="J88">
        <v>2641</v>
      </c>
      <c r="K88" s="1" t="s">
        <v>1021</v>
      </c>
    </row>
    <row r="89" spans="1:11" hidden="1">
      <c r="A89" s="17" t="s">
        <v>1108</v>
      </c>
      <c r="B89" s="19" t="s">
        <v>50</v>
      </c>
      <c r="C89" s="19" t="s">
        <v>1896</v>
      </c>
      <c r="D89" s="19" t="s">
        <v>1897</v>
      </c>
      <c r="E89" s="20" t="s">
        <v>12</v>
      </c>
      <c r="F89" s="19" t="s">
        <v>1896</v>
      </c>
      <c r="G89" s="19" t="s">
        <v>1898</v>
      </c>
      <c r="H89" s="19" t="s">
        <v>31</v>
      </c>
      <c r="I89">
        <v>16738</v>
      </c>
      <c r="J89">
        <v>48</v>
      </c>
      <c r="K89" s="1" t="s">
        <v>1020</v>
      </c>
    </row>
    <row r="90" spans="1:11" hidden="1">
      <c r="A90" s="17" t="s">
        <v>1108</v>
      </c>
      <c r="B90" s="19" t="s">
        <v>50</v>
      </c>
      <c r="C90" s="19" t="s">
        <v>1139</v>
      </c>
      <c r="D90" s="19" t="s">
        <v>1140</v>
      </c>
      <c r="E90" s="20" t="s">
        <v>12</v>
      </c>
      <c r="F90" s="19" t="s">
        <v>1139</v>
      </c>
      <c r="G90" s="19" t="s">
        <v>1141</v>
      </c>
      <c r="H90" s="19" t="s">
        <v>31</v>
      </c>
      <c r="I90">
        <v>174851</v>
      </c>
      <c r="J90">
        <v>1124</v>
      </c>
      <c r="K90" s="1" t="s">
        <v>1020</v>
      </c>
    </row>
    <row r="91" spans="1:11" hidden="1">
      <c r="A91" s="17" t="s">
        <v>1108</v>
      </c>
      <c r="B91" s="19" t="s">
        <v>50</v>
      </c>
      <c r="C91" s="19" t="s">
        <v>1899</v>
      </c>
      <c r="D91" s="19" t="s">
        <v>1900</v>
      </c>
      <c r="E91" s="20" t="s">
        <v>12</v>
      </c>
      <c r="F91" s="19" t="s">
        <v>1899</v>
      </c>
      <c r="G91" s="19" t="s">
        <v>1901</v>
      </c>
      <c r="H91" s="19" t="s">
        <v>31</v>
      </c>
      <c r="I91">
        <v>1524</v>
      </c>
      <c r="J91">
        <v>3</v>
      </c>
      <c r="K91" s="1" t="s">
        <v>1020</v>
      </c>
    </row>
    <row r="92" spans="1:11" hidden="1">
      <c r="A92" s="17" t="s">
        <v>1108</v>
      </c>
      <c r="B92" s="19" t="s">
        <v>50</v>
      </c>
      <c r="C92" s="19" t="s">
        <v>1902</v>
      </c>
      <c r="D92" s="19" t="s">
        <v>1903</v>
      </c>
      <c r="E92" s="20" t="s">
        <v>12</v>
      </c>
      <c r="F92" s="19" t="s">
        <v>1902</v>
      </c>
      <c r="G92" s="19" t="s">
        <v>1904</v>
      </c>
      <c r="H92" s="19" t="s">
        <v>31</v>
      </c>
      <c r="I92">
        <v>5677</v>
      </c>
      <c r="J92">
        <v>2</v>
      </c>
      <c r="K92" s="1" t="s">
        <v>1021</v>
      </c>
    </row>
    <row r="93" spans="1:11" hidden="1">
      <c r="A93" s="17" t="s">
        <v>1108</v>
      </c>
      <c r="B93" s="19" t="s">
        <v>50</v>
      </c>
      <c r="C93" s="19" t="s">
        <v>1142</v>
      </c>
      <c r="D93" s="19" t="s">
        <v>1143</v>
      </c>
      <c r="E93" s="20" t="s">
        <v>12</v>
      </c>
      <c r="F93" s="19" t="s">
        <v>1142</v>
      </c>
      <c r="G93" s="19" t="s">
        <v>1144</v>
      </c>
      <c r="H93" s="19" t="s">
        <v>31</v>
      </c>
      <c r="I93">
        <v>94625</v>
      </c>
      <c r="J93">
        <v>3077</v>
      </c>
      <c r="K93" s="1" t="s">
        <v>1020</v>
      </c>
    </row>
    <row r="94" spans="1:11" hidden="1">
      <c r="A94" s="17" t="s">
        <v>1108</v>
      </c>
      <c r="B94" s="19" t="s">
        <v>50</v>
      </c>
      <c r="C94" s="19" t="s">
        <v>1905</v>
      </c>
      <c r="D94" s="19" t="s">
        <v>1906</v>
      </c>
      <c r="E94" s="20" t="s">
        <v>12</v>
      </c>
      <c r="F94" s="19" t="s">
        <v>1905</v>
      </c>
      <c r="G94" s="19" t="s">
        <v>1907</v>
      </c>
      <c r="H94" s="19" t="s">
        <v>31</v>
      </c>
      <c r="I94">
        <v>1113</v>
      </c>
      <c r="J94">
        <v>2</v>
      </c>
      <c r="K94" s="1" t="s">
        <v>1021</v>
      </c>
    </row>
    <row r="95" spans="1:11" hidden="1">
      <c r="A95" s="17" t="s">
        <v>1108</v>
      </c>
      <c r="B95" s="19" t="s">
        <v>50</v>
      </c>
      <c r="C95" s="19" t="s">
        <v>1908</v>
      </c>
      <c r="D95" s="19" t="s">
        <v>1909</v>
      </c>
      <c r="E95" s="20" t="s">
        <v>12</v>
      </c>
      <c r="F95" s="19" t="s">
        <v>1908</v>
      </c>
      <c r="G95" s="19" t="s">
        <v>1910</v>
      </c>
      <c r="H95" s="19" t="s">
        <v>31</v>
      </c>
      <c r="I95">
        <v>4464</v>
      </c>
      <c r="J95">
        <v>1</v>
      </c>
      <c r="K95" s="1" t="s">
        <v>1020</v>
      </c>
    </row>
    <row r="96" spans="1:11" hidden="1">
      <c r="A96" s="17" t="s">
        <v>1108</v>
      </c>
      <c r="B96" s="19" t="s">
        <v>50</v>
      </c>
      <c r="C96" s="19" t="s">
        <v>1145</v>
      </c>
      <c r="D96" s="19" t="s">
        <v>1146</v>
      </c>
      <c r="E96" s="20" t="s">
        <v>12</v>
      </c>
      <c r="F96" s="19" t="s">
        <v>1145</v>
      </c>
      <c r="G96" s="19" t="s">
        <v>1147</v>
      </c>
      <c r="H96" s="19" t="s">
        <v>31</v>
      </c>
      <c r="I96">
        <v>60470</v>
      </c>
      <c r="J96">
        <v>1961</v>
      </c>
      <c r="K96" s="1" t="s">
        <v>1020</v>
      </c>
    </row>
    <row r="97" spans="1:11" hidden="1">
      <c r="A97" s="17" t="s">
        <v>1108</v>
      </c>
      <c r="B97" s="19" t="s">
        <v>50</v>
      </c>
      <c r="C97" s="19" t="s">
        <v>1911</v>
      </c>
      <c r="D97" s="19" t="s">
        <v>1912</v>
      </c>
      <c r="E97" s="20" t="s">
        <v>12</v>
      </c>
      <c r="F97" s="19" t="s">
        <v>1911</v>
      </c>
      <c r="G97" s="19" t="s">
        <v>1913</v>
      </c>
      <c r="H97" s="19" t="s">
        <v>31</v>
      </c>
      <c r="I97">
        <v>4320</v>
      </c>
      <c r="J97">
        <v>0</v>
      </c>
      <c r="K97" s="1" t="s">
        <v>1020</v>
      </c>
    </row>
    <row r="98" spans="1:11" hidden="1">
      <c r="A98" s="17" t="s">
        <v>1108</v>
      </c>
      <c r="B98" s="19" t="s">
        <v>50</v>
      </c>
      <c r="C98" s="19" t="s">
        <v>1914</v>
      </c>
      <c r="D98" s="19" t="s">
        <v>1915</v>
      </c>
      <c r="E98" s="20" t="s">
        <v>12</v>
      </c>
      <c r="F98" s="19" t="s">
        <v>1914</v>
      </c>
      <c r="G98" s="19" t="s">
        <v>1916</v>
      </c>
      <c r="H98" s="19" t="s">
        <v>31</v>
      </c>
      <c r="I98">
        <v>21433</v>
      </c>
      <c r="J98">
        <v>6</v>
      </c>
      <c r="K98" s="1" t="s">
        <v>1020</v>
      </c>
    </row>
    <row r="99" spans="1:11" hidden="1">
      <c r="A99" s="17" t="s">
        <v>1108</v>
      </c>
      <c r="B99" s="19" t="s">
        <v>50</v>
      </c>
      <c r="C99" s="19" t="s">
        <v>1917</v>
      </c>
      <c r="D99" s="19" t="s">
        <v>1918</v>
      </c>
      <c r="E99" s="20" t="s">
        <v>12</v>
      </c>
      <c r="F99" s="19" t="s">
        <v>1917</v>
      </c>
      <c r="G99" s="19" t="s">
        <v>1919</v>
      </c>
      <c r="H99" s="19" t="s">
        <v>31</v>
      </c>
      <c r="I99">
        <v>486963</v>
      </c>
      <c r="J99">
        <v>15833</v>
      </c>
      <c r="K99" s="1" t="s">
        <v>1021</v>
      </c>
    </row>
    <row r="100" spans="1:11" hidden="1">
      <c r="A100" s="17" t="s">
        <v>1108</v>
      </c>
      <c r="B100" s="19" t="s">
        <v>50</v>
      </c>
      <c r="C100" s="19" t="s">
        <v>1920</v>
      </c>
      <c r="D100" s="19" t="s">
        <v>1921</v>
      </c>
      <c r="E100" s="20" t="s">
        <v>12</v>
      </c>
      <c r="F100" s="19" t="s">
        <v>1920</v>
      </c>
      <c r="G100" s="19" t="s">
        <v>1922</v>
      </c>
      <c r="H100" s="19" t="s">
        <v>31</v>
      </c>
      <c r="I100">
        <v>4519</v>
      </c>
      <c r="J100">
        <v>2</v>
      </c>
      <c r="K100" s="1" t="s">
        <v>1021</v>
      </c>
    </row>
    <row r="101" spans="1:11" hidden="1">
      <c r="A101" s="17" t="s">
        <v>1108</v>
      </c>
      <c r="B101" s="19" t="s">
        <v>50</v>
      </c>
      <c r="C101" s="19" t="s">
        <v>1923</v>
      </c>
      <c r="D101" s="19" t="s">
        <v>1924</v>
      </c>
      <c r="E101" s="20" t="s">
        <v>12</v>
      </c>
      <c r="F101" s="19" t="s">
        <v>1923</v>
      </c>
      <c r="G101" s="19" t="s">
        <v>1925</v>
      </c>
      <c r="H101" s="19" t="s">
        <v>31</v>
      </c>
      <c r="I101">
        <v>18273</v>
      </c>
      <c r="J101">
        <v>3</v>
      </c>
      <c r="K101" s="1" t="s">
        <v>1020</v>
      </c>
    </row>
    <row r="102" spans="1:11" hidden="1">
      <c r="A102" s="17" t="s">
        <v>1108</v>
      </c>
      <c r="B102" s="19" t="s">
        <v>50</v>
      </c>
      <c r="C102" s="19" t="s">
        <v>1148</v>
      </c>
      <c r="D102" s="19" t="s">
        <v>1149</v>
      </c>
      <c r="E102" s="20" t="s">
        <v>12</v>
      </c>
      <c r="F102" s="19" t="s">
        <v>1148</v>
      </c>
      <c r="G102" s="19" t="s">
        <v>1150</v>
      </c>
      <c r="H102" s="19" t="s">
        <v>31</v>
      </c>
      <c r="I102">
        <v>326065</v>
      </c>
      <c r="J102">
        <v>10802</v>
      </c>
      <c r="K102" s="1" t="s">
        <v>1021</v>
      </c>
    </row>
    <row r="103" spans="1:11" hidden="1">
      <c r="A103" s="17" t="s">
        <v>1108</v>
      </c>
      <c r="B103" s="19" t="s">
        <v>50</v>
      </c>
      <c r="C103" s="19" t="s">
        <v>1926</v>
      </c>
      <c r="D103" s="19" t="s">
        <v>1927</v>
      </c>
      <c r="E103" s="20" t="s">
        <v>12</v>
      </c>
      <c r="F103" s="19" t="s">
        <v>1926</v>
      </c>
      <c r="G103" s="19" t="s">
        <v>1928</v>
      </c>
      <c r="H103" s="19" t="s">
        <v>31</v>
      </c>
      <c r="I103">
        <v>1649</v>
      </c>
      <c r="J103">
        <v>1</v>
      </c>
      <c r="K103" s="1" t="s">
        <v>1021</v>
      </c>
    </row>
    <row r="104" spans="1:11" hidden="1">
      <c r="A104" s="17" t="s">
        <v>1108</v>
      </c>
      <c r="B104" s="19" t="s">
        <v>50</v>
      </c>
      <c r="C104" s="19" t="s">
        <v>1929</v>
      </c>
      <c r="D104" s="19" t="s">
        <v>1930</v>
      </c>
      <c r="E104" s="20" t="s">
        <v>12</v>
      </c>
      <c r="F104" s="19" t="s">
        <v>1929</v>
      </c>
      <c r="G104" s="19" t="s">
        <v>1931</v>
      </c>
      <c r="H104" s="19" t="s">
        <v>31</v>
      </c>
      <c r="I104">
        <v>13909</v>
      </c>
      <c r="J104">
        <v>21</v>
      </c>
      <c r="K104" s="1" t="s">
        <v>1020</v>
      </c>
    </row>
    <row r="105" spans="1:11" hidden="1">
      <c r="A105" s="17" t="s">
        <v>1108</v>
      </c>
      <c r="B105" s="19" t="s">
        <v>50</v>
      </c>
      <c r="C105" s="19" t="s">
        <v>1151</v>
      </c>
      <c r="D105" s="19" t="s">
        <v>1152</v>
      </c>
      <c r="E105" s="20" t="s">
        <v>12</v>
      </c>
      <c r="F105" s="19" t="s">
        <v>1151</v>
      </c>
      <c r="G105" s="19" t="s">
        <v>1153</v>
      </c>
      <c r="H105" s="19" t="s">
        <v>31</v>
      </c>
      <c r="I105">
        <v>100416</v>
      </c>
      <c r="J105">
        <v>3058</v>
      </c>
      <c r="K105" s="1" t="s">
        <v>1020</v>
      </c>
    </row>
    <row r="106" spans="1:11" hidden="1">
      <c r="A106" s="17" t="s">
        <v>1108</v>
      </c>
      <c r="B106" s="19" t="s">
        <v>761</v>
      </c>
      <c r="C106" s="19" t="s">
        <v>1154</v>
      </c>
      <c r="D106" s="19" t="s">
        <v>1155</v>
      </c>
      <c r="E106" s="20" t="str">
        <f t="shared" ref="E106:E132" si="1">IF(I106&gt;J106,"Standard","Tracking")</f>
        <v>Standard</v>
      </c>
      <c r="F106" s="19" t="s">
        <v>1154</v>
      </c>
      <c r="G106" s="19" t="s">
        <v>1156</v>
      </c>
      <c r="H106" s="19" t="s">
        <v>32</v>
      </c>
      <c r="I106">
        <v>59769</v>
      </c>
      <c r="J106">
        <v>113</v>
      </c>
      <c r="K106" s="1" t="s">
        <v>1021</v>
      </c>
    </row>
    <row r="107" spans="1:11" hidden="1">
      <c r="A107" s="17" t="s">
        <v>1108</v>
      </c>
      <c r="B107" s="19" t="s">
        <v>761</v>
      </c>
      <c r="C107" s="19" t="s">
        <v>1157</v>
      </c>
      <c r="D107" s="19" t="s">
        <v>1158</v>
      </c>
      <c r="E107" s="20" t="str">
        <f t="shared" si="1"/>
        <v>Standard</v>
      </c>
      <c r="F107" s="19" t="s">
        <v>1157</v>
      </c>
      <c r="G107" s="19" t="s">
        <v>1159</v>
      </c>
      <c r="H107" s="19" t="s">
        <v>32</v>
      </c>
      <c r="I107">
        <v>25263</v>
      </c>
      <c r="J107">
        <v>127</v>
      </c>
      <c r="K107" s="1" t="s">
        <v>1020</v>
      </c>
    </row>
    <row r="108" spans="1:11" hidden="1">
      <c r="A108" s="17" t="s">
        <v>1108</v>
      </c>
      <c r="B108" s="19" t="s">
        <v>761</v>
      </c>
      <c r="C108" s="19" t="s">
        <v>1932</v>
      </c>
      <c r="D108" s="19" t="s">
        <v>1933</v>
      </c>
      <c r="E108" s="20" t="str">
        <f t="shared" si="1"/>
        <v>Standard</v>
      </c>
      <c r="F108" s="19" t="s">
        <v>1932</v>
      </c>
      <c r="G108" s="19" t="s">
        <v>1934</v>
      </c>
      <c r="H108" s="19" t="s">
        <v>32</v>
      </c>
      <c r="I108">
        <v>60635</v>
      </c>
      <c r="J108">
        <v>185</v>
      </c>
      <c r="K108" s="1" t="s">
        <v>1021</v>
      </c>
    </row>
    <row r="109" spans="1:11" hidden="1">
      <c r="A109" s="17" t="s">
        <v>1108</v>
      </c>
      <c r="B109" s="19" t="s">
        <v>761</v>
      </c>
      <c r="C109" s="19" t="s">
        <v>1160</v>
      </c>
      <c r="D109" s="19" t="s">
        <v>1161</v>
      </c>
      <c r="E109" s="20" t="str">
        <f t="shared" si="1"/>
        <v>Standard</v>
      </c>
      <c r="F109" s="19" t="s">
        <v>1160</v>
      </c>
      <c r="G109" s="19" t="s">
        <v>1162</v>
      </c>
      <c r="H109" s="19" t="s">
        <v>32</v>
      </c>
      <c r="I109">
        <v>59407</v>
      </c>
      <c r="J109">
        <v>104</v>
      </c>
      <c r="K109" s="1" t="s">
        <v>1021</v>
      </c>
    </row>
    <row r="110" spans="1:11" hidden="1">
      <c r="A110" s="17" t="s">
        <v>1108</v>
      </c>
      <c r="B110" s="19" t="s">
        <v>761</v>
      </c>
      <c r="C110" s="19" t="s">
        <v>1163</v>
      </c>
      <c r="D110" s="19" t="s">
        <v>1164</v>
      </c>
      <c r="E110" s="20" t="str">
        <f t="shared" si="1"/>
        <v>Standard</v>
      </c>
      <c r="F110" s="19" t="s">
        <v>1163</v>
      </c>
      <c r="G110" s="19" t="s">
        <v>1165</v>
      </c>
      <c r="H110" s="19" t="s">
        <v>32</v>
      </c>
      <c r="I110">
        <v>25316</v>
      </c>
      <c r="J110">
        <v>145</v>
      </c>
      <c r="K110" s="1" t="s">
        <v>1021</v>
      </c>
    </row>
    <row r="111" spans="1:11" hidden="1">
      <c r="A111" s="17" t="s">
        <v>1108</v>
      </c>
      <c r="B111" s="19" t="s">
        <v>761</v>
      </c>
      <c r="C111" s="19" t="s">
        <v>1935</v>
      </c>
      <c r="D111" s="19" t="s">
        <v>1936</v>
      </c>
      <c r="E111" s="20" t="str">
        <f t="shared" si="1"/>
        <v>Standard</v>
      </c>
      <c r="F111" s="19" t="s">
        <v>1935</v>
      </c>
      <c r="G111" s="19" t="s">
        <v>1937</v>
      </c>
      <c r="H111" s="19" t="s">
        <v>32</v>
      </c>
      <c r="I111">
        <v>60594</v>
      </c>
      <c r="J111">
        <v>202</v>
      </c>
      <c r="K111" s="1" t="s">
        <v>1020</v>
      </c>
    </row>
    <row r="112" spans="1:11" hidden="1">
      <c r="A112" s="17" t="s">
        <v>1108</v>
      </c>
      <c r="B112" s="19" t="s">
        <v>761</v>
      </c>
      <c r="C112" s="19" t="s">
        <v>1166</v>
      </c>
      <c r="D112" s="19" t="s">
        <v>1167</v>
      </c>
      <c r="E112" s="20" t="str">
        <f t="shared" si="1"/>
        <v>Standard</v>
      </c>
      <c r="F112" s="19" t="s">
        <v>1166</v>
      </c>
      <c r="G112" s="19" t="s">
        <v>1168</v>
      </c>
      <c r="H112" s="19" t="s">
        <v>32</v>
      </c>
      <c r="I112">
        <v>232569</v>
      </c>
      <c r="J112">
        <v>1234</v>
      </c>
      <c r="K112" s="1" t="s">
        <v>1021</v>
      </c>
    </row>
    <row r="113" spans="1:11" hidden="1">
      <c r="A113" s="17" t="s">
        <v>1108</v>
      </c>
      <c r="B113" s="19" t="s">
        <v>761</v>
      </c>
      <c r="C113" s="19" t="s">
        <v>1169</v>
      </c>
      <c r="D113" s="19" t="s">
        <v>1170</v>
      </c>
      <c r="E113" s="20" t="str">
        <f t="shared" si="1"/>
        <v>Standard</v>
      </c>
      <c r="F113" s="19" t="s">
        <v>1169</v>
      </c>
      <c r="G113" s="19" t="s">
        <v>1171</v>
      </c>
      <c r="H113" s="19" t="s">
        <v>32</v>
      </c>
      <c r="I113">
        <v>122738</v>
      </c>
      <c r="J113">
        <v>3633</v>
      </c>
      <c r="K113" s="1" t="s">
        <v>1021</v>
      </c>
    </row>
    <row r="114" spans="1:11" hidden="1">
      <c r="A114" s="17" t="s">
        <v>1108</v>
      </c>
      <c r="B114" s="19" t="s">
        <v>761</v>
      </c>
      <c r="C114" s="19" t="s">
        <v>1938</v>
      </c>
      <c r="D114" s="19" t="s">
        <v>1939</v>
      </c>
      <c r="E114" s="20" t="str">
        <f t="shared" si="1"/>
        <v>Standard</v>
      </c>
      <c r="F114" s="19" t="s">
        <v>1938</v>
      </c>
      <c r="G114" s="19" t="s">
        <v>1940</v>
      </c>
      <c r="H114" s="19" t="s">
        <v>32</v>
      </c>
      <c r="I114">
        <v>338104</v>
      </c>
      <c r="J114">
        <v>819</v>
      </c>
      <c r="K114" s="1" t="s">
        <v>1021</v>
      </c>
    </row>
    <row r="115" spans="1:11" hidden="1">
      <c r="A115" s="17" t="s">
        <v>1108</v>
      </c>
      <c r="B115" s="19" t="s">
        <v>761</v>
      </c>
      <c r="C115" s="19" t="s">
        <v>1172</v>
      </c>
      <c r="D115" s="19" t="s">
        <v>1173</v>
      </c>
      <c r="E115" s="20" t="str">
        <f t="shared" si="1"/>
        <v>Standard</v>
      </c>
      <c r="F115" s="19" t="s">
        <v>1172</v>
      </c>
      <c r="G115" s="19" t="s">
        <v>1174</v>
      </c>
      <c r="H115" s="19" t="s">
        <v>32</v>
      </c>
      <c r="I115">
        <v>231814</v>
      </c>
      <c r="J115">
        <v>1282</v>
      </c>
      <c r="K115" s="1" t="s">
        <v>1021</v>
      </c>
    </row>
    <row r="116" spans="1:11" hidden="1">
      <c r="A116" s="17" t="s">
        <v>1108</v>
      </c>
      <c r="B116" s="19" t="s">
        <v>761</v>
      </c>
      <c r="C116" s="19" t="s">
        <v>1175</v>
      </c>
      <c r="D116" s="19" t="s">
        <v>1176</v>
      </c>
      <c r="E116" s="20" t="str">
        <f t="shared" si="1"/>
        <v>Standard</v>
      </c>
      <c r="F116" s="19" t="s">
        <v>1175</v>
      </c>
      <c r="G116" s="19" t="s">
        <v>1177</v>
      </c>
      <c r="H116" s="19" t="s">
        <v>32</v>
      </c>
      <c r="I116">
        <v>123246</v>
      </c>
      <c r="J116">
        <v>3732</v>
      </c>
      <c r="K116" s="1" t="s">
        <v>1020</v>
      </c>
    </row>
    <row r="117" spans="1:11" hidden="1">
      <c r="A117" s="17" t="s">
        <v>1108</v>
      </c>
      <c r="B117" s="19" t="s">
        <v>761</v>
      </c>
      <c r="C117" s="19" t="s">
        <v>1941</v>
      </c>
      <c r="D117" s="19" t="s">
        <v>1942</v>
      </c>
      <c r="E117" s="20" t="str">
        <f t="shared" si="1"/>
        <v>Standard</v>
      </c>
      <c r="F117" s="19" t="s">
        <v>1941</v>
      </c>
      <c r="G117" s="19" t="s">
        <v>1943</v>
      </c>
      <c r="H117" s="19" t="s">
        <v>32</v>
      </c>
      <c r="I117">
        <v>337459</v>
      </c>
      <c r="J117">
        <v>830</v>
      </c>
      <c r="K117" s="1" t="s">
        <v>1020</v>
      </c>
    </row>
    <row r="118" spans="1:11" hidden="1">
      <c r="A118" s="17" t="s">
        <v>1108</v>
      </c>
      <c r="B118" s="19" t="s">
        <v>761</v>
      </c>
      <c r="C118" s="19" t="s">
        <v>1178</v>
      </c>
      <c r="D118" s="19" t="s">
        <v>1179</v>
      </c>
      <c r="E118" s="20" t="str">
        <f t="shared" si="1"/>
        <v>Standard</v>
      </c>
      <c r="F118" s="19" t="s">
        <v>1178</v>
      </c>
      <c r="G118" s="19" t="s">
        <v>1180</v>
      </c>
      <c r="H118" s="19" t="s">
        <v>32</v>
      </c>
      <c r="I118">
        <v>95586</v>
      </c>
      <c r="J118">
        <v>279</v>
      </c>
      <c r="K118" s="1" t="s">
        <v>1020</v>
      </c>
    </row>
    <row r="119" spans="1:11" hidden="1">
      <c r="A119" s="17" t="s">
        <v>1108</v>
      </c>
      <c r="B119" s="19" t="s">
        <v>761</v>
      </c>
      <c r="C119" s="19" t="s">
        <v>1181</v>
      </c>
      <c r="D119" s="19" t="s">
        <v>1182</v>
      </c>
      <c r="E119" s="20" t="str">
        <f t="shared" si="1"/>
        <v>Standard</v>
      </c>
      <c r="F119" s="19" t="s">
        <v>1181</v>
      </c>
      <c r="G119" s="19" t="s">
        <v>1183</v>
      </c>
      <c r="H119" s="19" t="s">
        <v>32</v>
      </c>
      <c r="I119">
        <v>47508</v>
      </c>
      <c r="J119">
        <v>578</v>
      </c>
      <c r="K119" s="1" t="s">
        <v>1020</v>
      </c>
    </row>
    <row r="120" spans="1:11" hidden="1">
      <c r="A120" s="17" t="s">
        <v>1108</v>
      </c>
      <c r="B120" s="19" t="s">
        <v>761</v>
      </c>
      <c r="C120" s="19" t="s">
        <v>1184</v>
      </c>
      <c r="D120" s="19" t="s">
        <v>1185</v>
      </c>
      <c r="E120" s="20" t="str">
        <f t="shared" si="1"/>
        <v>Standard</v>
      </c>
      <c r="F120" s="19" t="s">
        <v>1184</v>
      </c>
      <c r="G120" s="19" t="s">
        <v>1186</v>
      </c>
      <c r="H120" s="19" t="s">
        <v>32</v>
      </c>
      <c r="I120">
        <v>109243</v>
      </c>
      <c r="J120">
        <v>315</v>
      </c>
      <c r="K120" s="1" t="s">
        <v>1020</v>
      </c>
    </row>
    <row r="121" spans="1:11" hidden="1">
      <c r="A121" s="17" t="s">
        <v>1108</v>
      </c>
      <c r="B121" s="19" t="s">
        <v>761</v>
      </c>
      <c r="C121" s="19" t="s">
        <v>1944</v>
      </c>
      <c r="D121" s="19" t="s">
        <v>1945</v>
      </c>
      <c r="E121" s="20" t="str">
        <f t="shared" si="1"/>
        <v>Tracking</v>
      </c>
      <c r="F121" s="19" t="s">
        <v>1944</v>
      </c>
      <c r="G121" s="19" t="s">
        <v>1946</v>
      </c>
      <c r="H121" s="19" t="s">
        <v>32</v>
      </c>
      <c r="I121">
        <v>0</v>
      </c>
      <c r="J121">
        <v>1</v>
      </c>
      <c r="K121" s="1" t="s">
        <v>1020</v>
      </c>
    </row>
    <row r="122" spans="1:11" hidden="1">
      <c r="A122" s="17" t="s">
        <v>1108</v>
      </c>
      <c r="B122" s="19" t="s">
        <v>761</v>
      </c>
      <c r="C122" s="19" t="s">
        <v>1947</v>
      </c>
      <c r="D122" s="19" t="s">
        <v>1948</v>
      </c>
      <c r="E122" s="20" t="str">
        <f t="shared" si="1"/>
        <v>Tracking</v>
      </c>
      <c r="F122" s="19" t="s">
        <v>1947</v>
      </c>
      <c r="G122" s="19" t="s">
        <v>1949</v>
      </c>
      <c r="H122" s="19" t="s">
        <v>32</v>
      </c>
      <c r="I122">
        <v>0</v>
      </c>
      <c r="J122">
        <v>1</v>
      </c>
      <c r="K122" s="1" t="s">
        <v>1020</v>
      </c>
    </row>
    <row r="123" spans="1:11" hidden="1">
      <c r="A123" s="17" t="s">
        <v>1108</v>
      </c>
      <c r="B123" s="19" t="s">
        <v>761</v>
      </c>
      <c r="C123" s="19" t="s">
        <v>1187</v>
      </c>
      <c r="D123" s="19" t="s">
        <v>1188</v>
      </c>
      <c r="E123" s="20" t="str">
        <f t="shared" si="1"/>
        <v>Tracking</v>
      </c>
      <c r="F123" s="19" t="s">
        <v>1187</v>
      </c>
      <c r="G123" s="19" t="s">
        <v>1189</v>
      </c>
      <c r="H123" s="19" t="s">
        <v>32</v>
      </c>
      <c r="I123">
        <v>0</v>
      </c>
      <c r="J123">
        <v>310</v>
      </c>
      <c r="K123" s="1" t="s">
        <v>1020</v>
      </c>
    </row>
    <row r="124" spans="1:11" hidden="1">
      <c r="A124" s="17" t="s">
        <v>1108</v>
      </c>
      <c r="B124" s="19" t="s">
        <v>761</v>
      </c>
      <c r="C124" s="19" t="s">
        <v>1190</v>
      </c>
      <c r="D124" s="19" t="s">
        <v>1191</v>
      </c>
      <c r="E124" s="20" t="str">
        <f t="shared" si="1"/>
        <v>Standard</v>
      </c>
      <c r="F124" s="19" t="s">
        <v>1190</v>
      </c>
      <c r="G124" s="19" t="s">
        <v>1192</v>
      </c>
      <c r="H124" s="19" t="s">
        <v>32</v>
      </c>
      <c r="I124">
        <v>3255</v>
      </c>
      <c r="J124">
        <v>13</v>
      </c>
      <c r="K124" s="1" t="s">
        <v>1020</v>
      </c>
    </row>
    <row r="125" spans="1:11" hidden="1">
      <c r="A125" s="17" t="s">
        <v>1108</v>
      </c>
      <c r="B125" s="19" t="s">
        <v>761</v>
      </c>
      <c r="C125" s="19" t="s">
        <v>1193</v>
      </c>
      <c r="D125" s="19" t="s">
        <v>1194</v>
      </c>
      <c r="E125" s="20" t="str">
        <f t="shared" si="1"/>
        <v>Tracking</v>
      </c>
      <c r="F125" s="19" t="s">
        <v>1193</v>
      </c>
      <c r="G125" s="19" t="s">
        <v>1195</v>
      </c>
      <c r="H125" s="19" t="s">
        <v>32</v>
      </c>
      <c r="I125">
        <v>0</v>
      </c>
      <c r="J125">
        <v>264</v>
      </c>
      <c r="K125" s="1" t="s">
        <v>1020</v>
      </c>
    </row>
    <row r="126" spans="1:11" hidden="1">
      <c r="A126" s="17" t="s">
        <v>1108</v>
      </c>
      <c r="B126" s="19" t="s">
        <v>761</v>
      </c>
      <c r="C126" s="19" t="s">
        <v>1950</v>
      </c>
      <c r="D126" s="19" t="s">
        <v>1951</v>
      </c>
      <c r="E126" s="20" t="str">
        <f t="shared" si="1"/>
        <v>Standard</v>
      </c>
      <c r="F126" s="19" t="s">
        <v>1950</v>
      </c>
      <c r="G126" s="19" t="s">
        <v>1952</v>
      </c>
      <c r="H126" s="19" t="s">
        <v>32</v>
      </c>
      <c r="I126">
        <v>3356</v>
      </c>
      <c r="J126">
        <v>18</v>
      </c>
      <c r="K126" s="1" t="s">
        <v>1020</v>
      </c>
    </row>
    <row r="127" spans="1:11" hidden="1">
      <c r="A127" s="17" t="s">
        <v>1108</v>
      </c>
      <c r="B127" s="19" t="s">
        <v>761</v>
      </c>
      <c r="C127" s="19" t="s">
        <v>1953</v>
      </c>
      <c r="D127" s="19" t="s">
        <v>1954</v>
      </c>
      <c r="E127" s="20" t="str">
        <f t="shared" si="1"/>
        <v>Tracking</v>
      </c>
      <c r="F127" s="19" t="s">
        <v>1953</v>
      </c>
      <c r="G127" s="19" t="s">
        <v>1955</v>
      </c>
      <c r="H127" s="19" t="s">
        <v>32</v>
      </c>
      <c r="I127">
        <v>0</v>
      </c>
      <c r="J127">
        <v>2467</v>
      </c>
      <c r="K127" s="1" t="s">
        <v>1020</v>
      </c>
    </row>
    <row r="128" spans="1:11" hidden="1">
      <c r="A128" s="17" t="s">
        <v>1108</v>
      </c>
      <c r="B128" s="19" t="s">
        <v>761</v>
      </c>
      <c r="C128" s="19" t="s">
        <v>1956</v>
      </c>
      <c r="D128" s="19" t="s">
        <v>1957</v>
      </c>
      <c r="E128" s="20" t="str">
        <f t="shared" si="1"/>
        <v>Standard</v>
      </c>
      <c r="F128" s="19" t="s">
        <v>1956</v>
      </c>
      <c r="G128" s="19" t="s">
        <v>1958</v>
      </c>
      <c r="H128" s="19" t="s">
        <v>32</v>
      </c>
      <c r="I128">
        <v>29502</v>
      </c>
      <c r="J128">
        <v>1246</v>
      </c>
      <c r="K128" s="1" t="s">
        <v>1020</v>
      </c>
    </row>
    <row r="129" spans="1:11" hidden="1">
      <c r="A129" s="17" t="s">
        <v>1108</v>
      </c>
      <c r="B129" s="19" t="s">
        <v>761</v>
      </c>
      <c r="C129" s="19" t="s">
        <v>1959</v>
      </c>
      <c r="D129" s="19" t="s">
        <v>1960</v>
      </c>
      <c r="E129" s="20" t="str">
        <f t="shared" si="1"/>
        <v>Tracking</v>
      </c>
      <c r="F129" s="19" t="s">
        <v>1959</v>
      </c>
      <c r="G129" s="19" t="s">
        <v>1961</v>
      </c>
      <c r="H129" s="19" t="s">
        <v>32</v>
      </c>
      <c r="I129">
        <v>0</v>
      </c>
      <c r="J129">
        <v>2594</v>
      </c>
      <c r="K129" s="1" t="s">
        <v>1020</v>
      </c>
    </row>
    <row r="130" spans="1:11" hidden="1">
      <c r="A130" s="17" t="s">
        <v>1108</v>
      </c>
      <c r="B130" s="19" t="s">
        <v>761</v>
      </c>
      <c r="C130" s="19" t="s">
        <v>1962</v>
      </c>
      <c r="D130" s="19" t="s">
        <v>1963</v>
      </c>
      <c r="E130" s="20" t="str">
        <f t="shared" si="1"/>
        <v>Standard</v>
      </c>
      <c r="F130" s="19" t="s">
        <v>1962</v>
      </c>
      <c r="G130" s="19" t="s">
        <v>1964</v>
      </c>
      <c r="H130" s="19" t="s">
        <v>32</v>
      </c>
      <c r="I130">
        <v>29447</v>
      </c>
      <c r="J130">
        <v>1238</v>
      </c>
      <c r="K130" s="1" t="s">
        <v>1020</v>
      </c>
    </row>
    <row r="131" spans="1:11" hidden="1">
      <c r="A131" s="17" t="s">
        <v>1108</v>
      </c>
      <c r="B131" s="19" t="s">
        <v>761</v>
      </c>
      <c r="C131" s="19" t="s">
        <v>1965</v>
      </c>
      <c r="D131" s="19" t="s">
        <v>1966</v>
      </c>
      <c r="E131" s="20" t="str">
        <f t="shared" si="1"/>
        <v>Tracking</v>
      </c>
      <c r="F131" s="19" t="s">
        <v>1965</v>
      </c>
      <c r="G131" s="19" t="s">
        <v>1967</v>
      </c>
      <c r="H131" s="19" t="s">
        <v>32</v>
      </c>
      <c r="I131">
        <v>0</v>
      </c>
      <c r="J131">
        <v>1111</v>
      </c>
      <c r="K131" s="1" t="s">
        <v>1020</v>
      </c>
    </row>
    <row r="132" spans="1:11" hidden="1">
      <c r="A132" s="17" t="s">
        <v>1108</v>
      </c>
      <c r="B132" s="19" t="s">
        <v>761</v>
      </c>
      <c r="C132" s="19" t="s">
        <v>1196</v>
      </c>
      <c r="D132" s="19" t="s">
        <v>1197</v>
      </c>
      <c r="E132" s="20" t="str">
        <f t="shared" si="1"/>
        <v>Standard</v>
      </c>
      <c r="F132" s="19" t="s">
        <v>1196</v>
      </c>
      <c r="G132" s="19" t="s">
        <v>1198</v>
      </c>
      <c r="H132" s="19" t="s">
        <v>32</v>
      </c>
      <c r="I132">
        <v>7462</v>
      </c>
      <c r="J132">
        <v>109</v>
      </c>
      <c r="K132" s="1" t="s">
        <v>1020</v>
      </c>
    </row>
    <row r="133" spans="1:11" hidden="1">
      <c r="A133" s="17" t="s">
        <v>1108</v>
      </c>
      <c r="B133" s="19" t="s">
        <v>118</v>
      </c>
      <c r="C133" s="19" t="s">
        <v>1199</v>
      </c>
      <c r="D133" s="19" t="s">
        <v>1200</v>
      </c>
      <c r="E133" s="20" t="s">
        <v>12</v>
      </c>
      <c r="F133" s="19" t="s">
        <v>1199</v>
      </c>
      <c r="G133" s="19" t="s">
        <v>1201</v>
      </c>
      <c r="H133" s="19" t="s">
        <v>31</v>
      </c>
      <c r="I133">
        <v>4027</v>
      </c>
      <c r="J133">
        <v>43</v>
      </c>
      <c r="K133" s="1" t="s">
        <v>1020</v>
      </c>
    </row>
    <row r="134" spans="1:11" hidden="1">
      <c r="A134" s="17" t="s">
        <v>1108</v>
      </c>
      <c r="B134" s="19" t="s">
        <v>118</v>
      </c>
      <c r="C134" s="19" t="s">
        <v>1968</v>
      </c>
      <c r="D134" s="19" t="s">
        <v>1969</v>
      </c>
      <c r="E134" s="20" t="s">
        <v>12</v>
      </c>
      <c r="F134" s="19" t="s">
        <v>1968</v>
      </c>
      <c r="G134" s="19" t="s">
        <v>1970</v>
      </c>
      <c r="H134" s="19" t="s">
        <v>31</v>
      </c>
      <c r="I134">
        <v>1049</v>
      </c>
      <c r="J134">
        <v>14</v>
      </c>
      <c r="K134" s="1" t="s">
        <v>1020</v>
      </c>
    </row>
    <row r="135" spans="1:11" hidden="1">
      <c r="A135" s="17" t="s">
        <v>1108</v>
      </c>
      <c r="B135" s="19" t="s">
        <v>118</v>
      </c>
      <c r="C135" s="19" t="s">
        <v>1202</v>
      </c>
      <c r="D135" s="19" t="s">
        <v>1203</v>
      </c>
      <c r="E135" s="20" t="s">
        <v>12</v>
      </c>
      <c r="F135" s="19" t="s">
        <v>1202</v>
      </c>
      <c r="G135" s="19" t="s">
        <v>1204</v>
      </c>
      <c r="H135" s="19" t="s">
        <v>31</v>
      </c>
      <c r="I135">
        <v>4050</v>
      </c>
      <c r="J135">
        <v>38</v>
      </c>
      <c r="K135" s="1" t="s">
        <v>1020</v>
      </c>
    </row>
    <row r="136" spans="1:11" hidden="1">
      <c r="A136" s="17" t="s">
        <v>1108</v>
      </c>
      <c r="B136" s="19" t="s">
        <v>118</v>
      </c>
      <c r="C136" s="19" t="s">
        <v>1971</v>
      </c>
      <c r="D136" s="19" t="s">
        <v>1972</v>
      </c>
      <c r="E136" s="20" t="s">
        <v>12</v>
      </c>
      <c r="F136" s="19" t="s">
        <v>1971</v>
      </c>
      <c r="G136" s="19" t="s">
        <v>1973</v>
      </c>
      <c r="H136" s="19" t="s">
        <v>31</v>
      </c>
      <c r="I136">
        <v>1064</v>
      </c>
      <c r="J136">
        <v>11</v>
      </c>
      <c r="K136" s="1" t="s">
        <v>1020</v>
      </c>
    </row>
    <row r="137" spans="1:11" hidden="1">
      <c r="A137" s="17" t="s">
        <v>1108</v>
      </c>
      <c r="B137" s="19" t="s">
        <v>118</v>
      </c>
      <c r="C137" s="19" t="s">
        <v>1205</v>
      </c>
      <c r="D137" s="19" t="s">
        <v>1206</v>
      </c>
      <c r="E137" s="20" t="s">
        <v>12</v>
      </c>
      <c r="F137" s="19" t="s">
        <v>1205</v>
      </c>
      <c r="G137" s="19" t="s">
        <v>1207</v>
      </c>
      <c r="H137" s="19" t="s">
        <v>31</v>
      </c>
      <c r="I137">
        <v>77743</v>
      </c>
      <c r="J137">
        <v>92</v>
      </c>
      <c r="K137" s="1" t="s">
        <v>1020</v>
      </c>
    </row>
    <row r="138" spans="1:11" hidden="1">
      <c r="A138" s="17" t="s">
        <v>1108</v>
      </c>
      <c r="B138" s="19" t="s">
        <v>118</v>
      </c>
      <c r="C138" s="19" t="s">
        <v>1974</v>
      </c>
      <c r="D138" s="19" t="s">
        <v>1975</v>
      </c>
      <c r="E138" s="20" t="s">
        <v>12</v>
      </c>
      <c r="F138" s="19" t="s">
        <v>1974</v>
      </c>
      <c r="G138" s="19" t="s">
        <v>1976</v>
      </c>
      <c r="H138" s="19" t="s">
        <v>31</v>
      </c>
      <c r="I138">
        <v>31243</v>
      </c>
      <c r="J138">
        <v>62</v>
      </c>
      <c r="K138" s="1" t="s">
        <v>1020</v>
      </c>
    </row>
    <row r="139" spans="1:11" hidden="1">
      <c r="A139" s="17" t="s">
        <v>1108</v>
      </c>
      <c r="B139" s="19" t="s">
        <v>118</v>
      </c>
      <c r="C139" s="19" t="s">
        <v>1208</v>
      </c>
      <c r="D139" s="19" t="s">
        <v>1209</v>
      </c>
      <c r="E139" s="20" t="s">
        <v>12</v>
      </c>
      <c r="F139" s="19" t="s">
        <v>1208</v>
      </c>
      <c r="G139" s="19" t="s">
        <v>1210</v>
      </c>
      <c r="H139" s="19" t="s">
        <v>31</v>
      </c>
      <c r="I139">
        <v>77711</v>
      </c>
      <c r="J139">
        <v>91</v>
      </c>
      <c r="K139" s="1" t="s">
        <v>1020</v>
      </c>
    </row>
    <row r="140" spans="1:11" hidden="1">
      <c r="A140" s="17" t="s">
        <v>1108</v>
      </c>
      <c r="B140" s="19" t="s">
        <v>118</v>
      </c>
      <c r="C140" s="19" t="s">
        <v>1977</v>
      </c>
      <c r="D140" s="19" t="s">
        <v>1978</v>
      </c>
      <c r="E140" s="20" t="s">
        <v>12</v>
      </c>
      <c r="F140" s="19" t="s">
        <v>1977</v>
      </c>
      <c r="G140" s="19" t="s">
        <v>1979</v>
      </c>
      <c r="H140" s="19" t="s">
        <v>31</v>
      </c>
      <c r="I140">
        <v>30889</v>
      </c>
      <c r="J140">
        <v>66</v>
      </c>
      <c r="K140" s="1" t="s">
        <v>1020</v>
      </c>
    </row>
    <row r="141" spans="1:11" hidden="1">
      <c r="A141" s="17" t="s">
        <v>1108</v>
      </c>
      <c r="B141" s="19" t="s">
        <v>118</v>
      </c>
      <c r="C141" s="19" t="s">
        <v>1980</v>
      </c>
      <c r="D141" s="19" t="s">
        <v>1981</v>
      </c>
      <c r="E141" s="20" t="s">
        <v>12</v>
      </c>
      <c r="F141" s="19" t="s">
        <v>1980</v>
      </c>
      <c r="G141" s="19" t="s">
        <v>1982</v>
      </c>
      <c r="H141" s="19" t="s">
        <v>31</v>
      </c>
      <c r="I141">
        <v>5494</v>
      </c>
      <c r="J141">
        <v>68</v>
      </c>
      <c r="K141" s="1" t="s">
        <v>1020</v>
      </c>
    </row>
    <row r="142" spans="1:11" hidden="1">
      <c r="A142" s="17" t="s">
        <v>1108</v>
      </c>
      <c r="B142" s="19" t="s">
        <v>118</v>
      </c>
      <c r="C142" s="19" t="s">
        <v>1211</v>
      </c>
      <c r="D142" s="19" t="s">
        <v>1212</v>
      </c>
      <c r="E142" s="20" t="s">
        <v>12</v>
      </c>
      <c r="F142" s="19" t="s">
        <v>1211</v>
      </c>
      <c r="G142" s="19" t="s">
        <v>1213</v>
      </c>
      <c r="H142" s="19" t="s">
        <v>31</v>
      </c>
      <c r="I142">
        <v>1642</v>
      </c>
      <c r="J142">
        <v>12</v>
      </c>
      <c r="K142" s="1" t="s">
        <v>1020</v>
      </c>
    </row>
    <row r="143" spans="1:11" hidden="1">
      <c r="A143" s="17" t="s">
        <v>1108</v>
      </c>
      <c r="B143" s="19" t="s">
        <v>118</v>
      </c>
      <c r="C143" s="19" t="s">
        <v>1214</v>
      </c>
      <c r="D143" s="19" t="s">
        <v>1215</v>
      </c>
      <c r="E143" s="20" t="s">
        <v>12</v>
      </c>
      <c r="F143" s="19" t="s">
        <v>1214</v>
      </c>
      <c r="G143" s="19" t="s">
        <v>1216</v>
      </c>
      <c r="H143" s="19" t="s">
        <v>31</v>
      </c>
      <c r="I143">
        <v>284549</v>
      </c>
      <c r="J143">
        <v>2040</v>
      </c>
      <c r="K143" s="1" t="s">
        <v>1020</v>
      </c>
    </row>
    <row r="144" spans="1:11" hidden="1">
      <c r="A144" s="17" t="s">
        <v>1108</v>
      </c>
      <c r="B144" s="19" t="s">
        <v>118</v>
      </c>
      <c r="C144" s="19" t="s">
        <v>1217</v>
      </c>
      <c r="D144" s="19" t="s">
        <v>1218</v>
      </c>
      <c r="E144" s="20" t="s">
        <v>12</v>
      </c>
      <c r="F144" s="19" t="s">
        <v>1217</v>
      </c>
      <c r="G144" s="19" t="s">
        <v>1219</v>
      </c>
      <c r="H144" s="19" t="s">
        <v>31</v>
      </c>
      <c r="I144">
        <v>284115</v>
      </c>
      <c r="J144">
        <v>2006</v>
      </c>
      <c r="K144" s="1" t="s">
        <v>1020</v>
      </c>
    </row>
    <row r="145" spans="1:11" hidden="1">
      <c r="A145" s="17" t="s">
        <v>1108</v>
      </c>
      <c r="B145" s="19" t="s">
        <v>118</v>
      </c>
      <c r="C145" s="19" t="s">
        <v>1220</v>
      </c>
      <c r="D145" s="19" t="s">
        <v>1221</v>
      </c>
      <c r="E145" s="20" t="s">
        <v>12</v>
      </c>
      <c r="F145" s="19" t="s">
        <v>1220</v>
      </c>
      <c r="G145" s="19" t="s">
        <v>1222</v>
      </c>
      <c r="H145" s="19" t="s">
        <v>31</v>
      </c>
      <c r="I145">
        <v>793259</v>
      </c>
      <c r="J145">
        <v>1826</v>
      </c>
      <c r="K145" s="1" t="s">
        <v>1020</v>
      </c>
    </row>
    <row r="146" spans="1:11" hidden="1">
      <c r="A146" s="17" t="s">
        <v>1108</v>
      </c>
      <c r="B146" s="19" t="s">
        <v>118</v>
      </c>
      <c r="C146" s="19" t="s">
        <v>1223</v>
      </c>
      <c r="D146" s="19" t="s">
        <v>1224</v>
      </c>
      <c r="E146" s="20" t="s">
        <v>12</v>
      </c>
      <c r="F146" s="19" t="s">
        <v>1223</v>
      </c>
      <c r="G146" s="19" t="s">
        <v>1225</v>
      </c>
      <c r="H146" s="19" t="s">
        <v>31</v>
      </c>
      <c r="I146">
        <v>794153</v>
      </c>
      <c r="J146">
        <v>1950</v>
      </c>
      <c r="K146" s="1" t="s">
        <v>1020</v>
      </c>
    </row>
    <row r="147" spans="1:11" hidden="1">
      <c r="A147" s="17" t="s">
        <v>1108</v>
      </c>
      <c r="B147" s="19" t="s">
        <v>118</v>
      </c>
      <c r="C147" s="19" t="s">
        <v>1226</v>
      </c>
      <c r="D147" s="19" t="s">
        <v>1227</v>
      </c>
      <c r="E147" s="20" t="s">
        <v>12</v>
      </c>
      <c r="F147" s="19" t="s">
        <v>1226</v>
      </c>
      <c r="G147" s="19" t="s">
        <v>1228</v>
      </c>
      <c r="H147" s="19" t="s">
        <v>31</v>
      </c>
      <c r="I147">
        <v>473304</v>
      </c>
      <c r="J147">
        <v>2562</v>
      </c>
      <c r="K147" s="1" t="s">
        <v>1020</v>
      </c>
    </row>
    <row r="148" spans="1:11" hidden="1">
      <c r="A148" s="17" t="s">
        <v>1108</v>
      </c>
      <c r="B148" s="19" t="s">
        <v>118</v>
      </c>
      <c r="C148" s="19" t="s">
        <v>1229</v>
      </c>
      <c r="D148" s="19" t="s">
        <v>1230</v>
      </c>
      <c r="E148" s="20" t="s">
        <v>12</v>
      </c>
      <c r="F148" s="19" t="s">
        <v>1229</v>
      </c>
      <c r="G148" s="19" t="s">
        <v>1231</v>
      </c>
      <c r="H148" s="19" t="s">
        <v>31</v>
      </c>
      <c r="I148">
        <v>6456</v>
      </c>
      <c r="J148">
        <v>37</v>
      </c>
      <c r="K148" s="1" t="s">
        <v>1020</v>
      </c>
    </row>
    <row r="149" spans="1:11" hidden="1">
      <c r="A149" s="17" t="s">
        <v>1108</v>
      </c>
      <c r="B149" s="19" t="s">
        <v>118</v>
      </c>
      <c r="C149" s="19" t="s">
        <v>1232</v>
      </c>
      <c r="D149" s="19" t="s">
        <v>1233</v>
      </c>
      <c r="E149" s="20" t="s">
        <v>12</v>
      </c>
      <c r="F149" s="19" t="s">
        <v>1232</v>
      </c>
      <c r="G149" s="19" t="s">
        <v>1234</v>
      </c>
      <c r="H149" s="19" t="s">
        <v>31</v>
      </c>
      <c r="I149">
        <v>6328</v>
      </c>
      <c r="J149">
        <v>27</v>
      </c>
      <c r="K149" s="1" t="s">
        <v>1020</v>
      </c>
    </row>
    <row r="150" spans="1:11" hidden="1">
      <c r="A150" s="17" t="s">
        <v>1108</v>
      </c>
      <c r="B150" s="19" t="s">
        <v>118</v>
      </c>
      <c r="C150" s="19" t="s">
        <v>1983</v>
      </c>
      <c r="D150" s="19" t="s">
        <v>1984</v>
      </c>
      <c r="E150" s="20" t="s">
        <v>12</v>
      </c>
      <c r="F150" s="19" t="s">
        <v>1983</v>
      </c>
      <c r="G150" s="19" t="s">
        <v>1985</v>
      </c>
      <c r="H150" s="19" t="s">
        <v>31</v>
      </c>
      <c r="I150">
        <v>64534</v>
      </c>
      <c r="J150">
        <v>80</v>
      </c>
      <c r="K150" s="1" t="s">
        <v>1021</v>
      </c>
    </row>
    <row r="151" spans="1:11" hidden="1">
      <c r="A151" s="17" t="s">
        <v>1108</v>
      </c>
      <c r="B151" s="19" t="s">
        <v>118</v>
      </c>
      <c r="C151" s="19" t="s">
        <v>1986</v>
      </c>
      <c r="D151" s="19" t="s">
        <v>1987</v>
      </c>
      <c r="E151" s="20" t="s">
        <v>12</v>
      </c>
      <c r="F151" s="19" t="s">
        <v>1986</v>
      </c>
      <c r="G151" s="19" t="s">
        <v>1988</v>
      </c>
      <c r="H151" s="19" t="s">
        <v>31</v>
      </c>
      <c r="I151">
        <v>62998</v>
      </c>
      <c r="J151">
        <v>61</v>
      </c>
      <c r="K151" s="1" t="s">
        <v>1020</v>
      </c>
    </row>
    <row r="152" spans="1:11" hidden="1">
      <c r="A152" s="17" t="s">
        <v>1108</v>
      </c>
      <c r="B152" s="19" t="s">
        <v>118</v>
      </c>
      <c r="C152" s="19" t="s">
        <v>1235</v>
      </c>
      <c r="D152" s="19" t="s">
        <v>1236</v>
      </c>
      <c r="E152" s="20" t="s">
        <v>12</v>
      </c>
      <c r="F152" s="19" t="s">
        <v>1235</v>
      </c>
      <c r="G152" s="19" t="s">
        <v>1237</v>
      </c>
      <c r="H152" s="19" t="s">
        <v>31</v>
      </c>
      <c r="I152">
        <v>10330</v>
      </c>
      <c r="J152">
        <v>40</v>
      </c>
      <c r="K152" s="1" t="s">
        <v>1021</v>
      </c>
    </row>
    <row r="153" spans="1:11" hidden="1">
      <c r="A153" s="17" t="s">
        <v>1108</v>
      </c>
      <c r="B153" s="19" t="s">
        <v>118</v>
      </c>
      <c r="C153" s="19" t="s">
        <v>1238</v>
      </c>
      <c r="D153" s="19" t="s">
        <v>1239</v>
      </c>
      <c r="E153" s="20" t="str">
        <f t="shared" ref="E153:E154" si="2">IF(I153&gt;J153,"Standard","Tracking")</f>
        <v>Standard</v>
      </c>
      <c r="F153" s="19" t="s">
        <v>1238</v>
      </c>
      <c r="G153" s="19" t="s">
        <v>1240</v>
      </c>
      <c r="H153" s="19" t="s">
        <v>32</v>
      </c>
      <c r="I153">
        <v>240758</v>
      </c>
      <c r="J153">
        <v>3900</v>
      </c>
      <c r="K153" s="1" t="s">
        <v>1021</v>
      </c>
    </row>
    <row r="154" spans="1:11" hidden="1">
      <c r="A154" s="17" t="s">
        <v>1108</v>
      </c>
      <c r="B154" s="19" t="s">
        <v>118</v>
      </c>
      <c r="C154" s="19" t="s">
        <v>1241</v>
      </c>
      <c r="D154" s="19" t="s">
        <v>1242</v>
      </c>
      <c r="E154" s="20" t="str">
        <f t="shared" si="2"/>
        <v>Standard</v>
      </c>
      <c r="F154" s="19" t="s">
        <v>1241</v>
      </c>
      <c r="G154" s="19" t="s">
        <v>1243</v>
      </c>
      <c r="H154" s="19" t="s">
        <v>32</v>
      </c>
      <c r="I154">
        <v>65129</v>
      </c>
      <c r="J154">
        <v>634</v>
      </c>
      <c r="K154" s="1" t="s">
        <v>1020</v>
      </c>
    </row>
    <row r="155" spans="1:11" hidden="1">
      <c r="A155" s="17" t="s">
        <v>1108</v>
      </c>
      <c r="B155" s="19" t="s">
        <v>118</v>
      </c>
      <c r="C155" s="19" t="s">
        <v>1244</v>
      </c>
      <c r="D155" s="19" t="s">
        <v>1245</v>
      </c>
      <c r="E155" s="20" t="s">
        <v>11</v>
      </c>
      <c r="F155" s="19" t="s">
        <v>786</v>
      </c>
      <c r="G155" s="19" t="s">
        <v>1989</v>
      </c>
      <c r="H155" s="19" t="s">
        <v>31</v>
      </c>
      <c r="I155">
        <v>2</v>
      </c>
      <c r="J155">
        <v>0</v>
      </c>
      <c r="K155" s="1" t="s">
        <v>1021</v>
      </c>
    </row>
    <row r="156" spans="1:11" hidden="1">
      <c r="A156" s="17" t="s">
        <v>1108</v>
      </c>
      <c r="B156" s="19" t="s">
        <v>118</v>
      </c>
      <c r="C156" s="19" t="s">
        <v>1244</v>
      </c>
      <c r="D156" s="19" t="s">
        <v>1245</v>
      </c>
      <c r="E156" s="20" t="str">
        <f t="shared" ref="E156:E159" si="3">IF(I156&gt;J156,"Standard","Tracking")</f>
        <v>Standard</v>
      </c>
      <c r="F156" s="19" t="s">
        <v>1244</v>
      </c>
      <c r="G156" s="19" t="s">
        <v>1246</v>
      </c>
      <c r="H156" s="19" t="s">
        <v>32</v>
      </c>
      <c r="I156">
        <v>5237500</v>
      </c>
      <c r="J156">
        <v>74891</v>
      </c>
      <c r="K156" s="1" t="s">
        <v>1020</v>
      </c>
    </row>
    <row r="157" spans="1:11" hidden="1">
      <c r="A157" s="17" t="s">
        <v>1108</v>
      </c>
      <c r="B157" s="19" t="s">
        <v>118</v>
      </c>
      <c r="C157" s="19" t="s">
        <v>1990</v>
      </c>
      <c r="D157" s="19" t="s">
        <v>1991</v>
      </c>
      <c r="E157" s="20" t="str">
        <f t="shared" si="3"/>
        <v>Tracking</v>
      </c>
      <c r="F157" s="19" t="s">
        <v>1990</v>
      </c>
      <c r="G157" s="19" t="s">
        <v>1992</v>
      </c>
      <c r="H157" s="19" t="s">
        <v>32</v>
      </c>
      <c r="I157">
        <v>0</v>
      </c>
      <c r="J157">
        <v>2</v>
      </c>
      <c r="K157" s="1" t="s">
        <v>1021</v>
      </c>
    </row>
    <row r="158" spans="1:11" hidden="1">
      <c r="A158" s="17" t="s">
        <v>1108</v>
      </c>
      <c r="B158" s="19" t="s">
        <v>118</v>
      </c>
      <c r="C158" s="19" t="s">
        <v>1993</v>
      </c>
      <c r="D158" s="19" t="s">
        <v>1994</v>
      </c>
      <c r="E158" s="20" t="str">
        <f t="shared" si="3"/>
        <v>Tracking</v>
      </c>
      <c r="F158" s="19" t="s">
        <v>1993</v>
      </c>
      <c r="G158" s="19" t="s">
        <v>1995</v>
      </c>
      <c r="H158" s="19" t="s">
        <v>32</v>
      </c>
      <c r="I158">
        <v>0</v>
      </c>
      <c r="J158">
        <v>1</v>
      </c>
      <c r="K158" s="1" t="s">
        <v>1020</v>
      </c>
    </row>
    <row r="159" spans="1:11" hidden="1">
      <c r="A159" s="17" t="s">
        <v>1108</v>
      </c>
      <c r="B159" s="19" t="s">
        <v>118</v>
      </c>
      <c r="C159" s="19" t="s">
        <v>1996</v>
      </c>
      <c r="D159" s="19" t="s">
        <v>1997</v>
      </c>
      <c r="E159" s="20" t="str">
        <f t="shared" si="3"/>
        <v>Tracking</v>
      </c>
      <c r="F159" s="19" t="s">
        <v>1996</v>
      </c>
      <c r="G159" s="19" t="s">
        <v>1998</v>
      </c>
      <c r="H159" s="19" t="s">
        <v>32</v>
      </c>
      <c r="I159">
        <v>0</v>
      </c>
      <c r="J159">
        <v>2</v>
      </c>
      <c r="K159" s="1" t="s">
        <v>1021</v>
      </c>
    </row>
    <row r="160" spans="1:11" hidden="1">
      <c r="A160" s="17" t="s">
        <v>1108</v>
      </c>
      <c r="B160" s="19" t="s">
        <v>118</v>
      </c>
      <c r="C160" s="19" t="s">
        <v>1999</v>
      </c>
      <c r="D160" s="19" t="s">
        <v>2000</v>
      </c>
      <c r="E160" s="20" t="s">
        <v>11</v>
      </c>
      <c r="F160" s="19" t="s">
        <v>786</v>
      </c>
      <c r="G160" s="19" t="s">
        <v>1989</v>
      </c>
      <c r="H160" s="19" t="s">
        <v>31</v>
      </c>
      <c r="I160">
        <v>4</v>
      </c>
      <c r="J160">
        <v>0</v>
      </c>
      <c r="K160" s="1" t="s">
        <v>1020</v>
      </c>
    </row>
    <row r="161" spans="1:11" hidden="1">
      <c r="A161" s="17" t="s">
        <v>1108</v>
      </c>
      <c r="B161" s="19" t="s">
        <v>118</v>
      </c>
      <c r="C161" s="19" t="s">
        <v>2001</v>
      </c>
      <c r="D161" s="19" t="s">
        <v>2002</v>
      </c>
      <c r="E161" s="20" t="str">
        <f t="shared" ref="E161:E217" si="4">IF(I161&gt;J161,"Standard","Tracking")</f>
        <v>Tracking</v>
      </c>
      <c r="F161" s="19" t="s">
        <v>2001</v>
      </c>
      <c r="G161" s="19" t="s">
        <v>2003</v>
      </c>
      <c r="H161" s="19" t="s">
        <v>32</v>
      </c>
      <c r="I161">
        <v>0</v>
      </c>
      <c r="J161">
        <v>1</v>
      </c>
      <c r="K161" s="1" t="s">
        <v>1021</v>
      </c>
    </row>
    <row r="162" spans="1:11" hidden="1">
      <c r="A162" s="17" t="s">
        <v>1108</v>
      </c>
      <c r="B162" s="19" t="s">
        <v>118</v>
      </c>
      <c r="C162" s="19" t="s">
        <v>1247</v>
      </c>
      <c r="D162" s="19" t="s">
        <v>1248</v>
      </c>
      <c r="E162" s="20" t="str">
        <f t="shared" si="4"/>
        <v>Tracking</v>
      </c>
      <c r="F162" s="19" t="s">
        <v>1247</v>
      </c>
      <c r="G162" s="19" t="s">
        <v>1249</v>
      </c>
      <c r="H162" s="19" t="s">
        <v>32</v>
      </c>
      <c r="I162">
        <v>0</v>
      </c>
      <c r="J162">
        <v>7395</v>
      </c>
      <c r="K162" s="1" t="s">
        <v>1020</v>
      </c>
    </row>
    <row r="163" spans="1:11" hidden="1">
      <c r="A163" s="17" t="s">
        <v>1108</v>
      </c>
      <c r="B163" s="19" t="s">
        <v>763</v>
      </c>
      <c r="C163" s="19" t="s">
        <v>2004</v>
      </c>
      <c r="D163" s="19" t="s">
        <v>2005</v>
      </c>
      <c r="E163" s="20" t="str">
        <f t="shared" si="4"/>
        <v>Tracking</v>
      </c>
      <c r="F163" s="19" t="s">
        <v>2004</v>
      </c>
      <c r="G163" s="19" t="s">
        <v>2006</v>
      </c>
      <c r="H163" s="19" t="s">
        <v>32</v>
      </c>
      <c r="I163">
        <v>0</v>
      </c>
      <c r="J163">
        <v>2</v>
      </c>
      <c r="K163" s="1" t="s">
        <v>1021</v>
      </c>
    </row>
    <row r="164" spans="1:11" hidden="1">
      <c r="A164" s="17" t="s">
        <v>1108</v>
      </c>
      <c r="B164" s="19" t="s">
        <v>763</v>
      </c>
      <c r="C164" s="19" t="s">
        <v>2007</v>
      </c>
      <c r="D164" s="19" t="s">
        <v>2008</v>
      </c>
      <c r="E164" s="20" t="str">
        <f t="shared" si="4"/>
        <v>Tracking</v>
      </c>
      <c r="F164" s="19" t="s">
        <v>2007</v>
      </c>
      <c r="G164" s="19" t="s">
        <v>2009</v>
      </c>
      <c r="H164" s="19" t="s">
        <v>32</v>
      </c>
      <c r="I164">
        <v>0</v>
      </c>
      <c r="J164">
        <v>1</v>
      </c>
      <c r="K164" s="1" t="s">
        <v>1020</v>
      </c>
    </row>
    <row r="165" spans="1:11" hidden="1">
      <c r="A165" s="17" t="s">
        <v>1108</v>
      </c>
      <c r="B165" s="19" t="s">
        <v>763</v>
      </c>
      <c r="C165" s="19" t="s">
        <v>1250</v>
      </c>
      <c r="D165" s="19" t="s">
        <v>1251</v>
      </c>
      <c r="E165" s="20" t="str">
        <f t="shared" si="4"/>
        <v>Standard</v>
      </c>
      <c r="F165" s="19" t="s">
        <v>1250</v>
      </c>
      <c r="G165" s="19" t="s">
        <v>1252</v>
      </c>
      <c r="H165" s="19" t="s">
        <v>32</v>
      </c>
      <c r="I165">
        <v>1712519</v>
      </c>
      <c r="J165">
        <v>8872</v>
      </c>
      <c r="K165" s="1" t="s">
        <v>1021</v>
      </c>
    </row>
    <row r="166" spans="1:11" hidden="1">
      <c r="A166" s="17" t="s">
        <v>1108</v>
      </c>
      <c r="B166" s="19" t="s">
        <v>763</v>
      </c>
      <c r="C166" s="19" t="s">
        <v>1253</v>
      </c>
      <c r="D166" s="19" t="s">
        <v>1254</v>
      </c>
      <c r="E166" s="20" t="str">
        <f t="shared" si="4"/>
        <v>Standard</v>
      </c>
      <c r="F166" s="19" t="s">
        <v>1253</v>
      </c>
      <c r="G166" s="19" t="s">
        <v>1255</v>
      </c>
      <c r="H166" s="19" t="s">
        <v>32</v>
      </c>
      <c r="I166">
        <v>1753099</v>
      </c>
      <c r="J166">
        <v>22469</v>
      </c>
      <c r="K166" s="1" t="s">
        <v>1021</v>
      </c>
    </row>
    <row r="167" spans="1:11" hidden="1">
      <c r="A167" s="17" t="s">
        <v>1108</v>
      </c>
      <c r="B167" s="19" t="s">
        <v>763</v>
      </c>
      <c r="C167" s="19" t="s">
        <v>1256</v>
      </c>
      <c r="D167" s="19" t="s">
        <v>1257</v>
      </c>
      <c r="E167" s="20" t="str">
        <f t="shared" si="4"/>
        <v>Standard</v>
      </c>
      <c r="F167" s="19" t="s">
        <v>1256</v>
      </c>
      <c r="G167" s="19" t="s">
        <v>1258</v>
      </c>
      <c r="H167" s="19" t="s">
        <v>32</v>
      </c>
      <c r="I167">
        <v>321891</v>
      </c>
      <c r="J167">
        <v>1768</v>
      </c>
      <c r="K167" s="1" t="s">
        <v>1020</v>
      </c>
    </row>
    <row r="168" spans="1:11" hidden="1">
      <c r="A168" s="17" t="s">
        <v>1108</v>
      </c>
      <c r="B168" s="19" t="s">
        <v>763</v>
      </c>
      <c r="C168" s="19" t="s">
        <v>2010</v>
      </c>
      <c r="D168" s="19" t="s">
        <v>2011</v>
      </c>
      <c r="E168" s="20" t="str">
        <f t="shared" si="4"/>
        <v>Standard</v>
      </c>
      <c r="F168" s="19" t="s">
        <v>2010</v>
      </c>
      <c r="G168" s="19" t="s">
        <v>2012</v>
      </c>
      <c r="H168" s="19" t="s">
        <v>32</v>
      </c>
      <c r="I168">
        <v>215481</v>
      </c>
      <c r="J168">
        <v>1556</v>
      </c>
      <c r="K168" s="1" t="s">
        <v>1021</v>
      </c>
    </row>
    <row r="169" spans="1:11" hidden="1">
      <c r="A169" s="17" t="s">
        <v>1108</v>
      </c>
      <c r="B169" s="19" t="s">
        <v>763</v>
      </c>
      <c r="C169" s="19" t="s">
        <v>1259</v>
      </c>
      <c r="D169" s="19" t="s">
        <v>1260</v>
      </c>
      <c r="E169" s="20" t="str">
        <f t="shared" si="4"/>
        <v>Standard</v>
      </c>
      <c r="F169" s="19" t="s">
        <v>1259</v>
      </c>
      <c r="G169" s="19" t="s">
        <v>1261</v>
      </c>
      <c r="H169" s="19" t="s">
        <v>32</v>
      </c>
      <c r="I169">
        <v>1533867</v>
      </c>
      <c r="J169">
        <v>1</v>
      </c>
      <c r="K169" s="1" t="s">
        <v>1020</v>
      </c>
    </row>
    <row r="170" spans="1:11" hidden="1">
      <c r="A170" s="17" t="s">
        <v>1108</v>
      </c>
      <c r="B170" s="19" t="s">
        <v>763</v>
      </c>
      <c r="C170" s="19" t="s">
        <v>2013</v>
      </c>
      <c r="D170" s="19" t="s">
        <v>2014</v>
      </c>
      <c r="E170" s="20" t="str">
        <f t="shared" si="4"/>
        <v>Standard</v>
      </c>
      <c r="F170" s="19" t="s">
        <v>2013</v>
      </c>
      <c r="G170" s="19" t="s">
        <v>2015</v>
      </c>
      <c r="H170" s="19" t="s">
        <v>32</v>
      </c>
      <c r="I170">
        <v>3485</v>
      </c>
      <c r="J170">
        <v>17</v>
      </c>
      <c r="K170" s="1" t="s">
        <v>1021</v>
      </c>
    </row>
    <row r="171" spans="1:11" hidden="1">
      <c r="A171" s="17" t="s">
        <v>1108</v>
      </c>
      <c r="B171" s="19" t="s">
        <v>763</v>
      </c>
      <c r="C171" s="19" t="s">
        <v>2016</v>
      </c>
      <c r="D171" s="19" t="s">
        <v>2017</v>
      </c>
      <c r="E171" s="20" t="str">
        <f t="shared" si="4"/>
        <v>Standard</v>
      </c>
      <c r="F171" s="19" t="s">
        <v>2016</v>
      </c>
      <c r="G171" s="19" t="s">
        <v>2018</v>
      </c>
      <c r="H171" s="19" t="s">
        <v>32</v>
      </c>
      <c r="I171">
        <v>3279</v>
      </c>
      <c r="J171">
        <v>7</v>
      </c>
      <c r="K171" s="1" t="s">
        <v>1020</v>
      </c>
    </row>
    <row r="172" spans="1:11" hidden="1">
      <c r="A172" s="17" t="s">
        <v>1108</v>
      </c>
      <c r="B172" s="19" t="s">
        <v>763</v>
      </c>
      <c r="C172" s="19" t="s">
        <v>2019</v>
      </c>
      <c r="D172" s="19" t="s">
        <v>2020</v>
      </c>
      <c r="E172" s="20" t="str">
        <f t="shared" si="4"/>
        <v>Standard</v>
      </c>
      <c r="F172" s="19" t="s">
        <v>2019</v>
      </c>
      <c r="G172" s="19" t="s">
        <v>2021</v>
      </c>
      <c r="H172" s="19" t="s">
        <v>32</v>
      </c>
      <c r="I172">
        <v>4512</v>
      </c>
      <c r="J172">
        <v>26</v>
      </c>
      <c r="K172" s="1" t="s">
        <v>1021</v>
      </c>
    </row>
    <row r="173" spans="1:11" hidden="1">
      <c r="A173" s="17" t="s">
        <v>1108</v>
      </c>
      <c r="B173" s="19" t="s">
        <v>763</v>
      </c>
      <c r="C173" s="19" t="s">
        <v>2022</v>
      </c>
      <c r="D173" s="19" t="s">
        <v>2023</v>
      </c>
      <c r="E173" s="20" t="str">
        <f t="shared" si="4"/>
        <v>Standard</v>
      </c>
      <c r="F173" s="19" t="s">
        <v>2022</v>
      </c>
      <c r="G173" s="19" t="s">
        <v>2024</v>
      </c>
      <c r="H173" s="19" t="s">
        <v>32</v>
      </c>
      <c r="I173">
        <v>3930</v>
      </c>
      <c r="J173">
        <v>15</v>
      </c>
      <c r="K173" s="1" t="s">
        <v>1020</v>
      </c>
    </row>
    <row r="174" spans="1:11" hidden="1">
      <c r="A174" s="17" t="s">
        <v>1108</v>
      </c>
      <c r="B174" s="19" t="s">
        <v>763</v>
      </c>
      <c r="C174" s="19" t="s">
        <v>2025</v>
      </c>
      <c r="D174" s="19" t="s">
        <v>2026</v>
      </c>
      <c r="E174" s="20" t="str">
        <f t="shared" si="4"/>
        <v>Standard</v>
      </c>
      <c r="F174" s="19" t="s">
        <v>2025</v>
      </c>
      <c r="G174" s="19" t="s">
        <v>2027</v>
      </c>
      <c r="H174" s="19" t="s">
        <v>32</v>
      </c>
      <c r="I174">
        <v>3232</v>
      </c>
      <c r="J174">
        <v>11</v>
      </c>
      <c r="K174" s="1" t="s">
        <v>1021</v>
      </c>
    </row>
    <row r="175" spans="1:11" hidden="1">
      <c r="A175" s="17" t="s">
        <v>1108</v>
      </c>
      <c r="B175" s="19" t="s">
        <v>763</v>
      </c>
      <c r="C175" s="19" t="s">
        <v>2028</v>
      </c>
      <c r="D175" s="19" t="s">
        <v>2029</v>
      </c>
      <c r="E175" s="20" t="str">
        <f t="shared" si="4"/>
        <v>Standard</v>
      </c>
      <c r="F175" s="19" t="s">
        <v>2028</v>
      </c>
      <c r="G175" s="19" t="s">
        <v>2030</v>
      </c>
      <c r="H175" s="19" t="s">
        <v>32</v>
      </c>
      <c r="I175">
        <v>3441</v>
      </c>
      <c r="J175">
        <v>18</v>
      </c>
      <c r="K175" s="1" t="s">
        <v>1020</v>
      </c>
    </row>
    <row r="176" spans="1:11" hidden="1">
      <c r="A176" s="17" t="s">
        <v>1108</v>
      </c>
      <c r="B176" s="19" t="s">
        <v>763</v>
      </c>
      <c r="C176" s="19" t="s">
        <v>2031</v>
      </c>
      <c r="D176" s="19" t="s">
        <v>2032</v>
      </c>
      <c r="E176" s="20" t="str">
        <f t="shared" si="4"/>
        <v>Standard</v>
      </c>
      <c r="F176" s="19" t="s">
        <v>2031</v>
      </c>
      <c r="G176" s="19" t="s">
        <v>2033</v>
      </c>
      <c r="H176" s="19" t="s">
        <v>32</v>
      </c>
      <c r="I176">
        <v>265732</v>
      </c>
      <c r="J176">
        <v>1196</v>
      </c>
      <c r="K176" s="1" t="s">
        <v>1021</v>
      </c>
    </row>
    <row r="177" spans="1:11" hidden="1">
      <c r="A177" s="17" t="s">
        <v>1262</v>
      </c>
      <c r="B177" s="19" t="s">
        <v>52</v>
      </c>
      <c r="C177" s="19" t="s">
        <v>2034</v>
      </c>
      <c r="D177" s="19" t="s">
        <v>2035</v>
      </c>
      <c r="E177" s="20" t="str">
        <f t="shared" si="4"/>
        <v>Tracking</v>
      </c>
      <c r="F177" s="19" t="s">
        <v>2034</v>
      </c>
      <c r="G177" s="19" t="s">
        <v>2036</v>
      </c>
      <c r="H177" s="19" t="s">
        <v>32</v>
      </c>
      <c r="I177">
        <v>0</v>
      </c>
      <c r="J177">
        <v>1</v>
      </c>
      <c r="K177" s="1" t="s">
        <v>1020</v>
      </c>
    </row>
    <row r="178" spans="1:11" hidden="1">
      <c r="A178" s="17" t="s">
        <v>1262</v>
      </c>
      <c r="B178" s="19" t="s">
        <v>52</v>
      </c>
      <c r="C178" s="19" t="s">
        <v>2037</v>
      </c>
      <c r="D178" s="19" t="s">
        <v>2038</v>
      </c>
      <c r="E178" s="20" t="str">
        <f t="shared" si="4"/>
        <v>Tracking</v>
      </c>
      <c r="F178" s="19" t="s">
        <v>2037</v>
      </c>
      <c r="G178" s="19" t="s">
        <v>2039</v>
      </c>
      <c r="H178" s="19" t="s">
        <v>32</v>
      </c>
      <c r="I178">
        <v>0</v>
      </c>
      <c r="J178">
        <v>1</v>
      </c>
      <c r="K178" s="1" t="s">
        <v>1021</v>
      </c>
    </row>
    <row r="179" spans="1:11" hidden="1">
      <c r="A179" s="17" t="s">
        <v>1262</v>
      </c>
      <c r="B179" s="19" t="s">
        <v>50</v>
      </c>
      <c r="C179" s="19" t="s">
        <v>1263</v>
      </c>
      <c r="D179" s="19" t="s">
        <v>1264</v>
      </c>
      <c r="E179" s="20" t="str">
        <f t="shared" si="4"/>
        <v>Tracking</v>
      </c>
      <c r="F179" s="19" t="s">
        <v>1263</v>
      </c>
      <c r="G179" s="19" t="s">
        <v>1265</v>
      </c>
      <c r="H179" s="19" t="s">
        <v>32</v>
      </c>
      <c r="I179">
        <v>0</v>
      </c>
      <c r="J179">
        <v>102173</v>
      </c>
      <c r="K179" s="1" t="s">
        <v>1020</v>
      </c>
    </row>
    <row r="180" spans="1:11" hidden="1">
      <c r="A180" s="17" t="s">
        <v>1262</v>
      </c>
      <c r="B180" s="19" t="s">
        <v>50</v>
      </c>
      <c r="C180" s="19" t="s">
        <v>1266</v>
      </c>
      <c r="D180" s="19" t="s">
        <v>1267</v>
      </c>
      <c r="E180" s="20" t="str">
        <f t="shared" si="4"/>
        <v>Tracking</v>
      </c>
      <c r="F180" s="19" t="s">
        <v>1266</v>
      </c>
      <c r="G180" s="19" t="s">
        <v>1268</v>
      </c>
      <c r="H180" s="19" t="s">
        <v>32</v>
      </c>
      <c r="I180">
        <v>0</v>
      </c>
      <c r="J180">
        <v>6582</v>
      </c>
      <c r="K180" s="1" t="s">
        <v>1021</v>
      </c>
    </row>
    <row r="181" spans="1:11" hidden="1">
      <c r="A181" s="17" t="s">
        <v>1262</v>
      </c>
      <c r="B181" s="19" t="s">
        <v>50</v>
      </c>
      <c r="C181" s="19" t="s">
        <v>1269</v>
      </c>
      <c r="D181" s="19" t="s">
        <v>1270</v>
      </c>
      <c r="E181" s="20" t="str">
        <f t="shared" si="4"/>
        <v>Tracking</v>
      </c>
      <c r="F181" s="19" t="s">
        <v>1269</v>
      </c>
      <c r="G181" s="19" t="s">
        <v>1271</v>
      </c>
      <c r="H181" s="19" t="s">
        <v>32</v>
      </c>
      <c r="I181">
        <v>0</v>
      </c>
      <c r="J181">
        <v>1640</v>
      </c>
      <c r="K181" s="1" t="s">
        <v>1020</v>
      </c>
    </row>
    <row r="182" spans="1:11" hidden="1">
      <c r="A182" s="17" t="s">
        <v>1262</v>
      </c>
      <c r="B182" s="19" t="s">
        <v>50</v>
      </c>
      <c r="C182" s="19" t="s">
        <v>1272</v>
      </c>
      <c r="D182" s="19" t="s">
        <v>1273</v>
      </c>
      <c r="E182" s="20" t="str">
        <f t="shared" si="4"/>
        <v>Tracking</v>
      </c>
      <c r="F182" s="19" t="s">
        <v>1272</v>
      </c>
      <c r="G182" s="19" t="s">
        <v>1274</v>
      </c>
      <c r="H182" s="19" t="s">
        <v>32</v>
      </c>
      <c r="I182">
        <v>0</v>
      </c>
      <c r="J182">
        <v>19159</v>
      </c>
      <c r="K182" s="1" t="s">
        <v>1021</v>
      </c>
    </row>
    <row r="183" spans="1:11" hidden="1">
      <c r="A183" s="17" t="s">
        <v>1262</v>
      </c>
      <c r="B183" s="19" t="s">
        <v>50</v>
      </c>
      <c r="C183" s="19" t="s">
        <v>1275</v>
      </c>
      <c r="D183" s="19" t="s">
        <v>1276</v>
      </c>
      <c r="E183" s="20" t="str">
        <f t="shared" si="4"/>
        <v>Tracking</v>
      </c>
      <c r="F183" s="19" t="s">
        <v>1275</v>
      </c>
      <c r="G183" s="19" t="s">
        <v>1277</v>
      </c>
      <c r="H183" s="19" t="s">
        <v>32</v>
      </c>
      <c r="I183">
        <v>0</v>
      </c>
      <c r="J183">
        <v>10078</v>
      </c>
      <c r="K183" s="1" t="s">
        <v>1020</v>
      </c>
    </row>
    <row r="184" spans="1:11" hidden="1">
      <c r="A184" s="17" t="s">
        <v>1262</v>
      </c>
      <c r="B184" s="19" t="s">
        <v>50</v>
      </c>
      <c r="C184" s="19" t="s">
        <v>1278</v>
      </c>
      <c r="D184" s="19" t="s">
        <v>1279</v>
      </c>
      <c r="E184" s="20" t="str">
        <f t="shared" si="4"/>
        <v>Tracking</v>
      </c>
      <c r="F184" s="19" t="s">
        <v>1278</v>
      </c>
      <c r="G184" s="19" t="s">
        <v>1280</v>
      </c>
      <c r="H184" s="19" t="s">
        <v>32</v>
      </c>
      <c r="I184">
        <v>0</v>
      </c>
      <c r="J184">
        <v>3363</v>
      </c>
      <c r="K184" s="1" t="s">
        <v>1021</v>
      </c>
    </row>
    <row r="185" spans="1:11" hidden="1">
      <c r="A185" s="17" t="s">
        <v>1262</v>
      </c>
      <c r="B185" s="19" t="s">
        <v>50</v>
      </c>
      <c r="C185" s="19" t="s">
        <v>1281</v>
      </c>
      <c r="D185" s="19" t="s">
        <v>1282</v>
      </c>
      <c r="E185" s="20" t="str">
        <f t="shared" si="4"/>
        <v>Tracking</v>
      </c>
      <c r="F185" s="19" t="s">
        <v>1281</v>
      </c>
      <c r="G185" s="19" t="s">
        <v>1283</v>
      </c>
      <c r="H185" s="19" t="s">
        <v>32</v>
      </c>
      <c r="I185">
        <v>0</v>
      </c>
      <c r="J185">
        <v>1</v>
      </c>
      <c r="K185" s="1" t="s">
        <v>1020</v>
      </c>
    </row>
    <row r="186" spans="1:11" hidden="1">
      <c r="A186" s="17" t="s">
        <v>1262</v>
      </c>
      <c r="B186" s="19" t="s">
        <v>50</v>
      </c>
      <c r="C186" s="19" t="s">
        <v>1284</v>
      </c>
      <c r="D186" s="19" t="s">
        <v>1285</v>
      </c>
      <c r="E186" s="20" t="str">
        <f t="shared" si="4"/>
        <v>Tracking</v>
      </c>
      <c r="F186" s="19" t="s">
        <v>1284</v>
      </c>
      <c r="G186" s="19" t="s">
        <v>1286</v>
      </c>
      <c r="H186" s="19" t="s">
        <v>32</v>
      </c>
      <c r="I186">
        <v>0</v>
      </c>
      <c r="J186">
        <v>1</v>
      </c>
      <c r="K186" s="1" t="s">
        <v>1021</v>
      </c>
    </row>
    <row r="187" spans="1:11" hidden="1">
      <c r="A187" s="17" t="s">
        <v>1262</v>
      </c>
      <c r="B187" s="19" t="s">
        <v>50</v>
      </c>
      <c r="C187" s="19" t="s">
        <v>2040</v>
      </c>
      <c r="D187" s="19" t="s">
        <v>2041</v>
      </c>
      <c r="E187" s="20" t="str">
        <f t="shared" si="4"/>
        <v>Tracking</v>
      </c>
      <c r="F187" s="19" t="s">
        <v>2040</v>
      </c>
      <c r="G187" s="19" t="s">
        <v>2042</v>
      </c>
      <c r="H187" s="19" t="s">
        <v>32</v>
      </c>
      <c r="I187">
        <v>0</v>
      </c>
      <c r="J187">
        <v>14208</v>
      </c>
      <c r="K187" s="1" t="s">
        <v>1020</v>
      </c>
    </row>
    <row r="188" spans="1:11" hidden="1">
      <c r="A188" s="17" t="s">
        <v>1262</v>
      </c>
      <c r="B188" s="19" t="s">
        <v>95</v>
      </c>
      <c r="C188" s="19" t="s">
        <v>2043</v>
      </c>
      <c r="D188" s="19" t="s">
        <v>2044</v>
      </c>
      <c r="E188" s="20" t="str">
        <f t="shared" si="4"/>
        <v>Tracking</v>
      </c>
      <c r="F188" s="19" t="s">
        <v>2043</v>
      </c>
      <c r="G188" s="19" t="s">
        <v>2045</v>
      </c>
      <c r="H188" s="19" t="s">
        <v>32</v>
      </c>
      <c r="I188">
        <v>0</v>
      </c>
      <c r="J188">
        <v>1</v>
      </c>
      <c r="K188" s="1" t="s">
        <v>1021</v>
      </c>
    </row>
    <row r="189" spans="1:11" hidden="1">
      <c r="A189" s="17" t="s">
        <v>1262</v>
      </c>
      <c r="B189" s="19" t="s">
        <v>95</v>
      </c>
      <c r="C189" s="19" t="s">
        <v>2046</v>
      </c>
      <c r="D189" s="19" t="s">
        <v>2047</v>
      </c>
      <c r="E189" s="20" t="str">
        <f t="shared" si="4"/>
        <v>Tracking</v>
      </c>
      <c r="F189" s="19" t="s">
        <v>2046</v>
      </c>
      <c r="G189" s="19" t="s">
        <v>2048</v>
      </c>
      <c r="H189" s="19" t="s">
        <v>32</v>
      </c>
      <c r="I189">
        <v>0</v>
      </c>
      <c r="J189">
        <v>2820</v>
      </c>
      <c r="K189" s="1" t="s">
        <v>1020</v>
      </c>
    </row>
    <row r="190" spans="1:11" hidden="1">
      <c r="A190" s="17" t="s">
        <v>1262</v>
      </c>
      <c r="B190" s="19" t="s">
        <v>95</v>
      </c>
      <c r="C190" s="19" t="s">
        <v>1287</v>
      </c>
      <c r="D190" s="19" t="s">
        <v>1288</v>
      </c>
      <c r="E190" s="20" t="str">
        <f t="shared" si="4"/>
        <v>Tracking</v>
      </c>
      <c r="F190" s="19" t="s">
        <v>1287</v>
      </c>
      <c r="G190" s="19" t="s">
        <v>1289</v>
      </c>
      <c r="H190" s="19" t="s">
        <v>32</v>
      </c>
      <c r="I190">
        <v>0</v>
      </c>
      <c r="J190">
        <v>1321</v>
      </c>
      <c r="K190" s="1" t="s">
        <v>1020</v>
      </c>
    </row>
    <row r="191" spans="1:11" hidden="1">
      <c r="A191" s="17" t="s">
        <v>1262</v>
      </c>
      <c r="B191" s="19" t="s">
        <v>95</v>
      </c>
      <c r="C191" s="19" t="s">
        <v>2049</v>
      </c>
      <c r="D191" s="19" t="s">
        <v>2050</v>
      </c>
      <c r="E191" s="20" t="str">
        <f t="shared" si="4"/>
        <v>Tracking</v>
      </c>
      <c r="F191" s="19" t="s">
        <v>2049</v>
      </c>
      <c r="G191" s="19" t="s">
        <v>2051</v>
      </c>
      <c r="H191" s="19" t="s">
        <v>32</v>
      </c>
      <c r="I191">
        <v>0</v>
      </c>
      <c r="J191">
        <v>879</v>
      </c>
      <c r="K191" s="1" t="s">
        <v>1021</v>
      </c>
    </row>
    <row r="192" spans="1:11" hidden="1">
      <c r="A192" s="17" t="s">
        <v>1262</v>
      </c>
      <c r="B192" s="19" t="s">
        <v>95</v>
      </c>
      <c r="C192" s="19" t="s">
        <v>1290</v>
      </c>
      <c r="D192" s="19" t="s">
        <v>1291</v>
      </c>
      <c r="E192" s="20" t="str">
        <f t="shared" si="4"/>
        <v>Tracking</v>
      </c>
      <c r="F192" s="19" t="s">
        <v>1290</v>
      </c>
      <c r="G192" s="19" t="s">
        <v>1292</v>
      </c>
      <c r="H192" s="19" t="s">
        <v>32</v>
      </c>
      <c r="I192">
        <v>0</v>
      </c>
      <c r="J192">
        <v>361</v>
      </c>
      <c r="K192" s="1" t="s">
        <v>1020</v>
      </c>
    </row>
    <row r="193" spans="1:11" hidden="1">
      <c r="A193" s="17" t="s">
        <v>1262</v>
      </c>
      <c r="B193" s="19" t="s">
        <v>99</v>
      </c>
      <c r="C193" s="19" t="s">
        <v>2052</v>
      </c>
      <c r="D193" s="19" t="s">
        <v>2053</v>
      </c>
      <c r="E193" s="20" t="str">
        <f t="shared" si="4"/>
        <v>Tracking</v>
      </c>
      <c r="F193" s="19" t="s">
        <v>2052</v>
      </c>
      <c r="G193" s="19" t="s">
        <v>2054</v>
      </c>
      <c r="H193" s="19" t="s">
        <v>32</v>
      </c>
      <c r="I193">
        <v>0</v>
      </c>
      <c r="J193">
        <v>1</v>
      </c>
      <c r="K193" s="1" t="s">
        <v>1021</v>
      </c>
    </row>
    <row r="194" spans="1:11" hidden="1">
      <c r="A194" s="17" t="s">
        <v>1262</v>
      </c>
      <c r="B194" s="19" t="s">
        <v>99</v>
      </c>
      <c r="C194" s="19" t="s">
        <v>2055</v>
      </c>
      <c r="D194" s="19" t="s">
        <v>2056</v>
      </c>
      <c r="E194" s="20" t="str">
        <f t="shared" si="4"/>
        <v>Tracking</v>
      </c>
      <c r="F194" s="19" t="s">
        <v>2055</v>
      </c>
      <c r="G194" s="19" t="s">
        <v>2057</v>
      </c>
      <c r="H194" s="19" t="s">
        <v>32</v>
      </c>
      <c r="I194">
        <v>0</v>
      </c>
      <c r="J194">
        <v>1</v>
      </c>
      <c r="K194" s="1" t="s">
        <v>1020</v>
      </c>
    </row>
    <row r="195" spans="1:11" hidden="1">
      <c r="A195" s="17" t="s">
        <v>1262</v>
      </c>
      <c r="B195" s="19" t="s">
        <v>99</v>
      </c>
      <c r="C195" s="19" t="s">
        <v>2058</v>
      </c>
      <c r="D195" s="19" t="s">
        <v>2059</v>
      </c>
      <c r="E195" s="20" t="str">
        <f t="shared" si="4"/>
        <v>Tracking</v>
      </c>
      <c r="F195" s="19" t="s">
        <v>2058</v>
      </c>
      <c r="G195" s="19" t="s">
        <v>2060</v>
      </c>
      <c r="H195" s="19" t="s">
        <v>32</v>
      </c>
      <c r="I195">
        <v>0</v>
      </c>
      <c r="J195">
        <v>5848</v>
      </c>
      <c r="K195" s="1" t="s">
        <v>1021</v>
      </c>
    </row>
    <row r="196" spans="1:11" hidden="1">
      <c r="A196" s="17" t="s">
        <v>1262</v>
      </c>
      <c r="B196" s="19" t="s">
        <v>99</v>
      </c>
      <c r="C196" s="19" t="s">
        <v>2061</v>
      </c>
      <c r="D196" s="19" t="s">
        <v>2062</v>
      </c>
      <c r="E196" s="20" t="str">
        <f t="shared" si="4"/>
        <v>Tracking</v>
      </c>
      <c r="F196" s="19" t="s">
        <v>2061</v>
      </c>
      <c r="G196" s="19" t="s">
        <v>2063</v>
      </c>
      <c r="H196" s="19" t="s">
        <v>32</v>
      </c>
      <c r="I196">
        <v>0</v>
      </c>
      <c r="J196">
        <v>1683</v>
      </c>
      <c r="K196" s="1" t="s">
        <v>1020</v>
      </c>
    </row>
    <row r="197" spans="1:11" hidden="1">
      <c r="A197" s="17" t="s">
        <v>1262</v>
      </c>
      <c r="B197" s="19" t="s">
        <v>99</v>
      </c>
      <c r="C197" s="19" t="s">
        <v>2064</v>
      </c>
      <c r="D197" s="19" t="s">
        <v>2065</v>
      </c>
      <c r="E197" s="20" t="str">
        <f t="shared" si="4"/>
        <v>Tracking</v>
      </c>
      <c r="F197" s="19" t="s">
        <v>2064</v>
      </c>
      <c r="G197" s="19" t="s">
        <v>2066</v>
      </c>
      <c r="H197" s="19" t="s">
        <v>32</v>
      </c>
      <c r="I197">
        <v>0</v>
      </c>
      <c r="J197">
        <v>3157</v>
      </c>
      <c r="K197" s="1" t="s">
        <v>1020</v>
      </c>
    </row>
    <row r="198" spans="1:11" hidden="1">
      <c r="A198" s="17" t="s">
        <v>1262</v>
      </c>
      <c r="B198" s="19" t="s">
        <v>99</v>
      </c>
      <c r="C198" s="19" t="s">
        <v>2067</v>
      </c>
      <c r="D198" s="19" t="s">
        <v>2068</v>
      </c>
      <c r="E198" s="20" t="str">
        <f t="shared" si="4"/>
        <v>Tracking</v>
      </c>
      <c r="F198" s="19" t="s">
        <v>2067</v>
      </c>
      <c r="G198" s="19" t="s">
        <v>2069</v>
      </c>
      <c r="H198" s="19" t="s">
        <v>32</v>
      </c>
      <c r="I198">
        <v>0</v>
      </c>
      <c r="J198">
        <v>4122</v>
      </c>
      <c r="K198" s="1" t="s">
        <v>1021</v>
      </c>
    </row>
    <row r="199" spans="1:11" hidden="1">
      <c r="A199" s="17" t="s">
        <v>1262</v>
      </c>
      <c r="B199" s="19" t="s">
        <v>99</v>
      </c>
      <c r="C199" s="19" t="s">
        <v>2070</v>
      </c>
      <c r="D199" s="19" t="s">
        <v>2071</v>
      </c>
      <c r="E199" s="20" t="str">
        <f t="shared" si="4"/>
        <v>Tracking</v>
      </c>
      <c r="F199" s="19" t="s">
        <v>2070</v>
      </c>
      <c r="G199" s="19" t="s">
        <v>2072</v>
      </c>
      <c r="H199" s="19" t="s">
        <v>32</v>
      </c>
      <c r="I199">
        <v>0</v>
      </c>
      <c r="J199">
        <v>1</v>
      </c>
      <c r="K199" s="1" t="s">
        <v>1020</v>
      </c>
    </row>
    <row r="200" spans="1:11" hidden="1">
      <c r="A200" s="17" t="s">
        <v>1262</v>
      </c>
      <c r="B200" s="19" t="s">
        <v>99</v>
      </c>
      <c r="C200" s="19" t="s">
        <v>1293</v>
      </c>
      <c r="D200" s="19" t="s">
        <v>1294</v>
      </c>
      <c r="E200" s="20" t="str">
        <f t="shared" si="4"/>
        <v>Tracking</v>
      </c>
      <c r="F200" s="19" t="s">
        <v>1293</v>
      </c>
      <c r="G200" s="19" t="s">
        <v>1295</v>
      </c>
      <c r="H200" s="19" t="s">
        <v>32</v>
      </c>
      <c r="I200">
        <v>0</v>
      </c>
      <c r="J200">
        <v>4296</v>
      </c>
      <c r="K200" s="1" t="s">
        <v>1021</v>
      </c>
    </row>
    <row r="201" spans="1:11" hidden="1">
      <c r="A201" s="17" t="s">
        <v>1262</v>
      </c>
      <c r="B201" s="19" t="s">
        <v>99</v>
      </c>
      <c r="C201" s="19" t="s">
        <v>2073</v>
      </c>
      <c r="D201" s="19" t="s">
        <v>2074</v>
      </c>
      <c r="E201" s="20" t="str">
        <f t="shared" si="4"/>
        <v>Tracking</v>
      </c>
      <c r="F201" s="19" t="s">
        <v>2073</v>
      </c>
      <c r="G201" s="19" t="s">
        <v>2075</v>
      </c>
      <c r="H201" s="19" t="s">
        <v>32</v>
      </c>
      <c r="I201">
        <v>0</v>
      </c>
      <c r="J201">
        <v>62</v>
      </c>
      <c r="K201" s="1" t="s">
        <v>1020</v>
      </c>
    </row>
    <row r="202" spans="1:11" hidden="1">
      <c r="A202" s="17" t="s">
        <v>1262</v>
      </c>
      <c r="B202" s="19" t="s">
        <v>99</v>
      </c>
      <c r="C202" s="19" t="s">
        <v>1296</v>
      </c>
      <c r="D202" s="19" t="s">
        <v>1297</v>
      </c>
      <c r="E202" s="20" t="str">
        <f t="shared" si="4"/>
        <v>Tracking</v>
      </c>
      <c r="F202" s="19" t="s">
        <v>1296</v>
      </c>
      <c r="G202" s="19" t="s">
        <v>1298</v>
      </c>
      <c r="H202" s="19" t="s">
        <v>32</v>
      </c>
      <c r="I202">
        <v>0</v>
      </c>
      <c r="J202">
        <v>577</v>
      </c>
      <c r="K202" s="1" t="s">
        <v>1021</v>
      </c>
    </row>
    <row r="203" spans="1:11" hidden="1">
      <c r="A203" s="17" t="s">
        <v>1262</v>
      </c>
      <c r="B203" s="19" t="s">
        <v>99</v>
      </c>
      <c r="C203" s="19" t="s">
        <v>1299</v>
      </c>
      <c r="D203" s="19" t="s">
        <v>1300</v>
      </c>
      <c r="E203" s="20" t="str">
        <f t="shared" si="4"/>
        <v>Tracking</v>
      </c>
      <c r="F203" s="19" t="s">
        <v>1299</v>
      </c>
      <c r="G203" s="19" t="s">
        <v>1301</v>
      </c>
      <c r="H203" s="19" t="s">
        <v>32</v>
      </c>
      <c r="I203">
        <v>0</v>
      </c>
      <c r="J203">
        <v>1373</v>
      </c>
      <c r="K203" s="1" t="s">
        <v>1020</v>
      </c>
    </row>
    <row r="204" spans="1:11" hidden="1">
      <c r="A204" s="17" t="s">
        <v>1262</v>
      </c>
      <c r="B204" s="19" t="s">
        <v>99</v>
      </c>
      <c r="C204" s="19" t="s">
        <v>1302</v>
      </c>
      <c r="D204" s="19" t="s">
        <v>1303</v>
      </c>
      <c r="E204" s="20" t="str">
        <f t="shared" si="4"/>
        <v>Tracking</v>
      </c>
      <c r="F204" s="19" t="s">
        <v>1302</v>
      </c>
      <c r="G204" s="19" t="s">
        <v>1304</v>
      </c>
      <c r="H204" s="19" t="s">
        <v>32</v>
      </c>
      <c r="I204">
        <v>0</v>
      </c>
      <c r="J204">
        <v>582</v>
      </c>
      <c r="K204" s="1" t="s">
        <v>1021</v>
      </c>
    </row>
    <row r="205" spans="1:11" hidden="1">
      <c r="A205" s="17" t="s">
        <v>1262</v>
      </c>
      <c r="B205" s="19" t="s">
        <v>99</v>
      </c>
      <c r="C205" s="19" t="s">
        <v>2076</v>
      </c>
      <c r="D205" s="19" t="s">
        <v>2077</v>
      </c>
      <c r="E205" s="20" t="str">
        <f t="shared" si="4"/>
        <v>Tracking</v>
      </c>
      <c r="F205" s="19" t="s">
        <v>2076</v>
      </c>
      <c r="G205" s="19" t="s">
        <v>2078</v>
      </c>
      <c r="H205" s="19" t="s">
        <v>32</v>
      </c>
      <c r="I205">
        <v>0</v>
      </c>
      <c r="J205">
        <v>740</v>
      </c>
      <c r="K205" s="1" t="s">
        <v>1020</v>
      </c>
    </row>
    <row r="206" spans="1:11" hidden="1">
      <c r="A206" s="17" t="s">
        <v>1262</v>
      </c>
      <c r="B206" s="19" t="s">
        <v>99</v>
      </c>
      <c r="C206" s="19" t="s">
        <v>2079</v>
      </c>
      <c r="D206" s="19" t="s">
        <v>2080</v>
      </c>
      <c r="E206" s="20" t="str">
        <f t="shared" si="4"/>
        <v>Tracking</v>
      </c>
      <c r="F206" s="19" t="s">
        <v>2079</v>
      </c>
      <c r="G206" s="19" t="s">
        <v>2081</v>
      </c>
      <c r="H206" s="19" t="s">
        <v>32</v>
      </c>
      <c r="I206">
        <v>0</v>
      </c>
      <c r="J206">
        <v>1</v>
      </c>
      <c r="K206" s="1" t="s">
        <v>1021</v>
      </c>
    </row>
    <row r="207" spans="1:11" hidden="1">
      <c r="A207" s="17" t="s">
        <v>51</v>
      </c>
      <c r="B207" s="19" t="s">
        <v>52</v>
      </c>
      <c r="C207" s="19" t="s">
        <v>2082</v>
      </c>
      <c r="D207" s="19" t="s">
        <v>2083</v>
      </c>
      <c r="E207" s="20" t="str">
        <f t="shared" si="4"/>
        <v>Tracking</v>
      </c>
      <c r="F207" s="19" t="s">
        <v>2082</v>
      </c>
      <c r="G207" s="19" t="s">
        <v>2084</v>
      </c>
      <c r="H207" s="19" t="s">
        <v>32</v>
      </c>
      <c r="I207">
        <v>0</v>
      </c>
      <c r="J207">
        <v>2</v>
      </c>
      <c r="K207" s="1" t="s">
        <v>1020</v>
      </c>
    </row>
    <row r="208" spans="1:11" hidden="1">
      <c r="A208" s="17" t="s">
        <v>51</v>
      </c>
      <c r="B208" s="19" t="s">
        <v>52</v>
      </c>
      <c r="C208" s="19" t="s">
        <v>53</v>
      </c>
      <c r="D208" s="19" t="s">
        <v>54</v>
      </c>
      <c r="E208" s="20" t="str">
        <f t="shared" si="4"/>
        <v>Tracking</v>
      </c>
      <c r="F208" s="19" t="s">
        <v>53</v>
      </c>
      <c r="G208" s="19" t="s">
        <v>55</v>
      </c>
      <c r="H208" s="19" t="s">
        <v>32</v>
      </c>
      <c r="I208">
        <v>0</v>
      </c>
      <c r="J208">
        <v>11</v>
      </c>
      <c r="K208" s="1" t="s">
        <v>1021</v>
      </c>
    </row>
    <row r="209" spans="1:11" hidden="1">
      <c r="A209" s="17" t="s">
        <v>51</v>
      </c>
      <c r="B209" s="19" t="s">
        <v>52</v>
      </c>
      <c r="C209" s="19" t="s">
        <v>56</v>
      </c>
      <c r="D209" s="19" t="s">
        <v>57</v>
      </c>
      <c r="E209" s="20" t="str">
        <f t="shared" si="4"/>
        <v>Tracking</v>
      </c>
      <c r="F209" s="19" t="s">
        <v>56</v>
      </c>
      <c r="G209" s="19" t="s">
        <v>58</v>
      </c>
      <c r="H209" s="19" t="s">
        <v>32</v>
      </c>
      <c r="I209">
        <v>0</v>
      </c>
      <c r="J209">
        <v>5</v>
      </c>
      <c r="K209" s="1" t="s">
        <v>1020</v>
      </c>
    </row>
    <row r="210" spans="1:11" hidden="1">
      <c r="A210" s="17" t="s">
        <v>51</v>
      </c>
      <c r="B210" s="19" t="s">
        <v>52</v>
      </c>
      <c r="C210" s="19" t="s">
        <v>2085</v>
      </c>
      <c r="D210" s="19" t="s">
        <v>2086</v>
      </c>
      <c r="E210" s="20" t="str">
        <f t="shared" si="4"/>
        <v>Tracking</v>
      </c>
      <c r="F210" s="19" t="s">
        <v>2085</v>
      </c>
      <c r="G210" s="19" t="s">
        <v>2087</v>
      </c>
      <c r="H210" s="19" t="s">
        <v>32</v>
      </c>
      <c r="I210">
        <v>0</v>
      </c>
      <c r="J210">
        <v>1</v>
      </c>
      <c r="K210" s="1" t="s">
        <v>1021</v>
      </c>
    </row>
    <row r="211" spans="1:11" hidden="1">
      <c r="A211" s="17" t="s">
        <v>51</v>
      </c>
      <c r="B211" s="19" t="s">
        <v>52</v>
      </c>
      <c r="C211" s="19" t="s">
        <v>2088</v>
      </c>
      <c r="D211" s="19" t="s">
        <v>2089</v>
      </c>
      <c r="E211" s="20" t="str">
        <f t="shared" si="4"/>
        <v>Tracking</v>
      </c>
      <c r="F211" s="19" t="s">
        <v>2088</v>
      </c>
      <c r="G211" s="19" t="s">
        <v>2090</v>
      </c>
      <c r="H211" s="19" t="s">
        <v>32</v>
      </c>
      <c r="I211">
        <v>0</v>
      </c>
      <c r="J211">
        <v>1</v>
      </c>
      <c r="K211" s="1" t="s">
        <v>1020</v>
      </c>
    </row>
    <row r="212" spans="1:11" hidden="1">
      <c r="A212" s="17" t="s">
        <v>51</v>
      </c>
      <c r="B212" s="19" t="s">
        <v>52</v>
      </c>
      <c r="C212" s="19" t="s">
        <v>2091</v>
      </c>
      <c r="D212" s="19" t="s">
        <v>2092</v>
      </c>
      <c r="E212" s="20" t="str">
        <f t="shared" si="4"/>
        <v>Tracking</v>
      </c>
      <c r="F212" s="19" t="s">
        <v>2091</v>
      </c>
      <c r="G212" s="19" t="s">
        <v>2093</v>
      </c>
      <c r="H212" s="19" t="s">
        <v>32</v>
      </c>
      <c r="I212">
        <v>0</v>
      </c>
      <c r="J212">
        <v>1</v>
      </c>
      <c r="K212" s="1" t="s">
        <v>1021</v>
      </c>
    </row>
    <row r="213" spans="1:11" hidden="1">
      <c r="A213" s="17" t="s">
        <v>51</v>
      </c>
      <c r="B213" s="19" t="s">
        <v>52</v>
      </c>
      <c r="C213" s="19" t="s">
        <v>59</v>
      </c>
      <c r="D213" s="19" t="s">
        <v>60</v>
      </c>
      <c r="E213" s="20" t="str">
        <f t="shared" si="4"/>
        <v>Tracking</v>
      </c>
      <c r="F213" s="19" t="s">
        <v>59</v>
      </c>
      <c r="G213" s="19" t="s">
        <v>61</v>
      </c>
      <c r="H213" s="19" t="s">
        <v>32</v>
      </c>
      <c r="I213">
        <v>0</v>
      </c>
      <c r="J213">
        <v>1</v>
      </c>
      <c r="K213" s="1" t="s">
        <v>1020</v>
      </c>
    </row>
    <row r="214" spans="1:11" hidden="1">
      <c r="A214" s="17" t="s">
        <v>51</v>
      </c>
      <c r="B214" s="19" t="s">
        <v>52</v>
      </c>
      <c r="C214" s="19" t="s">
        <v>62</v>
      </c>
      <c r="D214" s="19" t="s">
        <v>63</v>
      </c>
      <c r="E214" s="20" t="str">
        <f t="shared" si="4"/>
        <v>Tracking</v>
      </c>
      <c r="F214" s="19" t="s">
        <v>62</v>
      </c>
      <c r="G214" s="19" t="s">
        <v>64</v>
      </c>
      <c r="H214" s="19" t="s">
        <v>32</v>
      </c>
      <c r="I214">
        <v>0</v>
      </c>
      <c r="J214">
        <v>1</v>
      </c>
      <c r="K214" s="1" t="s">
        <v>1020</v>
      </c>
    </row>
    <row r="215" spans="1:11" hidden="1">
      <c r="A215" s="17" t="s">
        <v>51</v>
      </c>
      <c r="B215" s="19" t="s">
        <v>52</v>
      </c>
      <c r="C215" s="19" t="s">
        <v>65</v>
      </c>
      <c r="D215" s="19" t="s">
        <v>66</v>
      </c>
      <c r="E215" s="20" t="str">
        <f t="shared" si="4"/>
        <v>Tracking</v>
      </c>
      <c r="F215" s="19" t="s">
        <v>65</v>
      </c>
      <c r="G215" s="19" t="s">
        <v>67</v>
      </c>
      <c r="H215" s="19" t="s">
        <v>32</v>
      </c>
      <c r="I215">
        <v>0</v>
      </c>
      <c r="J215">
        <v>8</v>
      </c>
      <c r="K215" s="1" t="s">
        <v>1021</v>
      </c>
    </row>
    <row r="216" spans="1:11" hidden="1">
      <c r="A216" s="17" t="s">
        <v>51</v>
      </c>
      <c r="B216" s="19" t="s">
        <v>52</v>
      </c>
      <c r="C216" s="19" t="s">
        <v>2094</v>
      </c>
      <c r="D216" s="19" t="s">
        <v>2095</v>
      </c>
      <c r="E216" s="20" t="str">
        <f t="shared" si="4"/>
        <v>Tracking</v>
      </c>
      <c r="F216" s="19" t="s">
        <v>2094</v>
      </c>
      <c r="G216" s="19" t="s">
        <v>2096</v>
      </c>
      <c r="H216" s="19" t="s">
        <v>32</v>
      </c>
      <c r="I216">
        <v>0</v>
      </c>
      <c r="J216">
        <v>2</v>
      </c>
      <c r="K216" s="1" t="s">
        <v>1020</v>
      </c>
    </row>
    <row r="217" spans="1:11" hidden="1">
      <c r="A217" s="17" t="s">
        <v>51</v>
      </c>
      <c r="B217" s="19" t="s">
        <v>52</v>
      </c>
      <c r="C217" s="19" t="s">
        <v>69</v>
      </c>
      <c r="D217" s="19" t="s">
        <v>70</v>
      </c>
      <c r="E217" s="20" t="str">
        <f t="shared" si="4"/>
        <v>Tracking</v>
      </c>
      <c r="F217" s="19" t="s">
        <v>69</v>
      </c>
      <c r="G217" s="19" t="s">
        <v>71</v>
      </c>
      <c r="H217" s="19" t="s">
        <v>32</v>
      </c>
      <c r="I217">
        <v>0</v>
      </c>
      <c r="J217">
        <v>23</v>
      </c>
      <c r="K217" s="1" t="s">
        <v>1021</v>
      </c>
    </row>
    <row r="218" spans="1:11" hidden="1">
      <c r="A218" s="17" t="s">
        <v>51</v>
      </c>
      <c r="B218" s="19" t="s">
        <v>52</v>
      </c>
      <c r="C218" s="19" t="s">
        <v>72</v>
      </c>
      <c r="D218" s="19" t="s">
        <v>73</v>
      </c>
      <c r="E218" s="20" t="s">
        <v>10</v>
      </c>
      <c r="F218" s="19" t="s">
        <v>72</v>
      </c>
      <c r="G218" s="19" t="s">
        <v>74</v>
      </c>
      <c r="H218" s="19" t="s">
        <v>68</v>
      </c>
      <c r="I218">
        <v>0</v>
      </c>
      <c r="J218">
        <v>5</v>
      </c>
      <c r="K218" s="1" t="s">
        <v>1020</v>
      </c>
    </row>
    <row r="219" spans="1:11" hidden="1">
      <c r="A219" s="17" t="s">
        <v>51</v>
      </c>
      <c r="B219" s="19" t="s">
        <v>52</v>
      </c>
      <c r="C219" s="19" t="s">
        <v>75</v>
      </c>
      <c r="D219" s="19" t="s">
        <v>76</v>
      </c>
      <c r="E219" s="20" t="s">
        <v>10</v>
      </c>
      <c r="F219" s="19" t="s">
        <v>75</v>
      </c>
      <c r="G219" s="19" t="s">
        <v>77</v>
      </c>
      <c r="H219" s="19" t="s">
        <v>68</v>
      </c>
      <c r="I219">
        <v>0</v>
      </c>
      <c r="J219">
        <v>1</v>
      </c>
      <c r="K219" s="1" t="s">
        <v>1021</v>
      </c>
    </row>
    <row r="220" spans="1:11" hidden="1">
      <c r="A220" s="17" t="s">
        <v>51</v>
      </c>
      <c r="B220" s="19" t="s">
        <v>52</v>
      </c>
      <c r="C220" s="19" t="s">
        <v>2097</v>
      </c>
      <c r="D220" s="19" t="s">
        <v>2098</v>
      </c>
      <c r="E220" s="20" t="s">
        <v>10</v>
      </c>
      <c r="F220" s="19" t="s">
        <v>2097</v>
      </c>
      <c r="G220" s="19" t="s">
        <v>2099</v>
      </c>
      <c r="H220" s="19" t="s">
        <v>68</v>
      </c>
      <c r="I220">
        <v>0</v>
      </c>
      <c r="J220">
        <v>1</v>
      </c>
      <c r="K220" s="1" t="s">
        <v>1021</v>
      </c>
    </row>
    <row r="221" spans="1:11" hidden="1">
      <c r="A221" s="17" t="s">
        <v>51</v>
      </c>
      <c r="B221" s="19" t="s">
        <v>52</v>
      </c>
      <c r="C221" s="19" t="s">
        <v>2100</v>
      </c>
      <c r="D221" s="19" t="s">
        <v>2101</v>
      </c>
      <c r="E221" s="20" t="s">
        <v>10</v>
      </c>
      <c r="F221" s="19" t="s">
        <v>2100</v>
      </c>
      <c r="G221" s="19" t="s">
        <v>2102</v>
      </c>
      <c r="H221" s="19" t="s">
        <v>68</v>
      </c>
      <c r="I221">
        <v>0</v>
      </c>
      <c r="J221">
        <v>2</v>
      </c>
      <c r="K221" s="1" t="s">
        <v>1020</v>
      </c>
    </row>
    <row r="222" spans="1:11" hidden="1">
      <c r="A222" s="17" t="s">
        <v>51</v>
      </c>
      <c r="B222" s="19" t="s">
        <v>52</v>
      </c>
      <c r="C222" s="19" t="s">
        <v>2103</v>
      </c>
      <c r="D222" s="19" t="s">
        <v>2104</v>
      </c>
      <c r="E222" s="20" t="str">
        <f t="shared" ref="E222:E239" si="5">IF(I222&gt;J222,"Standard","Tracking")</f>
        <v>Tracking</v>
      </c>
      <c r="F222" s="19" t="s">
        <v>2103</v>
      </c>
      <c r="G222" s="19" t="s">
        <v>2105</v>
      </c>
      <c r="H222" s="19" t="s">
        <v>32</v>
      </c>
      <c r="I222">
        <v>0</v>
      </c>
      <c r="J222">
        <v>2</v>
      </c>
      <c r="K222" s="1" t="s">
        <v>1021</v>
      </c>
    </row>
    <row r="223" spans="1:11" hidden="1">
      <c r="A223" s="17" t="s">
        <v>51</v>
      </c>
      <c r="B223" s="19" t="s">
        <v>52</v>
      </c>
      <c r="C223" s="19" t="s">
        <v>2106</v>
      </c>
      <c r="D223" s="19" t="s">
        <v>2107</v>
      </c>
      <c r="E223" s="20" t="str">
        <f t="shared" si="5"/>
        <v>Tracking</v>
      </c>
      <c r="F223" s="19" t="s">
        <v>2106</v>
      </c>
      <c r="G223" s="19" t="s">
        <v>2108</v>
      </c>
      <c r="H223" s="19" t="s">
        <v>32</v>
      </c>
      <c r="I223">
        <v>0</v>
      </c>
      <c r="J223">
        <v>1</v>
      </c>
      <c r="K223" s="1" t="s">
        <v>1020</v>
      </c>
    </row>
    <row r="224" spans="1:11" hidden="1">
      <c r="A224" s="17" t="s">
        <v>51</v>
      </c>
      <c r="B224" s="19" t="s">
        <v>52</v>
      </c>
      <c r="C224" s="19" t="s">
        <v>2109</v>
      </c>
      <c r="D224" s="19" t="s">
        <v>2110</v>
      </c>
      <c r="E224" s="20" t="str">
        <f t="shared" si="5"/>
        <v>Tracking</v>
      </c>
      <c r="F224" s="19" t="s">
        <v>2109</v>
      </c>
      <c r="G224" s="19" t="s">
        <v>2111</v>
      </c>
      <c r="H224" s="19" t="s">
        <v>32</v>
      </c>
      <c r="I224">
        <v>0</v>
      </c>
      <c r="J224">
        <v>1</v>
      </c>
      <c r="K224" s="1" t="s">
        <v>1021</v>
      </c>
    </row>
    <row r="225" spans="1:11" hidden="1">
      <c r="A225" s="17" t="s">
        <v>51</v>
      </c>
      <c r="B225" s="19" t="s">
        <v>52</v>
      </c>
      <c r="C225" s="19" t="s">
        <v>2112</v>
      </c>
      <c r="D225" s="19" t="s">
        <v>2113</v>
      </c>
      <c r="E225" s="20" t="str">
        <f t="shared" si="5"/>
        <v>Tracking</v>
      </c>
      <c r="F225" s="19" t="s">
        <v>2112</v>
      </c>
      <c r="G225" s="19" t="s">
        <v>2114</v>
      </c>
      <c r="H225" s="19" t="s">
        <v>32</v>
      </c>
      <c r="I225">
        <v>0</v>
      </c>
      <c r="J225">
        <v>1</v>
      </c>
      <c r="K225" s="1" t="s">
        <v>1020</v>
      </c>
    </row>
    <row r="226" spans="1:11" hidden="1">
      <c r="A226" s="17" t="s">
        <v>51</v>
      </c>
      <c r="B226" s="19" t="s">
        <v>52</v>
      </c>
      <c r="C226" s="19" t="s">
        <v>78</v>
      </c>
      <c r="D226" s="19" t="s">
        <v>79</v>
      </c>
      <c r="E226" s="20" t="str">
        <f t="shared" si="5"/>
        <v>Tracking</v>
      </c>
      <c r="F226" s="19" t="s">
        <v>78</v>
      </c>
      <c r="G226" s="19" t="s">
        <v>80</v>
      </c>
      <c r="H226" s="19" t="s">
        <v>32</v>
      </c>
      <c r="I226">
        <v>0</v>
      </c>
      <c r="J226">
        <v>1</v>
      </c>
      <c r="K226" s="1" t="s">
        <v>1021</v>
      </c>
    </row>
    <row r="227" spans="1:11" hidden="1">
      <c r="A227" s="17" t="s">
        <v>51</v>
      </c>
      <c r="B227" s="19" t="s">
        <v>52</v>
      </c>
      <c r="C227" s="19" t="s">
        <v>81</v>
      </c>
      <c r="D227" s="19" t="s">
        <v>82</v>
      </c>
      <c r="E227" s="20" t="str">
        <f t="shared" si="5"/>
        <v>Tracking</v>
      </c>
      <c r="F227" s="19" t="s">
        <v>81</v>
      </c>
      <c r="G227" s="19" t="s">
        <v>83</v>
      </c>
      <c r="H227" s="19" t="s">
        <v>32</v>
      </c>
      <c r="I227">
        <v>0</v>
      </c>
      <c r="J227">
        <v>2</v>
      </c>
      <c r="K227" s="1" t="s">
        <v>1020</v>
      </c>
    </row>
    <row r="228" spans="1:11" hidden="1">
      <c r="A228" s="17" t="s">
        <v>51</v>
      </c>
      <c r="B228" s="19" t="s">
        <v>52</v>
      </c>
      <c r="C228" s="19" t="s">
        <v>2115</v>
      </c>
      <c r="D228" s="19" t="s">
        <v>2116</v>
      </c>
      <c r="E228" s="20" t="str">
        <f t="shared" si="5"/>
        <v>Tracking</v>
      </c>
      <c r="F228" s="19" t="s">
        <v>2115</v>
      </c>
      <c r="G228" s="19" t="s">
        <v>2117</v>
      </c>
      <c r="H228" s="19" t="s">
        <v>32</v>
      </c>
      <c r="I228">
        <v>0</v>
      </c>
      <c r="J228">
        <v>1</v>
      </c>
      <c r="K228" s="1" t="s">
        <v>1021</v>
      </c>
    </row>
    <row r="229" spans="1:11" hidden="1">
      <c r="A229" s="17" t="s">
        <v>51</v>
      </c>
      <c r="B229" s="19" t="s">
        <v>52</v>
      </c>
      <c r="C229" s="19" t="s">
        <v>84</v>
      </c>
      <c r="D229" s="19" t="s">
        <v>85</v>
      </c>
      <c r="E229" s="20" t="str">
        <f t="shared" si="5"/>
        <v>Tracking</v>
      </c>
      <c r="F229" s="19" t="s">
        <v>84</v>
      </c>
      <c r="G229" s="19" t="s">
        <v>86</v>
      </c>
      <c r="H229" s="19" t="s">
        <v>32</v>
      </c>
      <c r="I229">
        <v>0</v>
      </c>
      <c r="J229">
        <v>3</v>
      </c>
      <c r="K229" s="1" t="s">
        <v>1020</v>
      </c>
    </row>
    <row r="230" spans="1:11" hidden="1">
      <c r="A230" s="17" t="s">
        <v>51</v>
      </c>
      <c r="B230" s="19" t="s">
        <v>52</v>
      </c>
      <c r="C230" s="19" t="s">
        <v>2118</v>
      </c>
      <c r="D230" s="19" t="s">
        <v>2119</v>
      </c>
      <c r="E230" s="20" t="str">
        <f t="shared" si="5"/>
        <v>Tracking</v>
      </c>
      <c r="F230" s="19" t="s">
        <v>2118</v>
      </c>
      <c r="G230" s="19" t="s">
        <v>2120</v>
      </c>
      <c r="H230" s="19" t="s">
        <v>32</v>
      </c>
      <c r="I230">
        <v>0</v>
      </c>
      <c r="J230">
        <v>2</v>
      </c>
      <c r="K230" s="1" t="s">
        <v>1021</v>
      </c>
    </row>
    <row r="231" spans="1:11" hidden="1">
      <c r="A231" s="17" t="s">
        <v>51</v>
      </c>
      <c r="B231" s="19" t="s">
        <v>87</v>
      </c>
      <c r="C231" s="19" t="s">
        <v>2121</v>
      </c>
      <c r="D231" s="19" t="s">
        <v>2122</v>
      </c>
      <c r="E231" s="20" t="str">
        <f t="shared" si="5"/>
        <v>Standard</v>
      </c>
      <c r="F231" s="19" t="s">
        <v>2121</v>
      </c>
      <c r="G231" s="19" t="s">
        <v>2123</v>
      </c>
      <c r="H231" s="19" t="s">
        <v>32</v>
      </c>
      <c r="I231">
        <v>1</v>
      </c>
      <c r="J231">
        <v>0</v>
      </c>
      <c r="K231" s="1" t="s">
        <v>1020</v>
      </c>
    </row>
    <row r="232" spans="1:11" hidden="1">
      <c r="A232" s="17" t="s">
        <v>51</v>
      </c>
      <c r="B232" s="19" t="s">
        <v>87</v>
      </c>
      <c r="C232" s="19" t="s">
        <v>2124</v>
      </c>
      <c r="D232" s="19" t="s">
        <v>2125</v>
      </c>
      <c r="E232" s="20" t="str">
        <f t="shared" si="5"/>
        <v>Standard</v>
      </c>
      <c r="F232" s="19" t="s">
        <v>2124</v>
      </c>
      <c r="G232" s="19" t="s">
        <v>2126</v>
      </c>
      <c r="H232" s="19" t="s">
        <v>32</v>
      </c>
      <c r="I232">
        <v>4</v>
      </c>
      <c r="J232">
        <v>0</v>
      </c>
      <c r="K232" s="1" t="s">
        <v>1020</v>
      </c>
    </row>
    <row r="233" spans="1:11" hidden="1">
      <c r="A233" s="17" t="s">
        <v>51</v>
      </c>
      <c r="B233" s="19" t="s">
        <v>87</v>
      </c>
      <c r="C233" s="19" t="s">
        <v>2127</v>
      </c>
      <c r="D233" s="19" t="s">
        <v>2128</v>
      </c>
      <c r="E233" s="20" t="str">
        <f t="shared" si="5"/>
        <v>Standard</v>
      </c>
      <c r="F233" s="19" t="s">
        <v>2127</v>
      </c>
      <c r="G233" s="19" t="s">
        <v>2129</v>
      </c>
      <c r="H233" s="19" t="s">
        <v>32</v>
      </c>
      <c r="I233">
        <v>2</v>
      </c>
      <c r="J233">
        <v>0</v>
      </c>
      <c r="K233" s="1" t="s">
        <v>1021</v>
      </c>
    </row>
    <row r="234" spans="1:11" hidden="1">
      <c r="A234" s="17" t="s">
        <v>51</v>
      </c>
      <c r="B234" s="19" t="s">
        <v>87</v>
      </c>
      <c r="C234" s="19" t="s">
        <v>2130</v>
      </c>
      <c r="D234" s="19" t="s">
        <v>2131</v>
      </c>
      <c r="E234" s="20" t="str">
        <f t="shared" si="5"/>
        <v>Standard</v>
      </c>
      <c r="F234" s="19" t="s">
        <v>2130</v>
      </c>
      <c r="G234" s="19" t="s">
        <v>2132</v>
      </c>
      <c r="H234" s="19" t="s">
        <v>32</v>
      </c>
      <c r="I234">
        <v>4</v>
      </c>
      <c r="J234">
        <v>0</v>
      </c>
      <c r="K234" s="1" t="s">
        <v>1020</v>
      </c>
    </row>
    <row r="235" spans="1:11" hidden="1">
      <c r="A235" s="17" t="s">
        <v>51</v>
      </c>
      <c r="B235" s="19" t="s">
        <v>87</v>
      </c>
      <c r="C235" s="19" t="s">
        <v>2133</v>
      </c>
      <c r="D235" s="19" t="s">
        <v>2134</v>
      </c>
      <c r="E235" s="20" t="str">
        <f t="shared" si="5"/>
        <v>Standard</v>
      </c>
      <c r="F235" s="19" t="s">
        <v>2133</v>
      </c>
      <c r="G235" s="19" t="s">
        <v>2135</v>
      </c>
      <c r="H235" s="19" t="s">
        <v>32</v>
      </c>
      <c r="I235">
        <v>2200528</v>
      </c>
      <c r="J235">
        <v>0</v>
      </c>
      <c r="K235" s="1" t="s">
        <v>1021</v>
      </c>
    </row>
    <row r="236" spans="1:11" hidden="1">
      <c r="A236" s="17" t="s">
        <v>51</v>
      </c>
      <c r="B236" s="19" t="s">
        <v>87</v>
      </c>
      <c r="C236" s="19" t="s">
        <v>2136</v>
      </c>
      <c r="D236" s="19" t="s">
        <v>2137</v>
      </c>
      <c r="E236" s="20" t="str">
        <f t="shared" si="5"/>
        <v>Standard</v>
      </c>
      <c r="F236" s="19" t="s">
        <v>2136</v>
      </c>
      <c r="G236" s="19" t="s">
        <v>2138</v>
      </c>
      <c r="H236" s="19" t="s">
        <v>32</v>
      </c>
      <c r="I236">
        <v>2503239</v>
      </c>
      <c r="J236">
        <v>0</v>
      </c>
      <c r="K236" s="1" t="s">
        <v>1020</v>
      </c>
    </row>
    <row r="237" spans="1:11" hidden="1">
      <c r="A237" s="17" t="s">
        <v>51</v>
      </c>
      <c r="B237" s="19" t="s">
        <v>88</v>
      </c>
      <c r="C237" s="19" t="s">
        <v>2139</v>
      </c>
      <c r="D237" s="19" t="s">
        <v>2140</v>
      </c>
      <c r="E237" s="20" t="str">
        <f t="shared" si="5"/>
        <v>Tracking</v>
      </c>
      <c r="F237" s="19" t="s">
        <v>2139</v>
      </c>
      <c r="G237" s="19" t="s">
        <v>2141</v>
      </c>
      <c r="H237" s="19" t="s">
        <v>32</v>
      </c>
      <c r="I237">
        <v>4</v>
      </c>
      <c r="J237">
        <v>5</v>
      </c>
      <c r="K237" s="1" t="s">
        <v>1021</v>
      </c>
    </row>
    <row r="238" spans="1:11" hidden="1">
      <c r="A238" s="17" t="s">
        <v>51</v>
      </c>
      <c r="B238" s="19" t="s">
        <v>88</v>
      </c>
      <c r="C238" s="19" t="s">
        <v>89</v>
      </c>
      <c r="D238" s="19" t="s">
        <v>90</v>
      </c>
      <c r="E238" s="20" t="str">
        <f t="shared" si="5"/>
        <v>Standard</v>
      </c>
      <c r="F238" s="19" t="s">
        <v>89</v>
      </c>
      <c r="G238" s="19" t="s">
        <v>91</v>
      </c>
      <c r="H238" s="19" t="s">
        <v>32</v>
      </c>
      <c r="I238">
        <v>57</v>
      </c>
      <c r="J238">
        <v>1</v>
      </c>
      <c r="K238" s="1" t="s">
        <v>1020</v>
      </c>
    </row>
    <row r="239" spans="1:11" hidden="1">
      <c r="A239" s="17" t="s">
        <v>51</v>
      </c>
      <c r="B239" s="19" t="s">
        <v>88</v>
      </c>
      <c r="C239" s="19" t="s">
        <v>92</v>
      </c>
      <c r="D239" s="19" t="s">
        <v>93</v>
      </c>
      <c r="E239" s="20" t="str">
        <f t="shared" si="5"/>
        <v>Standard</v>
      </c>
      <c r="F239" s="19" t="s">
        <v>92</v>
      </c>
      <c r="G239" s="19" t="s">
        <v>94</v>
      </c>
      <c r="H239" s="19" t="s">
        <v>32</v>
      </c>
      <c r="I239">
        <v>684630</v>
      </c>
      <c r="J239">
        <v>2585</v>
      </c>
      <c r="K239" s="1" t="s">
        <v>1021</v>
      </c>
    </row>
    <row r="240" spans="1:11" hidden="1">
      <c r="A240" s="17" t="s">
        <v>51</v>
      </c>
      <c r="B240" s="19" t="s">
        <v>95</v>
      </c>
      <c r="C240" s="19" t="s">
        <v>96</v>
      </c>
      <c r="D240" s="19" t="s">
        <v>97</v>
      </c>
      <c r="E240" s="20" t="s">
        <v>10</v>
      </c>
      <c r="F240" s="19" t="s">
        <v>96</v>
      </c>
      <c r="G240" s="19" t="s">
        <v>98</v>
      </c>
      <c r="H240" s="19" t="s">
        <v>68</v>
      </c>
      <c r="I240">
        <v>0</v>
      </c>
      <c r="J240">
        <v>1</v>
      </c>
      <c r="K240" s="1" t="s">
        <v>1020</v>
      </c>
    </row>
    <row r="241" spans="1:11" hidden="1">
      <c r="A241" s="17" t="s">
        <v>51</v>
      </c>
      <c r="B241" s="19" t="s">
        <v>99</v>
      </c>
      <c r="C241" s="19" t="s">
        <v>1305</v>
      </c>
      <c r="D241" s="19" t="s">
        <v>1306</v>
      </c>
      <c r="E241" s="20" t="str">
        <f t="shared" ref="E241:E254" si="6">IF(I241&gt;J241,"Standard","Tracking")</f>
        <v>Tracking</v>
      </c>
      <c r="F241" s="19" t="s">
        <v>1305</v>
      </c>
      <c r="G241" s="19" t="s">
        <v>1307</v>
      </c>
      <c r="H241" s="19" t="s">
        <v>32</v>
      </c>
      <c r="I241">
        <v>0</v>
      </c>
      <c r="J241">
        <v>17950</v>
      </c>
      <c r="K241" s="1" t="s">
        <v>1021</v>
      </c>
    </row>
    <row r="242" spans="1:11" hidden="1">
      <c r="A242" s="17" t="s">
        <v>51</v>
      </c>
      <c r="B242" s="19" t="s">
        <v>99</v>
      </c>
      <c r="C242" s="19" t="s">
        <v>2142</v>
      </c>
      <c r="D242" s="19" t="s">
        <v>2143</v>
      </c>
      <c r="E242" s="20" t="str">
        <f t="shared" si="6"/>
        <v>Tracking</v>
      </c>
      <c r="F242" s="19" t="s">
        <v>2142</v>
      </c>
      <c r="G242" s="19" t="s">
        <v>2144</v>
      </c>
      <c r="H242" s="19" t="s">
        <v>32</v>
      </c>
      <c r="I242">
        <v>0</v>
      </c>
      <c r="J242">
        <v>1</v>
      </c>
      <c r="K242" s="1" t="s">
        <v>1020</v>
      </c>
    </row>
    <row r="243" spans="1:11" hidden="1">
      <c r="A243" s="17" t="s">
        <v>51</v>
      </c>
      <c r="B243" s="19" t="s">
        <v>99</v>
      </c>
      <c r="C243" s="19" t="s">
        <v>2145</v>
      </c>
      <c r="D243" s="19" t="s">
        <v>2146</v>
      </c>
      <c r="E243" s="20" t="str">
        <f t="shared" si="6"/>
        <v>Tracking</v>
      </c>
      <c r="F243" s="19" t="s">
        <v>2145</v>
      </c>
      <c r="G243" s="19" t="s">
        <v>2147</v>
      </c>
      <c r="H243" s="19" t="s">
        <v>32</v>
      </c>
      <c r="I243">
        <v>0</v>
      </c>
      <c r="J243">
        <v>1</v>
      </c>
      <c r="K243" s="1" t="s">
        <v>1021</v>
      </c>
    </row>
    <row r="244" spans="1:11" hidden="1">
      <c r="A244" s="17" t="s">
        <v>51</v>
      </c>
      <c r="B244" s="19" t="s">
        <v>99</v>
      </c>
      <c r="C244" s="19" t="s">
        <v>100</v>
      </c>
      <c r="D244" s="19" t="s">
        <v>101</v>
      </c>
      <c r="E244" s="20" t="str">
        <f t="shared" si="6"/>
        <v>Tracking</v>
      </c>
      <c r="F244" s="19" t="s">
        <v>100</v>
      </c>
      <c r="G244" s="19" t="s">
        <v>102</v>
      </c>
      <c r="H244" s="19" t="s">
        <v>32</v>
      </c>
      <c r="I244">
        <v>0</v>
      </c>
      <c r="J244">
        <v>1</v>
      </c>
      <c r="K244" s="1" t="s">
        <v>1020</v>
      </c>
    </row>
    <row r="245" spans="1:11" hidden="1">
      <c r="A245" s="17" t="s">
        <v>51</v>
      </c>
      <c r="B245" s="19" t="s">
        <v>99</v>
      </c>
      <c r="C245" s="19" t="s">
        <v>2148</v>
      </c>
      <c r="D245" s="19" t="s">
        <v>2149</v>
      </c>
      <c r="E245" s="20" t="str">
        <f t="shared" si="6"/>
        <v>Tracking</v>
      </c>
      <c r="F245" s="19" t="s">
        <v>2148</v>
      </c>
      <c r="G245" s="19" t="s">
        <v>2150</v>
      </c>
      <c r="H245" s="19" t="s">
        <v>32</v>
      </c>
      <c r="I245">
        <v>0</v>
      </c>
      <c r="J245">
        <v>5765</v>
      </c>
      <c r="K245" s="1" t="s">
        <v>1021</v>
      </c>
    </row>
    <row r="246" spans="1:11" hidden="1">
      <c r="A246" s="17" t="s">
        <v>51</v>
      </c>
      <c r="B246" s="19" t="s">
        <v>99</v>
      </c>
      <c r="C246" s="19" t="s">
        <v>2151</v>
      </c>
      <c r="D246" s="19" t="s">
        <v>2152</v>
      </c>
      <c r="E246" s="20" t="str">
        <f t="shared" si="6"/>
        <v>Tracking</v>
      </c>
      <c r="F246" s="19" t="s">
        <v>2151</v>
      </c>
      <c r="G246" s="19" t="s">
        <v>2153</v>
      </c>
      <c r="H246" s="19" t="s">
        <v>32</v>
      </c>
      <c r="I246">
        <v>0</v>
      </c>
      <c r="J246">
        <v>1</v>
      </c>
      <c r="K246" s="1" t="s">
        <v>1020</v>
      </c>
    </row>
    <row r="247" spans="1:11" hidden="1">
      <c r="A247" s="17" t="s">
        <v>51</v>
      </c>
      <c r="B247" s="19" t="s">
        <v>99</v>
      </c>
      <c r="C247" s="19" t="s">
        <v>2154</v>
      </c>
      <c r="D247" s="19" t="s">
        <v>2155</v>
      </c>
      <c r="E247" s="20" t="str">
        <f t="shared" si="6"/>
        <v>Tracking</v>
      </c>
      <c r="F247" s="19" t="s">
        <v>2154</v>
      </c>
      <c r="G247" s="19" t="s">
        <v>2156</v>
      </c>
      <c r="H247" s="19" t="s">
        <v>32</v>
      </c>
      <c r="I247">
        <v>0</v>
      </c>
      <c r="J247">
        <v>1</v>
      </c>
      <c r="K247" s="1" t="s">
        <v>1021</v>
      </c>
    </row>
    <row r="248" spans="1:11" hidden="1">
      <c r="A248" s="17" t="s">
        <v>51</v>
      </c>
      <c r="B248" s="19" t="s">
        <v>99</v>
      </c>
      <c r="C248" s="19" t="s">
        <v>2157</v>
      </c>
      <c r="D248" s="19" t="s">
        <v>2158</v>
      </c>
      <c r="E248" s="20" t="str">
        <f t="shared" si="6"/>
        <v>Tracking</v>
      </c>
      <c r="F248" s="19" t="s">
        <v>2157</v>
      </c>
      <c r="G248" s="19" t="s">
        <v>2159</v>
      </c>
      <c r="H248" s="19" t="s">
        <v>32</v>
      </c>
      <c r="I248">
        <v>0</v>
      </c>
      <c r="J248">
        <v>6</v>
      </c>
      <c r="K248" s="1" t="s">
        <v>1020</v>
      </c>
    </row>
    <row r="249" spans="1:11" hidden="1">
      <c r="A249" s="17" t="s">
        <v>51</v>
      </c>
      <c r="B249" s="19" t="s">
        <v>99</v>
      </c>
      <c r="C249" s="19" t="s">
        <v>2160</v>
      </c>
      <c r="D249" s="19" t="s">
        <v>2161</v>
      </c>
      <c r="E249" s="20" t="str">
        <f t="shared" si="6"/>
        <v>Tracking</v>
      </c>
      <c r="F249" s="19" t="s">
        <v>2160</v>
      </c>
      <c r="G249" s="19" t="s">
        <v>2162</v>
      </c>
      <c r="H249" s="19" t="s">
        <v>32</v>
      </c>
      <c r="I249">
        <v>0</v>
      </c>
      <c r="J249">
        <v>5</v>
      </c>
      <c r="K249" s="1" t="s">
        <v>1021</v>
      </c>
    </row>
    <row r="250" spans="1:11" hidden="1">
      <c r="A250" s="17" t="s">
        <v>51</v>
      </c>
      <c r="B250" s="19" t="s">
        <v>99</v>
      </c>
      <c r="C250" s="19" t="s">
        <v>103</v>
      </c>
      <c r="D250" s="19" t="s">
        <v>104</v>
      </c>
      <c r="E250" s="20" t="str">
        <f t="shared" si="6"/>
        <v>Tracking</v>
      </c>
      <c r="F250" s="19" t="s">
        <v>103</v>
      </c>
      <c r="G250" s="19" t="s">
        <v>105</v>
      </c>
      <c r="H250" s="19" t="s">
        <v>32</v>
      </c>
      <c r="I250">
        <v>0</v>
      </c>
      <c r="J250">
        <v>9207</v>
      </c>
      <c r="K250" s="1" t="s">
        <v>1020</v>
      </c>
    </row>
    <row r="251" spans="1:11" hidden="1">
      <c r="A251" s="17" t="s">
        <v>51</v>
      </c>
      <c r="B251" s="19" t="s">
        <v>99</v>
      </c>
      <c r="C251" s="19" t="s">
        <v>106</v>
      </c>
      <c r="D251" s="19" t="s">
        <v>107</v>
      </c>
      <c r="E251" s="20" t="str">
        <f t="shared" si="6"/>
        <v>Tracking</v>
      </c>
      <c r="F251" s="19" t="s">
        <v>106</v>
      </c>
      <c r="G251" s="19" t="s">
        <v>108</v>
      </c>
      <c r="H251" s="19" t="s">
        <v>32</v>
      </c>
      <c r="I251">
        <v>0</v>
      </c>
      <c r="J251">
        <v>2</v>
      </c>
      <c r="K251" s="1" t="s">
        <v>1021</v>
      </c>
    </row>
    <row r="252" spans="1:11" hidden="1">
      <c r="A252" s="17" t="s">
        <v>51</v>
      </c>
      <c r="B252" s="19" t="s">
        <v>99</v>
      </c>
      <c r="C252" s="19" t="s">
        <v>2163</v>
      </c>
      <c r="D252" s="19" t="s">
        <v>2164</v>
      </c>
      <c r="E252" s="20" t="str">
        <f t="shared" si="6"/>
        <v>Tracking</v>
      </c>
      <c r="F252" s="19" t="s">
        <v>2163</v>
      </c>
      <c r="G252" s="19" t="s">
        <v>2165</v>
      </c>
      <c r="H252" s="19" t="s">
        <v>32</v>
      </c>
      <c r="I252">
        <v>0</v>
      </c>
      <c r="J252">
        <v>3</v>
      </c>
      <c r="K252" s="1" t="s">
        <v>1020</v>
      </c>
    </row>
    <row r="253" spans="1:11" hidden="1">
      <c r="A253" s="17" t="s">
        <v>51</v>
      </c>
      <c r="B253" s="19" t="s">
        <v>99</v>
      </c>
      <c r="C253" s="19" t="s">
        <v>2166</v>
      </c>
      <c r="D253" s="19" t="s">
        <v>2167</v>
      </c>
      <c r="E253" s="20" t="str">
        <f t="shared" si="6"/>
        <v>Tracking</v>
      </c>
      <c r="F253" s="19" t="s">
        <v>2166</v>
      </c>
      <c r="G253" s="19" t="s">
        <v>2168</v>
      </c>
      <c r="H253" s="19" t="s">
        <v>32</v>
      </c>
      <c r="I253">
        <v>0</v>
      </c>
      <c r="J253">
        <v>4</v>
      </c>
      <c r="K253" s="1" t="s">
        <v>1021</v>
      </c>
    </row>
    <row r="254" spans="1:11" hidden="1">
      <c r="A254" s="17" t="s">
        <v>51</v>
      </c>
      <c r="B254" s="19" t="s">
        <v>99</v>
      </c>
      <c r="C254" s="19" t="s">
        <v>2169</v>
      </c>
      <c r="D254" s="19" t="s">
        <v>2170</v>
      </c>
      <c r="E254" s="20" t="str">
        <f t="shared" si="6"/>
        <v>Tracking</v>
      </c>
      <c r="F254" s="19" t="s">
        <v>2169</v>
      </c>
      <c r="G254" s="19" t="s">
        <v>2171</v>
      </c>
      <c r="H254" s="19" t="s">
        <v>32</v>
      </c>
      <c r="I254">
        <v>0</v>
      </c>
      <c r="J254">
        <v>2</v>
      </c>
      <c r="K254" s="1" t="s">
        <v>1020</v>
      </c>
    </row>
    <row r="255" spans="1:11" hidden="1">
      <c r="A255" s="17" t="s">
        <v>51</v>
      </c>
      <c r="B255" s="19" t="s">
        <v>99</v>
      </c>
      <c r="C255" s="19" t="s">
        <v>2172</v>
      </c>
      <c r="D255" s="19" t="s">
        <v>2173</v>
      </c>
      <c r="E255" s="20" t="s">
        <v>10</v>
      </c>
      <c r="F255" s="19" t="s">
        <v>2172</v>
      </c>
      <c r="G255" s="19" t="s">
        <v>2174</v>
      </c>
      <c r="H255" s="19" t="s">
        <v>68</v>
      </c>
      <c r="I255">
        <v>0</v>
      </c>
      <c r="J255">
        <v>5</v>
      </c>
      <c r="K255" s="1" t="s">
        <v>1021</v>
      </c>
    </row>
    <row r="256" spans="1:11" hidden="1">
      <c r="A256" s="17" t="s">
        <v>51</v>
      </c>
      <c r="B256" s="19" t="s">
        <v>99</v>
      </c>
      <c r="C256" s="19" t="s">
        <v>2175</v>
      </c>
      <c r="D256" s="19" t="s">
        <v>2176</v>
      </c>
      <c r="E256" s="20" t="s">
        <v>10</v>
      </c>
      <c r="F256" s="19" t="s">
        <v>2175</v>
      </c>
      <c r="G256" s="19" t="s">
        <v>2177</v>
      </c>
      <c r="H256" s="19" t="s">
        <v>68</v>
      </c>
      <c r="I256">
        <v>0</v>
      </c>
      <c r="J256">
        <v>1</v>
      </c>
      <c r="K256" s="1" t="s">
        <v>1020</v>
      </c>
    </row>
    <row r="257" spans="1:11" hidden="1">
      <c r="A257" s="17" t="s">
        <v>51</v>
      </c>
      <c r="B257" s="19" t="s">
        <v>99</v>
      </c>
      <c r="C257" s="19" t="s">
        <v>2178</v>
      </c>
      <c r="D257" s="19" t="s">
        <v>2179</v>
      </c>
      <c r="E257" s="20" t="str">
        <f t="shared" ref="E257:E268" si="7">IF(I257&gt;J257,"Standard","Tracking")</f>
        <v>Tracking</v>
      </c>
      <c r="F257" s="19" t="s">
        <v>2178</v>
      </c>
      <c r="G257" s="19" t="s">
        <v>2180</v>
      </c>
      <c r="H257" s="19" t="s">
        <v>32</v>
      </c>
      <c r="I257">
        <v>0</v>
      </c>
      <c r="J257">
        <v>1</v>
      </c>
      <c r="K257" s="1" t="s">
        <v>1021</v>
      </c>
    </row>
    <row r="258" spans="1:11" hidden="1">
      <c r="A258" s="17" t="s">
        <v>1308</v>
      </c>
      <c r="B258" s="19" t="s">
        <v>52</v>
      </c>
      <c r="C258" s="19" t="s">
        <v>1309</v>
      </c>
      <c r="D258" s="19" t="s">
        <v>1310</v>
      </c>
      <c r="E258" s="20" t="str">
        <f t="shared" si="7"/>
        <v>Tracking</v>
      </c>
      <c r="F258" s="19" t="s">
        <v>1309</v>
      </c>
      <c r="G258" s="19" t="s">
        <v>1311</v>
      </c>
      <c r="H258" s="19" t="s">
        <v>32</v>
      </c>
      <c r="I258">
        <v>0</v>
      </c>
      <c r="J258">
        <v>5669</v>
      </c>
      <c r="K258" s="1" t="s">
        <v>1020</v>
      </c>
    </row>
    <row r="259" spans="1:11" hidden="1">
      <c r="A259" s="17" t="s">
        <v>1308</v>
      </c>
      <c r="B259" s="19" t="s">
        <v>52</v>
      </c>
      <c r="C259" s="19" t="s">
        <v>1312</v>
      </c>
      <c r="D259" s="19" t="s">
        <v>1313</v>
      </c>
      <c r="E259" s="20" t="str">
        <f t="shared" si="7"/>
        <v>Tracking</v>
      </c>
      <c r="F259" s="19" t="s">
        <v>1312</v>
      </c>
      <c r="G259" s="19" t="s">
        <v>1314</v>
      </c>
      <c r="H259" s="19" t="s">
        <v>32</v>
      </c>
      <c r="I259">
        <v>0</v>
      </c>
      <c r="J259">
        <v>9541</v>
      </c>
      <c r="K259" s="1" t="s">
        <v>1021</v>
      </c>
    </row>
    <row r="260" spans="1:11" hidden="1">
      <c r="A260" s="17" t="s">
        <v>1308</v>
      </c>
      <c r="B260" s="19" t="s">
        <v>52</v>
      </c>
      <c r="C260" s="19" t="s">
        <v>1315</v>
      </c>
      <c r="D260" s="19" t="s">
        <v>1316</v>
      </c>
      <c r="E260" s="20" t="str">
        <f t="shared" si="7"/>
        <v>Tracking</v>
      </c>
      <c r="F260" s="19" t="s">
        <v>1315</v>
      </c>
      <c r="G260" s="19" t="s">
        <v>1317</v>
      </c>
      <c r="H260" s="19" t="s">
        <v>32</v>
      </c>
      <c r="I260">
        <v>0</v>
      </c>
      <c r="J260">
        <v>15441</v>
      </c>
      <c r="K260" s="1" t="s">
        <v>1020</v>
      </c>
    </row>
    <row r="261" spans="1:11" hidden="1">
      <c r="A261" s="17" t="s">
        <v>1308</v>
      </c>
      <c r="B261" s="19" t="s">
        <v>52</v>
      </c>
      <c r="C261" s="19" t="s">
        <v>1318</v>
      </c>
      <c r="D261" s="19" t="s">
        <v>1319</v>
      </c>
      <c r="E261" s="20" t="str">
        <f t="shared" si="7"/>
        <v>Tracking</v>
      </c>
      <c r="F261" s="19" t="s">
        <v>1318</v>
      </c>
      <c r="G261" s="19" t="s">
        <v>1320</v>
      </c>
      <c r="H261" s="19" t="s">
        <v>32</v>
      </c>
      <c r="I261">
        <v>0</v>
      </c>
      <c r="J261">
        <v>24154</v>
      </c>
      <c r="K261" s="1" t="s">
        <v>1021</v>
      </c>
    </row>
    <row r="262" spans="1:11" hidden="1">
      <c r="A262" s="17" t="s">
        <v>1308</v>
      </c>
      <c r="B262" s="19" t="s">
        <v>52</v>
      </c>
      <c r="C262" s="19" t="s">
        <v>1321</v>
      </c>
      <c r="D262" s="19" t="s">
        <v>1322</v>
      </c>
      <c r="E262" s="20" t="str">
        <f t="shared" si="7"/>
        <v>Tracking</v>
      </c>
      <c r="F262" s="19" t="s">
        <v>1321</v>
      </c>
      <c r="G262" s="19" t="s">
        <v>1323</v>
      </c>
      <c r="H262" s="19" t="s">
        <v>32</v>
      </c>
      <c r="I262">
        <v>0</v>
      </c>
      <c r="J262">
        <v>59992</v>
      </c>
      <c r="K262" s="1" t="s">
        <v>1020</v>
      </c>
    </row>
    <row r="263" spans="1:11" hidden="1">
      <c r="A263" s="17" t="s">
        <v>1308</v>
      </c>
      <c r="B263" s="19" t="s">
        <v>99</v>
      </c>
      <c r="C263" s="19" t="s">
        <v>2181</v>
      </c>
      <c r="D263" s="19" t="s">
        <v>2182</v>
      </c>
      <c r="E263" s="20" t="str">
        <f t="shared" si="7"/>
        <v>Tracking</v>
      </c>
      <c r="F263" s="19" t="s">
        <v>2181</v>
      </c>
      <c r="G263" s="19" t="s">
        <v>2183</v>
      </c>
      <c r="H263" s="19" t="s">
        <v>32</v>
      </c>
      <c r="I263">
        <v>0</v>
      </c>
      <c r="J263">
        <v>10268</v>
      </c>
      <c r="K263" s="1" t="s">
        <v>1020</v>
      </c>
    </row>
    <row r="264" spans="1:11" hidden="1">
      <c r="A264" s="17" t="s">
        <v>1308</v>
      </c>
      <c r="B264" s="19" t="s">
        <v>99</v>
      </c>
      <c r="C264" s="19" t="s">
        <v>1324</v>
      </c>
      <c r="D264" s="19" t="s">
        <v>1325</v>
      </c>
      <c r="E264" s="20" t="str">
        <f t="shared" si="7"/>
        <v>Tracking</v>
      </c>
      <c r="F264" s="19" t="s">
        <v>1324</v>
      </c>
      <c r="G264" s="19" t="s">
        <v>1326</v>
      </c>
      <c r="H264" s="19" t="s">
        <v>32</v>
      </c>
      <c r="I264">
        <v>0</v>
      </c>
      <c r="J264">
        <v>10884</v>
      </c>
      <c r="K264" s="1" t="s">
        <v>1021</v>
      </c>
    </row>
    <row r="265" spans="1:11" hidden="1">
      <c r="A265" s="17" t="s">
        <v>1308</v>
      </c>
      <c r="B265" s="19" t="s">
        <v>99</v>
      </c>
      <c r="C265" s="19" t="s">
        <v>1327</v>
      </c>
      <c r="D265" s="19" t="s">
        <v>1328</v>
      </c>
      <c r="E265" s="20" t="str">
        <f t="shared" si="7"/>
        <v>Tracking</v>
      </c>
      <c r="F265" s="19" t="s">
        <v>1327</v>
      </c>
      <c r="G265" s="19" t="s">
        <v>1329</v>
      </c>
      <c r="H265" s="19" t="s">
        <v>32</v>
      </c>
      <c r="I265">
        <v>0</v>
      </c>
      <c r="J265">
        <v>1604</v>
      </c>
      <c r="K265" s="1" t="s">
        <v>1020</v>
      </c>
    </row>
    <row r="266" spans="1:11" hidden="1">
      <c r="A266" s="17" t="s">
        <v>1308</v>
      </c>
      <c r="B266" s="19" t="s">
        <v>99</v>
      </c>
      <c r="C266" s="19" t="s">
        <v>1330</v>
      </c>
      <c r="D266" s="19" t="s">
        <v>1331</v>
      </c>
      <c r="E266" s="20" t="str">
        <f t="shared" si="7"/>
        <v>Tracking</v>
      </c>
      <c r="F266" s="19" t="s">
        <v>1330</v>
      </c>
      <c r="G266" s="19" t="s">
        <v>1332</v>
      </c>
      <c r="H266" s="19" t="s">
        <v>32</v>
      </c>
      <c r="I266">
        <v>0</v>
      </c>
      <c r="J266">
        <v>2586</v>
      </c>
      <c r="K266" s="1" t="s">
        <v>1021</v>
      </c>
    </row>
    <row r="267" spans="1:11" hidden="1">
      <c r="A267" s="17" t="s">
        <v>1308</v>
      </c>
      <c r="B267" s="19" t="s">
        <v>99</v>
      </c>
      <c r="C267" s="19" t="s">
        <v>2184</v>
      </c>
      <c r="D267" s="19" t="s">
        <v>2185</v>
      </c>
      <c r="E267" s="20" t="str">
        <f t="shared" si="7"/>
        <v>Tracking</v>
      </c>
      <c r="F267" s="19" t="s">
        <v>2184</v>
      </c>
      <c r="G267" s="19" t="s">
        <v>2186</v>
      </c>
      <c r="H267" s="19" t="s">
        <v>32</v>
      </c>
      <c r="I267">
        <v>0</v>
      </c>
      <c r="J267">
        <v>554</v>
      </c>
      <c r="K267" s="1" t="s">
        <v>1020</v>
      </c>
    </row>
    <row r="268" spans="1:11" hidden="1">
      <c r="A268" s="17" t="s">
        <v>1308</v>
      </c>
      <c r="B268" s="19" t="s">
        <v>99</v>
      </c>
      <c r="C268" s="19" t="s">
        <v>1333</v>
      </c>
      <c r="D268" s="19" t="s">
        <v>1334</v>
      </c>
      <c r="E268" s="20" t="str">
        <f t="shared" si="7"/>
        <v>Tracking</v>
      </c>
      <c r="F268" s="19" t="s">
        <v>1333</v>
      </c>
      <c r="G268" s="19" t="s">
        <v>1335</v>
      </c>
      <c r="H268" s="19" t="s">
        <v>32</v>
      </c>
      <c r="I268">
        <v>0</v>
      </c>
      <c r="J268">
        <v>2109</v>
      </c>
      <c r="K268" s="1" t="s">
        <v>1021</v>
      </c>
    </row>
    <row r="269" spans="1:11" hidden="1">
      <c r="A269" s="17" t="s">
        <v>1336</v>
      </c>
      <c r="B269" s="19" t="s">
        <v>135</v>
      </c>
      <c r="C269" s="19" t="s">
        <v>2187</v>
      </c>
      <c r="D269" s="19" t="s">
        <v>2188</v>
      </c>
      <c r="E269" s="20" t="s">
        <v>12</v>
      </c>
      <c r="F269" s="19" t="s">
        <v>2187</v>
      </c>
      <c r="G269" s="19" t="s">
        <v>2189</v>
      </c>
      <c r="H269" s="19" t="s">
        <v>31</v>
      </c>
      <c r="I269">
        <v>240973</v>
      </c>
      <c r="J269">
        <v>500</v>
      </c>
      <c r="K269" s="1" t="s">
        <v>1020</v>
      </c>
    </row>
    <row r="270" spans="1:11" hidden="1">
      <c r="A270" s="17" t="s">
        <v>1336</v>
      </c>
      <c r="B270" s="19" t="s">
        <v>135</v>
      </c>
      <c r="C270" s="19" t="s">
        <v>2190</v>
      </c>
      <c r="D270" s="19" t="s">
        <v>2191</v>
      </c>
      <c r="E270" s="20" t="s">
        <v>12</v>
      </c>
      <c r="F270" s="19" t="s">
        <v>2190</v>
      </c>
      <c r="G270" s="19" t="s">
        <v>2192</v>
      </c>
      <c r="H270" s="19" t="s">
        <v>31</v>
      </c>
      <c r="I270">
        <v>1231194</v>
      </c>
      <c r="J270">
        <v>436</v>
      </c>
      <c r="K270" s="1" t="s">
        <v>1021</v>
      </c>
    </row>
    <row r="271" spans="1:11" hidden="1">
      <c r="A271" s="17" t="s">
        <v>1336</v>
      </c>
      <c r="B271" s="19" t="s">
        <v>135</v>
      </c>
      <c r="C271" s="19" t="s">
        <v>2193</v>
      </c>
      <c r="D271" s="19" t="s">
        <v>2194</v>
      </c>
      <c r="E271" s="20" t="str">
        <f>IF(I271&gt;J271,"Standard","Tracking")</f>
        <v>Tracking</v>
      </c>
      <c r="F271" s="19" t="s">
        <v>2193</v>
      </c>
      <c r="G271" s="19" t="s">
        <v>2195</v>
      </c>
      <c r="H271" s="19" t="s">
        <v>32</v>
      </c>
      <c r="I271">
        <v>0</v>
      </c>
      <c r="J271">
        <v>3127</v>
      </c>
      <c r="K271" s="1" t="s">
        <v>1020</v>
      </c>
    </row>
    <row r="272" spans="1:11" hidden="1">
      <c r="A272" s="17" t="s">
        <v>1336</v>
      </c>
      <c r="B272" s="19" t="s">
        <v>135</v>
      </c>
      <c r="C272" s="19" t="s">
        <v>1337</v>
      </c>
      <c r="D272" s="19" t="s">
        <v>1338</v>
      </c>
      <c r="E272" s="20" t="s">
        <v>12</v>
      </c>
      <c r="F272" s="19" t="s">
        <v>1337</v>
      </c>
      <c r="G272" s="19" t="s">
        <v>1339</v>
      </c>
      <c r="H272" s="19" t="s">
        <v>31</v>
      </c>
      <c r="I272">
        <v>30885668</v>
      </c>
      <c r="J272">
        <v>23943</v>
      </c>
      <c r="K272" s="1" t="s">
        <v>1021</v>
      </c>
    </row>
    <row r="273" spans="1:11" hidden="1">
      <c r="A273" s="17" t="s">
        <v>1336</v>
      </c>
      <c r="B273" s="19" t="s">
        <v>135</v>
      </c>
      <c r="C273" s="19" t="s">
        <v>2196</v>
      </c>
      <c r="D273" s="19" t="s">
        <v>2197</v>
      </c>
      <c r="E273" s="20" t="s">
        <v>12</v>
      </c>
      <c r="F273" s="19" t="s">
        <v>2196</v>
      </c>
      <c r="G273" s="19" t="s">
        <v>2198</v>
      </c>
      <c r="H273" s="19" t="s">
        <v>31</v>
      </c>
      <c r="I273">
        <v>1230671</v>
      </c>
      <c r="J273">
        <v>821</v>
      </c>
      <c r="K273" s="1" t="s">
        <v>1020</v>
      </c>
    </row>
    <row r="274" spans="1:11" hidden="1">
      <c r="A274" s="17" t="s">
        <v>1336</v>
      </c>
      <c r="B274" s="19" t="s">
        <v>735</v>
      </c>
      <c r="C274" s="19" t="s">
        <v>2199</v>
      </c>
      <c r="D274" s="19" t="s">
        <v>2200</v>
      </c>
      <c r="E274" s="20" t="s">
        <v>12</v>
      </c>
      <c r="F274" s="19" t="s">
        <v>2199</v>
      </c>
      <c r="G274" s="19" t="s">
        <v>2201</v>
      </c>
      <c r="H274" s="19" t="s">
        <v>31</v>
      </c>
      <c r="I274">
        <v>2374989</v>
      </c>
      <c r="J274">
        <v>1496</v>
      </c>
      <c r="K274" s="1" t="s">
        <v>1021</v>
      </c>
    </row>
    <row r="275" spans="1:11" hidden="1">
      <c r="A275" s="17" t="s">
        <v>1336</v>
      </c>
      <c r="B275" s="19" t="s">
        <v>735</v>
      </c>
      <c r="C275" s="19" t="s">
        <v>2202</v>
      </c>
      <c r="D275" s="19" t="s">
        <v>2203</v>
      </c>
      <c r="E275" s="20" t="s">
        <v>12</v>
      </c>
      <c r="F275" s="19" t="s">
        <v>2202</v>
      </c>
      <c r="G275" s="19" t="s">
        <v>2204</v>
      </c>
      <c r="H275" s="19" t="s">
        <v>31</v>
      </c>
      <c r="I275">
        <v>1070854</v>
      </c>
      <c r="J275">
        <v>1140</v>
      </c>
      <c r="K275" s="1" t="s">
        <v>1020</v>
      </c>
    </row>
    <row r="276" spans="1:11" hidden="1">
      <c r="A276" s="17" t="s">
        <v>1336</v>
      </c>
      <c r="B276" s="19" t="s">
        <v>735</v>
      </c>
      <c r="C276" s="19" t="s">
        <v>2205</v>
      </c>
      <c r="D276" s="19" t="s">
        <v>2206</v>
      </c>
      <c r="E276" s="20" t="s">
        <v>12</v>
      </c>
      <c r="F276" s="19" t="s">
        <v>2205</v>
      </c>
      <c r="G276" s="19" t="s">
        <v>2207</v>
      </c>
      <c r="H276" s="19" t="s">
        <v>31</v>
      </c>
      <c r="I276">
        <v>560411</v>
      </c>
      <c r="J276">
        <v>274</v>
      </c>
      <c r="K276" s="1" t="s">
        <v>1021</v>
      </c>
    </row>
    <row r="277" spans="1:11" hidden="1">
      <c r="A277" s="17" t="s">
        <v>1336</v>
      </c>
      <c r="B277" s="19" t="s">
        <v>735</v>
      </c>
      <c r="C277" s="19" t="s">
        <v>1340</v>
      </c>
      <c r="D277" s="19" t="s">
        <v>1341</v>
      </c>
      <c r="E277" s="20" t="s">
        <v>11</v>
      </c>
      <c r="F277" s="19" t="s">
        <v>116</v>
      </c>
      <c r="G277" s="19" t="s">
        <v>2208</v>
      </c>
      <c r="H277" s="19" t="s">
        <v>31</v>
      </c>
      <c r="I277">
        <v>2</v>
      </c>
      <c r="J277">
        <v>0</v>
      </c>
      <c r="K277" s="1" t="s">
        <v>1020</v>
      </c>
    </row>
    <row r="278" spans="1:11" hidden="1">
      <c r="A278" s="17" t="s">
        <v>1336</v>
      </c>
      <c r="B278" s="19" t="s">
        <v>735</v>
      </c>
      <c r="C278" s="19" t="s">
        <v>1340</v>
      </c>
      <c r="D278" s="19" t="s">
        <v>1341</v>
      </c>
      <c r="E278" s="20" t="s">
        <v>12</v>
      </c>
      <c r="F278" s="19" t="s">
        <v>1340</v>
      </c>
      <c r="G278" s="19" t="s">
        <v>1342</v>
      </c>
      <c r="H278" s="19" t="s">
        <v>31</v>
      </c>
      <c r="I278">
        <v>17655949</v>
      </c>
      <c r="J278">
        <v>26231</v>
      </c>
      <c r="K278" s="1" t="s">
        <v>1021</v>
      </c>
    </row>
    <row r="279" spans="1:11" hidden="1">
      <c r="A279" s="17" t="s">
        <v>1336</v>
      </c>
      <c r="B279" s="19" t="s">
        <v>735</v>
      </c>
      <c r="C279" s="19" t="s">
        <v>2209</v>
      </c>
      <c r="D279" s="19" t="s">
        <v>2210</v>
      </c>
      <c r="E279" s="20" t="s">
        <v>12</v>
      </c>
      <c r="F279" s="19" t="s">
        <v>2209</v>
      </c>
      <c r="G279" s="19" t="s">
        <v>2211</v>
      </c>
      <c r="H279" s="19" t="s">
        <v>31</v>
      </c>
      <c r="I279">
        <v>13214</v>
      </c>
      <c r="J279">
        <v>0</v>
      </c>
      <c r="K279" s="1" t="s">
        <v>1020</v>
      </c>
    </row>
    <row r="280" spans="1:11" hidden="1">
      <c r="A280" s="17" t="s">
        <v>1336</v>
      </c>
      <c r="B280" s="19" t="s">
        <v>735</v>
      </c>
      <c r="C280" s="19" t="s">
        <v>2212</v>
      </c>
      <c r="D280" s="19" t="s">
        <v>2213</v>
      </c>
      <c r="E280" s="20" t="s">
        <v>12</v>
      </c>
      <c r="F280" s="19" t="s">
        <v>2212</v>
      </c>
      <c r="G280" s="19" t="s">
        <v>2214</v>
      </c>
      <c r="H280" s="19" t="s">
        <v>31</v>
      </c>
      <c r="I280">
        <v>1226843</v>
      </c>
      <c r="J280">
        <v>702</v>
      </c>
      <c r="K280" s="1" t="s">
        <v>1021</v>
      </c>
    </row>
    <row r="281" spans="1:11" hidden="1">
      <c r="A281" s="17" t="s">
        <v>1336</v>
      </c>
      <c r="B281" s="19" t="s">
        <v>735</v>
      </c>
      <c r="C281" s="19" t="s">
        <v>2215</v>
      </c>
      <c r="D281" s="19" t="s">
        <v>2216</v>
      </c>
      <c r="E281" s="20" t="s">
        <v>11</v>
      </c>
      <c r="F281" s="19" t="s">
        <v>432</v>
      </c>
      <c r="G281" s="19" t="s">
        <v>2217</v>
      </c>
      <c r="H281" s="19" t="s">
        <v>31</v>
      </c>
      <c r="I281">
        <v>1</v>
      </c>
      <c r="J281">
        <v>0</v>
      </c>
      <c r="K281" s="1" t="s">
        <v>1020</v>
      </c>
    </row>
    <row r="282" spans="1:11" hidden="1">
      <c r="A282" s="17" t="s">
        <v>1336</v>
      </c>
      <c r="B282" s="19" t="s">
        <v>735</v>
      </c>
      <c r="C282" s="19" t="s">
        <v>2215</v>
      </c>
      <c r="D282" s="19" t="s">
        <v>2216</v>
      </c>
      <c r="E282" s="20" t="s">
        <v>12</v>
      </c>
      <c r="F282" s="19" t="s">
        <v>2215</v>
      </c>
      <c r="G282" s="19" t="s">
        <v>2218</v>
      </c>
      <c r="H282" s="19" t="s">
        <v>31</v>
      </c>
      <c r="I282">
        <v>4539744</v>
      </c>
      <c r="J282">
        <v>5060</v>
      </c>
      <c r="K282" s="1" t="s">
        <v>1021</v>
      </c>
    </row>
    <row r="283" spans="1:11" hidden="1">
      <c r="A283" s="17" t="s">
        <v>1336</v>
      </c>
      <c r="B283" s="19" t="s">
        <v>52</v>
      </c>
      <c r="C283" s="19" t="s">
        <v>1343</v>
      </c>
      <c r="D283" s="19" t="s">
        <v>1344</v>
      </c>
      <c r="E283" s="20" t="str">
        <f t="shared" ref="E283:E294" si="8">IF(I283&gt;J283,"Standard","Tracking")</f>
        <v>Tracking</v>
      </c>
      <c r="F283" s="19" t="s">
        <v>1343</v>
      </c>
      <c r="G283" s="19" t="s">
        <v>1345</v>
      </c>
      <c r="H283" s="19" t="s">
        <v>32</v>
      </c>
      <c r="I283">
        <v>0</v>
      </c>
      <c r="J283">
        <v>10000</v>
      </c>
      <c r="K283" s="1" t="s">
        <v>1020</v>
      </c>
    </row>
    <row r="284" spans="1:11" hidden="1">
      <c r="A284" s="17" t="s">
        <v>1336</v>
      </c>
      <c r="B284" s="19" t="s">
        <v>52</v>
      </c>
      <c r="C284" s="19" t="s">
        <v>1346</v>
      </c>
      <c r="D284" s="19" t="s">
        <v>1347</v>
      </c>
      <c r="E284" s="20" t="str">
        <f t="shared" si="8"/>
        <v>Tracking</v>
      </c>
      <c r="F284" s="19" t="s">
        <v>1346</v>
      </c>
      <c r="G284" s="19" t="s">
        <v>1348</v>
      </c>
      <c r="H284" s="19" t="s">
        <v>32</v>
      </c>
      <c r="I284">
        <v>0</v>
      </c>
      <c r="J284">
        <v>35479</v>
      </c>
      <c r="K284" s="1" t="s">
        <v>1021</v>
      </c>
    </row>
    <row r="285" spans="1:11" hidden="1">
      <c r="A285" s="17" t="s">
        <v>1336</v>
      </c>
      <c r="B285" s="19" t="s">
        <v>52</v>
      </c>
      <c r="C285" s="19" t="s">
        <v>1349</v>
      </c>
      <c r="D285" s="19" t="s">
        <v>1350</v>
      </c>
      <c r="E285" s="20" t="str">
        <f t="shared" si="8"/>
        <v>Tracking</v>
      </c>
      <c r="F285" s="19" t="s">
        <v>1349</v>
      </c>
      <c r="G285" s="19" t="s">
        <v>1351</v>
      </c>
      <c r="H285" s="19" t="s">
        <v>32</v>
      </c>
      <c r="I285">
        <v>0</v>
      </c>
      <c r="J285">
        <v>20126</v>
      </c>
      <c r="K285" s="1" t="s">
        <v>1020</v>
      </c>
    </row>
    <row r="286" spans="1:11" hidden="1">
      <c r="A286" s="17" t="s">
        <v>1336</v>
      </c>
      <c r="B286" s="19" t="s">
        <v>52</v>
      </c>
      <c r="C286" s="19" t="s">
        <v>1352</v>
      </c>
      <c r="D286" s="19" t="s">
        <v>1353</v>
      </c>
      <c r="E286" s="20" t="str">
        <f t="shared" si="8"/>
        <v>Tracking</v>
      </c>
      <c r="F286" s="19" t="s">
        <v>1352</v>
      </c>
      <c r="G286" s="19" t="s">
        <v>1354</v>
      </c>
      <c r="H286" s="19" t="s">
        <v>32</v>
      </c>
      <c r="I286">
        <v>0</v>
      </c>
      <c r="J286">
        <v>41638</v>
      </c>
      <c r="K286" s="1" t="s">
        <v>1021</v>
      </c>
    </row>
    <row r="287" spans="1:11" hidden="1">
      <c r="A287" s="17" t="s">
        <v>1336</v>
      </c>
      <c r="B287" s="19" t="s">
        <v>52</v>
      </c>
      <c r="C287" s="19" t="s">
        <v>2219</v>
      </c>
      <c r="D287" s="19" t="s">
        <v>2220</v>
      </c>
      <c r="E287" s="20" t="str">
        <f t="shared" si="8"/>
        <v>Tracking</v>
      </c>
      <c r="F287" s="19" t="s">
        <v>2219</v>
      </c>
      <c r="G287" s="19" t="s">
        <v>2221</v>
      </c>
      <c r="H287" s="19" t="s">
        <v>32</v>
      </c>
      <c r="I287">
        <v>0</v>
      </c>
      <c r="J287">
        <v>18075</v>
      </c>
      <c r="K287" s="1" t="s">
        <v>1020</v>
      </c>
    </row>
    <row r="288" spans="1:11" hidden="1">
      <c r="A288" s="17" t="s">
        <v>1336</v>
      </c>
      <c r="B288" s="19" t="s">
        <v>52</v>
      </c>
      <c r="C288" s="19" t="s">
        <v>1355</v>
      </c>
      <c r="D288" s="19" t="s">
        <v>1356</v>
      </c>
      <c r="E288" s="20" t="str">
        <f t="shared" si="8"/>
        <v>Tracking</v>
      </c>
      <c r="F288" s="19" t="s">
        <v>1355</v>
      </c>
      <c r="G288" s="19" t="s">
        <v>1357</v>
      </c>
      <c r="H288" s="19" t="s">
        <v>32</v>
      </c>
      <c r="I288">
        <v>0</v>
      </c>
      <c r="J288">
        <v>34492</v>
      </c>
      <c r="K288" s="1" t="s">
        <v>1020</v>
      </c>
    </row>
    <row r="289" spans="1:11" hidden="1">
      <c r="A289" s="17" t="s">
        <v>1336</v>
      </c>
      <c r="B289" s="19" t="s">
        <v>52</v>
      </c>
      <c r="C289" s="19" t="s">
        <v>1358</v>
      </c>
      <c r="D289" s="19" t="s">
        <v>1359</v>
      </c>
      <c r="E289" s="20" t="str">
        <f t="shared" si="8"/>
        <v>Tracking</v>
      </c>
      <c r="F289" s="19" t="s">
        <v>1358</v>
      </c>
      <c r="G289" s="19" t="s">
        <v>1360</v>
      </c>
      <c r="H289" s="19" t="s">
        <v>32</v>
      </c>
      <c r="I289">
        <v>0</v>
      </c>
      <c r="J289">
        <v>24157</v>
      </c>
      <c r="K289" s="1" t="s">
        <v>1021</v>
      </c>
    </row>
    <row r="290" spans="1:11" hidden="1">
      <c r="A290" s="17" t="s">
        <v>1336</v>
      </c>
      <c r="B290" s="19" t="s">
        <v>52</v>
      </c>
      <c r="C290" s="19" t="s">
        <v>1361</v>
      </c>
      <c r="D290" s="19" t="s">
        <v>1362</v>
      </c>
      <c r="E290" s="20" t="str">
        <f t="shared" si="8"/>
        <v>Tracking</v>
      </c>
      <c r="F290" s="19" t="s">
        <v>1361</v>
      </c>
      <c r="G290" s="19" t="s">
        <v>1363</v>
      </c>
      <c r="H290" s="19" t="s">
        <v>32</v>
      </c>
      <c r="I290">
        <v>0</v>
      </c>
      <c r="J290">
        <v>33059</v>
      </c>
      <c r="K290" s="1" t="s">
        <v>1020</v>
      </c>
    </row>
    <row r="291" spans="1:11" hidden="1">
      <c r="A291" s="17" t="s">
        <v>1336</v>
      </c>
      <c r="B291" s="19" t="s">
        <v>52</v>
      </c>
      <c r="C291" s="19" t="s">
        <v>1364</v>
      </c>
      <c r="D291" s="19" t="s">
        <v>1365</v>
      </c>
      <c r="E291" s="20" t="str">
        <f t="shared" si="8"/>
        <v>Tracking</v>
      </c>
      <c r="F291" s="19" t="s">
        <v>1364</v>
      </c>
      <c r="G291" s="19" t="s">
        <v>1366</v>
      </c>
      <c r="H291" s="19" t="s">
        <v>32</v>
      </c>
      <c r="I291">
        <v>0</v>
      </c>
      <c r="J291">
        <v>16124</v>
      </c>
      <c r="K291" s="1" t="s">
        <v>1020</v>
      </c>
    </row>
    <row r="292" spans="1:11" hidden="1">
      <c r="A292" s="17" t="s">
        <v>1336</v>
      </c>
      <c r="B292" s="19" t="s">
        <v>52</v>
      </c>
      <c r="C292" s="19" t="s">
        <v>1367</v>
      </c>
      <c r="D292" s="19" t="s">
        <v>1368</v>
      </c>
      <c r="E292" s="20" t="str">
        <f t="shared" si="8"/>
        <v>Tracking</v>
      </c>
      <c r="F292" s="19" t="s">
        <v>1367</v>
      </c>
      <c r="G292" s="19" t="s">
        <v>1369</v>
      </c>
      <c r="H292" s="19" t="s">
        <v>32</v>
      </c>
      <c r="I292">
        <v>0</v>
      </c>
      <c r="J292">
        <v>491227</v>
      </c>
      <c r="K292" s="1" t="s">
        <v>1021</v>
      </c>
    </row>
    <row r="293" spans="1:11" hidden="1">
      <c r="A293" s="17" t="s">
        <v>1336</v>
      </c>
      <c r="B293" s="19" t="s">
        <v>87</v>
      </c>
      <c r="C293" s="19" t="s">
        <v>1370</v>
      </c>
      <c r="D293" s="19" t="s">
        <v>1371</v>
      </c>
      <c r="E293" s="20" t="str">
        <f t="shared" si="8"/>
        <v>Standard</v>
      </c>
      <c r="F293" s="19" t="s">
        <v>1370</v>
      </c>
      <c r="G293" s="19" t="s">
        <v>1372</v>
      </c>
      <c r="H293" s="19" t="s">
        <v>32</v>
      </c>
      <c r="I293">
        <v>7793267</v>
      </c>
      <c r="J293">
        <v>39737</v>
      </c>
      <c r="K293" s="1" t="s">
        <v>1020</v>
      </c>
    </row>
    <row r="294" spans="1:11" hidden="1">
      <c r="A294" s="17" t="s">
        <v>1336</v>
      </c>
      <c r="B294" s="19" t="s">
        <v>87</v>
      </c>
      <c r="C294" s="19" t="s">
        <v>1373</v>
      </c>
      <c r="D294" s="19" t="s">
        <v>1374</v>
      </c>
      <c r="E294" s="20" t="str">
        <f t="shared" si="8"/>
        <v>Standard</v>
      </c>
      <c r="F294" s="19" t="s">
        <v>1373</v>
      </c>
      <c r="G294" s="19" t="s">
        <v>1375</v>
      </c>
      <c r="H294" s="19" t="s">
        <v>32</v>
      </c>
      <c r="I294">
        <v>20262675</v>
      </c>
      <c r="J294">
        <v>23638</v>
      </c>
      <c r="K294" s="1" t="s">
        <v>1020</v>
      </c>
    </row>
    <row r="295" spans="1:11" hidden="1">
      <c r="A295" s="17" t="s">
        <v>1336</v>
      </c>
      <c r="B295" s="19" t="s">
        <v>50</v>
      </c>
      <c r="C295" s="19" t="s">
        <v>2222</v>
      </c>
      <c r="D295" s="19" t="s">
        <v>2223</v>
      </c>
      <c r="E295" s="20" t="s">
        <v>12</v>
      </c>
      <c r="F295" s="19" t="s">
        <v>2222</v>
      </c>
      <c r="G295" s="19" t="s">
        <v>2224</v>
      </c>
      <c r="H295" s="19" t="s">
        <v>31</v>
      </c>
      <c r="I295">
        <v>15</v>
      </c>
      <c r="J295">
        <v>0</v>
      </c>
      <c r="K295" s="1" t="s">
        <v>1021</v>
      </c>
    </row>
    <row r="296" spans="1:11" hidden="1">
      <c r="A296" s="17" t="s">
        <v>1336</v>
      </c>
      <c r="B296" s="19" t="s">
        <v>50</v>
      </c>
      <c r="C296" s="19" t="s">
        <v>1376</v>
      </c>
      <c r="D296" s="19" t="s">
        <v>1377</v>
      </c>
      <c r="E296" s="20" t="s">
        <v>12</v>
      </c>
      <c r="F296" s="19" t="s">
        <v>1376</v>
      </c>
      <c r="G296" s="19" t="s">
        <v>1378</v>
      </c>
      <c r="H296" s="19" t="s">
        <v>31</v>
      </c>
      <c r="I296">
        <v>26121</v>
      </c>
      <c r="J296">
        <v>153</v>
      </c>
      <c r="K296" s="1" t="s">
        <v>1020</v>
      </c>
    </row>
    <row r="297" spans="1:11" hidden="1">
      <c r="A297" s="17" t="s">
        <v>1336</v>
      </c>
      <c r="B297" s="19" t="s">
        <v>50</v>
      </c>
      <c r="C297" s="19" t="s">
        <v>2225</v>
      </c>
      <c r="D297" s="19" t="s">
        <v>2226</v>
      </c>
      <c r="E297" s="20" t="s">
        <v>12</v>
      </c>
      <c r="F297" s="19" t="s">
        <v>2225</v>
      </c>
      <c r="G297" s="19" t="s">
        <v>2227</v>
      </c>
      <c r="H297" s="19" t="s">
        <v>31</v>
      </c>
      <c r="I297">
        <v>3526</v>
      </c>
      <c r="J297">
        <v>88</v>
      </c>
      <c r="K297" s="1" t="s">
        <v>1021</v>
      </c>
    </row>
    <row r="298" spans="1:11" hidden="1">
      <c r="A298" s="17" t="s">
        <v>1336</v>
      </c>
      <c r="B298" s="19" t="s">
        <v>50</v>
      </c>
      <c r="C298" s="19" t="s">
        <v>2228</v>
      </c>
      <c r="D298" s="19" t="s">
        <v>2229</v>
      </c>
      <c r="E298" s="20" t="s">
        <v>12</v>
      </c>
      <c r="F298" s="19" t="s">
        <v>2228</v>
      </c>
      <c r="G298" s="19" t="s">
        <v>2230</v>
      </c>
      <c r="H298" s="19" t="s">
        <v>31</v>
      </c>
      <c r="I298">
        <v>1801</v>
      </c>
      <c r="J298">
        <v>2</v>
      </c>
      <c r="K298" s="1" t="s">
        <v>1020</v>
      </c>
    </row>
    <row r="299" spans="1:11" hidden="1">
      <c r="A299" s="17" t="s">
        <v>1336</v>
      </c>
      <c r="B299" s="19" t="s">
        <v>50</v>
      </c>
      <c r="C299" s="19" t="s">
        <v>1379</v>
      </c>
      <c r="D299" s="19" t="s">
        <v>1380</v>
      </c>
      <c r="E299" s="20" t="s">
        <v>11</v>
      </c>
      <c r="F299" s="19" t="s">
        <v>459</v>
      </c>
      <c r="G299" s="19" t="s">
        <v>1381</v>
      </c>
      <c r="H299" s="19" t="s">
        <v>31</v>
      </c>
      <c r="I299">
        <v>824580</v>
      </c>
      <c r="J299">
        <v>18448</v>
      </c>
      <c r="K299" s="1" t="s">
        <v>1021</v>
      </c>
    </row>
    <row r="300" spans="1:11" hidden="1">
      <c r="A300" s="17" t="s">
        <v>1336</v>
      </c>
      <c r="B300" s="19" t="s">
        <v>50</v>
      </c>
      <c r="C300" s="19" t="s">
        <v>1379</v>
      </c>
      <c r="D300" s="19" t="s">
        <v>1380</v>
      </c>
      <c r="E300" s="20" t="s">
        <v>12</v>
      </c>
      <c r="F300" s="19" t="s">
        <v>1379</v>
      </c>
      <c r="G300" s="19" t="s">
        <v>2231</v>
      </c>
      <c r="H300" s="19" t="s">
        <v>31</v>
      </c>
      <c r="I300">
        <v>55653</v>
      </c>
      <c r="J300">
        <v>713</v>
      </c>
      <c r="K300" s="1" t="s">
        <v>1020</v>
      </c>
    </row>
    <row r="301" spans="1:11" hidden="1">
      <c r="A301" s="17" t="s">
        <v>1336</v>
      </c>
      <c r="B301" s="19" t="s">
        <v>50</v>
      </c>
      <c r="C301" s="19" t="s">
        <v>2232</v>
      </c>
      <c r="D301" s="19" t="s">
        <v>2233</v>
      </c>
      <c r="E301" s="20" t="s">
        <v>11</v>
      </c>
      <c r="F301" s="19" t="s">
        <v>404</v>
      </c>
      <c r="G301" s="19" t="s">
        <v>2234</v>
      </c>
      <c r="H301" s="19" t="s">
        <v>31</v>
      </c>
      <c r="I301">
        <v>7933</v>
      </c>
      <c r="J301">
        <v>122</v>
      </c>
      <c r="K301" s="1" t="s">
        <v>1021</v>
      </c>
    </row>
    <row r="302" spans="1:11" hidden="1">
      <c r="A302" s="17" t="s">
        <v>1336</v>
      </c>
      <c r="B302" s="19" t="s">
        <v>50</v>
      </c>
      <c r="C302" s="19" t="s">
        <v>2232</v>
      </c>
      <c r="D302" s="19" t="s">
        <v>2233</v>
      </c>
      <c r="E302" s="20" t="s">
        <v>12</v>
      </c>
      <c r="F302" s="19" t="s">
        <v>2232</v>
      </c>
      <c r="G302" s="19" t="s">
        <v>2235</v>
      </c>
      <c r="H302" s="19" t="s">
        <v>31</v>
      </c>
      <c r="I302">
        <v>2786</v>
      </c>
      <c r="J302">
        <v>14</v>
      </c>
      <c r="K302" s="1" t="s">
        <v>1020</v>
      </c>
    </row>
    <row r="303" spans="1:11" hidden="1">
      <c r="A303" s="17" t="s">
        <v>1336</v>
      </c>
      <c r="B303" s="19" t="s">
        <v>50</v>
      </c>
      <c r="C303" s="19" t="s">
        <v>2236</v>
      </c>
      <c r="D303" s="19" t="s">
        <v>2237</v>
      </c>
      <c r="E303" s="20" t="s">
        <v>11</v>
      </c>
      <c r="F303" s="19" t="s">
        <v>418</v>
      </c>
      <c r="G303" s="19" t="s">
        <v>2238</v>
      </c>
      <c r="H303" s="19" t="s">
        <v>31</v>
      </c>
      <c r="I303">
        <v>11149</v>
      </c>
      <c r="J303">
        <v>22</v>
      </c>
      <c r="K303" s="1" t="s">
        <v>1021</v>
      </c>
    </row>
    <row r="304" spans="1:11" hidden="1">
      <c r="A304" s="17" t="s">
        <v>1336</v>
      </c>
      <c r="B304" s="19" t="s">
        <v>50</v>
      </c>
      <c r="C304" s="19" t="s">
        <v>2236</v>
      </c>
      <c r="D304" s="19" t="s">
        <v>2237</v>
      </c>
      <c r="E304" s="20" t="s">
        <v>12</v>
      </c>
      <c r="F304" s="19" t="s">
        <v>2236</v>
      </c>
      <c r="G304" s="19" t="s">
        <v>2239</v>
      </c>
      <c r="H304" s="19" t="s">
        <v>31</v>
      </c>
      <c r="I304">
        <v>2511</v>
      </c>
      <c r="J304">
        <v>1</v>
      </c>
      <c r="K304" s="1" t="s">
        <v>1020</v>
      </c>
    </row>
    <row r="305" spans="1:11" hidden="1">
      <c r="A305" s="17" t="s">
        <v>1336</v>
      </c>
      <c r="B305" s="19" t="s">
        <v>50</v>
      </c>
      <c r="C305" s="19" t="s">
        <v>2240</v>
      </c>
      <c r="D305" s="19" t="s">
        <v>2241</v>
      </c>
      <c r="E305" s="20" t="s">
        <v>12</v>
      </c>
      <c r="F305" s="19" t="s">
        <v>2240</v>
      </c>
      <c r="G305" s="19" t="s">
        <v>2242</v>
      </c>
      <c r="H305" s="19" t="s">
        <v>31</v>
      </c>
      <c r="I305">
        <v>718199</v>
      </c>
      <c r="J305">
        <v>12223</v>
      </c>
      <c r="K305" s="1" t="s">
        <v>1020</v>
      </c>
    </row>
    <row r="306" spans="1:11" hidden="1">
      <c r="A306" s="17" t="s">
        <v>1336</v>
      </c>
      <c r="B306" s="19" t="s">
        <v>50</v>
      </c>
      <c r="C306" s="19" t="s">
        <v>2243</v>
      </c>
      <c r="D306" s="19" t="s">
        <v>2244</v>
      </c>
      <c r="E306" s="20" t="s">
        <v>12</v>
      </c>
      <c r="F306" s="19" t="s">
        <v>2243</v>
      </c>
      <c r="G306" s="19" t="s">
        <v>2245</v>
      </c>
      <c r="H306" s="19" t="s">
        <v>31</v>
      </c>
      <c r="I306">
        <v>61075</v>
      </c>
      <c r="J306">
        <v>367</v>
      </c>
      <c r="K306" s="1" t="s">
        <v>1021</v>
      </c>
    </row>
    <row r="307" spans="1:11" hidden="1">
      <c r="A307" s="17" t="s">
        <v>1336</v>
      </c>
      <c r="B307" s="19" t="s">
        <v>50</v>
      </c>
      <c r="C307" s="19" t="s">
        <v>1382</v>
      </c>
      <c r="D307" s="19" t="s">
        <v>1383</v>
      </c>
      <c r="E307" s="20" t="s">
        <v>12</v>
      </c>
      <c r="F307" s="19" t="s">
        <v>1382</v>
      </c>
      <c r="G307" s="19" t="s">
        <v>1384</v>
      </c>
      <c r="H307" s="19" t="s">
        <v>31</v>
      </c>
      <c r="I307">
        <v>63358</v>
      </c>
      <c r="J307">
        <v>73</v>
      </c>
      <c r="K307" s="1" t="s">
        <v>1020</v>
      </c>
    </row>
    <row r="308" spans="1:11" hidden="1">
      <c r="A308" s="17" t="s">
        <v>1336</v>
      </c>
      <c r="B308" s="19" t="s">
        <v>50</v>
      </c>
      <c r="C308" s="19" t="s">
        <v>2246</v>
      </c>
      <c r="D308" s="19" t="s">
        <v>2247</v>
      </c>
      <c r="E308" s="20" t="s">
        <v>12</v>
      </c>
      <c r="F308" s="19" t="s">
        <v>2248</v>
      </c>
      <c r="G308" s="19" t="s">
        <v>2249</v>
      </c>
      <c r="H308" s="19" t="s">
        <v>31</v>
      </c>
      <c r="I308">
        <v>261</v>
      </c>
      <c r="J308">
        <v>0</v>
      </c>
      <c r="K308" s="1" t="s">
        <v>1020</v>
      </c>
    </row>
    <row r="309" spans="1:11" hidden="1">
      <c r="A309" s="17" t="s">
        <v>1336</v>
      </c>
      <c r="B309" s="19" t="s">
        <v>50</v>
      </c>
      <c r="C309" s="19" t="s">
        <v>2246</v>
      </c>
      <c r="D309" s="19" t="s">
        <v>2247</v>
      </c>
      <c r="E309" s="20" t="s">
        <v>12</v>
      </c>
      <c r="F309" s="19" t="s">
        <v>2250</v>
      </c>
      <c r="G309" s="19" t="s">
        <v>2251</v>
      </c>
      <c r="H309" s="19" t="s">
        <v>31</v>
      </c>
      <c r="I309">
        <v>16390</v>
      </c>
      <c r="J309">
        <v>19</v>
      </c>
      <c r="K309" s="1" t="s">
        <v>1021</v>
      </c>
    </row>
    <row r="310" spans="1:11" hidden="1">
      <c r="A310" s="17" t="s">
        <v>1336</v>
      </c>
      <c r="B310" s="19" t="s">
        <v>50</v>
      </c>
      <c r="C310" s="19" t="s">
        <v>2246</v>
      </c>
      <c r="D310" s="19" t="s">
        <v>2247</v>
      </c>
      <c r="E310" s="20" t="s">
        <v>12</v>
      </c>
      <c r="F310" s="19" t="s">
        <v>2252</v>
      </c>
      <c r="G310" s="19" t="s">
        <v>2253</v>
      </c>
      <c r="H310" s="19" t="s">
        <v>31</v>
      </c>
      <c r="I310">
        <v>268</v>
      </c>
      <c r="J310">
        <v>1</v>
      </c>
      <c r="K310" s="1" t="s">
        <v>1020</v>
      </c>
    </row>
    <row r="311" spans="1:11" hidden="1">
      <c r="A311" s="17" t="s">
        <v>1336</v>
      </c>
      <c r="B311" s="19" t="s">
        <v>50</v>
      </c>
      <c r="C311" s="19" t="s">
        <v>2254</v>
      </c>
      <c r="D311" s="19" t="s">
        <v>2255</v>
      </c>
      <c r="E311" s="20" t="s">
        <v>12</v>
      </c>
      <c r="F311" s="19" t="s">
        <v>2256</v>
      </c>
      <c r="G311" s="19" t="s">
        <v>2257</v>
      </c>
      <c r="H311" s="19" t="s">
        <v>31</v>
      </c>
      <c r="I311">
        <v>29162</v>
      </c>
      <c r="J311">
        <v>82</v>
      </c>
      <c r="K311" s="1" t="s">
        <v>1020</v>
      </c>
    </row>
    <row r="312" spans="1:11" hidden="1">
      <c r="A312" s="17" t="s">
        <v>1336</v>
      </c>
      <c r="B312" s="19" t="s">
        <v>50</v>
      </c>
      <c r="C312" s="19" t="s">
        <v>2254</v>
      </c>
      <c r="D312" s="19" t="s">
        <v>2255</v>
      </c>
      <c r="E312" s="20" t="s">
        <v>12</v>
      </c>
      <c r="F312" s="19" t="s">
        <v>2258</v>
      </c>
      <c r="G312" s="19" t="s">
        <v>2259</v>
      </c>
      <c r="H312" s="19" t="s">
        <v>31</v>
      </c>
      <c r="I312">
        <v>2681652</v>
      </c>
      <c r="J312">
        <v>22942</v>
      </c>
      <c r="K312" s="1" t="s">
        <v>1021</v>
      </c>
    </row>
    <row r="313" spans="1:11" hidden="1">
      <c r="A313" s="17" t="s">
        <v>1336</v>
      </c>
      <c r="B313" s="19" t="s">
        <v>50</v>
      </c>
      <c r="C313" s="19" t="s">
        <v>2254</v>
      </c>
      <c r="D313" s="19" t="s">
        <v>2255</v>
      </c>
      <c r="E313" s="20" t="s">
        <v>12</v>
      </c>
      <c r="F313" s="19" t="s">
        <v>2260</v>
      </c>
      <c r="G313" s="19" t="s">
        <v>2261</v>
      </c>
      <c r="H313" s="19" t="s">
        <v>31</v>
      </c>
      <c r="I313">
        <v>29266</v>
      </c>
      <c r="J313">
        <v>91</v>
      </c>
      <c r="K313" s="1" t="s">
        <v>1020</v>
      </c>
    </row>
    <row r="314" spans="1:11" hidden="1">
      <c r="A314" s="17" t="s">
        <v>1336</v>
      </c>
      <c r="B314" s="19" t="s">
        <v>50</v>
      </c>
      <c r="C314" s="19" t="s">
        <v>1385</v>
      </c>
      <c r="D314" s="19" t="s">
        <v>1386</v>
      </c>
      <c r="E314" s="20" t="s">
        <v>11</v>
      </c>
      <c r="F314" s="19" t="s">
        <v>117</v>
      </c>
      <c r="G314" s="19" t="s">
        <v>2262</v>
      </c>
      <c r="H314" s="19" t="s">
        <v>31</v>
      </c>
      <c r="I314">
        <v>5</v>
      </c>
      <c r="J314">
        <v>0</v>
      </c>
      <c r="K314" s="1" t="s">
        <v>1021</v>
      </c>
    </row>
    <row r="315" spans="1:11" hidden="1">
      <c r="A315" s="17" t="s">
        <v>1336</v>
      </c>
      <c r="B315" s="19" t="s">
        <v>50</v>
      </c>
      <c r="C315" s="19" t="s">
        <v>1385</v>
      </c>
      <c r="D315" s="19" t="s">
        <v>1386</v>
      </c>
      <c r="E315" s="20" t="s">
        <v>12</v>
      </c>
      <c r="F315" s="19" t="s">
        <v>2263</v>
      </c>
      <c r="G315" s="19" t="s">
        <v>2264</v>
      </c>
      <c r="H315" s="19" t="s">
        <v>31</v>
      </c>
      <c r="I315">
        <v>515566</v>
      </c>
      <c r="J315">
        <v>2274</v>
      </c>
      <c r="K315" s="1" t="s">
        <v>1020</v>
      </c>
    </row>
    <row r="316" spans="1:11" hidden="1">
      <c r="A316" s="17" t="s">
        <v>1336</v>
      </c>
      <c r="B316" s="19" t="s">
        <v>50</v>
      </c>
      <c r="C316" s="19" t="s">
        <v>1385</v>
      </c>
      <c r="D316" s="19" t="s">
        <v>1386</v>
      </c>
      <c r="E316" s="20" t="s">
        <v>12</v>
      </c>
      <c r="F316" s="19" t="s">
        <v>1387</v>
      </c>
      <c r="G316" s="19" t="s">
        <v>1388</v>
      </c>
      <c r="H316" s="19" t="s">
        <v>31</v>
      </c>
      <c r="I316">
        <v>62675217</v>
      </c>
      <c r="J316">
        <v>432517</v>
      </c>
      <c r="K316" s="1" t="s">
        <v>1021</v>
      </c>
    </row>
    <row r="317" spans="1:11" hidden="1">
      <c r="A317" s="17" t="s">
        <v>1336</v>
      </c>
      <c r="B317" s="19" t="s">
        <v>50</v>
      </c>
      <c r="C317" s="19" t="s">
        <v>1385</v>
      </c>
      <c r="D317" s="19" t="s">
        <v>1386</v>
      </c>
      <c r="E317" s="20" t="s">
        <v>12</v>
      </c>
      <c r="F317" s="19" t="s">
        <v>2265</v>
      </c>
      <c r="G317" s="19" t="s">
        <v>2266</v>
      </c>
      <c r="H317" s="19" t="s">
        <v>31</v>
      </c>
      <c r="I317">
        <v>515852</v>
      </c>
      <c r="J317">
        <v>2139</v>
      </c>
      <c r="K317" s="1" t="s">
        <v>1020</v>
      </c>
    </row>
    <row r="318" spans="1:11" hidden="1">
      <c r="A318" s="17" t="s">
        <v>1336</v>
      </c>
      <c r="B318" s="19" t="s">
        <v>50</v>
      </c>
      <c r="C318" s="19" t="s">
        <v>2267</v>
      </c>
      <c r="D318" s="19" t="s">
        <v>2268</v>
      </c>
      <c r="E318" s="20" t="s">
        <v>12</v>
      </c>
      <c r="F318" s="19" t="s">
        <v>2267</v>
      </c>
      <c r="G318" s="19" t="s">
        <v>2269</v>
      </c>
      <c r="H318" s="19" t="s">
        <v>31</v>
      </c>
      <c r="I318">
        <v>3045</v>
      </c>
      <c r="J318">
        <v>1</v>
      </c>
      <c r="K318" s="1" t="s">
        <v>1021</v>
      </c>
    </row>
    <row r="319" spans="1:11" hidden="1">
      <c r="A319" s="17" t="s">
        <v>1336</v>
      </c>
      <c r="B319" s="19" t="s">
        <v>50</v>
      </c>
      <c r="C319" s="19" t="s">
        <v>2270</v>
      </c>
      <c r="D319" s="19" t="s">
        <v>2271</v>
      </c>
      <c r="E319" s="20" t="s">
        <v>12</v>
      </c>
      <c r="F319" s="19" t="s">
        <v>2270</v>
      </c>
      <c r="G319" s="19" t="s">
        <v>2272</v>
      </c>
      <c r="H319" s="19" t="s">
        <v>31</v>
      </c>
      <c r="I319">
        <v>1400305</v>
      </c>
      <c r="J319">
        <v>40036</v>
      </c>
      <c r="K319" s="1" t="s">
        <v>1020</v>
      </c>
    </row>
    <row r="320" spans="1:11" hidden="1">
      <c r="A320" s="17" t="s">
        <v>1336</v>
      </c>
      <c r="B320" s="19" t="s">
        <v>50</v>
      </c>
      <c r="C320" s="19" t="s">
        <v>2273</v>
      </c>
      <c r="D320" s="19" t="s">
        <v>2274</v>
      </c>
      <c r="E320" s="20" t="s">
        <v>12</v>
      </c>
      <c r="F320" s="19" t="s">
        <v>2273</v>
      </c>
      <c r="G320" s="19" t="s">
        <v>2275</v>
      </c>
      <c r="H320" s="19" t="s">
        <v>31</v>
      </c>
      <c r="I320">
        <v>2995</v>
      </c>
      <c r="J320">
        <v>1</v>
      </c>
      <c r="K320" s="1" t="s">
        <v>1021</v>
      </c>
    </row>
    <row r="321" spans="1:11" hidden="1">
      <c r="A321" s="17" t="s">
        <v>1336</v>
      </c>
      <c r="B321" s="19" t="s">
        <v>50</v>
      </c>
      <c r="C321" s="19" t="s">
        <v>1389</v>
      </c>
      <c r="D321" s="19" t="s">
        <v>1390</v>
      </c>
      <c r="E321" s="20" t="s">
        <v>12</v>
      </c>
      <c r="F321" s="19" t="s">
        <v>1389</v>
      </c>
      <c r="G321" s="19" t="s">
        <v>1391</v>
      </c>
      <c r="H321" s="19" t="s">
        <v>31</v>
      </c>
      <c r="I321">
        <v>102221</v>
      </c>
      <c r="J321">
        <v>960</v>
      </c>
      <c r="K321" s="1" t="s">
        <v>1020</v>
      </c>
    </row>
    <row r="322" spans="1:11" hidden="1">
      <c r="A322" s="17" t="s">
        <v>1336</v>
      </c>
      <c r="B322" s="19" t="s">
        <v>50</v>
      </c>
      <c r="C322" s="19" t="s">
        <v>1392</v>
      </c>
      <c r="D322" s="19" t="s">
        <v>1393</v>
      </c>
      <c r="E322" s="20" t="s">
        <v>12</v>
      </c>
      <c r="F322" s="19" t="s">
        <v>1392</v>
      </c>
      <c r="G322" s="19" t="s">
        <v>1394</v>
      </c>
      <c r="H322" s="19" t="s">
        <v>31</v>
      </c>
      <c r="I322">
        <v>1947475</v>
      </c>
      <c r="J322">
        <v>25459</v>
      </c>
      <c r="K322" s="1" t="s">
        <v>1020</v>
      </c>
    </row>
    <row r="323" spans="1:11" hidden="1">
      <c r="A323" s="17" t="s">
        <v>1336</v>
      </c>
      <c r="B323" s="19" t="s">
        <v>50</v>
      </c>
      <c r="C323" s="19" t="s">
        <v>2276</v>
      </c>
      <c r="D323" s="19" t="s">
        <v>2277</v>
      </c>
      <c r="E323" s="20" t="s">
        <v>11</v>
      </c>
      <c r="F323" s="19" t="s">
        <v>116</v>
      </c>
      <c r="G323" s="19" t="s">
        <v>2208</v>
      </c>
      <c r="H323" s="19" t="s">
        <v>31</v>
      </c>
      <c r="I323">
        <v>4345182</v>
      </c>
      <c r="J323">
        <v>114700</v>
      </c>
      <c r="K323" s="1" t="s">
        <v>1021</v>
      </c>
    </row>
    <row r="324" spans="1:11" hidden="1">
      <c r="A324" s="17" t="s">
        <v>1336</v>
      </c>
      <c r="B324" s="19" t="s">
        <v>50</v>
      </c>
      <c r="C324" s="19" t="s">
        <v>2276</v>
      </c>
      <c r="D324" s="19" t="s">
        <v>2277</v>
      </c>
      <c r="E324" s="20" t="s">
        <v>12</v>
      </c>
      <c r="F324" s="19" t="s">
        <v>2276</v>
      </c>
      <c r="G324" s="19" t="s">
        <v>2278</v>
      </c>
      <c r="H324" s="19" t="s">
        <v>31</v>
      </c>
      <c r="I324">
        <v>679158</v>
      </c>
      <c r="J324">
        <v>7380</v>
      </c>
      <c r="K324" s="1" t="s">
        <v>1020</v>
      </c>
    </row>
    <row r="325" spans="1:11" hidden="1">
      <c r="A325" s="17" t="s">
        <v>1336</v>
      </c>
      <c r="B325" s="19" t="s">
        <v>50</v>
      </c>
      <c r="C325" s="19" t="s">
        <v>1395</v>
      </c>
      <c r="D325" s="19" t="s">
        <v>1396</v>
      </c>
      <c r="E325" s="20" t="s">
        <v>12</v>
      </c>
      <c r="F325" s="19" t="s">
        <v>1395</v>
      </c>
      <c r="G325" s="19" t="s">
        <v>1397</v>
      </c>
      <c r="H325" s="19" t="s">
        <v>31</v>
      </c>
      <c r="I325">
        <v>8373319</v>
      </c>
      <c r="J325">
        <v>135139</v>
      </c>
      <c r="K325" s="1" t="s">
        <v>1020</v>
      </c>
    </row>
    <row r="326" spans="1:11" hidden="1">
      <c r="A326" s="17" t="s">
        <v>1336</v>
      </c>
      <c r="B326" s="19" t="s">
        <v>50</v>
      </c>
      <c r="C326" s="19" t="s">
        <v>1398</v>
      </c>
      <c r="D326" s="19" t="s">
        <v>1399</v>
      </c>
      <c r="E326" s="20" t="s">
        <v>12</v>
      </c>
      <c r="F326" s="19" t="s">
        <v>1398</v>
      </c>
      <c r="G326" s="19" t="s">
        <v>1400</v>
      </c>
      <c r="H326" s="19" t="s">
        <v>31</v>
      </c>
      <c r="I326">
        <v>1602</v>
      </c>
      <c r="J326">
        <v>1</v>
      </c>
      <c r="K326" s="1" t="s">
        <v>1021</v>
      </c>
    </row>
    <row r="327" spans="1:11" hidden="1">
      <c r="A327" s="17" t="s">
        <v>1336</v>
      </c>
      <c r="B327" s="19" t="s">
        <v>50</v>
      </c>
      <c r="C327" s="19" t="s">
        <v>1401</v>
      </c>
      <c r="D327" s="19" t="s">
        <v>1402</v>
      </c>
      <c r="E327" s="20" t="s">
        <v>12</v>
      </c>
      <c r="F327" s="19" t="s">
        <v>1401</v>
      </c>
      <c r="G327" s="19" t="s">
        <v>1403</v>
      </c>
      <c r="H327" s="19" t="s">
        <v>31</v>
      </c>
      <c r="I327">
        <v>6112</v>
      </c>
      <c r="J327">
        <v>2</v>
      </c>
      <c r="K327" s="1" t="s">
        <v>1020</v>
      </c>
    </row>
    <row r="328" spans="1:11" hidden="1">
      <c r="A328" s="17" t="s">
        <v>1336</v>
      </c>
      <c r="B328" s="19" t="s">
        <v>50</v>
      </c>
      <c r="C328" s="19" t="s">
        <v>1404</v>
      </c>
      <c r="D328" s="19" t="s">
        <v>1405</v>
      </c>
      <c r="E328" s="20" t="s">
        <v>12</v>
      </c>
      <c r="F328" s="19" t="s">
        <v>1404</v>
      </c>
      <c r="G328" s="19" t="s">
        <v>1406</v>
      </c>
      <c r="H328" s="19" t="s">
        <v>31</v>
      </c>
      <c r="I328">
        <v>1534187</v>
      </c>
      <c r="J328">
        <v>115769</v>
      </c>
      <c r="K328" s="1" t="s">
        <v>1020</v>
      </c>
    </row>
    <row r="329" spans="1:11" hidden="1">
      <c r="A329" s="17" t="s">
        <v>1336</v>
      </c>
      <c r="B329" s="19" t="s">
        <v>50</v>
      </c>
      <c r="C329" s="19" t="s">
        <v>2279</v>
      </c>
      <c r="D329" s="19" t="s">
        <v>2280</v>
      </c>
      <c r="E329" s="20" t="s">
        <v>11</v>
      </c>
      <c r="F329" s="19" t="s">
        <v>333</v>
      </c>
      <c r="G329" s="19" t="s">
        <v>2281</v>
      </c>
      <c r="H329" s="19" t="s">
        <v>31</v>
      </c>
      <c r="I329">
        <v>2158</v>
      </c>
      <c r="J329">
        <v>0</v>
      </c>
      <c r="K329" s="1" t="s">
        <v>1021</v>
      </c>
    </row>
    <row r="330" spans="1:11" hidden="1">
      <c r="A330" s="17" t="s">
        <v>1336</v>
      </c>
      <c r="B330" s="19" t="s">
        <v>50</v>
      </c>
      <c r="C330" s="19" t="s">
        <v>2279</v>
      </c>
      <c r="D330" s="19" t="s">
        <v>2280</v>
      </c>
      <c r="E330" s="20" t="s">
        <v>12</v>
      </c>
      <c r="F330" s="19" t="s">
        <v>2279</v>
      </c>
      <c r="G330" s="19" t="s">
        <v>2282</v>
      </c>
      <c r="H330" s="19" t="s">
        <v>31</v>
      </c>
      <c r="I330">
        <v>2010</v>
      </c>
      <c r="J330">
        <v>0</v>
      </c>
      <c r="K330" s="1" t="s">
        <v>1020</v>
      </c>
    </row>
    <row r="331" spans="1:11" hidden="1">
      <c r="A331" s="17" t="s">
        <v>1336</v>
      </c>
      <c r="B331" s="19" t="s">
        <v>50</v>
      </c>
      <c r="C331" s="19" t="s">
        <v>1407</v>
      </c>
      <c r="D331" s="19" t="s">
        <v>1408</v>
      </c>
      <c r="E331" s="20" t="s">
        <v>11</v>
      </c>
      <c r="F331" s="19" t="s">
        <v>349</v>
      </c>
      <c r="G331" s="19" t="s">
        <v>1409</v>
      </c>
      <c r="H331" s="19" t="s">
        <v>31</v>
      </c>
      <c r="I331">
        <v>7256</v>
      </c>
      <c r="J331">
        <v>4</v>
      </c>
      <c r="K331" s="1" t="s">
        <v>1021</v>
      </c>
    </row>
    <row r="332" spans="1:11" hidden="1">
      <c r="A332" s="17" t="s">
        <v>1336</v>
      </c>
      <c r="B332" s="19" t="s">
        <v>50</v>
      </c>
      <c r="C332" s="19" t="s">
        <v>1407</v>
      </c>
      <c r="D332" s="19" t="s">
        <v>1408</v>
      </c>
      <c r="E332" s="20" t="s">
        <v>12</v>
      </c>
      <c r="F332" s="19" t="s">
        <v>1407</v>
      </c>
      <c r="G332" s="19" t="s">
        <v>2283</v>
      </c>
      <c r="H332" s="19" t="s">
        <v>31</v>
      </c>
      <c r="I332">
        <v>4151</v>
      </c>
      <c r="J332">
        <v>4</v>
      </c>
      <c r="K332" s="1" t="s">
        <v>1020</v>
      </c>
    </row>
    <row r="333" spans="1:11" hidden="1">
      <c r="A333" s="17" t="s">
        <v>1336</v>
      </c>
      <c r="B333" s="19" t="s">
        <v>50</v>
      </c>
      <c r="C333" s="19" t="s">
        <v>2284</v>
      </c>
      <c r="D333" s="19" t="s">
        <v>2285</v>
      </c>
      <c r="E333" s="20" t="s">
        <v>11</v>
      </c>
      <c r="F333" s="19" t="s">
        <v>432</v>
      </c>
      <c r="G333" s="19" t="s">
        <v>2217</v>
      </c>
      <c r="H333" s="19" t="s">
        <v>31</v>
      </c>
      <c r="I333">
        <v>8098935</v>
      </c>
      <c r="J333">
        <v>509819</v>
      </c>
      <c r="K333" s="1" t="s">
        <v>1021</v>
      </c>
    </row>
    <row r="334" spans="1:11" hidden="1">
      <c r="A334" s="17" t="s">
        <v>1336</v>
      </c>
      <c r="B334" s="19" t="s">
        <v>50</v>
      </c>
      <c r="C334" s="19" t="s">
        <v>2284</v>
      </c>
      <c r="D334" s="19" t="s">
        <v>2285</v>
      </c>
      <c r="E334" s="20" t="s">
        <v>12</v>
      </c>
      <c r="F334" s="19" t="s">
        <v>2284</v>
      </c>
      <c r="G334" s="19" t="s">
        <v>2286</v>
      </c>
      <c r="H334" s="19" t="s">
        <v>31</v>
      </c>
      <c r="I334">
        <v>315416</v>
      </c>
      <c r="J334">
        <v>14219</v>
      </c>
      <c r="K334" s="1" t="s">
        <v>1020</v>
      </c>
    </row>
    <row r="335" spans="1:11" hidden="1">
      <c r="A335" s="17" t="s">
        <v>1336</v>
      </c>
      <c r="B335" s="19" t="s">
        <v>50</v>
      </c>
      <c r="C335" s="19" t="s">
        <v>1410</v>
      </c>
      <c r="D335" s="19" t="s">
        <v>1411</v>
      </c>
      <c r="E335" s="20" t="s">
        <v>12</v>
      </c>
      <c r="F335" s="19" t="s">
        <v>1410</v>
      </c>
      <c r="G335" s="19" t="s">
        <v>1412</v>
      </c>
      <c r="H335" s="19" t="s">
        <v>31</v>
      </c>
      <c r="I335">
        <v>13868</v>
      </c>
      <c r="J335">
        <v>13</v>
      </c>
      <c r="K335" s="1" t="s">
        <v>1021</v>
      </c>
    </row>
    <row r="336" spans="1:11" hidden="1">
      <c r="A336" s="17" t="s">
        <v>1336</v>
      </c>
      <c r="B336" s="19" t="s">
        <v>50</v>
      </c>
      <c r="C336" s="19" t="s">
        <v>1413</v>
      </c>
      <c r="D336" s="19" t="s">
        <v>1414</v>
      </c>
      <c r="E336" s="20" t="s">
        <v>12</v>
      </c>
      <c r="F336" s="19" t="s">
        <v>1413</v>
      </c>
      <c r="G336" s="19" t="s">
        <v>1415</v>
      </c>
      <c r="H336" s="19" t="s">
        <v>31</v>
      </c>
      <c r="I336">
        <v>63670</v>
      </c>
      <c r="J336">
        <v>70</v>
      </c>
      <c r="K336" s="1" t="s">
        <v>1020</v>
      </c>
    </row>
    <row r="337" spans="1:11" hidden="1">
      <c r="A337" s="17" t="s">
        <v>1336</v>
      </c>
      <c r="B337" s="19" t="s">
        <v>50</v>
      </c>
      <c r="C337" s="19" t="s">
        <v>1416</v>
      </c>
      <c r="D337" s="19" t="s">
        <v>1417</v>
      </c>
      <c r="E337" s="20" t="s">
        <v>12</v>
      </c>
      <c r="F337" s="19" t="s">
        <v>1416</v>
      </c>
      <c r="G337" s="19" t="s">
        <v>1418</v>
      </c>
      <c r="H337" s="19" t="s">
        <v>31</v>
      </c>
      <c r="I337">
        <v>2696341</v>
      </c>
      <c r="J337">
        <v>122375</v>
      </c>
      <c r="K337" s="1" t="s">
        <v>1021</v>
      </c>
    </row>
    <row r="338" spans="1:11" hidden="1">
      <c r="A338" s="17" t="s">
        <v>1336</v>
      </c>
      <c r="B338" s="19" t="s">
        <v>99</v>
      </c>
      <c r="C338" s="19" t="s">
        <v>2287</v>
      </c>
      <c r="D338" s="19" t="s">
        <v>2288</v>
      </c>
      <c r="E338" s="20" t="str">
        <f t="shared" ref="E338:E401" si="9">IF(I338&gt;J338,"Standard","Tracking")</f>
        <v>Tracking</v>
      </c>
      <c r="F338" s="19" t="s">
        <v>2287</v>
      </c>
      <c r="G338" s="19" t="s">
        <v>2289</v>
      </c>
      <c r="H338" s="19" t="s">
        <v>32</v>
      </c>
      <c r="I338">
        <v>0</v>
      </c>
      <c r="J338">
        <v>4769</v>
      </c>
      <c r="K338" s="1" t="s">
        <v>1020</v>
      </c>
    </row>
    <row r="339" spans="1:11" hidden="1">
      <c r="A339" s="17" t="s">
        <v>1336</v>
      </c>
      <c r="B339" s="19" t="s">
        <v>99</v>
      </c>
      <c r="C339" s="19" t="s">
        <v>2290</v>
      </c>
      <c r="D339" s="19" t="s">
        <v>2291</v>
      </c>
      <c r="E339" s="20" t="str">
        <f t="shared" si="9"/>
        <v>Tracking</v>
      </c>
      <c r="F339" s="19" t="s">
        <v>2290</v>
      </c>
      <c r="G339" s="19" t="s">
        <v>2292</v>
      </c>
      <c r="H339" s="19" t="s">
        <v>32</v>
      </c>
      <c r="I339">
        <v>0</v>
      </c>
      <c r="J339">
        <v>16451</v>
      </c>
      <c r="K339" s="1" t="s">
        <v>1020</v>
      </c>
    </row>
    <row r="340" spans="1:11" hidden="1">
      <c r="A340" s="17" t="s">
        <v>1336</v>
      </c>
      <c r="B340" s="19" t="s">
        <v>763</v>
      </c>
      <c r="C340" s="19" t="s">
        <v>2293</v>
      </c>
      <c r="D340" s="19" t="s">
        <v>2294</v>
      </c>
      <c r="E340" s="20" t="str">
        <f t="shared" si="9"/>
        <v>Standard</v>
      </c>
      <c r="F340" s="19" t="s">
        <v>2293</v>
      </c>
      <c r="G340" s="19" t="s">
        <v>2295</v>
      </c>
      <c r="H340" s="19" t="s">
        <v>32</v>
      </c>
      <c r="I340">
        <v>319023</v>
      </c>
      <c r="J340">
        <v>1202</v>
      </c>
      <c r="K340" s="1" t="s">
        <v>1021</v>
      </c>
    </row>
    <row r="341" spans="1:11" hidden="1">
      <c r="A341" s="17" t="s">
        <v>1336</v>
      </c>
      <c r="B341" s="19" t="s">
        <v>763</v>
      </c>
      <c r="C341" s="19" t="s">
        <v>1419</v>
      </c>
      <c r="D341" s="19" t="s">
        <v>1420</v>
      </c>
      <c r="E341" s="20" t="str">
        <f t="shared" si="9"/>
        <v>Standard</v>
      </c>
      <c r="F341" s="19" t="s">
        <v>1419</v>
      </c>
      <c r="G341" s="19" t="s">
        <v>1421</v>
      </c>
      <c r="H341" s="19" t="s">
        <v>32</v>
      </c>
      <c r="I341">
        <v>1951159</v>
      </c>
      <c r="J341">
        <v>9074</v>
      </c>
      <c r="K341" s="1" t="s">
        <v>1020</v>
      </c>
    </row>
    <row r="342" spans="1:11" hidden="1">
      <c r="A342" s="17" t="s">
        <v>1336</v>
      </c>
      <c r="B342" s="19" t="s">
        <v>763</v>
      </c>
      <c r="C342" s="19" t="s">
        <v>1422</v>
      </c>
      <c r="D342" s="19" t="s">
        <v>1423</v>
      </c>
      <c r="E342" s="20" t="str">
        <f t="shared" si="9"/>
        <v>Standard</v>
      </c>
      <c r="F342" s="19" t="s">
        <v>1422</v>
      </c>
      <c r="G342" s="19" t="s">
        <v>1424</v>
      </c>
      <c r="H342" s="19" t="s">
        <v>32</v>
      </c>
      <c r="I342">
        <v>1988075</v>
      </c>
      <c r="J342">
        <v>8870</v>
      </c>
      <c r="K342" s="1" t="s">
        <v>1020</v>
      </c>
    </row>
    <row r="343" spans="1:11" hidden="1">
      <c r="A343" s="17" t="s">
        <v>1336</v>
      </c>
      <c r="B343" s="19" t="s">
        <v>763</v>
      </c>
      <c r="C343" s="19" t="s">
        <v>2296</v>
      </c>
      <c r="D343" s="19" t="s">
        <v>2297</v>
      </c>
      <c r="E343" s="20" t="str">
        <f t="shared" si="9"/>
        <v>Standard</v>
      </c>
      <c r="F343" s="19" t="s">
        <v>2296</v>
      </c>
      <c r="G343" s="19" t="s">
        <v>2298</v>
      </c>
      <c r="H343" s="19" t="s">
        <v>32</v>
      </c>
      <c r="I343">
        <v>438982</v>
      </c>
      <c r="J343">
        <v>1902</v>
      </c>
      <c r="K343" s="1" t="s">
        <v>1021</v>
      </c>
    </row>
    <row r="344" spans="1:11" hidden="1">
      <c r="A344" s="17" t="s">
        <v>1336</v>
      </c>
      <c r="B344" s="19" t="s">
        <v>763</v>
      </c>
      <c r="C344" s="19" t="s">
        <v>1425</v>
      </c>
      <c r="D344" s="19" t="s">
        <v>1426</v>
      </c>
      <c r="E344" s="20" t="str">
        <f t="shared" si="9"/>
        <v>Standard</v>
      </c>
      <c r="F344" s="19" t="s">
        <v>1425</v>
      </c>
      <c r="G344" s="19" t="s">
        <v>1427</v>
      </c>
      <c r="H344" s="19" t="s">
        <v>32</v>
      </c>
      <c r="I344">
        <v>594702</v>
      </c>
      <c r="J344">
        <v>2696</v>
      </c>
      <c r="K344" s="1" t="s">
        <v>1020</v>
      </c>
    </row>
    <row r="345" spans="1:11" hidden="1">
      <c r="A345" s="17" t="s">
        <v>1336</v>
      </c>
      <c r="B345" s="19" t="s">
        <v>763</v>
      </c>
      <c r="C345" s="19" t="s">
        <v>2299</v>
      </c>
      <c r="D345" s="19" t="s">
        <v>2300</v>
      </c>
      <c r="E345" s="20" t="str">
        <f t="shared" si="9"/>
        <v>Standard</v>
      </c>
      <c r="F345" s="19" t="s">
        <v>2299</v>
      </c>
      <c r="G345" s="19" t="s">
        <v>2301</v>
      </c>
      <c r="H345" s="19" t="s">
        <v>32</v>
      </c>
      <c r="I345">
        <v>1037172</v>
      </c>
      <c r="J345">
        <v>4511</v>
      </c>
      <c r="K345" s="1" t="s">
        <v>1020</v>
      </c>
    </row>
    <row r="346" spans="1:11" hidden="1">
      <c r="A346" s="17" t="s">
        <v>1428</v>
      </c>
      <c r="B346" s="19" t="s">
        <v>52</v>
      </c>
      <c r="C346" s="19" t="s">
        <v>2302</v>
      </c>
      <c r="D346" s="19" t="s">
        <v>2303</v>
      </c>
      <c r="E346" s="20" t="str">
        <f t="shared" si="9"/>
        <v>Tracking</v>
      </c>
      <c r="F346" s="19" t="s">
        <v>2302</v>
      </c>
      <c r="G346" s="19" t="s">
        <v>2304</v>
      </c>
      <c r="H346" s="19" t="s">
        <v>32</v>
      </c>
      <c r="I346">
        <v>0</v>
      </c>
      <c r="J346">
        <v>2087</v>
      </c>
      <c r="K346" s="1" t="s">
        <v>1021</v>
      </c>
    </row>
    <row r="347" spans="1:11" hidden="1">
      <c r="A347" s="17" t="s">
        <v>1428</v>
      </c>
      <c r="B347" s="19" t="s">
        <v>52</v>
      </c>
      <c r="C347" s="19" t="s">
        <v>2305</v>
      </c>
      <c r="D347" s="19" t="s">
        <v>2306</v>
      </c>
      <c r="E347" s="20" t="str">
        <f t="shared" si="9"/>
        <v>Tracking</v>
      </c>
      <c r="F347" s="19" t="s">
        <v>2305</v>
      </c>
      <c r="G347" s="19" t="s">
        <v>2307</v>
      </c>
      <c r="H347" s="19" t="s">
        <v>32</v>
      </c>
      <c r="I347">
        <v>0</v>
      </c>
      <c r="J347">
        <v>1608</v>
      </c>
      <c r="K347" s="1" t="s">
        <v>1020</v>
      </c>
    </row>
    <row r="348" spans="1:11" hidden="1">
      <c r="A348" s="17" t="s">
        <v>1428</v>
      </c>
      <c r="B348" s="19" t="s">
        <v>52</v>
      </c>
      <c r="C348" s="19" t="s">
        <v>1429</v>
      </c>
      <c r="D348" s="19" t="s">
        <v>1430</v>
      </c>
      <c r="E348" s="20" t="str">
        <f t="shared" si="9"/>
        <v>Tracking</v>
      </c>
      <c r="F348" s="19" t="s">
        <v>1429</v>
      </c>
      <c r="G348" s="19" t="s">
        <v>1431</v>
      </c>
      <c r="H348" s="19" t="s">
        <v>32</v>
      </c>
      <c r="I348">
        <v>0</v>
      </c>
      <c r="J348">
        <v>2250</v>
      </c>
      <c r="K348" s="1" t="s">
        <v>1021</v>
      </c>
    </row>
    <row r="349" spans="1:11" hidden="1">
      <c r="A349" s="17" t="s">
        <v>1428</v>
      </c>
      <c r="B349" s="19" t="s">
        <v>52</v>
      </c>
      <c r="C349" s="19" t="s">
        <v>2308</v>
      </c>
      <c r="D349" s="19" t="s">
        <v>2309</v>
      </c>
      <c r="E349" s="20" t="str">
        <f t="shared" si="9"/>
        <v>Tracking</v>
      </c>
      <c r="F349" s="19" t="s">
        <v>2308</v>
      </c>
      <c r="G349" s="19" t="s">
        <v>2310</v>
      </c>
      <c r="H349" s="19" t="s">
        <v>32</v>
      </c>
      <c r="I349">
        <v>0</v>
      </c>
      <c r="J349">
        <v>1730</v>
      </c>
      <c r="K349" s="1" t="s">
        <v>1020</v>
      </c>
    </row>
    <row r="350" spans="1:11" hidden="1">
      <c r="A350" s="17" t="s">
        <v>1428</v>
      </c>
      <c r="B350" s="19" t="s">
        <v>761</v>
      </c>
      <c r="C350" s="19" t="s">
        <v>2311</v>
      </c>
      <c r="D350" s="19" t="s">
        <v>2312</v>
      </c>
      <c r="E350" s="20" t="str">
        <f t="shared" si="9"/>
        <v>Standard</v>
      </c>
      <c r="F350" s="19" t="s">
        <v>2311</v>
      </c>
      <c r="G350" s="19" t="s">
        <v>2313</v>
      </c>
      <c r="H350" s="19" t="s">
        <v>32</v>
      </c>
      <c r="I350">
        <v>3800</v>
      </c>
      <c r="J350">
        <v>50</v>
      </c>
      <c r="K350" s="1" t="s">
        <v>1021</v>
      </c>
    </row>
    <row r="351" spans="1:11" hidden="1">
      <c r="A351" s="17" t="s">
        <v>1428</v>
      </c>
      <c r="B351" s="19" t="s">
        <v>761</v>
      </c>
      <c r="C351" s="19" t="s">
        <v>2314</v>
      </c>
      <c r="D351" s="19" t="s">
        <v>2315</v>
      </c>
      <c r="E351" s="20" t="str">
        <f t="shared" si="9"/>
        <v>Standard</v>
      </c>
      <c r="F351" s="19" t="s">
        <v>2314</v>
      </c>
      <c r="G351" s="19" t="s">
        <v>2316</v>
      </c>
      <c r="H351" s="19" t="s">
        <v>32</v>
      </c>
      <c r="I351">
        <v>51286</v>
      </c>
      <c r="J351">
        <v>120</v>
      </c>
      <c r="K351" s="1" t="s">
        <v>1020</v>
      </c>
    </row>
    <row r="352" spans="1:11" hidden="1">
      <c r="A352" s="17" t="s">
        <v>1428</v>
      </c>
      <c r="B352" s="19" t="s">
        <v>761</v>
      </c>
      <c r="C352" s="19" t="s">
        <v>2317</v>
      </c>
      <c r="D352" s="19" t="s">
        <v>2318</v>
      </c>
      <c r="E352" s="20" t="str">
        <f t="shared" si="9"/>
        <v>Standard</v>
      </c>
      <c r="F352" s="19" t="s">
        <v>2317</v>
      </c>
      <c r="G352" s="19" t="s">
        <v>2319</v>
      </c>
      <c r="H352" s="19" t="s">
        <v>32</v>
      </c>
      <c r="I352">
        <v>48496</v>
      </c>
      <c r="J352">
        <v>122</v>
      </c>
      <c r="K352" s="1" t="s">
        <v>1021</v>
      </c>
    </row>
    <row r="353" spans="1:11" hidden="1">
      <c r="A353" s="17" t="s">
        <v>1428</v>
      </c>
      <c r="B353" s="19" t="s">
        <v>761</v>
      </c>
      <c r="C353" s="19" t="s">
        <v>2320</v>
      </c>
      <c r="D353" s="19" t="s">
        <v>2321</v>
      </c>
      <c r="E353" s="20" t="str">
        <f t="shared" si="9"/>
        <v>Standard</v>
      </c>
      <c r="F353" s="19" t="s">
        <v>2320</v>
      </c>
      <c r="G353" s="19" t="s">
        <v>2322</v>
      </c>
      <c r="H353" s="19" t="s">
        <v>32</v>
      </c>
      <c r="I353">
        <v>3962</v>
      </c>
      <c r="J353">
        <v>61</v>
      </c>
      <c r="K353" s="1" t="s">
        <v>1021</v>
      </c>
    </row>
    <row r="354" spans="1:11" hidden="1">
      <c r="A354" s="17" t="s">
        <v>1428</v>
      </c>
      <c r="B354" s="19" t="s">
        <v>761</v>
      </c>
      <c r="C354" s="19" t="s">
        <v>2323</v>
      </c>
      <c r="D354" s="19" t="s">
        <v>2324</v>
      </c>
      <c r="E354" s="20" t="str">
        <f t="shared" si="9"/>
        <v>Standard</v>
      </c>
      <c r="F354" s="19" t="s">
        <v>2323</v>
      </c>
      <c r="G354" s="19" t="s">
        <v>2325</v>
      </c>
      <c r="H354" s="19" t="s">
        <v>32</v>
      </c>
      <c r="I354">
        <v>51121</v>
      </c>
      <c r="J354">
        <v>136</v>
      </c>
      <c r="K354" s="1" t="s">
        <v>1020</v>
      </c>
    </row>
    <row r="355" spans="1:11" hidden="1">
      <c r="A355" s="17" t="s">
        <v>1428</v>
      </c>
      <c r="B355" s="19" t="s">
        <v>761</v>
      </c>
      <c r="C355" s="19" t="s">
        <v>2326</v>
      </c>
      <c r="D355" s="19" t="s">
        <v>2327</v>
      </c>
      <c r="E355" s="20" t="str">
        <f t="shared" si="9"/>
        <v>Standard</v>
      </c>
      <c r="F355" s="19" t="s">
        <v>2326</v>
      </c>
      <c r="G355" s="19" t="s">
        <v>2328</v>
      </c>
      <c r="H355" s="19" t="s">
        <v>32</v>
      </c>
      <c r="I355">
        <v>48427</v>
      </c>
      <c r="J355">
        <v>99</v>
      </c>
      <c r="K355" s="1" t="s">
        <v>1021</v>
      </c>
    </row>
    <row r="356" spans="1:11" hidden="1">
      <c r="A356" s="17" t="s">
        <v>1428</v>
      </c>
      <c r="B356" s="19" t="s">
        <v>761</v>
      </c>
      <c r="C356" s="19" t="s">
        <v>2329</v>
      </c>
      <c r="D356" s="19" t="s">
        <v>2330</v>
      </c>
      <c r="E356" s="20" t="str">
        <f t="shared" si="9"/>
        <v>Standard</v>
      </c>
      <c r="F356" s="19" t="s">
        <v>2329</v>
      </c>
      <c r="G356" s="19" t="s">
        <v>2331</v>
      </c>
      <c r="H356" s="19" t="s">
        <v>32</v>
      </c>
      <c r="I356">
        <v>3913</v>
      </c>
      <c r="J356">
        <v>42</v>
      </c>
      <c r="K356" s="1" t="s">
        <v>1021</v>
      </c>
    </row>
    <row r="357" spans="1:11" hidden="1">
      <c r="A357" s="17" t="s">
        <v>1428</v>
      </c>
      <c r="B357" s="19" t="s">
        <v>761</v>
      </c>
      <c r="C357" s="19" t="s">
        <v>2332</v>
      </c>
      <c r="D357" s="19" t="s">
        <v>2333</v>
      </c>
      <c r="E357" s="20" t="str">
        <f t="shared" si="9"/>
        <v>Standard</v>
      </c>
      <c r="F357" s="19" t="s">
        <v>2332</v>
      </c>
      <c r="G357" s="19" t="s">
        <v>2334</v>
      </c>
      <c r="H357" s="19" t="s">
        <v>32</v>
      </c>
      <c r="I357">
        <v>51813</v>
      </c>
      <c r="J357">
        <v>125</v>
      </c>
      <c r="K357" s="1" t="s">
        <v>1020</v>
      </c>
    </row>
    <row r="358" spans="1:11" hidden="1">
      <c r="A358" s="17" t="s">
        <v>1428</v>
      </c>
      <c r="B358" s="19" t="s">
        <v>761</v>
      </c>
      <c r="C358" s="19" t="s">
        <v>2335</v>
      </c>
      <c r="D358" s="19" t="s">
        <v>2336</v>
      </c>
      <c r="E358" s="20" t="str">
        <f t="shared" si="9"/>
        <v>Standard</v>
      </c>
      <c r="F358" s="19" t="s">
        <v>2335</v>
      </c>
      <c r="G358" s="19" t="s">
        <v>2337</v>
      </c>
      <c r="H358" s="19" t="s">
        <v>32</v>
      </c>
      <c r="I358">
        <v>49051</v>
      </c>
      <c r="J358">
        <v>127</v>
      </c>
      <c r="K358" s="1" t="s">
        <v>1021</v>
      </c>
    </row>
    <row r="359" spans="1:11" hidden="1">
      <c r="A359" s="17" t="s">
        <v>1428</v>
      </c>
      <c r="B359" s="19" t="s">
        <v>761</v>
      </c>
      <c r="C359" s="19" t="s">
        <v>2338</v>
      </c>
      <c r="D359" s="19" t="s">
        <v>2339</v>
      </c>
      <c r="E359" s="20" t="str">
        <f t="shared" si="9"/>
        <v>Standard</v>
      </c>
      <c r="F359" s="19" t="s">
        <v>2338</v>
      </c>
      <c r="G359" s="19" t="s">
        <v>2340</v>
      </c>
      <c r="H359" s="19" t="s">
        <v>32</v>
      </c>
      <c r="I359">
        <v>4090</v>
      </c>
      <c r="J359">
        <v>55</v>
      </c>
      <c r="K359" s="1" t="s">
        <v>1020</v>
      </c>
    </row>
    <row r="360" spans="1:11" hidden="1">
      <c r="A360" s="17" t="s">
        <v>1428</v>
      </c>
      <c r="B360" s="19" t="s">
        <v>761</v>
      </c>
      <c r="C360" s="19" t="s">
        <v>2341</v>
      </c>
      <c r="D360" s="19" t="s">
        <v>2342</v>
      </c>
      <c r="E360" s="20" t="str">
        <f t="shared" si="9"/>
        <v>Standard</v>
      </c>
      <c r="F360" s="19" t="s">
        <v>2341</v>
      </c>
      <c r="G360" s="19" t="s">
        <v>2343</v>
      </c>
      <c r="H360" s="19" t="s">
        <v>32</v>
      </c>
      <c r="I360">
        <v>51545</v>
      </c>
      <c r="J360">
        <v>144</v>
      </c>
      <c r="K360" s="1" t="s">
        <v>1020</v>
      </c>
    </row>
    <row r="361" spans="1:11" hidden="1">
      <c r="A361" s="17" t="s">
        <v>1428</v>
      </c>
      <c r="B361" s="19" t="s">
        <v>761</v>
      </c>
      <c r="C361" s="19" t="s">
        <v>2344</v>
      </c>
      <c r="D361" s="19" t="s">
        <v>2345</v>
      </c>
      <c r="E361" s="20" t="str">
        <f t="shared" si="9"/>
        <v>Standard</v>
      </c>
      <c r="F361" s="19" t="s">
        <v>2344</v>
      </c>
      <c r="G361" s="19" t="s">
        <v>2346</v>
      </c>
      <c r="H361" s="19" t="s">
        <v>32</v>
      </c>
      <c r="I361">
        <v>49048</v>
      </c>
      <c r="J361">
        <v>119</v>
      </c>
      <c r="K361" s="1" t="s">
        <v>1021</v>
      </c>
    </row>
    <row r="362" spans="1:11" hidden="1">
      <c r="A362" s="17" t="s">
        <v>1428</v>
      </c>
      <c r="B362" s="19" t="s">
        <v>761</v>
      </c>
      <c r="C362" s="19" t="s">
        <v>2347</v>
      </c>
      <c r="D362" s="19" t="s">
        <v>2348</v>
      </c>
      <c r="E362" s="20" t="str">
        <f t="shared" si="9"/>
        <v>Tracking</v>
      </c>
      <c r="F362" s="19" t="s">
        <v>2347</v>
      </c>
      <c r="G362" s="19" t="s">
        <v>2349</v>
      </c>
      <c r="H362" s="19" t="s">
        <v>32</v>
      </c>
      <c r="I362">
        <v>0</v>
      </c>
      <c r="J362">
        <v>10</v>
      </c>
      <c r="K362" s="1" t="s">
        <v>1020</v>
      </c>
    </row>
    <row r="363" spans="1:11" hidden="1">
      <c r="A363" s="17" t="s">
        <v>1428</v>
      </c>
      <c r="B363" s="19" t="s">
        <v>761</v>
      </c>
      <c r="C363" s="19" t="s">
        <v>2350</v>
      </c>
      <c r="D363" s="19" t="s">
        <v>2351</v>
      </c>
      <c r="E363" s="20" t="str">
        <f t="shared" si="9"/>
        <v>Tracking</v>
      </c>
      <c r="F363" s="19" t="s">
        <v>2350</v>
      </c>
      <c r="G363" s="19" t="s">
        <v>2352</v>
      </c>
      <c r="H363" s="19" t="s">
        <v>32</v>
      </c>
      <c r="I363">
        <v>0</v>
      </c>
      <c r="J363">
        <v>4</v>
      </c>
      <c r="K363" s="1" t="s">
        <v>1021</v>
      </c>
    </row>
    <row r="364" spans="1:11" hidden="1">
      <c r="A364" s="17" t="s">
        <v>1428</v>
      </c>
      <c r="B364" s="19" t="s">
        <v>761</v>
      </c>
      <c r="C364" s="19" t="s">
        <v>2353</v>
      </c>
      <c r="D364" s="19" t="s">
        <v>2354</v>
      </c>
      <c r="E364" s="20" t="str">
        <f t="shared" si="9"/>
        <v>Tracking</v>
      </c>
      <c r="F364" s="19" t="s">
        <v>2353</v>
      </c>
      <c r="G364" s="19" t="s">
        <v>2355</v>
      </c>
      <c r="H364" s="19" t="s">
        <v>32</v>
      </c>
      <c r="I364">
        <v>0</v>
      </c>
      <c r="J364">
        <v>7</v>
      </c>
      <c r="K364" s="1" t="s">
        <v>1020</v>
      </c>
    </row>
    <row r="365" spans="1:11" hidden="1">
      <c r="A365" s="17" t="s">
        <v>1428</v>
      </c>
      <c r="B365" s="19" t="s">
        <v>761</v>
      </c>
      <c r="C365" s="19" t="s">
        <v>2356</v>
      </c>
      <c r="D365" s="19" t="s">
        <v>2357</v>
      </c>
      <c r="E365" s="20" t="str">
        <f t="shared" si="9"/>
        <v>Tracking</v>
      </c>
      <c r="F365" s="19" t="s">
        <v>2356</v>
      </c>
      <c r="G365" s="19" t="s">
        <v>2358</v>
      </c>
      <c r="H365" s="19" t="s">
        <v>32</v>
      </c>
      <c r="I365">
        <v>0</v>
      </c>
      <c r="J365">
        <v>5</v>
      </c>
      <c r="K365" s="1" t="s">
        <v>1021</v>
      </c>
    </row>
    <row r="366" spans="1:11" hidden="1">
      <c r="A366" s="17" t="s">
        <v>1428</v>
      </c>
      <c r="B366" s="19" t="s">
        <v>761</v>
      </c>
      <c r="C366" s="19" t="s">
        <v>2359</v>
      </c>
      <c r="D366" s="19" t="s">
        <v>2360</v>
      </c>
      <c r="E366" s="20" t="str">
        <f t="shared" si="9"/>
        <v>Standard</v>
      </c>
      <c r="F366" s="19" t="s">
        <v>2359</v>
      </c>
      <c r="G366" s="19" t="s">
        <v>2361</v>
      </c>
      <c r="H366" s="19" t="s">
        <v>32</v>
      </c>
      <c r="I366">
        <v>30428</v>
      </c>
      <c r="J366">
        <v>251</v>
      </c>
      <c r="K366" s="1" t="s">
        <v>1020</v>
      </c>
    </row>
    <row r="367" spans="1:11" hidden="1">
      <c r="A367" s="17" t="s">
        <v>1428</v>
      </c>
      <c r="B367" s="19" t="s">
        <v>761</v>
      </c>
      <c r="C367" s="19" t="s">
        <v>1432</v>
      </c>
      <c r="D367" s="19" t="s">
        <v>1433</v>
      </c>
      <c r="E367" s="20" t="str">
        <f t="shared" si="9"/>
        <v>Standard</v>
      </c>
      <c r="F367" s="19" t="s">
        <v>1432</v>
      </c>
      <c r="G367" s="19" t="s">
        <v>1434</v>
      </c>
      <c r="H367" s="19" t="s">
        <v>32</v>
      </c>
      <c r="I367">
        <v>31552</v>
      </c>
      <c r="J367">
        <v>217</v>
      </c>
      <c r="K367" s="1" t="s">
        <v>1021</v>
      </c>
    </row>
    <row r="368" spans="1:11" hidden="1">
      <c r="A368" s="17" t="s">
        <v>1428</v>
      </c>
      <c r="B368" s="19" t="s">
        <v>761</v>
      </c>
      <c r="C368" s="19" t="s">
        <v>2362</v>
      </c>
      <c r="D368" s="19" t="s">
        <v>2363</v>
      </c>
      <c r="E368" s="20" t="str">
        <f t="shared" si="9"/>
        <v>Standard</v>
      </c>
      <c r="F368" s="19" t="s">
        <v>2362</v>
      </c>
      <c r="G368" s="19" t="s">
        <v>2364</v>
      </c>
      <c r="H368" s="19" t="s">
        <v>32</v>
      </c>
      <c r="I368">
        <v>31628</v>
      </c>
      <c r="J368">
        <v>232</v>
      </c>
      <c r="K368" s="1" t="s">
        <v>1020</v>
      </c>
    </row>
    <row r="369" spans="1:11" hidden="1">
      <c r="A369" s="17" t="s">
        <v>1428</v>
      </c>
      <c r="B369" s="19" t="s">
        <v>761</v>
      </c>
      <c r="C369" s="19" t="s">
        <v>2365</v>
      </c>
      <c r="D369" s="19" t="s">
        <v>2366</v>
      </c>
      <c r="E369" s="20" t="str">
        <f t="shared" si="9"/>
        <v>Standard</v>
      </c>
      <c r="F369" s="19" t="s">
        <v>2365</v>
      </c>
      <c r="G369" s="19" t="s">
        <v>2367</v>
      </c>
      <c r="H369" s="19" t="s">
        <v>32</v>
      </c>
      <c r="I369">
        <v>31649</v>
      </c>
      <c r="J369">
        <v>225</v>
      </c>
      <c r="K369" s="1" t="s">
        <v>1021</v>
      </c>
    </row>
    <row r="370" spans="1:11" hidden="1">
      <c r="A370" s="17" t="s">
        <v>1428</v>
      </c>
      <c r="B370" s="19" t="s">
        <v>761</v>
      </c>
      <c r="C370" s="19" t="s">
        <v>2368</v>
      </c>
      <c r="D370" s="19" t="s">
        <v>2369</v>
      </c>
      <c r="E370" s="20" t="str">
        <f t="shared" si="9"/>
        <v>Standard</v>
      </c>
      <c r="F370" s="19" t="s">
        <v>2368</v>
      </c>
      <c r="G370" s="19" t="s">
        <v>2370</v>
      </c>
      <c r="H370" s="19" t="s">
        <v>32</v>
      </c>
      <c r="I370">
        <v>77259</v>
      </c>
      <c r="J370">
        <v>366</v>
      </c>
      <c r="K370" s="1" t="s">
        <v>1020</v>
      </c>
    </row>
    <row r="371" spans="1:11" hidden="1">
      <c r="A371" s="17" t="s">
        <v>1428</v>
      </c>
      <c r="B371" s="19" t="s">
        <v>761</v>
      </c>
      <c r="C371" s="19" t="s">
        <v>2371</v>
      </c>
      <c r="D371" s="19" t="s">
        <v>2372</v>
      </c>
      <c r="E371" s="20" t="str">
        <f t="shared" si="9"/>
        <v>Standard</v>
      </c>
      <c r="F371" s="19" t="s">
        <v>2371</v>
      </c>
      <c r="G371" s="19" t="s">
        <v>2373</v>
      </c>
      <c r="H371" s="19" t="s">
        <v>32</v>
      </c>
      <c r="I371">
        <v>77344</v>
      </c>
      <c r="J371">
        <v>318</v>
      </c>
      <c r="K371" s="1" t="s">
        <v>1021</v>
      </c>
    </row>
    <row r="372" spans="1:11" hidden="1">
      <c r="A372" s="17" t="s">
        <v>1428</v>
      </c>
      <c r="B372" s="19" t="s">
        <v>761</v>
      </c>
      <c r="C372" s="19" t="s">
        <v>2374</v>
      </c>
      <c r="D372" s="19" t="s">
        <v>2375</v>
      </c>
      <c r="E372" s="20" t="str">
        <f t="shared" si="9"/>
        <v>Standard</v>
      </c>
      <c r="F372" s="19" t="s">
        <v>2374</v>
      </c>
      <c r="G372" s="19" t="s">
        <v>2376</v>
      </c>
      <c r="H372" s="19" t="s">
        <v>32</v>
      </c>
      <c r="I372">
        <v>77180</v>
      </c>
      <c r="J372">
        <v>315</v>
      </c>
      <c r="K372" s="1" t="s">
        <v>1020</v>
      </c>
    </row>
    <row r="373" spans="1:11" hidden="1">
      <c r="A373" s="17" t="s">
        <v>1428</v>
      </c>
      <c r="B373" s="19" t="s">
        <v>761</v>
      </c>
      <c r="C373" s="19" t="s">
        <v>2377</v>
      </c>
      <c r="D373" s="19" t="s">
        <v>2378</v>
      </c>
      <c r="E373" s="20" t="str">
        <f t="shared" si="9"/>
        <v>Standard</v>
      </c>
      <c r="F373" s="19" t="s">
        <v>2377</v>
      </c>
      <c r="G373" s="19" t="s">
        <v>2379</v>
      </c>
      <c r="H373" s="19" t="s">
        <v>32</v>
      </c>
      <c r="I373">
        <v>77393</v>
      </c>
      <c r="J373">
        <v>330</v>
      </c>
      <c r="K373" s="1" t="s">
        <v>1021</v>
      </c>
    </row>
    <row r="374" spans="1:11" hidden="1">
      <c r="A374" s="17" t="s">
        <v>109</v>
      </c>
      <c r="B374" s="19" t="s">
        <v>50</v>
      </c>
      <c r="C374" s="19" t="s">
        <v>110</v>
      </c>
      <c r="D374" s="19" t="s">
        <v>111</v>
      </c>
      <c r="E374" s="20" t="str">
        <f t="shared" si="9"/>
        <v>Standard</v>
      </c>
      <c r="F374" s="19" t="s">
        <v>110</v>
      </c>
      <c r="G374" s="19" t="s">
        <v>112</v>
      </c>
      <c r="H374" s="19" t="s">
        <v>32</v>
      </c>
      <c r="I374">
        <v>8</v>
      </c>
      <c r="J374">
        <v>0</v>
      </c>
      <c r="K374" s="1" t="s">
        <v>1020</v>
      </c>
    </row>
    <row r="375" spans="1:11" hidden="1">
      <c r="A375" s="17" t="s">
        <v>109</v>
      </c>
      <c r="B375" s="19" t="s">
        <v>50</v>
      </c>
      <c r="C375" s="19" t="s">
        <v>113</v>
      </c>
      <c r="D375" s="19" t="s">
        <v>114</v>
      </c>
      <c r="E375" s="20" t="str">
        <f t="shared" si="9"/>
        <v>Tracking</v>
      </c>
      <c r="F375" s="19" t="s">
        <v>113</v>
      </c>
      <c r="G375" s="19" t="s">
        <v>115</v>
      </c>
      <c r="H375" s="19" t="s">
        <v>32</v>
      </c>
      <c r="I375">
        <v>0</v>
      </c>
      <c r="J375">
        <v>25</v>
      </c>
      <c r="K375" s="1" t="s">
        <v>1020</v>
      </c>
    </row>
    <row r="376" spans="1:11" hidden="1">
      <c r="A376" s="17" t="s">
        <v>109</v>
      </c>
      <c r="B376" s="19" t="s">
        <v>118</v>
      </c>
      <c r="C376" s="19" t="s">
        <v>119</v>
      </c>
      <c r="D376" s="19" t="s">
        <v>120</v>
      </c>
      <c r="E376" s="20" t="str">
        <f t="shared" si="9"/>
        <v>Tracking</v>
      </c>
      <c r="F376" s="19" t="s">
        <v>119</v>
      </c>
      <c r="G376" s="19" t="s">
        <v>121</v>
      </c>
      <c r="H376" s="19" t="s">
        <v>32</v>
      </c>
      <c r="I376">
        <v>155</v>
      </c>
      <c r="J376">
        <v>274</v>
      </c>
      <c r="K376" s="1" t="s">
        <v>1021</v>
      </c>
    </row>
    <row r="377" spans="1:11" hidden="1">
      <c r="A377" s="17" t="s">
        <v>109</v>
      </c>
      <c r="B377" s="19" t="s">
        <v>118</v>
      </c>
      <c r="C377" s="19" t="s">
        <v>122</v>
      </c>
      <c r="D377" s="19" t="s">
        <v>123</v>
      </c>
      <c r="E377" s="20" t="str">
        <f t="shared" si="9"/>
        <v>Standard</v>
      </c>
      <c r="F377" s="19" t="s">
        <v>122</v>
      </c>
      <c r="G377" s="19" t="s">
        <v>124</v>
      </c>
      <c r="H377" s="19" t="s">
        <v>32</v>
      </c>
      <c r="I377">
        <v>85</v>
      </c>
      <c r="J377">
        <v>82</v>
      </c>
      <c r="K377" s="1" t="s">
        <v>1020</v>
      </c>
    </row>
    <row r="378" spans="1:11" hidden="1">
      <c r="A378" s="17" t="s">
        <v>1435</v>
      </c>
      <c r="B378" s="19" t="s">
        <v>762</v>
      </c>
      <c r="C378" s="19" t="s">
        <v>1436</v>
      </c>
      <c r="D378" s="19" t="s">
        <v>1437</v>
      </c>
      <c r="E378" s="20" t="str">
        <f t="shared" si="9"/>
        <v>Tracking</v>
      </c>
      <c r="F378" s="19" t="s">
        <v>1436</v>
      </c>
      <c r="G378" s="19" t="s">
        <v>1438</v>
      </c>
      <c r="H378" s="19" t="s">
        <v>32</v>
      </c>
      <c r="I378">
        <v>0</v>
      </c>
      <c r="J378">
        <v>9</v>
      </c>
      <c r="K378" s="1" t="s">
        <v>1020</v>
      </c>
    </row>
    <row r="379" spans="1:11" hidden="1">
      <c r="A379" s="17" t="s">
        <v>1435</v>
      </c>
      <c r="B379" s="19" t="s">
        <v>762</v>
      </c>
      <c r="C379" s="19" t="s">
        <v>1439</v>
      </c>
      <c r="D379" s="19" t="s">
        <v>1440</v>
      </c>
      <c r="E379" s="20" t="str">
        <f t="shared" si="9"/>
        <v>Tracking</v>
      </c>
      <c r="F379" s="19" t="s">
        <v>1439</v>
      </c>
      <c r="G379" s="19" t="s">
        <v>1441</v>
      </c>
      <c r="H379" s="19" t="s">
        <v>32</v>
      </c>
      <c r="I379">
        <v>0</v>
      </c>
      <c r="J379">
        <v>768</v>
      </c>
      <c r="K379" s="1" t="s">
        <v>1021</v>
      </c>
    </row>
    <row r="380" spans="1:11" hidden="1">
      <c r="A380" s="17" t="s">
        <v>1435</v>
      </c>
      <c r="B380" s="19" t="s">
        <v>762</v>
      </c>
      <c r="C380" s="19" t="s">
        <v>1442</v>
      </c>
      <c r="D380" s="19" t="s">
        <v>1443</v>
      </c>
      <c r="E380" s="20" t="str">
        <f t="shared" si="9"/>
        <v>Tracking</v>
      </c>
      <c r="F380" s="19" t="s">
        <v>1442</v>
      </c>
      <c r="G380" s="19" t="s">
        <v>1444</v>
      </c>
      <c r="H380" s="19" t="s">
        <v>32</v>
      </c>
      <c r="I380">
        <v>0</v>
      </c>
      <c r="J380">
        <v>17</v>
      </c>
      <c r="K380" s="1" t="s">
        <v>1020</v>
      </c>
    </row>
    <row r="381" spans="1:11" hidden="1">
      <c r="A381" s="17" t="s">
        <v>1435</v>
      </c>
      <c r="B381" s="19" t="s">
        <v>762</v>
      </c>
      <c r="C381" s="19" t="s">
        <v>2380</v>
      </c>
      <c r="D381" s="19" t="s">
        <v>2381</v>
      </c>
      <c r="E381" s="20" t="str">
        <f t="shared" si="9"/>
        <v>Tracking</v>
      </c>
      <c r="F381" s="19" t="s">
        <v>2380</v>
      </c>
      <c r="G381" s="19" t="s">
        <v>2382</v>
      </c>
      <c r="H381" s="19" t="s">
        <v>32</v>
      </c>
      <c r="I381">
        <v>0</v>
      </c>
      <c r="J381">
        <v>2</v>
      </c>
      <c r="K381" s="1" t="s">
        <v>1021</v>
      </c>
    </row>
    <row r="382" spans="1:11" hidden="1">
      <c r="A382" s="17" t="s">
        <v>1435</v>
      </c>
      <c r="B382" s="19" t="s">
        <v>762</v>
      </c>
      <c r="C382" s="19" t="s">
        <v>2383</v>
      </c>
      <c r="D382" s="19" t="s">
        <v>2384</v>
      </c>
      <c r="E382" s="20" t="str">
        <f t="shared" si="9"/>
        <v>Tracking</v>
      </c>
      <c r="F382" s="19" t="s">
        <v>2383</v>
      </c>
      <c r="G382" s="19" t="s">
        <v>2385</v>
      </c>
      <c r="H382" s="19" t="s">
        <v>32</v>
      </c>
      <c r="I382">
        <v>0</v>
      </c>
      <c r="J382">
        <v>1075</v>
      </c>
      <c r="K382" s="1" t="s">
        <v>1020</v>
      </c>
    </row>
    <row r="383" spans="1:11" hidden="1">
      <c r="A383" s="17" t="s">
        <v>1435</v>
      </c>
      <c r="B383" s="19" t="s">
        <v>762</v>
      </c>
      <c r="C383" s="19" t="s">
        <v>2386</v>
      </c>
      <c r="D383" s="19" t="s">
        <v>2387</v>
      </c>
      <c r="E383" s="20" t="str">
        <f t="shared" si="9"/>
        <v>Tracking</v>
      </c>
      <c r="F383" s="19" t="s">
        <v>2386</v>
      </c>
      <c r="G383" s="19" t="s">
        <v>2388</v>
      </c>
      <c r="H383" s="19" t="s">
        <v>32</v>
      </c>
      <c r="I383">
        <v>0</v>
      </c>
      <c r="J383">
        <v>1</v>
      </c>
      <c r="K383" s="1" t="s">
        <v>1021</v>
      </c>
    </row>
    <row r="384" spans="1:11" hidden="1">
      <c r="A384" s="17" t="s">
        <v>1435</v>
      </c>
      <c r="B384" s="19" t="s">
        <v>762</v>
      </c>
      <c r="C384" s="19" t="s">
        <v>2389</v>
      </c>
      <c r="D384" s="19" t="s">
        <v>2390</v>
      </c>
      <c r="E384" s="20" t="str">
        <f t="shared" si="9"/>
        <v>Tracking</v>
      </c>
      <c r="F384" s="19" t="s">
        <v>2389</v>
      </c>
      <c r="G384" s="19" t="s">
        <v>2391</v>
      </c>
      <c r="H384" s="19" t="s">
        <v>32</v>
      </c>
      <c r="I384">
        <v>0</v>
      </c>
      <c r="J384">
        <v>2</v>
      </c>
      <c r="K384" s="1" t="s">
        <v>1020</v>
      </c>
    </row>
    <row r="385" spans="1:11" hidden="1">
      <c r="A385" s="17" t="s">
        <v>1435</v>
      </c>
      <c r="B385" s="19" t="s">
        <v>762</v>
      </c>
      <c r="C385" s="19" t="s">
        <v>2392</v>
      </c>
      <c r="D385" s="19" t="s">
        <v>2393</v>
      </c>
      <c r="E385" s="20" t="str">
        <f t="shared" si="9"/>
        <v>Tracking</v>
      </c>
      <c r="F385" s="19" t="s">
        <v>2392</v>
      </c>
      <c r="G385" s="19" t="s">
        <v>2394</v>
      </c>
      <c r="H385" s="19" t="s">
        <v>32</v>
      </c>
      <c r="I385">
        <v>0</v>
      </c>
      <c r="J385">
        <v>1</v>
      </c>
      <c r="K385" s="1" t="s">
        <v>1021</v>
      </c>
    </row>
    <row r="386" spans="1:11" hidden="1">
      <c r="A386" s="17" t="s">
        <v>1435</v>
      </c>
      <c r="B386" s="19" t="s">
        <v>762</v>
      </c>
      <c r="C386" s="19" t="s">
        <v>2395</v>
      </c>
      <c r="D386" s="19" t="s">
        <v>2396</v>
      </c>
      <c r="E386" s="20" t="str">
        <f t="shared" si="9"/>
        <v>Tracking</v>
      </c>
      <c r="F386" s="19" t="s">
        <v>2395</v>
      </c>
      <c r="G386" s="19" t="s">
        <v>2397</v>
      </c>
      <c r="H386" s="19" t="s">
        <v>32</v>
      </c>
      <c r="I386">
        <v>0</v>
      </c>
      <c r="J386">
        <v>1</v>
      </c>
      <c r="K386" s="1" t="s">
        <v>1020</v>
      </c>
    </row>
    <row r="387" spans="1:11" hidden="1">
      <c r="A387" s="17" t="s">
        <v>1435</v>
      </c>
      <c r="B387" s="19" t="s">
        <v>762</v>
      </c>
      <c r="C387" s="19" t="s">
        <v>2398</v>
      </c>
      <c r="D387" s="19" t="s">
        <v>2399</v>
      </c>
      <c r="E387" s="20" t="str">
        <f t="shared" si="9"/>
        <v>Tracking</v>
      </c>
      <c r="F387" s="19" t="s">
        <v>2398</v>
      </c>
      <c r="G387" s="19" t="s">
        <v>2400</v>
      </c>
      <c r="H387" s="19" t="s">
        <v>32</v>
      </c>
      <c r="I387">
        <v>0</v>
      </c>
      <c r="J387">
        <v>11</v>
      </c>
      <c r="K387" s="1" t="s">
        <v>1021</v>
      </c>
    </row>
    <row r="388" spans="1:11" hidden="1">
      <c r="A388" s="17" t="s">
        <v>1435</v>
      </c>
      <c r="B388" s="19" t="s">
        <v>762</v>
      </c>
      <c r="C388" s="19" t="s">
        <v>2401</v>
      </c>
      <c r="D388" s="19" t="s">
        <v>2402</v>
      </c>
      <c r="E388" s="20" t="str">
        <f t="shared" si="9"/>
        <v>Tracking</v>
      </c>
      <c r="F388" s="19" t="s">
        <v>2401</v>
      </c>
      <c r="G388" s="19" t="s">
        <v>2403</v>
      </c>
      <c r="H388" s="19" t="s">
        <v>32</v>
      </c>
      <c r="I388">
        <v>0</v>
      </c>
      <c r="J388">
        <v>6</v>
      </c>
      <c r="K388" s="1" t="s">
        <v>1020</v>
      </c>
    </row>
    <row r="389" spans="1:11" hidden="1">
      <c r="A389" s="17" t="s">
        <v>1435</v>
      </c>
      <c r="B389" s="19" t="s">
        <v>762</v>
      </c>
      <c r="C389" s="19" t="s">
        <v>2404</v>
      </c>
      <c r="D389" s="19" t="s">
        <v>2405</v>
      </c>
      <c r="E389" s="20" t="str">
        <f t="shared" si="9"/>
        <v>Tracking</v>
      </c>
      <c r="F389" s="19" t="s">
        <v>2404</v>
      </c>
      <c r="G389" s="19" t="s">
        <v>2406</v>
      </c>
      <c r="H389" s="19" t="s">
        <v>32</v>
      </c>
      <c r="I389">
        <v>0</v>
      </c>
      <c r="J389">
        <v>6</v>
      </c>
      <c r="K389" s="1" t="s">
        <v>1021</v>
      </c>
    </row>
    <row r="390" spans="1:11" hidden="1">
      <c r="A390" s="17" t="s">
        <v>1445</v>
      </c>
      <c r="B390" s="19" t="s">
        <v>52</v>
      </c>
      <c r="C390" s="19" t="s">
        <v>1446</v>
      </c>
      <c r="D390" s="19" t="s">
        <v>1447</v>
      </c>
      <c r="E390" s="20" t="str">
        <f t="shared" si="9"/>
        <v>Tracking</v>
      </c>
      <c r="F390" s="19" t="s">
        <v>1446</v>
      </c>
      <c r="G390" s="19" t="s">
        <v>1448</v>
      </c>
      <c r="H390" s="19" t="s">
        <v>32</v>
      </c>
      <c r="I390">
        <v>0</v>
      </c>
      <c r="J390">
        <v>2523</v>
      </c>
      <c r="K390" s="1" t="s">
        <v>1020</v>
      </c>
    </row>
    <row r="391" spans="1:11" hidden="1">
      <c r="A391" s="17" t="s">
        <v>1445</v>
      </c>
      <c r="B391" s="19" t="s">
        <v>52</v>
      </c>
      <c r="C391" s="19" t="s">
        <v>1449</v>
      </c>
      <c r="D391" s="19" t="s">
        <v>1450</v>
      </c>
      <c r="E391" s="20" t="str">
        <f t="shared" si="9"/>
        <v>Tracking</v>
      </c>
      <c r="F391" s="19" t="s">
        <v>1449</v>
      </c>
      <c r="G391" s="19" t="s">
        <v>1451</v>
      </c>
      <c r="H391" s="19" t="s">
        <v>32</v>
      </c>
      <c r="I391">
        <v>0</v>
      </c>
      <c r="J391">
        <v>3544</v>
      </c>
      <c r="K391" s="1" t="s">
        <v>1020</v>
      </c>
    </row>
    <row r="392" spans="1:11" hidden="1">
      <c r="A392" s="17" t="s">
        <v>1445</v>
      </c>
      <c r="B392" s="19" t="s">
        <v>52</v>
      </c>
      <c r="C392" s="19" t="s">
        <v>1452</v>
      </c>
      <c r="D392" s="19" t="s">
        <v>1453</v>
      </c>
      <c r="E392" s="20" t="str">
        <f t="shared" si="9"/>
        <v>Tracking</v>
      </c>
      <c r="F392" s="19" t="s">
        <v>1452</v>
      </c>
      <c r="G392" s="19" t="s">
        <v>1454</v>
      </c>
      <c r="H392" s="19" t="s">
        <v>32</v>
      </c>
      <c r="I392">
        <v>0</v>
      </c>
      <c r="J392">
        <v>3802</v>
      </c>
      <c r="K392" s="1" t="s">
        <v>1021</v>
      </c>
    </row>
    <row r="393" spans="1:11" hidden="1">
      <c r="A393" s="17" t="s">
        <v>1445</v>
      </c>
      <c r="B393" s="19" t="s">
        <v>52</v>
      </c>
      <c r="C393" s="19" t="s">
        <v>1455</v>
      </c>
      <c r="D393" s="19" t="s">
        <v>1456</v>
      </c>
      <c r="E393" s="20" t="str">
        <f t="shared" si="9"/>
        <v>Tracking</v>
      </c>
      <c r="F393" s="19" t="s">
        <v>1455</v>
      </c>
      <c r="G393" s="19" t="s">
        <v>1457</v>
      </c>
      <c r="H393" s="19" t="s">
        <v>32</v>
      </c>
      <c r="I393">
        <v>0</v>
      </c>
      <c r="J393">
        <v>3717</v>
      </c>
      <c r="K393" s="1" t="s">
        <v>1020</v>
      </c>
    </row>
    <row r="394" spans="1:11" hidden="1">
      <c r="A394" s="17" t="s">
        <v>1445</v>
      </c>
      <c r="B394" s="19" t="s">
        <v>52</v>
      </c>
      <c r="C394" s="19" t="s">
        <v>1458</v>
      </c>
      <c r="D394" s="19" t="s">
        <v>1459</v>
      </c>
      <c r="E394" s="20" t="str">
        <f t="shared" si="9"/>
        <v>Tracking</v>
      </c>
      <c r="F394" s="19" t="s">
        <v>1458</v>
      </c>
      <c r="G394" s="19" t="s">
        <v>1460</v>
      </c>
      <c r="H394" s="19" t="s">
        <v>32</v>
      </c>
      <c r="I394">
        <v>0</v>
      </c>
      <c r="J394">
        <v>3662</v>
      </c>
      <c r="K394" s="1" t="s">
        <v>1021</v>
      </c>
    </row>
    <row r="395" spans="1:11" hidden="1">
      <c r="A395" s="17" t="s">
        <v>1445</v>
      </c>
      <c r="B395" s="19" t="s">
        <v>52</v>
      </c>
      <c r="C395" s="19" t="s">
        <v>1461</v>
      </c>
      <c r="D395" s="19" t="s">
        <v>1462</v>
      </c>
      <c r="E395" s="20" t="str">
        <f t="shared" si="9"/>
        <v>Tracking</v>
      </c>
      <c r="F395" s="19" t="s">
        <v>1461</v>
      </c>
      <c r="G395" s="19" t="s">
        <v>1463</v>
      </c>
      <c r="H395" s="19" t="s">
        <v>32</v>
      </c>
      <c r="I395">
        <v>0</v>
      </c>
      <c r="J395">
        <v>3590</v>
      </c>
      <c r="K395" s="1" t="s">
        <v>1020</v>
      </c>
    </row>
    <row r="396" spans="1:11" hidden="1">
      <c r="A396" s="17" t="s">
        <v>1445</v>
      </c>
      <c r="B396" s="19" t="s">
        <v>52</v>
      </c>
      <c r="C396" s="19" t="s">
        <v>1464</v>
      </c>
      <c r="D396" s="19" t="s">
        <v>1465</v>
      </c>
      <c r="E396" s="20" t="str">
        <f t="shared" si="9"/>
        <v>Tracking</v>
      </c>
      <c r="F396" s="19" t="s">
        <v>1464</v>
      </c>
      <c r="G396" s="19" t="s">
        <v>1466</v>
      </c>
      <c r="H396" s="19" t="s">
        <v>32</v>
      </c>
      <c r="I396">
        <v>0</v>
      </c>
      <c r="J396">
        <v>3704</v>
      </c>
      <c r="K396" s="1" t="s">
        <v>1021</v>
      </c>
    </row>
    <row r="397" spans="1:11" hidden="1">
      <c r="A397" s="17" t="s">
        <v>1445</v>
      </c>
      <c r="B397" s="19" t="s">
        <v>52</v>
      </c>
      <c r="C397" s="19" t="s">
        <v>1467</v>
      </c>
      <c r="D397" s="19" t="s">
        <v>1468</v>
      </c>
      <c r="E397" s="20" t="str">
        <f t="shared" si="9"/>
        <v>Tracking</v>
      </c>
      <c r="F397" s="19" t="s">
        <v>1467</v>
      </c>
      <c r="G397" s="19" t="s">
        <v>1469</v>
      </c>
      <c r="H397" s="19" t="s">
        <v>32</v>
      </c>
      <c r="I397">
        <v>0</v>
      </c>
      <c r="J397">
        <v>61929</v>
      </c>
      <c r="K397" s="1" t="s">
        <v>1020</v>
      </c>
    </row>
    <row r="398" spans="1:11" hidden="1">
      <c r="A398" s="17" t="s">
        <v>125</v>
      </c>
      <c r="B398" s="19" t="s">
        <v>95</v>
      </c>
      <c r="C398" s="19" t="s">
        <v>2407</v>
      </c>
      <c r="D398" s="19" t="s">
        <v>2408</v>
      </c>
      <c r="E398" s="20" t="str">
        <f t="shared" si="9"/>
        <v>Tracking</v>
      </c>
      <c r="F398" s="19" t="s">
        <v>2407</v>
      </c>
      <c r="G398" s="19" t="s">
        <v>2409</v>
      </c>
      <c r="H398" s="19" t="s">
        <v>32</v>
      </c>
      <c r="I398">
        <v>0</v>
      </c>
      <c r="J398">
        <v>1</v>
      </c>
      <c r="K398" s="1" t="s">
        <v>1021</v>
      </c>
    </row>
    <row r="399" spans="1:11" hidden="1">
      <c r="A399" s="17" t="s">
        <v>125</v>
      </c>
      <c r="B399" s="19" t="s">
        <v>95</v>
      </c>
      <c r="C399" s="19" t="s">
        <v>126</v>
      </c>
      <c r="D399" s="19" t="s">
        <v>127</v>
      </c>
      <c r="E399" s="20" t="str">
        <f t="shared" si="9"/>
        <v>Tracking</v>
      </c>
      <c r="F399" s="19" t="s">
        <v>126</v>
      </c>
      <c r="G399" s="19" t="s">
        <v>128</v>
      </c>
      <c r="H399" s="19" t="s">
        <v>32</v>
      </c>
      <c r="I399">
        <v>0</v>
      </c>
      <c r="J399">
        <v>297</v>
      </c>
      <c r="K399" s="1" t="s">
        <v>1021</v>
      </c>
    </row>
    <row r="400" spans="1:11" hidden="1">
      <c r="A400" s="17" t="s">
        <v>129</v>
      </c>
      <c r="B400" s="19" t="s">
        <v>1032</v>
      </c>
      <c r="C400" s="19" t="s">
        <v>1470</v>
      </c>
      <c r="D400" s="19" t="s">
        <v>1471</v>
      </c>
      <c r="E400" s="20" t="str">
        <f t="shared" si="9"/>
        <v>Tracking</v>
      </c>
      <c r="F400" s="19" t="s">
        <v>1470</v>
      </c>
      <c r="G400" s="19" t="s">
        <v>1472</v>
      </c>
      <c r="H400" s="19" t="s">
        <v>32</v>
      </c>
      <c r="I400">
        <v>0</v>
      </c>
      <c r="J400">
        <v>1197</v>
      </c>
      <c r="K400" s="1" t="s">
        <v>1020</v>
      </c>
    </row>
    <row r="401" spans="1:11" hidden="1">
      <c r="A401" s="17" t="s">
        <v>129</v>
      </c>
      <c r="B401" s="19" t="s">
        <v>1032</v>
      </c>
      <c r="C401" s="19" t="s">
        <v>1473</v>
      </c>
      <c r="D401" s="19" t="s">
        <v>1474</v>
      </c>
      <c r="E401" s="20" t="str">
        <f t="shared" si="9"/>
        <v>Tracking</v>
      </c>
      <c r="F401" s="19" t="s">
        <v>1473</v>
      </c>
      <c r="G401" s="19" t="s">
        <v>1475</v>
      </c>
      <c r="H401" s="19" t="s">
        <v>32</v>
      </c>
      <c r="I401">
        <v>0</v>
      </c>
      <c r="J401">
        <v>872</v>
      </c>
      <c r="K401" s="1" t="s">
        <v>1021</v>
      </c>
    </row>
    <row r="402" spans="1:11" hidden="1">
      <c r="A402" s="17" t="s">
        <v>129</v>
      </c>
      <c r="B402" s="19" t="s">
        <v>1032</v>
      </c>
      <c r="C402" s="19" t="s">
        <v>1476</v>
      </c>
      <c r="D402" s="19" t="s">
        <v>1477</v>
      </c>
      <c r="E402" s="20" t="str">
        <f t="shared" ref="E402:E410" si="10">IF(I402&gt;J402,"Standard","Tracking")</f>
        <v>Tracking</v>
      </c>
      <c r="F402" s="19" t="s">
        <v>1476</v>
      </c>
      <c r="G402" s="19" t="s">
        <v>1478</v>
      </c>
      <c r="H402" s="19" t="s">
        <v>32</v>
      </c>
      <c r="I402">
        <v>0</v>
      </c>
      <c r="J402">
        <v>1016</v>
      </c>
      <c r="K402" s="1" t="s">
        <v>1020</v>
      </c>
    </row>
    <row r="403" spans="1:11" hidden="1">
      <c r="A403" s="17" t="s">
        <v>129</v>
      </c>
      <c r="B403" s="19" t="s">
        <v>1032</v>
      </c>
      <c r="C403" s="19" t="s">
        <v>1479</v>
      </c>
      <c r="D403" s="19" t="s">
        <v>1480</v>
      </c>
      <c r="E403" s="20" t="str">
        <f t="shared" si="10"/>
        <v>Tracking</v>
      </c>
      <c r="F403" s="19" t="s">
        <v>1479</v>
      </c>
      <c r="G403" s="19" t="s">
        <v>1481</v>
      </c>
      <c r="H403" s="19" t="s">
        <v>32</v>
      </c>
      <c r="I403">
        <v>0</v>
      </c>
      <c r="J403">
        <v>418</v>
      </c>
      <c r="K403" s="1" t="s">
        <v>1021</v>
      </c>
    </row>
    <row r="404" spans="1:11" hidden="1">
      <c r="A404" s="17" t="s">
        <v>129</v>
      </c>
      <c r="B404" s="19" t="s">
        <v>1032</v>
      </c>
      <c r="C404" s="19" t="s">
        <v>1482</v>
      </c>
      <c r="D404" s="19" t="s">
        <v>1483</v>
      </c>
      <c r="E404" s="20" t="str">
        <f t="shared" si="10"/>
        <v>Tracking</v>
      </c>
      <c r="F404" s="19" t="s">
        <v>1482</v>
      </c>
      <c r="G404" s="19" t="s">
        <v>1484</v>
      </c>
      <c r="H404" s="19" t="s">
        <v>32</v>
      </c>
      <c r="I404">
        <v>0</v>
      </c>
      <c r="J404">
        <v>1576</v>
      </c>
      <c r="K404" s="1" t="s">
        <v>1020</v>
      </c>
    </row>
    <row r="405" spans="1:11" hidden="1">
      <c r="A405" s="17" t="s">
        <v>129</v>
      </c>
      <c r="B405" s="19" t="s">
        <v>1032</v>
      </c>
      <c r="C405" s="19" t="s">
        <v>1485</v>
      </c>
      <c r="D405" s="19" t="s">
        <v>1486</v>
      </c>
      <c r="E405" s="20" t="str">
        <f t="shared" si="10"/>
        <v>Tracking</v>
      </c>
      <c r="F405" s="19" t="s">
        <v>1485</v>
      </c>
      <c r="G405" s="19" t="s">
        <v>1487</v>
      </c>
      <c r="H405" s="19" t="s">
        <v>32</v>
      </c>
      <c r="I405">
        <v>0</v>
      </c>
      <c r="J405">
        <v>96</v>
      </c>
      <c r="K405" s="1" t="s">
        <v>1021</v>
      </c>
    </row>
    <row r="406" spans="1:11" hidden="1">
      <c r="A406" s="17" t="s">
        <v>129</v>
      </c>
      <c r="B406" s="19" t="s">
        <v>1032</v>
      </c>
      <c r="C406" s="19" t="s">
        <v>1488</v>
      </c>
      <c r="D406" s="19" t="s">
        <v>1489</v>
      </c>
      <c r="E406" s="20" t="str">
        <f t="shared" si="10"/>
        <v>Tracking</v>
      </c>
      <c r="F406" s="19" t="s">
        <v>1488</v>
      </c>
      <c r="G406" s="19" t="s">
        <v>1490</v>
      </c>
      <c r="H406" s="19" t="s">
        <v>32</v>
      </c>
      <c r="I406">
        <v>0</v>
      </c>
      <c r="J406">
        <v>178</v>
      </c>
      <c r="K406" s="1" t="s">
        <v>1020</v>
      </c>
    </row>
    <row r="407" spans="1:11" hidden="1">
      <c r="A407" s="17" t="s">
        <v>129</v>
      </c>
      <c r="B407" s="19" t="s">
        <v>1032</v>
      </c>
      <c r="C407" s="19" t="s">
        <v>1491</v>
      </c>
      <c r="D407" s="19" t="s">
        <v>1492</v>
      </c>
      <c r="E407" s="20" t="str">
        <f t="shared" si="10"/>
        <v>Tracking</v>
      </c>
      <c r="F407" s="19" t="s">
        <v>1491</v>
      </c>
      <c r="G407" s="19" t="s">
        <v>1493</v>
      </c>
      <c r="H407" s="19" t="s">
        <v>32</v>
      </c>
      <c r="I407">
        <v>0</v>
      </c>
      <c r="J407">
        <v>311</v>
      </c>
      <c r="K407" s="1" t="s">
        <v>1021</v>
      </c>
    </row>
    <row r="408" spans="1:11" hidden="1">
      <c r="A408" s="17" t="s">
        <v>129</v>
      </c>
      <c r="B408" s="19" t="s">
        <v>1032</v>
      </c>
      <c r="C408" s="19" t="s">
        <v>1494</v>
      </c>
      <c r="D408" s="19" t="s">
        <v>1495</v>
      </c>
      <c r="E408" s="20" t="str">
        <f t="shared" si="10"/>
        <v>Tracking</v>
      </c>
      <c r="F408" s="19" t="s">
        <v>1494</v>
      </c>
      <c r="G408" s="19" t="s">
        <v>1496</v>
      </c>
      <c r="H408" s="19" t="s">
        <v>32</v>
      </c>
      <c r="I408">
        <v>0</v>
      </c>
      <c r="J408">
        <v>333</v>
      </c>
      <c r="K408" s="1" t="s">
        <v>1020</v>
      </c>
    </row>
    <row r="409" spans="1:11" hidden="1">
      <c r="A409" s="17" t="s">
        <v>129</v>
      </c>
      <c r="B409" s="19" t="s">
        <v>1032</v>
      </c>
      <c r="C409" s="19" t="s">
        <v>1497</v>
      </c>
      <c r="D409" s="19" t="s">
        <v>1498</v>
      </c>
      <c r="E409" s="20" t="str">
        <f t="shared" si="10"/>
        <v>Tracking</v>
      </c>
      <c r="F409" s="19" t="s">
        <v>1497</v>
      </c>
      <c r="G409" s="19" t="s">
        <v>1499</v>
      </c>
      <c r="H409" s="19" t="s">
        <v>32</v>
      </c>
      <c r="I409">
        <v>0</v>
      </c>
      <c r="J409">
        <v>2336</v>
      </c>
      <c r="K409" s="1" t="s">
        <v>1021</v>
      </c>
    </row>
    <row r="410" spans="1:11" hidden="1">
      <c r="A410" s="17" t="s">
        <v>129</v>
      </c>
      <c r="B410" s="19" t="s">
        <v>50</v>
      </c>
      <c r="C410" s="19" t="s">
        <v>1500</v>
      </c>
      <c r="D410" s="19" t="s">
        <v>1501</v>
      </c>
      <c r="E410" s="20" t="str">
        <f t="shared" si="10"/>
        <v>Standard</v>
      </c>
      <c r="F410" s="19" t="s">
        <v>1500</v>
      </c>
      <c r="G410" s="19" t="s">
        <v>1502</v>
      </c>
      <c r="H410" s="19" t="s">
        <v>32</v>
      </c>
      <c r="I410">
        <v>1934120</v>
      </c>
      <c r="J410">
        <v>14102</v>
      </c>
      <c r="K410" s="1" t="s">
        <v>1020</v>
      </c>
    </row>
    <row r="411" spans="1:11" hidden="1">
      <c r="A411" s="17" t="s">
        <v>129</v>
      </c>
      <c r="B411" s="19" t="s">
        <v>50</v>
      </c>
      <c r="C411" s="19" t="s">
        <v>1503</v>
      </c>
      <c r="D411" s="19" t="s">
        <v>1504</v>
      </c>
      <c r="E411" s="20" t="s">
        <v>12</v>
      </c>
      <c r="F411" s="19" t="s">
        <v>1505</v>
      </c>
      <c r="G411" s="19" t="s">
        <v>1506</v>
      </c>
      <c r="H411" s="19" t="s">
        <v>31</v>
      </c>
      <c r="I411">
        <v>5924</v>
      </c>
      <c r="J411">
        <v>19</v>
      </c>
      <c r="K411" s="1" t="s">
        <v>1021</v>
      </c>
    </row>
    <row r="412" spans="1:11" hidden="1">
      <c r="A412" s="17" t="s">
        <v>129</v>
      </c>
      <c r="B412" s="19" t="s">
        <v>50</v>
      </c>
      <c r="C412" s="19" t="s">
        <v>1507</v>
      </c>
      <c r="D412" s="19" t="s">
        <v>1508</v>
      </c>
      <c r="E412" s="20" t="s">
        <v>12</v>
      </c>
      <c r="F412" s="19" t="s">
        <v>1509</v>
      </c>
      <c r="G412" s="19" t="s">
        <v>1510</v>
      </c>
      <c r="H412" s="19" t="s">
        <v>31</v>
      </c>
      <c r="I412">
        <v>15678</v>
      </c>
      <c r="J412">
        <v>35</v>
      </c>
      <c r="K412" s="1" t="s">
        <v>1020</v>
      </c>
    </row>
    <row r="413" spans="1:11" hidden="1">
      <c r="A413" s="17" t="s">
        <v>129</v>
      </c>
      <c r="B413" s="19" t="s">
        <v>50</v>
      </c>
      <c r="C413" s="19" t="s">
        <v>2410</v>
      </c>
      <c r="D413" s="19" t="s">
        <v>2411</v>
      </c>
      <c r="E413" s="20" t="s">
        <v>12</v>
      </c>
      <c r="F413" s="19" t="s">
        <v>2412</v>
      </c>
      <c r="G413" s="19" t="s">
        <v>2413</v>
      </c>
      <c r="H413" s="19" t="s">
        <v>31</v>
      </c>
      <c r="I413">
        <v>8375</v>
      </c>
      <c r="J413">
        <v>35</v>
      </c>
      <c r="K413" s="1" t="s">
        <v>1021</v>
      </c>
    </row>
    <row r="414" spans="1:11" hidden="1">
      <c r="A414" s="17" t="s">
        <v>129</v>
      </c>
      <c r="B414" s="19" t="s">
        <v>50</v>
      </c>
      <c r="C414" s="19" t="s">
        <v>1511</v>
      </c>
      <c r="D414" s="19" t="s">
        <v>1512</v>
      </c>
      <c r="E414" s="20" t="s">
        <v>12</v>
      </c>
      <c r="F414" s="19" t="s">
        <v>2414</v>
      </c>
      <c r="G414" s="19" t="s">
        <v>2415</v>
      </c>
      <c r="H414" s="19" t="s">
        <v>31</v>
      </c>
      <c r="I414">
        <v>2480</v>
      </c>
      <c r="J414">
        <v>8</v>
      </c>
      <c r="K414" s="1" t="s">
        <v>1020</v>
      </c>
    </row>
    <row r="415" spans="1:11" hidden="1">
      <c r="A415" s="17" t="s">
        <v>129</v>
      </c>
      <c r="B415" s="19" t="s">
        <v>50</v>
      </c>
      <c r="C415" s="19" t="s">
        <v>1513</v>
      </c>
      <c r="D415" s="19" t="s">
        <v>1514</v>
      </c>
      <c r="E415" s="20" t="s">
        <v>12</v>
      </c>
      <c r="F415" s="19" t="s">
        <v>1515</v>
      </c>
      <c r="G415" s="19" t="s">
        <v>1516</v>
      </c>
      <c r="H415" s="19" t="s">
        <v>31</v>
      </c>
      <c r="I415">
        <v>7897</v>
      </c>
      <c r="J415">
        <v>18</v>
      </c>
      <c r="K415" s="1" t="s">
        <v>1021</v>
      </c>
    </row>
    <row r="416" spans="1:11" hidden="1">
      <c r="A416" s="17" t="s">
        <v>129</v>
      </c>
      <c r="B416" s="19" t="s">
        <v>50</v>
      </c>
      <c r="C416" s="19" t="s">
        <v>2416</v>
      </c>
      <c r="D416" s="19" t="s">
        <v>2417</v>
      </c>
      <c r="E416" s="20" t="s">
        <v>12</v>
      </c>
      <c r="F416" s="19" t="s">
        <v>2418</v>
      </c>
      <c r="G416" s="19" t="s">
        <v>2419</v>
      </c>
      <c r="H416" s="19" t="s">
        <v>31</v>
      </c>
      <c r="I416">
        <v>6749</v>
      </c>
      <c r="J416">
        <v>40</v>
      </c>
      <c r="K416" s="1" t="s">
        <v>1020</v>
      </c>
    </row>
    <row r="417" spans="1:11" hidden="1">
      <c r="A417" s="17" t="s">
        <v>129</v>
      </c>
      <c r="B417" s="19" t="s">
        <v>50</v>
      </c>
      <c r="C417" s="19" t="s">
        <v>1517</v>
      </c>
      <c r="D417" s="19" t="s">
        <v>1518</v>
      </c>
      <c r="E417" s="20" t="s">
        <v>12</v>
      </c>
      <c r="F417" s="19" t="s">
        <v>2420</v>
      </c>
      <c r="G417" s="19" t="s">
        <v>2421</v>
      </c>
      <c r="H417" s="19" t="s">
        <v>31</v>
      </c>
      <c r="I417">
        <v>12694</v>
      </c>
      <c r="J417">
        <v>49</v>
      </c>
      <c r="K417" s="1" t="s">
        <v>1020</v>
      </c>
    </row>
    <row r="418" spans="1:11" hidden="1">
      <c r="A418" s="17" t="s">
        <v>129</v>
      </c>
      <c r="B418" s="19" t="s">
        <v>50</v>
      </c>
      <c r="C418" s="19" t="s">
        <v>1519</v>
      </c>
      <c r="D418" s="19" t="s">
        <v>1520</v>
      </c>
      <c r="E418" s="20" t="s">
        <v>12</v>
      </c>
      <c r="F418" s="19" t="s">
        <v>1521</v>
      </c>
      <c r="G418" s="19" t="s">
        <v>1522</v>
      </c>
      <c r="H418" s="19" t="s">
        <v>31</v>
      </c>
      <c r="I418">
        <v>11753</v>
      </c>
      <c r="J418">
        <v>36</v>
      </c>
      <c r="K418" s="1" t="s">
        <v>1021</v>
      </c>
    </row>
    <row r="419" spans="1:11" hidden="1">
      <c r="A419" s="17" t="s">
        <v>129</v>
      </c>
      <c r="B419" s="19" t="s">
        <v>50</v>
      </c>
      <c r="C419" s="19" t="s">
        <v>2422</v>
      </c>
      <c r="D419" s="19" t="s">
        <v>2423</v>
      </c>
      <c r="E419" s="20" t="s">
        <v>12</v>
      </c>
      <c r="F419" s="19" t="s">
        <v>2424</v>
      </c>
      <c r="G419" s="19" t="s">
        <v>2425</v>
      </c>
      <c r="H419" s="19" t="s">
        <v>31</v>
      </c>
      <c r="I419">
        <v>34976</v>
      </c>
      <c r="J419">
        <v>156</v>
      </c>
      <c r="K419" s="1" t="s">
        <v>1020</v>
      </c>
    </row>
    <row r="420" spans="1:11" hidden="1">
      <c r="A420" s="17" t="s">
        <v>129</v>
      </c>
      <c r="B420" s="19" t="s">
        <v>50</v>
      </c>
      <c r="C420" s="19" t="s">
        <v>2426</v>
      </c>
      <c r="D420" s="19" t="s">
        <v>2427</v>
      </c>
      <c r="E420" s="20" t="s">
        <v>12</v>
      </c>
      <c r="F420" s="19" t="s">
        <v>2428</v>
      </c>
      <c r="G420" s="19" t="s">
        <v>2429</v>
      </c>
      <c r="H420" s="19" t="s">
        <v>31</v>
      </c>
      <c r="I420">
        <v>20269</v>
      </c>
      <c r="J420">
        <v>138</v>
      </c>
      <c r="K420" s="1" t="s">
        <v>1020</v>
      </c>
    </row>
    <row r="421" spans="1:11" hidden="1">
      <c r="A421" s="17" t="s">
        <v>129</v>
      </c>
      <c r="B421" s="19" t="s">
        <v>50</v>
      </c>
      <c r="C421" s="19" t="s">
        <v>1523</v>
      </c>
      <c r="D421" s="19" t="s">
        <v>1524</v>
      </c>
      <c r="E421" s="20" t="s">
        <v>12</v>
      </c>
      <c r="F421" s="19" t="s">
        <v>2430</v>
      </c>
      <c r="G421" s="19" t="s">
        <v>2431</v>
      </c>
      <c r="H421" s="19" t="s">
        <v>31</v>
      </c>
      <c r="I421">
        <v>7281</v>
      </c>
      <c r="J421">
        <v>29</v>
      </c>
      <c r="K421" s="1" t="s">
        <v>1021</v>
      </c>
    </row>
    <row r="422" spans="1:11" hidden="1">
      <c r="A422" s="17" t="s">
        <v>129</v>
      </c>
      <c r="B422" s="19" t="s">
        <v>50</v>
      </c>
      <c r="C422" s="19" t="s">
        <v>1525</v>
      </c>
      <c r="D422" s="19" t="s">
        <v>1526</v>
      </c>
      <c r="E422" s="20" t="s">
        <v>12</v>
      </c>
      <c r="F422" s="19" t="s">
        <v>1527</v>
      </c>
      <c r="G422" s="19" t="s">
        <v>1528</v>
      </c>
      <c r="H422" s="19" t="s">
        <v>31</v>
      </c>
      <c r="I422">
        <v>23290</v>
      </c>
      <c r="J422">
        <v>114</v>
      </c>
      <c r="K422" s="1" t="s">
        <v>1020</v>
      </c>
    </row>
    <row r="423" spans="1:11" hidden="1">
      <c r="A423" s="17" t="s">
        <v>129</v>
      </c>
      <c r="B423" s="19" t="s">
        <v>50</v>
      </c>
      <c r="C423" s="19" t="s">
        <v>2432</v>
      </c>
      <c r="D423" s="19" t="s">
        <v>2433</v>
      </c>
      <c r="E423" s="20" t="s">
        <v>12</v>
      </c>
      <c r="F423" s="19" t="s">
        <v>2434</v>
      </c>
      <c r="G423" s="19" t="s">
        <v>2435</v>
      </c>
      <c r="H423" s="19" t="s">
        <v>31</v>
      </c>
      <c r="I423">
        <v>19598</v>
      </c>
      <c r="J423">
        <v>118</v>
      </c>
      <c r="K423" s="1" t="s">
        <v>1021</v>
      </c>
    </row>
    <row r="424" spans="1:11" hidden="1">
      <c r="A424" s="17" t="s">
        <v>129</v>
      </c>
      <c r="B424" s="19" t="s">
        <v>50</v>
      </c>
      <c r="C424" s="19" t="s">
        <v>1529</v>
      </c>
      <c r="D424" s="19" t="s">
        <v>1530</v>
      </c>
      <c r="E424" s="20" t="s">
        <v>12</v>
      </c>
      <c r="F424" s="19" t="s">
        <v>2436</v>
      </c>
      <c r="G424" s="19" t="s">
        <v>2437</v>
      </c>
      <c r="H424" s="19" t="s">
        <v>31</v>
      </c>
      <c r="I424">
        <v>28322</v>
      </c>
      <c r="J424">
        <v>133</v>
      </c>
      <c r="K424" s="1" t="s">
        <v>1020</v>
      </c>
    </row>
    <row r="425" spans="1:11">
      <c r="A425" s="17" t="s">
        <v>129</v>
      </c>
      <c r="B425" s="19" t="s">
        <v>50</v>
      </c>
      <c r="C425" s="19" t="s">
        <v>130</v>
      </c>
      <c r="D425" s="19" t="s">
        <v>131</v>
      </c>
      <c r="E425" s="20" t="s">
        <v>12</v>
      </c>
      <c r="F425" s="19" t="s">
        <v>130</v>
      </c>
      <c r="G425" s="19" t="s">
        <v>132</v>
      </c>
      <c r="H425" s="19" t="s">
        <v>30</v>
      </c>
      <c r="I425">
        <v>1</v>
      </c>
      <c r="J425">
        <v>1</v>
      </c>
      <c r="K425" s="1" t="s">
        <v>1021</v>
      </c>
    </row>
    <row r="426" spans="1:11" hidden="1">
      <c r="A426" s="17" t="s">
        <v>129</v>
      </c>
      <c r="B426" s="19" t="s">
        <v>50</v>
      </c>
      <c r="C426" s="19" t="s">
        <v>1531</v>
      </c>
      <c r="D426" s="19" t="s">
        <v>1532</v>
      </c>
      <c r="E426" s="20" t="s">
        <v>12</v>
      </c>
      <c r="F426" s="19" t="s">
        <v>2438</v>
      </c>
      <c r="G426" s="19" t="s">
        <v>2439</v>
      </c>
      <c r="H426" s="19" t="s">
        <v>31</v>
      </c>
      <c r="I426">
        <v>1691</v>
      </c>
      <c r="J426">
        <v>4</v>
      </c>
      <c r="K426" s="1" t="s">
        <v>1020</v>
      </c>
    </row>
    <row r="427" spans="1:11" hidden="1">
      <c r="A427" s="17" t="s">
        <v>129</v>
      </c>
      <c r="B427" s="19" t="s">
        <v>50</v>
      </c>
      <c r="C427" s="19" t="s">
        <v>1533</v>
      </c>
      <c r="D427" s="19" t="s">
        <v>1534</v>
      </c>
      <c r="E427" s="20" t="s">
        <v>12</v>
      </c>
      <c r="F427" s="19" t="s">
        <v>2440</v>
      </c>
      <c r="G427" s="19" t="s">
        <v>2441</v>
      </c>
      <c r="H427" s="19" t="s">
        <v>31</v>
      </c>
      <c r="I427">
        <v>2949</v>
      </c>
      <c r="J427">
        <v>9</v>
      </c>
      <c r="K427" s="1" t="s">
        <v>1021</v>
      </c>
    </row>
    <row r="428" spans="1:11" hidden="1">
      <c r="A428" s="17" t="s">
        <v>129</v>
      </c>
      <c r="B428" s="19" t="s">
        <v>50</v>
      </c>
      <c r="C428" s="19" t="s">
        <v>2442</v>
      </c>
      <c r="D428" s="19" t="s">
        <v>2443</v>
      </c>
      <c r="E428" s="20" t="s">
        <v>12</v>
      </c>
      <c r="F428" s="19" t="s">
        <v>2444</v>
      </c>
      <c r="G428" s="19" t="s">
        <v>2445</v>
      </c>
      <c r="H428" s="19" t="s">
        <v>31</v>
      </c>
      <c r="I428">
        <v>4755</v>
      </c>
      <c r="J428">
        <v>13</v>
      </c>
      <c r="K428" s="1" t="s">
        <v>1020</v>
      </c>
    </row>
    <row r="429" spans="1:11" hidden="1">
      <c r="A429" s="17" t="s">
        <v>129</v>
      </c>
      <c r="B429" s="19" t="s">
        <v>50</v>
      </c>
      <c r="C429" s="19" t="s">
        <v>2446</v>
      </c>
      <c r="D429" s="19" t="s">
        <v>2447</v>
      </c>
      <c r="E429" s="20" t="s">
        <v>12</v>
      </c>
      <c r="F429" s="19" t="s">
        <v>2448</v>
      </c>
      <c r="G429" s="19" t="s">
        <v>2449</v>
      </c>
      <c r="H429" s="19" t="s">
        <v>31</v>
      </c>
      <c r="I429">
        <v>7421</v>
      </c>
      <c r="J429">
        <v>52</v>
      </c>
      <c r="K429" s="1" t="s">
        <v>1020</v>
      </c>
    </row>
    <row r="430" spans="1:11" hidden="1">
      <c r="A430" s="17" t="s">
        <v>129</v>
      </c>
      <c r="B430" s="19" t="s">
        <v>50</v>
      </c>
      <c r="C430" s="19" t="s">
        <v>2450</v>
      </c>
      <c r="D430" s="19" t="s">
        <v>2451</v>
      </c>
      <c r="E430" s="20" t="s">
        <v>12</v>
      </c>
      <c r="F430" s="19" t="s">
        <v>2452</v>
      </c>
      <c r="G430" s="19" t="s">
        <v>2453</v>
      </c>
      <c r="H430" s="19" t="s">
        <v>31</v>
      </c>
      <c r="I430">
        <v>2550</v>
      </c>
      <c r="J430">
        <v>17</v>
      </c>
      <c r="K430" s="1" t="s">
        <v>1021</v>
      </c>
    </row>
    <row r="431" spans="1:11" hidden="1">
      <c r="A431" s="17" t="s">
        <v>129</v>
      </c>
      <c r="B431" s="19" t="s">
        <v>50</v>
      </c>
      <c r="C431" s="19" t="s">
        <v>1535</v>
      </c>
      <c r="D431" s="19" t="s">
        <v>1536</v>
      </c>
      <c r="E431" s="20" t="s">
        <v>12</v>
      </c>
      <c r="F431" s="19" t="s">
        <v>1537</v>
      </c>
      <c r="G431" s="19" t="s">
        <v>1538</v>
      </c>
      <c r="H431" s="19" t="s">
        <v>31</v>
      </c>
      <c r="I431">
        <v>3822</v>
      </c>
      <c r="J431">
        <v>21</v>
      </c>
      <c r="K431" s="1" t="s">
        <v>1020</v>
      </c>
    </row>
    <row r="432" spans="1:11" hidden="1">
      <c r="A432" s="17" t="s">
        <v>129</v>
      </c>
      <c r="B432" s="19" t="s">
        <v>50</v>
      </c>
      <c r="C432" s="19" t="s">
        <v>1539</v>
      </c>
      <c r="D432" s="19" t="s">
        <v>1540</v>
      </c>
      <c r="E432" s="20" t="s">
        <v>12</v>
      </c>
      <c r="F432" s="19" t="s">
        <v>2454</v>
      </c>
      <c r="G432" s="19" t="s">
        <v>2455</v>
      </c>
      <c r="H432" s="19" t="s">
        <v>31</v>
      </c>
      <c r="I432">
        <v>718</v>
      </c>
      <c r="J432">
        <v>1</v>
      </c>
      <c r="K432" s="1" t="s">
        <v>1021</v>
      </c>
    </row>
    <row r="433" spans="1:11" hidden="1">
      <c r="A433" s="17" t="s">
        <v>129</v>
      </c>
      <c r="B433" s="19" t="s">
        <v>50</v>
      </c>
      <c r="C433" s="19" t="s">
        <v>1541</v>
      </c>
      <c r="D433" s="19" t="s">
        <v>1542</v>
      </c>
      <c r="E433" s="20" t="s">
        <v>12</v>
      </c>
      <c r="F433" s="19" t="s">
        <v>1543</v>
      </c>
      <c r="G433" s="19" t="s">
        <v>1544</v>
      </c>
      <c r="H433" s="19" t="s">
        <v>31</v>
      </c>
      <c r="I433">
        <v>1240</v>
      </c>
      <c r="J433">
        <v>9</v>
      </c>
      <c r="K433" s="1" t="s">
        <v>1020</v>
      </c>
    </row>
    <row r="434" spans="1:11" hidden="1">
      <c r="A434" s="17" t="s">
        <v>129</v>
      </c>
      <c r="B434" s="19" t="s">
        <v>50</v>
      </c>
      <c r="C434" s="19" t="s">
        <v>1545</v>
      </c>
      <c r="D434" s="19" t="s">
        <v>1546</v>
      </c>
      <c r="E434" s="20" t="s">
        <v>12</v>
      </c>
      <c r="F434" s="19" t="s">
        <v>2456</v>
      </c>
      <c r="G434" s="19" t="s">
        <v>2457</v>
      </c>
      <c r="H434" s="19" t="s">
        <v>31</v>
      </c>
      <c r="I434">
        <v>2908</v>
      </c>
      <c r="J434">
        <v>10</v>
      </c>
      <c r="K434" s="1" t="s">
        <v>1021</v>
      </c>
    </row>
    <row r="435" spans="1:11" hidden="1">
      <c r="A435" s="17" t="s">
        <v>129</v>
      </c>
      <c r="B435" s="19" t="s">
        <v>50</v>
      </c>
      <c r="C435" s="19" t="s">
        <v>1547</v>
      </c>
      <c r="D435" s="19" t="s">
        <v>1548</v>
      </c>
      <c r="E435" s="20" t="s">
        <v>12</v>
      </c>
      <c r="F435" s="19" t="s">
        <v>2458</v>
      </c>
      <c r="G435" s="19" t="s">
        <v>2459</v>
      </c>
      <c r="H435" s="19" t="s">
        <v>31</v>
      </c>
      <c r="I435">
        <v>4356</v>
      </c>
      <c r="J435">
        <v>24</v>
      </c>
      <c r="K435" s="1" t="s">
        <v>1020</v>
      </c>
    </row>
    <row r="436" spans="1:11" hidden="1">
      <c r="A436" s="17" t="s">
        <v>129</v>
      </c>
      <c r="B436" s="19" t="s">
        <v>50</v>
      </c>
      <c r="C436" s="19" t="s">
        <v>2460</v>
      </c>
      <c r="D436" s="19" t="s">
        <v>2461</v>
      </c>
      <c r="E436" s="20" t="s">
        <v>12</v>
      </c>
      <c r="F436" s="19" t="s">
        <v>2462</v>
      </c>
      <c r="G436" s="19" t="s">
        <v>2463</v>
      </c>
      <c r="H436" s="19" t="s">
        <v>31</v>
      </c>
      <c r="I436">
        <v>2501</v>
      </c>
      <c r="J436">
        <v>13</v>
      </c>
      <c r="K436" s="1" t="s">
        <v>1021</v>
      </c>
    </row>
    <row r="437" spans="1:11" hidden="1">
      <c r="A437" s="17" t="s">
        <v>129</v>
      </c>
      <c r="B437" s="19" t="s">
        <v>50</v>
      </c>
      <c r="C437" s="19" t="s">
        <v>2464</v>
      </c>
      <c r="D437" s="19" t="s">
        <v>2465</v>
      </c>
      <c r="E437" s="20" t="s">
        <v>12</v>
      </c>
      <c r="F437" s="19" t="s">
        <v>2466</v>
      </c>
      <c r="G437" s="19" t="s">
        <v>2467</v>
      </c>
      <c r="H437" s="19" t="s">
        <v>31</v>
      </c>
      <c r="I437">
        <v>3654</v>
      </c>
      <c r="J437">
        <v>42</v>
      </c>
      <c r="K437" s="1" t="s">
        <v>1020</v>
      </c>
    </row>
    <row r="438" spans="1:11" hidden="1">
      <c r="A438" s="17" t="s">
        <v>129</v>
      </c>
      <c r="B438" s="19" t="s">
        <v>50</v>
      </c>
      <c r="C438" s="19" t="s">
        <v>1549</v>
      </c>
      <c r="D438" s="19" t="s">
        <v>1550</v>
      </c>
      <c r="E438" s="20" t="s">
        <v>12</v>
      </c>
      <c r="F438" s="19" t="s">
        <v>1551</v>
      </c>
      <c r="G438" s="19" t="s">
        <v>1552</v>
      </c>
      <c r="H438" s="19" t="s">
        <v>31</v>
      </c>
      <c r="I438">
        <v>3499</v>
      </c>
      <c r="J438">
        <v>6</v>
      </c>
      <c r="K438" s="1" t="s">
        <v>1021</v>
      </c>
    </row>
    <row r="439" spans="1:11" hidden="1">
      <c r="A439" s="17" t="s">
        <v>129</v>
      </c>
      <c r="B439" s="19" t="s">
        <v>50</v>
      </c>
      <c r="C439" s="19" t="s">
        <v>1553</v>
      </c>
      <c r="D439" s="19" t="s">
        <v>1554</v>
      </c>
      <c r="E439" s="20" t="s">
        <v>12</v>
      </c>
      <c r="F439" s="19" t="s">
        <v>1555</v>
      </c>
      <c r="G439" s="19" t="s">
        <v>1556</v>
      </c>
      <c r="H439" s="19" t="s">
        <v>31</v>
      </c>
      <c r="I439">
        <v>6623</v>
      </c>
      <c r="J439">
        <v>42</v>
      </c>
      <c r="K439" s="1" t="s">
        <v>1021</v>
      </c>
    </row>
    <row r="440" spans="1:11" hidden="1">
      <c r="A440" s="17" t="s">
        <v>129</v>
      </c>
      <c r="B440" s="19" t="s">
        <v>1557</v>
      </c>
      <c r="C440" s="19" t="s">
        <v>1558</v>
      </c>
      <c r="D440" s="19" t="s">
        <v>1559</v>
      </c>
      <c r="E440" s="20" t="str">
        <f t="shared" ref="E440:E503" si="11">IF(I440&gt;J440,"Standard","Tracking")</f>
        <v>Tracking</v>
      </c>
      <c r="F440" s="19" t="s">
        <v>1558</v>
      </c>
      <c r="G440" s="19" t="s">
        <v>1560</v>
      </c>
      <c r="H440" s="19" t="s">
        <v>32</v>
      </c>
      <c r="I440">
        <v>0</v>
      </c>
      <c r="J440">
        <v>43</v>
      </c>
      <c r="K440" s="1" t="s">
        <v>1021</v>
      </c>
    </row>
    <row r="441" spans="1:11" hidden="1">
      <c r="A441" s="17" t="s">
        <v>129</v>
      </c>
      <c r="B441" s="19" t="s">
        <v>1557</v>
      </c>
      <c r="C441" s="19" t="s">
        <v>1561</v>
      </c>
      <c r="D441" s="19" t="s">
        <v>1562</v>
      </c>
      <c r="E441" s="20" t="str">
        <f t="shared" si="11"/>
        <v>Tracking</v>
      </c>
      <c r="F441" s="19" t="s">
        <v>1561</v>
      </c>
      <c r="G441" s="19" t="s">
        <v>1563</v>
      </c>
      <c r="H441" s="19" t="s">
        <v>32</v>
      </c>
      <c r="I441">
        <v>0</v>
      </c>
      <c r="J441">
        <v>696</v>
      </c>
      <c r="K441" s="1" t="s">
        <v>1021</v>
      </c>
    </row>
    <row r="442" spans="1:11" hidden="1">
      <c r="A442" s="17" t="s">
        <v>129</v>
      </c>
      <c r="B442" s="19" t="s">
        <v>1557</v>
      </c>
      <c r="C442" s="19" t="s">
        <v>1564</v>
      </c>
      <c r="D442" s="19" t="s">
        <v>1565</v>
      </c>
      <c r="E442" s="20" t="str">
        <f t="shared" si="11"/>
        <v>Tracking</v>
      </c>
      <c r="F442" s="19" t="s">
        <v>1564</v>
      </c>
      <c r="G442" s="19" t="s">
        <v>1566</v>
      </c>
      <c r="H442" s="19" t="s">
        <v>32</v>
      </c>
      <c r="I442">
        <v>0</v>
      </c>
      <c r="J442">
        <v>590</v>
      </c>
      <c r="K442" s="1" t="s">
        <v>1021</v>
      </c>
    </row>
    <row r="443" spans="1:11" hidden="1">
      <c r="A443" s="17" t="s">
        <v>129</v>
      </c>
      <c r="B443" s="19" t="s">
        <v>1557</v>
      </c>
      <c r="C443" s="19" t="s">
        <v>1567</v>
      </c>
      <c r="D443" s="19" t="s">
        <v>1568</v>
      </c>
      <c r="E443" s="20" t="str">
        <f t="shared" si="11"/>
        <v>Tracking</v>
      </c>
      <c r="F443" s="19" t="s">
        <v>1567</v>
      </c>
      <c r="G443" s="19" t="s">
        <v>1569</v>
      </c>
      <c r="H443" s="19" t="s">
        <v>32</v>
      </c>
      <c r="I443">
        <v>0</v>
      </c>
      <c r="J443">
        <v>28689</v>
      </c>
      <c r="K443" s="1" t="s">
        <v>1020</v>
      </c>
    </row>
    <row r="444" spans="1:11" hidden="1">
      <c r="A444" s="17" t="s">
        <v>129</v>
      </c>
      <c r="B444" s="19" t="s">
        <v>1557</v>
      </c>
      <c r="C444" s="19" t="s">
        <v>1570</v>
      </c>
      <c r="D444" s="19" t="s">
        <v>1571</v>
      </c>
      <c r="E444" s="20" t="str">
        <f t="shared" si="11"/>
        <v>Tracking</v>
      </c>
      <c r="F444" s="19" t="s">
        <v>1570</v>
      </c>
      <c r="G444" s="19" t="s">
        <v>1572</v>
      </c>
      <c r="H444" s="19" t="s">
        <v>32</v>
      </c>
      <c r="I444">
        <v>0</v>
      </c>
      <c r="J444">
        <v>772</v>
      </c>
      <c r="K444" s="1" t="s">
        <v>1021</v>
      </c>
    </row>
    <row r="445" spans="1:11" hidden="1">
      <c r="A445" s="17" t="s">
        <v>129</v>
      </c>
      <c r="B445" s="19" t="s">
        <v>1557</v>
      </c>
      <c r="C445" s="19" t="s">
        <v>1573</v>
      </c>
      <c r="D445" s="19" t="s">
        <v>1574</v>
      </c>
      <c r="E445" s="20" t="str">
        <f t="shared" si="11"/>
        <v>Tracking</v>
      </c>
      <c r="F445" s="19" t="s">
        <v>1573</v>
      </c>
      <c r="G445" s="19" t="s">
        <v>1575</v>
      </c>
      <c r="H445" s="19" t="s">
        <v>32</v>
      </c>
      <c r="I445">
        <v>0</v>
      </c>
      <c r="J445">
        <v>401</v>
      </c>
      <c r="K445" s="1" t="s">
        <v>1021</v>
      </c>
    </row>
    <row r="446" spans="1:11" hidden="1">
      <c r="A446" s="17" t="s">
        <v>129</v>
      </c>
      <c r="B446" s="19" t="s">
        <v>1557</v>
      </c>
      <c r="C446" s="19" t="s">
        <v>1576</v>
      </c>
      <c r="D446" s="19" t="s">
        <v>1577</v>
      </c>
      <c r="E446" s="20" t="str">
        <f t="shared" si="11"/>
        <v>Tracking</v>
      </c>
      <c r="F446" s="19" t="s">
        <v>1576</v>
      </c>
      <c r="G446" s="19" t="s">
        <v>1578</v>
      </c>
      <c r="H446" s="19" t="s">
        <v>32</v>
      </c>
      <c r="I446">
        <v>0</v>
      </c>
      <c r="J446">
        <v>192</v>
      </c>
      <c r="K446" s="1" t="s">
        <v>1020</v>
      </c>
    </row>
    <row r="447" spans="1:11" hidden="1">
      <c r="A447" s="17" t="s">
        <v>129</v>
      </c>
      <c r="B447" s="19" t="s">
        <v>1557</v>
      </c>
      <c r="C447" s="19" t="s">
        <v>1579</v>
      </c>
      <c r="D447" s="19" t="s">
        <v>1580</v>
      </c>
      <c r="E447" s="20" t="str">
        <f t="shared" si="11"/>
        <v>Tracking</v>
      </c>
      <c r="F447" s="19" t="s">
        <v>1579</v>
      </c>
      <c r="G447" s="19" t="s">
        <v>1581</v>
      </c>
      <c r="H447" s="19" t="s">
        <v>32</v>
      </c>
      <c r="I447">
        <v>0</v>
      </c>
      <c r="J447">
        <v>526</v>
      </c>
      <c r="K447" s="1" t="s">
        <v>1021</v>
      </c>
    </row>
    <row r="448" spans="1:11" hidden="1">
      <c r="A448" s="17" t="s">
        <v>129</v>
      </c>
      <c r="B448" s="19" t="s">
        <v>1557</v>
      </c>
      <c r="C448" s="19" t="s">
        <v>1582</v>
      </c>
      <c r="D448" s="19" t="s">
        <v>1583</v>
      </c>
      <c r="E448" s="20" t="str">
        <f t="shared" si="11"/>
        <v>Tracking</v>
      </c>
      <c r="F448" s="19" t="s">
        <v>1582</v>
      </c>
      <c r="G448" s="19" t="s">
        <v>1584</v>
      </c>
      <c r="H448" s="19" t="s">
        <v>32</v>
      </c>
      <c r="I448">
        <v>0</v>
      </c>
      <c r="J448">
        <v>498</v>
      </c>
      <c r="K448" s="1" t="s">
        <v>1020</v>
      </c>
    </row>
    <row r="449" spans="1:11" hidden="1">
      <c r="A449" s="17" t="s">
        <v>129</v>
      </c>
      <c r="B449" s="19" t="s">
        <v>1557</v>
      </c>
      <c r="C449" s="19" t="s">
        <v>1585</v>
      </c>
      <c r="D449" s="19" t="s">
        <v>1586</v>
      </c>
      <c r="E449" s="20" t="str">
        <f t="shared" si="11"/>
        <v>Tracking</v>
      </c>
      <c r="F449" s="19" t="s">
        <v>1585</v>
      </c>
      <c r="G449" s="19" t="s">
        <v>1587</v>
      </c>
      <c r="H449" s="19" t="s">
        <v>32</v>
      </c>
      <c r="I449">
        <v>0</v>
      </c>
      <c r="J449">
        <v>461</v>
      </c>
      <c r="K449" s="1" t="s">
        <v>1021</v>
      </c>
    </row>
    <row r="450" spans="1:11" hidden="1">
      <c r="A450" s="17" t="s">
        <v>129</v>
      </c>
      <c r="B450" s="19" t="s">
        <v>118</v>
      </c>
      <c r="C450" s="19" t="s">
        <v>1588</v>
      </c>
      <c r="D450" s="19" t="s">
        <v>1589</v>
      </c>
      <c r="E450" s="20" t="str">
        <f t="shared" si="11"/>
        <v>Tracking</v>
      </c>
      <c r="F450" s="19" t="s">
        <v>1588</v>
      </c>
      <c r="G450" s="19" t="s">
        <v>1590</v>
      </c>
      <c r="H450" s="19" t="s">
        <v>32</v>
      </c>
      <c r="I450">
        <v>0</v>
      </c>
      <c r="J450">
        <v>76</v>
      </c>
      <c r="K450" s="1" t="s">
        <v>1020</v>
      </c>
    </row>
    <row r="451" spans="1:11" hidden="1">
      <c r="A451" s="17" t="s">
        <v>129</v>
      </c>
      <c r="B451" s="19" t="s">
        <v>118</v>
      </c>
      <c r="C451" s="19" t="s">
        <v>1591</v>
      </c>
      <c r="D451" s="19" t="s">
        <v>1592</v>
      </c>
      <c r="E451" s="20" t="str">
        <f t="shared" si="11"/>
        <v>Tracking</v>
      </c>
      <c r="F451" s="19" t="s">
        <v>1591</v>
      </c>
      <c r="G451" s="19" t="s">
        <v>1593</v>
      </c>
      <c r="H451" s="19" t="s">
        <v>32</v>
      </c>
      <c r="I451">
        <v>0</v>
      </c>
      <c r="J451">
        <v>141</v>
      </c>
      <c r="K451" s="1" t="s">
        <v>1021</v>
      </c>
    </row>
    <row r="452" spans="1:11" hidden="1">
      <c r="A452" s="17" t="s">
        <v>129</v>
      </c>
      <c r="B452" s="19" t="s">
        <v>118</v>
      </c>
      <c r="C452" s="19" t="s">
        <v>1594</v>
      </c>
      <c r="D452" s="19" t="s">
        <v>1595</v>
      </c>
      <c r="E452" s="20" t="str">
        <f t="shared" si="11"/>
        <v>Tracking</v>
      </c>
      <c r="F452" s="19" t="s">
        <v>1594</v>
      </c>
      <c r="G452" s="19" t="s">
        <v>1596</v>
      </c>
      <c r="H452" s="19" t="s">
        <v>32</v>
      </c>
      <c r="I452">
        <v>0</v>
      </c>
      <c r="J452">
        <v>286</v>
      </c>
      <c r="K452" s="1" t="s">
        <v>1020</v>
      </c>
    </row>
    <row r="453" spans="1:11" hidden="1">
      <c r="A453" s="17" t="s">
        <v>129</v>
      </c>
      <c r="B453" s="19" t="s">
        <v>118</v>
      </c>
      <c r="C453" s="19" t="s">
        <v>1597</v>
      </c>
      <c r="D453" s="19" t="s">
        <v>1598</v>
      </c>
      <c r="E453" s="20" t="str">
        <f t="shared" si="11"/>
        <v>Tracking</v>
      </c>
      <c r="F453" s="19" t="s">
        <v>1597</v>
      </c>
      <c r="G453" s="19" t="s">
        <v>1599</v>
      </c>
      <c r="H453" s="19" t="s">
        <v>32</v>
      </c>
      <c r="I453">
        <v>0</v>
      </c>
      <c r="J453">
        <v>1</v>
      </c>
      <c r="K453" s="1" t="s">
        <v>1021</v>
      </c>
    </row>
    <row r="454" spans="1:11" hidden="1">
      <c r="A454" s="17" t="s">
        <v>129</v>
      </c>
      <c r="B454" s="19" t="s">
        <v>118</v>
      </c>
      <c r="C454" s="19" t="s">
        <v>1600</v>
      </c>
      <c r="D454" s="19" t="s">
        <v>1601</v>
      </c>
      <c r="E454" s="20" t="str">
        <f t="shared" si="11"/>
        <v>Tracking</v>
      </c>
      <c r="F454" s="19" t="s">
        <v>1600</v>
      </c>
      <c r="G454" s="19" t="s">
        <v>1602</v>
      </c>
      <c r="H454" s="19" t="s">
        <v>32</v>
      </c>
      <c r="I454">
        <v>0</v>
      </c>
      <c r="J454">
        <v>321</v>
      </c>
      <c r="K454" s="1" t="s">
        <v>1020</v>
      </c>
    </row>
    <row r="455" spans="1:11" hidden="1">
      <c r="A455" s="17" t="s">
        <v>129</v>
      </c>
      <c r="B455" s="19" t="s">
        <v>118</v>
      </c>
      <c r="C455" s="19" t="s">
        <v>1603</v>
      </c>
      <c r="D455" s="19" t="s">
        <v>1604</v>
      </c>
      <c r="E455" s="20" t="str">
        <f t="shared" si="11"/>
        <v>Tracking</v>
      </c>
      <c r="F455" s="19" t="s">
        <v>1603</v>
      </c>
      <c r="G455" s="19" t="s">
        <v>1605</v>
      </c>
      <c r="H455" s="19" t="s">
        <v>32</v>
      </c>
      <c r="I455">
        <v>0</v>
      </c>
      <c r="J455">
        <v>1</v>
      </c>
      <c r="K455" s="1" t="s">
        <v>1021</v>
      </c>
    </row>
    <row r="456" spans="1:11" hidden="1">
      <c r="A456" s="17" t="s">
        <v>129</v>
      </c>
      <c r="B456" s="19" t="s">
        <v>118</v>
      </c>
      <c r="C456" s="19" t="s">
        <v>1606</v>
      </c>
      <c r="D456" s="19" t="s">
        <v>1607</v>
      </c>
      <c r="E456" s="20" t="str">
        <f t="shared" si="11"/>
        <v>Tracking</v>
      </c>
      <c r="F456" s="19" t="s">
        <v>1606</v>
      </c>
      <c r="G456" s="19" t="s">
        <v>1608</v>
      </c>
      <c r="H456" s="19" t="s">
        <v>32</v>
      </c>
      <c r="I456">
        <v>0</v>
      </c>
      <c r="J456">
        <v>120</v>
      </c>
      <c r="K456" s="1" t="s">
        <v>1020</v>
      </c>
    </row>
    <row r="457" spans="1:11" hidden="1">
      <c r="A457" s="17" t="s">
        <v>129</v>
      </c>
      <c r="B457" s="19" t="s">
        <v>118</v>
      </c>
      <c r="C457" s="19" t="s">
        <v>1609</v>
      </c>
      <c r="D457" s="19" t="s">
        <v>1610</v>
      </c>
      <c r="E457" s="20" t="str">
        <f t="shared" si="11"/>
        <v>Tracking</v>
      </c>
      <c r="F457" s="19" t="s">
        <v>1609</v>
      </c>
      <c r="G457" s="19" t="s">
        <v>1611</v>
      </c>
      <c r="H457" s="19" t="s">
        <v>32</v>
      </c>
      <c r="I457">
        <v>0</v>
      </c>
      <c r="J457">
        <v>176</v>
      </c>
      <c r="K457" s="1" t="s">
        <v>1021</v>
      </c>
    </row>
    <row r="458" spans="1:11" hidden="1">
      <c r="A458" s="17" t="s">
        <v>129</v>
      </c>
      <c r="B458" s="19" t="s">
        <v>118</v>
      </c>
      <c r="C458" s="19" t="s">
        <v>1612</v>
      </c>
      <c r="D458" s="19" t="s">
        <v>1613</v>
      </c>
      <c r="E458" s="20" t="str">
        <f t="shared" si="11"/>
        <v>Tracking</v>
      </c>
      <c r="F458" s="19" t="s">
        <v>1612</v>
      </c>
      <c r="G458" s="19" t="s">
        <v>1614</v>
      </c>
      <c r="H458" s="19" t="s">
        <v>32</v>
      </c>
      <c r="I458">
        <v>0</v>
      </c>
      <c r="J458">
        <v>310</v>
      </c>
      <c r="K458" s="1" t="s">
        <v>1020</v>
      </c>
    </row>
    <row r="459" spans="1:11" hidden="1">
      <c r="A459" s="17" t="s">
        <v>129</v>
      </c>
      <c r="B459" s="19" t="s">
        <v>118</v>
      </c>
      <c r="C459" s="19" t="s">
        <v>1615</v>
      </c>
      <c r="D459" s="19" t="s">
        <v>1616</v>
      </c>
      <c r="E459" s="20" t="str">
        <f t="shared" si="11"/>
        <v>Tracking</v>
      </c>
      <c r="F459" s="19" t="s">
        <v>1615</v>
      </c>
      <c r="G459" s="19" t="s">
        <v>1617</v>
      </c>
      <c r="H459" s="19" t="s">
        <v>32</v>
      </c>
      <c r="I459">
        <v>0</v>
      </c>
      <c r="J459">
        <v>269</v>
      </c>
      <c r="K459" s="1" t="s">
        <v>1021</v>
      </c>
    </row>
    <row r="460" spans="1:11" hidden="1">
      <c r="A460" s="17" t="s">
        <v>129</v>
      </c>
      <c r="B460" s="19" t="s">
        <v>118</v>
      </c>
      <c r="C460" s="19" t="s">
        <v>1618</v>
      </c>
      <c r="D460" s="19" t="s">
        <v>1619</v>
      </c>
      <c r="E460" s="20" t="str">
        <f t="shared" si="11"/>
        <v>Tracking</v>
      </c>
      <c r="F460" s="19" t="s">
        <v>1618</v>
      </c>
      <c r="G460" s="19" t="s">
        <v>1620</v>
      </c>
      <c r="H460" s="19" t="s">
        <v>32</v>
      </c>
      <c r="I460">
        <v>0</v>
      </c>
      <c r="J460">
        <v>344</v>
      </c>
      <c r="K460" s="1" t="s">
        <v>1020</v>
      </c>
    </row>
    <row r="461" spans="1:11" hidden="1">
      <c r="A461" s="17" t="s">
        <v>129</v>
      </c>
      <c r="B461" s="19" t="s">
        <v>118</v>
      </c>
      <c r="C461" s="19" t="s">
        <v>1621</v>
      </c>
      <c r="D461" s="19" t="s">
        <v>1622</v>
      </c>
      <c r="E461" s="20" t="str">
        <f t="shared" si="11"/>
        <v>Tracking</v>
      </c>
      <c r="F461" s="19" t="s">
        <v>1621</v>
      </c>
      <c r="G461" s="19" t="s">
        <v>1623</v>
      </c>
      <c r="H461" s="19" t="s">
        <v>32</v>
      </c>
      <c r="I461">
        <v>0</v>
      </c>
      <c r="J461">
        <v>192</v>
      </c>
      <c r="K461" s="1" t="s">
        <v>1021</v>
      </c>
    </row>
    <row r="462" spans="1:11" hidden="1">
      <c r="A462" s="17" t="s">
        <v>129</v>
      </c>
      <c r="B462" s="19" t="s">
        <v>118</v>
      </c>
      <c r="C462" s="19" t="s">
        <v>1624</v>
      </c>
      <c r="D462" s="19" t="s">
        <v>1625</v>
      </c>
      <c r="E462" s="20" t="str">
        <f t="shared" si="11"/>
        <v>Tracking</v>
      </c>
      <c r="F462" s="19" t="s">
        <v>1624</v>
      </c>
      <c r="G462" s="19" t="s">
        <v>1626</v>
      </c>
      <c r="H462" s="19" t="s">
        <v>32</v>
      </c>
      <c r="I462">
        <v>0</v>
      </c>
      <c r="J462">
        <v>300</v>
      </c>
      <c r="K462" s="1" t="s">
        <v>1020</v>
      </c>
    </row>
    <row r="463" spans="1:11" hidden="1">
      <c r="A463" s="17" t="s">
        <v>129</v>
      </c>
      <c r="B463" s="19" t="s">
        <v>118</v>
      </c>
      <c r="C463" s="19" t="s">
        <v>1627</v>
      </c>
      <c r="D463" s="19" t="s">
        <v>1628</v>
      </c>
      <c r="E463" s="20" t="str">
        <f t="shared" si="11"/>
        <v>Tracking</v>
      </c>
      <c r="F463" s="19" t="s">
        <v>1627</v>
      </c>
      <c r="G463" s="19" t="s">
        <v>1629</v>
      </c>
      <c r="H463" s="19" t="s">
        <v>32</v>
      </c>
      <c r="I463">
        <v>0</v>
      </c>
      <c r="J463">
        <v>6562</v>
      </c>
      <c r="K463" s="1" t="s">
        <v>1020</v>
      </c>
    </row>
    <row r="464" spans="1:11" hidden="1">
      <c r="A464" s="17" t="s">
        <v>129</v>
      </c>
      <c r="B464" s="19" t="s">
        <v>118</v>
      </c>
      <c r="C464" s="19" t="s">
        <v>1630</v>
      </c>
      <c r="D464" s="19" t="s">
        <v>1631</v>
      </c>
      <c r="E464" s="20" t="str">
        <f t="shared" si="11"/>
        <v>Tracking</v>
      </c>
      <c r="F464" s="19" t="s">
        <v>1630</v>
      </c>
      <c r="G464" s="19" t="s">
        <v>1632</v>
      </c>
      <c r="H464" s="19" t="s">
        <v>32</v>
      </c>
      <c r="I464">
        <v>0</v>
      </c>
      <c r="J464">
        <v>1</v>
      </c>
      <c r="K464" s="1" t="s">
        <v>1021</v>
      </c>
    </row>
    <row r="465" spans="1:11" hidden="1">
      <c r="A465" s="17" t="s">
        <v>129</v>
      </c>
      <c r="B465" s="19" t="s">
        <v>118</v>
      </c>
      <c r="C465" s="19" t="s">
        <v>1633</v>
      </c>
      <c r="D465" s="19" t="s">
        <v>1634</v>
      </c>
      <c r="E465" s="20" t="str">
        <f t="shared" si="11"/>
        <v>Tracking</v>
      </c>
      <c r="F465" s="19" t="s">
        <v>1633</v>
      </c>
      <c r="G465" s="19" t="s">
        <v>1635</v>
      </c>
      <c r="H465" s="19" t="s">
        <v>32</v>
      </c>
      <c r="I465">
        <v>0</v>
      </c>
      <c r="J465">
        <v>320</v>
      </c>
      <c r="K465" s="1" t="s">
        <v>1020</v>
      </c>
    </row>
    <row r="466" spans="1:11" hidden="1">
      <c r="A466" s="17" t="s">
        <v>129</v>
      </c>
      <c r="B466" s="19" t="s">
        <v>118</v>
      </c>
      <c r="C466" s="19" t="s">
        <v>1636</v>
      </c>
      <c r="D466" s="19" t="s">
        <v>1637</v>
      </c>
      <c r="E466" s="20" t="str">
        <f t="shared" si="11"/>
        <v>Tracking</v>
      </c>
      <c r="F466" s="19" t="s">
        <v>1636</v>
      </c>
      <c r="G466" s="19" t="s">
        <v>1638</v>
      </c>
      <c r="H466" s="19" t="s">
        <v>32</v>
      </c>
      <c r="I466">
        <v>0</v>
      </c>
      <c r="J466">
        <v>1</v>
      </c>
      <c r="K466" s="1" t="s">
        <v>1021</v>
      </c>
    </row>
    <row r="467" spans="1:11" hidden="1">
      <c r="A467" s="17" t="s">
        <v>129</v>
      </c>
      <c r="B467" s="19" t="s">
        <v>118</v>
      </c>
      <c r="C467" s="19" t="s">
        <v>1639</v>
      </c>
      <c r="D467" s="19" t="s">
        <v>1640</v>
      </c>
      <c r="E467" s="20" t="str">
        <f t="shared" si="11"/>
        <v>Tracking</v>
      </c>
      <c r="F467" s="19" t="s">
        <v>1639</v>
      </c>
      <c r="G467" s="19" t="s">
        <v>1641</v>
      </c>
      <c r="H467" s="19" t="s">
        <v>32</v>
      </c>
      <c r="I467">
        <v>0</v>
      </c>
      <c r="J467">
        <v>451</v>
      </c>
      <c r="K467" s="1" t="s">
        <v>1020</v>
      </c>
    </row>
    <row r="468" spans="1:11" hidden="1">
      <c r="A468" s="17" t="s">
        <v>129</v>
      </c>
      <c r="B468" s="19" t="s">
        <v>95</v>
      </c>
      <c r="C468" s="19" t="s">
        <v>1642</v>
      </c>
      <c r="D468" s="19" t="s">
        <v>1643</v>
      </c>
      <c r="E468" s="20" t="str">
        <f t="shared" si="11"/>
        <v>Tracking</v>
      </c>
      <c r="F468" s="19" t="s">
        <v>1642</v>
      </c>
      <c r="G468" s="19" t="s">
        <v>1644</v>
      </c>
      <c r="H468" s="19" t="s">
        <v>32</v>
      </c>
      <c r="I468">
        <v>0</v>
      </c>
      <c r="J468">
        <v>2817</v>
      </c>
      <c r="K468" s="1" t="s">
        <v>1021</v>
      </c>
    </row>
    <row r="469" spans="1:11" hidden="1">
      <c r="A469" s="17" t="s">
        <v>129</v>
      </c>
      <c r="B469" s="19" t="s">
        <v>95</v>
      </c>
      <c r="C469" s="19" t="s">
        <v>1645</v>
      </c>
      <c r="D469" s="19" t="s">
        <v>1646</v>
      </c>
      <c r="E469" s="20" t="str">
        <f t="shared" si="11"/>
        <v>Tracking</v>
      </c>
      <c r="F469" s="19" t="s">
        <v>1645</v>
      </c>
      <c r="G469" s="19" t="s">
        <v>1647</v>
      </c>
      <c r="H469" s="19" t="s">
        <v>32</v>
      </c>
      <c r="I469">
        <v>0</v>
      </c>
      <c r="J469">
        <v>672</v>
      </c>
      <c r="K469" s="1" t="s">
        <v>1020</v>
      </c>
    </row>
    <row r="470" spans="1:11" hidden="1">
      <c r="A470" s="17" t="s">
        <v>129</v>
      </c>
      <c r="B470" s="19" t="s">
        <v>95</v>
      </c>
      <c r="C470" s="19" t="s">
        <v>1648</v>
      </c>
      <c r="D470" s="19" t="s">
        <v>1649</v>
      </c>
      <c r="E470" s="20" t="str">
        <f t="shared" si="11"/>
        <v>Tracking</v>
      </c>
      <c r="F470" s="19" t="s">
        <v>1648</v>
      </c>
      <c r="G470" s="19" t="s">
        <v>1650</v>
      </c>
      <c r="H470" s="19" t="s">
        <v>32</v>
      </c>
      <c r="I470">
        <v>0</v>
      </c>
      <c r="J470">
        <v>2764</v>
      </c>
      <c r="K470" s="1" t="s">
        <v>1021</v>
      </c>
    </row>
    <row r="471" spans="1:11" hidden="1">
      <c r="A471" s="17" t="s">
        <v>129</v>
      </c>
      <c r="B471" s="19" t="s">
        <v>95</v>
      </c>
      <c r="C471" s="19" t="s">
        <v>1651</v>
      </c>
      <c r="D471" s="19" t="s">
        <v>1652</v>
      </c>
      <c r="E471" s="20" t="str">
        <f t="shared" si="11"/>
        <v>Tracking</v>
      </c>
      <c r="F471" s="19" t="s">
        <v>1651</v>
      </c>
      <c r="G471" s="19" t="s">
        <v>1653</v>
      </c>
      <c r="H471" s="19" t="s">
        <v>32</v>
      </c>
      <c r="I471">
        <v>0</v>
      </c>
      <c r="J471">
        <v>2126</v>
      </c>
      <c r="K471" s="1" t="s">
        <v>1020</v>
      </c>
    </row>
    <row r="472" spans="1:11" hidden="1">
      <c r="A472" s="17" t="s">
        <v>129</v>
      </c>
      <c r="B472" s="19" t="s">
        <v>95</v>
      </c>
      <c r="C472" s="19" t="s">
        <v>1654</v>
      </c>
      <c r="D472" s="19" t="s">
        <v>1655</v>
      </c>
      <c r="E472" s="20" t="str">
        <f t="shared" si="11"/>
        <v>Tracking</v>
      </c>
      <c r="F472" s="19" t="s">
        <v>1654</v>
      </c>
      <c r="G472" s="19" t="s">
        <v>1656</v>
      </c>
      <c r="H472" s="19" t="s">
        <v>32</v>
      </c>
      <c r="I472">
        <v>0</v>
      </c>
      <c r="J472">
        <v>12693</v>
      </c>
      <c r="K472" s="1" t="s">
        <v>1021</v>
      </c>
    </row>
    <row r="473" spans="1:11" hidden="1">
      <c r="A473" s="17" t="s">
        <v>129</v>
      </c>
      <c r="B473" s="19" t="s">
        <v>95</v>
      </c>
      <c r="C473" s="19" t="s">
        <v>1657</v>
      </c>
      <c r="D473" s="19" t="s">
        <v>1658</v>
      </c>
      <c r="E473" s="20" t="str">
        <f t="shared" si="11"/>
        <v>Tracking</v>
      </c>
      <c r="F473" s="19" t="s">
        <v>1657</v>
      </c>
      <c r="G473" s="19" t="s">
        <v>1659</v>
      </c>
      <c r="H473" s="19" t="s">
        <v>32</v>
      </c>
      <c r="I473">
        <v>0</v>
      </c>
      <c r="J473">
        <v>984</v>
      </c>
      <c r="K473" s="1" t="s">
        <v>1020</v>
      </c>
    </row>
    <row r="474" spans="1:11" hidden="1">
      <c r="A474" s="17" t="s">
        <v>129</v>
      </c>
      <c r="B474" s="19" t="s">
        <v>95</v>
      </c>
      <c r="C474" s="19" t="s">
        <v>1660</v>
      </c>
      <c r="D474" s="19" t="s">
        <v>1661</v>
      </c>
      <c r="E474" s="20" t="str">
        <f t="shared" si="11"/>
        <v>Tracking</v>
      </c>
      <c r="F474" s="19" t="s">
        <v>1660</v>
      </c>
      <c r="G474" s="19" t="s">
        <v>1662</v>
      </c>
      <c r="H474" s="19" t="s">
        <v>32</v>
      </c>
      <c r="I474">
        <v>0</v>
      </c>
      <c r="J474">
        <v>19687</v>
      </c>
      <c r="K474" s="1" t="s">
        <v>1021</v>
      </c>
    </row>
    <row r="475" spans="1:11" hidden="1">
      <c r="A475" s="17" t="s">
        <v>129</v>
      </c>
      <c r="B475" s="19" t="s">
        <v>95</v>
      </c>
      <c r="C475" s="19" t="s">
        <v>1663</v>
      </c>
      <c r="D475" s="19" t="s">
        <v>1664</v>
      </c>
      <c r="E475" s="20" t="str">
        <f t="shared" si="11"/>
        <v>Tracking</v>
      </c>
      <c r="F475" s="19" t="s">
        <v>1663</v>
      </c>
      <c r="G475" s="19" t="s">
        <v>1665</v>
      </c>
      <c r="H475" s="19" t="s">
        <v>32</v>
      </c>
      <c r="I475">
        <v>0</v>
      </c>
      <c r="J475">
        <v>5102</v>
      </c>
      <c r="K475" s="1" t="s">
        <v>1020</v>
      </c>
    </row>
    <row r="476" spans="1:11" hidden="1">
      <c r="A476" s="17" t="s">
        <v>129</v>
      </c>
      <c r="B476" s="19" t="s">
        <v>95</v>
      </c>
      <c r="C476" s="19" t="s">
        <v>1666</v>
      </c>
      <c r="D476" s="19" t="s">
        <v>1667</v>
      </c>
      <c r="E476" s="20" t="str">
        <f t="shared" si="11"/>
        <v>Tracking</v>
      </c>
      <c r="F476" s="19" t="s">
        <v>1666</v>
      </c>
      <c r="G476" s="19" t="s">
        <v>1668</v>
      </c>
      <c r="H476" s="19" t="s">
        <v>32</v>
      </c>
      <c r="I476">
        <v>0</v>
      </c>
      <c r="J476">
        <v>2088</v>
      </c>
      <c r="K476" s="1" t="s">
        <v>1021</v>
      </c>
    </row>
    <row r="477" spans="1:11" hidden="1">
      <c r="A477" s="17" t="s">
        <v>129</v>
      </c>
      <c r="B477" s="19" t="s">
        <v>95</v>
      </c>
      <c r="C477" s="19" t="s">
        <v>1669</v>
      </c>
      <c r="D477" s="19" t="s">
        <v>1670</v>
      </c>
      <c r="E477" s="20" t="str">
        <f t="shared" si="11"/>
        <v>Tracking</v>
      </c>
      <c r="F477" s="19" t="s">
        <v>1669</v>
      </c>
      <c r="G477" s="19" t="s">
        <v>1671</v>
      </c>
      <c r="H477" s="19" t="s">
        <v>32</v>
      </c>
      <c r="I477">
        <v>0</v>
      </c>
      <c r="J477">
        <v>3995</v>
      </c>
      <c r="K477" s="1" t="s">
        <v>1020</v>
      </c>
    </row>
    <row r="478" spans="1:11" hidden="1">
      <c r="A478" s="17" t="s">
        <v>129</v>
      </c>
      <c r="B478" s="19" t="s">
        <v>95</v>
      </c>
      <c r="C478" s="19" t="s">
        <v>1672</v>
      </c>
      <c r="D478" s="19" t="s">
        <v>1673</v>
      </c>
      <c r="E478" s="20" t="str">
        <f t="shared" si="11"/>
        <v>Tracking</v>
      </c>
      <c r="F478" s="19" t="s">
        <v>1672</v>
      </c>
      <c r="G478" s="19" t="s">
        <v>1674</v>
      </c>
      <c r="H478" s="19" t="s">
        <v>32</v>
      </c>
      <c r="I478">
        <v>0</v>
      </c>
      <c r="J478">
        <v>1776</v>
      </c>
      <c r="K478" s="1" t="s">
        <v>1021</v>
      </c>
    </row>
    <row r="479" spans="1:11" hidden="1">
      <c r="A479" s="17" t="s">
        <v>129</v>
      </c>
      <c r="B479" s="19" t="s">
        <v>95</v>
      </c>
      <c r="C479" s="19" t="s">
        <v>1675</v>
      </c>
      <c r="D479" s="19" t="s">
        <v>1676</v>
      </c>
      <c r="E479" s="20" t="str">
        <f t="shared" si="11"/>
        <v>Tracking</v>
      </c>
      <c r="F479" s="19" t="s">
        <v>1675</v>
      </c>
      <c r="G479" s="19" t="s">
        <v>1677</v>
      </c>
      <c r="H479" s="19" t="s">
        <v>32</v>
      </c>
      <c r="I479">
        <v>0</v>
      </c>
      <c r="J479">
        <v>762</v>
      </c>
      <c r="K479" s="1" t="s">
        <v>1020</v>
      </c>
    </row>
    <row r="480" spans="1:11" hidden="1">
      <c r="A480" s="17" t="s">
        <v>129</v>
      </c>
      <c r="B480" s="19" t="s">
        <v>95</v>
      </c>
      <c r="C480" s="19" t="s">
        <v>1678</v>
      </c>
      <c r="D480" s="19" t="s">
        <v>1679</v>
      </c>
      <c r="E480" s="20" t="str">
        <f t="shared" si="11"/>
        <v>Tracking</v>
      </c>
      <c r="F480" s="19" t="s">
        <v>1678</v>
      </c>
      <c r="G480" s="19" t="s">
        <v>1680</v>
      </c>
      <c r="H480" s="19" t="s">
        <v>32</v>
      </c>
      <c r="I480">
        <v>0</v>
      </c>
      <c r="J480">
        <v>1192</v>
      </c>
      <c r="K480" s="1" t="s">
        <v>1021</v>
      </c>
    </row>
    <row r="481" spans="1:11" hidden="1">
      <c r="A481" s="17" t="s">
        <v>129</v>
      </c>
      <c r="B481" s="19" t="s">
        <v>95</v>
      </c>
      <c r="C481" s="19" t="s">
        <v>1681</v>
      </c>
      <c r="D481" s="19" t="s">
        <v>1682</v>
      </c>
      <c r="E481" s="20" t="str">
        <f t="shared" si="11"/>
        <v>Tracking</v>
      </c>
      <c r="F481" s="19" t="s">
        <v>1681</v>
      </c>
      <c r="G481" s="19" t="s">
        <v>1683</v>
      </c>
      <c r="H481" s="19" t="s">
        <v>32</v>
      </c>
      <c r="I481">
        <v>0</v>
      </c>
      <c r="J481">
        <v>1625</v>
      </c>
      <c r="K481" s="1" t="s">
        <v>1020</v>
      </c>
    </row>
    <row r="482" spans="1:11" hidden="1">
      <c r="A482" s="17" t="s">
        <v>129</v>
      </c>
      <c r="B482" s="19" t="s">
        <v>95</v>
      </c>
      <c r="C482" s="19" t="s">
        <v>1684</v>
      </c>
      <c r="D482" s="19" t="s">
        <v>1685</v>
      </c>
      <c r="E482" s="20" t="str">
        <f t="shared" si="11"/>
        <v>Tracking</v>
      </c>
      <c r="F482" s="19" t="s">
        <v>1684</v>
      </c>
      <c r="G482" s="19" t="s">
        <v>1686</v>
      </c>
      <c r="H482" s="19" t="s">
        <v>32</v>
      </c>
      <c r="I482">
        <v>0</v>
      </c>
      <c r="J482">
        <v>1503</v>
      </c>
      <c r="K482" s="1" t="s">
        <v>1021</v>
      </c>
    </row>
    <row r="483" spans="1:11" hidden="1">
      <c r="A483" s="17" t="s">
        <v>129</v>
      </c>
      <c r="B483" s="19" t="s">
        <v>95</v>
      </c>
      <c r="C483" s="19" t="s">
        <v>1687</v>
      </c>
      <c r="D483" s="19" t="s">
        <v>1688</v>
      </c>
      <c r="E483" s="20" t="str">
        <f t="shared" si="11"/>
        <v>Tracking</v>
      </c>
      <c r="F483" s="19" t="s">
        <v>1687</v>
      </c>
      <c r="G483" s="19" t="s">
        <v>1689</v>
      </c>
      <c r="H483" s="19" t="s">
        <v>32</v>
      </c>
      <c r="I483">
        <v>0</v>
      </c>
      <c r="J483">
        <v>1077</v>
      </c>
      <c r="K483" s="1" t="s">
        <v>1020</v>
      </c>
    </row>
    <row r="484" spans="1:11" hidden="1">
      <c r="A484" s="17" t="s">
        <v>129</v>
      </c>
      <c r="B484" s="19" t="s">
        <v>95</v>
      </c>
      <c r="C484" s="19" t="s">
        <v>1690</v>
      </c>
      <c r="D484" s="19" t="s">
        <v>1691</v>
      </c>
      <c r="E484" s="20" t="str">
        <f t="shared" si="11"/>
        <v>Tracking</v>
      </c>
      <c r="F484" s="19" t="s">
        <v>1690</v>
      </c>
      <c r="G484" s="19" t="s">
        <v>1692</v>
      </c>
      <c r="H484" s="19" t="s">
        <v>32</v>
      </c>
      <c r="I484">
        <v>0</v>
      </c>
      <c r="J484">
        <v>4317</v>
      </c>
      <c r="K484" s="1" t="s">
        <v>1021</v>
      </c>
    </row>
    <row r="485" spans="1:11" hidden="1">
      <c r="A485" s="17" t="s">
        <v>129</v>
      </c>
      <c r="B485" s="19" t="s">
        <v>95</v>
      </c>
      <c r="C485" s="19" t="s">
        <v>1693</v>
      </c>
      <c r="D485" s="19" t="s">
        <v>1694</v>
      </c>
      <c r="E485" s="20" t="str">
        <f t="shared" si="11"/>
        <v>Tracking</v>
      </c>
      <c r="F485" s="19" t="s">
        <v>1693</v>
      </c>
      <c r="G485" s="19" t="s">
        <v>1695</v>
      </c>
      <c r="H485" s="19" t="s">
        <v>32</v>
      </c>
      <c r="I485">
        <v>0</v>
      </c>
      <c r="J485">
        <v>698</v>
      </c>
      <c r="K485" s="1" t="s">
        <v>1020</v>
      </c>
    </row>
    <row r="486" spans="1:11" hidden="1">
      <c r="A486" s="17" t="s">
        <v>129</v>
      </c>
      <c r="B486" s="19" t="s">
        <v>95</v>
      </c>
      <c r="C486" s="19" t="s">
        <v>1696</v>
      </c>
      <c r="D486" s="19" t="s">
        <v>1697</v>
      </c>
      <c r="E486" s="20" t="str">
        <f t="shared" si="11"/>
        <v>Tracking</v>
      </c>
      <c r="F486" s="19" t="s">
        <v>1696</v>
      </c>
      <c r="G486" s="19" t="s">
        <v>1698</v>
      </c>
      <c r="H486" s="19" t="s">
        <v>32</v>
      </c>
      <c r="I486">
        <v>0</v>
      </c>
      <c r="J486">
        <v>34734</v>
      </c>
      <c r="K486" s="1" t="s">
        <v>1021</v>
      </c>
    </row>
    <row r="487" spans="1:11" hidden="1">
      <c r="A487" s="17" t="s">
        <v>129</v>
      </c>
      <c r="B487" s="19" t="s">
        <v>95</v>
      </c>
      <c r="C487" s="19" t="s">
        <v>1699</v>
      </c>
      <c r="D487" s="19" t="s">
        <v>1700</v>
      </c>
      <c r="E487" s="20" t="str">
        <f t="shared" si="11"/>
        <v>Tracking</v>
      </c>
      <c r="F487" s="19" t="s">
        <v>1699</v>
      </c>
      <c r="G487" s="19" t="s">
        <v>1701</v>
      </c>
      <c r="H487" s="19" t="s">
        <v>32</v>
      </c>
      <c r="I487">
        <v>0</v>
      </c>
      <c r="J487">
        <v>6407</v>
      </c>
      <c r="K487" s="1" t="s">
        <v>1020</v>
      </c>
    </row>
    <row r="488" spans="1:11" hidden="1">
      <c r="A488" s="17" t="s">
        <v>129</v>
      </c>
      <c r="B488" s="19" t="s">
        <v>95</v>
      </c>
      <c r="C488" s="19" t="s">
        <v>1702</v>
      </c>
      <c r="D488" s="19" t="s">
        <v>1703</v>
      </c>
      <c r="E488" s="20" t="str">
        <f t="shared" si="11"/>
        <v>Tracking</v>
      </c>
      <c r="F488" s="19" t="s">
        <v>1702</v>
      </c>
      <c r="G488" s="19" t="s">
        <v>1704</v>
      </c>
      <c r="H488" s="19" t="s">
        <v>32</v>
      </c>
      <c r="I488">
        <v>0</v>
      </c>
      <c r="J488">
        <v>24743</v>
      </c>
      <c r="K488" s="1" t="s">
        <v>1021</v>
      </c>
    </row>
    <row r="489" spans="1:11" hidden="1">
      <c r="A489" s="17" t="s">
        <v>134</v>
      </c>
      <c r="B489" s="19" t="s">
        <v>135</v>
      </c>
      <c r="C489" s="19" t="s">
        <v>2468</v>
      </c>
      <c r="D489" s="19" t="s">
        <v>2469</v>
      </c>
      <c r="E489" s="20" t="str">
        <f t="shared" si="11"/>
        <v>Tracking</v>
      </c>
      <c r="F489" s="19" t="s">
        <v>2468</v>
      </c>
      <c r="G489" s="19" t="s">
        <v>2470</v>
      </c>
      <c r="H489" s="19" t="s">
        <v>32</v>
      </c>
      <c r="I489">
        <v>0</v>
      </c>
      <c r="J489">
        <v>353</v>
      </c>
      <c r="K489" s="1" t="s">
        <v>1020</v>
      </c>
    </row>
    <row r="490" spans="1:11" hidden="1">
      <c r="A490" s="17" t="s">
        <v>134</v>
      </c>
      <c r="B490" s="19" t="s">
        <v>135</v>
      </c>
      <c r="C490" s="19" t="s">
        <v>2471</v>
      </c>
      <c r="D490" s="19" t="s">
        <v>2472</v>
      </c>
      <c r="E490" s="20" t="str">
        <f t="shared" si="11"/>
        <v>Tracking</v>
      </c>
      <c r="F490" s="19" t="s">
        <v>2471</v>
      </c>
      <c r="G490" s="19" t="s">
        <v>2473</v>
      </c>
      <c r="H490" s="19" t="s">
        <v>32</v>
      </c>
      <c r="I490">
        <v>0</v>
      </c>
      <c r="J490">
        <v>713</v>
      </c>
      <c r="K490" s="1" t="s">
        <v>1021</v>
      </c>
    </row>
    <row r="491" spans="1:11" hidden="1">
      <c r="A491" s="17" t="s">
        <v>134</v>
      </c>
      <c r="B491" s="19" t="s">
        <v>135</v>
      </c>
      <c r="C491" s="19" t="s">
        <v>2474</v>
      </c>
      <c r="D491" s="19" t="s">
        <v>2475</v>
      </c>
      <c r="E491" s="20" t="str">
        <f t="shared" si="11"/>
        <v>Tracking</v>
      </c>
      <c r="F491" s="19" t="s">
        <v>2474</v>
      </c>
      <c r="G491" s="19" t="s">
        <v>2476</v>
      </c>
      <c r="H491" s="19" t="s">
        <v>32</v>
      </c>
      <c r="I491">
        <v>0</v>
      </c>
      <c r="J491">
        <v>1396</v>
      </c>
      <c r="K491" s="1" t="s">
        <v>1020</v>
      </c>
    </row>
    <row r="492" spans="1:11" hidden="1">
      <c r="A492" s="17" t="s">
        <v>134</v>
      </c>
      <c r="B492" s="19" t="s">
        <v>135</v>
      </c>
      <c r="C492" s="19" t="s">
        <v>2477</v>
      </c>
      <c r="D492" s="19" t="s">
        <v>2478</v>
      </c>
      <c r="E492" s="20" t="str">
        <f t="shared" si="11"/>
        <v>Tracking</v>
      </c>
      <c r="F492" s="19" t="s">
        <v>2477</v>
      </c>
      <c r="G492" s="19" t="s">
        <v>2479</v>
      </c>
      <c r="H492" s="19" t="s">
        <v>32</v>
      </c>
      <c r="I492">
        <v>0</v>
      </c>
      <c r="J492">
        <v>712</v>
      </c>
      <c r="K492" s="1" t="s">
        <v>1021</v>
      </c>
    </row>
    <row r="493" spans="1:11" hidden="1">
      <c r="A493" s="17" t="s">
        <v>134</v>
      </c>
      <c r="B493" s="19" t="s">
        <v>135</v>
      </c>
      <c r="C493" s="19" t="s">
        <v>2480</v>
      </c>
      <c r="D493" s="19" t="s">
        <v>2481</v>
      </c>
      <c r="E493" s="20" t="str">
        <f t="shared" si="11"/>
        <v>Tracking</v>
      </c>
      <c r="F493" s="19" t="s">
        <v>2480</v>
      </c>
      <c r="G493" s="19" t="s">
        <v>2482</v>
      </c>
      <c r="H493" s="19" t="s">
        <v>32</v>
      </c>
      <c r="I493">
        <v>0</v>
      </c>
      <c r="J493">
        <v>1224</v>
      </c>
      <c r="K493" s="1" t="s">
        <v>1020</v>
      </c>
    </row>
    <row r="494" spans="1:11" hidden="1">
      <c r="A494" s="17" t="s">
        <v>134</v>
      </c>
      <c r="B494" s="19" t="s">
        <v>135</v>
      </c>
      <c r="C494" s="19" t="s">
        <v>2483</v>
      </c>
      <c r="D494" s="19" t="s">
        <v>2484</v>
      </c>
      <c r="E494" s="20" t="str">
        <f t="shared" si="11"/>
        <v>Tracking</v>
      </c>
      <c r="F494" s="19" t="s">
        <v>2483</v>
      </c>
      <c r="G494" s="19" t="s">
        <v>2485</v>
      </c>
      <c r="H494" s="19" t="s">
        <v>32</v>
      </c>
      <c r="I494">
        <v>0</v>
      </c>
      <c r="J494">
        <v>886</v>
      </c>
      <c r="K494" s="1" t="s">
        <v>1021</v>
      </c>
    </row>
    <row r="495" spans="1:11" hidden="1">
      <c r="A495" s="17" t="s">
        <v>134</v>
      </c>
      <c r="B495" s="19" t="s">
        <v>135</v>
      </c>
      <c r="C495" s="19" t="s">
        <v>2486</v>
      </c>
      <c r="D495" s="19" t="s">
        <v>2487</v>
      </c>
      <c r="E495" s="20" t="str">
        <f t="shared" si="11"/>
        <v>Tracking</v>
      </c>
      <c r="F495" s="19" t="s">
        <v>2486</v>
      </c>
      <c r="G495" s="19" t="s">
        <v>2488</v>
      </c>
      <c r="H495" s="19" t="s">
        <v>32</v>
      </c>
      <c r="I495">
        <v>0</v>
      </c>
      <c r="J495">
        <v>1215</v>
      </c>
      <c r="K495" s="1" t="s">
        <v>1020</v>
      </c>
    </row>
    <row r="496" spans="1:11" hidden="1">
      <c r="A496" s="17" t="s">
        <v>134</v>
      </c>
      <c r="B496" s="19" t="s">
        <v>135</v>
      </c>
      <c r="C496" s="19" t="s">
        <v>2489</v>
      </c>
      <c r="D496" s="19" t="s">
        <v>2490</v>
      </c>
      <c r="E496" s="20" t="str">
        <f t="shared" si="11"/>
        <v>Tracking</v>
      </c>
      <c r="F496" s="19" t="s">
        <v>2489</v>
      </c>
      <c r="G496" s="19" t="s">
        <v>2491</v>
      </c>
      <c r="H496" s="19" t="s">
        <v>32</v>
      </c>
      <c r="I496">
        <v>0</v>
      </c>
      <c r="J496">
        <v>637</v>
      </c>
      <c r="K496" s="1" t="s">
        <v>1021</v>
      </c>
    </row>
    <row r="497" spans="1:11" hidden="1">
      <c r="A497" s="17" t="s">
        <v>134</v>
      </c>
      <c r="B497" s="19" t="s">
        <v>135</v>
      </c>
      <c r="C497" s="19" t="s">
        <v>2492</v>
      </c>
      <c r="D497" s="19" t="s">
        <v>2493</v>
      </c>
      <c r="E497" s="20" t="str">
        <f t="shared" si="11"/>
        <v>Tracking</v>
      </c>
      <c r="F497" s="19" t="s">
        <v>2492</v>
      </c>
      <c r="G497" s="19" t="s">
        <v>2494</v>
      </c>
      <c r="H497" s="19" t="s">
        <v>32</v>
      </c>
      <c r="I497">
        <v>0</v>
      </c>
      <c r="J497">
        <v>5</v>
      </c>
      <c r="K497" s="1" t="s">
        <v>1020</v>
      </c>
    </row>
    <row r="498" spans="1:11" hidden="1">
      <c r="A498" s="17" t="s">
        <v>134</v>
      </c>
      <c r="B498" s="19" t="s">
        <v>135</v>
      </c>
      <c r="C498" s="19" t="s">
        <v>2495</v>
      </c>
      <c r="D498" s="19" t="s">
        <v>2496</v>
      </c>
      <c r="E498" s="20" t="str">
        <f t="shared" si="11"/>
        <v>Tracking</v>
      </c>
      <c r="F498" s="19" t="s">
        <v>2495</v>
      </c>
      <c r="G498" s="19" t="s">
        <v>2497</v>
      </c>
      <c r="H498" s="19" t="s">
        <v>32</v>
      </c>
      <c r="I498">
        <v>0</v>
      </c>
      <c r="J498">
        <v>1304</v>
      </c>
      <c r="K498" s="1" t="s">
        <v>1021</v>
      </c>
    </row>
    <row r="499" spans="1:11" hidden="1">
      <c r="A499" s="17" t="s">
        <v>134</v>
      </c>
      <c r="B499" s="19" t="s">
        <v>135</v>
      </c>
      <c r="C499" s="19" t="s">
        <v>2498</v>
      </c>
      <c r="D499" s="19" t="s">
        <v>2499</v>
      </c>
      <c r="E499" s="20" t="str">
        <f t="shared" si="11"/>
        <v>Tracking</v>
      </c>
      <c r="F499" s="19" t="s">
        <v>2498</v>
      </c>
      <c r="G499" s="19" t="s">
        <v>2500</v>
      </c>
      <c r="H499" s="19" t="s">
        <v>32</v>
      </c>
      <c r="I499">
        <v>0</v>
      </c>
      <c r="J499">
        <v>1334</v>
      </c>
      <c r="K499" s="1" t="s">
        <v>1020</v>
      </c>
    </row>
    <row r="500" spans="1:11" hidden="1">
      <c r="A500" s="17" t="s">
        <v>134</v>
      </c>
      <c r="B500" s="19" t="s">
        <v>135</v>
      </c>
      <c r="C500" s="19" t="s">
        <v>2501</v>
      </c>
      <c r="D500" s="19" t="s">
        <v>2502</v>
      </c>
      <c r="E500" s="20" t="str">
        <f t="shared" si="11"/>
        <v>Tracking</v>
      </c>
      <c r="F500" s="19" t="s">
        <v>2501</v>
      </c>
      <c r="G500" s="19" t="s">
        <v>2503</v>
      </c>
      <c r="H500" s="19" t="s">
        <v>32</v>
      </c>
      <c r="I500">
        <v>0</v>
      </c>
      <c r="J500">
        <v>1929</v>
      </c>
      <c r="K500" s="1" t="s">
        <v>1021</v>
      </c>
    </row>
    <row r="501" spans="1:11" hidden="1">
      <c r="A501" s="17" t="s">
        <v>134</v>
      </c>
      <c r="B501" s="19" t="s">
        <v>135</v>
      </c>
      <c r="C501" s="19" t="s">
        <v>2504</v>
      </c>
      <c r="D501" s="19" t="s">
        <v>2505</v>
      </c>
      <c r="E501" s="20" t="str">
        <f t="shared" si="11"/>
        <v>Tracking</v>
      </c>
      <c r="F501" s="19" t="s">
        <v>2504</v>
      </c>
      <c r="G501" s="19" t="s">
        <v>2506</v>
      </c>
      <c r="H501" s="19" t="s">
        <v>32</v>
      </c>
      <c r="I501">
        <v>0</v>
      </c>
      <c r="J501">
        <v>1719</v>
      </c>
      <c r="K501" s="1" t="s">
        <v>1020</v>
      </c>
    </row>
    <row r="502" spans="1:11" hidden="1">
      <c r="A502" s="17" t="s">
        <v>134</v>
      </c>
      <c r="B502" s="19" t="s">
        <v>136</v>
      </c>
      <c r="C502" s="19" t="s">
        <v>137</v>
      </c>
      <c r="D502" s="19" t="s">
        <v>138</v>
      </c>
      <c r="E502" s="20" t="str">
        <f t="shared" si="11"/>
        <v>Tracking</v>
      </c>
      <c r="F502" s="19" t="s">
        <v>137</v>
      </c>
      <c r="G502" s="19" t="s">
        <v>139</v>
      </c>
      <c r="H502" s="19" t="s">
        <v>32</v>
      </c>
      <c r="I502">
        <v>0</v>
      </c>
      <c r="J502">
        <v>4</v>
      </c>
      <c r="K502" s="1" t="s">
        <v>1021</v>
      </c>
    </row>
    <row r="503" spans="1:11" hidden="1">
      <c r="A503" s="17" t="s">
        <v>134</v>
      </c>
      <c r="B503" s="19" t="s">
        <v>136</v>
      </c>
      <c r="C503" s="19" t="s">
        <v>140</v>
      </c>
      <c r="D503" s="19" t="s">
        <v>141</v>
      </c>
      <c r="E503" s="20" t="str">
        <f t="shared" si="11"/>
        <v>Tracking</v>
      </c>
      <c r="F503" s="19" t="s">
        <v>140</v>
      </c>
      <c r="G503" s="19" t="s">
        <v>142</v>
      </c>
      <c r="H503" s="19" t="s">
        <v>32</v>
      </c>
      <c r="I503">
        <v>0</v>
      </c>
      <c r="J503">
        <v>3229</v>
      </c>
      <c r="K503" s="1" t="s">
        <v>1020</v>
      </c>
    </row>
    <row r="504" spans="1:11" hidden="1">
      <c r="A504" s="17" t="s">
        <v>134</v>
      </c>
      <c r="B504" s="19" t="s">
        <v>136</v>
      </c>
      <c r="C504" s="19" t="s">
        <v>143</v>
      </c>
      <c r="D504" s="19" t="s">
        <v>144</v>
      </c>
      <c r="E504" s="20" t="str">
        <f t="shared" ref="E504:E525" si="12">IF(I504&gt;J504,"Standard","Tracking")</f>
        <v>Tracking</v>
      </c>
      <c r="F504" s="19" t="s">
        <v>143</v>
      </c>
      <c r="G504" s="19" t="s">
        <v>145</v>
      </c>
      <c r="H504" s="19" t="s">
        <v>32</v>
      </c>
      <c r="I504">
        <v>0</v>
      </c>
      <c r="J504">
        <v>3032</v>
      </c>
      <c r="K504" s="1" t="s">
        <v>1021</v>
      </c>
    </row>
    <row r="505" spans="1:11" hidden="1">
      <c r="A505" s="17" t="s">
        <v>134</v>
      </c>
      <c r="B505" s="19" t="s">
        <v>136</v>
      </c>
      <c r="C505" s="19" t="s">
        <v>2507</v>
      </c>
      <c r="D505" s="19" t="s">
        <v>2508</v>
      </c>
      <c r="E505" s="20" t="str">
        <f t="shared" si="12"/>
        <v>Tracking</v>
      </c>
      <c r="F505" s="19" t="s">
        <v>2507</v>
      </c>
      <c r="G505" s="19" t="s">
        <v>2509</v>
      </c>
      <c r="H505" s="19" t="s">
        <v>32</v>
      </c>
      <c r="I505">
        <v>0</v>
      </c>
      <c r="J505">
        <v>4</v>
      </c>
      <c r="K505" s="1" t="s">
        <v>1020</v>
      </c>
    </row>
    <row r="506" spans="1:11" hidden="1">
      <c r="A506" s="17" t="s">
        <v>134</v>
      </c>
      <c r="B506" s="19" t="s">
        <v>136</v>
      </c>
      <c r="C506" s="19" t="s">
        <v>146</v>
      </c>
      <c r="D506" s="19" t="s">
        <v>147</v>
      </c>
      <c r="E506" s="20" t="str">
        <f t="shared" si="12"/>
        <v>Tracking</v>
      </c>
      <c r="F506" s="19" t="s">
        <v>146</v>
      </c>
      <c r="G506" s="19" t="s">
        <v>148</v>
      </c>
      <c r="H506" s="19" t="s">
        <v>32</v>
      </c>
      <c r="I506">
        <v>0</v>
      </c>
      <c r="J506">
        <v>4345</v>
      </c>
      <c r="K506" s="1" t="s">
        <v>1021</v>
      </c>
    </row>
    <row r="507" spans="1:11" hidden="1">
      <c r="A507" s="17" t="s">
        <v>134</v>
      </c>
      <c r="B507" s="19" t="s">
        <v>136</v>
      </c>
      <c r="C507" s="19" t="s">
        <v>149</v>
      </c>
      <c r="D507" s="19" t="s">
        <v>150</v>
      </c>
      <c r="E507" s="20" t="str">
        <f t="shared" si="12"/>
        <v>Tracking</v>
      </c>
      <c r="F507" s="19" t="s">
        <v>149</v>
      </c>
      <c r="G507" s="19" t="s">
        <v>151</v>
      </c>
      <c r="H507" s="19" t="s">
        <v>32</v>
      </c>
      <c r="I507">
        <v>0</v>
      </c>
      <c r="J507">
        <v>1950</v>
      </c>
      <c r="K507" s="1" t="s">
        <v>1020</v>
      </c>
    </row>
    <row r="508" spans="1:11" hidden="1">
      <c r="A508" s="17" t="s">
        <v>134</v>
      </c>
      <c r="B508" s="19" t="s">
        <v>136</v>
      </c>
      <c r="C508" s="19" t="s">
        <v>2510</v>
      </c>
      <c r="D508" s="19" t="s">
        <v>2511</v>
      </c>
      <c r="E508" s="20" t="str">
        <f t="shared" si="12"/>
        <v>Tracking</v>
      </c>
      <c r="F508" s="19" t="s">
        <v>2510</v>
      </c>
      <c r="G508" s="19" t="s">
        <v>2512</v>
      </c>
      <c r="H508" s="19" t="s">
        <v>32</v>
      </c>
      <c r="I508">
        <v>0</v>
      </c>
      <c r="J508">
        <v>255</v>
      </c>
      <c r="K508" s="1" t="s">
        <v>1021</v>
      </c>
    </row>
    <row r="509" spans="1:11" hidden="1">
      <c r="A509" s="17" t="s">
        <v>134</v>
      </c>
      <c r="B509" s="19" t="s">
        <v>136</v>
      </c>
      <c r="C509" s="19" t="s">
        <v>2513</v>
      </c>
      <c r="D509" s="19" t="s">
        <v>2514</v>
      </c>
      <c r="E509" s="20" t="str">
        <f t="shared" si="12"/>
        <v>Tracking</v>
      </c>
      <c r="F509" s="19" t="s">
        <v>2513</v>
      </c>
      <c r="G509" s="19" t="s">
        <v>2515</v>
      </c>
      <c r="H509" s="19" t="s">
        <v>32</v>
      </c>
      <c r="I509">
        <v>0</v>
      </c>
      <c r="J509">
        <v>434</v>
      </c>
      <c r="K509" s="1" t="s">
        <v>1020</v>
      </c>
    </row>
    <row r="510" spans="1:11" hidden="1">
      <c r="A510" s="17" t="s">
        <v>134</v>
      </c>
      <c r="B510" s="19" t="s">
        <v>136</v>
      </c>
      <c r="C510" s="19" t="s">
        <v>2516</v>
      </c>
      <c r="D510" s="19" t="s">
        <v>2517</v>
      </c>
      <c r="E510" s="20" t="str">
        <f t="shared" si="12"/>
        <v>Tracking</v>
      </c>
      <c r="F510" s="19" t="s">
        <v>2516</v>
      </c>
      <c r="G510" s="19" t="s">
        <v>2518</v>
      </c>
      <c r="H510" s="19" t="s">
        <v>32</v>
      </c>
      <c r="I510">
        <v>0</v>
      </c>
      <c r="J510">
        <v>375</v>
      </c>
      <c r="K510" s="1" t="s">
        <v>1021</v>
      </c>
    </row>
    <row r="511" spans="1:11" hidden="1">
      <c r="A511" s="17" t="s">
        <v>134</v>
      </c>
      <c r="B511" s="19" t="s">
        <v>136</v>
      </c>
      <c r="C511" s="19" t="s">
        <v>2519</v>
      </c>
      <c r="D511" s="19" t="s">
        <v>2520</v>
      </c>
      <c r="E511" s="20" t="str">
        <f t="shared" si="12"/>
        <v>Tracking</v>
      </c>
      <c r="F511" s="19" t="s">
        <v>2519</v>
      </c>
      <c r="G511" s="19" t="s">
        <v>2521</v>
      </c>
      <c r="H511" s="19" t="s">
        <v>32</v>
      </c>
      <c r="I511">
        <v>0</v>
      </c>
      <c r="J511">
        <v>324</v>
      </c>
      <c r="K511" s="1" t="s">
        <v>1020</v>
      </c>
    </row>
    <row r="512" spans="1:11" hidden="1">
      <c r="A512" s="17" t="s">
        <v>134</v>
      </c>
      <c r="B512" s="19" t="s">
        <v>136</v>
      </c>
      <c r="C512" s="19" t="s">
        <v>2522</v>
      </c>
      <c r="D512" s="19" t="s">
        <v>2523</v>
      </c>
      <c r="E512" s="20" t="str">
        <f t="shared" si="12"/>
        <v>Tracking</v>
      </c>
      <c r="F512" s="19" t="s">
        <v>2522</v>
      </c>
      <c r="G512" s="19" t="s">
        <v>2524</v>
      </c>
      <c r="H512" s="19" t="s">
        <v>32</v>
      </c>
      <c r="I512">
        <v>0</v>
      </c>
      <c r="J512">
        <v>838</v>
      </c>
      <c r="K512" s="1" t="s">
        <v>1021</v>
      </c>
    </row>
    <row r="513" spans="1:11" hidden="1">
      <c r="A513" s="17" t="s">
        <v>134</v>
      </c>
      <c r="B513" s="19" t="s">
        <v>136</v>
      </c>
      <c r="C513" s="19" t="s">
        <v>2525</v>
      </c>
      <c r="D513" s="19" t="s">
        <v>2526</v>
      </c>
      <c r="E513" s="20" t="str">
        <f t="shared" si="12"/>
        <v>Tracking</v>
      </c>
      <c r="F513" s="19" t="s">
        <v>2525</v>
      </c>
      <c r="G513" s="19" t="s">
        <v>2527</v>
      </c>
      <c r="H513" s="19" t="s">
        <v>32</v>
      </c>
      <c r="I513">
        <v>0</v>
      </c>
      <c r="J513">
        <v>985</v>
      </c>
      <c r="K513" s="1" t="s">
        <v>1020</v>
      </c>
    </row>
    <row r="514" spans="1:11" hidden="1">
      <c r="A514" s="17" t="s">
        <v>134</v>
      </c>
      <c r="B514" s="19" t="s">
        <v>136</v>
      </c>
      <c r="C514" s="19" t="s">
        <v>152</v>
      </c>
      <c r="D514" s="19" t="s">
        <v>153</v>
      </c>
      <c r="E514" s="20" t="str">
        <f t="shared" si="12"/>
        <v>Tracking</v>
      </c>
      <c r="F514" s="19" t="s">
        <v>152</v>
      </c>
      <c r="G514" s="19" t="s">
        <v>154</v>
      </c>
      <c r="H514" s="19" t="s">
        <v>32</v>
      </c>
      <c r="I514">
        <v>0</v>
      </c>
      <c r="J514">
        <v>4580</v>
      </c>
      <c r="K514" s="1" t="s">
        <v>1021</v>
      </c>
    </row>
    <row r="515" spans="1:11" hidden="1">
      <c r="A515" s="17" t="s">
        <v>134</v>
      </c>
      <c r="B515" s="19" t="s">
        <v>136</v>
      </c>
      <c r="C515" s="19" t="s">
        <v>155</v>
      </c>
      <c r="D515" s="19" t="s">
        <v>156</v>
      </c>
      <c r="E515" s="20" t="str">
        <f t="shared" si="12"/>
        <v>Tracking</v>
      </c>
      <c r="F515" s="19" t="s">
        <v>155</v>
      </c>
      <c r="G515" s="19" t="s">
        <v>157</v>
      </c>
      <c r="H515" s="19" t="s">
        <v>32</v>
      </c>
      <c r="I515">
        <v>0</v>
      </c>
      <c r="J515">
        <v>815</v>
      </c>
      <c r="K515" s="1" t="s">
        <v>1020</v>
      </c>
    </row>
    <row r="516" spans="1:11" hidden="1">
      <c r="A516" s="17" t="s">
        <v>134</v>
      </c>
      <c r="B516" s="19" t="s">
        <v>136</v>
      </c>
      <c r="C516" s="19" t="s">
        <v>158</v>
      </c>
      <c r="D516" s="19" t="s">
        <v>159</v>
      </c>
      <c r="E516" s="20" t="str">
        <f t="shared" si="12"/>
        <v>Tracking</v>
      </c>
      <c r="F516" s="19" t="s">
        <v>158</v>
      </c>
      <c r="G516" s="19" t="s">
        <v>160</v>
      </c>
      <c r="H516" s="19" t="s">
        <v>32</v>
      </c>
      <c r="I516">
        <v>0</v>
      </c>
      <c r="J516">
        <v>2</v>
      </c>
      <c r="K516" s="1" t="s">
        <v>1021</v>
      </c>
    </row>
    <row r="517" spans="1:11" hidden="1">
      <c r="A517" s="17" t="s">
        <v>134</v>
      </c>
      <c r="B517" s="19" t="s">
        <v>136</v>
      </c>
      <c r="C517" s="19" t="s">
        <v>2528</v>
      </c>
      <c r="D517" s="19" t="s">
        <v>2529</v>
      </c>
      <c r="E517" s="20" t="str">
        <f t="shared" si="12"/>
        <v>Tracking</v>
      </c>
      <c r="F517" s="19" t="s">
        <v>2528</v>
      </c>
      <c r="G517" s="19" t="s">
        <v>2530</v>
      </c>
      <c r="H517" s="19" t="s">
        <v>32</v>
      </c>
      <c r="I517">
        <v>0</v>
      </c>
      <c r="J517">
        <v>1</v>
      </c>
      <c r="K517" s="1" t="s">
        <v>1020</v>
      </c>
    </row>
    <row r="518" spans="1:11" hidden="1">
      <c r="A518" s="17" t="s">
        <v>134</v>
      </c>
      <c r="B518" s="19" t="s">
        <v>136</v>
      </c>
      <c r="C518" s="19" t="s">
        <v>2531</v>
      </c>
      <c r="D518" s="19" t="s">
        <v>2532</v>
      </c>
      <c r="E518" s="20" t="str">
        <f t="shared" si="12"/>
        <v>Tracking</v>
      </c>
      <c r="F518" s="19" t="s">
        <v>2531</v>
      </c>
      <c r="G518" s="19" t="s">
        <v>2533</v>
      </c>
      <c r="H518" s="19" t="s">
        <v>32</v>
      </c>
      <c r="I518">
        <v>0</v>
      </c>
      <c r="J518">
        <v>2</v>
      </c>
      <c r="K518" s="1" t="s">
        <v>1021</v>
      </c>
    </row>
    <row r="519" spans="1:11" hidden="1">
      <c r="A519" s="17" t="s">
        <v>134</v>
      </c>
      <c r="B519" s="19" t="s">
        <v>161</v>
      </c>
      <c r="C519" s="19" t="s">
        <v>162</v>
      </c>
      <c r="D519" s="19" t="s">
        <v>163</v>
      </c>
      <c r="E519" s="20" t="str">
        <f t="shared" si="12"/>
        <v>Tracking</v>
      </c>
      <c r="F519" s="19" t="s">
        <v>162</v>
      </c>
      <c r="G519" s="19" t="s">
        <v>164</v>
      </c>
      <c r="H519" s="19" t="s">
        <v>32</v>
      </c>
      <c r="I519">
        <v>0</v>
      </c>
      <c r="J519">
        <v>253095</v>
      </c>
      <c r="K519" s="1" t="s">
        <v>1020</v>
      </c>
    </row>
    <row r="520" spans="1:11" hidden="1">
      <c r="A520" s="17" t="s">
        <v>134</v>
      </c>
      <c r="B520" s="19" t="s">
        <v>50</v>
      </c>
      <c r="C520" s="19" t="s">
        <v>165</v>
      </c>
      <c r="D520" s="19" t="s">
        <v>166</v>
      </c>
      <c r="E520" s="20" t="str">
        <f t="shared" si="12"/>
        <v>Standard</v>
      </c>
      <c r="F520" s="19" t="s">
        <v>165</v>
      </c>
      <c r="G520" s="19" t="s">
        <v>167</v>
      </c>
      <c r="H520" s="19" t="s">
        <v>32</v>
      </c>
      <c r="I520">
        <v>243840</v>
      </c>
      <c r="J520">
        <v>937</v>
      </c>
      <c r="K520" s="1" t="s">
        <v>1021</v>
      </c>
    </row>
    <row r="521" spans="1:11" hidden="1">
      <c r="A521" s="17" t="s">
        <v>134</v>
      </c>
      <c r="B521" s="19" t="s">
        <v>50</v>
      </c>
      <c r="C521" s="19" t="s">
        <v>168</v>
      </c>
      <c r="D521" s="19" t="s">
        <v>169</v>
      </c>
      <c r="E521" s="20" t="str">
        <f t="shared" si="12"/>
        <v>Standard</v>
      </c>
      <c r="F521" s="19" t="s">
        <v>168</v>
      </c>
      <c r="G521" s="19" t="s">
        <v>170</v>
      </c>
      <c r="H521" s="19" t="s">
        <v>32</v>
      </c>
      <c r="I521">
        <v>247732</v>
      </c>
      <c r="J521">
        <v>815</v>
      </c>
      <c r="K521" s="1" t="s">
        <v>1020</v>
      </c>
    </row>
    <row r="522" spans="1:11" hidden="1">
      <c r="A522" s="17" t="s">
        <v>134</v>
      </c>
      <c r="B522" s="19" t="s">
        <v>50</v>
      </c>
      <c r="C522" s="19" t="s">
        <v>171</v>
      </c>
      <c r="D522" s="19" t="s">
        <v>172</v>
      </c>
      <c r="E522" s="20" t="str">
        <f t="shared" si="12"/>
        <v>Standard</v>
      </c>
      <c r="F522" s="19" t="s">
        <v>171</v>
      </c>
      <c r="G522" s="19" t="s">
        <v>173</v>
      </c>
      <c r="H522" s="19" t="s">
        <v>32</v>
      </c>
      <c r="I522">
        <v>254166</v>
      </c>
      <c r="J522">
        <v>966</v>
      </c>
      <c r="K522" s="1" t="s">
        <v>1021</v>
      </c>
    </row>
    <row r="523" spans="1:11" hidden="1">
      <c r="A523" s="17" t="s">
        <v>134</v>
      </c>
      <c r="B523" s="19" t="s">
        <v>50</v>
      </c>
      <c r="C523" s="19" t="s">
        <v>174</v>
      </c>
      <c r="D523" s="19" t="s">
        <v>175</v>
      </c>
      <c r="E523" s="20" t="str">
        <f t="shared" si="12"/>
        <v>Standard</v>
      </c>
      <c r="F523" s="19" t="s">
        <v>174</v>
      </c>
      <c r="G523" s="19" t="s">
        <v>176</v>
      </c>
      <c r="H523" s="19" t="s">
        <v>32</v>
      </c>
      <c r="I523">
        <v>252531</v>
      </c>
      <c r="J523">
        <v>747</v>
      </c>
      <c r="K523" s="1" t="s">
        <v>1020</v>
      </c>
    </row>
    <row r="524" spans="1:11" hidden="1">
      <c r="A524" s="17" t="s">
        <v>134</v>
      </c>
      <c r="B524" s="19" t="s">
        <v>50</v>
      </c>
      <c r="C524" s="19" t="s">
        <v>177</v>
      </c>
      <c r="D524" s="19" t="s">
        <v>178</v>
      </c>
      <c r="E524" s="20" t="str">
        <f t="shared" si="12"/>
        <v>Standard</v>
      </c>
      <c r="F524" s="19" t="s">
        <v>177</v>
      </c>
      <c r="G524" s="19" t="s">
        <v>179</v>
      </c>
      <c r="H524" s="19" t="s">
        <v>32</v>
      </c>
      <c r="I524">
        <v>313441</v>
      </c>
      <c r="J524">
        <v>791</v>
      </c>
      <c r="K524" s="1" t="s">
        <v>1021</v>
      </c>
    </row>
    <row r="525" spans="1:11" hidden="1">
      <c r="A525" s="17" t="s">
        <v>134</v>
      </c>
      <c r="B525" s="19" t="s">
        <v>50</v>
      </c>
      <c r="C525" s="19" t="s">
        <v>180</v>
      </c>
      <c r="D525" s="19" t="s">
        <v>181</v>
      </c>
      <c r="E525" s="20" t="str">
        <f t="shared" si="12"/>
        <v>Standard</v>
      </c>
      <c r="F525" s="19" t="s">
        <v>180</v>
      </c>
      <c r="G525" s="19" t="s">
        <v>182</v>
      </c>
      <c r="H525" s="19" t="s">
        <v>32</v>
      </c>
      <c r="I525">
        <v>649101</v>
      </c>
      <c r="J525">
        <v>2486</v>
      </c>
      <c r="K525" s="1" t="s">
        <v>1020</v>
      </c>
    </row>
    <row r="526" spans="1:11" hidden="1">
      <c r="A526" s="17" t="s">
        <v>134</v>
      </c>
      <c r="B526" s="19" t="s">
        <v>50</v>
      </c>
      <c r="C526" s="19" t="s">
        <v>183</v>
      </c>
      <c r="D526" s="19" t="s">
        <v>184</v>
      </c>
      <c r="E526" s="20" t="s">
        <v>11</v>
      </c>
      <c r="F526" s="19" t="s">
        <v>786</v>
      </c>
      <c r="G526" s="19" t="s">
        <v>1705</v>
      </c>
      <c r="H526" s="19" t="s">
        <v>31</v>
      </c>
      <c r="I526">
        <v>1577</v>
      </c>
      <c r="J526">
        <v>0</v>
      </c>
      <c r="K526" s="1" t="s">
        <v>1021</v>
      </c>
    </row>
    <row r="527" spans="1:11" hidden="1">
      <c r="A527" s="17" t="s">
        <v>134</v>
      </c>
      <c r="B527" s="19" t="s">
        <v>50</v>
      </c>
      <c r="C527" s="19" t="s">
        <v>183</v>
      </c>
      <c r="D527" s="19" t="s">
        <v>184</v>
      </c>
      <c r="E527" s="20" t="str">
        <f>IF(I527&gt;J527,"Standard","Tracking")</f>
        <v>Standard</v>
      </c>
      <c r="F527" s="19" t="s">
        <v>183</v>
      </c>
      <c r="G527" s="19" t="s">
        <v>185</v>
      </c>
      <c r="H527" s="19" t="s">
        <v>32</v>
      </c>
      <c r="I527">
        <v>204633</v>
      </c>
      <c r="J527">
        <v>662</v>
      </c>
      <c r="K527" s="1" t="s">
        <v>1020</v>
      </c>
    </row>
    <row r="528" spans="1:11" hidden="1">
      <c r="A528" s="17" t="s">
        <v>134</v>
      </c>
      <c r="B528" s="19" t="s">
        <v>50</v>
      </c>
      <c r="C528" s="19" t="s">
        <v>186</v>
      </c>
      <c r="D528" s="19" t="s">
        <v>187</v>
      </c>
      <c r="E528" s="20" t="s">
        <v>11</v>
      </c>
      <c r="F528" s="19" t="s">
        <v>786</v>
      </c>
      <c r="G528" s="19" t="s">
        <v>1705</v>
      </c>
      <c r="H528" s="19" t="s">
        <v>31</v>
      </c>
      <c r="I528">
        <v>1602</v>
      </c>
      <c r="J528">
        <v>0</v>
      </c>
      <c r="K528" s="1" t="s">
        <v>1021</v>
      </c>
    </row>
    <row r="529" spans="1:11" hidden="1">
      <c r="A529" s="17" t="s">
        <v>134</v>
      </c>
      <c r="B529" s="19" t="s">
        <v>50</v>
      </c>
      <c r="C529" s="19" t="s">
        <v>186</v>
      </c>
      <c r="D529" s="19" t="s">
        <v>187</v>
      </c>
      <c r="E529" s="20" t="str">
        <f>IF(I529&gt;J529,"Standard","Tracking")</f>
        <v>Standard</v>
      </c>
      <c r="F529" s="19" t="s">
        <v>186</v>
      </c>
      <c r="G529" s="19" t="s">
        <v>188</v>
      </c>
      <c r="H529" s="19" t="s">
        <v>32</v>
      </c>
      <c r="I529">
        <v>258159</v>
      </c>
      <c r="J529">
        <v>970</v>
      </c>
      <c r="K529" s="1" t="s">
        <v>1020</v>
      </c>
    </row>
    <row r="530" spans="1:11" hidden="1">
      <c r="A530" s="17" t="s">
        <v>134</v>
      </c>
      <c r="B530" s="19" t="s">
        <v>50</v>
      </c>
      <c r="C530" s="19" t="s">
        <v>189</v>
      </c>
      <c r="D530" s="19" t="s">
        <v>190</v>
      </c>
      <c r="E530" s="20" t="s">
        <v>11</v>
      </c>
      <c r="F530" s="19" t="s">
        <v>786</v>
      </c>
      <c r="G530" s="19" t="s">
        <v>1705</v>
      </c>
      <c r="H530" s="19" t="s">
        <v>31</v>
      </c>
      <c r="I530">
        <v>1599</v>
      </c>
      <c r="J530">
        <v>0</v>
      </c>
      <c r="K530" s="1" t="s">
        <v>1021</v>
      </c>
    </row>
    <row r="531" spans="1:11" hidden="1">
      <c r="A531" s="17" t="s">
        <v>134</v>
      </c>
      <c r="B531" s="19" t="s">
        <v>50</v>
      </c>
      <c r="C531" s="19" t="s">
        <v>189</v>
      </c>
      <c r="D531" s="19" t="s">
        <v>190</v>
      </c>
      <c r="E531" s="20" t="str">
        <f>IF(I531&gt;J531,"Standard","Tracking")</f>
        <v>Standard</v>
      </c>
      <c r="F531" s="19" t="s">
        <v>189</v>
      </c>
      <c r="G531" s="19" t="s">
        <v>191</v>
      </c>
      <c r="H531" s="19" t="s">
        <v>32</v>
      </c>
      <c r="I531">
        <v>242730</v>
      </c>
      <c r="J531">
        <v>766</v>
      </c>
      <c r="K531" s="1" t="s">
        <v>1020</v>
      </c>
    </row>
    <row r="532" spans="1:11" hidden="1">
      <c r="A532" s="17" t="s">
        <v>134</v>
      </c>
      <c r="B532" s="19" t="s">
        <v>50</v>
      </c>
      <c r="C532" s="19" t="s">
        <v>192</v>
      </c>
      <c r="D532" s="19" t="s">
        <v>193</v>
      </c>
      <c r="E532" s="20" t="s">
        <v>11</v>
      </c>
      <c r="F532" s="19" t="s">
        <v>786</v>
      </c>
      <c r="G532" s="19" t="s">
        <v>1705</v>
      </c>
      <c r="H532" s="19" t="s">
        <v>31</v>
      </c>
      <c r="I532">
        <v>1536</v>
      </c>
      <c r="J532">
        <v>0</v>
      </c>
      <c r="K532" s="1" t="s">
        <v>1021</v>
      </c>
    </row>
    <row r="533" spans="1:11" hidden="1">
      <c r="A533" s="17" t="s">
        <v>134</v>
      </c>
      <c r="B533" s="19" t="s">
        <v>50</v>
      </c>
      <c r="C533" s="19" t="s">
        <v>192</v>
      </c>
      <c r="D533" s="19" t="s">
        <v>193</v>
      </c>
      <c r="E533" s="20" t="str">
        <f>IF(I533&gt;J533,"Standard","Tracking")</f>
        <v>Standard</v>
      </c>
      <c r="F533" s="19" t="s">
        <v>192</v>
      </c>
      <c r="G533" s="19" t="s">
        <v>194</v>
      </c>
      <c r="H533" s="19" t="s">
        <v>32</v>
      </c>
      <c r="I533">
        <v>291282</v>
      </c>
      <c r="J533">
        <v>908</v>
      </c>
      <c r="K533" s="1" t="s">
        <v>1020</v>
      </c>
    </row>
    <row r="534" spans="1:11" hidden="1">
      <c r="A534" s="17" t="s">
        <v>134</v>
      </c>
      <c r="B534" s="19" t="s">
        <v>50</v>
      </c>
      <c r="C534" s="19" t="s">
        <v>195</v>
      </c>
      <c r="D534" s="19" t="s">
        <v>196</v>
      </c>
      <c r="E534" s="20" t="s">
        <v>11</v>
      </c>
      <c r="F534" s="19" t="s">
        <v>786</v>
      </c>
      <c r="G534" s="19" t="s">
        <v>1705</v>
      </c>
      <c r="H534" s="19" t="s">
        <v>31</v>
      </c>
      <c r="I534">
        <v>1680</v>
      </c>
      <c r="J534">
        <v>0</v>
      </c>
      <c r="K534" s="1" t="s">
        <v>1021</v>
      </c>
    </row>
    <row r="535" spans="1:11" hidden="1">
      <c r="A535" s="17" t="s">
        <v>134</v>
      </c>
      <c r="B535" s="19" t="s">
        <v>50</v>
      </c>
      <c r="C535" s="19" t="s">
        <v>195</v>
      </c>
      <c r="D535" s="19" t="s">
        <v>196</v>
      </c>
      <c r="E535" s="20" t="str">
        <f>IF(I535&gt;J535,"Standard","Tracking")</f>
        <v>Standard</v>
      </c>
      <c r="F535" s="19" t="s">
        <v>197</v>
      </c>
      <c r="G535" s="19" t="s">
        <v>198</v>
      </c>
      <c r="H535" s="19" t="s">
        <v>32</v>
      </c>
      <c r="I535">
        <v>225810</v>
      </c>
      <c r="J535">
        <v>750</v>
      </c>
      <c r="K535" s="1" t="s">
        <v>1020</v>
      </c>
    </row>
    <row r="536" spans="1:11" hidden="1">
      <c r="A536" s="17" t="s">
        <v>134</v>
      </c>
      <c r="B536" s="19" t="s">
        <v>50</v>
      </c>
      <c r="C536" s="19" t="s">
        <v>199</v>
      </c>
      <c r="D536" s="19" t="s">
        <v>200</v>
      </c>
      <c r="E536" s="20" t="s">
        <v>11</v>
      </c>
      <c r="F536" s="19" t="s">
        <v>786</v>
      </c>
      <c r="G536" s="19" t="s">
        <v>1705</v>
      </c>
      <c r="H536" s="19" t="s">
        <v>31</v>
      </c>
      <c r="I536">
        <v>1625</v>
      </c>
      <c r="J536">
        <v>0</v>
      </c>
      <c r="K536" s="1" t="s">
        <v>1021</v>
      </c>
    </row>
    <row r="537" spans="1:11" hidden="1">
      <c r="A537" s="17" t="s">
        <v>134</v>
      </c>
      <c r="B537" s="19" t="s">
        <v>50</v>
      </c>
      <c r="C537" s="19" t="s">
        <v>199</v>
      </c>
      <c r="D537" s="19" t="s">
        <v>200</v>
      </c>
      <c r="E537" s="20" t="str">
        <f>IF(I537&gt;J537,"Standard","Tracking")</f>
        <v>Standard</v>
      </c>
      <c r="F537" s="19" t="s">
        <v>199</v>
      </c>
      <c r="G537" s="19" t="s">
        <v>201</v>
      </c>
      <c r="H537" s="19" t="s">
        <v>32</v>
      </c>
      <c r="I537">
        <v>204381</v>
      </c>
      <c r="J537">
        <v>578</v>
      </c>
      <c r="K537" s="1" t="s">
        <v>1020</v>
      </c>
    </row>
    <row r="538" spans="1:11" hidden="1">
      <c r="A538" s="17" t="s">
        <v>134</v>
      </c>
      <c r="B538" s="19" t="s">
        <v>50</v>
      </c>
      <c r="C538" s="19" t="s">
        <v>202</v>
      </c>
      <c r="D538" s="19" t="s">
        <v>203</v>
      </c>
      <c r="E538" s="20" t="s">
        <v>11</v>
      </c>
      <c r="F538" s="19" t="s">
        <v>786</v>
      </c>
      <c r="G538" s="19" t="s">
        <v>1705</v>
      </c>
      <c r="H538" s="19" t="s">
        <v>31</v>
      </c>
      <c r="I538">
        <v>1722</v>
      </c>
      <c r="J538">
        <v>0</v>
      </c>
      <c r="K538" s="1" t="s">
        <v>1021</v>
      </c>
    </row>
    <row r="539" spans="1:11" hidden="1">
      <c r="A539" s="17" t="s">
        <v>134</v>
      </c>
      <c r="B539" s="19" t="s">
        <v>50</v>
      </c>
      <c r="C539" s="19" t="s">
        <v>202</v>
      </c>
      <c r="D539" s="19" t="s">
        <v>203</v>
      </c>
      <c r="E539" s="20" t="str">
        <f>IF(I539&gt;J539,"Standard","Tracking")</f>
        <v>Standard</v>
      </c>
      <c r="F539" s="19" t="s">
        <v>202</v>
      </c>
      <c r="G539" s="19" t="s">
        <v>204</v>
      </c>
      <c r="H539" s="19" t="s">
        <v>32</v>
      </c>
      <c r="I539">
        <v>184432</v>
      </c>
      <c r="J539">
        <v>506</v>
      </c>
      <c r="K539" s="1" t="s">
        <v>1020</v>
      </c>
    </row>
    <row r="540" spans="1:11" hidden="1">
      <c r="A540" s="17" t="s">
        <v>134</v>
      </c>
      <c r="B540" s="19" t="s">
        <v>50</v>
      </c>
      <c r="C540" s="19" t="s">
        <v>205</v>
      </c>
      <c r="D540" s="19" t="s">
        <v>206</v>
      </c>
      <c r="E540" s="20" t="s">
        <v>11</v>
      </c>
      <c r="F540" s="19" t="s">
        <v>786</v>
      </c>
      <c r="G540" s="19" t="s">
        <v>1705</v>
      </c>
      <c r="H540" s="19" t="s">
        <v>31</v>
      </c>
      <c r="I540">
        <v>1558</v>
      </c>
      <c r="J540">
        <v>0</v>
      </c>
      <c r="K540" s="1" t="s">
        <v>1021</v>
      </c>
    </row>
    <row r="541" spans="1:11" hidden="1">
      <c r="A541" s="17" t="s">
        <v>134</v>
      </c>
      <c r="B541" s="19" t="s">
        <v>50</v>
      </c>
      <c r="C541" s="19" t="s">
        <v>205</v>
      </c>
      <c r="D541" s="19" t="s">
        <v>206</v>
      </c>
      <c r="E541" s="20" t="str">
        <f t="shared" ref="E541:E556" si="13">IF(I541&gt;J541,"Standard","Tracking")</f>
        <v>Standard</v>
      </c>
      <c r="F541" s="19" t="s">
        <v>205</v>
      </c>
      <c r="G541" s="19" t="s">
        <v>207</v>
      </c>
      <c r="H541" s="19" t="s">
        <v>32</v>
      </c>
      <c r="I541">
        <v>189270</v>
      </c>
      <c r="J541">
        <v>522</v>
      </c>
      <c r="K541" s="1" t="s">
        <v>1020</v>
      </c>
    </row>
    <row r="542" spans="1:11" hidden="1">
      <c r="A542" s="17" t="s">
        <v>134</v>
      </c>
      <c r="B542" s="19" t="s">
        <v>50</v>
      </c>
      <c r="C542" s="19" t="s">
        <v>208</v>
      </c>
      <c r="D542" s="19" t="s">
        <v>209</v>
      </c>
      <c r="E542" s="20" t="str">
        <f t="shared" si="13"/>
        <v>Standard</v>
      </c>
      <c r="F542" s="19" t="s">
        <v>208</v>
      </c>
      <c r="G542" s="19" t="s">
        <v>210</v>
      </c>
      <c r="H542" s="19" t="s">
        <v>32</v>
      </c>
      <c r="I542">
        <v>1156320</v>
      </c>
      <c r="J542">
        <v>7170</v>
      </c>
      <c r="K542" s="1" t="s">
        <v>1021</v>
      </c>
    </row>
    <row r="543" spans="1:11" hidden="1">
      <c r="A543" s="17" t="s">
        <v>134</v>
      </c>
      <c r="B543" s="19" t="s">
        <v>50</v>
      </c>
      <c r="C543" s="19" t="s">
        <v>211</v>
      </c>
      <c r="D543" s="19" t="s">
        <v>212</v>
      </c>
      <c r="E543" s="20" t="str">
        <f t="shared" si="13"/>
        <v>Standard</v>
      </c>
      <c r="F543" s="19" t="s">
        <v>211</v>
      </c>
      <c r="G543" s="19" t="s">
        <v>213</v>
      </c>
      <c r="H543" s="19" t="s">
        <v>32</v>
      </c>
      <c r="I543">
        <v>113083</v>
      </c>
      <c r="J543">
        <v>449</v>
      </c>
      <c r="K543" s="1" t="s">
        <v>1020</v>
      </c>
    </row>
    <row r="544" spans="1:11" hidden="1">
      <c r="A544" s="17" t="s">
        <v>134</v>
      </c>
      <c r="B544" s="19" t="s">
        <v>50</v>
      </c>
      <c r="C544" s="19" t="s">
        <v>214</v>
      </c>
      <c r="D544" s="19" t="s">
        <v>215</v>
      </c>
      <c r="E544" s="20" t="str">
        <f t="shared" si="13"/>
        <v>Standard</v>
      </c>
      <c r="F544" s="19" t="s">
        <v>214</v>
      </c>
      <c r="G544" s="19" t="s">
        <v>216</v>
      </c>
      <c r="H544" s="19" t="s">
        <v>32</v>
      </c>
      <c r="I544">
        <v>112997</v>
      </c>
      <c r="J544">
        <v>455</v>
      </c>
      <c r="K544" s="1" t="s">
        <v>1021</v>
      </c>
    </row>
    <row r="545" spans="1:11" hidden="1">
      <c r="A545" s="17" t="s">
        <v>134</v>
      </c>
      <c r="B545" s="19" t="s">
        <v>50</v>
      </c>
      <c r="C545" s="19" t="s">
        <v>217</v>
      </c>
      <c r="D545" s="19" t="s">
        <v>218</v>
      </c>
      <c r="E545" s="20" t="str">
        <f t="shared" si="13"/>
        <v>Standard</v>
      </c>
      <c r="F545" s="19" t="s">
        <v>217</v>
      </c>
      <c r="G545" s="19" t="s">
        <v>219</v>
      </c>
      <c r="H545" s="19" t="s">
        <v>32</v>
      </c>
      <c r="I545">
        <v>13669</v>
      </c>
      <c r="J545">
        <v>12</v>
      </c>
      <c r="K545" s="1" t="s">
        <v>1020</v>
      </c>
    </row>
    <row r="546" spans="1:11" hidden="1">
      <c r="A546" s="17" t="s">
        <v>134</v>
      </c>
      <c r="B546" s="19" t="s">
        <v>50</v>
      </c>
      <c r="C546" s="19" t="s">
        <v>220</v>
      </c>
      <c r="D546" s="19" t="s">
        <v>221</v>
      </c>
      <c r="E546" s="20" t="str">
        <f t="shared" si="13"/>
        <v>Standard</v>
      </c>
      <c r="F546" s="19" t="s">
        <v>220</v>
      </c>
      <c r="G546" s="19" t="s">
        <v>222</v>
      </c>
      <c r="H546" s="19" t="s">
        <v>32</v>
      </c>
      <c r="I546">
        <v>248781</v>
      </c>
      <c r="J546">
        <v>590</v>
      </c>
      <c r="K546" s="1" t="s">
        <v>1021</v>
      </c>
    </row>
    <row r="547" spans="1:11" hidden="1">
      <c r="A547" s="17" t="s">
        <v>134</v>
      </c>
      <c r="B547" s="19" t="s">
        <v>50</v>
      </c>
      <c r="C547" s="19" t="s">
        <v>223</v>
      </c>
      <c r="D547" s="19" t="s">
        <v>224</v>
      </c>
      <c r="E547" s="20" t="str">
        <f t="shared" si="13"/>
        <v>Standard</v>
      </c>
      <c r="F547" s="19" t="s">
        <v>223</v>
      </c>
      <c r="G547" s="19" t="s">
        <v>225</v>
      </c>
      <c r="H547" s="19" t="s">
        <v>32</v>
      </c>
      <c r="I547">
        <v>31164</v>
      </c>
      <c r="J547">
        <v>130</v>
      </c>
      <c r="K547" s="1" t="s">
        <v>1020</v>
      </c>
    </row>
    <row r="548" spans="1:11" hidden="1">
      <c r="A548" s="17" t="s">
        <v>134</v>
      </c>
      <c r="B548" s="19" t="s">
        <v>50</v>
      </c>
      <c r="C548" s="19" t="s">
        <v>1706</v>
      </c>
      <c r="D548" s="19" t="s">
        <v>1707</v>
      </c>
      <c r="E548" s="20" t="str">
        <f t="shared" si="13"/>
        <v>Standard</v>
      </c>
      <c r="F548" s="19" t="s">
        <v>1706</v>
      </c>
      <c r="G548" s="19" t="s">
        <v>1708</v>
      </c>
      <c r="H548" s="19" t="s">
        <v>32</v>
      </c>
      <c r="I548">
        <v>90637</v>
      </c>
      <c r="J548">
        <v>553</v>
      </c>
      <c r="K548" s="1" t="s">
        <v>1021</v>
      </c>
    </row>
    <row r="549" spans="1:11" hidden="1">
      <c r="A549" s="17" t="s">
        <v>134</v>
      </c>
      <c r="B549" s="19" t="s">
        <v>50</v>
      </c>
      <c r="C549" s="19" t="s">
        <v>226</v>
      </c>
      <c r="D549" s="19" t="s">
        <v>227</v>
      </c>
      <c r="E549" s="20" t="str">
        <f t="shared" si="13"/>
        <v>Standard</v>
      </c>
      <c r="F549" s="19" t="s">
        <v>226</v>
      </c>
      <c r="G549" s="19" t="s">
        <v>228</v>
      </c>
      <c r="H549" s="19" t="s">
        <v>32</v>
      </c>
      <c r="I549">
        <v>148359</v>
      </c>
      <c r="J549">
        <v>299</v>
      </c>
      <c r="K549" s="1" t="s">
        <v>1020</v>
      </c>
    </row>
    <row r="550" spans="1:11" hidden="1">
      <c r="A550" s="17" t="s">
        <v>134</v>
      </c>
      <c r="B550" s="19" t="s">
        <v>50</v>
      </c>
      <c r="C550" s="19" t="s">
        <v>229</v>
      </c>
      <c r="D550" s="19" t="s">
        <v>230</v>
      </c>
      <c r="E550" s="20" t="str">
        <f t="shared" si="13"/>
        <v>Standard</v>
      </c>
      <c r="F550" s="19" t="s">
        <v>229</v>
      </c>
      <c r="G550" s="19" t="s">
        <v>231</v>
      </c>
      <c r="H550" s="19" t="s">
        <v>32</v>
      </c>
      <c r="I550">
        <v>285984</v>
      </c>
      <c r="J550">
        <v>1239</v>
      </c>
      <c r="K550" s="1" t="s">
        <v>1021</v>
      </c>
    </row>
    <row r="551" spans="1:11" hidden="1">
      <c r="A551" s="17" t="s">
        <v>134</v>
      </c>
      <c r="B551" s="19" t="s">
        <v>50</v>
      </c>
      <c r="C551" s="19" t="s">
        <v>232</v>
      </c>
      <c r="D551" s="19" t="s">
        <v>233</v>
      </c>
      <c r="E551" s="20" t="str">
        <f t="shared" si="13"/>
        <v>Standard</v>
      </c>
      <c r="F551" s="19" t="s">
        <v>232</v>
      </c>
      <c r="G551" s="19" t="s">
        <v>234</v>
      </c>
      <c r="H551" s="19" t="s">
        <v>32</v>
      </c>
      <c r="I551">
        <v>284048</v>
      </c>
      <c r="J551">
        <v>1581</v>
      </c>
      <c r="K551" s="1" t="s">
        <v>1020</v>
      </c>
    </row>
    <row r="552" spans="1:11" hidden="1">
      <c r="A552" s="17" t="s">
        <v>134</v>
      </c>
      <c r="B552" s="19" t="s">
        <v>50</v>
      </c>
      <c r="C552" s="19" t="s">
        <v>235</v>
      </c>
      <c r="D552" s="19" t="s">
        <v>236</v>
      </c>
      <c r="E552" s="20" t="str">
        <f t="shared" si="13"/>
        <v>Standard</v>
      </c>
      <c r="F552" s="19" t="s">
        <v>235</v>
      </c>
      <c r="G552" s="19" t="s">
        <v>237</v>
      </c>
      <c r="H552" s="19" t="s">
        <v>32</v>
      </c>
      <c r="I552">
        <v>119589</v>
      </c>
      <c r="J552">
        <v>611</v>
      </c>
      <c r="K552" s="1" t="s">
        <v>1021</v>
      </c>
    </row>
    <row r="553" spans="1:11" hidden="1">
      <c r="A553" s="17" t="s">
        <v>134</v>
      </c>
      <c r="B553" s="19" t="s">
        <v>50</v>
      </c>
      <c r="C553" s="19" t="s">
        <v>238</v>
      </c>
      <c r="D553" s="19" t="s">
        <v>239</v>
      </c>
      <c r="E553" s="20" t="str">
        <f t="shared" si="13"/>
        <v>Standard</v>
      </c>
      <c r="F553" s="19" t="s">
        <v>235</v>
      </c>
      <c r="G553" s="19" t="s">
        <v>240</v>
      </c>
      <c r="H553" s="19" t="s">
        <v>32</v>
      </c>
      <c r="I553">
        <v>225330</v>
      </c>
      <c r="J553">
        <v>1069</v>
      </c>
      <c r="K553" s="1" t="s">
        <v>1020</v>
      </c>
    </row>
    <row r="554" spans="1:11" hidden="1">
      <c r="A554" s="17" t="s">
        <v>134</v>
      </c>
      <c r="B554" s="19" t="s">
        <v>50</v>
      </c>
      <c r="C554" s="19" t="s">
        <v>241</v>
      </c>
      <c r="D554" s="19" t="s">
        <v>242</v>
      </c>
      <c r="E554" s="20" t="str">
        <f t="shared" si="13"/>
        <v>Standard</v>
      </c>
      <c r="F554" s="19" t="s">
        <v>241</v>
      </c>
      <c r="G554" s="19" t="s">
        <v>243</v>
      </c>
      <c r="H554" s="19" t="s">
        <v>32</v>
      </c>
      <c r="I554">
        <v>225272</v>
      </c>
      <c r="J554">
        <v>1061</v>
      </c>
      <c r="K554" s="1" t="s">
        <v>1021</v>
      </c>
    </row>
    <row r="555" spans="1:11" hidden="1">
      <c r="A555" s="17" t="s">
        <v>134</v>
      </c>
      <c r="B555" s="19" t="s">
        <v>50</v>
      </c>
      <c r="C555" s="19" t="s">
        <v>244</v>
      </c>
      <c r="D555" s="19" t="s">
        <v>245</v>
      </c>
      <c r="E555" s="20" t="str">
        <f t="shared" si="13"/>
        <v>Standard</v>
      </c>
      <c r="F555" s="19" t="s">
        <v>244</v>
      </c>
      <c r="G555" s="19" t="s">
        <v>246</v>
      </c>
      <c r="H555" s="19" t="s">
        <v>32</v>
      </c>
      <c r="I555">
        <v>555373</v>
      </c>
      <c r="J555">
        <v>1417</v>
      </c>
      <c r="K555" s="1" t="s">
        <v>1020</v>
      </c>
    </row>
    <row r="556" spans="1:11" hidden="1">
      <c r="A556" s="17" t="s">
        <v>134</v>
      </c>
      <c r="B556" s="19" t="s">
        <v>50</v>
      </c>
      <c r="C556" s="19" t="s">
        <v>247</v>
      </c>
      <c r="D556" s="19" t="s">
        <v>248</v>
      </c>
      <c r="E556" s="20" t="str">
        <f t="shared" si="13"/>
        <v>Standard</v>
      </c>
      <c r="F556" s="19" t="s">
        <v>247</v>
      </c>
      <c r="G556" s="19" t="s">
        <v>249</v>
      </c>
      <c r="H556" s="19" t="s">
        <v>32</v>
      </c>
      <c r="I556">
        <v>109188</v>
      </c>
      <c r="J556">
        <v>480</v>
      </c>
      <c r="K556" s="1" t="s">
        <v>1021</v>
      </c>
    </row>
    <row r="557" spans="1:11" hidden="1">
      <c r="A557" s="17" t="s">
        <v>134</v>
      </c>
      <c r="B557" s="19" t="s">
        <v>50</v>
      </c>
      <c r="C557" s="19" t="s">
        <v>2534</v>
      </c>
      <c r="D557" s="19" t="s">
        <v>2535</v>
      </c>
      <c r="E557" s="20" t="s">
        <v>12</v>
      </c>
      <c r="F557" s="19" t="s">
        <v>2536</v>
      </c>
      <c r="G557" s="19" t="s">
        <v>2537</v>
      </c>
      <c r="H557" s="19" t="s">
        <v>31</v>
      </c>
      <c r="I557">
        <v>1</v>
      </c>
      <c r="J557">
        <v>0</v>
      </c>
      <c r="K557" s="1" t="s">
        <v>1020</v>
      </c>
    </row>
    <row r="558" spans="1:11" hidden="1">
      <c r="A558" s="17" t="s">
        <v>134</v>
      </c>
      <c r="B558" s="19" t="s">
        <v>50</v>
      </c>
      <c r="C558" s="19" t="s">
        <v>2538</v>
      </c>
      <c r="D558" s="19" t="s">
        <v>2539</v>
      </c>
      <c r="E558" s="20" t="str">
        <f t="shared" ref="E558:E600" si="14">IF(I558&gt;J558,"Standard","Tracking")</f>
        <v>Standard</v>
      </c>
      <c r="F558" s="19" t="s">
        <v>2538</v>
      </c>
      <c r="G558" s="19" t="s">
        <v>2540</v>
      </c>
      <c r="H558" s="19" t="s">
        <v>32</v>
      </c>
      <c r="I558">
        <v>17</v>
      </c>
      <c r="J558">
        <v>3</v>
      </c>
      <c r="K558" s="1" t="s">
        <v>1021</v>
      </c>
    </row>
    <row r="559" spans="1:11" hidden="1">
      <c r="A559" s="17" t="s">
        <v>134</v>
      </c>
      <c r="B559" s="19" t="s">
        <v>50</v>
      </c>
      <c r="C559" s="19" t="s">
        <v>2541</v>
      </c>
      <c r="D559" s="19" t="s">
        <v>2542</v>
      </c>
      <c r="E559" s="20" t="str">
        <f t="shared" si="14"/>
        <v>Tracking</v>
      </c>
      <c r="F559" s="19" t="s">
        <v>2541</v>
      </c>
      <c r="G559" s="19" t="s">
        <v>2543</v>
      </c>
      <c r="H559" s="19" t="s">
        <v>32</v>
      </c>
      <c r="I559">
        <v>0</v>
      </c>
      <c r="J559">
        <v>1</v>
      </c>
      <c r="K559" s="1" t="s">
        <v>1020</v>
      </c>
    </row>
    <row r="560" spans="1:11" hidden="1">
      <c r="A560" s="17" t="s">
        <v>134</v>
      </c>
      <c r="B560" s="19" t="s">
        <v>50</v>
      </c>
      <c r="C560" s="19" t="s">
        <v>2544</v>
      </c>
      <c r="D560" s="19" t="s">
        <v>2545</v>
      </c>
      <c r="E560" s="20" t="str">
        <f t="shared" si="14"/>
        <v>Standard</v>
      </c>
      <c r="F560" s="19" t="s">
        <v>2544</v>
      </c>
      <c r="G560" s="19" t="s">
        <v>2546</v>
      </c>
      <c r="H560" s="19" t="s">
        <v>32</v>
      </c>
      <c r="I560">
        <v>18</v>
      </c>
      <c r="J560">
        <v>4</v>
      </c>
      <c r="K560" s="1" t="s">
        <v>1021</v>
      </c>
    </row>
    <row r="561" spans="1:11" hidden="1">
      <c r="A561" s="17" t="s">
        <v>134</v>
      </c>
      <c r="B561" s="19" t="s">
        <v>50</v>
      </c>
      <c r="C561" s="19" t="s">
        <v>250</v>
      </c>
      <c r="D561" s="19" t="s">
        <v>251</v>
      </c>
      <c r="E561" s="20" t="str">
        <f t="shared" si="14"/>
        <v>Tracking</v>
      </c>
      <c r="F561" s="19" t="s">
        <v>250</v>
      </c>
      <c r="G561" s="19" t="s">
        <v>252</v>
      </c>
      <c r="H561" s="19" t="s">
        <v>32</v>
      </c>
      <c r="I561">
        <v>0</v>
      </c>
      <c r="J561">
        <v>2</v>
      </c>
      <c r="K561" s="1" t="s">
        <v>1020</v>
      </c>
    </row>
    <row r="562" spans="1:11" hidden="1">
      <c r="A562" s="17" t="s">
        <v>134</v>
      </c>
      <c r="B562" s="19" t="s">
        <v>253</v>
      </c>
      <c r="C562" s="19" t="s">
        <v>254</v>
      </c>
      <c r="D562" s="19" t="s">
        <v>255</v>
      </c>
      <c r="E562" s="20" t="str">
        <f t="shared" si="14"/>
        <v>Tracking</v>
      </c>
      <c r="F562" s="19" t="s">
        <v>254</v>
      </c>
      <c r="G562" s="19" t="s">
        <v>256</v>
      </c>
      <c r="H562" s="19" t="s">
        <v>32</v>
      </c>
      <c r="I562">
        <v>0</v>
      </c>
      <c r="J562">
        <v>4789</v>
      </c>
      <c r="K562" s="1" t="s">
        <v>1021</v>
      </c>
    </row>
    <row r="563" spans="1:11" hidden="1">
      <c r="A563" s="17" t="s">
        <v>134</v>
      </c>
      <c r="B563" s="19" t="s">
        <v>253</v>
      </c>
      <c r="C563" s="19" t="s">
        <v>257</v>
      </c>
      <c r="D563" s="19" t="s">
        <v>258</v>
      </c>
      <c r="E563" s="20" t="str">
        <f t="shared" si="14"/>
        <v>Tracking</v>
      </c>
      <c r="F563" s="19" t="s">
        <v>257</v>
      </c>
      <c r="G563" s="19" t="s">
        <v>259</v>
      </c>
      <c r="H563" s="19" t="s">
        <v>32</v>
      </c>
      <c r="I563">
        <v>0</v>
      </c>
      <c r="J563">
        <v>25378</v>
      </c>
      <c r="K563" s="1" t="s">
        <v>1020</v>
      </c>
    </row>
    <row r="564" spans="1:11" hidden="1">
      <c r="A564" s="17" t="s">
        <v>134</v>
      </c>
      <c r="B564" s="19" t="s">
        <v>253</v>
      </c>
      <c r="C564" s="19" t="s">
        <v>260</v>
      </c>
      <c r="D564" s="19" t="s">
        <v>261</v>
      </c>
      <c r="E564" s="20" t="str">
        <f t="shared" si="14"/>
        <v>Tracking</v>
      </c>
      <c r="F564" s="19" t="s">
        <v>260</v>
      </c>
      <c r="G564" s="19" t="s">
        <v>262</v>
      </c>
      <c r="H564" s="19" t="s">
        <v>32</v>
      </c>
      <c r="I564">
        <v>0</v>
      </c>
      <c r="J564">
        <v>2790</v>
      </c>
      <c r="K564" s="1" t="s">
        <v>1021</v>
      </c>
    </row>
    <row r="565" spans="1:11" hidden="1">
      <c r="A565" s="17" t="s">
        <v>134</v>
      </c>
      <c r="B565" s="19" t="s">
        <v>253</v>
      </c>
      <c r="C565" s="19" t="s">
        <v>263</v>
      </c>
      <c r="D565" s="19" t="s">
        <v>264</v>
      </c>
      <c r="E565" s="20" t="str">
        <f t="shared" si="14"/>
        <v>Tracking</v>
      </c>
      <c r="F565" s="19" t="s">
        <v>263</v>
      </c>
      <c r="G565" s="19" t="s">
        <v>265</v>
      </c>
      <c r="H565" s="19" t="s">
        <v>32</v>
      </c>
      <c r="I565">
        <v>0</v>
      </c>
      <c r="J565">
        <v>1014</v>
      </c>
      <c r="K565" s="1" t="s">
        <v>1020</v>
      </c>
    </row>
    <row r="566" spans="1:11" hidden="1">
      <c r="A566" s="17" t="s">
        <v>134</v>
      </c>
      <c r="B566" s="19" t="s">
        <v>253</v>
      </c>
      <c r="C566" s="19" t="s">
        <v>266</v>
      </c>
      <c r="D566" s="19" t="s">
        <v>267</v>
      </c>
      <c r="E566" s="20" t="str">
        <f t="shared" si="14"/>
        <v>Tracking</v>
      </c>
      <c r="F566" s="19" t="s">
        <v>266</v>
      </c>
      <c r="G566" s="19" t="s">
        <v>268</v>
      </c>
      <c r="H566" s="19" t="s">
        <v>32</v>
      </c>
      <c r="I566">
        <v>0</v>
      </c>
      <c r="J566">
        <v>6488</v>
      </c>
      <c r="K566" s="1" t="s">
        <v>1021</v>
      </c>
    </row>
    <row r="567" spans="1:11" hidden="1">
      <c r="A567" s="17" t="s">
        <v>134</v>
      </c>
      <c r="B567" s="19" t="s">
        <v>253</v>
      </c>
      <c r="C567" s="19" t="s">
        <v>269</v>
      </c>
      <c r="D567" s="19" t="s">
        <v>270</v>
      </c>
      <c r="E567" s="20" t="str">
        <f t="shared" si="14"/>
        <v>Tracking</v>
      </c>
      <c r="F567" s="19" t="s">
        <v>269</v>
      </c>
      <c r="G567" s="19" t="s">
        <v>271</v>
      </c>
      <c r="H567" s="19" t="s">
        <v>32</v>
      </c>
      <c r="I567">
        <v>0</v>
      </c>
      <c r="J567">
        <v>15213</v>
      </c>
      <c r="K567" s="1" t="s">
        <v>1020</v>
      </c>
    </row>
    <row r="568" spans="1:11" hidden="1">
      <c r="A568" s="17" t="s">
        <v>134</v>
      </c>
      <c r="B568" s="19" t="s">
        <v>253</v>
      </c>
      <c r="C568" s="19" t="s">
        <v>272</v>
      </c>
      <c r="D568" s="19" t="s">
        <v>2547</v>
      </c>
      <c r="E568" s="20" t="str">
        <f t="shared" si="14"/>
        <v>Tracking</v>
      </c>
      <c r="F568" s="19" t="s">
        <v>272</v>
      </c>
      <c r="G568" s="19" t="s">
        <v>2548</v>
      </c>
      <c r="H568" s="19" t="s">
        <v>32</v>
      </c>
      <c r="I568">
        <v>0</v>
      </c>
      <c r="J568">
        <v>61</v>
      </c>
      <c r="K568" s="1" t="s">
        <v>1021</v>
      </c>
    </row>
    <row r="569" spans="1:11" hidden="1">
      <c r="A569" s="17" t="s">
        <v>134</v>
      </c>
      <c r="B569" s="19" t="s">
        <v>253</v>
      </c>
      <c r="C569" s="19" t="s">
        <v>273</v>
      </c>
      <c r="D569" s="19" t="s">
        <v>274</v>
      </c>
      <c r="E569" s="20" t="str">
        <f t="shared" si="14"/>
        <v>Tracking</v>
      </c>
      <c r="F569" s="19" t="s">
        <v>272</v>
      </c>
      <c r="G569" s="19" t="s">
        <v>275</v>
      </c>
      <c r="H569" s="19" t="s">
        <v>32</v>
      </c>
      <c r="I569">
        <v>0</v>
      </c>
      <c r="J569">
        <v>1788</v>
      </c>
      <c r="K569" s="1" t="s">
        <v>1020</v>
      </c>
    </row>
    <row r="570" spans="1:11" hidden="1">
      <c r="A570" s="17" t="s">
        <v>134</v>
      </c>
      <c r="B570" s="19" t="s">
        <v>253</v>
      </c>
      <c r="C570" s="19" t="s">
        <v>276</v>
      </c>
      <c r="D570" s="19" t="s">
        <v>277</v>
      </c>
      <c r="E570" s="20" t="str">
        <f t="shared" si="14"/>
        <v>Tracking</v>
      </c>
      <c r="F570" s="19" t="s">
        <v>276</v>
      </c>
      <c r="G570" s="19" t="s">
        <v>278</v>
      </c>
      <c r="H570" s="19" t="s">
        <v>32</v>
      </c>
      <c r="I570">
        <v>0</v>
      </c>
      <c r="J570">
        <v>5472</v>
      </c>
      <c r="K570" s="1" t="s">
        <v>1021</v>
      </c>
    </row>
    <row r="571" spans="1:11" hidden="1">
      <c r="A571" s="17" t="s">
        <v>134</v>
      </c>
      <c r="B571" s="19" t="s">
        <v>253</v>
      </c>
      <c r="C571" s="19" t="s">
        <v>279</v>
      </c>
      <c r="D571" s="19" t="s">
        <v>280</v>
      </c>
      <c r="E571" s="20" t="str">
        <f t="shared" si="14"/>
        <v>Tracking</v>
      </c>
      <c r="F571" s="19" t="s">
        <v>279</v>
      </c>
      <c r="G571" s="19" t="s">
        <v>281</v>
      </c>
      <c r="H571" s="19" t="s">
        <v>32</v>
      </c>
      <c r="I571">
        <v>0</v>
      </c>
      <c r="J571">
        <v>5441</v>
      </c>
      <c r="K571" s="1" t="s">
        <v>1020</v>
      </c>
    </row>
    <row r="572" spans="1:11" hidden="1">
      <c r="A572" s="17" t="s">
        <v>134</v>
      </c>
      <c r="B572" s="19" t="s">
        <v>253</v>
      </c>
      <c r="C572" s="19" t="s">
        <v>282</v>
      </c>
      <c r="D572" s="19" t="s">
        <v>283</v>
      </c>
      <c r="E572" s="20" t="str">
        <f t="shared" si="14"/>
        <v>Tracking</v>
      </c>
      <c r="F572" s="19" t="s">
        <v>282</v>
      </c>
      <c r="G572" s="19" t="s">
        <v>284</v>
      </c>
      <c r="H572" s="19" t="s">
        <v>32</v>
      </c>
      <c r="I572">
        <v>0</v>
      </c>
      <c r="J572">
        <v>2816</v>
      </c>
      <c r="K572" s="1" t="s">
        <v>1021</v>
      </c>
    </row>
    <row r="573" spans="1:11" hidden="1">
      <c r="A573" s="17" t="s">
        <v>134</v>
      </c>
      <c r="B573" s="19" t="s">
        <v>253</v>
      </c>
      <c r="C573" s="19" t="s">
        <v>285</v>
      </c>
      <c r="D573" s="19" t="s">
        <v>286</v>
      </c>
      <c r="E573" s="20" t="str">
        <f t="shared" si="14"/>
        <v>Tracking</v>
      </c>
      <c r="F573" s="19" t="s">
        <v>285</v>
      </c>
      <c r="G573" s="19" t="s">
        <v>287</v>
      </c>
      <c r="H573" s="19" t="s">
        <v>32</v>
      </c>
      <c r="I573">
        <v>0</v>
      </c>
      <c r="J573">
        <v>149278</v>
      </c>
      <c r="K573" s="1" t="s">
        <v>1020</v>
      </c>
    </row>
    <row r="574" spans="1:11" hidden="1">
      <c r="A574" s="17" t="s">
        <v>134</v>
      </c>
      <c r="B574" s="19" t="s">
        <v>253</v>
      </c>
      <c r="C574" s="19" t="s">
        <v>288</v>
      </c>
      <c r="D574" s="19" t="s">
        <v>289</v>
      </c>
      <c r="E574" s="20" t="str">
        <f t="shared" si="14"/>
        <v>Tracking</v>
      </c>
      <c r="F574" s="19" t="s">
        <v>288</v>
      </c>
      <c r="G574" s="19" t="s">
        <v>290</v>
      </c>
      <c r="H574" s="19" t="s">
        <v>32</v>
      </c>
      <c r="I574">
        <v>0</v>
      </c>
      <c r="J574">
        <v>71096</v>
      </c>
      <c r="K574" s="1" t="s">
        <v>1021</v>
      </c>
    </row>
    <row r="575" spans="1:11" hidden="1">
      <c r="A575" s="17" t="s">
        <v>134</v>
      </c>
      <c r="B575" s="19" t="s">
        <v>253</v>
      </c>
      <c r="C575" s="19" t="s">
        <v>291</v>
      </c>
      <c r="D575" s="19" t="s">
        <v>292</v>
      </c>
      <c r="E575" s="20" t="str">
        <f t="shared" si="14"/>
        <v>Tracking</v>
      </c>
      <c r="F575" s="19" t="s">
        <v>291</v>
      </c>
      <c r="G575" s="19" t="s">
        <v>293</v>
      </c>
      <c r="H575" s="19" t="s">
        <v>32</v>
      </c>
      <c r="I575">
        <v>0</v>
      </c>
      <c r="J575">
        <v>21</v>
      </c>
      <c r="K575" s="1" t="s">
        <v>1020</v>
      </c>
    </row>
    <row r="576" spans="1:11" hidden="1">
      <c r="A576" s="17" t="s">
        <v>134</v>
      </c>
      <c r="B576" s="19" t="s">
        <v>253</v>
      </c>
      <c r="C576" s="19" t="s">
        <v>294</v>
      </c>
      <c r="D576" s="19" t="s">
        <v>295</v>
      </c>
      <c r="E576" s="20" t="str">
        <f t="shared" si="14"/>
        <v>Tracking</v>
      </c>
      <c r="F576" s="19" t="s">
        <v>294</v>
      </c>
      <c r="G576" s="19" t="s">
        <v>296</v>
      </c>
      <c r="H576" s="19" t="s">
        <v>32</v>
      </c>
      <c r="I576">
        <v>0</v>
      </c>
      <c r="J576">
        <v>129099</v>
      </c>
      <c r="K576" s="1" t="s">
        <v>1021</v>
      </c>
    </row>
    <row r="577" spans="1:11" hidden="1">
      <c r="A577" s="17" t="s">
        <v>134</v>
      </c>
      <c r="B577" s="19" t="s">
        <v>253</v>
      </c>
      <c r="C577" s="19" t="s">
        <v>297</v>
      </c>
      <c r="D577" s="19" t="s">
        <v>298</v>
      </c>
      <c r="E577" s="20" t="str">
        <f t="shared" si="14"/>
        <v>Tracking</v>
      </c>
      <c r="F577" s="19" t="s">
        <v>297</v>
      </c>
      <c r="G577" s="19" t="s">
        <v>299</v>
      </c>
      <c r="H577" s="19" t="s">
        <v>32</v>
      </c>
      <c r="I577">
        <v>0</v>
      </c>
      <c r="J577">
        <v>7990</v>
      </c>
      <c r="K577" s="1" t="s">
        <v>1020</v>
      </c>
    </row>
    <row r="578" spans="1:11" hidden="1">
      <c r="A578" s="17" t="s">
        <v>134</v>
      </c>
      <c r="B578" s="19" t="s">
        <v>253</v>
      </c>
      <c r="C578" s="19" t="s">
        <v>300</v>
      </c>
      <c r="D578" s="19" t="s">
        <v>301</v>
      </c>
      <c r="E578" s="20" t="str">
        <f t="shared" si="14"/>
        <v>Tracking</v>
      </c>
      <c r="F578" s="19" t="s">
        <v>300</v>
      </c>
      <c r="G578" s="19" t="s">
        <v>302</v>
      </c>
      <c r="H578" s="19" t="s">
        <v>32</v>
      </c>
      <c r="I578">
        <v>0</v>
      </c>
      <c r="J578">
        <v>258602</v>
      </c>
      <c r="K578" s="1" t="s">
        <v>1021</v>
      </c>
    </row>
    <row r="579" spans="1:11" hidden="1">
      <c r="A579" s="17" t="s">
        <v>134</v>
      </c>
      <c r="B579" s="19" t="s">
        <v>253</v>
      </c>
      <c r="C579" s="19" t="s">
        <v>2549</v>
      </c>
      <c r="D579" s="19" t="s">
        <v>2550</v>
      </c>
      <c r="E579" s="20" t="str">
        <f t="shared" si="14"/>
        <v>Tracking</v>
      </c>
      <c r="F579" s="19" t="s">
        <v>2549</v>
      </c>
      <c r="G579" s="19" t="s">
        <v>2551</v>
      </c>
      <c r="H579" s="19" t="s">
        <v>32</v>
      </c>
      <c r="I579">
        <v>0</v>
      </c>
      <c r="J579">
        <v>16388</v>
      </c>
      <c r="K579" s="1" t="s">
        <v>1020</v>
      </c>
    </row>
    <row r="580" spans="1:11" hidden="1">
      <c r="A580" s="17" t="s">
        <v>134</v>
      </c>
      <c r="B580" s="19" t="s">
        <v>253</v>
      </c>
      <c r="C580" s="19" t="s">
        <v>303</v>
      </c>
      <c r="D580" s="19" t="s">
        <v>304</v>
      </c>
      <c r="E580" s="20" t="str">
        <f t="shared" si="14"/>
        <v>Tracking</v>
      </c>
      <c r="F580" s="19" t="s">
        <v>303</v>
      </c>
      <c r="G580" s="19" t="s">
        <v>305</v>
      </c>
      <c r="H580" s="19" t="s">
        <v>32</v>
      </c>
      <c r="I580">
        <v>0</v>
      </c>
      <c r="J580">
        <v>30</v>
      </c>
      <c r="K580" s="1" t="s">
        <v>1021</v>
      </c>
    </row>
    <row r="581" spans="1:11" hidden="1">
      <c r="A581" s="17" t="s">
        <v>134</v>
      </c>
      <c r="B581" s="19" t="s">
        <v>253</v>
      </c>
      <c r="C581" s="19" t="s">
        <v>197</v>
      </c>
      <c r="D581" s="19" t="s">
        <v>306</v>
      </c>
      <c r="E581" s="20" t="str">
        <f t="shared" si="14"/>
        <v>Tracking</v>
      </c>
      <c r="F581" s="19" t="s">
        <v>197</v>
      </c>
      <c r="G581" s="19" t="s">
        <v>307</v>
      </c>
      <c r="H581" s="19" t="s">
        <v>32</v>
      </c>
      <c r="I581">
        <v>0</v>
      </c>
      <c r="J581">
        <v>208726</v>
      </c>
      <c r="K581" s="1" t="s">
        <v>1020</v>
      </c>
    </row>
    <row r="582" spans="1:11" hidden="1">
      <c r="A582" s="17" t="s">
        <v>134</v>
      </c>
      <c r="B582" s="19" t="s">
        <v>253</v>
      </c>
      <c r="C582" s="19" t="s">
        <v>308</v>
      </c>
      <c r="D582" s="19" t="s">
        <v>309</v>
      </c>
      <c r="E582" s="20" t="str">
        <f t="shared" si="14"/>
        <v>Tracking</v>
      </c>
      <c r="F582" s="19" t="s">
        <v>310</v>
      </c>
      <c r="G582" s="19" t="s">
        <v>311</v>
      </c>
      <c r="H582" s="19" t="s">
        <v>32</v>
      </c>
      <c r="I582">
        <v>0</v>
      </c>
      <c r="J582">
        <v>17133</v>
      </c>
      <c r="K582" s="1" t="s">
        <v>1021</v>
      </c>
    </row>
    <row r="583" spans="1:11" hidden="1">
      <c r="A583" s="17" t="s">
        <v>134</v>
      </c>
      <c r="B583" s="19" t="s">
        <v>253</v>
      </c>
      <c r="C583" s="19" t="s">
        <v>312</v>
      </c>
      <c r="D583" s="19" t="s">
        <v>313</v>
      </c>
      <c r="E583" s="20" t="str">
        <f t="shared" si="14"/>
        <v>Tracking</v>
      </c>
      <c r="F583" s="19" t="s">
        <v>312</v>
      </c>
      <c r="G583" s="19" t="s">
        <v>314</v>
      </c>
      <c r="H583" s="19" t="s">
        <v>32</v>
      </c>
      <c r="I583">
        <v>0</v>
      </c>
      <c r="J583">
        <v>17380</v>
      </c>
      <c r="K583" s="1" t="s">
        <v>1020</v>
      </c>
    </row>
    <row r="584" spans="1:11" hidden="1">
      <c r="A584" s="17" t="s">
        <v>134</v>
      </c>
      <c r="B584" s="19" t="s">
        <v>253</v>
      </c>
      <c r="C584" s="19" t="s">
        <v>315</v>
      </c>
      <c r="D584" s="19" t="s">
        <v>316</v>
      </c>
      <c r="E584" s="20" t="str">
        <f t="shared" si="14"/>
        <v>Tracking</v>
      </c>
      <c r="F584" s="19" t="s">
        <v>315</v>
      </c>
      <c r="G584" s="19" t="s">
        <v>317</v>
      </c>
      <c r="H584" s="19" t="s">
        <v>32</v>
      </c>
      <c r="I584">
        <v>0</v>
      </c>
      <c r="J584">
        <v>16791</v>
      </c>
      <c r="K584" s="1" t="s">
        <v>1021</v>
      </c>
    </row>
    <row r="585" spans="1:11" hidden="1">
      <c r="A585" s="17" t="s">
        <v>134</v>
      </c>
      <c r="B585" s="19" t="s">
        <v>253</v>
      </c>
      <c r="C585" s="19" t="s">
        <v>318</v>
      </c>
      <c r="D585" s="19" t="s">
        <v>319</v>
      </c>
      <c r="E585" s="20" t="str">
        <f t="shared" si="14"/>
        <v>Tracking</v>
      </c>
      <c r="F585" s="19" t="s">
        <v>318</v>
      </c>
      <c r="G585" s="19" t="s">
        <v>320</v>
      </c>
      <c r="H585" s="19" t="s">
        <v>32</v>
      </c>
      <c r="I585">
        <v>0</v>
      </c>
      <c r="J585">
        <v>909</v>
      </c>
      <c r="K585" s="1" t="s">
        <v>1020</v>
      </c>
    </row>
    <row r="586" spans="1:11" hidden="1">
      <c r="A586" s="17" t="s">
        <v>134</v>
      </c>
      <c r="B586" s="19" t="s">
        <v>253</v>
      </c>
      <c r="C586" s="19" t="s">
        <v>321</v>
      </c>
      <c r="D586" s="19" t="s">
        <v>322</v>
      </c>
      <c r="E586" s="20" t="str">
        <f t="shared" si="14"/>
        <v>Tracking</v>
      </c>
      <c r="F586" s="19" t="s">
        <v>321</v>
      </c>
      <c r="G586" s="19" t="s">
        <v>323</v>
      </c>
      <c r="H586" s="19" t="s">
        <v>32</v>
      </c>
      <c r="I586">
        <v>0</v>
      </c>
      <c r="J586">
        <v>4349</v>
      </c>
      <c r="K586" s="1" t="s">
        <v>1021</v>
      </c>
    </row>
    <row r="587" spans="1:11" hidden="1">
      <c r="A587" s="17" t="s">
        <v>134</v>
      </c>
      <c r="B587" s="19" t="s">
        <v>253</v>
      </c>
      <c r="C587" s="19" t="s">
        <v>2552</v>
      </c>
      <c r="D587" s="19" t="s">
        <v>2553</v>
      </c>
      <c r="E587" s="20" t="str">
        <f t="shared" si="14"/>
        <v>Tracking</v>
      </c>
      <c r="F587" s="19" t="s">
        <v>2552</v>
      </c>
      <c r="G587" s="19" t="s">
        <v>2554</v>
      </c>
      <c r="H587" s="19" t="s">
        <v>32</v>
      </c>
      <c r="I587">
        <v>0</v>
      </c>
      <c r="J587">
        <v>3083</v>
      </c>
      <c r="K587" s="1" t="s">
        <v>1020</v>
      </c>
    </row>
    <row r="588" spans="1:11" hidden="1">
      <c r="A588" s="17" t="s">
        <v>134</v>
      </c>
      <c r="B588" s="19" t="s">
        <v>253</v>
      </c>
      <c r="C588" s="19" t="s">
        <v>2555</v>
      </c>
      <c r="D588" s="19" t="s">
        <v>2556</v>
      </c>
      <c r="E588" s="20" t="str">
        <f t="shared" si="14"/>
        <v>Tracking</v>
      </c>
      <c r="F588" s="19" t="s">
        <v>2555</v>
      </c>
      <c r="G588" s="19" t="s">
        <v>2557</v>
      </c>
      <c r="H588" s="19" t="s">
        <v>32</v>
      </c>
      <c r="I588">
        <v>0</v>
      </c>
      <c r="J588">
        <v>1</v>
      </c>
      <c r="K588" s="1" t="s">
        <v>1021</v>
      </c>
    </row>
    <row r="589" spans="1:11" hidden="1">
      <c r="A589" s="17" t="s">
        <v>134</v>
      </c>
      <c r="B589" s="19" t="s">
        <v>253</v>
      </c>
      <c r="C589" s="19" t="s">
        <v>2558</v>
      </c>
      <c r="D589" s="19" t="s">
        <v>2559</v>
      </c>
      <c r="E589" s="20" t="str">
        <f t="shared" si="14"/>
        <v>Tracking</v>
      </c>
      <c r="F589" s="19" t="s">
        <v>2558</v>
      </c>
      <c r="G589" s="19" t="s">
        <v>2560</v>
      </c>
      <c r="H589" s="19" t="s">
        <v>32</v>
      </c>
      <c r="I589">
        <v>0</v>
      </c>
      <c r="J589">
        <v>3135</v>
      </c>
      <c r="K589" s="1" t="s">
        <v>1020</v>
      </c>
    </row>
    <row r="590" spans="1:11" hidden="1">
      <c r="A590" s="17" t="s">
        <v>134</v>
      </c>
      <c r="B590" s="19" t="s">
        <v>253</v>
      </c>
      <c r="C590" s="19" t="s">
        <v>2561</v>
      </c>
      <c r="D590" s="19" t="s">
        <v>2562</v>
      </c>
      <c r="E590" s="20" t="str">
        <f t="shared" si="14"/>
        <v>Tracking</v>
      </c>
      <c r="F590" s="19" t="s">
        <v>2561</v>
      </c>
      <c r="G590" s="19" t="s">
        <v>2563</v>
      </c>
      <c r="H590" s="19" t="s">
        <v>32</v>
      </c>
      <c r="I590">
        <v>0</v>
      </c>
      <c r="J590">
        <v>2210</v>
      </c>
      <c r="K590" s="1" t="s">
        <v>1021</v>
      </c>
    </row>
    <row r="591" spans="1:11" hidden="1">
      <c r="A591" s="17" t="s">
        <v>134</v>
      </c>
      <c r="B591" s="19" t="s">
        <v>253</v>
      </c>
      <c r="C591" s="19" t="s">
        <v>2564</v>
      </c>
      <c r="D591" s="19" t="s">
        <v>2565</v>
      </c>
      <c r="E591" s="20" t="str">
        <f t="shared" si="14"/>
        <v>Tracking</v>
      </c>
      <c r="F591" s="19" t="s">
        <v>2564</v>
      </c>
      <c r="G591" s="19" t="s">
        <v>2566</v>
      </c>
      <c r="H591" s="19" t="s">
        <v>32</v>
      </c>
      <c r="I591">
        <v>0</v>
      </c>
      <c r="J591">
        <v>2171</v>
      </c>
      <c r="K591" s="1" t="s">
        <v>1020</v>
      </c>
    </row>
    <row r="592" spans="1:11" hidden="1">
      <c r="A592" s="17" t="s">
        <v>134</v>
      </c>
      <c r="B592" s="19" t="s">
        <v>253</v>
      </c>
      <c r="C592" s="19" t="s">
        <v>2567</v>
      </c>
      <c r="D592" s="19" t="s">
        <v>2568</v>
      </c>
      <c r="E592" s="20" t="str">
        <f t="shared" si="14"/>
        <v>Tracking</v>
      </c>
      <c r="F592" s="19" t="s">
        <v>2567</v>
      </c>
      <c r="G592" s="19" t="s">
        <v>2569</v>
      </c>
      <c r="H592" s="19" t="s">
        <v>32</v>
      </c>
      <c r="I592">
        <v>0</v>
      </c>
      <c r="J592">
        <v>3878</v>
      </c>
      <c r="K592" s="1" t="s">
        <v>1021</v>
      </c>
    </row>
    <row r="593" spans="1:11" hidden="1">
      <c r="A593" s="17" t="s">
        <v>134</v>
      </c>
      <c r="B593" s="19" t="s">
        <v>253</v>
      </c>
      <c r="C593" s="19" t="s">
        <v>2570</v>
      </c>
      <c r="D593" s="19" t="s">
        <v>2571</v>
      </c>
      <c r="E593" s="20" t="str">
        <f t="shared" si="14"/>
        <v>Tracking</v>
      </c>
      <c r="F593" s="19" t="s">
        <v>2570</v>
      </c>
      <c r="G593" s="19" t="s">
        <v>2572</v>
      </c>
      <c r="H593" s="19" t="s">
        <v>32</v>
      </c>
      <c r="I593">
        <v>0</v>
      </c>
      <c r="J593">
        <v>4131</v>
      </c>
      <c r="K593" s="1" t="s">
        <v>1020</v>
      </c>
    </row>
    <row r="594" spans="1:11" hidden="1">
      <c r="A594" s="17" t="s">
        <v>134</v>
      </c>
      <c r="B594" s="19" t="s">
        <v>253</v>
      </c>
      <c r="C594" s="19" t="s">
        <v>310</v>
      </c>
      <c r="D594" s="19" t="s">
        <v>2573</v>
      </c>
      <c r="E594" s="20" t="str">
        <f t="shared" si="14"/>
        <v>Tracking</v>
      </c>
      <c r="F594" s="19" t="s">
        <v>310</v>
      </c>
      <c r="G594" s="19" t="s">
        <v>311</v>
      </c>
      <c r="H594" s="19" t="s">
        <v>32</v>
      </c>
      <c r="I594">
        <v>0</v>
      </c>
      <c r="J594">
        <v>3394</v>
      </c>
      <c r="K594" s="1" t="s">
        <v>1021</v>
      </c>
    </row>
    <row r="595" spans="1:11" hidden="1">
      <c r="A595" s="17" t="s">
        <v>134</v>
      </c>
      <c r="B595" s="19" t="s">
        <v>253</v>
      </c>
      <c r="C595" s="19" t="s">
        <v>324</v>
      </c>
      <c r="D595" s="19" t="s">
        <v>325</v>
      </c>
      <c r="E595" s="20" t="str">
        <f t="shared" si="14"/>
        <v>Tracking</v>
      </c>
      <c r="F595" s="19" t="s">
        <v>324</v>
      </c>
      <c r="G595" s="19" t="s">
        <v>326</v>
      </c>
      <c r="H595" s="19" t="s">
        <v>32</v>
      </c>
      <c r="I595">
        <v>0</v>
      </c>
      <c r="J595">
        <v>1336</v>
      </c>
      <c r="K595" s="1" t="s">
        <v>1020</v>
      </c>
    </row>
    <row r="596" spans="1:11" hidden="1">
      <c r="A596" s="17" t="s">
        <v>134</v>
      </c>
      <c r="B596" s="19" t="s">
        <v>253</v>
      </c>
      <c r="C596" s="19" t="s">
        <v>2574</v>
      </c>
      <c r="D596" s="19" t="s">
        <v>2575</v>
      </c>
      <c r="E596" s="20" t="str">
        <f t="shared" si="14"/>
        <v>Tracking</v>
      </c>
      <c r="F596" s="19" t="s">
        <v>2574</v>
      </c>
      <c r="G596" s="19" t="s">
        <v>2576</v>
      </c>
      <c r="H596" s="19" t="s">
        <v>32</v>
      </c>
      <c r="I596">
        <v>0</v>
      </c>
      <c r="J596">
        <v>2896</v>
      </c>
      <c r="K596" s="1" t="s">
        <v>1021</v>
      </c>
    </row>
    <row r="597" spans="1:11" hidden="1">
      <c r="A597" s="17" t="s">
        <v>134</v>
      </c>
      <c r="B597" s="19" t="s">
        <v>253</v>
      </c>
      <c r="C597" s="19" t="s">
        <v>2577</v>
      </c>
      <c r="D597" s="19" t="s">
        <v>2578</v>
      </c>
      <c r="E597" s="20" t="str">
        <f t="shared" si="14"/>
        <v>Tracking</v>
      </c>
      <c r="F597" s="19" t="s">
        <v>2577</v>
      </c>
      <c r="G597" s="19" t="s">
        <v>2579</v>
      </c>
      <c r="H597" s="19" t="s">
        <v>32</v>
      </c>
      <c r="I597">
        <v>0</v>
      </c>
      <c r="J597">
        <v>3891</v>
      </c>
      <c r="K597" s="1" t="s">
        <v>1020</v>
      </c>
    </row>
    <row r="598" spans="1:11" hidden="1">
      <c r="A598" s="17" t="s">
        <v>134</v>
      </c>
      <c r="B598" s="19" t="s">
        <v>253</v>
      </c>
      <c r="C598" s="19" t="s">
        <v>327</v>
      </c>
      <c r="D598" s="19" t="s">
        <v>328</v>
      </c>
      <c r="E598" s="20" t="str">
        <f t="shared" si="14"/>
        <v>Tracking</v>
      </c>
      <c r="F598" s="19" t="s">
        <v>327</v>
      </c>
      <c r="G598" s="19" t="s">
        <v>329</v>
      </c>
      <c r="H598" s="19" t="s">
        <v>32</v>
      </c>
      <c r="I598">
        <v>0</v>
      </c>
      <c r="J598">
        <v>6351</v>
      </c>
      <c r="K598" s="1" t="s">
        <v>1021</v>
      </c>
    </row>
    <row r="599" spans="1:11" hidden="1">
      <c r="A599" s="17" t="s">
        <v>134</v>
      </c>
      <c r="B599" s="19" t="s">
        <v>253</v>
      </c>
      <c r="C599" s="19" t="s">
        <v>2580</v>
      </c>
      <c r="D599" s="19" t="s">
        <v>2581</v>
      </c>
      <c r="E599" s="20" t="str">
        <f t="shared" si="14"/>
        <v>Tracking</v>
      </c>
      <c r="F599" s="19" t="s">
        <v>2580</v>
      </c>
      <c r="G599" s="19" t="s">
        <v>2582</v>
      </c>
      <c r="H599" s="19" t="s">
        <v>32</v>
      </c>
      <c r="I599">
        <v>0</v>
      </c>
      <c r="J599">
        <v>1</v>
      </c>
      <c r="K599" s="1" t="s">
        <v>1020</v>
      </c>
    </row>
    <row r="600" spans="1:11" hidden="1">
      <c r="A600" s="17" t="s">
        <v>134</v>
      </c>
      <c r="B600" s="19" t="s">
        <v>253</v>
      </c>
      <c r="C600" s="19" t="s">
        <v>2583</v>
      </c>
      <c r="D600" s="19" t="s">
        <v>2584</v>
      </c>
      <c r="E600" s="20" t="str">
        <f t="shared" si="14"/>
        <v>Tracking</v>
      </c>
      <c r="F600" s="19" t="s">
        <v>2583</v>
      </c>
      <c r="G600" s="19" t="s">
        <v>2585</v>
      </c>
      <c r="H600" s="19" t="s">
        <v>32</v>
      </c>
      <c r="I600">
        <v>0</v>
      </c>
      <c r="J600">
        <v>5</v>
      </c>
      <c r="K600" s="1" t="s">
        <v>1021</v>
      </c>
    </row>
    <row r="601" spans="1:11" hidden="1">
      <c r="A601" s="17" t="s">
        <v>2586</v>
      </c>
      <c r="B601" s="19" t="s">
        <v>52</v>
      </c>
      <c r="C601" s="19" t="s">
        <v>2587</v>
      </c>
      <c r="D601" s="19" t="s">
        <v>2588</v>
      </c>
      <c r="E601" s="20" t="s">
        <v>10</v>
      </c>
      <c r="F601" s="19" t="s">
        <v>2587</v>
      </c>
      <c r="G601" s="19" t="s">
        <v>2589</v>
      </c>
      <c r="H601" s="19" t="s">
        <v>68</v>
      </c>
      <c r="I601">
        <v>0</v>
      </c>
      <c r="J601">
        <v>1</v>
      </c>
      <c r="K601" s="1" t="s">
        <v>1020</v>
      </c>
    </row>
    <row r="602" spans="1:11" hidden="1">
      <c r="A602" s="17" t="s">
        <v>330</v>
      </c>
      <c r="B602" s="19" t="s">
        <v>50</v>
      </c>
      <c r="C602" s="19" t="s">
        <v>331</v>
      </c>
      <c r="D602" s="19" t="s">
        <v>332</v>
      </c>
      <c r="E602" s="20" t="s">
        <v>11</v>
      </c>
      <c r="F602" s="19" t="s">
        <v>333</v>
      </c>
      <c r="G602" s="19" t="s">
        <v>334</v>
      </c>
      <c r="H602" s="19" t="s">
        <v>31</v>
      </c>
      <c r="I602">
        <v>6598</v>
      </c>
      <c r="J602">
        <v>4</v>
      </c>
      <c r="K602" s="1" t="s">
        <v>1021</v>
      </c>
    </row>
    <row r="603" spans="1:11">
      <c r="A603" s="17" t="s">
        <v>330</v>
      </c>
      <c r="B603" s="19" t="s">
        <v>50</v>
      </c>
      <c r="C603" s="19" t="s">
        <v>331</v>
      </c>
      <c r="D603" s="19" t="s">
        <v>332</v>
      </c>
      <c r="E603" s="20" t="s">
        <v>29</v>
      </c>
      <c r="F603" s="19" t="s">
        <v>335</v>
      </c>
      <c r="G603" s="19" t="s">
        <v>336</v>
      </c>
      <c r="H603" s="19" t="s">
        <v>30</v>
      </c>
      <c r="I603">
        <v>1680</v>
      </c>
      <c r="J603">
        <v>0</v>
      </c>
      <c r="K603" s="1" t="s">
        <v>1020</v>
      </c>
    </row>
    <row r="604" spans="1:11">
      <c r="A604" s="17" t="s">
        <v>330</v>
      </c>
      <c r="B604" s="19" t="s">
        <v>50</v>
      </c>
      <c r="C604" s="19" t="s">
        <v>331</v>
      </c>
      <c r="D604" s="19" t="s">
        <v>332</v>
      </c>
      <c r="E604" s="20" t="s">
        <v>29</v>
      </c>
      <c r="F604" s="19" t="s">
        <v>337</v>
      </c>
      <c r="G604" s="19" t="s">
        <v>338</v>
      </c>
      <c r="H604" s="19" t="s">
        <v>30</v>
      </c>
      <c r="I604">
        <v>646</v>
      </c>
      <c r="J604">
        <v>3</v>
      </c>
      <c r="K604" s="1" t="s">
        <v>1021</v>
      </c>
    </row>
    <row r="605" spans="1:11">
      <c r="A605" s="17" t="s">
        <v>330</v>
      </c>
      <c r="B605" s="19" t="s">
        <v>50</v>
      </c>
      <c r="C605" s="19" t="s">
        <v>331</v>
      </c>
      <c r="D605" s="19" t="s">
        <v>332</v>
      </c>
      <c r="E605" s="20" t="s">
        <v>29</v>
      </c>
      <c r="F605" s="19" t="s">
        <v>339</v>
      </c>
      <c r="G605" s="19" t="s">
        <v>340</v>
      </c>
      <c r="H605" s="19" t="s">
        <v>30</v>
      </c>
      <c r="I605">
        <v>437774</v>
      </c>
      <c r="J605">
        <v>378</v>
      </c>
      <c r="K605" s="1" t="s">
        <v>1020</v>
      </c>
    </row>
    <row r="606" spans="1:11">
      <c r="A606" s="17" t="s">
        <v>330</v>
      </c>
      <c r="B606" s="19" t="s">
        <v>50</v>
      </c>
      <c r="C606" s="19" t="s">
        <v>331</v>
      </c>
      <c r="D606" s="19" t="s">
        <v>332</v>
      </c>
      <c r="E606" s="20" t="s">
        <v>29</v>
      </c>
      <c r="F606" s="19" t="s">
        <v>341</v>
      </c>
      <c r="G606" s="19" t="s">
        <v>342</v>
      </c>
      <c r="H606" s="19" t="s">
        <v>30</v>
      </c>
      <c r="I606">
        <v>61174</v>
      </c>
      <c r="J606">
        <v>92</v>
      </c>
      <c r="K606" s="1" t="s">
        <v>1021</v>
      </c>
    </row>
    <row r="607" spans="1:11">
      <c r="A607" s="17" t="s">
        <v>330</v>
      </c>
      <c r="B607" s="19" t="s">
        <v>50</v>
      </c>
      <c r="C607" s="19" t="s">
        <v>331</v>
      </c>
      <c r="D607" s="19" t="s">
        <v>332</v>
      </c>
      <c r="E607" s="20" t="s">
        <v>29</v>
      </c>
      <c r="F607" s="19" t="s">
        <v>343</v>
      </c>
      <c r="G607" s="19" t="s">
        <v>344</v>
      </c>
      <c r="H607" s="19" t="s">
        <v>30</v>
      </c>
      <c r="I607">
        <v>297797</v>
      </c>
      <c r="J607">
        <v>210</v>
      </c>
      <c r="K607" s="1" t="s">
        <v>1020</v>
      </c>
    </row>
    <row r="608" spans="1:11" hidden="1">
      <c r="A608" s="17" t="s">
        <v>330</v>
      </c>
      <c r="B608" s="19" t="s">
        <v>50</v>
      </c>
      <c r="C608" s="19" t="s">
        <v>345</v>
      </c>
      <c r="D608" s="19" t="s">
        <v>346</v>
      </c>
      <c r="E608" s="20" t="s">
        <v>11</v>
      </c>
      <c r="F608" s="19" t="s">
        <v>333</v>
      </c>
      <c r="G608" s="19" t="s">
        <v>334</v>
      </c>
      <c r="H608" s="19" t="s">
        <v>31</v>
      </c>
      <c r="I608">
        <v>108</v>
      </c>
      <c r="J608">
        <v>0</v>
      </c>
      <c r="K608" s="1" t="s">
        <v>1021</v>
      </c>
    </row>
    <row r="609" spans="1:11">
      <c r="A609" s="17" t="s">
        <v>330</v>
      </c>
      <c r="B609" s="19" t="s">
        <v>50</v>
      </c>
      <c r="C609" s="19" t="s">
        <v>345</v>
      </c>
      <c r="D609" s="19" t="s">
        <v>346</v>
      </c>
      <c r="E609" s="20" t="s">
        <v>29</v>
      </c>
      <c r="F609" s="19" t="s">
        <v>337</v>
      </c>
      <c r="G609" s="19" t="s">
        <v>338</v>
      </c>
      <c r="H609" s="19" t="s">
        <v>30</v>
      </c>
      <c r="I609">
        <v>1</v>
      </c>
      <c r="J609">
        <v>0</v>
      </c>
      <c r="K609" s="1" t="s">
        <v>1020</v>
      </c>
    </row>
    <row r="610" spans="1:11">
      <c r="A610" s="17" t="s">
        <v>330</v>
      </c>
      <c r="B610" s="19" t="s">
        <v>50</v>
      </c>
      <c r="C610" s="19" t="s">
        <v>345</v>
      </c>
      <c r="D610" s="19" t="s">
        <v>346</v>
      </c>
      <c r="E610" s="20" t="s">
        <v>29</v>
      </c>
      <c r="F610" s="19" t="s">
        <v>339</v>
      </c>
      <c r="G610" s="19" t="s">
        <v>340</v>
      </c>
      <c r="H610" s="19" t="s">
        <v>30</v>
      </c>
      <c r="I610">
        <v>15941</v>
      </c>
      <c r="J610">
        <v>7</v>
      </c>
      <c r="K610" s="1" t="s">
        <v>1021</v>
      </c>
    </row>
    <row r="611" spans="1:11">
      <c r="A611" s="17" t="s">
        <v>330</v>
      </c>
      <c r="B611" s="19" t="s">
        <v>50</v>
      </c>
      <c r="C611" s="19" t="s">
        <v>345</v>
      </c>
      <c r="D611" s="19" t="s">
        <v>346</v>
      </c>
      <c r="E611" s="20" t="s">
        <v>29</v>
      </c>
      <c r="F611" s="19" t="s">
        <v>341</v>
      </c>
      <c r="G611" s="19" t="s">
        <v>342</v>
      </c>
      <c r="H611" s="19" t="s">
        <v>30</v>
      </c>
      <c r="I611">
        <v>21</v>
      </c>
      <c r="J611">
        <v>0</v>
      </c>
      <c r="K611" s="1" t="s">
        <v>1020</v>
      </c>
    </row>
    <row r="612" spans="1:11">
      <c r="A612" s="17" t="s">
        <v>330</v>
      </c>
      <c r="B612" s="19" t="s">
        <v>50</v>
      </c>
      <c r="C612" s="19" t="s">
        <v>345</v>
      </c>
      <c r="D612" s="19" t="s">
        <v>346</v>
      </c>
      <c r="E612" s="20" t="s">
        <v>29</v>
      </c>
      <c r="F612" s="19" t="s">
        <v>343</v>
      </c>
      <c r="G612" s="19" t="s">
        <v>344</v>
      </c>
      <c r="H612" s="19" t="s">
        <v>30</v>
      </c>
      <c r="I612">
        <v>14</v>
      </c>
      <c r="J612">
        <v>0</v>
      </c>
      <c r="K612" s="1" t="s">
        <v>1021</v>
      </c>
    </row>
    <row r="613" spans="1:11" hidden="1">
      <c r="A613" s="17" t="s">
        <v>330</v>
      </c>
      <c r="B613" s="19" t="s">
        <v>50</v>
      </c>
      <c r="C613" s="19" t="s">
        <v>347</v>
      </c>
      <c r="D613" s="19" t="s">
        <v>348</v>
      </c>
      <c r="E613" s="20" t="s">
        <v>11</v>
      </c>
      <c r="F613" s="19" t="s">
        <v>349</v>
      </c>
      <c r="G613" s="19" t="s">
        <v>350</v>
      </c>
      <c r="H613" s="19" t="s">
        <v>31</v>
      </c>
      <c r="I613">
        <v>7349</v>
      </c>
      <c r="J613">
        <v>7</v>
      </c>
      <c r="K613" s="1" t="s">
        <v>1020</v>
      </c>
    </row>
    <row r="614" spans="1:11">
      <c r="A614" s="17" t="s">
        <v>330</v>
      </c>
      <c r="B614" s="19" t="s">
        <v>50</v>
      </c>
      <c r="C614" s="19" t="s">
        <v>347</v>
      </c>
      <c r="D614" s="19" t="s">
        <v>348</v>
      </c>
      <c r="E614" s="20" t="s">
        <v>29</v>
      </c>
      <c r="F614" s="19" t="s">
        <v>351</v>
      </c>
      <c r="G614" s="19" t="s">
        <v>352</v>
      </c>
      <c r="H614" s="19" t="s">
        <v>30</v>
      </c>
      <c r="I614">
        <v>2706</v>
      </c>
      <c r="J614">
        <v>5</v>
      </c>
      <c r="K614" s="1" t="s">
        <v>1021</v>
      </c>
    </row>
    <row r="615" spans="1:11">
      <c r="A615" s="17" t="s">
        <v>330</v>
      </c>
      <c r="B615" s="19" t="s">
        <v>50</v>
      </c>
      <c r="C615" s="19" t="s">
        <v>347</v>
      </c>
      <c r="D615" s="19" t="s">
        <v>348</v>
      </c>
      <c r="E615" s="20" t="s">
        <v>29</v>
      </c>
      <c r="F615" s="19" t="s">
        <v>353</v>
      </c>
      <c r="G615" s="19" t="s">
        <v>354</v>
      </c>
      <c r="H615" s="19" t="s">
        <v>30</v>
      </c>
      <c r="I615">
        <v>1715</v>
      </c>
      <c r="J615">
        <v>13</v>
      </c>
      <c r="K615" s="1" t="s">
        <v>1020</v>
      </c>
    </row>
    <row r="616" spans="1:11">
      <c r="A616" s="17" t="s">
        <v>330</v>
      </c>
      <c r="B616" s="19" t="s">
        <v>50</v>
      </c>
      <c r="C616" s="19" t="s">
        <v>347</v>
      </c>
      <c r="D616" s="19" t="s">
        <v>348</v>
      </c>
      <c r="E616" s="20" t="s">
        <v>29</v>
      </c>
      <c r="F616" s="19" t="s">
        <v>355</v>
      </c>
      <c r="G616" s="19" t="s">
        <v>356</v>
      </c>
      <c r="H616" s="19" t="s">
        <v>30</v>
      </c>
      <c r="I616">
        <v>900563</v>
      </c>
      <c r="J616">
        <v>1466</v>
      </c>
      <c r="K616" s="1" t="s">
        <v>1021</v>
      </c>
    </row>
    <row r="617" spans="1:11">
      <c r="A617" s="17" t="s">
        <v>330</v>
      </c>
      <c r="B617" s="19" t="s">
        <v>50</v>
      </c>
      <c r="C617" s="19" t="s">
        <v>347</v>
      </c>
      <c r="D617" s="19" t="s">
        <v>348</v>
      </c>
      <c r="E617" s="20" t="s">
        <v>29</v>
      </c>
      <c r="F617" s="19" t="s">
        <v>357</v>
      </c>
      <c r="G617" s="19" t="s">
        <v>358</v>
      </c>
      <c r="H617" s="19" t="s">
        <v>30</v>
      </c>
      <c r="I617">
        <v>70247</v>
      </c>
      <c r="J617">
        <v>154</v>
      </c>
      <c r="K617" s="1" t="s">
        <v>1020</v>
      </c>
    </row>
    <row r="618" spans="1:11">
      <c r="A618" s="17" t="s">
        <v>330</v>
      </c>
      <c r="B618" s="19" t="s">
        <v>50</v>
      </c>
      <c r="C618" s="19" t="s">
        <v>347</v>
      </c>
      <c r="D618" s="19" t="s">
        <v>348</v>
      </c>
      <c r="E618" s="20" t="s">
        <v>29</v>
      </c>
      <c r="F618" s="19" t="s">
        <v>359</v>
      </c>
      <c r="G618" s="19" t="s">
        <v>360</v>
      </c>
      <c r="H618" s="19" t="s">
        <v>30</v>
      </c>
      <c r="I618">
        <v>265750</v>
      </c>
      <c r="J618">
        <v>349</v>
      </c>
      <c r="K618" s="1" t="s">
        <v>1021</v>
      </c>
    </row>
    <row r="619" spans="1:11" hidden="1">
      <c r="A619" s="17" t="s">
        <v>330</v>
      </c>
      <c r="B619" s="19" t="s">
        <v>50</v>
      </c>
      <c r="C619" s="19" t="s">
        <v>361</v>
      </c>
      <c r="D619" s="19" t="s">
        <v>362</v>
      </c>
      <c r="E619" s="20" t="s">
        <v>11</v>
      </c>
      <c r="F619" s="19" t="s">
        <v>363</v>
      </c>
      <c r="G619" s="19" t="s">
        <v>364</v>
      </c>
      <c r="H619" s="19" t="s">
        <v>31</v>
      </c>
      <c r="I619">
        <v>12113</v>
      </c>
      <c r="J619">
        <v>11</v>
      </c>
      <c r="K619" s="1" t="s">
        <v>1020</v>
      </c>
    </row>
    <row r="620" spans="1:11">
      <c r="A620" s="17" t="s">
        <v>330</v>
      </c>
      <c r="B620" s="19" t="s">
        <v>50</v>
      </c>
      <c r="C620" s="19" t="s">
        <v>361</v>
      </c>
      <c r="D620" s="19" t="s">
        <v>362</v>
      </c>
      <c r="E620" s="20" t="s">
        <v>29</v>
      </c>
      <c r="F620" s="19" t="s">
        <v>365</v>
      </c>
      <c r="G620" s="19" t="s">
        <v>366</v>
      </c>
      <c r="H620" s="19" t="s">
        <v>30</v>
      </c>
      <c r="I620">
        <v>3844</v>
      </c>
      <c r="J620">
        <v>8</v>
      </c>
      <c r="K620" s="1" t="s">
        <v>1021</v>
      </c>
    </row>
    <row r="621" spans="1:11">
      <c r="A621" s="17" t="s">
        <v>330</v>
      </c>
      <c r="B621" s="19" t="s">
        <v>50</v>
      </c>
      <c r="C621" s="19" t="s">
        <v>361</v>
      </c>
      <c r="D621" s="19" t="s">
        <v>362</v>
      </c>
      <c r="E621" s="20" t="s">
        <v>29</v>
      </c>
      <c r="F621" s="19" t="s">
        <v>367</v>
      </c>
      <c r="G621" s="19" t="s">
        <v>368</v>
      </c>
      <c r="H621" s="19" t="s">
        <v>30</v>
      </c>
      <c r="I621">
        <v>2847</v>
      </c>
      <c r="J621">
        <v>7</v>
      </c>
      <c r="K621" s="1" t="s">
        <v>1020</v>
      </c>
    </row>
    <row r="622" spans="1:11">
      <c r="A622" s="17" t="s">
        <v>330</v>
      </c>
      <c r="B622" s="19" t="s">
        <v>50</v>
      </c>
      <c r="C622" s="19" t="s">
        <v>361</v>
      </c>
      <c r="D622" s="19" t="s">
        <v>362</v>
      </c>
      <c r="E622" s="20" t="s">
        <v>29</v>
      </c>
      <c r="F622" s="19" t="s">
        <v>369</v>
      </c>
      <c r="G622" s="19" t="s">
        <v>370</v>
      </c>
      <c r="H622" s="19" t="s">
        <v>30</v>
      </c>
      <c r="I622">
        <v>4042146</v>
      </c>
      <c r="J622">
        <v>2911</v>
      </c>
      <c r="K622" s="1" t="s">
        <v>1021</v>
      </c>
    </row>
    <row r="623" spans="1:11">
      <c r="A623" s="17" t="s">
        <v>330</v>
      </c>
      <c r="B623" s="19" t="s">
        <v>50</v>
      </c>
      <c r="C623" s="19" t="s">
        <v>361</v>
      </c>
      <c r="D623" s="19" t="s">
        <v>362</v>
      </c>
      <c r="E623" s="20" t="s">
        <v>29</v>
      </c>
      <c r="F623" s="19" t="s">
        <v>371</v>
      </c>
      <c r="G623" s="19" t="s">
        <v>372</v>
      </c>
      <c r="H623" s="19" t="s">
        <v>30</v>
      </c>
      <c r="I623">
        <v>66013</v>
      </c>
      <c r="J623">
        <v>209</v>
      </c>
      <c r="K623" s="1" t="s">
        <v>1020</v>
      </c>
    </row>
    <row r="624" spans="1:11">
      <c r="A624" s="17" t="s">
        <v>330</v>
      </c>
      <c r="B624" s="19" t="s">
        <v>50</v>
      </c>
      <c r="C624" s="19" t="s">
        <v>361</v>
      </c>
      <c r="D624" s="19" t="s">
        <v>362</v>
      </c>
      <c r="E624" s="20" t="s">
        <v>29</v>
      </c>
      <c r="F624" s="19" t="s">
        <v>373</v>
      </c>
      <c r="G624" s="19" t="s">
        <v>374</v>
      </c>
      <c r="H624" s="19" t="s">
        <v>30</v>
      </c>
      <c r="I624">
        <v>429549</v>
      </c>
      <c r="J624">
        <v>741</v>
      </c>
      <c r="K624" s="1" t="s">
        <v>1021</v>
      </c>
    </row>
    <row r="625" spans="1:11" hidden="1">
      <c r="A625" s="17" t="s">
        <v>330</v>
      </c>
      <c r="B625" s="19" t="s">
        <v>50</v>
      </c>
      <c r="C625" s="19" t="s">
        <v>375</v>
      </c>
      <c r="D625" s="19" t="s">
        <v>376</v>
      </c>
      <c r="E625" s="20" t="s">
        <v>11</v>
      </c>
      <c r="F625" s="19" t="s">
        <v>117</v>
      </c>
      <c r="G625" s="19" t="s">
        <v>377</v>
      </c>
      <c r="H625" s="19" t="s">
        <v>31</v>
      </c>
      <c r="I625">
        <v>56983</v>
      </c>
      <c r="J625">
        <v>66</v>
      </c>
      <c r="K625" s="1" t="s">
        <v>1020</v>
      </c>
    </row>
    <row r="626" spans="1:11">
      <c r="A626" s="17" t="s">
        <v>330</v>
      </c>
      <c r="B626" s="19" t="s">
        <v>50</v>
      </c>
      <c r="C626" s="19" t="s">
        <v>375</v>
      </c>
      <c r="D626" s="19" t="s">
        <v>376</v>
      </c>
      <c r="E626" s="20" t="s">
        <v>29</v>
      </c>
      <c r="F626" s="19" t="s">
        <v>378</v>
      </c>
      <c r="G626" s="19" t="s">
        <v>379</v>
      </c>
      <c r="H626" s="19" t="s">
        <v>30</v>
      </c>
      <c r="I626">
        <v>18074</v>
      </c>
      <c r="J626">
        <v>47</v>
      </c>
      <c r="K626" s="1" t="s">
        <v>1021</v>
      </c>
    </row>
    <row r="627" spans="1:11">
      <c r="A627" s="17" t="s">
        <v>330</v>
      </c>
      <c r="B627" s="19" t="s">
        <v>50</v>
      </c>
      <c r="C627" s="19" t="s">
        <v>375</v>
      </c>
      <c r="D627" s="19" t="s">
        <v>376</v>
      </c>
      <c r="E627" s="20" t="s">
        <v>29</v>
      </c>
      <c r="F627" s="19" t="s">
        <v>380</v>
      </c>
      <c r="G627" s="19" t="s">
        <v>381</v>
      </c>
      <c r="H627" s="19" t="s">
        <v>30</v>
      </c>
      <c r="I627">
        <v>14407</v>
      </c>
      <c r="J627">
        <v>51</v>
      </c>
      <c r="K627" s="1" t="s">
        <v>1020</v>
      </c>
    </row>
    <row r="628" spans="1:11">
      <c r="A628" s="17" t="s">
        <v>330</v>
      </c>
      <c r="B628" s="19" t="s">
        <v>50</v>
      </c>
      <c r="C628" s="19" t="s">
        <v>375</v>
      </c>
      <c r="D628" s="19" t="s">
        <v>376</v>
      </c>
      <c r="E628" s="20" t="s">
        <v>29</v>
      </c>
      <c r="F628" s="19" t="s">
        <v>382</v>
      </c>
      <c r="G628" s="19" t="s">
        <v>383</v>
      </c>
      <c r="H628" s="19" t="s">
        <v>30</v>
      </c>
      <c r="I628">
        <v>21101859</v>
      </c>
      <c r="J628">
        <v>28035</v>
      </c>
      <c r="K628" s="1" t="s">
        <v>1021</v>
      </c>
    </row>
    <row r="629" spans="1:11">
      <c r="A629" s="17" t="s">
        <v>330</v>
      </c>
      <c r="B629" s="19" t="s">
        <v>50</v>
      </c>
      <c r="C629" s="19" t="s">
        <v>375</v>
      </c>
      <c r="D629" s="19" t="s">
        <v>376</v>
      </c>
      <c r="E629" s="20" t="s">
        <v>29</v>
      </c>
      <c r="F629" s="19" t="s">
        <v>384</v>
      </c>
      <c r="G629" s="19" t="s">
        <v>385</v>
      </c>
      <c r="H629" s="19" t="s">
        <v>30</v>
      </c>
      <c r="I629">
        <v>272430</v>
      </c>
      <c r="J629">
        <v>858</v>
      </c>
      <c r="K629" s="1" t="s">
        <v>1020</v>
      </c>
    </row>
    <row r="630" spans="1:11">
      <c r="A630" s="17" t="s">
        <v>330</v>
      </c>
      <c r="B630" s="19" t="s">
        <v>50</v>
      </c>
      <c r="C630" s="19" t="s">
        <v>375</v>
      </c>
      <c r="D630" s="19" t="s">
        <v>376</v>
      </c>
      <c r="E630" s="20" t="s">
        <v>29</v>
      </c>
      <c r="F630" s="19" t="s">
        <v>386</v>
      </c>
      <c r="G630" s="19" t="s">
        <v>387</v>
      </c>
      <c r="H630" s="19" t="s">
        <v>30</v>
      </c>
      <c r="I630">
        <v>1648252</v>
      </c>
      <c r="J630">
        <v>3149</v>
      </c>
      <c r="K630" s="1" t="s">
        <v>1021</v>
      </c>
    </row>
    <row r="631" spans="1:11" hidden="1">
      <c r="A631" s="17" t="s">
        <v>330</v>
      </c>
      <c r="B631" s="19" t="s">
        <v>50</v>
      </c>
      <c r="C631" s="19" t="s">
        <v>388</v>
      </c>
      <c r="D631" s="19" t="s">
        <v>389</v>
      </c>
      <c r="E631" s="20" t="s">
        <v>11</v>
      </c>
      <c r="F631" s="19" t="s">
        <v>390</v>
      </c>
      <c r="G631" s="19" t="s">
        <v>391</v>
      </c>
      <c r="H631" s="19" t="s">
        <v>31</v>
      </c>
      <c r="I631">
        <v>3120</v>
      </c>
      <c r="J631">
        <v>38</v>
      </c>
      <c r="K631" s="1" t="s">
        <v>1020</v>
      </c>
    </row>
    <row r="632" spans="1:11">
      <c r="A632" s="17" t="s">
        <v>330</v>
      </c>
      <c r="B632" s="19" t="s">
        <v>50</v>
      </c>
      <c r="C632" s="19" t="s">
        <v>388</v>
      </c>
      <c r="D632" s="19" t="s">
        <v>389</v>
      </c>
      <c r="E632" s="20" t="s">
        <v>29</v>
      </c>
      <c r="F632" s="19" t="s">
        <v>392</v>
      </c>
      <c r="G632" s="19" t="s">
        <v>393</v>
      </c>
      <c r="H632" s="19" t="s">
        <v>30</v>
      </c>
      <c r="I632">
        <v>336</v>
      </c>
      <c r="J632">
        <v>0</v>
      </c>
      <c r="K632" s="1" t="s">
        <v>1021</v>
      </c>
    </row>
    <row r="633" spans="1:11">
      <c r="A633" s="17" t="s">
        <v>330</v>
      </c>
      <c r="B633" s="19" t="s">
        <v>50</v>
      </c>
      <c r="C633" s="19" t="s">
        <v>388</v>
      </c>
      <c r="D633" s="19" t="s">
        <v>389</v>
      </c>
      <c r="E633" s="20" t="s">
        <v>29</v>
      </c>
      <c r="F633" s="19" t="s">
        <v>394</v>
      </c>
      <c r="G633" s="19" t="s">
        <v>395</v>
      </c>
      <c r="H633" s="19" t="s">
        <v>30</v>
      </c>
      <c r="I633">
        <v>187</v>
      </c>
      <c r="J633">
        <v>0</v>
      </c>
      <c r="K633" s="1" t="s">
        <v>1020</v>
      </c>
    </row>
    <row r="634" spans="1:11">
      <c r="A634" s="17" t="s">
        <v>330</v>
      </c>
      <c r="B634" s="19" t="s">
        <v>50</v>
      </c>
      <c r="C634" s="19" t="s">
        <v>388</v>
      </c>
      <c r="D634" s="19" t="s">
        <v>389</v>
      </c>
      <c r="E634" s="20" t="s">
        <v>29</v>
      </c>
      <c r="F634" s="19" t="s">
        <v>396</v>
      </c>
      <c r="G634" s="19" t="s">
        <v>397</v>
      </c>
      <c r="H634" s="19" t="s">
        <v>30</v>
      </c>
      <c r="I634">
        <v>360629</v>
      </c>
      <c r="J634">
        <v>5787</v>
      </c>
      <c r="K634" s="1" t="s">
        <v>1021</v>
      </c>
    </row>
    <row r="635" spans="1:11">
      <c r="A635" s="17" t="s">
        <v>330</v>
      </c>
      <c r="B635" s="19" t="s">
        <v>50</v>
      </c>
      <c r="C635" s="19" t="s">
        <v>388</v>
      </c>
      <c r="D635" s="19" t="s">
        <v>389</v>
      </c>
      <c r="E635" s="20" t="s">
        <v>29</v>
      </c>
      <c r="F635" s="19" t="s">
        <v>398</v>
      </c>
      <c r="G635" s="19" t="s">
        <v>399</v>
      </c>
      <c r="H635" s="19" t="s">
        <v>30</v>
      </c>
      <c r="I635">
        <v>12963</v>
      </c>
      <c r="J635">
        <v>76</v>
      </c>
      <c r="K635" s="1" t="s">
        <v>1020</v>
      </c>
    </row>
    <row r="636" spans="1:11">
      <c r="A636" s="17" t="s">
        <v>330</v>
      </c>
      <c r="B636" s="19" t="s">
        <v>50</v>
      </c>
      <c r="C636" s="19" t="s">
        <v>388</v>
      </c>
      <c r="D636" s="19" t="s">
        <v>389</v>
      </c>
      <c r="E636" s="20" t="s">
        <v>29</v>
      </c>
      <c r="F636" s="19" t="s">
        <v>400</v>
      </c>
      <c r="G636" s="19" t="s">
        <v>401</v>
      </c>
      <c r="H636" s="19" t="s">
        <v>30</v>
      </c>
      <c r="I636">
        <v>70023</v>
      </c>
      <c r="J636">
        <v>259</v>
      </c>
      <c r="K636" s="1" t="s">
        <v>1021</v>
      </c>
    </row>
    <row r="637" spans="1:11" hidden="1">
      <c r="A637" s="17" t="s">
        <v>330</v>
      </c>
      <c r="B637" s="19" t="s">
        <v>50</v>
      </c>
      <c r="C637" s="19" t="s">
        <v>402</v>
      </c>
      <c r="D637" s="19" t="s">
        <v>403</v>
      </c>
      <c r="E637" s="20" t="s">
        <v>11</v>
      </c>
      <c r="F637" s="19" t="s">
        <v>404</v>
      </c>
      <c r="G637" s="19" t="s">
        <v>405</v>
      </c>
      <c r="H637" s="19" t="s">
        <v>31</v>
      </c>
      <c r="I637">
        <v>11668</v>
      </c>
      <c r="J637">
        <v>27</v>
      </c>
      <c r="K637" s="1" t="s">
        <v>1020</v>
      </c>
    </row>
    <row r="638" spans="1:11">
      <c r="A638" s="17" t="s">
        <v>330</v>
      </c>
      <c r="B638" s="19" t="s">
        <v>50</v>
      </c>
      <c r="C638" s="19" t="s">
        <v>402</v>
      </c>
      <c r="D638" s="19" t="s">
        <v>403</v>
      </c>
      <c r="E638" s="20" t="s">
        <v>29</v>
      </c>
      <c r="F638" s="19" t="s">
        <v>406</v>
      </c>
      <c r="G638" s="19" t="s">
        <v>407</v>
      </c>
      <c r="H638" s="19" t="s">
        <v>30</v>
      </c>
      <c r="I638">
        <v>2066</v>
      </c>
      <c r="J638">
        <v>13</v>
      </c>
      <c r="K638" s="1" t="s">
        <v>1021</v>
      </c>
    </row>
    <row r="639" spans="1:11">
      <c r="A639" s="17" t="s">
        <v>330</v>
      </c>
      <c r="B639" s="19" t="s">
        <v>50</v>
      </c>
      <c r="C639" s="19" t="s">
        <v>402</v>
      </c>
      <c r="D639" s="19" t="s">
        <v>403</v>
      </c>
      <c r="E639" s="20" t="s">
        <v>29</v>
      </c>
      <c r="F639" s="19" t="s">
        <v>408</v>
      </c>
      <c r="G639" s="19" t="s">
        <v>409</v>
      </c>
      <c r="H639" s="19" t="s">
        <v>30</v>
      </c>
      <c r="I639">
        <v>1180</v>
      </c>
      <c r="J639">
        <v>18</v>
      </c>
      <c r="K639" s="1" t="s">
        <v>1020</v>
      </c>
    </row>
    <row r="640" spans="1:11">
      <c r="A640" s="17" t="s">
        <v>330</v>
      </c>
      <c r="B640" s="19" t="s">
        <v>50</v>
      </c>
      <c r="C640" s="19" t="s">
        <v>402</v>
      </c>
      <c r="D640" s="19" t="s">
        <v>403</v>
      </c>
      <c r="E640" s="20" t="s">
        <v>29</v>
      </c>
      <c r="F640" s="19" t="s">
        <v>410</v>
      </c>
      <c r="G640" s="19" t="s">
        <v>411</v>
      </c>
      <c r="H640" s="19" t="s">
        <v>30</v>
      </c>
      <c r="I640">
        <v>965976</v>
      </c>
      <c r="J640">
        <v>2374</v>
      </c>
      <c r="K640" s="1" t="s">
        <v>1021</v>
      </c>
    </row>
    <row r="641" spans="1:11">
      <c r="A641" s="17" t="s">
        <v>330</v>
      </c>
      <c r="B641" s="19" t="s">
        <v>50</v>
      </c>
      <c r="C641" s="19" t="s">
        <v>402</v>
      </c>
      <c r="D641" s="19" t="s">
        <v>403</v>
      </c>
      <c r="E641" s="20" t="s">
        <v>29</v>
      </c>
      <c r="F641" s="19" t="s">
        <v>412</v>
      </c>
      <c r="G641" s="19" t="s">
        <v>413</v>
      </c>
      <c r="H641" s="19" t="s">
        <v>30</v>
      </c>
      <c r="I641">
        <v>76304</v>
      </c>
      <c r="J641">
        <v>398</v>
      </c>
      <c r="K641" s="1" t="s">
        <v>1020</v>
      </c>
    </row>
    <row r="642" spans="1:11">
      <c r="A642" s="17" t="s">
        <v>330</v>
      </c>
      <c r="B642" s="19" t="s">
        <v>50</v>
      </c>
      <c r="C642" s="19" t="s">
        <v>402</v>
      </c>
      <c r="D642" s="19" t="s">
        <v>403</v>
      </c>
      <c r="E642" s="20" t="s">
        <v>29</v>
      </c>
      <c r="F642" s="19" t="s">
        <v>414</v>
      </c>
      <c r="G642" s="19" t="s">
        <v>415</v>
      </c>
      <c r="H642" s="19" t="s">
        <v>30</v>
      </c>
      <c r="I642">
        <v>420831</v>
      </c>
      <c r="J642">
        <v>962</v>
      </c>
      <c r="K642" s="1" t="s">
        <v>1021</v>
      </c>
    </row>
    <row r="643" spans="1:11" hidden="1">
      <c r="A643" s="17" t="s">
        <v>330</v>
      </c>
      <c r="B643" s="19" t="s">
        <v>50</v>
      </c>
      <c r="C643" s="19" t="s">
        <v>416</v>
      </c>
      <c r="D643" s="19" t="s">
        <v>417</v>
      </c>
      <c r="E643" s="20" t="s">
        <v>11</v>
      </c>
      <c r="F643" s="19" t="s">
        <v>418</v>
      </c>
      <c r="G643" s="19" t="s">
        <v>419</v>
      </c>
      <c r="H643" s="19" t="s">
        <v>31</v>
      </c>
      <c r="I643">
        <v>9666</v>
      </c>
      <c r="J643">
        <v>13</v>
      </c>
      <c r="K643" s="1" t="s">
        <v>1020</v>
      </c>
    </row>
    <row r="644" spans="1:11">
      <c r="A644" s="17" t="s">
        <v>330</v>
      </c>
      <c r="B644" s="19" t="s">
        <v>50</v>
      </c>
      <c r="C644" s="19" t="s">
        <v>416</v>
      </c>
      <c r="D644" s="19" t="s">
        <v>417</v>
      </c>
      <c r="E644" s="20" t="s">
        <v>29</v>
      </c>
      <c r="F644" s="19" t="s">
        <v>420</v>
      </c>
      <c r="G644" s="19" t="s">
        <v>421</v>
      </c>
      <c r="H644" s="19" t="s">
        <v>30</v>
      </c>
      <c r="I644">
        <v>1512</v>
      </c>
      <c r="J644">
        <v>3</v>
      </c>
      <c r="K644" s="1" t="s">
        <v>1021</v>
      </c>
    </row>
    <row r="645" spans="1:11">
      <c r="A645" s="17" t="s">
        <v>330</v>
      </c>
      <c r="B645" s="19" t="s">
        <v>50</v>
      </c>
      <c r="C645" s="19" t="s">
        <v>416</v>
      </c>
      <c r="D645" s="19" t="s">
        <v>417</v>
      </c>
      <c r="E645" s="20" t="s">
        <v>29</v>
      </c>
      <c r="F645" s="19" t="s">
        <v>422</v>
      </c>
      <c r="G645" s="19" t="s">
        <v>423</v>
      </c>
      <c r="H645" s="19" t="s">
        <v>30</v>
      </c>
      <c r="I645">
        <v>1019</v>
      </c>
      <c r="J645">
        <v>6</v>
      </c>
      <c r="K645" s="1" t="s">
        <v>1020</v>
      </c>
    </row>
    <row r="646" spans="1:11">
      <c r="A646" s="17" t="s">
        <v>330</v>
      </c>
      <c r="B646" s="19" t="s">
        <v>50</v>
      </c>
      <c r="C646" s="19" t="s">
        <v>416</v>
      </c>
      <c r="D646" s="19" t="s">
        <v>417</v>
      </c>
      <c r="E646" s="20" t="s">
        <v>29</v>
      </c>
      <c r="F646" s="19" t="s">
        <v>424</v>
      </c>
      <c r="G646" s="19" t="s">
        <v>425</v>
      </c>
      <c r="H646" s="19" t="s">
        <v>30</v>
      </c>
      <c r="I646">
        <v>654850</v>
      </c>
      <c r="J646">
        <v>585</v>
      </c>
      <c r="K646" s="1" t="s">
        <v>1021</v>
      </c>
    </row>
    <row r="647" spans="1:11">
      <c r="A647" s="17" t="s">
        <v>330</v>
      </c>
      <c r="B647" s="19" t="s">
        <v>50</v>
      </c>
      <c r="C647" s="19" t="s">
        <v>416</v>
      </c>
      <c r="D647" s="19" t="s">
        <v>417</v>
      </c>
      <c r="E647" s="20" t="s">
        <v>29</v>
      </c>
      <c r="F647" s="19" t="s">
        <v>426</v>
      </c>
      <c r="G647" s="19" t="s">
        <v>427</v>
      </c>
      <c r="H647" s="19" t="s">
        <v>30</v>
      </c>
      <c r="I647">
        <v>85819</v>
      </c>
      <c r="J647">
        <v>145</v>
      </c>
      <c r="K647" s="1" t="s">
        <v>1020</v>
      </c>
    </row>
    <row r="648" spans="1:11">
      <c r="A648" s="17" t="s">
        <v>330</v>
      </c>
      <c r="B648" s="19" t="s">
        <v>50</v>
      </c>
      <c r="C648" s="19" t="s">
        <v>416</v>
      </c>
      <c r="D648" s="19" t="s">
        <v>417</v>
      </c>
      <c r="E648" s="20" t="s">
        <v>29</v>
      </c>
      <c r="F648" s="19" t="s">
        <v>428</v>
      </c>
      <c r="G648" s="19" t="s">
        <v>429</v>
      </c>
      <c r="H648" s="19" t="s">
        <v>30</v>
      </c>
      <c r="I648">
        <v>432200</v>
      </c>
      <c r="J648">
        <v>311</v>
      </c>
      <c r="K648" s="1" t="s">
        <v>1021</v>
      </c>
    </row>
    <row r="649" spans="1:11" hidden="1">
      <c r="A649" s="17" t="s">
        <v>330</v>
      </c>
      <c r="B649" s="19" t="s">
        <v>50</v>
      </c>
      <c r="C649" s="19" t="s">
        <v>430</v>
      </c>
      <c r="D649" s="19" t="s">
        <v>431</v>
      </c>
      <c r="E649" s="20" t="s">
        <v>11</v>
      </c>
      <c r="F649" s="19" t="s">
        <v>432</v>
      </c>
      <c r="G649" s="19" t="s">
        <v>433</v>
      </c>
      <c r="H649" s="19" t="s">
        <v>31</v>
      </c>
      <c r="I649">
        <v>21465</v>
      </c>
      <c r="J649">
        <v>17</v>
      </c>
      <c r="K649" s="1" t="s">
        <v>1020</v>
      </c>
    </row>
    <row r="650" spans="1:11">
      <c r="A650" s="17" t="s">
        <v>330</v>
      </c>
      <c r="B650" s="19" t="s">
        <v>50</v>
      </c>
      <c r="C650" s="19" t="s">
        <v>430</v>
      </c>
      <c r="D650" s="19" t="s">
        <v>431</v>
      </c>
      <c r="E650" s="20" t="s">
        <v>29</v>
      </c>
      <c r="F650" s="19" t="s">
        <v>434</v>
      </c>
      <c r="G650" s="19" t="s">
        <v>435</v>
      </c>
      <c r="H650" s="19" t="s">
        <v>30</v>
      </c>
      <c r="I650">
        <v>4661</v>
      </c>
      <c r="J650">
        <v>13</v>
      </c>
      <c r="K650" s="1" t="s">
        <v>1021</v>
      </c>
    </row>
    <row r="651" spans="1:11">
      <c r="A651" s="17" t="s">
        <v>330</v>
      </c>
      <c r="B651" s="19" t="s">
        <v>50</v>
      </c>
      <c r="C651" s="19" t="s">
        <v>430</v>
      </c>
      <c r="D651" s="19" t="s">
        <v>431</v>
      </c>
      <c r="E651" s="20" t="s">
        <v>29</v>
      </c>
      <c r="F651" s="19" t="s">
        <v>436</v>
      </c>
      <c r="G651" s="19" t="s">
        <v>437</v>
      </c>
      <c r="H651" s="19" t="s">
        <v>30</v>
      </c>
      <c r="I651">
        <v>2392</v>
      </c>
      <c r="J651">
        <v>17</v>
      </c>
      <c r="K651" s="1" t="s">
        <v>1020</v>
      </c>
    </row>
    <row r="652" spans="1:11">
      <c r="A652" s="17" t="s">
        <v>330</v>
      </c>
      <c r="B652" s="19" t="s">
        <v>50</v>
      </c>
      <c r="C652" s="19" t="s">
        <v>430</v>
      </c>
      <c r="D652" s="19" t="s">
        <v>431</v>
      </c>
      <c r="E652" s="20" t="s">
        <v>29</v>
      </c>
      <c r="F652" s="19" t="s">
        <v>438</v>
      </c>
      <c r="G652" s="19" t="s">
        <v>439</v>
      </c>
      <c r="H652" s="19" t="s">
        <v>30</v>
      </c>
      <c r="I652">
        <v>2204402</v>
      </c>
      <c r="J652">
        <v>3080</v>
      </c>
      <c r="K652" s="1" t="s">
        <v>1021</v>
      </c>
    </row>
    <row r="653" spans="1:11">
      <c r="A653" s="17" t="s">
        <v>330</v>
      </c>
      <c r="B653" s="19" t="s">
        <v>50</v>
      </c>
      <c r="C653" s="19" t="s">
        <v>430</v>
      </c>
      <c r="D653" s="19" t="s">
        <v>431</v>
      </c>
      <c r="E653" s="20" t="s">
        <v>29</v>
      </c>
      <c r="F653" s="19" t="s">
        <v>440</v>
      </c>
      <c r="G653" s="19" t="s">
        <v>441</v>
      </c>
      <c r="H653" s="19" t="s">
        <v>30</v>
      </c>
      <c r="I653">
        <v>143865</v>
      </c>
      <c r="J653">
        <v>463</v>
      </c>
      <c r="K653" s="1" t="s">
        <v>1020</v>
      </c>
    </row>
    <row r="654" spans="1:11">
      <c r="A654" s="17" t="s">
        <v>330</v>
      </c>
      <c r="B654" s="19" t="s">
        <v>50</v>
      </c>
      <c r="C654" s="19" t="s">
        <v>430</v>
      </c>
      <c r="D654" s="19" t="s">
        <v>431</v>
      </c>
      <c r="E654" s="20" t="s">
        <v>29</v>
      </c>
      <c r="F654" s="19" t="s">
        <v>442</v>
      </c>
      <c r="G654" s="19" t="s">
        <v>443</v>
      </c>
      <c r="H654" s="19" t="s">
        <v>30</v>
      </c>
      <c r="I654">
        <v>668443</v>
      </c>
      <c r="J654">
        <v>1179</v>
      </c>
      <c r="K654" s="1" t="s">
        <v>1021</v>
      </c>
    </row>
    <row r="655" spans="1:11" hidden="1">
      <c r="A655" s="17" t="s">
        <v>330</v>
      </c>
      <c r="B655" s="19" t="s">
        <v>50</v>
      </c>
      <c r="C655" s="19" t="s">
        <v>444</v>
      </c>
      <c r="D655" s="19" t="s">
        <v>445</v>
      </c>
      <c r="E655" s="20" t="s">
        <v>11</v>
      </c>
      <c r="F655" s="19" t="s">
        <v>116</v>
      </c>
      <c r="G655" s="19" t="s">
        <v>446</v>
      </c>
      <c r="H655" s="19" t="s">
        <v>31</v>
      </c>
      <c r="I655">
        <v>56069</v>
      </c>
      <c r="J655">
        <v>106</v>
      </c>
      <c r="K655" s="1" t="s">
        <v>1020</v>
      </c>
    </row>
    <row r="656" spans="1:11">
      <c r="A656" s="17" t="s">
        <v>330</v>
      </c>
      <c r="B656" s="19" t="s">
        <v>50</v>
      </c>
      <c r="C656" s="19" t="s">
        <v>444</v>
      </c>
      <c r="D656" s="19" t="s">
        <v>445</v>
      </c>
      <c r="E656" s="20" t="s">
        <v>29</v>
      </c>
      <c r="F656" s="19" t="s">
        <v>447</v>
      </c>
      <c r="G656" s="19" t="s">
        <v>448</v>
      </c>
      <c r="H656" s="19" t="s">
        <v>30</v>
      </c>
      <c r="I656">
        <v>34578</v>
      </c>
      <c r="J656">
        <v>133</v>
      </c>
      <c r="K656" s="1" t="s">
        <v>1021</v>
      </c>
    </row>
    <row r="657" spans="1:11">
      <c r="A657" s="17" t="s">
        <v>330</v>
      </c>
      <c r="B657" s="19" t="s">
        <v>50</v>
      </c>
      <c r="C657" s="19" t="s">
        <v>444</v>
      </c>
      <c r="D657" s="19" t="s">
        <v>445</v>
      </c>
      <c r="E657" s="20" t="s">
        <v>29</v>
      </c>
      <c r="F657" s="19" t="s">
        <v>449</v>
      </c>
      <c r="G657" s="19" t="s">
        <v>450</v>
      </c>
      <c r="H657" s="19" t="s">
        <v>30</v>
      </c>
      <c r="I657">
        <v>8638</v>
      </c>
      <c r="J657">
        <v>74</v>
      </c>
      <c r="K657" s="1" t="s">
        <v>1020</v>
      </c>
    </row>
    <row r="658" spans="1:11">
      <c r="A658" s="17" t="s">
        <v>330</v>
      </c>
      <c r="B658" s="19" t="s">
        <v>50</v>
      </c>
      <c r="C658" s="19" t="s">
        <v>444</v>
      </c>
      <c r="D658" s="19" t="s">
        <v>445</v>
      </c>
      <c r="E658" s="20" t="s">
        <v>29</v>
      </c>
      <c r="F658" s="19" t="s">
        <v>451</v>
      </c>
      <c r="G658" s="19" t="s">
        <v>452</v>
      </c>
      <c r="H658" s="19" t="s">
        <v>30</v>
      </c>
      <c r="I658">
        <v>8129715</v>
      </c>
      <c r="J658">
        <v>37648</v>
      </c>
      <c r="K658" s="1" t="s">
        <v>1021</v>
      </c>
    </row>
    <row r="659" spans="1:11">
      <c r="A659" s="17" t="s">
        <v>330</v>
      </c>
      <c r="B659" s="19" t="s">
        <v>50</v>
      </c>
      <c r="C659" s="19" t="s">
        <v>444</v>
      </c>
      <c r="D659" s="19" t="s">
        <v>445</v>
      </c>
      <c r="E659" s="20" t="s">
        <v>29</v>
      </c>
      <c r="F659" s="19" t="s">
        <v>453</v>
      </c>
      <c r="G659" s="19" t="s">
        <v>454</v>
      </c>
      <c r="H659" s="19" t="s">
        <v>30</v>
      </c>
      <c r="I659">
        <v>356207</v>
      </c>
      <c r="J659">
        <v>1252</v>
      </c>
      <c r="K659" s="1" t="s">
        <v>1020</v>
      </c>
    </row>
    <row r="660" spans="1:11">
      <c r="A660" s="17" t="s">
        <v>330</v>
      </c>
      <c r="B660" s="19" t="s">
        <v>50</v>
      </c>
      <c r="C660" s="19" t="s">
        <v>444</v>
      </c>
      <c r="D660" s="19" t="s">
        <v>445</v>
      </c>
      <c r="E660" s="20" t="s">
        <v>29</v>
      </c>
      <c r="F660" s="19" t="s">
        <v>455</v>
      </c>
      <c r="G660" s="19" t="s">
        <v>456</v>
      </c>
      <c r="H660" s="19" t="s">
        <v>30</v>
      </c>
      <c r="I660">
        <v>1987341</v>
      </c>
      <c r="J660">
        <v>3914</v>
      </c>
      <c r="K660" s="1" t="s">
        <v>1021</v>
      </c>
    </row>
    <row r="661" spans="1:11" hidden="1">
      <c r="A661" s="17" t="s">
        <v>330</v>
      </c>
      <c r="B661" s="19" t="s">
        <v>50</v>
      </c>
      <c r="C661" s="19" t="s">
        <v>457</v>
      </c>
      <c r="D661" s="19" t="s">
        <v>458</v>
      </c>
      <c r="E661" s="20" t="s">
        <v>11</v>
      </c>
      <c r="F661" s="19" t="s">
        <v>459</v>
      </c>
      <c r="G661" s="19" t="s">
        <v>460</v>
      </c>
      <c r="H661" s="19" t="s">
        <v>31</v>
      </c>
      <c r="I661">
        <v>33869</v>
      </c>
      <c r="J661">
        <v>87</v>
      </c>
      <c r="K661" s="1" t="s">
        <v>1020</v>
      </c>
    </row>
    <row r="662" spans="1:11">
      <c r="A662" s="17" t="s">
        <v>330</v>
      </c>
      <c r="B662" s="19" t="s">
        <v>50</v>
      </c>
      <c r="C662" s="19" t="s">
        <v>457</v>
      </c>
      <c r="D662" s="19" t="s">
        <v>458</v>
      </c>
      <c r="E662" s="20" t="s">
        <v>29</v>
      </c>
      <c r="F662" s="19" t="s">
        <v>461</v>
      </c>
      <c r="G662" s="19" t="s">
        <v>462</v>
      </c>
      <c r="H662" s="19" t="s">
        <v>30</v>
      </c>
      <c r="I662">
        <v>7677</v>
      </c>
      <c r="J662">
        <v>12</v>
      </c>
      <c r="K662" s="1" t="s">
        <v>1021</v>
      </c>
    </row>
    <row r="663" spans="1:11">
      <c r="A663" s="17" t="s">
        <v>330</v>
      </c>
      <c r="B663" s="19" t="s">
        <v>50</v>
      </c>
      <c r="C663" s="19" t="s">
        <v>457</v>
      </c>
      <c r="D663" s="19" t="s">
        <v>458</v>
      </c>
      <c r="E663" s="20" t="s">
        <v>29</v>
      </c>
      <c r="F663" s="19" t="s">
        <v>463</v>
      </c>
      <c r="G663" s="19" t="s">
        <v>464</v>
      </c>
      <c r="H663" s="19" t="s">
        <v>30</v>
      </c>
      <c r="I663">
        <v>2684</v>
      </c>
      <c r="J663">
        <v>9</v>
      </c>
      <c r="K663" s="1" t="s">
        <v>1020</v>
      </c>
    </row>
    <row r="664" spans="1:11">
      <c r="A664" s="17" t="s">
        <v>330</v>
      </c>
      <c r="B664" s="19" t="s">
        <v>50</v>
      </c>
      <c r="C664" s="19" t="s">
        <v>457</v>
      </c>
      <c r="D664" s="19" t="s">
        <v>458</v>
      </c>
      <c r="E664" s="20" t="s">
        <v>29</v>
      </c>
      <c r="F664" s="19" t="s">
        <v>465</v>
      </c>
      <c r="G664" s="19" t="s">
        <v>466</v>
      </c>
      <c r="H664" s="19" t="s">
        <v>30</v>
      </c>
      <c r="I664">
        <v>3721313</v>
      </c>
      <c r="J664">
        <v>15372</v>
      </c>
      <c r="K664" s="1" t="s">
        <v>1021</v>
      </c>
    </row>
    <row r="665" spans="1:11">
      <c r="A665" s="17" t="s">
        <v>330</v>
      </c>
      <c r="B665" s="19" t="s">
        <v>50</v>
      </c>
      <c r="C665" s="19" t="s">
        <v>457</v>
      </c>
      <c r="D665" s="19" t="s">
        <v>458</v>
      </c>
      <c r="E665" s="20" t="s">
        <v>29</v>
      </c>
      <c r="F665" s="19" t="s">
        <v>467</v>
      </c>
      <c r="G665" s="19" t="s">
        <v>468</v>
      </c>
      <c r="H665" s="19" t="s">
        <v>30</v>
      </c>
      <c r="I665">
        <v>201112</v>
      </c>
      <c r="J665">
        <v>397</v>
      </c>
      <c r="K665" s="1" t="s">
        <v>1020</v>
      </c>
    </row>
    <row r="666" spans="1:11">
      <c r="A666" s="17" t="s">
        <v>330</v>
      </c>
      <c r="B666" s="19" t="s">
        <v>50</v>
      </c>
      <c r="C666" s="19" t="s">
        <v>457</v>
      </c>
      <c r="D666" s="19" t="s">
        <v>458</v>
      </c>
      <c r="E666" s="20" t="s">
        <v>29</v>
      </c>
      <c r="F666" s="19" t="s">
        <v>469</v>
      </c>
      <c r="G666" s="19" t="s">
        <v>470</v>
      </c>
      <c r="H666" s="19" t="s">
        <v>30</v>
      </c>
      <c r="I666">
        <v>927817</v>
      </c>
      <c r="J666">
        <v>1125</v>
      </c>
      <c r="K666" s="1" t="s">
        <v>1021</v>
      </c>
    </row>
    <row r="667" spans="1:11" hidden="1">
      <c r="A667" s="17" t="s">
        <v>330</v>
      </c>
      <c r="B667" s="19" t="s">
        <v>50</v>
      </c>
      <c r="C667" s="19" t="s">
        <v>471</v>
      </c>
      <c r="D667" s="19" t="s">
        <v>472</v>
      </c>
      <c r="E667" s="20" t="s">
        <v>11</v>
      </c>
      <c r="F667" s="19" t="s">
        <v>333</v>
      </c>
      <c r="G667" s="19" t="s">
        <v>334</v>
      </c>
      <c r="H667" s="19" t="s">
        <v>31</v>
      </c>
      <c r="I667">
        <v>7397</v>
      </c>
      <c r="J667">
        <v>12</v>
      </c>
      <c r="K667" s="1" t="s">
        <v>1020</v>
      </c>
    </row>
    <row r="668" spans="1:11">
      <c r="A668" s="17" t="s">
        <v>330</v>
      </c>
      <c r="B668" s="19" t="s">
        <v>50</v>
      </c>
      <c r="C668" s="19" t="s">
        <v>471</v>
      </c>
      <c r="D668" s="19" t="s">
        <v>472</v>
      </c>
      <c r="E668" s="20" t="s">
        <v>29</v>
      </c>
      <c r="F668" s="19" t="s">
        <v>473</v>
      </c>
      <c r="G668" s="19" t="s">
        <v>474</v>
      </c>
      <c r="H668" s="19" t="s">
        <v>30</v>
      </c>
      <c r="I668">
        <v>1332</v>
      </c>
      <c r="J668">
        <v>2</v>
      </c>
      <c r="K668" s="1" t="s">
        <v>1021</v>
      </c>
    </row>
    <row r="669" spans="1:11">
      <c r="A669" s="17" t="s">
        <v>330</v>
      </c>
      <c r="B669" s="19" t="s">
        <v>50</v>
      </c>
      <c r="C669" s="19" t="s">
        <v>471</v>
      </c>
      <c r="D669" s="19" t="s">
        <v>472</v>
      </c>
      <c r="E669" s="20" t="s">
        <v>29</v>
      </c>
      <c r="F669" s="19" t="s">
        <v>475</v>
      </c>
      <c r="G669" s="19" t="s">
        <v>476</v>
      </c>
      <c r="H669" s="19" t="s">
        <v>30</v>
      </c>
      <c r="I669">
        <v>432</v>
      </c>
      <c r="J669">
        <v>1</v>
      </c>
      <c r="K669" s="1" t="s">
        <v>1020</v>
      </c>
    </row>
    <row r="670" spans="1:11">
      <c r="A670" s="17" t="s">
        <v>330</v>
      </c>
      <c r="B670" s="19" t="s">
        <v>50</v>
      </c>
      <c r="C670" s="19" t="s">
        <v>471</v>
      </c>
      <c r="D670" s="19" t="s">
        <v>472</v>
      </c>
      <c r="E670" s="20" t="s">
        <v>29</v>
      </c>
      <c r="F670" s="19" t="s">
        <v>477</v>
      </c>
      <c r="G670" s="19" t="s">
        <v>478</v>
      </c>
      <c r="H670" s="19" t="s">
        <v>30</v>
      </c>
      <c r="I670">
        <v>877630</v>
      </c>
      <c r="J670">
        <v>1009</v>
      </c>
      <c r="K670" s="1" t="s">
        <v>1021</v>
      </c>
    </row>
    <row r="671" spans="1:11">
      <c r="A671" s="17" t="s">
        <v>330</v>
      </c>
      <c r="B671" s="19" t="s">
        <v>50</v>
      </c>
      <c r="C671" s="19" t="s">
        <v>471</v>
      </c>
      <c r="D671" s="19" t="s">
        <v>472</v>
      </c>
      <c r="E671" s="20" t="s">
        <v>29</v>
      </c>
      <c r="F671" s="19" t="s">
        <v>479</v>
      </c>
      <c r="G671" s="19" t="s">
        <v>480</v>
      </c>
      <c r="H671" s="19" t="s">
        <v>30</v>
      </c>
      <c r="I671">
        <v>42287</v>
      </c>
      <c r="J671">
        <v>64</v>
      </c>
      <c r="K671" s="1" t="s">
        <v>1020</v>
      </c>
    </row>
    <row r="672" spans="1:11">
      <c r="A672" s="17" t="s">
        <v>330</v>
      </c>
      <c r="B672" s="19" t="s">
        <v>50</v>
      </c>
      <c r="C672" s="19" t="s">
        <v>471</v>
      </c>
      <c r="D672" s="19" t="s">
        <v>472</v>
      </c>
      <c r="E672" s="20" t="s">
        <v>29</v>
      </c>
      <c r="F672" s="19" t="s">
        <v>481</v>
      </c>
      <c r="G672" s="19" t="s">
        <v>482</v>
      </c>
      <c r="H672" s="19" t="s">
        <v>30</v>
      </c>
      <c r="I672">
        <v>193691</v>
      </c>
      <c r="J672">
        <v>163</v>
      </c>
      <c r="K672" s="1" t="s">
        <v>1021</v>
      </c>
    </row>
    <row r="673" spans="1:11" hidden="1">
      <c r="A673" s="17" t="s">
        <v>330</v>
      </c>
      <c r="B673" s="19" t="s">
        <v>50</v>
      </c>
      <c r="C673" s="19" t="s">
        <v>483</v>
      </c>
      <c r="D673" s="19" t="s">
        <v>484</v>
      </c>
      <c r="E673" s="20" t="s">
        <v>11</v>
      </c>
      <c r="F673" s="19" t="s">
        <v>349</v>
      </c>
      <c r="G673" s="19" t="s">
        <v>350</v>
      </c>
      <c r="H673" s="19" t="s">
        <v>31</v>
      </c>
      <c r="I673">
        <v>7253</v>
      </c>
      <c r="J673">
        <v>4</v>
      </c>
      <c r="K673" s="1" t="s">
        <v>1020</v>
      </c>
    </row>
    <row r="674" spans="1:11">
      <c r="A674" s="17" t="s">
        <v>330</v>
      </c>
      <c r="B674" s="19" t="s">
        <v>50</v>
      </c>
      <c r="C674" s="19" t="s">
        <v>483</v>
      </c>
      <c r="D674" s="19" t="s">
        <v>484</v>
      </c>
      <c r="E674" s="20" t="s">
        <v>29</v>
      </c>
      <c r="F674" s="19" t="s">
        <v>485</v>
      </c>
      <c r="G674" s="19" t="s">
        <v>486</v>
      </c>
      <c r="H674" s="19" t="s">
        <v>30</v>
      </c>
      <c r="I674">
        <v>3644</v>
      </c>
      <c r="J674">
        <v>7</v>
      </c>
      <c r="K674" s="1" t="s">
        <v>1021</v>
      </c>
    </row>
    <row r="675" spans="1:11">
      <c r="A675" s="17" t="s">
        <v>330</v>
      </c>
      <c r="B675" s="19" t="s">
        <v>50</v>
      </c>
      <c r="C675" s="19" t="s">
        <v>483</v>
      </c>
      <c r="D675" s="19" t="s">
        <v>484</v>
      </c>
      <c r="E675" s="20" t="s">
        <v>29</v>
      </c>
      <c r="F675" s="19" t="s">
        <v>487</v>
      </c>
      <c r="G675" s="19" t="s">
        <v>488</v>
      </c>
      <c r="H675" s="19" t="s">
        <v>30</v>
      </c>
      <c r="I675">
        <v>1785</v>
      </c>
      <c r="J675">
        <v>9</v>
      </c>
      <c r="K675" s="1" t="s">
        <v>1020</v>
      </c>
    </row>
    <row r="676" spans="1:11">
      <c r="A676" s="17" t="s">
        <v>330</v>
      </c>
      <c r="B676" s="19" t="s">
        <v>50</v>
      </c>
      <c r="C676" s="19" t="s">
        <v>483</v>
      </c>
      <c r="D676" s="19" t="s">
        <v>484</v>
      </c>
      <c r="E676" s="20" t="s">
        <v>29</v>
      </c>
      <c r="F676" s="19" t="s">
        <v>489</v>
      </c>
      <c r="G676" s="19" t="s">
        <v>490</v>
      </c>
      <c r="H676" s="19" t="s">
        <v>30</v>
      </c>
      <c r="I676">
        <v>873995</v>
      </c>
      <c r="J676">
        <v>1221</v>
      </c>
      <c r="K676" s="1" t="s">
        <v>1021</v>
      </c>
    </row>
    <row r="677" spans="1:11">
      <c r="A677" s="17" t="s">
        <v>330</v>
      </c>
      <c r="B677" s="19" t="s">
        <v>50</v>
      </c>
      <c r="C677" s="19" t="s">
        <v>483</v>
      </c>
      <c r="D677" s="19" t="s">
        <v>484</v>
      </c>
      <c r="E677" s="20" t="s">
        <v>29</v>
      </c>
      <c r="F677" s="19" t="s">
        <v>491</v>
      </c>
      <c r="G677" s="19" t="s">
        <v>492</v>
      </c>
      <c r="H677" s="19" t="s">
        <v>30</v>
      </c>
      <c r="I677">
        <v>70858</v>
      </c>
      <c r="J677">
        <v>181</v>
      </c>
      <c r="K677" s="1" t="s">
        <v>1020</v>
      </c>
    </row>
    <row r="678" spans="1:11">
      <c r="A678" s="17" t="s">
        <v>330</v>
      </c>
      <c r="B678" s="19" t="s">
        <v>50</v>
      </c>
      <c r="C678" s="19" t="s">
        <v>483</v>
      </c>
      <c r="D678" s="19" t="s">
        <v>484</v>
      </c>
      <c r="E678" s="20" t="s">
        <v>29</v>
      </c>
      <c r="F678" s="19" t="s">
        <v>493</v>
      </c>
      <c r="G678" s="19" t="s">
        <v>494</v>
      </c>
      <c r="H678" s="19" t="s">
        <v>30</v>
      </c>
      <c r="I678">
        <v>267698</v>
      </c>
      <c r="J678">
        <v>418</v>
      </c>
      <c r="K678" s="1" t="s">
        <v>1021</v>
      </c>
    </row>
    <row r="679" spans="1:11" hidden="1">
      <c r="A679" s="17" t="s">
        <v>330</v>
      </c>
      <c r="B679" s="19" t="s">
        <v>50</v>
      </c>
      <c r="C679" s="19" t="s">
        <v>495</v>
      </c>
      <c r="D679" s="19" t="s">
        <v>496</v>
      </c>
      <c r="E679" s="20" t="s">
        <v>11</v>
      </c>
      <c r="F679" s="19" t="s">
        <v>363</v>
      </c>
      <c r="G679" s="19" t="s">
        <v>364</v>
      </c>
      <c r="H679" s="19" t="s">
        <v>31</v>
      </c>
      <c r="I679">
        <v>22466</v>
      </c>
      <c r="J679">
        <v>13</v>
      </c>
      <c r="K679" s="1" t="s">
        <v>1020</v>
      </c>
    </row>
    <row r="680" spans="1:11">
      <c r="A680" s="17" t="s">
        <v>330</v>
      </c>
      <c r="B680" s="19" t="s">
        <v>50</v>
      </c>
      <c r="C680" s="19" t="s">
        <v>495</v>
      </c>
      <c r="D680" s="19" t="s">
        <v>496</v>
      </c>
      <c r="E680" s="20" t="s">
        <v>29</v>
      </c>
      <c r="F680" s="19" t="s">
        <v>497</v>
      </c>
      <c r="G680" s="19" t="s">
        <v>498</v>
      </c>
      <c r="H680" s="19" t="s">
        <v>30</v>
      </c>
      <c r="I680">
        <v>2640</v>
      </c>
      <c r="J680">
        <v>2</v>
      </c>
      <c r="K680" s="1" t="s">
        <v>1021</v>
      </c>
    </row>
    <row r="681" spans="1:11">
      <c r="A681" s="17" t="s">
        <v>330</v>
      </c>
      <c r="B681" s="19" t="s">
        <v>50</v>
      </c>
      <c r="C681" s="19" t="s">
        <v>495</v>
      </c>
      <c r="D681" s="19" t="s">
        <v>496</v>
      </c>
      <c r="E681" s="20" t="s">
        <v>29</v>
      </c>
      <c r="F681" s="19" t="s">
        <v>499</v>
      </c>
      <c r="G681" s="19" t="s">
        <v>500</v>
      </c>
      <c r="H681" s="19" t="s">
        <v>30</v>
      </c>
      <c r="I681">
        <v>1847</v>
      </c>
      <c r="J681">
        <v>7</v>
      </c>
      <c r="K681" s="1" t="s">
        <v>1020</v>
      </c>
    </row>
    <row r="682" spans="1:11">
      <c r="A682" s="17" t="s">
        <v>330</v>
      </c>
      <c r="B682" s="19" t="s">
        <v>50</v>
      </c>
      <c r="C682" s="19" t="s">
        <v>495</v>
      </c>
      <c r="D682" s="19" t="s">
        <v>496</v>
      </c>
      <c r="E682" s="20" t="s">
        <v>29</v>
      </c>
      <c r="F682" s="19" t="s">
        <v>501</v>
      </c>
      <c r="G682" s="19" t="s">
        <v>502</v>
      </c>
      <c r="H682" s="19" t="s">
        <v>30</v>
      </c>
      <c r="I682">
        <v>7505683</v>
      </c>
      <c r="J682">
        <v>5236</v>
      </c>
      <c r="K682" s="1" t="s">
        <v>1021</v>
      </c>
    </row>
    <row r="683" spans="1:11">
      <c r="A683" s="17" t="s">
        <v>330</v>
      </c>
      <c r="B683" s="19" t="s">
        <v>50</v>
      </c>
      <c r="C683" s="19" t="s">
        <v>495</v>
      </c>
      <c r="D683" s="19" t="s">
        <v>496</v>
      </c>
      <c r="E683" s="20" t="s">
        <v>29</v>
      </c>
      <c r="F683" s="19" t="s">
        <v>503</v>
      </c>
      <c r="G683" s="19" t="s">
        <v>504</v>
      </c>
      <c r="H683" s="19" t="s">
        <v>30</v>
      </c>
      <c r="I683">
        <v>39375</v>
      </c>
      <c r="J683">
        <v>110</v>
      </c>
      <c r="K683" s="1" t="s">
        <v>1020</v>
      </c>
    </row>
    <row r="684" spans="1:11">
      <c r="A684" s="17" t="s">
        <v>330</v>
      </c>
      <c r="B684" s="19" t="s">
        <v>50</v>
      </c>
      <c r="C684" s="19" t="s">
        <v>495</v>
      </c>
      <c r="D684" s="19" t="s">
        <v>496</v>
      </c>
      <c r="E684" s="20" t="s">
        <v>29</v>
      </c>
      <c r="F684" s="19" t="s">
        <v>505</v>
      </c>
      <c r="G684" s="19" t="s">
        <v>506</v>
      </c>
      <c r="H684" s="19" t="s">
        <v>30</v>
      </c>
      <c r="I684">
        <v>241357</v>
      </c>
      <c r="J684">
        <v>384</v>
      </c>
      <c r="K684" s="1" t="s">
        <v>1021</v>
      </c>
    </row>
    <row r="685" spans="1:11" hidden="1">
      <c r="A685" s="17" t="s">
        <v>330</v>
      </c>
      <c r="B685" s="19" t="s">
        <v>50</v>
      </c>
      <c r="C685" s="19" t="s">
        <v>507</v>
      </c>
      <c r="D685" s="19" t="s">
        <v>508</v>
      </c>
      <c r="E685" s="20" t="s">
        <v>11</v>
      </c>
      <c r="F685" s="19" t="s">
        <v>117</v>
      </c>
      <c r="G685" s="19" t="s">
        <v>377</v>
      </c>
      <c r="H685" s="19" t="s">
        <v>31</v>
      </c>
      <c r="I685">
        <v>50802</v>
      </c>
      <c r="J685">
        <v>45</v>
      </c>
      <c r="K685" s="1" t="s">
        <v>1020</v>
      </c>
    </row>
    <row r="686" spans="1:11">
      <c r="A686" s="17" t="s">
        <v>330</v>
      </c>
      <c r="B686" s="19" t="s">
        <v>50</v>
      </c>
      <c r="C686" s="19" t="s">
        <v>507</v>
      </c>
      <c r="D686" s="19" t="s">
        <v>508</v>
      </c>
      <c r="E686" s="20" t="s">
        <v>29</v>
      </c>
      <c r="F686" s="19" t="s">
        <v>509</v>
      </c>
      <c r="G686" s="19" t="s">
        <v>510</v>
      </c>
      <c r="H686" s="19" t="s">
        <v>30</v>
      </c>
      <c r="I686">
        <v>21857</v>
      </c>
      <c r="J686">
        <v>50</v>
      </c>
      <c r="K686" s="1" t="s">
        <v>1021</v>
      </c>
    </row>
    <row r="687" spans="1:11">
      <c r="A687" s="17" t="s">
        <v>330</v>
      </c>
      <c r="B687" s="19" t="s">
        <v>50</v>
      </c>
      <c r="C687" s="19" t="s">
        <v>507</v>
      </c>
      <c r="D687" s="19" t="s">
        <v>508</v>
      </c>
      <c r="E687" s="20" t="s">
        <v>29</v>
      </c>
      <c r="F687" s="19" t="s">
        <v>511</v>
      </c>
      <c r="G687" s="19" t="s">
        <v>512</v>
      </c>
      <c r="H687" s="19" t="s">
        <v>30</v>
      </c>
      <c r="I687">
        <v>10424</v>
      </c>
      <c r="J687">
        <v>30</v>
      </c>
      <c r="K687" s="1" t="s">
        <v>1020</v>
      </c>
    </row>
    <row r="688" spans="1:11">
      <c r="A688" s="17" t="s">
        <v>330</v>
      </c>
      <c r="B688" s="19" t="s">
        <v>50</v>
      </c>
      <c r="C688" s="19" t="s">
        <v>507</v>
      </c>
      <c r="D688" s="19" t="s">
        <v>508</v>
      </c>
      <c r="E688" s="20" t="s">
        <v>29</v>
      </c>
      <c r="F688" s="19" t="s">
        <v>513</v>
      </c>
      <c r="G688" s="19" t="s">
        <v>514</v>
      </c>
      <c r="H688" s="19" t="s">
        <v>30</v>
      </c>
      <c r="I688">
        <v>14994994</v>
      </c>
      <c r="J688">
        <v>25444</v>
      </c>
      <c r="K688" s="1" t="s">
        <v>1021</v>
      </c>
    </row>
    <row r="689" spans="1:11">
      <c r="A689" s="17" t="s">
        <v>330</v>
      </c>
      <c r="B689" s="19" t="s">
        <v>50</v>
      </c>
      <c r="C689" s="19" t="s">
        <v>507</v>
      </c>
      <c r="D689" s="19" t="s">
        <v>508</v>
      </c>
      <c r="E689" s="20" t="s">
        <v>29</v>
      </c>
      <c r="F689" s="19" t="s">
        <v>515</v>
      </c>
      <c r="G689" s="19" t="s">
        <v>516</v>
      </c>
      <c r="H689" s="19" t="s">
        <v>30</v>
      </c>
      <c r="I689">
        <v>193297</v>
      </c>
      <c r="J689">
        <v>593</v>
      </c>
      <c r="K689" s="1" t="s">
        <v>1020</v>
      </c>
    </row>
    <row r="690" spans="1:11">
      <c r="A690" s="17" t="s">
        <v>330</v>
      </c>
      <c r="B690" s="19" t="s">
        <v>50</v>
      </c>
      <c r="C690" s="19" t="s">
        <v>507</v>
      </c>
      <c r="D690" s="19" t="s">
        <v>508</v>
      </c>
      <c r="E690" s="20" t="s">
        <v>29</v>
      </c>
      <c r="F690" s="19" t="s">
        <v>517</v>
      </c>
      <c r="G690" s="19" t="s">
        <v>518</v>
      </c>
      <c r="H690" s="19" t="s">
        <v>30</v>
      </c>
      <c r="I690">
        <v>1237430</v>
      </c>
      <c r="J690">
        <v>2436</v>
      </c>
      <c r="K690" s="1" t="s">
        <v>1021</v>
      </c>
    </row>
    <row r="691" spans="1:11" hidden="1">
      <c r="A691" s="17" t="s">
        <v>330</v>
      </c>
      <c r="B691" s="19" t="s">
        <v>50</v>
      </c>
      <c r="C691" s="19" t="s">
        <v>519</v>
      </c>
      <c r="D691" s="19" t="s">
        <v>520</v>
      </c>
      <c r="E691" s="20" t="s">
        <v>11</v>
      </c>
      <c r="F691" s="19" t="s">
        <v>390</v>
      </c>
      <c r="G691" s="19" t="s">
        <v>391</v>
      </c>
      <c r="H691" s="19" t="s">
        <v>31</v>
      </c>
      <c r="I691">
        <v>2279</v>
      </c>
      <c r="J691">
        <v>6</v>
      </c>
      <c r="K691" s="1" t="s">
        <v>1020</v>
      </c>
    </row>
    <row r="692" spans="1:11">
      <c r="A692" s="17" t="s">
        <v>330</v>
      </c>
      <c r="B692" s="19" t="s">
        <v>50</v>
      </c>
      <c r="C692" s="19" t="s">
        <v>519</v>
      </c>
      <c r="D692" s="19" t="s">
        <v>520</v>
      </c>
      <c r="E692" s="20" t="s">
        <v>29</v>
      </c>
      <c r="F692" s="19" t="s">
        <v>521</v>
      </c>
      <c r="G692" s="19" t="s">
        <v>522</v>
      </c>
      <c r="H692" s="19" t="s">
        <v>30</v>
      </c>
      <c r="I692">
        <v>316</v>
      </c>
      <c r="J692">
        <v>0</v>
      </c>
      <c r="K692" s="1" t="s">
        <v>1021</v>
      </c>
    </row>
    <row r="693" spans="1:11">
      <c r="A693" s="17" t="s">
        <v>330</v>
      </c>
      <c r="B693" s="19" t="s">
        <v>50</v>
      </c>
      <c r="C693" s="19" t="s">
        <v>519</v>
      </c>
      <c r="D693" s="19" t="s">
        <v>520</v>
      </c>
      <c r="E693" s="20" t="s">
        <v>29</v>
      </c>
      <c r="F693" s="19" t="s">
        <v>523</v>
      </c>
      <c r="G693" s="19" t="s">
        <v>524</v>
      </c>
      <c r="H693" s="19" t="s">
        <v>30</v>
      </c>
      <c r="I693">
        <v>199</v>
      </c>
      <c r="J693">
        <v>0</v>
      </c>
      <c r="K693" s="1" t="s">
        <v>1020</v>
      </c>
    </row>
    <row r="694" spans="1:11">
      <c r="A694" s="17" t="s">
        <v>330</v>
      </c>
      <c r="B694" s="19" t="s">
        <v>50</v>
      </c>
      <c r="C694" s="19" t="s">
        <v>519</v>
      </c>
      <c r="D694" s="19" t="s">
        <v>520</v>
      </c>
      <c r="E694" s="20" t="s">
        <v>29</v>
      </c>
      <c r="F694" s="19" t="s">
        <v>525</v>
      </c>
      <c r="G694" s="19" t="s">
        <v>526</v>
      </c>
      <c r="H694" s="19" t="s">
        <v>30</v>
      </c>
      <c r="I694">
        <v>160100</v>
      </c>
      <c r="J694">
        <v>1212</v>
      </c>
      <c r="K694" s="1" t="s">
        <v>1021</v>
      </c>
    </row>
    <row r="695" spans="1:11">
      <c r="A695" s="17" t="s">
        <v>330</v>
      </c>
      <c r="B695" s="19" t="s">
        <v>50</v>
      </c>
      <c r="C695" s="19" t="s">
        <v>519</v>
      </c>
      <c r="D695" s="19" t="s">
        <v>520</v>
      </c>
      <c r="E695" s="20" t="s">
        <v>29</v>
      </c>
      <c r="F695" s="19" t="s">
        <v>527</v>
      </c>
      <c r="G695" s="19" t="s">
        <v>528</v>
      </c>
      <c r="H695" s="19" t="s">
        <v>30</v>
      </c>
      <c r="I695">
        <v>13392</v>
      </c>
      <c r="J695">
        <v>51</v>
      </c>
      <c r="K695" s="1" t="s">
        <v>1020</v>
      </c>
    </row>
    <row r="696" spans="1:11">
      <c r="A696" s="17" t="s">
        <v>330</v>
      </c>
      <c r="B696" s="19" t="s">
        <v>50</v>
      </c>
      <c r="C696" s="19" t="s">
        <v>519</v>
      </c>
      <c r="D696" s="19" t="s">
        <v>520</v>
      </c>
      <c r="E696" s="20" t="s">
        <v>29</v>
      </c>
      <c r="F696" s="19" t="s">
        <v>529</v>
      </c>
      <c r="G696" s="19" t="s">
        <v>530</v>
      </c>
      <c r="H696" s="19" t="s">
        <v>30</v>
      </c>
      <c r="I696">
        <v>72215</v>
      </c>
      <c r="J696">
        <v>186</v>
      </c>
      <c r="K696" s="1" t="s">
        <v>1021</v>
      </c>
    </row>
    <row r="697" spans="1:11" hidden="1">
      <c r="A697" s="17" t="s">
        <v>330</v>
      </c>
      <c r="B697" s="19" t="s">
        <v>50</v>
      </c>
      <c r="C697" s="19" t="s">
        <v>531</v>
      </c>
      <c r="D697" s="19" t="s">
        <v>532</v>
      </c>
      <c r="E697" s="20" t="s">
        <v>11</v>
      </c>
      <c r="F697" s="19" t="s">
        <v>404</v>
      </c>
      <c r="G697" s="19" t="s">
        <v>405</v>
      </c>
      <c r="H697" s="19" t="s">
        <v>31</v>
      </c>
      <c r="I697">
        <v>45633</v>
      </c>
      <c r="J697">
        <v>87</v>
      </c>
      <c r="K697" s="1" t="s">
        <v>1020</v>
      </c>
    </row>
    <row r="698" spans="1:11">
      <c r="A698" s="17" t="s">
        <v>330</v>
      </c>
      <c r="B698" s="19" t="s">
        <v>50</v>
      </c>
      <c r="C698" s="19" t="s">
        <v>531</v>
      </c>
      <c r="D698" s="19" t="s">
        <v>532</v>
      </c>
      <c r="E698" s="20" t="s">
        <v>29</v>
      </c>
      <c r="F698" s="19" t="s">
        <v>533</v>
      </c>
      <c r="G698" s="19" t="s">
        <v>534</v>
      </c>
      <c r="H698" s="19" t="s">
        <v>30</v>
      </c>
      <c r="I698">
        <v>2651</v>
      </c>
      <c r="J698">
        <v>17</v>
      </c>
      <c r="K698" s="1" t="s">
        <v>1021</v>
      </c>
    </row>
    <row r="699" spans="1:11">
      <c r="A699" s="17" t="s">
        <v>330</v>
      </c>
      <c r="B699" s="19" t="s">
        <v>50</v>
      </c>
      <c r="C699" s="19" t="s">
        <v>531</v>
      </c>
      <c r="D699" s="19" t="s">
        <v>532</v>
      </c>
      <c r="E699" s="20" t="s">
        <v>29</v>
      </c>
      <c r="F699" s="19" t="s">
        <v>535</v>
      </c>
      <c r="G699" s="19" t="s">
        <v>536</v>
      </c>
      <c r="H699" s="19" t="s">
        <v>30</v>
      </c>
      <c r="I699">
        <v>3481</v>
      </c>
      <c r="J699">
        <v>23</v>
      </c>
      <c r="K699" s="1" t="s">
        <v>1020</v>
      </c>
    </row>
    <row r="700" spans="1:11">
      <c r="A700" s="17" t="s">
        <v>330</v>
      </c>
      <c r="B700" s="19" t="s">
        <v>50</v>
      </c>
      <c r="C700" s="19" t="s">
        <v>531</v>
      </c>
      <c r="D700" s="19" t="s">
        <v>532</v>
      </c>
      <c r="E700" s="20" t="s">
        <v>29</v>
      </c>
      <c r="F700" s="19" t="s">
        <v>537</v>
      </c>
      <c r="G700" s="19" t="s">
        <v>538</v>
      </c>
      <c r="H700" s="19" t="s">
        <v>30</v>
      </c>
      <c r="I700">
        <v>4429326</v>
      </c>
      <c r="J700">
        <v>8761</v>
      </c>
      <c r="K700" s="1" t="s">
        <v>1021</v>
      </c>
    </row>
    <row r="701" spans="1:11">
      <c r="A701" s="17" t="s">
        <v>330</v>
      </c>
      <c r="B701" s="19" t="s">
        <v>50</v>
      </c>
      <c r="C701" s="19" t="s">
        <v>531</v>
      </c>
      <c r="D701" s="19" t="s">
        <v>532</v>
      </c>
      <c r="E701" s="20" t="s">
        <v>29</v>
      </c>
      <c r="F701" s="19" t="s">
        <v>539</v>
      </c>
      <c r="G701" s="19" t="s">
        <v>540</v>
      </c>
      <c r="H701" s="19" t="s">
        <v>30</v>
      </c>
      <c r="I701">
        <v>211007</v>
      </c>
      <c r="J701">
        <v>1009</v>
      </c>
      <c r="K701" s="1" t="s">
        <v>1020</v>
      </c>
    </row>
    <row r="702" spans="1:11">
      <c r="A702" s="17" t="s">
        <v>330</v>
      </c>
      <c r="B702" s="19" t="s">
        <v>50</v>
      </c>
      <c r="C702" s="19" t="s">
        <v>531</v>
      </c>
      <c r="D702" s="19" t="s">
        <v>532</v>
      </c>
      <c r="E702" s="20" t="s">
        <v>29</v>
      </c>
      <c r="F702" s="19" t="s">
        <v>541</v>
      </c>
      <c r="G702" s="19" t="s">
        <v>542</v>
      </c>
      <c r="H702" s="19" t="s">
        <v>30</v>
      </c>
      <c r="I702">
        <v>1068847</v>
      </c>
      <c r="J702">
        <v>2955</v>
      </c>
      <c r="K702" s="1" t="s">
        <v>1021</v>
      </c>
    </row>
    <row r="703" spans="1:11" hidden="1">
      <c r="A703" s="17" t="s">
        <v>330</v>
      </c>
      <c r="B703" s="19" t="s">
        <v>50</v>
      </c>
      <c r="C703" s="19" t="s">
        <v>543</v>
      </c>
      <c r="D703" s="19" t="s">
        <v>544</v>
      </c>
      <c r="E703" s="20" t="s">
        <v>11</v>
      </c>
      <c r="F703" s="19" t="s">
        <v>418</v>
      </c>
      <c r="G703" s="19" t="s">
        <v>419</v>
      </c>
      <c r="H703" s="19" t="s">
        <v>31</v>
      </c>
      <c r="I703">
        <v>6720</v>
      </c>
      <c r="J703">
        <v>4</v>
      </c>
      <c r="K703" s="1" t="s">
        <v>1020</v>
      </c>
    </row>
    <row r="704" spans="1:11">
      <c r="A704" s="17" t="s">
        <v>330</v>
      </c>
      <c r="B704" s="19" t="s">
        <v>50</v>
      </c>
      <c r="C704" s="19" t="s">
        <v>543</v>
      </c>
      <c r="D704" s="19" t="s">
        <v>544</v>
      </c>
      <c r="E704" s="20" t="s">
        <v>29</v>
      </c>
      <c r="F704" s="19" t="s">
        <v>545</v>
      </c>
      <c r="G704" s="19" t="s">
        <v>546</v>
      </c>
      <c r="H704" s="19" t="s">
        <v>30</v>
      </c>
      <c r="I704">
        <v>1173</v>
      </c>
      <c r="J704">
        <v>1</v>
      </c>
      <c r="K704" s="1" t="s">
        <v>1021</v>
      </c>
    </row>
    <row r="705" spans="1:11">
      <c r="A705" s="17" t="s">
        <v>330</v>
      </c>
      <c r="B705" s="19" t="s">
        <v>50</v>
      </c>
      <c r="C705" s="19" t="s">
        <v>543</v>
      </c>
      <c r="D705" s="19" t="s">
        <v>544</v>
      </c>
      <c r="E705" s="20" t="s">
        <v>29</v>
      </c>
      <c r="F705" s="19" t="s">
        <v>547</v>
      </c>
      <c r="G705" s="19" t="s">
        <v>548</v>
      </c>
      <c r="H705" s="19" t="s">
        <v>30</v>
      </c>
      <c r="I705">
        <v>615</v>
      </c>
      <c r="J705">
        <v>1</v>
      </c>
      <c r="K705" s="1" t="s">
        <v>1020</v>
      </c>
    </row>
    <row r="706" spans="1:11">
      <c r="A706" s="17" t="s">
        <v>330</v>
      </c>
      <c r="B706" s="19" t="s">
        <v>50</v>
      </c>
      <c r="C706" s="19" t="s">
        <v>543</v>
      </c>
      <c r="D706" s="19" t="s">
        <v>544</v>
      </c>
      <c r="E706" s="20" t="s">
        <v>29</v>
      </c>
      <c r="F706" s="19" t="s">
        <v>549</v>
      </c>
      <c r="G706" s="19" t="s">
        <v>550</v>
      </c>
      <c r="H706" s="19" t="s">
        <v>30</v>
      </c>
      <c r="I706">
        <v>541175</v>
      </c>
      <c r="J706">
        <v>489</v>
      </c>
      <c r="K706" s="1" t="s">
        <v>1021</v>
      </c>
    </row>
    <row r="707" spans="1:11">
      <c r="A707" s="17" t="s">
        <v>330</v>
      </c>
      <c r="B707" s="19" t="s">
        <v>50</v>
      </c>
      <c r="C707" s="19" t="s">
        <v>543</v>
      </c>
      <c r="D707" s="19" t="s">
        <v>544</v>
      </c>
      <c r="E707" s="20" t="s">
        <v>29</v>
      </c>
      <c r="F707" s="19" t="s">
        <v>551</v>
      </c>
      <c r="G707" s="19" t="s">
        <v>552</v>
      </c>
      <c r="H707" s="19" t="s">
        <v>30</v>
      </c>
      <c r="I707">
        <v>43097</v>
      </c>
      <c r="J707">
        <v>59</v>
      </c>
      <c r="K707" s="1" t="s">
        <v>1020</v>
      </c>
    </row>
    <row r="708" spans="1:11">
      <c r="A708" s="17" t="s">
        <v>330</v>
      </c>
      <c r="B708" s="19" t="s">
        <v>50</v>
      </c>
      <c r="C708" s="19" t="s">
        <v>543</v>
      </c>
      <c r="D708" s="19" t="s">
        <v>544</v>
      </c>
      <c r="E708" s="20" t="s">
        <v>29</v>
      </c>
      <c r="F708" s="19" t="s">
        <v>553</v>
      </c>
      <c r="G708" s="19" t="s">
        <v>554</v>
      </c>
      <c r="H708" s="19" t="s">
        <v>30</v>
      </c>
      <c r="I708">
        <v>214462</v>
      </c>
      <c r="J708">
        <v>156</v>
      </c>
      <c r="K708" s="1" t="s">
        <v>1021</v>
      </c>
    </row>
    <row r="709" spans="1:11" hidden="1">
      <c r="A709" s="17" t="s">
        <v>330</v>
      </c>
      <c r="B709" s="19" t="s">
        <v>50</v>
      </c>
      <c r="C709" s="19" t="s">
        <v>555</v>
      </c>
      <c r="D709" s="19" t="s">
        <v>556</v>
      </c>
      <c r="E709" s="20" t="s">
        <v>11</v>
      </c>
      <c r="F709" s="19" t="s">
        <v>432</v>
      </c>
      <c r="G709" s="19" t="s">
        <v>433</v>
      </c>
      <c r="H709" s="19" t="s">
        <v>31</v>
      </c>
      <c r="I709">
        <v>36947</v>
      </c>
      <c r="J709">
        <v>27</v>
      </c>
      <c r="K709" s="1" t="s">
        <v>1020</v>
      </c>
    </row>
    <row r="710" spans="1:11">
      <c r="A710" s="17" t="s">
        <v>330</v>
      </c>
      <c r="B710" s="19" t="s">
        <v>50</v>
      </c>
      <c r="C710" s="19" t="s">
        <v>555</v>
      </c>
      <c r="D710" s="19" t="s">
        <v>556</v>
      </c>
      <c r="E710" s="20" t="s">
        <v>29</v>
      </c>
      <c r="F710" s="19" t="s">
        <v>557</v>
      </c>
      <c r="G710" s="19" t="s">
        <v>558</v>
      </c>
      <c r="H710" s="19" t="s">
        <v>30</v>
      </c>
      <c r="I710">
        <v>4971</v>
      </c>
      <c r="J710">
        <v>10</v>
      </c>
      <c r="K710" s="1" t="s">
        <v>1021</v>
      </c>
    </row>
    <row r="711" spans="1:11">
      <c r="A711" s="17" t="s">
        <v>330</v>
      </c>
      <c r="B711" s="19" t="s">
        <v>50</v>
      </c>
      <c r="C711" s="19" t="s">
        <v>555</v>
      </c>
      <c r="D711" s="19" t="s">
        <v>556</v>
      </c>
      <c r="E711" s="20" t="s">
        <v>29</v>
      </c>
      <c r="F711" s="19" t="s">
        <v>559</v>
      </c>
      <c r="G711" s="19" t="s">
        <v>560</v>
      </c>
      <c r="H711" s="19" t="s">
        <v>30</v>
      </c>
      <c r="I711">
        <v>3247</v>
      </c>
      <c r="J711">
        <v>13</v>
      </c>
      <c r="K711" s="1" t="s">
        <v>1020</v>
      </c>
    </row>
    <row r="712" spans="1:11">
      <c r="A712" s="17" t="s">
        <v>330</v>
      </c>
      <c r="B712" s="19" t="s">
        <v>50</v>
      </c>
      <c r="C712" s="19" t="s">
        <v>555</v>
      </c>
      <c r="D712" s="19" t="s">
        <v>556</v>
      </c>
      <c r="E712" s="20" t="s">
        <v>29</v>
      </c>
      <c r="F712" s="19" t="s">
        <v>561</v>
      </c>
      <c r="G712" s="19" t="s">
        <v>562</v>
      </c>
      <c r="H712" s="19" t="s">
        <v>30</v>
      </c>
      <c r="I712">
        <v>3560668</v>
      </c>
      <c r="J712">
        <v>4254</v>
      </c>
      <c r="K712" s="1" t="s">
        <v>1021</v>
      </c>
    </row>
    <row r="713" spans="1:11">
      <c r="A713" s="17" t="s">
        <v>330</v>
      </c>
      <c r="B713" s="19" t="s">
        <v>50</v>
      </c>
      <c r="C713" s="19" t="s">
        <v>555</v>
      </c>
      <c r="D713" s="19" t="s">
        <v>556</v>
      </c>
      <c r="E713" s="20" t="s">
        <v>29</v>
      </c>
      <c r="F713" s="19" t="s">
        <v>563</v>
      </c>
      <c r="G713" s="19" t="s">
        <v>564</v>
      </c>
      <c r="H713" s="19" t="s">
        <v>30</v>
      </c>
      <c r="I713">
        <v>219674</v>
      </c>
      <c r="J713">
        <v>707</v>
      </c>
      <c r="K713" s="1" t="s">
        <v>1020</v>
      </c>
    </row>
    <row r="714" spans="1:11">
      <c r="A714" s="17" t="s">
        <v>330</v>
      </c>
      <c r="B714" s="19" t="s">
        <v>50</v>
      </c>
      <c r="C714" s="19" t="s">
        <v>555</v>
      </c>
      <c r="D714" s="19" t="s">
        <v>556</v>
      </c>
      <c r="E714" s="20" t="s">
        <v>29</v>
      </c>
      <c r="F714" s="19" t="s">
        <v>565</v>
      </c>
      <c r="G714" s="19" t="s">
        <v>566</v>
      </c>
      <c r="H714" s="19" t="s">
        <v>30</v>
      </c>
      <c r="I714">
        <v>974923</v>
      </c>
      <c r="J714">
        <v>1566</v>
      </c>
      <c r="K714" s="1" t="s">
        <v>1021</v>
      </c>
    </row>
    <row r="715" spans="1:11" hidden="1">
      <c r="A715" s="17" t="s">
        <v>330</v>
      </c>
      <c r="B715" s="19" t="s">
        <v>50</v>
      </c>
      <c r="C715" s="19" t="s">
        <v>567</v>
      </c>
      <c r="D715" s="19" t="s">
        <v>568</v>
      </c>
      <c r="E715" s="20" t="s">
        <v>11</v>
      </c>
      <c r="F715" s="19" t="s">
        <v>116</v>
      </c>
      <c r="G715" s="19" t="s">
        <v>446</v>
      </c>
      <c r="H715" s="19" t="s">
        <v>31</v>
      </c>
      <c r="I715">
        <v>56084</v>
      </c>
      <c r="J715">
        <v>187</v>
      </c>
      <c r="K715" s="1" t="s">
        <v>1020</v>
      </c>
    </row>
    <row r="716" spans="1:11">
      <c r="A716" s="17" t="s">
        <v>330</v>
      </c>
      <c r="B716" s="19" t="s">
        <v>50</v>
      </c>
      <c r="C716" s="19" t="s">
        <v>567</v>
      </c>
      <c r="D716" s="19" t="s">
        <v>568</v>
      </c>
      <c r="E716" s="20" t="s">
        <v>29</v>
      </c>
      <c r="F716" s="19" t="s">
        <v>569</v>
      </c>
      <c r="G716" s="19" t="s">
        <v>570</v>
      </c>
      <c r="H716" s="19" t="s">
        <v>30</v>
      </c>
      <c r="I716">
        <v>28919</v>
      </c>
      <c r="J716">
        <v>89</v>
      </c>
      <c r="K716" s="1" t="s">
        <v>1021</v>
      </c>
    </row>
    <row r="717" spans="1:11">
      <c r="A717" s="17" t="s">
        <v>330</v>
      </c>
      <c r="B717" s="19" t="s">
        <v>50</v>
      </c>
      <c r="C717" s="19" t="s">
        <v>567</v>
      </c>
      <c r="D717" s="19" t="s">
        <v>568</v>
      </c>
      <c r="E717" s="20" t="s">
        <v>29</v>
      </c>
      <c r="F717" s="19" t="s">
        <v>571</v>
      </c>
      <c r="G717" s="19" t="s">
        <v>572</v>
      </c>
      <c r="H717" s="19" t="s">
        <v>30</v>
      </c>
      <c r="I717">
        <v>7698</v>
      </c>
      <c r="J717">
        <v>48</v>
      </c>
      <c r="K717" s="1" t="s">
        <v>1020</v>
      </c>
    </row>
    <row r="718" spans="1:11">
      <c r="A718" s="17" t="s">
        <v>330</v>
      </c>
      <c r="B718" s="19" t="s">
        <v>50</v>
      </c>
      <c r="C718" s="19" t="s">
        <v>567</v>
      </c>
      <c r="D718" s="19" t="s">
        <v>568</v>
      </c>
      <c r="E718" s="20" t="s">
        <v>29</v>
      </c>
      <c r="F718" s="19" t="s">
        <v>573</v>
      </c>
      <c r="G718" s="19" t="s">
        <v>574</v>
      </c>
      <c r="H718" s="19" t="s">
        <v>30</v>
      </c>
      <c r="I718">
        <v>9921249</v>
      </c>
      <c r="J718">
        <v>80088</v>
      </c>
      <c r="K718" s="1" t="s">
        <v>1021</v>
      </c>
    </row>
    <row r="719" spans="1:11">
      <c r="A719" s="17" t="s">
        <v>330</v>
      </c>
      <c r="B719" s="19" t="s">
        <v>50</v>
      </c>
      <c r="C719" s="19" t="s">
        <v>567</v>
      </c>
      <c r="D719" s="19" t="s">
        <v>568</v>
      </c>
      <c r="E719" s="20" t="s">
        <v>29</v>
      </c>
      <c r="F719" s="19" t="s">
        <v>575</v>
      </c>
      <c r="G719" s="19" t="s">
        <v>576</v>
      </c>
      <c r="H719" s="19" t="s">
        <v>30</v>
      </c>
      <c r="I719">
        <v>343425</v>
      </c>
      <c r="J719">
        <v>1230</v>
      </c>
      <c r="K719" s="1" t="s">
        <v>1020</v>
      </c>
    </row>
    <row r="720" spans="1:11">
      <c r="A720" s="17" t="s">
        <v>330</v>
      </c>
      <c r="B720" s="19" t="s">
        <v>50</v>
      </c>
      <c r="C720" s="19" t="s">
        <v>567</v>
      </c>
      <c r="D720" s="19" t="s">
        <v>568</v>
      </c>
      <c r="E720" s="20" t="s">
        <v>29</v>
      </c>
      <c r="F720" s="19" t="s">
        <v>577</v>
      </c>
      <c r="G720" s="19" t="s">
        <v>578</v>
      </c>
      <c r="H720" s="19" t="s">
        <v>30</v>
      </c>
      <c r="I720">
        <v>1763498</v>
      </c>
      <c r="J720">
        <v>3768</v>
      </c>
      <c r="K720" s="1" t="s">
        <v>1021</v>
      </c>
    </row>
    <row r="721" spans="1:11" hidden="1">
      <c r="A721" s="17" t="s">
        <v>330</v>
      </c>
      <c r="B721" s="19" t="s">
        <v>50</v>
      </c>
      <c r="C721" s="19" t="s">
        <v>579</v>
      </c>
      <c r="D721" s="19" t="s">
        <v>580</v>
      </c>
      <c r="E721" s="20" t="s">
        <v>11</v>
      </c>
      <c r="F721" s="19" t="s">
        <v>459</v>
      </c>
      <c r="G721" s="19" t="s">
        <v>460</v>
      </c>
      <c r="H721" s="19" t="s">
        <v>31</v>
      </c>
      <c r="I721">
        <v>23406</v>
      </c>
      <c r="J721">
        <v>49</v>
      </c>
      <c r="K721" s="1" t="s">
        <v>1020</v>
      </c>
    </row>
    <row r="722" spans="1:11">
      <c r="A722" s="17" t="s">
        <v>330</v>
      </c>
      <c r="B722" s="19" t="s">
        <v>50</v>
      </c>
      <c r="C722" s="19" t="s">
        <v>579</v>
      </c>
      <c r="D722" s="19" t="s">
        <v>580</v>
      </c>
      <c r="E722" s="20" t="s">
        <v>29</v>
      </c>
      <c r="F722" s="19" t="s">
        <v>581</v>
      </c>
      <c r="G722" s="19" t="s">
        <v>582</v>
      </c>
      <c r="H722" s="19" t="s">
        <v>30</v>
      </c>
      <c r="I722">
        <v>8664</v>
      </c>
      <c r="J722">
        <v>11</v>
      </c>
      <c r="K722" s="1" t="s">
        <v>1021</v>
      </c>
    </row>
    <row r="723" spans="1:11">
      <c r="A723" s="17" t="s">
        <v>330</v>
      </c>
      <c r="B723" s="19" t="s">
        <v>50</v>
      </c>
      <c r="C723" s="19" t="s">
        <v>579</v>
      </c>
      <c r="D723" s="19" t="s">
        <v>580</v>
      </c>
      <c r="E723" s="20" t="s">
        <v>29</v>
      </c>
      <c r="F723" s="19" t="s">
        <v>583</v>
      </c>
      <c r="G723" s="19" t="s">
        <v>584</v>
      </c>
      <c r="H723" s="19" t="s">
        <v>30</v>
      </c>
      <c r="I723">
        <v>2604</v>
      </c>
      <c r="J723">
        <v>4</v>
      </c>
      <c r="K723" s="1" t="s">
        <v>1020</v>
      </c>
    </row>
    <row r="724" spans="1:11">
      <c r="A724" s="17" t="s">
        <v>330</v>
      </c>
      <c r="B724" s="19" t="s">
        <v>50</v>
      </c>
      <c r="C724" s="19" t="s">
        <v>579</v>
      </c>
      <c r="D724" s="19" t="s">
        <v>580</v>
      </c>
      <c r="E724" s="20" t="s">
        <v>29</v>
      </c>
      <c r="F724" s="19" t="s">
        <v>585</v>
      </c>
      <c r="G724" s="19" t="s">
        <v>586</v>
      </c>
      <c r="H724" s="19" t="s">
        <v>30</v>
      </c>
      <c r="I724">
        <v>1967406</v>
      </c>
      <c r="J724">
        <v>5459</v>
      </c>
      <c r="K724" s="1" t="s">
        <v>1021</v>
      </c>
    </row>
    <row r="725" spans="1:11">
      <c r="A725" s="17" t="s">
        <v>330</v>
      </c>
      <c r="B725" s="19" t="s">
        <v>50</v>
      </c>
      <c r="C725" s="19" t="s">
        <v>579</v>
      </c>
      <c r="D725" s="19" t="s">
        <v>580</v>
      </c>
      <c r="E725" s="20" t="s">
        <v>29</v>
      </c>
      <c r="F725" s="19" t="s">
        <v>587</v>
      </c>
      <c r="G725" s="19" t="s">
        <v>588</v>
      </c>
      <c r="H725" s="19" t="s">
        <v>30</v>
      </c>
      <c r="I725">
        <v>176730</v>
      </c>
      <c r="J725">
        <v>342</v>
      </c>
      <c r="K725" s="1" t="s">
        <v>1020</v>
      </c>
    </row>
    <row r="726" spans="1:11">
      <c r="A726" s="17" t="s">
        <v>330</v>
      </c>
      <c r="B726" s="19" t="s">
        <v>50</v>
      </c>
      <c r="C726" s="19" t="s">
        <v>579</v>
      </c>
      <c r="D726" s="19" t="s">
        <v>580</v>
      </c>
      <c r="E726" s="20" t="s">
        <v>29</v>
      </c>
      <c r="F726" s="19" t="s">
        <v>589</v>
      </c>
      <c r="G726" s="19" t="s">
        <v>590</v>
      </c>
      <c r="H726" s="19" t="s">
        <v>30</v>
      </c>
      <c r="I726">
        <v>840710</v>
      </c>
      <c r="J726">
        <v>897</v>
      </c>
      <c r="K726" s="1" t="s">
        <v>1021</v>
      </c>
    </row>
    <row r="727" spans="1:11" hidden="1">
      <c r="A727" s="17" t="s">
        <v>330</v>
      </c>
      <c r="B727" s="19" t="s">
        <v>50</v>
      </c>
      <c r="C727" s="19" t="s">
        <v>591</v>
      </c>
      <c r="D727" s="19" t="s">
        <v>592</v>
      </c>
      <c r="E727" s="20" t="s">
        <v>11</v>
      </c>
      <c r="F727" s="19" t="s">
        <v>333</v>
      </c>
      <c r="G727" s="19" t="s">
        <v>334</v>
      </c>
      <c r="H727" s="19" t="s">
        <v>31</v>
      </c>
      <c r="I727">
        <v>6761</v>
      </c>
      <c r="J727">
        <v>6</v>
      </c>
      <c r="K727" s="1" t="s">
        <v>1020</v>
      </c>
    </row>
    <row r="728" spans="1:11">
      <c r="A728" s="17" t="s">
        <v>330</v>
      </c>
      <c r="B728" s="19" t="s">
        <v>50</v>
      </c>
      <c r="C728" s="19" t="s">
        <v>591</v>
      </c>
      <c r="D728" s="19" t="s">
        <v>592</v>
      </c>
      <c r="E728" s="20" t="s">
        <v>29</v>
      </c>
      <c r="F728" s="19" t="s">
        <v>593</v>
      </c>
      <c r="G728" s="19" t="s">
        <v>594</v>
      </c>
      <c r="H728" s="19" t="s">
        <v>30</v>
      </c>
      <c r="I728">
        <v>1332</v>
      </c>
      <c r="J728">
        <v>3</v>
      </c>
      <c r="K728" s="1" t="s">
        <v>1021</v>
      </c>
    </row>
    <row r="729" spans="1:11">
      <c r="A729" s="17" t="s">
        <v>330</v>
      </c>
      <c r="B729" s="19" t="s">
        <v>50</v>
      </c>
      <c r="C729" s="19" t="s">
        <v>591</v>
      </c>
      <c r="D729" s="19" t="s">
        <v>592</v>
      </c>
      <c r="E729" s="20" t="s">
        <v>29</v>
      </c>
      <c r="F729" s="19" t="s">
        <v>595</v>
      </c>
      <c r="G729" s="19" t="s">
        <v>596</v>
      </c>
      <c r="H729" s="19" t="s">
        <v>30</v>
      </c>
      <c r="I729">
        <v>454</v>
      </c>
      <c r="J729">
        <v>0</v>
      </c>
      <c r="K729" s="1" t="s">
        <v>1020</v>
      </c>
    </row>
    <row r="730" spans="1:11">
      <c r="A730" s="17" t="s">
        <v>330</v>
      </c>
      <c r="B730" s="19" t="s">
        <v>50</v>
      </c>
      <c r="C730" s="19" t="s">
        <v>591</v>
      </c>
      <c r="D730" s="19" t="s">
        <v>592</v>
      </c>
      <c r="E730" s="20" t="s">
        <v>29</v>
      </c>
      <c r="F730" s="19" t="s">
        <v>597</v>
      </c>
      <c r="G730" s="19" t="s">
        <v>598</v>
      </c>
      <c r="H730" s="19" t="s">
        <v>30</v>
      </c>
      <c r="I730">
        <v>803148</v>
      </c>
      <c r="J730">
        <v>824</v>
      </c>
      <c r="K730" s="1" t="s">
        <v>1021</v>
      </c>
    </row>
    <row r="731" spans="1:11">
      <c r="A731" s="17" t="s">
        <v>330</v>
      </c>
      <c r="B731" s="19" t="s">
        <v>50</v>
      </c>
      <c r="C731" s="19" t="s">
        <v>591</v>
      </c>
      <c r="D731" s="19" t="s">
        <v>592</v>
      </c>
      <c r="E731" s="20" t="s">
        <v>29</v>
      </c>
      <c r="F731" s="19" t="s">
        <v>599</v>
      </c>
      <c r="G731" s="19" t="s">
        <v>600</v>
      </c>
      <c r="H731" s="19" t="s">
        <v>30</v>
      </c>
      <c r="I731">
        <v>33842</v>
      </c>
      <c r="J731">
        <v>39</v>
      </c>
      <c r="K731" s="1" t="s">
        <v>1020</v>
      </c>
    </row>
    <row r="732" spans="1:11">
      <c r="A732" s="17" t="s">
        <v>330</v>
      </c>
      <c r="B732" s="19" t="s">
        <v>50</v>
      </c>
      <c r="C732" s="19" t="s">
        <v>591</v>
      </c>
      <c r="D732" s="19" t="s">
        <v>592</v>
      </c>
      <c r="E732" s="20" t="s">
        <v>29</v>
      </c>
      <c r="F732" s="19" t="s">
        <v>601</v>
      </c>
      <c r="G732" s="19" t="s">
        <v>602</v>
      </c>
      <c r="H732" s="19" t="s">
        <v>30</v>
      </c>
      <c r="I732">
        <v>164775</v>
      </c>
      <c r="J732">
        <v>110</v>
      </c>
      <c r="K732" s="1" t="s">
        <v>1021</v>
      </c>
    </row>
    <row r="733" spans="1:11" hidden="1">
      <c r="A733" s="17" t="s">
        <v>330</v>
      </c>
      <c r="B733" s="19" t="s">
        <v>50</v>
      </c>
      <c r="C733" s="19" t="s">
        <v>603</v>
      </c>
      <c r="D733" s="19" t="s">
        <v>604</v>
      </c>
      <c r="E733" s="20" t="s">
        <v>11</v>
      </c>
      <c r="F733" s="19" t="s">
        <v>349</v>
      </c>
      <c r="G733" s="19" t="s">
        <v>350</v>
      </c>
      <c r="H733" s="19" t="s">
        <v>31</v>
      </c>
      <c r="I733">
        <v>7740</v>
      </c>
      <c r="J733">
        <v>15</v>
      </c>
      <c r="K733" s="1" t="s">
        <v>1020</v>
      </c>
    </row>
    <row r="734" spans="1:11">
      <c r="A734" s="17" t="s">
        <v>330</v>
      </c>
      <c r="B734" s="19" t="s">
        <v>50</v>
      </c>
      <c r="C734" s="19" t="s">
        <v>603</v>
      </c>
      <c r="D734" s="19" t="s">
        <v>604</v>
      </c>
      <c r="E734" s="20" t="s">
        <v>29</v>
      </c>
      <c r="F734" s="19" t="s">
        <v>605</v>
      </c>
      <c r="G734" s="19" t="s">
        <v>606</v>
      </c>
      <c r="H734" s="19" t="s">
        <v>30</v>
      </c>
      <c r="I734">
        <v>6316</v>
      </c>
      <c r="J734">
        <v>13</v>
      </c>
      <c r="K734" s="1" t="s">
        <v>1021</v>
      </c>
    </row>
    <row r="735" spans="1:11">
      <c r="A735" s="17" t="s">
        <v>330</v>
      </c>
      <c r="B735" s="19" t="s">
        <v>50</v>
      </c>
      <c r="C735" s="19" t="s">
        <v>603</v>
      </c>
      <c r="D735" s="19" t="s">
        <v>604</v>
      </c>
      <c r="E735" s="20" t="s">
        <v>29</v>
      </c>
      <c r="F735" s="19" t="s">
        <v>607</v>
      </c>
      <c r="G735" s="19" t="s">
        <v>608</v>
      </c>
      <c r="H735" s="19" t="s">
        <v>30</v>
      </c>
      <c r="I735">
        <v>1695</v>
      </c>
      <c r="J735">
        <v>13</v>
      </c>
      <c r="K735" s="1" t="s">
        <v>1020</v>
      </c>
    </row>
    <row r="736" spans="1:11">
      <c r="A736" s="17" t="s">
        <v>330</v>
      </c>
      <c r="B736" s="19" t="s">
        <v>50</v>
      </c>
      <c r="C736" s="19" t="s">
        <v>603</v>
      </c>
      <c r="D736" s="19" t="s">
        <v>604</v>
      </c>
      <c r="E736" s="20" t="s">
        <v>29</v>
      </c>
      <c r="F736" s="19" t="s">
        <v>609</v>
      </c>
      <c r="G736" s="19" t="s">
        <v>610</v>
      </c>
      <c r="H736" s="19" t="s">
        <v>30</v>
      </c>
      <c r="I736">
        <v>1024035</v>
      </c>
      <c r="J736">
        <v>1649</v>
      </c>
      <c r="K736" s="1" t="s">
        <v>1021</v>
      </c>
    </row>
    <row r="737" spans="1:11">
      <c r="A737" s="17" t="s">
        <v>330</v>
      </c>
      <c r="B737" s="19" t="s">
        <v>50</v>
      </c>
      <c r="C737" s="19" t="s">
        <v>603</v>
      </c>
      <c r="D737" s="19" t="s">
        <v>604</v>
      </c>
      <c r="E737" s="20" t="s">
        <v>29</v>
      </c>
      <c r="F737" s="19" t="s">
        <v>611</v>
      </c>
      <c r="G737" s="19" t="s">
        <v>612</v>
      </c>
      <c r="H737" s="19" t="s">
        <v>30</v>
      </c>
      <c r="I737">
        <v>71242</v>
      </c>
      <c r="J737">
        <v>157</v>
      </c>
      <c r="K737" s="1" t="s">
        <v>1020</v>
      </c>
    </row>
    <row r="738" spans="1:11">
      <c r="A738" s="17" t="s">
        <v>330</v>
      </c>
      <c r="B738" s="19" t="s">
        <v>50</v>
      </c>
      <c r="C738" s="19" t="s">
        <v>603</v>
      </c>
      <c r="D738" s="19" t="s">
        <v>604</v>
      </c>
      <c r="E738" s="20" t="s">
        <v>29</v>
      </c>
      <c r="F738" s="19" t="s">
        <v>613</v>
      </c>
      <c r="G738" s="19" t="s">
        <v>614</v>
      </c>
      <c r="H738" s="19" t="s">
        <v>30</v>
      </c>
      <c r="I738">
        <v>268361</v>
      </c>
      <c r="J738">
        <v>376</v>
      </c>
      <c r="K738" s="1" t="s">
        <v>1021</v>
      </c>
    </row>
    <row r="739" spans="1:11" hidden="1">
      <c r="A739" s="17" t="s">
        <v>330</v>
      </c>
      <c r="B739" s="19" t="s">
        <v>50</v>
      </c>
      <c r="C739" s="19" t="s">
        <v>615</v>
      </c>
      <c r="D739" s="19" t="s">
        <v>616</v>
      </c>
      <c r="E739" s="20" t="s">
        <v>11</v>
      </c>
      <c r="F739" s="19" t="s">
        <v>363</v>
      </c>
      <c r="G739" s="19" t="s">
        <v>364</v>
      </c>
      <c r="H739" s="19" t="s">
        <v>31</v>
      </c>
      <c r="I739">
        <v>20497</v>
      </c>
      <c r="J739">
        <v>11</v>
      </c>
      <c r="K739" s="1" t="s">
        <v>1020</v>
      </c>
    </row>
    <row r="740" spans="1:11">
      <c r="A740" s="17" t="s">
        <v>330</v>
      </c>
      <c r="B740" s="19" t="s">
        <v>50</v>
      </c>
      <c r="C740" s="19" t="s">
        <v>615</v>
      </c>
      <c r="D740" s="19" t="s">
        <v>616</v>
      </c>
      <c r="E740" s="20" t="s">
        <v>29</v>
      </c>
      <c r="F740" s="19" t="s">
        <v>617</v>
      </c>
      <c r="G740" s="19" t="s">
        <v>618</v>
      </c>
      <c r="H740" s="19" t="s">
        <v>30</v>
      </c>
      <c r="I740">
        <v>3399</v>
      </c>
      <c r="J740">
        <v>8</v>
      </c>
      <c r="K740" s="1" t="s">
        <v>1021</v>
      </c>
    </row>
    <row r="741" spans="1:11">
      <c r="A741" s="17" t="s">
        <v>330</v>
      </c>
      <c r="B741" s="19" t="s">
        <v>50</v>
      </c>
      <c r="C741" s="19" t="s">
        <v>615</v>
      </c>
      <c r="D741" s="19" t="s">
        <v>616</v>
      </c>
      <c r="E741" s="20" t="s">
        <v>29</v>
      </c>
      <c r="F741" s="19" t="s">
        <v>619</v>
      </c>
      <c r="G741" s="19" t="s">
        <v>620</v>
      </c>
      <c r="H741" s="19" t="s">
        <v>30</v>
      </c>
      <c r="I741">
        <v>2896</v>
      </c>
      <c r="J741">
        <v>9</v>
      </c>
      <c r="K741" s="1" t="s">
        <v>1020</v>
      </c>
    </row>
    <row r="742" spans="1:11">
      <c r="A742" s="17" t="s">
        <v>330</v>
      </c>
      <c r="B742" s="19" t="s">
        <v>50</v>
      </c>
      <c r="C742" s="19" t="s">
        <v>615</v>
      </c>
      <c r="D742" s="19" t="s">
        <v>616</v>
      </c>
      <c r="E742" s="20" t="s">
        <v>29</v>
      </c>
      <c r="F742" s="19" t="s">
        <v>621</v>
      </c>
      <c r="G742" s="19" t="s">
        <v>622</v>
      </c>
      <c r="H742" s="19" t="s">
        <v>30</v>
      </c>
      <c r="I742">
        <v>7275666</v>
      </c>
      <c r="J742">
        <v>5551</v>
      </c>
      <c r="K742" s="1" t="s">
        <v>1021</v>
      </c>
    </row>
    <row r="743" spans="1:11">
      <c r="A743" s="17" t="s">
        <v>330</v>
      </c>
      <c r="B743" s="19" t="s">
        <v>50</v>
      </c>
      <c r="C743" s="19" t="s">
        <v>615</v>
      </c>
      <c r="D743" s="19" t="s">
        <v>616</v>
      </c>
      <c r="E743" s="20" t="s">
        <v>29</v>
      </c>
      <c r="F743" s="19" t="s">
        <v>623</v>
      </c>
      <c r="G743" s="19" t="s">
        <v>624</v>
      </c>
      <c r="H743" s="19" t="s">
        <v>30</v>
      </c>
      <c r="I743">
        <v>60191</v>
      </c>
      <c r="J743">
        <v>219</v>
      </c>
      <c r="K743" s="1" t="s">
        <v>1020</v>
      </c>
    </row>
    <row r="744" spans="1:11">
      <c r="A744" s="17" t="s">
        <v>330</v>
      </c>
      <c r="B744" s="19" t="s">
        <v>50</v>
      </c>
      <c r="C744" s="19" t="s">
        <v>615</v>
      </c>
      <c r="D744" s="19" t="s">
        <v>616</v>
      </c>
      <c r="E744" s="20" t="s">
        <v>29</v>
      </c>
      <c r="F744" s="19" t="s">
        <v>625</v>
      </c>
      <c r="G744" s="19" t="s">
        <v>626</v>
      </c>
      <c r="H744" s="19" t="s">
        <v>30</v>
      </c>
      <c r="I744">
        <v>376954</v>
      </c>
      <c r="J744">
        <v>641</v>
      </c>
      <c r="K744" s="1" t="s">
        <v>1021</v>
      </c>
    </row>
    <row r="745" spans="1:11" hidden="1">
      <c r="A745" s="17" t="s">
        <v>330</v>
      </c>
      <c r="B745" s="19" t="s">
        <v>50</v>
      </c>
      <c r="C745" s="19" t="s">
        <v>627</v>
      </c>
      <c r="D745" s="19" t="s">
        <v>628</v>
      </c>
      <c r="E745" s="20" t="s">
        <v>11</v>
      </c>
      <c r="F745" s="19" t="s">
        <v>117</v>
      </c>
      <c r="G745" s="19" t="s">
        <v>377</v>
      </c>
      <c r="H745" s="19" t="s">
        <v>31</v>
      </c>
      <c r="I745">
        <v>51753</v>
      </c>
      <c r="J745">
        <v>130</v>
      </c>
      <c r="K745" s="1" t="s">
        <v>1020</v>
      </c>
    </row>
    <row r="746" spans="1:11">
      <c r="A746" s="17" t="s">
        <v>330</v>
      </c>
      <c r="B746" s="19" t="s">
        <v>50</v>
      </c>
      <c r="C746" s="19" t="s">
        <v>627</v>
      </c>
      <c r="D746" s="19" t="s">
        <v>628</v>
      </c>
      <c r="E746" s="20" t="s">
        <v>29</v>
      </c>
      <c r="F746" s="19" t="s">
        <v>629</v>
      </c>
      <c r="G746" s="19" t="s">
        <v>630</v>
      </c>
      <c r="H746" s="19" t="s">
        <v>30</v>
      </c>
      <c r="I746">
        <v>11781</v>
      </c>
      <c r="J746">
        <v>26</v>
      </c>
      <c r="K746" s="1" t="s">
        <v>1021</v>
      </c>
    </row>
    <row r="747" spans="1:11">
      <c r="A747" s="17" t="s">
        <v>330</v>
      </c>
      <c r="B747" s="19" t="s">
        <v>50</v>
      </c>
      <c r="C747" s="19" t="s">
        <v>627</v>
      </c>
      <c r="D747" s="19" t="s">
        <v>628</v>
      </c>
      <c r="E747" s="20" t="s">
        <v>29</v>
      </c>
      <c r="F747" s="19" t="s">
        <v>631</v>
      </c>
      <c r="G747" s="19" t="s">
        <v>632</v>
      </c>
      <c r="H747" s="19" t="s">
        <v>30</v>
      </c>
      <c r="I747">
        <v>8916</v>
      </c>
      <c r="J747">
        <v>30</v>
      </c>
      <c r="K747" s="1" t="s">
        <v>1020</v>
      </c>
    </row>
    <row r="748" spans="1:11">
      <c r="A748" s="17" t="s">
        <v>330</v>
      </c>
      <c r="B748" s="19" t="s">
        <v>50</v>
      </c>
      <c r="C748" s="19" t="s">
        <v>627</v>
      </c>
      <c r="D748" s="19" t="s">
        <v>628</v>
      </c>
      <c r="E748" s="20" t="s">
        <v>29</v>
      </c>
      <c r="F748" s="19" t="s">
        <v>633</v>
      </c>
      <c r="G748" s="19" t="s">
        <v>634</v>
      </c>
      <c r="H748" s="19" t="s">
        <v>30</v>
      </c>
      <c r="I748">
        <v>29119253</v>
      </c>
      <c r="J748">
        <v>163276</v>
      </c>
      <c r="K748" s="1" t="s">
        <v>1021</v>
      </c>
    </row>
    <row r="749" spans="1:11">
      <c r="A749" s="17" t="s">
        <v>330</v>
      </c>
      <c r="B749" s="19" t="s">
        <v>50</v>
      </c>
      <c r="C749" s="19" t="s">
        <v>627</v>
      </c>
      <c r="D749" s="19" t="s">
        <v>628</v>
      </c>
      <c r="E749" s="20" t="s">
        <v>29</v>
      </c>
      <c r="F749" s="19" t="s">
        <v>635</v>
      </c>
      <c r="G749" s="19" t="s">
        <v>636</v>
      </c>
      <c r="H749" s="19" t="s">
        <v>30</v>
      </c>
      <c r="I749">
        <v>125589</v>
      </c>
      <c r="J749">
        <v>440</v>
      </c>
      <c r="K749" s="1" t="s">
        <v>1020</v>
      </c>
    </row>
    <row r="750" spans="1:11">
      <c r="A750" s="17" t="s">
        <v>330</v>
      </c>
      <c r="B750" s="19" t="s">
        <v>50</v>
      </c>
      <c r="C750" s="19" t="s">
        <v>627</v>
      </c>
      <c r="D750" s="19" t="s">
        <v>628</v>
      </c>
      <c r="E750" s="20" t="s">
        <v>29</v>
      </c>
      <c r="F750" s="19" t="s">
        <v>637</v>
      </c>
      <c r="G750" s="19" t="s">
        <v>638</v>
      </c>
      <c r="H750" s="19" t="s">
        <v>30</v>
      </c>
      <c r="I750">
        <v>776985</v>
      </c>
      <c r="J750">
        <v>1569</v>
      </c>
      <c r="K750" s="1" t="s">
        <v>1021</v>
      </c>
    </row>
    <row r="751" spans="1:11" hidden="1">
      <c r="A751" s="17" t="s">
        <v>330</v>
      </c>
      <c r="B751" s="19" t="s">
        <v>50</v>
      </c>
      <c r="C751" s="19" t="s">
        <v>639</v>
      </c>
      <c r="D751" s="19" t="s">
        <v>640</v>
      </c>
      <c r="E751" s="20" t="s">
        <v>11</v>
      </c>
      <c r="F751" s="19" t="s">
        <v>390</v>
      </c>
      <c r="G751" s="19" t="s">
        <v>391</v>
      </c>
      <c r="H751" s="19" t="s">
        <v>31</v>
      </c>
      <c r="I751">
        <v>1988</v>
      </c>
      <c r="J751">
        <v>10</v>
      </c>
      <c r="K751" s="1" t="s">
        <v>1020</v>
      </c>
    </row>
    <row r="752" spans="1:11">
      <c r="A752" s="17" t="s">
        <v>330</v>
      </c>
      <c r="B752" s="19" t="s">
        <v>50</v>
      </c>
      <c r="C752" s="19" t="s">
        <v>639</v>
      </c>
      <c r="D752" s="19" t="s">
        <v>640</v>
      </c>
      <c r="E752" s="20" t="s">
        <v>29</v>
      </c>
      <c r="F752" s="19" t="s">
        <v>641</v>
      </c>
      <c r="G752" s="19" t="s">
        <v>642</v>
      </c>
      <c r="H752" s="19" t="s">
        <v>30</v>
      </c>
      <c r="I752">
        <v>315</v>
      </c>
      <c r="J752">
        <v>0</v>
      </c>
      <c r="K752" s="1" t="s">
        <v>1021</v>
      </c>
    </row>
    <row r="753" spans="1:11">
      <c r="A753" s="17" t="s">
        <v>330</v>
      </c>
      <c r="B753" s="19" t="s">
        <v>50</v>
      </c>
      <c r="C753" s="19" t="s">
        <v>639</v>
      </c>
      <c r="D753" s="19" t="s">
        <v>640</v>
      </c>
      <c r="E753" s="20" t="s">
        <v>29</v>
      </c>
      <c r="F753" s="19" t="s">
        <v>643</v>
      </c>
      <c r="G753" s="19" t="s">
        <v>644</v>
      </c>
      <c r="H753" s="19" t="s">
        <v>30</v>
      </c>
      <c r="I753">
        <v>207</v>
      </c>
      <c r="J753">
        <v>1</v>
      </c>
      <c r="K753" s="1" t="s">
        <v>1020</v>
      </c>
    </row>
    <row r="754" spans="1:11">
      <c r="A754" s="17" t="s">
        <v>330</v>
      </c>
      <c r="B754" s="19" t="s">
        <v>50</v>
      </c>
      <c r="C754" s="19" t="s">
        <v>639</v>
      </c>
      <c r="D754" s="19" t="s">
        <v>640</v>
      </c>
      <c r="E754" s="20" t="s">
        <v>29</v>
      </c>
      <c r="F754" s="19" t="s">
        <v>645</v>
      </c>
      <c r="G754" s="19" t="s">
        <v>646</v>
      </c>
      <c r="H754" s="19" t="s">
        <v>30</v>
      </c>
      <c r="I754">
        <v>155778</v>
      </c>
      <c r="J754">
        <v>1240</v>
      </c>
      <c r="K754" s="1" t="s">
        <v>1021</v>
      </c>
    </row>
    <row r="755" spans="1:11">
      <c r="A755" s="17" t="s">
        <v>330</v>
      </c>
      <c r="B755" s="19" t="s">
        <v>50</v>
      </c>
      <c r="C755" s="19" t="s">
        <v>639</v>
      </c>
      <c r="D755" s="19" t="s">
        <v>640</v>
      </c>
      <c r="E755" s="20" t="s">
        <v>29</v>
      </c>
      <c r="F755" s="19" t="s">
        <v>647</v>
      </c>
      <c r="G755" s="19" t="s">
        <v>648</v>
      </c>
      <c r="H755" s="19" t="s">
        <v>30</v>
      </c>
      <c r="I755">
        <v>11847</v>
      </c>
      <c r="J755">
        <v>24</v>
      </c>
      <c r="K755" s="1" t="s">
        <v>1020</v>
      </c>
    </row>
    <row r="756" spans="1:11">
      <c r="A756" s="17" t="s">
        <v>330</v>
      </c>
      <c r="B756" s="19" t="s">
        <v>50</v>
      </c>
      <c r="C756" s="19" t="s">
        <v>639</v>
      </c>
      <c r="D756" s="19" t="s">
        <v>640</v>
      </c>
      <c r="E756" s="20" t="s">
        <v>29</v>
      </c>
      <c r="F756" s="19" t="s">
        <v>649</v>
      </c>
      <c r="G756" s="19" t="s">
        <v>650</v>
      </c>
      <c r="H756" s="19" t="s">
        <v>30</v>
      </c>
      <c r="I756">
        <v>64484</v>
      </c>
      <c r="J756">
        <v>173</v>
      </c>
      <c r="K756" s="1" t="s">
        <v>1021</v>
      </c>
    </row>
    <row r="757" spans="1:11" hidden="1">
      <c r="A757" s="17" t="s">
        <v>330</v>
      </c>
      <c r="B757" s="19" t="s">
        <v>50</v>
      </c>
      <c r="C757" s="19" t="s">
        <v>651</v>
      </c>
      <c r="D757" s="19" t="s">
        <v>652</v>
      </c>
      <c r="E757" s="20" t="s">
        <v>11</v>
      </c>
      <c r="F757" s="19" t="s">
        <v>404</v>
      </c>
      <c r="G757" s="19" t="s">
        <v>405</v>
      </c>
      <c r="H757" s="19" t="s">
        <v>31</v>
      </c>
      <c r="I757">
        <v>29117</v>
      </c>
      <c r="J757">
        <v>82</v>
      </c>
      <c r="K757" s="1" t="s">
        <v>1020</v>
      </c>
    </row>
    <row r="758" spans="1:11">
      <c r="A758" s="17" t="s">
        <v>330</v>
      </c>
      <c r="B758" s="19" t="s">
        <v>50</v>
      </c>
      <c r="C758" s="19" t="s">
        <v>651</v>
      </c>
      <c r="D758" s="19" t="s">
        <v>652</v>
      </c>
      <c r="E758" s="20" t="s">
        <v>29</v>
      </c>
      <c r="F758" s="19" t="s">
        <v>653</v>
      </c>
      <c r="G758" s="19" t="s">
        <v>654</v>
      </c>
      <c r="H758" s="19" t="s">
        <v>30</v>
      </c>
      <c r="I758">
        <v>3350</v>
      </c>
      <c r="J758">
        <v>9</v>
      </c>
      <c r="K758" s="1" t="s">
        <v>1021</v>
      </c>
    </row>
    <row r="759" spans="1:11">
      <c r="A759" s="17" t="s">
        <v>330</v>
      </c>
      <c r="B759" s="19" t="s">
        <v>50</v>
      </c>
      <c r="C759" s="19" t="s">
        <v>651</v>
      </c>
      <c r="D759" s="19" t="s">
        <v>652</v>
      </c>
      <c r="E759" s="20" t="s">
        <v>29</v>
      </c>
      <c r="F759" s="19" t="s">
        <v>655</v>
      </c>
      <c r="G759" s="19" t="s">
        <v>656</v>
      </c>
      <c r="H759" s="19" t="s">
        <v>30</v>
      </c>
      <c r="I759">
        <v>4052</v>
      </c>
      <c r="J759">
        <v>31</v>
      </c>
      <c r="K759" s="1" t="s">
        <v>1020</v>
      </c>
    </row>
    <row r="760" spans="1:11">
      <c r="A760" s="17" t="s">
        <v>330</v>
      </c>
      <c r="B760" s="19" t="s">
        <v>50</v>
      </c>
      <c r="C760" s="19" t="s">
        <v>651</v>
      </c>
      <c r="D760" s="19" t="s">
        <v>652</v>
      </c>
      <c r="E760" s="20" t="s">
        <v>29</v>
      </c>
      <c r="F760" s="19" t="s">
        <v>657</v>
      </c>
      <c r="G760" s="19" t="s">
        <v>658</v>
      </c>
      <c r="H760" s="19" t="s">
        <v>30</v>
      </c>
      <c r="I760">
        <v>1774903</v>
      </c>
      <c r="J760">
        <v>3702</v>
      </c>
      <c r="K760" s="1" t="s">
        <v>1021</v>
      </c>
    </row>
    <row r="761" spans="1:11">
      <c r="A761" s="17" t="s">
        <v>330</v>
      </c>
      <c r="B761" s="19" t="s">
        <v>50</v>
      </c>
      <c r="C761" s="19" t="s">
        <v>651</v>
      </c>
      <c r="D761" s="19" t="s">
        <v>652</v>
      </c>
      <c r="E761" s="20" t="s">
        <v>29</v>
      </c>
      <c r="F761" s="19" t="s">
        <v>659</v>
      </c>
      <c r="G761" s="19" t="s">
        <v>660</v>
      </c>
      <c r="H761" s="19" t="s">
        <v>30</v>
      </c>
      <c r="I761">
        <v>241734</v>
      </c>
      <c r="J761">
        <v>1411</v>
      </c>
      <c r="K761" s="1" t="s">
        <v>1020</v>
      </c>
    </row>
    <row r="762" spans="1:11">
      <c r="A762" s="17" t="s">
        <v>330</v>
      </c>
      <c r="B762" s="19" t="s">
        <v>50</v>
      </c>
      <c r="C762" s="19" t="s">
        <v>651</v>
      </c>
      <c r="D762" s="19" t="s">
        <v>652</v>
      </c>
      <c r="E762" s="20" t="s">
        <v>29</v>
      </c>
      <c r="F762" s="19" t="s">
        <v>661</v>
      </c>
      <c r="G762" s="19" t="s">
        <v>662</v>
      </c>
      <c r="H762" s="19" t="s">
        <v>30</v>
      </c>
      <c r="I762">
        <v>1373547</v>
      </c>
      <c r="J762">
        <v>4053</v>
      </c>
      <c r="K762" s="1" t="s">
        <v>1021</v>
      </c>
    </row>
    <row r="763" spans="1:11" hidden="1">
      <c r="A763" s="17" t="s">
        <v>330</v>
      </c>
      <c r="B763" s="19" t="s">
        <v>50</v>
      </c>
      <c r="C763" s="19" t="s">
        <v>663</v>
      </c>
      <c r="D763" s="19" t="s">
        <v>664</v>
      </c>
      <c r="E763" s="20" t="s">
        <v>11</v>
      </c>
      <c r="F763" s="19" t="s">
        <v>418</v>
      </c>
      <c r="G763" s="19" t="s">
        <v>419</v>
      </c>
      <c r="H763" s="19" t="s">
        <v>31</v>
      </c>
      <c r="I763">
        <v>6151</v>
      </c>
      <c r="J763">
        <v>6</v>
      </c>
      <c r="K763" s="1" t="s">
        <v>1020</v>
      </c>
    </row>
    <row r="764" spans="1:11">
      <c r="A764" s="17" t="s">
        <v>330</v>
      </c>
      <c r="B764" s="19" t="s">
        <v>50</v>
      </c>
      <c r="C764" s="19" t="s">
        <v>663</v>
      </c>
      <c r="D764" s="19" t="s">
        <v>664</v>
      </c>
      <c r="E764" s="20" t="s">
        <v>29</v>
      </c>
      <c r="F764" s="19" t="s">
        <v>665</v>
      </c>
      <c r="G764" s="19" t="s">
        <v>666</v>
      </c>
      <c r="H764" s="19" t="s">
        <v>30</v>
      </c>
      <c r="I764">
        <v>1272</v>
      </c>
      <c r="J764">
        <v>5</v>
      </c>
      <c r="K764" s="1" t="s">
        <v>1021</v>
      </c>
    </row>
    <row r="765" spans="1:11">
      <c r="A765" s="17" t="s">
        <v>330</v>
      </c>
      <c r="B765" s="19" t="s">
        <v>50</v>
      </c>
      <c r="C765" s="19" t="s">
        <v>663</v>
      </c>
      <c r="D765" s="19" t="s">
        <v>664</v>
      </c>
      <c r="E765" s="20" t="s">
        <v>29</v>
      </c>
      <c r="F765" s="19" t="s">
        <v>667</v>
      </c>
      <c r="G765" s="19" t="s">
        <v>668</v>
      </c>
      <c r="H765" s="19" t="s">
        <v>30</v>
      </c>
      <c r="I765">
        <v>599</v>
      </c>
      <c r="J765">
        <v>1</v>
      </c>
      <c r="K765" s="1" t="s">
        <v>1020</v>
      </c>
    </row>
    <row r="766" spans="1:11">
      <c r="A766" s="17" t="s">
        <v>330</v>
      </c>
      <c r="B766" s="19" t="s">
        <v>50</v>
      </c>
      <c r="C766" s="19" t="s">
        <v>663</v>
      </c>
      <c r="D766" s="19" t="s">
        <v>664</v>
      </c>
      <c r="E766" s="20" t="s">
        <v>29</v>
      </c>
      <c r="F766" s="19" t="s">
        <v>669</v>
      </c>
      <c r="G766" s="19" t="s">
        <v>670</v>
      </c>
      <c r="H766" s="19" t="s">
        <v>30</v>
      </c>
      <c r="I766">
        <v>477124</v>
      </c>
      <c r="J766">
        <v>434</v>
      </c>
      <c r="K766" s="1" t="s">
        <v>1021</v>
      </c>
    </row>
    <row r="767" spans="1:11">
      <c r="A767" s="17" t="s">
        <v>330</v>
      </c>
      <c r="B767" s="19" t="s">
        <v>50</v>
      </c>
      <c r="C767" s="19" t="s">
        <v>663</v>
      </c>
      <c r="D767" s="19" t="s">
        <v>664</v>
      </c>
      <c r="E767" s="20" t="s">
        <v>29</v>
      </c>
      <c r="F767" s="19" t="s">
        <v>671</v>
      </c>
      <c r="G767" s="19" t="s">
        <v>672</v>
      </c>
      <c r="H767" s="19" t="s">
        <v>30</v>
      </c>
      <c r="I767">
        <v>44012</v>
      </c>
      <c r="J767">
        <v>73</v>
      </c>
      <c r="K767" s="1" t="s">
        <v>1020</v>
      </c>
    </row>
    <row r="768" spans="1:11">
      <c r="A768" s="17" t="s">
        <v>330</v>
      </c>
      <c r="B768" s="19" t="s">
        <v>50</v>
      </c>
      <c r="C768" s="19" t="s">
        <v>663</v>
      </c>
      <c r="D768" s="19" t="s">
        <v>664</v>
      </c>
      <c r="E768" s="20" t="s">
        <v>29</v>
      </c>
      <c r="F768" s="19" t="s">
        <v>673</v>
      </c>
      <c r="G768" s="19" t="s">
        <v>674</v>
      </c>
      <c r="H768" s="19" t="s">
        <v>30</v>
      </c>
      <c r="I768">
        <v>235980</v>
      </c>
      <c r="J768">
        <v>177</v>
      </c>
      <c r="K768" s="1" t="s">
        <v>1021</v>
      </c>
    </row>
    <row r="769" spans="1:11" hidden="1">
      <c r="A769" s="17" t="s">
        <v>330</v>
      </c>
      <c r="B769" s="19" t="s">
        <v>50</v>
      </c>
      <c r="C769" s="19" t="s">
        <v>675</v>
      </c>
      <c r="D769" s="19" t="s">
        <v>676</v>
      </c>
      <c r="E769" s="20" t="s">
        <v>11</v>
      </c>
      <c r="F769" s="19" t="s">
        <v>432</v>
      </c>
      <c r="G769" s="19" t="s">
        <v>433</v>
      </c>
      <c r="H769" s="19" t="s">
        <v>31</v>
      </c>
      <c r="I769">
        <v>28783</v>
      </c>
      <c r="J769">
        <v>25</v>
      </c>
      <c r="K769" s="1" t="s">
        <v>1020</v>
      </c>
    </row>
    <row r="770" spans="1:11">
      <c r="A770" s="17" t="s">
        <v>330</v>
      </c>
      <c r="B770" s="19" t="s">
        <v>50</v>
      </c>
      <c r="C770" s="19" t="s">
        <v>675</v>
      </c>
      <c r="D770" s="19" t="s">
        <v>676</v>
      </c>
      <c r="E770" s="20" t="s">
        <v>29</v>
      </c>
      <c r="F770" s="19" t="s">
        <v>677</v>
      </c>
      <c r="G770" s="19" t="s">
        <v>678</v>
      </c>
      <c r="H770" s="19" t="s">
        <v>30</v>
      </c>
      <c r="I770">
        <v>4981</v>
      </c>
      <c r="J770">
        <v>18</v>
      </c>
      <c r="K770" s="1" t="s">
        <v>1021</v>
      </c>
    </row>
    <row r="771" spans="1:11">
      <c r="A771" s="17" t="s">
        <v>330</v>
      </c>
      <c r="B771" s="19" t="s">
        <v>50</v>
      </c>
      <c r="C771" s="19" t="s">
        <v>675</v>
      </c>
      <c r="D771" s="19" t="s">
        <v>676</v>
      </c>
      <c r="E771" s="20" t="s">
        <v>29</v>
      </c>
      <c r="F771" s="19" t="s">
        <v>679</v>
      </c>
      <c r="G771" s="19" t="s">
        <v>680</v>
      </c>
      <c r="H771" s="19" t="s">
        <v>30</v>
      </c>
      <c r="I771">
        <v>3122</v>
      </c>
      <c r="J771">
        <v>30</v>
      </c>
      <c r="K771" s="1" t="s">
        <v>1020</v>
      </c>
    </row>
    <row r="772" spans="1:11">
      <c r="A772" s="17" t="s">
        <v>330</v>
      </c>
      <c r="B772" s="19" t="s">
        <v>50</v>
      </c>
      <c r="C772" s="19" t="s">
        <v>675</v>
      </c>
      <c r="D772" s="19" t="s">
        <v>676</v>
      </c>
      <c r="E772" s="20" t="s">
        <v>29</v>
      </c>
      <c r="F772" s="19" t="s">
        <v>681</v>
      </c>
      <c r="G772" s="19" t="s">
        <v>682</v>
      </c>
      <c r="H772" s="19" t="s">
        <v>30</v>
      </c>
      <c r="I772">
        <v>2473492</v>
      </c>
      <c r="J772">
        <v>2799</v>
      </c>
      <c r="K772" s="1" t="s">
        <v>1021</v>
      </c>
    </row>
    <row r="773" spans="1:11">
      <c r="A773" s="17" t="s">
        <v>330</v>
      </c>
      <c r="B773" s="19" t="s">
        <v>50</v>
      </c>
      <c r="C773" s="19" t="s">
        <v>675</v>
      </c>
      <c r="D773" s="19" t="s">
        <v>676</v>
      </c>
      <c r="E773" s="20" t="s">
        <v>29</v>
      </c>
      <c r="F773" s="19" t="s">
        <v>683</v>
      </c>
      <c r="G773" s="19" t="s">
        <v>684</v>
      </c>
      <c r="H773" s="19" t="s">
        <v>30</v>
      </c>
      <c r="I773">
        <v>213964</v>
      </c>
      <c r="J773">
        <v>700</v>
      </c>
      <c r="K773" s="1" t="s">
        <v>1020</v>
      </c>
    </row>
    <row r="774" spans="1:11">
      <c r="A774" s="17" t="s">
        <v>330</v>
      </c>
      <c r="B774" s="19" t="s">
        <v>50</v>
      </c>
      <c r="C774" s="19" t="s">
        <v>675</v>
      </c>
      <c r="D774" s="19" t="s">
        <v>676</v>
      </c>
      <c r="E774" s="20" t="s">
        <v>29</v>
      </c>
      <c r="F774" s="19" t="s">
        <v>685</v>
      </c>
      <c r="G774" s="19" t="s">
        <v>686</v>
      </c>
      <c r="H774" s="19" t="s">
        <v>30</v>
      </c>
      <c r="I774">
        <v>1002415</v>
      </c>
      <c r="J774">
        <v>1605</v>
      </c>
      <c r="K774" s="1" t="s">
        <v>1021</v>
      </c>
    </row>
    <row r="775" spans="1:11" hidden="1">
      <c r="A775" s="17" t="s">
        <v>330</v>
      </c>
      <c r="B775" s="19" t="s">
        <v>50</v>
      </c>
      <c r="C775" s="19" t="s">
        <v>687</v>
      </c>
      <c r="D775" s="19" t="s">
        <v>688</v>
      </c>
      <c r="E775" s="20" t="s">
        <v>11</v>
      </c>
      <c r="F775" s="19" t="s">
        <v>116</v>
      </c>
      <c r="G775" s="19" t="s">
        <v>446</v>
      </c>
      <c r="H775" s="19" t="s">
        <v>31</v>
      </c>
      <c r="I775">
        <v>97912</v>
      </c>
      <c r="J775">
        <v>194</v>
      </c>
      <c r="K775" s="1" t="s">
        <v>1020</v>
      </c>
    </row>
    <row r="776" spans="1:11">
      <c r="A776" s="17" t="s">
        <v>330</v>
      </c>
      <c r="B776" s="19" t="s">
        <v>50</v>
      </c>
      <c r="C776" s="19" t="s">
        <v>687</v>
      </c>
      <c r="D776" s="19" t="s">
        <v>688</v>
      </c>
      <c r="E776" s="20" t="s">
        <v>29</v>
      </c>
      <c r="F776" s="19" t="s">
        <v>689</v>
      </c>
      <c r="G776" s="19" t="s">
        <v>690</v>
      </c>
      <c r="H776" s="19" t="s">
        <v>30</v>
      </c>
      <c r="I776">
        <v>29949</v>
      </c>
      <c r="J776">
        <v>110</v>
      </c>
      <c r="K776" s="1" t="s">
        <v>1021</v>
      </c>
    </row>
    <row r="777" spans="1:11">
      <c r="A777" s="17" t="s">
        <v>330</v>
      </c>
      <c r="B777" s="19" t="s">
        <v>50</v>
      </c>
      <c r="C777" s="19" t="s">
        <v>687</v>
      </c>
      <c r="D777" s="19" t="s">
        <v>688</v>
      </c>
      <c r="E777" s="20" t="s">
        <v>29</v>
      </c>
      <c r="F777" s="19" t="s">
        <v>691</v>
      </c>
      <c r="G777" s="19" t="s">
        <v>692</v>
      </c>
      <c r="H777" s="19" t="s">
        <v>30</v>
      </c>
      <c r="I777">
        <v>10029</v>
      </c>
      <c r="J777">
        <v>50</v>
      </c>
      <c r="K777" s="1" t="s">
        <v>1020</v>
      </c>
    </row>
    <row r="778" spans="1:11">
      <c r="A778" s="17" t="s">
        <v>330</v>
      </c>
      <c r="B778" s="19" t="s">
        <v>50</v>
      </c>
      <c r="C778" s="19" t="s">
        <v>687</v>
      </c>
      <c r="D778" s="19" t="s">
        <v>688</v>
      </c>
      <c r="E778" s="20" t="s">
        <v>29</v>
      </c>
      <c r="F778" s="19" t="s">
        <v>693</v>
      </c>
      <c r="G778" s="19" t="s">
        <v>694</v>
      </c>
      <c r="H778" s="19" t="s">
        <v>30</v>
      </c>
      <c r="I778">
        <v>12201371</v>
      </c>
      <c r="J778">
        <v>46631</v>
      </c>
      <c r="K778" s="1" t="s">
        <v>1021</v>
      </c>
    </row>
    <row r="779" spans="1:11">
      <c r="A779" s="17" t="s">
        <v>330</v>
      </c>
      <c r="B779" s="19" t="s">
        <v>50</v>
      </c>
      <c r="C779" s="19" t="s">
        <v>687</v>
      </c>
      <c r="D779" s="19" t="s">
        <v>688</v>
      </c>
      <c r="E779" s="20" t="s">
        <v>29</v>
      </c>
      <c r="F779" s="19" t="s">
        <v>695</v>
      </c>
      <c r="G779" s="19" t="s">
        <v>696</v>
      </c>
      <c r="H779" s="19" t="s">
        <v>30</v>
      </c>
      <c r="I779">
        <v>451038</v>
      </c>
      <c r="J779">
        <v>1351</v>
      </c>
      <c r="K779" s="1" t="s">
        <v>1020</v>
      </c>
    </row>
    <row r="780" spans="1:11">
      <c r="A780" s="17" t="s">
        <v>330</v>
      </c>
      <c r="B780" s="19" t="s">
        <v>50</v>
      </c>
      <c r="C780" s="19" t="s">
        <v>687</v>
      </c>
      <c r="D780" s="19" t="s">
        <v>688</v>
      </c>
      <c r="E780" s="20" t="s">
        <v>29</v>
      </c>
      <c r="F780" s="19" t="s">
        <v>697</v>
      </c>
      <c r="G780" s="19" t="s">
        <v>698</v>
      </c>
      <c r="H780" s="19" t="s">
        <v>30</v>
      </c>
      <c r="I780">
        <v>2398344</v>
      </c>
      <c r="J780">
        <v>4275</v>
      </c>
      <c r="K780" s="1" t="s">
        <v>1021</v>
      </c>
    </row>
    <row r="781" spans="1:11" hidden="1">
      <c r="A781" s="17" t="s">
        <v>330</v>
      </c>
      <c r="B781" s="19" t="s">
        <v>50</v>
      </c>
      <c r="C781" s="19" t="s">
        <v>699</v>
      </c>
      <c r="D781" s="19" t="s">
        <v>700</v>
      </c>
      <c r="E781" s="20" t="s">
        <v>11</v>
      </c>
      <c r="F781" s="19" t="s">
        <v>459</v>
      </c>
      <c r="G781" s="19" t="s">
        <v>460</v>
      </c>
      <c r="H781" s="19" t="s">
        <v>31</v>
      </c>
      <c r="I781">
        <v>21574</v>
      </c>
      <c r="J781">
        <v>38</v>
      </c>
      <c r="K781" s="1" t="s">
        <v>1020</v>
      </c>
    </row>
    <row r="782" spans="1:11">
      <c r="A782" s="17" t="s">
        <v>330</v>
      </c>
      <c r="B782" s="19" t="s">
        <v>50</v>
      </c>
      <c r="C782" s="19" t="s">
        <v>699</v>
      </c>
      <c r="D782" s="19" t="s">
        <v>700</v>
      </c>
      <c r="E782" s="20" t="s">
        <v>29</v>
      </c>
      <c r="F782" s="19" t="s">
        <v>701</v>
      </c>
      <c r="G782" s="19" t="s">
        <v>702</v>
      </c>
      <c r="H782" s="19" t="s">
        <v>30</v>
      </c>
      <c r="I782">
        <v>6814</v>
      </c>
      <c r="J782">
        <v>12</v>
      </c>
      <c r="K782" s="1" t="s">
        <v>1021</v>
      </c>
    </row>
    <row r="783" spans="1:11">
      <c r="A783" s="17" t="s">
        <v>330</v>
      </c>
      <c r="B783" s="19" t="s">
        <v>50</v>
      </c>
      <c r="C783" s="19" t="s">
        <v>699</v>
      </c>
      <c r="D783" s="19" t="s">
        <v>700</v>
      </c>
      <c r="E783" s="20" t="s">
        <v>29</v>
      </c>
      <c r="F783" s="19" t="s">
        <v>703</v>
      </c>
      <c r="G783" s="19" t="s">
        <v>704</v>
      </c>
      <c r="H783" s="19" t="s">
        <v>30</v>
      </c>
      <c r="I783">
        <v>2132</v>
      </c>
      <c r="J783">
        <v>11</v>
      </c>
      <c r="K783" s="1" t="s">
        <v>1020</v>
      </c>
    </row>
    <row r="784" spans="1:11">
      <c r="A784" s="17" t="s">
        <v>330</v>
      </c>
      <c r="B784" s="19" t="s">
        <v>50</v>
      </c>
      <c r="C784" s="19" t="s">
        <v>699</v>
      </c>
      <c r="D784" s="19" t="s">
        <v>700</v>
      </c>
      <c r="E784" s="20" t="s">
        <v>29</v>
      </c>
      <c r="F784" s="19" t="s">
        <v>705</v>
      </c>
      <c r="G784" s="19" t="s">
        <v>706</v>
      </c>
      <c r="H784" s="19" t="s">
        <v>30</v>
      </c>
      <c r="I784">
        <v>2213927</v>
      </c>
      <c r="J784">
        <v>6818</v>
      </c>
      <c r="K784" s="1" t="s">
        <v>1021</v>
      </c>
    </row>
    <row r="785" spans="1:11">
      <c r="A785" s="17" t="s">
        <v>330</v>
      </c>
      <c r="B785" s="19" t="s">
        <v>50</v>
      </c>
      <c r="C785" s="19" t="s">
        <v>699</v>
      </c>
      <c r="D785" s="19" t="s">
        <v>700</v>
      </c>
      <c r="E785" s="20" t="s">
        <v>29</v>
      </c>
      <c r="F785" s="19" t="s">
        <v>707</v>
      </c>
      <c r="G785" s="19" t="s">
        <v>708</v>
      </c>
      <c r="H785" s="19" t="s">
        <v>30</v>
      </c>
      <c r="I785">
        <v>149730</v>
      </c>
      <c r="J785">
        <v>263</v>
      </c>
      <c r="K785" s="1" t="s">
        <v>1020</v>
      </c>
    </row>
    <row r="786" spans="1:11">
      <c r="A786" s="17" t="s">
        <v>330</v>
      </c>
      <c r="B786" s="19" t="s">
        <v>50</v>
      </c>
      <c r="C786" s="19" t="s">
        <v>699</v>
      </c>
      <c r="D786" s="19" t="s">
        <v>700</v>
      </c>
      <c r="E786" s="20" t="s">
        <v>29</v>
      </c>
      <c r="F786" s="19" t="s">
        <v>709</v>
      </c>
      <c r="G786" s="19" t="s">
        <v>710</v>
      </c>
      <c r="H786" s="19" t="s">
        <v>30</v>
      </c>
      <c r="I786">
        <v>705673</v>
      </c>
      <c r="J786">
        <v>654</v>
      </c>
      <c r="K786" s="1" t="s">
        <v>1021</v>
      </c>
    </row>
    <row r="787" spans="1:11" hidden="1">
      <c r="A787" s="17" t="s">
        <v>711</v>
      </c>
      <c r="B787" s="19" t="s">
        <v>52</v>
      </c>
      <c r="C787" s="19" t="s">
        <v>2590</v>
      </c>
      <c r="D787" s="19" t="s">
        <v>2591</v>
      </c>
      <c r="E787" s="20" t="s">
        <v>10</v>
      </c>
      <c r="F787" s="19" t="s">
        <v>2590</v>
      </c>
      <c r="G787" s="19" t="s">
        <v>2592</v>
      </c>
      <c r="H787" s="19" t="s">
        <v>68</v>
      </c>
      <c r="I787">
        <v>0</v>
      </c>
      <c r="J787">
        <v>3</v>
      </c>
      <c r="K787" s="1" t="s">
        <v>1020</v>
      </c>
    </row>
    <row r="788" spans="1:11" hidden="1">
      <c r="A788" s="17" t="s">
        <v>711</v>
      </c>
      <c r="B788" s="19" t="s">
        <v>52</v>
      </c>
      <c r="C788" s="19" t="s">
        <v>2593</v>
      </c>
      <c r="D788" s="19" t="s">
        <v>2594</v>
      </c>
      <c r="E788" s="20" t="s">
        <v>10</v>
      </c>
      <c r="F788" s="19" t="s">
        <v>2593</v>
      </c>
      <c r="G788" s="19" t="s">
        <v>2595</v>
      </c>
      <c r="H788" s="19" t="s">
        <v>68</v>
      </c>
      <c r="I788">
        <v>0</v>
      </c>
      <c r="J788">
        <v>1</v>
      </c>
      <c r="K788" s="1" t="s">
        <v>1021</v>
      </c>
    </row>
    <row r="789" spans="1:11" hidden="1">
      <c r="A789" s="17" t="s">
        <v>711</v>
      </c>
      <c r="B789" s="19" t="s">
        <v>52</v>
      </c>
      <c r="C789" s="19" t="s">
        <v>2596</v>
      </c>
      <c r="D789" s="19" t="s">
        <v>2597</v>
      </c>
      <c r="E789" s="20" t="s">
        <v>10</v>
      </c>
      <c r="F789" s="19" t="s">
        <v>2596</v>
      </c>
      <c r="G789" s="19" t="s">
        <v>2598</v>
      </c>
      <c r="H789" s="19" t="s">
        <v>68</v>
      </c>
      <c r="I789">
        <v>0</v>
      </c>
      <c r="J789">
        <v>1</v>
      </c>
      <c r="K789" s="1" t="s">
        <v>1020</v>
      </c>
    </row>
    <row r="790" spans="1:11" hidden="1">
      <c r="A790" s="17" t="s">
        <v>711</v>
      </c>
      <c r="B790" s="19" t="s">
        <v>52</v>
      </c>
      <c r="C790" s="19" t="s">
        <v>2599</v>
      </c>
      <c r="D790" s="19" t="s">
        <v>2600</v>
      </c>
      <c r="E790" s="20" t="s">
        <v>10</v>
      </c>
      <c r="F790" s="19" t="s">
        <v>2599</v>
      </c>
      <c r="G790" s="19" t="s">
        <v>2601</v>
      </c>
      <c r="H790" s="19" t="s">
        <v>68</v>
      </c>
      <c r="I790">
        <v>0</v>
      </c>
      <c r="J790">
        <v>1</v>
      </c>
      <c r="K790" s="1" t="s">
        <v>1021</v>
      </c>
    </row>
    <row r="791" spans="1:11" hidden="1">
      <c r="A791" s="17" t="s">
        <v>711</v>
      </c>
      <c r="B791" s="19" t="s">
        <v>52</v>
      </c>
      <c r="C791" s="19" t="s">
        <v>2602</v>
      </c>
      <c r="D791" s="19" t="s">
        <v>2603</v>
      </c>
      <c r="E791" s="20" t="s">
        <v>10</v>
      </c>
      <c r="F791" s="19" t="s">
        <v>2602</v>
      </c>
      <c r="G791" s="19" t="s">
        <v>2604</v>
      </c>
      <c r="H791" s="19" t="s">
        <v>68</v>
      </c>
      <c r="I791">
        <v>0</v>
      </c>
      <c r="J791">
        <v>1</v>
      </c>
      <c r="K791" s="1" t="s">
        <v>1020</v>
      </c>
    </row>
    <row r="792" spans="1:11" hidden="1">
      <c r="A792" s="17" t="s">
        <v>711</v>
      </c>
      <c r="B792" s="19" t="s">
        <v>52</v>
      </c>
      <c r="C792" s="19" t="s">
        <v>712</v>
      </c>
      <c r="D792" s="19" t="s">
        <v>713</v>
      </c>
      <c r="E792" s="20" t="s">
        <v>10</v>
      </c>
      <c r="F792" s="19" t="s">
        <v>712</v>
      </c>
      <c r="G792" s="19" t="s">
        <v>714</v>
      </c>
      <c r="H792" s="19" t="s">
        <v>68</v>
      </c>
      <c r="I792">
        <v>0</v>
      </c>
      <c r="J792">
        <v>1</v>
      </c>
      <c r="K792" s="1" t="s">
        <v>1021</v>
      </c>
    </row>
    <row r="793" spans="1:11" hidden="1">
      <c r="A793" s="17" t="s">
        <v>711</v>
      </c>
      <c r="B793" s="19" t="s">
        <v>52</v>
      </c>
      <c r="C793" s="19" t="s">
        <v>2605</v>
      </c>
      <c r="D793" s="19" t="s">
        <v>2606</v>
      </c>
      <c r="E793" s="20" t="s">
        <v>10</v>
      </c>
      <c r="F793" s="19" t="s">
        <v>2605</v>
      </c>
      <c r="G793" s="19" t="s">
        <v>2607</v>
      </c>
      <c r="H793" s="19" t="s">
        <v>68</v>
      </c>
      <c r="I793">
        <v>0</v>
      </c>
      <c r="J793">
        <v>1</v>
      </c>
      <c r="K793" s="1" t="s">
        <v>1020</v>
      </c>
    </row>
    <row r="794" spans="1:11" hidden="1">
      <c r="A794" s="17" t="s">
        <v>711</v>
      </c>
      <c r="B794" s="19" t="s">
        <v>52</v>
      </c>
      <c r="C794" s="19" t="s">
        <v>2608</v>
      </c>
      <c r="D794" s="19" t="s">
        <v>2609</v>
      </c>
      <c r="E794" s="20" t="s">
        <v>10</v>
      </c>
      <c r="F794" s="19" t="s">
        <v>2608</v>
      </c>
      <c r="G794" s="19" t="s">
        <v>2610</v>
      </c>
      <c r="H794" s="19" t="s">
        <v>68</v>
      </c>
      <c r="I794">
        <v>0</v>
      </c>
      <c r="J794">
        <v>2</v>
      </c>
      <c r="K794" s="1" t="s">
        <v>1021</v>
      </c>
    </row>
    <row r="795" spans="1:11" hidden="1">
      <c r="A795" s="17" t="s">
        <v>711</v>
      </c>
      <c r="B795" s="19" t="s">
        <v>52</v>
      </c>
      <c r="C795" s="19" t="s">
        <v>2611</v>
      </c>
      <c r="D795" s="19" t="s">
        <v>2612</v>
      </c>
      <c r="E795" s="20" t="s">
        <v>10</v>
      </c>
      <c r="F795" s="19" t="s">
        <v>2611</v>
      </c>
      <c r="G795" s="19" t="s">
        <v>2613</v>
      </c>
      <c r="H795" s="19" t="s">
        <v>68</v>
      </c>
      <c r="I795">
        <v>0</v>
      </c>
      <c r="J795">
        <v>1</v>
      </c>
      <c r="K795" s="1" t="s">
        <v>1020</v>
      </c>
    </row>
    <row r="796" spans="1:11" hidden="1">
      <c r="A796" s="17" t="s">
        <v>711</v>
      </c>
      <c r="B796" s="19" t="s">
        <v>52</v>
      </c>
      <c r="C796" s="19" t="s">
        <v>1709</v>
      </c>
      <c r="D796" s="19" t="s">
        <v>1710</v>
      </c>
      <c r="E796" s="20" t="s">
        <v>10</v>
      </c>
      <c r="F796" s="19" t="s">
        <v>1709</v>
      </c>
      <c r="G796" s="19" t="s">
        <v>1711</v>
      </c>
      <c r="H796" s="19" t="s">
        <v>68</v>
      </c>
      <c r="I796">
        <v>0</v>
      </c>
      <c r="J796">
        <v>1</v>
      </c>
      <c r="K796" s="1" t="s">
        <v>1021</v>
      </c>
    </row>
    <row r="797" spans="1:11" hidden="1">
      <c r="A797" s="17" t="s">
        <v>715</v>
      </c>
      <c r="B797" s="19" t="s">
        <v>133</v>
      </c>
      <c r="C797" s="19" t="s">
        <v>716</v>
      </c>
      <c r="D797" s="19" t="s">
        <v>717</v>
      </c>
      <c r="E797" s="20" t="s">
        <v>10</v>
      </c>
      <c r="F797" s="19" t="s">
        <v>716</v>
      </c>
      <c r="G797" s="19" t="s">
        <v>718</v>
      </c>
      <c r="H797" s="19" t="s">
        <v>68</v>
      </c>
      <c r="I797">
        <v>0</v>
      </c>
      <c r="J797">
        <v>6</v>
      </c>
      <c r="K797" s="1" t="s">
        <v>1020</v>
      </c>
    </row>
    <row r="798" spans="1:11" hidden="1">
      <c r="A798" s="17" t="s">
        <v>715</v>
      </c>
      <c r="B798" s="19" t="s">
        <v>133</v>
      </c>
      <c r="C798" s="19" t="s">
        <v>2614</v>
      </c>
      <c r="D798" s="19" t="s">
        <v>2615</v>
      </c>
      <c r="E798" s="20" t="s">
        <v>10</v>
      </c>
      <c r="F798" s="19" t="s">
        <v>2614</v>
      </c>
      <c r="G798" s="19" t="s">
        <v>2616</v>
      </c>
      <c r="H798" s="19" t="s">
        <v>68</v>
      </c>
      <c r="I798">
        <v>0</v>
      </c>
      <c r="J798">
        <v>1</v>
      </c>
      <c r="K798" s="1" t="s">
        <v>1021</v>
      </c>
    </row>
    <row r="799" spans="1:11" hidden="1">
      <c r="A799" s="17" t="s">
        <v>715</v>
      </c>
      <c r="B799" s="19" t="s">
        <v>133</v>
      </c>
      <c r="C799" s="19" t="s">
        <v>1712</v>
      </c>
      <c r="D799" s="19" t="s">
        <v>1713</v>
      </c>
      <c r="E799" s="20" t="s">
        <v>10</v>
      </c>
      <c r="F799" s="19" t="s">
        <v>1712</v>
      </c>
      <c r="G799" s="19" t="s">
        <v>1714</v>
      </c>
      <c r="H799" s="19" t="s">
        <v>68</v>
      </c>
      <c r="I799">
        <v>0</v>
      </c>
      <c r="J799">
        <v>2</v>
      </c>
      <c r="K799" s="1" t="s">
        <v>1020</v>
      </c>
    </row>
    <row r="800" spans="1:11" hidden="1">
      <c r="A800" s="17" t="s">
        <v>715</v>
      </c>
      <c r="B800" s="19" t="s">
        <v>133</v>
      </c>
      <c r="C800" s="19" t="s">
        <v>2617</v>
      </c>
      <c r="D800" s="19" t="s">
        <v>2618</v>
      </c>
      <c r="E800" s="20" t="s">
        <v>10</v>
      </c>
      <c r="F800" s="19" t="s">
        <v>2617</v>
      </c>
      <c r="G800" s="19" t="s">
        <v>2619</v>
      </c>
      <c r="H800" s="19" t="s">
        <v>68</v>
      </c>
      <c r="I800">
        <v>0</v>
      </c>
      <c r="J800">
        <v>4</v>
      </c>
      <c r="K800" s="1" t="s">
        <v>1021</v>
      </c>
    </row>
    <row r="801" spans="1:11" hidden="1">
      <c r="A801" s="17" t="s">
        <v>715</v>
      </c>
      <c r="B801" s="19" t="s">
        <v>133</v>
      </c>
      <c r="C801" s="19" t="s">
        <v>719</v>
      </c>
      <c r="D801" s="19" t="s">
        <v>720</v>
      </c>
      <c r="E801" s="20" t="s">
        <v>10</v>
      </c>
      <c r="F801" s="19" t="s">
        <v>719</v>
      </c>
      <c r="G801" s="19" t="s">
        <v>721</v>
      </c>
      <c r="H801" s="19" t="s">
        <v>68</v>
      </c>
      <c r="I801">
        <v>0</v>
      </c>
      <c r="J801">
        <v>2</v>
      </c>
      <c r="K801" s="1" t="s">
        <v>1020</v>
      </c>
    </row>
    <row r="802" spans="1:11" hidden="1">
      <c r="A802" s="17" t="s">
        <v>715</v>
      </c>
      <c r="B802" s="19" t="s">
        <v>133</v>
      </c>
      <c r="C802" s="19" t="s">
        <v>722</v>
      </c>
      <c r="D802" s="19" t="s">
        <v>723</v>
      </c>
      <c r="E802" s="20" t="s">
        <v>10</v>
      </c>
      <c r="F802" s="19" t="s">
        <v>722</v>
      </c>
      <c r="G802" s="19" t="s">
        <v>724</v>
      </c>
      <c r="H802" s="19" t="s">
        <v>68</v>
      </c>
      <c r="I802">
        <v>0</v>
      </c>
      <c r="J802">
        <v>2</v>
      </c>
      <c r="K802" s="1" t="s">
        <v>1021</v>
      </c>
    </row>
    <row r="803" spans="1:11" hidden="1">
      <c r="A803" s="17" t="s">
        <v>715</v>
      </c>
      <c r="B803" s="19" t="s">
        <v>133</v>
      </c>
      <c r="C803" s="19" t="s">
        <v>725</v>
      </c>
      <c r="D803" s="19" t="s">
        <v>726</v>
      </c>
      <c r="E803" s="20" t="s">
        <v>10</v>
      </c>
      <c r="F803" s="19" t="s">
        <v>725</v>
      </c>
      <c r="G803" s="19" t="s">
        <v>727</v>
      </c>
      <c r="H803" s="19" t="s">
        <v>68</v>
      </c>
      <c r="I803">
        <v>0</v>
      </c>
      <c r="J803">
        <v>5</v>
      </c>
      <c r="K803" s="1" t="s">
        <v>1020</v>
      </c>
    </row>
    <row r="804" spans="1:11" hidden="1">
      <c r="A804" s="17" t="s">
        <v>715</v>
      </c>
      <c r="B804" s="19" t="s">
        <v>133</v>
      </c>
      <c r="C804" s="19" t="s">
        <v>2620</v>
      </c>
      <c r="D804" s="19" t="s">
        <v>2621</v>
      </c>
      <c r="E804" s="20" t="s">
        <v>10</v>
      </c>
      <c r="F804" s="19" t="s">
        <v>2620</v>
      </c>
      <c r="G804" s="19" t="s">
        <v>2622</v>
      </c>
      <c r="H804" s="19" t="s">
        <v>68</v>
      </c>
      <c r="I804">
        <v>0</v>
      </c>
      <c r="J804">
        <v>1</v>
      </c>
      <c r="K804" s="1" t="s">
        <v>1021</v>
      </c>
    </row>
    <row r="805" spans="1:11" hidden="1">
      <c r="A805" s="17" t="s">
        <v>715</v>
      </c>
      <c r="B805" s="19" t="s">
        <v>133</v>
      </c>
      <c r="C805" s="19" t="s">
        <v>1715</v>
      </c>
      <c r="D805" s="19" t="s">
        <v>1716</v>
      </c>
      <c r="E805" s="20" t="s">
        <v>10</v>
      </c>
      <c r="F805" s="19" t="s">
        <v>1715</v>
      </c>
      <c r="G805" s="19" t="s">
        <v>1717</v>
      </c>
      <c r="H805" s="19" t="s">
        <v>68</v>
      </c>
      <c r="I805">
        <v>0</v>
      </c>
      <c r="J805">
        <v>17547</v>
      </c>
      <c r="K805" s="1" t="s">
        <v>1020</v>
      </c>
    </row>
    <row r="806" spans="1:11" hidden="1">
      <c r="A806" s="17" t="s">
        <v>715</v>
      </c>
      <c r="B806" s="19" t="s">
        <v>133</v>
      </c>
      <c r="C806" s="19" t="s">
        <v>728</v>
      </c>
      <c r="D806" s="19" t="s">
        <v>729</v>
      </c>
      <c r="E806" s="20" t="s">
        <v>10</v>
      </c>
      <c r="F806" s="19" t="s">
        <v>728</v>
      </c>
      <c r="G806" s="19" t="s">
        <v>730</v>
      </c>
      <c r="H806" s="19" t="s">
        <v>68</v>
      </c>
      <c r="I806">
        <v>0</v>
      </c>
      <c r="J806">
        <v>4</v>
      </c>
      <c r="K806" s="1" t="s">
        <v>1021</v>
      </c>
    </row>
    <row r="807" spans="1:11" hidden="1">
      <c r="A807" s="17" t="s">
        <v>715</v>
      </c>
      <c r="B807" s="19" t="s">
        <v>133</v>
      </c>
      <c r="C807" s="19" t="s">
        <v>731</v>
      </c>
      <c r="D807" s="19" t="s">
        <v>732</v>
      </c>
      <c r="E807" s="20" t="s">
        <v>10</v>
      </c>
      <c r="F807" s="19" t="s">
        <v>731</v>
      </c>
      <c r="G807" s="19" t="s">
        <v>733</v>
      </c>
      <c r="H807" s="19" t="s">
        <v>68</v>
      </c>
      <c r="I807">
        <v>0</v>
      </c>
      <c r="J807">
        <v>34</v>
      </c>
      <c r="K807" s="1" t="s">
        <v>1020</v>
      </c>
    </row>
    <row r="808" spans="1:11" hidden="1">
      <c r="A808" s="17" t="s">
        <v>734</v>
      </c>
      <c r="B808" s="19" t="s">
        <v>735</v>
      </c>
      <c r="C808" s="19" t="s">
        <v>2623</v>
      </c>
      <c r="D808" s="19" t="s">
        <v>2624</v>
      </c>
      <c r="E808" s="20" t="str">
        <f t="shared" ref="E808:E820" si="15">IF(I808&gt;J808,"Standard","Tracking")</f>
        <v>Standard</v>
      </c>
      <c r="F808" s="19" t="s">
        <v>2623</v>
      </c>
      <c r="G808" s="19" t="s">
        <v>2625</v>
      </c>
      <c r="H808" s="19" t="s">
        <v>32</v>
      </c>
      <c r="I808">
        <v>4</v>
      </c>
      <c r="J808">
        <v>0</v>
      </c>
      <c r="K808" s="1" t="s">
        <v>1021</v>
      </c>
    </row>
    <row r="809" spans="1:11" hidden="1">
      <c r="A809" s="17" t="s">
        <v>734</v>
      </c>
      <c r="B809" s="19" t="s">
        <v>735</v>
      </c>
      <c r="C809" s="19" t="s">
        <v>1718</v>
      </c>
      <c r="D809" s="19" t="s">
        <v>1719</v>
      </c>
      <c r="E809" s="20" t="str">
        <f t="shared" si="15"/>
        <v>Standard</v>
      </c>
      <c r="F809" s="19" t="s">
        <v>1718</v>
      </c>
      <c r="G809" s="19" t="s">
        <v>1720</v>
      </c>
      <c r="H809" s="19" t="s">
        <v>32</v>
      </c>
      <c r="I809">
        <v>1</v>
      </c>
      <c r="J809">
        <v>0</v>
      </c>
      <c r="K809" s="1" t="s">
        <v>1020</v>
      </c>
    </row>
    <row r="810" spans="1:11" hidden="1">
      <c r="A810" s="17" t="s">
        <v>734</v>
      </c>
      <c r="B810" s="19" t="s">
        <v>735</v>
      </c>
      <c r="C810" s="19" t="s">
        <v>2626</v>
      </c>
      <c r="D810" s="19" t="s">
        <v>2627</v>
      </c>
      <c r="E810" s="20" t="str">
        <f t="shared" si="15"/>
        <v>Standard</v>
      </c>
      <c r="F810" s="19" t="s">
        <v>2626</v>
      </c>
      <c r="G810" s="19" t="s">
        <v>2628</v>
      </c>
      <c r="H810" s="19" t="s">
        <v>32</v>
      </c>
      <c r="I810">
        <v>1</v>
      </c>
      <c r="J810">
        <v>0</v>
      </c>
      <c r="K810" s="1" t="s">
        <v>1021</v>
      </c>
    </row>
    <row r="811" spans="1:11" hidden="1">
      <c r="A811" s="17" t="s">
        <v>734</v>
      </c>
      <c r="B811" s="19" t="s">
        <v>736</v>
      </c>
      <c r="C811" s="19" t="s">
        <v>1721</v>
      </c>
      <c r="D811" s="19" t="s">
        <v>1722</v>
      </c>
      <c r="E811" s="20" t="str">
        <f t="shared" si="15"/>
        <v>Standard</v>
      </c>
      <c r="F811" s="19" t="s">
        <v>1721</v>
      </c>
      <c r="G811" s="19" t="s">
        <v>1723</v>
      </c>
      <c r="H811" s="19" t="s">
        <v>32</v>
      </c>
      <c r="I811">
        <v>1</v>
      </c>
      <c r="J811">
        <v>0</v>
      </c>
      <c r="K811" s="1" t="s">
        <v>1020</v>
      </c>
    </row>
    <row r="812" spans="1:11" hidden="1">
      <c r="A812" s="17" t="s">
        <v>734</v>
      </c>
      <c r="B812" s="19" t="s">
        <v>52</v>
      </c>
      <c r="C812" s="19" t="s">
        <v>737</v>
      </c>
      <c r="D812" s="19" t="s">
        <v>738</v>
      </c>
      <c r="E812" s="20" t="str">
        <f t="shared" si="15"/>
        <v>Tracking</v>
      </c>
      <c r="F812" s="19" t="s">
        <v>737</v>
      </c>
      <c r="G812" s="19" t="s">
        <v>739</v>
      </c>
      <c r="H812" s="19" t="s">
        <v>32</v>
      </c>
      <c r="I812">
        <v>0</v>
      </c>
      <c r="J812">
        <v>3</v>
      </c>
      <c r="K812" s="1" t="s">
        <v>1021</v>
      </c>
    </row>
    <row r="813" spans="1:11" hidden="1">
      <c r="A813" s="17" t="s">
        <v>734</v>
      </c>
      <c r="B813" s="19" t="s">
        <v>52</v>
      </c>
      <c r="C813" s="19" t="s">
        <v>740</v>
      </c>
      <c r="D813" s="19" t="s">
        <v>741</v>
      </c>
      <c r="E813" s="20" t="str">
        <f t="shared" si="15"/>
        <v>Tracking</v>
      </c>
      <c r="F813" s="19" t="s">
        <v>740</v>
      </c>
      <c r="G813" s="19" t="s">
        <v>742</v>
      </c>
      <c r="H813" s="19" t="s">
        <v>32</v>
      </c>
      <c r="I813">
        <v>0</v>
      </c>
      <c r="J813">
        <v>1</v>
      </c>
      <c r="K813" s="1" t="s">
        <v>1020</v>
      </c>
    </row>
    <row r="814" spans="1:11" hidden="1">
      <c r="A814" s="17" t="s">
        <v>734</v>
      </c>
      <c r="B814" s="19" t="s">
        <v>52</v>
      </c>
      <c r="C814" s="19" t="s">
        <v>743</v>
      </c>
      <c r="D814" s="19" t="s">
        <v>744</v>
      </c>
      <c r="E814" s="20" t="str">
        <f t="shared" si="15"/>
        <v>Tracking</v>
      </c>
      <c r="F814" s="19" t="s">
        <v>743</v>
      </c>
      <c r="G814" s="19" t="s">
        <v>745</v>
      </c>
      <c r="H814" s="19" t="s">
        <v>32</v>
      </c>
      <c r="I814">
        <v>0</v>
      </c>
      <c r="J814">
        <v>2</v>
      </c>
      <c r="K814" s="1" t="s">
        <v>1021</v>
      </c>
    </row>
    <row r="815" spans="1:11" hidden="1">
      <c r="A815" s="17" t="s">
        <v>734</v>
      </c>
      <c r="B815" s="19" t="s">
        <v>52</v>
      </c>
      <c r="C815" s="19" t="s">
        <v>746</v>
      </c>
      <c r="D815" s="19" t="s">
        <v>747</v>
      </c>
      <c r="E815" s="20" t="str">
        <f t="shared" si="15"/>
        <v>Tracking</v>
      </c>
      <c r="F815" s="19" t="s">
        <v>746</v>
      </c>
      <c r="G815" s="19" t="s">
        <v>748</v>
      </c>
      <c r="H815" s="19" t="s">
        <v>32</v>
      </c>
      <c r="I815">
        <v>0</v>
      </c>
      <c r="J815">
        <v>1</v>
      </c>
      <c r="K815" s="1" t="s">
        <v>1021</v>
      </c>
    </row>
    <row r="816" spans="1:11" hidden="1">
      <c r="A816" s="17" t="s">
        <v>734</v>
      </c>
      <c r="B816" s="19" t="s">
        <v>52</v>
      </c>
      <c r="C816" s="19" t="s">
        <v>749</v>
      </c>
      <c r="D816" s="19" t="s">
        <v>750</v>
      </c>
      <c r="E816" s="20" t="str">
        <f t="shared" si="15"/>
        <v>Tracking</v>
      </c>
      <c r="F816" s="19" t="s">
        <v>749</v>
      </c>
      <c r="G816" s="19" t="s">
        <v>751</v>
      </c>
      <c r="H816" s="19" t="s">
        <v>32</v>
      </c>
      <c r="I816">
        <v>0</v>
      </c>
      <c r="J816">
        <v>3</v>
      </c>
      <c r="K816" s="1" t="s">
        <v>1020</v>
      </c>
    </row>
    <row r="817" spans="1:11" hidden="1">
      <c r="A817" s="17" t="s">
        <v>734</v>
      </c>
      <c r="B817" s="19" t="s">
        <v>2629</v>
      </c>
      <c r="C817" s="19" t="s">
        <v>2630</v>
      </c>
      <c r="D817" s="19" t="s">
        <v>2631</v>
      </c>
      <c r="E817" s="20" t="str">
        <f t="shared" si="15"/>
        <v>Tracking</v>
      </c>
      <c r="F817" s="19" t="s">
        <v>2630</v>
      </c>
      <c r="G817" s="19" t="s">
        <v>2632</v>
      </c>
      <c r="H817" s="19" t="s">
        <v>32</v>
      </c>
      <c r="I817">
        <v>0</v>
      </c>
      <c r="J817">
        <v>2</v>
      </c>
      <c r="K817" s="1" t="s">
        <v>1021</v>
      </c>
    </row>
    <row r="818" spans="1:11" hidden="1">
      <c r="A818" s="17" t="s">
        <v>734</v>
      </c>
      <c r="B818" s="19" t="s">
        <v>118</v>
      </c>
      <c r="C818" s="19" t="s">
        <v>752</v>
      </c>
      <c r="D818" s="19" t="s">
        <v>753</v>
      </c>
      <c r="E818" s="20" t="str">
        <f t="shared" si="15"/>
        <v>Tracking</v>
      </c>
      <c r="F818" s="19" t="s">
        <v>752</v>
      </c>
      <c r="G818" s="19" t="s">
        <v>754</v>
      </c>
      <c r="H818" s="19" t="s">
        <v>32</v>
      </c>
      <c r="I818">
        <v>0</v>
      </c>
      <c r="J818">
        <v>19</v>
      </c>
      <c r="K818" s="1" t="s">
        <v>1021</v>
      </c>
    </row>
    <row r="819" spans="1:11" hidden="1">
      <c r="A819" s="17" t="s">
        <v>734</v>
      </c>
      <c r="B819" s="19" t="s">
        <v>755</v>
      </c>
      <c r="C819" s="19" t="s">
        <v>756</v>
      </c>
      <c r="D819" s="19" t="s">
        <v>757</v>
      </c>
      <c r="E819" s="20" t="str">
        <f t="shared" si="15"/>
        <v>Standard</v>
      </c>
      <c r="F819" s="19" t="s">
        <v>756</v>
      </c>
      <c r="G819" s="19" t="s">
        <v>758</v>
      </c>
      <c r="H819" s="19" t="s">
        <v>32</v>
      </c>
      <c r="I819">
        <v>62</v>
      </c>
      <c r="J819">
        <v>17</v>
      </c>
      <c r="K819" s="1" t="s">
        <v>1021</v>
      </c>
    </row>
    <row r="820" spans="1:11" hidden="1">
      <c r="A820" s="17" t="s">
        <v>734</v>
      </c>
      <c r="B820" s="19" t="s">
        <v>759</v>
      </c>
      <c r="C820" s="19" t="s">
        <v>1724</v>
      </c>
      <c r="D820" s="19" t="s">
        <v>1725</v>
      </c>
      <c r="E820" s="20" t="str">
        <f t="shared" si="15"/>
        <v>Standard</v>
      </c>
      <c r="F820" s="19" t="s">
        <v>1724</v>
      </c>
      <c r="G820" s="19" t="s">
        <v>1726</v>
      </c>
      <c r="H820" s="19" t="s">
        <v>32</v>
      </c>
      <c r="I820">
        <v>1</v>
      </c>
      <c r="J820">
        <v>0</v>
      </c>
      <c r="K820" s="1" t="s">
        <v>1020</v>
      </c>
    </row>
    <row r="821" spans="1:11" hidden="1">
      <c r="A821" s="17" t="s">
        <v>2633</v>
      </c>
      <c r="B821" s="19" t="s">
        <v>2634</v>
      </c>
      <c r="C821" s="19" t="s">
        <v>2635</v>
      </c>
      <c r="D821" s="19" t="s">
        <v>2636</v>
      </c>
      <c r="E821" s="20" t="s">
        <v>10</v>
      </c>
      <c r="F821" s="19" t="s">
        <v>2635</v>
      </c>
      <c r="G821" s="19" t="s">
        <v>2637</v>
      </c>
      <c r="H821" s="19" t="s">
        <v>68</v>
      </c>
      <c r="I821">
        <v>0</v>
      </c>
      <c r="J821">
        <v>1</v>
      </c>
      <c r="K821" s="1" t="s">
        <v>1021</v>
      </c>
    </row>
    <row r="822" spans="1:11" hidden="1">
      <c r="A822" s="17" t="s">
        <v>764</v>
      </c>
      <c r="B822" s="19" t="s">
        <v>760</v>
      </c>
      <c r="C822" s="19" t="s">
        <v>765</v>
      </c>
      <c r="D822" s="19" t="s">
        <v>766</v>
      </c>
      <c r="E822" s="20" t="str">
        <f t="shared" ref="E822:E830" si="16">IF(I822&gt;J822,"Standard","Tracking")</f>
        <v>Tracking</v>
      </c>
      <c r="F822" s="19" t="s">
        <v>765</v>
      </c>
      <c r="G822" s="19" t="s">
        <v>767</v>
      </c>
      <c r="H822" s="19" t="s">
        <v>32</v>
      </c>
      <c r="I822">
        <v>0</v>
      </c>
      <c r="J822">
        <v>28</v>
      </c>
      <c r="K822" s="1" t="s">
        <v>1020</v>
      </c>
    </row>
    <row r="823" spans="1:11" hidden="1">
      <c r="A823" s="17" t="s">
        <v>764</v>
      </c>
      <c r="B823" s="19" t="s">
        <v>760</v>
      </c>
      <c r="C823" s="19" t="s">
        <v>768</v>
      </c>
      <c r="D823" s="19" t="s">
        <v>769</v>
      </c>
      <c r="E823" s="20" t="str">
        <f t="shared" si="16"/>
        <v>Tracking</v>
      </c>
      <c r="F823" s="19" t="s">
        <v>768</v>
      </c>
      <c r="G823" s="19" t="s">
        <v>770</v>
      </c>
      <c r="H823" s="19" t="s">
        <v>32</v>
      </c>
      <c r="I823">
        <v>0</v>
      </c>
      <c r="J823">
        <v>17</v>
      </c>
      <c r="K823" s="1" t="s">
        <v>1021</v>
      </c>
    </row>
    <row r="824" spans="1:11" hidden="1">
      <c r="A824" s="17" t="s">
        <v>764</v>
      </c>
      <c r="B824" s="19" t="s">
        <v>760</v>
      </c>
      <c r="C824" s="19" t="s">
        <v>2638</v>
      </c>
      <c r="D824" s="19" t="s">
        <v>2639</v>
      </c>
      <c r="E824" s="20" t="str">
        <f t="shared" si="16"/>
        <v>Tracking</v>
      </c>
      <c r="F824" s="19" t="s">
        <v>2638</v>
      </c>
      <c r="G824" s="19" t="s">
        <v>2640</v>
      </c>
      <c r="H824" s="19" t="s">
        <v>32</v>
      </c>
      <c r="I824">
        <v>0</v>
      </c>
      <c r="J824">
        <v>10</v>
      </c>
      <c r="K824" s="1" t="s">
        <v>1020</v>
      </c>
    </row>
    <row r="825" spans="1:11" hidden="1">
      <c r="A825" s="17" t="s">
        <v>764</v>
      </c>
      <c r="B825" s="19" t="s">
        <v>760</v>
      </c>
      <c r="C825" s="19" t="s">
        <v>2641</v>
      </c>
      <c r="D825" s="19" t="s">
        <v>2642</v>
      </c>
      <c r="E825" s="20" t="str">
        <f t="shared" si="16"/>
        <v>Tracking</v>
      </c>
      <c r="F825" s="19" t="s">
        <v>2641</v>
      </c>
      <c r="G825" s="19" t="s">
        <v>2643</v>
      </c>
      <c r="H825" s="19" t="s">
        <v>32</v>
      </c>
      <c r="I825">
        <v>0</v>
      </c>
      <c r="J825">
        <v>1</v>
      </c>
      <c r="K825" s="1" t="s">
        <v>1020</v>
      </c>
    </row>
    <row r="826" spans="1:11" hidden="1">
      <c r="A826" s="17" t="s">
        <v>764</v>
      </c>
      <c r="B826" s="19" t="s">
        <v>760</v>
      </c>
      <c r="C826" s="19" t="s">
        <v>771</v>
      </c>
      <c r="D826" s="19" t="s">
        <v>772</v>
      </c>
      <c r="E826" s="20" t="str">
        <f t="shared" si="16"/>
        <v>Tracking</v>
      </c>
      <c r="F826" s="19" t="s">
        <v>771</v>
      </c>
      <c r="G826" s="19" t="s">
        <v>773</v>
      </c>
      <c r="H826" s="19" t="s">
        <v>32</v>
      </c>
      <c r="I826">
        <v>19</v>
      </c>
      <c r="J826">
        <v>29</v>
      </c>
      <c r="K826" s="1" t="s">
        <v>1020</v>
      </c>
    </row>
    <row r="827" spans="1:11" hidden="1">
      <c r="A827" s="17" t="s">
        <v>764</v>
      </c>
      <c r="B827" s="19" t="s">
        <v>52</v>
      </c>
      <c r="C827" s="19" t="s">
        <v>2644</v>
      </c>
      <c r="D827" s="19" t="s">
        <v>2645</v>
      </c>
      <c r="E827" s="20" t="str">
        <f t="shared" si="16"/>
        <v>Tracking</v>
      </c>
      <c r="F827" s="19" t="s">
        <v>2644</v>
      </c>
      <c r="G827" s="19" t="s">
        <v>2646</v>
      </c>
      <c r="H827" s="19" t="s">
        <v>32</v>
      </c>
      <c r="I827">
        <v>0</v>
      </c>
      <c r="J827">
        <v>7</v>
      </c>
      <c r="K827" s="1" t="s">
        <v>1021</v>
      </c>
    </row>
    <row r="828" spans="1:11" hidden="1">
      <c r="A828" s="17" t="s">
        <v>764</v>
      </c>
      <c r="B828" s="19" t="s">
        <v>52</v>
      </c>
      <c r="C828" s="19" t="s">
        <v>774</v>
      </c>
      <c r="D828" s="19" t="s">
        <v>775</v>
      </c>
      <c r="E828" s="20" t="str">
        <f t="shared" si="16"/>
        <v>Tracking</v>
      </c>
      <c r="F828" s="19" t="s">
        <v>774</v>
      </c>
      <c r="G828" s="19" t="s">
        <v>776</v>
      </c>
      <c r="H828" s="19" t="s">
        <v>32</v>
      </c>
      <c r="I828">
        <v>0</v>
      </c>
      <c r="J828">
        <v>49</v>
      </c>
      <c r="K828" s="1" t="s">
        <v>1020</v>
      </c>
    </row>
    <row r="829" spans="1:11" hidden="1">
      <c r="A829" s="17" t="s">
        <v>764</v>
      </c>
      <c r="B829" s="19" t="s">
        <v>52</v>
      </c>
      <c r="C829" s="19" t="s">
        <v>777</v>
      </c>
      <c r="D829" s="19" t="s">
        <v>778</v>
      </c>
      <c r="E829" s="20" t="str">
        <f t="shared" si="16"/>
        <v>Tracking</v>
      </c>
      <c r="F829" s="19" t="s">
        <v>777</v>
      </c>
      <c r="G829" s="19" t="s">
        <v>779</v>
      </c>
      <c r="H829" s="19" t="s">
        <v>32</v>
      </c>
      <c r="I829">
        <v>0</v>
      </c>
      <c r="J829">
        <v>15</v>
      </c>
      <c r="K829" s="1" t="s">
        <v>1021</v>
      </c>
    </row>
    <row r="830" spans="1:11" hidden="1">
      <c r="A830" s="17" t="s">
        <v>764</v>
      </c>
      <c r="B830" s="19" t="s">
        <v>52</v>
      </c>
      <c r="C830" s="19" t="s">
        <v>780</v>
      </c>
      <c r="D830" s="19" t="s">
        <v>781</v>
      </c>
      <c r="E830" s="20" t="str">
        <f t="shared" si="16"/>
        <v>Tracking</v>
      </c>
      <c r="F830" s="19" t="s">
        <v>780</v>
      </c>
      <c r="G830" s="19" t="s">
        <v>782</v>
      </c>
      <c r="H830" s="19" t="s">
        <v>32</v>
      </c>
      <c r="I830">
        <v>0</v>
      </c>
      <c r="J830">
        <v>47</v>
      </c>
      <c r="K830" s="1" t="s">
        <v>1020</v>
      </c>
    </row>
    <row r="831" spans="1:11" hidden="1">
      <c r="A831" s="17" t="s">
        <v>764</v>
      </c>
      <c r="B831" s="19" t="s">
        <v>50</v>
      </c>
      <c r="C831" s="19" t="s">
        <v>2647</v>
      </c>
      <c r="D831" s="19" t="s">
        <v>2648</v>
      </c>
      <c r="E831" s="20" t="s">
        <v>12</v>
      </c>
      <c r="F831" s="19" t="s">
        <v>2647</v>
      </c>
      <c r="G831" s="19" t="s">
        <v>2649</v>
      </c>
      <c r="H831" s="19" t="s">
        <v>31</v>
      </c>
      <c r="I831">
        <v>1</v>
      </c>
      <c r="J831">
        <v>0</v>
      </c>
      <c r="K831" s="1" t="s">
        <v>1020</v>
      </c>
    </row>
    <row r="832" spans="1:11" hidden="1">
      <c r="A832" s="17" t="s">
        <v>764</v>
      </c>
      <c r="B832" s="19" t="s">
        <v>50</v>
      </c>
      <c r="C832" s="19" t="s">
        <v>2650</v>
      </c>
      <c r="D832" s="19" t="s">
        <v>2651</v>
      </c>
      <c r="E832" s="20" t="s">
        <v>12</v>
      </c>
      <c r="F832" s="19" t="s">
        <v>2650</v>
      </c>
      <c r="G832" s="19" t="s">
        <v>2652</v>
      </c>
      <c r="H832" s="19" t="s">
        <v>31</v>
      </c>
      <c r="I832">
        <v>1</v>
      </c>
      <c r="J832">
        <v>0</v>
      </c>
      <c r="K832" s="1" t="s">
        <v>1021</v>
      </c>
    </row>
    <row r="833" spans="1:11" hidden="1">
      <c r="A833" s="17" t="s">
        <v>764</v>
      </c>
      <c r="B833" s="19" t="s">
        <v>50</v>
      </c>
      <c r="C833" s="19" t="s">
        <v>2653</v>
      </c>
      <c r="D833" s="19" t="s">
        <v>2654</v>
      </c>
      <c r="E833" s="20" t="s">
        <v>12</v>
      </c>
      <c r="F833" s="19" t="s">
        <v>2653</v>
      </c>
      <c r="G833" s="19" t="s">
        <v>2655</v>
      </c>
      <c r="H833" s="19" t="s">
        <v>31</v>
      </c>
      <c r="I833">
        <v>0</v>
      </c>
      <c r="J833">
        <v>8</v>
      </c>
      <c r="K833" s="1" t="s">
        <v>1021</v>
      </c>
    </row>
    <row r="834" spans="1:11" hidden="1">
      <c r="A834" s="17" t="s">
        <v>764</v>
      </c>
      <c r="B834" s="19" t="s">
        <v>50</v>
      </c>
      <c r="C834" s="19" t="s">
        <v>2656</v>
      </c>
      <c r="D834" s="19" t="s">
        <v>2657</v>
      </c>
      <c r="E834" s="20" t="s">
        <v>12</v>
      </c>
      <c r="F834" s="19" t="s">
        <v>2656</v>
      </c>
      <c r="G834" s="19" t="s">
        <v>2658</v>
      </c>
      <c r="H834" s="19" t="s">
        <v>31</v>
      </c>
      <c r="I834">
        <v>0</v>
      </c>
      <c r="J834">
        <v>1</v>
      </c>
      <c r="K834" s="1" t="s">
        <v>1021</v>
      </c>
    </row>
    <row r="835" spans="1:11" hidden="1">
      <c r="A835" s="17" t="s">
        <v>764</v>
      </c>
      <c r="B835" s="19" t="s">
        <v>50</v>
      </c>
      <c r="C835" s="19" t="s">
        <v>2659</v>
      </c>
      <c r="D835" s="19" t="s">
        <v>2660</v>
      </c>
      <c r="E835" s="20" t="s">
        <v>12</v>
      </c>
      <c r="F835" s="19" t="s">
        <v>2659</v>
      </c>
      <c r="G835" s="19" t="s">
        <v>2661</v>
      </c>
      <c r="H835" s="19" t="s">
        <v>31</v>
      </c>
      <c r="I835">
        <v>0</v>
      </c>
      <c r="J835">
        <v>2</v>
      </c>
      <c r="K835" s="1" t="s">
        <v>1020</v>
      </c>
    </row>
    <row r="836" spans="1:11" hidden="1">
      <c r="A836" s="17" t="s">
        <v>764</v>
      </c>
      <c r="B836" s="19" t="s">
        <v>50</v>
      </c>
      <c r="C836" s="19" t="s">
        <v>2662</v>
      </c>
      <c r="D836" s="19" t="s">
        <v>2663</v>
      </c>
      <c r="E836" s="20" t="s">
        <v>12</v>
      </c>
      <c r="F836" s="19" t="s">
        <v>2662</v>
      </c>
      <c r="G836" s="19" t="s">
        <v>2664</v>
      </c>
      <c r="H836" s="19" t="s">
        <v>31</v>
      </c>
      <c r="I836">
        <v>0</v>
      </c>
      <c r="J836">
        <v>1</v>
      </c>
      <c r="K836" s="1" t="s">
        <v>1021</v>
      </c>
    </row>
    <row r="837" spans="1:11" hidden="1">
      <c r="A837" s="17" t="s">
        <v>764</v>
      </c>
      <c r="B837" s="19" t="s">
        <v>50</v>
      </c>
      <c r="C837" s="19" t="s">
        <v>2665</v>
      </c>
      <c r="D837" s="19" t="s">
        <v>2666</v>
      </c>
      <c r="E837" s="20" t="s">
        <v>12</v>
      </c>
      <c r="F837" s="19" t="s">
        <v>2665</v>
      </c>
      <c r="G837" s="19" t="s">
        <v>2667</v>
      </c>
      <c r="H837" s="19" t="s">
        <v>31</v>
      </c>
      <c r="I837">
        <v>0</v>
      </c>
      <c r="J837">
        <v>8</v>
      </c>
      <c r="K837" s="1" t="s">
        <v>1021</v>
      </c>
    </row>
    <row r="838" spans="1:11" hidden="1">
      <c r="A838" s="17" t="s">
        <v>764</v>
      </c>
      <c r="B838" s="19" t="s">
        <v>50</v>
      </c>
      <c r="C838" s="19" t="s">
        <v>2668</v>
      </c>
      <c r="D838" s="19" t="s">
        <v>2669</v>
      </c>
      <c r="E838" s="20" t="s">
        <v>12</v>
      </c>
      <c r="F838" s="19" t="s">
        <v>2668</v>
      </c>
      <c r="G838" s="19" t="s">
        <v>2670</v>
      </c>
      <c r="H838" s="19" t="s">
        <v>31</v>
      </c>
      <c r="I838">
        <v>0</v>
      </c>
      <c r="J838">
        <v>2</v>
      </c>
      <c r="K838" s="1" t="s">
        <v>1021</v>
      </c>
    </row>
    <row r="839" spans="1:11" hidden="1">
      <c r="A839" s="17" t="s">
        <v>764</v>
      </c>
      <c r="B839" s="19" t="s">
        <v>50</v>
      </c>
      <c r="C839" s="19" t="s">
        <v>2671</v>
      </c>
      <c r="D839" s="19" t="s">
        <v>2672</v>
      </c>
      <c r="E839" s="20" t="s">
        <v>12</v>
      </c>
      <c r="F839" s="19" t="s">
        <v>2671</v>
      </c>
      <c r="G839" s="19" t="s">
        <v>2673</v>
      </c>
      <c r="H839" s="19" t="s">
        <v>31</v>
      </c>
      <c r="I839">
        <v>0</v>
      </c>
      <c r="J839">
        <v>6</v>
      </c>
      <c r="K839" s="1" t="s">
        <v>1020</v>
      </c>
    </row>
    <row r="840" spans="1:11" hidden="1">
      <c r="A840" s="17" t="s">
        <v>764</v>
      </c>
      <c r="B840" s="19" t="s">
        <v>50</v>
      </c>
      <c r="C840" s="19" t="s">
        <v>2674</v>
      </c>
      <c r="D840" s="19" t="s">
        <v>2675</v>
      </c>
      <c r="E840" s="20" t="s">
        <v>12</v>
      </c>
      <c r="F840" s="19" t="s">
        <v>2674</v>
      </c>
      <c r="G840" s="19" t="s">
        <v>2676</v>
      </c>
      <c r="H840" s="19" t="s">
        <v>31</v>
      </c>
      <c r="I840">
        <v>0</v>
      </c>
      <c r="J840">
        <v>1</v>
      </c>
      <c r="K840" s="1" t="s">
        <v>1021</v>
      </c>
    </row>
    <row r="841" spans="1:11" hidden="1">
      <c r="A841" s="17" t="s">
        <v>764</v>
      </c>
      <c r="B841" s="19" t="s">
        <v>761</v>
      </c>
      <c r="C841" s="19" t="s">
        <v>2677</v>
      </c>
      <c r="D841" s="19" t="s">
        <v>2678</v>
      </c>
      <c r="E841" s="20" t="str">
        <f t="shared" ref="E841:E853" si="17">IF(I841&gt;J841,"Standard","Tracking")</f>
        <v>Tracking</v>
      </c>
      <c r="F841" s="19" t="s">
        <v>2677</v>
      </c>
      <c r="G841" s="19" t="s">
        <v>2679</v>
      </c>
      <c r="H841" s="19" t="s">
        <v>32</v>
      </c>
      <c r="I841">
        <v>0</v>
      </c>
      <c r="J841">
        <v>1</v>
      </c>
      <c r="K841" s="1" t="s">
        <v>1021</v>
      </c>
    </row>
    <row r="842" spans="1:11" hidden="1">
      <c r="A842" s="17" t="s">
        <v>764</v>
      </c>
      <c r="B842" s="19" t="s">
        <v>761</v>
      </c>
      <c r="C842" s="19" t="s">
        <v>2680</v>
      </c>
      <c r="D842" s="19" t="s">
        <v>2681</v>
      </c>
      <c r="E842" s="20" t="str">
        <f t="shared" si="17"/>
        <v>Tracking</v>
      </c>
      <c r="F842" s="19" t="s">
        <v>2680</v>
      </c>
      <c r="G842" s="19" t="s">
        <v>2682</v>
      </c>
      <c r="H842" s="19" t="s">
        <v>32</v>
      </c>
      <c r="I842">
        <v>0</v>
      </c>
      <c r="J842">
        <v>2</v>
      </c>
      <c r="K842" s="1" t="s">
        <v>1020</v>
      </c>
    </row>
    <row r="843" spans="1:11" hidden="1">
      <c r="A843" s="17" t="s">
        <v>764</v>
      </c>
      <c r="B843" s="19" t="s">
        <v>761</v>
      </c>
      <c r="C843" s="19" t="s">
        <v>2683</v>
      </c>
      <c r="D843" s="19" t="s">
        <v>2684</v>
      </c>
      <c r="E843" s="20" t="str">
        <f t="shared" si="17"/>
        <v>Standard</v>
      </c>
      <c r="F843" s="19" t="s">
        <v>2683</v>
      </c>
      <c r="G843" s="19" t="s">
        <v>2685</v>
      </c>
      <c r="H843" s="19" t="s">
        <v>32</v>
      </c>
      <c r="I843">
        <v>2</v>
      </c>
      <c r="J843">
        <v>0</v>
      </c>
      <c r="K843" s="1" t="s">
        <v>1021</v>
      </c>
    </row>
    <row r="844" spans="1:11" hidden="1">
      <c r="A844" s="17" t="s">
        <v>764</v>
      </c>
      <c r="B844" s="19" t="s">
        <v>761</v>
      </c>
      <c r="C844" s="19" t="s">
        <v>2686</v>
      </c>
      <c r="D844" s="19" t="s">
        <v>2687</v>
      </c>
      <c r="E844" s="20" t="str">
        <f t="shared" si="17"/>
        <v>Standard</v>
      </c>
      <c r="F844" s="19" t="s">
        <v>2686</v>
      </c>
      <c r="G844" s="19" t="s">
        <v>2688</v>
      </c>
      <c r="H844" s="19" t="s">
        <v>32</v>
      </c>
      <c r="I844">
        <v>2</v>
      </c>
      <c r="J844">
        <v>0</v>
      </c>
      <c r="K844" s="1" t="s">
        <v>1020</v>
      </c>
    </row>
    <row r="845" spans="1:11" hidden="1">
      <c r="A845" s="17" t="s">
        <v>764</v>
      </c>
      <c r="B845" s="19" t="s">
        <v>761</v>
      </c>
      <c r="C845" s="19" t="s">
        <v>2689</v>
      </c>
      <c r="D845" s="19" t="s">
        <v>2690</v>
      </c>
      <c r="E845" s="20" t="str">
        <f t="shared" si="17"/>
        <v>Standard</v>
      </c>
      <c r="F845" s="19" t="s">
        <v>2689</v>
      </c>
      <c r="G845" s="19" t="s">
        <v>2691</v>
      </c>
      <c r="H845" s="19" t="s">
        <v>32</v>
      </c>
      <c r="I845">
        <v>2</v>
      </c>
      <c r="J845">
        <v>0</v>
      </c>
      <c r="K845" s="1" t="s">
        <v>1021</v>
      </c>
    </row>
    <row r="846" spans="1:11" hidden="1">
      <c r="A846" s="17" t="s">
        <v>764</v>
      </c>
      <c r="B846" s="19" t="s">
        <v>761</v>
      </c>
      <c r="C846" s="19" t="s">
        <v>2692</v>
      </c>
      <c r="D846" s="19" t="s">
        <v>2693</v>
      </c>
      <c r="E846" s="20" t="str">
        <f t="shared" si="17"/>
        <v>Standard</v>
      </c>
      <c r="F846" s="19" t="s">
        <v>2692</v>
      </c>
      <c r="G846" s="19" t="s">
        <v>2694</v>
      </c>
      <c r="H846" s="19" t="s">
        <v>32</v>
      </c>
      <c r="I846">
        <v>4</v>
      </c>
      <c r="J846">
        <v>0</v>
      </c>
      <c r="K846" s="1" t="s">
        <v>1020</v>
      </c>
    </row>
    <row r="847" spans="1:11" hidden="1">
      <c r="A847" s="17" t="s">
        <v>764</v>
      </c>
      <c r="B847" s="19" t="s">
        <v>761</v>
      </c>
      <c r="C847" s="19" t="s">
        <v>2695</v>
      </c>
      <c r="D847" s="19" t="s">
        <v>2696</v>
      </c>
      <c r="E847" s="20" t="str">
        <f t="shared" si="17"/>
        <v>Standard</v>
      </c>
      <c r="F847" s="19" t="s">
        <v>2695</v>
      </c>
      <c r="G847" s="19" t="s">
        <v>2697</v>
      </c>
      <c r="H847" s="19" t="s">
        <v>32</v>
      </c>
      <c r="I847">
        <v>2</v>
      </c>
      <c r="J847">
        <v>0</v>
      </c>
      <c r="K847" s="1" t="s">
        <v>1021</v>
      </c>
    </row>
    <row r="848" spans="1:11" hidden="1">
      <c r="A848" s="17" t="s">
        <v>764</v>
      </c>
      <c r="B848" s="19" t="s">
        <v>761</v>
      </c>
      <c r="C848" s="19" t="s">
        <v>2698</v>
      </c>
      <c r="D848" s="19" t="s">
        <v>2699</v>
      </c>
      <c r="E848" s="20" t="str">
        <f t="shared" si="17"/>
        <v>Standard</v>
      </c>
      <c r="F848" s="19" t="s">
        <v>2698</v>
      </c>
      <c r="G848" s="19" t="s">
        <v>2700</v>
      </c>
      <c r="H848" s="19" t="s">
        <v>32</v>
      </c>
      <c r="I848">
        <v>2</v>
      </c>
      <c r="J848">
        <v>1</v>
      </c>
      <c r="K848" s="1" t="s">
        <v>1020</v>
      </c>
    </row>
    <row r="849" spans="1:11" hidden="1">
      <c r="A849" s="17" t="s">
        <v>764</v>
      </c>
      <c r="B849" s="19" t="s">
        <v>761</v>
      </c>
      <c r="C849" s="19" t="s">
        <v>2701</v>
      </c>
      <c r="D849" s="19" t="s">
        <v>2702</v>
      </c>
      <c r="E849" s="20" t="str">
        <f t="shared" si="17"/>
        <v>Tracking</v>
      </c>
      <c r="F849" s="19" t="s">
        <v>2701</v>
      </c>
      <c r="G849" s="19" t="s">
        <v>2703</v>
      </c>
      <c r="H849" s="19" t="s">
        <v>32</v>
      </c>
      <c r="I849">
        <v>6</v>
      </c>
      <c r="J849">
        <v>11</v>
      </c>
      <c r="K849" s="1" t="s">
        <v>1021</v>
      </c>
    </row>
    <row r="850" spans="1:11" hidden="1">
      <c r="A850" s="17" t="s">
        <v>764</v>
      </c>
      <c r="B850" s="19" t="s">
        <v>761</v>
      </c>
      <c r="C850" s="19" t="s">
        <v>2704</v>
      </c>
      <c r="D850" s="19" t="s">
        <v>2705</v>
      </c>
      <c r="E850" s="20" t="str">
        <f t="shared" si="17"/>
        <v>Standard</v>
      </c>
      <c r="F850" s="19" t="s">
        <v>2704</v>
      </c>
      <c r="G850" s="19" t="s">
        <v>2706</v>
      </c>
      <c r="H850" s="19" t="s">
        <v>32</v>
      </c>
      <c r="I850">
        <v>18</v>
      </c>
      <c r="J850">
        <v>3</v>
      </c>
      <c r="K850" s="1" t="s">
        <v>1020</v>
      </c>
    </row>
    <row r="851" spans="1:11" hidden="1">
      <c r="A851" s="17" t="s">
        <v>764</v>
      </c>
      <c r="B851" s="19" t="s">
        <v>761</v>
      </c>
      <c r="C851" s="19" t="s">
        <v>2707</v>
      </c>
      <c r="D851" s="19" t="s">
        <v>2708</v>
      </c>
      <c r="E851" s="20" t="str">
        <f t="shared" si="17"/>
        <v>Tracking</v>
      </c>
      <c r="F851" s="19" t="s">
        <v>2707</v>
      </c>
      <c r="G851" s="19" t="s">
        <v>2709</v>
      </c>
      <c r="H851" s="19" t="s">
        <v>32</v>
      </c>
      <c r="I851">
        <v>6</v>
      </c>
      <c r="J851">
        <v>6</v>
      </c>
      <c r="K851" s="1" t="s">
        <v>1021</v>
      </c>
    </row>
    <row r="852" spans="1:11" hidden="1">
      <c r="A852" s="17" t="s">
        <v>764</v>
      </c>
      <c r="B852" s="19" t="s">
        <v>761</v>
      </c>
      <c r="C852" s="19" t="s">
        <v>2710</v>
      </c>
      <c r="D852" s="19" t="s">
        <v>2711</v>
      </c>
      <c r="E852" s="20" t="str">
        <f t="shared" si="17"/>
        <v>Tracking</v>
      </c>
      <c r="F852" s="19" t="s">
        <v>2710</v>
      </c>
      <c r="G852" s="19" t="s">
        <v>2712</v>
      </c>
      <c r="H852" s="19" t="s">
        <v>32</v>
      </c>
      <c r="I852">
        <v>0</v>
      </c>
      <c r="J852">
        <v>1</v>
      </c>
      <c r="K852" s="1" t="s">
        <v>1020</v>
      </c>
    </row>
    <row r="853" spans="1:11" hidden="1">
      <c r="A853" s="17" t="s">
        <v>764</v>
      </c>
      <c r="B853" s="19" t="s">
        <v>761</v>
      </c>
      <c r="C853" s="19" t="s">
        <v>2713</v>
      </c>
      <c r="D853" s="19" t="s">
        <v>2714</v>
      </c>
      <c r="E853" s="20" t="str">
        <f t="shared" si="17"/>
        <v>Tracking</v>
      </c>
      <c r="F853" s="19" t="s">
        <v>2713</v>
      </c>
      <c r="G853" s="19" t="s">
        <v>2715</v>
      </c>
      <c r="H853" s="19" t="s">
        <v>32</v>
      </c>
      <c r="I853">
        <v>0</v>
      </c>
      <c r="J853">
        <v>1</v>
      </c>
      <c r="K853" s="1" t="s">
        <v>1021</v>
      </c>
    </row>
    <row r="854" spans="1:11" hidden="1">
      <c r="A854" s="17" t="s">
        <v>764</v>
      </c>
      <c r="B854" s="19" t="s">
        <v>118</v>
      </c>
      <c r="C854" s="19" t="s">
        <v>2716</v>
      </c>
      <c r="D854" s="19" t="s">
        <v>2717</v>
      </c>
      <c r="E854" s="20" t="s">
        <v>12</v>
      </c>
      <c r="F854" s="19" t="s">
        <v>2716</v>
      </c>
      <c r="G854" s="19" t="s">
        <v>2718</v>
      </c>
      <c r="H854" s="19" t="s">
        <v>31</v>
      </c>
      <c r="I854">
        <v>47</v>
      </c>
      <c r="J854">
        <v>0</v>
      </c>
      <c r="K854" s="1" t="s">
        <v>1020</v>
      </c>
    </row>
    <row r="855" spans="1:11" hidden="1">
      <c r="A855" s="17" t="s">
        <v>764</v>
      </c>
      <c r="B855" s="19" t="s">
        <v>118</v>
      </c>
      <c r="C855" s="19" t="s">
        <v>2719</v>
      </c>
      <c r="D855" s="19" t="s">
        <v>2720</v>
      </c>
      <c r="E855" s="20" t="s">
        <v>12</v>
      </c>
      <c r="F855" s="19" t="s">
        <v>2719</v>
      </c>
      <c r="G855" s="19" t="s">
        <v>2721</v>
      </c>
      <c r="H855" s="19" t="s">
        <v>31</v>
      </c>
      <c r="I855">
        <v>45</v>
      </c>
      <c r="J855">
        <v>0</v>
      </c>
      <c r="K855" s="1" t="s">
        <v>1020</v>
      </c>
    </row>
    <row r="856" spans="1:11" hidden="1">
      <c r="A856" s="17" t="s">
        <v>764</v>
      </c>
      <c r="B856" s="19" t="s">
        <v>118</v>
      </c>
      <c r="C856" s="19" t="s">
        <v>2722</v>
      </c>
      <c r="D856" s="19" t="s">
        <v>2723</v>
      </c>
      <c r="E856" s="20" t="s">
        <v>12</v>
      </c>
      <c r="F856" s="19" t="s">
        <v>2722</v>
      </c>
      <c r="G856" s="19" t="s">
        <v>2724</v>
      </c>
      <c r="H856" s="19" t="s">
        <v>31</v>
      </c>
      <c r="I856">
        <v>376</v>
      </c>
      <c r="J856">
        <v>0</v>
      </c>
      <c r="K856" s="1" t="s">
        <v>1021</v>
      </c>
    </row>
    <row r="857" spans="1:11" hidden="1">
      <c r="A857" s="17" t="s">
        <v>764</v>
      </c>
      <c r="B857" s="19" t="s">
        <v>118</v>
      </c>
      <c r="C857" s="19" t="s">
        <v>783</v>
      </c>
      <c r="D857" s="19" t="s">
        <v>784</v>
      </c>
      <c r="E857" s="20" t="s">
        <v>12</v>
      </c>
      <c r="F857" s="19" t="s">
        <v>783</v>
      </c>
      <c r="G857" s="19" t="s">
        <v>785</v>
      </c>
      <c r="H857" s="19" t="s">
        <v>31</v>
      </c>
      <c r="I857">
        <v>355</v>
      </c>
      <c r="J857">
        <v>0</v>
      </c>
      <c r="K857" s="1" t="s">
        <v>1020</v>
      </c>
    </row>
    <row r="858" spans="1:11" hidden="1">
      <c r="A858" s="17" t="s">
        <v>764</v>
      </c>
      <c r="B858" s="19" t="s">
        <v>118</v>
      </c>
      <c r="C858" s="19" t="s">
        <v>2725</v>
      </c>
      <c r="D858" s="19" t="s">
        <v>2726</v>
      </c>
      <c r="E858" s="20" t="s">
        <v>12</v>
      </c>
      <c r="F858" s="19" t="s">
        <v>2725</v>
      </c>
      <c r="G858" s="19" t="s">
        <v>2727</v>
      </c>
      <c r="H858" s="19" t="s">
        <v>31</v>
      </c>
      <c r="I858">
        <v>58</v>
      </c>
      <c r="J858">
        <v>0</v>
      </c>
      <c r="K858" s="1" t="s">
        <v>1020</v>
      </c>
    </row>
    <row r="859" spans="1:11" hidden="1">
      <c r="A859" s="17" t="s">
        <v>764</v>
      </c>
      <c r="B859" s="19" t="s">
        <v>118</v>
      </c>
      <c r="C859" s="19" t="s">
        <v>2728</v>
      </c>
      <c r="D859" s="19" t="s">
        <v>2729</v>
      </c>
      <c r="E859" s="20" t="s">
        <v>12</v>
      </c>
      <c r="F859" s="19" t="s">
        <v>2728</v>
      </c>
      <c r="G859" s="19" t="s">
        <v>2730</v>
      </c>
      <c r="H859" s="19" t="s">
        <v>31</v>
      </c>
      <c r="I859">
        <v>57</v>
      </c>
      <c r="J859">
        <v>0</v>
      </c>
      <c r="K859" s="1" t="s">
        <v>1020</v>
      </c>
    </row>
    <row r="860" spans="1:11" hidden="1">
      <c r="A860" s="17" t="s">
        <v>764</v>
      </c>
      <c r="B860" s="19" t="s">
        <v>118</v>
      </c>
      <c r="C860" s="19" t="s">
        <v>2731</v>
      </c>
      <c r="D860" s="19" t="s">
        <v>2732</v>
      </c>
      <c r="E860" s="20" t="s">
        <v>12</v>
      </c>
      <c r="F860" s="19" t="s">
        <v>2731</v>
      </c>
      <c r="G860" s="19" t="s">
        <v>2733</v>
      </c>
      <c r="H860" s="19" t="s">
        <v>31</v>
      </c>
      <c r="I860">
        <v>41</v>
      </c>
      <c r="J860">
        <v>0</v>
      </c>
      <c r="K860" s="1" t="s">
        <v>1021</v>
      </c>
    </row>
    <row r="861" spans="1:11" hidden="1">
      <c r="A861" s="17" t="s">
        <v>764</v>
      </c>
      <c r="B861" s="19" t="s">
        <v>118</v>
      </c>
      <c r="C861" s="19" t="s">
        <v>2734</v>
      </c>
      <c r="D861" s="19" t="s">
        <v>2735</v>
      </c>
      <c r="E861" s="20" t="s">
        <v>12</v>
      </c>
      <c r="F861" s="19" t="s">
        <v>2734</v>
      </c>
      <c r="G861" s="19" t="s">
        <v>2736</v>
      </c>
      <c r="H861" s="19" t="s">
        <v>31</v>
      </c>
      <c r="I861">
        <v>47</v>
      </c>
      <c r="J861">
        <v>0</v>
      </c>
      <c r="K861" s="1" t="s">
        <v>1020</v>
      </c>
    </row>
    <row r="862" spans="1:11" hidden="1">
      <c r="A862" s="17" t="s">
        <v>764</v>
      </c>
      <c r="B862" s="19" t="s">
        <v>118</v>
      </c>
      <c r="C862" s="19" t="s">
        <v>2737</v>
      </c>
      <c r="D862" s="19" t="s">
        <v>2738</v>
      </c>
      <c r="E862" s="20" t="s">
        <v>12</v>
      </c>
      <c r="F862" s="19" t="s">
        <v>2737</v>
      </c>
      <c r="G862" s="19" t="s">
        <v>2739</v>
      </c>
      <c r="H862" s="19" t="s">
        <v>31</v>
      </c>
      <c r="I862">
        <v>118</v>
      </c>
      <c r="J862">
        <v>0</v>
      </c>
      <c r="K862" s="1" t="s">
        <v>1021</v>
      </c>
    </row>
    <row r="863" spans="1:11" hidden="1">
      <c r="A863" s="17" t="s">
        <v>764</v>
      </c>
      <c r="B863" s="19" t="s">
        <v>118</v>
      </c>
      <c r="C863" s="19" t="s">
        <v>2740</v>
      </c>
      <c r="D863" s="19" t="s">
        <v>2741</v>
      </c>
      <c r="E863" s="20" t="s">
        <v>12</v>
      </c>
      <c r="F863" s="19" t="s">
        <v>2740</v>
      </c>
      <c r="G863" s="19" t="s">
        <v>2742</v>
      </c>
      <c r="H863" s="19" t="s">
        <v>31</v>
      </c>
      <c r="I863">
        <v>139</v>
      </c>
      <c r="J863">
        <v>0</v>
      </c>
      <c r="K863" s="1" t="s">
        <v>1020</v>
      </c>
    </row>
    <row r="864" spans="1:11" hidden="1">
      <c r="A864" s="17" t="s">
        <v>764</v>
      </c>
      <c r="B864" s="19" t="s">
        <v>118</v>
      </c>
      <c r="C864" s="19" t="s">
        <v>2743</v>
      </c>
      <c r="D864" s="19" t="s">
        <v>2744</v>
      </c>
      <c r="E864" s="20" t="s">
        <v>12</v>
      </c>
      <c r="F864" s="19" t="s">
        <v>2743</v>
      </c>
      <c r="G864" s="19" t="s">
        <v>2745</v>
      </c>
      <c r="H864" s="19" t="s">
        <v>31</v>
      </c>
      <c r="I864">
        <v>28</v>
      </c>
      <c r="J864">
        <v>0</v>
      </c>
      <c r="K864" s="1" t="s">
        <v>1021</v>
      </c>
    </row>
    <row r="865" spans="1:11" hidden="1">
      <c r="A865" s="17" t="s">
        <v>764</v>
      </c>
      <c r="B865" s="19" t="s">
        <v>118</v>
      </c>
      <c r="C865" s="19" t="s">
        <v>2746</v>
      </c>
      <c r="D865" s="19" t="s">
        <v>2747</v>
      </c>
      <c r="E865" s="20" t="s">
        <v>12</v>
      </c>
      <c r="F865" s="19" t="s">
        <v>2746</v>
      </c>
      <c r="G865" s="19" t="s">
        <v>2748</v>
      </c>
      <c r="H865" s="19" t="s">
        <v>31</v>
      </c>
      <c r="I865">
        <v>30</v>
      </c>
      <c r="J865">
        <v>0</v>
      </c>
      <c r="K865" s="1" t="s">
        <v>1020</v>
      </c>
    </row>
    <row r="866" spans="1:11" hidden="1">
      <c r="A866" s="17" t="s">
        <v>764</v>
      </c>
      <c r="B866" s="19" t="s">
        <v>118</v>
      </c>
      <c r="C866" s="19" t="s">
        <v>787</v>
      </c>
      <c r="D866" s="19" t="s">
        <v>788</v>
      </c>
      <c r="E866" s="20" t="str">
        <f t="shared" ref="E866:E888" si="18">IF(I866&gt;J866,"Standard","Tracking")</f>
        <v>Standard</v>
      </c>
      <c r="F866" s="19" t="s">
        <v>787</v>
      </c>
      <c r="G866" s="19" t="s">
        <v>789</v>
      </c>
      <c r="H866" s="19" t="s">
        <v>32</v>
      </c>
      <c r="I866">
        <v>86037</v>
      </c>
      <c r="J866">
        <v>1393</v>
      </c>
      <c r="K866" s="1" t="s">
        <v>1021</v>
      </c>
    </row>
    <row r="867" spans="1:11" hidden="1">
      <c r="A867" s="17" t="s">
        <v>764</v>
      </c>
      <c r="B867" s="19" t="s">
        <v>762</v>
      </c>
      <c r="C867" s="19" t="s">
        <v>2749</v>
      </c>
      <c r="D867" s="19" t="s">
        <v>2750</v>
      </c>
      <c r="E867" s="20" t="str">
        <f t="shared" si="18"/>
        <v>Tracking</v>
      </c>
      <c r="F867" s="19" t="s">
        <v>2749</v>
      </c>
      <c r="G867" s="19" t="s">
        <v>2751</v>
      </c>
      <c r="H867" s="19" t="s">
        <v>32</v>
      </c>
      <c r="I867">
        <v>0</v>
      </c>
      <c r="J867">
        <v>2</v>
      </c>
      <c r="K867" s="1" t="s">
        <v>1021</v>
      </c>
    </row>
    <row r="868" spans="1:11" hidden="1">
      <c r="A868" s="17" t="s">
        <v>764</v>
      </c>
      <c r="B868" s="19" t="s">
        <v>762</v>
      </c>
      <c r="C868" s="19" t="s">
        <v>2752</v>
      </c>
      <c r="D868" s="19" t="s">
        <v>2753</v>
      </c>
      <c r="E868" s="20" t="str">
        <f t="shared" si="18"/>
        <v>Tracking</v>
      </c>
      <c r="F868" s="19" t="s">
        <v>2752</v>
      </c>
      <c r="G868" s="19" t="s">
        <v>2754</v>
      </c>
      <c r="H868" s="19" t="s">
        <v>32</v>
      </c>
      <c r="I868">
        <v>0</v>
      </c>
      <c r="J868">
        <v>1</v>
      </c>
      <c r="K868" s="1" t="s">
        <v>1020</v>
      </c>
    </row>
    <row r="869" spans="1:11" hidden="1">
      <c r="A869" s="17" t="s">
        <v>764</v>
      </c>
      <c r="B869" s="19" t="s">
        <v>762</v>
      </c>
      <c r="C869" s="19" t="s">
        <v>790</v>
      </c>
      <c r="D869" s="19" t="s">
        <v>791</v>
      </c>
      <c r="E869" s="20" t="str">
        <f t="shared" si="18"/>
        <v>Tracking</v>
      </c>
      <c r="F869" s="19" t="s">
        <v>790</v>
      </c>
      <c r="G869" s="19" t="s">
        <v>792</v>
      </c>
      <c r="H869" s="19" t="s">
        <v>32</v>
      </c>
      <c r="I869">
        <v>0</v>
      </c>
      <c r="J869">
        <v>110</v>
      </c>
      <c r="K869" s="1" t="s">
        <v>1021</v>
      </c>
    </row>
    <row r="870" spans="1:11" hidden="1">
      <c r="A870" s="17" t="s">
        <v>764</v>
      </c>
      <c r="B870" s="19" t="s">
        <v>762</v>
      </c>
      <c r="C870" s="19" t="s">
        <v>793</v>
      </c>
      <c r="D870" s="19" t="s">
        <v>794</v>
      </c>
      <c r="E870" s="20" t="str">
        <f t="shared" si="18"/>
        <v>Tracking</v>
      </c>
      <c r="F870" s="19" t="s">
        <v>793</v>
      </c>
      <c r="G870" s="19" t="s">
        <v>795</v>
      </c>
      <c r="H870" s="19" t="s">
        <v>32</v>
      </c>
      <c r="I870">
        <v>0</v>
      </c>
      <c r="J870">
        <v>171</v>
      </c>
      <c r="K870" s="1" t="s">
        <v>1020</v>
      </c>
    </row>
    <row r="871" spans="1:11" hidden="1">
      <c r="A871" s="17" t="s">
        <v>764</v>
      </c>
      <c r="B871" s="19" t="s">
        <v>253</v>
      </c>
      <c r="C871" s="19" t="s">
        <v>796</v>
      </c>
      <c r="D871" s="19" t="s">
        <v>797</v>
      </c>
      <c r="E871" s="20" t="str">
        <f t="shared" si="18"/>
        <v>Standard</v>
      </c>
      <c r="F871" s="19" t="s">
        <v>796</v>
      </c>
      <c r="G871" s="19" t="s">
        <v>798</v>
      </c>
      <c r="H871" s="19" t="s">
        <v>32</v>
      </c>
      <c r="I871">
        <v>578</v>
      </c>
      <c r="J871">
        <v>0</v>
      </c>
      <c r="K871" s="1" t="s">
        <v>1021</v>
      </c>
    </row>
    <row r="872" spans="1:11" hidden="1">
      <c r="A872" s="17" t="s">
        <v>764</v>
      </c>
      <c r="B872" s="19" t="s">
        <v>253</v>
      </c>
      <c r="C872" s="19" t="s">
        <v>799</v>
      </c>
      <c r="D872" s="19" t="s">
        <v>800</v>
      </c>
      <c r="E872" s="20" t="str">
        <f t="shared" si="18"/>
        <v>Standard</v>
      </c>
      <c r="F872" s="19" t="s">
        <v>799</v>
      </c>
      <c r="G872" s="19" t="s">
        <v>801</v>
      </c>
      <c r="H872" s="19" t="s">
        <v>32</v>
      </c>
      <c r="I872">
        <v>201</v>
      </c>
      <c r="J872">
        <v>0</v>
      </c>
      <c r="K872" s="1" t="s">
        <v>1020</v>
      </c>
    </row>
    <row r="873" spans="1:11" hidden="1">
      <c r="A873" s="17" t="s">
        <v>764</v>
      </c>
      <c r="B873" s="19" t="s">
        <v>99</v>
      </c>
      <c r="C873" s="19" t="s">
        <v>802</v>
      </c>
      <c r="D873" s="19" t="s">
        <v>803</v>
      </c>
      <c r="E873" s="20" t="str">
        <f t="shared" si="18"/>
        <v>Tracking</v>
      </c>
      <c r="F873" s="19" t="s">
        <v>802</v>
      </c>
      <c r="G873" s="19" t="s">
        <v>804</v>
      </c>
      <c r="H873" s="19" t="s">
        <v>32</v>
      </c>
      <c r="I873">
        <v>0</v>
      </c>
      <c r="J873">
        <v>7</v>
      </c>
      <c r="K873" s="1" t="s">
        <v>1021</v>
      </c>
    </row>
    <row r="874" spans="1:11" hidden="1">
      <c r="A874" s="17" t="s">
        <v>764</v>
      </c>
      <c r="B874" s="19" t="s">
        <v>99</v>
      </c>
      <c r="C874" s="19" t="s">
        <v>2755</v>
      </c>
      <c r="D874" s="19" t="s">
        <v>2756</v>
      </c>
      <c r="E874" s="20" t="str">
        <f t="shared" si="18"/>
        <v>Tracking</v>
      </c>
      <c r="F874" s="19" t="s">
        <v>2755</v>
      </c>
      <c r="G874" s="19" t="s">
        <v>2757</v>
      </c>
      <c r="H874" s="19" t="s">
        <v>32</v>
      </c>
      <c r="I874">
        <v>0</v>
      </c>
      <c r="J874">
        <v>1</v>
      </c>
      <c r="K874" s="1" t="s">
        <v>1020</v>
      </c>
    </row>
    <row r="875" spans="1:11" hidden="1">
      <c r="A875" s="17" t="s">
        <v>764</v>
      </c>
      <c r="B875" s="19" t="s">
        <v>99</v>
      </c>
      <c r="C875" s="19" t="s">
        <v>2758</v>
      </c>
      <c r="D875" s="19" t="s">
        <v>2759</v>
      </c>
      <c r="E875" s="20" t="str">
        <f t="shared" si="18"/>
        <v>Tracking</v>
      </c>
      <c r="F875" s="19" t="s">
        <v>2758</v>
      </c>
      <c r="G875" s="19" t="s">
        <v>2760</v>
      </c>
      <c r="H875" s="19" t="s">
        <v>32</v>
      </c>
      <c r="I875">
        <v>0</v>
      </c>
      <c r="J875">
        <v>1</v>
      </c>
      <c r="K875" s="1" t="s">
        <v>1021</v>
      </c>
    </row>
    <row r="876" spans="1:11" hidden="1">
      <c r="A876" s="17" t="s">
        <v>764</v>
      </c>
      <c r="B876" s="19" t="s">
        <v>99</v>
      </c>
      <c r="C876" s="19" t="s">
        <v>2761</v>
      </c>
      <c r="D876" s="19" t="s">
        <v>2762</v>
      </c>
      <c r="E876" s="20" t="str">
        <f t="shared" si="18"/>
        <v>Tracking</v>
      </c>
      <c r="F876" s="19" t="s">
        <v>2761</v>
      </c>
      <c r="G876" s="19" t="s">
        <v>2763</v>
      </c>
      <c r="H876" s="19" t="s">
        <v>32</v>
      </c>
      <c r="I876">
        <v>0</v>
      </c>
      <c r="J876">
        <v>1</v>
      </c>
      <c r="K876" s="1" t="s">
        <v>1020</v>
      </c>
    </row>
    <row r="877" spans="1:11" hidden="1">
      <c r="A877" s="17" t="s">
        <v>764</v>
      </c>
      <c r="B877" s="19" t="s">
        <v>99</v>
      </c>
      <c r="C877" s="19" t="s">
        <v>2764</v>
      </c>
      <c r="D877" s="19" t="s">
        <v>2765</v>
      </c>
      <c r="E877" s="20" t="str">
        <f t="shared" si="18"/>
        <v>Tracking</v>
      </c>
      <c r="F877" s="19" t="s">
        <v>2764</v>
      </c>
      <c r="G877" s="19" t="s">
        <v>2766</v>
      </c>
      <c r="H877" s="19" t="s">
        <v>32</v>
      </c>
      <c r="I877">
        <v>0</v>
      </c>
      <c r="J877">
        <v>1</v>
      </c>
      <c r="K877" s="1" t="s">
        <v>1021</v>
      </c>
    </row>
    <row r="878" spans="1:11" hidden="1">
      <c r="A878" s="17" t="s">
        <v>764</v>
      </c>
      <c r="B878" s="19" t="s">
        <v>763</v>
      </c>
      <c r="C878" s="19" t="s">
        <v>2767</v>
      </c>
      <c r="D878" s="19" t="s">
        <v>2768</v>
      </c>
      <c r="E878" s="20" t="str">
        <f t="shared" si="18"/>
        <v>Standard</v>
      </c>
      <c r="F878" s="19" t="s">
        <v>2767</v>
      </c>
      <c r="G878" s="19" t="s">
        <v>2769</v>
      </c>
      <c r="H878" s="19" t="s">
        <v>32</v>
      </c>
      <c r="I878">
        <v>2</v>
      </c>
      <c r="J878">
        <v>0</v>
      </c>
      <c r="K878" s="1" t="s">
        <v>1020</v>
      </c>
    </row>
    <row r="879" spans="1:11" hidden="1">
      <c r="A879" s="17" t="s">
        <v>764</v>
      </c>
      <c r="B879" s="19" t="s">
        <v>763</v>
      </c>
      <c r="C879" s="19" t="s">
        <v>2770</v>
      </c>
      <c r="D879" s="19" t="s">
        <v>2771</v>
      </c>
      <c r="E879" s="20" t="str">
        <f t="shared" si="18"/>
        <v>Standard</v>
      </c>
      <c r="F879" s="19" t="s">
        <v>2770</v>
      </c>
      <c r="G879" s="19" t="s">
        <v>2772</v>
      </c>
      <c r="H879" s="19" t="s">
        <v>32</v>
      </c>
      <c r="I879">
        <v>1</v>
      </c>
      <c r="J879">
        <v>0</v>
      </c>
      <c r="K879" s="1" t="s">
        <v>1021</v>
      </c>
    </row>
    <row r="880" spans="1:11" hidden="1">
      <c r="A880" s="17" t="s">
        <v>764</v>
      </c>
      <c r="B880" s="19" t="s">
        <v>763</v>
      </c>
      <c r="C880" s="19" t="s">
        <v>2773</v>
      </c>
      <c r="D880" s="19" t="s">
        <v>2774</v>
      </c>
      <c r="E880" s="20" t="str">
        <f t="shared" si="18"/>
        <v>Tracking</v>
      </c>
      <c r="F880" s="19" t="s">
        <v>2773</v>
      </c>
      <c r="G880" s="19" t="s">
        <v>2775</v>
      </c>
      <c r="H880" s="19" t="s">
        <v>32</v>
      </c>
      <c r="I880">
        <v>1</v>
      </c>
      <c r="J880">
        <v>1</v>
      </c>
      <c r="K880" s="1" t="s">
        <v>1021</v>
      </c>
    </row>
    <row r="881" spans="1:11" hidden="1">
      <c r="A881" s="17" t="s">
        <v>764</v>
      </c>
      <c r="B881" s="19" t="s">
        <v>763</v>
      </c>
      <c r="C881" s="19" t="s">
        <v>2776</v>
      </c>
      <c r="D881" s="19" t="s">
        <v>2777</v>
      </c>
      <c r="E881" s="20" t="str">
        <f t="shared" si="18"/>
        <v>Standard</v>
      </c>
      <c r="F881" s="19" t="s">
        <v>2776</v>
      </c>
      <c r="G881" s="19" t="s">
        <v>2778</v>
      </c>
      <c r="H881" s="19" t="s">
        <v>32</v>
      </c>
      <c r="I881">
        <v>1</v>
      </c>
      <c r="J881">
        <v>0</v>
      </c>
      <c r="K881" s="1" t="s">
        <v>1021</v>
      </c>
    </row>
    <row r="882" spans="1:11" hidden="1">
      <c r="A882" s="17" t="s">
        <v>764</v>
      </c>
      <c r="B882" s="19" t="s">
        <v>763</v>
      </c>
      <c r="C882" s="19" t="s">
        <v>2779</v>
      </c>
      <c r="D882" s="19" t="s">
        <v>2780</v>
      </c>
      <c r="E882" s="20" t="str">
        <f t="shared" si="18"/>
        <v>Standard</v>
      </c>
      <c r="F882" s="19" t="s">
        <v>2779</v>
      </c>
      <c r="G882" s="19" t="s">
        <v>2781</v>
      </c>
      <c r="H882" s="19" t="s">
        <v>32</v>
      </c>
      <c r="I882">
        <v>66</v>
      </c>
      <c r="J882">
        <v>11</v>
      </c>
      <c r="K882" s="1" t="s">
        <v>1020</v>
      </c>
    </row>
    <row r="883" spans="1:11" hidden="1">
      <c r="A883" s="17" t="s">
        <v>764</v>
      </c>
      <c r="B883" s="19" t="s">
        <v>763</v>
      </c>
      <c r="C883" s="19" t="s">
        <v>2782</v>
      </c>
      <c r="D883" s="19" t="s">
        <v>2783</v>
      </c>
      <c r="E883" s="20" t="str">
        <f t="shared" si="18"/>
        <v>Standard</v>
      </c>
      <c r="F883" s="19" t="s">
        <v>2782</v>
      </c>
      <c r="G883" s="19" t="s">
        <v>2784</v>
      </c>
      <c r="H883" s="19" t="s">
        <v>32</v>
      </c>
      <c r="I883">
        <v>34</v>
      </c>
      <c r="J883">
        <v>0</v>
      </c>
      <c r="K883" s="1" t="s">
        <v>1021</v>
      </c>
    </row>
    <row r="884" spans="1:11" hidden="1">
      <c r="A884" s="17" t="s">
        <v>805</v>
      </c>
      <c r="B884" s="19" t="s">
        <v>760</v>
      </c>
      <c r="C884" s="19" t="s">
        <v>2785</v>
      </c>
      <c r="D884" s="19" t="s">
        <v>2786</v>
      </c>
      <c r="E884" s="20" t="str">
        <f t="shared" si="18"/>
        <v>Tracking</v>
      </c>
      <c r="F884" s="19" t="s">
        <v>2785</v>
      </c>
      <c r="G884" s="19" t="s">
        <v>2787</v>
      </c>
      <c r="H884" s="19" t="s">
        <v>32</v>
      </c>
      <c r="I884">
        <v>0</v>
      </c>
      <c r="J884">
        <v>3</v>
      </c>
      <c r="K884" s="1" t="s">
        <v>1020</v>
      </c>
    </row>
    <row r="885" spans="1:11" hidden="1">
      <c r="A885" s="17" t="s">
        <v>805</v>
      </c>
      <c r="B885" s="19" t="s">
        <v>760</v>
      </c>
      <c r="C885" s="19" t="s">
        <v>2788</v>
      </c>
      <c r="D885" s="19" t="s">
        <v>2789</v>
      </c>
      <c r="E885" s="20" t="str">
        <f t="shared" si="18"/>
        <v>Tracking</v>
      </c>
      <c r="F885" s="19" t="s">
        <v>2788</v>
      </c>
      <c r="G885" s="19" t="s">
        <v>2790</v>
      </c>
      <c r="H885" s="19" t="s">
        <v>32</v>
      </c>
      <c r="I885">
        <v>0</v>
      </c>
      <c r="J885">
        <v>2</v>
      </c>
      <c r="K885" s="1" t="s">
        <v>1021</v>
      </c>
    </row>
    <row r="886" spans="1:11" hidden="1">
      <c r="A886" s="17" t="s">
        <v>805</v>
      </c>
      <c r="B886" s="19" t="s">
        <v>760</v>
      </c>
      <c r="C886" s="19" t="s">
        <v>2791</v>
      </c>
      <c r="D886" s="19" t="s">
        <v>2792</v>
      </c>
      <c r="E886" s="20" t="str">
        <f t="shared" si="18"/>
        <v>Standard</v>
      </c>
      <c r="F886" s="19" t="s">
        <v>2791</v>
      </c>
      <c r="G886" s="19" t="s">
        <v>2793</v>
      </c>
      <c r="H886" s="19" t="s">
        <v>32</v>
      </c>
      <c r="I886">
        <v>4</v>
      </c>
      <c r="J886">
        <v>0</v>
      </c>
      <c r="K886" s="1" t="s">
        <v>1020</v>
      </c>
    </row>
    <row r="887" spans="1:11" hidden="1">
      <c r="A887" s="17" t="s">
        <v>805</v>
      </c>
      <c r="B887" s="19" t="s">
        <v>760</v>
      </c>
      <c r="C887" s="19" t="s">
        <v>2794</v>
      </c>
      <c r="D887" s="19" t="s">
        <v>2795</v>
      </c>
      <c r="E887" s="20" t="str">
        <f t="shared" si="18"/>
        <v>Tracking</v>
      </c>
      <c r="F887" s="19" t="s">
        <v>2794</v>
      </c>
      <c r="G887" s="19" t="s">
        <v>2796</v>
      </c>
      <c r="H887" s="19" t="s">
        <v>32</v>
      </c>
      <c r="I887">
        <v>0</v>
      </c>
      <c r="J887">
        <v>1</v>
      </c>
      <c r="K887" s="1" t="s">
        <v>1021</v>
      </c>
    </row>
    <row r="888" spans="1:11" hidden="1">
      <c r="A888" s="17" t="s">
        <v>805</v>
      </c>
      <c r="B888" s="19" t="s">
        <v>760</v>
      </c>
      <c r="C888" s="19" t="s">
        <v>806</v>
      </c>
      <c r="D888" s="19" t="s">
        <v>807</v>
      </c>
      <c r="E888" s="20" t="str">
        <f t="shared" si="18"/>
        <v>Standard</v>
      </c>
      <c r="F888" s="19" t="s">
        <v>806</v>
      </c>
      <c r="G888" s="19" t="s">
        <v>808</v>
      </c>
      <c r="H888" s="19" t="s">
        <v>32</v>
      </c>
      <c r="I888">
        <v>15</v>
      </c>
      <c r="J888">
        <v>0</v>
      </c>
      <c r="K888" s="1" t="s">
        <v>1021</v>
      </c>
    </row>
    <row r="889" spans="1:11" hidden="1">
      <c r="A889" s="17" t="s">
        <v>805</v>
      </c>
      <c r="B889" s="19" t="s">
        <v>118</v>
      </c>
      <c r="C889" s="19" t="s">
        <v>2797</v>
      </c>
      <c r="D889" s="19" t="s">
        <v>2798</v>
      </c>
      <c r="E889" s="20" t="s">
        <v>12</v>
      </c>
      <c r="F889" s="19" t="s">
        <v>2799</v>
      </c>
      <c r="G889" s="19" t="s">
        <v>2800</v>
      </c>
      <c r="H889" s="19" t="s">
        <v>31</v>
      </c>
      <c r="I889">
        <v>1</v>
      </c>
      <c r="J889">
        <v>0</v>
      </c>
      <c r="K889" s="1" t="s">
        <v>1020</v>
      </c>
    </row>
    <row r="890" spans="1:11" hidden="1">
      <c r="A890" s="17" t="s">
        <v>805</v>
      </c>
      <c r="B890" s="19" t="s">
        <v>118</v>
      </c>
      <c r="C890" s="19" t="s">
        <v>809</v>
      </c>
      <c r="D890" s="19" t="s">
        <v>810</v>
      </c>
      <c r="E890" s="20" t="str">
        <f t="shared" ref="E890:E936" si="19">IF(I890&gt;J890,"Standard","Tracking")</f>
        <v>Standard</v>
      </c>
      <c r="F890" s="19" t="s">
        <v>809</v>
      </c>
      <c r="G890" s="19" t="s">
        <v>811</v>
      </c>
      <c r="H890" s="19" t="s">
        <v>32</v>
      </c>
      <c r="I890">
        <v>20</v>
      </c>
      <c r="J890">
        <v>13</v>
      </c>
      <c r="K890" s="1" t="s">
        <v>1021</v>
      </c>
    </row>
    <row r="891" spans="1:11" hidden="1">
      <c r="A891" s="17" t="s">
        <v>805</v>
      </c>
      <c r="B891" s="19" t="s">
        <v>118</v>
      </c>
      <c r="C891" s="19" t="s">
        <v>2801</v>
      </c>
      <c r="D891" s="19" t="s">
        <v>2802</v>
      </c>
      <c r="E891" s="20" t="str">
        <f t="shared" si="19"/>
        <v>Standard</v>
      </c>
      <c r="F891" s="19" t="s">
        <v>2801</v>
      </c>
      <c r="G891" s="19" t="s">
        <v>2803</v>
      </c>
      <c r="H891" s="19" t="s">
        <v>32</v>
      </c>
      <c r="I891">
        <v>2</v>
      </c>
      <c r="J891">
        <v>0</v>
      </c>
      <c r="K891" s="1" t="s">
        <v>1020</v>
      </c>
    </row>
    <row r="892" spans="1:11" hidden="1">
      <c r="A892" s="17" t="s">
        <v>805</v>
      </c>
      <c r="B892" s="19" t="s">
        <v>763</v>
      </c>
      <c r="C892" s="19" t="s">
        <v>2804</v>
      </c>
      <c r="D892" s="19" t="s">
        <v>2805</v>
      </c>
      <c r="E892" s="20" t="str">
        <f t="shared" si="19"/>
        <v>Tracking</v>
      </c>
      <c r="F892" s="19" t="s">
        <v>2804</v>
      </c>
      <c r="G892" s="19" t="s">
        <v>2806</v>
      </c>
      <c r="H892" s="19" t="s">
        <v>32</v>
      </c>
      <c r="I892">
        <v>0</v>
      </c>
      <c r="J892">
        <v>1</v>
      </c>
      <c r="K892" s="1" t="s">
        <v>1021</v>
      </c>
    </row>
    <row r="893" spans="1:11" hidden="1">
      <c r="A893" s="17" t="s">
        <v>805</v>
      </c>
      <c r="B893" s="19" t="s">
        <v>763</v>
      </c>
      <c r="C893" s="19" t="s">
        <v>812</v>
      </c>
      <c r="D893" s="19" t="s">
        <v>813</v>
      </c>
      <c r="E893" s="20" t="str">
        <f t="shared" si="19"/>
        <v>Standard</v>
      </c>
      <c r="F893" s="19" t="s">
        <v>812</v>
      </c>
      <c r="G893" s="19" t="s">
        <v>814</v>
      </c>
      <c r="H893" s="19" t="s">
        <v>32</v>
      </c>
      <c r="I893">
        <v>3</v>
      </c>
      <c r="J893">
        <v>0</v>
      </c>
      <c r="K893" s="1" t="s">
        <v>1020</v>
      </c>
    </row>
    <row r="894" spans="1:11" hidden="1">
      <c r="A894" s="17" t="s">
        <v>805</v>
      </c>
      <c r="B894" s="19" t="s">
        <v>763</v>
      </c>
      <c r="C894" s="19" t="s">
        <v>2807</v>
      </c>
      <c r="D894" s="19" t="s">
        <v>2808</v>
      </c>
      <c r="E894" s="20" t="str">
        <f t="shared" si="19"/>
        <v>Standard</v>
      </c>
      <c r="F894" s="19" t="s">
        <v>2807</v>
      </c>
      <c r="G894" s="19" t="s">
        <v>2809</v>
      </c>
      <c r="H894" s="19" t="s">
        <v>32</v>
      </c>
      <c r="I894">
        <v>5</v>
      </c>
      <c r="J894">
        <v>0</v>
      </c>
      <c r="K894" s="1" t="s">
        <v>1021</v>
      </c>
    </row>
    <row r="895" spans="1:11" hidden="1">
      <c r="A895" s="17" t="s">
        <v>815</v>
      </c>
      <c r="B895" s="19" t="s">
        <v>52</v>
      </c>
      <c r="C895" s="19" t="s">
        <v>816</v>
      </c>
      <c r="D895" s="19" t="s">
        <v>817</v>
      </c>
      <c r="E895" s="20" t="str">
        <f t="shared" si="19"/>
        <v>Tracking</v>
      </c>
      <c r="F895" s="19" t="s">
        <v>816</v>
      </c>
      <c r="G895" s="19" t="s">
        <v>818</v>
      </c>
      <c r="H895" s="19" t="s">
        <v>32</v>
      </c>
      <c r="I895">
        <v>0</v>
      </c>
      <c r="J895">
        <v>3</v>
      </c>
      <c r="K895" s="1" t="s">
        <v>1021</v>
      </c>
    </row>
    <row r="896" spans="1:11" hidden="1">
      <c r="A896" s="17" t="s">
        <v>815</v>
      </c>
      <c r="B896" s="19" t="s">
        <v>52</v>
      </c>
      <c r="C896" s="19" t="s">
        <v>2810</v>
      </c>
      <c r="D896" s="19" t="s">
        <v>2811</v>
      </c>
      <c r="E896" s="20" t="str">
        <f t="shared" si="19"/>
        <v>Tracking</v>
      </c>
      <c r="F896" s="19" t="s">
        <v>2810</v>
      </c>
      <c r="G896" s="19" t="s">
        <v>2812</v>
      </c>
      <c r="H896" s="19" t="s">
        <v>32</v>
      </c>
      <c r="I896">
        <v>0</v>
      </c>
      <c r="J896">
        <v>1</v>
      </c>
      <c r="K896" s="1" t="s">
        <v>1021</v>
      </c>
    </row>
    <row r="897" spans="1:11" hidden="1">
      <c r="A897" s="17" t="s">
        <v>815</v>
      </c>
      <c r="B897" s="19" t="s">
        <v>52</v>
      </c>
      <c r="C897" s="19" t="s">
        <v>2813</v>
      </c>
      <c r="D897" s="19" t="s">
        <v>2814</v>
      </c>
      <c r="E897" s="20" t="str">
        <f t="shared" si="19"/>
        <v>Tracking</v>
      </c>
      <c r="F897" s="19" t="s">
        <v>2813</v>
      </c>
      <c r="G897" s="19" t="s">
        <v>2815</v>
      </c>
      <c r="H897" s="19" t="s">
        <v>32</v>
      </c>
      <c r="I897">
        <v>0</v>
      </c>
      <c r="J897">
        <v>49</v>
      </c>
      <c r="K897" s="1" t="s">
        <v>1020</v>
      </c>
    </row>
    <row r="898" spans="1:11" hidden="1">
      <c r="A898" s="17" t="s">
        <v>815</v>
      </c>
      <c r="B898" s="19" t="s">
        <v>52</v>
      </c>
      <c r="C898" s="19" t="s">
        <v>819</v>
      </c>
      <c r="D898" s="19" t="s">
        <v>820</v>
      </c>
      <c r="E898" s="20" t="str">
        <f t="shared" si="19"/>
        <v>Tracking</v>
      </c>
      <c r="F898" s="19" t="s">
        <v>819</v>
      </c>
      <c r="G898" s="19" t="s">
        <v>821</v>
      </c>
      <c r="H898" s="19" t="s">
        <v>32</v>
      </c>
      <c r="I898">
        <v>0</v>
      </c>
      <c r="J898">
        <v>2</v>
      </c>
      <c r="K898" s="1" t="s">
        <v>1021</v>
      </c>
    </row>
    <row r="899" spans="1:11" hidden="1">
      <c r="A899" s="17" t="s">
        <v>815</v>
      </c>
      <c r="B899" s="19" t="s">
        <v>52</v>
      </c>
      <c r="C899" s="19" t="s">
        <v>2816</v>
      </c>
      <c r="D899" s="19" t="s">
        <v>2817</v>
      </c>
      <c r="E899" s="20" t="str">
        <f t="shared" si="19"/>
        <v>Tracking</v>
      </c>
      <c r="F899" s="19" t="s">
        <v>2816</v>
      </c>
      <c r="G899" s="19" t="s">
        <v>2818</v>
      </c>
      <c r="H899" s="19" t="s">
        <v>32</v>
      </c>
      <c r="I899">
        <v>0</v>
      </c>
      <c r="J899">
        <v>1</v>
      </c>
      <c r="K899" s="1" t="s">
        <v>1021</v>
      </c>
    </row>
    <row r="900" spans="1:11" hidden="1">
      <c r="A900" s="17" t="s">
        <v>815</v>
      </c>
      <c r="B900" s="19" t="s">
        <v>822</v>
      </c>
      <c r="C900" s="19" t="s">
        <v>823</v>
      </c>
      <c r="D900" s="19" t="s">
        <v>824</v>
      </c>
      <c r="E900" s="20" t="str">
        <f t="shared" si="19"/>
        <v>Standard</v>
      </c>
      <c r="F900" s="19" t="s">
        <v>823</v>
      </c>
      <c r="G900" s="19" t="s">
        <v>825</v>
      </c>
      <c r="H900" s="19" t="s">
        <v>32</v>
      </c>
      <c r="I900">
        <v>1</v>
      </c>
      <c r="J900">
        <v>0</v>
      </c>
      <c r="K900" s="1" t="s">
        <v>1021</v>
      </c>
    </row>
    <row r="901" spans="1:11" hidden="1">
      <c r="A901" s="17" t="s">
        <v>815</v>
      </c>
      <c r="B901" s="19" t="s">
        <v>822</v>
      </c>
      <c r="C901" s="19" t="s">
        <v>2819</v>
      </c>
      <c r="D901" s="19" t="s">
        <v>2820</v>
      </c>
      <c r="E901" s="20" t="str">
        <f t="shared" si="19"/>
        <v>Standard</v>
      </c>
      <c r="F901" s="19" t="s">
        <v>2819</v>
      </c>
      <c r="G901" s="19" t="s">
        <v>2821</v>
      </c>
      <c r="H901" s="19" t="s">
        <v>32</v>
      </c>
      <c r="I901">
        <v>2</v>
      </c>
      <c r="J901">
        <v>0</v>
      </c>
      <c r="K901" s="1" t="s">
        <v>1020</v>
      </c>
    </row>
    <row r="902" spans="1:11" hidden="1">
      <c r="A902" s="17" t="s">
        <v>826</v>
      </c>
      <c r="B902" s="19" t="s">
        <v>52</v>
      </c>
      <c r="C902" s="19" t="s">
        <v>827</v>
      </c>
      <c r="D902" s="19" t="s">
        <v>828</v>
      </c>
      <c r="E902" s="20" t="str">
        <f t="shared" si="19"/>
        <v>Tracking</v>
      </c>
      <c r="F902" s="19" t="s">
        <v>827</v>
      </c>
      <c r="G902" s="19" t="s">
        <v>829</v>
      </c>
      <c r="H902" s="19" t="s">
        <v>32</v>
      </c>
      <c r="I902">
        <v>0</v>
      </c>
      <c r="J902">
        <v>2</v>
      </c>
      <c r="K902" s="1" t="s">
        <v>1021</v>
      </c>
    </row>
    <row r="903" spans="1:11" hidden="1">
      <c r="A903" s="17" t="s">
        <v>826</v>
      </c>
      <c r="B903" s="19" t="s">
        <v>52</v>
      </c>
      <c r="C903" s="19" t="s">
        <v>2822</v>
      </c>
      <c r="D903" s="19" t="s">
        <v>2823</v>
      </c>
      <c r="E903" s="20" t="str">
        <f t="shared" si="19"/>
        <v>Tracking</v>
      </c>
      <c r="F903" s="19" t="s">
        <v>2822</v>
      </c>
      <c r="G903" s="19" t="s">
        <v>2824</v>
      </c>
      <c r="H903" s="19" t="s">
        <v>32</v>
      </c>
      <c r="I903">
        <v>0</v>
      </c>
      <c r="J903">
        <v>15</v>
      </c>
      <c r="K903" s="1" t="s">
        <v>1021</v>
      </c>
    </row>
    <row r="904" spans="1:11" hidden="1">
      <c r="A904" s="17" t="s">
        <v>826</v>
      </c>
      <c r="B904" s="19" t="s">
        <v>52</v>
      </c>
      <c r="C904" s="19" t="s">
        <v>830</v>
      </c>
      <c r="D904" s="19" t="s">
        <v>831</v>
      </c>
      <c r="E904" s="20" t="str">
        <f t="shared" si="19"/>
        <v>Tracking</v>
      </c>
      <c r="F904" s="19" t="s">
        <v>830</v>
      </c>
      <c r="G904" s="19" t="s">
        <v>832</v>
      </c>
      <c r="H904" s="19" t="s">
        <v>32</v>
      </c>
      <c r="I904">
        <v>0</v>
      </c>
      <c r="J904">
        <v>8</v>
      </c>
      <c r="K904" s="1" t="s">
        <v>1021</v>
      </c>
    </row>
    <row r="905" spans="1:11" hidden="1">
      <c r="A905" s="17" t="s">
        <v>826</v>
      </c>
      <c r="B905" s="19" t="s">
        <v>52</v>
      </c>
      <c r="C905" s="19" t="s">
        <v>2825</v>
      </c>
      <c r="D905" s="19" t="s">
        <v>2826</v>
      </c>
      <c r="E905" s="20" t="str">
        <f t="shared" si="19"/>
        <v>Tracking</v>
      </c>
      <c r="F905" s="19" t="s">
        <v>2825</v>
      </c>
      <c r="G905" s="19" t="s">
        <v>2827</v>
      </c>
      <c r="H905" s="19" t="s">
        <v>32</v>
      </c>
      <c r="I905">
        <v>0</v>
      </c>
      <c r="J905">
        <v>1463</v>
      </c>
      <c r="K905" s="1" t="s">
        <v>1021</v>
      </c>
    </row>
    <row r="906" spans="1:11" hidden="1">
      <c r="A906" s="17" t="s">
        <v>826</v>
      </c>
      <c r="B906" s="19" t="s">
        <v>52</v>
      </c>
      <c r="C906" s="19" t="s">
        <v>833</v>
      </c>
      <c r="D906" s="19" t="s">
        <v>834</v>
      </c>
      <c r="E906" s="20" t="str">
        <f t="shared" si="19"/>
        <v>Tracking</v>
      </c>
      <c r="F906" s="19" t="s">
        <v>833</v>
      </c>
      <c r="G906" s="19" t="s">
        <v>835</v>
      </c>
      <c r="H906" s="19" t="s">
        <v>32</v>
      </c>
      <c r="I906">
        <v>0</v>
      </c>
      <c r="J906">
        <v>1774</v>
      </c>
      <c r="K906" s="1" t="s">
        <v>1021</v>
      </c>
    </row>
    <row r="907" spans="1:11" hidden="1">
      <c r="A907" s="17" t="s">
        <v>826</v>
      </c>
      <c r="B907" s="19" t="s">
        <v>52</v>
      </c>
      <c r="C907" s="19" t="s">
        <v>836</v>
      </c>
      <c r="D907" s="19" t="s">
        <v>837</v>
      </c>
      <c r="E907" s="20" t="str">
        <f t="shared" si="19"/>
        <v>Tracking</v>
      </c>
      <c r="F907" s="19" t="s">
        <v>836</v>
      </c>
      <c r="G907" s="19" t="s">
        <v>838</v>
      </c>
      <c r="H907" s="19" t="s">
        <v>32</v>
      </c>
      <c r="I907">
        <v>0</v>
      </c>
      <c r="J907">
        <v>2208</v>
      </c>
      <c r="K907" s="1" t="s">
        <v>1021</v>
      </c>
    </row>
    <row r="908" spans="1:11" hidden="1">
      <c r="A908" s="17" t="s">
        <v>826</v>
      </c>
      <c r="B908" s="19" t="s">
        <v>52</v>
      </c>
      <c r="C908" s="19" t="s">
        <v>839</v>
      </c>
      <c r="D908" s="19" t="s">
        <v>840</v>
      </c>
      <c r="E908" s="20" t="str">
        <f t="shared" si="19"/>
        <v>Tracking</v>
      </c>
      <c r="F908" s="19" t="s">
        <v>839</v>
      </c>
      <c r="G908" s="19" t="s">
        <v>841</v>
      </c>
      <c r="H908" s="19" t="s">
        <v>32</v>
      </c>
      <c r="I908">
        <v>0</v>
      </c>
      <c r="J908">
        <v>1652</v>
      </c>
      <c r="K908" s="1" t="s">
        <v>1021</v>
      </c>
    </row>
    <row r="909" spans="1:11" hidden="1">
      <c r="A909" s="17" t="s">
        <v>826</v>
      </c>
      <c r="B909" s="19" t="s">
        <v>52</v>
      </c>
      <c r="C909" s="19" t="s">
        <v>2828</v>
      </c>
      <c r="D909" s="19" t="s">
        <v>2829</v>
      </c>
      <c r="E909" s="20" t="str">
        <f t="shared" si="19"/>
        <v>Tracking</v>
      </c>
      <c r="F909" s="19" t="s">
        <v>2828</v>
      </c>
      <c r="G909" s="19" t="s">
        <v>2830</v>
      </c>
      <c r="H909" s="19" t="s">
        <v>32</v>
      </c>
      <c r="I909">
        <v>0</v>
      </c>
      <c r="J909">
        <v>1600</v>
      </c>
      <c r="K909" s="1" t="s">
        <v>1020</v>
      </c>
    </row>
    <row r="910" spans="1:11" hidden="1">
      <c r="A910" s="17" t="s">
        <v>826</v>
      </c>
      <c r="B910" s="19" t="s">
        <v>52</v>
      </c>
      <c r="C910" s="19" t="s">
        <v>842</v>
      </c>
      <c r="D910" s="19" t="s">
        <v>843</v>
      </c>
      <c r="E910" s="20" t="str">
        <f t="shared" si="19"/>
        <v>Tracking</v>
      </c>
      <c r="F910" s="19" t="s">
        <v>842</v>
      </c>
      <c r="G910" s="19" t="s">
        <v>844</v>
      </c>
      <c r="H910" s="19" t="s">
        <v>32</v>
      </c>
      <c r="I910">
        <v>0</v>
      </c>
      <c r="J910">
        <v>1956</v>
      </c>
      <c r="K910" s="1" t="s">
        <v>1021</v>
      </c>
    </row>
    <row r="911" spans="1:11" hidden="1">
      <c r="A911" s="17" t="s">
        <v>826</v>
      </c>
      <c r="B911" s="19" t="s">
        <v>52</v>
      </c>
      <c r="C911" s="19" t="s">
        <v>845</v>
      </c>
      <c r="D911" s="19" t="s">
        <v>846</v>
      </c>
      <c r="E911" s="20" t="str">
        <f t="shared" si="19"/>
        <v>Tracking</v>
      </c>
      <c r="F911" s="19" t="s">
        <v>845</v>
      </c>
      <c r="G911" s="19" t="s">
        <v>847</v>
      </c>
      <c r="H911" s="19" t="s">
        <v>32</v>
      </c>
      <c r="I911">
        <v>0</v>
      </c>
      <c r="J911">
        <v>1981</v>
      </c>
      <c r="K911" s="1" t="s">
        <v>1021</v>
      </c>
    </row>
    <row r="912" spans="1:11" hidden="1">
      <c r="A912" s="17" t="s">
        <v>848</v>
      </c>
      <c r="B912" s="19" t="s">
        <v>52</v>
      </c>
      <c r="C912" s="19" t="s">
        <v>849</v>
      </c>
      <c r="D912" s="19" t="s">
        <v>850</v>
      </c>
      <c r="E912" s="20" t="str">
        <f t="shared" si="19"/>
        <v>Tracking</v>
      </c>
      <c r="F912" s="19" t="s">
        <v>849</v>
      </c>
      <c r="G912" s="19" t="s">
        <v>851</v>
      </c>
      <c r="H912" s="19" t="s">
        <v>32</v>
      </c>
      <c r="I912">
        <v>0</v>
      </c>
      <c r="J912">
        <v>2</v>
      </c>
      <c r="K912" s="1" t="s">
        <v>1021</v>
      </c>
    </row>
    <row r="913" spans="1:11" hidden="1">
      <c r="A913" s="17" t="s">
        <v>848</v>
      </c>
      <c r="B913" s="19" t="s">
        <v>52</v>
      </c>
      <c r="C913" s="19" t="s">
        <v>852</v>
      </c>
      <c r="D913" s="19" t="s">
        <v>853</v>
      </c>
      <c r="E913" s="20" t="str">
        <f t="shared" si="19"/>
        <v>Tracking</v>
      </c>
      <c r="F913" s="19" t="s">
        <v>852</v>
      </c>
      <c r="G913" s="19" t="s">
        <v>854</v>
      </c>
      <c r="H913" s="19" t="s">
        <v>32</v>
      </c>
      <c r="I913">
        <v>0</v>
      </c>
      <c r="J913">
        <v>1</v>
      </c>
      <c r="K913" s="1" t="s">
        <v>1021</v>
      </c>
    </row>
    <row r="914" spans="1:11" hidden="1">
      <c r="A914" s="17" t="s">
        <v>848</v>
      </c>
      <c r="B914" s="19" t="s">
        <v>52</v>
      </c>
      <c r="C914" s="19" t="s">
        <v>2831</v>
      </c>
      <c r="D914" s="19" t="s">
        <v>2832</v>
      </c>
      <c r="E914" s="20" t="str">
        <f t="shared" si="19"/>
        <v>Tracking</v>
      </c>
      <c r="F914" s="19" t="s">
        <v>2831</v>
      </c>
      <c r="G914" s="19" t="s">
        <v>2833</v>
      </c>
      <c r="H914" s="19" t="s">
        <v>32</v>
      </c>
      <c r="I914">
        <v>0</v>
      </c>
      <c r="J914">
        <v>1</v>
      </c>
      <c r="K914" s="1" t="s">
        <v>1021</v>
      </c>
    </row>
    <row r="915" spans="1:11" hidden="1">
      <c r="A915" s="17" t="s">
        <v>848</v>
      </c>
      <c r="B915" s="19" t="s">
        <v>52</v>
      </c>
      <c r="C915" s="19" t="s">
        <v>855</v>
      </c>
      <c r="D915" s="19" t="s">
        <v>856</v>
      </c>
      <c r="E915" s="20" t="str">
        <f t="shared" si="19"/>
        <v>Tracking</v>
      </c>
      <c r="F915" s="19" t="s">
        <v>855</v>
      </c>
      <c r="G915" s="19" t="s">
        <v>857</v>
      </c>
      <c r="H915" s="19" t="s">
        <v>32</v>
      </c>
      <c r="I915">
        <v>0</v>
      </c>
      <c r="J915">
        <v>1</v>
      </c>
      <c r="K915" s="1" t="s">
        <v>1020</v>
      </c>
    </row>
    <row r="916" spans="1:11" hidden="1">
      <c r="A916" s="17" t="s">
        <v>848</v>
      </c>
      <c r="B916" s="19" t="s">
        <v>52</v>
      </c>
      <c r="C916" s="19" t="s">
        <v>858</v>
      </c>
      <c r="D916" s="19" t="s">
        <v>859</v>
      </c>
      <c r="E916" s="20" t="str">
        <f t="shared" si="19"/>
        <v>Tracking</v>
      </c>
      <c r="F916" s="19" t="s">
        <v>858</v>
      </c>
      <c r="G916" s="19" t="s">
        <v>860</v>
      </c>
      <c r="H916" s="19" t="s">
        <v>32</v>
      </c>
      <c r="I916">
        <v>0</v>
      </c>
      <c r="J916">
        <v>1</v>
      </c>
      <c r="K916" s="1" t="s">
        <v>1020</v>
      </c>
    </row>
    <row r="917" spans="1:11" hidden="1">
      <c r="A917" s="17" t="s">
        <v>861</v>
      </c>
      <c r="B917" s="19" t="s">
        <v>761</v>
      </c>
      <c r="C917" s="19" t="s">
        <v>2834</v>
      </c>
      <c r="D917" s="19" t="s">
        <v>2835</v>
      </c>
      <c r="E917" s="20" t="str">
        <f t="shared" si="19"/>
        <v>Standard</v>
      </c>
      <c r="F917" s="19" t="s">
        <v>2834</v>
      </c>
      <c r="G917" s="19" t="s">
        <v>2836</v>
      </c>
      <c r="H917" s="19" t="s">
        <v>32</v>
      </c>
      <c r="I917">
        <v>1</v>
      </c>
      <c r="J917">
        <v>0</v>
      </c>
      <c r="K917" s="1" t="s">
        <v>1020</v>
      </c>
    </row>
    <row r="918" spans="1:11" hidden="1">
      <c r="A918" s="17" t="s">
        <v>861</v>
      </c>
      <c r="B918" s="19" t="s">
        <v>761</v>
      </c>
      <c r="C918" s="19" t="s">
        <v>2837</v>
      </c>
      <c r="D918" s="19" t="s">
        <v>2838</v>
      </c>
      <c r="E918" s="20" t="str">
        <f t="shared" si="19"/>
        <v>Tracking</v>
      </c>
      <c r="F918" s="19" t="s">
        <v>2837</v>
      </c>
      <c r="G918" s="19" t="s">
        <v>2839</v>
      </c>
      <c r="H918" s="19" t="s">
        <v>32</v>
      </c>
      <c r="I918">
        <v>0</v>
      </c>
      <c r="J918">
        <v>1</v>
      </c>
      <c r="K918" s="1" t="s">
        <v>1020</v>
      </c>
    </row>
    <row r="919" spans="1:11" hidden="1">
      <c r="A919" s="17" t="s">
        <v>861</v>
      </c>
      <c r="B919" s="19" t="s">
        <v>761</v>
      </c>
      <c r="C919" s="19" t="s">
        <v>2840</v>
      </c>
      <c r="D919" s="19" t="s">
        <v>2841</v>
      </c>
      <c r="E919" s="20" t="str">
        <f t="shared" si="19"/>
        <v>Standard</v>
      </c>
      <c r="F919" s="19" t="s">
        <v>2840</v>
      </c>
      <c r="G919" s="19" t="s">
        <v>2842</v>
      </c>
      <c r="H919" s="19" t="s">
        <v>32</v>
      </c>
      <c r="I919">
        <v>3</v>
      </c>
      <c r="J919">
        <v>1</v>
      </c>
      <c r="K919" s="1" t="s">
        <v>1020</v>
      </c>
    </row>
    <row r="920" spans="1:11" hidden="1">
      <c r="A920" s="17" t="s">
        <v>862</v>
      </c>
      <c r="B920" s="19" t="s">
        <v>135</v>
      </c>
      <c r="C920" s="19" t="s">
        <v>1727</v>
      </c>
      <c r="D920" s="19" t="s">
        <v>1728</v>
      </c>
      <c r="E920" s="20" t="str">
        <f t="shared" si="19"/>
        <v>Standard</v>
      </c>
      <c r="F920" s="19" t="s">
        <v>1727</v>
      </c>
      <c r="G920" s="19" t="s">
        <v>1729</v>
      </c>
      <c r="H920" s="19" t="s">
        <v>32</v>
      </c>
      <c r="I920">
        <v>5</v>
      </c>
      <c r="J920">
        <v>0</v>
      </c>
      <c r="K920" s="1" t="s">
        <v>1020</v>
      </c>
    </row>
    <row r="921" spans="1:11" hidden="1">
      <c r="A921" s="17" t="s">
        <v>862</v>
      </c>
      <c r="B921" s="19" t="s">
        <v>735</v>
      </c>
      <c r="C921" s="19" t="s">
        <v>863</v>
      </c>
      <c r="D921" s="19" t="s">
        <v>864</v>
      </c>
      <c r="E921" s="20" t="str">
        <f t="shared" si="19"/>
        <v>Tracking</v>
      </c>
      <c r="F921" s="19" t="s">
        <v>863</v>
      </c>
      <c r="G921" s="19" t="s">
        <v>865</v>
      </c>
      <c r="H921" s="19" t="s">
        <v>32</v>
      </c>
      <c r="I921">
        <v>0</v>
      </c>
      <c r="J921">
        <v>2</v>
      </c>
      <c r="K921" s="1" t="s">
        <v>1020</v>
      </c>
    </row>
    <row r="922" spans="1:11" hidden="1">
      <c r="A922" s="17" t="s">
        <v>862</v>
      </c>
      <c r="B922" s="19" t="s">
        <v>735</v>
      </c>
      <c r="C922" s="19" t="s">
        <v>2843</v>
      </c>
      <c r="D922" s="19" t="s">
        <v>2844</v>
      </c>
      <c r="E922" s="20" t="str">
        <f t="shared" si="19"/>
        <v>Standard</v>
      </c>
      <c r="F922" s="19" t="s">
        <v>2843</v>
      </c>
      <c r="G922" s="19" t="s">
        <v>2845</v>
      </c>
      <c r="H922" s="19" t="s">
        <v>32</v>
      </c>
      <c r="I922">
        <v>1</v>
      </c>
      <c r="J922">
        <v>0</v>
      </c>
      <c r="K922" s="1" t="s">
        <v>1020</v>
      </c>
    </row>
    <row r="923" spans="1:11" hidden="1">
      <c r="A923" s="17" t="s">
        <v>862</v>
      </c>
      <c r="B923" s="19" t="s">
        <v>52</v>
      </c>
      <c r="C923" s="19" t="s">
        <v>2846</v>
      </c>
      <c r="D923" s="19" t="s">
        <v>2847</v>
      </c>
      <c r="E923" s="20" t="str">
        <f t="shared" si="19"/>
        <v>Tracking</v>
      </c>
      <c r="F923" s="19" t="s">
        <v>2846</v>
      </c>
      <c r="G923" s="19" t="s">
        <v>2848</v>
      </c>
      <c r="H923" s="19" t="s">
        <v>32</v>
      </c>
      <c r="I923">
        <v>0</v>
      </c>
      <c r="J923">
        <v>1</v>
      </c>
      <c r="K923" s="1" t="s">
        <v>1020</v>
      </c>
    </row>
    <row r="924" spans="1:11" hidden="1">
      <c r="A924" s="17" t="s">
        <v>862</v>
      </c>
      <c r="B924" s="19" t="s">
        <v>52</v>
      </c>
      <c r="C924" s="19" t="s">
        <v>866</v>
      </c>
      <c r="D924" s="19" t="s">
        <v>867</v>
      </c>
      <c r="E924" s="20" t="str">
        <f t="shared" si="19"/>
        <v>Tracking</v>
      </c>
      <c r="F924" s="19" t="s">
        <v>866</v>
      </c>
      <c r="G924" s="19" t="s">
        <v>868</v>
      </c>
      <c r="H924" s="19" t="s">
        <v>32</v>
      </c>
      <c r="I924">
        <v>0</v>
      </c>
      <c r="J924">
        <v>10</v>
      </c>
      <c r="K924" s="1" t="s">
        <v>1020</v>
      </c>
    </row>
    <row r="925" spans="1:11" hidden="1">
      <c r="A925" s="17" t="s">
        <v>862</v>
      </c>
      <c r="B925" s="19" t="s">
        <v>52</v>
      </c>
      <c r="C925" s="19" t="s">
        <v>869</v>
      </c>
      <c r="D925" s="19" t="s">
        <v>870</v>
      </c>
      <c r="E925" s="20" t="str">
        <f t="shared" si="19"/>
        <v>Tracking</v>
      </c>
      <c r="F925" s="19" t="s">
        <v>869</v>
      </c>
      <c r="G925" s="19" t="s">
        <v>871</v>
      </c>
      <c r="H925" s="19" t="s">
        <v>32</v>
      </c>
      <c r="I925">
        <v>0</v>
      </c>
      <c r="J925">
        <v>2</v>
      </c>
      <c r="K925" s="1" t="s">
        <v>1020</v>
      </c>
    </row>
    <row r="926" spans="1:11" hidden="1">
      <c r="A926" s="17" t="s">
        <v>862</v>
      </c>
      <c r="B926" s="19" t="s">
        <v>52</v>
      </c>
      <c r="C926" s="19" t="s">
        <v>872</v>
      </c>
      <c r="D926" s="19" t="s">
        <v>873</v>
      </c>
      <c r="E926" s="20" t="str">
        <f t="shared" si="19"/>
        <v>Tracking</v>
      </c>
      <c r="F926" s="19" t="s">
        <v>872</v>
      </c>
      <c r="G926" s="19" t="s">
        <v>874</v>
      </c>
      <c r="H926" s="19" t="s">
        <v>32</v>
      </c>
      <c r="I926">
        <v>0</v>
      </c>
      <c r="J926">
        <v>6</v>
      </c>
      <c r="K926" s="1" t="s">
        <v>1020</v>
      </c>
    </row>
    <row r="927" spans="1:11" hidden="1">
      <c r="A927" s="17" t="s">
        <v>862</v>
      </c>
      <c r="B927" s="19" t="s">
        <v>52</v>
      </c>
      <c r="C927" s="19" t="s">
        <v>2849</v>
      </c>
      <c r="D927" s="19" t="s">
        <v>2850</v>
      </c>
      <c r="E927" s="20" t="str">
        <f t="shared" si="19"/>
        <v>Tracking</v>
      </c>
      <c r="F927" s="19" t="s">
        <v>2849</v>
      </c>
      <c r="G927" s="19" t="s">
        <v>2851</v>
      </c>
      <c r="H927" s="19" t="s">
        <v>32</v>
      </c>
      <c r="I927">
        <v>0</v>
      </c>
      <c r="J927">
        <v>1</v>
      </c>
      <c r="K927" s="1" t="s">
        <v>1020</v>
      </c>
    </row>
    <row r="928" spans="1:11" hidden="1">
      <c r="A928" s="17" t="s">
        <v>862</v>
      </c>
      <c r="B928" s="19" t="s">
        <v>52</v>
      </c>
      <c r="C928" s="19" t="s">
        <v>2852</v>
      </c>
      <c r="D928" s="19" t="s">
        <v>2853</v>
      </c>
      <c r="E928" s="20" t="str">
        <f t="shared" si="19"/>
        <v>Tracking</v>
      </c>
      <c r="F928" s="19" t="s">
        <v>2852</v>
      </c>
      <c r="G928" s="19" t="s">
        <v>2854</v>
      </c>
      <c r="H928" s="19" t="s">
        <v>32</v>
      </c>
      <c r="I928">
        <v>0</v>
      </c>
      <c r="J928">
        <v>2</v>
      </c>
      <c r="K928" s="1" t="s">
        <v>1020</v>
      </c>
    </row>
    <row r="929" spans="1:11" hidden="1">
      <c r="A929" s="17" t="s">
        <v>862</v>
      </c>
      <c r="B929" s="19" t="s">
        <v>52</v>
      </c>
      <c r="C929" s="19" t="s">
        <v>875</v>
      </c>
      <c r="D929" s="19" t="s">
        <v>876</v>
      </c>
      <c r="E929" s="20" t="str">
        <f t="shared" si="19"/>
        <v>Tracking</v>
      </c>
      <c r="F929" s="19" t="s">
        <v>875</v>
      </c>
      <c r="G929" s="19" t="s">
        <v>877</v>
      </c>
      <c r="H929" s="19" t="s">
        <v>32</v>
      </c>
      <c r="I929">
        <v>0</v>
      </c>
      <c r="J929">
        <v>1</v>
      </c>
      <c r="K929" s="1" t="s">
        <v>1020</v>
      </c>
    </row>
    <row r="930" spans="1:11" hidden="1">
      <c r="A930" s="17" t="s">
        <v>862</v>
      </c>
      <c r="B930" s="19" t="s">
        <v>52</v>
      </c>
      <c r="C930" s="19" t="s">
        <v>878</v>
      </c>
      <c r="D930" s="19" t="s">
        <v>879</v>
      </c>
      <c r="E930" s="20" t="str">
        <f t="shared" si="19"/>
        <v>Tracking</v>
      </c>
      <c r="F930" s="19" t="s">
        <v>878</v>
      </c>
      <c r="G930" s="19" t="s">
        <v>880</v>
      </c>
      <c r="H930" s="19" t="s">
        <v>32</v>
      </c>
      <c r="I930">
        <v>0</v>
      </c>
      <c r="J930">
        <v>1</v>
      </c>
      <c r="K930" s="1" t="s">
        <v>1020</v>
      </c>
    </row>
    <row r="931" spans="1:11" hidden="1">
      <c r="A931" s="17" t="s">
        <v>862</v>
      </c>
      <c r="B931" s="19" t="s">
        <v>50</v>
      </c>
      <c r="C931" s="19" t="s">
        <v>2855</v>
      </c>
      <c r="D931" s="19" t="s">
        <v>2856</v>
      </c>
      <c r="E931" s="20" t="str">
        <f t="shared" si="19"/>
        <v>Tracking</v>
      </c>
      <c r="F931" s="19" t="s">
        <v>2855</v>
      </c>
      <c r="G931" s="19" t="s">
        <v>2857</v>
      </c>
      <c r="H931" s="19" t="s">
        <v>32</v>
      </c>
      <c r="I931">
        <v>0</v>
      </c>
      <c r="J931">
        <v>1</v>
      </c>
      <c r="K931" s="1" t="s">
        <v>1020</v>
      </c>
    </row>
    <row r="932" spans="1:11" hidden="1">
      <c r="A932" s="17" t="s">
        <v>862</v>
      </c>
      <c r="B932" s="19" t="s">
        <v>50</v>
      </c>
      <c r="C932" s="19" t="s">
        <v>2858</v>
      </c>
      <c r="D932" s="19" t="s">
        <v>2859</v>
      </c>
      <c r="E932" s="20" t="str">
        <f t="shared" si="19"/>
        <v>Tracking</v>
      </c>
      <c r="F932" s="19" t="s">
        <v>2858</v>
      </c>
      <c r="G932" s="19" t="s">
        <v>2860</v>
      </c>
      <c r="H932" s="19" t="s">
        <v>32</v>
      </c>
      <c r="I932">
        <v>0</v>
      </c>
      <c r="J932">
        <v>1</v>
      </c>
      <c r="K932" s="1" t="s">
        <v>1020</v>
      </c>
    </row>
    <row r="933" spans="1:11" hidden="1">
      <c r="A933" s="17" t="s">
        <v>862</v>
      </c>
      <c r="B933" s="19" t="s">
        <v>50</v>
      </c>
      <c r="C933" s="19" t="s">
        <v>1730</v>
      </c>
      <c r="D933" s="19" t="s">
        <v>1731</v>
      </c>
      <c r="E933" s="20" t="str">
        <f t="shared" si="19"/>
        <v>Tracking</v>
      </c>
      <c r="F933" s="19" t="s">
        <v>1730</v>
      </c>
      <c r="G933" s="19" t="s">
        <v>1732</v>
      </c>
      <c r="H933" s="19" t="s">
        <v>32</v>
      </c>
      <c r="I933">
        <v>0</v>
      </c>
      <c r="J933">
        <v>1</v>
      </c>
      <c r="K933" s="1" t="s">
        <v>1020</v>
      </c>
    </row>
    <row r="934" spans="1:11" hidden="1">
      <c r="A934" s="17" t="s">
        <v>862</v>
      </c>
      <c r="B934" s="19" t="s">
        <v>762</v>
      </c>
      <c r="C934" s="19" t="s">
        <v>881</v>
      </c>
      <c r="D934" s="19" t="s">
        <v>882</v>
      </c>
      <c r="E934" s="20" t="str">
        <f t="shared" si="19"/>
        <v>Tracking</v>
      </c>
      <c r="F934" s="19" t="s">
        <v>881</v>
      </c>
      <c r="G934" s="19" t="s">
        <v>883</v>
      </c>
      <c r="H934" s="19" t="s">
        <v>32</v>
      </c>
      <c r="I934">
        <v>0</v>
      </c>
      <c r="J934">
        <v>40</v>
      </c>
      <c r="K934" s="1" t="s">
        <v>1020</v>
      </c>
    </row>
    <row r="935" spans="1:11" hidden="1">
      <c r="A935" s="17" t="s">
        <v>862</v>
      </c>
      <c r="B935" s="19" t="s">
        <v>253</v>
      </c>
      <c r="C935" s="19" t="s">
        <v>884</v>
      </c>
      <c r="D935" s="19" t="s">
        <v>885</v>
      </c>
      <c r="E935" s="20" t="str">
        <f t="shared" si="19"/>
        <v>Tracking</v>
      </c>
      <c r="F935" s="19" t="s">
        <v>884</v>
      </c>
      <c r="G935" s="19" t="s">
        <v>886</v>
      </c>
      <c r="H935" s="19" t="s">
        <v>32</v>
      </c>
      <c r="I935">
        <v>3</v>
      </c>
      <c r="J935">
        <v>22</v>
      </c>
      <c r="K935" s="1" t="s">
        <v>1020</v>
      </c>
    </row>
    <row r="936" spans="1:11" hidden="1">
      <c r="A936" s="17" t="s">
        <v>862</v>
      </c>
      <c r="B936" s="19" t="s">
        <v>99</v>
      </c>
      <c r="C936" s="19" t="s">
        <v>1733</v>
      </c>
      <c r="D936" s="19" t="s">
        <v>1734</v>
      </c>
      <c r="E936" s="20" t="str">
        <f t="shared" si="19"/>
        <v>Tracking</v>
      </c>
      <c r="F936" s="19" t="s">
        <v>1733</v>
      </c>
      <c r="G936" s="19" t="s">
        <v>1735</v>
      </c>
      <c r="H936" s="19" t="s">
        <v>32</v>
      </c>
      <c r="I936">
        <v>0</v>
      </c>
      <c r="J936">
        <v>1</v>
      </c>
      <c r="K936" s="1" t="s">
        <v>1020</v>
      </c>
    </row>
    <row r="937" spans="1:11" hidden="1">
      <c r="A937" s="17" t="s">
        <v>862</v>
      </c>
      <c r="B937" s="19" t="s">
        <v>887</v>
      </c>
      <c r="C937" s="19" t="s">
        <v>888</v>
      </c>
      <c r="D937" s="19" t="s">
        <v>889</v>
      </c>
      <c r="E937" s="20" t="s">
        <v>12</v>
      </c>
      <c r="F937" s="19" t="s">
        <v>890</v>
      </c>
      <c r="G937" s="19" t="s">
        <v>891</v>
      </c>
      <c r="H937" s="19" t="s">
        <v>31</v>
      </c>
      <c r="I937">
        <v>11</v>
      </c>
      <c r="J937">
        <v>0</v>
      </c>
      <c r="K937" s="1" t="s">
        <v>1020</v>
      </c>
    </row>
    <row r="938" spans="1:11" hidden="1">
      <c r="A938" s="17" t="s">
        <v>892</v>
      </c>
      <c r="B938" s="19" t="s">
        <v>760</v>
      </c>
      <c r="C938" s="19" t="s">
        <v>893</v>
      </c>
      <c r="D938" s="19" t="s">
        <v>894</v>
      </c>
      <c r="E938" s="20" t="str">
        <f t="shared" ref="E938:E973" si="20">IF(I938&gt;J938,"Standard","Tracking")</f>
        <v>Tracking</v>
      </c>
      <c r="F938" s="19" t="s">
        <v>893</v>
      </c>
      <c r="G938" s="19" t="s">
        <v>895</v>
      </c>
      <c r="H938" s="19" t="s">
        <v>32</v>
      </c>
      <c r="I938">
        <v>1</v>
      </c>
      <c r="J938">
        <v>110</v>
      </c>
      <c r="K938" s="1" t="s">
        <v>1020</v>
      </c>
    </row>
    <row r="939" spans="1:11" hidden="1">
      <c r="A939" s="17" t="s">
        <v>892</v>
      </c>
      <c r="B939" s="19" t="s">
        <v>760</v>
      </c>
      <c r="C939" s="19" t="s">
        <v>2861</v>
      </c>
      <c r="D939" s="19" t="s">
        <v>2862</v>
      </c>
      <c r="E939" s="20" t="str">
        <f t="shared" si="20"/>
        <v>Tracking</v>
      </c>
      <c r="F939" s="19" t="s">
        <v>2861</v>
      </c>
      <c r="G939" s="19" t="s">
        <v>2863</v>
      </c>
      <c r="H939" s="19" t="s">
        <v>32</v>
      </c>
      <c r="I939">
        <v>0</v>
      </c>
      <c r="J939">
        <v>17</v>
      </c>
      <c r="K939" s="1" t="s">
        <v>1020</v>
      </c>
    </row>
    <row r="940" spans="1:11" hidden="1">
      <c r="A940" s="17" t="s">
        <v>892</v>
      </c>
      <c r="B940" s="19" t="s">
        <v>52</v>
      </c>
      <c r="C940" s="19" t="s">
        <v>896</v>
      </c>
      <c r="D940" s="19" t="s">
        <v>897</v>
      </c>
      <c r="E940" s="20" t="str">
        <f t="shared" si="20"/>
        <v>Tracking</v>
      </c>
      <c r="F940" s="19" t="s">
        <v>896</v>
      </c>
      <c r="G940" s="19" t="s">
        <v>898</v>
      </c>
      <c r="H940" s="19" t="s">
        <v>32</v>
      </c>
      <c r="I940">
        <v>0</v>
      </c>
      <c r="J940">
        <v>47</v>
      </c>
      <c r="K940" s="1" t="s">
        <v>1020</v>
      </c>
    </row>
    <row r="941" spans="1:11" hidden="1">
      <c r="A941" s="17" t="s">
        <v>892</v>
      </c>
      <c r="B941" s="19" t="s">
        <v>52</v>
      </c>
      <c r="C941" s="19" t="s">
        <v>2864</v>
      </c>
      <c r="D941" s="19" t="s">
        <v>2865</v>
      </c>
      <c r="E941" s="20" t="str">
        <f t="shared" si="20"/>
        <v>Tracking</v>
      </c>
      <c r="F941" s="19" t="s">
        <v>2864</v>
      </c>
      <c r="G941" s="19" t="s">
        <v>2866</v>
      </c>
      <c r="H941" s="19" t="s">
        <v>32</v>
      </c>
      <c r="I941">
        <v>0</v>
      </c>
      <c r="J941">
        <v>9</v>
      </c>
      <c r="K941" s="1" t="s">
        <v>1020</v>
      </c>
    </row>
    <row r="942" spans="1:11" hidden="1">
      <c r="A942" s="17" t="s">
        <v>892</v>
      </c>
      <c r="B942" s="19" t="s">
        <v>50</v>
      </c>
      <c r="C942" s="19" t="s">
        <v>2867</v>
      </c>
      <c r="D942" s="19" t="s">
        <v>2868</v>
      </c>
      <c r="E942" s="20" t="str">
        <f t="shared" si="20"/>
        <v>Tracking</v>
      </c>
      <c r="F942" s="19" t="s">
        <v>2867</v>
      </c>
      <c r="G942" s="19" t="s">
        <v>2869</v>
      </c>
      <c r="H942" s="19" t="s">
        <v>32</v>
      </c>
      <c r="I942">
        <v>0</v>
      </c>
      <c r="J942">
        <v>2</v>
      </c>
      <c r="K942" s="1" t="s">
        <v>1020</v>
      </c>
    </row>
    <row r="943" spans="1:11" hidden="1">
      <c r="A943" s="17" t="s">
        <v>892</v>
      </c>
      <c r="B943" s="19" t="s">
        <v>761</v>
      </c>
      <c r="C943" s="19" t="s">
        <v>899</v>
      </c>
      <c r="D943" s="19" t="s">
        <v>900</v>
      </c>
      <c r="E943" s="20" t="str">
        <f t="shared" si="20"/>
        <v>Tracking</v>
      </c>
      <c r="F943" s="19" t="s">
        <v>899</v>
      </c>
      <c r="G943" s="19" t="s">
        <v>901</v>
      </c>
      <c r="H943" s="19" t="s">
        <v>32</v>
      </c>
      <c r="I943">
        <v>0</v>
      </c>
      <c r="J943">
        <v>33</v>
      </c>
      <c r="K943" s="1" t="s">
        <v>1020</v>
      </c>
    </row>
    <row r="944" spans="1:11" hidden="1">
      <c r="A944" s="17" t="s">
        <v>892</v>
      </c>
      <c r="B944" s="19" t="s">
        <v>761</v>
      </c>
      <c r="C944" s="19" t="s">
        <v>902</v>
      </c>
      <c r="D944" s="19" t="s">
        <v>903</v>
      </c>
      <c r="E944" s="20" t="str">
        <f t="shared" si="20"/>
        <v>Tracking</v>
      </c>
      <c r="F944" s="19" t="s">
        <v>902</v>
      </c>
      <c r="G944" s="19" t="s">
        <v>904</v>
      </c>
      <c r="H944" s="19" t="s">
        <v>32</v>
      </c>
      <c r="I944">
        <v>0</v>
      </c>
      <c r="J944">
        <v>52</v>
      </c>
      <c r="K944" s="1" t="s">
        <v>1020</v>
      </c>
    </row>
    <row r="945" spans="1:11" hidden="1">
      <c r="A945" s="17" t="s">
        <v>892</v>
      </c>
      <c r="B945" s="19" t="s">
        <v>761</v>
      </c>
      <c r="C945" s="19" t="s">
        <v>2870</v>
      </c>
      <c r="D945" s="19" t="s">
        <v>2871</v>
      </c>
      <c r="E945" s="20" t="str">
        <f t="shared" si="20"/>
        <v>Tracking</v>
      </c>
      <c r="F945" s="19" t="s">
        <v>2870</v>
      </c>
      <c r="G945" s="19" t="s">
        <v>2872</v>
      </c>
      <c r="H945" s="19" t="s">
        <v>32</v>
      </c>
      <c r="I945">
        <v>0</v>
      </c>
      <c r="J945">
        <v>18</v>
      </c>
      <c r="K945" s="1" t="s">
        <v>1020</v>
      </c>
    </row>
    <row r="946" spans="1:11" hidden="1">
      <c r="A946" s="17" t="s">
        <v>892</v>
      </c>
      <c r="B946" s="19" t="s">
        <v>761</v>
      </c>
      <c r="C946" s="19" t="s">
        <v>2873</v>
      </c>
      <c r="D946" s="19" t="s">
        <v>2874</v>
      </c>
      <c r="E946" s="20" t="str">
        <f t="shared" si="20"/>
        <v>Standard</v>
      </c>
      <c r="F946" s="19" t="s">
        <v>2873</v>
      </c>
      <c r="G946" s="19" t="s">
        <v>2875</v>
      </c>
      <c r="H946" s="19" t="s">
        <v>32</v>
      </c>
      <c r="I946">
        <v>10</v>
      </c>
      <c r="J946">
        <v>6</v>
      </c>
      <c r="K946" s="1" t="s">
        <v>1020</v>
      </c>
    </row>
    <row r="947" spans="1:11" hidden="1">
      <c r="A947" s="17" t="s">
        <v>892</v>
      </c>
      <c r="B947" s="19" t="s">
        <v>761</v>
      </c>
      <c r="C947" s="19" t="s">
        <v>2876</v>
      </c>
      <c r="D947" s="19" t="s">
        <v>2877</v>
      </c>
      <c r="E947" s="20" t="str">
        <f t="shared" si="20"/>
        <v>Tracking</v>
      </c>
      <c r="F947" s="19" t="s">
        <v>2876</v>
      </c>
      <c r="G947" s="19" t="s">
        <v>2878</v>
      </c>
      <c r="H947" s="19" t="s">
        <v>32</v>
      </c>
      <c r="I947">
        <v>0</v>
      </c>
      <c r="J947">
        <v>3</v>
      </c>
      <c r="K947" s="1" t="s">
        <v>1020</v>
      </c>
    </row>
    <row r="948" spans="1:11" hidden="1">
      <c r="A948" s="17" t="s">
        <v>892</v>
      </c>
      <c r="B948" s="19" t="s">
        <v>761</v>
      </c>
      <c r="C948" s="19" t="s">
        <v>905</v>
      </c>
      <c r="D948" s="19" t="s">
        <v>906</v>
      </c>
      <c r="E948" s="20" t="str">
        <f t="shared" si="20"/>
        <v>Tracking</v>
      </c>
      <c r="F948" s="19" t="s">
        <v>905</v>
      </c>
      <c r="G948" s="19" t="s">
        <v>907</v>
      </c>
      <c r="H948" s="19" t="s">
        <v>32</v>
      </c>
      <c r="I948">
        <v>23</v>
      </c>
      <c r="J948">
        <v>84</v>
      </c>
      <c r="K948" s="1" t="s">
        <v>1020</v>
      </c>
    </row>
    <row r="949" spans="1:11" hidden="1">
      <c r="A949" s="17" t="s">
        <v>892</v>
      </c>
      <c r="B949" s="19" t="s">
        <v>761</v>
      </c>
      <c r="C949" s="19" t="s">
        <v>908</v>
      </c>
      <c r="D949" s="19" t="s">
        <v>909</v>
      </c>
      <c r="E949" s="20" t="str">
        <f t="shared" si="20"/>
        <v>Tracking</v>
      </c>
      <c r="F949" s="19" t="s">
        <v>908</v>
      </c>
      <c r="G949" s="19" t="s">
        <v>910</v>
      </c>
      <c r="H949" s="19" t="s">
        <v>32</v>
      </c>
      <c r="I949">
        <v>20</v>
      </c>
      <c r="J949">
        <v>96</v>
      </c>
      <c r="K949" s="1" t="s">
        <v>1020</v>
      </c>
    </row>
    <row r="950" spans="1:11" hidden="1">
      <c r="A950" s="17" t="s">
        <v>892</v>
      </c>
      <c r="B950" s="19" t="s">
        <v>761</v>
      </c>
      <c r="C950" s="19" t="s">
        <v>911</v>
      </c>
      <c r="D950" s="19" t="s">
        <v>912</v>
      </c>
      <c r="E950" s="20" t="str">
        <f t="shared" si="20"/>
        <v>Tracking</v>
      </c>
      <c r="F950" s="19" t="s">
        <v>911</v>
      </c>
      <c r="G950" s="19" t="s">
        <v>913</v>
      </c>
      <c r="H950" s="19" t="s">
        <v>32</v>
      </c>
      <c r="I950">
        <v>16</v>
      </c>
      <c r="J950">
        <v>30</v>
      </c>
      <c r="K950" s="1" t="s">
        <v>1020</v>
      </c>
    </row>
    <row r="951" spans="1:11" hidden="1">
      <c r="A951" s="17" t="s">
        <v>892</v>
      </c>
      <c r="B951" s="19" t="s">
        <v>761</v>
      </c>
      <c r="C951" s="19" t="s">
        <v>914</v>
      </c>
      <c r="D951" s="19" t="s">
        <v>915</v>
      </c>
      <c r="E951" s="20" t="str">
        <f t="shared" si="20"/>
        <v>Tracking</v>
      </c>
      <c r="F951" s="19" t="s">
        <v>914</v>
      </c>
      <c r="G951" s="19" t="s">
        <v>916</v>
      </c>
      <c r="H951" s="19" t="s">
        <v>32</v>
      </c>
      <c r="I951">
        <v>106</v>
      </c>
      <c r="J951">
        <v>134</v>
      </c>
      <c r="K951" s="1" t="s">
        <v>1020</v>
      </c>
    </row>
    <row r="952" spans="1:11" hidden="1">
      <c r="A952" s="17" t="s">
        <v>892</v>
      </c>
      <c r="B952" s="19" t="s">
        <v>761</v>
      </c>
      <c r="C952" s="19" t="s">
        <v>917</v>
      </c>
      <c r="D952" s="19" t="s">
        <v>918</v>
      </c>
      <c r="E952" s="20" t="str">
        <f t="shared" si="20"/>
        <v>Tracking</v>
      </c>
      <c r="F952" s="19" t="s">
        <v>917</v>
      </c>
      <c r="G952" s="19" t="s">
        <v>919</v>
      </c>
      <c r="H952" s="19" t="s">
        <v>32</v>
      </c>
      <c r="I952">
        <v>101</v>
      </c>
      <c r="J952">
        <v>144</v>
      </c>
      <c r="K952" s="1" t="s">
        <v>1020</v>
      </c>
    </row>
    <row r="953" spans="1:11" hidden="1">
      <c r="A953" s="17" t="s">
        <v>892</v>
      </c>
      <c r="B953" s="19" t="s">
        <v>761</v>
      </c>
      <c r="C953" s="19" t="s">
        <v>920</v>
      </c>
      <c r="D953" s="19" t="s">
        <v>921</v>
      </c>
      <c r="E953" s="20" t="str">
        <f t="shared" si="20"/>
        <v>Standard</v>
      </c>
      <c r="F953" s="19" t="s">
        <v>920</v>
      </c>
      <c r="G953" s="19" t="s">
        <v>922</v>
      </c>
      <c r="H953" s="19" t="s">
        <v>32</v>
      </c>
      <c r="I953">
        <v>32</v>
      </c>
      <c r="J953">
        <v>11</v>
      </c>
      <c r="K953" s="1" t="s">
        <v>1020</v>
      </c>
    </row>
    <row r="954" spans="1:11" hidden="1">
      <c r="A954" s="17" t="s">
        <v>892</v>
      </c>
      <c r="B954" s="19" t="s">
        <v>761</v>
      </c>
      <c r="C954" s="19" t="s">
        <v>2879</v>
      </c>
      <c r="D954" s="19" t="s">
        <v>2880</v>
      </c>
      <c r="E954" s="20" t="str">
        <f t="shared" si="20"/>
        <v>Tracking</v>
      </c>
      <c r="F954" s="19" t="s">
        <v>2879</v>
      </c>
      <c r="G954" s="19" t="s">
        <v>2881</v>
      </c>
      <c r="H954" s="19" t="s">
        <v>32</v>
      </c>
      <c r="I954">
        <v>0</v>
      </c>
      <c r="J954">
        <v>23</v>
      </c>
      <c r="K954" s="1" t="s">
        <v>1020</v>
      </c>
    </row>
    <row r="955" spans="1:11" hidden="1">
      <c r="A955" s="17" t="s">
        <v>892</v>
      </c>
      <c r="B955" s="19" t="s">
        <v>761</v>
      </c>
      <c r="C955" s="19" t="s">
        <v>923</v>
      </c>
      <c r="D955" s="19" t="s">
        <v>924</v>
      </c>
      <c r="E955" s="20" t="str">
        <f t="shared" si="20"/>
        <v>Tracking</v>
      </c>
      <c r="F955" s="19" t="s">
        <v>923</v>
      </c>
      <c r="G955" s="19" t="s">
        <v>925</v>
      </c>
      <c r="H955" s="19" t="s">
        <v>32</v>
      </c>
      <c r="I955">
        <v>5</v>
      </c>
      <c r="J955">
        <v>35</v>
      </c>
      <c r="K955" s="1" t="s">
        <v>1020</v>
      </c>
    </row>
    <row r="956" spans="1:11" hidden="1">
      <c r="A956" s="17" t="s">
        <v>892</v>
      </c>
      <c r="B956" s="19" t="s">
        <v>761</v>
      </c>
      <c r="C956" s="19" t="s">
        <v>2882</v>
      </c>
      <c r="D956" s="19" t="s">
        <v>2883</v>
      </c>
      <c r="E956" s="20" t="str">
        <f t="shared" si="20"/>
        <v>Tracking</v>
      </c>
      <c r="F956" s="19" t="s">
        <v>2882</v>
      </c>
      <c r="G956" s="19" t="s">
        <v>2884</v>
      </c>
      <c r="H956" s="19" t="s">
        <v>32</v>
      </c>
      <c r="I956">
        <v>0</v>
      </c>
      <c r="J956">
        <v>6</v>
      </c>
      <c r="K956" s="1" t="s">
        <v>1020</v>
      </c>
    </row>
    <row r="957" spans="1:11" hidden="1">
      <c r="A957" s="17" t="s">
        <v>892</v>
      </c>
      <c r="B957" s="19" t="s">
        <v>253</v>
      </c>
      <c r="C957" s="19" t="s">
        <v>926</v>
      </c>
      <c r="D957" s="19" t="s">
        <v>927</v>
      </c>
      <c r="E957" s="20" t="str">
        <f t="shared" si="20"/>
        <v>Standard</v>
      </c>
      <c r="F957" s="19" t="s">
        <v>926</v>
      </c>
      <c r="G957" s="19" t="s">
        <v>928</v>
      </c>
      <c r="H957" s="19" t="s">
        <v>32</v>
      </c>
      <c r="I957">
        <v>4991</v>
      </c>
      <c r="J957">
        <v>0</v>
      </c>
      <c r="K957" s="1" t="s">
        <v>1020</v>
      </c>
    </row>
    <row r="958" spans="1:11" hidden="1">
      <c r="A958" s="17" t="s">
        <v>892</v>
      </c>
      <c r="B958" s="19" t="s">
        <v>99</v>
      </c>
      <c r="C958" s="19" t="s">
        <v>929</v>
      </c>
      <c r="D958" s="19" t="s">
        <v>930</v>
      </c>
      <c r="E958" s="20" t="str">
        <f t="shared" si="20"/>
        <v>Tracking</v>
      </c>
      <c r="F958" s="19" t="s">
        <v>929</v>
      </c>
      <c r="G958" s="19" t="s">
        <v>931</v>
      </c>
      <c r="H958" s="19" t="s">
        <v>32</v>
      </c>
      <c r="I958">
        <v>0</v>
      </c>
      <c r="J958">
        <v>9</v>
      </c>
      <c r="K958" s="1" t="s">
        <v>1020</v>
      </c>
    </row>
    <row r="959" spans="1:11" hidden="1">
      <c r="A959" s="17" t="s">
        <v>892</v>
      </c>
      <c r="B959" s="19" t="s">
        <v>99</v>
      </c>
      <c r="C959" s="19" t="s">
        <v>932</v>
      </c>
      <c r="D959" s="19" t="s">
        <v>933</v>
      </c>
      <c r="E959" s="20" t="str">
        <f t="shared" si="20"/>
        <v>Tracking</v>
      </c>
      <c r="F959" s="19" t="s">
        <v>932</v>
      </c>
      <c r="G959" s="19" t="s">
        <v>934</v>
      </c>
      <c r="H959" s="19" t="s">
        <v>32</v>
      </c>
      <c r="I959">
        <v>0</v>
      </c>
      <c r="J959">
        <v>2</v>
      </c>
      <c r="K959" s="1" t="s">
        <v>1020</v>
      </c>
    </row>
    <row r="960" spans="1:11" hidden="1">
      <c r="A960" s="17" t="s">
        <v>892</v>
      </c>
      <c r="B960" s="19" t="s">
        <v>763</v>
      </c>
      <c r="C960" s="19" t="s">
        <v>2885</v>
      </c>
      <c r="D960" s="19" t="s">
        <v>2886</v>
      </c>
      <c r="E960" s="20" t="str">
        <f t="shared" si="20"/>
        <v>Standard</v>
      </c>
      <c r="F960" s="19" t="s">
        <v>2885</v>
      </c>
      <c r="G960" s="19" t="s">
        <v>2887</v>
      </c>
      <c r="H960" s="19" t="s">
        <v>32</v>
      </c>
      <c r="I960">
        <v>19</v>
      </c>
      <c r="J960">
        <v>2</v>
      </c>
      <c r="K960" s="1" t="s">
        <v>1020</v>
      </c>
    </row>
    <row r="961" spans="1:11" hidden="1">
      <c r="A961" s="17" t="s">
        <v>892</v>
      </c>
      <c r="B961" s="19" t="s">
        <v>763</v>
      </c>
      <c r="C961" s="19" t="s">
        <v>2888</v>
      </c>
      <c r="D961" s="19" t="s">
        <v>2889</v>
      </c>
      <c r="E961" s="20" t="str">
        <f t="shared" si="20"/>
        <v>Standard</v>
      </c>
      <c r="F961" s="19" t="s">
        <v>2888</v>
      </c>
      <c r="G961" s="19" t="s">
        <v>2890</v>
      </c>
      <c r="H961" s="19" t="s">
        <v>32</v>
      </c>
      <c r="I961">
        <v>6</v>
      </c>
      <c r="J961">
        <v>1</v>
      </c>
      <c r="K961" s="1" t="s">
        <v>1020</v>
      </c>
    </row>
    <row r="962" spans="1:11" hidden="1">
      <c r="A962" s="17" t="s">
        <v>892</v>
      </c>
      <c r="B962" s="19" t="s">
        <v>763</v>
      </c>
      <c r="C962" s="19" t="s">
        <v>2891</v>
      </c>
      <c r="D962" s="19" t="s">
        <v>2892</v>
      </c>
      <c r="E962" s="20" t="str">
        <f t="shared" si="20"/>
        <v>Standard</v>
      </c>
      <c r="F962" s="19" t="s">
        <v>2891</v>
      </c>
      <c r="G962" s="19" t="s">
        <v>2893</v>
      </c>
      <c r="H962" s="19" t="s">
        <v>32</v>
      </c>
      <c r="I962">
        <v>59</v>
      </c>
      <c r="J962">
        <v>4</v>
      </c>
      <c r="K962" s="1" t="s">
        <v>1020</v>
      </c>
    </row>
    <row r="963" spans="1:11" hidden="1">
      <c r="A963" s="17" t="s">
        <v>892</v>
      </c>
      <c r="B963" s="19" t="s">
        <v>763</v>
      </c>
      <c r="C963" s="19" t="s">
        <v>935</v>
      </c>
      <c r="D963" s="19" t="s">
        <v>936</v>
      </c>
      <c r="E963" s="20" t="str">
        <f t="shared" si="20"/>
        <v>Standard</v>
      </c>
      <c r="F963" s="19" t="s">
        <v>935</v>
      </c>
      <c r="G963" s="19" t="s">
        <v>937</v>
      </c>
      <c r="H963" s="19" t="s">
        <v>32</v>
      </c>
      <c r="I963">
        <v>11</v>
      </c>
      <c r="J963">
        <v>2</v>
      </c>
      <c r="K963" s="1" t="s">
        <v>1020</v>
      </c>
    </row>
    <row r="964" spans="1:11" hidden="1">
      <c r="A964" s="17" t="s">
        <v>892</v>
      </c>
      <c r="B964" s="19" t="s">
        <v>763</v>
      </c>
      <c r="C964" s="19" t="s">
        <v>2894</v>
      </c>
      <c r="D964" s="19" t="s">
        <v>2895</v>
      </c>
      <c r="E964" s="20" t="str">
        <f t="shared" si="20"/>
        <v>Tracking</v>
      </c>
      <c r="F964" s="19" t="s">
        <v>2894</v>
      </c>
      <c r="G964" s="19" t="s">
        <v>2896</v>
      </c>
      <c r="H964" s="19" t="s">
        <v>32</v>
      </c>
      <c r="I964">
        <v>8</v>
      </c>
      <c r="J964">
        <v>13</v>
      </c>
      <c r="K964" s="1" t="s">
        <v>1020</v>
      </c>
    </row>
    <row r="965" spans="1:11" hidden="1">
      <c r="A965" s="17" t="s">
        <v>892</v>
      </c>
      <c r="B965" s="19" t="s">
        <v>763</v>
      </c>
      <c r="C965" s="19" t="s">
        <v>2897</v>
      </c>
      <c r="D965" s="19" t="s">
        <v>2898</v>
      </c>
      <c r="E965" s="20" t="str">
        <f t="shared" si="20"/>
        <v>Standard</v>
      </c>
      <c r="F965" s="19" t="s">
        <v>2897</v>
      </c>
      <c r="G965" s="19" t="s">
        <v>2899</v>
      </c>
      <c r="H965" s="19" t="s">
        <v>32</v>
      </c>
      <c r="I965">
        <v>55</v>
      </c>
      <c r="J965">
        <v>4</v>
      </c>
      <c r="K965" s="1" t="s">
        <v>1020</v>
      </c>
    </row>
    <row r="966" spans="1:11" hidden="1">
      <c r="A966" s="17" t="s">
        <v>2900</v>
      </c>
      <c r="B966" s="19" t="s">
        <v>760</v>
      </c>
      <c r="C966" s="19" t="s">
        <v>2901</v>
      </c>
      <c r="D966" s="19" t="s">
        <v>2902</v>
      </c>
      <c r="E966" s="20" t="str">
        <f t="shared" si="20"/>
        <v>Tracking</v>
      </c>
      <c r="F966" s="19" t="s">
        <v>2901</v>
      </c>
      <c r="G966" s="19" t="s">
        <v>2903</v>
      </c>
      <c r="H966" s="19" t="s">
        <v>32</v>
      </c>
      <c r="I966">
        <v>0</v>
      </c>
      <c r="J966">
        <v>5</v>
      </c>
      <c r="K966" s="1" t="s">
        <v>1020</v>
      </c>
    </row>
    <row r="967" spans="1:11" hidden="1">
      <c r="A967" s="17" t="s">
        <v>2900</v>
      </c>
      <c r="B967" s="19" t="s">
        <v>761</v>
      </c>
      <c r="C967" s="19" t="s">
        <v>2904</v>
      </c>
      <c r="D967" s="19" t="s">
        <v>2905</v>
      </c>
      <c r="E967" s="20" t="str">
        <f t="shared" si="20"/>
        <v>Standard</v>
      </c>
      <c r="F967" s="19" t="s">
        <v>2904</v>
      </c>
      <c r="G967" s="19" t="s">
        <v>2906</v>
      </c>
      <c r="H967" s="19" t="s">
        <v>32</v>
      </c>
      <c r="I967">
        <v>5</v>
      </c>
      <c r="J967">
        <v>3</v>
      </c>
      <c r="K967" s="1" t="s">
        <v>1020</v>
      </c>
    </row>
    <row r="968" spans="1:11" hidden="1">
      <c r="A968" s="17" t="s">
        <v>2900</v>
      </c>
      <c r="B968" s="19" t="s">
        <v>761</v>
      </c>
      <c r="C968" s="19" t="s">
        <v>2907</v>
      </c>
      <c r="D968" s="19" t="s">
        <v>2908</v>
      </c>
      <c r="E968" s="20" t="str">
        <f t="shared" si="20"/>
        <v>Standard</v>
      </c>
      <c r="F968" s="19" t="s">
        <v>2907</v>
      </c>
      <c r="G968" s="19" t="s">
        <v>2909</v>
      </c>
      <c r="H968" s="19" t="s">
        <v>32</v>
      </c>
      <c r="I968">
        <v>10</v>
      </c>
      <c r="J968">
        <v>0</v>
      </c>
      <c r="K968" s="1" t="s">
        <v>1020</v>
      </c>
    </row>
    <row r="969" spans="1:11" hidden="1">
      <c r="A969" s="17" t="s">
        <v>2900</v>
      </c>
      <c r="B969" s="19" t="s">
        <v>761</v>
      </c>
      <c r="C969" s="19" t="s">
        <v>2910</v>
      </c>
      <c r="D969" s="19" t="s">
        <v>2911</v>
      </c>
      <c r="E969" s="20" t="str">
        <f t="shared" si="20"/>
        <v>Standard</v>
      </c>
      <c r="F969" s="19" t="s">
        <v>2910</v>
      </c>
      <c r="G969" s="19" t="s">
        <v>2912</v>
      </c>
      <c r="H969" s="19" t="s">
        <v>32</v>
      </c>
      <c r="I969">
        <v>22</v>
      </c>
      <c r="J969">
        <v>0</v>
      </c>
      <c r="K969" s="1" t="s">
        <v>1020</v>
      </c>
    </row>
    <row r="970" spans="1:11" hidden="1">
      <c r="A970" s="17" t="s">
        <v>2900</v>
      </c>
      <c r="B970" s="19" t="s">
        <v>761</v>
      </c>
      <c r="C970" s="19" t="s">
        <v>2913</v>
      </c>
      <c r="D970" s="19" t="s">
        <v>2914</v>
      </c>
      <c r="E970" s="20" t="str">
        <f t="shared" si="20"/>
        <v>Standard</v>
      </c>
      <c r="F970" s="19" t="s">
        <v>2913</v>
      </c>
      <c r="G970" s="19" t="s">
        <v>2915</v>
      </c>
      <c r="H970" s="19" t="s">
        <v>32</v>
      </c>
      <c r="I970">
        <v>3</v>
      </c>
      <c r="J970">
        <v>0</v>
      </c>
      <c r="K970" s="1" t="s">
        <v>1020</v>
      </c>
    </row>
    <row r="971" spans="1:11" hidden="1">
      <c r="A971" s="17" t="s">
        <v>2900</v>
      </c>
      <c r="B971" s="19" t="s">
        <v>761</v>
      </c>
      <c r="C971" s="19" t="s">
        <v>2916</v>
      </c>
      <c r="D971" s="19" t="s">
        <v>2917</v>
      </c>
      <c r="E971" s="20" t="str">
        <f t="shared" si="20"/>
        <v>Standard</v>
      </c>
      <c r="F971" s="19" t="s">
        <v>2916</v>
      </c>
      <c r="G971" s="19" t="s">
        <v>2918</v>
      </c>
      <c r="H971" s="19" t="s">
        <v>32</v>
      </c>
      <c r="I971">
        <v>6</v>
      </c>
      <c r="J971">
        <v>0</v>
      </c>
      <c r="K971" s="1" t="s">
        <v>1020</v>
      </c>
    </row>
    <row r="972" spans="1:11" hidden="1">
      <c r="A972" s="17" t="s">
        <v>2900</v>
      </c>
      <c r="B972" s="19" t="s">
        <v>761</v>
      </c>
      <c r="C972" s="19" t="s">
        <v>2919</v>
      </c>
      <c r="D972" s="19" t="s">
        <v>2920</v>
      </c>
      <c r="E972" s="20" t="str">
        <f t="shared" si="20"/>
        <v>Standard</v>
      </c>
      <c r="F972" s="19" t="s">
        <v>2919</v>
      </c>
      <c r="G972" s="19" t="s">
        <v>2921</v>
      </c>
      <c r="H972" s="19" t="s">
        <v>32</v>
      </c>
      <c r="I972">
        <v>6</v>
      </c>
      <c r="J972">
        <v>0</v>
      </c>
      <c r="K972" s="1" t="s">
        <v>1020</v>
      </c>
    </row>
    <row r="973" spans="1:11" hidden="1">
      <c r="A973" s="17" t="s">
        <v>938</v>
      </c>
      <c r="B973" s="19" t="s">
        <v>52</v>
      </c>
      <c r="C973" s="19" t="s">
        <v>939</v>
      </c>
      <c r="D973" s="19" t="s">
        <v>940</v>
      </c>
      <c r="E973" s="20" t="str">
        <f t="shared" si="20"/>
        <v>Tracking</v>
      </c>
      <c r="F973" s="19" t="s">
        <v>939</v>
      </c>
      <c r="G973" s="19" t="s">
        <v>941</v>
      </c>
      <c r="H973" s="19" t="s">
        <v>32</v>
      </c>
      <c r="I973">
        <v>0</v>
      </c>
      <c r="J973">
        <v>3</v>
      </c>
      <c r="K973" s="1" t="s">
        <v>1020</v>
      </c>
    </row>
    <row r="974" spans="1:11" hidden="1">
      <c r="A974" s="17" t="s">
        <v>938</v>
      </c>
      <c r="B974" s="19" t="s">
        <v>50</v>
      </c>
      <c r="C974" s="19" t="s">
        <v>942</v>
      </c>
      <c r="D974" s="19" t="s">
        <v>943</v>
      </c>
      <c r="E974" s="20" t="s">
        <v>12</v>
      </c>
      <c r="F974" s="19" t="s">
        <v>942</v>
      </c>
      <c r="G974" s="19" t="s">
        <v>944</v>
      </c>
      <c r="H974" s="19" t="s">
        <v>31</v>
      </c>
      <c r="I974">
        <v>5</v>
      </c>
      <c r="J974">
        <v>0</v>
      </c>
      <c r="K974" s="1" t="s">
        <v>1020</v>
      </c>
    </row>
    <row r="975" spans="1:11" hidden="1">
      <c r="A975" s="17" t="s">
        <v>938</v>
      </c>
      <c r="B975" s="19" t="s">
        <v>761</v>
      </c>
      <c r="C975" s="19" t="s">
        <v>2922</v>
      </c>
      <c r="D975" s="19" t="s">
        <v>2923</v>
      </c>
      <c r="E975" s="20" t="str">
        <f t="shared" ref="E975:E987" si="21">IF(I975&gt;J975,"Standard","Tracking")</f>
        <v>Tracking</v>
      </c>
      <c r="F975" s="19" t="s">
        <v>2922</v>
      </c>
      <c r="G975" s="19" t="s">
        <v>2924</v>
      </c>
      <c r="H975" s="19" t="s">
        <v>32</v>
      </c>
      <c r="I975">
        <v>0</v>
      </c>
      <c r="J975">
        <v>3</v>
      </c>
      <c r="K975" s="1" t="s">
        <v>1020</v>
      </c>
    </row>
    <row r="976" spans="1:11" hidden="1">
      <c r="A976" s="17" t="s">
        <v>938</v>
      </c>
      <c r="B976" s="19" t="s">
        <v>761</v>
      </c>
      <c r="C976" s="19" t="s">
        <v>2925</v>
      </c>
      <c r="D976" s="19" t="s">
        <v>2926</v>
      </c>
      <c r="E976" s="20" t="str">
        <f t="shared" si="21"/>
        <v>Tracking</v>
      </c>
      <c r="F976" s="19" t="s">
        <v>2925</v>
      </c>
      <c r="G976" s="19" t="s">
        <v>2927</v>
      </c>
      <c r="H976" s="19" t="s">
        <v>32</v>
      </c>
      <c r="I976">
        <v>0</v>
      </c>
      <c r="J976">
        <v>5</v>
      </c>
      <c r="K976" s="1" t="s">
        <v>1020</v>
      </c>
    </row>
    <row r="977" spans="1:11" hidden="1">
      <c r="A977" s="17" t="s">
        <v>938</v>
      </c>
      <c r="B977" s="19" t="s">
        <v>761</v>
      </c>
      <c r="C977" s="19" t="s">
        <v>2928</v>
      </c>
      <c r="D977" s="19" t="s">
        <v>2929</v>
      </c>
      <c r="E977" s="20" t="str">
        <f t="shared" si="21"/>
        <v>Tracking</v>
      </c>
      <c r="F977" s="19" t="s">
        <v>2928</v>
      </c>
      <c r="G977" s="19" t="s">
        <v>2930</v>
      </c>
      <c r="H977" s="19" t="s">
        <v>32</v>
      </c>
      <c r="I977">
        <v>0</v>
      </c>
      <c r="J977">
        <v>2</v>
      </c>
      <c r="K977" s="1" t="s">
        <v>1020</v>
      </c>
    </row>
    <row r="978" spans="1:11" hidden="1">
      <c r="A978" s="17" t="s">
        <v>938</v>
      </c>
      <c r="B978" s="19" t="s">
        <v>761</v>
      </c>
      <c r="C978" s="19" t="s">
        <v>945</v>
      </c>
      <c r="D978" s="19" t="s">
        <v>946</v>
      </c>
      <c r="E978" s="20" t="str">
        <f t="shared" si="21"/>
        <v>Standard</v>
      </c>
      <c r="F978" s="19" t="s">
        <v>945</v>
      </c>
      <c r="G978" s="19" t="s">
        <v>947</v>
      </c>
      <c r="H978" s="19" t="s">
        <v>32</v>
      </c>
      <c r="I978">
        <v>17</v>
      </c>
      <c r="J978">
        <v>7</v>
      </c>
      <c r="K978" s="1" t="s">
        <v>1020</v>
      </c>
    </row>
    <row r="979" spans="1:11" hidden="1">
      <c r="A979" s="17" t="s">
        <v>938</v>
      </c>
      <c r="B979" s="19" t="s">
        <v>761</v>
      </c>
      <c r="C979" s="19" t="s">
        <v>948</v>
      </c>
      <c r="D979" s="19" t="s">
        <v>949</v>
      </c>
      <c r="E979" s="20" t="str">
        <f t="shared" si="21"/>
        <v>Standard</v>
      </c>
      <c r="F979" s="19" t="s">
        <v>948</v>
      </c>
      <c r="G979" s="19" t="s">
        <v>950</v>
      </c>
      <c r="H979" s="19" t="s">
        <v>32</v>
      </c>
      <c r="I979">
        <v>98</v>
      </c>
      <c r="J979">
        <v>8</v>
      </c>
      <c r="K979" s="1" t="s">
        <v>1020</v>
      </c>
    </row>
    <row r="980" spans="1:11" hidden="1">
      <c r="A980" s="17" t="s">
        <v>938</v>
      </c>
      <c r="B980" s="19" t="s">
        <v>761</v>
      </c>
      <c r="C980" s="19" t="s">
        <v>951</v>
      </c>
      <c r="D980" s="19" t="s">
        <v>952</v>
      </c>
      <c r="E980" s="20" t="str">
        <f t="shared" si="21"/>
        <v>Tracking</v>
      </c>
      <c r="F980" s="19" t="s">
        <v>951</v>
      </c>
      <c r="G980" s="19" t="s">
        <v>953</v>
      </c>
      <c r="H980" s="19" t="s">
        <v>32</v>
      </c>
      <c r="I980">
        <v>0</v>
      </c>
      <c r="J980">
        <v>3</v>
      </c>
      <c r="K980" s="1" t="s">
        <v>1020</v>
      </c>
    </row>
    <row r="981" spans="1:11" hidden="1">
      <c r="A981" s="17" t="s">
        <v>938</v>
      </c>
      <c r="B981" s="19" t="s">
        <v>761</v>
      </c>
      <c r="C981" s="19" t="s">
        <v>954</v>
      </c>
      <c r="D981" s="19" t="s">
        <v>955</v>
      </c>
      <c r="E981" s="20" t="str">
        <f t="shared" si="21"/>
        <v>Tracking</v>
      </c>
      <c r="F981" s="19" t="s">
        <v>954</v>
      </c>
      <c r="G981" s="19" t="s">
        <v>956</v>
      </c>
      <c r="H981" s="19" t="s">
        <v>32</v>
      </c>
      <c r="I981">
        <v>0</v>
      </c>
      <c r="J981">
        <v>7</v>
      </c>
      <c r="K981" s="1" t="s">
        <v>1020</v>
      </c>
    </row>
    <row r="982" spans="1:11" hidden="1">
      <c r="A982" s="17" t="s">
        <v>938</v>
      </c>
      <c r="B982" s="19" t="s">
        <v>88</v>
      </c>
      <c r="C982" s="19" t="s">
        <v>957</v>
      </c>
      <c r="D982" s="19" t="s">
        <v>958</v>
      </c>
      <c r="E982" s="20" t="str">
        <f t="shared" si="21"/>
        <v>Tracking</v>
      </c>
      <c r="F982" s="19" t="s">
        <v>957</v>
      </c>
      <c r="G982" s="19" t="s">
        <v>959</v>
      </c>
      <c r="H982" s="19" t="s">
        <v>32</v>
      </c>
      <c r="I982">
        <v>2</v>
      </c>
      <c r="J982">
        <v>2</v>
      </c>
      <c r="K982" s="1" t="s">
        <v>1020</v>
      </c>
    </row>
    <row r="983" spans="1:11" hidden="1">
      <c r="A983" s="17" t="s">
        <v>938</v>
      </c>
      <c r="B983" s="19" t="s">
        <v>88</v>
      </c>
      <c r="C983" s="19" t="s">
        <v>2931</v>
      </c>
      <c r="D983" s="19" t="s">
        <v>2932</v>
      </c>
      <c r="E983" s="20" t="str">
        <f t="shared" si="21"/>
        <v>Standard</v>
      </c>
      <c r="F983" s="19" t="s">
        <v>2931</v>
      </c>
      <c r="G983" s="19" t="s">
        <v>2933</v>
      </c>
      <c r="H983" s="19" t="s">
        <v>32</v>
      </c>
      <c r="I983">
        <v>1</v>
      </c>
      <c r="J983">
        <v>0</v>
      </c>
      <c r="K983" s="1" t="s">
        <v>1020</v>
      </c>
    </row>
    <row r="984" spans="1:11" hidden="1">
      <c r="A984" s="17" t="s">
        <v>938</v>
      </c>
      <c r="B984" s="19" t="s">
        <v>88</v>
      </c>
      <c r="C984" s="19" t="s">
        <v>2934</v>
      </c>
      <c r="D984" s="19" t="s">
        <v>2935</v>
      </c>
      <c r="E984" s="20" t="str">
        <f t="shared" si="21"/>
        <v>Standard</v>
      </c>
      <c r="F984" s="19" t="s">
        <v>2934</v>
      </c>
      <c r="G984" s="19" t="s">
        <v>2936</v>
      </c>
      <c r="H984" s="19" t="s">
        <v>32</v>
      </c>
      <c r="I984">
        <v>4</v>
      </c>
      <c r="J984">
        <v>0</v>
      </c>
      <c r="K984" s="1" t="s">
        <v>1020</v>
      </c>
    </row>
    <row r="985" spans="1:11" hidden="1">
      <c r="A985" s="17" t="s">
        <v>938</v>
      </c>
      <c r="B985" s="19" t="s">
        <v>253</v>
      </c>
      <c r="C985" s="19" t="s">
        <v>960</v>
      </c>
      <c r="D985" s="19" t="s">
        <v>961</v>
      </c>
      <c r="E985" s="20" t="str">
        <f t="shared" si="21"/>
        <v>Standard</v>
      </c>
      <c r="F985" s="19" t="s">
        <v>960</v>
      </c>
      <c r="G985" s="19" t="s">
        <v>962</v>
      </c>
      <c r="H985" s="19" t="s">
        <v>32</v>
      </c>
      <c r="I985">
        <v>109</v>
      </c>
      <c r="J985">
        <v>0</v>
      </c>
      <c r="K985" s="1" t="s">
        <v>1020</v>
      </c>
    </row>
    <row r="986" spans="1:11" hidden="1">
      <c r="A986" s="17" t="s">
        <v>938</v>
      </c>
      <c r="B986" s="19" t="s">
        <v>99</v>
      </c>
      <c r="C986" s="19" t="s">
        <v>2937</v>
      </c>
      <c r="D986" s="19" t="s">
        <v>2938</v>
      </c>
      <c r="E986" s="20" t="str">
        <f t="shared" si="21"/>
        <v>Tracking</v>
      </c>
      <c r="F986" s="19" t="s">
        <v>2937</v>
      </c>
      <c r="G986" s="19" t="s">
        <v>2939</v>
      </c>
      <c r="H986" s="19" t="s">
        <v>32</v>
      </c>
      <c r="I986">
        <v>0</v>
      </c>
      <c r="J986">
        <v>1</v>
      </c>
      <c r="K986" s="1" t="s">
        <v>1020</v>
      </c>
    </row>
    <row r="987" spans="1:11" hidden="1">
      <c r="A987" s="17" t="s">
        <v>963</v>
      </c>
      <c r="B987" s="19" t="s">
        <v>760</v>
      </c>
      <c r="C987" s="19" t="s">
        <v>1736</v>
      </c>
      <c r="D987" s="19" t="s">
        <v>1737</v>
      </c>
      <c r="E987" s="20" t="str">
        <f t="shared" si="21"/>
        <v>Tracking</v>
      </c>
      <c r="F987" s="19" t="s">
        <v>1736</v>
      </c>
      <c r="G987" s="19" t="s">
        <v>1738</v>
      </c>
      <c r="H987" s="19" t="s">
        <v>32</v>
      </c>
      <c r="I987">
        <v>0</v>
      </c>
      <c r="J987">
        <v>1</v>
      </c>
      <c r="K987" s="1" t="s">
        <v>1020</v>
      </c>
    </row>
    <row r="988" spans="1:11" hidden="1">
      <c r="A988" s="17" t="s">
        <v>964</v>
      </c>
      <c r="B988" s="19" t="s">
        <v>2940</v>
      </c>
      <c r="C988" s="19" t="s">
        <v>2941</v>
      </c>
      <c r="D988" s="19" t="s">
        <v>2942</v>
      </c>
      <c r="E988" s="20" t="s">
        <v>12</v>
      </c>
      <c r="F988" s="19" t="s">
        <v>2941</v>
      </c>
      <c r="G988" s="19" t="s">
        <v>2943</v>
      </c>
      <c r="H988" s="19" t="s">
        <v>31</v>
      </c>
      <c r="I988">
        <v>2</v>
      </c>
      <c r="J988">
        <v>0</v>
      </c>
      <c r="K988" s="1" t="s">
        <v>1020</v>
      </c>
    </row>
    <row r="989" spans="1:11" hidden="1">
      <c r="A989" s="17" t="s">
        <v>964</v>
      </c>
      <c r="B989" s="19" t="s">
        <v>2940</v>
      </c>
      <c r="C989" s="19" t="s">
        <v>2944</v>
      </c>
      <c r="D989" s="19" t="s">
        <v>2945</v>
      </c>
      <c r="E989" s="20" t="s">
        <v>12</v>
      </c>
      <c r="F989" s="19" t="s">
        <v>2944</v>
      </c>
      <c r="G989" s="19" t="s">
        <v>2946</v>
      </c>
      <c r="H989" s="19" t="s">
        <v>31</v>
      </c>
      <c r="I989">
        <v>3</v>
      </c>
      <c r="J989">
        <v>0</v>
      </c>
      <c r="K989" s="1" t="s">
        <v>1020</v>
      </c>
    </row>
    <row r="990" spans="1:11" hidden="1">
      <c r="A990" s="17" t="s">
        <v>964</v>
      </c>
      <c r="B990" s="19" t="s">
        <v>52</v>
      </c>
      <c r="C990" s="19" t="s">
        <v>965</v>
      </c>
      <c r="D990" s="19" t="s">
        <v>966</v>
      </c>
      <c r="E990" s="20" t="str">
        <f t="shared" ref="E990:E1011" si="22">IF(I990&gt;J990,"Standard","Tracking")</f>
        <v>Tracking</v>
      </c>
      <c r="F990" s="19" t="s">
        <v>965</v>
      </c>
      <c r="G990" s="19" t="s">
        <v>967</v>
      </c>
      <c r="H990" s="19" t="s">
        <v>32</v>
      </c>
      <c r="I990">
        <v>0</v>
      </c>
      <c r="J990">
        <v>11</v>
      </c>
      <c r="K990" s="1" t="s">
        <v>1020</v>
      </c>
    </row>
    <row r="991" spans="1:11" hidden="1">
      <c r="A991" s="17" t="s">
        <v>964</v>
      </c>
      <c r="B991" s="19" t="s">
        <v>52</v>
      </c>
      <c r="C991" s="19" t="s">
        <v>968</v>
      </c>
      <c r="D991" s="19" t="s">
        <v>969</v>
      </c>
      <c r="E991" s="20" t="str">
        <f t="shared" si="22"/>
        <v>Tracking</v>
      </c>
      <c r="F991" s="19" t="s">
        <v>968</v>
      </c>
      <c r="G991" s="19" t="s">
        <v>970</v>
      </c>
      <c r="H991" s="19" t="s">
        <v>32</v>
      </c>
      <c r="I991">
        <v>0</v>
      </c>
      <c r="J991">
        <v>8</v>
      </c>
      <c r="K991" s="1" t="s">
        <v>1020</v>
      </c>
    </row>
    <row r="992" spans="1:11" hidden="1">
      <c r="A992" s="17" t="s">
        <v>964</v>
      </c>
      <c r="B992" s="19" t="s">
        <v>52</v>
      </c>
      <c r="C992" s="19" t="s">
        <v>971</v>
      </c>
      <c r="D992" s="19" t="s">
        <v>972</v>
      </c>
      <c r="E992" s="20" t="str">
        <f t="shared" si="22"/>
        <v>Tracking</v>
      </c>
      <c r="F992" s="19" t="s">
        <v>971</v>
      </c>
      <c r="G992" s="19" t="s">
        <v>973</v>
      </c>
      <c r="H992" s="19" t="s">
        <v>32</v>
      </c>
      <c r="I992">
        <v>0</v>
      </c>
      <c r="J992">
        <v>3</v>
      </c>
      <c r="K992" s="1" t="s">
        <v>1020</v>
      </c>
    </row>
    <row r="993" spans="1:11" hidden="1">
      <c r="A993" s="17" t="s">
        <v>964</v>
      </c>
      <c r="B993" s="19" t="s">
        <v>52</v>
      </c>
      <c r="C993" s="19" t="s">
        <v>974</v>
      </c>
      <c r="D993" s="19" t="s">
        <v>975</v>
      </c>
      <c r="E993" s="20" t="str">
        <f t="shared" si="22"/>
        <v>Tracking</v>
      </c>
      <c r="F993" s="19" t="s">
        <v>974</v>
      </c>
      <c r="G993" s="19" t="s">
        <v>976</v>
      </c>
      <c r="H993" s="19" t="s">
        <v>32</v>
      </c>
      <c r="I993">
        <v>0</v>
      </c>
      <c r="J993">
        <v>23</v>
      </c>
      <c r="K993" s="1" t="s">
        <v>1020</v>
      </c>
    </row>
    <row r="994" spans="1:11" hidden="1">
      <c r="A994" s="17" t="s">
        <v>964</v>
      </c>
      <c r="B994" s="19" t="s">
        <v>50</v>
      </c>
      <c r="C994" s="19" t="s">
        <v>1739</v>
      </c>
      <c r="D994" s="19" t="s">
        <v>1740</v>
      </c>
      <c r="E994" s="20" t="str">
        <f t="shared" si="22"/>
        <v>Standard</v>
      </c>
      <c r="F994" s="19" t="s">
        <v>1739</v>
      </c>
      <c r="G994" s="19" t="s">
        <v>1741</v>
      </c>
      <c r="H994" s="19" t="s">
        <v>32</v>
      </c>
      <c r="I994">
        <v>1</v>
      </c>
      <c r="J994">
        <v>0</v>
      </c>
      <c r="K994" s="1" t="s">
        <v>1020</v>
      </c>
    </row>
    <row r="995" spans="1:11" hidden="1">
      <c r="A995" s="17" t="s">
        <v>964</v>
      </c>
      <c r="B995" s="19" t="s">
        <v>50</v>
      </c>
      <c r="C995" s="19" t="s">
        <v>2947</v>
      </c>
      <c r="D995" s="19" t="s">
        <v>2948</v>
      </c>
      <c r="E995" s="20" t="str">
        <f t="shared" si="22"/>
        <v>Tracking</v>
      </c>
      <c r="F995" s="19" t="s">
        <v>2947</v>
      </c>
      <c r="G995" s="19" t="s">
        <v>2949</v>
      </c>
      <c r="H995" s="19" t="s">
        <v>32</v>
      </c>
      <c r="I995">
        <v>0</v>
      </c>
      <c r="J995">
        <v>1</v>
      </c>
      <c r="K995" s="1" t="s">
        <v>1020</v>
      </c>
    </row>
    <row r="996" spans="1:11" hidden="1">
      <c r="A996" s="17" t="s">
        <v>964</v>
      </c>
      <c r="B996" s="19" t="s">
        <v>50</v>
      </c>
      <c r="C996" s="19" t="s">
        <v>2950</v>
      </c>
      <c r="D996" s="19" t="s">
        <v>2951</v>
      </c>
      <c r="E996" s="20" t="str">
        <f t="shared" si="22"/>
        <v>Tracking</v>
      </c>
      <c r="F996" s="19" t="s">
        <v>2950</v>
      </c>
      <c r="G996" s="19" t="s">
        <v>2952</v>
      </c>
      <c r="H996" s="19" t="s">
        <v>32</v>
      </c>
      <c r="I996">
        <v>0</v>
      </c>
      <c r="J996">
        <v>1</v>
      </c>
      <c r="K996" s="1" t="s">
        <v>1020</v>
      </c>
    </row>
    <row r="997" spans="1:11" hidden="1">
      <c r="A997" s="17" t="s">
        <v>964</v>
      </c>
      <c r="B997" s="19" t="s">
        <v>118</v>
      </c>
      <c r="C997" s="19" t="s">
        <v>977</v>
      </c>
      <c r="D997" s="19" t="s">
        <v>978</v>
      </c>
      <c r="E997" s="20" t="str">
        <f t="shared" si="22"/>
        <v>Standard</v>
      </c>
      <c r="F997" s="19" t="s">
        <v>977</v>
      </c>
      <c r="G997" s="19" t="s">
        <v>979</v>
      </c>
      <c r="H997" s="19" t="s">
        <v>32</v>
      </c>
      <c r="I997">
        <v>15</v>
      </c>
      <c r="J997">
        <v>10</v>
      </c>
      <c r="K997" s="1" t="s">
        <v>1020</v>
      </c>
    </row>
    <row r="998" spans="1:11" hidden="1">
      <c r="A998" s="17" t="s">
        <v>964</v>
      </c>
      <c r="B998" s="19" t="s">
        <v>118</v>
      </c>
      <c r="C998" s="19" t="s">
        <v>2953</v>
      </c>
      <c r="D998" s="19" t="s">
        <v>2954</v>
      </c>
      <c r="E998" s="20" t="str">
        <f t="shared" si="22"/>
        <v>Tracking</v>
      </c>
      <c r="F998" s="19" t="s">
        <v>2953</v>
      </c>
      <c r="G998" s="19" t="s">
        <v>2955</v>
      </c>
      <c r="H998" s="19" t="s">
        <v>32</v>
      </c>
      <c r="I998">
        <v>0</v>
      </c>
      <c r="J998">
        <v>1</v>
      </c>
      <c r="K998" s="1" t="s">
        <v>1020</v>
      </c>
    </row>
    <row r="999" spans="1:11" hidden="1">
      <c r="A999" s="17" t="s">
        <v>964</v>
      </c>
      <c r="B999" s="19" t="s">
        <v>762</v>
      </c>
      <c r="C999" s="19" t="s">
        <v>981</v>
      </c>
      <c r="D999" s="19" t="s">
        <v>982</v>
      </c>
      <c r="E999" s="20" t="str">
        <f t="shared" si="22"/>
        <v>Tracking</v>
      </c>
      <c r="F999" s="19" t="s">
        <v>981</v>
      </c>
      <c r="G999" s="19" t="s">
        <v>983</v>
      </c>
      <c r="H999" s="19" t="s">
        <v>32</v>
      </c>
      <c r="I999">
        <v>0</v>
      </c>
      <c r="J999">
        <v>20</v>
      </c>
      <c r="K999" s="1" t="s">
        <v>1020</v>
      </c>
    </row>
    <row r="1000" spans="1:11" hidden="1">
      <c r="A1000" s="17" t="s">
        <v>964</v>
      </c>
      <c r="B1000" s="19" t="s">
        <v>762</v>
      </c>
      <c r="C1000" s="19" t="s">
        <v>2956</v>
      </c>
      <c r="D1000" s="19" t="s">
        <v>2957</v>
      </c>
      <c r="E1000" s="20" t="str">
        <f t="shared" si="22"/>
        <v>Tracking</v>
      </c>
      <c r="F1000" s="19" t="s">
        <v>2956</v>
      </c>
      <c r="G1000" s="19" t="s">
        <v>2958</v>
      </c>
      <c r="H1000" s="19" t="s">
        <v>32</v>
      </c>
      <c r="I1000">
        <v>0</v>
      </c>
      <c r="J1000">
        <v>4</v>
      </c>
      <c r="K1000" s="1" t="s">
        <v>1020</v>
      </c>
    </row>
    <row r="1001" spans="1:11" hidden="1">
      <c r="A1001" s="17" t="s">
        <v>964</v>
      </c>
      <c r="B1001" s="19" t="s">
        <v>887</v>
      </c>
      <c r="C1001" s="19" t="s">
        <v>2959</v>
      </c>
      <c r="D1001" s="19" t="s">
        <v>2960</v>
      </c>
      <c r="E1001" s="20" t="str">
        <f t="shared" si="22"/>
        <v>Standard</v>
      </c>
      <c r="F1001" s="19" t="s">
        <v>2959</v>
      </c>
      <c r="G1001" s="19" t="s">
        <v>2961</v>
      </c>
      <c r="H1001" s="19" t="s">
        <v>32</v>
      </c>
      <c r="I1001">
        <v>4</v>
      </c>
      <c r="J1001">
        <v>0</v>
      </c>
      <c r="K1001" s="1" t="s">
        <v>1020</v>
      </c>
    </row>
    <row r="1002" spans="1:11" hidden="1">
      <c r="A1002" s="17" t="s">
        <v>964</v>
      </c>
      <c r="B1002" s="19" t="s">
        <v>887</v>
      </c>
      <c r="C1002" s="19" t="s">
        <v>984</v>
      </c>
      <c r="D1002" s="19" t="s">
        <v>2962</v>
      </c>
      <c r="E1002" s="20" t="str">
        <f t="shared" si="22"/>
        <v>Standard</v>
      </c>
      <c r="F1002" s="19" t="s">
        <v>984</v>
      </c>
      <c r="G1002" s="19" t="s">
        <v>2963</v>
      </c>
      <c r="H1002" s="19" t="s">
        <v>32</v>
      </c>
      <c r="I1002">
        <v>1</v>
      </c>
      <c r="J1002">
        <v>0</v>
      </c>
      <c r="K1002" s="1" t="s">
        <v>1020</v>
      </c>
    </row>
    <row r="1003" spans="1:11" hidden="1">
      <c r="A1003" s="17" t="s">
        <v>964</v>
      </c>
      <c r="B1003" s="19" t="s">
        <v>887</v>
      </c>
      <c r="C1003" s="19" t="s">
        <v>2964</v>
      </c>
      <c r="D1003" s="19" t="s">
        <v>2965</v>
      </c>
      <c r="E1003" s="20" t="str">
        <f t="shared" si="22"/>
        <v>Standard</v>
      </c>
      <c r="F1003" s="19" t="s">
        <v>2964</v>
      </c>
      <c r="G1003" s="19" t="s">
        <v>2966</v>
      </c>
      <c r="H1003" s="19" t="s">
        <v>32</v>
      </c>
      <c r="I1003">
        <v>1</v>
      </c>
      <c r="J1003">
        <v>0</v>
      </c>
      <c r="K1003" s="1" t="s">
        <v>1020</v>
      </c>
    </row>
    <row r="1004" spans="1:11" hidden="1">
      <c r="A1004" s="17" t="s">
        <v>964</v>
      </c>
      <c r="B1004" s="19" t="s">
        <v>763</v>
      </c>
      <c r="C1004" s="19" t="s">
        <v>2967</v>
      </c>
      <c r="D1004" s="19" t="s">
        <v>2968</v>
      </c>
      <c r="E1004" s="20" t="str">
        <f t="shared" si="22"/>
        <v>Standard</v>
      </c>
      <c r="F1004" s="19" t="s">
        <v>2967</v>
      </c>
      <c r="G1004" s="19" t="s">
        <v>2969</v>
      </c>
      <c r="H1004" s="19" t="s">
        <v>32</v>
      </c>
      <c r="I1004">
        <v>1</v>
      </c>
      <c r="J1004">
        <v>0</v>
      </c>
      <c r="K1004" s="1" t="s">
        <v>1020</v>
      </c>
    </row>
    <row r="1005" spans="1:11" hidden="1">
      <c r="A1005" s="17" t="s">
        <v>964</v>
      </c>
      <c r="B1005" s="19" t="s">
        <v>763</v>
      </c>
      <c r="C1005" s="19" t="s">
        <v>2970</v>
      </c>
      <c r="D1005" s="19" t="s">
        <v>2971</v>
      </c>
      <c r="E1005" s="20" t="str">
        <f t="shared" si="22"/>
        <v>Standard</v>
      </c>
      <c r="F1005" s="19" t="s">
        <v>2970</v>
      </c>
      <c r="G1005" s="19" t="s">
        <v>2972</v>
      </c>
      <c r="H1005" s="19" t="s">
        <v>32</v>
      </c>
      <c r="I1005">
        <v>3</v>
      </c>
      <c r="J1005">
        <v>0</v>
      </c>
      <c r="K1005" s="1" t="s">
        <v>1020</v>
      </c>
    </row>
    <row r="1006" spans="1:11" hidden="1">
      <c r="A1006" s="17" t="s">
        <v>985</v>
      </c>
      <c r="B1006" s="19" t="s">
        <v>986</v>
      </c>
      <c r="C1006" s="19" t="s">
        <v>2973</v>
      </c>
      <c r="D1006" s="19" t="s">
        <v>2974</v>
      </c>
      <c r="E1006" s="20" t="str">
        <f t="shared" si="22"/>
        <v>Standard</v>
      </c>
      <c r="F1006" s="19" t="s">
        <v>2973</v>
      </c>
      <c r="G1006" s="19" t="s">
        <v>2975</v>
      </c>
      <c r="H1006" s="19" t="s">
        <v>32</v>
      </c>
      <c r="I1006">
        <v>8</v>
      </c>
      <c r="J1006">
        <v>0</v>
      </c>
      <c r="K1006" s="1" t="s">
        <v>1020</v>
      </c>
    </row>
    <row r="1007" spans="1:11" hidden="1">
      <c r="A1007" s="17" t="s">
        <v>985</v>
      </c>
      <c r="B1007" s="19" t="s">
        <v>986</v>
      </c>
      <c r="C1007" s="19" t="s">
        <v>987</v>
      </c>
      <c r="D1007" s="19" t="s">
        <v>988</v>
      </c>
      <c r="E1007" s="20" t="str">
        <f t="shared" si="22"/>
        <v>Standard</v>
      </c>
      <c r="F1007" s="19" t="s">
        <v>987</v>
      </c>
      <c r="G1007" s="19" t="s">
        <v>989</v>
      </c>
      <c r="H1007" s="19" t="s">
        <v>32</v>
      </c>
      <c r="I1007">
        <v>4</v>
      </c>
      <c r="J1007">
        <v>1</v>
      </c>
      <c r="K1007" s="1" t="s">
        <v>1020</v>
      </c>
    </row>
    <row r="1008" spans="1:11" hidden="1">
      <c r="A1008" s="17" t="s">
        <v>985</v>
      </c>
      <c r="B1008" s="19" t="s">
        <v>52</v>
      </c>
      <c r="C1008" s="19" t="s">
        <v>2976</v>
      </c>
      <c r="D1008" s="19" t="s">
        <v>2977</v>
      </c>
      <c r="E1008" s="20" t="str">
        <f t="shared" si="22"/>
        <v>Tracking</v>
      </c>
      <c r="F1008" s="19" t="s">
        <v>2976</v>
      </c>
      <c r="G1008" s="19" t="s">
        <v>2978</v>
      </c>
      <c r="H1008" s="19" t="s">
        <v>32</v>
      </c>
      <c r="I1008">
        <v>0</v>
      </c>
      <c r="J1008">
        <v>1</v>
      </c>
      <c r="K1008" s="1" t="s">
        <v>1020</v>
      </c>
    </row>
    <row r="1009" spans="1:11" hidden="1">
      <c r="A1009" s="17" t="s">
        <v>985</v>
      </c>
      <c r="B1009" s="19" t="s">
        <v>52</v>
      </c>
      <c r="C1009" s="19" t="s">
        <v>990</v>
      </c>
      <c r="D1009" s="19" t="s">
        <v>991</v>
      </c>
      <c r="E1009" s="20" t="str">
        <f t="shared" si="22"/>
        <v>Tracking</v>
      </c>
      <c r="F1009" s="19" t="s">
        <v>990</v>
      </c>
      <c r="G1009" s="19" t="s">
        <v>992</v>
      </c>
      <c r="H1009" s="19" t="s">
        <v>32</v>
      </c>
      <c r="I1009">
        <v>0</v>
      </c>
      <c r="J1009">
        <v>14</v>
      </c>
      <c r="K1009" s="1" t="s">
        <v>1020</v>
      </c>
    </row>
    <row r="1010" spans="1:11" hidden="1">
      <c r="A1010" s="17" t="s">
        <v>985</v>
      </c>
      <c r="B1010" s="19" t="s">
        <v>52</v>
      </c>
      <c r="C1010" s="19" t="s">
        <v>993</v>
      </c>
      <c r="D1010" s="19" t="s">
        <v>994</v>
      </c>
      <c r="E1010" s="20" t="str">
        <f t="shared" si="22"/>
        <v>Tracking</v>
      </c>
      <c r="F1010" s="19" t="s">
        <v>993</v>
      </c>
      <c r="G1010" s="19" t="s">
        <v>995</v>
      </c>
      <c r="H1010" s="19" t="s">
        <v>32</v>
      </c>
      <c r="I1010">
        <v>0</v>
      </c>
      <c r="J1010">
        <v>5</v>
      </c>
      <c r="K1010" s="1" t="s">
        <v>1020</v>
      </c>
    </row>
    <row r="1011" spans="1:11" hidden="1">
      <c r="A1011" s="17" t="s">
        <v>985</v>
      </c>
      <c r="B1011" s="19" t="s">
        <v>52</v>
      </c>
      <c r="C1011" s="19" t="s">
        <v>996</v>
      </c>
      <c r="D1011" s="19" t="s">
        <v>997</v>
      </c>
      <c r="E1011" s="20" t="str">
        <f t="shared" si="22"/>
        <v>Tracking</v>
      </c>
      <c r="F1011" s="19" t="s">
        <v>996</v>
      </c>
      <c r="G1011" s="19" t="s">
        <v>998</v>
      </c>
      <c r="H1011" s="19" t="s">
        <v>32</v>
      </c>
      <c r="I1011">
        <v>0</v>
      </c>
      <c r="J1011">
        <v>1</v>
      </c>
      <c r="K1011" s="1" t="s">
        <v>1020</v>
      </c>
    </row>
    <row r="1012" spans="1:11" hidden="1">
      <c r="A1012" s="17" t="s">
        <v>985</v>
      </c>
      <c r="B1012" s="19" t="s">
        <v>118</v>
      </c>
      <c r="C1012" s="19" t="s">
        <v>2979</v>
      </c>
      <c r="D1012" s="19" t="s">
        <v>2980</v>
      </c>
      <c r="E1012" s="20" t="s">
        <v>12</v>
      </c>
      <c r="F1012" s="19" t="s">
        <v>2979</v>
      </c>
      <c r="G1012" s="19" t="s">
        <v>2981</v>
      </c>
      <c r="H1012" s="19" t="s">
        <v>31</v>
      </c>
      <c r="I1012">
        <v>1</v>
      </c>
      <c r="J1012">
        <v>0</v>
      </c>
      <c r="K1012" s="1" t="s">
        <v>1020</v>
      </c>
    </row>
    <row r="1013" spans="1:11" hidden="1">
      <c r="A1013" s="17" t="s">
        <v>985</v>
      </c>
      <c r="B1013" s="19" t="s">
        <v>118</v>
      </c>
      <c r="C1013" s="19" t="s">
        <v>2982</v>
      </c>
      <c r="D1013" s="19" t="s">
        <v>2983</v>
      </c>
      <c r="E1013" s="20" t="s">
        <v>12</v>
      </c>
      <c r="F1013" s="19" t="s">
        <v>2982</v>
      </c>
      <c r="G1013" s="19" t="s">
        <v>2984</v>
      </c>
      <c r="H1013" s="19" t="s">
        <v>31</v>
      </c>
      <c r="I1013">
        <v>1</v>
      </c>
      <c r="J1013">
        <v>0</v>
      </c>
      <c r="K1013" s="1" t="s">
        <v>1020</v>
      </c>
    </row>
    <row r="1014" spans="1:11" hidden="1">
      <c r="A1014" s="17" t="s">
        <v>985</v>
      </c>
      <c r="B1014" s="19" t="s">
        <v>118</v>
      </c>
      <c r="C1014" s="19" t="s">
        <v>1742</v>
      </c>
      <c r="D1014" s="19" t="s">
        <v>1743</v>
      </c>
      <c r="E1014" s="20" t="s">
        <v>12</v>
      </c>
      <c r="F1014" s="19" t="s">
        <v>1742</v>
      </c>
      <c r="G1014" s="19" t="s">
        <v>1744</v>
      </c>
      <c r="H1014" s="19" t="s">
        <v>31</v>
      </c>
      <c r="I1014">
        <v>1</v>
      </c>
      <c r="J1014">
        <v>0</v>
      </c>
      <c r="K1014" s="1" t="s">
        <v>1020</v>
      </c>
    </row>
    <row r="1015" spans="1:11" hidden="1">
      <c r="A1015" s="17" t="s">
        <v>985</v>
      </c>
      <c r="B1015" s="19" t="s">
        <v>118</v>
      </c>
      <c r="C1015" s="19" t="s">
        <v>999</v>
      </c>
      <c r="D1015" s="19" t="s">
        <v>1000</v>
      </c>
      <c r="E1015" s="20" t="str">
        <f t="shared" ref="E1015:E1021" si="23">IF(I1015&gt;J1015,"Standard","Tracking")</f>
        <v>Tracking</v>
      </c>
      <c r="F1015" s="19" t="s">
        <v>999</v>
      </c>
      <c r="G1015" s="19" t="s">
        <v>1001</v>
      </c>
      <c r="H1015" s="19" t="s">
        <v>32</v>
      </c>
      <c r="I1015">
        <v>2</v>
      </c>
      <c r="J1015">
        <v>3</v>
      </c>
      <c r="K1015" s="1" t="s">
        <v>1020</v>
      </c>
    </row>
    <row r="1016" spans="1:11" hidden="1">
      <c r="A1016" s="17" t="s">
        <v>985</v>
      </c>
      <c r="B1016" s="19" t="s">
        <v>118</v>
      </c>
      <c r="C1016" s="19" t="s">
        <v>1002</v>
      </c>
      <c r="D1016" s="19" t="s">
        <v>1003</v>
      </c>
      <c r="E1016" s="20" t="str">
        <f t="shared" si="23"/>
        <v>Tracking</v>
      </c>
      <c r="F1016" s="19" t="s">
        <v>1002</v>
      </c>
      <c r="G1016" s="19" t="s">
        <v>1004</v>
      </c>
      <c r="H1016" s="19" t="s">
        <v>32</v>
      </c>
      <c r="I1016">
        <v>1</v>
      </c>
      <c r="J1016">
        <v>2</v>
      </c>
      <c r="K1016" s="1" t="s">
        <v>1020</v>
      </c>
    </row>
    <row r="1017" spans="1:11" hidden="1">
      <c r="A1017" s="17" t="s">
        <v>985</v>
      </c>
      <c r="B1017" s="19" t="s">
        <v>1005</v>
      </c>
      <c r="C1017" s="19" t="s">
        <v>2985</v>
      </c>
      <c r="D1017" s="19" t="s">
        <v>2986</v>
      </c>
      <c r="E1017" s="20" t="str">
        <f t="shared" si="23"/>
        <v>Tracking</v>
      </c>
      <c r="F1017" s="19" t="s">
        <v>2985</v>
      </c>
      <c r="G1017" s="19" t="s">
        <v>2987</v>
      </c>
      <c r="H1017" s="19" t="s">
        <v>32</v>
      </c>
      <c r="I1017">
        <v>0</v>
      </c>
      <c r="J1017">
        <v>1</v>
      </c>
      <c r="K1017" s="1" t="s">
        <v>1020</v>
      </c>
    </row>
    <row r="1018" spans="1:11" hidden="1">
      <c r="A1018" s="17" t="s">
        <v>985</v>
      </c>
      <c r="B1018" s="19" t="s">
        <v>1005</v>
      </c>
      <c r="C1018" s="19" t="s">
        <v>1006</v>
      </c>
      <c r="D1018" s="19" t="s">
        <v>1007</v>
      </c>
      <c r="E1018" s="20" t="str">
        <f t="shared" si="23"/>
        <v>Tracking</v>
      </c>
      <c r="F1018" s="19" t="s">
        <v>1006</v>
      </c>
      <c r="G1018" s="19" t="s">
        <v>1008</v>
      </c>
      <c r="H1018" s="19" t="s">
        <v>32</v>
      </c>
      <c r="I1018">
        <v>0</v>
      </c>
      <c r="J1018">
        <v>3</v>
      </c>
      <c r="K1018" s="1" t="s">
        <v>1020</v>
      </c>
    </row>
    <row r="1019" spans="1:11" hidden="1">
      <c r="A1019" s="17" t="s">
        <v>985</v>
      </c>
      <c r="B1019" s="19" t="s">
        <v>1009</v>
      </c>
      <c r="C1019" s="19" t="s">
        <v>1010</v>
      </c>
      <c r="D1019" s="19" t="s">
        <v>1011</v>
      </c>
      <c r="E1019" s="20" t="str">
        <f t="shared" si="23"/>
        <v>Tracking</v>
      </c>
      <c r="F1019" s="19" t="s">
        <v>1010</v>
      </c>
      <c r="G1019" s="19" t="s">
        <v>1012</v>
      </c>
      <c r="H1019" s="19" t="s">
        <v>32</v>
      </c>
      <c r="I1019">
        <v>0</v>
      </c>
      <c r="J1019">
        <v>5</v>
      </c>
      <c r="K1019" s="1" t="s">
        <v>1020</v>
      </c>
    </row>
    <row r="1020" spans="1:11" hidden="1">
      <c r="A1020" s="17" t="s">
        <v>985</v>
      </c>
      <c r="B1020" s="19" t="s">
        <v>95</v>
      </c>
      <c r="C1020" s="19" t="s">
        <v>1013</v>
      </c>
      <c r="D1020" s="19" t="s">
        <v>1014</v>
      </c>
      <c r="E1020" s="20" t="str">
        <f t="shared" si="23"/>
        <v>Tracking</v>
      </c>
      <c r="F1020" s="19" t="s">
        <v>1013</v>
      </c>
      <c r="G1020" s="19" t="s">
        <v>1015</v>
      </c>
      <c r="H1020" s="19" t="s">
        <v>32</v>
      </c>
      <c r="I1020">
        <v>0</v>
      </c>
      <c r="J1020">
        <v>2</v>
      </c>
      <c r="K1020" s="1" t="s">
        <v>1020</v>
      </c>
    </row>
    <row r="1021" spans="1:11" hidden="1">
      <c r="A1021" s="17" t="s">
        <v>985</v>
      </c>
      <c r="B1021" s="19" t="s">
        <v>99</v>
      </c>
      <c r="C1021" s="19" t="s">
        <v>1016</v>
      </c>
      <c r="D1021" s="19" t="s">
        <v>1017</v>
      </c>
      <c r="E1021" s="20" t="str">
        <f t="shared" si="23"/>
        <v>Tracking</v>
      </c>
      <c r="F1021" s="19" t="s">
        <v>1016</v>
      </c>
      <c r="G1021" s="19" t="s">
        <v>1018</v>
      </c>
      <c r="H1021" s="19" t="s">
        <v>32</v>
      </c>
      <c r="I1021">
        <v>0</v>
      </c>
      <c r="J1021">
        <v>5</v>
      </c>
      <c r="K1021" s="1" t="s">
        <v>1020</v>
      </c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 t="s">
        <v>1021</v>
      </c>
    </row>
    <row r="1849" spans="1:11">
      <c r="K1849" s="1" t="s">
        <v>1021</v>
      </c>
    </row>
    <row r="1850" spans="1:11">
      <c r="K1850" s="1" t="s">
        <v>1021</v>
      </c>
    </row>
  </sheetData>
  <autoFilter ref="A1:K1021" xr:uid="{FBA668FF-0BE0-4C25-A5F1-5C817729AA2A}">
    <filterColumn colId="7">
      <filters>
        <filter val="Rich Media display banner"/>
      </filters>
    </filterColumn>
  </autoFilter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5"/>
  <sheetViews>
    <sheetView workbookViewId="0">
      <selection activeCell="B5" sqref="B5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0.12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980</v>
      </c>
      <c r="B8" s="6">
        <v>0.6</v>
      </c>
      <c r="C8">
        <v>0.35</v>
      </c>
      <c r="D8" s="1" t="s">
        <v>980</v>
      </c>
      <c r="E8" t="s">
        <v>980</v>
      </c>
    </row>
    <row r="9" spans="1:5">
      <c r="A9" s="1" t="s">
        <v>30</v>
      </c>
      <c r="B9" s="6">
        <v>0.91</v>
      </c>
      <c r="C9">
        <v>0.35</v>
      </c>
      <c r="D9" s="1" t="s">
        <v>26</v>
      </c>
      <c r="E9" t="s">
        <v>26</v>
      </c>
    </row>
    <row r="10" spans="1:5">
      <c r="A10" s="21" t="s">
        <v>32</v>
      </c>
      <c r="B10" s="3">
        <v>3.5000000000000001E-3</v>
      </c>
      <c r="C10">
        <v>0.02</v>
      </c>
      <c r="D10" s="1" t="s">
        <v>10</v>
      </c>
      <c r="E10" t="s">
        <v>10</v>
      </c>
    </row>
    <row r="11" spans="1:5">
      <c r="A11" t="s">
        <v>33</v>
      </c>
      <c r="B11" t="s">
        <v>11</v>
      </c>
    </row>
    <row r="12" spans="1:5">
      <c r="A12" s="26" t="s">
        <v>34</v>
      </c>
      <c r="B12" t="s">
        <v>12</v>
      </c>
    </row>
    <row r="13" spans="1:5">
      <c r="A13" t="s">
        <v>35</v>
      </c>
      <c r="B13" t="s">
        <v>10</v>
      </c>
    </row>
    <row r="14" spans="1:5">
      <c r="A14" t="s">
        <v>36</v>
      </c>
      <c r="B14" t="s">
        <v>11</v>
      </c>
    </row>
    <row r="15" spans="1:5">
      <c r="A15" t="s">
        <v>37</v>
      </c>
      <c r="B15" t="s">
        <v>12</v>
      </c>
    </row>
    <row r="16" spans="1:5">
      <c r="A16" t="s">
        <v>38</v>
      </c>
      <c r="B16" t="s">
        <v>25</v>
      </c>
    </row>
    <row r="17" spans="1:2">
      <c r="A17" t="s">
        <v>39</v>
      </c>
      <c r="B17" t="s">
        <v>10</v>
      </c>
    </row>
    <row r="18" spans="1:2">
      <c r="A18" t="s">
        <v>40</v>
      </c>
      <c r="B18" t="s">
        <v>980</v>
      </c>
    </row>
    <row r="19" spans="1:2">
      <c r="A19" t="s">
        <v>41</v>
      </c>
      <c r="B19" t="s">
        <v>12</v>
      </c>
    </row>
    <row r="20" spans="1:2">
      <c r="A20" t="s">
        <v>42</v>
      </c>
      <c r="B20" t="s">
        <v>29</v>
      </c>
    </row>
    <row r="21" spans="1:2">
      <c r="A21" t="s">
        <v>43</v>
      </c>
      <c r="B21" t="s">
        <v>29</v>
      </c>
    </row>
    <row r="22" spans="1:2">
      <c r="A22" s="20" t="s">
        <v>46</v>
      </c>
      <c r="B22" t="s">
        <v>25</v>
      </c>
    </row>
    <row r="23" spans="1:2">
      <c r="A23" s="20" t="s">
        <v>47</v>
      </c>
      <c r="B23" t="s">
        <v>25</v>
      </c>
    </row>
    <row r="24" spans="1:2">
      <c r="A24" s="20" t="s">
        <v>45</v>
      </c>
    </row>
    <row r="25" spans="1:2">
      <c r="A25" s="26" t="s">
        <v>1745</v>
      </c>
      <c r="B25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1" zoomScaleNormal="100" workbookViewId="0">
      <selection activeCell="K409" sqref="K409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BR_AAF_DSY_LANCH_ND_NC_2019Q1MAR_TCR_WebSerie</v>
      </c>
      <c r="B2" t="str">
        <f t="shared" ref="B2:B65" si="1">bd_site</f>
        <v>Google Brasil</v>
      </c>
      <c r="C2" t="str">
        <f t="shared" ref="C2:C65" si="2">bd_placement</f>
        <v>BR_VW_TCR_DV360-AdoroCinema_DIS_PROG_CPM_STD_LDR_AAF_RON_CXD_T-Cross-WebSerie-T-Cross-AMC_PD_728x90</v>
      </c>
      <c r="D2" t="str">
        <f t="shared" ref="D2:D65" si="3">bd_placementID</f>
        <v>242582736</v>
      </c>
      <c r="E2" t="str">
        <f t="shared" ref="E2:E65" si="4">VLOOKUP(CONCATENATE(bd_adtype,"_",bd_creativetype),tabela,2,FALSE)</f>
        <v>Standard</v>
      </c>
      <c r="F2" t="str">
        <f t="shared" ref="F2:F65" si="5">bd_ad</f>
        <v>BR_VW_TCR_DV360-AdoroCinema_DIS_PROG_CPM_STD_LDR_AAF_RON_CXD_T-Cross-WebSerie-T-Cross-AMC_PD_728x90</v>
      </c>
      <c r="G2" t="str">
        <f t="shared" ref="G2:G65" si="6">bd_adid</f>
        <v>439153825</v>
      </c>
      <c r="H2" t="str">
        <f t="shared" ref="H2:H65" si="7">bd_creativetype</f>
        <v>Display</v>
      </c>
      <c r="I2">
        <f t="shared" ref="I2:I65" si="8">bd_impression</f>
        <v>185277</v>
      </c>
      <c r="J2">
        <f t="shared" ref="J2:J65" si="9">bd_clicks</f>
        <v>61</v>
      </c>
      <c r="K2" s="4">
        <f t="shared" ref="K2:K43" si="10">IF(LEFT(B2,3)="DBM",0,VLOOKUP(E2,tabela,2,FALSE))</f>
        <v>0.04</v>
      </c>
      <c r="L2">
        <f t="shared" ref="L2:L43" si="11">VLOOKUP(E2,tabela,3,FALSE)</f>
        <v>0.09</v>
      </c>
      <c r="M2" s="4">
        <f t="shared" ref="M2:M34" si="12">IF(E2="Dynamic Click",J2*K2,K2*$I2/1000)</f>
        <v>7.4110800000000001</v>
      </c>
      <c r="N2" s="4">
        <f>IF(E2="Dynamic Click",J2*L2,L2*$I2/1000)</f>
        <v>16.67493</v>
      </c>
    </row>
    <row r="3" spans="1:14">
      <c r="A3" t="str">
        <f t="shared" si="0"/>
        <v>BR_AAF_DSY_LANCH_ND_NC_2019Q1MAR_TCR_WebSerie</v>
      </c>
      <c r="B3" t="str">
        <f t="shared" si="1"/>
        <v>Google Brasil</v>
      </c>
      <c r="C3" t="str">
        <f t="shared" si="2"/>
        <v>BR_VW_TCR_DV360-AdoroCinema_DIS_PROG_CPM_STD_LDR_AAF_RON_CXD_T-Cross-WebSerie-T-Cross-AMC_PD_970x250</v>
      </c>
      <c r="D3" t="str">
        <f t="shared" si="3"/>
        <v>242655929</v>
      </c>
      <c r="E3" t="str">
        <f t="shared" si="4"/>
        <v>Standard</v>
      </c>
      <c r="F3" t="str">
        <f t="shared" si="5"/>
        <v>BR_VW_TCR_DV360-AdoroCinema_DIS_PROG_CPM_STD_LDR_AAF_RON_CXD_T-Cross-WebSerie-T-Cross-AMC_PD_970x250</v>
      </c>
      <c r="G3" t="str">
        <f t="shared" si="6"/>
        <v>439365867</v>
      </c>
      <c r="H3" t="str">
        <f t="shared" si="7"/>
        <v>Display</v>
      </c>
      <c r="I3">
        <f t="shared" si="8"/>
        <v>13998</v>
      </c>
      <c r="J3">
        <f t="shared" si="9"/>
        <v>3</v>
      </c>
      <c r="K3" s="4">
        <f t="shared" si="10"/>
        <v>0.04</v>
      </c>
      <c r="L3">
        <f t="shared" si="11"/>
        <v>0.09</v>
      </c>
      <c r="M3" s="4">
        <f t="shared" si="12"/>
        <v>0.55991999999999997</v>
      </c>
      <c r="N3" s="4">
        <f t="shared" ref="N3:N34" si="13">IF(E3="Dynamic Click",J3*L3,L3*$I3/1000)</f>
        <v>1.2598199999999999</v>
      </c>
    </row>
    <row r="4" spans="1:14">
      <c r="A4" t="str">
        <f t="shared" si="0"/>
        <v>BR_AAF_DSY_LANCH_ND_NC_2019Q1MAR_TCR_WebSerie</v>
      </c>
      <c r="B4" t="str">
        <f t="shared" si="1"/>
        <v>Google Brasil</v>
      </c>
      <c r="C4" t="str">
        <f t="shared" si="2"/>
        <v>BR_VW_TCR_DV360-AdoroCinema_DIS_PROG_CPM_STD_LDR_AAF_RON_CXD_T-Cross-WebSerie-T-Cross-AMC_PD_970x90</v>
      </c>
      <c r="D4" t="str">
        <f t="shared" si="3"/>
        <v>242655932</v>
      </c>
      <c r="E4" t="str">
        <f t="shared" si="4"/>
        <v>Standard</v>
      </c>
      <c r="F4" t="str">
        <f t="shared" si="5"/>
        <v>BR_VW_TCR_DV360-AdoroCinema_DIS_PROG_CPM_STD_LDR_AAF_RON_CXD_T-Cross-WebSerie-T-Cross-AMC_PD_970x90</v>
      </c>
      <c r="G4" t="str">
        <f t="shared" si="6"/>
        <v>439365870</v>
      </c>
      <c r="H4" t="str">
        <f t="shared" si="7"/>
        <v>Display</v>
      </c>
      <c r="I4">
        <f t="shared" si="8"/>
        <v>16962</v>
      </c>
      <c r="J4">
        <f t="shared" si="9"/>
        <v>8</v>
      </c>
      <c r="K4" s="4">
        <f t="shared" si="10"/>
        <v>0.04</v>
      </c>
      <c r="L4">
        <f t="shared" si="11"/>
        <v>0.09</v>
      </c>
      <c r="M4" s="4">
        <f t="shared" si="12"/>
        <v>0.67847999999999997</v>
      </c>
      <c r="N4" s="4">
        <f t="shared" si="13"/>
        <v>1.5265799999999998</v>
      </c>
    </row>
    <row r="5" spans="1:14">
      <c r="A5" t="str">
        <f t="shared" si="0"/>
        <v>BR_AAF_DSY_LANCH_ND_NC_2019Q1MAR_TCR_WebSerie</v>
      </c>
      <c r="B5" t="str">
        <f t="shared" si="1"/>
        <v>Google Brasil</v>
      </c>
      <c r="C5" t="str">
        <f t="shared" si="2"/>
        <v>BR_VW_TCR_DV360-AdoroCinema_DIS_PROG_CPM_STD_MPU_AAF_RON_CXD_T-Cross-WebSerie-T-Cross-AMC_PD_300x250</v>
      </c>
      <c r="D5" t="str">
        <f t="shared" si="3"/>
        <v>242582754</v>
      </c>
      <c r="E5" t="str">
        <f t="shared" si="4"/>
        <v>Standard</v>
      </c>
      <c r="F5" t="str">
        <f t="shared" si="5"/>
        <v>BR_VW_TCR_DV360-AdoroCinema_DIS_PROG_CPM_STD_MPU_AAF_RON_CXD_T-Cross-WebSerie-T-Cross-AMC_PD_300x250</v>
      </c>
      <c r="G5" t="str">
        <f t="shared" si="6"/>
        <v>439158343</v>
      </c>
      <c r="H5" t="str">
        <f t="shared" si="7"/>
        <v>Display</v>
      </c>
      <c r="I5">
        <f t="shared" si="8"/>
        <v>1665508</v>
      </c>
      <c r="J5">
        <f t="shared" si="9"/>
        <v>1937</v>
      </c>
      <c r="K5" s="4">
        <f t="shared" si="10"/>
        <v>0.04</v>
      </c>
      <c r="L5">
        <f t="shared" si="11"/>
        <v>0.09</v>
      </c>
      <c r="M5" s="4">
        <f t="shared" si="12"/>
        <v>66.620320000000007</v>
      </c>
      <c r="N5" s="4">
        <f t="shared" si="13"/>
        <v>149.89572000000001</v>
      </c>
    </row>
    <row r="6" spans="1:14">
      <c r="A6" t="str">
        <f t="shared" si="0"/>
        <v>BR_AAF_DSY_LANCH_ND_NC_2019Q1MAR_TCR_WebSerie</v>
      </c>
      <c r="B6" t="str">
        <f t="shared" si="1"/>
        <v>Google Brasil</v>
      </c>
      <c r="C6" t="str">
        <f t="shared" si="2"/>
        <v>BR_VW_TCR_DV360-AdoroCinema_DIS_PROG_CPM_STD_MPU_AAF_RON_CXD_T-Cross-WebSerie-T-Cross-AMC_PD_320x100</v>
      </c>
      <c r="D6" t="str">
        <f t="shared" si="3"/>
        <v>242582742</v>
      </c>
      <c r="E6" t="str">
        <f t="shared" si="4"/>
        <v>Standard</v>
      </c>
      <c r="F6" t="str">
        <f t="shared" si="5"/>
        <v>BR_VW_TCR_DV360-AdoroCinema_DIS_PROG_CPM_STD_MPU_AAF_RON_CXD_T-Cross-WebSerie-T-Cross-AMC_PD_320x100</v>
      </c>
      <c r="G6" t="str">
        <f t="shared" si="6"/>
        <v>439153831</v>
      </c>
      <c r="H6" t="str">
        <f t="shared" si="7"/>
        <v>Display</v>
      </c>
      <c r="I6">
        <f t="shared" si="8"/>
        <v>446</v>
      </c>
      <c r="J6">
        <f t="shared" si="9"/>
        <v>4</v>
      </c>
      <c r="K6" s="4">
        <f t="shared" si="10"/>
        <v>0.04</v>
      </c>
      <c r="L6">
        <f t="shared" si="11"/>
        <v>0.09</v>
      </c>
      <c r="M6" s="4">
        <f t="shared" si="12"/>
        <v>1.7839999999999998E-2</v>
      </c>
      <c r="N6" s="4">
        <f t="shared" si="13"/>
        <v>4.0140000000000002E-2</v>
      </c>
    </row>
    <row r="7" spans="1:14">
      <c r="A7" t="str">
        <f t="shared" si="0"/>
        <v>BR_AAF_DSY_LANCH_ND_NC_2019Q1MAR_TCR_WebSerie</v>
      </c>
      <c r="B7" t="str">
        <f t="shared" si="1"/>
        <v>Google Brasil</v>
      </c>
      <c r="C7" t="str">
        <f t="shared" si="2"/>
        <v>BR_VW_TCR_DV360-AdoroCinema_DIS_PROG_CPM_STD_MPU_AAF_RON_CXD_T-Cross-WebSerie-T-Cross-AMC_PD_320x50</v>
      </c>
      <c r="D7" t="str">
        <f t="shared" si="3"/>
        <v>242582748</v>
      </c>
      <c r="E7" t="str">
        <f t="shared" si="4"/>
        <v>Standard</v>
      </c>
      <c r="F7" t="str">
        <f t="shared" si="5"/>
        <v>BR_VW_TCR_DV360-AdoroCinema_DIS_PROG_CPM_STD_MPU_AAF_RON_CXD_T-Cross-WebSerie-T-Cross-AMC_PD_320x50</v>
      </c>
      <c r="G7" t="str">
        <f t="shared" si="6"/>
        <v>439153837</v>
      </c>
      <c r="H7" t="str">
        <f t="shared" si="7"/>
        <v>Display</v>
      </c>
      <c r="I7">
        <f t="shared" si="8"/>
        <v>183290</v>
      </c>
      <c r="J7">
        <f t="shared" si="9"/>
        <v>412</v>
      </c>
      <c r="K7" s="4">
        <f t="shared" si="10"/>
        <v>0.04</v>
      </c>
      <c r="L7">
        <f t="shared" si="11"/>
        <v>0.09</v>
      </c>
      <c r="M7" s="4">
        <f t="shared" si="12"/>
        <v>7.3316000000000008</v>
      </c>
      <c r="N7" s="4">
        <f t="shared" si="13"/>
        <v>16.496099999999998</v>
      </c>
    </row>
    <row r="8" spans="1:14">
      <c r="A8" t="str">
        <f t="shared" si="0"/>
        <v>BR_AAF_DSY_LANCH_ND_NC_2019Q1MAR_TCR_WebSerie</v>
      </c>
      <c r="B8" t="str">
        <f t="shared" si="1"/>
        <v>Google Brasil</v>
      </c>
      <c r="C8" t="str">
        <f t="shared" si="2"/>
        <v>BR_VW_TCR_DV360-AdoroCinema_DIS_PROG_CPM_STD_SKY_AAF_RON_CXD_T-Cross-WebSerie-T-Cross-AMC_PD_120x600</v>
      </c>
      <c r="D8" t="str">
        <f t="shared" si="3"/>
        <v>242582727</v>
      </c>
      <c r="E8" t="str">
        <f t="shared" si="4"/>
        <v>Standard</v>
      </c>
      <c r="F8" t="str">
        <f t="shared" si="5"/>
        <v>BR_VW_TCR_DV360-AdoroCinema_DIS_PROG_CPM_STD_SKY_AAF_RON_CXD_T-Cross-WebSerie-T-Cross-AMC_PD_120x600</v>
      </c>
      <c r="G8" t="str">
        <f t="shared" si="6"/>
        <v>439153816</v>
      </c>
      <c r="H8" t="str">
        <f t="shared" si="7"/>
        <v>Display</v>
      </c>
      <c r="I8">
        <f t="shared" si="8"/>
        <v>4160</v>
      </c>
      <c r="J8">
        <f t="shared" si="9"/>
        <v>2</v>
      </c>
      <c r="K8" s="4">
        <f t="shared" si="10"/>
        <v>0.04</v>
      </c>
      <c r="L8">
        <f t="shared" si="11"/>
        <v>0.09</v>
      </c>
      <c r="M8" s="4">
        <f t="shared" si="12"/>
        <v>0.16639999999999999</v>
      </c>
      <c r="N8" s="4">
        <f t="shared" si="13"/>
        <v>0.37439999999999996</v>
      </c>
    </row>
    <row r="9" spans="1:14">
      <c r="A9" t="str">
        <f t="shared" si="0"/>
        <v>BR_AAF_DSY_LANCH_ND_NC_2019Q1MAR_TCR_WebSerie</v>
      </c>
      <c r="B9" t="str">
        <f t="shared" si="1"/>
        <v>Google Brasil</v>
      </c>
      <c r="C9" t="str">
        <f t="shared" si="2"/>
        <v>BR_VW_TCR_DV360-AdoroCinema_DIS_PROG_CPM_STD_SKY_AAF_RON_CXD_T-Cross-WebSerie-T-Cross-AMC_PD_160x600</v>
      </c>
      <c r="D9" t="str">
        <f t="shared" si="3"/>
        <v>242582724</v>
      </c>
      <c r="E9" t="str">
        <f t="shared" si="4"/>
        <v>Standard</v>
      </c>
      <c r="F9" t="str">
        <f t="shared" si="5"/>
        <v>BR_VW_TCR_DV360-AdoroCinema_DIS_PROG_CPM_STD_SKY_AAF_RON_CXD_T-Cross-WebSerie-T-Cross-AMC_PD_160x600</v>
      </c>
      <c r="G9" t="str">
        <f t="shared" si="6"/>
        <v>439153813</v>
      </c>
      <c r="H9" t="str">
        <f t="shared" si="7"/>
        <v>Display</v>
      </c>
      <c r="I9">
        <f t="shared" si="8"/>
        <v>87595</v>
      </c>
      <c r="J9">
        <f t="shared" si="9"/>
        <v>64</v>
      </c>
      <c r="K9" s="4">
        <f t="shared" si="10"/>
        <v>0.04</v>
      </c>
      <c r="L9">
        <f t="shared" si="11"/>
        <v>0.09</v>
      </c>
      <c r="M9" s="4">
        <f t="shared" si="12"/>
        <v>3.5038</v>
      </c>
      <c r="N9" s="4">
        <f t="shared" si="13"/>
        <v>7.8835499999999996</v>
      </c>
    </row>
    <row r="10" spans="1:14">
      <c r="A10" t="str">
        <f t="shared" si="0"/>
        <v>BR_AAF_DSY_LANCH_ND_NC_2019Q1MAR_TCR_WebSerie</v>
      </c>
      <c r="B10" t="str">
        <f t="shared" si="1"/>
        <v>Google Brasil</v>
      </c>
      <c r="C10" t="str">
        <f t="shared" si="2"/>
        <v>BR_VW_TCR_DV360-AdoroCinema_DIS_PROG_CPM_STD_SKY_AAF_RON_CXD_T-Cross-WebSerie-T-Cross-AMC_PD_300x600</v>
      </c>
      <c r="D10" t="str">
        <f t="shared" si="3"/>
        <v>242655935</v>
      </c>
      <c r="E10" t="str">
        <f t="shared" si="4"/>
        <v>Standard</v>
      </c>
      <c r="F10" t="str">
        <f t="shared" si="5"/>
        <v>BR_VW_TCR_DV360-AdoroCinema_DIS_PROG_CPM_STD_SKY_AAF_RON_CXD_T-Cross-WebSerie-T-Cross-AMC_PD_300x600</v>
      </c>
      <c r="G10" t="str">
        <f t="shared" si="6"/>
        <v>439365873</v>
      </c>
      <c r="H10" t="str">
        <f t="shared" si="7"/>
        <v>Display</v>
      </c>
      <c r="I10">
        <f t="shared" si="8"/>
        <v>32286</v>
      </c>
      <c r="J10">
        <f t="shared" si="9"/>
        <v>26</v>
      </c>
      <c r="K10" s="4">
        <f t="shared" si="10"/>
        <v>0.04</v>
      </c>
      <c r="L10">
        <f t="shared" si="11"/>
        <v>0.09</v>
      </c>
      <c r="M10" s="4">
        <f t="shared" si="12"/>
        <v>1.2914400000000001</v>
      </c>
      <c r="N10" s="4">
        <f t="shared" si="13"/>
        <v>2.9057399999999998</v>
      </c>
    </row>
    <row r="11" spans="1:14">
      <c r="A11" t="str">
        <f t="shared" si="0"/>
        <v>BR_AAF_DSY_LANCH_ND_NC_2019Q1MAR_TCR_WebSerie</v>
      </c>
      <c r="B11" t="str">
        <f t="shared" si="1"/>
        <v>Google Brasil</v>
      </c>
      <c r="C11" t="str">
        <f t="shared" si="2"/>
        <v>BR_VW_TCR_DV360-Omelete_DIS_PROG_CPM_STD_LDR_AAF_RON_CXD_T-Cross-WebSerie-T-Cross-AMC_PD_728x90</v>
      </c>
      <c r="D11" t="str">
        <f t="shared" si="3"/>
        <v>242582730</v>
      </c>
      <c r="E11" t="str">
        <f t="shared" si="4"/>
        <v>Standard</v>
      </c>
      <c r="F11" t="str">
        <f t="shared" si="5"/>
        <v>BR_VW_TCR_DV360-Omelete_DIS_PROG_CPM_STD_LDR_AAF_RON_CXD_T-Cross-WebSerie-T-Cross-AMC_PD_728x90</v>
      </c>
      <c r="G11" t="str">
        <f t="shared" si="6"/>
        <v>439153819</v>
      </c>
      <c r="H11" t="str">
        <f t="shared" si="7"/>
        <v>Display</v>
      </c>
      <c r="I11">
        <f t="shared" si="8"/>
        <v>341697</v>
      </c>
      <c r="J11">
        <f t="shared" si="9"/>
        <v>122</v>
      </c>
      <c r="K11" s="4">
        <f t="shared" si="10"/>
        <v>0.04</v>
      </c>
      <c r="L11">
        <f t="shared" si="11"/>
        <v>0.09</v>
      </c>
      <c r="M11" s="4">
        <f t="shared" si="12"/>
        <v>13.66788</v>
      </c>
      <c r="N11" s="4">
        <f t="shared" si="13"/>
        <v>30.75273</v>
      </c>
    </row>
    <row r="12" spans="1:14">
      <c r="A12" t="str">
        <f t="shared" si="0"/>
        <v>BR_AAF_DSY_LANCH_ND_NC_2019Q1MAR_TCR_WebSerie</v>
      </c>
      <c r="B12" t="str">
        <f t="shared" si="1"/>
        <v>Google Brasil</v>
      </c>
      <c r="C12" t="str">
        <f t="shared" si="2"/>
        <v>BR_VW_TCR_DV360-Omelete_DIS_PROG_CPM_STD_LDR_AAF_RON_CXD_T-Cross-WebSerie-T-Cross-AMC_PD_970x250</v>
      </c>
      <c r="D12" t="str">
        <f t="shared" si="3"/>
        <v>242655938</v>
      </c>
      <c r="E12" t="str">
        <f t="shared" si="4"/>
        <v>Standard</v>
      </c>
      <c r="F12" t="str">
        <f t="shared" si="5"/>
        <v>BR_VW_TCR_DV360-Omelete_DIS_PROG_CPM_STD_LDR_AAF_RON_CXD_T-Cross-WebSerie-T-Cross-AMC_PD_970x250</v>
      </c>
      <c r="G12" t="str">
        <f t="shared" si="6"/>
        <v>439365876</v>
      </c>
      <c r="H12" t="str">
        <f t="shared" si="7"/>
        <v>Display</v>
      </c>
      <c r="I12">
        <f t="shared" si="8"/>
        <v>26269</v>
      </c>
      <c r="J12">
        <f t="shared" si="9"/>
        <v>18</v>
      </c>
      <c r="K12" s="4">
        <f t="shared" si="10"/>
        <v>0.04</v>
      </c>
      <c r="L12">
        <f t="shared" si="11"/>
        <v>0.09</v>
      </c>
      <c r="M12" s="4">
        <f t="shared" si="12"/>
        <v>1.0507599999999999</v>
      </c>
      <c r="N12" s="4">
        <f t="shared" si="13"/>
        <v>2.3642099999999999</v>
      </c>
    </row>
    <row r="13" spans="1:14">
      <c r="A13" t="str">
        <f t="shared" si="0"/>
        <v>BR_AAF_DSY_LANCH_ND_NC_2019Q1MAR_TCR_WebSerie</v>
      </c>
      <c r="B13" t="str">
        <f t="shared" si="1"/>
        <v>Google Brasil</v>
      </c>
      <c r="C13" t="str">
        <f t="shared" si="2"/>
        <v>BR_VW_TCR_DV360-Omelete_DIS_PROG_CPM_STD_LDR_AAF_RON_CXD_T-Cross-WebSerie-T-Cross-AMC_PD_970x90</v>
      </c>
      <c r="D13" t="str">
        <f t="shared" si="3"/>
        <v>242655941</v>
      </c>
      <c r="E13" t="str">
        <f t="shared" si="4"/>
        <v>Standard</v>
      </c>
      <c r="F13" t="str">
        <f t="shared" si="5"/>
        <v>BR_VW_TCR_DV360-Omelete_DIS_PROG_CPM_STD_LDR_AAF_RON_CXD_T-Cross-WebSerie-T-Cross-AMC_PD_970x90</v>
      </c>
      <c r="G13" t="str">
        <f t="shared" si="6"/>
        <v>439365879</v>
      </c>
      <c r="H13" t="str">
        <f t="shared" si="7"/>
        <v>Display</v>
      </c>
      <c r="I13">
        <f t="shared" si="8"/>
        <v>37076</v>
      </c>
      <c r="J13">
        <f t="shared" si="9"/>
        <v>15</v>
      </c>
      <c r="K13" s="4">
        <f t="shared" si="10"/>
        <v>0.04</v>
      </c>
      <c r="L13">
        <f t="shared" si="11"/>
        <v>0.09</v>
      </c>
      <c r="M13" s="4">
        <f t="shared" si="12"/>
        <v>1.4830399999999999</v>
      </c>
      <c r="N13" s="4">
        <f t="shared" si="13"/>
        <v>3.3368399999999996</v>
      </c>
    </row>
    <row r="14" spans="1:14">
      <c r="A14" t="str">
        <f t="shared" si="0"/>
        <v>BR_AAF_DSY_LANCH_ND_NC_2019Q1MAR_TCR_WebSerie</v>
      </c>
      <c r="B14" t="str">
        <f t="shared" si="1"/>
        <v>Google Brasil</v>
      </c>
      <c r="C14" t="str">
        <f t="shared" si="2"/>
        <v>BR_VW_TCR_DV360-Omelete_DIS_PROG_CPM_STD_MPU_AAF_RON_CXD_T-Cross-WebSerie-T-Cross-AMC_PD_300x250</v>
      </c>
      <c r="D14" t="str">
        <f t="shared" si="3"/>
        <v>242582745</v>
      </c>
      <c r="E14" t="str">
        <f t="shared" si="4"/>
        <v>Standard</v>
      </c>
      <c r="F14" t="str">
        <f t="shared" si="5"/>
        <v>BR_VW_TCR_DV360-Omelete_DIS_PROG_CPM_STD_MPU_AAF_RON_CXD_T-Cross-WebSerie-T-Cross-AMC_PD_300x250</v>
      </c>
      <c r="G14" t="str">
        <f t="shared" si="6"/>
        <v>439153834</v>
      </c>
      <c r="H14" t="str">
        <f t="shared" si="7"/>
        <v>Display</v>
      </c>
      <c r="I14">
        <f t="shared" si="8"/>
        <v>1733405</v>
      </c>
      <c r="J14">
        <f t="shared" si="9"/>
        <v>1816</v>
      </c>
      <c r="K14" s="4">
        <f t="shared" si="10"/>
        <v>0.04</v>
      </c>
      <c r="L14">
        <f t="shared" si="11"/>
        <v>0.09</v>
      </c>
      <c r="M14" s="4">
        <f t="shared" si="12"/>
        <v>69.336199999999991</v>
      </c>
      <c r="N14" s="4">
        <f t="shared" si="13"/>
        <v>156.00644999999997</v>
      </c>
    </row>
    <row r="15" spans="1:14">
      <c r="A15" t="str">
        <f t="shared" si="0"/>
        <v>BR_AAF_DSY_LANCH_ND_NC_2019Q1MAR_TCR_WebSerie</v>
      </c>
      <c r="B15" t="str">
        <f t="shared" si="1"/>
        <v>Google Brasil</v>
      </c>
      <c r="C15" t="str">
        <f t="shared" si="2"/>
        <v>BR_VW_TCR_DV360-Omelete_DIS_PROG_CPM_STD_MPU_AAF_RON_CXD_T-Cross-WebSerie-T-Cross-AMC_PD_320x100</v>
      </c>
      <c r="D15" t="str">
        <f t="shared" si="3"/>
        <v>242582733</v>
      </c>
      <c r="E15" t="str">
        <f t="shared" si="4"/>
        <v>Standard</v>
      </c>
      <c r="F15" t="str">
        <f t="shared" si="5"/>
        <v>BR_VW_TCR_DV360-Omelete_DIS_PROG_CPM_STD_MPU_AAF_RON_CXD_T-Cross-WebSerie-T-Cross-AMC_PD_320x100</v>
      </c>
      <c r="G15" t="str">
        <f t="shared" si="6"/>
        <v>439153822</v>
      </c>
      <c r="H15" t="str">
        <f t="shared" si="7"/>
        <v>Display</v>
      </c>
      <c r="I15">
        <f t="shared" si="8"/>
        <v>875</v>
      </c>
      <c r="J15">
        <f t="shared" si="9"/>
        <v>5</v>
      </c>
      <c r="K15" s="4">
        <f t="shared" si="10"/>
        <v>0.04</v>
      </c>
      <c r="L15">
        <f t="shared" si="11"/>
        <v>0.09</v>
      </c>
      <c r="M15" s="4">
        <f t="shared" si="12"/>
        <v>3.5000000000000003E-2</v>
      </c>
      <c r="N15" s="4">
        <f t="shared" si="13"/>
        <v>7.8750000000000001E-2</v>
      </c>
    </row>
    <row r="16" spans="1:14">
      <c r="A16" t="str">
        <f t="shared" si="0"/>
        <v>BR_AAF_DSY_LANCH_ND_NC_2019Q1MAR_TCR_WebSerie</v>
      </c>
      <c r="B16" t="str">
        <f t="shared" si="1"/>
        <v>Google Brasil</v>
      </c>
      <c r="C16" t="str">
        <f t="shared" si="2"/>
        <v>BR_VW_TCR_DV360-Omelete_DIS_PROG_CPM_STD_MPU_AAF_RON_CXD_T-Cross-WebSerie-T-Cross-AMC_PD_320x50</v>
      </c>
      <c r="D16" t="str">
        <f t="shared" si="3"/>
        <v>242582739</v>
      </c>
      <c r="E16" t="str">
        <f t="shared" si="4"/>
        <v>Default</v>
      </c>
      <c r="F16" t="str">
        <f t="shared" si="5"/>
        <v>320x50 Default Web Ad</v>
      </c>
      <c r="G16" t="str">
        <f t="shared" si="6"/>
        <v>439163722</v>
      </c>
      <c r="H16" t="str">
        <f t="shared" si="7"/>
        <v>Display</v>
      </c>
      <c r="I16">
        <f t="shared" si="8"/>
        <v>1</v>
      </c>
      <c r="J16">
        <f t="shared" si="9"/>
        <v>0</v>
      </c>
      <c r="K16" s="4">
        <f t="shared" si="10"/>
        <v>0.04</v>
      </c>
      <c r="L16">
        <f t="shared" si="11"/>
        <v>0.09</v>
      </c>
      <c r="M16" s="4">
        <f t="shared" si="12"/>
        <v>4.0000000000000003E-5</v>
      </c>
      <c r="N16" s="4">
        <f t="shared" si="13"/>
        <v>8.9999999999999992E-5</v>
      </c>
    </row>
    <row r="17" spans="1:14">
      <c r="A17" t="str">
        <f t="shared" si="0"/>
        <v>BR_AAF_DSY_LANCH_ND_NC_2019Q1MAR_TCR_WebSerie</v>
      </c>
      <c r="B17" t="str">
        <f t="shared" si="1"/>
        <v>Google Brasil</v>
      </c>
      <c r="C17" t="str">
        <f t="shared" si="2"/>
        <v>BR_VW_TCR_DV360-Omelete_DIS_PROG_CPM_STD_MPU_AAF_RON_CXD_T-Cross-WebSerie-T-Cross-AMC_PD_320x50</v>
      </c>
      <c r="D17" t="str">
        <f t="shared" si="3"/>
        <v>242582739</v>
      </c>
      <c r="E17" t="str">
        <f t="shared" si="4"/>
        <v>Standard</v>
      </c>
      <c r="F17" t="str">
        <f t="shared" si="5"/>
        <v>BR_VW_TCR_DV360-Omelete_DIS_PROG_CPM_STD_MPU_AAF_RON_CXD_T-Cross-WebSerie-T-Cross-AMC_PD_320x50</v>
      </c>
      <c r="G17" t="str">
        <f t="shared" si="6"/>
        <v>439153828</v>
      </c>
      <c r="H17" t="str">
        <f t="shared" si="7"/>
        <v>Display</v>
      </c>
      <c r="I17">
        <f t="shared" si="8"/>
        <v>393957</v>
      </c>
      <c r="J17">
        <f t="shared" si="9"/>
        <v>849</v>
      </c>
      <c r="K17" s="4">
        <f t="shared" si="10"/>
        <v>0.04</v>
      </c>
      <c r="L17">
        <f t="shared" si="11"/>
        <v>0.09</v>
      </c>
      <c r="M17" s="4">
        <f t="shared" si="12"/>
        <v>15.758280000000001</v>
      </c>
      <c r="N17" s="4">
        <f t="shared" si="13"/>
        <v>35.456129999999995</v>
      </c>
    </row>
    <row r="18" spans="1:14">
      <c r="A18" t="str">
        <f t="shared" si="0"/>
        <v>BR_AAF_DSY_LANCH_ND_NC_2019Q1MAR_TCR_WebSerie</v>
      </c>
      <c r="B18" t="str">
        <f t="shared" si="1"/>
        <v>Google Brasil</v>
      </c>
      <c r="C18" t="str">
        <f t="shared" si="2"/>
        <v>BR_VW_TCR_DV360-Omelete_DIS_PROG_CPM_STD_SKY_AAF_RON_CXD_T-Cross-WebSerie-T-Cross-AMC_PD_120x600</v>
      </c>
      <c r="D18" t="str">
        <f t="shared" si="3"/>
        <v>242582757</v>
      </c>
      <c r="E18" t="str">
        <f t="shared" si="4"/>
        <v>Standard</v>
      </c>
      <c r="F18" t="str">
        <f t="shared" si="5"/>
        <v>BR_VW_TCR_DV360-Omelete_DIS_PROG_CPM_STD_SKY_AAF_RON_CXD_T-Cross-WebSerie-T-Cross-AMC_PD_120x600</v>
      </c>
      <c r="G18" t="str">
        <f t="shared" si="6"/>
        <v>439158346</v>
      </c>
      <c r="H18" t="str">
        <f t="shared" si="7"/>
        <v>Display</v>
      </c>
      <c r="I18">
        <f t="shared" si="8"/>
        <v>8804</v>
      </c>
      <c r="J18">
        <f t="shared" si="9"/>
        <v>5</v>
      </c>
      <c r="K18" s="4">
        <f t="shared" si="10"/>
        <v>0.04</v>
      </c>
      <c r="L18">
        <f t="shared" si="11"/>
        <v>0.09</v>
      </c>
      <c r="M18" s="4">
        <f t="shared" si="12"/>
        <v>0.35216000000000003</v>
      </c>
      <c r="N18" s="4">
        <f t="shared" si="13"/>
        <v>0.79236000000000006</v>
      </c>
    </row>
    <row r="19" spans="1:14">
      <c r="A19" t="str">
        <f t="shared" si="0"/>
        <v>BR_AAF_DSY_LANCH_ND_NC_2019Q1MAR_TCR_WebSerie</v>
      </c>
      <c r="B19" t="str">
        <f t="shared" si="1"/>
        <v>Google Brasil</v>
      </c>
      <c r="C19" t="str">
        <f t="shared" si="2"/>
        <v>BR_VW_TCR_DV360-Omelete_DIS_PROG_CPM_STD_SKY_AAF_RON_CXD_T-Cross-WebSerie-T-Cross-AMC_PD_160x600</v>
      </c>
      <c r="D19" t="str">
        <f t="shared" si="3"/>
        <v>242582751</v>
      </c>
      <c r="E19" t="str">
        <f t="shared" si="4"/>
        <v>Standard</v>
      </c>
      <c r="F19" t="str">
        <f t="shared" si="5"/>
        <v>BR_VW_TCR_DV360-Omelete_DIS_PROG_CPM_STD_SKY_AAF_RON_CXD_T-Cross-WebSerie-T-Cross-AMC_PD_160x600</v>
      </c>
      <c r="G19" t="str">
        <f t="shared" si="6"/>
        <v>439153840</v>
      </c>
      <c r="H19" t="str">
        <f t="shared" si="7"/>
        <v>Display</v>
      </c>
      <c r="I19">
        <f t="shared" si="8"/>
        <v>192213</v>
      </c>
      <c r="J19">
        <f t="shared" si="9"/>
        <v>150</v>
      </c>
      <c r="K19" s="4">
        <f t="shared" si="10"/>
        <v>0.04</v>
      </c>
      <c r="L19">
        <f t="shared" si="11"/>
        <v>0.09</v>
      </c>
      <c r="M19" s="4">
        <f t="shared" si="12"/>
        <v>7.6885200000000005</v>
      </c>
      <c r="N19" s="4">
        <f t="shared" si="13"/>
        <v>17.299169999999997</v>
      </c>
    </row>
    <row r="20" spans="1:14">
      <c r="A20" t="str">
        <f t="shared" si="0"/>
        <v>BR_AAF_DSY_LANCH_ND_NC_2019Q1MAR_TCR_WebSerie</v>
      </c>
      <c r="B20" t="str">
        <f t="shared" si="1"/>
        <v>Google Brasil</v>
      </c>
      <c r="C20" t="str">
        <f t="shared" si="2"/>
        <v>BR_VW_TCR_DV360-Omelete_DIS_PROG_CPM_STD_SKY_AAF_RON_CXD_T-Cross-WebSerie-T-Cross-AMC_PD_300x600</v>
      </c>
      <c r="D20" t="str">
        <f t="shared" si="3"/>
        <v>242655944</v>
      </c>
      <c r="E20" t="str">
        <f t="shared" si="4"/>
        <v>Standard</v>
      </c>
      <c r="F20" t="str">
        <f t="shared" si="5"/>
        <v>BR_VW_TCR_DV360-Omelete_DIS_PROG_CPM_STD_SKY_AAF_RON_CXD_T-Cross-WebSerie-T-Cross-AMC_PD_300x600</v>
      </c>
      <c r="G20" t="str">
        <f t="shared" si="6"/>
        <v>439365882</v>
      </c>
      <c r="H20" t="str">
        <f t="shared" si="7"/>
        <v>Display</v>
      </c>
      <c r="I20">
        <f t="shared" si="8"/>
        <v>59933</v>
      </c>
      <c r="J20">
        <f t="shared" si="9"/>
        <v>35</v>
      </c>
      <c r="K20" s="4">
        <f t="shared" si="10"/>
        <v>0.04</v>
      </c>
      <c r="L20">
        <f t="shared" si="11"/>
        <v>0.09</v>
      </c>
      <c r="M20" s="4">
        <f t="shared" si="12"/>
        <v>2.3973200000000001</v>
      </c>
      <c r="N20" s="4">
        <f t="shared" si="13"/>
        <v>5.3939700000000004</v>
      </c>
    </row>
    <row r="21" spans="1:14">
      <c r="A21" t="str">
        <f t="shared" si="0"/>
        <v>BR_AAF_DSY_LANCH_ND_NC_2019Q1MAR_TCR_WebSerie</v>
      </c>
      <c r="B21" t="str">
        <f t="shared" si="1"/>
        <v>Google Brasil</v>
      </c>
      <c r="C21" t="str">
        <f t="shared" si="2"/>
        <v>BR_VW_TCR_DV360-Partner_DIS_PROG_CPM_STD_MPU_AAF_RON_CXD_T-Cross-WebSerie-Ep-1-T-Cross-AMC_PD_Video</v>
      </c>
      <c r="D21" t="str">
        <f t="shared" si="3"/>
        <v>242396377</v>
      </c>
      <c r="E21" t="str">
        <f t="shared" si="4"/>
        <v>In-Stream Video</v>
      </c>
      <c r="F21" t="str">
        <f t="shared" si="5"/>
        <v>BR_VW_TCR_DV360-Partner_DIS_PROG_CPM_STD_MPU_AAF_RON_CXD_T-Cross-WebSerie-Ep-1-T-Cross-AMC_PD_Video</v>
      </c>
      <c r="G21" t="str">
        <f t="shared" si="6"/>
        <v>439165292</v>
      </c>
      <c r="H21" t="str">
        <f t="shared" si="7"/>
        <v>In-Stream Video</v>
      </c>
      <c r="I21">
        <f t="shared" si="8"/>
        <v>3</v>
      </c>
      <c r="J21">
        <f t="shared" si="9"/>
        <v>1</v>
      </c>
      <c r="K21" s="4">
        <f t="shared" si="10"/>
        <v>0.6</v>
      </c>
      <c r="L21">
        <f t="shared" si="11"/>
        <v>0.35</v>
      </c>
      <c r="M21" s="4">
        <f t="shared" si="12"/>
        <v>1.7999999999999997E-3</v>
      </c>
      <c r="N21" s="4">
        <f t="shared" si="13"/>
        <v>1.0499999999999997E-3</v>
      </c>
    </row>
    <row r="22" spans="1:14">
      <c r="A22" t="str">
        <f t="shared" si="0"/>
        <v>BR_AAF_DSY_LANCH_ND_NC_2019Q1MAR_TCR_WebSerie</v>
      </c>
      <c r="B22" t="str">
        <f t="shared" si="1"/>
        <v>Google Brasil</v>
      </c>
      <c r="C22" t="str">
        <f t="shared" si="2"/>
        <v>BR_VW_TCR_DV360-Partner_DIS_PROG_CPM_STD_MPU_AAF_RON_CXD_T-Cross-WebSerie-Ep-1-T-Cross-Remarketing_PD_Video</v>
      </c>
      <c r="D22" t="str">
        <f t="shared" si="3"/>
        <v>242592396</v>
      </c>
      <c r="E22" t="str">
        <f t="shared" si="4"/>
        <v>In-Stream Video</v>
      </c>
      <c r="F22" t="str">
        <f t="shared" si="5"/>
        <v>BR_VW_TCR_DV360-Partner_DIS_PROG_CPM_STD_MPU_AAF_RON_CXD_T-Cross-WebSerie-Ep-1-T-Cross-Remarketing_PD_Video</v>
      </c>
      <c r="G22" t="str">
        <f t="shared" si="6"/>
        <v>439163150</v>
      </c>
      <c r="H22" t="str">
        <f t="shared" si="7"/>
        <v>In-Stream Video</v>
      </c>
      <c r="I22">
        <f t="shared" si="8"/>
        <v>1</v>
      </c>
      <c r="J22">
        <f t="shared" si="9"/>
        <v>1</v>
      </c>
      <c r="K22" s="4">
        <f t="shared" si="10"/>
        <v>0.6</v>
      </c>
      <c r="L22">
        <f t="shared" si="11"/>
        <v>0.35</v>
      </c>
      <c r="M22" s="4">
        <f t="shared" si="12"/>
        <v>5.9999999999999995E-4</v>
      </c>
      <c r="N22" s="4">
        <f t="shared" si="13"/>
        <v>3.5E-4</v>
      </c>
    </row>
    <row r="23" spans="1:14">
      <c r="A23" t="str">
        <f t="shared" si="0"/>
        <v>BR_AAF_DSY_LANCH_ND_NC_2019Q1MAR_TCR_WebSerie</v>
      </c>
      <c r="B23" t="str">
        <f t="shared" si="1"/>
        <v>Google Brasil</v>
      </c>
      <c r="C23" t="str">
        <f t="shared" si="2"/>
        <v>BR_VW_TCR_DV360-Partner_DIS_PROG_CPM_STD_MPU_AAF_RON_CXD_T-Cross-WebSerie-Ep-2-T-Cross-AMC_PD_Video</v>
      </c>
      <c r="D23" t="str">
        <f t="shared" si="3"/>
        <v>242376926</v>
      </c>
      <c r="E23" t="str">
        <f t="shared" si="4"/>
        <v>In-Stream Video</v>
      </c>
      <c r="F23" t="str">
        <f t="shared" si="5"/>
        <v>BR_VW_TCR_DV360-Partner_DIS_PROG_CPM_STD_MPU_AAF_RON_CXD_T-Cross-WebSerie-Ep-2-T-Cross-AMC_PD_Video</v>
      </c>
      <c r="G23" t="str">
        <f t="shared" si="6"/>
        <v>439107600</v>
      </c>
      <c r="H23" t="str">
        <f t="shared" si="7"/>
        <v>In-Stream Video</v>
      </c>
      <c r="I23">
        <f t="shared" si="8"/>
        <v>2</v>
      </c>
      <c r="J23">
        <f t="shared" si="9"/>
        <v>1</v>
      </c>
      <c r="K23" s="4">
        <f t="shared" si="10"/>
        <v>0.6</v>
      </c>
      <c r="L23">
        <f t="shared" si="11"/>
        <v>0.35</v>
      </c>
      <c r="M23" s="4">
        <f t="shared" si="12"/>
        <v>1.1999999999999999E-3</v>
      </c>
      <c r="N23" s="4">
        <f t="shared" si="13"/>
        <v>6.9999999999999999E-4</v>
      </c>
    </row>
    <row r="24" spans="1:14">
      <c r="A24" t="str">
        <f t="shared" si="0"/>
        <v>BR_AAF_DSY_LANCH_ND_NC_2019Q1MAR_TCR_WebSerie</v>
      </c>
      <c r="B24" t="str">
        <f t="shared" si="1"/>
        <v>Google Brasil</v>
      </c>
      <c r="C24" t="str">
        <f t="shared" si="2"/>
        <v>BR_VW_TCR_DV360-Partner_DIS_PROG_CPM_STD_MPU_AAF_RON_CXD_T-Cross-WebSerie-Ep-2-T-Cross-Remarketing_PD_Video</v>
      </c>
      <c r="D24" t="str">
        <f t="shared" si="3"/>
        <v>242492011</v>
      </c>
      <c r="E24" t="str">
        <f t="shared" si="4"/>
        <v>In-Stream Video</v>
      </c>
      <c r="F24" t="str">
        <f t="shared" si="5"/>
        <v>BR_VW_TCR_DV360-Partner_DIS_PROG_CPM_STD_MPU_AAF_RON_CXD_T-Cross-WebSerie-Ep-2-T-Cross-Remarketing_PD_Video</v>
      </c>
      <c r="G24" t="str">
        <f t="shared" si="6"/>
        <v>439222852</v>
      </c>
      <c r="H24" t="str">
        <f t="shared" si="7"/>
        <v>In-Stream Video</v>
      </c>
      <c r="I24">
        <f t="shared" si="8"/>
        <v>1</v>
      </c>
      <c r="J24">
        <f t="shared" si="9"/>
        <v>1</v>
      </c>
      <c r="K24" s="4">
        <f t="shared" si="10"/>
        <v>0.6</v>
      </c>
      <c r="L24">
        <f t="shared" si="11"/>
        <v>0.35</v>
      </c>
      <c r="M24" s="4">
        <f t="shared" si="12"/>
        <v>5.9999999999999995E-4</v>
      </c>
      <c r="N24" s="4">
        <f t="shared" si="13"/>
        <v>3.5E-4</v>
      </c>
    </row>
    <row r="25" spans="1:14">
      <c r="A25" t="str">
        <f t="shared" si="0"/>
        <v>BR_AAF_DSY_LANCH_ND_NC_2019Q1MAR_TCR_WebSerie</v>
      </c>
      <c r="B25" t="str">
        <f t="shared" si="1"/>
        <v>Google Brasil</v>
      </c>
      <c r="C25" t="str">
        <f t="shared" si="2"/>
        <v>BR_VW_TCR_DV360-Partner_DIS_PROG_CPM_STD_MPU_AAF_RON_CXD_T-Cross-WebSerie-Trailer-T-Cross-AMC_PD_Video</v>
      </c>
      <c r="D25" t="str">
        <f t="shared" si="3"/>
        <v>242118930</v>
      </c>
      <c r="E25" t="str">
        <f t="shared" si="4"/>
        <v>In-Stream Video</v>
      </c>
      <c r="F25" t="str">
        <f t="shared" si="5"/>
        <v>BR_VW_TCR_DV360-Partner_DIS_PROG_CPM_STD_MPU_AAF_RON_CXD_T-Cross-WebSerie-Trailer-T-Cross-AMC_PD_Video</v>
      </c>
      <c r="G25" t="str">
        <f t="shared" si="6"/>
        <v>438749890</v>
      </c>
      <c r="H25" t="str">
        <f t="shared" si="7"/>
        <v>In-Stream Video</v>
      </c>
      <c r="I25">
        <f t="shared" si="8"/>
        <v>4307197</v>
      </c>
      <c r="J25">
        <f t="shared" si="9"/>
        <v>12139</v>
      </c>
      <c r="K25" s="4">
        <f t="shared" si="10"/>
        <v>0.6</v>
      </c>
      <c r="L25">
        <f t="shared" si="11"/>
        <v>0.35</v>
      </c>
      <c r="M25" s="4">
        <f t="shared" si="12"/>
        <v>2584.3181999999997</v>
      </c>
      <c r="N25" s="4">
        <f t="shared" si="13"/>
        <v>1507.5189499999999</v>
      </c>
    </row>
    <row r="26" spans="1:14">
      <c r="A26" t="str">
        <f t="shared" si="0"/>
        <v>BR_AAF_DSY_LANCH_ND_NC_2019Q1MAR_TCR_WebSerie</v>
      </c>
      <c r="B26" t="str">
        <f t="shared" si="1"/>
        <v>Google Brasil</v>
      </c>
      <c r="C26" t="str">
        <f t="shared" si="2"/>
        <v>BR_VW_TCR_DV360-Partner_DIS_PROG_CPM_STD_MPU_AAF_RON_CXD_T-Cross-WebSerie-Trailer-T-Cross-Remarketing_PD_Video</v>
      </c>
      <c r="D26" t="str">
        <f t="shared" si="3"/>
        <v>241802714</v>
      </c>
      <c r="E26" t="str">
        <f t="shared" si="4"/>
        <v>In-Stream Video</v>
      </c>
      <c r="F26" t="str">
        <f t="shared" si="5"/>
        <v>BR_VW_TCR_DV360-Partner_DIS_PROG_CPM_STD_MPU_AAF_RON_CXD_T-Cross-WebSerie-Trailer-T-Cross-Remarketing_PD_Video</v>
      </c>
      <c r="G26" t="str">
        <f t="shared" si="6"/>
        <v>438749413</v>
      </c>
      <c r="H26" t="str">
        <f t="shared" si="7"/>
        <v>In-Stream Video</v>
      </c>
      <c r="I26">
        <f t="shared" si="8"/>
        <v>1</v>
      </c>
      <c r="J26">
        <f t="shared" si="9"/>
        <v>1</v>
      </c>
      <c r="K26" s="4">
        <f t="shared" si="10"/>
        <v>0.6</v>
      </c>
      <c r="L26">
        <f t="shared" si="11"/>
        <v>0.35</v>
      </c>
      <c r="M26" s="4">
        <f t="shared" si="12"/>
        <v>5.9999999999999995E-4</v>
      </c>
      <c r="N26" s="4">
        <f t="shared" si="13"/>
        <v>3.5E-4</v>
      </c>
    </row>
    <row r="27" spans="1:14">
      <c r="A27" t="str">
        <f t="shared" si="0"/>
        <v>BR_AAF_DSY_NONMS_ND_NC_2018Q1MAR_RNG_AlwaysOn</v>
      </c>
      <c r="B27" t="str">
        <f t="shared" si="1"/>
        <v>GDN</v>
      </c>
      <c r="C27" t="str">
        <f t="shared" si="2"/>
        <v>BR_VW_RNG_gdn_DIS_DRCT_CPC_CAI_MPU_AAF_RON_CXD_Varejo-Outlet-Prospect_PD_email</v>
      </c>
      <c r="D27" t="str">
        <f t="shared" si="3"/>
        <v>242024039</v>
      </c>
      <c r="E27" t="str">
        <f t="shared" si="4"/>
        <v>Dynamic Click</v>
      </c>
      <c r="F27" t="str">
        <f t="shared" si="5"/>
        <v>BR_VW_RNG_gdn_DIS_DRCT_CPC_CAI_MPU_AAF_RON_CXD_Varejo-Outlet-Prospect_PD_email</v>
      </c>
      <c r="G27" t="str">
        <f t="shared" si="6"/>
        <v>438871542</v>
      </c>
      <c r="H27" t="str">
        <f t="shared" si="7"/>
        <v>Tracking</v>
      </c>
      <c r="I27">
        <f t="shared" si="8"/>
        <v>0</v>
      </c>
      <c r="J27">
        <f t="shared" si="9"/>
        <v>812</v>
      </c>
      <c r="K27" s="4">
        <f t="shared" si="10"/>
        <v>3.5000000000000001E-3</v>
      </c>
      <c r="L27">
        <f t="shared" si="11"/>
        <v>0.02</v>
      </c>
      <c r="M27" s="4">
        <f t="shared" si="12"/>
        <v>2.8420000000000001</v>
      </c>
      <c r="N27" s="4">
        <f t="shared" si="13"/>
        <v>16.240000000000002</v>
      </c>
    </row>
    <row r="28" spans="1:14">
      <c r="A28" t="str">
        <f t="shared" si="0"/>
        <v>BR_AAF_DSY_NONMS_ND_NC_2018Q1MAR_RNG_AlwaysOn</v>
      </c>
      <c r="B28" t="str">
        <f t="shared" si="1"/>
        <v>Google Brasil</v>
      </c>
      <c r="C28" t="str">
        <f t="shared" si="2"/>
        <v>BR_VW_RNG_dv360_DIS_PROG_CPM_CAI_MXD_AAF_RON_CXD_Varejo-Outlet-Prospect_PD_nativeads</v>
      </c>
      <c r="D28" t="str">
        <f t="shared" si="3"/>
        <v>242022281</v>
      </c>
      <c r="E28" t="str">
        <f t="shared" si="4"/>
        <v>Default</v>
      </c>
      <c r="F28" t="str">
        <f t="shared" si="5"/>
        <v>1x1 Default Web Ad</v>
      </c>
      <c r="G28" t="str">
        <f t="shared" si="6"/>
        <v>440228725</v>
      </c>
      <c r="H28" t="str">
        <f t="shared" si="7"/>
        <v>Display</v>
      </c>
      <c r="I28">
        <f t="shared" si="8"/>
        <v>1</v>
      </c>
      <c r="J28">
        <f t="shared" si="9"/>
        <v>0</v>
      </c>
      <c r="K28" s="4">
        <f t="shared" si="10"/>
        <v>0.04</v>
      </c>
      <c r="L28">
        <f t="shared" si="11"/>
        <v>0.09</v>
      </c>
      <c r="M28" s="4">
        <f t="shared" si="12"/>
        <v>4.0000000000000003E-5</v>
      </c>
      <c r="N28" s="4">
        <f t="shared" si="13"/>
        <v>8.9999999999999992E-5</v>
      </c>
    </row>
    <row r="29" spans="1:14">
      <c r="A29" t="str">
        <f t="shared" si="0"/>
        <v>BR_AAF_DSY_NONMS_ND_NC_2018Q1MAR_RNG_AlwaysOn</v>
      </c>
      <c r="B29" t="str">
        <f t="shared" si="1"/>
        <v>Google Brasil</v>
      </c>
      <c r="C29" t="str">
        <f t="shared" si="2"/>
        <v>BR_VW_RNG_dv360_DIS_PROG_CPM_CAI_MXD_AAF_RON_CXD_Varejo-Outlet-Prospect_PD_nativeads</v>
      </c>
      <c r="D29" t="str">
        <f t="shared" si="3"/>
        <v>242022281</v>
      </c>
      <c r="E29" t="str">
        <f t="shared" si="4"/>
        <v>Standard</v>
      </c>
      <c r="F29" t="str">
        <f t="shared" si="5"/>
        <v>BR_VW_RNG_dv360_DIS_PROG_CPM_CAI_MXD_AAF_RON_CXD_Varejo-Outlet-Prospect_PD_nativeads</v>
      </c>
      <c r="G29" t="str">
        <f t="shared" si="6"/>
        <v>438967652</v>
      </c>
      <c r="H29" t="str">
        <f t="shared" si="7"/>
        <v>Tracking</v>
      </c>
      <c r="I29">
        <f t="shared" si="8"/>
        <v>4047244</v>
      </c>
      <c r="J29">
        <f t="shared" si="9"/>
        <v>5865</v>
      </c>
      <c r="K29" s="4">
        <f t="shared" si="10"/>
        <v>0.04</v>
      </c>
      <c r="L29">
        <f t="shared" si="11"/>
        <v>0.09</v>
      </c>
      <c r="M29" s="4">
        <f t="shared" si="12"/>
        <v>161.88976</v>
      </c>
      <c r="N29" s="4">
        <f t="shared" si="13"/>
        <v>364.25195999999994</v>
      </c>
    </row>
    <row r="30" spans="1:14">
      <c r="A30" t="str">
        <f t="shared" si="0"/>
        <v>BR_AAF_DSY_NONMS_ND_NC_2018Q1MAR_RNG_AlwaysOn</v>
      </c>
      <c r="B30" t="str">
        <f t="shared" si="1"/>
        <v>Google Brasil</v>
      </c>
      <c r="C30" t="str">
        <f t="shared" si="2"/>
        <v>BR_VW_RNG_dv360_DIS_PROG_CPM_STD_SKY_AAF_RON_CXD_Prospecting-Prospecting_PD_300x600</v>
      </c>
      <c r="D30" t="str">
        <f t="shared" si="3"/>
        <v>243048557</v>
      </c>
      <c r="E30" t="str">
        <f t="shared" si="4"/>
        <v>Rich Media 2.2mb</v>
      </c>
      <c r="F30" t="str">
        <f t="shared" si="5"/>
        <v>BR_VW_RNG_dv360_DIS_PROG_CPM_STD_SKY_AAF_RON_CXD_Prospecting-Prospecting_PD_300x600</v>
      </c>
      <c r="G30" t="str">
        <f t="shared" si="6"/>
        <v>439781607</v>
      </c>
      <c r="H30" t="str">
        <f t="shared" si="7"/>
        <v>Rich Media display banner</v>
      </c>
      <c r="I30">
        <f t="shared" si="8"/>
        <v>1</v>
      </c>
      <c r="J30">
        <f t="shared" si="9"/>
        <v>0</v>
      </c>
      <c r="K30" s="4">
        <f t="shared" si="10"/>
        <v>0.91</v>
      </c>
      <c r="L30">
        <f t="shared" si="11"/>
        <v>0.35</v>
      </c>
      <c r="M30" s="4">
        <f t="shared" si="12"/>
        <v>9.1E-4</v>
      </c>
      <c r="N30" s="4">
        <f t="shared" si="13"/>
        <v>3.5E-4</v>
      </c>
    </row>
    <row r="31" spans="1:14">
      <c r="A31" t="str">
        <f t="shared" si="0"/>
        <v>BR_AAF_DSY_NONMS_ND_NC_2018Q1MAR_RNG_AlwaysOn</v>
      </c>
      <c r="B31" t="str">
        <f t="shared" si="1"/>
        <v>Oath BR</v>
      </c>
      <c r="C31" t="str">
        <f t="shared" si="2"/>
        <v>BR_VW_RNG_oath_DIS_DRCT_CPC_CAI_MXD_AAF_RON_CXD_FoxConnect-Prospect_PD_nativeads</v>
      </c>
      <c r="D31" t="str">
        <f t="shared" si="3"/>
        <v>243732381</v>
      </c>
      <c r="E31" t="str">
        <f t="shared" si="4"/>
        <v>Dynamic Click</v>
      </c>
      <c r="F31" t="str">
        <f t="shared" si="5"/>
        <v>BR_VW_RNG_oath_DIS_DRCT_CPC_CAI_MXD_AAF_RON_CXD_FoxConnect-Prospect_PD_nativeads</v>
      </c>
      <c r="G31" t="str">
        <f t="shared" si="6"/>
        <v>440222423</v>
      </c>
      <c r="H31" t="str">
        <f t="shared" si="7"/>
        <v>Tracking</v>
      </c>
      <c r="I31">
        <f t="shared" si="8"/>
        <v>0</v>
      </c>
      <c r="J31">
        <f t="shared" si="9"/>
        <v>79</v>
      </c>
      <c r="K31" s="4">
        <f t="shared" si="10"/>
        <v>3.5000000000000001E-3</v>
      </c>
      <c r="L31">
        <f t="shared" si="11"/>
        <v>0.02</v>
      </c>
      <c r="M31" s="4">
        <f t="shared" si="12"/>
        <v>0.27650000000000002</v>
      </c>
      <c r="N31" s="4">
        <f t="shared" si="13"/>
        <v>1.58</v>
      </c>
    </row>
    <row r="32" spans="1:14">
      <c r="A32" t="str">
        <f t="shared" si="0"/>
        <v>BR_AAF_DSY_NONMS_ND_NC_2018Q1MAR_RNG_AlwaysOn</v>
      </c>
      <c r="B32" t="str">
        <f t="shared" si="1"/>
        <v>Oath BR</v>
      </c>
      <c r="C32" t="str">
        <f t="shared" si="2"/>
        <v>BR_VW_RNG_oath_DIS_DRCT_CPC_CAI_MXD_AAF_RON_CXD_FoxXtreme-Prospect_PD_nativeads</v>
      </c>
      <c r="D32" t="str">
        <f t="shared" si="3"/>
        <v>243732378</v>
      </c>
      <c r="E32" t="str">
        <f t="shared" si="4"/>
        <v>Dynamic Click</v>
      </c>
      <c r="F32" t="str">
        <f t="shared" si="5"/>
        <v>BR_VW_RNG_oath_DIS_DRCT_CPC_CAI_MXD_AAF_RON_CXD_FoxXtreme-Prospect_PD_nativeads</v>
      </c>
      <c r="G32" t="str">
        <f t="shared" si="6"/>
        <v>440222420</v>
      </c>
      <c r="H32" t="str">
        <f t="shared" si="7"/>
        <v>Tracking</v>
      </c>
      <c r="I32">
        <f t="shared" si="8"/>
        <v>0</v>
      </c>
      <c r="J32">
        <f t="shared" si="9"/>
        <v>15294</v>
      </c>
      <c r="K32" s="4">
        <f t="shared" si="10"/>
        <v>3.5000000000000001E-3</v>
      </c>
      <c r="L32">
        <f t="shared" si="11"/>
        <v>0.02</v>
      </c>
      <c r="M32" s="4">
        <f t="shared" si="12"/>
        <v>53.529000000000003</v>
      </c>
      <c r="N32" s="4">
        <f t="shared" si="13"/>
        <v>305.88</v>
      </c>
    </row>
    <row r="33" spans="1:14">
      <c r="A33" t="str">
        <f t="shared" si="0"/>
        <v>BR_AAF_DSY_NONMS_ND_NC_2018Q1MAR_RNG_AlwaysOn</v>
      </c>
      <c r="B33" t="str">
        <f t="shared" si="1"/>
        <v>Oath BR</v>
      </c>
      <c r="C33" t="str">
        <f t="shared" si="2"/>
        <v>BR_VW_RNG_oath_DIS_DRCT_CPC_CAI_MXD_AAF_RON_CXD_Gol-Prospect_PD_nativeads</v>
      </c>
      <c r="D33" t="str">
        <f t="shared" si="3"/>
        <v>243732375</v>
      </c>
      <c r="E33" t="str">
        <f t="shared" si="4"/>
        <v>Dynamic Click</v>
      </c>
      <c r="F33" t="str">
        <f t="shared" si="5"/>
        <v>BR_VW_RNG_oath_DIS_DRCT_CPC_CAI_MXD_AAF_RON_CXD_Gol-Prospect_PD_nativeads</v>
      </c>
      <c r="G33" t="str">
        <f t="shared" si="6"/>
        <v>440222417</v>
      </c>
      <c r="H33" t="str">
        <f t="shared" si="7"/>
        <v>Tracking</v>
      </c>
      <c r="I33">
        <f t="shared" si="8"/>
        <v>0</v>
      </c>
      <c r="J33">
        <f t="shared" si="9"/>
        <v>6737</v>
      </c>
      <c r="K33" s="4">
        <f t="shared" si="10"/>
        <v>3.5000000000000001E-3</v>
      </c>
      <c r="L33">
        <f t="shared" si="11"/>
        <v>0.02</v>
      </c>
      <c r="M33" s="4">
        <f t="shared" si="12"/>
        <v>23.579499999999999</v>
      </c>
      <c r="N33" s="4">
        <f t="shared" si="13"/>
        <v>134.74</v>
      </c>
    </row>
    <row r="34" spans="1:14">
      <c r="A34" t="str">
        <f t="shared" si="0"/>
        <v>BR_AAF_DSY_NONMS_ND_NC_2018Q1MAR_RNG_AlwaysOn</v>
      </c>
      <c r="B34" t="str">
        <f t="shared" si="1"/>
        <v>Oath BR</v>
      </c>
      <c r="C34" t="str">
        <f t="shared" si="2"/>
        <v>BR_VW_RNG_oath_DIS_DRCT_CPC_CAI_MXD_AAF_RON_CXD_Jetta-Prospect_PD_nativeads</v>
      </c>
      <c r="D34" t="str">
        <f t="shared" si="3"/>
        <v>243732372</v>
      </c>
      <c r="E34" t="str">
        <f t="shared" si="4"/>
        <v>Dynamic Click</v>
      </c>
      <c r="F34" t="str">
        <f t="shared" si="5"/>
        <v>BR_VW_RNG_oath_DIS_DRCT_CPC_CAI_MXD_AAF_RON_CXD_Jetta-Prospect_PD_nativeads</v>
      </c>
      <c r="G34" t="str">
        <f t="shared" si="6"/>
        <v>440222414</v>
      </c>
      <c r="H34" t="str">
        <f t="shared" si="7"/>
        <v>Tracking</v>
      </c>
      <c r="I34">
        <f t="shared" si="8"/>
        <v>0</v>
      </c>
      <c r="J34">
        <f t="shared" si="9"/>
        <v>718</v>
      </c>
      <c r="K34" s="4">
        <f t="shared" si="10"/>
        <v>3.5000000000000001E-3</v>
      </c>
      <c r="L34">
        <f t="shared" si="11"/>
        <v>0.02</v>
      </c>
      <c r="M34" s="4">
        <f t="shared" si="12"/>
        <v>2.5129999999999999</v>
      </c>
      <c r="N34" s="4">
        <f t="shared" si="13"/>
        <v>14.36</v>
      </c>
    </row>
    <row r="35" spans="1:14">
      <c r="A35" t="str">
        <f t="shared" si="0"/>
        <v>BR_AAF_DSY_NONMS_ND_NC_2018Q1MAR_RNG_AlwaysOn</v>
      </c>
      <c r="B35" t="str">
        <f t="shared" si="1"/>
        <v>Oath BR</v>
      </c>
      <c r="C35" t="str">
        <f t="shared" si="2"/>
        <v>BR_VW_RNG_oath_DIS_DRCT_CPC_CAI_MXD_AAF_RON_CXD_Passat-Prospect_PD_nativeads</v>
      </c>
      <c r="D35" t="str">
        <f t="shared" si="3"/>
        <v>243732369</v>
      </c>
      <c r="E35" t="str">
        <f t="shared" si="4"/>
        <v>Dynamic Click</v>
      </c>
      <c r="F35" t="str">
        <f t="shared" si="5"/>
        <v>BR_VW_RNG_oath_DIS_DRCT_CPC_CAI_MXD_AAF_RON_CXD_Passat-Prospect_PD_nativeads</v>
      </c>
      <c r="G35" t="str">
        <f t="shared" si="6"/>
        <v>440222411</v>
      </c>
      <c r="H35" t="str">
        <f t="shared" si="7"/>
        <v>Tracking</v>
      </c>
      <c r="I35">
        <f t="shared" si="8"/>
        <v>0</v>
      </c>
      <c r="J35">
        <f t="shared" si="9"/>
        <v>10035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35.122500000000002</v>
      </c>
      <c r="N35" s="4">
        <f t="shared" ref="N35:N98" si="15">IF(E35="Dynamic Click",J35*L35,L35*$I35/1000)</f>
        <v>200.70000000000002</v>
      </c>
    </row>
    <row r="36" spans="1:14">
      <c r="A36" t="str">
        <f t="shared" si="0"/>
        <v>BR_AAF_DSY_NONMS_ND_NC_2018Q1MAR_RNG_AlwaysOn</v>
      </c>
      <c r="B36" t="str">
        <f t="shared" si="1"/>
        <v>Oath BR</v>
      </c>
      <c r="C36" t="str">
        <f t="shared" si="2"/>
        <v>BR_VW_RNG_oath_DIS_DRCT_CPC_CAI_MXD_AAF_RON_CXD_Polo-Prospect_PD_nativeads</v>
      </c>
      <c r="D36" t="str">
        <f t="shared" si="3"/>
        <v>243732366</v>
      </c>
      <c r="E36" t="str">
        <f t="shared" si="4"/>
        <v>Dynamic Click</v>
      </c>
      <c r="F36" t="str">
        <f t="shared" si="5"/>
        <v>BR_VW_RNG_oath_DIS_DRCT_CPC_CAI_MXD_AAF_RON_CXD_Polo-Prospect_PD_nativeads</v>
      </c>
      <c r="G36" t="str">
        <f t="shared" si="6"/>
        <v>440222408</v>
      </c>
      <c r="H36" t="str">
        <f t="shared" si="7"/>
        <v>Tracking</v>
      </c>
      <c r="I36">
        <f t="shared" si="8"/>
        <v>0</v>
      </c>
      <c r="J36">
        <f t="shared" si="9"/>
        <v>281</v>
      </c>
      <c r="K36" s="4">
        <f t="shared" si="10"/>
        <v>3.5000000000000001E-3</v>
      </c>
      <c r="L36">
        <f t="shared" si="11"/>
        <v>0.02</v>
      </c>
      <c r="M36" s="4">
        <f t="shared" si="14"/>
        <v>0.98350000000000004</v>
      </c>
      <c r="N36" s="4">
        <f t="shared" si="15"/>
        <v>5.62</v>
      </c>
    </row>
    <row r="37" spans="1:14">
      <c r="A37" t="str">
        <f t="shared" si="0"/>
        <v>BR_AAF_DSY_NONMS_ND_NC_2018Q1MAR_RNG_AlwaysOn</v>
      </c>
      <c r="B37" t="str">
        <f t="shared" si="1"/>
        <v>Oath BR</v>
      </c>
      <c r="C37" t="str">
        <f t="shared" si="2"/>
        <v>BR_VW_RNG_oath_DIS_DRCT_CPC_CAI_MXD_AAF_RON_CXD_Saveiro-Prospect_PD_nativeads</v>
      </c>
      <c r="D37" t="str">
        <f t="shared" si="3"/>
        <v>243732363</v>
      </c>
      <c r="E37" t="str">
        <f t="shared" si="4"/>
        <v>Dynamic Click</v>
      </c>
      <c r="F37" t="str">
        <f t="shared" si="5"/>
        <v>BR_VW_RNG_oath_DIS_DRCT_CPC_CAI_MXD_AAF_RON_CXD_Saveiro-Prospect_PD_nativeads</v>
      </c>
      <c r="G37" t="str">
        <f t="shared" si="6"/>
        <v>440222405</v>
      </c>
      <c r="H37" t="str">
        <f t="shared" si="7"/>
        <v>Tracking</v>
      </c>
      <c r="I37">
        <f t="shared" si="8"/>
        <v>0</v>
      </c>
      <c r="J37">
        <f t="shared" si="9"/>
        <v>2644</v>
      </c>
      <c r="K37" s="4">
        <f t="shared" si="10"/>
        <v>3.5000000000000001E-3</v>
      </c>
      <c r="L37">
        <f t="shared" si="11"/>
        <v>0.02</v>
      </c>
      <c r="M37" s="4">
        <f t="shared" si="14"/>
        <v>9.2539999999999996</v>
      </c>
      <c r="N37" s="4">
        <f t="shared" si="15"/>
        <v>52.88</v>
      </c>
    </row>
    <row r="38" spans="1:14">
      <c r="A38" t="str">
        <f t="shared" si="0"/>
        <v>BR_AAF_DSY_NONMS_ND_NC_2018Q1MAR_RNG_AlwaysOn</v>
      </c>
      <c r="B38" t="str">
        <f t="shared" si="1"/>
        <v>Oath BR</v>
      </c>
      <c r="C38" t="str">
        <f t="shared" si="2"/>
        <v>BR_VW_RNG_oath_DIS_DRCT_CPC_CAI_MXD_AAF_RON_CXD_SaveiroPepper-Prospect_PD_nativeads</v>
      </c>
      <c r="D38" t="str">
        <f t="shared" si="3"/>
        <v>243732360</v>
      </c>
      <c r="E38" t="str">
        <f t="shared" si="4"/>
        <v>Dynamic Click</v>
      </c>
      <c r="F38" t="str">
        <f t="shared" si="5"/>
        <v>BR_VW_RNG_oath_DIS_DRCT_CPC_CAI_MXD_AAF_RON_CXD_SaveiroPepper-Prospect_PD_nativeads</v>
      </c>
      <c r="G38" t="str">
        <f t="shared" si="6"/>
        <v>440222402</v>
      </c>
      <c r="H38" t="str">
        <f t="shared" si="7"/>
        <v>Tracking</v>
      </c>
      <c r="I38">
        <f t="shared" si="8"/>
        <v>0</v>
      </c>
      <c r="J38">
        <f t="shared" si="9"/>
        <v>1125</v>
      </c>
      <c r="K38" s="4">
        <f t="shared" si="10"/>
        <v>3.5000000000000001E-3</v>
      </c>
      <c r="L38">
        <f t="shared" si="11"/>
        <v>0.02</v>
      </c>
      <c r="M38" s="4">
        <f t="shared" si="14"/>
        <v>3.9375</v>
      </c>
      <c r="N38" s="4">
        <f t="shared" si="15"/>
        <v>22.5</v>
      </c>
    </row>
    <row r="39" spans="1:14">
      <c r="A39" t="str">
        <f t="shared" si="0"/>
        <v>BR_AAF_DSY_NONMS_ND_NC_2018Q1MAR_RNG_AlwaysOn</v>
      </c>
      <c r="B39" t="str">
        <f t="shared" si="1"/>
        <v>Oath BR</v>
      </c>
      <c r="C39" t="str">
        <f t="shared" si="2"/>
        <v>BR_VW_RNG_oath_DIS_DRCT_CPC_CAI_MXD_AAF_RON_CXD_Tiguan-Prospect_PD_nativeads</v>
      </c>
      <c r="D39" t="str">
        <f t="shared" si="3"/>
        <v>243732357</v>
      </c>
      <c r="E39" t="str">
        <f t="shared" si="4"/>
        <v>Dynamic Click</v>
      </c>
      <c r="F39" t="str">
        <f t="shared" si="5"/>
        <v>BR_VW_RNG_oath_DIS_DRCT_CPC_CAI_MXD_AAF_RON_CXD_Tiguan-Prospect_PD_nativeads</v>
      </c>
      <c r="G39" t="str">
        <f t="shared" si="6"/>
        <v>440222399</v>
      </c>
      <c r="H39" t="str">
        <f t="shared" si="7"/>
        <v>Tracking</v>
      </c>
      <c r="I39">
        <f t="shared" si="8"/>
        <v>0</v>
      </c>
      <c r="J39">
        <f t="shared" si="9"/>
        <v>35201</v>
      </c>
      <c r="K39" s="4">
        <f t="shared" si="10"/>
        <v>3.5000000000000001E-3</v>
      </c>
      <c r="L39">
        <f t="shared" si="11"/>
        <v>0.02</v>
      </c>
      <c r="M39" s="4">
        <f t="shared" si="14"/>
        <v>123.20350000000001</v>
      </c>
      <c r="N39" s="4">
        <f t="shared" si="15"/>
        <v>704.02</v>
      </c>
    </row>
    <row r="40" spans="1:14">
      <c r="A40" t="str">
        <f t="shared" si="0"/>
        <v>BR_AAF_DSY_NONMS_ND_NC_2018Q1MAR_RNG_AlwaysOn</v>
      </c>
      <c r="B40" t="str">
        <f t="shared" si="1"/>
        <v>Oath BR</v>
      </c>
      <c r="C40" t="str">
        <f t="shared" si="2"/>
        <v>BR_VW_RNG_oath_DIS_DRCT_CPC_CAI_MXD_AAF_RON_CXD_UP-Prospect_PD_nativeads</v>
      </c>
      <c r="D40" t="str">
        <f t="shared" si="3"/>
        <v>243732351</v>
      </c>
      <c r="E40" t="str">
        <f t="shared" si="4"/>
        <v>Dynamic Click</v>
      </c>
      <c r="F40" t="str">
        <f t="shared" si="5"/>
        <v>BR_VW_RNG_oath_DIS_DRCT_CPC_CAI_MXD_AAF_RON_CXD_UP-Prospect_PD_nativeads</v>
      </c>
      <c r="G40" t="str">
        <f t="shared" si="6"/>
        <v>440222393</v>
      </c>
      <c r="H40" t="str">
        <f t="shared" si="7"/>
        <v>Tracking</v>
      </c>
      <c r="I40">
        <f t="shared" si="8"/>
        <v>0</v>
      </c>
      <c r="J40">
        <f t="shared" si="9"/>
        <v>974</v>
      </c>
      <c r="K40" s="4">
        <f t="shared" si="10"/>
        <v>3.5000000000000001E-3</v>
      </c>
      <c r="L40">
        <f t="shared" si="11"/>
        <v>0.02</v>
      </c>
      <c r="M40" s="4">
        <f t="shared" si="14"/>
        <v>3.4090000000000003</v>
      </c>
      <c r="N40" s="4">
        <f t="shared" si="15"/>
        <v>19.48</v>
      </c>
    </row>
    <row r="41" spans="1:14">
      <c r="A41" t="str">
        <f t="shared" si="0"/>
        <v>BR_AAF_DSY_NONMS_ND_NC_2018Q1MAR_RNG_AlwaysOn</v>
      </c>
      <c r="B41" t="str">
        <f t="shared" si="1"/>
        <v>Oath BR</v>
      </c>
      <c r="C41" t="str">
        <f t="shared" si="2"/>
        <v>BR_VW_RNG_oath_DIS_DRCT_CPC_CAI_MXD_AAF_RON_CXD_UPPepper-Prospect_PD_nativeads</v>
      </c>
      <c r="D41" t="str">
        <f t="shared" si="3"/>
        <v>243732354</v>
      </c>
      <c r="E41" t="str">
        <f t="shared" si="4"/>
        <v>Dynamic Click</v>
      </c>
      <c r="F41" t="str">
        <f t="shared" si="5"/>
        <v>BR_VW_RNG_oath_DIS_DRCT_CPC_CAI_MXD_AAF_RON_CXD_UPPepper-Prospect_PD_nativeads</v>
      </c>
      <c r="G41" t="str">
        <f t="shared" si="6"/>
        <v>440222396</v>
      </c>
      <c r="H41" t="str">
        <f t="shared" si="7"/>
        <v>Tracking</v>
      </c>
      <c r="I41">
        <f t="shared" si="8"/>
        <v>0</v>
      </c>
      <c r="J41">
        <f t="shared" si="9"/>
        <v>1010</v>
      </c>
      <c r="K41" s="4">
        <f t="shared" si="10"/>
        <v>3.5000000000000001E-3</v>
      </c>
      <c r="L41">
        <f t="shared" si="11"/>
        <v>0.02</v>
      </c>
      <c r="M41" s="4">
        <f t="shared" si="14"/>
        <v>3.5350000000000001</v>
      </c>
      <c r="N41" s="4">
        <f t="shared" si="15"/>
        <v>20.2</v>
      </c>
    </row>
    <row r="42" spans="1:14">
      <c r="A42" t="str">
        <f t="shared" si="0"/>
        <v>BR_AAF_DSY_NONMS_ND_NC_2018Q1MAR_RNG_AlwaysOn</v>
      </c>
      <c r="B42" t="str">
        <f t="shared" si="1"/>
        <v>Oath BR</v>
      </c>
      <c r="C42" t="str">
        <f t="shared" si="2"/>
        <v>BR_VW_RNG_oath_DIS_DRCT_CPC_CAI_MXD_AAF_RON_CXD_Varejo-Outlet-Prospect_PD_nativeads</v>
      </c>
      <c r="D42" t="str">
        <f t="shared" si="3"/>
        <v>242021264</v>
      </c>
      <c r="E42" t="str">
        <f t="shared" si="4"/>
        <v>Dynamic Click</v>
      </c>
      <c r="F42" t="str">
        <f t="shared" si="5"/>
        <v>BR_VW_RNG_oath_DIS_DRCT_CPC_CAI_MXD_AAF_RON_CXD_Varejo-Outlet-Prospect_PD_nativeads</v>
      </c>
      <c r="G42" t="str">
        <f t="shared" si="6"/>
        <v>438955055</v>
      </c>
      <c r="H42" t="str">
        <f t="shared" si="7"/>
        <v>Tracking</v>
      </c>
      <c r="I42">
        <f t="shared" si="8"/>
        <v>0</v>
      </c>
      <c r="J42">
        <f t="shared" si="9"/>
        <v>9103</v>
      </c>
      <c r="K42" s="4">
        <f t="shared" si="10"/>
        <v>3.5000000000000001E-3</v>
      </c>
      <c r="L42">
        <f t="shared" si="11"/>
        <v>0.02</v>
      </c>
      <c r="M42" s="4">
        <f t="shared" si="14"/>
        <v>31.860500000000002</v>
      </c>
      <c r="N42" s="4">
        <f t="shared" si="15"/>
        <v>182.06</v>
      </c>
    </row>
    <row r="43" spans="1:14">
      <c r="A43" t="str">
        <f t="shared" si="0"/>
        <v>BR_AAF_DSY_NONMS_ND_NC_2018Q1MAR_RNG_AlwaysOn</v>
      </c>
      <c r="B43" t="str">
        <f t="shared" si="1"/>
        <v>Oath BR</v>
      </c>
      <c r="C43" t="str">
        <f t="shared" si="2"/>
        <v>BR_VW_RNG_oath_DIS_DRCT_CPC_CAI_MXD_AAF_RON_CXD_Voyage-Prospect_PD_nativeads</v>
      </c>
      <c r="D43" t="str">
        <f t="shared" si="3"/>
        <v>243732345</v>
      </c>
      <c r="E43" t="str">
        <f t="shared" si="4"/>
        <v>Dynamic Click</v>
      </c>
      <c r="F43" t="str">
        <f t="shared" si="5"/>
        <v>BR_VW_RNG_oath_DIS_DRCT_CPC_CAI_MXD_AAF_RON_CXD_Voyage-Prospect_PD_nativeads</v>
      </c>
      <c r="G43" t="str">
        <f t="shared" si="6"/>
        <v>440222387</v>
      </c>
      <c r="H43" t="str">
        <f t="shared" si="7"/>
        <v>Tracking</v>
      </c>
      <c r="I43">
        <f t="shared" si="8"/>
        <v>0</v>
      </c>
      <c r="J43">
        <f t="shared" si="9"/>
        <v>881</v>
      </c>
      <c r="K43" s="4">
        <f t="shared" si="10"/>
        <v>3.5000000000000001E-3</v>
      </c>
      <c r="L43">
        <f t="shared" si="11"/>
        <v>0.02</v>
      </c>
      <c r="M43" s="4">
        <f t="shared" si="14"/>
        <v>3.0834999999999999</v>
      </c>
      <c r="N43" s="4">
        <f t="shared" si="15"/>
        <v>17.62</v>
      </c>
    </row>
    <row r="44" spans="1:14">
      <c r="A44" t="str">
        <f t="shared" si="0"/>
        <v>BR_AAF_DSY_NONMS_ND_NC_2018Q1MAR_RNG_AlwaysOn</v>
      </c>
      <c r="B44" t="str">
        <f t="shared" si="1"/>
        <v>faceinsta</v>
      </c>
      <c r="C44" t="str">
        <f t="shared" si="2"/>
        <v>BR_VW_RNG_faceinsta_SOC_DRCT_CPM_CLK_MXD_AAF_RON_CXD_DPA-Amarok-Prospect_PD_pagepost</v>
      </c>
      <c r="D44" t="str">
        <f t="shared" si="3"/>
        <v>242415377</v>
      </c>
      <c r="E44" t="str">
        <f t="shared" si="4"/>
        <v>Dynamic Click</v>
      </c>
      <c r="F44" t="str">
        <f t="shared" si="5"/>
        <v>BR_VW_RNG_faceinsta_SOC_DRCT_CPM_CLK_MXD_AAF_RON_CXD_DPA-Amarok-Prospect_PD_pagepost</v>
      </c>
      <c r="G44" t="str">
        <f t="shared" si="6"/>
        <v>439260088</v>
      </c>
      <c r="H44" t="str">
        <f t="shared" si="7"/>
        <v>Tracking</v>
      </c>
      <c r="I44">
        <f t="shared" si="8"/>
        <v>0</v>
      </c>
      <c r="J44">
        <f t="shared" si="9"/>
        <v>304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1.0640000000000001</v>
      </c>
      <c r="N44" s="4">
        <f t="shared" si="15"/>
        <v>6.08</v>
      </c>
    </row>
    <row r="45" spans="1:14">
      <c r="A45" t="str">
        <f t="shared" si="0"/>
        <v>BR_AAF_DSY_NONMS_ND_NC_2018Q1MAR_RNG_AlwaysOn</v>
      </c>
      <c r="B45" t="str">
        <f t="shared" si="1"/>
        <v>faceinsta</v>
      </c>
      <c r="C45" t="str">
        <f t="shared" si="2"/>
        <v>BR_VW_RNG_faceinsta_SOC_DRCT_CPM_CLK_MXD_AAF_RON_CXD_DPA-Fox-Prospect_PD_pagepost</v>
      </c>
      <c r="D45" t="str">
        <f t="shared" si="3"/>
        <v>242415380</v>
      </c>
      <c r="E45" t="str">
        <f t="shared" si="4"/>
        <v>Dynamic Click</v>
      </c>
      <c r="F45" t="str">
        <f t="shared" si="5"/>
        <v>BR_VW_RNG_faceinsta_SOC_DRCT_CPM_CLK_MXD_AAF_RON_CXD_DPA-Fox-Prospect_PD_pagepost</v>
      </c>
      <c r="G45" t="str">
        <f t="shared" si="6"/>
        <v>439260085</v>
      </c>
      <c r="H45" t="str">
        <f t="shared" si="7"/>
        <v>Tracking</v>
      </c>
      <c r="I45">
        <f t="shared" si="8"/>
        <v>0</v>
      </c>
      <c r="J45">
        <f t="shared" si="9"/>
        <v>613</v>
      </c>
      <c r="K45" s="4">
        <f t="shared" si="16"/>
        <v>3.5000000000000001E-3</v>
      </c>
      <c r="L45">
        <f t="shared" si="17"/>
        <v>0.02</v>
      </c>
      <c r="M45" s="4">
        <f t="shared" si="14"/>
        <v>2.1455000000000002</v>
      </c>
      <c r="N45" s="4">
        <f t="shared" si="15"/>
        <v>12.26</v>
      </c>
    </row>
    <row r="46" spans="1:14">
      <c r="A46" t="str">
        <f t="shared" si="0"/>
        <v>BR_AAF_DSY_NONMS_ND_NC_2018Q1MAR_RNG_AlwaysOn</v>
      </c>
      <c r="B46" t="str">
        <f t="shared" si="1"/>
        <v>faceinsta</v>
      </c>
      <c r="C46" t="str">
        <f t="shared" si="2"/>
        <v>BR_VW_RNG_faceinsta_SOC_DRCT_CPM_CLK_MXD_AAF_RON_CXD_DPA-Gol-Prospect_PD_pagepost</v>
      </c>
      <c r="D46" t="str">
        <f t="shared" si="3"/>
        <v>242415383</v>
      </c>
      <c r="E46" t="str">
        <f t="shared" si="4"/>
        <v>Dynamic Click</v>
      </c>
      <c r="F46" t="str">
        <f t="shared" si="5"/>
        <v>BR_VW_RNG_faceinsta_SOC_DRCT_CPM_CLK_MXD_AAF_RON_CXD_DPA-Gol-Prospect_PD_pagepost</v>
      </c>
      <c r="G46" t="str">
        <f t="shared" si="6"/>
        <v>439260082</v>
      </c>
      <c r="H46" t="str">
        <f t="shared" si="7"/>
        <v>Tracking</v>
      </c>
      <c r="I46">
        <f t="shared" si="8"/>
        <v>0</v>
      </c>
      <c r="J46">
        <f t="shared" si="9"/>
        <v>242</v>
      </c>
      <c r="K46" s="4">
        <f t="shared" si="16"/>
        <v>3.5000000000000001E-3</v>
      </c>
      <c r="L46">
        <f t="shared" si="17"/>
        <v>0.02</v>
      </c>
      <c r="M46" s="4">
        <f t="shared" si="14"/>
        <v>0.84699999999999998</v>
      </c>
      <c r="N46" s="4">
        <f t="shared" si="15"/>
        <v>4.84</v>
      </c>
    </row>
    <row r="47" spans="1:14">
      <c r="A47" t="str">
        <f t="shared" si="0"/>
        <v>BR_AAF_DSY_NONMS_ND_NC_2018Q1MAR_RNG_AlwaysOn</v>
      </c>
      <c r="B47" t="str">
        <f t="shared" si="1"/>
        <v>faceinsta</v>
      </c>
      <c r="C47" t="str">
        <f t="shared" si="2"/>
        <v>BR_VW_RNG_faceinsta_SOC_DRCT_CPM_CLK_MXD_AAF_RON_CXD_DPA-Passat-Prospect_PD_pagepost</v>
      </c>
      <c r="D47" t="str">
        <f t="shared" si="3"/>
        <v>242415392</v>
      </c>
      <c r="E47" t="str">
        <f t="shared" si="4"/>
        <v>Dynamic Click</v>
      </c>
      <c r="F47" t="str">
        <f t="shared" si="5"/>
        <v>BR_VW_RNG_faceinsta_SOC_DRCT_CPM_CLK_MXD_AAF_RON_CXD_DPA-Passat-Prospect_PD_pagepost</v>
      </c>
      <c r="G47" t="str">
        <f t="shared" si="6"/>
        <v>439260073</v>
      </c>
      <c r="H47" t="str">
        <f t="shared" si="7"/>
        <v>Tracking</v>
      </c>
      <c r="I47">
        <f t="shared" si="8"/>
        <v>0</v>
      </c>
      <c r="J47">
        <f t="shared" si="9"/>
        <v>10898</v>
      </c>
      <c r="K47" s="4">
        <f t="shared" si="16"/>
        <v>3.5000000000000001E-3</v>
      </c>
      <c r="L47">
        <f t="shared" si="17"/>
        <v>0.02</v>
      </c>
      <c r="M47" s="4">
        <f t="shared" si="14"/>
        <v>38.143000000000001</v>
      </c>
      <c r="N47" s="4">
        <f t="shared" si="15"/>
        <v>217.96</v>
      </c>
    </row>
    <row r="48" spans="1:14">
      <c r="A48" t="str">
        <f t="shared" si="0"/>
        <v>BR_AAF_DSY_NONMS_ND_NC_2018Q1MAR_RNG_AlwaysOn</v>
      </c>
      <c r="B48" t="str">
        <f t="shared" si="1"/>
        <v>faceinsta</v>
      </c>
      <c r="C48" t="str">
        <f t="shared" si="2"/>
        <v>BR_VW_RNG_faceinsta_SOC_DRCT_CPM_CLK_MXD_AAF_RON_CXD_DPA-Polo-Prospect_PD_pagepost</v>
      </c>
      <c r="D48" t="str">
        <f t="shared" si="3"/>
        <v>242415374</v>
      </c>
      <c r="E48" t="str">
        <f t="shared" si="4"/>
        <v>Dynamic Click</v>
      </c>
      <c r="F48" t="str">
        <f t="shared" si="5"/>
        <v>BR_VW_RNG_faceinsta_SOC_DRCT_CPM_CLK_MXD_AAF_RON_CXD_DPA-Polo-Prospect_PD_pagepost</v>
      </c>
      <c r="G48" t="str">
        <f t="shared" si="6"/>
        <v>439260091</v>
      </c>
      <c r="H48" t="str">
        <f t="shared" si="7"/>
        <v>Tracking</v>
      </c>
      <c r="I48">
        <f t="shared" si="8"/>
        <v>0</v>
      </c>
      <c r="J48">
        <f t="shared" si="9"/>
        <v>770</v>
      </c>
      <c r="K48" s="4">
        <f t="shared" si="16"/>
        <v>3.5000000000000001E-3</v>
      </c>
      <c r="L48">
        <f t="shared" si="17"/>
        <v>0.02</v>
      </c>
      <c r="M48" s="4">
        <f t="shared" si="14"/>
        <v>2.6949999999999998</v>
      </c>
      <c r="N48" s="4">
        <f t="shared" si="15"/>
        <v>15.4</v>
      </c>
    </row>
    <row r="49" spans="1:14">
      <c r="A49" t="str">
        <f t="shared" si="0"/>
        <v>BR_AAF_DSY_NONMS_ND_NC_2018Q1MAR_RNG_AlwaysOn</v>
      </c>
      <c r="B49" t="str">
        <f t="shared" si="1"/>
        <v>faceinsta</v>
      </c>
      <c r="C49" t="str">
        <f t="shared" si="2"/>
        <v>BR_VW_RNG_faceinsta_SOC_DRCT_CPM_CLK_MXD_AAF_RON_CXD_DPA-Saveiro-Prospect_PD_pagepost</v>
      </c>
      <c r="D49" t="str">
        <f t="shared" si="3"/>
        <v>242415395</v>
      </c>
      <c r="E49" t="str">
        <f t="shared" si="4"/>
        <v>Dynamic Click</v>
      </c>
      <c r="F49" t="str">
        <f t="shared" si="5"/>
        <v>BR_VW_RNG_faceinsta_SOC_DRCT_CPM_CLK_MXD_AAF_RON_CXD_DPA-Saveiro-Prospect_PD_pagepost</v>
      </c>
      <c r="G49" t="str">
        <f t="shared" si="6"/>
        <v>439260070</v>
      </c>
      <c r="H49" t="str">
        <f t="shared" si="7"/>
        <v>Tracking</v>
      </c>
      <c r="I49">
        <f t="shared" si="8"/>
        <v>0</v>
      </c>
      <c r="J49">
        <f t="shared" si="9"/>
        <v>3182</v>
      </c>
      <c r="K49" s="4">
        <f t="shared" si="16"/>
        <v>3.5000000000000001E-3</v>
      </c>
      <c r="L49">
        <f t="shared" si="17"/>
        <v>0.02</v>
      </c>
      <c r="M49" s="4">
        <f t="shared" si="14"/>
        <v>11.137</v>
      </c>
      <c r="N49" s="4">
        <f t="shared" si="15"/>
        <v>63.64</v>
      </c>
    </row>
    <row r="50" spans="1:14">
      <c r="A50" t="str">
        <f t="shared" si="0"/>
        <v>BR_AAF_DSY_NONMS_ND_NC_2018Q1MAR_RNG_AlwaysOn</v>
      </c>
      <c r="B50" t="str">
        <f t="shared" si="1"/>
        <v>faceinsta</v>
      </c>
      <c r="C50" t="str">
        <f t="shared" si="2"/>
        <v>BR_VW_RNG_faceinsta_SOC_DRCT_CPM_CLK_MXD_AAF_RON_CXD_DPA-Tiguan-Prospect_PD_pagepost</v>
      </c>
      <c r="D50" t="str">
        <f t="shared" si="3"/>
        <v>242415398</v>
      </c>
      <c r="E50" t="str">
        <f t="shared" si="4"/>
        <v>Dynamic Click</v>
      </c>
      <c r="F50" t="str">
        <f t="shared" si="5"/>
        <v>BR_VW_RNG_faceinsta_SOC_DRCT_CPM_CLK_MXD_AAF_RON_CXD_DPA-Tiguan-Prospect_PD_pagepost</v>
      </c>
      <c r="G50" t="str">
        <f t="shared" si="6"/>
        <v>439260067</v>
      </c>
      <c r="H50" t="str">
        <f t="shared" si="7"/>
        <v>Tracking</v>
      </c>
      <c r="I50">
        <f t="shared" si="8"/>
        <v>0</v>
      </c>
      <c r="J50">
        <f t="shared" si="9"/>
        <v>6684</v>
      </c>
      <c r="K50" s="4">
        <f t="shared" si="16"/>
        <v>3.5000000000000001E-3</v>
      </c>
      <c r="L50">
        <f t="shared" si="17"/>
        <v>0.02</v>
      </c>
      <c r="M50" s="4">
        <f t="shared" si="14"/>
        <v>23.394000000000002</v>
      </c>
      <c r="N50" s="4">
        <f t="shared" si="15"/>
        <v>133.68</v>
      </c>
    </row>
    <row r="51" spans="1:14">
      <c r="A51" t="str">
        <f t="shared" si="0"/>
        <v>BR_AAF_DSY_NONMS_ND_NC_2018Q1MAR_RNG_AlwaysOn</v>
      </c>
      <c r="B51" t="str">
        <f t="shared" si="1"/>
        <v>faceinsta</v>
      </c>
      <c r="C51" t="str">
        <f t="shared" si="2"/>
        <v>BR_VW_RNG_faceinsta_SOC_DRCT_CPM_CLK_MXD_AAF_RON_CXD_DPA-Virtus-Prospect_PD_pagepost</v>
      </c>
      <c r="D51" t="str">
        <f t="shared" si="3"/>
        <v>242415401</v>
      </c>
      <c r="E51" t="str">
        <f t="shared" si="4"/>
        <v>Dynamic Click</v>
      </c>
      <c r="F51" t="str">
        <f t="shared" si="5"/>
        <v>BR_VW_RNG_faceinsta_SOC_DRCT_CPM_CLK_MXD_AAF_RON_CXD_DPA-Virtus-Prospect_PD_pagepost</v>
      </c>
      <c r="G51" t="str">
        <f t="shared" si="6"/>
        <v>439260064</v>
      </c>
      <c r="H51" t="str">
        <f t="shared" si="7"/>
        <v>Tracking</v>
      </c>
      <c r="I51">
        <f t="shared" si="8"/>
        <v>0</v>
      </c>
      <c r="J51">
        <f t="shared" si="9"/>
        <v>253</v>
      </c>
      <c r="K51" s="4">
        <f t="shared" si="16"/>
        <v>3.5000000000000001E-3</v>
      </c>
      <c r="L51">
        <f t="shared" si="17"/>
        <v>0.02</v>
      </c>
      <c r="M51" s="4">
        <f t="shared" si="14"/>
        <v>0.88550000000000006</v>
      </c>
      <c r="N51" s="4">
        <f t="shared" si="15"/>
        <v>5.0600000000000005</v>
      </c>
    </row>
    <row r="52" spans="1:14">
      <c r="A52" t="str">
        <f t="shared" si="0"/>
        <v>BR_AAF_DSY_NONMS_ND_NC_2018Q1MAR_RNG_AlwaysOn</v>
      </c>
      <c r="B52" t="str">
        <f t="shared" si="1"/>
        <v>faceinsta</v>
      </c>
      <c r="C52" t="str">
        <f t="shared" si="2"/>
        <v>BR_VW_RNG_faceinsta_SOC_DRCT_CPM_CLK_MXD_AAF_RON_CXD_DPA-Voyage-Prospect_PD_pagepost</v>
      </c>
      <c r="D52" t="str">
        <f t="shared" si="3"/>
        <v>242415404</v>
      </c>
      <c r="E52" t="str">
        <f t="shared" si="4"/>
        <v>Dynamic Click</v>
      </c>
      <c r="F52" t="str">
        <f t="shared" si="5"/>
        <v>BR_VW_RNG_faceinsta_SOC_DRCT_CPM_CLK_MXD_AAF_RON_CXD_DPA-Voyage-Prospect_PD_pagepost</v>
      </c>
      <c r="G52" t="str">
        <f t="shared" si="6"/>
        <v>439260061</v>
      </c>
      <c r="H52" t="str">
        <f t="shared" si="7"/>
        <v>Tracking</v>
      </c>
      <c r="I52">
        <f t="shared" si="8"/>
        <v>0</v>
      </c>
      <c r="J52">
        <f t="shared" si="9"/>
        <v>143</v>
      </c>
      <c r="K52" s="4">
        <f t="shared" si="16"/>
        <v>3.5000000000000001E-3</v>
      </c>
      <c r="L52">
        <f t="shared" si="17"/>
        <v>0.02</v>
      </c>
      <c r="M52" s="4">
        <f t="shared" si="14"/>
        <v>0.50050000000000006</v>
      </c>
      <c r="N52" s="4">
        <f t="shared" si="15"/>
        <v>2.86</v>
      </c>
    </row>
    <row r="53" spans="1:14">
      <c r="A53" t="str">
        <f t="shared" si="0"/>
        <v>BR_AAF_DSY_NONMS_ND_NC_2018Q1MAR_RNG_AlwaysOn</v>
      </c>
      <c r="B53" t="str">
        <f t="shared" si="1"/>
        <v>faceinsta</v>
      </c>
      <c r="C53" t="str">
        <f t="shared" si="2"/>
        <v>BR_VW_RNG_faceinsta_SOC_DRCT_CPM_CLK_MXD_AAF_RON_CXD_DPA-up!-Prospect_PD_pagepost</v>
      </c>
      <c r="D53" t="str">
        <f t="shared" si="3"/>
        <v>242415389</v>
      </c>
      <c r="E53" t="str">
        <f t="shared" si="4"/>
        <v>Dynamic Click</v>
      </c>
      <c r="F53" t="str">
        <f t="shared" si="5"/>
        <v>BR_VW_RNG_faceinsta_SOC_DRCT_CPM_CLK_MXD_AAF_RON_CXD_DPA-up!-Prospect_PD_pagepost</v>
      </c>
      <c r="G53" t="str">
        <f t="shared" si="6"/>
        <v>439260076</v>
      </c>
      <c r="H53" t="str">
        <f t="shared" si="7"/>
        <v>Tracking</v>
      </c>
      <c r="I53">
        <f t="shared" si="8"/>
        <v>0</v>
      </c>
      <c r="J53">
        <f t="shared" si="9"/>
        <v>10182</v>
      </c>
      <c r="K53" s="4">
        <f t="shared" si="16"/>
        <v>3.5000000000000001E-3</v>
      </c>
      <c r="L53">
        <f t="shared" si="17"/>
        <v>0.02</v>
      </c>
      <c r="M53" s="4">
        <f t="shared" si="14"/>
        <v>35.637</v>
      </c>
      <c r="N53" s="4">
        <f t="shared" si="15"/>
        <v>203.64000000000001</v>
      </c>
    </row>
    <row r="54" spans="1:14">
      <c r="A54" t="str">
        <f t="shared" si="0"/>
        <v>BR_AAF_DSY_PRESA_ND_NC_2019Q1FEB_TCR_Pre-Venda-T-Cross</v>
      </c>
      <c r="B54" t="str">
        <f t="shared" si="1"/>
        <v>BR OLX</v>
      </c>
      <c r="C54" t="str">
        <f t="shared" si="2"/>
        <v>BR_VW_TCR_olx_DIS_DRCT_CPC_STD_MPU_AAF_HTO_CXD_Pre-Venda-Tcross-AMC-Tcross_PD_300x250</v>
      </c>
      <c r="D54" t="str">
        <f t="shared" si="3"/>
        <v>240497159</v>
      </c>
      <c r="E54" t="str">
        <f t="shared" si="4"/>
        <v>Dynamic Click</v>
      </c>
      <c r="F54" t="str">
        <f t="shared" si="5"/>
        <v>BR_VW_TCR_olx_DIS_DRCT_CPC_STD_MPU_AAF_HTO_CXD_Pre-Venda-Tcross-AMC-Tcross_PD_300x250</v>
      </c>
      <c r="G54" t="str">
        <f t="shared" si="6"/>
        <v>437574754</v>
      </c>
      <c r="H54" t="str">
        <f t="shared" si="7"/>
        <v>Tracking</v>
      </c>
      <c r="I54">
        <f t="shared" si="8"/>
        <v>0</v>
      </c>
      <c r="J54">
        <f t="shared" si="9"/>
        <v>9</v>
      </c>
      <c r="K54" s="4">
        <f t="shared" si="16"/>
        <v>3.5000000000000001E-3</v>
      </c>
      <c r="L54">
        <f t="shared" si="17"/>
        <v>0.02</v>
      </c>
      <c r="M54" s="4">
        <f t="shared" si="14"/>
        <v>3.15E-2</v>
      </c>
      <c r="N54" s="4">
        <f t="shared" si="15"/>
        <v>0.18</v>
      </c>
    </row>
    <row r="55" spans="1:14">
      <c r="A55" t="str">
        <f t="shared" si="0"/>
        <v>BR_AAF_DSY_PRESA_ND_NC_2019Q1FEB_TCR_Pre-Venda-T-Cross</v>
      </c>
      <c r="B55" t="str">
        <f t="shared" si="1"/>
        <v>iCarros</v>
      </c>
      <c r="C55" t="str">
        <f t="shared" si="2"/>
        <v>BR_VW_TCR_icarros_DIS_DRCT_CPC_STD_MPU_AAF_HTO_CXD_Pre-Venda-Tcross-AMC-Tcross_PD_300x250</v>
      </c>
      <c r="D55" t="str">
        <f t="shared" si="3"/>
        <v>240497144</v>
      </c>
      <c r="E55" t="str">
        <f t="shared" si="4"/>
        <v>Dynamic Click</v>
      </c>
      <c r="F55" t="str">
        <f t="shared" si="5"/>
        <v>BR_VW_TCR_icarros_DIS_DRCT_CPC_STD_MPU_AAF_HTO_CXD_Pre-Venda-Tcross-AMC-Tcross_PD_300x250</v>
      </c>
      <c r="G55" t="str">
        <f t="shared" si="6"/>
        <v>437479668</v>
      </c>
      <c r="H55" t="str">
        <f t="shared" si="7"/>
        <v>Tracking</v>
      </c>
      <c r="I55">
        <f t="shared" si="8"/>
        <v>0</v>
      </c>
      <c r="J55">
        <f t="shared" si="9"/>
        <v>2</v>
      </c>
      <c r="K55" s="4">
        <f t="shared" si="16"/>
        <v>3.5000000000000001E-3</v>
      </c>
      <c r="L55">
        <f t="shared" si="17"/>
        <v>0.02</v>
      </c>
      <c r="M55" s="4">
        <f t="shared" si="14"/>
        <v>7.0000000000000001E-3</v>
      </c>
      <c r="N55" s="4">
        <f t="shared" si="15"/>
        <v>0.04</v>
      </c>
    </row>
    <row r="56" spans="1:14">
      <c r="A56" t="str">
        <f t="shared" si="0"/>
        <v>BR_AAF_DSY_RUNOT_ND_NC_2019Q1MAR_AMV_VarejoAmarokMarco</v>
      </c>
      <c r="B56" t="str">
        <f t="shared" si="1"/>
        <v>Google Brasil</v>
      </c>
      <c r="C56" t="str">
        <f t="shared" si="2"/>
        <v>BR_VW_AMV_dv360_DIS_PROG_CPM_STD_LDR_AAF_RON_CXD_Amarok-Varejo-Marco-Corporativo-CAMPO-NOVO-Amarok-AMC_PD_728X90</v>
      </c>
      <c r="D56" t="str">
        <f t="shared" si="3"/>
        <v>243275001</v>
      </c>
      <c r="E56" t="str">
        <f t="shared" si="4"/>
        <v>Standard</v>
      </c>
      <c r="F56" t="str">
        <f t="shared" si="5"/>
        <v>BR_VW_AMV_dv360_DIS_PROG_CPM_STD_LDR_AAF_RON_CXD_Amarok-Varejo-Marco-Corporativo-CAMPO-NOVO-Amarok-AMC_PD_728X90</v>
      </c>
      <c r="G56" t="str">
        <f t="shared" si="6"/>
        <v>439675779</v>
      </c>
      <c r="H56" t="str">
        <f t="shared" si="7"/>
        <v>Display</v>
      </c>
      <c r="I56">
        <f t="shared" si="8"/>
        <v>25590</v>
      </c>
      <c r="J56">
        <f t="shared" si="9"/>
        <v>35</v>
      </c>
      <c r="K56" s="4">
        <f t="shared" si="16"/>
        <v>0.04</v>
      </c>
      <c r="L56">
        <f t="shared" si="17"/>
        <v>0.09</v>
      </c>
      <c r="M56" s="4">
        <f t="shared" si="14"/>
        <v>1.0236000000000001</v>
      </c>
      <c r="N56" s="4">
        <f t="shared" si="15"/>
        <v>2.3030999999999997</v>
      </c>
    </row>
    <row r="57" spans="1:14">
      <c r="A57" t="str">
        <f t="shared" si="0"/>
        <v>BR_AAF_DSY_RUNOT_ND_NC_2019Q1MAR_AMV_VarejoAmarokMarco</v>
      </c>
      <c r="B57" t="str">
        <f t="shared" si="1"/>
        <v>Google Brasil</v>
      </c>
      <c r="C57" t="str">
        <f t="shared" si="2"/>
        <v>BR_VW_AMV_dv360_DIS_PROG_CPM_STD_LDR_AAF_RON_CXD_Amarok-Varejo-Marco-Corporativo-CAMPO-NOVO-Amarok-AMC_PD_970X250</v>
      </c>
      <c r="D57" t="str">
        <f t="shared" si="3"/>
        <v>243275010</v>
      </c>
      <c r="E57" t="str">
        <f t="shared" si="4"/>
        <v>Standard</v>
      </c>
      <c r="F57" t="str">
        <f t="shared" si="5"/>
        <v>BR_VW_AMV_dv360_DIS_PROG_CPM_STD_LDR_AAF_RON_CXD_Amarok-Varejo-Marco-Corporativo-CAMPO-NOVO-Amarok-AMC_PD_970X250</v>
      </c>
      <c r="G57" t="str">
        <f t="shared" si="6"/>
        <v>439675788</v>
      </c>
      <c r="H57" t="str">
        <f t="shared" si="7"/>
        <v>Display</v>
      </c>
      <c r="I57">
        <f t="shared" si="8"/>
        <v>5417</v>
      </c>
      <c r="J57">
        <f t="shared" si="9"/>
        <v>34</v>
      </c>
      <c r="K57" s="4">
        <f t="shared" si="16"/>
        <v>0.04</v>
      </c>
      <c r="L57">
        <f t="shared" si="17"/>
        <v>0.09</v>
      </c>
      <c r="M57" s="4">
        <f t="shared" si="14"/>
        <v>0.21668000000000001</v>
      </c>
      <c r="N57" s="4">
        <f t="shared" si="15"/>
        <v>0.48752999999999996</v>
      </c>
    </row>
    <row r="58" spans="1:14">
      <c r="A58" t="str">
        <f t="shared" si="0"/>
        <v>BR_AAF_DSY_RUNOT_ND_NC_2019Q1MAR_AMV_VarejoAmarokMarco</v>
      </c>
      <c r="B58" t="str">
        <f t="shared" si="1"/>
        <v>Google Brasil</v>
      </c>
      <c r="C58" t="str">
        <f t="shared" si="2"/>
        <v>BR_VW_AMV_dv360_DIS_PROG_CPM_STD_LDR_AAF_RON_CXD_Amarok-Varejo-Marco-Corporativo-CAMPO-NOVO-Amarok-AMC_PD_970X90</v>
      </c>
      <c r="D58" t="str">
        <f t="shared" si="3"/>
        <v>243292113</v>
      </c>
      <c r="E58" t="str">
        <f t="shared" si="4"/>
        <v>Standard</v>
      </c>
      <c r="F58" t="str">
        <f t="shared" si="5"/>
        <v>BR_VW_AMV_dv360_DIS_PROG_CPM_STD_LDR_AAF_RON_CXD_Amarok-Varejo-Marco-Corporativo-CAMPO-NOVO-Amarok-AMC_PD_970X90</v>
      </c>
      <c r="G58" t="str">
        <f t="shared" si="6"/>
        <v>439675791</v>
      </c>
      <c r="H58" t="str">
        <f t="shared" si="7"/>
        <v>Display</v>
      </c>
      <c r="I58">
        <f t="shared" si="8"/>
        <v>3584</v>
      </c>
      <c r="J58">
        <f t="shared" si="9"/>
        <v>2</v>
      </c>
      <c r="K58" s="4">
        <f t="shared" si="16"/>
        <v>0.04</v>
      </c>
      <c r="L58">
        <f t="shared" si="17"/>
        <v>0.09</v>
      </c>
      <c r="M58" s="4">
        <f t="shared" si="14"/>
        <v>0.14336000000000002</v>
      </c>
      <c r="N58" s="4">
        <f t="shared" si="15"/>
        <v>0.32256000000000001</v>
      </c>
    </row>
    <row r="59" spans="1:14">
      <c r="A59" t="str">
        <f t="shared" si="0"/>
        <v>BR_AAF_DSY_RUNOT_ND_NC_2019Q1MAR_AMV_VarejoAmarokMarco</v>
      </c>
      <c r="B59" t="str">
        <f t="shared" si="1"/>
        <v>Google Brasil</v>
      </c>
      <c r="C59" t="str">
        <f t="shared" si="2"/>
        <v>BR_VW_AMV_dv360_DIS_PROG_CPM_STD_LDR_AAF_RON_CXD_Amarok-Varejo-Marco-Corporativo-CIDADE-NOVO-Amarok-AMC_PD_728X90</v>
      </c>
      <c r="D59" t="str">
        <f t="shared" si="3"/>
        <v>243490188</v>
      </c>
      <c r="E59" t="str">
        <f t="shared" si="4"/>
        <v>Standard</v>
      </c>
      <c r="F59" t="str">
        <f t="shared" si="5"/>
        <v>BR_VW_AMV_dv360_DIS_PROG_CPM_STD_LDR_AAF_RON_CXD_Amarok-Varejo-Marco-Corporativo-CIDADE-NOVO-Amarok-AMC_PD_728X90</v>
      </c>
      <c r="G59" t="str">
        <f t="shared" si="6"/>
        <v>439973054</v>
      </c>
      <c r="H59" t="str">
        <f t="shared" si="7"/>
        <v>Display</v>
      </c>
      <c r="I59">
        <f t="shared" si="8"/>
        <v>11871</v>
      </c>
      <c r="J59">
        <f t="shared" si="9"/>
        <v>10</v>
      </c>
      <c r="K59" s="4">
        <f t="shared" si="16"/>
        <v>0.04</v>
      </c>
      <c r="L59">
        <f t="shared" si="17"/>
        <v>0.09</v>
      </c>
      <c r="M59" s="4">
        <f t="shared" si="14"/>
        <v>0.47484000000000004</v>
      </c>
      <c r="N59" s="4">
        <f t="shared" si="15"/>
        <v>1.06839</v>
      </c>
    </row>
    <row r="60" spans="1:14">
      <c r="A60" t="str">
        <f t="shared" si="0"/>
        <v>BR_AAF_DSY_RUNOT_ND_NC_2019Q1MAR_AMV_VarejoAmarokMarco</v>
      </c>
      <c r="B60" t="str">
        <f t="shared" si="1"/>
        <v>Google Brasil</v>
      </c>
      <c r="C60" t="str">
        <f t="shared" si="2"/>
        <v>BR_VW_AMV_dv360_DIS_PROG_CPM_STD_LDR_AAF_RON_CXD_Amarok-Varejo-Marco-Corporativo-CIDADE-NOVO-Amarok-AMC_PD_970X250</v>
      </c>
      <c r="D60" t="str">
        <f t="shared" si="3"/>
        <v>243490197</v>
      </c>
      <c r="E60" t="str">
        <f t="shared" si="4"/>
        <v>Standard</v>
      </c>
      <c r="F60" t="str">
        <f t="shared" si="5"/>
        <v>BR_VW_AMV_dv360_DIS_PROG_CPM_STD_LDR_AAF_RON_CXD_Amarok-Varejo-Marco-Corporativo-CIDADE-NOVO-Amarok-AMC_PD_970X250</v>
      </c>
      <c r="G60" t="str">
        <f t="shared" si="6"/>
        <v>439973063</v>
      </c>
      <c r="H60" t="str">
        <f t="shared" si="7"/>
        <v>Display</v>
      </c>
      <c r="I60">
        <f t="shared" si="8"/>
        <v>4183</v>
      </c>
      <c r="J60">
        <f t="shared" si="9"/>
        <v>19</v>
      </c>
      <c r="K60" s="4">
        <f t="shared" si="16"/>
        <v>0.04</v>
      </c>
      <c r="L60">
        <f t="shared" si="17"/>
        <v>0.09</v>
      </c>
      <c r="M60" s="4">
        <f t="shared" si="14"/>
        <v>0.16732</v>
      </c>
      <c r="N60" s="4">
        <f t="shared" si="15"/>
        <v>0.37646999999999997</v>
      </c>
    </row>
    <row r="61" spans="1:14">
      <c r="A61" t="str">
        <f t="shared" si="0"/>
        <v>BR_AAF_DSY_RUNOT_ND_NC_2019Q1MAR_AMV_VarejoAmarokMarco</v>
      </c>
      <c r="B61" t="str">
        <f t="shared" si="1"/>
        <v>Google Brasil</v>
      </c>
      <c r="C61" t="str">
        <f t="shared" si="2"/>
        <v>BR_VW_AMV_dv360_DIS_PROG_CPM_STD_LDR_AAF_RON_CXD_Amarok-Varejo-Marco-Corporativo-CIDADE-NOVO-Amarok-AMC_PD_970X90</v>
      </c>
      <c r="D61" t="str">
        <f t="shared" si="3"/>
        <v>243490200</v>
      </c>
      <c r="E61" t="str">
        <f t="shared" si="4"/>
        <v>Standard</v>
      </c>
      <c r="F61" t="str">
        <f t="shared" si="5"/>
        <v>BR_VW_AMV_dv360_DIS_PROG_CPM_STD_LDR_AAF_RON_CXD_Amarok-Varejo-Marco-Corporativo-CIDADE-NOVO-Amarok-AMC_PD_970X90</v>
      </c>
      <c r="G61" t="str">
        <f t="shared" si="6"/>
        <v>439973066</v>
      </c>
      <c r="H61" t="str">
        <f t="shared" si="7"/>
        <v>Display</v>
      </c>
      <c r="I61">
        <f t="shared" si="8"/>
        <v>1978</v>
      </c>
      <c r="J61">
        <f t="shared" si="9"/>
        <v>1</v>
      </c>
      <c r="K61" s="4">
        <f t="shared" si="16"/>
        <v>0.04</v>
      </c>
      <c r="L61">
        <f t="shared" si="17"/>
        <v>0.09</v>
      </c>
      <c r="M61" s="4">
        <f t="shared" si="14"/>
        <v>7.912000000000001E-2</v>
      </c>
      <c r="N61" s="4">
        <f t="shared" si="15"/>
        <v>0.17801999999999998</v>
      </c>
    </row>
    <row r="62" spans="1:14">
      <c r="A62" t="str">
        <f t="shared" si="0"/>
        <v>BR_AAF_DSY_RUNOT_ND_NC_2019Q1MAR_AMV_VarejoAmarokMarco</v>
      </c>
      <c r="B62" t="str">
        <f t="shared" si="1"/>
        <v>Google Brasil</v>
      </c>
      <c r="C62" t="str">
        <f t="shared" si="2"/>
        <v>BR_VW_AMV_dv360_DIS_PROG_CPM_STD_LDR_AAF_RON_CXD_Amarok-Varejo-Marco-Corporativo-OLD-CAMPO-Amarok-AMC_PD_728X90</v>
      </c>
      <c r="D62" t="str">
        <f t="shared" si="3"/>
        <v>241739223</v>
      </c>
      <c r="E62" t="str">
        <f t="shared" si="4"/>
        <v>Standard</v>
      </c>
      <c r="F62" t="str">
        <f t="shared" si="5"/>
        <v>BR_VW_AMV_dv360_DIS_PROG_CPM_STD_LDR_AAF_RON_CXD_Amarok-Varejo-Marco-Corporativo-OLD-CAMPO-Amarok-AMC_PD_728X90</v>
      </c>
      <c r="G62" t="str">
        <f t="shared" si="6"/>
        <v>438419444</v>
      </c>
      <c r="H62" t="str">
        <f t="shared" si="7"/>
        <v>Display</v>
      </c>
      <c r="I62">
        <f t="shared" si="8"/>
        <v>54027</v>
      </c>
      <c r="J62">
        <f t="shared" si="9"/>
        <v>146</v>
      </c>
      <c r="K62" s="4">
        <f t="shared" si="16"/>
        <v>0.04</v>
      </c>
      <c r="L62">
        <f t="shared" si="17"/>
        <v>0.09</v>
      </c>
      <c r="M62" s="4">
        <f t="shared" si="14"/>
        <v>2.1610800000000001</v>
      </c>
      <c r="N62" s="4">
        <f t="shared" si="15"/>
        <v>4.8624299999999998</v>
      </c>
    </row>
    <row r="63" spans="1:14">
      <c r="A63" t="str">
        <f t="shared" si="0"/>
        <v>BR_AAF_DSY_RUNOT_ND_NC_2019Q1MAR_AMV_VarejoAmarokMarco</v>
      </c>
      <c r="B63" t="str">
        <f t="shared" si="1"/>
        <v>Google Brasil</v>
      </c>
      <c r="C63" t="str">
        <f t="shared" si="2"/>
        <v>BR_VW_AMV_dv360_DIS_PROG_CPM_STD_LDR_AAF_RON_CXD_Amarok-Varejo-Marco-Corporativo-OLD-CAMPO-Amarok-AMC_PD_970X250</v>
      </c>
      <c r="D63" t="str">
        <f t="shared" si="3"/>
        <v>241739232</v>
      </c>
      <c r="E63" t="str">
        <f t="shared" si="4"/>
        <v>Standard</v>
      </c>
      <c r="F63" t="str">
        <f t="shared" si="5"/>
        <v>BR_VW_AMV_dv360_DIS_PROG_CPM_STD_LDR_AAF_RON_CXD_Amarok-Varejo-Marco-Corporativo-OLD-CAMPO-Amarok-AMC_PD_970X250</v>
      </c>
      <c r="G63" t="str">
        <f t="shared" si="6"/>
        <v>438419453</v>
      </c>
      <c r="H63" t="str">
        <f t="shared" si="7"/>
        <v>Display</v>
      </c>
      <c r="I63">
        <f t="shared" si="8"/>
        <v>14793</v>
      </c>
      <c r="J63">
        <f t="shared" si="9"/>
        <v>103</v>
      </c>
      <c r="K63" s="4">
        <f t="shared" si="16"/>
        <v>0.04</v>
      </c>
      <c r="L63">
        <f t="shared" si="17"/>
        <v>0.09</v>
      </c>
      <c r="M63" s="4">
        <f t="shared" si="14"/>
        <v>0.59172000000000002</v>
      </c>
      <c r="N63" s="4">
        <f t="shared" si="15"/>
        <v>1.3313699999999999</v>
      </c>
    </row>
    <row r="64" spans="1:14">
      <c r="A64" t="str">
        <f t="shared" si="0"/>
        <v>BR_AAF_DSY_RUNOT_ND_NC_2019Q1MAR_AMV_VarejoAmarokMarco</v>
      </c>
      <c r="B64" t="str">
        <f t="shared" si="1"/>
        <v>Google Brasil</v>
      </c>
      <c r="C64" t="str">
        <f t="shared" si="2"/>
        <v>BR_VW_AMV_dv360_DIS_PROG_CPM_STD_LDR_AAF_RON_CXD_Amarok-Varejo-Marco-Corporativo-OLD-CAMPO-Amarok-AMC_PD_970X90</v>
      </c>
      <c r="D64" t="str">
        <f t="shared" si="3"/>
        <v>241739235</v>
      </c>
      <c r="E64" t="str">
        <f t="shared" si="4"/>
        <v>Standard</v>
      </c>
      <c r="F64" t="str">
        <f t="shared" si="5"/>
        <v>BR_VW_AMV_dv360_DIS_PROG_CPM_STD_LDR_AAF_RON_CXD_Amarok-Varejo-Marco-Corporativo-OLD-CAMPO-Amarok-AMC_PD_970X90</v>
      </c>
      <c r="G64" t="str">
        <f t="shared" si="6"/>
        <v>438419456</v>
      </c>
      <c r="H64" t="str">
        <f t="shared" si="7"/>
        <v>Display</v>
      </c>
      <c r="I64">
        <f t="shared" si="8"/>
        <v>7788</v>
      </c>
      <c r="J64">
        <f t="shared" si="9"/>
        <v>1</v>
      </c>
      <c r="K64" s="4">
        <f t="shared" si="16"/>
        <v>0.04</v>
      </c>
      <c r="L64">
        <f t="shared" si="17"/>
        <v>0.09</v>
      </c>
      <c r="M64" s="4">
        <f t="shared" si="14"/>
        <v>0.31151999999999996</v>
      </c>
      <c r="N64" s="4">
        <f t="shared" si="15"/>
        <v>0.70091999999999999</v>
      </c>
    </row>
    <row r="65" spans="1:14">
      <c r="A65" t="str">
        <f t="shared" si="0"/>
        <v>BR_AAF_DSY_RUNOT_ND_NC_2019Q1MAR_AMV_VarejoAmarokMarco</v>
      </c>
      <c r="B65" t="str">
        <f t="shared" si="1"/>
        <v>Google Brasil</v>
      </c>
      <c r="C65" t="str">
        <f t="shared" si="2"/>
        <v>BR_VW_AMV_dv360_DIS_PROG_CPM_STD_LDR_AAF_RON_CXD_Amarok-Varejo-Marco-Corporativo-OLD-CIDADE-Amarok-AMC_PD_728X90</v>
      </c>
      <c r="D65" t="str">
        <f t="shared" si="3"/>
        <v>241739181</v>
      </c>
      <c r="E65" t="str">
        <f t="shared" si="4"/>
        <v>Standard</v>
      </c>
      <c r="F65" t="str">
        <f t="shared" si="5"/>
        <v>BR_VW_AMV_dv360_DIS_PROG_CPM_STD_LDR_AAF_RON_CXD_Amarok-Varejo-Marco-Corporativo-OLD-CIDADE-Amarok-AMC_PD_728X90</v>
      </c>
      <c r="G65" t="str">
        <f t="shared" si="6"/>
        <v>438407590</v>
      </c>
      <c r="H65" t="str">
        <f t="shared" si="7"/>
        <v>Display</v>
      </c>
      <c r="I65">
        <f t="shared" si="8"/>
        <v>82348</v>
      </c>
      <c r="J65">
        <f t="shared" si="9"/>
        <v>171</v>
      </c>
      <c r="K65" s="4">
        <f t="shared" si="16"/>
        <v>0.04</v>
      </c>
      <c r="L65">
        <f t="shared" si="17"/>
        <v>0.09</v>
      </c>
      <c r="M65" s="4">
        <f t="shared" si="14"/>
        <v>3.29392</v>
      </c>
      <c r="N65" s="4">
        <f t="shared" si="15"/>
        <v>7.4113199999999999</v>
      </c>
    </row>
    <row r="66" spans="1:14">
      <c r="A66" t="str">
        <f t="shared" ref="A66:A129" si="18">bd_campaign</f>
        <v>BR_AAF_DSY_RUNOT_ND_NC_2019Q1MAR_AMV_VarejoAmarokMarco</v>
      </c>
      <c r="B66" t="str">
        <f t="shared" ref="B66:B129" si="19">bd_site</f>
        <v>Google Brasil</v>
      </c>
      <c r="C66" t="str">
        <f t="shared" ref="C66:C129" si="20">bd_placement</f>
        <v>BR_VW_AMV_dv360_DIS_PROG_CPM_STD_LDR_AAF_RON_CXD_Amarok-Varejo-Marco-Corporativo-OLD-CIDADE-Amarok-AMC_PD_970X250</v>
      </c>
      <c r="D66" t="str">
        <f t="shared" ref="D66:D129" si="21">bd_placementID</f>
        <v>241739190</v>
      </c>
      <c r="E66" t="str">
        <f t="shared" ref="E66:E129" si="22">VLOOKUP(CONCATENATE(bd_adtype,"_",bd_creativetype),tabela,2,FALSE)</f>
        <v>Standard</v>
      </c>
      <c r="F66" t="str">
        <f t="shared" ref="F66:F129" si="23">bd_ad</f>
        <v>BR_VW_AMV_dv360_DIS_PROG_CPM_STD_LDR_AAF_RON_CXD_Amarok-Varejo-Marco-Corporativo-OLD-CIDADE-Amarok-AMC_PD_970X250</v>
      </c>
      <c r="G66" t="str">
        <f t="shared" ref="G66:G129" si="24">bd_adid</f>
        <v>438407599</v>
      </c>
      <c r="H66" t="str">
        <f t="shared" ref="H66:H129" si="25">bd_creativetype</f>
        <v>Display</v>
      </c>
      <c r="I66">
        <f t="shared" ref="I66:I129" si="26">bd_impression</f>
        <v>27377</v>
      </c>
      <c r="J66">
        <f t="shared" ref="J66:J129" si="27">bd_clicks</f>
        <v>187</v>
      </c>
      <c r="K66" s="4">
        <f t="shared" si="16"/>
        <v>0.04</v>
      </c>
      <c r="L66">
        <f t="shared" si="17"/>
        <v>0.09</v>
      </c>
      <c r="M66" s="4">
        <f t="shared" si="14"/>
        <v>1.0950799999999998</v>
      </c>
      <c r="N66" s="4">
        <f t="shared" si="15"/>
        <v>2.46393</v>
      </c>
    </row>
    <row r="67" spans="1:14">
      <c r="A67" t="str">
        <f t="shared" si="18"/>
        <v>BR_AAF_DSY_RUNOT_ND_NC_2019Q1MAR_AMV_VarejoAmarokMarco</v>
      </c>
      <c r="B67" t="str">
        <f t="shared" si="19"/>
        <v>Google Brasil</v>
      </c>
      <c r="C67" t="str">
        <f t="shared" si="20"/>
        <v>BR_VW_AMV_dv360_DIS_PROG_CPM_STD_LDR_AAF_RON_CXD_Amarok-Varejo-Marco-Corporativo-OLD-CIDADE-Amarok-AMC_PD_970X90</v>
      </c>
      <c r="D67" t="str">
        <f t="shared" si="21"/>
        <v>241739193</v>
      </c>
      <c r="E67" t="str">
        <f t="shared" si="22"/>
        <v>Standard</v>
      </c>
      <c r="F67" t="str">
        <f t="shared" si="23"/>
        <v>BR_VW_AMV_dv360_DIS_PROG_CPM_STD_LDR_AAF_RON_CXD_Amarok-Varejo-Marco-Corporativo-OLD-CIDADE-Amarok-AMC_PD_970X90</v>
      </c>
      <c r="G67" t="str">
        <f t="shared" si="24"/>
        <v>438407602</v>
      </c>
      <c r="H67" t="str">
        <f t="shared" si="25"/>
        <v>Display</v>
      </c>
      <c r="I67">
        <f t="shared" si="26"/>
        <v>14174</v>
      </c>
      <c r="J67">
        <f t="shared" si="27"/>
        <v>4</v>
      </c>
      <c r="K67" s="4">
        <f t="shared" si="16"/>
        <v>0.04</v>
      </c>
      <c r="L67">
        <f t="shared" si="17"/>
        <v>0.09</v>
      </c>
      <c r="M67" s="4">
        <f t="shared" si="14"/>
        <v>0.56696000000000002</v>
      </c>
      <c r="N67" s="4">
        <f t="shared" si="15"/>
        <v>1.2756599999999998</v>
      </c>
    </row>
    <row r="68" spans="1:14">
      <c r="A68" t="str">
        <f t="shared" si="18"/>
        <v>BR_AAF_DSY_RUNOT_ND_NC_2019Q1MAR_AMV_VarejoAmarokMarco</v>
      </c>
      <c r="B68" t="str">
        <f t="shared" si="19"/>
        <v>Google Brasil</v>
      </c>
      <c r="C68" t="str">
        <f t="shared" si="20"/>
        <v>BR_VW_AMV_dv360_DIS_PROG_CPM_STD_LDR_AAF_RON_CXD_Amarok-Varejo-Marco-PRIVADO-Amarok-AMC_PD_728X90</v>
      </c>
      <c r="D68" t="str">
        <f t="shared" si="21"/>
        <v>242922728</v>
      </c>
      <c r="E68" t="str">
        <f t="shared" si="22"/>
        <v>Standard</v>
      </c>
      <c r="F68" t="str">
        <f t="shared" si="23"/>
        <v>BR_VW_AMV_dv360_DIS_PROG_CPM_STD_LDR_AAF_RON_CXD_Amarok-Varejo-Marco-PRIVADO-Amarok-AMC_PD_728X90</v>
      </c>
      <c r="G68" t="str">
        <f t="shared" si="24"/>
        <v>439748054</v>
      </c>
      <c r="H68" t="str">
        <f t="shared" si="25"/>
        <v>Display</v>
      </c>
      <c r="I68">
        <f t="shared" si="26"/>
        <v>22332</v>
      </c>
      <c r="J68">
        <f t="shared" si="27"/>
        <v>39</v>
      </c>
      <c r="K68" s="4">
        <f t="shared" si="16"/>
        <v>0.04</v>
      </c>
      <c r="L68">
        <f t="shared" si="17"/>
        <v>0.09</v>
      </c>
      <c r="M68" s="4">
        <f t="shared" si="14"/>
        <v>0.89327999999999996</v>
      </c>
      <c r="N68" s="4">
        <f t="shared" si="15"/>
        <v>2.0098799999999999</v>
      </c>
    </row>
    <row r="69" spans="1:14">
      <c r="A69" t="str">
        <f t="shared" si="18"/>
        <v>BR_AAF_DSY_RUNOT_ND_NC_2019Q1MAR_AMV_VarejoAmarokMarco</v>
      </c>
      <c r="B69" t="str">
        <f t="shared" si="19"/>
        <v>Google Brasil</v>
      </c>
      <c r="C69" t="str">
        <f t="shared" si="20"/>
        <v>BR_VW_AMV_dv360_DIS_PROG_CPM_STD_LDR_AAF_RON_CXD_Amarok-Varejo-Marco-PRIVADO-Amarok-AMC_PD_970X250</v>
      </c>
      <c r="D69" t="str">
        <f t="shared" si="21"/>
        <v>243228018</v>
      </c>
      <c r="E69" t="str">
        <f t="shared" si="22"/>
        <v>Standard</v>
      </c>
      <c r="F69" t="str">
        <f t="shared" si="23"/>
        <v>BR_VW_AMV_dv360_DIS_PROG_CPM_STD_LDR_AAF_RON_CXD_Amarok-Varejo-Marco-PRIVADO-Amarok-AMC_PD_970X250</v>
      </c>
      <c r="G69" t="str">
        <f t="shared" si="24"/>
        <v>439739926</v>
      </c>
      <c r="H69" t="str">
        <f t="shared" si="25"/>
        <v>Display</v>
      </c>
      <c r="I69">
        <f t="shared" si="26"/>
        <v>5395</v>
      </c>
      <c r="J69">
        <f t="shared" si="27"/>
        <v>19</v>
      </c>
      <c r="K69" s="4">
        <f t="shared" si="16"/>
        <v>0.04</v>
      </c>
      <c r="L69">
        <f t="shared" si="17"/>
        <v>0.09</v>
      </c>
      <c r="M69" s="4">
        <f t="shared" si="14"/>
        <v>0.21580000000000002</v>
      </c>
      <c r="N69" s="4">
        <f t="shared" si="15"/>
        <v>0.48554999999999998</v>
      </c>
    </row>
    <row r="70" spans="1:14">
      <c r="A70" t="str">
        <f t="shared" si="18"/>
        <v>BR_AAF_DSY_RUNOT_ND_NC_2019Q1MAR_AMV_VarejoAmarokMarco</v>
      </c>
      <c r="B70" t="str">
        <f t="shared" si="19"/>
        <v>Google Brasil</v>
      </c>
      <c r="C70" t="str">
        <f t="shared" si="20"/>
        <v>BR_VW_AMV_dv360_DIS_PROG_CPM_STD_LDR_AAF_RON_CXD_Amarok-Varejo-Marco-PRIVADO-Amarok-AMC_PD_970X90</v>
      </c>
      <c r="D70" t="str">
        <f t="shared" si="21"/>
        <v>243228021</v>
      </c>
      <c r="E70" t="str">
        <f t="shared" si="22"/>
        <v>Standard</v>
      </c>
      <c r="F70" t="str">
        <f t="shared" si="23"/>
        <v>BR_VW_AMV_dv360_DIS_PROG_CPM_STD_LDR_AAF_RON_CXD_Amarok-Varejo-Marco-PRIVADO-Amarok-AMC_PD_970X90</v>
      </c>
      <c r="G70" t="str">
        <f t="shared" si="24"/>
        <v>439739929</v>
      </c>
      <c r="H70" t="str">
        <f t="shared" si="25"/>
        <v>Display</v>
      </c>
      <c r="I70">
        <f t="shared" si="26"/>
        <v>3989</v>
      </c>
      <c r="J70">
        <f t="shared" si="27"/>
        <v>2</v>
      </c>
      <c r="K70" s="4">
        <f t="shared" si="16"/>
        <v>0.04</v>
      </c>
      <c r="L70">
        <f t="shared" si="17"/>
        <v>0.09</v>
      </c>
      <c r="M70" s="4">
        <f t="shared" si="14"/>
        <v>0.15956000000000001</v>
      </c>
      <c r="N70" s="4">
        <f t="shared" si="15"/>
        <v>0.35901</v>
      </c>
    </row>
    <row r="71" spans="1:14">
      <c r="A71" t="str">
        <f t="shared" si="18"/>
        <v>BR_AAF_DSY_RUNOT_ND_NC_2019Q1MAR_AMV_VarejoAmarokMarco</v>
      </c>
      <c r="B71" t="str">
        <f t="shared" si="19"/>
        <v>Google Brasil</v>
      </c>
      <c r="C71" t="str">
        <f t="shared" si="20"/>
        <v>BR_VW_AMV_dv360_DIS_PROG_CPM_STD_MPU_AAF_RON_CXD_Amarok-Varejo-Marco-Corporativo-CAMPO-NOVO-Amarok-AMC_PD_300X100</v>
      </c>
      <c r="D71" t="str">
        <f t="shared" si="21"/>
        <v>243275004</v>
      </c>
      <c r="E71" t="str">
        <f t="shared" si="22"/>
        <v>Standard</v>
      </c>
      <c r="F71" t="str">
        <f t="shared" si="23"/>
        <v>BR_VW_AMV_dv360_DIS_PROG_CPM_STD_MPU_AAF_RON_CXD_Amarok-Varejo-Marco-Corporativo-CAMPO-NOVO-Amarok-AMC_PD_300X100</v>
      </c>
      <c r="G71" t="str">
        <f t="shared" si="24"/>
        <v>439675782</v>
      </c>
      <c r="H71" t="str">
        <f t="shared" si="25"/>
        <v>Display</v>
      </c>
      <c r="I71">
        <f t="shared" si="26"/>
        <v>1265</v>
      </c>
      <c r="J71">
        <f t="shared" si="27"/>
        <v>1</v>
      </c>
      <c r="K71" s="4">
        <f t="shared" si="16"/>
        <v>0.04</v>
      </c>
      <c r="L71">
        <f t="shared" si="17"/>
        <v>0.09</v>
      </c>
      <c r="M71" s="4">
        <f t="shared" si="14"/>
        <v>5.0599999999999999E-2</v>
      </c>
      <c r="N71" s="4">
        <f t="shared" si="15"/>
        <v>0.11384999999999999</v>
      </c>
    </row>
    <row r="72" spans="1:14">
      <c r="A72" t="str">
        <f t="shared" si="18"/>
        <v>BR_AAF_DSY_RUNOT_ND_NC_2019Q1MAR_AMV_VarejoAmarokMarco</v>
      </c>
      <c r="B72" t="str">
        <f t="shared" si="19"/>
        <v>Google Brasil</v>
      </c>
      <c r="C72" t="str">
        <f t="shared" si="20"/>
        <v>BR_VW_AMV_dv360_DIS_PROG_CPM_STD_MPU_AAF_RON_CXD_Amarok-Varejo-Marco-Corporativo-CAMPO-NOVO-Amarok-AMC_PD_300x250</v>
      </c>
      <c r="D72" t="str">
        <f t="shared" si="21"/>
        <v>243292125</v>
      </c>
      <c r="E72" t="str">
        <f t="shared" si="22"/>
        <v>Standard</v>
      </c>
      <c r="F72" t="str">
        <f t="shared" si="23"/>
        <v>BR_VW_AMV_dv360_DIS_PROG_CPM_STD_MPU_AAF_RON_CXD_Amarok-Varejo-Marco-Corporativo-CAMPO-NOVO-Amarok-AMC_PD_300x250</v>
      </c>
      <c r="G72" t="str">
        <f t="shared" si="24"/>
        <v>439675803</v>
      </c>
      <c r="H72" t="str">
        <f t="shared" si="25"/>
        <v>Display</v>
      </c>
      <c r="I72">
        <f t="shared" si="26"/>
        <v>228906</v>
      </c>
      <c r="J72">
        <f t="shared" si="27"/>
        <v>1935</v>
      </c>
      <c r="K72" s="4">
        <f t="shared" si="16"/>
        <v>0.04</v>
      </c>
      <c r="L72">
        <f t="shared" si="17"/>
        <v>0.09</v>
      </c>
      <c r="M72" s="4">
        <f t="shared" si="14"/>
        <v>9.1562400000000004</v>
      </c>
      <c r="N72" s="4">
        <f t="shared" si="15"/>
        <v>20.60154</v>
      </c>
    </row>
    <row r="73" spans="1:14">
      <c r="A73" t="str">
        <f t="shared" si="18"/>
        <v>BR_AAF_DSY_RUNOT_ND_NC_2019Q1MAR_AMV_VarejoAmarokMarco</v>
      </c>
      <c r="B73" t="str">
        <f t="shared" si="19"/>
        <v>Google Brasil</v>
      </c>
      <c r="C73" t="str">
        <f t="shared" si="20"/>
        <v>BR_VW_AMV_dv360_DIS_PROG_CPM_STD_MPU_AAF_RON_CXD_Amarok-Varejo-Marco-Corporativo-CAMPO-NOVO-Amarok-AMC_PD_320X100</v>
      </c>
      <c r="D73" t="str">
        <f t="shared" si="21"/>
        <v>243292119</v>
      </c>
      <c r="E73" t="str">
        <f t="shared" si="22"/>
        <v>Standard</v>
      </c>
      <c r="F73" t="str">
        <f t="shared" si="23"/>
        <v>BR_VW_AMV_dv360_DIS_PROG_CPM_STD_MPU_AAF_RON_CXD_Amarok-Varejo-Marco-Corporativo-CAMPO-NOVO-Amarok-AMC_PD_320X100</v>
      </c>
      <c r="G73" t="str">
        <f t="shared" si="24"/>
        <v>439675797</v>
      </c>
      <c r="H73" t="str">
        <f t="shared" si="25"/>
        <v>Display</v>
      </c>
      <c r="I73">
        <f t="shared" si="26"/>
        <v>15316</v>
      </c>
      <c r="J73">
        <f t="shared" si="27"/>
        <v>48</v>
      </c>
      <c r="K73" s="4">
        <f t="shared" si="16"/>
        <v>0.04</v>
      </c>
      <c r="L73">
        <f t="shared" si="17"/>
        <v>0.09</v>
      </c>
      <c r="M73" s="4">
        <f t="shared" si="14"/>
        <v>0.61263999999999996</v>
      </c>
      <c r="N73" s="4">
        <f t="shared" si="15"/>
        <v>1.3784400000000001</v>
      </c>
    </row>
    <row r="74" spans="1:14">
      <c r="A74" t="str">
        <f t="shared" si="18"/>
        <v>BR_AAF_DSY_RUNOT_ND_NC_2019Q1MAR_AMV_VarejoAmarokMarco</v>
      </c>
      <c r="B74" t="str">
        <f t="shared" si="19"/>
        <v>Google Brasil</v>
      </c>
      <c r="C74" t="str">
        <f t="shared" si="20"/>
        <v>BR_VW_AMV_dv360_DIS_PROG_CPM_STD_MPU_AAF_RON_CXD_Amarok-Varejo-Marco-Corporativo-CAMPO-NOVO-Amarok-AMC_PD_320X50</v>
      </c>
      <c r="D74" t="str">
        <f t="shared" si="21"/>
        <v>243292122</v>
      </c>
      <c r="E74" t="str">
        <f t="shared" si="22"/>
        <v>Standard</v>
      </c>
      <c r="F74" t="str">
        <f t="shared" si="23"/>
        <v>BR_VW_AMV_dv360_DIS_PROG_CPM_STD_MPU_AAF_RON_CXD_Amarok-Varejo-Marco-Corporativo-CAMPO-NOVO-Amarok-AMC_PD_320X50</v>
      </c>
      <c r="G74" t="str">
        <f t="shared" si="24"/>
        <v>439675800</v>
      </c>
      <c r="H74" t="str">
        <f t="shared" si="25"/>
        <v>Display</v>
      </c>
      <c r="I74">
        <f t="shared" si="26"/>
        <v>203565</v>
      </c>
      <c r="J74">
        <f t="shared" si="27"/>
        <v>1160</v>
      </c>
      <c r="K74" s="4">
        <f t="shared" si="16"/>
        <v>0.04</v>
      </c>
      <c r="L74">
        <f t="shared" si="17"/>
        <v>0.09</v>
      </c>
      <c r="M74" s="4">
        <f t="shared" si="14"/>
        <v>8.1425999999999998</v>
      </c>
      <c r="N74" s="4">
        <f t="shared" si="15"/>
        <v>18.32085</v>
      </c>
    </row>
    <row r="75" spans="1:14">
      <c r="A75" t="str">
        <f t="shared" si="18"/>
        <v>BR_AAF_DSY_RUNOT_ND_NC_2019Q1MAR_AMV_VarejoAmarokMarco</v>
      </c>
      <c r="B75" t="str">
        <f t="shared" si="19"/>
        <v>Google Brasil</v>
      </c>
      <c r="C75" t="str">
        <f t="shared" si="20"/>
        <v>BR_VW_AMV_dv360_DIS_PROG_CPM_STD_MPU_AAF_RON_CXD_Amarok-Varejo-Marco-Corporativo-CIDADE-NOVO-Amarok-AMC_PD_300X100</v>
      </c>
      <c r="D75" t="str">
        <f t="shared" si="21"/>
        <v>243490191</v>
      </c>
      <c r="E75" t="str">
        <f t="shared" si="22"/>
        <v>Standard</v>
      </c>
      <c r="F75" t="str">
        <f t="shared" si="23"/>
        <v>BR_VW_AMV_dv360_DIS_PROG_CPM_STD_MPU_AAF_RON_CXD_Amarok-Varejo-Marco-Corporativo-CIDADE-NOVO-Amarok-AMC_PD_300X100</v>
      </c>
      <c r="G75" t="str">
        <f t="shared" si="24"/>
        <v>439973057</v>
      </c>
      <c r="H75" t="str">
        <f t="shared" si="25"/>
        <v>Display</v>
      </c>
      <c r="I75">
        <f t="shared" si="26"/>
        <v>844</v>
      </c>
      <c r="J75">
        <f t="shared" si="27"/>
        <v>2</v>
      </c>
      <c r="K75" s="4">
        <f t="shared" si="16"/>
        <v>0.04</v>
      </c>
      <c r="L75">
        <f t="shared" si="17"/>
        <v>0.09</v>
      </c>
      <c r="M75" s="4">
        <f t="shared" si="14"/>
        <v>3.3759999999999998E-2</v>
      </c>
      <c r="N75" s="4">
        <f t="shared" si="15"/>
        <v>7.596E-2</v>
      </c>
    </row>
    <row r="76" spans="1:14">
      <c r="A76" t="str">
        <f t="shared" si="18"/>
        <v>BR_AAF_DSY_RUNOT_ND_NC_2019Q1MAR_AMV_VarejoAmarokMarco</v>
      </c>
      <c r="B76" t="str">
        <f t="shared" si="19"/>
        <v>Google Brasil</v>
      </c>
      <c r="C76" t="str">
        <f t="shared" si="20"/>
        <v>BR_VW_AMV_dv360_DIS_PROG_CPM_STD_MPU_AAF_RON_CXD_Amarok-Varejo-Marco-Corporativo-CIDADE-NOVO-Amarok-AMC_PD_300x250</v>
      </c>
      <c r="D76" t="str">
        <f t="shared" si="21"/>
        <v>243490212</v>
      </c>
      <c r="E76" t="str">
        <f t="shared" si="22"/>
        <v>Standard</v>
      </c>
      <c r="F76" t="str">
        <f t="shared" si="23"/>
        <v>BR_VW_AMV_dv360_DIS_PROG_CPM_STD_MPU_AAF_RON_CXD_Amarok-Varejo-Marco-Corporativo-CIDADE-NOVO-Amarok-AMC_PD_300x250</v>
      </c>
      <c r="G76" t="str">
        <f t="shared" si="24"/>
        <v>439973078</v>
      </c>
      <c r="H76" t="str">
        <f t="shared" si="25"/>
        <v>Display</v>
      </c>
      <c r="I76">
        <f t="shared" si="26"/>
        <v>172403</v>
      </c>
      <c r="J76">
        <f t="shared" si="27"/>
        <v>1380</v>
      </c>
      <c r="K76" s="4">
        <f t="shared" si="16"/>
        <v>0.04</v>
      </c>
      <c r="L76">
        <f t="shared" si="17"/>
        <v>0.09</v>
      </c>
      <c r="M76" s="4">
        <f t="shared" si="14"/>
        <v>6.8961199999999998</v>
      </c>
      <c r="N76" s="4">
        <f t="shared" si="15"/>
        <v>15.516269999999999</v>
      </c>
    </row>
    <row r="77" spans="1:14">
      <c r="A77" t="str">
        <f t="shared" si="18"/>
        <v>BR_AAF_DSY_RUNOT_ND_NC_2019Q1MAR_AMV_VarejoAmarokMarco</v>
      </c>
      <c r="B77" t="str">
        <f t="shared" si="19"/>
        <v>Google Brasil</v>
      </c>
      <c r="C77" t="str">
        <f t="shared" si="20"/>
        <v>BR_VW_AMV_dv360_DIS_PROG_CPM_STD_MPU_AAF_RON_CXD_Amarok-Varejo-Marco-Corporativo-CIDADE-NOVO-Amarok-AMC_PD_320X100</v>
      </c>
      <c r="D77" t="str">
        <f t="shared" si="21"/>
        <v>243490206</v>
      </c>
      <c r="E77" t="str">
        <f t="shared" si="22"/>
        <v>Standard</v>
      </c>
      <c r="F77" t="str">
        <f t="shared" si="23"/>
        <v>BR_VW_AMV_dv360_DIS_PROG_CPM_STD_MPU_AAF_RON_CXD_Amarok-Varejo-Marco-Corporativo-CIDADE-NOVO-Amarok-AMC_PD_320X100</v>
      </c>
      <c r="G77" t="str">
        <f t="shared" si="24"/>
        <v>439973072</v>
      </c>
      <c r="H77" t="str">
        <f t="shared" si="25"/>
        <v>Display</v>
      </c>
      <c r="I77">
        <f t="shared" si="26"/>
        <v>11629</v>
      </c>
      <c r="J77">
        <f t="shared" si="27"/>
        <v>33</v>
      </c>
      <c r="K77" s="4">
        <f t="shared" si="16"/>
        <v>0.04</v>
      </c>
      <c r="L77">
        <f t="shared" si="17"/>
        <v>0.09</v>
      </c>
      <c r="M77" s="4">
        <f t="shared" si="14"/>
        <v>0.46516000000000002</v>
      </c>
      <c r="N77" s="4">
        <f t="shared" si="15"/>
        <v>1.0466099999999998</v>
      </c>
    </row>
    <row r="78" spans="1:14">
      <c r="A78" t="str">
        <f t="shared" si="18"/>
        <v>BR_AAF_DSY_RUNOT_ND_NC_2019Q1MAR_AMV_VarejoAmarokMarco</v>
      </c>
      <c r="B78" t="str">
        <f t="shared" si="19"/>
        <v>Google Brasil</v>
      </c>
      <c r="C78" t="str">
        <f t="shared" si="20"/>
        <v>BR_VW_AMV_dv360_DIS_PROG_CPM_STD_MPU_AAF_RON_CXD_Amarok-Varejo-Marco-Corporativo-CIDADE-NOVO-Amarok-AMC_PD_320X50</v>
      </c>
      <c r="D78" t="str">
        <f t="shared" si="21"/>
        <v>243490209</v>
      </c>
      <c r="E78" t="str">
        <f t="shared" si="22"/>
        <v>Standard</v>
      </c>
      <c r="F78" t="str">
        <f t="shared" si="23"/>
        <v>BR_VW_AMV_dv360_DIS_PROG_CPM_STD_MPU_AAF_RON_CXD_Amarok-Varejo-Marco-Corporativo-CIDADE-NOVO-Amarok-AMC_PD_320X50</v>
      </c>
      <c r="G78" t="str">
        <f t="shared" si="24"/>
        <v>439973075</v>
      </c>
      <c r="H78" t="str">
        <f t="shared" si="25"/>
        <v>Display</v>
      </c>
      <c r="I78">
        <f t="shared" si="26"/>
        <v>149052</v>
      </c>
      <c r="J78">
        <f t="shared" si="27"/>
        <v>796</v>
      </c>
      <c r="K78" s="4">
        <f t="shared" si="16"/>
        <v>0.04</v>
      </c>
      <c r="L78">
        <f t="shared" si="17"/>
        <v>0.09</v>
      </c>
      <c r="M78" s="4">
        <f t="shared" si="14"/>
        <v>5.9620800000000003</v>
      </c>
      <c r="N78" s="4">
        <f t="shared" si="15"/>
        <v>13.414680000000001</v>
      </c>
    </row>
    <row r="79" spans="1:14">
      <c r="A79" t="str">
        <f t="shared" si="18"/>
        <v>BR_AAF_DSY_RUNOT_ND_NC_2019Q1MAR_AMV_VarejoAmarokMarco</v>
      </c>
      <c r="B79" t="str">
        <f t="shared" si="19"/>
        <v>Google Brasil</v>
      </c>
      <c r="C79" t="str">
        <f t="shared" si="20"/>
        <v>BR_VW_AMV_dv360_DIS_PROG_CPM_STD_MPU_AAF_RON_CXD_Amarok-Varejo-Marco-Corporativo-OLD-CAMPO-Amarok-AMC_PD_300X100</v>
      </c>
      <c r="D79" t="str">
        <f t="shared" si="21"/>
        <v>241739226</v>
      </c>
      <c r="E79" t="str">
        <f t="shared" si="22"/>
        <v>Standard</v>
      </c>
      <c r="F79" t="str">
        <f t="shared" si="23"/>
        <v>BR_VW_AMV_dv360_DIS_PROG_CPM_STD_MPU_AAF_RON_CXD_Amarok-Varejo-Marco-Corporativo-OLD-CAMPO-Amarok-AMC_PD_300X100</v>
      </c>
      <c r="G79" t="str">
        <f t="shared" si="24"/>
        <v>438419447</v>
      </c>
      <c r="H79" t="str">
        <f t="shared" si="25"/>
        <v>Display</v>
      </c>
      <c r="I79">
        <f t="shared" si="26"/>
        <v>4717</v>
      </c>
      <c r="J79">
        <f t="shared" si="27"/>
        <v>3</v>
      </c>
      <c r="K79" s="4">
        <f t="shared" si="16"/>
        <v>0.04</v>
      </c>
      <c r="L79">
        <f t="shared" si="17"/>
        <v>0.09</v>
      </c>
      <c r="M79" s="4">
        <f t="shared" si="14"/>
        <v>0.18868000000000001</v>
      </c>
      <c r="N79" s="4">
        <f t="shared" si="15"/>
        <v>0.42452999999999996</v>
      </c>
    </row>
    <row r="80" spans="1:14">
      <c r="A80" t="str">
        <f t="shared" si="18"/>
        <v>BR_AAF_DSY_RUNOT_ND_NC_2019Q1MAR_AMV_VarejoAmarokMarco</v>
      </c>
      <c r="B80" t="str">
        <f t="shared" si="19"/>
        <v>Google Brasil</v>
      </c>
      <c r="C80" t="str">
        <f t="shared" si="20"/>
        <v>BR_VW_AMV_dv360_DIS_PROG_CPM_STD_MPU_AAF_RON_CXD_Amarok-Varejo-Marco-Corporativo-OLD-CAMPO-Amarok-AMC_PD_300x250</v>
      </c>
      <c r="D80" t="str">
        <f t="shared" si="21"/>
        <v>241739247</v>
      </c>
      <c r="E80" t="str">
        <f t="shared" si="22"/>
        <v>Standard</v>
      </c>
      <c r="F80" t="str">
        <f t="shared" si="23"/>
        <v>BR_VW_AMV_dv360_DIS_PROG_CPM_STD_MPU_AAF_RON_CXD_Amarok-Varejo-Marco-Corporativo-OLD-CAMPO-Amarok-AMC_PD_300x250</v>
      </c>
      <c r="G80" t="str">
        <f t="shared" si="24"/>
        <v>438419468</v>
      </c>
      <c r="H80" t="str">
        <f t="shared" si="25"/>
        <v>Display</v>
      </c>
      <c r="I80">
        <f t="shared" si="26"/>
        <v>1073873</v>
      </c>
      <c r="J80">
        <f t="shared" si="27"/>
        <v>9143</v>
      </c>
      <c r="K80" s="4">
        <f t="shared" si="16"/>
        <v>0.04</v>
      </c>
      <c r="L80">
        <f t="shared" si="17"/>
        <v>0.09</v>
      </c>
      <c r="M80" s="4">
        <f t="shared" si="14"/>
        <v>42.954920000000001</v>
      </c>
      <c r="N80" s="4">
        <f t="shared" si="15"/>
        <v>96.648569999999992</v>
      </c>
    </row>
    <row r="81" spans="1:14">
      <c r="A81" t="str">
        <f t="shared" si="18"/>
        <v>BR_AAF_DSY_RUNOT_ND_NC_2019Q1MAR_AMV_VarejoAmarokMarco</v>
      </c>
      <c r="B81" t="str">
        <f t="shared" si="19"/>
        <v>Google Brasil</v>
      </c>
      <c r="C81" t="str">
        <f t="shared" si="20"/>
        <v>BR_VW_AMV_dv360_DIS_PROG_CPM_STD_MPU_AAF_RON_CXD_Amarok-Varejo-Marco-Corporativo-OLD-CAMPO-Amarok-AMC_PD_320X100</v>
      </c>
      <c r="D81" t="str">
        <f t="shared" si="21"/>
        <v>241739241</v>
      </c>
      <c r="E81" t="str">
        <f t="shared" si="22"/>
        <v>Standard</v>
      </c>
      <c r="F81" t="str">
        <f t="shared" si="23"/>
        <v>BR_VW_AMV_dv360_DIS_PROG_CPM_STD_MPU_AAF_RON_CXD_Amarok-Varejo-Marco-Corporativo-OLD-CAMPO-Amarok-AMC_PD_320X100</v>
      </c>
      <c r="G81" t="str">
        <f t="shared" si="24"/>
        <v>438419462</v>
      </c>
      <c r="H81" t="str">
        <f t="shared" si="25"/>
        <v>Display</v>
      </c>
      <c r="I81">
        <f t="shared" si="26"/>
        <v>45843</v>
      </c>
      <c r="J81">
        <f t="shared" si="27"/>
        <v>170</v>
      </c>
      <c r="K81" s="4">
        <f t="shared" si="16"/>
        <v>0.04</v>
      </c>
      <c r="L81">
        <f t="shared" si="17"/>
        <v>0.09</v>
      </c>
      <c r="M81" s="4">
        <f t="shared" si="14"/>
        <v>1.83372</v>
      </c>
      <c r="N81" s="4">
        <f t="shared" si="15"/>
        <v>4.1258699999999999</v>
      </c>
    </row>
    <row r="82" spans="1:14">
      <c r="A82" t="str">
        <f t="shared" si="18"/>
        <v>BR_AAF_DSY_RUNOT_ND_NC_2019Q1MAR_AMV_VarejoAmarokMarco</v>
      </c>
      <c r="B82" t="str">
        <f t="shared" si="19"/>
        <v>Google Brasil</v>
      </c>
      <c r="C82" t="str">
        <f t="shared" si="20"/>
        <v>BR_VW_AMV_dv360_DIS_PROG_CPM_STD_MPU_AAF_RON_CXD_Amarok-Varejo-Marco-Corporativo-OLD-CAMPO-Amarok-AMC_PD_320X50</v>
      </c>
      <c r="D82" t="str">
        <f t="shared" si="21"/>
        <v>241739244</v>
      </c>
      <c r="E82" t="str">
        <f t="shared" si="22"/>
        <v>Standard</v>
      </c>
      <c r="F82" t="str">
        <f t="shared" si="23"/>
        <v>BR_VW_AMV_dv360_DIS_PROG_CPM_STD_MPU_AAF_RON_CXD_Amarok-Varejo-Marco-Corporativo-OLD-CAMPO-Amarok-AMC_PD_320X50</v>
      </c>
      <c r="G82" t="str">
        <f t="shared" si="24"/>
        <v>438419465</v>
      </c>
      <c r="H82" t="str">
        <f t="shared" si="25"/>
        <v>Display</v>
      </c>
      <c r="I82">
        <f t="shared" si="26"/>
        <v>1290878</v>
      </c>
      <c r="J82">
        <f t="shared" si="27"/>
        <v>8057</v>
      </c>
      <c r="K82" s="4">
        <f t="shared" si="16"/>
        <v>0.04</v>
      </c>
      <c r="L82">
        <f t="shared" si="17"/>
        <v>0.09</v>
      </c>
      <c r="M82" s="4">
        <f t="shared" si="14"/>
        <v>51.635120000000001</v>
      </c>
      <c r="N82" s="4">
        <f t="shared" si="15"/>
        <v>116.17901999999999</v>
      </c>
    </row>
    <row r="83" spans="1:14">
      <c r="A83" t="str">
        <f t="shared" si="18"/>
        <v>BR_AAF_DSY_RUNOT_ND_NC_2019Q1MAR_AMV_VarejoAmarokMarco</v>
      </c>
      <c r="B83" t="str">
        <f t="shared" si="19"/>
        <v>Google Brasil</v>
      </c>
      <c r="C83" t="str">
        <f t="shared" si="20"/>
        <v>BR_VW_AMV_dv360_DIS_PROG_CPM_STD_MPU_AAF_RON_CXD_Amarok-Varejo-Marco-Corporativo-OLD-CIDADE-Amarok-AMC_PD_300X100</v>
      </c>
      <c r="D83" t="str">
        <f t="shared" si="21"/>
        <v>241739184</v>
      </c>
      <c r="E83" t="str">
        <f t="shared" si="22"/>
        <v>Standard</v>
      </c>
      <c r="F83" t="str">
        <f t="shared" si="23"/>
        <v>BR_VW_AMV_dv360_DIS_PROG_CPM_STD_MPU_AAF_RON_CXD_Amarok-Varejo-Marco-Corporativo-OLD-CIDADE-Amarok-AMC_PD_300X100</v>
      </c>
      <c r="G83" t="str">
        <f t="shared" si="24"/>
        <v>438407593</v>
      </c>
      <c r="H83" t="str">
        <f t="shared" si="25"/>
        <v>Display</v>
      </c>
      <c r="I83">
        <f t="shared" si="26"/>
        <v>3703</v>
      </c>
      <c r="J83">
        <f t="shared" si="27"/>
        <v>1</v>
      </c>
      <c r="K83" s="4">
        <f t="shared" si="16"/>
        <v>0.04</v>
      </c>
      <c r="L83">
        <f t="shared" si="17"/>
        <v>0.09</v>
      </c>
      <c r="M83" s="4">
        <f t="shared" si="14"/>
        <v>0.14812</v>
      </c>
      <c r="N83" s="4">
        <f t="shared" si="15"/>
        <v>0.33326999999999996</v>
      </c>
    </row>
    <row r="84" spans="1:14">
      <c r="A84" t="str">
        <f t="shared" si="18"/>
        <v>BR_AAF_DSY_RUNOT_ND_NC_2019Q1MAR_AMV_VarejoAmarokMarco</v>
      </c>
      <c r="B84" t="str">
        <f t="shared" si="19"/>
        <v>Google Brasil</v>
      </c>
      <c r="C84" t="str">
        <f t="shared" si="20"/>
        <v>BR_VW_AMV_dv360_DIS_PROG_CPM_STD_MPU_AAF_RON_CXD_Amarok-Varejo-Marco-Corporativo-OLD-CIDADE-Amarok-AMC_PD_300x250</v>
      </c>
      <c r="D84" t="str">
        <f t="shared" si="21"/>
        <v>241739205</v>
      </c>
      <c r="E84" t="str">
        <f t="shared" si="22"/>
        <v>Standard</v>
      </c>
      <c r="F84" t="str">
        <f t="shared" si="23"/>
        <v>BR_VW_AMV_dv360_DIS_PROG_CPM_STD_MPU_AAF_RON_CXD_Amarok-Varejo-Marco-Corporativo-OLD-CIDADE-Amarok-AMC_PD_300x250</v>
      </c>
      <c r="G84" t="str">
        <f t="shared" si="24"/>
        <v>438407614</v>
      </c>
      <c r="H84" t="str">
        <f t="shared" si="25"/>
        <v>Display</v>
      </c>
      <c r="I84">
        <f t="shared" si="26"/>
        <v>1278146</v>
      </c>
      <c r="J84">
        <f t="shared" si="27"/>
        <v>11540</v>
      </c>
      <c r="K84" s="4">
        <f t="shared" si="16"/>
        <v>0.04</v>
      </c>
      <c r="L84">
        <f t="shared" si="17"/>
        <v>0.09</v>
      </c>
      <c r="M84" s="4">
        <f t="shared" si="14"/>
        <v>51.125840000000004</v>
      </c>
      <c r="N84" s="4">
        <f t="shared" si="15"/>
        <v>115.03314</v>
      </c>
    </row>
    <row r="85" spans="1:14">
      <c r="A85" t="str">
        <f t="shared" si="18"/>
        <v>BR_AAF_DSY_RUNOT_ND_NC_2019Q1MAR_AMV_VarejoAmarokMarco</v>
      </c>
      <c r="B85" t="str">
        <f t="shared" si="19"/>
        <v>Google Brasil</v>
      </c>
      <c r="C85" t="str">
        <f t="shared" si="20"/>
        <v>BR_VW_AMV_dv360_DIS_PROG_CPM_STD_MPU_AAF_RON_CXD_Amarok-Varejo-Marco-Corporativo-OLD-CIDADE-Amarok-AMC_PD_320X100</v>
      </c>
      <c r="D85" t="str">
        <f t="shared" si="21"/>
        <v>241739199</v>
      </c>
      <c r="E85" t="str">
        <f t="shared" si="22"/>
        <v>Standard</v>
      </c>
      <c r="F85" t="str">
        <f t="shared" si="23"/>
        <v>BR_VW_AMV_dv360_DIS_PROG_CPM_STD_MPU_AAF_RON_CXD_Amarok-Varejo-Marco-Corporativo-OLD-CIDADE-Amarok-AMC_PD_320X100</v>
      </c>
      <c r="G85" t="str">
        <f t="shared" si="24"/>
        <v>438407608</v>
      </c>
      <c r="H85" t="str">
        <f t="shared" si="25"/>
        <v>Display</v>
      </c>
      <c r="I85">
        <f t="shared" si="26"/>
        <v>106364</v>
      </c>
      <c r="J85">
        <f t="shared" si="27"/>
        <v>403</v>
      </c>
      <c r="K85" s="4">
        <f t="shared" si="16"/>
        <v>0.04</v>
      </c>
      <c r="L85">
        <f t="shared" si="17"/>
        <v>0.09</v>
      </c>
      <c r="M85" s="4">
        <f t="shared" si="14"/>
        <v>4.2545600000000006</v>
      </c>
      <c r="N85" s="4">
        <f t="shared" si="15"/>
        <v>9.5727600000000006</v>
      </c>
    </row>
    <row r="86" spans="1:14">
      <c r="A86" t="str">
        <f t="shared" si="18"/>
        <v>BR_AAF_DSY_RUNOT_ND_NC_2019Q1MAR_AMV_VarejoAmarokMarco</v>
      </c>
      <c r="B86" t="str">
        <f t="shared" si="19"/>
        <v>Google Brasil</v>
      </c>
      <c r="C86" t="str">
        <f t="shared" si="20"/>
        <v>BR_VW_AMV_dv360_DIS_PROG_CPM_STD_MPU_AAF_RON_CXD_Amarok-Varejo-Marco-Corporativo-OLD-CIDADE-Amarok-AMC_PD_320X50</v>
      </c>
      <c r="D86" t="str">
        <f t="shared" si="21"/>
        <v>241739202</v>
      </c>
      <c r="E86" t="str">
        <f t="shared" si="22"/>
        <v>Standard</v>
      </c>
      <c r="F86" t="str">
        <f t="shared" si="23"/>
        <v>BR_VW_AMV_dv360_DIS_PROG_CPM_STD_MPU_AAF_RON_CXD_Amarok-Varejo-Marco-Corporativo-OLD-CIDADE-Amarok-AMC_PD_320X50</v>
      </c>
      <c r="G86" t="str">
        <f t="shared" si="24"/>
        <v>438407611</v>
      </c>
      <c r="H86" t="str">
        <f t="shared" si="25"/>
        <v>Display</v>
      </c>
      <c r="I86">
        <f t="shared" si="26"/>
        <v>636433</v>
      </c>
      <c r="J86">
        <f t="shared" si="27"/>
        <v>3709</v>
      </c>
      <c r="K86" s="4">
        <f t="shared" si="16"/>
        <v>0.04</v>
      </c>
      <c r="L86">
        <f t="shared" si="17"/>
        <v>0.09</v>
      </c>
      <c r="M86" s="4">
        <f t="shared" si="14"/>
        <v>25.457319999999999</v>
      </c>
      <c r="N86" s="4">
        <f t="shared" si="15"/>
        <v>57.278970000000001</v>
      </c>
    </row>
    <row r="87" spans="1:14">
      <c r="A87" t="str">
        <f t="shared" si="18"/>
        <v>BR_AAF_DSY_RUNOT_ND_NC_2019Q1MAR_AMV_VarejoAmarokMarco</v>
      </c>
      <c r="B87" t="str">
        <f t="shared" si="19"/>
        <v>Google Brasil</v>
      </c>
      <c r="C87" t="str">
        <f t="shared" si="20"/>
        <v>BR_VW_AMV_dv360_DIS_PROG_CPM_STD_MPU_AAF_RON_CXD_Amarok-Varejo-Marco-PRIVADO-Amarok-AMC_PD_300X100</v>
      </c>
      <c r="D87" t="str">
        <f t="shared" si="21"/>
        <v>242764825</v>
      </c>
      <c r="E87" t="str">
        <f t="shared" si="22"/>
        <v>Standard</v>
      </c>
      <c r="F87" t="str">
        <f t="shared" si="23"/>
        <v>BR_VW_AMV_dv360_DIS_PROG_CPM_STD_MPU_AAF_RON_CXD_Amarok-Varejo-Marco-PRIVADO-Amarok-AMC_PD_300X100</v>
      </c>
      <c r="G87" t="str">
        <f t="shared" si="24"/>
        <v>439444589</v>
      </c>
      <c r="H87" t="str">
        <f t="shared" si="25"/>
        <v>Display</v>
      </c>
      <c r="I87">
        <f t="shared" si="26"/>
        <v>4846</v>
      </c>
      <c r="J87">
        <f t="shared" si="27"/>
        <v>12</v>
      </c>
      <c r="K87" s="4">
        <f t="shared" si="16"/>
        <v>0.04</v>
      </c>
      <c r="L87">
        <f t="shared" si="17"/>
        <v>0.09</v>
      </c>
      <c r="M87" s="4">
        <f t="shared" si="14"/>
        <v>0.19384000000000001</v>
      </c>
      <c r="N87" s="4">
        <f t="shared" si="15"/>
        <v>0.43613999999999997</v>
      </c>
    </row>
    <row r="88" spans="1:14">
      <c r="A88" t="str">
        <f t="shared" si="18"/>
        <v>BR_AAF_DSY_RUNOT_ND_NC_2019Q1MAR_AMV_VarejoAmarokMarco</v>
      </c>
      <c r="B88" t="str">
        <f t="shared" si="19"/>
        <v>Google Brasil</v>
      </c>
      <c r="C88" t="str">
        <f t="shared" si="20"/>
        <v>BR_VW_AMV_dv360_DIS_PROG_CPM_STD_MPU_AAF_RON_CXD_Amarok-Varejo-Marco-PRIVADO-Amarok-AMC_PD_300x250</v>
      </c>
      <c r="D88" t="str">
        <f t="shared" si="21"/>
        <v>242764834</v>
      </c>
      <c r="E88" t="str">
        <f t="shared" si="22"/>
        <v>Standard</v>
      </c>
      <c r="F88" t="str">
        <f t="shared" si="23"/>
        <v>BR_VW_AMV_dv360_DIS_PROG_CPM_STD_MPU_AAF_RON_CXD_Amarok-Varejo-Marco-PRIVADO-Amarok-AMC_PD_300x250</v>
      </c>
      <c r="G88" t="str">
        <f t="shared" si="24"/>
        <v>439444598</v>
      </c>
      <c r="H88" t="str">
        <f t="shared" si="25"/>
        <v>Display</v>
      </c>
      <c r="I88">
        <f t="shared" si="26"/>
        <v>378166</v>
      </c>
      <c r="J88">
        <f t="shared" si="27"/>
        <v>2641</v>
      </c>
      <c r="K88" s="4">
        <f t="shared" si="16"/>
        <v>0.04</v>
      </c>
      <c r="L88">
        <f t="shared" si="17"/>
        <v>0.09</v>
      </c>
      <c r="M88" s="4">
        <f t="shared" si="14"/>
        <v>15.12664</v>
      </c>
      <c r="N88" s="4">
        <f t="shared" si="15"/>
        <v>34.034939999999999</v>
      </c>
    </row>
    <row r="89" spans="1:14">
      <c r="A89" t="str">
        <f t="shared" si="18"/>
        <v>BR_AAF_DSY_RUNOT_ND_NC_2019Q1MAR_AMV_VarejoAmarokMarco</v>
      </c>
      <c r="B89" t="str">
        <f t="shared" si="19"/>
        <v>Google Brasil</v>
      </c>
      <c r="C89" t="str">
        <f t="shared" si="20"/>
        <v>BR_VW_AMV_dv360_DIS_PROG_CPM_STD_MPU_AAF_RON_CXD_Amarok-Varejo-Marco-PRIVADO-Amarok-AMC_PD_320X100</v>
      </c>
      <c r="D89" t="str">
        <f t="shared" si="21"/>
        <v>243228024</v>
      </c>
      <c r="E89" t="str">
        <f t="shared" si="22"/>
        <v>Standard</v>
      </c>
      <c r="F89" t="str">
        <f t="shared" si="23"/>
        <v>BR_VW_AMV_dv360_DIS_PROG_CPM_STD_MPU_AAF_RON_CXD_Amarok-Varejo-Marco-PRIVADO-Amarok-AMC_PD_320X100</v>
      </c>
      <c r="G89" t="str">
        <f t="shared" si="24"/>
        <v>439739932</v>
      </c>
      <c r="H89" t="str">
        <f t="shared" si="25"/>
        <v>Display</v>
      </c>
      <c r="I89">
        <f t="shared" si="26"/>
        <v>16738</v>
      </c>
      <c r="J89">
        <f t="shared" si="27"/>
        <v>48</v>
      </c>
      <c r="K89" s="4">
        <f t="shared" si="16"/>
        <v>0.04</v>
      </c>
      <c r="L89">
        <f t="shared" si="17"/>
        <v>0.09</v>
      </c>
      <c r="M89" s="4">
        <f t="shared" si="14"/>
        <v>0.66952</v>
      </c>
      <c r="N89" s="4">
        <f t="shared" si="15"/>
        <v>1.5064199999999999</v>
      </c>
    </row>
    <row r="90" spans="1:14">
      <c r="A90" t="str">
        <f t="shared" si="18"/>
        <v>BR_AAF_DSY_RUNOT_ND_NC_2019Q1MAR_AMV_VarejoAmarokMarco</v>
      </c>
      <c r="B90" t="str">
        <f t="shared" si="19"/>
        <v>Google Brasil</v>
      </c>
      <c r="C90" t="str">
        <f t="shared" si="20"/>
        <v>BR_VW_AMV_dv360_DIS_PROG_CPM_STD_MPU_AAF_RON_CXD_Amarok-Varejo-Marco-PRIVADO-Amarok-AMC_PD_320X50</v>
      </c>
      <c r="D90" t="str">
        <f t="shared" si="21"/>
        <v>243228027</v>
      </c>
      <c r="E90" t="str">
        <f t="shared" si="22"/>
        <v>Standard</v>
      </c>
      <c r="F90" t="str">
        <f t="shared" si="23"/>
        <v>BR_VW_AMV_dv360_DIS_PROG_CPM_STD_MPU_AAF_RON_CXD_Amarok-Varejo-Marco-PRIVADO-Amarok-AMC_PD_320X50</v>
      </c>
      <c r="G90" t="str">
        <f t="shared" si="24"/>
        <v>439739935</v>
      </c>
      <c r="H90" t="str">
        <f t="shared" si="25"/>
        <v>Display</v>
      </c>
      <c r="I90">
        <f t="shared" si="26"/>
        <v>174851</v>
      </c>
      <c r="J90">
        <f t="shared" si="27"/>
        <v>1124</v>
      </c>
      <c r="K90" s="4">
        <f t="shared" si="16"/>
        <v>0.04</v>
      </c>
      <c r="L90">
        <f t="shared" si="17"/>
        <v>0.09</v>
      </c>
      <c r="M90" s="4">
        <f t="shared" si="14"/>
        <v>6.99404</v>
      </c>
      <c r="N90" s="4">
        <f t="shared" si="15"/>
        <v>15.73659</v>
      </c>
    </row>
    <row r="91" spans="1:14">
      <c r="A91" t="str">
        <f t="shared" si="18"/>
        <v>BR_AAF_DSY_RUNOT_ND_NC_2019Q1MAR_AMV_VarejoAmarokMarco</v>
      </c>
      <c r="B91" t="str">
        <f t="shared" si="19"/>
        <v>Google Brasil</v>
      </c>
      <c r="C91" t="str">
        <f t="shared" si="20"/>
        <v>BR_VW_AMV_dv360_DIS_PROG_CPM_STD_SKY_AAF_RON_CXD_Amarok-Varejo-Marco-Corporativo-CAMPO-NOVO-Amarok-AMC_PD_120X600</v>
      </c>
      <c r="D91" t="str">
        <f t="shared" si="21"/>
        <v>243292116</v>
      </c>
      <c r="E91" t="str">
        <f t="shared" si="22"/>
        <v>Standard</v>
      </c>
      <c r="F91" t="str">
        <f t="shared" si="23"/>
        <v>BR_VW_AMV_dv360_DIS_PROG_CPM_STD_SKY_AAF_RON_CXD_Amarok-Varejo-Marco-Corporativo-CAMPO-NOVO-Amarok-AMC_PD_120X600</v>
      </c>
      <c r="G91" t="str">
        <f t="shared" si="24"/>
        <v>439675794</v>
      </c>
      <c r="H91" t="str">
        <f t="shared" si="25"/>
        <v>Display</v>
      </c>
      <c r="I91">
        <f t="shared" si="26"/>
        <v>1524</v>
      </c>
      <c r="J91">
        <f t="shared" si="27"/>
        <v>3</v>
      </c>
      <c r="K91" s="4">
        <f t="shared" si="16"/>
        <v>0.04</v>
      </c>
      <c r="L91">
        <f t="shared" si="17"/>
        <v>0.09</v>
      </c>
      <c r="M91" s="4">
        <f t="shared" si="14"/>
        <v>6.096E-2</v>
      </c>
      <c r="N91" s="4">
        <f t="shared" si="15"/>
        <v>0.13716</v>
      </c>
    </row>
    <row r="92" spans="1:14">
      <c r="A92" t="str">
        <f t="shared" si="18"/>
        <v>BR_AAF_DSY_RUNOT_ND_NC_2019Q1MAR_AMV_VarejoAmarokMarco</v>
      </c>
      <c r="B92" t="str">
        <f t="shared" si="19"/>
        <v>Google Brasil</v>
      </c>
      <c r="C92" t="str">
        <f t="shared" si="20"/>
        <v>BR_VW_AMV_dv360_DIS_PROG_CPM_STD_SKY_AAF_RON_CXD_Amarok-Varejo-Marco-Corporativo-CAMPO-NOVO-Amarok-AMC_PD_160X600</v>
      </c>
      <c r="D92" t="str">
        <f t="shared" si="21"/>
        <v>243292128</v>
      </c>
      <c r="E92" t="str">
        <f t="shared" si="22"/>
        <v>Standard</v>
      </c>
      <c r="F92" t="str">
        <f t="shared" si="23"/>
        <v>BR_VW_AMV_dv360_DIS_PROG_CPM_STD_SKY_AAF_RON_CXD_Amarok-Varejo-Marco-Corporativo-CAMPO-NOVO-Amarok-AMC_PD_160X600</v>
      </c>
      <c r="G92" t="str">
        <f t="shared" si="24"/>
        <v>439675806</v>
      </c>
      <c r="H92" t="str">
        <f t="shared" si="25"/>
        <v>Display</v>
      </c>
      <c r="I92">
        <f t="shared" si="26"/>
        <v>5677</v>
      </c>
      <c r="J92">
        <f t="shared" si="27"/>
        <v>2</v>
      </c>
      <c r="K92" s="4">
        <f t="shared" si="16"/>
        <v>0.04</v>
      </c>
      <c r="L92">
        <f t="shared" si="17"/>
        <v>0.09</v>
      </c>
      <c r="M92" s="4">
        <f t="shared" si="14"/>
        <v>0.22708</v>
      </c>
      <c r="N92" s="4">
        <f t="shared" si="15"/>
        <v>0.51093</v>
      </c>
    </row>
    <row r="93" spans="1:14">
      <c r="A93" t="str">
        <f t="shared" si="18"/>
        <v>BR_AAF_DSY_RUNOT_ND_NC_2019Q1MAR_AMV_VarejoAmarokMarco</v>
      </c>
      <c r="B93" t="str">
        <f t="shared" si="19"/>
        <v>Google Brasil</v>
      </c>
      <c r="C93" t="str">
        <f t="shared" si="20"/>
        <v>BR_VW_AMV_dv360_DIS_PROG_CPM_STD_SKY_AAF_RON_CXD_Amarok-Varejo-Marco-Corporativo-CAMPO-NOVO-Amarok-AMC_PD_300X600</v>
      </c>
      <c r="D93" t="str">
        <f t="shared" si="21"/>
        <v>243275007</v>
      </c>
      <c r="E93" t="str">
        <f t="shared" si="22"/>
        <v>Standard</v>
      </c>
      <c r="F93" t="str">
        <f t="shared" si="23"/>
        <v>BR_VW_AMV_dv360_DIS_PROG_CPM_STD_SKY_AAF_RON_CXD_Amarok-Varejo-Marco-Corporativo-CAMPO-NOVO-Amarok-AMC_PD_300X600</v>
      </c>
      <c r="G93" t="str">
        <f t="shared" si="24"/>
        <v>439675785</v>
      </c>
      <c r="H93" t="str">
        <f t="shared" si="25"/>
        <v>Display</v>
      </c>
      <c r="I93">
        <f t="shared" si="26"/>
        <v>94625</v>
      </c>
      <c r="J93">
        <f t="shared" si="27"/>
        <v>3077</v>
      </c>
      <c r="K93" s="4">
        <f t="shared" si="16"/>
        <v>0.04</v>
      </c>
      <c r="L93">
        <f t="shared" si="17"/>
        <v>0.09</v>
      </c>
      <c r="M93" s="4">
        <f t="shared" si="14"/>
        <v>3.7850000000000001</v>
      </c>
      <c r="N93" s="4">
        <f t="shared" si="15"/>
        <v>8.5162499999999994</v>
      </c>
    </row>
    <row r="94" spans="1:14">
      <c r="A94" t="str">
        <f t="shared" si="18"/>
        <v>BR_AAF_DSY_RUNOT_ND_NC_2019Q1MAR_AMV_VarejoAmarokMarco</v>
      </c>
      <c r="B94" t="str">
        <f t="shared" si="19"/>
        <v>Google Brasil</v>
      </c>
      <c r="C94" t="str">
        <f t="shared" si="20"/>
        <v>BR_VW_AMV_dv360_DIS_PROG_CPM_STD_SKY_AAF_RON_CXD_Amarok-Varejo-Marco-Corporativo-CIDADE-NOVO-Amarok-AMC_PD_120X600</v>
      </c>
      <c r="D94" t="str">
        <f t="shared" si="21"/>
        <v>243490203</v>
      </c>
      <c r="E94" t="str">
        <f t="shared" si="22"/>
        <v>Standard</v>
      </c>
      <c r="F94" t="str">
        <f t="shared" si="23"/>
        <v>BR_VW_AMV_dv360_DIS_PROG_CPM_STD_SKY_AAF_RON_CXD_Amarok-Varejo-Marco-Corporativo-CIDADE-NOVO-Amarok-AMC_PD_120X600</v>
      </c>
      <c r="G94" t="str">
        <f t="shared" si="24"/>
        <v>439973069</v>
      </c>
      <c r="H94" t="str">
        <f t="shared" si="25"/>
        <v>Display</v>
      </c>
      <c r="I94">
        <f t="shared" si="26"/>
        <v>1113</v>
      </c>
      <c r="J94">
        <f t="shared" si="27"/>
        <v>2</v>
      </c>
      <c r="K94" s="4">
        <f t="shared" si="16"/>
        <v>0.04</v>
      </c>
      <c r="L94">
        <f t="shared" si="17"/>
        <v>0.09</v>
      </c>
      <c r="M94" s="4">
        <f t="shared" si="14"/>
        <v>4.4520000000000004E-2</v>
      </c>
      <c r="N94" s="4">
        <f t="shared" si="15"/>
        <v>0.10017</v>
      </c>
    </row>
    <row r="95" spans="1:14">
      <c r="A95" t="str">
        <f t="shared" si="18"/>
        <v>BR_AAF_DSY_RUNOT_ND_NC_2019Q1MAR_AMV_VarejoAmarokMarco</v>
      </c>
      <c r="B95" t="str">
        <f t="shared" si="19"/>
        <v>Google Brasil</v>
      </c>
      <c r="C95" t="str">
        <f t="shared" si="20"/>
        <v>BR_VW_AMV_dv360_DIS_PROG_CPM_STD_SKY_AAF_RON_CXD_Amarok-Varejo-Marco-Corporativo-CIDADE-NOVO-Amarok-AMC_PD_160X600</v>
      </c>
      <c r="D95" t="str">
        <f t="shared" si="21"/>
        <v>243490215</v>
      </c>
      <c r="E95" t="str">
        <f t="shared" si="22"/>
        <v>Standard</v>
      </c>
      <c r="F95" t="str">
        <f t="shared" si="23"/>
        <v>BR_VW_AMV_dv360_DIS_PROG_CPM_STD_SKY_AAF_RON_CXD_Amarok-Varejo-Marco-Corporativo-CIDADE-NOVO-Amarok-AMC_PD_160X600</v>
      </c>
      <c r="G95" t="str">
        <f t="shared" si="24"/>
        <v>439973081</v>
      </c>
      <c r="H95" t="str">
        <f t="shared" si="25"/>
        <v>Display</v>
      </c>
      <c r="I95">
        <f t="shared" si="26"/>
        <v>4464</v>
      </c>
      <c r="J95">
        <f t="shared" si="27"/>
        <v>1</v>
      </c>
      <c r="K95" s="4">
        <f t="shared" si="16"/>
        <v>0.04</v>
      </c>
      <c r="L95">
        <f t="shared" si="17"/>
        <v>0.09</v>
      </c>
      <c r="M95" s="4">
        <f t="shared" si="14"/>
        <v>0.17856</v>
      </c>
      <c r="N95" s="4">
        <f t="shared" si="15"/>
        <v>0.40176000000000001</v>
      </c>
    </row>
    <row r="96" spans="1:14">
      <c r="A96" t="str">
        <f t="shared" si="18"/>
        <v>BR_AAF_DSY_RUNOT_ND_NC_2019Q1MAR_AMV_VarejoAmarokMarco</v>
      </c>
      <c r="B96" t="str">
        <f t="shared" si="19"/>
        <v>Google Brasil</v>
      </c>
      <c r="C96" t="str">
        <f t="shared" si="20"/>
        <v>BR_VW_AMV_dv360_DIS_PROG_CPM_STD_SKY_AAF_RON_CXD_Amarok-Varejo-Marco-Corporativo-CIDADE-NOVO-Amarok-AMC_PD_300X600</v>
      </c>
      <c r="D96" t="str">
        <f t="shared" si="21"/>
        <v>243490194</v>
      </c>
      <c r="E96" t="str">
        <f t="shared" si="22"/>
        <v>Standard</v>
      </c>
      <c r="F96" t="str">
        <f t="shared" si="23"/>
        <v>BR_VW_AMV_dv360_DIS_PROG_CPM_STD_SKY_AAF_RON_CXD_Amarok-Varejo-Marco-Corporativo-CIDADE-NOVO-Amarok-AMC_PD_300X600</v>
      </c>
      <c r="G96" t="str">
        <f t="shared" si="24"/>
        <v>439973060</v>
      </c>
      <c r="H96" t="str">
        <f t="shared" si="25"/>
        <v>Display</v>
      </c>
      <c r="I96">
        <f t="shared" si="26"/>
        <v>60470</v>
      </c>
      <c r="J96">
        <f t="shared" si="27"/>
        <v>1961</v>
      </c>
      <c r="K96" s="4">
        <f t="shared" si="16"/>
        <v>0.04</v>
      </c>
      <c r="L96">
        <f t="shared" si="17"/>
        <v>0.09</v>
      </c>
      <c r="M96" s="4">
        <f t="shared" si="14"/>
        <v>2.4188000000000001</v>
      </c>
      <c r="N96" s="4">
        <f t="shared" si="15"/>
        <v>5.4423000000000004</v>
      </c>
    </row>
    <row r="97" spans="1:14">
      <c r="A97" t="str">
        <f t="shared" si="18"/>
        <v>BR_AAF_DSY_RUNOT_ND_NC_2019Q1MAR_AMV_VarejoAmarokMarco</v>
      </c>
      <c r="B97" t="str">
        <f t="shared" si="19"/>
        <v>Google Brasil</v>
      </c>
      <c r="C97" t="str">
        <f t="shared" si="20"/>
        <v>BR_VW_AMV_dv360_DIS_PROG_CPM_STD_SKY_AAF_RON_CXD_Amarok-Varejo-Marco-Corporativo-OLD-CAMPO-Amarok-AMC_PD_120X600</v>
      </c>
      <c r="D97" t="str">
        <f t="shared" si="21"/>
        <v>241739238</v>
      </c>
      <c r="E97" t="str">
        <f t="shared" si="22"/>
        <v>Standard</v>
      </c>
      <c r="F97" t="str">
        <f t="shared" si="23"/>
        <v>BR_VW_AMV_dv360_DIS_PROG_CPM_STD_SKY_AAF_RON_CXD_Amarok-Varejo-Marco-Corporativo-OLD-CAMPO-Amarok-AMC_PD_120X600</v>
      </c>
      <c r="G97" t="str">
        <f t="shared" si="24"/>
        <v>438419459</v>
      </c>
      <c r="H97" t="str">
        <f t="shared" si="25"/>
        <v>Display</v>
      </c>
      <c r="I97">
        <f t="shared" si="26"/>
        <v>4320</v>
      </c>
      <c r="J97">
        <f t="shared" si="27"/>
        <v>0</v>
      </c>
      <c r="K97" s="4">
        <f t="shared" si="16"/>
        <v>0.04</v>
      </c>
      <c r="L97">
        <f t="shared" si="17"/>
        <v>0.09</v>
      </c>
      <c r="M97" s="4">
        <f t="shared" si="14"/>
        <v>0.17280000000000001</v>
      </c>
      <c r="N97" s="4">
        <f t="shared" si="15"/>
        <v>0.38880000000000003</v>
      </c>
    </row>
    <row r="98" spans="1:14">
      <c r="A98" t="str">
        <f t="shared" si="18"/>
        <v>BR_AAF_DSY_RUNOT_ND_NC_2019Q1MAR_AMV_VarejoAmarokMarco</v>
      </c>
      <c r="B98" t="str">
        <f t="shared" si="19"/>
        <v>Google Brasil</v>
      </c>
      <c r="C98" t="str">
        <f t="shared" si="20"/>
        <v>BR_VW_AMV_dv360_DIS_PROG_CPM_STD_SKY_AAF_RON_CXD_Amarok-Varejo-Marco-Corporativo-OLD-CAMPO-Amarok-AMC_PD_160X600</v>
      </c>
      <c r="D98" t="str">
        <f t="shared" si="21"/>
        <v>241739250</v>
      </c>
      <c r="E98" t="str">
        <f t="shared" si="22"/>
        <v>Standard</v>
      </c>
      <c r="F98" t="str">
        <f t="shared" si="23"/>
        <v>BR_VW_AMV_dv360_DIS_PROG_CPM_STD_SKY_AAF_RON_CXD_Amarok-Varejo-Marco-Corporativo-OLD-CAMPO-Amarok-AMC_PD_160X600</v>
      </c>
      <c r="G98" t="str">
        <f t="shared" si="24"/>
        <v>438419471</v>
      </c>
      <c r="H98" t="str">
        <f t="shared" si="25"/>
        <v>Display</v>
      </c>
      <c r="I98">
        <f t="shared" si="26"/>
        <v>21433</v>
      </c>
      <c r="J98">
        <f t="shared" si="27"/>
        <v>6</v>
      </c>
      <c r="K98" s="4">
        <f t="shared" si="16"/>
        <v>0.04</v>
      </c>
      <c r="L98">
        <f t="shared" si="17"/>
        <v>0.09</v>
      </c>
      <c r="M98" s="4">
        <f t="shared" si="14"/>
        <v>0.85732000000000008</v>
      </c>
      <c r="N98" s="4">
        <f t="shared" si="15"/>
        <v>1.9289700000000001</v>
      </c>
    </row>
    <row r="99" spans="1:14">
      <c r="A99" t="str">
        <f t="shared" si="18"/>
        <v>BR_AAF_DSY_RUNOT_ND_NC_2019Q1MAR_AMV_VarejoAmarokMarco</v>
      </c>
      <c r="B99" t="str">
        <f t="shared" si="19"/>
        <v>Google Brasil</v>
      </c>
      <c r="C99" t="str">
        <f t="shared" si="20"/>
        <v>BR_VW_AMV_dv360_DIS_PROG_CPM_STD_SKY_AAF_RON_CXD_Amarok-Varejo-Marco-Corporativo-OLD-CAMPO-Amarok-AMC_PD_300X600</v>
      </c>
      <c r="D99" t="str">
        <f t="shared" si="21"/>
        <v>241739229</v>
      </c>
      <c r="E99" t="str">
        <f t="shared" si="22"/>
        <v>Standard</v>
      </c>
      <c r="F99" t="str">
        <f t="shared" si="23"/>
        <v>BR_VW_AMV_dv360_DIS_PROG_CPM_STD_SKY_AAF_RON_CXD_Amarok-Varejo-Marco-Corporativo-OLD-CAMPO-Amarok-AMC_PD_300X600</v>
      </c>
      <c r="G99" t="str">
        <f t="shared" si="24"/>
        <v>438419450</v>
      </c>
      <c r="H99" t="str">
        <f t="shared" si="25"/>
        <v>Display</v>
      </c>
      <c r="I99">
        <f t="shared" si="26"/>
        <v>486963</v>
      </c>
      <c r="J99">
        <f t="shared" si="27"/>
        <v>15833</v>
      </c>
      <c r="K99" s="4">
        <f t="shared" si="16"/>
        <v>0.04</v>
      </c>
      <c r="L99">
        <f t="shared" si="17"/>
        <v>0.09</v>
      </c>
      <c r="M99" s="4">
        <f t="shared" ref="M99:M162" si="28">IF(E99="Dynamic Click",J99*K99,K99*$I99/1000)</f>
        <v>19.47852</v>
      </c>
      <c r="N99" s="4">
        <f t="shared" ref="N99:N162" si="29">IF(E99="Dynamic Click",J99*L99,L99*$I99/1000)</f>
        <v>43.82667</v>
      </c>
    </row>
    <row r="100" spans="1:14">
      <c r="A100" t="str">
        <f t="shared" si="18"/>
        <v>BR_AAF_DSY_RUNOT_ND_NC_2019Q1MAR_AMV_VarejoAmarokMarco</v>
      </c>
      <c r="B100" t="str">
        <f t="shared" si="19"/>
        <v>Google Brasil</v>
      </c>
      <c r="C100" t="str">
        <f t="shared" si="20"/>
        <v>BR_VW_AMV_dv360_DIS_PROG_CPM_STD_SKY_AAF_RON_CXD_Amarok-Varejo-Marco-Corporativo-OLD-CIDADE-Amarok-AMC_PD_120X600</v>
      </c>
      <c r="D100" t="str">
        <f t="shared" si="21"/>
        <v>241739196</v>
      </c>
      <c r="E100" t="str">
        <f t="shared" si="22"/>
        <v>Standard</v>
      </c>
      <c r="F100" t="str">
        <f t="shared" si="23"/>
        <v>BR_VW_AMV_dv360_DIS_PROG_CPM_STD_SKY_AAF_RON_CXD_Amarok-Varejo-Marco-Corporativo-OLD-CIDADE-Amarok-AMC_PD_120X600</v>
      </c>
      <c r="G100" t="str">
        <f t="shared" si="24"/>
        <v>438407605</v>
      </c>
      <c r="H100" t="str">
        <f t="shared" si="25"/>
        <v>Display</v>
      </c>
      <c r="I100">
        <f t="shared" si="26"/>
        <v>4519</v>
      </c>
      <c r="J100">
        <f t="shared" si="27"/>
        <v>2</v>
      </c>
      <c r="K100" s="4">
        <f t="shared" si="16"/>
        <v>0.04</v>
      </c>
      <c r="L100">
        <f t="shared" si="17"/>
        <v>0.09</v>
      </c>
      <c r="M100" s="4">
        <f t="shared" si="28"/>
        <v>0.18076</v>
      </c>
      <c r="N100" s="4">
        <f t="shared" si="29"/>
        <v>0.40670999999999996</v>
      </c>
    </row>
    <row r="101" spans="1:14">
      <c r="A101" t="str">
        <f t="shared" si="18"/>
        <v>BR_AAF_DSY_RUNOT_ND_NC_2019Q1MAR_AMV_VarejoAmarokMarco</v>
      </c>
      <c r="B101" t="str">
        <f t="shared" si="19"/>
        <v>Google Brasil</v>
      </c>
      <c r="C101" t="str">
        <f t="shared" si="20"/>
        <v>BR_VW_AMV_dv360_DIS_PROG_CPM_STD_SKY_AAF_RON_CXD_Amarok-Varejo-Marco-Corporativo-OLD-CIDADE-Amarok-AMC_PD_160X600</v>
      </c>
      <c r="D101" t="str">
        <f t="shared" si="21"/>
        <v>241739208</v>
      </c>
      <c r="E101" t="str">
        <f t="shared" si="22"/>
        <v>Standard</v>
      </c>
      <c r="F101" t="str">
        <f t="shared" si="23"/>
        <v>BR_VW_AMV_dv360_DIS_PROG_CPM_STD_SKY_AAF_RON_CXD_Amarok-Varejo-Marco-Corporativo-OLD-CIDADE-Amarok-AMC_PD_160X600</v>
      </c>
      <c r="G101" t="str">
        <f t="shared" si="24"/>
        <v>438407617</v>
      </c>
      <c r="H101" t="str">
        <f t="shared" si="25"/>
        <v>Display</v>
      </c>
      <c r="I101">
        <f t="shared" si="26"/>
        <v>18273</v>
      </c>
      <c r="J101">
        <f t="shared" si="27"/>
        <v>3</v>
      </c>
      <c r="K101" s="4">
        <f t="shared" si="16"/>
        <v>0.04</v>
      </c>
      <c r="L101">
        <f t="shared" si="17"/>
        <v>0.09</v>
      </c>
      <c r="M101" s="4">
        <f t="shared" si="28"/>
        <v>0.73092000000000001</v>
      </c>
      <c r="N101" s="4">
        <f t="shared" si="29"/>
        <v>1.6445699999999999</v>
      </c>
    </row>
    <row r="102" spans="1:14">
      <c r="A102" t="str">
        <f t="shared" si="18"/>
        <v>BR_AAF_DSY_RUNOT_ND_NC_2019Q1MAR_AMV_VarejoAmarokMarco</v>
      </c>
      <c r="B102" t="str">
        <f t="shared" si="19"/>
        <v>Google Brasil</v>
      </c>
      <c r="C102" t="str">
        <f t="shared" si="20"/>
        <v>BR_VW_AMV_dv360_DIS_PROG_CPM_STD_SKY_AAF_RON_CXD_Amarok-Varejo-Marco-Corporativo-OLD-CIDADE-Amarok-AMC_PD_300X600</v>
      </c>
      <c r="D102" t="str">
        <f t="shared" si="21"/>
        <v>241739187</v>
      </c>
      <c r="E102" t="str">
        <f t="shared" si="22"/>
        <v>Standard</v>
      </c>
      <c r="F102" t="str">
        <f t="shared" si="23"/>
        <v>BR_VW_AMV_dv360_DIS_PROG_CPM_STD_SKY_AAF_RON_CXD_Amarok-Varejo-Marco-Corporativo-OLD-CIDADE-Amarok-AMC_PD_300X600</v>
      </c>
      <c r="G102" t="str">
        <f t="shared" si="24"/>
        <v>438407596</v>
      </c>
      <c r="H102" t="str">
        <f t="shared" si="25"/>
        <v>Display</v>
      </c>
      <c r="I102">
        <f t="shared" si="26"/>
        <v>326065</v>
      </c>
      <c r="J102">
        <f t="shared" si="27"/>
        <v>10802</v>
      </c>
      <c r="K102" s="4">
        <f t="shared" si="16"/>
        <v>0.04</v>
      </c>
      <c r="L102">
        <f t="shared" si="17"/>
        <v>0.09</v>
      </c>
      <c r="M102" s="4">
        <f t="shared" si="28"/>
        <v>13.0426</v>
      </c>
      <c r="N102" s="4">
        <f t="shared" si="29"/>
        <v>29.345849999999999</v>
      </c>
    </row>
    <row r="103" spans="1:14">
      <c r="A103" t="str">
        <f t="shared" si="18"/>
        <v>BR_AAF_DSY_RUNOT_ND_NC_2019Q1MAR_AMV_VarejoAmarokMarco</v>
      </c>
      <c r="B103" t="str">
        <f t="shared" si="19"/>
        <v>Google Brasil</v>
      </c>
      <c r="C103" t="str">
        <f t="shared" si="20"/>
        <v>BR_VW_AMV_dv360_DIS_PROG_CPM_STD_SKY_AAF_RON_CXD_Amarok-Varejo-Marco-PRIVADO-Amarok-AMC_PD_120X600</v>
      </c>
      <c r="D103" t="str">
        <f t="shared" si="21"/>
        <v>242764831</v>
      </c>
      <c r="E103" t="str">
        <f t="shared" si="22"/>
        <v>Standard</v>
      </c>
      <c r="F103" t="str">
        <f t="shared" si="23"/>
        <v>BR_VW_AMV_dv360_DIS_PROG_CPM_STD_SKY_AAF_RON_CXD_Amarok-Varejo-Marco-PRIVADO-Amarok-AMC_PD_120X600</v>
      </c>
      <c r="G103" t="str">
        <f t="shared" si="24"/>
        <v>439444595</v>
      </c>
      <c r="H103" t="str">
        <f t="shared" si="25"/>
        <v>Display</v>
      </c>
      <c r="I103">
        <f t="shared" si="26"/>
        <v>1649</v>
      </c>
      <c r="J103">
        <f t="shared" si="27"/>
        <v>1</v>
      </c>
      <c r="K103" s="4">
        <f t="shared" si="16"/>
        <v>0.04</v>
      </c>
      <c r="L103">
        <f t="shared" si="17"/>
        <v>0.09</v>
      </c>
      <c r="M103" s="4">
        <f t="shared" si="28"/>
        <v>6.5960000000000005E-2</v>
      </c>
      <c r="N103" s="4">
        <f t="shared" si="29"/>
        <v>0.14840999999999999</v>
      </c>
    </row>
    <row r="104" spans="1:14">
      <c r="A104" t="str">
        <f t="shared" si="18"/>
        <v>BR_AAF_DSY_RUNOT_ND_NC_2019Q1MAR_AMV_VarejoAmarokMarco</v>
      </c>
      <c r="B104" t="str">
        <f t="shared" si="19"/>
        <v>Google Brasil</v>
      </c>
      <c r="C104" t="str">
        <f t="shared" si="20"/>
        <v>BR_VW_AMV_dv360_DIS_PROG_CPM_STD_SKY_AAF_RON_CXD_Amarok-Varejo-Marco-PRIVADO-Amarok-AMC_PD_160X600</v>
      </c>
      <c r="D104" t="str">
        <f t="shared" si="21"/>
        <v>242764837</v>
      </c>
      <c r="E104" t="str">
        <f t="shared" si="22"/>
        <v>Standard</v>
      </c>
      <c r="F104" t="str">
        <f t="shared" si="23"/>
        <v>BR_VW_AMV_dv360_DIS_PROG_CPM_STD_SKY_AAF_RON_CXD_Amarok-Varejo-Marco-PRIVADO-Amarok-AMC_PD_160X600</v>
      </c>
      <c r="G104" t="str">
        <f t="shared" si="24"/>
        <v>439444601</v>
      </c>
      <c r="H104" t="str">
        <f t="shared" si="25"/>
        <v>Display</v>
      </c>
      <c r="I104">
        <f t="shared" si="26"/>
        <v>13909</v>
      </c>
      <c r="J104">
        <f t="shared" si="27"/>
        <v>21</v>
      </c>
      <c r="K104" s="4">
        <f t="shared" si="16"/>
        <v>0.04</v>
      </c>
      <c r="L104">
        <f t="shared" si="17"/>
        <v>0.09</v>
      </c>
      <c r="M104" s="4">
        <f t="shared" si="28"/>
        <v>0.55635999999999997</v>
      </c>
      <c r="N104" s="4">
        <f t="shared" si="29"/>
        <v>1.2518099999999999</v>
      </c>
    </row>
    <row r="105" spans="1:14">
      <c r="A105" t="str">
        <f t="shared" si="18"/>
        <v>BR_AAF_DSY_RUNOT_ND_NC_2019Q1MAR_AMV_VarejoAmarokMarco</v>
      </c>
      <c r="B105" t="str">
        <f t="shared" si="19"/>
        <v>Google Brasil</v>
      </c>
      <c r="C105" t="str">
        <f t="shared" si="20"/>
        <v>BR_VW_AMV_dv360_DIS_PROG_CPM_STD_SKY_AAF_RON_CXD_Amarok-Varejo-Marco-PRIVADO-Amarok-AMC_PD_300X600</v>
      </c>
      <c r="D105" t="str">
        <f t="shared" si="21"/>
        <v>242764828</v>
      </c>
      <c r="E105" t="str">
        <f t="shared" si="22"/>
        <v>Standard</v>
      </c>
      <c r="F105" t="str">
        <f t="shared" si="23"/>
        <v>BR_VW_AMV_dv360_DIS_PROG_CPM_STD_SKY_AAF_RON_CXD_Amarok-Varejo-Marco-PRIVADO-Amarok-AMC_PD_300X600</v>
      </c>
      <c r="G105" t="str">
        <f t="shared" si="24"/>
        <v>439444592</v>
      </c>
      <c r="H105" t="str">
        <f t="shared" si="25"/>
        <v>Display</v>
      </c>
      <c r="I105">
        <f t="shared" si="26"/>
        <v>100416</v>
      </c>
      <c r="J105">
        <f t="shared" si="27"/>
        <v>3058</v>
      </c>
      <c r="K105" s="4">
        <f t="shared" si="16"/>
        <v>0.04</v>
      </c>
      <c r="L105">
        <f t="shared" si="17"/>
        <v>0.09</v>
      </c>
      <c r="M105" s="4">
        <f t="shared" si="28"/>
        <v>4.0166399999999998</v>
      </c>
      <c r="N105" s="4">
        <f t="shared" si="29"/>
        <v>9.0374400000000001</v>
      </c>
    </row>
    <row r="106" spans="1:14">
      <c r="A106" t="str">
        <f t="shared" si="18"/>
        <v>BR_AAF_DSY_RUNOT_ND_NC_2019Q1MAR_AMV_VarejoAmarokMarco</v>
      </c>
      <c r="B106" t="str">
        <f t="shared" si="19"/>
        <v>In Loco Media</v>
      </c>
      <c r="C106" t="str">
        <f t="shared" si="20"/>
        <v>BR_VW_AMV_Inloco_DIS_DRCT_CPM_STD_LDR_AAF_RON_CXD_Amarok-Varejo-Marco-Corporativo-CAMPO-NOVO-Amarok-AMC_PD_900x750</v>
      </c>
      <c r="D106" t="str">
        <f t="shared" si="21"/>
        <v>243286686</v>
      </c>
      <c r="E106" t="str">
        <f t="shared" si="22"/>
        <v>Standard</v>
      </c>
      <c r="F106" t="str">
        <f t="shared" si="23"/>
        <v>BR_VW_AMV_Inloco_DIS_DRCT_CPM_STD_LDR_AAF_RON_CXD_Amarok-Varejo-Marco-Corporativo-CAMPO-NOVO-Amarok-AMC_PD_900x750</v>
      </c>
      <c r="G106" t="str">
        <f t="shared" si="24"/>
        <v>439764770</v>
      </c>
      <c r="H106" t="str">
        <f t="shared" si="25"/>
        <v>Tracking</v>
      </c>
      <c r="I106">
        <f t="shared" si="26"/>
        <v>59769</v>
      </c>
      <c r="J106">
        <f t="shared" si="27"/>
        <v>113</v>
      </c>
      <c r="K106" s="4">
        <f t="shared" si="16"/>
        <v>0.04</v>
      </c>
      <c r="L106">
        <f t="shared" si="17"/>
        <v>0.09</v>
      </c>
      <c r="M106" s="4">
        <f t="shared" si="28"/>
        <v>2.3907600000000002</v>
      </c>
      <c r="N106" s="4">
        <f t="shared" si="29"/>
        <v>5.3792099999999996</v>
      </c>
    </row>
    <row r="107" spans="1:14">
      <c r="A107" t="str">
        <f t="shared" si="18"/>
        <v>BR_AAF_DSY_RUNOT_ND_NC_2019Q1MAR_AMV_VarejoAmarokMarco</v>
      </c>
      <c r="B107" t="str">
        <f t="shared" si="19"/>
        <v>In Loco Media</v>
      </c>
      <c r="C107" t="str">
        <f t="shared" si="20"/>
        <v>BR_VW_AMV_Inloco_DIS_DRCT_CPM_STD_LDR_AAF_RON_CXD_Amarok-Varejo-Marco-Corporativo-CAMPO-NOVO-Amarok-AMC_PD_960x1440</v>
      </c>
      <c r="D107" t="str">
        <f t="shared" si="21"/>
        <v>243286692</v>
      </c>
      <c r="E107" t="str">
        <f t="shared" si="22"/>
        <v>Standard</v>
      </c>
      <c r="F107" t="str">
        <f t="shared" si="23"/>
        <v>BR_VW_AMV_Inloco_DIS_DRCT_CPM_STD_LDR_AAF_RON_CXD_Amarok-Varejo-Marco-Corporativo-CAMPO-NOVO-Amarok-AMC_PD_960x1440</v>
      </c>
      <c r="G107" t="str">
        <f t="shared" si="24"/>
        <v>439764776</v>
      </c>
      <c r="H107" t="str">
        <f t="shared" si="25"/>
        <v>Tracking</v>
      </c>
      <c r="I107">
        <f t="shared" si="26"/>
        <v>25263</v>
      </c>
      <c r="J107">
        <f t="shared" si="27"/>
        <v>127</v>
      </c>
      <c r="K107" s="4">
        <f t="shared" si="16"/>
        <v>0.04</v>
      </c>
      <c r="L107">
        <f t="shared" si="17"/>
        <v>0.09</v>
      </c>
      <c r="M107" s="4">
        <f t="shared" si="28"/>
        <v>1.0105200000000001</v>
      </c>
      <c r="N107" s="4">
        <f t="shared" si="29"/>
        <v>2.2736700000000001</v>
      </c>
    </row>
    <row r="108" spans="1:14">
      <c r="A108" t="str">
        <f t="shared" si="18"/>
        <v>BR_AAF_DSY_RUNOT_ND_NC_2019Q1MAR_AMV_VarejoAmarokMarco</v>
      </c>
      <c r="B108" t="str">
        <f t="shared" si="19"/>
        <v>In Loco Media</v>
      </c>
      <c r="C108" t="str">
        <f t="shared" si="20"/>
        <v>BR_VW_AMV_Inloco_DIS_DRCT_CPM_STD_LDR_AAF_RON_CXD_Amarok-Varejo-Marco-Corporativo-CAMPO-NOVO-Amarok-AMC_PD_960x150</v>
      </c>
      <c r="D108" t="str">
        <f t="shared" si="21"/>
        <v>243286695</v>
      </c>
      <c r="E108" t="str">
        <f t="shared" si="22"/>
        <v>Standard</v>
      </c>
      <c r="F108" t="str">
        <f t="shared" si="23"/>
        <v>BR_VW_AMV_Inloco_DIS_DRCT_CPM_STD_LDR_AAF_RON_CXD_Amarok-Varejo-Marco-Corporativo-CAMPO-NOVO-Amarok-AMC_PD_960x150</v>
      </c>
      <c r="G108" t="str">
        <f t="shared" si="24"/>
        <v>439764779</v>
      </c>
      <c r="H108" t="str">
        <f t="shared" si="25"/>
        <v>Tracking</v>
      </c>
      <c r="I108">
        <f t="shared" si="26"/>
        <v>60635</v>
      </c>
      <c r="J108">
        <f t="shared" si="27"/>
        <v>185</v>
      </c>
      <c r="K108" s="4">
        <f t="shared" ref="K108:K171" si="30">IF(LEFT(B108,3)="DBM",0,VLOOKUP(E108,tabela,2,FALSE))</f>
        <v>0.04</v>
      </c>
      <c r="L108">
        <f t="shared" ref="L108:L171" si="31">VLOOKUP(E108,tabela,3,FALSE)</f>
        <v>0.09</v>
      </c>
      <c r="M108" s="4">
        <f t="shared" si="28"/>
        <v>2.4254000000000002</v>
      </c>
      <c r="N108" s="4">
        <f t="shared" si="29"/>
        <v>5.4571499999999995</v>
      </c>
    </row>
    <row r="109" spans="1:14">
      <c r="A109" t="str">
        <f t="shared" si="18"/>
        <v>BR_AAF_DSY_RUNOT_ND_NC_2019Q1MAR_AMV_VarejoAmarokMarco</v>
      </c>
      <c r="B109" t="str">
        <f t="shared" si="19"/>
        <v>In Loco Media</v>
      </c>
      <c r="C109" t="str">
        <f t="shared" si="20"/>
        <v>BR_VW_AMV_Inloco_DIS_DRCT_CPM_STD_LDR_AAF_RON_CXD_Amarok-Varejo-Marco-Corporativo-CIDADE-NOVO-Amarok-AMC_PD_900x750</v>
      </c>
      <c r="D109" t="str">
        <f t="shared" si="21"/>
        <v>243163442</v>
      </c>
      <c r="E109" t="str">
        <f t="shared" si="22"/>
        <v>Standard</v>
      </c>
      <c r="F109" t="str">
        <f t="shared" si="23"/>
        <v>BR_VW_AMV_Inloco_DIS_DRCT_CPM_STD_LDR_AAF_RON_CXD_Amarok-Varejo-Marco-Corporativo-CIDADE-NOVO-Amarok-AMC_PD_900x750</v>
      </c>
      <c r="G109" t="str">
        <f t="shared" si="24"/>
        <v>439883178</v>
      </c>
      <c r="H109" t="str">
        <f t="shared" si="25"/>
        <v>Tracking</v>
      </c>
      <c r="I109">
        <f t="shared" si="26"/>
        <v>59407</v>
      </c>
      <c r="J109">
        <f t="shared" si="27"/>
        <v>104</v>
      </c>
      <c r="K109" s="4">
        <f t="shared" si="30"/>
        <v>0.04</v>
      </c>
      <c r="L109">
        <f t="shared" si="31"/>
        <v>0.09</v>
      </c>
      <c r="M109" s="4">
        <f t="shared" si="28"/>
        <v>2.3762800000000004</v>
      </c>
      <c r="N109" s="4">
        <f t="shared" si="29"/>
        <v>5.3466300000000002</v>
      </c>
    </row>
    <row r="110" spans="1:14">
      <c r="A110" t="str">
        <f t="shared" si="18"/>
        <v>BR_AAF_DSY_RUNOT_ND_NC_2019Q1MAR_AMV_VarejoAmarokMarco</v>
      </c>
      <c r="B110" t="str">
        <f t="shared" si="19"/>
        <v>In Loco Media</v>
      </c>
      <c r="C110" t="str">
        <f t="shared" si="20"/>
        <v>BR_VW_AMV_Inloco_DIS_DRCT_CPM_STD_LDR_AAF_RON_CXD_Amarok-Varejo-Marco-Corporativo-CIDADE-NOVO-Amarok-AMC_PD_960x1440</v>
      </c>
      <c r="D110" t="str">
        <f t="shared" si="21"/>
        <v>243163448</v>
      </c>
      <c r="E110" t="str">
        <f t="shared" si="22"/>
        <v>Standard</v>
      </c>
      <c r="F110" t="str">
        <f t="shared" si="23"/>
        <v>BR_VW_AMV_Inloco_DIS_DRCT_CPM_STD_LDR_AAF_RON_CXD_Amarok-Varejo-Marco-Corporativo-CIDADE-NOVO-Amarok-AMC_PD_960x1440</v>
      </c>
      <c r="G110" t="str">
        <f t="shared" si="24"/>
        <v>439883184</v>
      </c>
      <c r="H110" t="str">
        <f t="shared" si="25"/>
        <v>Tracking</v>
      </c>
      <c r="I110">
        <f t="shared" si="26"/>
        <v>25316</v>
      </c>
      <c r="J110">
        <f t="shared" si="27"/>
        <v>145</v>
      </c>
      <c r="K110" s="4">
        <f t="shared" si="30"/>
        <v>0.04</v>
      </c>
      <c r="L110">
        <f t="shared" si="31"/>
        <v>0.09</v>
      </c>
      <c r="M110" s="4">
        <f t="shared" si="28"/>
        <v>1.01264</v>
      </c>
      <c r="N110" s="4">
        <f t="shared" si="29"/>
        <v>2.2784400000000002</v>
      </c>
    </row>
    <row r="111" spans="1:14">
      <c r="A111" t="str">
        <f t="shared" si="18"/>
        <v>BR_AAF_DSY_RUNOT_ND_NC_2019Q1MAR_AMV_VarejoAmarokMarco</v>
      </c>
      <c r="B111" t="str">
        <f t="shared" si="19"/>
        <v>In Loco Media</v>
      </c>
      <c r="C111" t="str">
        <f t="shared" si="20"/>
        <v>BR_VW_AMV_Inloco_DIS_DRCT_CPM_STD_LDR_AAF_RON_CXD_Amarok-Varejo-Marco-Corporativo-CIDADE-NOVO-Amarok-AMC_PD_960x150</v>
      </c>
      <c r="D111" t="str">
        <f t="shared" si="21"/>
        <v>243163451</v>
      </c>
      <c r="E111" t="str">
        <f t="shared" si="22"/>
        <v>Standard</v>
      </c>
      <c r="F111" t="str">
        <f t="shared" si="23"/>
        <v>BR_VW_AMV_Inloco_DIS_DRCT_CPM_STD_LDR_AAF_RON_CXD_Amarok-Varejo-Marco-Corporativo-CIDADE-NOVO-Amarok-AMC_PD_960x150</v>
      </c>
      <c r="G111" t="str">
        <f t="shared" si="24"/>
        <v>439883190</v>
      </c>
      <c r="H111" t="str">
        <f t="shared" si="25"/>
        <v>Tracking</v>
      </c>
      <c r="I111">
        <f t="shared" si="26"/>
        <v>60594</v>
      </c>
      <c r="J111">
        <f t="shared" si="27"/>
        <v>202</v>
      </c>
      <c r="K111" s="4">
        <f t="shared" si="30"/>
        <v>0.04</v>
      </c>
      <c r="L111">
        <f t="shared" si="31"/>
        <v>0.09</v>
      </c>
      <c r="M111" s="4">
        <f t="shared" si="28"/>
        <v>2.4237600000000001</v>
      </c>
      <c r="N111" s="4">
        <f t="shared" si="29"/>
        <v>5.4534599999999998</v>
      </c>
    </row>
    <row r="112" spans="1:14">
      <c r="A112" t="str">
        <f t="shared" si="18"/>
        <v>BR_AAF_DSY_RUNOT_ND_NC_2019Q1MAR_AMV_VarejoAmarokMarco</v>
      </c>
      <c r="B112" t="str">
        <f t="shared" si="19"/>
        <v>In Loco Media</v>
      </c>
      <c r="C112" t="str">
        <f t="shared" si="20"/>
        <v>BR_VW_AMV_Inloco_DIS_DRCT_CPM_STD_LDR_AAF_RON_CXD_Amarok-Varejo-Marco-Corporativo-OLD-CAMPO-Amarok-AMC_PD_900x750</v>
      </c>
      <c r="D112" t="str">
        <f t="shared" si="21"/>
        <v>241429877</v>
      </c>
      <c r="E112" t="str">
        <f t="shared" si="22"/>
        <v>Standard</v>
      </c>
      <c r="F112" t="str">
        <f t="shared" si="23"/>
        <v>BR_VW_AMV_Inloco_DIS_DRCT_CPM_STD_LDR_AAF_RON_CXD_Amarok-Varejo-Marco-Corporativo-OLD-CAMPO-Amarok-AMC_PD_900x750</v>
      </c>
      <c r="G112" t="str">
        <f t="shared" si="24"/>
        <v>438411124</v>
      </c>
      <c r="H112" t="str">
        <f t="shared" si="25"/>
        <v>Tracking</v>
      </c>
      <c r="I112">
        <f t="shared" si="26"/>
        <v>232569</v>
      </c>
      <c r="J112">
        <f t="shared" si="27"/>
        <v>1234</v>
      </c>
      <c r="K112" s="4">
        <f t="shared" si="30"/>
        <v>0.04</v>
      </c>
      <c r="L112">
        <f t="shared" si="31"/>
        <v>0.09</v>
      </c>
      <c r="M112" s="4">
        <f t="shared" si="28"/>
        <v>9.302760000000001</v>
      </c>
      <c r="N112" s="4">
        <f t="shared" si="29"/>
        <v>20.93121</v>
      </c>
    </row>
    <row r="113" spans="1:14">
      <c r="A113" t="str">
        <f t="shared" si="18"/>
        <v>BR_AAF_DSY_RUNOT_ND_NC_2019Q1MAR_AMV_VarejoAmarokMarco</v>
      </c>
      <c r="B113" t="str">
        <f t="shared" si="19"/>
        <v>In Loco Media</v>
      </c>
      <c r="C113" t="str">
        <f t="shared" si="20"/>
        <v>BR_VW_AMV_Inloco_DIS_DRCT_CPM_STD_LDR_AAF_RON_CXD_Amarok-Varejo-Marco-Corporativo-OLD-CAMPO-Amarok-AMC_PD_960x1440</v>
      </c>
      <c r="D113" t="str">
        <f t="shared" si="21"/>
        <v>241429883</v>
      </c>
      <c r="E113" t="str">
        <f t="shared" si="22"/>
        <v>Standard</v>
      </c>
      <c r="F113" t="str">
        <f t="shared" si="23"/>
        <v>BR_VW_AMV_Inloco_DIS_DRCT_CPM_STD_LDR_AAF_RON_CXD_Amarok-Varejo-Marco-Corporativo-OLD-CAMPO-Amarok-AMC_PD_960x1440</v>
      </c>
      <c r="G113" t="str">
        <f t="shared" si="24"/>
        <v>438411130</v>
      </c>
      <c r="H113" t="str">
        <f t="shared" si="25"/>
        <v>Tracking</v>
      </c>
      <c r="I113">
        <f t="shared" si="26"/>
        <v>122738</v>
      </c>
      <c r="J113">
        <f t="shared" si="27"/>
        <v>3633</v>
      </c>
      <c r="K113" s="4">
        <f t="shared" si="30"/>
        <v>0.04</v>
      </c>
      <c r="L113">
        <f t="shared" si="31"/>
        <v>0.09</v>
      </c>
      <c r="M113" s="4">
        <f t="shared" si="28"/>
        <v>4.9095200000000006</v>
      </c>
      <c r="N113" s="4">
        <f t="shared" si="29"/>
        <v>11.046419999999999</v>
      </c>
    </row>
    <row r="114" spans="1:14">
      <c r="A114" t="str">
        <f t="shared" si="18"/>
        <v>BR_AAF_DSY_RUNOT_ND_NC_2019Q1MAR_AMV_VarejoAmarokMarco</v>
      </c>
      <c r="B114" t="str">
        <f t="shared" si="19"/>
        <v>In Loco Media</v>
      </c>
      <c r="C114" t="str">
        <f t="shared" si="20"/>
        <v>BR_VW_AMV_Inloco_DIS_DRCT_CPM_STD_LDR_AAF_RON_CXD_Amarok-Varejo-Marco-Corporativo-OLD-CAMPO-Amarok-AMC_PD_960x150</v>
      </c>
      <c r="D114" t="str">
        <f t="shared" si="21"/>
        <v>241429886</v>
      </c>
      <c r="E114" t="str">
        <f t="shared" si="22"/>
        <v>Standard</v>
      </c>
      <c r="F114" t="str">
        <f t="shared" si="23"/>
        <v>BR_VW_AMV_Inloco_DIS_DRCT_CPM_STD_LDR_AAF_RON_CXD_Amarok-Varejo-Marco-Corporativo-OLD-CAMPO-Amarok-AMC_PD_960x150</v>
      </c>
      <c r="G114" t="str">
        <f t="shared" si="24"/>
        <v>438411133</v>
      </c>
      <c r="H114" t="str">
        <f t="shared" si="25"/>
        <v>Tracking</v>
      </c>
      <c r="I114">
        <f t="shared" si="26"/>
        <v>338104</v>
      </c>
      <c r="J114">
        <f t="shared" si="27"/>
        <v>819</v>
      </c>
      <c r="K114" s="4">
        <f t="shared" si="30"/>
        <v>0.04</v>
      </c>
      <c r="L114">
        <f t="shared" si="31"/>
        <v>0.09</v>
      </c>
      <c r="M114" s="4">
        <f t="shared" si="28"/>
        <v>13.52416</v>
      </c>
      <c r="N114" s="4">
        <f t="shared" si="29"/>
        <v>30.429359999999999</v>
      </c>
    </row>
    <row r="115" spans="1:14">
      <c r="A115" t="str">
        <f t="shared" si="18"/>
        <v>BR_AAF_DSY_RUNOT_ND_NC_2019Q1MAR_AMV_VarejoAmarokMarco</v>
      </c>
      <c r="B115" t="str">
        <f t="shared" si="19"/>
        <v>In Loco Media</v>
      </c>
      <c r="C115" t="str">
        <f t="shared" si="20"/>
        <v>BR_VW_AMV_Inloco_DIS_DRCT_CPM_STD_LDR_AAF_RON_CXD_Amarok-Varejo-Marco-Corporativo-OLD-CIDADE-Amarok-AMC_PD_900x750</v>
      </c>
      <c r="D115" t="str">
        <f t="shared" si="21"/>
        <v>241429850</v>
      </c>
      <c r="E115" t="str">
        <f t="shared" si="22"/>
        <v>Standard</v>
      </c>
      <c r="F115" t="str">
        <f t="shared" si="23"/>
        <v>BR_VW_AMV_Inloco_DIS_DRCT_CPM_STD_LDR_AAF_RON_CXD_Amarok-Varejo-Marco-Corporativo-OLD-CIDADE-Amarok-AMC_PD_900x750</v>
      </c>
      <c r="G115" t="str">
        <f t="shared" si="24"/>
        <v>438411097</v>
      </c>
      <c r="H115" t="str">
        <f t="shared" si="25"/>
        <v>Tracking</v>
      </c>
      <c r="I115">
        <f t="shared" si="26"/>
        <v>231814</v>
      </c>
      <c r="J115">
        <f t="shared" si="27"/>
        <v>1282</v>
      </c>
      <c r="K115" s="4">
        <f t="shared" si="30"/>
        <v>0.04</v>
      </c>
      <c r="L115">
        <f t="shared" si="31"/>
        <v>0.09</v>
      </c>
      <c r="M115" s="4">
        <f t="shared" si="28"/>
        <v>9.2725600000000004</v>
      </c>
      <c r="N115" s="4">
        <f t="shared" si="29"/>
        <v>20.863259999999997</v>
      </c>
    </row>
    <row r="116" spans="1:14">
      <c r="A116" t="str">
        <f t="shared" si="18"/>
        <v>BR_AAF_DSY_RUNOT_ND_NC_2019Q1MAR_AMV_VarejoAmarokMarco</v>
      </c>
      <c r="B116" t="str">
        <f t="shared" si="19"/>
        <v>In Loco Media</v>
      </c>
      <c r="C116" t="str">
        <f t="shared" si="20"/>
        <v>BR_VW_AMV_Inloco_DIS_DRCT_CPM_STD_LDR_AAF_RON_CXD_Amarok-Varejo-Marco-Corporativo-OLD-CIDADE-Amarok-AMC_PD_960x1440</v>
      </c>
      <c r="D116" t="str">
        <f t="shared" si="21"/>
        <v>241429856</v>
      </c>
      <c r="E116" t="str">
        <f t="shared" si="22"/>
        <v>Standard</v>
      </c>
      <c r="F116" t="str">
        <f t="shared" si="23"/>
        <v>BR_VW_AMV_Inloco_DIS_DRCT_CPM_STD_LDR_AAF_RON_CXD_Amarok-Varejo-Marco-Corporativo-OLD-CIDADE-Amarok-AMC_PD_960x1440</v>
      </c>
      <c r="G116" t="str">
        <f t="shared" si="24"/>
        <v>438411103</v>
      </c>
      <c r="H116" t="str">
        <f t="shared" si="25"/>
        <v>Tracking</v>
      </c>
      <c r="I116">
        <f t="shared" si="26"/>
        <v>123246</v>
      </c>
      <c r="J116">
        <f t="shared" si="27"/>
        <v>3732</v>
      </c>
      <c r="K116" s="4">
        <f t="shared" si="30"/>
        <v>0.04</v>
      </c>
      <c r="L116">
        <f t="shared" si="31"/>
        <v>0.09</v>
      </c>
      <c r="M116" s="4">
        <f t="shared" si="28"/>
        <v>4.9298400000000004</v>
      </c>
      <c r="N116" s="4">
        <f t="shared" si="29"/>
        <v>11.092139999999999</v>
      </c>
    </row>
    <row r="117" spans="1:14">
      <c r="A117" t="str">
        <f t="shared" si="18"/>
        <v>BR_AAF_DSY_RUNOT_ND_NC_2019Q1MAR_AMV_VarejoAmarokMarco</v>
      </c>
      <c r="B117" t="str">
        <f t="shared" si="19"/>
        <v>In Loco Media</v>
      </c>
      <c r="C117" t="str">
        <f t="shared" si="20"/>
        <v>BR_VW_AMV_Inloco_DIS_DRCT_CPM_STD_LDR_AAF_RON_CXD_Amarok-Varejo-Marco-Corporativo-OLD-CIDADE-Amarok-AMC_PD_960x150</v>
      </c>
      <c r="D117" t="str">
        <f t="shared" si="21"/>
        <v>241429859</v>
      </c>
      <c r="E117" t="str">
        <f t="shared" si="22"/>
        <v>Standard</v>
      </c>
      <c r="F117" t="str">
        <f t="shared" si="23"/>
        <v>BR_VW_AMV_Inloco_DIS_DRCT_CPM_STD_LDR_AAF_RON_CXD_Amarok-Varejo-Marco-Corporativo-OLD-CIDADE-Amarok-AMC_PD_960x150</v>
      </c>
      <c r="G117" t="str">
        <f t="shared" si="24"/>
        <v>438411106</v>
      </c>
      <c r="H117" t="str">
        <f t="shared" si="25"/>
        <v>Tracking</v>
      </c>
      <c r="I117">
        <f t="shared" si="26"/>
        <v>337459</v>
      </c>
      <c r="J117">
        <f t="shared" si="27"/>
        <v>830</v>
      </c>
      <c r="K117" s="4">
        <f t="shared" si="30"/>
        <v>0.04</v>
      </c>
      <c r="L117">
        <f t="shared" si="31"/>
        <v>0.09</v>
      </c>
      <c r="M117" s="4">
        <f t="shared" si="28"/>
        <v>13.49836</v>
      </c>
      <c r="N117" s="4">
        <f t="shared" si="29"/>
        <v>30.371309999999998</v>
      </c>
    </row>
    <row r="118" spans="1:14">
      <c r="A118" t="str">
        <f t="shared" si="18"/>
        <v>BR_AAF_DSY_RUNOT_ND_NC_2019Q1MAR_AMV_VarejoAmarokMarco</v>
      </c>
      <c r="B118" t="str">
        <f t="shared" si="19"/>
        <v>In Loco Media</v>
      </c>
      <c r="C118" t="str">
        <f t="shared" si="20"/>
        <v>BR_VW_AMV_Inloco_DIS_DRCT_CPM_STD_LDR_AAF_RON_CXD_Amarok-Varejo-Marco-PRIVADO-Amarok-AMC_PD_900x750</v>
      </c>
      <c r="D118" t="str">
        <f t="shared" si="21"/>
        <v>243222939</v>
      </c>
      <c r="E118" t="str">
        <f t="shared" si="22"/>
        <v>Standard</v>
      </c>
      <c r="F118" t="str">
        <f t="shared" si="23"/>
        <v>BR_VW_AMV_Inloco_DIS_DRCT_CPM_STD_LDR_AAF_RON_CXD_Amarok-Varejo-Marco-PRIVADO-Amarok-AMC_PD_900x750</v>
      </c>
      <c r="G118" t="str">
        <f t="shared" si="24"/>
        <v>439719830</v>
      </c>
      <c r="H118" t="str">
        <f t="shared" si="25"/>
        <v>Tracking</v>
      </c>
      <c r="I118">
        <f t="shared" si="26"/>
        <v>95586</v>
      </c>
      <c r="J118">
        <f t="shared" si="27"/>
        <v>279</v>
      </c>
      <c r="K118" s="4">
        <f t="shared" si="30"/>
        <v>0.04</v>
      </c>
      <c r="L118">
        <f t="shared" si="31"/>
        <v>0.09</v>
      </c>
      <c r="M118" s="4">
        <f t="shared" si="28"/>
        <v>3.8234400000000002</v>
      </c>
      <c r="N118" s="4">
        <f t="shared" si="29"/>
        <v>8.6027399999999989</v>
      </c>
    </row>
    <row r="119" spans="1:14">
      <c r="A119" t="str">
        <f t="shared" si="18"/>
        <v>BR_AAF_DSY_RUNOT_ND_NC_2019Q1MAR_AMV_VarejoAmarokMarco</v>
      </c>
      <c r="B119" t="str">
        <f t="shared" si="19"/>
        <v>In Loco Media</v>
      </c>
      <c r="C119" t="str">
        <f t="shared" si="20"/>
        <v>BR_VW_AMV_Inloco_DIS_DRCT_CPM_STD_LDR_AAF_RON_CXD_Amarok-Varejo-Marco-PRIVADO-Amarok-AMC_PD_960x1440</v>
      </c>
      <c r="D119" t="str">
        <f t="shared" si="21"/>
        <v>243222945</v>
      </c>
      <c r="E119" t="str">
        <f t="shared" si="22"/>
        <v>Standard</v>
      </c>
      <c r="F119" t="str">
        <f t="shared" si="23"/>
        <v>BR_VW_AMV_Inloco_DIS_DRCT_CPM_STD_LDR_AAF_RON_CXD_Amarok-Varejo-Marco-PRIVADO-Amarok-AMC_PD_960x1440</v>
      </c>
      <c r="G119" t="str">
        <f t="shared" si="24"/>
        <v>439719836</v>
      </c>
      <c r="H119" t="str">
        <f t="shared" si="25"/>
        <v>Tracking</v>
      </c>
      <c r="I119">
        <f t="shared" si="26"/>
        <v>47508</v>
      </c>
      <c r="J119">
        <f t="shared" si="27"/>
        <v>578</v>
      </c>
      <c r="K119" s="4">
        <f t="shared" si="30"/>
        <v>0.04</v>
      </c>
      <c r="L119">
        <f t="shared" si="31"/>
        <v>0.09</v>
      </c>
      <c r="M119" s="4">
        <f t="shared" si="28"/>
        <v>1.90032</v>
      </c>
      <c r="N119" s="4">
        <f t="shared" si="29"/>
        <v>4.2757200000000006</v>
      </c>
    </row>
    <row r="120" spans="1:14">
      <c r="A120" t="str">
        <f t="shared" si="18"/>
        <v>BR_AAF_DSY_RUNOT_ND_NC_2019Q1MAR_AMV_VarejoAmarokMarco</v>
      </c>
      <c r="B120" t="str">
        <f t="shared" si="19"/>
        <v>In Loco Media</v>
      </c>
      <c r="C120" t="str">
        <f t="shared" si="20"/>
        <v>BR_VW_AMV_Inloco_DIS_DRCT_CPM_STD_LDR_AAF_RON_CXD_Amarok-Varejo-Marco-PRIVADO-Amarok-AMC_PD_960x150</v>
      </c>
      <c r="D120" t="str">
        <f t="shared" si="21"/>
        <v>243222948</v>
      </c>
      <c r="E120" t="str">
        <f t="shared" si="22"/>
        <v>Standard</v>
      </c>
      <c r="F120" t="str">
        <f t="shared" si="23"/>
        <v>BR_VW_AMV_Inloco_DIS_DRCT_CPM_STD_LDR_AAF_RON_CXD_Amarok-Varejo-Marco-PRIVADO-Amarok-AMC_PD_960x150</v>
      </c>
      <c r="G120" t="str">
        <f t="shared" si="24"/>
        <v>439719839</v>
      </c>
      <c r="H120" t="str">
        <f t="shared" si="25"/>
        <v>Tracking</v>
      </c>
      <c r="I120">
        <f t="shared" si="26"/>
        <v>109243</v>
      </c>
      <c r="J120">
        <f t="shared" si="27"/>
        <v>315</v>
      </c>
      <c r="K120" s="4">
        <f t="shared" si="30"/>
        <v>0.04</v>
      </c>
      <c r="L120">
        <f t="shared" si="31"/>
        <v>0.09</v>
      </c>
      <c r="M120" s="4">
        <f t="shared" si="28"/>
        <v>4.36972</v>
      </c>
      <c r="N120" s="4">
        <f t="shared" si="29"/>
        <v>9.8318699999999986</v>
      </c>
    </row>
    <row r="121" spans="1:14">
      <c r="A121" t="str">
        <f t="shared" si="18"/>
        <v>BR_AAF_DSY_RUNOT_ND_NC_2019Q1MAR_AMV_VarejoAmarokMarco</v>
      </c>
      <c r="B121" t="str">
        <f t="shared" si="19"/>
        <v>In Loco Media</v>
      </c>
      <c r="C121" t="str">
        <f t="shared" si="20"/>
        <v>BR_VW_AMV_Inloco_DIS_DRCT_CPM_STD_MPU_AAF_RON_CXD_Amarok-Varejo-Marco-Corporativo-CIDADE-NOVO-Amarok-AMC_PD_432x432</v>
      </c>
      <c r="D121" t="str">
        <f t="shared" si="21"/>
        <v>243163439</v>
      </c>
      <c r="E121" t="str">
        <f t="shared" si="22"/>
        <v>Dynamic Click</v>
      </c>
      <c r="F121" t="str">
        <f t="shared" si="23"/>
        <v>BR_VW_AMV_Inloco_DIS_DRCT_CPM_STD_MPU_AAF_RON_CXD_Amarok-Varejo-Marco-Corporativo-CIDADE-NOVO-Amarok-AMC_PD_432x432</v>
      </c>
      <c r="G121" t="str">
        <f t="shared" si="24"/>
        <v>439883175</v>
      </c>
      <c r="H121" t="str">
        <f t="shared" si="25"/>
        <v>Tracking</v>
      </c>
      <c r="I121">
        <f t="shared" si="26"/>
        <v>0</v>
      </c>
      <c r="J121">
        <f t="shared" si="27"/>
        <v>1</v>
      </c>
      <c r="K121" s="4">
        <f t="shared" si="30"/>
        <v>3.5000000000000001E-3</v>
      </c>
      <c r="L121">
        <f t="shared" si="31"/>
        <v>0.02</v>
      </c>
      <c r="M121" s="4">
        <f t="shared" si="28"/>
        <v>3.5000000000000001E-3</v>
      </c>
      <c r="N121" s="4">
        <f t="shared" si="29"/>
        <v>0.02</v>
      </c>
    </row>
    <row r="122" spans="1:14">
      <c r="A122" t="str">
        <f t="shared" si="18"/>
        <v>BR_AAF_DSY_RUNOT_ND_NC_2019Q1MAR_AMV_VarejoAmarokMarco</v>
      </c>
      <c r="B122" t="str">
        <f t="shared" si="19"/>
        <v>In Loco Media</v>
      </c>
      <c r="C122" t="str">
        <f t="shared" si="20"/>
        <v>BR_VW_AMV_Inloco_DIS_DRCT_CPM_STD_MPU_AAF_RON_CXD_Amarok-Varejo-Marco-PRIVADO-Amarok-AMC_PD_432x432</v>
      </c>
      <c r="D122" t="str">
        <f t="shared" si="21"/>
        <v>242943396</v>
      </c>
      <c r="E122" t="str">
        <f t="shared" si="22"/>
        <v>Dynamic Click</v>
      </c>
      <c r="F122" t="str">
        <f t="shared" si="23"/>
        <v>BR_VW_AMV_Inloco_DIS_DRCT_CPM_STD_MPU_AAF_RON_CXD_Amarok-Varejo-Marco-PRIVADO-Amarok-AMC_PD_432x432</v>
      </c>
      <c r="G122" t="str">
        <f t="shared" si="24"/>
        <v>439339587</v>
      </c>
      <c r="H122" t="str">
        <f t="shared" si="25"/>
        <v>Tracking</v>
      </c>
      <c r="I122">
        <f t="shared" si="26"/>
        <v>0</v>
      </c>
      <c r="J122">
        <f t="shared" si="27"/>
        <v>1</v>
      </c>
      <c r="K122" s="4">
        <f t="shared" si="30"/>
        <v>3.5000000000000001E-3</v>
      </c>
      <c r="L122">
        <f t="shared" si="31"/>
        <v>0.02</v>
      </c>
      <c r="M122" s="4">
        <f t="shared" si="28"/>
        <v>3.5000000000000001E-3</v>
      </c>
      <c r="N122" s="4">
        <f t="shared" si="29"/>
        <v>0.02</v>
      </c>
    </row>
    <row r="123" spans="1:14">
      <c r="A123" t="str">
        <f t="shared" si="18"/>
        <v>BR_AAF_DSY_RUNOT_ND_NC_2019Q1MAR_AMV_VarejoAmarokMarco</v>
      </c>
      <c r="B123" t="str">
        <f t="shared" si="19"/>
        <v>In Loco Media</v>
      </c>
      <c r="C123" t="str">
        <f t="shared" si="20"/>
        <v>BR_VW_AMV_Inloco_DIS_DRCT_CPM_STD_SRB_AAF_RON_CXD_Amarok-Varejo-Marco-Corporativo-CAMPO-NOVO-Amarok-AMC_PD_1200x627</v>
      </c>
      <c r="D123" t="str">
        <f t="shared" si="21"/>
        <v>243286704</v>
      </c>
      <c r="E123" t="str">
        <f t="shared" si="22"/>
        <v>Dynamic Click</v>
      </c>
      <c r="F123" t="str">
        <f t="shared" si="23"/>
        <v>BR_VW_AMV_Inloco_DIS_DRCT_CPM_STD_SRB_AAF_RON_CXD_Amarok-Varejo-Marco-Corporativo-CAMPO-NOVO-Amarok-AMC_PD_1200x627</v>
      </c>
      <c r="G123" t="str">
        <f t="shared" si="24"/>
        <v>439764788</v>
      </c>
      <c r="H123" t="str">
        <f t="shared" si="25"/>
        <v>Tracking</v>
      </c>
      <c r="I123">
        <f t="shared" si="26"/>
        <v>0</v>
      </c>
      <c r="J123">
        <f t="shared" si="27"/>
        <v>310</v>
      </c>
      <c r="K123" s="4">
        <f t="shared" si="30"/>
        <v>3.5000000000000001E-3</v>
      </c>
      <c r="L123">
        <f t="shared" si="31"/>
        <v>0.02</v>
      </c>
      <c r="M123" s="4">
        <f t="shared" si="28"/>
        <v>1.085</v>
      </c>
      <c r="N123" s="4">
        <f t="shared" si="29"/>
        <v>6.2</v>
      </c>
    </row>
    <row r="124" spans="1:14">
      <c r="A124" t="str">
        <f t="shared" si="18"/>
        <v>BR_AAF_DSY_RUNOT_ND_NC_2019Q1MAR_AMV_VarejoAmarokMarco</v>
      </c>
      <c r="B124" t="str">
        <f t="shared" si="19"/>
        <v>In Loco Media</v>
      </c>
      <c r="C124" t="str">
        <f t="shared" si="20"/>
        <v>BR_VW_AMV_Inloco_DIS_DRCT_CPM_STD_SRB_AAF_RON_CXD_Amarok-Varejo-Marco-Corporativo-CAMPO-NOVO-Amarok-AMC_PD_1440x960</v>
      </c>
      <c r="D124" t="str">
        <f t="shared" si="21"/>
        <v>243286689</v>
      </c>
      <c r="E124" t="str">
        <f t="shared" si="22"/>
        <v>Standard</v>
      </c>
      <c r="F124" t="str">
        <f t="shared" si="23"/>
        <v>BR_VW_AMV_Inloco_DIS_DRCT_CPM_STD_SRB_AAF_RON_CXD_Amarok-Varejo-Marco-Corporativo-CAMPO-NOVO-Amarok-AMC_PD_1440x960</v>
      </c>
      <c r="G124" t="str">
        <f t="shared" si="24"/>
        <v>439764773</v>
      </c>
      <c r="H124" t="str">
        <f t="shared" si="25"/>
        <v>Tracking</v>
      </c>
      <c r="I124">
        <f t="shared" si="26"/>
        <v>3255</v>
      </c>
      <c r="J124">
        <f t="shared" si="27"/>
        <v>13</v>
      </c>
      <c r="K124" s="4">
        <f t="shared" si="30"/>
        <v>0.04</v>
      </c>
      <c r="L124">
        <f t="shared" si="31"/>
        <v>0.09</v>
      </c>
      <c r="M124" s="4">
        <f t="shared" si="28"/>
        <v>0.13019999999999998</v>
      </c>
      <c r="N124" s="4">
        <f t="shared" si="29"/>
        <v>0.29294999999999999</v>
      </c>
    </row>
    <row r="125" spans="1:14">
      <c r="A125" t="str">
        <f t="shared" si="18"/>
        <v>BR_AAF_DSY_RUNOT_ND_NC_2019Q1MAR_AMV_VarejoAmarokMarco</v>
      </c>
      <c r="B125" t="str">
        <f t="shared" si="19"/>
        <v>In Loco Media</v>
      </c>
      <c r="C125" t="str">
        <f t="shared" si="20"/>
        <v>BR_VW_AMV_Inloco_DIS_DRCT_CPM_STD_SRB_AAF_RON_CXD_Amarok-Varejo-Marco-Corporativo-CIDADE-NOVO-Amarok-AMC_PD_1200x627</v>
      </c>
      <c r="D125" t="str">
        <f t="shared" si="21"/>
        <v>243163460</v>
      </c>
      <c r="E125" t="str">
        <f t="shared" si="22"/>
        <v>Dynamic Click</v>
      </c>
      <c r="F125" t="str">
        <f t="shared" si="23"/>
        <v>BR_VW_AMV_Inloco_DIS_DRCT_CPM_STD_SRB_AAF_RON_CXD_Amarok-Varejo-Marco-Corporativo-CIDADE-NOVO-Amarok-AMC_PD_1200x627</v>
      </c>
      <c r="G125" t="str">
        <f t="shared" si="24"/>
        <v>439883199</v>
      </c>
      <c r="H125" t="str">
        <f t="shared" si="25"/>
        <v>Tracking</v>
      </c>
      <c r="I125">
        <f t="shared" si="26"/>
        <v>0</v>
      </c>
      <c r="J125">
        <f t="shared" si="27"/>
        <v>264</v>
      </c>
      <c r="K125" s="4">
        <f t="shared" si="30"/>
        <v>3.5000000000000001E-3</v>
      </c>
      <c r="L125">
        <f t="shared" si="31"/>
        <v>0.02</v>
      </c>
      <c r="M125" s="4">
        <f t="shared" si="28"/>
        <v>0.92400000000000004</v>
      </c>
      <c r="N125" s="4">
        <f t="shared" si="29"/>
        <v>5.28</v>
      </c>
    </row>
    <row r="126" spans="1:14">
      <c r="A126" t="str">
        <f t="shared" si="18"/>
        <v>BR_AAF_DSY_RUNOT_ND_NC_2019Q1MAR_AMV_VarejoAmarokMarco</v>
      </c>
      <c r="B126" t="str">
        <f t="shared" si="19"/>
        <v>In Loco Media</v>
      </c>
      <c r="C126" t="str">
        <f t="shared" si="20"/>
        <v>BR_VW_AMV_Inloco_DIS_DRCT_CPM_STD_SRB_AAF_RON_CXD_Amarok-Varejo-Marco-Corporativo-CIDADE-NOVO-Amarok-AMC_PD_1440x960</v>
      </c>
      <c r="D126" t="str">
        <f t="shared" si="21"/>
        <v>243163445</v>
      </c>
      <c r="E126" t="str">
        <f t="shared" si="22"/>
        <v>Standard</v>
      </c>
      <c r="F126" t="str">
        <f t="shared" si="23"/>
        <v>BR_VW_AMV_Inloco_DIS_DRCT_CPM_STD_SRB_AAF_RON_CXD_Amarok-Varejo-Marco-Corporativo-CIDADE-NOVO-Amarok-AMC_PD_1440x960</v>
      </c>
      <c r="G126" t="str">
        <f t="shared" si="24"/>
        <v>439883181</v>
      </c>
      <c r="H126" t="str">
        <f t="shared" si="25"/>
        <v>Tracking</v>
      </c>
      <c r="I126">
        <f t="shared" si="26"/>
        <v>3356</v>
      </c>
      <c r="J126">
        <f t="shared" si="27"/>
        <v>18</v>
      </c>
      <c r="K126" s="4">
        <f t="shared" si="30"/>
        <v>0.04</v>
      </c>
      <c r="L126">
        <f t="shared" si="31"/>
        <v>0.09</v>
      </c>
      <c r="M126" s="4">
        <f t="shared" si="28"/>
        <v>0.13424</v>
      </c>
      <c r="N126" s="4">
        <f t="shared" si="29"/>
        <v>0.30203999999999998</v>
      </c>
    </row>
    <row r="127" spans="1:14">
      <c r="A127" t="str">
        <f t="shared" si="18"/>
        <v>BR_AAF_DSY_RUNOT_ND_NC_2019Q1MAR_AMV_VarejoAmarokMarco</v>
      </c>
      <c r="B127" t="str">
        <f t="shared" si="19"/>
        <v>In Loco Media</v>
      </c>
      <c r="C127" t="str">
        <f t="shared" si="20"/>
        <v>BR_VW_AMV_Inloco_DIS_DRCT_CPM_STD_SRB_AAF_RON_CXD_Amarok-Varejo-Marco-Corporativo-OLD-CAMPO-Amarok-AMC_PD_1200x627</v>
      </c>
      <c r="D127" t="str">
        <f t="shared" si="21"/>
        <v>241429871</v>
      </c>
      <c r="E127" t="str">
        <f t="shared" si="22"/>
        <v>Dynamic Click</v>
      </c>
      <c r="F127" t="str">
        <f t="shared" si="23"/>
        <v>BR_VW_AMV_Inloco_DIS_DRCT_CPM_STD_SRB_AAF_RON_CXD_Amarok-Varejo-Marco-Corporativo-OLD-CAMPO-Amarok-AMC_PD_1200x627</v>
      </c>
      <c r="G127" t="str">
        <f t="shared" si="24"/>
        <v>438411118</v>
      </c>
      <c r="H127" t="str">
        <f t="shared" si="25"/>
        <v>Tracking</v>
      </c>
      <c r="I127">
        <f t="shared" si="26"/>
        <v>0</v>
      </c>
      <c r="J127">
        <f t="shared" si="27"/>
        <v>2467</v>
      </c>
      <c r="K127" s="4">
        <f t="shared" si="30"/>
        <v>3.5000000000000001E-3</v>
      </c>
      <c r="L127">
        <f t="shared" si="31"/>
        <v>0.02</v>
      </c>
      <c r="M127" s="4">
        <f t="shared" si="28"/>
        <v>8.634500000000001</v>
      </c>
      <c r="N127" s="4">
        <f t="shared" si="29"/>
        <v>49.34</v>
      </c>
    </row>
    <row r="128" spans="1:14">
      <c r="A128" t="str">
        <f t="shared" si="18"/>
        <v>BR_AAF_DSY_RUNOT_ND_NC_2019Q1MAR_AMV_VarejoAmarokMarco</v>
      </c>
      <c r="B128" t="str">
        <f t="shared" si="19"/>
        <v>In Loco Media</v>
      </c>
      <c r="C128" t="str">
        <f t="shared" si="20"/>
        <v>BR_VW_AMV_Inloco_DIS_DRCT_CPM_STD_SRB_AAF_RON_CXD_Amarok-Varejo-Marco-Corporativo-OLD-CAMPO-Amarok-AMC_PD_1440x960</v>
      </c>
      <c r="D128" t="str">
        <f t="shared" si="21"/>
        <v>241429880</v>
      </c>
      <c r="E128" t="str">
        <f t="shared" si="22"/>
        <v>Standard</v>
      </c>
      <c r="F128" t="str">
        <f t="shared" si="23"/>
        <v>BR_VW_AMV_Inloco_DIS_DRCT_CPM_STD_SRB_AAF_RON_CXD_Amarok-Varejo-Marco-Corporativo-OLD-CAMPO-Amarok-AMC_PD_1440x960</v>
      </c>
      <c r="G128" t="str">
        <f t="shared" si="24"/>
        <v>438411127</v>
      </c>
      <c r="H128" t="str">
        <f t="shared" si="25"/>
        <v>Tracking</v>
      </c>
      <c r="I128">
        <f t="shared" si="26"/>
        <v>29502</v>
      </c>
      <c r="J128">
        <f t="shared" si="27"/>
        <v>1246</v>
      </c>
      <c r="K128" s="4">
        <f t="shared" si="30"/>
        <v>0.04</v>
      </c>
      <c r="L128">
        <f t="shared" si="31"/>
        <v>0.09</v>
      </c>
      <c r="M128" s="4">
        <f t="shared" si="28"/>
        <v>1.18008</v>
      </c>
      <c r="N128" s="4">
        <f t="shared" si="29"/>
        <v>2.6551799999999997</v>
      </c>
    </row>
    <row r="129" spans="1:14">
      <c r="A129" t="str">
        <f t="shared" si="18"/>
        <v>BR_AAF_DSY_RUNOT_ND_NC_2019Q1MAR_AMV_VarejoAmarokMarco</v>
      </c>
      <c r="B129" t="str">
        <f t="shared" si="19"/>
        <v>In Loco Media</v>
      </c>
      <c r="C129" t="str">
        <f t="shared" si="20"/>
        <v>BR_VW_AMV_Inloco_DIS_DRCT_CPM_STD_SRB_AAF_RON_CXD_Amarok-Varejo-Marco-Corporativo-OLD-CIDADE-Amarok-AMC_PD_1200x627</v>
      </c>
      <c r="D129" t="str">
        <f t="shared" si="21"/>
        <v>241429892</v>
      </c>
      <c r="E129" t="str">
        <f t="shared" si="22"/>
        <v>Dynamic Click</v>
      </c>
      <c r="F129" t="str">
        <f t="shared" si="23"/>
        <v>BR_VW_AMV_Inloco_DIS_DRCT_CPM_STD_SRB_AAF_RON_CXD_Amarok-Varejo-Marco-Corporativo-OLD-CIDADE-Amarok-AMC_PD_1200x627</v>
      </c>
      <c r="G129" t="str">
        <f t="shared" si="24"/>
        <v>438411139</v>
      </c>
      <c r="H129" t="str">
        <f t="shared" si="25"/>
        <v>Tracking</v>
      </c>
      <c r="I129">
        <f t="shared" si="26"/>
        <v>0</v>
      </c>
      <c r="J129">
        <f t="shared" si="27"/>
        <v>2594</v>
      </c>
      <c r="K129" s="4">
        <f t="shared" si="30"/>
        <v>3.5000000000000001E-3</v>
      </c>
      <c r="L129">
        <f t="shared" si="31"/>
        <v>0.02</v>
      </c>
      <c r="M129" s="4">
        <f t="shared" si="28"/>
        <v>9.0790000000000006</v>
      </c>
      <c r="N129" s="4">
        <f t="shared" si="29"/>
        <v>51.88</v>
      </c>
    </row>
    <row r="130" spans="1:14">
      <c r="A130" t="str">
        <f t="shared" ref="A130:A193" si="32">bd_campaign</f>
        <v>BR_AAF_DSY_RUNOT_ND_NC_2019Q1MAR_AMV_VarejoAmarokMarco</v>
      </c>
      <c r="B130" t="str">
        <f t="shared" ref="B130:B193" si="33">bd_site</f>
        <v>In Loco Media</v>
      </c>
      <c r="C130" t="str">
        <f t="shared" ref="C130:C193" si="34">bd_placement</f>
        <v>BR_VW_AMV_Inloco_DIS_DRCT_CPM_STD_SRB_AAF_RON_CXD_Amarok-Varejo-Marco-Corporativo-OLD-CIDADE-Amarok-AMC_PD_1440x960</v>
      </c>
      <c r="D130" t="str">
        <f t="shared" ref="D130:D193" si="35">bd_placementID</f>
        <v>241429853</v>
      </c>
      <c r="E130" t="str">
        <f t="shared" ref="E130:E193" si="36">VLOOKUP(CONCATENATE(bd_adtype,"_",bd_creativetype),tabela,2,FALSE)</f>
        <v>Standard</v>
      </c>
      <c r="F130" t="str">
        <f t="shared" ref="F130:F193" si="37">bd_ad</f>
        <v>BR_VW_AMV_Inloco_DIS_DRCT_CPM_STD_SRB_AAF_RON_CXD_Amarok-Varejo-Marco-Corporativo-OLD-CIDADE-Amarok-AMC_PD_1440x960</v>
      </c>
      <c r="G130" t="str">
        <f t="shared" ref="G130:G193" si="38">bd_adid</f>
        <v>438411100</v>
      </c>
      <c r="H130" t="str">
        <f t="shared" ref="H130:H193" si="39">bd_creativetype</f>
        <v>Tracking</v>
      </c>
      <c r="I130">
        <f t="shared" ref="I130:I193" si="40">bd_impression</f>
        <v>29447</v>
      </c>
      <c r="J130">
        <f t="shared" ref="J130:J193" si="41">bd_clicks</f>
        <v>1238</v>
      </c>
      <c r="K130" s="4">
        <f t="shared" si="30"/>
        <v>0.04</v>
      </c>
      <c r="L130">
        <f t="shared" si="31"/>
        <v>0.09</v>
      </c>
      <c r="M130" s="4">
        <f t="shared" si="28"/>
        <v>1.17788</v>
      </c>
      <c r="N130" s="4">
        <f t="shared" si="29"/>
        <v>2.6502300000000001</v>
      </c>
    </row>
    <row r="131" spans="1:14">
      <c r="A131" t="str">
        <f t="shared" si="32"/>
        <v>BR_AAF_DSY_RUNOT_ND_NC_2019Q1MAR_AMV_VarejoAmarokMarco</v>
      </c>
      <c r="B131" t="str">
        <f t="shared" si="33"/>
        <v>In Loco Media</v>
      </c>
      <c r="C131" t="str">
        <f t="shared" si="34"/>
        <v>BR_VW_AMV_Inloco_DIS_DRCT_CPM_STD_SRB_AAF_RON_CXD_Amarok-Varejo-Marco-PRIVADO-Amarok-AMC_PD_1200x627</v>
      </c>
      <c r="D131" t="str">
        <f t="shared" si="35"/>
        <v>243222936</v>
      </c>
      <c r="E131" t="str">
        <f t="shared" si="36"/>
        <v>Dynamic Click</v>
      </c>
      <c r="F131" t="str">
        <f t="shared" si="37"/>
        <v>BR_VW_AMV_Inloco_DIS_DRCT_CPM_STD_SRB_AAF_RON_CXD_Amarok-Varejo-Marco-PRIVADO-Amarok-AMC_PD_1200x627</v>
      </c>
      <c r="G131" t="str">
        <f t="shared" si="38"/>
        <v>439719827</v>
      </c>
      <c r="H131" t="str">
        <f t="shared" si="39"/>
        <v>Tracking</v>
      </c>
      <c r="I131">
        <f t="shared" si="40"/>
        <v>0</v>
      </c>
      <c r="J131">
        <f t="shared" si="41"/>
        <v>1111</v>
      </c>
      <c r="K131" s="4">
        <f t="shared" si="30"/>
        <v>3.5000000000000001E-3</v>
      </c>
      <c r="L131">
        <f t="shared" si="31"/>
        <v>0.02</v>
      </c>
      <c r="M131" s="4">
        <f t="shared" si="28"/>
        <v>3.8885000000000001</v>
      </c>
      <c r="N131" s="4">
        <f t="shared" si="29"/>
        <v>22.22</v>
      </c>
    </row>
    <row r="132" spans="1:14">
      <c r="A132" t="str">
        <f t="shared" si="32"/>
        <v>BR_AAF_DSY_RUNOT_ND_NC_2019Q1MAR_AMV_VarejoAmarokMarco</v>
      </c>
      <c r="B132" t="str">
        <f t="shared" si="33"/>
        <v>In Loco Media</v>
      </c>
      <c r="C132" t="str">
        <f t="shared" si="34"/>
        <v>BR_VW_AMV_Inloco_DIS_DRCT_CPM_STD_SRB_AAF_RON_CXD_Amarok-Varejo-Marco-PRIVADO-Amarok-AMC_PD_1440x960</v>
      </c>
      <c r="D132" t="str">
        <f t="shared" si="35"/>
        <v>243222942</v>
      </c>
      <c r="E132" t="str">
        <f t="shared" si="36"/>
        <v>Standard</v>
      </c>
      <c r="F132" t="str">
        <f t="shared" si="37"/>
        <v>BR_VW_AMV_Inloco_DIS_DRCT_CPM_STD_SRB_AAF_RON_CXD_Amarok-Varejo-Marco-PRIVADO-Amarok-AMC_PD_1440x960</v>
      </c>
      <c r="G132" t="str">
        <f t="shared" si="38"/>
        <v>439719833</v>
      </c>
      <c r="H132" t="str">
        <f t="shared" si="39"/>
        <v>Tracking</v>
      </c>
      <c r="I132">
        <f t="shared" si="40"/>
        <v>7462</v>
      </c>
      <c r="J132">
        <f t="shared" si="41"/>
        <v>109</v>
      </c>
      <c r="K132" s="4">
        <f t="shared" si="30"/>
        <v>0.04</v>
      </c>
      <c r="L132">
        <f t="shared" si="31"/>
        <v>0.09</v>
      </c>
      <c r="M132" s="4">
        <f t="shared" si="28"/>
        <v>0.29848000000000002</v>
      </c>
      <c r="N132" s="4">
        <f t="shared" si="29"/>
        <v>0.67157999999999995</v>
      </c>
    </row>
    <row r="133" spans="1:14">
      <c r="A133" t="str">
        <f t="shared" si="32"/>
        <v>BR_AAF_DSY_RUNOT_ND_NC_2019Q1MAR_AMV_VarejoAmarokMarco</v>
      </c>
      <c r="B133" t="str">
        <f t="shared" si="33"/>
        <v>Oath BR</v>
      </c>
      <c r="C133" t="str">
        <f t="shared" si="34"/>
        <v>BR_VW_AMV_DSP_DIS_PROG_CPM_STD_LDR_AAF_RON_CXD_Amarok-Varejo-Marco-Corporativo-CAMPO-NOVO-Amarok-AMC_PD_728x90</v>
      </c>
      <c r="D133" t="str">
        <f t="shared" si="35"/>
        <v>243292134</v>
      </c>
      <c r="E133" t="str">
        <f t="shared" si="36"/>
        <v>Standard</v>
      </c>
      <c r="F133" t="str">
        <f t="shared" si="37"/>
        <v>BR_VW_AMV_DSP_DIS_PROG_CPM_STD_LDR_AAF_RON_CXD_Amarok-Varejo-Marco-Corporativo-CAMPO-NOVO-Amarok-AMC_PD_728x90</v>
      </c>
      <c r="G133" t="str">
        <f t="shared" si="38"/>
        <v>439675812</v>
      </c>
      <c r="H133" t="str">
        <f t="shared" si="39"/>
        <v>Display</v>
      </c>
      <c r="I133">
        <f t="shared" si="40"/>
        <v>4027</v>
      </c>
      <c r="J133">
        <f t="shared" si="41"/>
        <v>43</v>
      </c>
      <c r="K133" s="4">
        <f t="shared" si="30"/>
        <v>0.04</v>
      </c>
      <c r="L133">
        <f t="shared" si="31"/>
        <v>0.09</v>
      </c>
      <c r="M133" s="4">
        <f t="shared" si="28"/>
        <v>0.16108</v>
      </c>
      <c r="N133" s="4">
        <f t="shared" si="29"/>
        <v>0.36243000000000003</v>
      </c>
    </row>
    <row r="134" spans="1:14">
      <c r="A134" t="str">
        <f t="shared" si="32"/>
        <v>BR_AAF_DSY_RUNOT_ND_NC_2019Q1MAR_AMV_VarejoAmarokMarco</v>
      </c>
      <c r="B134" t="str">
        <f t="shared" si="33"/>
        <v>Oath BR</v>
      </c>
      <c r="C134" t="str">
        <f t="shared" si="34"/>
        <v>BR_VW_AMV_DSP_DIS_PROG_CPM_STD_LDR_AAF_RON_CXD_Amarok-Varejo-Marco-Corporativo-CAMPO-NOVO-Amarok-AMC_PD_970x250</v>
      </c>
      <c r="D134" t="str">
        <f t="shared" si="35"/>
        <v>243292131</v>
      </c>
      <c r="E134" t="str">
        <f t="shared" si="36"/>
        <v>Standard</v>
      </c>
      <c r="F134" t="str">
        <f t="shared" si="37"/>
        <v>BR_VW_AMV_DSP_DIS_PROG_CPM_STD_LDR_AAF_RON_CXD_Amarok-Varejo-Marco-Corporativo-CAMPO-NOVO-Amarok-AMC_PD_970x250</v>
      </c>
      <c r="G134" t="str">
        <f t="shared" si="38"/>
        <v>439675809</v>
      </c>
      <c r="H134" t="str">
        <f t="shared" si="39"/>
        <v>Display</v>
      </c>
      <c r="I134">
        <f t="shared" si="40"/>
        <v>1049</v>
      </c>
      <c r="J134">
        <f t="shared" si="41"/>
        <v>14</v>
      </c>
      <c r="K134" s="4">
        <f t="shared" si="30"/>
        <v>0.04</v>
      </c>
      <c r="L134">
        <f t="shared" si="31"/>
        <v>0.09</v>
      </c>
      <c r="M134" s="4">
        <f t="shared" si="28"/>
        <v>4.1960000000000004E-2</v>
      </c>
      <c r="N134" s="4">
        <f t="shared" si="29"/>
        <v>9.4409999999999994E-2</v>
      </c>
    </row>
    <row r="135" spans="1:14">
      <c r="A135" t="str">
        <f t="shared" si="32"/>
        <v>BR_AAF_DSY_RUNOT_ND_NC_2019Q1MAR_AMV_VarejoAmarokMarco</v>
      </c>
      <c r="B135" t="str">
        <f t="shared" si="33"/>
        <v>Oath BR</v>
      </c>
      <c r="C135" t="str">
        <f t="shared" si="34"/>
        <v>BR_VW_AMV_DSP_DIS_PROG_CPM_STD_LDR_AAF_RON_CXD_Amarok-Varejo-Marco-Corporativo-CIDADE-NOVO-Amarok-AMC_PD_728x90</v>
      </c>
      <c r="D135" t="str">
        <f t="shared" si="35"/>
        <v>243490221</v>
      </c>
      <c r="E135" t="str">
        <f t="shared" si="36"/>
        <v>Standard</v>
      </c>
      <c r="F135" t="str">
        <f t="shared" si="37"/>
        <v>BR_VW_AMV_DSP_DIS_PROG_CPM_STD_LDR_AAF_RON_CXD_Amarok-Varejo-Marco-Corporativo-CIDADE-NOVO-Amarok-AMC_PD_728x90</v>
      </c>
      <c r="G135" t="str">
        <f t="shared" si="38"/>
        <v>439973087</v>
      </c>
      <c r="H135" t="str">
        <f t="shared" si="39"/>
        <v>Display</v>
      </c>
      <c r="I135">
        <f t="shared" si="40"/>
        <v>4050</v>
      </c>
      <c r="J135">
        <f t="shared" si="41"/>
        <v>38</v>
      </c>
      <c r="K135" s="4">
        <f t="shared" si="30"/>
        <v>0.04</v>
      </c>
      <c r="L135">
        <f t="shared" si="31"/>
        <v>0.09</v>
      </c>
      <c r="M135" s="4">
        <f t="shared" si="28"/>
        <v>0.16200000000000001</v>
      </c>
      <c r="N135" s="4">
        <f t="shared" si="29"/>
        <v>0.36449999999999999</v>
      </c>
    </row>
    <row r="136" spans="1:14">
      <c r="A136" t="str">
        <f t="shared" si="32"/>
        <v>BR_AAF_DSY_RUNOT_ND_NC_2019Q1MAR_AMV_VarejoAmarokMarco</v>
      </c>
      <c r="B136" t="str">
        <f t="shared" si="33"/>
        <v>Oath BR</v>
      </c>
      <c r="C136" t="str">
        <f t="shared" si="34"/>
        <v>BR_VW_AMV_DSP_DIS_PROG_CPM_STD_LDR_AAF_RON_CXD_Amarok-Varejo-Marco-Corporativo-CIDADE-NOVO-Amarok-AMC_PD_970x250</v>
      </c>
      <c r="D136" t="str">
        <f t="shared" si="35"/>
        <v>243490218</v>
      </c>
      <c r="E136" t="str">
        <f t="shared" si="36"/>
        <v>Standard</v>
      </c>
      <c r="F136" t="str">
        <f t="shared" si="37"/>
        <v>BR_VW_AMV_DSP_DIS_PROG_CPM_STD_LDR_AAF_RON_CXD_Amarok-Varejo-Marco-Corporativo-CIDADE-NOVO-Amarok-AMC_PD_970x250</v>
      </c>
      <c r="G136" t="str">
        <f t="shared" si="38"/>
        <v>439973084</v>
      </c>
      <c r="H136" t="str">
        <f t="shared" si="39"/>
        <v>Display</v>
      </c>
      <c r="I136">
        <f t="shared" si="40"/>
        <v>1064</v>
      </c>
      <c r="J136">
        <f t="shared" si="41"/>
        <v>11</v>
      </c>
      <c r="K136" s="4">
        <f t="shared" si="30"/>
        <v>0.04</v>
      </c>
      <c r="L136">
        <f t="shared" si="31"/>
        <v>0.09</v>
      </c>
      <c r="M136" s="4">
        <f t="shared" si="28"/>
        <v>4.2560000000000001E-2</v>
      </c>
      <c r="N136" s="4">
        <f t="shared" si="29"/>
        <v>9.5759999999999984E-2</v>
      </c>
    </row>
    <row r="137" spans="1:14">
      <c r="A137" t="str">
        <f t="shared" si="32"/>
        <v>BR_AAF_DSY_RUNOT_ND_NC_2019Q1MAR_AMV_VarejoAmarokMarco</v>
      </c>
      <c r="B137" t="str">
        <f t="shared" si="33"/>
        <v>Oath BR</v>
      </c>
      <c r="C137" t="str">
        <f t="shared" si="34"/>
        <v>BR_VW_AMV_DSP_DIS_PROG_CPM_STD_LDR_AAF_RON_CXD_Amarok-Varejo-Marco-Corporativo-OLD-CAMPO-Amarok-AMC_PD_728x90</v>
      </c>
      <c r="D137" t="str">
        <f t="shared" si="35"/>
        <v>241922121</v>
      </c>
      <c r="E137" t="str">
        <f t="shared" si="36"/>
        <v>Standard</v>
      </c>
      <c r="F137" t="str">
        <f t="shared" si="37"/>
        <v>BR_VW_AMV_DSP_DIS_PROG_CPM_STD_LDR_AAF_RON_CXD_Amarok-Varejo-Marco-Corporativo-OLD-CAMPO-Amarok-AMC_PD_728x90</v>
      </c>
      <c r="G137" t="str">
        <f t="shared" si="38"/>
        <v>438500442</v>
      </c>
      <c r="H137" t="str">
        <f t="shared" si="39"/>
        <v>Display</v>
      </c>
      <c r="I137">
        <f t="shared" si="40"/>
        <v>77743</v>
      </c>
      <c r="J137">
        <f t="shared" si="41"/>
        <v>92</v>
      </c>
      <c r="K137" s="4">
        <f t="shared" si="30"/>
        <v>0.04</v>
      </c>
      <c r="L137">
        <f t="shared" si="31"/>
        <v>0.09</v>
      </c>
      <c r="M137" s="4">
        <f t="shared" si="28"/>
        <v>3.1097200000000003</v>
      </c>
      <c r="N137" s="4">
        <f t="shared" si="29"/>
        <v>6.9968699999999995</v>
      </c>
    </row>
    <row r="138" spans="1:14">
      <c r="A138" t="str">
        <f t="shared" si="32"/>
        <v>BR_AAF_DSY_RUNOT_ND_NC_2019Q1MAR_AMV_VarejoAmarokMarco</v>
      </c>
      <c r="B138" t="str">
        <f t="shared" si="33"/>
        <v>Oath BR</v>
      </c>
      <c r="C138" t="str">
        <f t="shared" si="34"/>
        <v>BR_VW_AMV_DSP_DIS_PROG_CPM_STD_LDR_AAF_RON_CXD_Amarok-Varejo-Marco-Corporativo-OLD-CAMPO-Amarok-AMC_PD_970x250</v>
      </c>
      <c r="D138" t="str">
        <f t="shared" si="35"/>
        <v>241922118</v>
      </c>
      <c r="E138" t="str">
        <f t="shared" si="36"/>
        <v>Standard</v>
      </c>
      <c r="F138" t="str">
        <f t="shared" si="37"/>
        <v>BR_VW_AMV_DSP_DIS_PROG_CPM_STD_LDR_AAF_RON_CXD_Amarok-Varejo-Marco-Corporativo-OLD-CAMPO-Amarok-AMC_PD_970x250</v>
      </c>
      <c r="G138" t="str">
        <f t="shared" si="38"/>
        <v>438500439</v>
      </c>
      <c r="H138" t="str">
        <f t="shared" si="39"/>
        <v>Display</v>
      </c>
      <c r="I138">
        <f t="shared" si="40"/>
        <v>31243</v>
      </c>
      <c r="J138">
        <f t="shared" si="41"/>
        <v>62</v>
      </c>
      <c r="K138" s="4">
        <f t="shared" si="30"/>
        <v>0.04</v>
      </c>
      <c r="L138">
        <f t="shared" si="31"/>
        <v>0.09</v>
      </c>
      <c r="M138" s="4">
        <f t="shared" si="28"/>
        <v>1.2497199999999999</v>
      </c>
      <c r="N138" s="4">
        <f t="shared" si="29"/>
        <v>2.8118699999999999</v>
      </c>
    </row>
    <row r="139" spans="1:14">
      <c r="A139" t="str">
        <f t="shared" si="32"/>
        <v>BR_AAF_DSY_RUNOT_ND_NC_2019Q1MAR_AMV_VarejoAmarokMarco</v>
      </c>
      <c r="B139" t="str">
        <f t="shared" si="33"/>
        <v>Oath BR</v>
      </c>
      <c r="C139" t="str">
        <f t="shared" si="34"/>
        <v>BR_VW_AMV_DSP_DIS_PROG_CPM_STD_LDR_AAF_RON_CXD_Amarok-Varejo-Marco-Corporativo-OLD-CIDADE-Amarok-AMC_PD_728x90</v>
      </c>
      <c r="D139" t="str">
        <f t="shared" si="35"/>
        <v>241922709</v>
      </c>
      <c r="E139" t="str">
        <f t="shared" si="36"/>
        <v>Standard</v>
      </c>
      <c r="F139" t="str">
        <f t="shared" si="37"/>
        <v>BR_VW_AMV_DSP_DIS_PROG_CPM_STD_LDR_AAF_RON_CXD_Amarok-Varejo-Marco-Corporativo-OLD-CIDADE-Amarok-AMC_PD_728x90</v>
      </c>
      <c r="G139" t="str">
        <f t="shared" si="38"/>
        <v>438500430</v>
      </c>
      <c r="H139" t="str">
        <f t="shared" si="39"/>
        <v>Display</v>
      </c>
      <c r="I139">
        <f t="shared" si="40"/>
        <v>77711</v>
      </c>
      <c r="J139">
        <f t="shared" si="41"/>
        <v>91</v>
      </c>
      <c r="K139" s="4">
        <f t="shared" si="30"/>
        <v>0.04</v>
      </c>
      <c r="L139">
        <f t="shared" si="31"/>
        <v>0.09</v>
      </c>
      <c r="M139" s="4">
        <f t="shared" si="28"/>
        <v>3.1084399999999999</v>
      </c>
      <c r="N139" s="4">
        <f t="shared" si="29"/>
        <v>6.9939900000000002</v>
      </c>
    </row>
    <row r="140" spans="1:14">
      <c r="A140" t="str">
        <f t="shared" si="32"/>
        <v>BR_AAF_DSY_RUNOT_ND_NC_2019Q1MAR_AMV_VarejoAmarokMarco</v>
      </c>
      <c r="B140" t="str">
        <f t="shared" si="33"/>
        <v>Oath BR</v>
      </c>
      <c r="C140" t="str">
        <f t="shared" si="34"/>
        <v>BR_VW_AMV_DSP_DIS_PROG_CPM_STD_LDR_AAF_RON_CXD_Amarok-Varejo-Marco-Corporativo-OLD-CIDADE-Amarok-AMC_PD_970x250</v>
      </c>
      <c r="D140" t="str">
        <f t="shared" si="35"/>
        <v>241922706</v>
      </c>
      <c r="E140" t="str">
        <f t="shared" si="36"/>
        <v>Standard</v>
      </c>
      <c r="F140" t="str">
        <f t="shared" si="37"/>
        <v>BR_VW_AMV_DSP_DIS_PROG_CPM_STD_LDR_AAF_RON_CXD_Amarok-Varejo-Marco-Corporativo-OLD-CIDADE-Amarok-AMC_PD_970x250</v>
      </c>
      <c r="G140" t="str">
        <f t="shared" si="38"/>
        <v>438500427</v>
      </c>
      <c r="H140" t="str">
        <f t="shared" si="39"/>
        <v>Display</v>
      </c>
      <c r="I140">
        <f t="shared" si="40"/>
        <v>30889</v>
      </c>
      <c r="J140">
        <f t="shared" si="41"/>
        <v>66</v>
      </c>
      <c r="K140" s="4">
        <f t="shared" si="30"/>
        <v>0.04</v>
      </c>
      <c r="L140">
        <f t="shared" si="31"/>
        <v>0.09</v>
      </c>
      <c r="M140" s="4">
        <f t="shared" si="28"/>
        <v>1.23556</v>
      </c>
      <c r="N140" s="4">
        <f t="shared" si="29"/>
        <v>2.7800099999999999</v>
      </c>
    </row>
    <row r="141" spans="1:14">
      <c r="A141" t="str">
        <f t="shared" si="32"/>
        <v>BR_AAF_DSY_RUNOT_ND_NC_2019Q1MAR_AMV_VarejoAmarokMarco</v>
      </c>
      <c r="B141" t="str">
        <f t="shared" si="33"/>
        <v>Oath BR</v>
      </c>
      <c r="C141" t="str">
        <f t="shared" si="34"/>
        <v>BR_VW_AMV_DSP_DIS_PROG_CPM_STD_LDR_AAF_RON_CXD_Amarok-Varejo-Marco-PRIVADO-Amarok-AMC_PD_728x90</v>
      </c>
      <c r="D141" t="str">
        <f t="shared" si="35"/>
        <v>243228033</v>
      </c>
      <c r="E141" t="str">
        <f t="shared" si="36"/>
        <v>Standard</v>
      </c>
      <c r="F141" t="str">
        <f t="shared" si="37"/>
        <v>BR_VW_AMV_DSP_DIS_PROG_CPM_STD_LDR_AAF_RON_CXD_Amarok-Varejo-Marco-PRIVADO-Amarok-AMC_PD_728x90</v>
      </c>
      <c r="G141" t="str">
        <f t="shared" si="38"/>
        <v>439739941</v>
      </c>
      <c r="H141" t="str">
        <f t="shared" si="39"/>
        <v>Display</v>
      </c>
      <c r="I141">
        <f t="shared" si="40"/>
        <v>5494</v>
      </c>
      <c r="J141">
        <f t="shared" si="41"/>
        <v>68</v>
      </c>
      <c r="K141" s="4">
        <f t="shared" si="30"/>
        <v>0.04</v>
      </c>
      <c r="L141">
        <f t="shared" si="31"/>
        <v>0.09</v>
      </c>
      <c r="M141" s="4">
        <f t="shared" si="28"/>
        <v>0.21975999999999998</v>
      </c>
      <c r="N141" s="4">
        <f t="shared" si="29"/>
        <v>0.49445999999999996</v>
      </c>
    </row>
    <row r="142" spans="1:14">
      <c r="A142" t="str">
        <f t="shared" si="32"/>
        <v>BR_AAF_DSY_RUNOT_ND_NC_2019Q1MAR_AMV_VarejoAmarokMarco</v>
      </c>
      <c r="B142" t="str">
        <f t="shared" si="33"/>
        <v>Oath BR</v>
      </c>
      <c r="C142" t="str">
        <f t="shared" si="34"/>
        <v>BR_VW_AMV_DSP_DIS_PROG_CPM_STD_LDR_AAF_RON_CXD_Amarok-Varejo-Marco-PRIVADO-Amarok-AMC_PD_970x250</v>
      </c>
      <c r="D142" t="str">
        <f t="shared" si="35"/>
        <v>243228030</v>
      </c>
      <c r="E142" t="str">
        <f t="shared" si="36"/>
        <v>Standard</v>
      </c>
      <c r="F142" t="str">
        <f t="shared" si="37"/>
        <v>BR_VW_AMV_DSP_DIS_PROG_CPM_STD_LDR_AAF_RON_CXD_Amarok-Varejo-Marco-PRIVADO-Amarok-AMC_PD_970x250</v>
      </c>
      <c r="G142" t="str">
        <f t="shared" si="38"/>
        <v>439739938</v>
      </c>
      <c r="H142" t="str">
        <f t="shared" si="39"/>
        <v>Display</v>
      </c>
      <c r="I142">
        <f t="shared" si="40"/>
        <v>1642</v>
      </c>
      <c r="J142">
        <f t="shared" si="41"/>
        <v>12</v>
      </c>
      <c r="K142" s="4">
        <f t="shared" si="30"/>
        <v>0.04</v>
      </c>
      <c r="L142">
        <f t="shared" si="31"/>
        <v>0.09</v>
      </c>
      <c r="M142" s="4">
        <f t="shared" si="28"/>
        <v>6.5680000000000002E-2</v>
      </c>
      <c r="N142" s="4">
        <f t="shared" si="29"/>
        <v>0.14777999999999999</v>
      </c>
    </row>
    <row r="143" spans="1:14">
      <c r="A143" t="str">
        <f t="shared" si="32"/>
        <v>BR_AAF_DSY_RUNOT_ND_NC_2019Q1MAR_AMV_VarejoAmarokMarco</v>
      </c>
      <c r="B143" t="str">
        <f t="shared" si="33"/>
        <v>Oath BR</v>
      </c>
      <c r="C143" t="str">
        <f t="shared" si="34"/>
        <v>BR_VW_AMV_DSP_DIS_PROG_CPM_STD_MPU_AAF_RON_CXD_Amarok-Varejo-Marco-Corporativo-CAMPO-NOVO-Amarok-AMC_PD_300x250</v>
      </c>
      <c r="D143" t="str">
        <f t="shared" si="35"/>
        <v>243292137</v>
      </c>
      <c r="E143" t="str">
        <f t="shared" si="36"/>
        <v>Standard</v>
      </c>
      <c r="F143" t="str">
        <f t="shared" si="37"/>
        <v>BR_VW_AMV_DSP_DIS_PROG_CPM_STD_MPU_AAF_RON_CXD_Amarok-Varejo-Marco-Corporativo-CAMPO-NOVO-Amarok-AMC_PD_300x250</v>
      </c>
      <c r="G143" t="str">
        <f t="shared" si="38"/>
        <v>439675815</v>
      </c>
      <c r="H143" t="str">
        <f t="shared" si="39"/>
        <v>Display</v>
      </c>
      <c r="I143">
        <f t="shared" si="40"/>
        <v>284549</v>
      </c>
      <c r="J143">
        <f t="shared" si="41"/>
        <v>2040</v>
      </c>
      <c r="K143" s="4">
        <f t="shared" si="30"/>
        <v>0.04</v>
      </c>
      <c r="L143">
        <f t="shared" si="31"/>
        <v>0.09</v>
      </c>
      <c r="M143" s="4">
        <f t="shared" si="28"/>
        <v>11.381960000000001</v>
      </c>
      <c r="N143" s="4">
        <f t="shared" si="29"/>
        <v>25.60941</v>
      </c>
    </row>
    <row r="144" spans="1:14">
      <c r="A144" t="str">
        <f t="shared" si="32"/>
        <v>BR_AAF_DSY_RUNOT_ND_NC_2019Q1MAR_AMV_VarejoAmarokMarco</v>
      </c>
      <c r="B144" t="str">
        <f t="shared" si="33"/>
        <v>Oath BR</v>
      </c>
      <c r="C144" t="str">
        <f t="shared" si="34"/>
        <v>BR_VW_AMV_DSP_DIS_PROG_CPM_STD_MPU_AAF_RON_CXD_Amarok-Varejo-Marco-Corporativo-CIDADE-NOVO-Amarok-AMC_PD_300x250</v>
      </c>
      <c r="D144" t="str">
        <f t="shared" si="35"/>
        <v>243490224</v>
      </c>
      <c r="E144" t="str">
        <f t="shared" si="36"/>
        <v>Standard</v>
      </c>
      <c r="F144" t="str">
        <f t="shared" si="37"/>
        <v>BR_VW_AMV_DSP_DIS_PROG_CPM_STD_MPU_AAF_RON_CXD_Amarok-Varejo-Marco-Corporativo-CIDADE-NOVO-Amarok-AMC_PD_300x250</v>
      </c>
      <c r="G144" t="str">
        <f t="shared" si="38"/>
        <v>439973090</v>
      </c>
      <c r="H144" t="str">
        <f t="shared" si="39"/>
        <v>Display</v>
      </c>
      <c r="I144">
        <f t="shared" si="40"/>
        <v>284115</v>
      </c>
      <c r="J144">
        <f t="shared" si="41"/>
        <v>2006</v>
      </c>
      <c r="K144" s="4">
        <f t="shared" si="30"/>
        <v>0.04</v>
      </c>
      <c r="L144">
        <f t="shared" si="31"/>
        <v>0.09</v>
      </c>
      <c r="M144" s="4">
        <f t="shared" si="28"/>
        <v>11.364600000000001</v>
      </c>
      <c r="N144" s="4">
        <f t="shared" si="29"/>
        <v>25.570349999999998</v>
      </c>
    </row>
    <row r="145" spans="1:14">
      <c r="A145" t="str">
        <f t="shared" si="32"/>
        <v>BR_AAF_DSY_RUNOT_ND_NC_2019Q1MAR_AMV_VarejoAmarokMarco</v>
      </c>
      <c r="B145" t="str">
        <f t="shared" si="33"/>
        <v>Oath BR</v>
      </c>
      <c r="C145" t="str">
        <f t="shared" si="34"/>
        <v>BR_VW_AMV_DSP_DIS_PROG_CPM_STD_MPU_AAF_RON_CXD_Amarok-Varejo-Marco-Corporativo-OLD-CAMPO-Amarok-AMC_PD_300x250</v>
      </c>
      <c r="D145" t="str">
        <f t="shared" si="35"/>
        <v>241922124</v>
      </c>
      <c r="E145" t="str">
        <f t="shared" si="36"/>
        <v>Standard</v>
      </c>
      <c r="F145" t="str">
        <f t="shared" si="37"/>
        <v>BR_VW_AMV_DSP_DIS_PROG_CPM_STD_MPU_AAF_RON_CXD_Amarok-Varejo-Marco-Corporativo-OLD-CAMPO-Amarok-AMC_PD_300x250</v>
      </c>
      <c r="G145" t="str">
        <f t="shared" si="38"/>
        <v>438500445</v>
      </c>
      <c r="H145" t="str">
        <f t="shared" si="39"/>
        <v>Display</v>
      </c>
      <c r="I145">
        <f t="shared" si="40"/>
        <v>793259</v>
      </c>
      <c r="J145">
        <f t="shared" si="41"/>
        <v>1826</v>
      </c>
      <c r="K145" s="4">
        <f t="shared" si="30"/>
        <v>0.04</v>
      </c>
      <c r="L145">
        <f t="shared" si="31"/>
        <v>0.09</v>
      </c>
      <c r="M145" s="4">
        <f t="shared" si="28"/>
        <v>31.730360000000001</v>
      </c>
      <c r="N145" s="4">
        <f t="shared" si="29"/>
        <v>71.39331</v>
      </c>
    </row>
    <row r="146" spans="1:14">
      <c r="A146" t="str">
        <f t="shared" si="32"/>
        <v>BR_AAF_DSY_RUNOT_ND_NC_2019Q1MAR_AMV_VarejoAmarokMarco</v>
      </c>
      <c r="B146" t="str">
        <f t="shared" si="33"/>
        <v>Oath BR</v>
      </c>
      <c r="C146" t="str">
        <f t="shared" si="34"/>
        <v>BR_VW_AMV_DSP_DIS_PROG_CPM_STD_MPU_AAF_RON_CXD_Amarok-Varejo-Marco-Corporativo-OLD-CIDADE-Amarok-AMC_PD_300x250</v>
      </c>
      <c r="D146" t="str">
        <f t="shared" si="35"/>
        <v>241922712</v>
      </c>
      <c r="E146" t="str">
        <f t="shared" si="36"/>
        <v>Standard</v>
      </c>
      <c r="F146" t="str">
        <f t="shared" si="37"/>
        <v>BR_VW_AMV_DSP_DIS_PROG_CPM_STD_MPU_AAF_RON_CXD_Amarok-Varejo-Marco-Corporativo-OLD-CIDADE-Amarok-AMC_PD_300x250</v>
      </c>
      <c r="G146" t="str">
        <f t="shared" si="38"/>
        <v>438500433</v>
      </c>
      <c r="H146" t="str">
        <f t="shared" si="39"/>
        <v>Display</v>
      </c>
      <c r="I146">
        <f t="shared" si="40"/>
        <v>794153</v>
      </c>
      <c r="J146">
        <f t="shared" si="41"/>
        <v>1950</v>
      </c>
      <c r="K146" s="4">
        <f t="shared" si="30"/>
        <v>0.04</v>
      </c>
      <c r="L146">
        <f t="shared" si="31"/>
        <v>0.09</v>
      </c>
      <c r="M146" s="4">
        <f t="shared" si="28"/>
        <v>31.766119999999997</v>
      </c>
      <c r="N146" s="4">
        <f t="shared" si="29"/>
        <v>71.473770000000002</v>
      </c>
    </row>
    <row r="147" spans="1:14">
      <c r="A147" t="str">
        <f t="shared" si="32"/>
        <v>BR_AAF_DSY_RUNOT_ND_NC_2019Q1MAR_AMV_VarejoAmarokMarco</v>
      </c>
      <c r="B147" t="str">
        <f t="shared" si="33"/>
        <v>Oath BR</v>
      </c>
      <c r="C147" t="str">
        <f t="shared" si="34"/>
        <v>BR_VW_AMV_DSP_DIS_PROG_CPM_STD_MPU_AAF_RON_CXD_Amarok-Varejo-Marco-PRIVADO-Amarok-AMC_PD_300x250</v>
      </c>
      <c r="D147" t="str">
        <f t="shared" si="35"/>
        <v>242764840</v>
      </c>
      <c r="E147" t="str">
        <f t="shared" si="36"/>
        <v>Standard</v>
      </c>
      <c r="F147" t="str">
        <f t="shared" si="37"/>
        <v>BR_VW_AMV_DSP_DIS_PROG_CPM_STD_MPU_AAF_RON_CXD_Amarok-Varejo-Marco-PRIVADO-Amarok-AMC_PD_300x250</v>
      </c>
      <c r="G147" t="str">
        <f t="shared" si="38"/>
        <v>439444604</v>
      </c>
      <c r="H147" t="str">
        <f t="shared" si="39"/>
        <v>Display</v>
      </c>
      <c r="I147">
        <f t="shared" si="40"/>
        <v>473304</v>
      </c>
      <c r="J147">
        <f t="shared" si="41"/>
        <v>2562</v>
      </c>
      <c r="K147" s="4">
        <f t="shared" si="30"/>
        <v>0.04</v>
      </c>
      <c r="L147">
        <f t="shared" si="31"/>
        <v>0.09</v>
      </c>
      <c r="M147" s="4">
        <f t="shared" si="28"/>
        <v>18.93216</v>
      </c>
      <c r="N147" s="4">
        <f t="shared" si="29"/>
        <v>42.597360000000002</v>
      </c>
    </row>
    <row r="148" spans="1:14">
      <c r="A148" t="str">
        <f t="shared" si="32"/>
        <v>BR_AAF_DSY_RUNOT_ND_NC_2019Q1MAR_AMV_VarejoAmarokMarco</v>
      </c>
      <c r="B148" t="str">
        <f t="shared" si="33"/>
        <v>Oath BR</v>
      </c>
      <c r="C148" t="str">
        <f t="shared" si="34"/>
        <v>BR_VW_AMV_DSP_DIS_PROG_CPM_STD_SKY_AAF_RON_CXD_Amarok-Varejo-Marco-Corporativo-CAMPO-NOVO-Amarok-AMC_PD_300x600</v>
      </c>
      <c r="D148" t="str">
        <f t="shared" si="35"/>
        <v>243292140</v>
      </c>
      <c r="E148" t="str">
        <f t="shared" si="36"/>
        <v>Standard</v>
      </c>
      <c r="F148" t="str">
        <f t="shared" si="37"/>
        <v>BR_VW_AMV_DSP_DIS_PROG_CPM_STD_SKY_AAF_RON_CXD_Amarok-Varejo-Marco-Corporativo-CAMPO-NOVO-Amarok-AMC_PD_300x600</v>
      </c>
      <c r="G148" t="str">
        <f t="shared" si="38"/>
        <v>439675818</v>
      </c>
      <c r="H148" t="str">
        <f t="shared" si="39"/>
        <v>Display</v>
      </c>
      <c r="I148">
        <f t="shared" si="40"/>
        <v>6456</v>
      </c>
      <c r="J148">
        <f t="shared" si="41"/>
        <v>37</v>
      </c>
      <c r="K148" s="4">
        <f t="shared" si="30"/>
        <v>0.04</v>
      </c>
      <c r="L148">
        <f t="shared" si="31"/>
        <v>0.09</v>
      </c>
      <c r="M148" s="4">
        <f t="shared" si="28"/>
        <v>0.25824000000000003</v>
      </c>
      <c r="N148" s="4">
        <f t="shared" si="29"/>
        <v>0.58104</v>
      </c>
    </row>
    <row r="149" spans="1:14">
      <c r="A149" t="str">
        <f t="shared" si="32"/>
        <v>BR_AAF_DSY_RUNOT_ND_NC_2019Q1MAR_AMV_VarejoAmarokMarco</v>
      </c>
      <c r="B149" t="str">
        <f t="shared" si="33"/>
        <v>Oath BR</v>
      </c>
      <c r="C149" t="str">
        <f t="shared" si="34"/>
        <v>BR_VW_AMV_DSP_DIS_PROG_CPM_STD_SKY_AAF_RON_CXD_Amarok-Varejo-Marco-Corporativo-CIDADE-NOVO-Amarok-AMC_PD_300x600</v>
      </c>
      <c r="D149" t="str">
        <f t="shared" si="35"/>
        <v>243490227</v>
      </c>
      <c r="E149" t="str">
        <f t="shared" si="36"/>
        <v>Standard</v>
      </c>
      <c r="F149" t="str">
        <f t="shared" si="37"/>
        <v>BR_VW_AMV_DSP_DIS_PROG_CPM_STD_SKY_AAF_RON_CXD_Amarok-Varejo-Marco-Corporativo-CIDADE-NOVO-Amarok-AMC_PD_300x600</v>
      </c>
      <c r="G149" t="str">
        <f t="shared" si="38"/>
        <v>439973093</v>
      </c>
      <c r="H149" t="str">
        <f t="shared" si="39"/>
        <v>Display</v>
      </c>
      <c r="I149">
        <f t="shared" si="40"/>
        <v>6328</v>
      </c>
      <c r="J149">
        <f t="shared" si="41"/>
        <v>27</v>
      </c>
      <c r="K149" s="4">
        <f t="shared" si="30"/>
        <v>0.04</v>
      </c>
      <c r="L149">
        <f t="shared" si="31"/>
        <v>0.09</v>
      </c>
      <c r="M149" s="4">
        <f t="shared" si="28"/>
        <v>0.25312000000000001</v>
      </c>
      <c r="N149" s="4">
        <f t="shared" si="29"/>
        <v>0.56952000000000003</v>
      </c>
    </row>
    <row r="150" spans="1:14">
      <c r="A150" t="str">
        <f t="shared" si="32"/>
        <v>BR_AAF_DSY_RUNOT_ND_NC_2019Q1MAR_AMV_VarejoAmarokMarco</v>
      </c>
      <c r="B150" t="str">
        <f t="shared" si="33"/>
        <v>Oath BR</v>
      </c>
      <c r="C150" t="str">
        <f t="shared" si="34"/>
        <v>BR_VW_AMV_DSP_DIS_PROG_CPM_STD_SKY_AAF_RON_CXD_Amarok-Varejo-Marco-Corporativo-OLD-CAMPO-Amarok-AMC_PD_300x600</v>
      </c>
      <c r="D150" t="str">
        <f t="shared" si="35"/>
        <v>241922127</v>
      </c>
      <c r="E150" t="str">
        <f t="shared" si="36"/>
        <v>Standard</v>
      </c>
      <c r="F150" t="str">
        <f t="shared" si="37"/>
        <v>BR_VW_AMV_DSP_DIS_PROG_CPM_STD_SKY_AAF_RON_CXD_Amarok-Varejo-Marco-Corporativo-OLD-CAMPO-Amarok-AMC_PD_300x600</v>
      </c>
      <c r="G150" t="str">
        <f t="shared" si="38"/>
        <v>438500448</v>
      </c>
      <c r="H150" t="str">
        <f t="shared" si="39"/>
        <v>Display</v>
      </c>
      <c r="I150">
        <f t="shared" si="40"/>
        <v>64534</v>
      </c>
      <c r="J150">
        <f t="shared" si="41"/>
        <v>80</v>
      </c>
      <c r="K150" s="4">
        <f t="shared" si="30"/>
        <v>0.04</v>
      </c>
      <c r="L150">
        <f t="shared" si="31"/>
        <v>0.09</v>
      </c>
      <c r="M150" s="4">
        <f t="shared" si="28"/>
        <v>2.5813600000000001</v>
      </c>
      <c r="N150" s="4">
        <f t="shared" si="29"/>
        <v>5.8080599999999993</v>
      </c>
    </row>
    <row r="151" spans="1:14">
      <c r="A151" t="str">
        <f t="shared" si="32"/>
        <v>BR_AAF_DSY_RUNOT_ND_NC_2019Q1MAR_AMV_VarejoAmarokMarco</v>
      </c>
      <c r="B151" t="str">
        <f t="shared" si="33"/>
        <v>Oath BR</v>
      </c>
      <c r="C151" t="str">
        <f t="shared" si="34"/>
        <v>BR_VW_AMV_DSP_DIS_PROG_CPM_STD_SKY_AAF_RON_CXD_Amarok-Varejo-Marco-Corporativo-OLD-CIDADE-Amarok-AMC_PD_300x600</v>
      </c>
      <c r="D151" t="str">
        <f t="shared" si="35"/>
        <v>241922715</v>
      </c>
      <c r="E151" t="str">
        <f t="shared" si="36"/>
        <v>Standard</v>
      </c>
      <c r="F151" t="str">
        <f t="shared" si="37"/>
        <v>BR_VW_AMV_DSP_DIS_PROG_CPM_STD_SKY_AAF_RON_CXD_Amarok-Varejo-Marco-Corporativo-OLD-CIDADE-Amarok-AMC_PD_300x600</v>
      </c>
      <c r="G151" t="str">
        <f t="shared" si="38"/>
        <v>438500436</v>
      </c>
      <c r="H151" t="str">
        <f t="shared" si="39"/>
        <v>Display</v>
      </c>
      <c r="I151">
        <f t="shared" si="40"/>
        <v>62998</v>
      </c>
      <c r="J151">
        <f t="shared" si="41"/>
        <v>61</v>
      </c>
      <c r="K151" s="4">
        <f t="shared" si="30"/>
        <v>0.04</v>
      </c>
      <c r="L151">
        <f t="shared" si="31"/>
        <v>0.09</v>
      </c>
      <c r="M151" s="4">
        <f t="shared" si="28"/>
        <v>2.5199199999999999</v>
      </c>
      <c r="N151" s="4">
        <f t="shared" si="29"/>
        <v>5.6698199999999996</v>
      </c>
    </row>
    <row r="152" spans="1:14">
      <c r="A152" t="str">
        <f t="shared" si="32"/>
        <v>BR_AAF_DSY_RUNOT_ND_NC_2019Q1MAR_AMV_VarejoAmarokMarco</v>
      </c>
      <c r="B152" t="str">
        <f t="shared" si="33"/>
        <v>Oath BR</v>
      </c>
      <c r="C152" t="str">
        <f t="shared" si="34"/>
        <v>BR_VW_AMV_DSP_DIS_PROG_CPM_STD_SKY_AAF_RON_CXD_Amarok-Varejo-Marco-PRIVADO-Amarok-AMC_PD_300x600</v>
      </c>
      <c r="D152" t="str">
        <f t="shared" si="35"/>
        <v>242764843</v>
      </c>
      <c r="E152" t="str">
        <f t="shared" si="36"/>
        <v>Standard</v>
      </c>
      <c r="F152" t="str">
        <f t="shared" si="37"/>
        <v>BR_VW_AMV_DSP_DIS_PROG_CPM_STD_SKY_AAF_RON_CXD_Amarok-Varejo-Marco-PRIVADO-Amarok-AMC_PD_300x600</v>
      </c>
      <c r="G152" t="str">
        <f t="shared" si="38"/>
        <v>439444607</v>
      </c>
      <c r="H152" t="str">
        <f t="shared" si="39"/>
        <v>Display</v>
      </c>
      <c r="I152">
        <f t="shared" si="40"/>
        <v>10330</v>
      </c>
      <c r="J152">
        <f t="shared" si="41"/>
        <v>40</v>
      </c>
      <c r="K152" s="4">
        <f t="shared" si="30"/>
        <v>0.04</v>
      </c>
      <c r="L152">
        <f t="shared" si="31"/>
        <v>0.09</v>
      </c>
      <c r="M152" s="4">
        <f t="shared" si="28"/>
        <v>0.41320000000000001</v>
      </c>
      <c r="N152" s="4">
        <f t="shared" si="29"/>
        <v>0.92969999999999997</v>
      </c>
    </row>
    <row r="153" spans="1:14">
      <c r="A153" t="str">
        <f t="shared" si="32"/>
        <v>BR_AAF_DSY_RUNOT_ND_NC_2019Q1MAR_AMV_VarejoAmarokMarco</v>
      </c>
      <c r="B153" t="str">
        <f t="shared" si="33"/>
        <v>Oath BR</v>
      </c>
      <c r="C153" t="str">
        <f t="shared" si="34"/>
        <v>BR_VW_AMV_oath_DIS_PROG_CPC_STD_LDR_AAF_RON_CXD_Amarok-Varejo-Marco-Corporativo-CAMPO-NOVO-Amarok-AMC_PD_627x627</v>
      </c>
      <c r="D153" t="str">
        <f t="shared" si="35"/>
        <v>243286707</v>
      </c>
      <c r="E153" t="str">
        <f t="shared" si="36"/>
        <v>Standard</v>
      </c>
      <c r="F153" t="str">
        <f t="shared" si="37"/>
        <v>BR_VW_AMV_oath_DIS_PROG_CPC_STD_LDR_AAF_RON_CXD_Amarok-Varejo-Marco-Corporativo-CAMPO-NOVO-Amarok-AMC_PD_627x627</v>
      </c>
      <c r="G153" t="str">
        <f t="shared" si="38"/>
        <v>439764791</v>
      </c>
      <c r="H153" t="str">
        <f t="shared" si="39"/>
        <v>Tracking</v>
      </c>
      <c r="I153">
        <f t="shared" si="40"/>
        <v>240758</v>
      </c>
      <c r="J153">
        <f t="shared" si="41"/>
        <v>3900</v>
      </c>
      <c r="K153" s="4">
        <f t="shared" si="30"/>
        <v>0.04</v>
      </c>
      <c r="L153">
        <f t="shared" si="31"/>
        <v>0.09</v>
      </c>
      <c r="M153" s="4">
        <f t="shared" si="28"/>
        <v>9.6303199999999993</v>
      </c>
      <c r="N153" s="4">
        <f t="shared" si="29"/>
        <v>21.668219999999998</v>
      </c>
    </row>
    <row r="154" spans="1:14">
      <c r="A154" t="str">
        <f t="shared" si="32"/>
        <v>BR_AAF_DSY_RUNOT_ND_NC_2019Q1MAR_AMV_VarejoAmarokMarco</v>
      </c>
      <c r="B154" t="str">
        <f t="shared" si="33"/>
        <v>Oath BR</v>
      </c>
      <c r="C154" t="str">
        <f t="shared" si="34"/>
        <v>BR_VW_AMV_oath_DIS_PROG_CPC_STD_LDR_AAF_RON_CXD_Amarok-Varejo-Marco-Corporativo-CIDADE-NOVO-Amarok-AMC_PD_627x627</v>
      </c>
      <c r="D154" t="str">
        <f t="shared" si="35"/>
        <v>243163463</v>
      </c>
      <c r="E154" t="str">
        <f t="shared" si="36"/>
        <v>Standard</v>
      </c>
      <c r="F154" t="str">
        <f t="shared" si="37"/>
        <v>BR_VW_AMV_oath_DIS_PROG_CPC_STD_LDR_AAF_RON_CXD_Amarok-Varejo-Marco-Corporativo-CIDADE-NOVO-Amarok-AMC_PD_627x627</v>
      </c>
      <c r="G154" t="str">
        <f t="shared" si="38"/>
        <v>439883202</v>
      </c>
      <c r="H154" t="str">
        <f t="shared" si="39"/>
        <v>Tracking</v>
      </c>
      <c r="I154">
        <f t="shared" si="40"/>
        <v>65129</v>
      </c>
      <c r="J154">
        <f t="shared" si="41"/>
        <v>634</v>
      </c>
      <c r="K154" s="4">
        <f t="shared" si="30"/>
        <v>0.04</v>
      </c>
      <c r="L154">
        <f t="shared" si="31"/>
        <v>0.09</v>
      </c>
      <c r="M154" s="4">
        <f t="shared" si="28"/>
        <v>2.6051599999999997</v>
      </c>
      <c r="N154" s="4">
        <f t="shared" si="29"/>
        <v>5.8616099999999998</v>
      </c>
    </row>
    <row r="155" spans="1:14">
      <c r="A155" t="str">
        <f t="shared" si="32"/>
        <v>BR_AAF_DSY_RUNOT_ND_NC_2019Q1MAR_AMV_VarejoAmarokMarco</v>
      </c>
      <c r="B155" t="str">
        <f t="shared" si="33"/>
        <v>Oath BR</v>
      </c>
      <c r="C155" t="str">
        <f t="shared" si="34"/>
        <v>BR_VW_AMV_oath_DIS_PROG_CPC_STD_LDR_AAF_RON_CXD_Amarok-Varejo-Marco-Corporativo-OLD-CAMPO-Amarok-AMC_PD_627x627</v>
      </c>
      <c r="D155" t="str">
        <f t="shared" si="35"/>
        <v>241429901</v>
      </c>
      <c r="E155" t="str">
        <f t="shared" si="36"/>
        <v>Default</v>
      </c>
      <c r="F155" t="str">
        <f t="shared" si="37"/>
        <v>1x1 Default Web Ad</v>
      </c>
      <c r="G155" t="str">
        <f t="shared" si="38"/>
        <v>438413237</v>
      </c>
      <c r="H155" t="str">
        <f t="shared" si="39"/>
        <v>Display</v>
      </c>
      <c r="I155">
        <f t="shared" si="40"/>
        <v>2</v>
      </c>
      <c r="J155">
        <f t="shared" si="41"/>
        <v>0</v>
      </c>
      <c r="K155" s="4">
        <f t="shared" si="30"/>
        <v>0.04</v>
      </c>
      <c r="L155">
        <f t="shared" si="31"/>
        <v>0.09</v>
      </c>
      <c r="M155" s="4">
        <f t="shared" si="28"/>
        <v>8.0000000000000007E-5</v>
      </c>
      <c r="N155" s="4">
        <f t="shared" si="29"/>
        <v>1.7999999999999998E-4</v>
      </c>
    </row>
    <row r="156" spans="1:14">
      <c r="A156" t="str">
        <f t="shared" si="32"/>
        <v>BR_AAF_DSY_RUNOT_ND_NC_2019Q1MAR_AMV_VarejoAmarokMarco</v>
      </c>
      <c r="B156" t="str">
        <f t="shared" si="33"/>
        <v>Oath BR</v>
      </c>
      <c r="C156" t="str">
        <f t="shared" si="34"/>
        <v>BR_VW_AMV_oath_DIS_PROG_CPC_STD_LDR_AAF_RON_CXD_Amarok-Varejo-Marco-Corporativo-OLD-CAMPO-Amarok-AMC_PD_627x627</v>
      </c>
      <c r="D156" t="str">
        <f t="shared" si="35"/>
        <v>241429901</v>
      </c>
      <c r="E156" t="str">
        <f t="shared" si="36"/>
        <v>Standard</v>
      </c>
      <c r="F156" t="str">
        <f t="shared" si="37"/>
        <v>BR_VW_AMV_oath_DIS_PROG_CPC_STD_LDR_AAF_RON_CXD_Amarok-Varejo-Marco-Corporativo-OLD-CAMPO-Amarok-AMC_PD_627x627</v>
      </c>
      <c r="G156" t="str">
        <f t="shared" si="38"/>
        <v>438411148</v>
      </c>
      <c r="H156" t="str">
        <f t="shared" si="39"/>
        <v>Tracking</v>
      </c>
      <c r="I156">
        <f t="shared" si="40"/>
        <v>5237500</v>
      </c>
      <c r="J156">
        <f t="shared" si="41"/>
        <v>74891</v>
      </c>
      <c r="K156" s="4">
        <f t="shared" si="30"/>
        <v>0.04</v>
      </c>
      <c r="L156">
        <f t="shared" si="31"/>
        <v>0.09</v>
      </c>
      <c r="M156" s="4">
        <f t="shared" si="28"/>
        <v>209.5</v>
      </c>
      <c r="N156" s="4">
        <f t="shared" si="29"/>
        <v>471.375</v>
      </c>
    </row>
    <row r="157" spans="1:14">
      <c r="A157" t="str">
        <f t="shared" si="32"/>
        <v>BR_AAF_DSY_RUNOT_ND_NC_2019Q1MAR_AMV_VarejoAmarokMarco</v>
      </c>
      <c r="B157" t="str">
        <f t="shared" si="33"/>
        <v>Oath BR</v>
      </c>
      <c r="C157" t="str">
        <f t="shared" si="34"/>
        <v>BR_VW_AMV_oath_DIS_PROG_CPC_STD_LDR_AAF_RON_CXD_Amarok-Varejo-Marco-Corporativo-OLD-CIDADE-Amarok-AMC_PD_627x627</v>
      </c>
      <c r="D157" t="str">
        <f t="shared" si="35"/>
        <v>241429868</v>
      </c>
      <c r="E157" t="str">
        <f t="shared" si="36"/>
        <v>Dynamic Click</v>
      </c>
      <c r="F157" t="str">
        <f t="shared" si="37"/>
        <v>BR_VW_AMV_oath_DIS_PROG_CPC_STD_LDR_AAF_RON_CXD_Amarok-Varejo-Marco-Corporativo-OLD-CIDADE-Amarok-AMC_PD_627x627</v>
      </c>
      <c r="G157" t="str">
        <f t="shared" si="38"/>
        <v>438411115</v>
      </c>
      <c r="H157" t="str">
        <f t="shared" si="39"/>
        <v>Tracking</v>
      </c>
      <c r="I157">
        <f t="shared" si="40"/>
        <v>0</v>
      </c>
      <c r="J157">
        <f t="shared" si="41"/>
        <v>2</v>
      </c>
      <c r="K157" s="4">
        <f t="shared" si="30"/>
        <v>3.5000000000000001E-3</v>
      </c>
      <c r="L157">
        <f t="shared" si="31"/>
        <v>0.02</v>
      </c>
      <c r="M157" s="4">
        <f t="shared" si="28"/>
        <v>7.0000000000000001E-3</v>
      </c>
      <c r="N157" s="4">
        <f t="shared" si="29"/>
        <v>0.04</v>
      </c>
    </row>
    <row r="158" spans="1:14">
      <c r="A158" t="str">
        <f t="shared" si="32"/>
        <v>BR_AAF_DSY_RUNOT_ND_NC_2019Q1MAR_AMV_VarejoAmarokMarco</v>
      </c>
      <c r="B158" t="str">
        <f t="shared" si="33"/>
        <v>Oath BR</v>
      </c>
      <c r="C158" t="str">
        <f t="shared" si="34"/>
        <v>BR_VW_AMV_oath_DIS_PROG_CPC_STD_LDR_AAF_RON_CXD_Amarok-Varejo-Marco-PRIVADO-Amarok-AMC_PD_627x627</v>
      </c>
      <c r="D158" t="str">
        <f t="shared" si="35"/>
        <v>242941382</v>
      </c>
      <c r="E158" t="str">
        <f t="shared" si="36"/>
        <v>Dynamic Click</v>
      </c>
      <c r="F158" t="str">
        <f t="shared" si="37"/>
        <v>BR_VW_AMV_oath_DIS_PROG_CPC_STD_LDR_AAF_RON_CXD_Amarok-Varejo-Marco-PRIVADO-Amarok-AMC_PD_627x627</v>
      </c>
      <c r="G158" t="str">
        <f t="shared" si="38"/>
        <v>439661343</v>
      </c>
      <c r="H158" t="str">
        <f t="shared" si="39"/>
        <v>Tracking</v>
      </c>
      <c r="I158">
        <f t="shared" si="40"/>
        <v>0</v>
      </c>
      <c r="J158">
        <f t="shared" si="41"/>
        <v>1</v>
      </c>
      <c r="K158" s="4">
        <f t="shared" si="30"/>
        <v>3.5000000000000001E-3</v>
      </c>
      <c r="L158">
        <f t="shared" si="31"/>
        <v>0.02</v>
      </c>
      <c r="M158" s="4">
        <f t="shared" si="28"/>
        <v>3.5000000000000001E-3</v>
      </c>
      <c r="N158" s="4">
        <f t="shared" si="29"/>
        <v>0.02</v>
      </c>
    </row>
    <row r="159" spans="1:14">
      <c r="A159" t="str">
        <f t="shared" si="32"/>
        <v>BR_AAF_DSY_RUNOT_ND_NC_2019Q1MAR_AMV_VarejoAmarokMarco</v>
      </c>
      <c r="B159" t="str">
        <f t="shared" si="33"/>
        <v>Oath BR</v>
      </c>
      <c r="C159" t="str">
        <f t="shared" si="34"/>
        <v>BR_VW_AMV_oath_DIS_PROG_CPC_STD_SRB_AAF_RON_CXD_Amarok-Varejo-Marco-Corporativo-CAMPO-NOVO-Amarok-AMC_PD_1080x1920</v>
      </c>
      <c r="D159" t="str">
        <f t="shared" si="35"/>
        <v>243286698</v>
      </c>
      <c r="E159" t="str">
        <f t="shared" si="36"/>
        <v>Dynamic Click</v>
      </c>
      <c r="F159" t="str">
        <f t="shared" si="37"/>
        <v>BR_VW_AMV_oath_DIS_PROG_CPC_STD_SRB_AAF_RON_CXD_Amarok-Varejo-Marco-Corporativo-CAMPO-NOVO-Amarok-AMC_PD_1080x1920</v>
      </c>
      <c r="G159" t="str">
        <f t="shared" si="38"/>
        <v>439764782</v>
      </c>
      <c r="H159" t="str">
        <f t="shared" si="39"/>
        <v>Tracking</v>
      </c>
      <c r="I159">
        <f t="shared" si="40"/>
        <v>0</v>
      </c>
      <c r="J159">
        <f t="shared" si="41"/>
        <v>2</v>
      </c>
      <c r="K159" s="4">
        <f t="shared" si="30"/>
        <v>3.5000000000000001E-3</v>
      </c>
      <c r="L159">
        <f t="shared" si="31"/>
        <v>0.02</v>
      </c>
      <c r="M159" s="4">
        <f t="shared" si="28"/>
        <v>7.0000000000000001E-3</v>
      </c>
      <c r="N159" s="4">
        <f t="shared" si="29"/>
        <v>0.04</v>
      </c>
    </row>
    <row r="160" spans="1:14">
      <c r="A160" t="str">
        <f t="shared" si="32"/>
        <v>BR_AAF_DSY_RUNOT_ND_NC_2019Q1MAR_AMV_VarejoAmarokMarco</v>
      </c>
      <c r="B160" t="str">
        <f t="shared" si="33"/>
        <v>Oath BR</v>
      </c>
      <c r="C160" t="str">
        <f t="shared" si="34"/>
        <v>BR_VW_AMV_oath_DIS_PROG_CPC_STD_SRB_AAF_RON_CXD_Amarok-Varejo-Marco-Corporativo-OLD-CIDADE-Amarok-AMC_PD_1080x1920</v>
      </c>
      <c r="D160" t="str">
        <f t="shared" si="35"/>
        <v>241429862</v>
      </c>
      <c r="E160" t="str">
        <f t="shared" si="36"/>
        <v>Default</v>
      </c>
      <c r="F160" t="str">
        <f t="shared" si="37"/>
        <v>1x1 Default Web Ad</v>
      </c>
      <c r="G160" t="str">
        <f t="shared" si="38"/>
        <v>438413237</v>
      </c>
      <c r="H160" t="str">
        <f t="shared" si="39"/>
        <v>Display</v>
      </c>
      <c r="I160">
        <f t="shared" si="40"/>
        <v>4</v>
      </c>
      <c r="J160">
        <f t="shared" si="41"/>
        <v>0</v>
      </c>
      <c r="K160" s="4">
        <f t="shared" si="30"/>
        <v>0.04</v>
      </c>
      <c r="L160">
        <f t="shared" si="31"/>
        <v>0.09</v>
      </c>
      <c r="M160" s="4">
        <f t="shared" si="28"/>
        <v>1.6000000000000001E-4</v>
      </c>
      <c r="N160" s="4">
        <f t="shared" si="29"/>
        <v>3.5999999999999997E-4</v>
      </c>
    </row>
    <row r="161" spans="1:14">
      <c r="A161" t="str">
        <f t="shared" si="32"/>
        <v>BR_AAF_DSY_RUNOT_ND_NC_2019Q1MAR_AMV_VarejoAmarokMarco</v>
      </c>
      <c r="B161" t="str">
        <f t="shared" si="33"/>
        <v>Oath BR</v>
      </c>
      <c r="C161" t="str">
        <f t="shared" si="34"/>
        <v>BR_VW_AMV_oath_DIS_PROG_CPC_STD_SRB_AAF_RON_CXD_Amarok-Varejo-Marco-PRIVADO-Amarok-AMC_PD_1080x1920</v>
      </c>
      <c r="D161" t="str">
        <f t="shared" si="35"/>
        <v>243083647</v>
      </c>
      <c r="E161" t="str">
        <f t="shared" si="36"/>
        <v>Dynamic Click</v>
      </c>
      <c r="F161" t="str">
        <f t="shared" si="37"/>
        <v>BR_VW_AMV_oath_DIS_PROG_CPC_STD_SRB_AAF_RON_CXD_Amarok-Varejo-Marco-PRIVADO-Amarok-AMC_PD_1080x1920</v>
      </c>
      <c r="G161" t="str">
        <f t="shared" si="38"/>
        <v>439765933</v>
      </c>
      <c r="H161" t="str">
        <f t="shared" si="39"/>
        <v>Tracking</v>
      </c>
      <c r="I161">
        <f t="shared" si="40"/>
        <v>0</v>
      </c>
      <c r="J161">
        <f t="shared" si="41"/>
        <v>1</v>
      </c>
      <c r="K161" s="4">
        <f t="shared" si="30"/>
        <v>3.5000000000000001E-3</v>
      </c>
      <c r="L161">
        <f t="shared" si="31"/>
        <v>0.02</v>
      </c>
      <c r="M161" s="4">
        <f t="shared" si="28"/>
        <v>3.5000000000000001E-3</v>
      </c>
      <c r="N161" s="4">
        <f t="shared" si="29"/>
        <v>0.02</v>
      </c>
    </row>
    <row r="162" spans="1:14">
      <c r="A162" t="str">
        <f t="shared" si="32"/>
        <v>BR_AAF_DSY_RUNOT_ND_NC_2019Q1MAR_AMV_VarejoAmarokMarco</v>
      </c>
      <c r="B162" t="str">
        <f t="shared" si="33"/>
        <v>Oath BR</v>
      </c>
      <c r="C162" t="str">
        <f t="shared" si="34"/>
        <v>BR_VW_AMV_oath_DIS_PROG_CPC_STD_SRB_AAF_RON_CXD_Amarok-Varejo-Marco-PRIVADO-Amarok-AMC_PD_1200x627</v>
      </c>
      <c r="D162" t="str">
        <f t="shared" si="35"/>
        <v>243083986</v>
      </c>
      <c r="E162" t="str">
        <f t="shared" si="36"/>
        <v>Dynamic Click</v>
      </c>
      <c r="F162" t="str">
        <f t="shared" si="37"/>
        <v>BR_VW_AMV_oath_DIS_PROG_CPC_STD_SRB_AAF_RON_CXD_Amarok-Varejo-Marco-PRIVADO-Amarok-AMC_PD_1200x627</v>
      </c>
      <c r="G162" t="str">
        <f t="shared" si="38"/>
        <v>439756673</v>
      </c>
      <c r="H162" t="str">
        <f t="shared" si="39"/>
        <v>Tracking</v>
      </c>
      <c r="I162">
        <f t="shared" si="40"/>
        <v>0</v>
      </c>
      <c r="J162">
        <f t="shared" si="41"/>
        <v>7395</v>
      </c>
      <c r="K162" s="4">
        <f t="shared" si="30"/>
        <v>3.5000000000000001E-3</v>
      </c>
      <c r="L162">
        <f t="shared" si="31"/>
        <v>0.02</v>
      </c>
      <c r="M162" s="4">
        <f t="shared" si="28"/>
        <v>25.8825</v>
      </c>
      <c r="N162" s="4">
        <f t="shared" si="29"/>
        <v>147.9</v>
      </c>
    </row>
    <row r="163" spans="1:14">
      <c r="A163" t="str">
        <f t="shared" si="32"/>
        <v>BR_AAF_DSY_RUNOT_ND_NC_2019Q1MAR_AMV_VarejoAmarokMarco</v>
      </c>
      <c r="B163" t="str">
        <f t="shared" si="33"/>
        <v>teads.tv</v>
      </c>
      <c r="C163" t="str">
        <f t="shared" si="34"/>
        <v>BR_VW_AMV_Teads_DIS_DRCT_CPM_STD_MPU_AAF_RON_CXD_Amarok-Varejo-Marco-Corporativo-CIDADE-NOVO-1-Amarok-AMC_PD_carrossel-landscape</v>
      </c>
      <c r="D163" t="str">
        <f t="shared" si="35"/>
        <v>243681912</v>
      </c>
      <c r="E163" t="str">
        <f t="shared" si="36"/>
        <v>Dynamic Click</v>
      </c>
      <c r="F163" t="str">
        <f t="shared" si="37"/>
        <v>BR_VW_AMV_Teads_DIS_DRCT_CPM_STD_MPU_AAF_RON_CXD_Amarok-Varejo-Marco-Corporativo-CIDADE-NOVO-1-Amarok-AMC_PD_carrossel-landscape</v>
      </c>
      <c r="G163" t="str">
        <f t="shared" si="38"/>
        <v>440059896</v>
      </c>
      <c r="H163" t="str">
        <f t="shared" si="39"/>
        <v>Tracking</v>
      </c>
      <c r="I163">
        <f t="shared" si="40"/>
        <v>0</v>
      </c>
      <c r="J163">
        <f t="shared" si="41"/>
        <v>2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7.0000000000000001E-3</v>
      </c>
      <c r="N163" s="4">
        <f t="shared" ref="N163:N226" si="43">IF(E163="Dynamic Click",J163*L163,L163*$I163/1000)</f>
        <v>0.04</v>
      </c>
    </row>
    <row r="164" spans="1:14">
      <c r="A164" t="str">
        <f t="shared" si="32"/>
        <v>BR_AAF_DSY_RUNOT_ND_NC_2019Q1MAR_AMV_VarejoAmarokMarco</v>
      </c>
      <c r="B164" t="str">
        <f t="shared" si="33"/>
        <v>teads.tv</v>
      </c>
      <c r="C164" t="str">
        <f t="shared" si="34"/>
        <v>BR_VW_AMV_Teads_DIS_DRCT_CPM_STD_MPU_AAF_RON_CXD_Amarok-Varejo-Marco-Corporativo-CIDADE-NOVO-1-Amarok-AMC_PD_scroller-landscape</v>
      </c>
      <c r="D164" t="str">
        <f t="shared" si="35"/>
        <v>243681915</v>
      </c>
      <c r="E164" t="str">
        <f t="shared" si="36"/>
        <v>Dynamic Click</v>
      </c>
      <c r="F164" t="str">
        <f t="shared" si="37"/>
        <v>BR_VW_AMV_Teads_DIS_DRCT_CPM_STD_MPU_AAF_RON_CXD_Amarok-Varejo-Marco-Corporativo-CIDADE-NOVO-1-Amarok-AMC_PD_scroller-landscape</v>
      </c>
      <c r="G164" t="str">
        <f t="shared" si="38"/>
        <v>440059899</v>
      </c>
      <c r="H164" t="str">
        <f t="shared" si="39"/>
        <v>Tracking</v>
      </c>
      <c r="I164">
        <f t="shared" si="40"/>
        <v>0</v>
      </c>
      <c r="J164">
        <f t="shared" si="41"/>
        <v>1</v>
      </c>
      <c r="K164" s="4">
        <f t="shared" si="30"/>
        <v>3.5000000000000001E-3</v>
      </c>
      <c r="L164">
        <f t="shared" si="31"/>
        <v>0.02</v>
      </c>
      <c r="M164" s="4">
        <f t="shared" si="42"/>
        <v>3.5000000000000001E-3</v>
      </c>
      <c r="N164" s="4">
        <f t="shared" si="43"/>
        <v>0.02</v>
      </c>
    </row>
    <row r="165" spans="1:14">
      <c r="A165" t="str">
        <f t="shared" si="32"/>
        <v>BR_AAF_DSY_RUNOT_ND_NC_2019Q1MAR_AMV_VarejoAmarokMarco</v>
      </c>
      <c r="B165" t="str">
        <f t="shared" si="33"/>
        <v>teads.tv</v>
      </c>
      <c r="C165" t="str">
        <f t="shared" si="34"/>
        <v>BR_VW_AMV_Teads_DIS_DRCT_CPM_STD_MPU_AAF_RON_CXD_Amarok-Varejo-Marco-Corporativo-OLD-CIDADE-1-Amarok-AMC_PD_scroller-landscape</v>
      </c>
      <c r="D165" t="str">
        <f t="shared" si="35"/>
        <v>241969916</v>
      </c>
      <c r="E165" t="str">
        <f t="shared" si="36"/>
        <v>Standard</v>
      </c>
      <c r="F165" t="str">
        <f t="shared" si="37"/>
        <v>BR_VW_AMV_Teads_DIS_DRCT_CPM_STD_MPU_AAF_RON_CXD_Amarok-Varejo-Marco-Corporativo-OLD-CIDADE-1-Amarok-AMC_PD_scroller-landscape</v>
      </c>
      <c r="G165" t="str">
        <f t="shared" si="38"/>
        <v>438915784</v>
      </c>
      <c r="H165" t="str">
        <f t="shared" si="39"/>
        <v>Tracking</v>
      </c>
      <c r="I165">
        <f t="shared" si="40"/>
        <v>1712519</v>
      </c>
      <c r="J165">
        <f t="shared" si="41"/>
        <v>8872</v>
      </c>
      <c r="K165" s="4">
        <f t="shared" si="30"/>
        <v>0.04</v>
      </c>
      <c r="L165">
        <f t="shared" si="31"/>
        <v>0.09</v>
      </c>
      <c r="M165" s="4">
        <f t="shared" si="42"/>
        <v>68.50076</v>
      </c>
      <c r="N165" s="4">
        <f t="shared" si="43"/>
        <v>154.12671</v>
      </c>
    </row>
    <row r="166" spans="1:14">
      <c r="A166" t="str">
        <f t="shared" si="32"/>
        <v>BR_AAF_DSY_RUNOT_ND_NC_2019Q1MAR_AMV_VarejoAmarokMarco</v>
      </c>
      <c r="B166" t="str">
        <f t="shared" si="33"/>
        <v>teads.tv</v>
      </c>
      <c r="C166" t="str">
        <f t="shared" si="34"/>
        <v>BR_VW_AMV_Teads_DIS_DRCT_CPM_STD_MPU_AAF_RON_CXD_Amarok-Varejo-Marco-Corporativo-OLD-CIDADE-2-Amarok-AMC_PD_carrossel-landscape</v>
      </c>
      <c r="D166" t="str">
        <f t="shared" si="35"/>
        <v>241969907</v>
      </c>
      <c r="E166" t="str">
        <f t="shared" si="36"/>
        <v>Standard</v>
      </c>
      <c r="F166" t="str">
        <f t="shared" si="37"/>
        <v>BR_VW_AMV_Teads_DIS_DRCT_CPM_STD_MPU_AAF_RON_CXD_Amarok-Varejo-Marco-Corporativo-OLD-CIDADE-2-Amarok-AMC_PD_carrossel-landscape</v>
      </c>
      <c r="G166" t="str">
        <f t="shared" si="38"/>
        <v>438915775</v>
      </c>
      <c r="H166" t="str">
        <f t="shared" si="39"/>
        <v>Tracking</v>
      </c>
      <c r="I166">
        <f t="shared" si="40"/>
        <v>1753099</v>
      </c>
      <c r="J166">
        <f t="shared" si="41"/>
        <v>22469</v>
      </c>
      <c r="K166" s="4">
        <f t="shared" si="30"/>
        <v>0.04</v>
      </c>
      <c r="L166">
        <f t="shared" si="31"/>
        <v>0.09</v>
      </c>
      <c r="M166" s="4">
        <f t="shared" si="42"/>
        <v>70.123960000000011</v>
      </c>
      <c r="N166" s="4">
        <f t="shared" si="43"/>
        <v>157.77891</v>
      </c>
    </row>
    <row r="167" spans="1:14">
      <c r="A167" t="str">
        <f t="shared" si="32"/>
        <v>BR_AAF_DSY_RUNOT_ND_NC_2019Q1MAR_AMV_VarejoAmarokMarco</v>
      </c>
      <c r="B167" t="str">
        <f t="shared" si="33"/>
        <v>teads.tv</v>
      </c>
      <c r="C167" t="str">
        <f t="shared" si="34"/>
        <v>BR_VW_AMV_Teads_DIS_DRCT_CPM_STD_MPU_AAF_RON_CXD_Amarok-Varejo-Marco-Corporativo-OLD-CIDADE-2-Amarok-AMC_PD_scroller-landscape</v>
      </c>
      <c r="D167" t="str">
        <f t="shared" si="35"/>
        <v>241969910</v>
      </c>
      <c r="E167" t="str">
        <f t="shared" si="36"/>
        <v>Standard</v>
      </c>
      <c r="F167" t="str">
        <f t="shared" si="37"/>
        <v>BR_VW_AMV_Teads_DIS_DRCT_CPM_STD_MPU_AAF_RON_CXD_Amarok-Varejo-Marco-Corporativo-OLD-CIDADE-2-Amarok-AMC_PD_scroller-landscape</v>
      </c>
      <c r="G167" t="str">
        <f t="shared" si="38"/>
        <v>438915778</v>
      </c>
      <c r="H167" t="str">
        <f t="shared" si="39"/>
        <v>Tracking</v>
      </c>
      <c r="I167">
        <f t="shared" si="40"/>
        <v>321891</v>
      </c>
      <c r="J167">
        <f t="shared" si="41"/>
        <v>1768</v>
      </c>
      <c r="K167" s="4">
        <f t="shared" si="30"/>
        <v>0.04</v>
      </c>
      <c r="L167">
        <f t="shared" si="31"/>
        <v>0.09</v>
      </c>
      <c r="M167" s="4">
        <f t="shared" si="42"/>
        <v>12.875639999999999</v>
      </c>
      <c r="N167" s="4">
        <f t="shared" si="43"/>
        <v>28.970189999999999</v>
      </c>
    </row>
    <row r="168" spans="1:14">
      <c r="A168" t="str">
        <f t="shared" si="32"/>
        <v>BR_AAF_DSY_RUNOT_ND_NC_2019Q1MAR_AMV_VarejoAmarokMarco</v>
      </c>
      <c r="B168" t="str">
        <f t="shared" si="33"/>
        <v>teads.tv</v>
      </c>
      <c r="C168" t="str">
        <f t="shared" si="34"/>
        <v>BR_VW_AMV_Teads_DIS_DRCT_CPM_STD_MPU_AAF_RON_CXD_Amarok-Varejo-Marco-Corporativo-OLD-CIDADE-3-Amarok-AMC_PD_carrossel-landscape</v>
      </c>
      <c r="D168" t="str">
        <f t="shared" si="35"/>
        <v>241969901</v>
      </c>
      <c r="E168" t="str">
        <f t="shared" si="36"/>
        <v>Standard</v>
      </c>
      <c r="F168" t="str">
        <f t="shared" si="37"/>
        <v>BR_VW_AMV_Teads_DIS_DRCT_CPM_STD_MPU_AAF_RON_CXD_Amarok-Varejo-Marco-Corporativo-OLD-CIDADE-3-Amarok-AMC_PD_carrossel-landscape</v>
      </c>
      <c r="G168" t="str">
        <f t="shared" si="38"/>
        <v>438915769</v>
      </c>
      <c r="H168" t="str">
        <f t="shared" si="39"/>
        <v>Tracking</v>
      </c>
      <c r="I168">
        <f t="shared" si="40"/>
        <v>215481</v>
      </c>
      <c r="J168">
        <f t="shared" si="41"/>
        <v>1556</v>
      </c>
      <c r="K168" s="4">
        <f t="shared" si="30"/>
        <v>0.04</v>
      </c>
      <c r="L168">
        <f t="shared" si="31"/>
        <v>0.09</v>
      </c>
      <c r="M168" s="4">
        <f t="shared" si="42"/>
        <v>8.6192399999999996</v>
      </c>
      <c r="N168" s="4">
        <f t="shared" si="43"/>
        <v>19.39329</v>
      </c>
    </row>
    <row r="169" spans="1:14">
      <c r="A169" t="str">
        <f t="shared" si="32"/>
        <v>BR_AAF_DSY_RUNOT_ND_NC_2019Q1MAR_AMV_VarejoAmarokMarco</v>
      </c>
      <c r="B169" t="str">
        <f t="shared" si="33"/>
        <v>teads.tv</v>
      </c>
      <c r="C169" t="str">
        <f t="shared" si="34"/>
        <v>BR_VW_AMV_Teads_DIS_DRCT_CPM_STD_MPU_AAF_RON_CXD_Amarok-Varejo-Marco-Corporativo-OLD-CIDADE-3-Amarok-AMC_PD_scroller-landscape</v>
      </c>
      <c r="D169" t="str">
        <f t="shared" si="35"/>
        <v>241969904</v>
      </c>
      <c r="E169" t="str">
        <f t="shared" si="36"/>
        <v>Standard</v>
      </c>
      <c r="F169" t="str">
        <f t="shared" si="37"/>
        <v>BR_VW_AMV_Teads_DIS_DRCT_CPM_STD_MPU_AAF_RON_CXD_Amarok-Varejo-Marco-Corporativo-OLD-CIDADE-3-Amarok-AMC_PD_scroller-landscape</v>
      </c>
      <c r="G169" t="str">
        <f t="shared" si="38"/>
        <v>438915772</v>
      </c>
      <c r="H169" t="str">
        <f t="shared" si="39"/>
        <v>Tracking</v>
      </c>
      <c r="I169">
        <f t="shared" si="40"/>
        <v>1533867</v>
      </c>
      <c r="J169">
        <f t="shared" si="41"/>
        <v>1</v>
      </c>
      <c r="K169" s="4">
        <f t="shared" si="30"/>
        <v>0.04</v>
      </c>
      <c r="L169">
        <f t="shared" si="31"/>
        <v>0.09</v>
      </c>
      <c r="M169" s="4">
        <f t="shared" si="42"/>
        <v>61.354680000000002</v>
      </c>
      <c r="N169" s="4">
        <f t="shared" si="43"/>
        <v>138.04803000000001</v>
      </c>
    </row>
    <row r="170" spans="1:14">
      <c r="A170" t="str">
        <f t="shared" si="32"/>
        <v>BR_AAF_DSY_RUNOT_ND_NC_2019Q1MAR_AMV_VarejoAmarokMarco</v>
      </c>
      <c r="B170" t="str">
        <f t="shared" si="33"/>
        <v>teads.tv</v>
      </c>
      <c r="C170" t="str">
        <f t="shared" si="34"/>
        <v>BR_VW_AMV_Teads_DIS_DRCT_CPM_STD_MPU_AAF_RON_CXD_Amarok-Varejo-Marco-PRIVADO-1-Amarok-AMC_PD_carrossel-landscape</v>
      </c>
      <c r="D170" t="str">
        <f t="shared" si="35"/>
        <v>243681939</v>
      </c>
      <c r="E170" t="str">
        <f t="shared" si="36"/>
        <v>Standard</v>
      </c>
      <c r="F170" t="str">
        <f t="shared" si="37"/>
        <v>BR_VW_AMV_Teads_DIS_DRCT_CPM_STD_MPU_AAF_RON_CXD_Amarok-Varejo-Marco-PRIVADO-1-Amarok-AMC_PD_carrossel-landscape</v>
      </c>
      <c r="G170" t="str">
        <f t="shared" si="38"/>
        <v>440059923</v>
      </c>
      <c r="H170" t="str">
        <f t="shared" si="39"/>
        <v>Tracking</v>
      </c>
      <c r="I170">
        <f t="shared" si="40"/>
        <v>3485</v>
      </c>
      <c r="J170">
        <f t="shared" si="41"/>
        <v>17</v>
      </c>
      <c r="K170" s="4">
        <f t="shared" si="30"/>
        <v>0.04</v>
      </c>
      <c r="L170">
        <f t="shared" si="31"/>
        <v>0.09</v>
      </c>
      <c r="M170" s="4">
        <f t="shared" si="42"/>
        <v>0.1394</v>
      </c>
      <c r="N170" s="4">
        <f t="shared" si="43"/>
        <v>0.31364999999999998</v>
      </c>
    </row>
    <row r="171" spans="1:14">
      <c r="A171" t="str">
        <f t="shared" si="32"/>
        <v>BR_AAF_DSY_RUNOT_ND_NC_2019Q1MAR_AMV_VarejoAmarokMarco</v>
      </c>
      <c r="B171" t="str">
        <f t="shared" si="33"/>
        <v>teads.tv</v>
      </c>
      <c r="C171" t="str">
        <f t="shared" si="34"/>
        <v>BR_VW_AMV_Teads_DIS_DRCT_CPM_STD_MPU_AAF_RON_CXD_Amarok-Varejo-Marco-PRIVADO-1-Amarok-AMC_PD_scroller-landscape</v>
      </c>
      <c r="D171" t="str">
        <f t="shared" si="35"/>
        <v>243681945</v>
      </c>
      <c r="E171" t="str">
        <f t="shared" si="36"/>
        <v>Standard</v>
      </c>
      <c r="F171" t="str">
        <f t="shared" si="37"/>
        <v>BR_VW_AMV_Teads_DIS_DRCT_CPM_STD_MPU_AAF_RON_CXD_Amarok-Varejo-Marco-PRIVADO-1-Amarok-AMC_PD_scroller-landscape</v>
      </c>
      <c r="G171" t="str">
        <f t="shared" si="38"/>
        <v>440085444</v>
      </c>
      <c r="H171" t="str">
        <f t="shared" si="39"/>
        <v>Tracking</v>
      </c>
      <c r="I171">
        <f t="shared" si="40"/>
        <v>3279</v>
      </c>
      <c r="J171">
        <f t="shared" si="41"/>
        <v>7</v>
      </c>
      <c r="K171" s="4">
        <f t="shared" si="30"/>
        <v>0.04</v>
      </c>
      <c r="L171">
        <f t="shared" si="31"/>
        <v>0.09</v>
      </c>
      <c r="M171" s="4">
        <f t="shared" si="42"/>
        <v>0.13116</v>
      </c>
      <c r="N171" s="4">
        <f t="shared" si="43"/>
        <v>0.29511000000000004</v>
      </c>
    </row>
    <row r="172" spans="1:14">
      <c r="A172" t="str">
        <f t="shared" si="32"/>
        <v>BR_AAF_DSY_RUNOT_ND_NC_2019Q1MAR_AMV_VarejoAmarokMarco</v>
      </c>
      <c r="B172" t="str">
        <f t="shared" si="33"/>
        <v>teads.tv</v>
      </c>
      <c r="C172" t="str">
        <f t="shared" si="34"/>
        <v>BR_VW_AMV_Teads_DIS_DRCT_CPM_STD_MPU_AAF_RON_CXD_Amarok-Varejo-Marco-PRIVADO-2-Amarok-AMC_PD_carrossel-landscape</v>
      </c>
      <c r="D172" t="str">
        <f t="shared" si="35"/>
        <v>243681927</v>
      </c>
      <c r="E172" t="str">
        <f t="shared" si="36"/>
        <v>Standard</v>
      </c>
      <c r="F172" t="str">
        <f t="shared" si="37"/>
        <v>BR_VW_AMV_Teads_DIS_DRCT_CPM_STD_MPU_AAF_RON_CXD_Amarok-Varejo-Marco-PRIVADO-2-Amarok-AMC_PD_carrossel-landscape</v>
      </c>
      <c r="G172" t="str">
        <f t="shared" si="38"/>
        <v>440059911</v>
      </c>
      <c r="H172" t="str">
        <f t="shared" si="39"/>
        <v>Tracking</v>
      </c>
      <c r="I172">
        <f t="shared" si="40"/>
        <v>4512</v>
      </c>
      <c r="J172">
        <f t="shared" si="41"/>
        <v>26</v>
      </c>
      <c r="K172" s="4">
        <f t="shared" ref="K172:K235" si="44">IF(LEFT(B172,3)="DBM",0,VLOOKUP(E172,tabela,2,FALSE))</f>
        <v>0.04</v>
      </c>
      <c r="L172">
        <f t="shared" ref="L172:L235" si="45">VLOOKUP(E172,tabela,3,FALSE)</f>
        <v>0.09</v>
      </c>
      <c r="M172" s="4">
        <f t="shared" si="42"/>
        <v>0.18048</v>
      </c>
      <c r="N172" s="4">
        <f t="shared" si="43"/>
        <v>0.40608</v>
      </c>
    </row>
    <row r="173" spans="1:14">
      <c r="A173" t="str">
        <f t="shared" si="32"/>
        <v>BR_AAF_DSY_RUNOT_ND_NC_2019Q1MAR_AMV_VarejoAmarokMarco</v>
      </c>
      <c r="B173" t="str">
        <f t="shared" si="33"/>
        <v>teads.tv</v>
      </c>
      <c r="C173" t="str">
        <f t="shared" si="34"/>
        <v>BR_VW_AMV_Teads_DIS_DRCT_CPM_STD_MPU_AAF_RON_CXD_Amarok-Varejo-Marco-PRIVADO-2-Amarok-AMC_PD_scroller-landscape</v>
      </c>
      <c r="D173" t="str">
        <f t="shared" si="35"/>
        <v>243681933</v>
      </c>
      <c r="E173" t="str">
        <f t="shared" si="36"/>
        <v>Standard</v>
      </c>
      <c r="F173" t="str">
        <f t="shared" si="37"/>
        <v>BR_VW_AMV_Teads_DIS_DRCT_CPM_STD_MPU_AAF_RON_CXD_Amarok-Varejo-Marco-PRIVADO-2-Amarok-AMC_PD_scroller-landscape</v>
      </c>
      <c r="G173" t="str">
        <f t="shared" si="38"/>
        <v>440059917</v>
      </c>
      <c r="H173" t="str">
        <f t="shared" si="39"/>
        <v>Tracking</v>
      </c>
      <c r="I173">
        <f t="shared" si="40"/>
        <v>3930</v>
      </c>
      <c r="J173">
        <f t="shared" si="41"/>
        <v>15</v>
      </c>
      <c r="K173" s="4">
        <f t="shared" si="44"/>
        <v>0.04</v>
      </c>
      <c r="L173">
        <f t="shared" si="45"/>
        <v>0.09</v>
      </c>
      <c r="M173" s="4">
        <f t="shared" si="42"/>
        <v>0.15720000000000001</v>
      </c>
      <c r="N173" s="4">
        <f t="shared" si="43"/>
        <v>0.35370000000000001</v>
      </c>
    </row>
    <row r="174" spans="1:14">
      <c r="A174" t="str">
        <f t="shared" si="32"/>
        <v>BR_AAF_DSY_RUNOT_ND_NC_2019Q1MAR_AMV_VarejoAmarokMarco</v>
      </c>
      <c r="B174" t="str">
        <f t="shared" si="33"/>
        <v>teads.tv</v>
      </c>
      <c r="C174" t="str">
        <f t="shared" si="34"/>
        <v>BR_VW_AMV_Teads_DIS_DRCT_CPM_STD_MPU_AAF_RON_CXD_Amarok-Varejo-Marco-PRIVADO-3-Amarok-AMC_PD_carrossel-landscape</v>
      </c>
      <c r="D174" t="str">
        <f t="shared" si="35"/>
        <v>243681918</v>
      </c>
      <c r="E174" t="str">
        <f t="shared" si="36"/>
        <v>Standard</v>
      </c>
      <c r="F174" t="str">
        <f t="shared" si="37"/>
        <v>BR_VW_AMV_Teads_DIS_DRCT_CPM_STD_MPU_AAF_RON_CXD_Amarok-Varejo-Marco-PRIVADO-3-Amarok-AMC_PD_carrossel-landscape</v>
      </c>
      <c r="G174" t="str">
        <f t="shared" si="38"/>
        <v>440059902</v>
      </c>
      <c r="H174" t="str">
        <f t="shared" si="39"/>
        <v>Tracking</v>
      </c>
      <c r="I174">
        <f t="shared" si="40"/>
        <v>3232</v>
      </c>
      <c r="J174">
        <f t="shared" si="41"/>
        <v>11</v>
      </c>
      <c r="K174" s="4">
        <f t="shared" si="44"/>
        <v>0.04</v>
      </c>
      <c r="L174">
        <f t="shared" si="45"/>
        <v>0.09</v>
      </c>
      <c r="M174" s="4">
        <f t="shared" si="42"/>
        <v>0.12928000000000001</v>
      </c>
      <c r="N174" s="4">
        <f t="shared" si="43"/>
        <v>0.29087999999999997</v>
      </c>
    </row>
    <row r="175" spans="1:14">
      <c r="A175" t="str">
        <f t="shared" si="32"/>
        <v>BR_AAF_DSY_RUNOT_ND_NC_2019Q1MAR_AMV_VarejoAmarokMarco</v>
      </c>
      <c r="B175" t="str">
        <f t="shared" si="33"/>
        <v>teads.tv</v>
      </c>
      <c r="C175" t="str">
        <f t="shared" si="34"/>
        <v>BR_VW_AMV_Teads_DIS_DRCT_CPM_STD_MPU_AAF_RON_CXD_Amarok-Varejo-Marco-PRIVADO-3-Amarok-AMC_PD_scroller-landscape</v>
      </c>
      <c r="D175" t="str">
        <f t="shared" si="35"/>
        <v>243681921</v>
      </c>
      <c r="E175" t="str">
        <f t="shared" si="36"/>
        <v>Standard</v>
      </c>
      <c r="F175" t="str">
        <f t="shared" si="37"/>
        <v>BR_VW_AMV_Teads_DIS_DRCT_CPM_STD_MPU_AAF_RON_CXD_Amarok-Varejo-Marco-PRIVADO-3-Amarok-AMC_PD_scroller-landscape</v>
      </c>
      <c r="G175" t="str">
        <f t="shared" si="38"/>
        <v>440059905</v>
      </c>
      <c r="H175" t="str">
        <f t="shared" si="39"/>
        <v>Tracking</v>
      </c>
      <c r="I175">
        <f t="shared" si="40"/>
        <v>3441</v>
      </c>
      <c r="J175">
        <f t="shared" si="41"/>
        <v>18</v>
      </c>
      <c r="K175" s="4">
        <f t="shared" si="44"/>
        <v>0.04</v>
      </c>
      <c r="L175">
        <f t="shared" si="45"/>
        <v>0.09</v>
      </c>
      <c r="M175" s="4">
        <f t="shared" si="42"/>
        <v>0.13764000000000001</v>
      </c>
      <c r="N175" s="4">
        <f t="shared" si="43"/>
        <v>0.30969000000000002</v>
      </c>
    </row>
    <row r="176" spans="1:14">
      <c r="A176" t="str">
        <f t="shared" si="32"/>
        <v>BR_AAF_DSY_RUNOT_ND_NC_2019Q1MAR_AMV_VarejoAmarokMarco</v>
      </c>
      <c r="B176" t="str">
        <f t="shared" si="33"/>
        <v>teads.tv</v>
      </c>
      <c r="C176" t="str">
        <f t="shared" si="34"/>
        <v>BR_VW_AMV_Teads_DIS_DRCT_CPM_STD_MPU_AAF_RON_CXD_Amarok1-Varejo-Marco-Corporativo-OLD-CIDADE-1-Amarok-AMC_PD_carrossel-landscape</v>
      </c>
      <c r="D176" t="str">
        <f t="shared" si="35"/>
        <v>241969913</v>
      </c>
      <c r="E176" t="str">
        <f t="shared" si="36"/>
        <v>Standard</v>
      </c>
      <c r="F176" t="str">
        <f t="shared" si="37"/>
        <v>BR_VW_AMV_Teads_DIS_DRCT_CPM_STD_MPU_AAF_RON_CXD_Amarok1-Varejo-Marco-Corporativo-OLD-CIDADE-1-Amarok-AMC_PD_carrossel-landscape</v>
      </c>
      <c r="G176" t="str">
        <f t="shared" si="38"/>
        <v>438915781</v>
      </c>
      <c r="H176" t="str">
        <f t="shared" si="39"/>
        <v>Tracking</v>
      </c>
      <c r="I176">
        <f t="shared" si="40"/>
        <v>265732</v>
      </c>
      <c r="J176">
        <f t="shared" si="41"/>
        <v>1196</v>
      </c>
      <c r="K176" s="4">
        <f t="shared" si="44"/>
        <v>0.04</v>
      </c>
      <c r="L176">
        <f t="shared" si="45"/>
        <v>0.09</v>
      </c>
      <c r="M176" s="4">
        <f t="shared" si="42"/>
        <v>10.629280000000001</v>
      </c>
      <c r="N176" s="4">
        <f t="shared" si="43"/>
        <v>23.915879999999998</v>
      </c>
    </row>
    <row r="177" spans="1:14">
      <c r="A177" t="str">
        <f t="shared" si="32"/>
        <v>BR_AAF_SOC_LANCH_ND_NC_2019Q1MAR_TCR_WebSerie</v>
      </c>
      <c r="B177" t="str">
        <f t="shared" si="33"/>
        <v>Facebook</v>
      </c>
      <c r="C177" t="str">
        <f t="shared" si="34"/>
        <v>BR_VW_TCR_facebook_SOC_DRCT_CPM_STD_MPU_AAF_RON_CXD_T-Cross-WebSerie-Trailer-T-Cross-AMC_PD_Video</v>
      </c>
      <c r="D177" t="str">
        <f t="shared" si="35"/>
        <v>241849780</v>
      </c>
      <c r="E177" t="str">
        <f t="shared" si="36"/>
        <v>Dynamic Click</v>
      </c>
      <c r="F177" t="str">
        <f t="shared" si="37"/>
        <v>BR_VW_TCR_facebook_SOC_DRCT_CPM_STD_MPU_AAF_RON_CXD_T-Cross-WebSerie-Trailer-T-Cross-AMC_PD_Video</v>
      </c>
      <c r="G177" t="str">
        <f t="shared" si="38"/>
        <v>438624828</v>
      </c>
      <c r="H177" t="str">
        <f t="shared" si="39"/>
        <v>Tracking</v>
      </c>
      <c r="I177">
        <f t="shared" si="40"/>
        <v>0</v>
      </c>
      <c r="J177">
        <f t="shared" si="41"/>
        <v>1</v>
      </c>
      <c r="K177" s="4">
        <f t="shared" si="44"/>
        <v>3.5000000000000001E-3</v>
      </c>
      <c r="L177">
        <f t="shared" si="45"/>
        <v>0.02</v>
      </c>
      <c r="M177" s="4">
        <f t="shared" si="42"/>
        <v>3.5000000000000001E-3</v>
      </c>
      <c r="N177" s="4">
        <f t="shared" si="43"/>
        <v>0.02</v>
      </c>
    </row>
    <row r="178" spans="1:14">
      <c r="A178" t="str">
        <f t="shared" si="32"/>
        <v>BR_AAF_SOC_LANCH_ND_NC_2019Q1MAR_TCR_WebSerie</v>
      </c>
      <c r="B178" t="str">
        <f t="shared" si="33"/>
        <v>Facebook</v>
      </c>
      <c r="C178" t="str">
        <f t="shared" si="34"/>
        <v>BR_VW_TCR_facebook_SOC_DRCT_CPM_STD_SRB_AAF_RON_CXD_T-Cross-WebSerie-Trailer-T-Cross-AMC_PD_PagePost</v>
      </c>
      <c r="D178" t="str">
        <f t="shared" si="35"/>
        <v>242044956</v>
      </c>
      <c r="E178" t="str">
        <f t="shared" si="36"/>
        <v>Dynamic Click</v>
      </c>
      <c r="F178" t="str">
        <f t="shared" si="37"/>
        <v>BR_VW_TCR_facebook_SOC_DRCT_CPM_STD_SRB_AAF_RON_CXD_T-Cross-WebSerie-Trailer-T-Cross-AMC_PD_PagePost</v>
      </c>
      <c r="G178" t="str">
        <f t="shared" si="38"/>
        <v>438690515</v>
      </c>
      <c r="H178" t="str">
        <f t="shared" si="39"/>
        <v>Tracking</v>
      </c>
      <c r="I178">
        <f t="shared" si="40"/>
        <v>0</v>
      </c>
      <c r="J178">
        <f t="shared" si="41"/>
        <v>1</v>
      </c>
      <c r="K178" s="4">
        <f t="shared" si="44"/>
        <v>3.5000000000000001E-3</v>
      </c>
      <c r="L178">
        <f t="shared" si="45"/>
        <v>0.02</v>
      </c>
      <c r="M178" s="4">
        <f t="shared" si="42"/>
        <v>3.5000000000000001E-3</v>
      </c>
      <c r="N178" s="4">
        <f t="shared" si="43"/>
        <v>0.02</v>
      </c>
    </row>
    <row r="179" spans="1:14">
      <c r="A179" t="str">
        <f t="shared" si="32"/>
        <v>BR_AAF_SOC_LANCH_ND_NC_2019Q1MAR_TCR_WebSerie</v>
      </c>
      <c r="B179" t="str">
        <f t="shared" si="33"/>
        <v>Google Brasil</v>
      </c>
      <c r="C179" t="str">
        <f t="shared" si="34"/>
        <v>BR_VW_TCR_youtube_SOC_DRCT_CPV_STD_MPU_AAF_RON_CXD_T-Cross-WebSerie-Ep-1-T-Cross-AMC_PD_Video</v>
      </c>
      <c r="D179" t="str">
        <f t="shared" si="35"/>
        <v>241898582</v>
      </c>
      <c r="E179" t="str">
        <f t="shared" si="36"/>
        <v>Dynamic Click</v>
      </c>
      <c r="F179" t="str">
        <f t="shared" si="37"/>
        <v>BR_VW_TCR_youtube_SOC_DRCT_CPV_STD_MPU_AAF_RON_CXD_T-Cross-WebSerie-Ep-1-T-Cross-AMC_PD_Video</v>
      </c>
      <c r="G179" t="str">
        <f t="shared" si="38"/>
        <v>438853961</v>
      </c>
      <c r="H179" t="str">
        <f t="shared" si="39"/>
        <v>Tracking</v>
      </c>
      <c r="I179">
        <f t="shared" si="40"/>
        <v>0</v>
      </c>
      <c r="J179">
        <f t="shared" si="41"/>
        <v>102173</v>
      </c>
      <c r="K179" s="4">
        <f t="shared" si="44"/>
        <v>3.5000000000000001E-3</v>
      </c>
      <c r="L179">
        <f t="shared" si="45"/>
        <v>0.02</v>
      </c>
      <c r="M179" s="4">
        <f t="shared" si="42"/>
        <v>357.60550000000001</v>
      </c>
      <c r="N179" s="4">
        <f t="shared" si="43"/>
        <v>2043.46</v>
      </c>
    </row>
    <row r="180" spans="1:14">
      <c r="A180" t="str">
        <f t="shared" si="32"/>
        <v>BR_AAF_SOC_LANCH_ND_NC_2019Q1MAR_TCR_WebSerie</v>
      </c>
      <c r="B180" t="str">
        <f t="shared" si="33"/>
        <v>Google Brasil</v>
      </c>
      <c r="C180" t="str">
        <f t="shared" si="34"/>
        <v>BR_VW_TCR_youtube_SOC_DRCT_CPV_STD_MPU_AAF_RON_CXD_T-Cross-WebSerie-Ep-1-T-Cross-Remarketing_PD_Video</v>
      </c>
      <c r="D180" t="str">
        <f t="shared" si="35"/>
        <v>241898576</v>
      </c>
      <c r="E180" t="str">
        <f t="shared" si="36"/>
        <v>Dynamic Click</v>
      </c>
      <c r="F180" t="str">
        <f t="shared" si="37"/>
        <v>BR_VW_TCR_youtube_SOC_DRCT_CPV_STD_MPU_AAF_RON_CXD_T-Cross-WebSerie-Ep-1-T-Cross-Remarketing_PD_Video</v>
      </c>
      <c r="G180" t="str">
        <f t="shared" si="38"/>
        <v>438853955</v>
      </c>
      <c r="H180" t="str">
        <f t="shared" si="39"/>
        <v>Tracking</v>
      </c>
      <c r="I180">
        <f t="shared" si="40"/>
        <v>0</v>
      </c>
      <c r="J180">
        <f t="shared" si="41"/>
        <v>6582</v>
      </c>
      <c r="K180" s="4">
        <f t="shared" si="44"/>
        <v>3.5000000000000001E-3</v>
      </c>
      <c r="L180">
        <f t="shared" si="45"/>
        <v>0.02</v>
      </c>
      <c r="M180" s="4">
        <f t="shared" si="42"/>
        <v>23.036999999999999</v>
      </c>
      <c r="N180" s="4">
        <f t="shared" si="43"/>
        <v>131.64000000000001</v>
      </c>
    </row>
    <row r="181" spans="1:14">
      <c r="A181" t="str">
        <f t="shared" si="32"/>
        <v>BR_AAF_SOC_LANCH_ND_NC_2019Q1MAR_TCR_WebSerie</v>
      </c>
      <c r="B181" t="str">
        <f t="shared" si="33"/>
        <v>Google Brasil</v>
      </c>
      <c r="C181" t="str">
        <f t="shared" si="34"/>
        <v>BR_VW_TCR_youtube_SOC_DRCT_CPV_STD_MPU_AAF_RON_CXD_T-Cross-WebSerie-Ep-2-T-Cross-AMC_PD_Video</v>
      </c>
      <c r="D181" t="str">
        <f t="shared" si="35"/>
        <v>241898546</v>
      </c>
      <c r="E181" t="str">
        <f t="shared" si="36"/>
        <v>Dynamic Click</v>
      </c>
      <c r="F181" t="str">
        <f t="shared" si="37"/>
        <v>BR_VW_TCR_youtube_SOC_DRCT_CPV_STD_MPU_AAF_RON_CXD_T-Cross-WebSerie-Ep-2-T-Cross-AMC_PD_Video</v>
      </c>
      <c r="G181" t="str">
        <f t="shared" si="38"/>
        <v>438853925</v>
      </c>
      <c r="H181" t="str">
        <f t="shared" si="39"/>
        <v>Tracking</v>
      </c>
      <c r="I181">
        <f t="shared" si="40"/>
        <v>0</v>
      </c>
      <c r="J181">
        <f t="shared" si="41"/>
        <v>1640</v>
      </c>
      <c r="K181" s="4">
        <f t="shared" si="44"/>
        <v>3.5000000000000001E-3</v>
      </c>
      <c r="L181">
        <f t="shared" si="45"/>
        <v>0.02</v>
      </c>
      <c r="M181" s="4">
        <f t="shared" si="42"/>
        <v>5.74</v>
      </c>
      <c r="N181" s="4">
        <f t="shared" si="43"/>
        <v>32.799999999999997</v>
      </c>
    </row>
    <row r="182" spans="1:14">
      <c r="A182" t="str">
        <f t="shared" si="32"/>
        <v>BR_AAF_SOC_LANCH_ND_NC_2019Q1MAR_TCR_WebSerie</v>
      </c>
      <c r="B182" t="str">
        <f t="shared" si="33"/>
        <v>Google Brasil</v>
      </c>
      <c r="C182" t="str">
        <f t="shared" si="34"/>
        <v>BR_VW_TCR_youtube_SOC_DRCT_CPV_STD_MPU_AAF_RON_CXD_T-Cross-WebSerie-Ep-2-T-Cross-Remarketing_PD_Video</v>
      </c>
      <c r="D182" t="str">
        <f t="shared" si="35"/>
        <v>241898540</v>
      </c>
      <c r="E182" t="str">
        <f t="shared" si="36"/>
        <v>Dynamic Click</v>
      </c>
      <c r="F182" t="str">
        <f t="shared" si="37"/>
        <v>BR_VW_TCR_youtube_SOC_DRCT_CPV_STD_MPU_AAF_RON_CXD_T-Cross-WebSerie-Ep-2-T-Cross-Remarketing_PD_Video</v>
      </c>
      <c r="G182" t="str">
        <f t="shared" si="38"/>
        <v>438853919</v>
      </c>
      <c r="H182" t="str">
        <f t="shared" si="39"/>
        <v>Tracking</v>
      </c>
      <c r="I182">
        <f t="shared" si="40"/>
        <v>0</v>
      </c>
      <c r="J182">
        <f t="shared" si="41"/>
        <v>19159</v>
      </c>
      <c r="K182" s="4">
        <f t="shared" si="44"/>
        <v>3.5000000000000001E-3</v>
      </c>
      <c r="L182">
        <f t="shared" si="45"/>
        <v>0.02</v>
      </c>
      <c r="M182" s="4">
        <f t="shared" si="42"/>
        <v>67.0565</v>
      </c>
      <c r="N182" s="4">
        <f t="shared" si="43"/>
        <v>383.18</v>
      </c>
    </row>
    <row r="183" spans="1:14">
      <c r="A183" t="str">
        <f t="shared" si="32"/>
        <v>BR_AAF_SOC_LANCH_ND_NC_2019Q1MAR_TCR_WebSerie</v>
      </c>
      <c r="B183" t="str">
        <f t="shared" si="33"/>
        <v>Google Brasil</v>
      </c>
      <c r="C183" t="str">
        <f t="shared" si="34"/>
        <v>BR_VW_TCR_youtube_SOC_DRCT_CPV_STD_MPU_AAF_RON_CXD_T-Cross-WebSerie-Ep-3-T-Cross-AMC_PD_Video</v>
      </c>
      <c r="D183" t="str">
        <f t="shared" si="35"/>
        <v>241898510</v>
      </c>
      <c r="E183" t="str">
        <f t="shared" si="36"/>
        <v>Dynamic Click</v>
      </c>
      <c r="F183" t="str">
        <f t="shared" si="37"/>
        <v>BR_VW_TCR_youtube_SOC_DRCT_CPV_STD_MPU_AAF_RON_CXD_T-Cross-WebSerie-Ep-3-T-Cross-AMC_PD_Video</v>
      </c>
      <c r="G183" t="str">
        <f t="shared" si="38"/>
        <v>438853889</v>
      </c>
      <c r="H183" t="str">
        <f t="shared" si="39"/>
        <v>Tracking</v>
      </c>
      <c r="I183">
        <f t="shared" si="40"/>
        <v>0</v>
      </c>
      <c r="J183">
        <f t="shared" si="41"/>
        <v>10078</v>
      </c>
      <c r="K183" s="4">
        <f t="shared" si="44"/>
        <v>3.5000000000000001E-3</v>
      </c>
      <c r="L183">
        <f t="shared" si="45"/>
        <v>0.02</v>
      </c>
      <c r="M183" s="4">
        <f t="shared" si="42"/>
        <v>35.273000000000003</v>
      </c>
      <c r="N183" s="4">
        <f t="shared" si="43"/>
        <v>201.56</v>
      </c>
    </row>
    <row r="184" spans="1:14">
      <c r="A184" t="str">
        <f t="shared" si="32"/>
        <v>BR_AAF_SOC_LANCH_ND_NC_2019Q1MAR_TCR_WebSerie</v>
      </c>
      <c r="B184" t="str">
        <f t="shared" si="33"/>
        <v>Google Brasil</v>
      </c>
      <c r="C184" t="str">
        <f t="shared" si="34"/>
        <v>BR_VW_TCR_youtube_SOC_DRCT_CPV_STD_MPU_AAF_RON_CXD_T-Cross-WebSerie-Ep-4-T-Cross-AMC_PD_Video</v>
      </c>
      <c r="D184" t="str">
        <f t="shared" si="35"/>
        <v>241898480</v>
      </c>
      <c r="E184" t="str">
        <f t="shared" si="36"/>
        <v>Dynamic Click</v>
      </c>
      <c r="F184" t="str">
        <f t="shared" si="37"/>
        <v>BR_VW_TCR_youtube_SOC_DRCT_CPV_STD_MPU_AAF_RON_CXD_T-Cross-WebSerie-Ep-4-T-Cross-AMC_PD_Video</v>
      </c>
      <c r="G184" t="str">
        <f t="shared" si="38"/>
        <v>438853859</v>
      </c>
      <c r="H184" t="str">
        <f t="shared" si="39"/>
        <v>Tracking</v>
      </c>
      <c r="I184">
        <f t="shared" si="40"/>
        <v>0</v>
      </c>
      <c r="J184">
        <f t="shared" si="41"/>
        <v>3363</v>
      </c>
      <c r="K184" s="4">
        <f t="shared" si="44"/>
        <v>3.5000000000000001E-3</v>
      </c>
      <c r="L184">
        <f t="shared" si="45"/>
        <v>0.02</v>
      </c>
      <c r="M184" s="4">
        <f t="shared" si="42"/>
        <v>11.7705</v>
      </c>
      <c r="N184" s="4">
        <f t="shared" si="43"/>
        <v>67.260000000000005</v>
      </c>
    </row>
    <row r="185" spans="1:14">
      <c r="A185" t="str">
        <f t="shared" si="32"/>
        <v>BR_AAF_SOC_LANCH_ND_NC_2019Q1MAR_TCR_WebSerie</v>
      </c>
      <c r="B185" t="str">
        <f t="shared" si="33"/>
        <v>Google Brasil</v>
      </c>
      <c r="C185" t="str">
        <f t="shared" si="34"/>
        <v>BR_VW_TCR_youtube_SOC_DRCT_CPV_STD_MPU_AAF_RON_CXD_T-Cross-WebSerie-Ep-5-T-Cross-AMC_PD_Video</v>
      </c>
      <c r="D185" t="str">
        <f t="shared" si="35"/>
        <v>241990726</v>
      </c>
      <c r="E185" t="str">
        <f t="shared" si="36"/>
        <v>Dynamic Click</v>
      </c>
      <c r="F185" t="str">
        <f t="shared" si="37"/>
        <v>BR_VW_TCR_youtube_SOC_DRCT_CPV_STD_MPU_AAF_RON_CXD_T-Cross-WebSerie-Ep-5-T-Cross-AMC_PD_Video</v>
      </c>
      <c r="G185" t="str">
        <f t="shared" si="38"/>
        <v>438853841</v>
      </c>
      <c r="H185" t="str">
        <f t="shared" si="39"/>
        <v>Tracking</v>
      </c>
      <c r="I185">
        <f t="shared" si="40"/>
        <v>0</v>
      </c>
      <c r="J185">
        <f t="shared" si="41"/>
        <v>1</v>
      </c>
      <c r="K185" s="4">
        <f t="shared" si="44"/>
        <v>3.5000000000000001E-3</v>
      </c>
      <c r="L185">
        <f t="shared" si="45"/>
        <v>0.02</v>
      </c>
      <c r="M185" s="4">
        <f t="shared" si="42"/>
        <v>3.5000000000000001E-3</v>
      </c>
      <c r="N185" s="4">
        <f t="shared" si="43"/>
        <v>0.02</v>
      </c>
    </row>
    <row r="186" spans="1:14">
      <c r="A186" t="str">
        <f t="shared" si="32"/>
        <v>BR_AAF_SOC_LANCH_ND_NC_2019Q1MAR_TCR_WebSerie</v>
      </c>
      <c r="B186" t="str">
        <f t="shared" si="33"/>
        <v>Google Brasil</v>
      </c>
      <c r="C186" t="str">
        <f t="shared" si="34"/>
        <v>BR_VW_TCR_youtube_SOC_DRCT_CPV_STD_MPU_AAF_RON_CXD_T-Cross-WebSerie-Ep-6-T-Cross-AMC_PD_Video</v>
      </c>
      <c r="D186" t="str">
        <f t="shared" si="35"/>
        <v>241990708</v>
      </c>
      <c r="E186" t="str">
        <f t="shared" si="36"/>
        <v>Dynamic Click</v>
      </c>
      <c r="F186" t="str">
        <f t="shared" si="37"/>
        <v>BR_VW_TCR_youtube_SOC_DRCT_CPV_STD_MPU_AAF_RON_CXD_T-Cross-WebSerie-Ep-6-T-Cross-AMC_PD_Video</v>
      </c>
      <c r="G186" t="str">
        <f t="shared" si="38"/>
        <v>438853823</v>
      </c>
      <c r="H186" t="str">
        <f t="shared" si="39"/>
        <v>Tracking</v>
      </c>
      <c r="I186">
        <f t="shared" si="40"/>
        <v>0</v>
      </c>
      <c r="J186">
        <f t="shared" si="41"/>
        <v>1</v>
      </c>
      <c r="K186" s="4">
        <f t="shared" si="44"/>
        <v>3.5000000000000001E-3</v>
      </c>
      <c r="L186">
        <f t="shared" si="45"/>
        <v>0.02</v>
      </c>
      <c r="M186" s="4">
        <f t="shared" si="42"/>
        <v>3.5000000000000001E-3</v>
      </c>
      <c r="N186" s="4">
        <f t="shared" si="43"/>
        <v>0.02</v>
      </c>
    </row>
    <row r="187" spans="1:14">
      <c r="A187" t="str">
        <f t="shared" si="32"/>
        <v>BR_AAF_SOC_LANCH_ND_NC_2019Q1MAR_TCR_WebSerie</v>
      </c>
      <c r="B187" t="str">
        <f t="shared" si="33"/>
        <v>Google Brasil</v>
      </c>
      <c r="C187" t="str">
        <f t="shared" si="34"/>
        <v>BR_VW_TCR_youtube_SOC_DRCT_CPV_STD_MPU_AAF_RON_CXD_T-Cross-WebSerie-Trailer-T-Cross-AMC_PD_Video</v>
      </c>
      <c r="D187" t="str">
        <f t="shared" si="35"/>
        <v>241735322</v>
      </c>
      <c r="E187" t="str">
        <f t="shared" si="36"/>
        <v>Dynamic Click</v>
      </c>
      <c r="F187" t="str">
        <f t="shared" si="37"/>
        <v>BR_VW_TCR_youtube_SOC_DRCT_CPV_STD_MPU_AAF_RON_CXD_T-Cross-WebSerie-Trailer-T-Cross-AMC_PD_Video</v>
      </c>
      <c r="G187" t="str">
        <f t="shared" si="38"/>
        <v>438625044</v>
      </c>
      <c r="H187" t="str">
        <f t="shared" si="39"/>
        <v>Tracking</v>
      </c>
      <c r="I187">
        <f t="shared" si="40"/>
        <v>0</v>
      </c>
      <c r="J187">
        <f t="shared" si="41"/>
        <v>14208</v>
      </c>
      <c r="K187" s="4">
        <f t="shared" si="44"/>
        <v>3.5000000000000001E-3</v>
      </c>
      <c r="L187">
        <f t="shared" si="45"/>
        <v>0.02</v>
      </c>
      <c r="M187" s="4">
        <f t="shared" si="42"/>
        <v>49.728000000000002</v>
      </c>
      <c r="N187" s="4">
        <f t="shared" si="43"/>
        <v>284.16000000000003</v>
      </c>
    </row>
    <row r="188" spans="1:14">
      <c r="A188" t="str">
        <f t="shared" si="32"/>
        <v>BR_AAF_SOC_LANCH_ND_NC_2019Q1MAR_TCR_WebSerie</v>
      </c>
      <c r="B188" t="str">
        <f t="shared" si="33"/>
        <v>faceinsta</v>
      </c>
      <c r="C188" t="str">
        <f t="shared" si="34"/>
        <v>BR_VW_TCR_faceinsta_SOC_DRCT_CPV_STD_MPU_AAF_RON_CXD_T-Cross-WebSerie-Ep-8-T-Cross-Remarketing_PD_Video</v>
      </c>
      <c r="D188" t="str">
        <f t="shared" si="35"/>
        <v>241898495</v>
      </c>
      <c r="E188" t="str">
        <f t="shared" si="36"/>
        <v>Dynamic Click</v>
      </c>
      <c r="F188" t="str">
        <f t="shared" si="37"/>
        <v>BR_VW_TCR_faceinsta_SOC_DRCT_CPV_STD_MPU_AAF_RON_CXD_T-Cross-WebSerie-Ep-8-T-Cross-Remarketing_PD_Video</v>
      </c>
      <c r="G188" t="str">
        <f t="shared" si="38"/>
        <v>438853874</v>
      </c>
      <c r="H188" t="str">
        <f t="shared" si="39"/>
        <v>Tracking</v>
      </c>
      <c r="I188">
        <f t="shared" si="40"/>
        <v>0</v>
      </c>
      <c r="J188">
        <f t="shared" si="41"/>
        <v>1</v>
      </c>
      <c r="K188" s="4">
        <f t="shared" si="44"/>
        <v>3.5000000000000001E-3</v>
      </c>
      <c r="L188">
        <f t="shared" si="45"/>
        <v>0.02</v>
      </c>
      <c r="M188" s="4">
        <f t="shared" si="42"/>
        <v>3.5000000000000001E-3</v>
      </c>
      <c r="N188" s="4">
        <f t="shared" si="43"/>
        <v>0.02</v>
      </c>
    </row>
    <row r="189" spans="1:14">
      <c r="A189" t="str">
        <f t="shared" si="32"/>
        <v>BR_AAF_SOC_LANCH_ND_NC_2019Q1MAR_TCR_WebSerie</v>
      </c>
      <c r="B189" t="str">
        <f t="shared" si="33"/>
        <v>faceinsta</v>
      </c>
      <c r="C189" t="str">
        <f t="shared" si="34"/>
        <v>BR_VW_TCR_faceinsta_SOC_DRCT_CPV_STD_MPU_AAF_RON_CXD_T-Cross-WebSerie-Trailer-T-Cross-AMC_PD_Stories</v>
      </c>
      <c r="D189" t="str">
        <f t="shared" si="35"/>
        <v>241898422</v>
      </c>
      <c r="E189" t="str">
        <f t="shared" si="36"/>
        <v>Dynamic Click</v>
      </c>
      <c r="F189" t="str">
        <f t="shared" si="37"/>
        <v>BR_VW_TCR_faceinsta_SOC_DRCT_CPV_STD_MPU_AAF_RON_CXD_T-Cross-WebSerie-Trailer-T-Cross-AMC_PD_Stories</v>
      </c>
      <c r="G189" t="str">
        <f t="shared" si="38"/>
        <v>438668355</v>
      </c>
      <c r="H189" t="str">
        <f t="shared" si="39"/>
        <v>Tracking</v>
      </c>
      <c r="I189">
        <f t="shared" si="40"/>
        <v>0</v>
      </c>
      <c r="J189">
        <f t="shared" si="41"/>
        <v>2820</v>
      </c>
      <c r="K189" s="4">
        <f t="shared" si="44"/>
        <v>3.5000000000000001E-3</v>
      </c>
      <c r="L189">
        <f t="shared" si="45"/>
        <v>0.02</v>
      </c>
      <c r="M189" s="4">
        <f t="shared" si="42"/>
        <v>9.870000000000001</v>
      </c>
      <c r="N189" s="4">
        <f t="shared" si="43"/>
        <v>56.4</v>
      </c>
    </row>
    <row r="190" spans="1:14">
      <c r="A190" t="str">
        <f t="shared" si="32"/>
        <v>BR_AAF_SOC_LANCH_ND_NC_2019Q1MAR_TCR_WebSerie</v>
      </c>
      <c r="B190" t="str">
        <f t="shared" si="33"/>
        <v>faceinsta</v>
      </c>
      <c r="C190" t="str">
        <f t="shared" si="34"/>
        <v>BR_VW_TCR_faceinsta_SOC_DRCT_CPV_STD_MPU_AAF_RON_CXD_T-Cross-WebSerie-Trailer-T-Cross-AMC_PD_Video</v>
      </c>
      <c r="D190" t="str">
        <f t="shared" si="35"/>
        <v>241790534</v>
      </c>
      <c r="E190" t="str">
        <f t="shared" si="36"/>
        <v>Dynamic Click</v>
      </c>
      <c r="F190" t="str">
        <f t="shared" si="37"/>
        <v>BR_VW_TCR_faceinsta_SOC_DRCT_CPV_STD_MPU_AAF_RON_CXD_T-Cross-WebSerie-Trailer-T-Cross-AMC_PD_Video</v>
      </c>
      <c r="G190" t="str">
        <f t="shared" si="38"/>
        <v>438672468</v>
      </c>
      <c r="H190" t="str">
        <f t="shared" si="39"/>
        <v>Tracking</v>
      </c>
      <c r="I190">
        <f t="shared" si="40"/>
        <v>0</v>
      </c>
      <c r="J190">
        <f t="shared" si="41"/>
        <v>1321</v>
      </c>
      <c r="K190" s="4">
        <f t="shared" si="44"/>
        <v>3.5000000000000001E-3</v>
      </c>
      <c r="L190">
        <f t="shared" si="45"/>
        <v>0.02</v>
      </c>
      <c r="M190" s="4">
        <f t="shared" si="42"/>
        <v>4.6234999999999999</v>
      </c>
      <c r="N190" s="4">
        <f t="shared" si="43"/>
        <v>26.42</v>
      </c>
    </row>
    <row r="191" spans="1:14">
      <c r="A191" t="str">
        <f t="shared" si="32"/>
        <v>BR_AAF_SOC_LANCH_ND_NC_2019Q1MAR_TCR_WebSerie</v>
      </c>
      <c r="B191" t="str">
        <f t="shared" si="33"/>
        <v>faceinsta</v>
      </c>
      <c r="C191" t="str">
        <f t="shared" si="34"/>
        <v>BR_VW_TCR_faceinsta_SOC_DRCT_CPV_STD_MPU_AAF_RON_CXD_T-Cross-WebSerie-Trailer-T-Cross-Remarketing_PD_Stories</v>
      </c>
      <c r="D191" t="str">
        <f t="shared" si="35"/>
        <v>242100849</v>
      </c>
      <c r="E191" t="str">
        <f t="shared" si="36"/>
        <v>Dynamic Click</v>
      </c>
      <c r="F191" t="str">
        <f t="shared" si="37"/>
        <v>BR_VW_TCR_faceinsta_SOC_DRCT_CPV_STD_MPU_AAF_RON_CXD_T-Cross-WebSerie-Trailer-T-Cross-Remarketing_PD_Stories</v>
      </c>
      <c r="G191" t="str">
        <f t="shared" si="38"/>
        <v>438668952</v>
      </c>
      <c r="H191" t="str">
        <f t="shared" si="39"/>
        <v>Tracking</v>
      </c>
      <c r="I191">
        <f t="shared" si="40"/>
        <v>0</v>
      </c>
      <c r="J191">
        <f t="shared" si="41"/>
        <v>879</v>
      </c>
      <c r="K191" s="4">
        <f t="shared" si="44"/>
        <v>3.5000000000000001E-3</v>
      </c>
      <c r="L191">
        <f t="shared" si="45"/>
        <v>0.02</v>
      </c>
      <c r="M191" s="4">
        <f t="shared" si="42"/>
        <v>3.0765000000000002</v>
      </c>
      <c r="N191" s="4">
        <f t="shared" si="43"/>
        <v>17.580000000000002</v>
      </c>
    </row>
    <row r="192" spans="1:14">
      <c r="A192" t="str">
        <f t="shared" si="32"/>
        <v>BR_AAF_SOC_LANCH_ND_NC_2019Q1MAR_TCR_WebSerie</v>
      </c>
      <c r="B192" t="str">
        <f t="shared" si="33"/>
        <v>faceinsta</v>
      </c>
      <c r="C192" t="str">
        <f t="shared" si="34"/>
        <v>BR_VW_TCR_faceinsta_SOC_DRCT_CPV_STD_MPU_AAF_RON_CXD_T-Cross-WebSerie-Trailer-T-Cross-Remarketing_PD_Video</v>
      </c>
      <c r="D192" t="str">
        <f t="shared" si="35"/>
        <v>241895485</v>
      </c>
      <c r="E192" t="str">
        <f t="shared" si="36"/>
        <v>Dynamic Click</v>
      </c>
      <c r="F192" t="str">
        <f t="shared" si="37"/>
        <v>BR_VW_TCR_faceinsta_SOC_DRCT_CPV_STD_MPU_AAF_RON_CXD_T-Cross-WebSerie-Trailer-T-Cross-Remarketing_PD_Video</v>
      </c>
      <c r="G192" t="str">
        <f t="shared" si="38"/>
        <v>438668946</v>
      </c>
      <c r="H192" t="str">
        <f t="shared" si="39"/>
        <v>Tracking</v>
      </c>
      <c r="I192">
        <f t="shared" si="40"/>
        <v>0</v>
      </c>
      <c r="J192">
        <f t="shared" si="41"/>
        <v>361</v>
      </c>
      <c r="K192" s="4">
        <f t="shared" si="44"/>
        <v>3.5000000000000001E-3</v>
      </c>
      <c r="L192">
        <f t="shared" si="45"/>
        <v>0.02</v>
      </c>
      <c r="M192" s="4">
        <f t="shared" si="42"/>
        <v>1.2635000000000001</v>
      </c>
      <c r="N192" s="4">
        <f t="shared" si="43"/>
        <v>7.22</v>
      </c>
    </row>
    <row r="193" spans="1:14">
      <c r="A193" t="str">
        <f t="shared" si="32"/>
        <v>BR_AAF_SOC_LANCH_ND_NC_2019Q1MAR_TCR_WebSerie</v>
      </c>
      <c r="B193" t="str">
        <f t="shared" si="33"/>
        <v>instagram.com</v>
      </c>
      <c r="C193" t="str">
        <f t="shared" si="34"/>
        <v>BR_VW_TCR_instagram_SOC_DRCT_CPM_STD_MPU_AAF_RON_CXD_T-Cross-WebSerie-Trailer-T-Cross-AMC_PD_Stories</v>
      </c>
      <c r="D193" t="str">
        <f t="shared" si="35"/>
        <v>241849576</v>
      </c>
      <c r="E193" t="str">
        <f t="shared" si="36"/>
        <v>Dynamic Click</v>
      </c>
      <c r="F193" t="str">
        <f t="shared" si="37"/>
        <v>BR_VW_TCR_instagram_SOC_DRCT_CPM_STD_MPU_AAF_RON_CXD_T-Cross-WebSerie-Trailer-T-Cross-AMC_PD_Stories</v>
      </c>
      <c r="G193" t="str">
        <f t="shared" si="38"/>
        <v>438686590</v>
      </c>
      <c r="H193" t="str">
        <f t="shared" si="39"/>
        <v>Tracking</v>
      </c>
      <c r="I193">
        <f t="shared" si="40"/>
        <v>0</v>
      </c>
      <c r="J193">
        <f t="shared" si="41"/>
        <v>1</v>
      </c>
      <c r="K193" s="4">
        <f t="shared" si="44"/>
        <v>3.5000000000000001E-3</v>
      </c>
      <c r="L193">
        <f t="shared" si="45"/>
        <v>0.02</v>
      </c>
      <c r="M193" s="4">
        <f t="shared" si="42"/>
        <v>3.5000000000000001E-3</v>
      </c>
      <c r="N193" s="4">
        <f t="shared" si="43"/>
        <v>0.02</v>
      </c>
    </row>
    <row r="194" spans="1:14">
      <c r="A194" t="str">
        <f t="shared" ref="A194:A257" si="46">bd_campaign</f>
        <v>BR_AAF_SOC_LANCH_ND_NC_2019Q1MAR_TCR_WebSerie</v>
      </c>
      <c r="B194" t="str">
        <f t="shared" ref="B194:B257" si="47">bd_site</f>
        <v>instagram.com</v>
      </c>
      <c r="C194" t="str">
        <f t="shared" ref="C194:C257" si="48">bd_placement</f>
        <v>BR_VW_TCR_instagram_SOC_DRCT_CPM_STD_SRB_AAF_RON_CXD_T-Cross-WebSerie-Trailer-T-Cross-AMC_PD_PagePost</v>
      </c>
      <c r="D194" t="str">
        <f t="shared" ref="D194:D257" si="49">bd_placementID</f>
        <v>241870519</v>
      </c>
      <c r="E194" t="str">
        <f t="shared" ref="E194:E257" si="50">VLOOKUP(CONCATENATE(bd_adtype,"_",bd_creativetype),tabela,2,FALSE)</f>
        <v>Dynamic Click</v>
      </c>
      <c r="F194" t="str">
        <f t="shared" ref="F194:F257" si="51">bd_ad</f>
        <v>BR_VW_TCR_instagram_SOC_DRCT_CPM_STD_SRB_AAF_RON_CXD_T-Cross-WebSerie-Trailer-T-Cross-AMC_PD_PagePost</v>
      </c>
      <c r="G194" t="str">
        <f t="shared" ref="G194:G257" si="52">bd_adid</f>
        <v>438706451</v>
      </c>
      <c r="H194" t="str">
        <f t="shared" ref="H194:H257" si="53">bd_creativetype</f>
        <v>Tracking</v>
      </c>
      <c r="I194">
        <f t="shared" ref="I194:I257" si="54">bd_impression</f>
        <v>0</v>
      </c>
      <c r="J194">
        <f t="shared" ref="J194:J257" si="55">bd_clicks</f>
        <v>1</v>
      </c>
      <c r="K194" s="4">
        <f t="shared" si="44"/>
        <v>3.5000000000000001E-3</v>
      </c>
      <c r="L194">
        <f t="shared" si="45"/>
        <v>0.02</v>
      </c>
      <c r="M194" s="4">
        <f t="shared" si="42"/>
        <v>3.5000000000000001E-3</v>
      </c>
      <c r="N194" s="4">
        <f t="shared" si="43"/>
        <v>0.02</v>
      </c>
    </row>
    <row r="195" spans="1:14">
      <c r="A195" t="str">
        <f t="shared" si="46"/>
        <v>BR_AAF_SOC_LANCH_ND_NC_2019Q1MAR_TCR_WebSerie</v>
      </c>
      <c r="B195" t="str">
        <f t="shared" si="47"/>
        <v>instagram.com</v>
      </c>
      <c r="C195" t="str">
        <f t="shared" si="48"/>
        <v>BR_VW_TCR_instagram_SOC_DRCT_CPV_STD_MPU_AAF_RON_CXD_T-Cross-WebSerie-Ep-1-T-Cross-AMC_PD_Stories</v>
      </c>
      <c r="D195" t="str">
        <f t="shared" si="49"/>
        <v>242732892</v>
      </c>
      <c r="E195" t="str">
        <f t="shared" si="50"/>
        <v>Dynamic Click</v>
      </c>
      <c r="F195" t="str">
        <f t="shared" si="51"/>
        <v>BR_VW_TCR_instagram_SOC_DRCT_CPV_STD_MPU_AAF_RON_CXD_T-Cross-WebSerie-Ep-1-T-Cross-AMC_PD_Stories</v>
      </c>
      <c r="G195" t="str">
        <f t="shared" si="52"/>
        <v>439153830</v>
      </c>
      <c r="H195" t="str">
        <f t="shared" si="53"/>
        <v>Tracking</v>
      </c>
      <c r="I195">
        <f t="shared" si="54"/>
        <v>0</v>
      </c>
      <c r="J195">
        <f t="shared" si="55"/>
        <v>5848</v>
      </c>
      <c r="K195" s="4">
        <f t="shared" si="44"/>
        <v>3.5000000000000001E-3</v>
      </c>
      <c r="L195">
        <f t="shared" si="45"/>
        <v>0.02</v>
      </c>
      <c r="M195" s="4">
        <f t="shared" si="42"/>
        <v>20.468</v>
      </c>
      <c r="N195" s="4">
        <f t="shared" si="43"/>
        <v>116.96000000000001</v>
      </c>
    </row>
    <row r="196" spans="1:14">
      <c r="A196" t="str">
        <f t="shared" si="46"/>
        <v>BR_AAF_SOC_LANCH_ND_NC_2019Q1MAR_TCR_WebSerie</v>
      </c>
      <c r="B196" t="str">
        <f t="shared" si="47"/>
        <v>instagram.com</v>
      </c>
      <c r="C196" t="str">
        <f t="shared" si="48"/>
        <v>BR_VW_TCR_instagram_SOC_DRCT_CPV_STD_MPU_AAF_RON_CXD_T-Cross-WebSerie-Ep-1-T-Cross-Remarketing_PD_Stories</v>
      </c>
      <c r="D196" t="str">
        <f t="shared" si="49"/>
        <v>242732886</v>
      </c>
      <c r="E196" t="str">
        <f t="shared" si="50"/>
        <v>Dynamic Click</v>
      </c>
      <c r="F196" t="str">
        <f t="shared" si="51"/>
        <v>BR_VW_TCR_instagram_SOC_DRCT_CPV_STD_MPU_AAF_RON_CXD_T-Cross-WebSerie-Ep-1-T-Cross-Remarketing_PD_Stories</v>
      </c>
      <c r="G196" t="str">
        <f t="shared" si="52"/>
        <v>439153836</v>
      </c>
      <c r="H196" t="str">
        <f t="shared" si="53"/>
        <v>Tracking</v>
      </c>
      <c r="I196">
        <f t="shared" si="54"/>
        <v>0</v>
      </c>
      <c r="J196">
        <f t="shared" si="55"/>
        <v>1683</v>
      </c>
      <c r="K196" s="4">
        <f t="shared" si="44"/>
        <v>3.5000000000000001E-3</v>
      </c>
      <c r="L196">
        <f t="shared" si="45"/>
        <v>0.02</v>
      </c>
      <c r="M196" s="4">
        <f t="shared" si="42"/>
        <v>5.8905000000000003</v>
      </c>
      <c r="N196" s="4">
        <f t="shared" si="43"/>
        <v>33.660000000000004</v>
      </c>
    </row>
    <row r="197" spans="1:14">
      <c r="A197" t="str">
        <f t="shared" si="46"/>
        <v>BR_AAF_SOC_LANCH_ND_NC_2019Q1MAR_TCR_WebSerie</v>
      </c>
      <c r="B197" t="str">
        <f t="shared" si="47"/>
        <v>instagram.com</v>
      </c>
      <c r="C197" t="str">
        <f t="shared" si="48"/>
        <v>BR_VW_TCR_instagram_SOC_DRCT_CPV_STD_MPU_AAF_RON_CXD_T-Cross-WebSerie-Ep-2-T-Cross-AMC_PD_Stories</v>
      </c>
      <c r="D197" t="str">
        <f t="shared" si="49"/>
        <v>242732883</v>
      </c>
      <c r="E197" t="str">
        <f t="shared" si="50"/>
        <v>Dynamic Click</v>
      </c>
      <c r="F197" t="str">
        <f t="shared" si="51"/>
        <v>BR_VW_TCR_instagram_SOC_DRCT_CPV_STD_MPU_AAF_RON_CXD_T-Cross-WebSerie-Ep-2-T-Cross-AMC_PD_Stories</v>
      </c>
      <c r="G197" t="str">
        <f t="shared" si="52"/>
        <v>439153839</v>
      </c>
      <c r="H197" t="str">
        <f t="shared" si="53"/>
        <v>Tracking</v>
      </c>
      <c r="I197">
        <f t="shared" si="54"/>
        <v>0</v>
      </c>
      <c r="J197">
        <f t="shared" si="55"/>
        <v>3157</v>
      </c>
      <c r="K197" s="4">
        <f t="shared" si="44"/>
        <v>3.5000000000000001E-3</v>
      </c>
      <c r="L197">
        <f t="shared" si="45"/>
        <v>0.02</v>
      </c>
      <c r="M197" s="4">
        <f t="shared" si="42"/>
        <v>11.0495</v>
      </c>
      <c r="N197" s="4">
        <f t="shared" si="43"/>
        <v>63.14</v>
      </c>
    </row>
    <row r="198" spans="1:14">
      <c r="A198" t="str">
        <f t="shared" si="46"/>
        <v>BR_AAF_SOC_LANCH_ND_NC_2019Q1MAR_TCR_WebSerie</v>
      </c>
      <c r="B198" t="str">
        <f t="shared" si="47"/>
        <v>instagram.com</v>
      </c>
      <c r="C198" t="str">
        <f t="shared" si="48"/>
        <v>BR_VW_TCR_instagram_SOC_DRCT_CPV_STD_MPU_AAF_RON_CXD_T-Cross-WebSerie-Ep-2-T-Cross-Remarketing_PD_Stories</v>
      </c>
      <c r="D198" t="str">
        <f t="shared" si="49"/>
        <v>242732880</v>
      </c>
      <c r="E198" t="str">
        <f t="shared" si="50"/>
        <v>Dynamic Click</v>
      </c>
      <c r="F198" t="str">
        <f t="shared" si="51"/>
        <v>BR_VW_TCR_instagram_SOC_DRCT_CPV_STD_MPU_AAF_RON_CXD_T-Cross-WebSerie-Ep-2-T-Cross-Remarketing_PD_Stories</v>
      </c>
      <c r="G198" t="str">
        <f t="shared" si="52"/>
        <v>439153842</v>
      </c>
      <c r="H198" t="str">
        <f t="shared" si="53"/>
        <v>Tracking</v>
      </c>
      <c r="I198">
        <f t="shared" si="54"/>
        <v>0</v>
      </c>
      <c r="J198">
        <f t="shared" si="55"/>
        <v>4122</v>
      </c>
      <c r="K198" s="4">
        <f t="shared" si="44"/>
        <v>3.5000000000000001E-3</v>
      </c>
      <c r="L198">
        <f t="shared" si="45"/>
        <v>0.02</v>
      </c>
      <c r="M198" s="4">
        <f t="shared" si="42"/>
        <v>14.427</v>
      </c>
      <c r="N198" s="4">
        <f t="shared" si="43"/>
        <v>82.44</v>
      </c>
    </row>
    <row r="199" spans="1:14">
      <c r="A199" t="str">
        <f t="shared" si="46"/>
        <v>BR_AAF_SOC_LANCH_ND_NC_2019Q1MAR_TCR_WebSerie</v>
      </c>
      <c r="B199" t="str">
        <f t="shared" si="47"/>
        <v>instagram.com</v>
      </c>
      <c r="C199" t="str">
        <f t="shared" si="48"/>
        <v>BR_VW_TCR_instagram_SOC_DRCT_CPV_STD_MPU_AAF_RON_CXD_T-Cross-WebSerie-Ep-3-T-Cross-Remarketing_PD_Stories</v>
      </c>
      <c r="D199" t="str">
        <f t="shared" si="49"/>
        <v>242926394</v>
      </c>
      <c r="E199" t="str">
        <f t="shared" si="50"/>
        <v>Dynamic Click</v>
      </c>
      <c r="F199" t="str">
        <f t="shared" si="51"/>
        <v>BR_VW_TCR_instagram_SOC_DRCT_CPV_STD_MPU_AAF_RON_CXD_T-Cross-WebSerie-Ep-3-T-Cross-Remarketing_PD_Stories</v>
      </c>
      <c r="G199" t="str">
        <f t="shared" si="52"/>
        <v>439741070</v>
      </c>
      <c r="H199" t="str">
        <f t="shared" si="53"/>
        <v>Tracking</v>
      </c>
      <c r="I199">
        <f t="shared" si="54"/>
        <v>0</v>
      </c>
      <c r="J199">
        <f t="shared" si="55"/>
        <v>1</v>
      </c>
      <c r="K199" s="4">
        <f t="shared" si="44"/>
        <v>3.5000000000000001E-3</v>
      </c>
      <c r="L199">
        <f t="shared" si="45"/>
        <v>0.02</v>
      </c>
      <c r="M199" s="4">
        <f t="shared" si="42"/>
        <v>3.5000000000000001E-3</v>
      </c>
      <c r="N199" s="4">
        <f t="shared" si="43"/>
        <v>0.02</v>
      </c>
    </row>
    <row r="200" spans="1:14">
      <c r="A200" t="str">
        <f t="shared" si="46"/>
        <v>BR_AAF_SOC_LANCH_ND_NC_2019Q1MAR_TCR_WebSerie</v>
      </c>
      <c r="B200" t="str">
        <f t="shared" si="47"/>
        <v>instagram.com</v>
      </c>
      <c r="C200" t="str">
        <f t="shared" si="48"/>
        <v>BR_VW_TCR_instagram_SOC_DRCT_CPV_STD_MPU_AAF_RON_CXD_T-Cross-WebSerie-Ep-5-T-Cross-AMC_PD_Stories</v>
      </c>
      <c r="D200" t="str">
        <f t="shared" si="49"/>
        <v>243623980</v>
      </c>
      <c r="E200" t="str">
        <f t="shared" si="50"/>
        <v>Dynamic Click</v>
      </c>
      <c r="F200" t="str">
        <f t="shared" si="51"/>
        <v>BR_VW_TCR_instagram_SOC_DRCT_CPV_STD_MPU_AAF_RON_CXD_T-Cross-WebSerie-Ep-5-T-Cross-AMC_PD_Stories</v>
      </c>
      <c r="G200" t="str">
        <f t="shared" si="52"/>
        <v>440226117</v>
      </c>
      <c r="H200" t="str">
        <f t="shared" si="53"/>
        <v>Tracking</v>
      </c>
      <c r="I200">
        <f t="shared" si="54"/>
        <v>0</v>
      </c>
      <c r="J200">
        <f t="shared" si="55"/>
        <v>4296</v>
      </c>
      <c r="K200" s="4">
        <f t="shared" si="44"/>
        <v>3.5000000000000001E-3</v>
      </c>
      <c r="L200">
        <f t="shared" si="45"/>
        <v>0.02</v>
      </c>
      <c r="M200" s="4">
        <f t="shared" si="42"/>
        <v>15.036</v>
      </c>
      <c r="N200" s="4">
        <f t="shared" si="43"/>
        <v>85.92</v>
      </c>
    </row>
    <row r="201" spans="1:14">
      <c r="A201" t="str">
        <f t="shared" si="46"/>
        <v>BR_AAF_SOC_LANCH_ND_NC_2019Q1MAR_TCR_WebSerie</v>
      </c>
      <c r="B201" t="str">
        <f t="shared" si="47"/>
        <v>instagram.com</v>
      </c>
      <c r="C201" t="str">
        <f t="shared" si="48"/>
        <v>BR_VW_TCR_instagram_SOC_DRCT_CPV_STD_MPU_AAF_RON_CXD_T-Cross-WebSerie-Ep-6-T-Cross-Remarketing_PD_Stories</v>
      </c>
      <c r="D201" t="str">
        <f t="shared" si="49"/>
        <v>243622873</v>
      </c>
      <c r="E201" t="str">
        <f t="shared" si="50"/>
        <v>Dynamic Click</v>
      </c>
      <c r="F201" t="str">
        <f t="shared" si="51"/>
        <v>BR_VW_TCR_instagram_SOC_DRCT_CPV_STD_MPU_AAF_RON_CXD_T-Cross-WebSerie-Ep-6-T-Cross-Remarketing_PD_Stories</v>
      </c>
      <c r="G201" t="str">
        <f t="shared" si="52"/>
        <v>440225646</v>
      </c>
      <c r="H201" t="str">
        <f t="shared" si="53"/>
        <v>Tracking</v>
      </c>
      <c r="I201">
        <f t="shared" si="54"/>
        <v>0</v>
      </c>
      <c r="J201">
        <f t="shared" si="55"/>
        <v>62</v>
      </c>
      <c r="K201" s="4">
        <f t="shared" si="44"/>
        <v>3.5000000000000001E-3</v>
      </c>
      <c r="L201">
        <f t="shared" si="45"/>
        <v>0.02</v>
      </c>
      <c r="M201" s="4">
        <f t="shared" si="42"/>
        <v>0.217</v>
      </c>
      <c r="N201" s="4">
        <f t="shared" si="43"/>
        <v>1.24</v>
      </c>
    </row>
    <row r="202" spans="1:14">
      <c r="A202" t="str">
        <f t="shared" si="46"/>
        <v>BR_AAF_SOC_LANCH_ND_NC_2019Q1MAR_TCR_WebSerie</v>
      </c>
      <c r="B202" t="str">
        <f t="shared" si="47"/>
        <v>instagram.com</v>
      </c>
      <c r="C202" t="str">
        <f t="shared" si="48"/>
        <v>BR_VW_TCR_instagram_SOC_DRCT_CPV_STD_SRB_AAF_RON_CXD_T-Cross-WebSerie-Ep-1-T-Cross-AMC_PD_PagePost</v>
      </c>
      <c r="D202" t="str">
        <f t="shared" si="49"/>
        <v>242732895</v>
      </c>
      <c r="E202" t="str">
        <f t="shared" si="50"/>
        <v>Dynamic Click</v>
      </c>
      <c r="F202" t="str">
        <f t="shared" si="51"/>
        <v>BR_VW_TCR_instagram_SOC_DRCT_CPV_STD_SRB_AAF_RON_CXD_T-Cross-WebSerie-Ep-1-T-Cross-AMC_PD_PagePost</v>
      </c>
      <c r="G202" t="str">
        <f t="shared" si="52"/>
        <v>439153827</v>
      </c>
      <c r="H202" t="str">
        <f t="shared" si="53"/>
        <v>Tracking</v>
      </c>
      <c r="I202">
        <f t="shared" si="54"/>
        <v>0</v>
      </c>
      <c r="J202">
        <f t="shared" si="55"/>
        <v>577</v>
      </c>
      <c r="K202" s="4">
        <f t="shared" si="44"/>
        <v>3.5000000000000001E-3</v>
      </c>
      <c r="L202">
        <f t="shared" si="45"/>
        <v>0.02</v>
      </c>
      <c r="M202" s="4">
        <f t="shared" si="42"/>
        <v>2.0194999999999999</v>
      </c>
      <c r="N202" s="4">
        <f t="shared" si="43"/>
        <v>11.540000000000001</v>
      </c>
    </row>
    <row r="203" spans="1:14">
      <c r="A203" t="str">
        <f t="shared" si="46"/>
        <v>BR_AAF_SOC_LANCH_ND_NC_2019Q1MAR_TCR_WebSerie</v>
      </c>
      <c r="B203" t="str">
        <f t="shared" si="47"/>
        <v>instagram.com</v>
      </c>
      <c r="C203" t="str">
        <f t="shared" si="48"/>
        <v>BR_VW_TCR_instagram_SOC_DRCT_CPV_STD_SRB_AAF_RON_CXD_T-Cross-WebSerie-Ep-1-T-Cross-Remarketing_PD_PagePost</v>
      </c>
      <c r="D203" t="str">
        <f t="shared" si="49"/>
        <v>242732889</v>
      </c>
      <c r="E203" t="str">
        <f t="shared" si="50"/>
        <v>Dynamic Click</v>
      </c>
      <c r="F203" t="str">
        <f t="shared" si="51"/>
        <v>BR_VW_TCR_instagram_SOC_DRCT_CPV_STD_SRB_AAF_RON_CXD_T-Cross-WebSerie-Ep-1-T-Cross-Remarketing_PD_PagePost</v>
      </c>
      <c r="G203" t="str">
        <f t="shared" si="52"/>
        <v>439153833</v>
      </c>
      <c r="H203" t="str">
        <f t="shared" si="53"/>
        <v>Tracking</v>
      </c>
      <c r="I203">
        <f t="shared" si="54"/>
        <v>0</v>
      </c>
      <c r="J203">
        <f t="shared" si="55"/>
        <v>1373</v>
      </c>
      <c r="K203" s="4">
        <f t="shared" si="44"/>
        <v>3.5000000000000001E-3</v>
      </c>
      <c r="L203">
        <f t="shared" si="45"/>
        <v>0.02</v>
      </c>
      <c r="M203" s="4">
        <f t="shared" si="42"/>
        <v>4.8055000000000003</v>
      </c>
      <c r="N203" s="4">
        <f t="shared" si="43"/>
        <v>27.46</v>
      </c>
    </row>
    <row r="204" spans="1:14">
      <c r="A204" t="str">
        <f t="shared" si="46"/>
        <v>BR_AAF_SOC_LANCH_ND_NC_2019Q1MAR_TCR_WebSerie</v>
      </c>
      <c r="B204" t="str">
        <f t="shared" si="47"/>
        <v>instagram.com</v>
      </c>
      <c r="C204" t="str">
        <f t="shared" si="48"/>
        <v>BR_VW_TCR_instagram_SOC_DRCT_CPV_STD_SRB_AAF_RON_CXD_T-Cross-WebSerie-Ep-2-T-Cross-AMC_PD_PagePost</v>
      </c>
      <c r="D204" t="str">
        <f t="shared" si="49"/>
        <v>242645612</v>
      </c>
      <c r="E204" t="str">
        <f t="shared" si="50"/>
        <v>Dynamic Click</v>
      </c>
      <c r="F204" t="str">
        <f t="shared" si="51"/>
        <v>BR_VW_TCR_instagram_SOC_DRCT_CPV_STD_SRB_AAF_RON_CXD_T-Cross-WebSerie-Ep-2-T-Cross-AMC_PD_PagePost</v>
      </c>
      <c r="G204" t="str">
        <f t="shared" si="52"/>
        <v>439465256</v>
      </c>
      <c r="H204" t="str">
        <f t="shared" si="53"/>
        <v>Tracking</v>
      </c>
      <c r="I204">
        <f t="shared" si="54"/>
        <v>0</v>
      </c>
      <c r="J204">
        <f t="shared" si="55"/>
        <v>582</v>
      </c>
      <c r="K204" s="4">
        <f t="shared" si="44"/>
        <v>3.5000000000000001E-3</v>
      </c>
      <c r="L204">
        <f t="shared" si="45"/>
        <v>0.02</v>
      </c>
      <c r="M204" s="4">
        <f t="shared" si="42"/>
        <v>2.0369999999999999</v>
      </c>
      <c r="N204" s="4">
        <f t="shared" si="43"/>
        <v>11.64</v>
      </c>
    </row>
    <row r="205" spans="1:14">
      <c r="A205" t="str">
        <f t="shared" si="46"/>
        <v>BR_AAF_SOC_LANCH_ND_NC_2019Q1MAR_TCR_WebSerie</v>
      </c>
      <c r="B205" t="str">
        <f t="shared" si="47"/>
        <v>instagram.com</v>
      </c>
      <c r="C205" t="str">
        <f t="shared" si="48"/>
        <v>BR_VW_TCR_instagram_SOC_DRCT_CPV_STD_SRB_AAF_RON_CXD_T-Cross-WebSerie-Ep-2-T-Cross-Remarketing_PD_PagePost</v>
      </c>
      <c r="D205" t="str">
        <f t="shared" si="49"/>
        <v>242953557</v>
      </c>
      <c r="E205" t="str">
        <f t="shared" si="50"/>
        <v>Dynamic Click</v>
      </c>
      <c r="F205" t="str">
        <f t="shared" si="51"/>
        <v>BR_VW_TCR_instagram_SOC_DRCT_CPV_STD_SRB_AAF_RON_CXD_T-Cross-WebSerie-Ep-2-T-Cross-Remarketing_PD_PagePost</v>
      </c>
      <c r="G205" t="str">
        <f t="shared" si="52"/>
        <v>439349436</v>
      </c>
      <c r="H205" t="str">
        <f t="shared" si="53"/>
        <v>Tracking</v>
      </c>
      <c r="I205">
        <f t="shared" si="54"/>
        <v>0</v>
      </c>
      <c r="J205">
        <f t="shared" si="55"/>
        <v>740</v>
      </c>
      <c r="K205" s="4">
        <f t="shared" si="44"/>
        <v>3.5000000000000001E-3</v>
      </c>
      <c r="L205">
        <f t="shared" si="45"/>
        <v>0.02</v>
      </c>
      <c r="M205" s="4">
        <f t="shared" si="42"/>
        <v>2.59</v>
      </c>
      <c r="N205" s="4">
        <f t="shared" si="43"/>
        <v>14.8</v>
      </c>
    </row>
    <row r="206" spans="1:14">
      <c r="A206" t="str">
        <f t="shared" si="46"/>
        <v>BR_AAF_SOC_LANCH_ND_NC_2019Q1MAR_TCR_WebSerie</v>
      </c>
      <c r="B206" t="str">
        <f t="shared" si="47"/>
        <v>instagram.com</v>
      </c>
      <c r="C206" t="str">
        <f t="shared" si="48"/>
        <v>BR_VW_TCR_instagram_SOC_DRCT_CPV_STD_SRB_AAF_RON_CXD_T-Cross-WebSerie-Ep-5-T-Cross-AMC_PD_PagePost</v>
      </c>
      <c r="D206" t="str">
        <f t="shared" si="49"/>
        <v>243515846</v>
      </c>
      <c r="E206" t="str">
        <f t="shared" si="50"/>
        <v>Dynamic Click</v>
      </c>
      <c r="F206" t="str">
        <f t="shared" si="51"/>
        <v>BR_VW_TCR_instagram_SOC_DRCT_CPV_STD_SRB_AAF_RON_CXD_T-Cross-WebSerie-Ep-5-T-Cross-AMC_PD_PagePost</v>
      </c>
      <c r="G206" t="str">
        <f t="shared" si="52"/>
        <v>440328695</v>
      </c>
      <c r="H206" t="str">
        <f t="shared" si="53"/>
        <v>Tracking</v>
      </c>
      <c r="I206">
        <f t="shared" si="54"/>
        <v>0</v>
      </c>
      <c r="J206">
        <f t="shared" si="55"/>
        <v>1</v>
      </c>
      <c r="K206" s="4">
        <f t="shared" si="44"/>
        <v>3.5000000000000001E-3</v>
      </c>
      <c r="L206">
        <f t="shared" si="45"/>
        <v>0.02</v>
      </c>
      <c r="M206" s="4">
        <f t="shared" si="42"/>
        <v>3.5000000000000001E-3</v>
      </c>
      <c r="N206" s="4">
        <f t="shared" si="43"/>
        <v>0.02</v>
      </c>
    </row>
    <row r="207" spans="1:14">
      <c r="A207" t="str">
        <f t="shared" si="46"/>
        <v>BR_AAF_SOC_NONMS_ND_AS_2019Q1FEB_RNG_BrandedContent</v>
      </c>
      <c r="B207" t="str">
        <f t="shared" si="47"/>
        <v>Facebook</v>
      </c>
      <c r="C207" t="str">
        <f t="shared" si="48"/>
        <v>BR_VW_RNG_facebook_SOC_DRCT_CPM_CAI_MXD_AAF_ROS_CXD_BrandedContent-SandyeJunior-AMC_PD_pagepost</v>
      </c>
      <c r="D207" t="str">
        <f t="shared" si="49"/>
        <v>242478498</v>
      </c>
      <c r="E207" t="str">
        <f t="shared" si="50"/>
        <v>Dynamic Click</v>
      </c>
      <c r="F207" t="str">
        <f t="shared" si="51"/>
        <v>BR_VW_RNG_facebook_SOC_DRCT_CPM_CAI_MXD_AAF_ROS_CXD_BrandedContent-SandyeJunior-AMC_PD_pagepost</v>
      </c>
      <c r="G207" t="str">
        <f t="shared" si="52"/>
        <v>438983343</v>
      </c>
      <c r="H207" t="str">
        <f t="shared" si="53"/>
        <v>Tracking</v>
      </c>
      <c r="I207">
        <f t="shared" si="54"/>
        <v>0</v>
      </c>
      <c r="J207">
        <f t="shared" si="55"/>
        <v>2</v>
      </c>
      <c r="K207" s="4">
        <f t="shared" si="44"/>
        <v>3.5000000000000001E-3</v>
      </c>
      <c r="L207">
        <f t="shared" si="45"/>
        <v>0.02</v>
      </c>
      <c r="M207" s="4">
        <f t="shared" si="42"/>
        <v>7.0000000000000001E-3</v>
      </c>
      <c r="N207" s="4">
        <f t="shared" si="43"/>
        <v>0.04</v>
      </c>
    </row>
    <row r="208" spans="1:14">
      <c r="A208" t="str">
        <f t="shared" si="46"/>
        <v>BR_AAF_SOC_NONMS_ND_AS_2019Q1FEB_RNG_BrandedContent</v>
      </c>
      <c r="B208" t="str">
        <f t="shared" si="47"/>
        <v>Facebook</v>
      </c>
      <c r="C208" t="str">
        <f t="shared" si="48"/>
        <v>alp_BrandedContent_facebook_social_gesture_control_newsfeed_cpm_prospecting_pagepost_gesture_control_AMC-open</v>
      </c>
      <c r="D208" t="str">
        <f t="shared" si="49"/>
        <v>228026362</v>
      </c>
      <c r="E208" t="str">
        <f t="shared" si="50"/>
        <v>Dynamic Click</v>
      </c>
      <c r="F208" t="str">
        <f t="shared" si="51"/>
        <v>alp_BrandedContent_facebook_social_gesture_control_newsfeed_cpm_prospecting_pagepost_gesture_control_AMC-open</v>
      </c>
      <c r="G208" t="str">
        <f t="shared" si="52"/>
        <v>426180193</v>
      </c>
      <c r="H208" t="str">
        <f t="shared" si="53"/>
        <v>Tracking</v>
      </c>
      <c r="I208">
        <f t="shared" si="54"/>
        <v>0</v>
      </c>
      <c r="J208">
        <f t="shared" si="55"/>
        <v>11</v>
      </c>
      <c r="K208" s="4">
        <f t="shared" si="44"/>
        <v>3.5000000000000001E-3</v>
      </c>
      <c r="L208">
        <f t="shared" si="45"/>
        <v>0.02</v>
      </c>
      <c r="M208" s="4">
        <f t="shared" si="42"/>
        <v>3.85E-2</v>
      </c>
      <c r="N208" s="4">
        <f t="shared" si="43"/>
        <v>0.22</v>
      </c>
    </row>
    <row r="209" spans="1:14">
      <c r="A209" t="str">
        <f t="shared" si="46"/>
        <v>BR_AAF_SOC_NONMS_ND_AS_2019Q1FEB_RNG_BrandedContent</v>
      </c>
      <c r="B209" t="str">
        <f t="shared" si="47"/>
        <v>Facebook</v>
      </c>
      <c r="C209" t="str">
        <f t="shared" si="48"/>
        <v>alp_BrandedContent_facebook_social_howto_newsfeed_cpm_prospecting_pagepost_polo_lancamento_polo_amc</v>
      </c>
      <c r="D209" t="str">
        <f t="shared" si="49"/>
        <v>220279175</v>
      </c>
      <c r="E209" t="str">
        <f t="shared" si="50"/>
        <v>Dynamic Click</v>
      </c>
      <c r="F209" t="str">
        <f t="shared" si="51"/>
        <v>alp_BrandedContent_facebook_social_howto_newsfeed_cpm_prospecting_pagepost_polo_lancamento_polo_amc</v>
      </c>
      <c r="G209" t="str">
        <f t="shared" si="52"/>
        <v>418647357</v>
      </c>
      <c r="H209" t="str">
        <f t="shared" si="53"/>
        <v>Tracking</v>
      </c>
      <c r="I209">
        <f t="shared" si="54"/>
        <v>0</v>
      </c>
      <c r="J209">
        <f t="shared" si="55"/>
        <v>5</v>
      </c>
      <c r="K209" s="4">
        <f t="shared" si="44"/>
        <v>3.5000000000000001E-3</v>
      </c>
      <c r="L209">
        <f t="shared" si="45"/>
        <v>0.02</v>
      </c>
      <c r="M209" s="4">
        <f t="shared" si="42"/>
        <v>1.7500000000000002E-2</v>
      </c>
      <c r="N209" s="4">
        <f t="shared" si="43"/>
        <v>0.1</v>
      </c>
    </row>
    <row r="210" spans="1:14">
      <c r="A210" t="str">
        <f t="shared" si="46"/>
        <v>BR_AAF_SOC_NONMS_ND_AS_2019Q1FEB_RNG_BrandedContent</v>
      </c>
      <c r="B210" t="str">
        <f t="shared" si="47"/>
        <v>Facebook</v>
      </c>
      <c r="C210" t="str">
        <f t="shared" si="48"/>
        <v>alp_BrandedContent_facebook_social_salao_newsfeed_cpm_prospecting_pagepost_manifesto_AMC-open</v>
      </c>
      <c r="D210" t="str">
        <f t="shared" si="49"/>
        <v>232962432</v>
      </c>
      <c r="E210" t="str">
        <f t="shared" si="50"/>
        <v>Dynamic Click</v>
      </c>
      <c r="F210" t="str">
        <f t="shared" si="51"/>
        <v>alp_BrandedContent_facebook_social_salao_newsfeed_cpm_prospecting_pagepost_manifesto_AMC-open</v>
      </c>
      <c r="G210" t="str">
        <f t="shared" si="52"/>
        <v>430381139</v>
      </c>
      <c r="H210" t="str">
        <f t="shared" si="53"/>
        <v>Tracking</v>
      </c>
      <c r="I210">
        <f t="shared" si="54"/>
        <v>0</v>
      </c>
      <c r="J210">
        <f t="shared" si="55"/>
        <v>1</v>
      </c>
      <c r="K210" s="4">
        <f t="shared" si="44"/>
        <v>3.5000000000000001E-3</v>
      </c>
      <c r="L210">
        <f t="shared" si="45"/>
        <v>0.02</v>
      </c>
      <c r="M210" s="4">
        <f t="shared" si="42"/>
        <v>3.5000000000000001E-3</v>
      </c>
      <c r="N210" s="4">
        <f t="shared" si="43"/>
        <v>0.02</v>
      </c>
    </row>
    <row r="211" spans="1:14">
      <c r="A211" t="str">
        <f t="shared" si="46"/>
        <v>BR_AAF_SOC_NONMS_ND_AS_2019Q1FEB_RNG_BrandedContent</v>
      </c>
      <c r="B211" t="str">
        <f t="shared" si="47"/>
        <v>Facebook</v>
      </c>
      <c r="C211" t="str">
        <f t="shared" si="48"/>
        <v>alp_BrandedContent_facebook_social_salao_newsfeed_cpm_prospecting_pagepost_salao-abertura-millena_AMC-open</v>
      </c>
      <c r="D211" t="str">
        <f t="shared" si="49"/>
        <v>233180786</v>
      </c>
      <c r="E211" t="str">
        <f t="shared" si="50"/>
        <v>Dynamic Click</v>
      </c>
      <c r="F211" t="str">
        <f t="shared" si="51"/>
        <v>alp_BrandedContent_facebook_social_salao_newsfeed_cpm_prospecting_pagepost_salao-abertura-millena_AMC-open</v>
      </c>
      <c r="G211" t="str">
        <f t="shared" si="52"/>
        <v>430919633</v>
      </c>
      <c r="H211" t="str">
        <f t="shared" si="53"/>
        <v>Tracking</v>
      </c>
      <c r="I211">
        <f t="shared" si="54"/>
        <v>0</v>
      </c>
      <c r="J211">
        <f t="shared" si="55"/>
        <v>1</v>
      </c>
      <c r="K211" s="4">
        <f t="shared" si="44"/>
        <v>3.5000000000000001E-3</v>
      </c>
      <c r="L211">
        <f t="shared" si="45"/>
        <v>0.02</v>
      </c>
      <c r="M211" s="4">
        <f t="shared" si="42"/>
        <v>3.5000000000000001E-3</v>
      </c>
      <c r="N211" s="4">
        <f t="shared" si="43"/>
        <v>0.02</v>
      </c>
    </row>
    <row r="212" spans="1:14">
      <c r="A212" t="str">
        <f t="shared" si="46"/>
        <v>BR_AAF_SOC_NONMS_ND_AS_2019Q1FEB_RNG_BrandedContent</v>
      </c>
      <c r="B212" t="str">
        <f t="shared" si="47"/>
        <v>Facebook</v>
      </c>
      <c r="C212" t="str">
        <f t="shared" si="48"/>
        <v>alp_BrandedContent_facebook_social_salao_newsfeed_cpm_prospecting_pagepost_salao-melhores-momentos-1_AMC-open</v>
      </c>
      <c r="D212" t="str">
        <f t="shared" si="49"/>
        <v>233639074</v>
      </c>
      <c r="E212" t="str">
        <f t="shared" si="50"/>
        <v>Dynamic Click</v>
      </c>
      <c r="F212" t="str">
        <f t="shared" si="51"/>
        <v>alp_BrandedContent_facebook_social_salao_newsfeed_cpm_prospecting_pagepost_salao-melhores-momentos-1_AMC-open</v>
      </c>
      <c r="G212" t="str">
        <f t="shared" si="52"/>
        <v>431387002</v>
      </c>
      <c r="H212" t="str">
        <f t="shared" si="53"/>
        <v>Tracking</v>
      </c>
      <c r="I212">
        <f t="shared" si="54"/>
        <v>0</v>
      </c>
      <c r="J212">
        <f t="shared" si="55"/>
        <v>1</v>
      </c>
      <c r="K212" s="4">
        <f t="shared" si="44"/>
        <v>3.5000000000000001E-3</v>
      </c>
      <c r="L212">
        <f t="shared" si="45"/>
        <v>0.02</v>
      </c>
      <c r="M212" s="4">
        <f t="shared" si="42"/>
        <v>3.5000000000000001E-3</v>
      </c>
      <c r="N212" s="4">
        <f t="shared" si="43"/>
        <v>0.02</v>
      </c>
    </row>
    <row r="213" spans="1:14">
      <c r="A213" t="str">
        <f t="shared" si="46"/>
        <v>BR_AAF_SOC_NONMS_ND_AS_2019Q1FEB_RNG_BrandedContent</v>
      </c>
      <c r="B213" t="str">
        <f t="shared" si="47"/>
        <v>Facebook</v>
      </c>
      <c r="C213" t="str">
        <f t="shared" si="48"/>
        <v>alp_BrandedContent_facebook_social_seguranca_newsfeed_cpm_prospecting_pagepost_Bebe_AMC-open</v>
      </c>
      <c r="D213" t="str">
        <f t="shared" si="49"/>
        <v>234784559</v>
      </c>
      <c r="E213" t="str">
        <f t="shared" si="50"/>
        <v>Dynamic Click</v>
      </c>
      <c r="F213" t="str">
        <f t="shared" si="51"/>
        <v>alp_BrandedContent_facebook_social_seguranca_newsfeed_cpm_prospecting_pagepost_Bebe_AMC-open</v>
      </c>
      <c r="G213" t="str">
        <f t="shared" si="52"/>
        <v>432608743</v>
      </c>
      <c r="H213" t="str">
        <f t="shared" si="53"/>
        <v>Tracking</v>
      </c>
      <c r="I213">
        <f t="shared" si="54"/>
        <v>0</v>
      </c>
      <c r="J213">
        <f t="shared" si="55"/>
        <v>1</v>
      </c>
      <c r="K213" s="4">
        <f t="shared" si="44"/>
        <v>3.5000000000000001E-3</v>
      </c>
      <c r="L213">
        <f t="shared" si="45"/>
        <v>0.02</v>
      </c>
      <c r="M213" s="4">
        <f t="shared" si="42"/>
        <v>3.5000000000000001E-3</v>
      </c>
      <c r="N213" s="4">
        <f t="shared" si="43"/>
        <v>0.02</v>
      </c>
    </row>
    <row r="214" spans="1:14">
      <c r="A214" t="str">
        <f t="shared" si="46"/>
        <v>BR_AAF_SOC_NONMS_ND_AS_2019Q1FEB_RNG_BrandedContent</v>
      </c>
      <c r="B214" t="str">
        <f t="shared" si="47"/>
        <v>Facebook</v>
      </c>
      <c r="C214" t="str">
        <f t="shared" si="48"/>
        <v>alp_BrandedContent_facebook_social_seguranca_newsfeed_cpm_prospecting_pagepost_Corredor_AMC-open</v>
      </c>
      <c r="D214" t="str">
        <f t="shared" si="49"/>
        <v>234784568</v>
      </c>
      <c r="E214" t="str">
        <f t="shared" si="50"/>
        <v>Dynamic Click</v>
      </c>
      <c r="F214" t="str">
        <f t="shared" si="51"/>
        <v>alp_BrandedContent_facebook_social_seguranca_newsfeed_cpm_prospecting_pagepost_Corredor_AMC-open</v>
      </c>
      <c r="G214" t="str">
        <f t="shared" si="52"/>
        <v>432608752</v>
      </c>
      <c r="H214" t="str">
        <f t="shared" si="53"/>
        <v>Tracking</v>
      </c>
      <c r="I214">
        <f t="shared" si="54"/>
        <v>0</v>
      </c>
      <c r="J214">
        <f t="shared" si="55"/>
        <v>1</v>
      </c>
      <c r="K214" s="4">
        <f t="shared" si="44"/>
        <v>3.5000000000000001E-3</v>
      </c>
      <c r="L214">
        <f t="shared" si="45"/>
        <v>0.02</v>
      </c>
      <c r="M214" s="4">
        <f t="shared" si="42"/>
        <v>3.5000000000000001E-3</v>
      </c>
      <c r="N214" s="4">
        <f t="shared" si="43"/>
        <v>0.02</v>
      </c>
    </row>
    <row r="215" spans="1:14">
      <c r="A215" t="str">
        <f t="shared" si="46"/>
        <v>BR_AAF_SOC_NONMS_ND_AS_2019Q1FEB_RNG_BrandedContent</v>
      </c>
      <c r="B215" t="str">
        <f t="shared" si="47"/>
        <v>Facebook</v>
      </c>
      <c r="C215" t="str">
        <f t="shared" si="48"/>
        <v>alp_BrandedContent_facebook_social_timelines_newsfeed_cpm_prospecting_carrossel_golf-10-07_AMC-open</v>
      </c>
      <c r="D215" t="str">
        <f t="shared" si="49"/>
        <v>228468725</v>
      </c>
      <c r="E215" t="str">
        <f t="shared" si="50"/>
        <v>Dynamic Click</v>
      </c>
      <c r="F215" t="str">
        <f t="shared" si="51"/>
        <v>alp_BrandedContent_facebook_social_timelines_newsfeed_cpm_prospecting_carrossel_golf-10-07_AMC-open</v>
      </c>
      <c r="G215" t="str">
        <f t="shared" si="52"/>
        <v>426655131</v>
      </c>
      <c r="H215" t="str">
        <f t="shared" si="53"/>
        <v>Tracking</v>
      </c>
      <c r="I215">
        <f t="shared" si="54"/>
        <v>0</v>
      </c>
      <c r="J215">
        <f t="shared" si="55"/>
        <v>8</v>
      </c>
      <c r="K215" s="4">
        <f t="shared" si="44"/>
        <v>3.5000000000000001E-3</v>
      </c>
      <c r="L215">
        <f t="shared" si="45"/>
        <v>0.02</v>
      </c>
      <c r="M215" s="4">
        <f t="shared" si="42"/>
        <v>2.8000000000000001E-2</v>
      </c>
      <c r="N215" s="4">
        <f t="shared" si="43"/>
        <v>0.16</v>
      </c>
    </row>
    <row r="216" spans="1:14">
      <c r="A216" t="str">
        <f t="shared" si="46"/>
        <v>BR_AAF_SOC_NONMS_ND_AS_2019Q1FEB_RNG_BrandedContent</v>
      </c>
      <c r="B216" t="str">
        <f t="shared" si="47"/>
        <v>Facebook</v>
      </c>
      <c r="C216" t="str">
        <f t="shared" si="48"/>
        <v>alp_BrandedContent_facebook_social_timelines_newsfeed_cpm_prospecting_carrossel_virtus-13-08_AMC-open</v>
      </c>
      <c r="D216" t="str">
        <f t="shared" si="49"/>
        <v>226915442</v>
      </c>
      <c r="E216" t="str">
        <f t="shared" si="50"/>
        <v>Dynamic Click</v>
      </c>
      <c r="F216" t="str">
        <f t="shared" si="51"/>
        <v>alp_BrandedContent_facebook_social_timelines_newsfeed_cpm_prospecting_carrossel_virtus-13-08_AMC-open</v>
      </c>
      <c r="G216" t="str">
        <f t="shared" si="52"/>
        <v>425247745</v>
      </c>
      <c r="H216" t="str">
        <f t="shared" si="53"/>
        <v>Tracking</v>
      </c>
      <c r="I216">
        <f t="shared" si="54"/>
        <v>0</v>
      </c>
      <c r="J216">
        <f t="shared" si="55"/>
        <v>2</v>
      </c>
      <c r="K216" s="4">
        <f t="shared" si="44"/>
        <v>3.5000000000000001E-3</v>
      </c>
      <c r="L216">
        <f t="shared" si="45"/>
        <v>0.02</v>
      </c>
      <c r="M216" s="4">
        <f t="shared" si="42"/>
        <v>7.0000000000000001E-3</v>
      </c>
      <c r="N216" s="4">
        <f t="shared" si="43"/>
        <v>0.04</v>
      </c>
    </row>
    <row r="217" spans="1:14">
      <c r="A217" t="str">
        <f t="shared" si="46"/>
        <v>BR_AAF_SOC_NONMS_ND_AS_2019Q1FEB_RNG_BrandedContent</v>
      </c>
      <c r="B217" t="str">
        <f t="shared" si="47"/>
        <v>Facebook</v>
      </c>
      <c r="C217" t="str">
        <f t="shared" si="48"/>
        <v>alp_BrandedContent_facebook_social_timelines_newsfeed_cpm_prospecting_pagepost_Premios-tiguan-consumidores-reais_AMC-open</v>
      </c>
      <c r="D217" t="str">
        <f t="shared" si="49"/>
        <v>236930093</v>
      </c>
      <c r="E217" t="str">
        <f t="shared" si="50"/>
        <v>Dynamic Click</v>
      </c>
      <c r="F217" t="str">
        <f t="shared" si="51"/>
        <v>alp_BrandedContent_facebook_social_timelines_newsfeed_cpm_prospecting_pagepost_Premios-tiguan-consumidores-reais_AMC-open</v>
      </c>
      <c r="G217" t="str">
        <f t="shared" si="52"/>
        <v>434399278</v>
      </c>
      <c r="H217" t="str">
        <f t="shared" si="53"/>
        <v>Tracking</v>
      </c>
      <c r="I217">
        <f t="shared" si="54"/>
        <v>0</v>
      </c>
      <c r="J217">
        <f t="shared" si="55"/>
        <v>23</v>
      </c>
      <c r="K217" s="4">
        <f t="shared" si="44"/>
        <v>3.5000000000000001E-3</v>
      </c>
      <c r="L217">
        <f t="shared" si="45"/>
        <v>0.02</v>
      </c>
      <c r="M217" s="4">
        <f t="shared" si="42"/>
        <v>8.0500000000000002E-2</v>
      </c>
      <c r="N217" s="4">
        <f t="shared" si="43"/>
        <v>0.46</v>
      </c>
    </row>
    <row r="218" spans="1:14">
      <c r="A218" t="str">
        <f t="shared" si="46"/>
        <v>BR_AAF_SOC_NONMS_ND_AS_2019Q1FEB_RNG_BrandedContent</v>
      </c>
      <c r="B218" t="str">
        <f t="shared" si="47"/>
        <v>Facebook</v>
      </c>
      <c r="C218" t="str">
        <f t="shared" si="48"/>
        <v>alp_BrandedContent_facebook_social_timelines_newsfeed_cpm_prospecting_pagepost_Virtus-360-180314_AMC-Virtus-BETA</v>
      </c>
      <c r="D218" t="str">
        <f t="shared" si="49"/>
        <v>216106658</v>
      </c>
      <c r="E218" t="str">
        <f t="shared" si="50"/>
        <v>Dynamic Click</v>
      </c>
      <c r="F218" t="str">
        <f t="shared" si="51"/>
        <v>alp_BrandedContent_facebook_social_timelines_newsfeed_cpm_prospecting_pagepost_Virtus-360-180314_AMC-Virtus-BETA</v>
      </c>
      <c r="G218" t="str">
        <f t="shared" si="52"/>
        <v>415062382</v>
      </c>
      <c r="H218" t="str">
        <f t="shared" si="53"/>
        <v>(not set)</v>
      </c>
      <c r="I218">
        <f t="shared" si="54"/>
        <v>0</v>
      </c>
      <c r="J218">
        <f t="shared" si="55"/>
        <v>5</v>
      </c>
      <c r="K218" s="4">
        <f t="shared" si="44"/>
        <v>3.5000000000000001E-3</v>
      </c>
      <c r="L218">
        <f t="shared" si="45"/>
        <v>0.02</v>
      </c>
      <c r="M218" s="4">
        <f t="shared" si="42"/>
        <v>1.7500000000000002E-2</v>
      </c>
      <c r="N218" s="4">
        <f t="shared" si="43"/>
        <v>0.1</v>
      </c>
    </row>
    <row r="219" spans="1:14">
      <c r="A219" t="str">
        <f t="shared" si="46"/>
        <v>BR_AAF_SOC_NONMS_ND_AS_2019Q1FEB_RNG_BrandedContent</v>
      </c>
      <c r="B219" t="str">
        <f t="shared" si="47"/>
        <v>Facebook</v>
      </c>
      <c r="C219" t="str">
        <f t="shared" si="48"/>
        <v>alp_BrandedContent_facebook_social_timelines_newsfeed_cpm_prospecting_pagepost_Virtus-360_AMC-Virtus-BETA</v>
      </c>
      <c r="D219" t="str">
        <f t="shared" si="49"/>
        <v>215057529</v>
      </c>
      <c r="E219" t="str">
        <f t="shared" si="50"/>
        <v>Dynamic Click</v>
      </c>
      <c r="F219" t="str">
        <f t="shared" si="51"/>
        <v>alp_BrandedContent_facebook_social_timelines_newsfeed_cpm_prospecting_pagepost_Virtus-360_AMC-Virtus-BETA</v>
      </c>
      <c r="G219" t="str">
        <f t="shared" si="52"/>
        <v>414119548</v>
      </c>
      <c r="H219" t="str">
        <f t="shared" si="53"/>
        <v>(not set)</v>
      </c>
      <c r="I219">
        <f t="shared" si="54"/>
        <v>0</v>
      </c>
      <c r="J219">
        <f t="shared" si="55"/>
        <v>1</v>
      </c>
      <c r="K219" s="4">
        <f t="shared" si="44"/>
        <v>3.5000000000000001E-3</v>
      </c>
      <c r="L219">
        <f t="shared" si="45"/>
        <v>0.02</v>
      </c>
      <c r="M219" s="4">
        <f t="shared" si="42"/>
        <v>3.5000000000000001E-3</v>
      </c>
      <c r="N219" s="4">
        <f t="shared" si="43"/>
        <v>0.02</v>
      </c>
    </row>
    <row r="220" spans="1:14">
      <c r="A220" t="str">
        <f t="shared" si="46"/>
        <v>BR_AAF_SOC_NONMS_ND_AS_2019Q1FEB_RNG_BrandedContent</v>
      </c>
      <c r="B220" t="str">
        <f t="shared" si="47"/>
        <v>Facebook</v>
      </c>
      <c r="C220" t="str">
        <f t="shared" si="48"/>
        <v>alp_BrandedContent_facebook_social_timelines_newsfeed_cpm_prospecting_pagepost_Virtus-Design_AMC-Virtus-BETA</v>
      </c>
      <c r="D220" t="str">
        <f t="shared" si="49"/>
        <v>215068759</v>
      </c>
      <c r="E220" t="str">
        <f t="shared" si="50"/>
        <v>Dynamic Click</v>
      </c>
      <c r="F220" t="str">
        <f t="shared" si="51"/>
        <v>alp_BrandedContent_facebook_social_timelines_newsfeed_cpm_prospecting_pagepost_Virtus-Design_AMC-Virtus-BETA</v>
      </c>
      <c r="G220" t="str">
        <f t="shared" si="52"/>
        <v>414197021</v>
      </c>
      <c r="H220" t="str">
        <f t="shared" si="53"/>
        <v>(not set)</v>
      </c>
      <c r="I220">
        <f t="shared" si="54"/>
        <v>0</v>
      </c>
      <c r="J220">
        <f t="shared" si="55"/>
        <v>1</v>
      </c>
      <c r="K220" s="4">
        <f t="shared" si="44"/>
        <v>3.5000000000000001E-3</v>
      </c>
      <c r="L220">
        <f t="shared" si="45"/>
        <v>0.02</v>
      </c>
      <c r="M220" s="4">
        <f t="shared" si="42"/>
        <v>3.5000000000000001E-3</v>
      </c>
      <c r="N220" s="4">
        <f t="shared" si="43"/>
        <v>0.02</v>
      </c>
    </row>
    <row r="221" spans="1:14">
      <c r="A221" t="str">
        <f t="shared" si="46"/>
        <v>BR_AAF_SOC_NONMS_ND_AS_2019Q1FEB_RNG_BrandedContent</v>
      </c>
      <c r="B221" t="str">
        <f t="shared" si="47"/>
        <v>Facebook</v>
      </c>
      <c r="C221" t="str">
        <f t="shared" si="48"/>
        <v>alp_BrandedContent_facebook_social_timelines_newsfeed_cpm_prospecting_pagepost_Virtus-LatinNCAP_AMC-Virtus-BETA</v>
      </c>
      <c r="D221" t="str">
        <f t="shared" si="49"/>
        <v>214326305</v>
      </c>
      <c r="E221" t="str">
        <f t="shared" si="50"/>
        <v>Dynamic Click</v>
      </c>
      <c r="F221" t="str">
        <f t="shared" si="51"/>
        <v>alp_BrandedContent_facebook_social_timelines_newsfeed_cpm_prospecting_pagepost_Virtus-LatinNCAP_AMC-Virtus-BETA</v>
      </c>
      <c r="G221" t="str">
        <f t="shared" si="52"/>
        <v>413351073</v>
      </c>
      <c r="H221" t="str">
        <f t="shared" si="53"/>
        <v>(not set)</v>
      </c>
      <c r="I221">
        <f t="shared" si="54"/>
        <v>0</v>
      </c>
      <c r="J221">
        <f t="shared" si="55"/>
        <v>2</v>
      </c>
      <c r="K221" s="4">
        <f t="shared" si="44"/>
        <v>3.5000000000000001E-3</v>
      </c>
      <c r="L221">
        <f t="shared" si="45"/>
        <v>0.02</v>
      </c>
      <c r="M221" s="4">
        <f t="shared" si="42"/>
        <v>7.0000000000000001E-3</v>
      </c>
      <c r="N221" s="4">
        <f t="shared" si="43"/>
        <v>0.04</v>
      </c>
    </row>
    <row r="222" spans="1:14">
      <c r="A222" t="str">
        <f t="shared" si="46"/>
        <v>BR_AAF_SOC_NONMS_ND_AS_2019Q1FEB_RNG_BrandedContent</v>
      </c>
      <c r="B222" t="str">
        <f t="shared" si="47"/>
        <v>Facebook</v>
      </c>
      <c r="C222" t="str">
        <f t="shared" si="48"/>
        <v>alp_BrandedContent_facebook_social_timelines_newsfeed_cpm_prospecting_pagepost_golf-10-08_AMC-open</v>
      </c>
      <c r="D222" t="str">
        <f t="shared" si="49"/>
        <v>226902385</v>
      </c>
      <c r="E222" t="str">
        <f t="shared" si="50"/>
        <v>Dynamic Click</v>
      </c>
      <c r="F222" t="str">
        <f t="shared" si="51"/>
        <v>alp_BrandedContent_facebook_social_timelines_newsfeed_cpm_prospecting_pagepost_golf-10-08_AMC-open</v>
      </c>
      <c r="G222" t="str">
        <f t="shared" si="52"/>
        <v>424914915</v>
      </c>
      <c r="H222" t="str">
        <f t="shared" si="53"/>
        <v>Tracking</v>
      </c>
      <c r="I222">
        <f t="shared" si="54"/>
        <v>0</v>
      </c>
      <c r="J222">
        <f t="shared" si="55"/>
        <v>2</v>
      </c>
      <c r="K222" s="4">
        <f t="shared" si="44"/>
        <v>3.5000000000000001E-3</v>
      </c>
      <c r="L222">
        <f t="shared" si="45"/>
        <v>0.02</v>
      </c>
      <c r="M222" s="4">
        <f t="shared" si="42"/>
        <v>7.0000000000000001E-3</v>
      </c>
      <c r="N222" s="4">
        <f t="shared" si="43"/>
        <v>0.04</v>
      </c>
    </row>
    <row r="223" spans="1:14">
      <c r="A223" t="str">
        <f t="shared" si="46"/>
        <v>BR_AAF_SOC_NONMS_ND_AS_2019Q1FEB_RNG_BrandedContent</v>
      </c>
      <c r="B223" t="str">
        <f t="shared" si="47"/>
        <v>Facebook</v>
      </c>
      <c r="C223" t="str">
        <f t="shared" si="48"/>
        <v>alp_BrandedContent_facebook_social_timelines_newsfeed_cpm_prospecting_pagepost_golf-blinkboard_AMC-open</v>
      </c>
      <c r="D223" t="str">
        <f t="shared" si="49"/>
        <v>220000925</v>
      </c>
      <c r="E223" t="str">
        <f t="shared" si="50"/>
        <v>Dynamic Click</v>
      </c>
      <c r="F223" t="str">
        <f t="shared" si="51"/>
        <v>alp_BrandedContent_facebook_social_timelines_newsfeed_cpm_prospecting_pagepost_golf-blinkboard_AMC-open</v>
      </c>
      <c r="G223" t="str">
        <f t="shared" si="52"/>
        <v>418448903</v>
      </c>
      <c r="H223" t="str">
        <f t="shared" si="53"/>
        <v>Tracking</v>
      </c>
      <c r="I223">
        <f t="shared" si="54"/>
        <v>0</v>
      </c>
      <c r="J223">
        <f t="shared" si="55"/>
        <v>1</v>
      </c>
      <c r="K223" s="4">
        <f t="shared" si="44"/>
        <v>3.5000000000000001E-3</v>
      </c>
      <c r="L223">
        <f t="shared" si="45"/>
        <v>0.02</v>
      </c>
      <c r="M223" s="4">
        <f t="shared" si="42"/>
        <v>3.5000000000000001E-3</v>
      </c>
      <c r="N223" s="4">
        <f t="shared" si="43"/>
        <v>0.02</v>
      </c>
    </row>
    <row r="224" spans="1:14">
      <c r="A224" t="str">
        <f t="shared" si="46"/>
        <v>BR_AAF_SOC_NONMS_ND_AS_2019Q1FEB_RNG_BrandedContent</v>
      </c>
      <c r="B224" t="str">
        <f t="shared" si="47"/>
        <v>Facebook</v>
      </c>
      <c r="C224" t="str">
        <f t="shared" si="48"/>
        <v>alp_BrandedContent_facebook_social_timelines_newsfeed_cpm_prospecting_pagepost_novo_polo_06-06_AMC-open</v>
      </c>
      <c r="D224" t="str">
        <f t="shared" si="49"/>
        <v>222660782</v>
      </c>
      <c r="E224" t="str">
        <f t="shared" si="50"/>
        <v>Dynamic Click</v>
      </c>
      <c r="F224" t="str">
        <f t="shared" si="51"/>
        <v>alp_BrandedContent_facebook_social_timelines_newsfeed_cpm_prospecting_pagepost_novo_polo_06-06_AMC-open</v>
      </c>
      <c r="G224" t="str">
        <f t="shared" si="52"/>
        <v>420999237</v>
      </c>
      <c r="H224" t="str">
        <f t="shared" si="53"/>
        <v>Tracking</v>
      </c>
      <c r="I224">
        <f t="shared" si="54"/>
        <v>0</v>
      </c>
      <c r="J224">
        <f t="shared" si="55"/>
        <v>1</v>
      </c>
      <c r="K224" s="4">
        <f t="shared" si="44"/>
        <v>3.5000000000000001E-3</v>
      </c>
      <c r="L224">
        <f t="shared" si="45"/>
        <v>0.02</v>
      </c>
      <c r="M224" s="4">
        <f t="shared" si="42"/>
        <v>3.5000000000000001E-3</v>
      </c>
      <c r="N224" s="4">
        <f t="shared" si="43"/>
        <v>0.02</v>
      </c>
    </row>
    <row r="225" spans="1:14">
      <c r="A225" t="str">
        <f t="shared" si="46"/>
        <v>BR_AAF_SOC_NONMS_ND_AS_2019Q1FEB_RNG_BrandedContent</v>
      </c>
      <c r="B225" t="str">
        <f t="shared" si="47"/>
        <v>Facebook</v>
      </c>
      <c r="C225" t="str">
        <f t="shared" si="48"/>
        <v>alp_BrandedContent_facebook_social_timelines_newsfeed_cpm_prospecting_pagepost_novo_polo_12-06_AMC-open</v>
      </c>
      <c r="D225" t="str">
        <f t="shared" si="49"/>
        <v>223033720</v>
      </c>
      <c r="E225" t="str">
        <f t="shared" si="50"/>
        <v>Dynamic Click</v>
      </c>
      <c r="F225" t="str">
        <f t="shared" si="51"/>
        <v>alp_BrandedContent_facebook_social_timelines_newsfeed_cpm_prospecting_pagepost_novo_polo_12-06_AMC-open</v>
      </c>
      <c r="G225" t="str">
        <f t="shared" si="52"/>
        <v>421281507</v>
      </c>
      <c r="H225" t="str">
        <f t="shared" si="53"/>
        <v>Tracking</v>
      </c>
      <c r="I225">
        <f t="shared" si="54"/>
        <v>0</v>
      </c>
      <c r="J225">
        <f t="shared" si="55"/>
        <v>1</v>
      </c>
      <c r="K225" s="4">
        <f t="shared" si="44"/>
        <v>3.5000000000000001E-3</v>
      </c>
      <c r="L225">
        <f t="shared" si="45"/>
        <v>0.02</v>
      </c>
      <c r="M225" s="4">
        <f t="shared" si="42"/>
        <v>3.5000000000000001E-3</v>
      </c>
      <c r="N225" s="4">
        <f t="shared" si="43"/>
        <v>0.02</v>
      </c>
    </row>
    <row r="226" spans="1:14">
      <c r="A226" t="str">
        <f t="shared" si="46"/>
        <v>BR_AAF_SOC_NONMS_ND_AS_2019Q1FEB_RNG_BrandedContent</v>
      </c>
      <c r="B226" t="str">
        <f t="shared" si="47"/>
        <v>Facebook</v>
      </c>
      <c r="C226" t="str">
        <f t="shared" si="48"/>
        <v>alp_BrandedContent_facebook_social_timelines_newsfeed_cpm_prospecting_pagepost_sensor-de-fadiga_AMC-open</v>
      </c>
      <c r="D226" t="str">
        <f t="shared" si="49"/>
        <v>227583598</v>
      </c>
      <c r="E226" t="str">
        <f t="shared" si="50"/>
        <v>Dynamic Click</v>
      </c>
      <c r="F226" t="str">
        <f t="shared" si="51"/>
        <v>alp_BrandedContent_facebook_social_timelines_newsfeed_cpm_prospecting_pagepost_sensor-de-fadiga_AMC-open</v>
      </c>
      <c r="G226" t="str">
        <f t="shared" si="52"/>
        <v>425618574</v>
      </c>
      <c r="H226" t="str">
        <f t="shared" si="53"/>
        <v>Tracking</v>
      </c>
      <c r="I226">
        <f t="shared" si="54"/>
        <v>0</v>
      </c>
      <c r="J226">
        <f t="shared" si="55"/>
        <v>1</v>
      </c>
      <c r="K226" s="4">
        <f t="shared" si="44"/>
        <v>3.5000000000000001E-3</v>
      </c>
      <c r="L226">
        <f t="shared" si="45"/>
        <v>0.02</v>
      </c>
      <c r="M226" s="4">
        <f t="shared" si="42"/>
        <v>3.5000000000000001E-3</v>
      </c>
      <c r="N226" s="4">
        <f t="shared" si="43"/>
        <v>0.02</v>
      </c>
    </row>
    <row r="227" spans="1:14">
      <c r="A227" t="str">
        <f t="shared" si="46"/>
        <v>BR_AAF_SOC_NONMS_ND_AS_2019Q1FEB_RNG_BrandedContent</v>
      </c>
      <c r="B227" t="str">
        <f t="shared" si="47"/>
        <v>Facebook</v>
      </c>
      <c r="C227" t="str">
        <f t="shared" si="48"/>
        <v>alp_BrandedContent_facebook_social_timelines_newsfeed_cpm_prospecting_pagepost_trainee_AMC-open</v>
      </c>
      <c r="D227" t="str">
        <f t="shared" si="49"/>
        <v>228043067</v>
      </c>
      <c r="E227" t="str">
        <f t="shared" si="50"/>
        <v>Dynamic Click</v>
      </c>
      <c r="F227" t="str">
        <f t="shared" si="51"/>
        <v>alp_BrandedContent_facebook_social_timelines_newsfeed_cpm_prospecting_pagepost_trainee_AMC-open</v>
      </c>
      <c r="G227" t="str">
        <f t="shared" si="52"/>
        <v>426195341</v>
      </c>
      <c r="H227" t="str">
        <f t="shared" si="53"/>
        <v>Tracking</v>
      </c>
      <c r="I227">
        <f t="shared" si="54"/>
        <v>0</v>
      </c>
      <c r="J227">
        <f t="shared" si="55"/>
        <v>2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7.0000000000000001E-3</v>
      </c>
      <c r="N227" s="4">
        <f t="shared" ref="N227:N290" si="57">IF(E227="Dynamic Click",J227*L227,L227*$I227/1000)</f>
        <v>0.04</v>
      </c>
    </row>
    <row r="228" spans="1:14">
      <c r="A228" t="str">
        <f t="shared" si="46"/>
        <v>BR_AAF_SOC_NONMS_ND_AS_2019Q1FEB_RNG_BrandedContent</v>
      </c>
      <c r="B228" t="str">
        <f t="shared" si="47"/>
        <v>Facebook</v>
      </c>
      <c r="C228" t="str">
        <f t="shared" si="48"/>
        <v>alp_BrandedContent_facebook_social_timelines_newsfeed_cpm_prospecting_pagepost_virtus-18-06_AMC-open</v>
      </c>
      <c r="D228" t="str">
        <f t="shared" si="49"/>
        <v>223285400</v>
      </c>
      <c r="E228" t="str">
        <f t="shared" si="50"/>
        <v>Dynamic Click</v>
      </c>
      <c r="F228" t="str">
        <f t="shared" si="51"/>
        <v>alp_BrandedContent_facebook_social_timelines_newsfeed_cpm_prospecting_pagepost_virtus-18-06_AMC-open</v>
      </c>
      <c r="G228" t="str">
        <f t="shared" si="52"/>
        <v>421677070</v>
      </c>
      <c r="H228" t="str">
        <f t="shared" si="53"/>
        <v>Tracking</v>
      </c>
      <c r="I228">
        <f t="shared" si="54"/>
        <v>0</v>
      </c>
      <c r="J228">
        <f t="shared" si="55"/>
        <v>1</v>
      </c>
      <c r="K228" s="4">
        <f t="shared" si="44"/>
        <v>3.5000000000000001E-3</v>
      </c>
      <c r="L228">
        <f t="shared" si="45"/>
        <v>0.02</v>
      </c>
      <c r="M228" s="4">
        <f t="shared" si="56"/>
        <v>3.5000000000000001E-3</v>
      </c>
      <c r="N228" s="4">
        <f t="shared" si="57"/>
        <v>0.02</v>
      </c>
    </row>
    <row r="229" spans="1:14">
      <c r="A229" t="str">
        <f t="shared" si="46"/>
        <v>BR_AAF_SOC_NONMS_ND_AS_2019Q1FEB_RNG_BrandedContent</v>
      </c>
      <c r="B229" t="str">
        <f t="shared" si="47"/>
        <v>Facebook</v>
      </c>
      <c r="C229" t="str">
        <f t="shared" si="48"/>
        <v>alp_BrandedContent_facebook_social_timelines_newsfeed_cpv_prospecting_pagepost_novo_polo_AMC-open</v>
      </c>
      <c r="D229" t="str">
        <f t="shared" si="49"/>
        <v>221781584</v>
      </c>
      <c r="E229" t="str">
        <f t="shared" si="50"/>
        <v>Dynamic Click</v>
      </c>
      <c r="F229" t="str">
        <f t="shared" si="51"/>
        <v>alp_BrandedContent_facebook_social_timelines_newsfeed_cpv_prospecting_pagepost_novo_polo_AMC-open</v>
      </c>
      <c r="G229" t="str">
        <f t="shared" si="52"/>
        <v>420191869</v>
      </c>
      <c r="H229" t="str">
        <f t="shared" si="53"/>
        <v>Tracking</v>
      </c>
      <c r="I229">
        <f t="shared" si="54"/>
        <v>0</v>
      </c>
      <c r="J229">
        <f t="shared" si="55"/>
        <v>3</v>
      </c>
      <c r="K229" s="4">
        <f t="shared" si="44"/>
        <v>3.5000000000000001E-3</v>
      </c>
      <c r="L229">
        <f t="shared" si="45"/>
        <v>0.02</v>
      </c>
      <c r="M229" s="4">
        <f t="shared" si="56"/>
        <v>1.0500000000000001E-2</v>
      </c>
      <c r="N229" s="4">
        <f t="shared" si="57"/>
        <v>0.06</v>
      </c>
    </row>
    <row r="230" spans="1:14">
      <c r="A230" t="str">
        <f t="shared" si="46"/>
        <v>BR_AAF_SOC_NONMS_ND_AS_2019Q1FEB_RNG_BrandedContent</v>
      </c>
      <c r="B230" t="str">
        <f t="shared" si="47"/>
        <v>Facebook</v>
      </c>
      <c r="C230" t="str">
        <f t="shared" si="48"/>
        <v>alp_BrandedContent_facebook_social_timelines_newsfeed_cpv_prospecting_pagepost_virtus-03-07_AMC-open</v>
      </c>
      <c r="D230" t="str">
        <f t="shared" si="49"/>
        <v>224535704</v>
      </c>
      <c r="E230" t="str">
        <f t="shared" si="50"/>
        <v>Dynamic Click</v>
      </c>
      <c r="F230" t="str">
        <f t="shared" si="51"/>
        <v>alp_BrandedContent_facebook_social_timelines_newsfeed_cpv_prospecting_pagepost_virtus-03-07_AMC-open</v>
      </c>
      <c r="G230" t="str">
        <f t="shared" si="52"/>
        <v>422703303</v>
      </c>
      <c r="H230" t="str">
        <f t="shared" si="53"/>
        <v>Tracking</v>
      </c>
      <c r="I230">
        <f t="shared" si="54"/>
        <v>0</v>
      </c>
      <c r="J230">
        <f t="shared" si="55"/>
        <v>2</v>
      </c>
      <c r="K230" s="4">
        <f t="shared" si="44"/>
        <v>3.5000000000000001E-3</v>
      </c>
      <c r="L230">
        <f t="shared" si="45"/>
        <v>0.02</v>
      </c>
      <c r="M230" s="4">
        <f t="shared" si="56"/>
        <v>7.0000000000000001E-3</v>
      </c>
      <c r="N230" s="4">
        <f t="shared" si="57"/>
        <v>0.04</v>
      </c>
    </row>
    <row r="231" spans="1:14">
      <c r="A231" t="str">
        <f t="shared" si="46"/>
        <v>BR_AAF_SOC_NONMS_ND_AS_2019Q1FEB_RNG_BrandedContent</v>
      </c>
      <c r="B231" t="str">
        <f t="shared" si="47"/>
        <v>Google - YouTube</v>
      </c>
      <c r="C231" t="str">
        <f t="shared" si="48"/>
        <v>alp_BrandedContent_youtube_social_T-Cross_newsfeed_cpv_prospecting_video_Video-1_WalkAround</v>
      </c>
      <c r="D231" t="str">
        <f t="shared" si="49"/>
        <v>238623765</v>
      </c>
      <c r="E231" t="str">
        <f t="shared" si="50"/>
        <v>Standard</v>
      </c>
      <c r="F231" t="str">
        <f t="shared" si="51"/>
        <v>alp_BrandedContent_youtube_social_T-Cross_newsfeed_cpv_prospecting_video_Video-1_WalkAround</v>
      </c>
      <c r="G231" t="str">
        <f t="shared" si="52"/>
        <v>435533718</v>
      </c>
      <c r="H231" t="str">
        <f t="shared" si="53"/>
        <v>Tracking</v>
      </c>
      <c r="I231">
        <f t="shared" si="54"/>
        <v>1</v>
      </c>
      <c r="J231">
        <f t="shared" si="55"/>
        <v>0</v>
      </c>
      <c r="K231" s="4">
        <f t="shared" si="44"/>
        <v>0.04</v>
      </c>
      <c r="L231">
        <f t="shared" si="45"/>
        <v>0.09</v>
      </c>
      <c r="M231" s="4">
        <f t="shared" si="56"/>
        <v>4.0000000000000003E-5</v>
      </c>
      <c r="N231" s="4">
        <f t="shared" si="57"/>
        <v>8.9999999999999992E-5</v>
      </c>
    </row>
    <row r="232" spans="1:14">
      <c r="A232" t="str">
        <f t="shared" si="46"/>
        <v>BR_AAF_SOC_NONMS_ND_AS_2019Q1FEB_RNG_BrandedContent</v>
      </c>
      <c r="B232" t="str">
        <f t="shared" si="47"/>
        <v>Google - YouTube</v>
      </c>
      <c r="C232" t="str">
        <f t="shared" si="48"/>
        <v>alp_BrandedContent_youtube_social_T-Cross_newsfeed_cpv_prospecting_video_Video-4_WalkAround</v>
      </c>
      <c r="D232" t="str">
        <f t="shared" si="49"/>
        <v>238273955</v>
      </c>
      <c r="E232" t="str">
        <f t="shared" si="50"/>
        <v>Standard</v>
      </c>
      <c r="F232" t="str">
        <f t="shared" si="51"/>
        <v>alp_BrandedContent_youtube_social_T-Cross_newsfeed_cpv_prospecting_video_Video-4_WalkAround</v>
      </c>
      <c r="G232" t="str">
        <f t="shared" si="52"/>
        <v>435533682</v>
      </c>
      <c r="H232" t="str">
        <f t="shared" si="53"/>
        <v>Tracking</v>
      </c>
      <c r="I232">
        <f t="shared" si="54"/>
        <v>4</v>
      </c>
      <c r="J232">
        <f t="shared" si="55"/>
        <v>0</v>
      </c>
      <c r="K232" s="4">
        <f t="shared" si="44"/>
        <v>0.04</v>
      </c>
      <c r="L232">
        <f t="shared" si="45"/>
        <v>0.09</v>
      </c>
      <c r="M232" s="4">
        <f t="shared" si="56"/>
        <v>1.6000000000000001E-4</v>
      </c>
      <c r="N232" s="4">
        <f t="shared" si="57"/>
        <v>3.5999999999999997E-4</v>
      </c>
    </row>
    <row r="233" spans="1:14">
      <c r="A233" t="str">
        <f t="shared" si="46"/>
        <v>BR_AAF_SOC_NONMS_ND_AS_2019Q1FEB_RNG_BrandedContent</v>
      </c>
      <c r="B233" t="str">
        <f t="shared" si="47"/>
        <v>Google - YouTube</v>
      </c>
      <c r="C233" t="str">
        <f t="shared" si="48"/>
        <v>alp_BrandedContent_youtube_social_T-Cross_newsfeed_cpv_prospecting_video_Video-5_WalkAround</v>
      </c>
      <c r="D233" t="str">
        <f t="shared" si="49"/>
        <v>238273943</v>
      </c>
      <c r="E233" t="str">
        <f t="shared" si="50"/>
        <v>Standard</v>
      </c>
      <c r="F233" t="str">
        <f t="shared" si="51"/>
        <v>alp_BrandedContent_youtube_social_T-Cross_newsfeed_cpv_prospecting_video_Video-5_WalkAround</v>
      </c>
      <c r="G233" t="str">
        <f t="shared" si="52"/>
        <v>435533670</v>
      </c>
      <c r="H233" t="str">
        <f t="shared" si="53"/>
        <v>Tracking</v>
      </c>
      <c r="I233">
        <f t="shared" si="54"/>
        <v>2</v>
      </c>
      <c r="J233">
        <f t="shared" si="55"/>
        <v>0</v>
      </c>
      <c r="K233" s="4">
        <f t="shared" si="44"/>
        <v>0.04</v>
      </c>
      <c r="L233">
        <f t="shared" si="45"/>
        <v>0.09</v>
      </c>
      <c r="M233" s="4">
        <f t="shared" si="56"/>
        <v>8.0000000000000007E-5</v>
      </c>
      <c r="N233" s="4">
        <f t="shared" si="57"/>
        <v>1.7999999999999998E-4</v>
      </c>
    </row>
    <row r="234" spans="1:14">
      <c r="A234" t="str">
        <f t="shared" si="46"/>
        <v>BR_AAF_SOC_NONMS_ND_AS_2019Q1FEB_RNG_BrandedContent</v>
      </c>
      <c r="B234" t="str">
        <f t="shared" si="47"/>
        <v>Google - YouTube</v>
      </c>
      <c r="C234" t="str">
        <f t="shared" si="48"/>
        <v>alp_BrandedContent_youtube_social_T-Cross_newsfeed_cpv_prospecting_video_Video-6_WalkAround</v>
      </c>
      <c r="D234" t="str">
        <f t="shared" si="49"/>
        <v>238273931</v>
      </c>
      <c r="E234" t="str">
        <f t="shared" si="50"/>
        <v>Standard</v>
      </c>
      <c r="F234" t="str">
        <f t="shared" si="51"/>
        <v>alp_BrandedContent_youtube_social_T-Cross_newsfeed_cpv_prospecting_video_Video-6_WalkAround</v>
      </c>
      <c r="G234" t="str">
        <f t="shared" si="52"/>
        <v>435533658</v>
      </c>
      <c r="H234" t="str">
        <f t="shared" si="53"/>
        <v>Tracking</v>
      </c>
      <c r="I234">
        <f t="shared" si="54"/>
        <v>4</v>
      </c>
      <c r="J234">
        <f t="shared" si="55"/>
        <v>0</v>
      </c>
      <c r="K234" s="4">
        <f t="shared" si="44"/>
        <v>0.04</v>
      </c>
      <c r="L234">
        <f t="shared" si="45"/>
        <v>0.09</v>
      </c>
      <c r="M234" s="4">
        <f t="shared" si="56"/>
        <v>1.6000000000000001E-4</v>
      </c>
      <c r="N234" s="4">
        <f t="shared" si="57"/>
        <v>3.5999999999999997E-4</v>
      </c>
    </row>
    <row r="235" spans="1:14">
      <c r="A235" t="str">
        <f t="shared" si="46"/>
        <v>BR_AAF_SOC_NONMS_ND_AS_2019Q1FEB_RNG_BrandedContent</v>
      </c>
      <c r="B235" t="str">
        <f t="shared" si="47"/>
        <v>Google - YouTube</v>
      </c>
      <c r="C235" t="str">
        <f t="shared" si="48"/>
        <v>alp_BrandedContent_youtube_social_T-Cross_newsfeed_cpv_prospecting_video_Video-7_WalkAround</v>
      </c>
      <c r="D235" t="str">
        <f t="shared" si="49"/>
        <v>238273919</v>
      </c>
      <c r="E235" t="str">
        <f t="shared" si="50"/>
        <v>Standard</v>
      </c>
      <c r="F235" t="str">
        <f t="shared" si="51"/>
        <v>alp_BrandedContent_youtube_social_T-Cross_newsfeed_cpv_prospecting_video_Video-7_WalkAround</v>
      </c>
      <c r="G235" t="str">
        <f t="shared" si="52"/>
        <v>435533646</v>
      </c>
      <c r="H235" t="str">
        <f t="shared" si="53"/>
        <v>Tracking</v>
      </c>
      <c r="I235">
        <f t="shared" si="54"/>
        <v>2200528</v>
      </c>
      <c r="J235">
        <f t="shared" si="55"/>
        <v>0</v>
      </c>
      <c r="K235" s="4">
        <f t="shared" si="44"/>
        <v>0.04</v>
      </c>
      <c r="L235">
        <f t="shared" si="45"/>
        <v>0.09</v>
      </c>
      <c r="M235" s="4">
        <f t="shared" si="56"/>
        <v>88.021119999999996</v>
      </c>
      <c r="N235" s="4">
        <f t="shared" si="57"/>
        <v>198.04751999999999</v>
      </c>
    </row>
    <row r="236" spans="1:14">
      <c r="A236" t="str">
        <f t="shared" si="46"/>
        <v>BR_AAF_SOC_NONMS_ND_AS_2019Q1FEB_RNG_BrandedContent</v>
      </c>
      <c r="B236" t="str">
        <f t="shared" si="47"/>
        <v>Google - YouTube</v>
      </c>
      <c r="C236" t="str">
        <f t="shared" si="48"/>
        <v>alp_BrandedContent_youtube_social_T-Cross_newsfeed_cpv_prospecting_video_Video-8_WalkAround</v>
      </c>
      <c r="D236" t="str">
        <f t="shared" si="49"/>
        <v>238273907</v>
      </c>
      <c r="E236" t="str">
        <f t="shared" si="50"/>
        <v>Standard</v>
      </c>
      <c r="F236" t="str">
        <f t="shared" si="51"/>
        <v>alp_BrandedContent_youtube_social_T-Cross_newsfeed_cpv_prospecting_video_Video-8_WalkAround</v>
      </c>
      <c r="G236" t="str">
        <f t="shared" si="52"/>
        <v>435520434</v>
      </c>
      <c r="H236" t="str">
        <f t="shared" si="53"/>
        <v>Tracking</v>
      </c>
      <c r="I236">
        <f t="shared" si="54"/>
        <v>2503239</v>
      </c>
      <c r="J236">
        <f t="shared" si="55"/>
        <v>0</v>
      </c>
      <c r="K236" s="4">
        <f t="shared" ref="K236:K299" si="58">IF(LEFT(B236,3)="DBM",0,VLOOKUP(E236,tabela,2,FALSE))</f>
        <v>0.04</v>
      </c>
      <c r="L236">
        <f t="shared" ref="L236:L299" si="59">VLOOKUP(E236,tabela,3,FALSE)</f>
        <v>0.09</v>
      </c>
      <c r="M236" s="4">
        <f t="shared" si="56"/>
        <v>100.12956</v>
      </c>
      <c r="N236" s="4">
        <f t="shared" si="57"/>
        <v>225.29150999999999</v>
      </c>
    </row>
    <row r="237" spans="1:14">
      <c r="A237" t="str">
        <f t="shared" si="46"/>
        <v>BR_AAF_SOC_NONMS_ND_AS_2019Q1FEB_RNG_BrandedContent</v>
      </c>
      <c r="B237" t="str">
        <f t="shared" si="47"/>
        <v>TEADS</v>
      </c>
      <c r="C237" t="str">
        <f t="shared" si="48"/>
        <v>alp_BrandedContent_teads_social_T-Cross_newsfeed_cpv_view_video_Video-6_WalkAround</v>
      </c>
      <c r="D237" t="str">
        <f t="shared" si="49"/>
        <v>238636356</v>
      </c>
      <c r="E237" t="str">
        <f t="shared" si="50"/>
        <v>Dynamic Click</v>
      </c>
      <c r="F237" t="str">
        <f t="shared" si="51"/>
        <v>alp_BrandedContent_teads_social_T-Cross_newsfeed_cpv_view_video_Video-6_WalkAround</v>
      </c>
      <c r="G237" t="str">
        <f t="shared" si="52"/>
        <v>435546566</v>
      </c>
      <c r="H237" t="str">
        <f t="shared" si="53"/>
        <v>Tracking</v>
      </c>
      <c r="I237">
        <f t="shared" si="54"/>
        <v>4</v>
      </c>
      <c r="J237">
        <f t="shared" si="55"/>
        <v>5</v>
      </c>
      <c r="K237" s="4">
        <f t="shared" si="58"/>
        <v>3.5000000000000001E-3</v>
      </c>
      <c r="L237">
        <f t="shared" si="59"/>
        <v>0.02</v>
      </c>
      <c r="M237" s="4">
        <f t="shared" si="56"/>
        <v>1.7500000000000002E-2</v>
      </c>
      <c r="N237" s="4">
        <f t="shared" si="57"/>
        <v>0.1</v>
      </c>
    </row>
    <row r="238" spans="1:14">
      <c r="A238" t="str">
        <f t="shared" si="46"/>
        <v>BR_AAF_SOC_NONMS_ND_AS_2019Q1FEB_RNG_BrandedContent</v>
      </c>
      <c r="B238" t="str">
        <f t="shared" si="47"/>
        <v>TEADS</v>
      </c>
      <c r="C238" t="str">
        <f t="shared" si="48"/>
        <v>alp_BrandedContent_teads_social_T-Cross_newsfeed_cpv_view_video_Video-7_WalkAround</v>
      </c>
      <c r="D238" t="str">
        <f t="shared" si="49"/>
        <v>238636353</v>
      </c>
      <c r="E238" t="str">
        <f t="shared" si="50"/>
        <v>Standard</v>
      </c>
      <c r="F238" t="str">
        <f t="shared" si="51"/>
        <v>alp_BrandedContent_teads_social_T-Cross_newsfeed_cpv_view_video_Video-7_WalkAround</v>
      </c>
      <c r="G238" t="str">
        <f t="shared" si="52"/>
        <v>435546563</v>
      </c>
      <c r="H238" t="str">
        <f t="shared" si="53"/>
        <v>Tracking</v>
      </c>
      <c r="I238">
        <f t="shared" si="54"/>
        <v>57</v>
      </c>
      <c r="J238">
        <f t="shared" si="55"/>
        <v>1</v>
      </c>
      <c r="K238" s="4">
        <f t="shared" si="58"/>
        <v>0.04</v>
      </c>
      <c r="L238">
        <f t="shared" si="59"/>
        <v>0.09</v>
      </c>
      <c r="M238" s="4">
        <f t="shared" si="56"/>
        <v>2.2800000000000003E-3</v>
      </c>
      <c r="N238" s="4">
        <f t="shared" si="57"/>
        <v>5.13E-3</v>
      </c>
    </row>
    <row r="239" spans="1:14">
      <c r="A239" t="str">
        <f t="shared" si="46"/>
        <v>BR_AAF_SOC_NONMS_ND_AS_2019Q1FEB_RNG_BrandedContent</v>
      </c>
      <c r="B239" t="str">
        <f t="shared" si="47"/>
        <v>TEADS</v>
      </c>
      <c r="C239" t="str">
        <f t="shared" si="48"/>
        <v>alp_BrandedContent_teads_social_T-Cross_newsfeed_cpv_view_video_Video-8_WalkAround</v>
      </c>
      <c r="D239" t="str">
        <f t="shared" si="49"/>
        <v>238292876</v>
      </c>
      <c r="E239" t="str">
        <f t="shared" si="50"/>
        <v>Standard</v>
      </c>
      <c r="F239" t="str">
        <f t="shared" si="51"/>
        <v>alp_BrandedContent_teads_social_T-Cross_newsfeed_cpv_view_video_Video-8_WalkAround</v>
      </c>
      <c r="G239" t="str">
        <f t="shared" si="52"/>
        <v>435546560</v>
      </c>
      <c r="H239" t="str">
        <f t="shared" si="53"/>
        <v>Tracking</v>
      </c>
      <c r="I239">
        <f t="shared" si="54"/>
        <v>684630</v>
      </c>
      <c r="J239">
        <f t="shared" si="55"/>
        <v>2585</v>
      </c>
      <c r="K239" s="4">
        <f t="shared" si="58"/>
        <v>0.04</v>
      </c>
      <c r="L239">
        <f t="shared" si="59"/>
        <v>0.09</v>
      </c>
      <c r="M239" s="4">
        <f t="shared" si="56"/>
        <v>27.385200000000001</v>
      </c>
      <c r="N239" s="4">
        <f t="shared" si="57"/>
        <v>61.616699999999994</v>
      </c>
    </row>
    <row r="240" spans="1:14">
      <c r="A240" t="str">
        <f t="shared" si="46"/>
        <v>BR_AAF_SOC_NONMS_ND_AS_2019Q1FEB_RNG_BrandedContent</v>
      </c>
      <c r="B240" t="str">
        <f t="shared" si="47"/>
        <v>faceinsta</v>
      </c>
      <c r="C240" t="str">
        <f t="shared" si="48"/>
        <v>alp_BC_faceinsta_social_timelines_newsfeed_cpm_prospecting_pagepost_Virtus-Foto_AMC-AUTENTICO</v>
      </c>
      <c r="D240" t="str">
        <f t="shared" si="49"/>
        <v>213305838</v>
      </c>
      <c r="E240" t="str">
        <f t="shared" si="50"/>
        <v>Dynamic Click</v>
      </c>
      <c r="F240" t="str">
        <f t="shared" si="51"/>
        <v>alp_BC_faceinsta_social_timelines_newsfeed_cpm_prospecting_pagepost_Virtus-Foto_AMC-AUTENTICO</v>
      </c>
      <c r="G240" t="str">
        <f t="shared" si="52"/>
        <v>412394541</v>
      </c>
      <c r="H240" t="str">
        <f t="shared" si="53"/>
        <v>(not set)</v>
      </c>
      <c r="I240">
        <f t="shared" si="54"/>
        <v>0</v>
      </c>
      <c r="J240">
        <f t="shared" si="55"/>
        <v>1</v>
      </c>
      <c r="K240" s="4">
        <f t="shared" si="58"/>
        <v>3.5000000000000001E-3</v>
      </c>
      <c r="L240">
        <f t="shared" si="59"/>
        <v>0.02</v>
      </c>
      <c r="M240" s="4">
        <f t="shared" si="56"/>
        <v>3.5000000000000001E-3</v>
      </c>
      <c r="N240" s="4">
        <f t="shared" si="57"/>
        <v>0.02</v>
      </c>
    </row>
    <row r="241" spans="1:14">
      <c r="A241" t="str">
        <f t="shared" si="46"/>
        <v>BR_AAF_SOC_NONMS_ND_AS_2019Q1FEB_RNG_BrandedContent</v>
      </c>
      <c r="B241" t="str">
        <f t="shared" si="47"/>
        <v>instagram.com</v>
      </c>
      <c r="C241" t="str">
        <f t="shared" si="48"/>
        <v>BR_VW_RNG_instagram_SOC_DRCT_CPM_CAI_MXD_AAF_ROS_CXD_BrandedContent-SandyeJunior-AMC_PD_pagepost</v>
      </c>
      <c r="D241" t="str">
        <f t="shared" si="49"/>
        <v>242168747</v>
      </c>
      <c r="E241" t="str">
        <f t="shared" si="50"/>
        <v>Dynamic Click</v>
      </c>
      <c r="F241" t="str">
        <f t="shared" si="51"/>
        <v>BR_VW_RNG_instagram_SOC_DRCT_CPM_CAI_MXD_AAF_ROS_CXD_BrandedContent-SandyeJunior-AMC_PD_pagepost</v>
      </c>
      <c r="G241" t="str">
        <f t="shared" si="52"/>
        <v>439079027</v>
      </c>
      <c r="H241" t="str">
        <f t="shared" si="53"/>
        <v>Tracking</v>
      </c>
      <c r="I241">
        <f t="shared" si="54"/>
        <v>0</v>
      </c>
      <c r="J241">
        <f t="shared" si="55"/>
        <v>17950</v>
      </c>
      <c r="K241" s="4">
        <f t="shared" si="58"/>
        <v>3.5000000000000001E-3</v>
      </c>
      <c r="L241">
        <f t="shared" si="59"/>
        <v>0.02</v>
      </c>
      <c r="M241" s="4">
        <f t="shared" si="56"/>
        <v>62.825000000000003</v>
      </c>
      <c r="N241" s="4">
        <f t="shared" si="57"/>
        <v>359</v>
      </c>
    </row>
    <row r="242" spans="1:14">
      <c r="A242" t="str">
        <f t="shared" si="46"/>
        <v>BR_AAF_SOC_NONMS_ND_AS_2019Q1FEB_RNG_BrandedContent</v>
      </c>
      <c r="B242" t="str">
        <f t="shared" si="47"/>
        <v>instagram.com</v>
      </c>
      <c r="C242" t="str">
        <f t="shared" si="48"/>
        <v>alp_BrandedContent_instagram_social_T-Cross_newsfeed_cpm_prospecting_pagepost_T-Cross-Salao_AMC-open</v>
      </c>
      <c r="D242" t="str">
        <f t="shared" si="49"/>
        <v>232642641</v>
      </c>
      <c r="E242" t="str">
        <f t="shared" si="50"/>
        <v>Dynamic Click</v>
      </c>
      <c r="F242" t="str">
        <f t="shared" si="51"/>
        <v>alp_BrandedContent_instagram_social_T-Cross_newsfeed_cpm_prospecting_pagepost_T-Cross-Salao_AMC-open</v>
      </c>
      <c r="G242" t="str">
        <f t="shared" si="52"/>
        <v>430084518</v>
      </c>
      <c r="H242" t="str">
        <f t="shared" si="53"/>
        <v>Tracking</v>
      </c>
      <c r="I242">
        <f t="shared" si="54"/>
        <v>0</v>
      </c>
      <c r="J242">
        <f t="shared" si="55"/>
        <v>1</v>
      </c>
      <c r="K242" s="4">
        <f t="shared" si="58"/>
        <v>3.5000000000000001E-3</v>
      </c>
      <c r="L242">
        <f t="shared" si="59"/>
        <v>0.02</v>
      </c>
      <c r="M242" s="4">
        <f t="shared" si="56"/>
        <v>3.5000000000000001E-3</v>
      </c>
      <c r="N242" s="4">
        <f t="shared" si="57"/>
        <v>0.02</v>
      </c>
    </row>
    <row r="243" spans="1:14">
      <c r="A243" t="str">
        <f t="shared" si="46"/>
        <v>BR_AAF_SOC_NONMS_ND_AS_2019Q1FEB_RNG_BrandedContent</v>
      </c>
      <c r="B243" t="str">
        <f t="shared" si="47"/>
        <v>instagram.com</v>
      </c>
      <c r="C243" t="str">
        <f t="shared" si="48"/>
        <v>alp_BrandedContent_instagram_social_T-Cross_newsfeed_cpm_prospecting_stories_t-cross-carro1_AMC-open</v>
      </c>
      <c r="D243" t="str">
        <f t="shared" si="49"/>
        <v>232642647</v>
      </c>
      <c r="E243" t="str">
        <f t="shared" si="50"/>
        <v>Dynamic Click</v>
      </c>
      <c r="F243" t="str">
        <f t="shared" si="51"/>
        <v>alp_BrandedContent_instagram_social_T-Cross_newsfeed_cpm_prospecting_stories_t-cross-carro1_AMC-open</v>
      </c>
      <c r="G243" t="str">
        <f t="shared" si="52"/>
        <v>430084524</v>
      </c>
      <c r="H243" t="str">
        <f t="shared" si="53"/>
        <v>Tracking</v>
      </c>
      <c r="I243">
        <f t="shared" si="54"/>
        <v>0</v>
      </c>
      <c r="J243">
        <f t="shared" si="55"/>
        <v>1</v>
      </c>
      <c r="K243" s="4">
        <f t="shared" si="58"/>
        <v>3.5000000000000001E-3</v>
      </c>
      <c r="L243">
        <f t="shared" si="59"/>
        <v>0.02</v>
      </c>
      <c r="M243" s="4">
        <f t="shared" si="56"/>
        <v>3.5000000000000001E-3</v>
      </c>
      <c r="N243" s="4">
        <f t="shared" si="57"/>
        <v>0.02</v>
      </c>
    </row>
    <row r="244" spans="1:14">
      <c r="A244" t="str">
        <f t="shared" si="46"/>
        <v>BR_AAF_SOC_NONMS_ND_AS_2019Q1FEB_RNG_BrandedContent</v>
      </c>
      <c r="B244" t="str">
        <f t="shared" si="47"/>
        <v>instagram.com</v>
      </c>
      <c r="C244" t="str">
        <f t="shared" si="48"/>
        <v>alp_BrandedContent_instagram_social_T-Cross_newsfeed_cpv_alcance_stories_Video-3_WalkAround</v>
      </c>
      <c r="D244" t="str">
        <f t="shared" si="49"/>
        <v>238273976</v>
      </c>
      <c r="E244" t="str">
        <f t="shared" si="50"/>
        <v>Dynamic Click</v>
      </c>
      <c r="F244" t="str">
        <f t="shared" si="51"/>
        <v>alp_BrandedContent_instagram_social_T-Cross_newsfeed_cpv_alcance_stories_Video-3_WalkAround</v>
      </c>
      <c r="G244" t="str">
        <f t="shared" si="52"/>
        <v>435533703</v>
      </c>
      <c r="H244" t="str">
        <f t="shared" si="53"/>
        <v>Tracking</v>
      </c>
      <c r="I244">
        <f t="shared" si="54"/>
        <v>0</v>
      </c>
      <c r="J244">
        <f t="shared" si="55"/>
        <v>1</v>
      </c>
      <c r="K244" s="4">
        <f t="shared" si="58"/>
        <v>3.5000000000000001E-3</v>
      </c>
      <c r="L244">
        <f t="shared" si="59"/>
        <v>0.02</v>
      </c>
      <c r="M244" s="4">
        <f t="shared" si="56"/>
        <v>3.5000000000000001E-3</v>
      </c>
      <c r="N244" s="4">
        <f t="shared" si="57"/>
        <v>0.02</v>
      </c>
    </row>
    <row r="245" spans="1:14">
      <c r="A245" t="str">
        <f t="shared" si="46"/>
        <v>BR_AAF_SOC_NONMS_ND_AS_2019Q1FEB_RNG_BrandedContent</v>
      </c>
      <c r="B245" t="str">
        <f t="shared" si="47"/>
        <v>instagram.com</v>
      </c>
      <c r="C245" t="str">
        <f t="shared" si="48"/>
        <v>alp_BrandedContent_instagram_social_T-Cross_newsfeed_cpv_alcance_stories_Video-8_WalkAround</v>
      </c>
      <c r="D245" t="str">
        <f t="shared" si="49"/>
        <v>238273916</v>
      </c>
      <c r="E245" t="str">
        <f t="shared" si="50"/>
        <v>Dynamic Click</v>
      </c>
      <c r="F245" t="str">
        <f t="shared" si="51"/>
        <v>alp_BrandedContent_instagram_social_T-Cross_newsfeed_cpv_alcance_stories_Video-8_WalkAround</v>
      </c>
      <c r="G245" t="str">
        <f t="shared" si="52"/>
        <v>435533643</v>
      </c>
      <c r="H245" t="str">
        <f t="shared" si="53"/>
        <v>Tracking</v>
      </c>
      <c r="I245">
        <f t="shared" si="54"/>
        <v>0</v>
      </c>
      <c r="J245">
        <f t="shared" si="55"/>
        <v>5765</v>
      </c>
      <c r="K245" s="4">
        <f t="shared" si="58"/>
        <v>3.5000000000000001E-3</v>
      </c>
      <c r="L245">
        <f t="shared" si="59"/>
        <v>0.02</v>
      </c>
      <c r="M245" s="4">
        <f t="shared" si="56"/>
        <v>20.177500000000002</v>
      </c>
      <c r="N245" s="4">
        <f t="shared" si="57"/>
        <v>115.3</v>
      </c>
    </row>
    <row r="246" spans="1:14">
      <c r="A246" t="str">
        <f t="shared" si="46"/>
        <v>BR_AAF_SOC_NONMS_ND_AS_2019Q1FEB_RNG_BrandedContent</v>
      </c>
      <c r="B246" t="str">
        <f t="shared" si="47"/>
        <v>instagram.com</v>
      </c>
      <c r="C246" t="str">
        <f t="shared" si="48"/>
        <v>alp_BrandedContent_instagram_social_T-Cross_newsfeed_cpv_prospecting_stories_T-Cross-Pactical_AMC-open</v>
      </c>
      <c r="D246" t="str">
        <f t="shared" si="49"/>
        <v>236313129</v>
      </c>
      <c r="E246" t="str">
        <f t="shared" si="50"/>
        <v>Dynamic Click</v>
      </c>
      <c r="F246" t="str">
        <f t="shared" si="51"/>
        <v>alp_BrandedContent_instagram_social_T-Cross_newsfeed_cpv_prospecting_stories_T-Cross-Pactical_AMC-open</v>
      </c>
      <c r="G246" t="str">
        <f t="shared" si="52"/>
        <v>433561754</v>
      </c>
      <c r="H246" t="str">
        <f t="shared" si="53"/>
        <v>Tracking</v>
      </c>
      <c r="I246">
        <f t="shared" si="54"/>
        <v>0</v>
      </c>
      <c r="J246">
        <f t="shared" si="55"/>
        <v>1</v>
      </c>
      <c r="K246" s="4">
        <f t="shared" si="58"/>
        <v>3.5000000000000001E-3</v>
      </c>
      <c r="L246">
        <f t="shared" si="59"/>
        <v>0.02</v>
      </c>
      <c r="M246" s="4">
        <f t="shared" si="56"/>
        <v>3.5000000000000001E-3</v>
      </c>
      <c r="N246" s="4">
        <f t="shared" si="57"/>
        <v>0.02</v>
      </c>
    </row>
    <row r="247" spans="1:14">
      <c r="A247" t="str">
        <f t="shared" si="46"/>
        <v>BR_AAF_SOC_NONMS_ND_AS_2019Q1FEB_RNG_BrandedContent</v>
      </c>
      <c r="B247" t="str">
        <f t="shared" si="47"/>
        <v>instagram.com</v>
      </c>
      <c r="C247" t="str">
        <f t="shared" si="48"/>
        <v>alp_BrandedContent_instagram_social_T-Cross_newsfeed_cpv_view_video_Video-2_WalkAround</v>
      </c>
      <c r="D247" t="str">
        <f t="shared" si="49"/>
        <v>238623759</v>
      </c>
      <c r="E247" t="str">
        <f t="shared" si="50"/>
        <v>Dynamic Click</v>
      </c>
      <c r="F247" t="str">
        <f t="shared" si="51"/>
        <v>alp_BrandedContent_instagram_social_T-Cross_newsfeed_cpv_view_video_Video-2_WalkAround</v>
      </c>
      <c r="G247" t="str">
        <f t="shared" si="52"/>
        <v>435533712</v>
      </c>
      <c r="H247" t="str">
        <f t="shared" si="53"/>
        <v>Tracking</v>
      </c>
      <c r="I247">
        <f t="shared" si="54"/>
        <v>0</v>
      </c>
      <c r="J247">
        <f t="shared" si="55"/>
        <v>1</v>
      </c>
      <c r="K247" s="4">
        <f t="shared" si="58"/>
        <v>3.5000000000000001E-3</v>
      </c>
      <c r="L247">
        <f t="shared" si="59"/>
        <v>0.02</v>
      </c>
      <c r="M247" s="4">
        <f t="shared" si="56"/>
        <v>3.5000000000000001E-3</v>
      </c>
      <c r="N247" s="4">
        <f t="shared" si="57"/>
        <v>0.02</v>
      </c>
    </row>
    <row r="248" spans="1:14">
      <c r="A248" t="str">
        <f t="shared" si="46"/>
        <v>BR_AAF_SOC_NONMS_ND_AS_2019Q1FEB_RNG_BrandedContent</v>
      </c>
      <c r="B248" t="str">
        <f t="shared" si="47"/>
        <v>instagram.com</v>
      </c>
      <c r="C248" t="str">
        <f t="shared" si="48"/>
        <v>alp_BrandedContent_instagram_social_T-Cross_newsfeed_cpv_view_video_Video-4_WalkAround</v>
      </c>
      <c r="D248" t="str">
        <f t="shared" si="49"/>
        <v>238273961</v>
      </c>
      <c r="E248" t="str">
        <f t="shared" si="50"/>
        <v>Dynamic Click</v>
      </c>
      <c r="F248" t="str">
        <f t="shared" si="51"/>
        <v>alp_BrandedContent_instagram_social_T-Cross_newsfeed_cpv_view_video_Video-4_WalkAround</v>
      </c>
      <c r="G248" t="str">
        <f t="shared" si="52"/>
        <v>435533688</v>
      </c>
      <c r="H248" t="str">
        <f t="shared" si="53"/>
        <v>Tracking</v>
      </c>
      <c r="I248">
        <f t="shared" si="54"/>
        <v>0</v>
      </c>
      <c r="J248">
        <f t="shared" si="55"/>
        <v>6</v>
      </c>
      <c r="K248" s="4">
        <f t="shared" si="58"/>
        <v>3.5000000000000001E-3</v>
      </c>
      <c r="L248">
        <f t="shared" si="59"/>
        <v>0.02</v>
      </c>
      <c r="M248" s="4">
        <f t="shared" si="56"/>
        <v>2.1000000000000001E-2</v>
      </c>
      <c r="N248" s="4">
        <f t="shared" si="57"/>
        <v>0.12</v>
      </c>
    </row>
    <row r="249" spans="1:14">
      <c r="A249" t="str">
        <f t="shared" si="46"/>
        <v>BR_AAF_SOC_NONMS_ND_AS_2019Q1FEB_RNG_BrandedContent</v>
      </c>
      <c r="B249" t="str">
        <f t="shared" si="47"/>
        <v>instagram.com</v>
      </c>
      <c r="C249" t="str">
        <f t="shared" si="48"/>
        <v>alp_BrandedContent_instagram_social_T-Cross_newsfeed_cpv_view_video_Video-6_WalkAround</v>
      </c>
      <c r="D249" t="str">
        <f t="shared" si="49"/>
        <v>238273937</v>
      </c>
      <c r="E249" t="str">
        <f t="shared" si="50"/>
        <v>Dynamic Click</v>
      </c>
      <c r="F249" t="str">
        <f t="shared" si="51"/>
        <v>alp_BrandedContent_instagram_social_T-Cross_newsfeed_cpv_view_video_Video-6_WalkAround</v>
      </c>
      <c r="G249" t="str">
        <f t="shared" si="52"/>
        <v>435533664</v>
      </c>
      <c r="H249" t="str">
        <f t="shared" si="53"/>
        <v>Tracking</v>
      </c>
      <c r="I249">
        <f t="shared" si="54"/>
        <v>0</v>
      </c>
      <c r="J249">
        <f t="shared" si="55"/>
        <v>5</v>
      </c>
      <c r="K249" s="4">
        <f t="shared" si="58"/>
        <v>3.5000000000000001E-3</v>
      </c>
      <c r="L249">
        <f t="shared" si="59"/>
        <v>0.02</v>
      </c>
      <c r="M249" s="4">
        <f t="shared" si="56"/>
        <v>1.7500000000000002E-2</v>
      </c>
      <c r="N249" s="4">
        <f t="shared" si="57"/>
        <v>0.1</v>
      </c>
    </row>
    <row r="250" spans="1:14">
      <c r="A250" t="str">
        <f t="shared" si="46"/>
        <v>BR_AAF_SOC_NONMS_ND_AS_2019Q1FEB_RNG_BrandedContent</v>
      </c>
      <c r="B250" t="str">
        <f t="shared" si="47"/>
        <v>instagram.com</v>
      </c>
      <c r="C250" t="str">
        <f t="shared" si="48"/>
        <v>alp_BrandedContent_instagram_social_T-Cross_newsfeed_cpv_view_video_Video-7_WalkAround</v>
      </c>
      <c r="D250" t="str">
        <f t="shared" si="49"/>
        <v>238273925</v>
      </c>
      <c r="E250" t="str">
        <f t="shared" si="50"/>
        <v>Dynamic Click</v>
      </c>
      <c r="F250" t="str">
        <f t="shared" si="51"/>
        <v>alp_BrandedContent_instagram_social_T-Cross_newsfeed_cpv_view_video_Video-7_WalkAround</v>
      </c>
      <c r="G250" t="str">
        <f t="shared" si="52"/>
        <v>435533652</v>
      </c>
      <c r="H250" t="str">
        <f t="shared" si="53"/>
        <v>Tracking</v>
      </c>
      <c r="I250">
        <f t="shared" si="54"/>
        <v>0</v>
      </c>
      <c r="J250">
        <f t="shared" si="55"/>
        <v>9207</v>
      </c>
      <c r="K250" s="4">
        <f t="shared" si="58"/>
        <v>3.5000000000000001E-3</v>
      </c>
      <c r="L250">
        <f t="shared" si="59"/>
        <v>0.02</v>
      </c>
      <c r="M250" s="4">
        <f t="shared" si="56"/>
        <v>32.224499999999999</v>
      </c>
      <c r="N250" s="4">
        <f t="shared" si="57"/>
        <v>184.14000000000001</v>
      </c>
    </row>
    <row r="251" spans="1:14">
      <c r="A251" t="str">
        <f t="shared" si="46"/>
        <v>BR_AAF_SOC_NONMS_ND_AS_2019Q1FEB_RNG_BrandedContent</v>
      </c>
      <c r="B251" t="str">
        <f t="shared" si="47"/>
        <v>instagram.com</v>
      </c>
      <c r="C251" t="str">
        <f t="shared" si="48"/>
        <v>alp_BrandedContent_instagram_social_jetta_newsfeed_cpm_prospecting_pagepost_novo-jetta_AMC-open</v>
      </c>
      <c r="D251" t="str">
        <f t="shared" si="49"/>
        <v>232554535</v>
      </c>
      <c r="E251" t="str">
        <f t="shared" si="50"/>
        <v>Dynamic Click</v>
      </c>
      <c r="F251" t="str">
        <f t="shared" si="51"/>
        <v>alp_BrandedContent_instagram_social_jetta_newsfeed_cpm_prospecting_pagepost_novo-jetta_AMC-open</v>
      </c>
      <c r="G251" t="str">
        <f t="shared" si="52"/>
        <v>430232499</v>
      </c>
      <c r="H251" t="str">
        <f t="shared" si="53"/>
        <v>Tracking</v>
      </c>
      <c r="I251">
        <f t="shared" si="54"/>
        <v>0</v>
      </c>
      <c r="J251">
        <f t="shared" si="55"/>
        <v>2</v>
      </c>
      <c r="K251" s="4">
        <f t="shared" si="58"/>
        <v>3.5000000000000001E-3</v>
      </c>
      <c r="L251">
        <f t="shared" si="59"/>
        <v>0.02</v>
      </c>
      <c r="M251" s="4">
        <f t="shared" si="56"/>
        <v>7.0000000000000001E-3</v>
      </c>
      <c r="N251" s="4">
        <f t="shared" si="57"/>
        <v>0.04</v>
      </c>
    </row>
    <row r="252" spans="1:14">
      <c r="A252" t="str">
        <f t="shared" si="46"/>
        <v>BR_AAF_SOC_NONMS_ND_AS_2019Q1FEB_RNG_BrandedContent</v>
      </c>
      <c r="B252" t="str">
        <f t="shared" si="47"/>
        <v>instagram.com</v>
      </c>
      <c r="C252" t="str">
        <f t="shared" si="48"/>
        <v>alp_BrandedContent_instagram_social_salao_newsfeed_cpm_prospecting_carrossel_salao-07-11_AMC-open</v>
      </c>
      <c r="D252" t="str">
        <f t="shared" si="49"/>
        <v>233447419</v>
      </c>
      <c r="E252" t="str">
        <f t="shared" si="50"/>
        <v>Dynamic Click</v>
      </c>
      <c r="F252" t="str">
        <f t="shared" si="51"/>
        <v>alp_BrandedContent_instagram_social_salao_newsfeed_cpm_prospecting_carrossel_salao-07-11_AMC-open</v>
      </c>
      <c r="G252" t="str">
        <f t="shared" si="52"/>
        <v>431122335</v>
      </c>
      <c r="H252" t="str">
        <f t="shared" si="53"/>
        <v>Tracking</v>
      </c>
      <c r="I252">
        <f t="shared" si="54"/>
        <v>0</v>
      </c>
      <c r="J252">
        <f t="shared" si="55"/>
        <v>3</v>
      </c>
      <c r="K252" s="4">
        <f t="shared" si="58"/>
        <v>3.5000000000000001E-3</v>
      </c>
      <c r="L252">
        <f t="shared" si="59"/>
        <v>0.02</v>
      </c>
      <c r="M252" s="4">
        <f t="shared" si="56"/>
        <v>1.0500000000000001E-2</v>
      </c>
      <c r="N252" s="4">
        <f t="shared" si="57"/>
        <v>0.06</v>
      </c>
    </row>
    <row r="253" spans="1:14">
      <c r="A253" t="str">
        <f t="shared" si="46"/>
        <v>BR_AAF_SOC_NONMS_ND_AS_2019Q1FEB_RNG_BrandedContent</v>
      </c>
      <c r="B253" t="str">
        <f t="shared" si="47"/>
        <v>instagram.com</v>
      </c>
      <c r="C253" t="str">
        <f t="shared" si="48"/>
        <v>alp_BrandedContent_instagram_social_salao_newsfeed_cpm_prospecting_pagepost_salao-gts_AMC-open</v>
      </c>
      <c r="D253" t="str">
        <f t="shared" si="49"/>
        <v>233881179</v>
      </c>
      <c r="E253" t="str">
        <f t="shared" si="50"/>
        <v>Dynamic Click</v>
      </c>
      <c r="F253" t="str">
        <f t="shared" si="51"/>
        <v>alp_BrandedContent_instagram_social_salao_newsfeed_cpm_prospecting_pagepost_salao-gts_AMC-open</v>
      </c>
      <c r="G253" t="str">
        <f t="shared" si="52"/>
        <v>431320026</v>
      </c>
      <c r="H253" t="str">
        <f t="shared" si="53"/>
        <v>Tracking</v>
      </c>
      <c r="I253">
        <f t="shared" si="54"/>
        <v>0</v>
      </c>
      <c r="J253">
        <f t="shared" si="55"/>
        <v>4</v>
      </c>
      <c r="K253" s="4">
        <f t="shared" si="58"/>
        <v>3.5000000000000001E-3</v>
      </c>
      <c r="L253">
        <f t="shared" si="59"/>
        <v>0.02</v>
      </c>
      <c r="M253" s="4">
        <f t="shared" si="56"/>
        <v>1.4E-2</v>
      </c>
      <c r="N253" s="4">
        <f t="shared" si="57"/>
        <v>0.08</v>
      </c>
    </row>
    <row r="254" spans="1:14">
      <c r="A254" t="str">
        <f t="shared" si="46"/>
        <v>BR_AAF_SOC_NONMS_ND_AS_2019Q1FEB_RNG_BrandedContent</v>
      </c>
      <c r="B254" t="str">
        <f t="shared" si="47"/>
        <v>instagram.com</v>
      </c>
      <c r="C254" t="str">
        <f t="shared" si="48"/>
        <v>alp_BrandedContent_instagram_social_salao_newsfeed_cpm_prospecting_pagepost_salao-niina_AMC-open</v>
      </c>
      <c r="D254" t="str">
        <f t="shared" si="49"/>
        <v>233875393</v>
      </c>
      <c r="E254" t="str">
        <f t="shared" si="50"/>
        <v>Dynamic Click</v>
      </c>
      <c r="F254" t="str">
        <f t="shared" si="51"/>
        <v>alp_BrandedContent_instagram_social_salao_newsfeed_cpm_prospecting_pagepost_salao-niina_AMC-open</v>
      </c>
      <c r="G254" t="str">
        <f t="shared" si="52"/>
        <v>431468234</v>
      </c>
      <c r="H254" t="str">
        <f t="shared" si="53"/>
        <v>Tracking</v>
      </c>
      <c r="I254">
        <f t="shared" si="54"/>
        <v>0</v>
      </c>
      <c r="J254">
        <f t="shared" si="55"/>
        <v>2</v>
      </c>
      <c r="K254" s="4">
        <f t="shared" si="58"/>
        <v>3.5000000000000001E-3</v>
      </c>
      <c r="L254">
        <f t="shared" si="59"/>
        <v>0.02</v>
      </c>
      <c r="M254" s="4">
        <f t="shared" si="56"/>
        <v>7.0000000000000001E-3</v>
      </c>
      <c r="N254" s="4">
        <f t="shared" si="57"/>
        <v>0.04</v>
      </c>
    </row>
    <row r="255" spans="1:14">
      <c r="A255" t="str">
        <f t="shared" si="46"/>
        <v>BR_AAF_SOC_NONMS_ND_AS_2019Q1FEB_RNG_BrandedContent</v>
      </c>
      <c r="B255" t="str">
        <f t="shared" si="47"/>
        <v>instagram.com</v>
      </c>
      <c r="C255" t="str">
        <f t="shared" si="48"/>
        <v>alp_BrandedContent_instagram_social_timelines_newsfeed_cpm_prospecting_pagepost_Polo-BrandedContent_AMC-Polo</v>
      </c>
      <c r="D255" t="str">
        <f t="shared" si="49"/>
        <v>215454034</v>
      </c>
      <c r="E255" t="str">
        <f t="shared" si="50"/>
        <v>Dynamic Click</v>
      </c>
      <c r="F255" t="str">
        <f t="shared" si="51"/>
        <v>alp_BrandedContent_instagram_social_timelines_newsfeed_cpm_prospecting_pagepost_Polo-BrandedContent_AMC-Polo</v>
      </c>
      <c r="G255" t="str">
        <f t="shared" si="52"/>
        <v>414486316</v>
      </c>
      <c r="H255" t="str">
        <f t="shared" si="53"/>
        <v>(not set)</v>
      </c>
      <c r="I255">
        <f t="shared" si="54"/>
        <v>0</v>
      </c>
      <c r="J255">
        <f t="shared" si="55"/>
        <v>5</v>
      </c>
      <c r="K255" s="4">
        <f t="shared" si="58"/>
        <v>3.5000000000000001E-3</v>
      </c>
      <c r="L255">
        <f t="shared" si="59"/>
        <v>0.02</v>
      </c>
      <c r="M255" s="4">
        <f t="shared" si="56"/>
        <v>1.7500000000000002E-2</v>
      </c>
      <c r="N255" s="4">
        <f t="shared" si="57"/>
        <v>0.1</v>
      </c>
    </row>
    <row r="256" spans="1:14">
      <c r="A256" t="str">
        <f t="shared" si="46"/>
        <v>BR_AAF_SOC_NONMS_ND_AS_2019Q1FEB_RNG_BrandedContent</v>
      </c>
      <c r="B256" t="str">
        <f t="shared" si="47"/>
        <v>instagram.com</v>
      </c>
      <c r="C256" t="str">
        <f t="shared" si="48"/>
        <v>alp_BrandedContent_instagram_social_timelines_newsfeed_cpm_prospecting_pagepost_Virtus-BrandedContent-180307_AMC-Virtus-BETA</v>
      </c>
      <c r="D256" t="str">
        <f t="shared" si="49"/>
        <v>216106652</v>
      </c>
      <c r="E256" t="str">
        <f t="shared" si="50"/>
        <v>Dynamic Click</v>
      </c>
      <c r="F256" t="str">
        <f t="shared" si="51"/>
        <v>alp_BrandedContent_instagram_social_timelines_newsfeed_cpm_prospecting_pagepost_Virtus-BrandedContent-180307_AMC-Virtus-BETA</v>
      </c>
      <c r="G256" t="str">
        <f t="shared" si="52"/>
        <v>415062376</v>
      </c>
      <c r="H256" t="str">
        <f t="shared" si="53"/>
        <v>(not set)</v>
      </c>
      <c r="I256">
        <f t="shared" si="54"/>
        <v>0</v>
      </c>
      <c r="J256">
        <f t="shared" si="55"/>
        <v>1</v>
      </c>
      <c r="K256" s="4">
        <f t="shared" si="58"/>
        <v>3.5000000000000001E-3</v>
      </c>
      <c r="L256">
        <f t="shared" si="59"/>
        <v>0.02</v>
      </c>
      <c r="M256" s="4">
        <f t="shared" si="56"/>
        <v>3.5000000000000001E-3</v>
      </c>
      <c r="N256" s="4">
        <f t="shared" si="57"/>
        <v>0.02</v>
      </c>
    </row>
    <row r="257" spans="1:14">
      <c r="A257" t="str">
        <f t="shared" si="46"/>
        <v>BR_AAF_SOC_NONMS_ND_AS_2019Q1FEB_RNG_BrandedContent</v>
      </c>
      <c r="B257" t="str">
        <f t="shared" si="47"/>
        <v>instagram.com</v>
      </c>
      <c r="C257" t="str">
        <f t="shared" si="48"/>
        <v>alp_BrandedContent_instagram_social_timelines_newsfeed_cpm_prospecting_pagepost_virtus-17-07_AMC-open</v>
      </c>
      <c r="D257" t="str">
        <f t="shared" si="49"/>
        <v>225615657</v>
      </c>
      <c r="E257" t="str">
        <f t="shared" si="50"/>
        <v>Dynamic Click</v>
      </c>
      <c r="F257" t="str">
        <f t="shared" si="51"/>
        <v>alp_BrandedContent_instagram_social_timelines_newsfeed_cpm_prospecting_pagepost_virtus-17-07_AMC-open</v>
      </c>
      <c r="G257" t="str">
        <f t="shared" si="52"/>
        <v>423524190</v>
      </c>
      <c r="H257" t="str">
        <f t="shared" si="53"/>
        <v>Tracking</v>
      </c>
      <c r="I257">
        <f t="shared" si="54"/>
        <v>0</v>
      </c>
      <c r="J257">
        <f t="shared" si="55"/>
        <v>1</v>
      </c>
      <c r="K257" s="4">
        <f t="shared" si="58"/>
        <v>3.5000000000000001E-3</v>
      </c>
      <c r="L257">
        <f t="shared" si="59"/>
        <v>0.02</v>
      </c>
      <c r="M257" s="4">
        <f t="shared" si="56"/>
        <v>3.5000000000000001E-3</v>
      </c>
      <c r="N257" s="4">
        <f t="shared" si="57"/>
        <v>0.02</v>
      </c>
    </row>
    <row r="258" spans="1:14">
      <c r="A258" t="str">
        <f t="shared" ref="A258:A321" si="60">bd_campaign</f>
        <v>BR_AAF_SOC_RUNOT_ND_NC_2019Q1MAR_AMV_VarejoAmarokMarco</v>
      </c>
      <c r="B258" t="str">
        <f t="shared" ref="B258:B321" si="61">bd_site</f>
        <v>Facebook</v>
      </c>
      <c r="C258" t="str">
        <f t="shared" ref="C258:C321" si="62">bd_placement</f>
        <v>BR_VW_AMV_facebook_MOB_DRCT_CPM_CLK_SRB_AAF_RON_CXD_Amarok-Varejo-Marco-Corporativo-CAMPO-NOVO-Social-Amarok-AMC_PD_1200x628</v>
      </c>
      <c r="D258" t="str">
        <f t="shared" ref="D258:D321" si="63">bd_placementID</f>
        <v>241644501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BR_VW_AMV_facebook_MOB_DRCT_CPM_CLK_SRB_AAF_RON_CXD_Amarok-Varejo-Marco-Corporativo-CAMPO-NOVO-Social-Amarok-AMC_PD_1200x628</v>
      </c>
      <c r="G258" t="str">
        <f t="shared" ref="G258:G321" si="66">bd_adid</f>
        <v>438306479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5669</v>
      </c>
      <c r="K258" s="4">
        <f t="shared" si="58"/>
        <v>3.5000000000000001E-3</v>
      </c>
      <c r="L258">
        <f t="shared" si="59"/>
        <v>0.02</v>
      </c>
      <c r="M258" s="4">
        <f t="shared" si="56"/>
        <v>19.8415</v>
      </c>
      <c r="N258" s="4">
        <f t="shared" si="57"/>
        <v>113.38</v>
      </c>
    </row>
    <row r="259" spans="1:14">
      <c r="A259" t="str">
        <f t="shared" si="60"/>
        <v>BR_AAF_SOC_RUNOT_ND_NC_2019Q1MAR_AMV_VarejoAmarokMarco</v>
      </c>
      <c r="B259" t="str">
        <f t="shared" si="61"/>
        <v>Facebook</v>
      </c>
      <c r="C259" t="str">
        <f t="shared" si="62"/>
        <v>BR_VW_AMV_facebook_MOB_DRCT_CPM_CLK_SRB_AAF_RON_CXD_Amarok-Varejo-Marco-Corporativo-CIDADE-NOVO-Social-Amarok-AMC_PD_1200x628</v>
      </c>
      <c r="D259" t="str">
        <f t="shared" si="63"/>
        <v>241644492</v>
      </c>
      <c r="E259" t="str">
        <f t="shared" si="64"/>
        <v>Dynamic Click</v>
      </c>
      <c r="F259" t="str">
        <f t="shared" si="65"/>
        <v>BR_VW_AMV_facebook_MOB_DRCT_CPM_CLK_SRB_AAF_RON_CXD_Amarok-Varejo-Marco-Corporativo-CIDADE-NOVO-Social-Amarok-AMC_PD_1200x628</v>
      </c>
      <c r="G259" t="str">
        <f t="shared" si="66"/>
        <v>438306470</v>
      </c>
      <c r="H259" t="str">
        <f t="shared" si="67"/>
        <v>Tracking</v>
      </c>
      <c r="I259">
        <f t="shared" si="68"/>
        <v>0</v>
      </c>
      <c r="J259">
        <f t="shared" si="69"/>
        <v>9541</v>
      </c>
      <c r="K259" s="4">
        <f t="shared" si="58"/>
        <v>3.5000000000000001E-3</v>
      </c>
      <c r="L259">
        <f t="shared" si="59"/>
        <v>0.02</v>
      </c>
      <c r="M259" s="4">
        <f t="shared" si="56"/>
        <v>33.393500000000003</v>
      </c>
      <c r="N259" s="4">
        <f t="shared" si="57"/>
        <v>190.82</v>
      </c>
    </row>
    <row r="260" spans="1:14">
      <c r="A260" t="str">
        <f t="shared" si="60"/>
        <v>BR_AAF_SOC_RUNOT_ND_NC_2019Q1MAR_AMV_VarejoAmarokMarco</v>
      </c>
      <c r="B260" t="str">
        <f t="shared" si="61"/>
        <v>Facebook</v>
      </c>
      <c r="C260" t="str">
        <f t="shared" si="62"/>
        <v>BR_VW_AMV_facebook_MOB_DRCT_CPM_CLK_SRB_AAF_RON_CXD_Amarok-Varejo-Marco-Corporativo-OLD-CAMPO-Social-Amarok-AMC_PD_1200x628</v>
      </c>
      <c r="D260" t="str">
        <f t="shared" si="63"/>
        <v>241644519</v>
      </c>
      <c r="E260" t="str">
        <f t="shared" si="64"/>
        <v>Dynamic Click</v>
      </c>
      <c r="F260" t="str">
        <f t="shared" si="65"/>
        <v>BR_VW_AMV_facebook_MOB_DRCT_CPM_CLK_SRB_AAF_RON_CXD_Amarok-Varejo-Marco-Corporativo-OLD-CAMPO-Social-Amarok-AMC_PD_1200x628</v>
      </c>
      <c r="G260" t="str">
        <f t="shared" si="66"/>
        <v>438306497</v>
      </c>
      <c r="H260" t="str">
        <f t="shared" si="67"/>
        <v>Tracking</v>
      </c>
      <c r="I260">
        <f t="shared" si="68"/>
        <v>0</v>
      </c>
      <c r="J260">
        <f t="shared" si="69"/>
        <v>15441</v>
      </c>
      <c r="K260" s="4">
        <f t="shared" si="58"/>
        <v>3.5000000000000001E-3</v>
      </c>
      <c r="L260">
        <f t="shared" si="59"/>
        <v>0.02</v>
      </c>
      <c r="M260" s="4">
        <f t="shared" si="56"/>
        <v>54.043500000000002</v>
      </c>
      <c r="N260" s="4">
        <f t="shared" si="57"/>
        <v>308.82</v>
      </c>
    </row>
    <row r="261" spans="1:14">
      <c r="A261" t="str">
        <f t="shared" si="60"/>
        <v>BR_AAF_SOC_RUNOT_ND_NC_2019Q1MAR_AMV_VarejoAmarokMarco</v>
      </c>
      <c r="B261" t="str">
        <f t="shared" si="61"/>
        <v>Facebook</v>
      </c>
      <c r="C261" t="str">
        <f t="shared" si="62"/>
        <v>BR_VW_AMV_facebook_MOB_DRCT_CPM_CLK_SRB_AAF_RON_CXD_Amarok-Varejo-Marco-Corporativo-OLD-CIDADE-Social-Amarok-AMC_PD_1200x628</v>
      </c>
      <c r="D261" t="str">
        <f t="shared" si="63"/>
        <v>241644510</v>
      </c>
      <c r="E261" t="str">
        <f t="shared" si="64"/>
        <v>Dynamic Click</v>
      </c>
      <c r="F261" t="str">
        <f t="shared" si="65"/>
        <v>BR_VW_AMV_facebook_MOB_DRCT_CPM_CLK_SRB_AAF_RON_CXD_Amarok-Varejo-Marco-Corporativo-OLD-CIDADE-Social-Amarok-AMC_PD_1200x628</v>
      </c>
      <c r="G261" t="str">
        <f t="shared" si="66"/>
        <v>438306488</v>
      </c>
      <c r="H261" t="str">
        <f t="shared" si="67"/>
        <v>Tracking</v>
      </c>
      <c r="I261">
        <f t="shared" si="68"/>
        <v>0</v>
      </c>
      <c r="J261">
        <f t="shared" si="69"/>
        <v>24154</v>
      </c>
      <c r="K261" s="4">
        <f t="shared" si="58"/>
        <v>3.5000000000000001E-3</v>
      </c>
      <c r="L261">
        <f t="shared" si="59"/>
        <v>0.02</v>
      </c>
      <c r="M261" s="4">
        <f t="shared" si="56"/>
        <v>84.539000000000001</v>
      </c>
      <c r="N261" s="4">
        <f t="shared" si="57"/>
        <v>483.08</v>
      </c>
    </row>
    <row r="262" spans="1:14">
      <c r="A262" t="str">
        <f t="shared" si="60"/>
        <v>BR_AAF_SOC_RUNOT_ND_NC_2019Q1MAR_AMV_VarejoAmarokMarco</v>
      </c>
      <c r="B262" t="str">
        <f t="shared" si="61"/>
        <v>Facebook</v>
      </c>
      <c r="C262" t="str">
        <f t="shared" si="62"/>
        <v>BR_VW_AMV_facebook_MOB_DRCT_CPM_CLK_SRB_AAF_RON_CXD_Amarok-Varejo-Marco-PRIVADO-SOCIAL-Amarok-AMC_PD_1200x628</v>
      </c>
      <c r="D262" t="str">
        <f t="shared" si="63"/>
        <v>241644528</v>
      </c>
      <c r="E262" t="str">
        <f t="shared" si="64"/>
        <v>Dynamic Click</v>
      </c>
      <c r="F262" t="str">
        <f t="shared" si="65"/>
        <v>BR_VW_AMV_facebook_MOB_DRCT_CPM_CLK_SRB_AAF_RON_CXD_Amarok-Varejo-Marco-PRIVADO-SOCIAL-Amarok-AMC_PD_1200x628</v>
      </c>
      <c r="G262" t="str">
        <f t="shared" si="66"/>
        <v>438306506</v>
      </c>
      <c r="H262" t="str">
        <f t="shared" si="67"/>
        <v>Tracking</v>
      </c>
      <c r="I262">
        <f t="shared" si="68"/>
        <v>0</v>
      </c>
      <c r="J262">
        <f t="shared" si="69"/>
        <v>59992</v>
      </c>
      <c r="K262" s="4">
        <f t="shared" si="58"/>
        <v>3.5000000000000001E-3</v>
      </c>
      <c r="L262">
        <f t="shared" si="59"/>
        <v>0.02</v>
      </c>
      <c r="M262" s="4">
        <f t="shared" si="56"/>
        <v>209.97200000000001</v>
      </c>
      <c r="N262" s="4">
        <f t="shared" si="57"/>
        <v>1199.8399999999999</v>
      </c>
    </row>
    <row r="263" spans="1:14">
      <c r="A263" t="str">
        <f t="shared" si="60"/>
        <v>BR_AAF_SOC_RUNOT_ND_NC_2019Q1MAR_AMV_VarejoAmarokMarco</v>
      </c>
      <c r="B263" t="str">
        <f t="shared" si="61"/>
        <v>instagram.com</v>
      </c>
      <c r="C263" t="str">
        <f t="shared" si="62"/>
        <v>BR_VW_AMV_Instagram_MOB_DRCT_CPM_CLK_MPU_AAF_RON_CXD_Amarok-Varejo-Marco-Corporativo-OLD-CIDADE-Social-Amarok-AMC_PD_Video</v>
      </c>
      <c r="D263" t="str">
        <f t="shared" si="63"/>
        <v>241644504</v>
      </c>
      <c r="E263" t="str">
        <f t="shared" si="64"/>
        <v>Dynamic Click</v>
      </c>
      <c r="F263" t="str">
        <f t="shared" si="65"/>
        <v>BR_VW_AMV_Instagram_MOB_DRCT_CPM_CLK_MPU_AAF_RON_CXD_Amarok-Varejo-Marco-Corporativo-OLD-CIDADE-Social-Amarok-AMC_PD_Video</v>
      </c>
      <c r="G263" t="str">
        <f t="shared" si="66"/>
        <v>438306482</v>
      </c>
      <c r="H263" t="str">
        <f t="shared" si="67"/>
        <v>Tracking</v>
      </c>
      <c r="I263">
        <f t="shared" si="68"/>
        <v>0</v>
      </c>
      <c r="J263">
        <f t="shared" si="69"/>
        <v>10268</v>
      </c>
      <c r="K263" s="4">
        <f t="shared" si="58"/>
        <v>3.5000000000000001E-3</v>
      </c>
      <c r="L263">
        <f t="shared" si="59"/>
        <v>0.02</v>
      </c>
      <c r="M263" s="4">
        <f t="shared" si="56"/>
        <v>35.938000000000002</v>
      </c>
      <c r="N263" s="4">
        <f t="shared" si="57"/>
        <v>205.36</v>
      </c>
    </row>
    <row r="264" spans="1:14">
      <c r="A264" t="str">
        <f t="shared" si="60"/>
        <v>BR_AAF_SOC_RUNOT_ND_NC_2019Q1MAR_AMV_VarejoAmarokMarco</v>
      </c>
      <c r="B264" t="str">
        <f t="shared" si="61"/>
        <v>instagram.com</v>
      </c>
      <c r="C264" t="str">
        <f t="shared" si="62"/>
        <v>BR_VW_AMV_Instagram_MOB_DRCT_CPM_CLK_MPU_AAF_RON_CXD_Amarok-Varejo-Marco-PRIVADO-SOCIAL-Amarok-AMC_PD_Video</v>
      </c>
      <c r="D264" t="str">
        <f t="shared" si="63"/>
        <v>241644522</v>
      </c>
      <c r="E264" t="str">
        <f t="shared" si="64"/>
        <v>Dynamic Click</v>
      </c>
      <c r="F264" t="str">
        <f t="shared" si="65"/>
        <v>BR_VW_AMV_Instagram_MOB_DRCT_CPM_CLK_MPU_AAF_RON_CXD_Amarok-Varejo-Marco-PRIVADO-SOCIAL-Amarok-AMC_PD_Video</v>
      </c>
      <c r="G264" t="str">
        <f t="shared" si="66"/>
        <v>438306500</v>
      </c>
      <c r="H264" t="str">
        <f t="shared" si="67"/>
        <v>Tracking</v>
      </c>
      <c r="I264">
        <f t="shared" si="68"/>
        <v>0</v>
      </c>
      <c r="J264">
        <f t="shared" si="69"/>
        <v>10884</v>
      </c>
      <c r="K264" s="4">
        <f t="shared" si="58"/>
        <v>3.5000000000000001E-3</v>
      </c>
      <c r="L264">
        <f t="shared" si="59"/>
        <v>0.02</v>
      </c>
      <c r="M264" s="4">
        <f t="shared" si="56"/>
        <v>38.094000000000001</v>
      </c>
      <c r="N264" s="4">
        <f t="shared" si="57"/>
        <v>217.68</v>
      </c>
    </row>
    <row r="265" spans="1:14">
      <c r="A265" t="str">
        <f t="shared" si="60"/>
        <v>BR_AAF_SOC_RUNOT_ND_NC_2019Q1MAR_AMV_VarejoAmarokMarco</v>
      </c>
      <c r="B265" t="str">
        <f t="shared" si="61"/>
        <v>instagram.com</v>
      </c>
      <c r="C265" t="str">
        <f t="shared" si="62"/>
        <v>BR_VW_AMV_Instagram_MOB_DRCT_CPM_CLK_SRB_AAF_RON_CXD_Amarok-Varejo-Marco-Corporativo-CAMPO-NOVO-Social-Amarok-AMC_PD_1200x628</v>
      </c>
      <c r="D265" t="str">
        <f t="shared" si="63"/>
        <v>241644498</v>
      </c>
      <c r="E265" t="str">
        <f t="shared" si="64"/>
        <v>Dynamic Click</v>
      </c>
      <c r="F265" t="str">
        <f t="shared" si="65"/>
        <v>BR_VW_AMV_Instagram_MOB_DRCT_CPM_CLK_SRB_AAF_RON_CXD_Amarok-Varejo-Marco-Corporativo-CAMPO-NOVO-Social-Amarok-AMC_PD_1200x628</v>
      </c>
      <c r="G265" t="str">
        <f t="shared" si="66"/>
        <v>438306476</v>
      </c>
      <c r="H265" t="str">
        <f t="shared" si="67"/>
        <v>Tracking</v>
      </c>
      <c r="I265">
        <f t="shared" si="68"/>
        <v>0</v>
      </c>
      <c r="J265">
        <f t="shared" si="69"/>
        <v>1604</v>
      </c>
      <c r="K265" s="4">
        <f t="shared" si="58"/>
        <v>3.5000000000000001E-3</v>
      </c>
      <c r="L265">
        <f t="shared" si="59"/>
        <v>0.02</v>
      </c>
      <c r="M265" s="4">
        <f t="shared" si="56"/>
        <v>5.6139999999999999</v>
      </c>
      <c r="N265" s="4">
        <f t="shared" si="57"/>
        <v>32.08</v>
      </c>
    </row>
    <row r="266" spans="1:14">
      <c r="A266" t="str">
        <f t="shared" si="60"/>
        <v>BR_AAF_SOC_RUNOT_ND_NC_2019Q1MAR_AMV_VarejoAmarokMarco</v>
      </c>
      <c r="B266" t="str">
        <f t="shared" si="61"/>
        <v>instagram.com</v>
      </c>
      <c r="C266" t="str">
        <f t="shared" si="62"/>
        <v>BR_VW_AMV_Instagram_MOB_DRCT_CPM_CLK_SRB_AAF_RON_CXD_Amarok-Varejo-Marco-Corporativo-CIDADE-NOVO-Social-Amarok-AMC_PD_1200x628</v>
      </c>
      <c r="D266" t="str">
        <f t="shared" si="63"/>
        <v>241644489</v>
      </c>
      <c r="E266" t="str">
        <f t="shared" si="64"/>
        <v>Dynamic Click</v>
      </c>
      <c r="F266" t="str">
        <f t="shared" si="65"/>
        <v>BR_VW_AMV_Instagram_MOB_DRCT_CPM_CLK_SRB_AAF_RON_CXD_Amarok-Varejo-Marco-Corporativo-CIDADE-NOVO-Social-Amarok-AMC_PD_1200x628</v>
      </c>
      <c r="G266" t="str">
        <f t="shared" si="66"/>
        <v>438306467</v>
      </c>
      <c r="H266" t="str">
        <f t="shared" si="67"/>
        <v>Tracking</v>
      </c>
      <c r="I266">
        <f t="shared" si="68"/>
        <v>0</v>
      </c>
      <c r="J266">
        <f t="shared" si="69"/>
        <v>2586</v>
      </c>
      <c r="K266" s="4">
        <f t="shared" si="58"/>
        <v>3.5000000000000001E-3</v>
      </c>
      <c r="L266">
        <f t="shared" si="59"/>
        <v>0.02</v>
      </c>
      <c r="M266" s="4">
        <f t="shared" si="56"/>
        <v>9.0510000000000002</v>
      </c>
      <c r="N266" s="4">
        <f t="shared" si="57"/>
        <v>51.72</v>
      </c>
    </row>
    <row r="267" spans="1:14">
      <c r="A267" t="str">
        <f t="shared" si="60"/>
        <v>BR_AAF_SOC_RUNOT_ND_NC_2019Q1MAR_AMV_VarejoAmarokMarco</v>
      </c>
      <c r="B267" t="str">
        <f t="shared" si="61"/>
        <v>instagram.com</v>
      </c>
      <c r="C267" t="str">
        <f t="shared" si="62"/>
        <v>BR_VW_AMV_Instagram_MOB_DRCT_CPM_CLK_SRB_AAF_RON_CXD_Amarok-Varejo-Marco-Corporativo-OLD-CAMPO-Social-Amarok-AMC_PD_1200x628</v>
      </c>
      <c r="D267" t="str">
        <f t="shared" si="63"/>
        <v>241644516</v>
      </c>
      <c r="E267" t="str">
        <f t="shared" si="64"/>
        <v>Dynamic Click</v>
      </c>
      <c r="F267" t="str">
        <f t="shared" si="65"/>
        <v>BR_VW_AMV_Instagram_MOB_DRCT_CPM_CLK_SRB_AAF_RON_CXD_Amarok-Varejo-Marco-Corporativo-OLD-CAMPO-Social-Amarok-AMC_PD_1200x628</v>
      </c>
      <c r="G267" t="str">
        <f t="shared" si="66"/>
        <v>438306494</v>
      </c>
      <c r="H267" t="str">
        <f t="shared" si="67"/>
        <v>Tracking</v>
      </c>
      <c r="I267">
        <f t="shared" si="68"/>
        <v>0</v>
      </c>
      <c r="J267">
        <f t="shared" si="69"/>
        <v>554</v>
      </c>
      <c r="K267" s="4">
        <f t="shared" si="58"/>
        <v>3.5000000000000001E-3</v>
      </c>
      <c r="L267">
        <f t="shared" si="59"/>
        <v>0.02</v>
      </c>
      <c r="M267" s="4">
        <f t="shared" si="56"/>
        <v>1.9390000000000001</v>
      </c>
      <c r="N267" s="4">
        <f t="shared" si="57"/>
        <v>11.08</v>
      </c>
    </row>
    <row r="268" spans="1:14">
      <c r="A268" t="str">
        <f t="shared" si="60"/>
        <v>BR_AAF_SOC_RUNOT_ND_NC_2019Q1MAR_AMV_VarejoAmarokMarco</v>
      </c>
      <c r="B268" t="str">
        <f t="shared" si="61"/>
        <v>instagram.com</v>
      </c>
      <c r="C268" t="str">
        <f t="shared" si="62"/>
        <v>BR_VW_AMV_Instagram_MOB_DRCT_CPM_CLK_SRB_AAF_RON_CXD_Amarok-Varejo-Marco-Corporativo-OLD-CIDADE-Social-Amarok-AMC_PD_1200x628</v>
      </c>
      <c r="D268" t="str">
        <f t="shared" si="63"/>
        <v>241644507</v>
      </c>
      <c r="E268" t="str">
        <f t="shared" si="64"/>
        <v>Dynamic Click</v>
      </c>
      <c r="F268" t="str">
        <f t="shared" si="65"/>
        <v>BR_VW_AMV_Instagram_MOB_DRCT_CPM_CLK_SRB_AAF_RON_CXD_Amarok-Varejo-Marco-Corporativo-OLD-CIDADE-Social-Amarok-AMC_PD_1200x628</v>
      </c>
      <c r="G268" t="str">
        <f t="shared" si="66"/>
        <v>438306485</v>
      </c>
      <c r="H268" t="str">
        <f t="shared" si="67"/>
        <v>Tracking</v>
      </c>
      <c r="I268">
        <f t="shared" si="68"/>
        <v>0</v>
      </c>
      <c r="J268">
        <f t="shared" si="69"/>
        <v>2109</v>
      </c>
      <c r="K268" s="4">
        <f t="shared" si="58"/>
        <v>3.5000000000000001E-3</v>
      </c>
      <c r="L268">
        <f t="shared" si="59"/>
        <v>0.02</v>
      </c>
      <c r="M268" s="4">
        <f t="shared" si="56"/>
        <v>7.3815</v>
      </c>
      <c r="N268" s="4">
        <f t="shared" si="57"/>
        <v>42.18</v>
      </c>
    </row>
    <row r="269" spans="1:14">
      <c r="A269" t="str">
        <f t="shared" si="60"/>
        <v>BR_IMC_DSY_LANCH_ND_NC_2019Q1FEB_RNG_Outlet</v>
      </c>
      <c r="B269" t="str">
        <f t="shared" si="61"/>
        <v>BR MSN.</v>
      </c>
      <c r="C269" t="str">
        <f t="shared" si="62"/>
        <v>BR_VW_RNG_msn_DIS_DRCT_CPA_CAI_LDR_IMC_RON_CXD_outlet-polo-jetta-all-faixa-horaria-awareness_PD_728x90</v>
      </c>
      <c r="D269" t="str">
        <f t="shared" si="63"/>
        <v>242024222</v>
      </c>
      <c r="E269" t="str">
        <f t="shared" si="64"/>
        <v>Standard</v>
      </c>
      <c r="F269" t="str">
        <f t="shared" si="65"/>
        <v>BR_VW_RNG_msn_DIS_DRCT_CPA_CAI_LDR_IMC_RON_CXD_outlet-polo-jetta-all-faixa-horaria-awareness_PD_728x90</v>
      </c>
      <c r="G269" t="str">
        <f t="shared" si="66"/>
        <v>438965567</v>
      </c>
      <c r="H269" t="str">
        <f t="shared" si="67"/>
        <v>Display</v>
      </c>
      <c r="I269">
        <f t="shared" si="68"/>
        <v>240973</v>
      </c>
      <c r="J269">
        <f t="shared" si="69"/>
        <v>500</v>
      </c>
      <c r="K269" s="4">
        <f t="shared" si="58"/>
        <v>0.04</v>
      </c>
      <c r="L269">
        <f t="shared" si="59"/>
        <v>0.09</v>
      </c>
      <c r="M269" s="4">
        <f t="shared" si="56"/>
        <v>9.6389200000000006</v>
      </c>
      <c r="N269" s="4">
        <f t="shared" si="57"/>
        <v>21.687570000000001</v>
      </c>
    </row>
    <row r="270" spans="1:14">
      <c r="A270" t="str">
        <f t="shared" si="60"/>
        <v>BR_IMC_DSY_LANCH_ND_NC_2019Q1FEB_RNG_Outlet</v>
      </c>
      <c r="B270" t="str">
        <f t="shared" si="61"/>
        <v>BR MSN.</v>
      </c>
      <c r="C270" t="str">
        <f t="shared" si="62"/>
        <v>BR_VW_RNG_msn_DIS_DRCT_CPA_CAI_MPU_IMC_RON_CXD_outlet-polo-jetta-all-faixa-horaria-awareness_PD_300x250</v>
      </c>
      <c r="D270" t="str">
        <f t="shared" si="63"/>
        <v>242043323</v>
      </c>
      <c r="E270" t="str">
        <f t="shared" si="64"/>
        <v>Standard</v>
      </c>
      <c r="F270" t="str">
        <f t="shared" si="65"/>
        <v>BR_VW_RNG_msn_DIS_DRCT_CPA_CAI_MPU_IMC_RON_CXD_outlet-polo-jetta-all-faixa-horaria-awareness_PD_300x250</v>
      </c>
      <c r="G270" t="str">
        <f t="shared" si="66"/>
        <v>438972533</v>
      </c>
      <c r="H270" t="str">
        <f t="shared" si="67"/>
        <v>Display</v>
      </c>
      <c r="I270">
        <f t="shared" si="68"/>
        <v>1231194</v>
      </c>
      <c r="J270">
        <f t="shared" si="69"/>
        <v>436</v>
      </c>
      <c r="K270" s="4">
        <f t="shared" si="58"/>
        <v>0.04</v>
      </c>
      <c r="L270">
        <f t="shared" si="59"/>
        <v>0.09</v>
      </c>
      <c r="M270" s="4">
        <f t="shared" si="56"/>
        <v>49.24776</v>
      </c>
      <c r="N270" s="4">
        <f t="shared" si="57"/>
        <v>110.80745999999999</v>
      </c>
    </row>
    <row r="271" spans="1:14">
      <c r="A271" t="str">
        <f t="shared" si="60"/>
        <v>BR_IMC_DSY_LANCH_ND_NC_2019Q1FEB_RNG_Outlet</v>
      </c>
      <c r="B271" t="str">
        <f t="shared" si="61"/>
        <v>BR MSN.</v>
      </c>
      <c r="C271" t="str">
        <f t="shared" si="62"/>
        <v>BR_VW_RNG_msn_DIS_DRCT_CPA_CAI_MPU_IMC_RON_CXD_outlet-polo-jetta-in-mkt-autos_PD_200x200</v>
      </c>
      <c r="D271" t="str">
        <f t="shared" si="63"/>
        <v>242269294</v>
      </c>
      <c r="E271" t="str">
        <f t="shared" si="64"/>
        <v>Dynamic Click</v>
      </c>
      <c r="F271" t="str">
        <f t="shared" si="65"/>
        <v>BR_VW_RNG_msn_DIS_DRCT_CPA_CAI_MPU_IMC_RON_CXD_outlet-polo-jetta-in-mkt-autos_PD_200x200</v>
      </c>
      <c r="G271" t="str">
        <f t="shared" si="66"/>
        <v>438977082</v>
      </c>
      <c r="H271" t="str">
        <f t="shared" si="67"/>
        <v>Tracking</v>
      </c>
      <c r="I271">
        <f t="shared" si="68"/>
        <v>0</v>
      </c>
      <c r="J271">
        <f t="shared" si="69"/>
        <v>3127</v>
      </c>
      <c r="K271" s="4">
        <f t="shared" si="58"/>
        <v>3.5000000000000001E-3</v>
      </c>
      <c r="L271">
        <f t="shared" si="59"/>
        <v>0.02</v>
      </c>
      <c r="M271" s="4">
        <f t="shared" si="56"/>
        <v>10.9445</v>
      </c>
      <c r="N271" s="4">
        <f t="shared" si="57"/>
        <v>62.54</v>
      </c>
    </row>
    <row r="272" spans="1:14">
      <c r="A272" t="str">
        <f t="shared" si="60"/>
        <v>BR_IMC_DSY_LANCH_ND_NC_2019Q1FEB_RNG_Outlet</v>
      </c>
      <c r="B272" t="str">
        <f t="shared" si="61"/>
        <v>BR MSN.</v>
      </c>
      <c r="C272" t="str">
        <f t="shared" si="62"/>
        <v>BR_VW_RNG_msn_DIS_DRCT_CPA_CAI_SKY_IMC_RON_CXD_outlet-polo-jetta-all-faixa-horaria-awareness_PD_160x600</v>
      </c>
      <c r="D272" t="str">
        <f t="shared" si="63"/>
        <v>242022461</v>
      </c>
      <c r="E272" t="str">
        <f t="shared" si="64"/>
        <v>Standard</v>
      </c>
      <c r="F272" t="str">
        <f t="shared" si="65"/>
        <v>BR_VW_RNG_msn_DIS_DRCT_CPA_CAI_SKY_IMC_RON_CXD_outlet-polo-jetta-all-faixa-horaria-awareness_PD_160x600</v>
      </c>
      <c r="G272" t="str">
        <f t="shared" si="66"/>
        <v>438967775</v>
      </c>
      <c r="H272" t="str">
        <f t="shared" si="67"/>
        <v>Display</v>
      </c>
      <c r="I272">
        <f t="shared" si="68"/>
        <v>30885668</v>
      </c>
      <c r="J272">
        <f t="shared" si="69"/>
        <v>23943</v>
      </c>
      <c r="K272" s="4">
        <f t="shared" si="58"/>
        <v>0.04</v>
      </c>
      <c r="L272">
        <f t="shared" si="59"/>
        <v>0.09</v>
      </c>
      <c r="M272" s="4">
        <f t="shared" si="56"/>
        <v>1235.4267199999999</v>
      </c>
      <c r="N272" s="4">
        <f t="shared" si="57"/>
        <v>2779.7101200000002</v>
      </c>
    </row>
    <row r="273" spans="1:14">
      <c r="A273" t="str">
        <f t="shared" si="60"/>
        <v>BR_IMC_DSY_LANCH_ND_NC_2019Q1FEB_RNG_Outlet</v>
      </c>
      <c r="B273" t="str">
        <f t="shared" si="61"/>
        <v>BR MSN.</v>
      </c>
      <c r="C273" t="str">
        <f t="shared" si="62"/>
        <v>BR_VW_RNG_msn_DIS_DRCT_CPA_CAI_SKY_IMC_RON_CXD_outlet-polo-jetta-all-faixa-horaria-awareness_PD_300x600</v>
      </c>
      <c r="D273" t="str">
        <f t="shared" si="63"/>
        <v>242043320</v>
      </c>
      <c r="E273" t="str">
        <f t="shared" si="64"/>
        <v>Standard</v>
      </c>
      <c r="F273" t="str">
        <f t="shared" si="65"/>
        <v>BR_VW_RNG_msn_DIS_DRCT_CPA_CAI_SKY_IMC_RON_CXD_outlet-polo-jetta-all-faixa-horaria-awareness_PD_300x600</v>
      </c>
      <c r="G273" t="str">
        <f t="shared" si="66"/>
        <v>438972530</v>
      </c>
      <c r="H273" t="str">
        <f t="shared" si="67"/>
        <v>Display</v>
      </c>
      <c r="I273">
        <f t="shared" si="68"/>
        <v>1230671</v>
      </c>
      <c r="J273">
        <f t="shared" si="69"/>
        <v>821</v>
      </c>
      <c r="K273" s="4">
        <f t="shared" si="58"/>
        <v>0.04</v>
      </c>
      <c r="L273">
        <f t="shared" si="59"/>
        <v>0.09</v>
      </c>
      <c r="M273" s="4">
        <f t="shared" si="56"/>
        <v>49.226840000000003</v>
      </c>
      <c r="N273" s="4">
        <f t="shared" si="57"/>
        <v>110.76039</v>
      </c>
    </row>
    <row r="274" spans="1:14">
      <c r="A274" t="str">
        <f t="shared" si="60"/>
        <v>BR_IMC_DSY_LANCH_ND_NC_2019Q1FEB_RNG_Outlet</v>
      </c>
      <c r="B274" t="str">
        <f t="shared" si="61"/>
        <v>BR UOL.</v>
      </c>
      <c r="C274" t="str">
        <f t="shared" si="62"/>
        <v>BR_VW_RNG_uol_DIS_DRCT_CPA_CAI_LDR_IMC_RON_CXD_outlet-polo-jetta-as-ab-25+-autos-awareness_PD_728x90</v>
      </c>
      <c r="D274" t="str">
        <f t="shared" si="63"/>
        <v>242140810</v>
      </c>
      <c r="E274" t="str">
        <f t="shared" si="64"/>
        <v>Standard</v>
      </c>
      <c r="F274" t="str">
        <f t="shared" si="65"/>
        <v>BR_VW_RNG_uol_DIS_DRCT_CPA_CAI_LDR_IMC_RON_CXD_outlet-polo-jetta-as-ab-25+-autos-awareness_PD_728x90</v>
      </c>
      <c r="G274" t="str">
        <f t="shared" si="66"/>
        <v>438890076</v>
      </c>
      <c r="H274" t="str">
        <f t="shared" si="67"/>
        <v>Display</v>
      </c>
      <c r="I274">
        <f t="shared" si="68"/>
        <v>2374989</v>
      </c>
      <c r="J274">
        <f t="shared" si="69"/>
        <v>1496</v>
      </c>
      <c r="K274" s="4">
        <f t="shared" si="58"/>
        <v>0.04</v>
      </c>
      <c r="L274">
        <f t="shared" si="59"/>
        <v>0.09</v>
      </c>
      <c r="M274" s="4">
        <f t="shared" si="56"/>
        <v>94.999560000000002</v>
      </c>
      <c r="N274" s="4">
        <f t="shared" si="57"/>
        <v>213.74900999999997</v>
      </c>
    </row>
    <row r="275" spans="1:14">
      <c r="A275" t="str">
        <f t="shared" si="60"/>
        <v>BR_IMC_DSY_LANCH_ND_NC_2019Q1FEB_RNG_Outlet</v>
      </c>
      <c r="B275" t="str">
        <f t="shared" si="61"/>
        <v>BR UOL.</v>
      </c>
      <c r="C275" t="str">
        <f t="shared" si="62"/>
        <v>BR_VW_RNG_uol_DIS_DRCT_CPA_CAI_LDR_IMC_RON_CXD_outlet-polo-jetta-as-ab-25+-autos-awareness_PD_970x250</v>
      </c>
      <c r="D275" t="str">
        <f t="shared" si="63"/>
        <v>242140804</v>
      </c>
      <c r="E275" t="str">
        <f t="shared" si="64"/>
        <v>Standard</v>
      </c>
      <c r="F275" t="str">
        <f t="shared" si="65"/>
        <v>BR_VW_RNG_uol_DIS_DRCT_CPA_CAI_LDR_IMC_RON_CXD_outlet-polo-jetta-as-ab-25+-autos-awareness_PD_970x250</v>
      </c>
      <c r="G275" t="str">
        <f t="shared" si="66"/>
        <v>438890070</v>
      </c>
      <c r="H275" t="str">
        <f t="shared" si="67"/>
        <v>Display</v>
      </c>
      <c r="I275">
        <f t="shared" si="68"/>
        <v>1070854</v>
      </c>
      <c r="J275">
        <f t="shared" si="69"/>
        <v>1140</v>
      </c>
      <c r="K275" s="4">
        <f t="shared" si="58"/>
        <v>0.04</v>
      </c>
      <c r="L275">
        <f t="shared" si="59"/>
        <v>0.09</v>
      </c>
      <c r="M275" s="4">
        <f t="shared" si="56"/>
        <v>42.834160000000004</v>
      </c>
      <c r="N275" s="4">
        <f t="shared" si="57"/>
        <v>96.376859999999994</v>
      </c>
    </row>
    <row r="276" spans="1:14">
      <c r="A276" t="str">
        <f t="shared" si="60"/>
        <v>BR_IMC_DSY_LANCH_ND_NC_2019Q1FEB_RNG_Outlet</v>
      </c>
      <c r="B276" t="str">
        <f t="shared" si="61"/>
        <v>BR UOL.</v>
      </c>
      <c r="C276" t="str">
        <f t="shared" si="62"/>
        <v>BR_VW_RNG_uol_DIS_DRCT_CPA_CAI_LDR_IMC_RON_CXD_outlet-polo-jetta-as-ab-25+-autos-awareness_PD_970x90</v>
      </c>
      <c r="D276" t="str">
        <f t="shared" si="63"/>
        <v>242140807</v>
      </c>
      <c r="E276" t="str">
        <f t="shared" si="64"/>
        <v>Standard</v>
      </c>
      <c r="F276" t="str">
        <f t="shared" si="65"/>
        <v>BR_VW_RNG_uol_DIS_DRCT_CPA_CAI_LDR_IMC_RON_CXD_outlet-polo-jetta-as-ab-25+-autos-awareness_PD_970x90</v>
      </c>
      <c r="G276" t="str">
        <f t="shared" si="66"/>
        <v>438890073</v>
      </c>
      <c r="H276" t="str">
        <f t="shared" si="67"/>
        <v>Display</v>
      </c>
      <c r="I276">
        <f t="shared" si="68"/>
        <v>560411</v>
      </c>
      <c r="J276">
        <f t="shared" si="69"/>
        <v>274</v>
      </c>
      <c r="K276" s="4">
        <f t="shared" si="58"/>
        <v>0.04</v>
      </c>
      <c r="L276">
        <f t="shared" si="59"/>
        <v>0.09</v>
      </c>
      <c r="M276" s="4">
        <f t="shared" si="56"/>
        <v>22.416439999999998</v>
      </c>
      <c r="N276" s="4">
        <f t="shared" si="57"/>
        <v>50.436989999999994</v>
      </c>
    </row>
    <row r="277" spans="1:14">
      <c r="A277" t="str">
        <f t="shared" si="60"/>
        <v>BR_IMC_DSY_LANCH_ND_NC_2019Q1FEB_RNG_Outlet</v>
      </c>
      <c r="B277" t="str">
        <f t="shared" si="61"/>
        <v>BR UOL.</v>
      </c>
      <c r="C277" t="str">
        <f t="shared" si="62"/>
        <v>BR_VW_RNG_uol_DIS_DRCT_CPA_CAI_MPU_IMC_RON_CXD_outlet-polo-jetta-as-ab-25+-autos-awareness_PD_300x250</v>
      </c>
      <c r="D277" t="str">
        <f t="shared" si="63"/>
        <v>242140816</v>
      </c>
      <c r="E277" t="str">
        <f t="shared" si="64"/>
        <v>Default</v>
      </c>
      <c r="F277" t="str">
        <f t="shared" si="65"/>
        <v>300x250 Default Web Ad</v>
      </c>
      <c r="G277" t="str">
        <f t="shared" si="66"/>
        <v>438970922</v>
      </c>
      <c r="H277" t="str">
        <f t="shared" si="67"/>
        <v>Display</v>
      </c>
      <c r="I277">
        <f t="shared" si="68"/>
        <v>2</v>
      </c>
      <c r="J277">
        <f t="shared" si="69"/>
        <v>0</v>
      </c>
      <c r="K277" s="4">
        <f t="shared" si="58"/>
        <v>0.04</v>
      </c>
      <c r="L277">
        <f t="shared" si="59"/>
        <v>0.09</v>
      </c>
      <c r="M277" s="4">
        <f t="shared" si="56"/>
        <v>8.0000000000000007E-5</v>
      </c>
      <c r="N277" s="4">
        <f t="shared" si="57"/>
        <v>1.7999999999999998E-4</v>
      </c>
    </row>
    <row r="278" spans="1:14">
      <c r="A278" t="str">
        <f t="shared" si="60"/>
        <v>BR_IMC_DSY_LANCH_ND_NC_2019Q1FEB_RNG_Outlet</v>
      </c>
      <c r="B278" t="str">
        <f t="shared" si="61"/>
        <v>BR UOL.</v>
      </c>
      <c r="C278" t="str">
        <f t="shared" si="62"/>
        <v>BR_VW_RNG_uol_DIS_DRCT_CPA_CAI_MPU_IMC_RON_CXD_outlet-polo-jetta-as-ab-25+-autos-awareness_PD_300x250</v>
      </c>
      <c r="D278" t="str">
        <f t="shared" si="63"/>
        <v>242140816</v>
      </c>
      <c r="E278" t="str">
        <f t="shared" si="64"/>
        <v>Standard</v>
      </c>
      <c r="F278" t="str">
        <f t="shared" si="65"/>
        <v>BR_VW_RNG_uol_DIS_DRCT_CPA_CAI_MPU_IMC_RON_CXD_outlet-polo-jetta-as-ab-25+-autos-awareness_PD_300x250</v>
      </c>
      <c r="G278" t="str">
        <f t="shared" si="66"/>
        <v>438890082</v>
      </c>
      <c r="H278" t="str">
        <f t="shared" si="67"/>
        <v>Display</v>
      </c>
      <c r="I278">
        <f t="shared" si="68"/>
        <v>17655949</v>
      </c>
      <c r="J278">
        <f t="shared" si="69"/>
        <v>26231</v>
      </c>
      <c r="K278" s="4">
        <f t="shared" si="58"/>
        <v>0.04</v>
      </c>
      <c r="L278">
        <f t="shared" si="59"/>
        <v>0.09</v>
      </c>
      <c r="M278" s="4">
        <f t="shared" si="56"/>
        <v>706.23795999999993</v>
      </c>
      <c r="N278" s="4">
        <f t="shared" si="57"/>
        <v>1589.03541</v>
      </c>
    </row>
    <row r="279" spans="1:14">
      <c r="A279" t="str">
        <f t="shared" si="60"/>
        <v>BR_IMC_DSY_LANCH_ND_NC_2019Q1FEB_RNG_Outlet</v>
      </c>
      <c r="B279" t="str">
        <f t="shared" si="61"/>
        <v>BR UOL.</v>
      </c>
      <c r="C279" t="str">
        <f t="shared" si="62"/>
        <v>BR_VW_RNG_uol_DIS_DRCT_CPA_CAI_SKY_IMC_RON_CXD_outlet-polo-jetta-as-ab-25+-autos-awareness_PD_120x600</v>
      </c>
      <c r="D279" t="str">
        <f t="shared" si="63"/>
        <v>242140822</v>
      </c>
      <c r="E279" t="str">
        <f t="shared" si="64"/>
        <v>Standard</v>
      </c>
      <c r="F279" t="str">
        <f t="shared" si="65"/>
        <v>BR_VW_RNG_uol_DIS_DRCT_CPA_CAI_SKY_IMC_RON_CXD_outlet-polo-jetta-as-ab-25+-autos-awareness_PD_120x600</v>
      </c>
      <c r="G279" t="str">
        <f t="shared" si="66"/>
        <v>438890088</v>
      </c>
      <c r="H279" t="str">
        <f t="shared" si="67"/>
        <v>Display</v>
      </c>
      <c r="I279">
        <f t="shared" si="68"/>
        <v>13214</v>
      </c>
      <c r="J279">
        <f t="shared" si="69"/>
        <v>0</v>
      </c>
      <c r="K279" s="4">
        <f t="shared" si="58"/>
        <v>0.04</v>
      </c>
      <c r="L279">
        <f t="shared" si="59"/>
        <v>0.09</v>
      </c>
      <c r="M279" s="4">
        <f t="shared" si="56"/>
        <v>0.52856000000000003</v>
      </c>
      <c r="N279" s="4">
        <f t="shared" si="57"/>
        <v>1.18926</v>
      </c>
    </row>
    <row r="280" spans="1:14">
      <c r="A280" t="str">
        <f t="shared" si="60"/>
        <v>BR_IMC_DSY_LANCH_ND_NC_2019Q1FEB_RNG_Outlet</v>
      </c>
      <c r="B280" t="str">
        <f t="shared" si="61"/>
        <v>BR UOL.</v>
      </c>
      <c r="C280" t="str">
        <f t="shared" si="62"/>
        <v>BR_VW_RNG_uol_DIS_DRCT_CPA_CAI_SKY_IMC_RON_CXD_outlet-polo-jetta-as-ab-25+-autos-awareness_PD_160x600</v>
      </c>
      <c r="D280" t="str">
        <f t="shared" si="63"/>
        <v>242140819</v>
      </c>
      <c r="E280" t="str">
        <f t="shared" si="64"/>
        <v>Standard</v>
      </c>
      <c r="F280" t="str">
        <f t="shared" si="65"/>
        <v>BR_VW_RNG_uol_DIS_DRCT_CPA_CAI_SKY_IMC_RON_CXD_outlet-polo-jetta-as-ab-25+-autos-awareness_PD_160x600</v>
      </c>
      <c r="G280" t="str">
        <f t="shared" si="66"/>
        <v>438890085</v>
      </c>
      <c r="H280" t="str">
        <f t="shared" si="67"/>
        <v>Display</v>
      </c>
      <c r="I280">
        <f t="shared" si="68"/>
        <v>1226843</v>
      </c>
      <c r="J280">
        <f t="shared" si="69"/>
        <v>702</v>
      </c>
      <c r="K280" s="4">
        <f t="shared" si="58"/>
        <v>0.04</v>
      </c>
      <c r="L280">
        <f t="shared" si="59"/>
        <v>0.09</v>
      </c>
      <c r="M280" s="4">
        <f t="shared" si="56"/>
        <v>49.073720000000002</v>
      </c>
      <c r="N280" s="4">
        <f t="shared" si="57"/>
        <v>110.41587</v>
      </c>
    </row>
    <row r="281" spans="1:14">
      <c r="A281" t="str">
        <f t="shared" si="60"/>
        <v>BR_IMC_DSY_LANCH_ND_NC_2019Q1FEB_RNG_Outlet</v>
      </c>
      <c r="B281" t="str">
        <f t="shared" si="61"/>
        <v>BR UOL.</v>
      </c>
      <c r="C281" t="str">
        <f t="shared" si="62"/>
        <v>BR_VW_RNG_uol_DIS_DRCT_CPA_CAI_SKY_IMC_RON_CXD_outlet-polo-jetta-as-ab-25+-autos-awareness_PD_300x600</v>
      </c>
      <c r="D281" t="str">
        <f t="shared" si="63"/>
        <v>242140813</v>
      </c>
      <c r="E281" t="str">
        <f t="shared" si="64"/>
        <v>Default</v>
      </c>
      <c r="F281" t="str">
        <f t="shared" si="65"/>
        <v>300x600 Default Web Ad</v>
      </c>
      <c r="G281" t="str">
        <f t="shared" si="66"/>
        <v>438979459</v>
      </c>
      <c r="H281" t="str">
        <f t="shared" si="67"/>
        <v>Display</v>
      </c>
      <c r="I281">
        <f t="shared" si="68"/>
        <v>1</v>
      </c>
      <c r="J281">
        <f t="shared" si="69"/>
        <v>0</v>
      </c>
      <c r="K281" s="4">
        <f t="shared" si="58"/>
        <v>0.04</v>
      </c>
      <c r="L281">
        <f t="shared" si="59"/>
        <v>0.09</v>
      </c>
      <c r="M281" s="4">
        <f t="shared" si="56"/>
        <v>4.0000000000000003E-5</v>
      </c>
      <c r="N281" s="4">
        <f t="shared" si="57"/>
        <v>8.9999999999999992E-5</v>
      </c>
    </row>
    <row r="282" spans="1:14">
      <c r="A282" t="str">
        <f t="shared" si="60"/>
        <v>BR_IMC_DSY_LANCH_ND_NC_2019Q1FEB_RNG_Outlet</v>
      </c>
      <c r="B282" t="str">
        <f t="shared" si="61"/>
        <v>BR UOL.</v>
      </c>
      <c r="C282" t="str">
        <f t="shared" si="62"/>
        <v>BR_VW_RNG_uol_DIS_DRCT_CPA_CAI_SKY_IMC_RON_CXD_outlet-polo-jetta-as-ab-25+-autos-awareness_PD_300x600</v>
      </c>
      <c r="D282" t="str">
        <f t="shared" si="63"/>
        <v>242140813</v>
      </c>
      <c r="E282" t="str">
        <f t="shared" si="64"/>
        <v>Standard</v>
      </c>
      <c r="F282" t="str">
        <f t="shared" si="65"/>
        <v>BR_VW_RNG_uol_DIS_DRCT_CPA_CAI_SKY_IMC_RON_CXD_outlet-polo-jetta-as-ab-25+-autos-awareness_PD_300x600</v>
      </c>
      <c r="G282" t="str">
        <f t="shared" si="66"/>
        <v>438890079</v>
      </c>
      <c r="H282" t="str">
        <f t="shared" si="67"/>
        <v>Display</v>
      </c>
      <c r="I282">
        <f t="shared" si="68"/>
        <v>4539744</v>
      </c>
      <c r="J282">
        <f t="shared" si="69"/>
        <v>5060</v>
      </c>
      <c r="K282" s="4">
        <f t="shared" si="58"/>
        <v>0.04</v>
      </c>
      <c r="L282">
        <f t="shared" si="59"/>
        <v>0.09</v>
      </c>
      <c r="M282" s="4">
        <f t="shared" si="56"/>
        <v>181.58976000000001</v>
      </c>
      <c r="N282" s="4">
        <f t="shared" si="57"/>
        <v>408.57695999999999</v>
      </c>
    </row>
    <row r="283" spans="1:14">
      <c r="A283" t="str">
        <f t="shared" si="60"/>
        <v>BR_IMC_DSY_LANCH_ND_NC_2019Q1FEB_RNG_Outlet</v>
      </c>
      <c r="B283" t="str">
        <f t="shared" si="61"/>
        <v>Facebook</v>
      </c>
      <c r="C283" t="str">
        <f t="shared" si="62"/>
        <v>BR_VW_RNG_facebook_SOC_DRCT_CPA_CAI_SRB_IMC_RON_CXD_outlet-cinza-remarketing_PD_1200x628</v>
      </c>
      <c r="D283" t="str">
        <f t="shared" si="63"/>
        <v>242933761</v>
      </c>
      <c r="E283" t="str">
        <f t="shared" si="64"/>
        <v>Dynamic Click</v>
      </c>
      <c r="F283" t="str">
        <f t="shared" si="65"/>
        <v>BR_VW_RNG_facebook_SOC_DRCT_CPA_CAI_SRB_IMC_RON_CXD_outlet-cinza-remarketing_PD_1200x628</v>
      </c>
      <c r="G283" t="str">
        <f t="shared" si="66"/>
        <v>439653187</v>
      </c>
      <c r="H283" t="str">
        <f t="shared" si="67"/>
        <v>Tracking</v>
      </c>
      <c r="I283">
        <f t="shared" si="68"/>
        <v>0</v>
      </c>
      <c r="J283">
        <f t="shared" si="69"/>
        <v>10000</v>
      </c>
      <c r="K283" s="4">
        <f t="shared" si="58"/>
        <v>3.5000000000000001E-3</v>
      </c>
      <c r="L283">
        <f t="shared" si="59"/>
        <v>0.02</v>
      </c>
      <c r="M283" s="4">
        <f t="shared" si="56"/>
        <v>35</v>
      </c>
      <c r="N283" s="4">
        <f t="shared" si="57"/>
        <v>200</v>
      </c>
    </row>
    <row r="284" spans="1:14">
      <c r="A284" t="str">
        <f t="shared" si="60"/>
        <v>BR_IMC_DSY_LANCH_ND_NC_2019Q1FEB_RNG_Outlet</v>
      </c>
      <c r="B284" t="str">
        <f t="shared" si="61"/>
        <v>Facebook</v>
      </c>
      <c r="C284" t="str">
        <f t="shared" si="62"/>
        <v>BR_VW_RNG_facebook_SOC_DRCT_CPA_CAI_SRB_IMC_RON_CXD_outlet-jetta-in-mkt-autos-consideracao_PD_1200x628</v>
      </c>
      <c r="D284" t="str">
        <f t="shared" si="63"/>
        <v>242043302</v>
      </c>
      <c r="E284" t="str">
        <f t="shared" si="64"/>
        <v>Dynamic Click</v>
      </c>
      <c r="F284" t="str">
        <f t="shared" si="65"/>
        <v>BR_VW_RNG_facebook_SOC_DRCT_CPA_CAI_SRB_IMC_RON_CXD_outlet-jetta-in-mkt-autos-consideracao_PD_1200x628</v>
      </c>
      <c r="G284" t="str">
        <f t="shared" si="66"/>
        <v>438970913</v>
      </c>
      <c r="H284" t="str">
        <f t="shared" si="67"/>
        <v>Tracking</v>
      </c>
      <c r="I284">
        <f t="shared" si="68"/>
        <v>0</v>
      </c>
      <c r="J284">
        <f t="shared" si="69"/>
        <v>35479</v>
      </c>
      <c r="K284" s="4">
        <f t="shared" si="58"/>
        <v>3.5000000000000001E-3</v>
      </c>
      <c r="L284">
        <f t="shared" si="59"/>
        <v>0.02</v>
      </c>
      <c r="M284" s="4">
        <f t="shared" si="56"/>
        <v>124.1765</v>
      </c>
      <c r="N284" s="4">
        <f t="shared" si="57"/>
        <v>709.58</v>
      </c>
    </row>
    <row r="285" spans="1:14">
      <c r="A285" t="str">
        <f t="shared" si="60"/>
        <v>BR_IMC_DSY_LANCH_ND_NC_2019Q1FEB_RNG_Outlet</v>
      </c>
      <c r="B285" t="str">
        <f t="shared" si="61"/>
        <v>Facebook</v>
      </c>
      <c r="C285" t="str">
        <f t="shared" si="62"/>
        <v>BR_VW_RNG_facebook_SOC_DRCT_CPA_CAI_SRB_IMC_RON_CXD_outlet-jetta-lal-reserva_PD_1200x628</v>
      </c>
      <c r="D285" t="str">
        <f t="shared" si="63"/>
        <v>242857338</v>
      </c>
      <c r="E285" t="str">
        <f t="shared" si="64"/>
        <v>Dynamic Click</v>
      </c>
      <c r="F285" t="str">
        <f t="shared" si="65"/>
        <v>BR_VW_RNG_facebook_SOC_DRCT_CPA_CAI_SRB_IMC_RON_CXD_outlet-jetta-lal-reserva_PD_1200x628</v>
      </c>
      <c r="G285" t="str">
        <f t="shared" si="66"/>
        <v>439368302</v>
      </c>
      <c r="H285" t="str">
        <f t="shared" si="67"/>
        <v>Tracking</v>
      </c>
      <c r="I285">
        <f t="shared" si="68"/>
        <v>0</v>
      </c>
      <c r="J285">
        <f t="shared" si="69"/>
        <v>20126</v>
      </c>
      <c r="K285" s="4">
        <f t="shared" si="58"/>
        <v>3.5000000000000001E-3</v>
      </c>
      <c r="L285">
        <f t="shared" si="59"/>
        <v>0.02</v>
      </c>
      <c r="M285" s="4">
        <f t="shared" si="56"/>
        <v>70.441000000000003</v>
      </c>
      <c r="N285" s="4">
        <f t="shared" si="57"/>
        <v>402.52</v>
      </c>
    </row>
    <row r="286" spans="1:14">
      <c r="A286" t="str">
        <f t="shared" si="60"/>
        <v>BR_IMC_DSY_LANCH_ND_NC_2019Q1FEB_RNG_Outlet</v>
      </c>
      <c r="B286" t="str">
        <f t="shared" si="61"/>
        <v>Facebook</v>
      </c>
      <c r="C286" t="str">
        <f t="shared" si="62"/>
        <v>BR_VW_RNG_facebook_SOC_DRCT_CPA_CAI_SRB_IMC_RON_CXD_outlet-polo-in-mkt-autos-consideracao_PD_1200x628</v>
      </c>
      <c r="D286" t="str">
        <f t="shared" si="63"/>
        <v>242160280</v>
      </c>
      <c r="E286" t="str">
        <f t="shared" si="64"/>
        <v>Dynamic Click</v>
      </c>
      <c r="F286" t="str">
        <f t="shared" si="65"/>
        <v>BR_VW_RNG_facebook_SOC_DRCT_CPA_CAI_SRB_IMC_RON_CXD_outlet-polo-in-mkt-autos-consideracao_PD_1200x628</v>
      </c>
      <c r="G286" t="str">
        <f t="shared" si="66"/>
        <v>438886710</v>
      </c>
      <c r="H286" t="str">
        <f t="shared" si="67"/>
        <v>Tracking</v>
      </c>
      <c r="I286">
        <f t="shared" si="68"/>
        <v>0</v>
      </c>
      <c r="J286">
        <f t="shared" si="69"/>
        <v>41638</v>
      </c>
      <c r="K286" s="4">
        <f t="shared" si="58"/>
        <v>3.5000000000000001E-3</v>
      </c>
      <c r="L286">
        <f t="shared" si="59"/>
        <v>0.02</v>
      </c>
      <c r="M286" s="4">
        <f t="shared" si="56"/>
        <v>145.733</v>
      </c>
      <c r="N286" s="4">
        <f t="shared" si="57"/>
        <v>832.76</v>
      </c>
    </row>
    <row r="287" spans="1:14">
      <c r="A287" t="str">
        <f t="shared" si="60"/>
        <v>BR_IMC_DSY_LANCH_ND_NC_2019Q1FEB_RNG_Outlet</v>
      </c>
      <c r="B287" t="str">
        <f t="shared" si="61"/>
        <v>Facebook</v>
      </c>
      <c r="C287" t="str">
        <f t="shared" si="62"/>
        <v>BR_VW_RNG_facebook_SOC_DRCT_CPA_CAI_SRB_IMC_RON_CXD_outlet-polo-lal-reserva_PD_1200x628</v>
      </c>
      <c r="D287" t="str">
        <f t="shared" si="63"/>
        <v>242857341</v>
      </c>
      <c r="E287" t="str">
        <f t="shared" si="64"/>
        <v>Dynamic Click</v>
      </c>
      <c r="F287" t="str">
        <f t="shared" si="65"/>
        <v>BR_VW_RNG_facebook_SOC_DRCT_CPA_CAI_SRB_IMC_RON_CXD_outlet-polo-lal-reserva_PD_1200x628</v>
      </c>
      <c r="G287" t="str">
        <f t="shared" si="66"/>
        <v>439368299</v>
      </c>
      <c r="H287" t="str">
        <f t="shared" si="67"/>
        <v>Tracking</v>
      </c>
      <c r="I287">
        <f t="shared" si="68"/>
        <v>0</v>
      </c>
      <c r="J287">
        <f t="shared" si="69"/>
        <v>18075</v>
      </c>
      <c r="K287" s="4">
        <f t="shared" si="58"/>
        <v>3.5000000000000001E-3</v>
      </c>
      <c r="L287">
        <f t="shared" si="59"/>
        <v>0.02</v>
      </c>
      <c r="M287" s="4">
        <f t="shared" si="56"/>
        <v>63.262500000000003</v>
      </c>
      <c r="N287" s="4">
        <f t="shared" si="57"/>
        <v>361.5</v>
      </c>
    </row>
    <row r="288" spans="1:14">
      <c r="A288" t="str">
        <f t="shared" si="60"/>
        <v>BR_IMC_DSY_LANCH_ND_NC_2019Q1FEB_RNG_Outlet</v>
      </c>
      <c r="B288" t="str">
        <f t="shared" si="61"/>
        <v>Facebook</v>
      </c>
      <c r="C288" t="str">
        <f t="shared" si="62"/>
        <v>BR_VW_RNG_facebook_SOC_DRCT_CPA_CAI_SRB_IMC_RON_CXD_outlet-tiguan-in-mkt-autos-consideracao_PD_1200x628</v>
      </c>
      <c r="D288" t="str">
        <f t="shared" si="63"/>
        <v>242022452</v>
      </c>
      <c r="E288" t="str">
        <f t="shared" si="64"/>
        <v>Dynamic Click</v>
      </c>
      <c r="F288" t="str">
        <f t="shared" si="65"/>
        <v>BR_VW_RNG_facebook_SOC_DRCT_CPA_CAI_SRB_IMC_RON_CXD_outlet-tiguan-in-mkt-autos-consideracao_PD_1200x628</v>
      </c>
      <c r="G288" t="str">
        <f t="shared" si="66"/>
        <v>438970916</v>
      </c>
      <c r="H288" t="str">
        <f t="shared" si="67"/>
        <v>Tracking</v>
      </c>
      <c r="I288">
        <f t="shared" si="68"/>
        <v>0</v>
      </c>
      <c r="J288">
        <f t="shared" si="69"/>
        <v>34492</v>
      </c>
      <c r="K288" s="4">
        <f t="shared" si="58"/>
        <v>3.5000000000000001E-3</v>
      </c>
      <c r="L288">
        <f t="shared" si="59"/>
        <v>0.02</v>
      </c>
      <c r="M288" s="4">
        <f t="shared" si="56"/>
        <v>120.72200000000001</v>
      </c>
      <c r="N288" s="4">
        <f t="shared" si="57"/>
        <v>689.84</v>
      </c>
    </row>
    <row r="289" spans="1:14">
      <c r="A289" t="str">
        <f t="shared" si="60"/>
        <v>BR_IMC_DSY_LANCH_ND_NC_2019Q1FEB_RNG_Outlet</v>
      </c>
      <c r="B289" t="str">
        <f t="shared" si="61"/>
        <v>Facebook</v>
      </c>
      <c r="C289" t="str">
        <f t="shared" si="62"/>
        <v>BR_VW_RNG_facebook_SOC_DRCT_CPA_CAI_SRB_IMC_RON_CXD_outlet-tiguan-lal-reserva_PD_1200x628</v>
      </c>
      <c r="D289" t="str">
        <f t="shared" si="63"/>
        <v>242857335</v>
      </c>
      <c r="E289" t="str">
        <f t="shared" si="64"/>
        <v>Dynamic Click</v>
      </c>
      <c r="F289" t="str">
        <f t="shared" si="65"/>
        <v>BR_VW_RNG_facebook_SOC_DRCT_CPA_CAI_SRB_IMC_RON_CXD_outlet-tiguan-lal-reserva_PD_1200x628</v>
      </c>
      <c r="G289" t="str">
        <f t="shared" si="66"/>
        <v>439371043</v>
      </c>
      <c r="H289" t="str">
        <f t="shared" si="67"/>
        <v>Tracking</v>
      </c>
      <c r="I289">
        <f t="shared" si="68"/>
        <v>0</v>
      </c>
      <c r="J289">
        <f t="shared" si="69"/>
        <v>24157</v>
      </c>
      <c r="K289" s="4">
        <f t="shared" si="58"/>
        <v>3.5000000000000001E-3</v>
      </c>
      <c r="L289">
        <f t="shared" si="59"/>
        <v>0.02</v>
      </c>
      <c r="M289" s="4">
        <f t="shared" si="56"/>
        <v>84.549499999999995</v>
      </c>
      <c r="N289" s="4">
        <f t="shared" si="57"/>
        <v>483.14</v>
      </c>
    </row>
    <row r="290" spans="1:14">
      <c r="A290" t="str">
        <f t="shared" si="60"/>
        <v>BR_IMC_DSY_LANCH_ND_NC_2019Q1FEB_RNG_Outlet</v>
      </c>
      <c r="B290" t="str">
        <f t="shared" si="61"/>
        <v>Facebook</v>
      </c>
      <c r="C290" t="str">
        <f t="shared" si="62"/>
        <v>BR_VW_RNG_facebook_SOC_DRCT_CPA_CAI_SRB_IMC_RON_CXD_outlet-virtus-in-mkt-autos-consideracao_PD_1200x628</v>
      </c>
      <c r="D290" t="str">
        <f t="shared" si="63"/>
        <v>242043305</v>
      </c>
      <c r="E290" t="str">
        <f t="shared" si="64"/>
        <v>Dynamic Click</v>
      </c>
      <c r="F290" t="str">
        <f t="shared" si="65"/>
        <v>BR_VW_RNG_facebook_SOC_DRCT_CPA_CAI_SRB_IMC_RON_CXD_outlet-virtus-in-mkt-autos-consideracao_PD_1200x628</v>
      </c>
      <c r="G290" t="str">
        <f t="shared" si="66"/>
        <v>438889326</v>
      </c>
      <c r="H290" t="str">
        <f t="shared" si="67"/>
        <v>Tracking</v>
      </c>
      <c r="I290">
        <f t="shared" si="68"/>
        <v>0</v>
      </c>
      <c r="J290">
        <f t="shared" si="69"/>
        <v>33059</v>
      </c>
      <c r="K290" s="4">
        <f t="shared" si="58"/>
        <v>3.5000000000000001E-3</v>
      </c>
      <c r="L290">
        <f t="shared" si="59"/>
        <v>0.02</v>
      </c>
      <c r="M290" s="4">
        <f t="shared" si="56"/>
        <v>115.70650000000001</v>
      </c>
      <c r="N290" s="4">
        <f t="shared" si="57"/>
        <v>661.18000000000006</v>
      </c>
    </row>
    <row r="291" spans="1:14">
      <c r="A291" t="str">
        <f t="shared" si="60"/>
        <v>BR_IMC_DSY_LANCH_ND_NC_2019Q1FEB_RNG_Outlet</v>
      </c>
      <c r="B291" t="str">
        <f t="shared" si="61"/>
        <v>Facebook</v>
      </c>
      <c r="C291" t="str">
        <f t="shared" si="62"/>
        <v>BR_VW_RNG_facebook_SOC_DRCT_CPA_CAI_SRB_IMC_RON_CXD_outlet-virtus-lal-reserva_PD_1200x628</v>
      </c>
      <c r="D291" t="str">
        <f t="shared" si="63"/>
        <v>242857332</v>
      </c>
      <c r="E291" t="str">
        <f t="shared" si="64"/>
        <v>Dynamic Click</v>
      </c>
      <c r="F291" t="str">
        <f t="shared" si="65"/>
        <v>BR_VW_RNG_facebook_SOC_DRCT_CPA_CAI_SRB_IMC_RON_CXD_outlet-virtus-lal-reserva_PD_1200x628</v>
      </c>
      <c r="G291" t="str">
        <f t="shared" si="66"/>
        <v>439371988</v>
      </c>
      <c r="H291" t="str">
        <f t="shared" si="67"/>
        <v>Tracking</v>
      </c>
      <c r="I291">
        <f t="shared" si="68"/>
        <v>0</v>
      </c>
      <c r="J291">
        <f t="shared" si="69"/>
        <v>16124</v>
      </c>
      <c r="K291" s="4">
        <f t="shared" si="58"/>
        <v>3.5000000000000001E-3</v>
      </c>
      <c r="L291">
        <f t="shared" si="59"/>
        <v>0.02</v>
      </c>
      <c r="M291" s="4">
        <f t="shared" ref="M291:M354" si="70">IF(E291="Dynamic Click",J291*K291,K291*$I291/1000)</f>
        <v>56.434000000000005</v>
      </c>
      <c r="N291" s="4">
        <f t="shared" ref="N291:N354" si="71">IF(E291="Dynamic Click",J291*L291,L291*$I291/1000)</f>
        <v>322.48</v>
      </c>
    </row>
    <row r="292" spans="1:14">
      <c r="A292" t="str">
        <f t="shared" si="60"/>
        <v>BR_IMC_DSY_LANCH_ND_NC_2019Q1FEB_RNG_Outlet</v>
      </c>
      <c r="B292" t="str">
        <f t="shared" si="61"/>
        <v>Facebook</v>
      </c>
      <c r="C292" t="str">
        <f t="shared" si="62"/>
        <v>BR_VW_RNG_facebook_VID_DRCT_CPM_CAI_MPU_IMC_RON_CXD_outlet-awareness-5s-as-ab-25+autos_PD_9x16</v>
      </c>
      <c r="D292" t="str">
        <f t="shared" si="63"/>
        <v>242608488</v>
      </c>
      <c r="E292" t="str">
        <f t="shared" si="64"/>
        <v>Dynamic Click</v>
      </c>
      <c r="F292" t="str">
        <f t="shared" si="65"/>
        <v>BR_VW_RNG_facebook_VID_DRCT_CPM_CAI_MPU_IMC_RON_CXD_outlet-awareness-5s-as-ab-25+autos_PD_9x16</v>
      </c>
      <c r="G292" t="str">
        <f t="shared" si="66"/>
        <v>439170205</v>
      </c>
      <c r="H292" t="str">
        <f t="shared" si="67"/>
        <v>Tracking</v>
      </c>
      <c r="I292">
        <f t="shared" si="68"/>
        <v>0</v>
      </c>
      <c r="J292">
        <f t="shared" si="69"/>
        <v>491227</v>
      </c>
      <c r="K292" s="4">
        <f t="shared" si="58"/>
        <v>3.5000000000000001E-3</v>
      </c>
      <c r="L292">
        <f t="shared" si="59"/>
        <v>0.02</v>
      </c>
      <c r="M292" s="4">
        <f t="shared" si="70"/>
        <v>1719.2945</v>
      </c>
      <c r="N292" s="4">
        <f t="shared" si="71"/>
        <v>9824.5400000000009</v>
      </c>
    </row>
    <row r="293" spans="1:14">
      <c r="A293" t="str">
        <f t="shared" si="60"/>
        <v>BR_IMC_DSY_LANCH_ND_NC_2019Q1FEB_RNG_Outlet</v>
      </c>
      <c r="B293" t="str">
        <f t="shared" si="61"/>
        <v>Google - YouTube</v>
      </c>
      <c r="C293" t="str">
        <f t="shared" si="62"/>
        <v>BR_VW_RNG_youtube_VID_PROG_CPA_CAI_MPU_IMC_RON_CXD_outlet-consideracao-15s-in-mkt-autos_PD_9x16</v>
      </c>
      <c r="D293" t="str">
        <f t="shared" si="63"/>
        <v>242392117</v>
      </c>
      <c r="E293" t="str">
        <f t="shared" si="64"/>
        <v>Standard</v>
      </c>
      <c r="F293" t="str">
        <f t="shared" si="65"/>
        <v>BR_VW_RNG_youtube_VID_PROG_CPA_CAI_MPU_IMC_RON_CXD_outlet-consideracao-15s-in-mkt-autos_PD_9x16</v>
      </c>
      <c r="G293" t="str">
        <f t="shared" si="66"/>
        <v>439063662</v>
      </c>
      <c r="H293" t="str">
        <f t="shared" si="67"/>
        <v>Tracking</v>
      </c>
      <c r="I293">
        <f t="shared" si="68"/>
        <v>7793267</v>
      </c>
      <c r="J293">
        <f t="shared" si="69"/>
        <v>39737</v>
      </c>
      <c r="K293" s="4">
        <f t="shared" si="58"/>
        <v>0.04</v>
      </c>
      <c r="L293">
        <f t="shared" si="59"/>
        <v>0.09</v>
      </c>
      <c r="M293" s="4">
        <f t="shared" si="70"/>
        <v>311.73068000000001</v>
      </c>
      <c r="N293" s="4">
        <f t="shared" si="71"/>
        <v>701.39403000000004</v>
      </c>
    </row>
    <row r="294" spans="1:14">
      <c r="A294" t="str">
        <f t="shared" si="60"/>
        <v>BR_IMC_DSY_LANCH_ND_NC_2019Q1FEB_RNG_Outlet</v>
      </c>
      <c r="B294" t="str">
        <f t="shared" si="61"/>
        <v>Google - YouTube</v>
      </c>
      <c r="C294" t="str">
        <f t="shared" si="62"/>
        <v>BR_VW_RNG_youtube_VID_PROG_CPM_CAI_MPU_IMC_RON_CXD_outlet-awareness-5s-as-ab-25+autos_PD_9x16</v>
      </c>
      <c r="D294" t="str">
        <f t="shared" si="63"/>
        <v>242585154</v>
      </c>
      <c r="E294" t="str">
        <f t="shared" si="64"/>
        <v>Standard</v>
      </c>
      <c r="F294" t="str">
        <f t="shared" si="65"/>
        <v>BR_VW_RNG_youtube_VID_PROG_CPM_CAI_MPU_IMC_RON_CXD_outlet-awareness-5s-as-ab-25+autos_PD_9x16</v>
      </c>
      <c r="G294" t="str">
        <f t="shared" si="66"/>
        <v>439063653</v>
      </c>
      <c r="H294" t="str">
        <f t="shared" si="67"/>
        <v>Tracking</v>
      </c>
      <c r="I294">
        <f t="shared" si="68"/>
        <v>20262675</v>
      </c>
      <c r="J294">
        <f t="shared" si="69"/>
        <v>23638</v>
      </c>
      <c r="K294" s="4">
        <f t="shared" si="58"/>
        <v>0.04</v>
      </c>
      <c r="L294">
        <f t="shared" si="59"/>
        <v>0.09</v>
      </c>
      <c r="M294" s="4">
        <f t="shared" si="70"/>
        <v>810.50699999999995</v>
      </c>
      <c r="N294" s="4">
        <f t="shared" si="71"/>
        <v>1823.64075</v>
      </c>
    </row>
    <row r="295" spans="1:14">
      <c r="A295" t="str">
        <f t="shared" si="60"/>
        <v>BR_IMC_DSY_LANCH_ND_NC_2019Q1FEB_RNG_Outlet</v>
      </c>
      <c r="B295" t="str">
        <f t="shared" si="61"/>
        <v>Google Brasil</v>
      </c>
      <c r="C295" t="str">
        <f t="shared" si="62"/>
        <v>BR_VW_RNG_google_DIS_PROG_CPA_CAI_LDR_IMC_RON_CXD_outlet-cinza-remarketing_PD_480x60</v>
      </c>
      <c r="D295" t="str">
        <f t="shared" si="63"/>
        <v>242941633</v>
      </c>
      <c r="E295" t="str">
        <f t="shared" si="64"/>
        <v>Standard</v>
      </c>
      <c r="F295" t="str">
        <f t="shared" si="65"/>
        <v>BR_VW_RNG_google_DIS_PROG_CPA_CAI_LDR_IMC_RON_CXD_outlet-cinza-remarketing_PD_480x60</v>
      </c>
      <c r="G295" t="str">
        <f t="shared" si="66"/>
        <v>439539474</v>
      </c>
      <c r="H295" t="str">
        <f t="shared" si="67"/>
        <v>Display</v>
      </c>
      <c r="I295">
        <f t="shared" si="68"/>
        <v>15</v>
      </c>
      <c r="J295">
        <f t="shared" si="69"/>
        <v>0</v>
      </c>
      <c r="K295" s="4">
        <f t="shared" si="58"/>
        <v>0.04</v>
      </c>
      <c r="L295">
        <f t="shared" si="59"/>
        <v>0.09</v>
      </c>
      <c r="M295" s="4">
        <f t="shared" si="70"/>
        <v>5.9999999999999995E-4</v>
      </c>
      <c r="N295" s="4">
        <f t="shared" si="71"/>
        <v>1.3499999999999999E-3</v>
      </c>
    </row>
    <row r="296" spans="1:14">
      <c r="A296" t="str">
        <f t="shared" si="60"/>
        <v>BR_IMC_DSY_LANCH_ND_NC_2019Q1FEB_RNG_Outlet</v>
      </c>
      <c r="B296" t="str">
        <f t="shared" si="61"/>
        <v>Google Brasil</v>
      </c>
      <c r="C296" t="str">
        <f t="shared" si="62"/>
        <v>BR_VW_RNG_google_DIS_PROG_CPA_CAI_LDR_IMC_RON_CXD_outlet-cinza-remarketing_PD_728x90</v>
      </c>
      <c r="D296" t="str">
        <f t="shared" si="63"/>
        <v>242941621</v>
      </c>
      <c r="E296" t="str">
        <f t="shared" si="64"/>
        <v>Standard</v>
      </c>
      <c r="F296" t="str">
        <f t="shared" si="65"/>
        <v>BR_VW_RNG_google_DIS_PROG_CPA_CAI_LDR_IMC_RON_CXD_outlet-cinza-remarketing_PD_728x90</v>
      </c>
      <c r="G296" t="str">
        <f t="shared" si="66"/>
        <v>439539462</v>
      </c>
      <c r="H296" t="str">
        <f t="shared" si="67"/>
        <v>Display</v>
      </c>
      <c r="I296">
        <f t="shared" si="68"/>
        <v>26121</v>
      </c>
      <c r="J296">
        <f t="shared" si="69"/>
        <v>153</v>
      </c>
      <c r="K296" s="4">
        <f t="shared" si="58"/>
        <v>0.04</v>
      </c>
      <c r="L296">
        <f t="shared" si="59"/>
        <v>0.09</v>
      </c>
      <c r="M296" s="4">
        <f t="shared" si="70"/>
        <v>1.04484</v>
      </c>
      <c r="N296" s="4">
        <f t="shared" si="71"/>
        <v>2.3508899999999997</v>
      </c>
    </row>
    <row r="297" spans="1:14">
      <c r="A297" t="str">
        <f t="shared" si="60"/>
        <v>BR_IMC_DSY_LANCH_ND_NC_2019Q1FEB_RNG_Outlet</v>
      </c>
      <c r="B297" t="str">
        <f t="shared" si="61"/>
        <v>Google Brasil</v>
      </c>
      <c r="C297" t="str">
        <f t="shared" si="62"/>
        <v>BR_VW_RNG_google_DIS_PROG_CPA_CAI_LDR_IMC_RON_CXD_outlet-cinza-remarketing_PD_970x250</v>
      </c>
      <c r="D297" t="str">
        <f t="shared" si="63"/>
        <v>242941645</v>
      </c>
      <c r="E297" t="str">
        <f t="shared" si="64"/>
        <v>Standard</v>
      </c>
      <c r="F297" t="str">
        <f t="shared" si="65"/>
        <v>BR_VW_RNG_google_DIS_PROG_CPA_CAI_LDR_IMC_RON_CXD_outlet-cinza-remarketing_PD_970x250</v>
      </c>
      <c r="G297" t="str">
        <f t="shared" si="66"/>
        <v>439539483</v>
      </c>
      <c r="H297" t="str">
        <f t="shared" si="67"/>
        <v>Display</v>
      </c>
      <c r="I297">
        <f t="shared" si="68"/>
        <v>3526</v>
      </c>
      <c r="J297">
        <f t="shared" si="69"/>
        <v>88</v>
      </c>
      <c r="K297" s="4">
        <f t="shared" si="58"/>
        <v>0.04</v>
      </c>
      <c r="L297">
        <f t="shared" si="59"/>
        <v>0.09</v>
      </c>
      <c r="M297" s="4">
        <f t="shared" si="70"/>
        <v>0.14104</v>
      </c>
      <c r="N297" s="4">
        <f t="shared" si="71"/>
        <v>0.31733999999999996</v>
      </c>
    </row>
    <row r="298" spans="1:14">
      <c r="A298" t="str">
        <f t="shared" si="60"/>
        <v>BR_IMC_DSY_LANCH_ND_NC_2019Q1FEB_RNG_Outlet</v>
      </c>
      <c r="B298" t="str">
        <f t="shared" si="61"/>
        <v>Google Brasil</v>
      </c>
      <c r="C298" t="str">
        <f t="shared" si="62"/>
        <v>BR_VW_RNG_google_DIS_PROG_CPA_CAI_LDR_IMC_RON_CXD_outlet-cinza-remarketing_PD_970x90</v>
      </c>
      <c r="D298" t="str">
        <f t="shared" si="63"/>
        <v>242941651</v>
      </c>
      <c r="E298" t="str">
        <f t="shared" si="64"/>
        <v>Standard</v>
      </c>
      <c r="F298" t="str">
        <f t="shared" si="65"/>
        <v>BR_VW_RNG_google_DIS_PROG_CPA_CAI_LDR_IMC_RON_CXD_outlet-cinza-remarketing_PD_970x90</v>
      </c>
      <c r="G298" t="str">
        <f t="shared" si="66"/>
        <v>439539486</v>
      </c>
      <c r="H298" t="str">
        <f t="shared" si="67"/>
        <v>Display</v>
      </c>
      <c r="I298">
        <f t="shared" si="68"/>
        <v>1801</v>
      </c>
      <c r="J298">
        <f t="shared" si="69"/>
        <v>2</v>
      </c>
      <c r="K298" s="4">
        <f t="shared" si="58"/>
        <v>0.04</v>
      </c>
      <c r="L298">
        <f t="shared" si="59"/>
        <v>0.09</v>
      </c>
      <c r="M298" s="4">
        <f t="shared" si="70"/>
        <v>7.2040000000000007E-2</v>
      </c>
      <c r="N298" s="4">
        <f t="shared" si="71"/>
        <v>0.16209000000000001</v>
      </c>
    </row>
    <row r="299" spans="1:14">
      <c r="A299" t="str">
        <f t="shared" si="60"/>
        <v>BR_IMC_DSY_LANCH_ND_NC_2019Q1FEB_RNG_Outlet</v>
      </c>
      <c r="B299" t="str">
        <f t="shared" si="61"/>
        <v>Google Brasil</v>
      </c>
      <c r="C299" t="str">
        <f t="shared" si="62"/>
        <v>BR_VW_RNG_google_DIS_PROG_CPA_CAI_LDR_IMC_RON_CXD_outlet-polo-jetta-in-mkt-autos-consideracao_PD_728x90</v>
      </c>
      <c r="D299" t="str">
        <f t="shared" si="63"/>
        <v>242144329</v>
      </c>
      <c r="E299" t="str">
        <f t="shared" si="64"/>
        <v>Default</v>
      </c>
      <c r="F299" t="str">
        <f t="shared" si="65"/>
        <v>728x90 Default Web Ad</v>
      </c>
      <c r="G299" t="str">
        <f t="shared" si="66"/>
        <v>438889329</v>
      </c>
      <c r="H299" t="str">
        <f t="shared" si="67"/>
        <v>Display</v>
      </c>
      <c r="I299">
        <f t="shared" si="68"/>
        <v>824580</v>
      </c>
      <c r="J299">
        <f t="shared" si="69"/>
        <v>18448</v>
      </c>
      <c r="K299" s="4">
        <f t="shared" si="58"/>
        <v>0.04</v>
      </c>
      <c r="L299">
        <f t="shared" si="59"/>
        <v>0.09</v>
      </c>
      <c r="M299" s="4">
        <f t="shared" si="70"/>
        <v>32.983199999999997</v>
      </c>
      <c r="N299" s="4">
        <f t="shared" si="71"/>
        <v>74.212199999999996</v>
      </c>
    </row>
    <row r="300" spans="1:14">
      <c r="A300" t="str">
        <f t="shared" si="60"/>
        <v>BR_IMC_DSY_LANCH_ND_NC_2019Q1FEB_RNG_Outlet</v>
      </c>
      <c r="B300" t="str">
        <f t="shared" si="61"/>
        <v>Google Brasil</v>
      </c>
      <c r="C300" t="str">
        <f t="shared" si="62"/>
        <v>BR_VW_RNG_google_DIS_PROG_CPA_CAI_LDR_IMC_RON_CXD_outlet-polo-jetta-in-mkt-autos-consideracao_PD_728x90</v>
      </c>
      <c r="D300" t="str">
        <f t="shared" si="63"/>
        <v>242144329</v>
      </c>
      <c r="E300" t="str">
        <f t="shared" si="64"/>
        <v>Standard</v>
      </c>
      <c r="F300" t="str">
        <f t="shared" si="65"/>
        <v>BR_VW_RNG_google_DIS_PROG_CPA_CAI_LDR_IMC_RON_CXD_outlet-polo-jetta-in-mkt-autos-consideracao_PD_728x90</v>
      </c>
      <c r="G300" t="str">
        <f t="shared" si="66"/>
        <v>438968032</v>
      </c>
      <c r="H300" t="str">
        <f t="shared" si="67"/>
        <v>Display</v>
      </c>
      <c r="I300">
        <f t="shared" si="68"/>
        <v>55653</v>
      </c>
      <c r="J300">
        <f t="shared" si="69"/>
        <v>713</v>
      </c>
      <c r="K300" s="4">
        <f t="shared" ref="K300:K363" si="72">IF(LEFT(B300,3)="DBM",0,VLOOKUP(E300,tabela,2,FALSE))</f>
        <v>0.04</v>
      </c>
      <c r="L300">
        <f t="shared" ref="L300:L363" si="73">VLOOKUP(E300,tabela,3,FALSE)</f>
        <v>0.09</v>
      </c>
      <c r="M300" s="4">
        <f t="shared" si="70"/>
        <v>2.2261199999999999</v>
      </c>
      <c r="N300" s="4">
        <f t="shared" si="71"/>
        <v>5.0087699999999993</v>
      </c>
    </row>
    <row r="301" spans="1:14">
      <c r="A301" t="str">
        <f t="shared" si="60"/>
        <v>BR_IMC_DSY_LANCH_ND_NC_2019Q1FEB_RNG_Outlet</v>
      </c>
      <c r="B301" t="str">
        <f t="shared" si="61"/>
        <v>Google Brasil</v>
      </c>
      <c r="C301" t="str">
        <f t="shared" si="62"/>
        <v>BR_VW_RNG_google_DIS_PROG_CPA_CAI_LDR_IMC_RON_CXD_outlet-polo-jetta-in-mkt-autos-consideracao_PD_970x250</v>
      </c>
      <c r="D301" t="str">
        <f t="shared" si="63"/>
        <v>242144335</v>
      </c>
      <c r="E301" t="str">
        <f t="shared" si="64"/>
        <v>Default</v>
      </c>
      <c r="F301" t="str">
        <f t="shared" si="65"/>
        <v>970x250 Default Web Ad</v>
      </c>
      <c r="G301" t="str">
        <f t="shared" si="66"/>
        <v>438965558</v>
      </c>
      <c r="H301" t="str">
        <f t="shared" si="67"/>
        <v>Display</v>
      </c>
      <c r="I301">
        <f t="shared" si="68"/>
        <v>7933</v>
      </c>
      <c r="J301">
        <f t="shared" si="69"/>
        <v>122</v>
      </c>
      <c r="K301" s="4">
        <f t="shared" si="72"/>
        <v>0.04</v>
      </c>
      <c r="L301">
        <f t="shared" si="73"/>
        <v>0.09</v>
      </c>
      <c r="M301" s="4">
        <f t="shared" si="70"/>
        <v>0.31731999999999999</v>
      </c>
      <c r="N301" s="4">
        <f t="shared" si="71"/>
        <v>0.71396999999999999</v>
      </c>
    </row>
    <row r="302" spans="1:14">
      <c r="A302" t="str">
        <f t="shared" si="60"/>
        <v>BR_IMC_DSY_LANCH_ND_NC_2019Q1FEB_RNG_Outlet</v>
      </c>
      <c r="B302" t="str">
        <f t="shared" si="61"/>
        <v>Google Brasil</v>
      </c>
      <c r="C302" t="str">
        <f t="shared" si="62"/>
        <v>BR_VW_RNG_google_DIS_PROG_CPA_CAI_LDR_IMC_RON_CXD_outlet-polo-jetta-in-mkt-autos-consideracao_PD_970x250</v>
      </c>
      <c r="D302" t="str">
        <f t="shared" si="63"/>
        <v>242144335</v>
      </c>
      <c r="E302" t="str">
        <f t="shared" si="64"/>
        <v>Standard</v>
      </c>
      <c r="F302" t="str">
        <f t="shared" si="65"/>
        <v>BR_VW_RNG_google_DIS_PROG_CPA_CAI_LDR_IMC_RON_CXD_outlet-polo-jetta-in-mkt-autos-consideracao_PD_970x250</v>
      </c>
      <c r="G302" t="str">
        <f t="shared" si="66"/>
        <v>438968038</v>
      </c>
      <c r="H302" t="str">
        <f t="shared" si="67"/>
        <v>Display</v>
      </c>
      <c r="I302">
        <f t="shared" si="68"/>
        <v>2786</v>
      </c>
      <c r="J302">
        <f t="shared" si="69"/>
        <v>14</v>
      </c>
      <c r="K302" s="4">
        <f t="shared" si="72"/>
        <v>0.04</v>
      </c>
      <c r="L302">
        <f t="shared" si="73"/>
        <v>0.09</v>
      </c>
      <c r="M302" s="4">
        <f t="shared" si="70"/>
        <v>0.11144</v>
      </c>
      <c r="N302" s="4">
        <f t="shared" si="71"/>
        <v>0.25073999999999996</v>
      </c>
    </row>
    <row r="303" spans="1:14">
      <c r="A303" t="str">
        <f t="shared" si="60"/>
        <v>BR_IMC_DSY_LANCH_ND_NC_2019Q1FEB_RNG_Outlet</v>
      </c>
      <c r="B303" t="str">
        <f t="shared" si="61"/>
        <v>Google Brasil</v>
      </c>
      <c r="C303" t="str">
        <f t="shared" si="62"/>
        <v>BR_VW_RNG_google_DIS_PROG_CPA_CAI_LDR_IMC_RON_CXD_outlet-polo-jetta-in-mkt-autos-consideracao_PD_970x90</v>
      </c>
      <c r="D303" t="str">
        <f t="shared" si="63"/>
        <v>242144338</v>
      </c>
      <c r="E303" t="str">
        <f t="shared" si="64"/>
        <v>Default</v>
      </c>
      <c r="F303" t="str">
        <f t="shared" si="65"/>
        <v>970x90 Default Web Ad</v>
      </c>
      <c r="G303" t="str">
        <f t="shared" si="66"/>
        <v>438890856</v>
      </c>
      <c r="H303" t="str">
        <f t="shared" si="67"/>
        <v>Display</v>
      </c>
      <c r="I303">
        <f t="shared" si="68"/>
        <v>11149</v>
      </c>
      <c r="J303">
        <f t="shared" si="69"/>
        <v>22</v>
      </c>
      <c r="K303" s="4">
        <f t="shared" si="72"/>
        <v>0.04</v>
      </c>
      <c r="L303">
        <f t="shared" si="73"/>
        <v>0.09</v>
      </c>
      <c r="M303" s="4">
        <f t="shared" si="70"/>
        <v>0.44596000000000002</v>
      </c>
      <c r="N303" s="4">
        <f t="shared" si="71"/>
        <v>1.0034099999999999</v>
      </c>
    </row>
    <row r="304" spans="1:14">
      <c r="A304" t="str">
        <f t="shared" si="60"/>
        <v>BR_IMC_DSY_LANCH_ND_NC_2019Q1FEB_RNG_Outlet</v>
      </c>
      <c r="B304" t="str">
        <f t="shared" si="61"/>
        <v>Google Brasil</v>
      </c>
      <c r="C304" t="str">
        <f t="shared" si="62"/>
        <v>BR_VW_RNG_google_DIS_PROG_CPA_CAI_LDR_IMC_RON_CXD_outlet-polo-jetta-in-mkt-autos-consideracao_PD_970x90</v>
      </c>
      <c r="D304" t="str">
        <f t="shared" si="63"/>
        <v>242144338</v>
      </c>
      <c r="E304" t="str">
        <f t="shared" si="64"/>
        <v>Standard</v>
      </c>
      <c r="F304" t="str">
        <f t="shared" si="65"/>
        <v>BR_VW_RNG_google_DIS_PROG_CPA_CAI_LDR_IMC_RON_CXD_outlet-polo-jetta-in-mkt-autos-consideracao_PD_970x90</v>
      </c>
      <c r="G304" t="str">
        <f t="shared" si="66"/>
        <v>438968041</v>
      </c>
      <c r="H304" t="str">
        <f t="shared" si="67"/>
        <v>Display</v>
      </c>
      <c r="I304">
        <f t="shared" si="68"/>
        <v>2511</v>
      </c>
      <c r="J304">
        <f t="shared" si="69"/>
        <v>1</v>
      </c>
      <c r="K304" s="4">
        <f t="shared" si="72"/>
        <v>0.04</v>
      </c>
      <c r="L304">
        <f t="shared" si="73"/>
        <v>0.09</v>
      </c>
      <c r="M304" s="4">
        <f t="shared" si="70"/>
        <v>0.10044</v>
      </c>
      <c r="N304" s="4">
        <f t="shared" si="71"/>
        <v>0.22598999999999997</v>
      </c>
    </row>
    <row r="305" spans="1:14">
      <c r="A305" t="str">
        <f t="shared" si="60"/>
        <v>BR_IMC_DSY_LANCH_ND_NC_2019Q1FEB_RNG_Outlet</v>
      </c>
      <c r="B305" t="str">
        <f t="shared" si="61"/>
        <v>Google Brasil</v>
      </c>
      <c r="C305" t="str">
        <f t="shared" si="62"/>
        <v>BR_VW_RNG_google_DIS_PROG_CPA_CAI_LDR_IMC_RON_CXD_outlet-polo-jetta-v3-in-mkt-autos-consideracao_PD_728x90</v>
      </c>
      <c r="D305" t="str">
        <f t="shared" si="63"/>
        <v>242553012</v>
      </c>
      <c r="E305" t="str">
        <f t="shared" si="64"/>
        <v>Standard</v>
      </c>
      <c r="F305" t="str">
        <f t="shared" si="65"/>
        <v>BR_VW_RNG_google_DIS_PROG_CPA_CAI_LDR_IMC_RON_CXD_outlet-polo-jetta-v3-in-mkt-autos-consideracao_PD_728x90</v>
      </c>
      <c r="G305" t="str">
        <f t="shared" si="66"/>
        <v>439137085</v>
      </c>
      <c r="H305" t="str">
        <f t="shared" si="67"/>
        <v>Display</v>
      </c>
      <c r="I305">
        <f t="shared" si="68"/>
        <v>718199</v>
      </c>
      <c r="J305">
        <f t="shared" si="69"/>
        <v>12223</v>
      </c>
      <c r="K305" s="4">
        <f t="shared" si="72"/>
        <v>0.04</v>
      </c>
      <c r="L305">
        <f t="shared" si="73"/>
        <v>0.09</v>
      </c>
      <c r="M305" s="4">
        <f t="shared" si="70"/>
        <v>28.727959999999999</v>
      </c>
      <c r="N305" s="4">
        <f t="shared" si="71"/>
        <v>64.637909999999991</v>
      </c>
    </row>
    <row r="306" spans="1:14">
      <c r="A306" t="str">
        <f t="shared" si="60"/>
        <v>BR_IMC_DSY_LANCH_ND_NC_2019Q1FEB_RNG_Outlet</v>
      </c>
      <c r="B306" t="str">
        <f t="shared" si="61"/>
        <v>Google Brasil</v>
      </c>
      <c r="C306" t="str">
        <f t="shared" si="62"/>
        <v>BR_VW_RNG_google_DIS_PROG_CPA_CAI_LDR_IMC_RON_CXD_outlet-polo-jetta-v3-in-mkt-autos-consideracao_PD_970x250</v>
      </c>
      <c r="D306" t="str">
        <f t="shared" si="63"/>
        <v>242244707</v>
      </c>
      <c r="E306" t="str">
        <f t="shared" si="64"/>
        <v>Standard</v>
      </c>
      <c r="F306" t="str">
        <f t="shared" si="65"/>
        <v>BR_VW_RNG_google_DIS_PROG_CPA_CAI_LDR_IMC_RON_CXD_outlet-polo-jetta-v3-in-mkt-autos-consideracao_PD_970x250</v>
      </c>
      <c r="G306" t="str">
        <f t="shared" si="66"/>
        <v>439136450</v>
      </c>
      <c r="H306" t="str">
        <f t="shared" si="67"/>
        <v>Display</v>
      </c>
      <c r="I306">
        <f t="shared" si="68"/>
        <v>61075</v>
      </c>
      <c r="J306">
        <f t="shared" si="69"/>
        <v>367</v>
      </c>
      <c r="K306" s="4">
        <f t="shared" si="72"/>
        <v>0.04</v>
      </c>
      <c r="L306">
        <f t="shared" si="73"/>
        <v>0.09</v>
      </c>
      <c r="M306" s="4">
        <f t="shared" si="70"/>
        <v>2.4430000000000001</v>
      </c>
      <c r="N306" s="4">
        <f t="shared" si="71"/>
        <v>5.4967499999999996</v>
      </c>
    </row>
    <row r="307" spans="1:14">
      <c r="A307" t="str">
        <f t="shared" si="60"/>
        <v>BR_IMC_DSY_LANCH_ND_NC_2019Q1FEB_RNG_Outlet</v>
      </c>
      <c r="B307" t="str">
        <f t="shared" si="61"/>
        <v>Google Brasil</v>
      </c>
      <c r="C307" t="str">
        <f t="shared" si="62"/>
        <v>BR_VW_RNG_google_DIS_PROG_CPA_CAI_LDR_IMC_RON_CXD_outlet-polo-jetta-v3-in-mkt-autos-consideracao_PD_970x90</v>
      </c>
      <c r="D307" t="str">
        <f t="shared" si="63"/>
        <v>242550672</v>
      </c>
      <c r="E307" t="str">
        <f t="shared" si="64"/>
        <v>Standard</v>
      </c>
      <c r="F307" t="str">
        <f t="shared" si="65"/>
        <v>BR_VW_RNG_google_DIS_PROG_CPA_CAI_LDR_IMC_RON_CXD_outlet-polo-jetta-v3-in-mkt-autos-consideracao_PD_970x90</v>
      </c>
      <c r="G307" t="str">
        <f t="shared" si="66"/>
        <v>439135997</v>
      </c>
      <c r="H307" t="str">
        <f t="shared" si="67"/>
        <v>Display</v>
      </c>
      <c r="I307">
        <f t="shared" si="68"/>
        <v>63358</v>
      </c>
      <c r="J307">
        <f t="shared" si="69"/>
        <v>73</v>
      </c>
      <c r="K307" s="4">
        <f t="shared" si="72"/>
        <v>0.04</v>
      </c>
      <c r="L307">
        <f t="shared" si="73"/>
        <v>0.09</v>
      </c>
      <c r="M307" s="4">
        <f t="shared" si="70"/>
        <v>2.5343200000000001</v>
      </c>
      <c r="N307" s="4">
        <f t="shared" si="71"/>
        <v>5.7022199999999996</v>
      </c>
    </row>
    <row r="308" spans="1:14">
      <c r="A308" t="str">
        <f t="shared" si="60"/>
        <v>BR_IMC_DSY_LANCH_ND_NC_2019Q1FEB_RNG_Outlet</v>
      </c>
      <c r="B308" t="str">
        <f t="shared" si="61"/>
        <v>Google Brasil</v>
      </c>
      <c r="C308" t="str">
        <f t="shared" si="62"/>
        <v>BR_VW_RNG_google_DIS_PROG_CPA_CAI_MPU_IMC_RON_CXD_in-mkt-autos-consideracao_PD_300x100</v>
      </c>
      <c r="D308" t="str">
        <f t="shared" si="63"/>
        <v>242058332</v>
      </c>
      <c r="E308" t="str">
        <f t="shared" si="64"/>
        <v>Standard</v>
      </c>
      <c r="F308" t="str">
        <f t="shared" si="65"/>
        <v>BR_VW_RNG_google_DIS_PROG_CPA_CAI_MPU_IMC_RON_CXD_outlet-jetta-in-mkt-autos-consideracao_PD_300x100</v>
      </c>
      <c r="G308" t="str">
        <f t="shared" si="66"/>
        <v>438959687</v>
      </c>
      <c r="H308" t="str">
        <f t="shared" si="67"/>
        <v>Display</v>
      </c>
      <c r="I308">
        <f t="shared" si="68"/>
        <v>261</v>
      </c>
      <c r="J308">
        <f t="shared" si="69"/>
        <v>0</v>
      </c>
      <c r="K308" s="4">
        <f t="shared" si="72"/>
        <v>0.04</v>
      </c>
      <c r="L308">
        <f t="shared" si="73"/>
        <v>0.09</v>
      </c>
      <c r="M308" s="4">
        <f t="shared" si="70"/>
        <v>1.044E-2</v>
      </c>
      <c r="N308" s="4">
        <f t="shared" si="71"/>
        <v>2.3489999999999997E-2</v>
      </c>
    </row>
    <row r="309" spans="1:14">
      <c r="A309" t="str">
        <f t="shared" si="60"/>
        <v>BR_IMC_DSY_LANCH_ND_NC_2019Q1FEB_RNG_Outlet</v>
      </c>
      <c r="B309" t="str">
        <f t="shared" si="61"/>
        <v>Google Brasil</v>
      </c>
      <c r="C309" t="str">
        <f t="shared" si="62"/>
        <v>BR_VW_RNG_google_DIS_PROG_CPA_CAI_MPU_IMC_RON_CXD_in-mkt-autos-consideracao_PD_300x100</v>
      </c>
      <c r="D309" t="str">
        <f t="shared" si="63"/>
        <v>242058332</v>
      </c>
      <c r="E309" t="str">
        <f t="shared" si="64"/>
        <v>Standard</v>
      </c>
      <c r="F309" t="str">
        <f t="shared" si="65"/>
        <v>BR_VW_RNG_google_DIS_PROG_CPA_CAI_MPU_IMC_RON_CXD_outlet-jetta-v1-in-mkt-autos-consideracao_PD_300x100</v>
      </c>
      <c r="G309" t="str">
        <f t="shared" si="66"/>
        <v>439038861</v>
      </c>
      <c r="H309" t="str">
        <f t="shared" si="67"/>
        <v>Display</v>
      </c>
      <c r="I309">
        <f t="shared" si="68"/>
        <v>16390</v>
      </c>
      <c r="J309">
        <f t="shared" si="69"/>
        <v>19</v>
      </c>
      <c r="K309" s="4">
        <f t="shared" si="72"/>
        <v>0.04</v>
      </c>
      <c r="L309">
        <f t="shared" si="73"/>
        <v>0.09</v>
      </c>
      <c r="M309" s="4">
        <f t="shared" si="70"/>
        <v>0.65560000000000007</v>
      </c>
      <c r="N309" s="4">
        <f t="shared" si="71"/>
        <v>1.4750999999999999</v>
      </c>
    </row>
    <row r="310" spans="1:14">
      <c r="A310" t="str">
        <f t="shared" si="60"/>
        <v>BR_IMC_DSY_LANCH_ND_NC_2019Q1FEB_RNG_Outlet</v>
      </c>
      <c r="B310" t="str">
        <f t="shared" si="61"/>
        <v>Google Brasil</v>
      </c>
      <c r="C310" t="str">
        <f t="shared" si="62"/>
        <v>BR_VW_RNG_google_DIS_PROG_CPA_CAI_MPU_IMC_RON_CXD_in-mkt-autos-consideracao_PD_300x100</v>
      </c>
      <c r="D310" t="str">
        <f t="shared" si="63"/>
        <v>242058332</v>
      </c>
      <c r="E310" t="str">
        <f t="shared" si="64"/>
        <v>Standard</v>
      </c>
      <c r="F310" t="str">
        <f t="shared" si="65"/>
        <v>BR_VW_RNG_google_DIS_PROG_CPA_CAI_MPU_IMC_RON_CXD_outlet-polo-in-mkt-autos-consideracao_PD_300x100</v>
      </c>
      <c r="G310" t="str">
        <f t="shared" si="66"/>
        <v>438959690</v>
      </c>
      <c r="H310" t="str">
        <f t="shared" si="67"/>
        <v>Display</v>
      </c>
      <c r="I310">
        <f t="shared" si="68"/>
        <v>268</v>
      </c>
      <c r="J310">
        <f t="shared" si="69"/>
        <v>1</v>
      </c>
      <c r="K310" s="4">
        <f t="shared" si="72"/>
        <v>0.04</v>
      </c>
      <c r="L310">
        <f t="shared" si="73"/>
        <v>0.09</v>
      </c>
      <c r="M310" s="4">
        <f t="shared" si="70"/>
        <v>1.072E-2</v>
      </c>
      <c r="N310" s="4">
        <f t="shared" si="71"/>
        <v>2.4119999999999999E-2</v>
      </c>
    </row>
    <row r="311" spans="1:14">
      <c r="A311" t="str">
        <f t="shared" si="60"/>
        <v>BR_IMC_DSY_LANCH_ND_NC_2019Q1FEB_RNG_Outlet</v>
      </c>
      <c r="B311" t="str">
        <f t="shared" si="61"/>
        <v>Google Brasil</v>
      </c>
      <c r="C311" t="str">
        <f t="shared" si="62"/>
        <v>BR_VW_RNG_google_DIS_PROG_CPA_CAI_MPU_IMC_RON_CXD_in-mkt-autos-consideracao_PD_320x100</v>
      </c>
      <c r="D311" t="str">
        <f t="shared" si="63"/>
        <v>242138512</v>
      </c>
      <c r="E311" t="str">
        <f t="shared" si="64"/>
        <v>Standard</v>
      </c>
      <c r="F311" t="str">
        <f t="shared" si="65"/>
        <v>BR_VW_RNG_google_DIS_PROG_CPA_CAI_MPU_IMC_RON_CXD_outlet-jetta-in-mkt-autos-consideracao_PD_320x100</v>
      </c>
      <c r="G311" t="str">
        <f t="shared" si="66"/>
        <v>438974932</v>
      </c>
      <c r="H311" t="str">
        <f t="shared" si="67"/>
        <v>Display</v>
      </c>
      <c r="I311">
        <f t="shared" si="68"/>
        <v>29162</v>
      </c>
      <c r="J311">
        <f t="shared" si="69"/>
        <v>82</v>
      </c>
      <c r="K311" s="4">
        <f t="shared" si="72"/>
        <v>0.04</v>
      </c>
      <c r="L311">
        <f t="shared" si="73"/>
        <v>0.09</v>
      </c>
      <c r="M311" s="4">
        <f t="shared" si="70"/>
        <v>1.16648</v>
      </c>
      <c r="N311" s="4">
        <f t="shared" si="71"/>
        <v>2.6245799999999999</v>
      </c>
    </row>
    <row r="312" spans="1:14">
      <c r="A312" t="str">
        <f t="shared" si="60"/>
        <v>BR_IMC_DSY_LANCH_ND_NC_2019Q1FEB_RNG_Outlet</v>
      </c>
      <c r="B312" t="str">
        <f t="shared" si="61"/>
        <v>Google Brasil</v>
      </c>
      <c r="C312" t="str">
        <f t="shared" si="62"/>
        <v>BR_VW_RNG_google_DIS_PROG_CPA_CAI_MPU_IMC_RON_CXD_in-mkt-autos-consideracao_PD_320x100</v>
      </c>
      <c r="D312" t="str">
        <f t="shared" si="63"/>
        <v>242138512</v>
      </c>
      <c r="E312" t="str">
        <f t="shared" si="64"/>
        <v>Standard</v>
      </c>
      <c r="F312" t="str">
        <f t="shared" si="65"/>
        <v>BR_VW_RNG_google_DIS_PROG_CPA_CAI_MPU_IMC_RON_CXD_outlet-jetta-v1-in-mkt-autos-consideracao_PD_320x100</v>
      </c>
      <c r="G312" t="str">
        <f t="shared" si="66"/>
        <v>439135958</v>
      </c>
      <c r="H312" t="str">
        <f t="shared" si="67"/>
        <v>Display</v>
      </c>
      <c r="I312">
        <f t="shared" si="68"/>
        <v>2681652</v>
      </c>
      <c r="J312">
        <f t="shared" si="69"/>
        <v>22942</v>
      </c>
      <c r="K312" s="4">
        <f t="shared" si="72"/>
        <v>0.04</v>
      </c>
      <c r="L312">
        <f t="shared" si="73"/>
        <v>0.09</v>
      </c>
      <c r="M312" s="4">
        <f t="shared" si="70"/>
        <v>107.26608</v>
      </c>
      <c r="N312" s="4">
        <f t="shared" si="71"/>
        <v>241.34868</v>
      </c>
    </row>
    <row r="313" spans="1:14">
      <c r="A313" t="str">
        <f t="shared" si="60"/>
        <v>BR_IMC_DSY_LANCH_ND_NC_2019Q1FEB_RNG_Outlet</v>
      </c>
      <c r="B313" t="str">
        <f t="shared" si="61"/>
        <v>Google Brasil</v>
      </c>
      <c r="C313" t="str">
        <f t="shared" si="62"/>
        <v>BR_VW_RNG_google_DIS_PROG_CPA_CAI_MPU_IMC_RON_CXD_in-mkt-autos-consideracao_PD_320x100</v>
      </c>
      <c r="D313" t="str">
        <f t="shared" si="63"/>
        <v>242138512</v>
      </c>
      <c r="E313" t="str">
        <f t="shared" si="64"/>
        <v>Standard</v>
      </c>
      <c r="F313" t="str">
        <f t="shared" si="65"/>
        <v>BR_VW_RNG_google_DIS_PROG_CPA_CAI_MPU_IMC_RON_CXD_outlet-polo-in-mkt-autos-consideracao_PD_320x100</v>
      </c>
      <c r="G313" t="str">
        <f t="shared" si="66"/>
        <v>438974935</v>
      </c>
      <c r="H313" t="str">
        <f t="shared" si="67"/>
        <v>Display</v>
      </c>
      <c r="I313">
        <f t="shared" si="68"/>
        <v>29266</v>
      </c>
      <c r="J313">
        <f t="shared" si="69"/>
        <v>91</v>
      </c>
      <c r="K313" s="4">
        <f t="shared" si="72"/>
        <v>0.04</v>
      </c>
      <c r="L313">
        <f t="shared" si="73"/>
        <v>0.09</v>
      </c>
      <c r="M313" s="4">
        <f t="shared" si="70"/>
        <v>1.1706400000000001</v>
      </c>
      <c r="N313" s="4">
        <f t="shared" si="71"/>
        <v>2.6339399999999999</v>
      </c>
    </row>
    <row r="314" spans="1:14">
      <c r="A314" t="str">
        <f t="shared" si="60"/>
        <v>BR_IMC_DSY_LANCH_ND_NC_2019Q1FEB_RNG_Outlet</v>
      </c>
      <c r="B314" t="str">
        <f t="shared" si="61"/>
        <v>Google Brasil</v>
      </c>
      <c r="C314" t="str">
        <f t="shared" si="62"/>
        <v>BR_VW_RNG_google_DIS_PROG_CPA_CAI_MPU_IMC_RON_CXD_in-mkt-autos-consideracao_PD_320x50</v>
      </c>
      <c r="D314" t="str">
        <f t="shared" si="63"/>
        <v>242023253</v>
      </c>
      <c r="E314" t="str">
        <f t="shared" si="64"/>
        <v>Default</v>
      </c>
      <c r="F314" t="str">
        <f t="shared" si="65"/>
        <v>320x50 Default Web Ad</v>
      </c>
      <c r="G314" t="str">
        <f t="shared" si="66"/>
        <v>438970721</v>
      </c>
      <c r="H314" t="str">
        <f t="shared" si="67"/>
        <v>Display</v>
      </c>
      <c r="I314">
        <f t="shared" si="68"/>
        <v>5</v>
      </c>
      <c r="J314">
        <f t="shared" si="69"/>
        <v>0</v>
      </c>
      <c r="K314" s="4">
        <f t="shared" si="72"/>
        <v>0.04</v>
      </c>
      <c r="L314">
        <f t="shared" si="73"/>
        <v>0.09</v>
      </c>
      <c r="M314" s="4">
        <f t="shared" si="70"/>
        <v>2.0000000000000001E-4</v>
      </c>
      <c r="N314" s="4">
        <f t="shared" si="71"/>
        <v>4.4999999999999993E-4</v>
      </c>
    </row>
    <row r="315" spans="1:14">
      <c r="A315" t="str">
        <f t="shared" si="60"/>
        <v>BR_IMC_DSY_LANCH_ND_NC_2019Q1FEB_RNG_Outlet</v>
      </c>
      <c r="B315" t="str">
        <f t="shared" si="61"/>
        <v>Google Brasil</v>
      </c>
      <c r="C315" t="str">
        <f t="shared" si="62"/>
        <v>BR_VW_RNG_google_DIS_PROG_CPA_CAI_MPU_IMC_RON_CXD_in-mkt-autos-consideracao_PD_320x50</v>
      </c>
      <c r="D315" t="str">
        <f t="shared" si="63"/>
        <v>242023253</v>
      </c>
      <c r="E315" t="str">
        <f t="shared" si="64"/>
        <v>Standard</v>
      </c>
      <c r="F315" t="str">
        <f t="shared" si="65"/>
        <v>BR_VW_RNG_google_DIS_PROG_CPA_CAI_MPU_IMC_RON_CXD_outlet-jetta-in-mkt-autos-consideracao_PD_320x50</v>
      </c>
      <c r="G315" t="str">
        <f t="shared" si="66"/>
        <v>438974938</v>
      </c>
      <c r="H315" t="str">
        <f t="shared" si="67"/>
        <v>Display</v>
      </c>
      <c r="I315">
        <f t="shared" si="68"/>
        <v>515566</v>
      </c>
      <c r="J315">
        <f t="shared" si="69"/>
        <v>2274</v>
      </c>
      <c r="K315" s="4">
        <f t="shared" si="72"/>
        <v>0.04</v>
      </c>
      <c r="L315">
        <f t="shared" si="73"/>
        <v>0.09</v>
      </c>
      <c r="M315" s="4">
        <f t="shared" si="70"/>
        <v>20.622640000000001</v>
      </c>
      <c r="N315" s="4">
        <f t="shared" si="71"/>
        <v>46.400939999999999</v>
      </c>
    </row>
    <row r="316" spans="1:14">
      <c r="A316" t="str">
        <f t="shared" si="60"/>
        <v>BR_IMC_DSY_LANCH_ND_NC_2019Q1FEB_RNG_Outlet</v>
      </c>
      <c r="B316" t="str">
        <f t="shared" si="61"/>
        <v>Google Brasil</v>
      </c>
      <c r="C316" t="str">
        <f t="shared" si="62"/>
        <v>BR_VW_RNG_google_DIS_PROG_CPA_CAI_MPU_IMC_RON_CXD_in-mkt-autos-consideracao_PD_320x50</v>
      </c>
      <c r="D316" t="str">
        <f t="shared" si="63"/>
        <v>242023253</v>
      </c>
      <c r="E316" t="str">
        <f t="shared" si="64"/>
        <v>Standard</v>
      </c>
      <c r="F316" t="str">
        <f t="shared" si="65"/>
        <v>BR_VW_RNG_google_DIS_PROG_CPA_CAI_MPU_IMC_RON_CXD_outlet-jetta-v1-in-mkt-autos-consideracao_PD_320x50</v>
      </c>
      <c r="G316" t="str">
        <f t="shared" si="66"/>
        <v>439038789</v>
      </c>
      <c r="H316" t="str">
        <f t="shared" si="67"/>
        <v>Display</v>
      </c>
      <c r="I316">
        <f t="shared" si="68"/>
        <v>62675217</v>
      </c>
      <c r="J316">
        <f t="shared" si="69"/>
        <v>432517</v>
      </c>
      <c r="K316" s="4">
        <f t="shared" si="72"/>
        <v>0.04</v>
      </c>
      <c r="L316">
        <f t="shared" si="73"/>
        <v>0.09</v>
      </c>
      <c r="M316" s="4">
        <f t="shared" si="70"/>
        <v>2507.0086800000004</v>
      </c>
      <c r="N316" s="4">
        <f t="shared" si="71"/>
        <v>5640.7695299999996</v>
      </c>
    </row>
    <row r="317" spans="1:14">
      <c r="A317" t="str">
        <f t="shared" si="60"/>
        <v>BR_IMC_DSY_LANCH_ND_NC_2019Q1FEB_RNG_Outlet</v>
      </c>
      <c r="B317" t="str">
        <f t="shared" si="61"/>
        <v>Google Brasil</v>
      </c>
      <c r="C317" t="str">
        <f t="shared" si="62"/>
        <v>BR_VW_RNG_google_DIS_PROG_CPA_CAI_MPU_IMC_RON_CXD_in-mkt-autos-consideracao_PD_320x50</v>
      </c>
      <c r="D317" t="str">
        <f t="shared" si="63"/>
        <v>242023253</v>
      </c>
      <c r="E317" t="str">
        <f t="shared" si="64"/>
        <v>Standard</v>
      </c>
      <c r="F317" t="str">
        <f t="shared" si="65"/>
        <v>BR_VW_RNG_google_DIS_PROG_CPA_CAI_MPU_IMC_RON_CXD_outlet-polo-in-mkt-autos-consideracao_PD_320x50</v>
      </c>
      <c r="G317" t="str">
        <f t="shared" si="66"/>
        <v>438974941</v>
      </c>
      <c r="H317" t="str">
        <f t="shared" si="67"/>
        <v>Display</v>
      </c>
      <c r="I317">
        <f t="shared" si="68"/>
        <v>515852</v>
      </c>
      <c r="J317">
        <f t="shared" si="69"/>
        <v>2139</v>
      </c>
      <c r="K317" s="4">
        <f t="shared" si="72"/>
        <v>0.04</v>
      </c>
      <c r="L317">
        <f t="shared" si="73"/>
        <v>0.09</v>
      </c>
      <c r="M317" s="4">
        <f t="shared" si="70"/>
        <v>20.634080000000001</v>
      </c>
      <c r="N317" s="4">
        <f t="shared" si="71"/>
        <v>46.426679999999998</v>
      </c>
    </row>
    <row r="318" spans="1:14">
      <c r="A318" t="str">
        <f t="shared" si="60"/>
        <v>BR_IMC_DSY_LANCH_ND_NC_2019Q1FEB_RNG_Outlet</v>
      </c>
      <c r="B318" t="str">
        <f t="shared" si="61"/>
        <v>Google Brasil</v>
      </c>
      <c r="C318" t="str">
        <f t="shared" si="62"/>
        <v>BR_VW_RNG_google_DIS_PROG_CPA_CAI_MPU_IMC_RON_CXD_outlet-cinza-remarketing_PD_300x100</v>
      </c>
      <c r="D318" t="str">
        <f t="shared" si="63"/>
        <v>242941642</v>
      </c>
      <c r="E318" t="str">
        <f t="shared" si="64"/>
        <v>Standard</v>
      </c>
      <c r="F318" t="str">
        <f t="shared" si="65"/>
        <v>BR_VW_RNG_google_DIS_PROG_CPA_CAI_MPU_IMC_RON_CXD_outlet-cinza-remarketing_PD_300x100</v>
      </c>
      <c r="G318" t="str">
        <f t="shared" si="66"/>
        <v>439539480</v>
      </c>
      <c r="H318" t="str">
        <f t="shared" si="67"/>
        <v>Display</v>
      </c>
      <c r="I318">
        <f t="shared" si="68"/>
        <v>3045</v>
      </c>
      <c r="J318">
        <f t="shared" si="69"/>
        <v>1</v>
      </c>
      <c r="K318" s="4">
        <f t="shared" si="72"/>
        <v>0.04</v>
      </c>
      <c r="L318">
        <f t="shared" si="73"/>
        <v>0.09</v>
      </c>
      <c r="M318" s="4">
        <f t="shared" si="70"/>
        <v>0.12179999999999999</v>
      </c>
      <c r="N318" s="4">
        <f t="shared" si="71"/>
        <v>0.27405000000000002</v>
      </c>
    </row>
    <row r="319" spans="1:14">
      <c r="A319" t="str">
        <f t="shared" si="60"/>
        <v>BR_IMC_DSY_LANCH_ND_NC_2019Q1FEB_RNG_Outlet</v>
      </c>
      <c r="B319" t="str">
        <f t="shared" si="61"/>
        <v>Google Brasil</v>
      </c>
      <c r="C319" t="str">
        <f t="shared" si="62"/>
        <v>BR_VW_RNG_google_DIS_PROG_CPA_CAI_MPU_IMC_RON_CXD_outlet-cinza-remarketing_PD_300x250</v>
      </c>
      <c r="D319" t="str">
        <f t="shared" si="63"/>
        <v>242941636</v>
      </c>
      <c r="E319" t="str">
        <f t="shared" si="64"/>
        <v>Standard</v>
      </c>
      <c r="F319" t="str">
        <f t="shared" si="65"/>
        <v>BR_VW_RNG_google_DIS_PROG_CPA_CAI_MPU_IMC_RON_CXD_outlet-cinza-remarketing_PD_300x250</v>
      </c>
      <c r="G319" t="str">
        <f t="shared" si="66"/>
        <v>439662484</v>
      </c>
      <c r="H319" t="str">
        <f t="shared" si="67"/>
        <v>Display</v>
      </c>
      <c r="I319">
        <f t="shared" si="68"/>
        <v>1400305</v>
      </c>
      <c r="J319">
        <f t="shared" si="69"/>
        <v>40036</v>
      </c>
      <c r="K319" s="4">
        <f t="shared" si="72"/>
        <v>0.04</v>
      </c>
      <c r="L319">
        <f t="shared" si="73"/>
        <v>0.09</v>
      </c>
      <c r="M319" s="4">
        <f t="shared" si="70"/>
        <v>56.012200000000007</v>
      </c>
      <c r="N319" s="4">
        <f t="shared" si="71"/>
        <v>126.02745</v>
      </c>
    </row>
    <row r="320" spans="1:14">
      <c r="A320" t="str">
        <f t="shared" si="60"/>
        <v>BR_IMC_DSY_LANCH_ND_NC_2019Q1FEB_RNG_Outlet</v>
      </c>
      <c r="B320" t="str">
        <f t="shared" si="61"/>
        <v>Google Brasil</v>
      </c>
      <c r="C320" t="str">
        <f t="shared" si="62"/>
        <v>BR_VW_RNG_google_DIS_PROG_CPA_CAI_MPU_IMC_RON_CXD_outlet-cinza-remarketing_PD_300x60</v>
      </c>
      <c r="D320" t="str">
        <f t="shared" si="63"/>
        <v>242941639</v>
      </c>
      <c r="E320" t="str">
        <f t="shared" si="64"/>
        <v>Standard</v>
      </c>
      <c r="F320" t="str">
        <f t="shared" si="65"/>
        <v>BR_VW_RNG_google_DIS_PROG_CPA_CAI_MPU_IMC_RON_CXD_outlet-cinza-remarketing_PD_300x60</v>
      </c>
      <c r="G320" t="str">
        <f t="shared" si="66"/>
        <v>439539477</v>
      </c>
      <c r="H320" t="str">
        <f t="shared" si="67"/>
        <v>Display</v>
      </c>
      <c r="I320">
        <f t="shared" si="68"/>
        <v>2995</v>
      </c>
      <c r="J320">
        <f t="shared" si="69"/>
        <v>1</v>
      </c>
      <c r="K320" s="4">
        <f t="shared" si="72"/>
        <v>0.04</v>
      </c>
      <c r="L320">
        <f t="shared" si="73"/>
        <v>0.09</v>
      </c>
      <c r="M320" s="4">
        <f t="shared" si="70"/>
        <v>0.1198</v>
      </c>
      <c r="N320" s="4">
        <f t="shared" si="71"/>
        <v>0.26955000000000001</v>
      </c>
    </row>
    <row r="321" spans="1:14">
      <c r="A321" t="str">
        <f t="shared" si="60"/>
        <v>BR_IMC_DSY_LANCH_ND_NC_2019Q1FEB_RNG_Outlet</v>
      </c>
      <c r="B321" t="str">
        <f t="shared" si="61"/>
        <v>Google Brasil</v>
      </c>
      <c r="C321" t="str">
        <f t="shared" si="62"/>
        <v>BR_VW_RNG_google_DIS_PROG_CPA_CAI_MPU_IMC_RON_CXD_outlet-cinza-remarketing_PD_320x100</v>
      </c>
      <c r="D321" t="str">
        <f t="shared" si="63"/>
        <v>242941624</v>
      </c>
      <c r="E321" t="str">
        <f t="shared" si="64"/>
        <v>Standard</v>
      </c>
      <c r="F321" t="str">
        <f t="shared" si="65"/>
        <v>BR_VW_RNG_google_DIS_PROG_CPA_CAI_MPU_IMC_RON_CXD_outlet-cinza-remarketing_PD_320x100</v>
      </c>
      <c r="G321" t="str">
        <f t="shared" si="66"/>
        <v>439539465</v>
      </c>
      <c r="H321" t="str">
        <f t="shared" si="67"/>
        <v>Display</v>
      </c>
      <c r="I321">
        <f t="shared" si="68"/>
        <v>102221</v>
      </c>
      <c r="J321">
        <f t="shared" si="69"/>
        <v>960</v>
      </c>
      <c r="K321" s="4">
        <f t="shared" si="72"/>
        <v>0.04</v>
      </c>
      <c r="L321">
        <f t="shared" si="73"/>
        <v>0.09</v>
      </c>
      <c r="M321" s="4">
        <f t="shared" si="70"/>
        <v>4.0888400000000003</v>
      </c>
      <c r="N321" s="4">
        <f t="shared" si="71"/>
        <v>9.1998899999999999</v>
      </c>
    </row>
    <row r="322" spans="1:14">
      <c r="A322" t="str">
        <f t="shared" ref="A322:A385" si="74">bd_campaign</f>
        <v>BR_IMC_DSY_LANCH_ND_NC_2019Q1FEB_RNG_Outlet</v>
      </c>
      <c r="B322" t="str">
        <f t="shared" ref="B322:B385" si="75">bd_site</f>
        <v>Google Brasil</v>
      </c>
      <c r="C322" t="str">
        <f t="shared" ref="C322:C385" si="76">bd_placement</f>
        <v>BR_VW_RNG_google_DIS_PROG_CPA_CAI_MPU_IMC_RON_CXD_outlet-cinza-remarketing_PD_320x50</v>
      </c>
      <c r="D322" t="str">
        <f t="shared" ref="D322:D385" si="77">bd_placementID</f>
        <v>242941627</v>
      </c>
      <c r="E322" t="str">
        <f t="shared" ref="E322:E385" si="78">VLOOKUP(CONCATENATE(bd_adtype,"_",bd_creativetype),tabela,2,FALSE)</f>
        <v>Standard</v>
      </c>
      <c r="F322" t="str">
        <f t="shared" ref="F322:F385" si="79">bd_ad</f>
        <v>BR_VW_RNG_google_DIS_PROG_CPA_CAI_MPU_IMC_RON_CXD_outlet-cinza-remarketing_PD_320x50</v>
      </c>
      <c r="G322" t="str">
        <f t="shared" ref="G322:G385" si="80">bd_adid</f>
        <v>439539468</v>
      </c>
      <c r="H322" t="str">
        <f t="shared" ref="H322:H385" si="81">bd_creativetype</f>
        <v>Display</v>
      </c>
      <c r="I322">
        <f t="shared" ref="I322:I385" si="82">bd_impression</f>
        <v>1947475</v>
      </c>
      <c r="J322">
        <f t="shared" ref="J322:J385" si="83">bd_clicks</f>
        <v>25459</v>
      </c>
      <c r="K322" s="4">
        <f t="shared" si="72"/>
        <v>0.04</v>
      </c>
      <c r="L322">
        <f t="shared" si="73"/>
        <v>0.09</v>
      </c>
      <c r="M322" s="4">
        <f t="shared" si="70"/>
        <v>77.899000000000001</v>
      </c>
      <c r="N322" s="4">
        <f t="shared" si="71"/>
        <v>175.27275</v>
      </c>
    </row>
    <row r="323" spans="1:14">
      <c r="A323" t="str">
        <f t="shared" si="74"/>
        <v>BR_IMC_DSY_LANCH_ND_NC_2019Q1FEB_RNG_Outlet</v>
      </c>
      <c r="B323" t="str">
        <f t="shared" si="75"/>
        <v>Google Brasil</v>
      </c>
      <c r="C323" t="str">
        <f t="shared" si="76"/>
        <v>BR_VW_RNG_google_DIS_PROG_CPA_CAI_MPU_IMC_RON_CXD_outlet-polo-jetta-in-mkt-autos-consideracao_PD_300x250</v>
      </c>
      <c r="D323" t="str">
        <f t="shared" si="77"/>
        <v>242144344</v>
      </c>
      <c r="E323" t="str">
        <f t="shared" si="78"/>
        <v>Default</v>
      </c>
      <c r="F323" t="str">
        <f t="shared" si="79"/>
        <v>300x250 Default Web Ad</v>
      </c>
      <c r="G323" t="str">
        <f t="shared" si="80"/>
        <v>438970922</v>
      </c>
      <c r="H323" t="str">
        <f t="shared" si="81"/>
        <v>Display</v>
      </c>
      <c r="I323">
        <f t="shared" si="82"/>
        <v>4345182</v>
      </c>
      <c r="J323">
        <f t="shared" si="83"/>
        <v>114700</v>
      </c>
      <c r="K323" s="4">
        <f t="shared" si="72"/>
        <v>0.04</v>
      </c>
      <c r="L323">
        <f t="shared" si="73"/>
        <v>0.09</v>
      </c>
      <c r="M323" s="4">
        <f t="shared" si="70"/>
        <v>173.80727999999999</v>
      </c>
      <c r="N323" s="4">
        <f t="shared" si="71"/>
        <v>391.06637999999998</v>
      </c>
    </row>
    <row r="324" spans="1:14">
      <c r="A324" t="str">
        <f t="shared" si="74"/>
        <v>BR_IMC_DSY_LANCH_ND_NC_2019Q1FEB_RNG_Outlet</v>
      </c>
      <c r="B324" t="str">
        <f t="shared" si="75"/>
        <v>Google Brasil</v>
      </c>
      <c r="C324" t="str">
        <f t="shared" si="76"/>
        <v>BR_VW_RNG_google_DIS_PROG_CPA_CAI_MPU_IMC_RON_CXD_outlet-polo-jetta-in-mkt-autos-consideracao_PD_300x250</v>
      </c>
      <c r="D324" t="str">
        <f t="shared" si="77"/>
        <v>242144344</v>
      </c>
      <c r="E324" t="str">
        <f t="shared" si="78"/>
        <v>Standard</v>
      </c>
      <c r="F324" t="str">
        <f t="shared" si="79"/>
        <v>BR_VW_RNG_google_DIS_PROG_CPA_CAI_MPU_IMC_RON_CXD_outlet-polo-jetta-in-mkt-autos-consideracao_PD_300x250</v>
      </c>
      <c r="G324" t="str">
        <f t="shared" si="80"/>
        <v>438968047</v>
      </c>
      <c r="H324" t="str">
        <f t="shared" si="81"/>
        <v>Display</v>
      </c>
      <c r="I324">
        <f t="shared" si="82"/>
        <v>679158</v>
      </c>
      <c r="J324">
        <f t="shared" si="83"/>
        <v>7380</v>
      </c>
      <c r="K324" s="4">
        <f t="shared" si="72"/>
        <v>0.04</v>
      </c>
      <c r="L324">
        <f t="shared" si="73"/>
        <v>0.09</v>
      </c>
      <c r="M324" s="4">
        <f t="shared" si="70"/>
        <v>27.166319999999999</v>
      </c>
      <c r="N324" s="4">
        <f t="shared" si="71"/>
        <v>61.124220000000001</v>
      </c>
    </row>
    <row r="325" spans="1:14">
      <c r="A325" t="str">
        <f t="shared" si="74"/>
        <v>BR_IMC_DSY_LANCH_ND_NC_2019Q1FEB_RNG_Outlet</v>
      </c>
      <c r="B325" t="str">
        <f t="shared" si="75"/>
        <v>Google Brasil</v>
      </c>
      <c r="C325" t="str">
        <f t="shared" si="76"/>
        <v>BR_VW_RNG_google_DIS_PROG_CPA_CAI_MPU_IMC_RON_CXD_outlet-polo-jetta-v3-in-mkt-autos-consideracao_PD_300x250</v>
      </c>
      <c r="D325" t="str">
        <f t="shared" si="77"/>
        <v>242352391</v>
      </c>
      <c r="E325" t="str">
        <f t="shared" si="78"/>
        <v>Standard</v>
      </c>
      <c r="F325" t="str">
        <f t="shared" si="79"/>
        <v>BR_VW_RNG_google_DIS_PROG_CPA_CAI_MPU_IMC_RON_CXD_outlet-polo-jetta-v3-in-mkt-autos-consideracao_PD_300x250</v>
      </c>
      <c r="G325" t="str">
        <f t="shared" si="80"/>
        <v>439135568</v>
      </c>
      <c r="H325" t="str">
        <f t="shared" si="81"/>
        <v>Display</v>
      </c>
      <c r="I325">
        <f t="shared" si="82"/>
        <v>8373319</v>
      </c>
      <c r="J325">
        <f t="shared" si="83"/>
        <v>135139</v>
      </c>
      <c r="K325" s="4">
        <f t="shared" si="72"/>
        <v>0.04</v>
      </c>
      <c r="L325">
        <f t="shared" si="73"/>
        <v>0.09</v>
      </c>
      <c r="M325" s="4">
        <f t="shared" si="70"/>
        <v>334.93276000000003</v>
      </c>
      <c r="N325" s="4">
        <f t="shared" si="71"/>
        <v>753.59870999999998</v>
      </c>
    </row>
    <row r="326" spans="1:14">
      <c r="A326" t="str">
        <f t="shared" si="74"/>
        <v>BR_IMC_DSY_LANCH_ND_NC_2019Q1FEB_RNG_Outlet</v>
      </c>
      <c r="B326" t="str">
        <f t="shared" si="75"/>
        <v>Google Brasil</v>
      </c>
      <c r="C326" t="str">
        <f t="shared" si="76"/>
        <v>BR_VW_RNG_google_DIS_PROG_CPA_CAI_SKY_IMC_RON_CXD_outlet-cinza-remarketing_PD_120x600</v>
      </c>
      <c r="D326" t="str">
        <f t="shared" si="77"/>
        <v>242941654</v>
      </c>
      <c r="E326" t="str">
        <f t="shared" si="78"/>
        <v>Standard</v>
      </c>
      <c r="F326" t="str">
        <f t="shared" si="79"/>
        <v>BR_VW_RNG_google_DIS_PROG_CPA_CAI_SKY_IMC_RON_CXD_outlet-cinza-remarketing_PD_120x600</v>
      </c>
      <c r="G326" t="str">
        <f t="shared" si="80"/>
        <v>439539489</v>
      </c>
      <c r="H326" t="str">
        <f t="shared" si="81"/>
        <v>Display</v>
      </c>
      <c r="I326">
        <f t="shared" si="82"/>
        <v>1602</v>
      </c>
      <c r="J326">
        <f t="shared" si="83"/>
        <v>1</v>
      </c>
      <c r="K326" s="4">
        <f t="shared" si="72"/>
        <v>0.04</v>
      </c>
      <c r="L326">
        <f t="shared" si="73"/>
        <v>0.09</v>
      </c>
      <c r="M326" s="4">
        <f t="shared" si="70"/>
        <v>6.4079999999999998E-2</v>
      </c>
      <c r="N326" s="4">
        <f t="shared" si="71"/>
        <v>0.14418</v>
      </c>
    </row>
    <row r="327" spans="1:14">
      <c r="A327" t="str">
        <f t="shared" si="74"/>
        <v>BR_IMC_DSY_LANCH_ND_NC_2019Q1FEB_RNG_Outlet</v>
      </c>
      <c r="B327" t="str">
        <f t="shared" si="75"/>
        <v>Google Brasil</v>
      </c>
      <c r="C327" t="str">
        <f t="shared" si="76"/>
        <v>BR_VW_RNG_google_DIS_PROG_CPA_CAI_SKY_IMC_RON_CXD_outlet-cinza-remarketing_PD_160x600</v>
      </c>
      <c r="D327" t="str">
        <f t="shared" si="77"/>
        <v>242941648</v>
      </c>
      <c r="E327" t="str">
        <f t="shared" si="78"/>
        <v>Standard</v>
      </c>
      <c r="F327" t="str">
        <f t="shared" si="79"/>
        <v>BR_VW_RNG_google_DIS_PROG_CPA_CAI_SKY_IMC_RON_CXD_outlet-cinza-remarketing_PD_160x600</v>
      </c>
      <c r="G327" t="str">
        <f t="shared" si="80"/>
        <v>439653319</v>
      </c>
      <c r="H327" t="str">
        <f t="shared" si="81"/>
        <v>Display</v>
      </c>
      <c r="I327">
        <f t="shared" si="82"/>
        <v>6112</v>
      </c>
      <c r="J327">
        <f t="shared" si="83"/>
        <v>2</v>
      </c>
      <c r="K327" s="4">
        <f t="shared" si="72"/>
        <v>0.04</v>
      </c>
      <c r="L327">
        <f t="shared" si="73"/>
        <v>0.09</v>
      </c>
      <c r="M327" s="4">
        <f t="shared" si="70"/>
        <v>0.24448000000000003</v>
      </c>
      <c r="N327" s="4">
        <f t="shared" si="71"/>
        <v>0.5500799999999999</v>
      </c>
    </row>
    <row r="328" spans="1:14">
      <c r="A328" t="str">
        <f t="shared" si="74"/>
        <v>BR_IMC_DSY_LANCH_ND_NC_2019Q1FEB_RNG_Outlet</v>
      </c>
      <c r="B328" t="str">
        <f t="shared" si="75"/>
        <v>Google Brasil</v>
      </c>
      <c r="C328" t="str">
        <f t="shared" si="76"/>
        <v>BR_VW_RNG_google_DIS_PROG_CPA_CAI_SKY_IMC_RON_CXD_outlet-cinza-remarketing_PD_300x600</v>
      </c>
      <c r="D328" t="str">
        <f t="shared" si="77"/>
        <v>242941630</v>
      </c>
      <c r="E328" t="str">
        <f t="shared" si="78"/>
        <v>Standard</v>
      </c>
      <c r="F328" t="str">
        <f t="shared" si="79"/>
        <v>BR_VW_RNG_google_DIS_PROG_CPA_CAI_SKY_IMC_RON_CXD_outlet-cinza-remarketing_PD_300x600</v>
      </c>
      <c r="G328" t="str">
        <f t="shared" si="80"/>
        <v>439539471</v>
      </c>
      <c r="H328" t="str">
        <f t="shared" si="81"/>
        <v>Display</v>
      </c>
      <c r="I328">
        <f t="shared" si="82"/>
        <v>1534187</v>
      </c>
      <c r="J328">
        <f t="shared" si="83"/>
        <v>115769</v>
      </c>
      <c r="K328" s="4">
        <f t="shared" si="72"/>
        <v>0.04</v>
      </c>
      <c r="L328">
        <f t="shared" si="73"/>
        <v>0.09</v>
      </c>
      <c r="M328" s="4">
        <f t="shared" si="70"/>
        <v>61.36748</v>
      </c>
      <c r="N328" s="4">
        <f t="shared" si="71"/>
        <v>138.07683</v>
      </c>
    </row>
    <row r="329" spans="1:14">
      <c r="A329" t="str">
        <f t="shared" si="74"/>
        <v>BR_IMC_DSY_LANCH_ND_NC_2019Q1FEB_RNG_Outlet</v>
      </c>
      <c r="B329" t="str">
        <f t="shared" si="75"/>
        <v>Google Brasil</v>
      </c>
      <c r="C329" t="str">
        <f t="shared" si="76"/>
        <v>BR_VW_RNG_google_DIS_PROG_CPA_CAI_SKY_IMC_RON_CXD_outlet-polo-jetta-in-mkt-autos-consideracao_PD_120x600</v>
      </c>
      <c r="D329" t="str">
        <f t="shared" si="77"/>
        <v>242144341</v>
      </c>
      <c r="E329" t="str">
        <f t="shared" si="78"/>
        <v>Default</v>
      </c>
      <c r="F329" t="str">
        <f t="shared" si="79"/>
        <v>120x600 Default Web Ad</v>
      </c>
      <c r="G329" t="str">
        <f t="shared" si="80"/>
        <v>438965555</v>
      </c>
      <c r="H329" t="str">
        <f t="shared" si="81"/>
        <v>Display</v>
      </c>
      <c r="I329">
        <f t="shared" si="82"/>
        <v>2158</v>
      </c>
      <c r="J329">
        <f t="shared" si="83"/>
        <v>0</v>
      </c>
      <c r="K329" s="4">
        <f t="shared" si="72"/>
        <v>0.04</v>
      </c>
      <c r="L329">
        <f t="shared" si="73"/>
        <v>0.09</v>
      </c>
      <c r="M329" s="4">
        <f t="shared" si="70"/>
        <v>8.6320000000000008E-2</v>
      </c>
      <c r="N329" s="4">
        <f t="shared" si="71"/>
        <v>0.19422</v>
      </c>
    </row>
    <row r="330" spans="1:14">
      <c r="A330" t="str">
        <f t="shared" si="74"/>
        <v>BR_IMC_DSY_LANCH_ND_NC_2019Q1FEB_RNG_Outlet</v>
      </c>
      <c r="B330" t="str">
        <f t="shared" si="75"/>
        <v>Google Brasil</v>
      </c>
      <c r="C330" t="str">
        <f t="shared" si="76"/>
        <v>BR_VW_RNG_google_DIS_PROG_CPA_CAI_SKY_IMC_RON_CXD_outlet-polo-jetta-in-mkt-autos-consideracao_PD_120x600</v>
      </c>
      <c r="D330" t="str">
        <f t="shared" si="77"/>
        <v>242144341</v>
      </c>
      <c r="E330" t="str">
        <f t="shared" si="78"/>
        <v>Standard</v>
      </c>
      <c r="F330" t="str">
        <f t="shared" si="79"/>
        <v>BR_VW_RNG_google_DIS_PROG_CPA_CAI_SKY_IMC_RON_CXD_outlet-polo-jetta-in-mkt-autos-consideracao_PD_120x600</v>
      </c>
      <c r="G330" t="str">
        <f t="shared" si="80"/>
        <v>438968044</v>
      </c>
      <c r="H330" t="str">
        <f t="shared" si="81"/>
        <v>Display</v>
      </c>
      <c r="I330">
        <f t="shared" si="82"/>
        <v>2010</v>
      </c>
      <c r="J330">
        <f t="shared" si="83"/>
        <v>0</v>
      </c>
      <c r="K330" s="4">
        <f t="shared" si="72"/>
        <v>0.04</v>
      </c>
      <c r="L330">
        <f t="shared" si="73"/>
        <v>0.09</v>
      </c>
      <c r="M330" s="4">
        <f t="shared" si="70"/>
        <v>8.0399999999999999E-2</v>
      </c>
      <c r="N330" s="4">
        <f t="shared" si="71"/>
        <v>0.18090000000000001</v>
      </c>
    </row>
    <row r="331" spans="1:14">
      <c r="A331" t="str">
        <f t="shared" si="74"/>
        <v>BR_IMC_DSY_LANCH_ND_NC_2019Q1FEB_RNG_Outlet</v>
      </c>
      <c r="B331" t="str">
        <f t="shared" si="75"/>
        <v>Google Brasil</v>
      </c>
      <c r="C331" t="str">
        <f t="shared" si="76"/>
        <v>BR_VW_RNG_google_DIS_PROG_CPA_CAI_SKY_IMC_RON_CXD_outlet-polo-jetta-in-mkt-autos-consideracao_PD_160x600</v>
      </c>
      <c r="D331" t="str">
        <f t="shared" si="77"/>
        <v>242144347</v>
      </c>
      <c r="E331" t="str">
        <f t="shared" si="78"/>
        <v>Default</v>
      </c>
      <c r="F331" t="str">
        <f t="shared" si="79"/>
        <v>160x600 Default Web Ad</v>
      </c>
      <c r="G331" t="str">
        <f t="shared" si="80"/>
        <v>438967766</v>
      </c>
      <c r="H331" t="str">
        <f t="shared" si="81"/>
        <v>Display</v>
      </c>
      <c r="I331">
        <f t="shared" si="82"/>
        <v>7256</v>
      </c>
      <c r="J331">
        <f t="shared" si="83"/>
        <v>4</v>
      </c>
      <c r="K331" s="4">
        <f t="shared" si="72"/>
        <v>0.04</v>
      </c>
      <c r="L331">
        <f t="shared" si="73"/>
        <v>0.09</v>
      </c>
      <c r="M331" s="4">
        <f t="shared" si="70"/>
        <v>0.29024</v>
      </c>
      <c r="N331" s="4">
        <f t="shared" si="71"/>
        <v>0.65303999999999995</v>
      </c>
    </row>
    <row r="332" spans="1:14">
      <c r="A332" t="str">
        <f t="shared" si="74"/>
        <v>BR_IMC_DSY_LANCH_ND_NC_2019Q1FEB_RNG_Outlet</v>
      </c>
      <c r="B332" t="str">
        <f t="shared" si="75"/>
        <v>Google Brasil</v>
      </c>
      <c r="C332" t="str">
        <f t="shared" si="76"/>
        <v>BR_VW_RNG_google_DIS_PROG_CPA_CAI_SKY_IMC_RON_CXD_outlet-polo-jetta-in-mkt-autos-consideracao_PD_160x600</v>
      </c>
      <c r="D332" t="str">
        <f t="shared" si="77"/>
        <v>242144347</v>
      </c>
      <c r="E332" t="str">
        <f t="shared" si="78"/>
        <v>Standard</v>
      </c>
      <c r="F332" t="str">
        <f t="shared" si="79"/>
        <v>BR_VW_RNG_google_DIS_PROG_CPA_CAI_SKY_IMC_RON_CXD_outlet-polo-jetta-in-mkt-autos-consideracao_PD_160x600</v>
      </c>
      <c r="G332" t="str">
        <f t="shared" si="80"/>
        <v>438968050</v>
      </c>
      <c r="H332" t="str">
        <f t="shared" si="81"/>
        <v>Display</v>
      </c>
      <c r="I332">
        <f t="shared" si="82"/>
        <v>4151</v>
      </c>
      <c r="J332">
        <f t="shared" si="83"/>
        <v>4</v>
      </c>
      <c r="K332" s="4">
        <f t="shared" si="72"/>
        <v>0.04</v>
      </c>
      <c r="L332">
        <f t="shared" si="73"/>
        <v>0.09</v>
      </c>
      <c r="M332" s="4">
        <f t="shared" si="70"/>
        <v>0.16603999999999999</v>
      </c>
      <c r="N332" s="4">
        <f t="shared" si="71"/>
        <v>0.37358999999999998</v>
      </c>
    </row>
    <row r="333" spans="1:14">
      <c r="A333" t="str">
        <f t="shared" si="74"/>
        <v>BR_IMC_DSY_LANCH_ND_NC_2019Q1FEB_RNG_Outlet</v>
      </c>
      <c r="B333" t="str">
        <f t="shared" si="75"/>
        <v>Google Brasil</v>
      </c>
      <c r="C333" t="str">
        <f t="shared" si="76"/>
        <v>BR_VW_RNG_google_DIS_PROG_CPA_CAI_SKY_IMC_RON_CXD_outlet-polo-jetta-in-mkt-autos-consideracao_PD_300x600</v>
      </c>
      <c r="D333" t="str">
        <f t="shared" si="77"/>
        <v>242144332</v>
      </c>
      <c r="E333" t="str">
        <f t="shared" si="78"/>
        <v>Default</v>
      </c>
      <c r="F333" t="str">
        <f t="shared" si="79"/>
        <v>300x600 Default Web Ad</v>
      </c>
      <c r="G333" t="str">
        <f t="shared" si="80"/>
        <v>438979459</v>
      </c>
      <c r="H333" t="str">
        <f t="shared" si="81"/>
        <v>Display</v>
      </c>
      <c r="I333">
        <f t="shared" si="82"/>
        <v>8098935</v>
      </c>
      <c r="J333">
        <f t="shared" si="83"/>
        <v>509819</v>
      </c>
      <c r="K333" s="4">
        <f t="shared" si="72"/>
        <v>0.04</v>
      </c>
      <c r="L333">
        <f t="shared" si="73"/>
        <v>0.09</v>
      </c>
      <c r="M333" s="4">
        <f t="shared" si="70"/>
        <v>323.95740000000001</v>
      </c>
      <c r="N333" s="4">
        <f t="shared" si="71"/>
        <v>728.90415000000007</v>
      </c>
    </row>
    <row r="334" spans="1:14">
      <c r="A334" t="str">
        <f t="shared" si="74"/>
        <v>BR_IMC_DSY_LANCH_ND_NC_2019Q1FEB_RNG_Outlet</v>
      </c>
      <c r="B334" t="str">
        <f t="shared" si="75"/>
        <v>Google Brasil</v>
      </c>
      <c r="C334" t="str">
        <f t="shared" si="76"/>
        <v>BR_VW_RNG_google_DIS_PROG_CPA_CAI_SKY_IMC_RON_CXD_outlet-polo-jetta-in-mkt-autos-consideracao_PD_300x600</v>
      </c>
      <c r="D334" t="str">
        <f t="shared" si="77"/>
        <v>242144332</v>
      </c>
      <c r="E334" t="str">
        <f t="shared" si="78"/>
        <v>Standard</v>
      </c>
      <c r="F334" t="str">
        <f t="shared" si="79"/>
        <v>BR_VW_RNG_google_DIS_PROG_CPA_CAI_SKY_IMC_RON_CXD_outlet-polo-jetta-in-mkt-autos-consideracao_PD_300x600</v>
      </c>
      <c r="G334" t="str">
        <f t="shared" si="80"/>
        <v>438968035</v>
      </c>
      <c r="H334" t="str">
        <f t="shared" si="81"/>
        <v>Display</v>
      </c>
      <c r="I334">
        <f t="shared" si="82"/>
        <v>315416</v>
      </c>
      <c r="J334">
        <f t="shared" si="83"/>
        <v>14219</v>
      </c>
      <c r="K334" s="4">
        <f t="shared" si="72"/>
        <v>0.04</v>
      </c>
      <c r="L334">
        <f t="shared" si="73"/>
        <v>0.09</v>
      </c>
      <c r="M334" s="4">
        <f t="shared" si="70"/>
        <v>12.61664</v>
      </c>
      <c r="N334" s="4">
        <f t="shared" si="71"/>
        <v>28.387439999999998</v>
      </c>
    </row>
    <row r="335" spans="1:14">
      <c r="A335" t="str">
        <f t="shared" si="74"/>
        <v>BR_IMC_DSY_LANCH_ND_NC_2019Q1FEB_RNG_Outlet</v>
      </c>
      <c r="B335" t="str">
        <f t="shared" si="75"/>
        <v>Google Brasil</v>
      </c>
      <c r="C335" t="str">
        <f t="shared" si="76"/>
        <v>BR_VW_RNG_google_DIS_PROG_CPA_CAI_SKY_IMC_RON_CXD_outlet-polo-jetta-v3-in-mkt-autos-consideracao_PD_120x600</v>
      </c>
      <c r="D335" t="str">
        <f t="shared" si="77"/>
        <v>242550624</v>
      </c>
      <c r="E335" t="str">
        <f t="shared" si="78"/>
        <v>Standard</v>
      </c>
      <c r="F335" t="str">
        <f t="shared" si="79"/>
        <v>BR_VW_RNG_google_DIS_PROG_CPA_CAI_SKY_IMC_RON_CXD_outlet-polo-jetta-v3-in-mkt-autos-consideracao_PD_120x600</v>
      </c>
      <c r="G335" t="str">
        <f t="shared" si="80"/>
        <v>439136482</v>
      </c>
      <c r="H335" t="str">
        <f t="shared" si="81"/>
        <v>Display</v>
      </c>
      <c r="I335">
        <f t="shared" si="82"/>
        <v>13868</v>
      </c>
      <c r="J335">
        <f t="shared" si="83"/>
        <v>13</v>
      </c>
      <c r="K335" s="4">
        <f t="shared" si="72"/>
        <v>0.04</v>
      </c>
      <c r="L335">
        <f t="shared" si="73"/>
        <v>0.09</v>
      </c>
      <c r="M335" s="4">
        <f t="shared" si="70"/>
        <v>0.55471999999999999</v>
      </c>
      <c r="N335" s="4">
        <f t="shared" si="71"/>
        <v>1.2481199999999999</v>
      </c>
    </row>
    <row r="336" spans="1:14">
      <c r="A336" t="str">
        <f t="shared" si="74"/>
        <v>BR_IMC_DSY_LANCH_ND_NC_2019Q1FEB_RNG_Outlet</v>
      </c>
      <c r="B336" t="str">
        <f t="shared" si="75"/>
        <v>Google Brasil</v>
      </c>
      <c r="C336" t="str">
        <f t="shared" si="76"/>
        <v>BR_VW_RNG_google_DIS_PROG_CPA_CAI_SKY_IMC_RON_CXD_outlet-polo-jetta-v3-in-mkt-autos-consideracao_PD_160x600</v>
      </c>
      <c r="D336" t="str">
        <f t="shared" si="77"/>
        <v>242351413</v>
      </c>
      <c r="E336" t="str">
        <f t="shared" si="78"/>
        <v>Standard</v>
      </c>
      <c r="F336" t="str">
        <f t="shared" si="79"/>
        <v>BR_VW_RNG_google_DIS_PROG_CPA_CAI_SKY_IMC_RON_CXD_outlet-polo-jetta-v3-in-mkt-autos-consideracao_PD_160x600</v>
      </c>
      <c r="G336" t="str">
        <f t="shared" si="80"/>
        <v>439135892</v>
      </c>
      <c r="H336" t="str">
        <f t="shared" si="81"/>
        <v>Display</v>
      </c>
      <c r="I336">
        <f t="shared" si="82"/>
        <v>63670</v>
      </c>
      <c r="J336">
        <f t="shared" si="83"/>
        <v>70</v>
      </c>
      <c r="K336" s="4">
        <f t="shared" si="72"/>
        <v>0.04</v>
      </c>
      <c r="L336">
        <f t="shared" si="73"/>
        <v>0.09</v>
      </c>
      <c r="M336" s="4">
        <f t="shared" si="70"/>
        <v>2.5468000000000002</v>
      </c>
      <c r="N336" s="4">
        <f t="shared" si="71"/>
        <v>5.7303000000000006</v>
      </c>
    </row>
    <row r="337" spans="1:14">
      <c r="A337" t="str">
        <f t="shared" si="74"/>
        <v>BR_IMC_DSY_LANCH_ND_NC_2019Q1FEB_RNG_Outlet</v>
      </c>
      <c r="B337" t="str">
        <f t="shared" si="75"/>
        <v>Google Brasil</v>
      </c>
      <c r="C337" t="str">
        <f t="shared" si="76"/>
        <v>BR_VW_RNG_google_DIS_PROG_CPA_CAI_SKY_IMC_RON_CXD_outlet-polo-jetta-v3-in-mkt-autos-consideracao_PD_300x600</v>
      </c>
      <c r="D337" t="str">
        <f t="shared" si="77"/>
        <v>242245736</v>
      </c>
      <c r="E337" t="str">
        <f t="shared" si="78"/>
        <v>Standard</v>
      </c>
      <c r="F337" t="str">
        <f t="shared" si="79"/>
        <v>BR_VW_RNG_google_DIS_PROG_CPA_CAI_SKY_IMC_RON_CXD_outlet-polo-jetta-v3-in-mkt-autos-consideracao_PD_300x600</v>
      </c>
      <c r="G337" t="str">
        <f t="shared" si="80"/>
        <v>439136477</v>
      </c>
      <c r="H337" t="str">
        <f t="shared" si="81"/>
        <v>Display</v>
      </c>
      <c r="I337">
        <f t="shared" si="82"/>
        <v>2696341</v>
      </c>
      <c r="J337">
        <f t="shared" si="83"/>
        <v>122375</v>
      </c>
      <c r="K337" s="4">
        <f t="shared" si="72"/>
        <v>0.04</v>
      </c>
      <c r="L337">
        <f t="shared" si="73"/>
        <v>0.09</v>
      </c>
      <c r="M337" s="4">
        <f t="shared" si="70"/>
        <v>107.85364</v>
      </c>
      <c r="N337" s="4">
        <f t="shared" si="71"/>
        <v>242.67069000000001</v>
      </c>
    </row>
    <row r="338" spans="1:14">
      <c r="A338" t="str">
        <f t="shared" si="74"/>
        <v>BR_IMC_DSY_LANCH_ND_NC_2019Q1FEB_RNG_Outlet</v>
      </c>
      <c r="B338" t="str">
        <f t="shared" si="75"/>
        <v>instagram.com</v>
      </c>
      <c r="C338" t="str">
        <f t="shared" si="76"/>
        <v>BR_VW_RNG_instagram_SOC_DRCT_CPA_CAI_SRB_IMC_RON_CXD_outlet-cinza-remarketing_PD_1080x920</v>
      </c>
      <c r="D338" t="str">
        <f t="shared" si="77"/>
        <v>242796668</v>
      </c>
      <c r="E338" t="str">
        <f t="shared" si="78"/>
        <v>Dynamic Click</v>
      </c>
      <c r="F338" t="str">
        <f t="shared" si="79"/>
        <v>BR_VW_RNG_instagram_SOC_DRCT_CPA_CAI_SRB_IMC_RON_CXD_outlet-cinza-remarketing_PD_1080x920</v>
      </c>
      <c r="G338" t="str">
        <f t="shared" si="80"/>
        <v>439653190</v>
      </c>
      <c r="H338" t="str">
        <f t="shared" si="81"/>
        <v>Tracking</v>
      </c>
      <c r="I338">
        <f t="shared" si="82"/>
        <v>0</v>
      </c>
      <c r="J338">
        <f t="shared" si="83"/>
        <v>4769</v>
      </c>
      <c r="K338" s="4">
        <f t="shared" si="72"/>
        <v>3.5000000000000001E-3</v>
      </c>
      <c r="L338">
        <f t="shared" si="73"/>
        <v>0.02</v>
      </c>
      <c r="M338" s="4">
        <f t="shared" si="70"/>
        <v>16.691500000000001</v>
      </c>
      <c r="N338" s="4">
        <f t="shared" si="71"/>
        <v>95.38</v>
      </c>
    </row>
    <row r="339" spans="1:14">
      <c r="A339" t="str">
        <f t="shared" si="74"/>
        <v>BR_IMC_DSY_LANCH_ND_NC_2019Q1FEB_RNG_Outlet</v>
      </c>
      <c r="B339" t="str">
        <f t="shared" si="75"/>
        <v>instagram.com</v>
      </c>
      <c r="C339" t="str">
        <f t="shared" si="76"/>
        <v>BR_VW_RNG_instagram_SOC_DRCT_CPA_CAI_SRB_IMC_RON_CXD_outlet-stories-in-mkt-autos-consideracao_PD_1080x920</v>
      </c>
      <c r="D339" t="str">
        <f t="shared" si="77"/>
        <v>242062820</v>
      </c>
      <c r="E339" t="str">
        <f t="shared" si="78"/>
        <v>Dynamic Click</v>
      </c>
      <c r="F339" t="str">
        <f t="shared" si="79"/>
        <v>BR_VW_RNG_instagram_SOC_DRCT_CPA_CAI_SRB_IMC_RON_CXD_outlet-stories-in-mkt-autos-consideracao_PD_1080x920</v>
      </c>
      <c r="G339" t="str">
        <f t="shared" si="80"/>
        <v>438971435</v>
      </c>
      <c r="H339" t="str">
        <f t="shared" si="81"/>
        <v>Tracking</v>
      </c>
      <c r="I339">
        <f t="shared" si="82"/>
        <v>0</v>
      </c>
      <c r="J339">
        <f t="shared" si="83"/>
        <v>16451</v>
      </c>
      <c r="K339" s="4">
        <f t="shared" si="72"/>
        <v>3.5000000000000001E-3</v>
      </c>
      <c r="L339">
        <f t="shared" si="73"/>
        <v>0.02</v>
      </c>
      <c r="M339" s="4">
        <f t="shared" si="70"/>
        <v>57.578499999999998</v>
      </c>
      <c r="N339" s="4">
        <f t="shared" si="71"/>
        <v>329.02</v>
      </c>
    </row>
    <row r="340" spans="1:14">
      <c r="A340" t="str">
        <f t="shared" si="74"/>
        <v>BR_IMC_DSY_LANCH_ND_NC_2019Q1FEB_RNG_Outlet</v>
      </c>
      <c r="B340" t="str">
        <f t="shared" si="75"/>
        <v>teads.tv</v>
      </c>
      <c r="C340" t="str">
        <f t="shared" si="76"/>
        <v>BR_VW_RNG_teads_DIS_DRCT_CPA_CAI_LDR_IMC_RON_MOB_Outlet-Carousel-1-visita-Lookalike-consideracao_PD_carrossel-landscape</v>
      </c>
      <c r="D340" t="str">
        <f t="shared" si="77"/>
        <v>242426360</v>
      </c>
      <c r="E340" t="str">
        <f t="shared" si="78"/>
        <v>Standard</v>
      </c>
      <c r="F340" t="str">
        <f t="shared" si="79"/>
        <v>BR_VW_RNG_teads_DIS_DRCT_CPA_CAI_LDR_IMC_RON_MOB_Outlet-Carousel-1-visita-Lookalike-consideracao_PD_carrossel-landscape</v>
      </c>
      <c r="G340" t="str">
        <f t="shared" si="80"/>
        <v>439155789</v>
      </c>
      <c r="H340" t="str">
        <f t="shared" si="81"/>
        <v>Tracking</v>
      </c>
      <c r="I340">
        <f t="shared" si="82"/>
        <v>319023</v>
      </c>
      <c r="J340">
        <f t="shared" si="83"/>
        <v>1202</v>
      </c>
      <c r="K340" s="4">
        <f t="shared" si="72"/>
        <v>0.04</v>
      </c>
      <c r="L340">
        <f t="shared" si="73"/>
        <v>0.09</v>
      </c>
      <c r="M340" s="4">
        <f t="shared" si="70"/>
        <v>12.76092</v>
      </c>
      <c r="N340" s="4">
        <f t="shared" si="71"/>
        <v>28.712070000000001</v>
      </c>
    </row>
    <row r="341" spans="1:14">
      <c r="A341" t="str">
        <f t="shared" si="74"/>
        <v>BR_IMC_DSY_LANCH_ND_NC_2019Q1FEB_RNG_Outlet</v>
      </c>
      <c r="B341" t="str">
        <f t="shared" si="75"/>
        <v>teads.tv</v>
      </c>
      <c r="C341" t="str">
        <f t="shared" si="76"/>
        <v>BR_VW_RNG_teads_DIS_DRCT_CPA_CAI_LDR_IMC_RON_MOB_Outlet-Carousel-2-visita-Lookalike-consideracao_PD_carrossel-landscape</v>
      </c>
      <c r="D341" t="str">
        <f t="shared" si="77"/>
        <v>242434664</v>
      </c>
      <c r="E341" t="str">
        <f t="shared" si="78"/>
        <v>Standard</v>
      </c>
      <c r="F341" t="str">
        <f t="shared" si="79"/>
        <v>BR_VW_RNG_teads_DIS_DRCT_CPA_CAI_LDR_IMC_RON_MOB_Outlet-Carousel-2-visita-Lookalike-consideracao_PD_carrossel-landscape</v>
      </c>
      <c r="G341" t="str">
        <f t="shared" si="80"/>
        <v>439158168</v>
      </c>
      <c r="H341" t="str">
        <f t="shared" si="81"/>
        <v>Tracking</v>
      </c>
      <c r="I341">
        <f t="shared" si="82"/>
        <v>1951159</v>
      </c>
      <c r="J341">
        <f t="shared" si="83"/>
        <v>9074</v>
      </c>
      <c r="K341" s="4">
        <f t="shared" si="72"/>
        <v>0.04</v>
      </c>
      <c r="L341">
        <f t="shared" si="73"/>
        <v>0.09</v>
      </c>
      <c r="M341" s="4">
        <f t="shared" si="70"/>
        <v>78.046360000000007</v>
      </c>
      <c r="N341" s="4">
        <f t="shared" si="71"/>
        <v>175.60431</v>
      </c>
    </row>
    <row r="342" spans="1:14">
      <c r="A342" t="str">
        <f t="shared" si="74"/>
        <v>BR_IMC_DSY_LANCH_ND_NC_2019Q1FEB_RNG_Outlet</v>
      </c>
      <c r="B342" t="str">
        <f t="shared" si="75"/>
        <v>teads.tv</v>
      </c>
      <c r="C342" t="str">
        <f t="shared" si="76"/>
        <v>BR_VW_RNG_teads_DIS_DRCT_CPA_CAI_LDR_IMC_RON_MOB_Outlet-Carousel-3-visita-Lookalike-consideracao_PD_carrossel-landscape</v>
      </c>
      <c r="D342" t="str">
        <f t="shared" si="77"/>
        <v>242431457</v>
      </c>
      <c r="E342" t="str">
        <f t="shared" si="78"/>
        <v>Standard</v>
      </c>
      <c r="F342" t="str">
        <f t="shared" si="79"/>
        <v>BR_VW_RNG_teads_DIS_DRCT_CPA_CAI_LDR_IMC_RON_MOB_Outlet-Carousel-3-visita-Lookalike-consideracao_PD_carrossel-landscape</v>
      </c>
      <c r="G342" t="str">
        <f t="shared" si="80"/>
        <v>439273424</v>
      </c>
      <c r="H342" t="str">
        <f t="shared" si="81"/>
        <v>Tracking</v>
      </c>
      <c r="I342">
        <f t="shared" si="82"/>
        <v>1988075</v>
      </c>
      <c r="J342">
        <f t="shared" si="83"/>
        <v>8870</v>
      </c>
      <c r="K342" s="4">
        <f t="shared" si="72"/>
        <v>0.04</v>
      </c>
      <c r="L342">
        <f t="shared" si="73"/>
        <v>0.09</v>
      </c>
      <c r="M342" s="4">
        <f t="shared" si="70"/>
        <v>79.522999999999996</v>
      </c>
      <c r="N342" s="4">
        <f t="shared" si="71"/>
        <v>178.92675</v>
      </c>
    </row>
    <row r="343" spans="1:14">
      <c r="A343" t="str">
        <f t="shared" si="74"/>
        <v>BR_IMC_DSY_LANCH_ND_NC_2019Q1FEB_RNG_Outlet</v>
      </c>
      <c r="B343" t="str">
        <f t="shared" si="75"/>
        <v>teads.tv</v>
      </c>
      <c r="C343" t="str">
        <f t="shared" si="76"/>
        <v>BR_VW_RNG_teads_DIS_DRCT_CPA_CAI_LDR_IMC_RON_MOB_Outlet-Scroller-3-Lookalike-consideracao_PD_carrossel-landscape</v>
      </c>
      <c r="D343" t="str">
        <f t="shared" si="77"/>
        <v>242967549</v>
      </c>
      <c r="E343" t="str">
        <f t="shared" si="78"/>
        <v>Standard</v>
      </c>
      <c r="F343" t="str">
        <f t="shared" si="79"/>
        <v>BR_VW_RNG_teads_DIS_DRCT_CPA_CAI_LDR_IMC_RON_MOB_Outlet-Scroller-3-Lookalike-consideracao_PD_carrossel-landscape</v>
      </c>
      <c r="G343" t="str">
        <f t="shared" si="80"/>
        <v>439465024</v>
      </c>
      <c r="H343" t="str">
        <f t="shared" si="81"/>
        <v>Tracking</v>
      </c>
      <c r="I343">
        <f t="shared" si="82"/>
        <v>438982</v>
      </c>
      <c r="J343">
        <f t="shared" si="83"/>
        <v>1902</v>
      </c>
      <c r="K343" s="4">
        <f t="shared" si="72"/>
        <v>0.04</v>
      </c>
      <c r="L343">
        <f t="shared" si="73"/>
        <v>0.09</v>
      </c>
      <c r="M343" s="4">
        <f t="shared" si="70"/>
        <v>17.559279999999998</v>
      </c>
      <c r="N343" s="4">
        <f t="shared" si="71"/>
        <v>39.508379999999995</v>
      </c>
    </row>
    <row r="344" spans="1:14">
      <c r="A344" t="str">
        <f t="shared" si="74"/>
        <v>BR_IMC_DSY_LANCH_ND_NC_2019Q1FEB_RNG_Outlet</v>
      </c>
      <c r="B344" t="str">
        <f t="shared" si="75"/>
        <v>teads.tv</v>
      </c>
      <c r="C344" t="str">
        <f t="shared" si="76"/>
        <v>BR_VW_RNG_teads_DIS_DRCT_CPA_CAI_SRB_IMC_RON_MOB_Outlet-Scroller-1-visita-Lookalike-consideracao_PD_scroller-landscape-</v>
      </c>
      <c r="D344" t="str">
        <f t="shared" si="77"/>
        <v>242637407</v>
      </c>
      <c r="E344" t="str">
        <f t="shared" si="78"/>
        <v>Standard</v>
      </c>
      <c r="F344" t="str">
        <f t="shared" si="79"/>
        <v>BR_VW_RNG_teads_DIS_DRCT_CPA_CAI_SRB_IMC_RON_MOB_Outlet-Scroller-1-visita-Lookalike-consideracao_PD_scroller-landscape-</v>
      </c>
      <c r="G344" t="str">
        <f t="shared" si="80"/>
        <v>439458380</v>
      </c>
      <c r="H344" t="str">
        <f t="shared" si="81"/>
        <v>Tracking</v>
      </c>
      <c r="I344">
        <f t="shared" si="82"/>
        <v>594702</v>
      </c>
      <c r="J344">
        <f t="shared" si="83"/>
        <v>2696</v>
      </c>
      <c r="K344" s="4">
        <f t="shared" si="72"/>
        <v>0.04</v>
      </c>
      <c r="L344">
        <f t="shared" si="73"/>
        <v>0.09</v>
      </c>
      <c r="M344" s="4">
        <f t="shared" si="70"/>
        <v>23.788080000000001</v>
      </c>
      <c r="N344" s="4">
        <f t="shared" si="71"/>
        <v>53.523180000000004</v>
      </c>
    </row>
    <row r="345" spans="1:14">
      <c r="A345" t="str">
        <f t="shared" si="74"/>
        <v>BR_IMC_DSY_LANCH_ND_NC_2019Q1FEB_RNG_Outlet</v>
      </c>
      <c r="B345" t="str">
        <f t="shared" si="75"/>
        <v>teads.tv</v>
      </c>
      <c r="C345" t="str">
        <f t="shared" si="76"/>
        <v>BR_VW_RNG_teads_DIS_DRCT_CPA_CAI_SRB_IMC_RON_MOB_Outlet-Scroller-2-visita-Lookalike-consideracao_PD_scroller-landscape-</v>
      </c>
      <c r="D345" t="str">
        <f t="shared" si="77"/>
        <v>242953134</v>
      </c>
      <c r="E345" t="str">
        <f t="shared" si="78"/>
        <v>Standard</v>
      </c>
      <c r="F345" t="str">
        <f t="shared" si="79"/>
        <v>BR_VW_RNG_teads_DIS_DRCT_CPA_CAI_SRB_IMC_RON_MOB_Outlet-Scroller-2-visita-Lookalike-consideracao_PD_scroller-landscape-</v>
      </c>
      <c r="G345" t="str">
        <f t="shared" si="80"/>
        <v>439458383</v>
      </c>
      <c r="H345" t="str">
        <f t="shared" si="81"/>
        <v>Tracking</v>
      </c>
      <c r="I345">
        <f t="shared" si="82"/>
        <v>1037172</v>
      </c>
      <c r="J345">
        <f t="shared" si="83"/>
        <v>4511</v>
      </c>
      <c r="K345" s="4">
        <f t="shared" si="72"/>
        <v>0.04</v>
      </c>
      <c r="L345">
        <f t="shared" si="73"/>
        <v>0.09</v>
      </c>
      <c r="M345" s="4">
        <f t="shared" si="70"/>
        <v>41.486879999999999</v>
      </c>
      <c r="N345" s="4">
        <f t="shared" si="71"/>
        <v>93.345479999999995</v>
      </c>
    </row>
    <row r="346" spans="1:14">
      <c r="A346" t="str">
        <f t="shared" si="74"/>
        <v>BR_IMC_DSY_LANCH_ND_NC_2019Q1MAR_RNG_varejoregionalmarco</v>
      </c>
      <c r="B346" t="str">
        <f t="shared" si="75"/>
        <v>Facebook</v>
      </c>
      <c r="C346" t="str">
        <f t="shared" si="76"/>
        <v>BR_VW_RNG_facebook_MOB_DRCT_CPM_CAI_SRB_IMC_RON_MOB_Reg4-rio1-geolocalizado_PD_1200x627</v>
      </c>
      <c r="D346" t="str">
        <f t="shared" si="77"/>
        <v>242295302</v>
      </c>
      <c r="E346" t="str">
        <f t="shared" si="78"/>
        <v>Dynamic Click</v>
      </c>
      <c r="F346" t="str">
        <f t="shared" si="79"/>
        <v>BR_VW_RNG_facebook_MOB_DRCT_CPM_CAI_SRB_IMC_RON_MOB_Reg4-rio1-geolocalizado_PD_1200x627</v>
      </c>
      <c r="G346" t="str">
        <f t="shared" si="80"/>
        <v>439071825</v>
      </c>
      <c r="H346" t="str">
        <f t="shared" si="81"/>
        <v>Tracking</v>
      </c>
      <c r="I346">
        <f t="shared" si="82"/>
        <v>0</v>
      </c>
      <c r="J346">
        <f t="shared" si="83"/>
        <v>2087</v>
      </c>
      <c r="K346" s="4">
        <f t="shared" si="72"/>
        <v>3.5000000000000001E-3</v>
      </c>
      <c r="L346">
        <f t="shared" si="73"/>
        <v>0.02</v>
      </c>
      <c r="M346" s="4">
        <f t="shared" si="70"/>
        <v>7.3045</v>
      </c>
      <c r="N346" s="4">
        <f t="shared" si="71"/>
        <v>41.74</v>
      </c>
    </row>
    <row r="347" spans="1:14">
      <c r="A347" t="str">
        <f t="shared" si="74"/>
        <v>BR_IMC_DSY_LANCH_ND_NC_2019Q1MAR_RNG_varejoregionalmarco</v>
      </c>
      <c r="B347" t="str">
        <f t="shared" si="75"/>
        <v>Facebook</v>
      </c>
      <c r="C347" t="str">
        <f t="shared" si="76"/>
        <v>BR_VW_RNG_facebook_MOB_DRCT_CPM_CAI_SRB_IMC_RON_MOB_Reg4-rio2-geolocalizado_PD_1200x627</v>
      </c>
      <c r="D347" t="str">
        <f t="shared" si="77"/>
        <v>242392225</v>
      </c>
      <c r="E347" t="str">
        <f t="shared" si="78"/>
        <v>Dynamic Click</v>
      </c>
      <c r="F347" t="str">
        <f t="shared" si="79"/>
        <v>BR_VW_RNG_facebook_MOB_DRCT_CPM_CAI_SRB_IMC_RON_MOB_Reg4-rio2-geolocalizado_PD_1200x627</v>
      </c>
      <c r="G347" t="str">
        <f t="shared" si="80"/>
        <v>439162528</v>
      </c>
      <c r="H347" t="str">
        <f t="shared" si="81"/>
        <v>Tracking</v>
      </c>
      <c r="I347">
        <f t="shared" si="82"/>
        <v>0</v>
      </c>
      <c r="J347">
        <f t="shared" si="83"/>
        <v>1608</v>
      </c>
      <c r="K347" s="4">
        <f t="shared" si="72"/>
        <v>3.5000000000000001E-3</v>
      </c>
      <c r="L347">
        <f t="shared" si="73"/>
        <v>0.02</v>
      </c>
      <c r="M347" s="4">
        <f t="shared" si="70"/>
        <v>5.6280000000000001</v>
      </c>
      <c r="N347" s="4">
        <f t="shared" si="71"/>
        <v>32.160000000000004</v>
      </c>
    </row>
    <row r="348" spans="1:14">
      <c r="A348" t="str">
        <f t="shared" si="74"/>
        <v>BR_IMC_DSY_LANCH_ND_NC_2019Q1MAR_RNG_varejoregionalmarco</v>
      </c>
      <c r="B348" t="str">
        <f t="shared" si="75"/>
        <v>Facebook</v>
      </c>
      <c r="C348" t="str">
        <f t="shared" si="76"/>
        <v>BR_VW_RNG_facebook_MOB_DRCT_CPM_CAI_SRB_IMC_RON_MOB_Reg4-vit-1-geolocalizado_PD_1200x627</v>
      </c>
      <c r="D348" t="str">
        <f t="shared" si="77"/>
        <v>242277170</v>
      </c>
      <c r="E348" t="str">
        <f t="shared" si="78"/>
        <v>Dynamic Click</v>
      </c>
      <c r="F348" t="str">
        <f t="shared" si="79"/>
        <v>BR_VW_RNG_facebook_MOB_DRCT_CPM_CAI_SRB_IMC_RON_MOB_Reg4-vit-1-geolocalizado_PD_1200x627</v>
      </c>
      <c r="G348" t="str">
        <f t="shared" si="80"/>
        <v>439173809</v>
      </c>
      <c r="H348" t="str">
        <f t="shared" si="81"/>
        <v>Tracking</v>
      </c>
      <c r="I348">
        <f t="shared" si="82"/>
        <v>0</v>
      </c>
      <c r="J348">
        <f t="shared" si="83"/>
        <v>2250</v>
      </c>
      <c r="K348" s="4">
        <f t="shared" si="72"/>
        <v>3.5000000000000001E-3</v>
      </c>
      <c r="L348">
        <f t="shared" si="73"/>
        <v>0.02</v>
      </c>
      <c r="M348" s="4">
        <f t="shared" si="70"/>
        <v>7.875</v>
      </c>
      <c r="N348" s="4">
        <f t="shared" si="71"/>
        <v>45</v>
      </c>
    </row>
    <row r="349" spans="1:14">
      <c r="A349" t="str">
        <f t="shared" si="74"/>
        <v>BR_IMC_DSY_LANCH_ND_NC_2019Q1MAR_RNG_varejoregionalmarco</v>
      </c>
      <c r="B349" t="str">
        <f t="shared" si="75"/>
        <v>Facebook</v>
      </c>
      <c r="C349" t="str">
        <f t="shared" si="76"/>
        <v>BR_VW_RNG_facebook_MOB_DRCT_CPM_CAI_SRB_IMC_RON_MOB_Reg4-vit-2-geolocalizado_PD_1200x627</v>
      </c>
      <c r="D349" t="str">
        <f t="shared" si="77"/>
        <v>242392234</v>
      </c>
      <c r="E349" t="str">
        <f t="shared" si="78"/>
        <v>Dynamic Click</v>
      </c>
      <c r="F349" t="str">
        <f t="shared" si="79"/>
        <v>BR_VW_RNG_facebook_MOB_DRCT_CPM_CAI_SRB_IMC_RON_MOB_Reg4-vit-2-geolocalizado_PD_1200x627</v>
      </c>
      <c r="G349" t="str">
        <f t="shared" si="80"/>
        <v>439071831</v>
      </c>
      <c r="H349" t="str">
        <f t="shared" si="81"/>
        <v>Tracking</v>
      </c>
      <c r="I349">
        <f t="shared" si="82"/>
        <v>0</v>
      </c>
      <c r="J349">
        <f t="shared" si="83"/>
        <v>1730</v>
      </c>
      <c r="K349" s="4">
        <f t="shared" si="72"/>
        <v>3.5000000000000001E-3</v>
      </c>
      <c r="L349">
        <f t="shared" si="73"/>
        <v>0.02</v>
      </c>
      <c r="M349" s="4">
        <f t="shared" si="70"/>
        <v>6.0549999999999997</v>
      </c>
      <c r="N349" s="4">
        <f t="shared" si="71"/>
        <v>34.6</v>
      </c>
    </row>
    <row r="350" spans="1:14">
      <c r="A350" t="str">
        <f t="shared" si="74"/>
        <v>BR_IMC_DSY_LANCH_ND_NC_2019Q1MAR_RNG_varejoregionalmarco</v>
      </c>
      <c r="B350" t="str">
        <f t="shared" si="75"/>
        <v>In Loco Media</v>
      </c>
      <c r="C350" t="str">
        <f t="shared" si="76"/>
        <v>BR_VW_RNG_inloco_MOB_DRCT_CPV_CAI_LDR_IMC_RON_MOB_reg5-Tiguan-geolocalizado_PD_1440x960</v>
      </c>
      <c r="D350" t="str">
        <f t="shared" si="77"/>
        <v>242107364</v>
      </c>
      <c r="E350" t="str">
        <f t="shared" si="78"/>
        <v>Standard</v>
      </c>
      <c r="F350" t="str">
        <f t="shared" si="79"/>
        <v>BR_VW_RNG_inloco_MOB_DRCT_CPV_CAI_LDR_IMC_RON_MOB_reg5-Tiguan-geolocalizado_PD_1440x960</v>
      </c>
      <c r="G350" t="str">
        <f t="shared" si="80"/>
        <v>439034120</v>
      </c>
      <c r="H350" t="str">
        <f t="shared" si="81"/>
        <v>Tracking</v>
      </c>
      <c r="I350">
        <f t="shared" si="82"/>
        <v>3800</v>
      </c>
      <c r="J350">
        <f t="shared" si="83"/>
        <v>50</v>
      </c>
      <c r="K350" s="4">
        <f t="shared" si="72"/>
        <v>0.04</v>
      </c>
      <c r="L350">
        <f t="shared" si="73"/>
        <v>0.09</v>
      </c>
      <c r="M350" s="4">
        <f t="shared" si="70"/>
        <v>0.152</v>
      </c>
      <c r="N350" s="4">
        <f t="shared" si="71"/>
        <v>0.34200000000000003</v>
      </c>
    </row>
    <row r="351" spans="1:14">
      <c r="A351" t="str">
        <f t="shared" si="74"/>
        <v>BR_IMC_DSY_LANCH_ND_NC_2019Q1MAR_RNG_varejoregionalmarco</v>
      </c>
      <c r="B351" t="str">
        <f t="shared" si="75"/>
        <v>In Loco Media</v>
      </c>
      <c r="C351" t="str">
        <f t="shared" si="76"/>
        <v>BR_VW_RNG_inloco_MOB_DRCT_CPV_CAI_LDR_IMC_RON_MOB_reg5-Tiguan-geolocalizado_PD_900x750</v>
      </c>
      <c r="D351" t="str">
        <f t="shared" si="77"/>
        <v>242107358</v>
      </c>
      <c r="E351" t="str">
        <f t="shared" si="78"/>
        <v>Standard</v>
      </c>
      <c r="F351" t="str">
        <f t="shared" si="79"/>
        <v>BR_VW_RNG_inloco_MOB_DRCT_CPV_CAI_LDR_IMC_RON_MOB_reg5-Tiguan-geolocalizado_PD_900x750</v>
      </c>
      <c r="G351" t="str">
        <f t="shared" si="80"/>
        <v>438942126</v>
      </c>
      <c r="H351" t="str">
        <f t="shared" si="81"/>
        <v>Tracking</v>
      </c>
      <c r="I351">
        <f t="shared" si="82"/>
        <v>51286</v>
      </c>
      <c r="J351">
        <f t="shared" si="83"/>
        <v>120</v>
      </c>
      <c r="K351" s="4">
        <f t="shared" si="72"/>
        <v>0.04</v>
      </c>
      <c r="L351">
        <f t="shared" si="73"/>
        <v>0.09</v>
      </c>
      <c r="M351" s="4">
        <f t="shared" si="70"/>
        <v>2.0514399999999999</v>
      </c>
      <c r="N351" s="4">
        <f t="shared" si="71"/>
        <v>4.6157399999999997</v>
      </c>
    </row>
    <row r="352" spans="1:14">
      <c r="A352" t="str">
        <f t="shared" si="74"/>
        <v>BR_IMC_DSY_LANCH_ND_NC_2019Q1MAR_RNG_varejoregionalmarco</v>
      </c>
      <c r="B352" t="str">
        <f t="shared" si="75"/>
        <v>In Loco Media</v>
      </c>
      <c r="C352" t="str">
        <f t="shared" si="76"/>
        <v>BR_VW_RNG_inloco_MOB_DRCT_CPV_CAI_LDR_IMC_RON_MOB_reg5-Tiguan-geolocalizado_PD_960x150</v>
      </c>
      <c r="D352" t="str">
        <f t="shared" si="77"/>
        <v>242425722</v>
      </c>
      <c r="E352" t="str">
        <f t="shared" si="78"/>
        <v>Standard</v>
      </c>
      <c r="F352" t="str">
        <f t="shared" si="79"/>
        <v>BR_VW_RNG_inloco_MOB_DRCT_CPV_CAI_LDR_IMC_RON_MOB_reg5-Tiguan-geolocalizado_PD_960x150</v>
      </c>
      <c r="G352" t="str">
        <f t="shared" si="80"/>
        <v>439034126</v>
      </c>
      <c r="H352" t="str">
        <f t="shared" si="81"/>
        <v>Tracking</v>
      </c>
      <c r="I352">
        <f t="shared" si="82"/>
        <v>48496</v>
      </c>
      <c r="J352">
        <f t="shared" si="83"/>
        <v>122</v>
      </c>
      <c r="K352" s="4">
        <f t="shared" si="72"/>
        <v>0.04</v>
      </c>
      <c r="L352">
        <f t="shared" si="73"/>
        <v>0.09</v>
      </c>
      <c r="M352" s="4">
        <f t="shared" si="70"/>
        <v>1.9398400000000002</v>
      </c>
      <c r="N352" s="4">
        <f t="shared" si="71"/>
        <v>4.3646399999999996</v>
      </c>
    </row>
    <row r="353" spans="1:14">
      <c r="A353" t="str">
        <f t="shared" si="74"/>
        <v>BR_IMC_DSY_LANCH_ND_NC_2019Q1MAR_RNG_varejoregionalmarco</v>
      </c>
      <c r="B353" t="str">
        <f t="shared" si="75"/>
        <v>In Loco Media</v>
      </c>
      <c r="C353" t="str">
        <f t="shared" si="76"/>
        <v>BR_VW_RNG_inloco_MOB_DRCT_CPV_CAI_LDR_IMC_RON_MOB_reg5-jetta-outlet-geolocalizado_PD_1440x960</v>
      </c>
      <c r="D353" t="str">
        <f t="shared" si="77"/>
        <v>242107313</v>
      </c>
      <c r="E353" t="str">
        <f t="shared" si="78"/>
        <v>Standard</v>
      </c>
      <c r="F353" t="str">
        <f t="shared" si="79"/>
        <v>BR_VW_RNG_inloco_MOB_DRCT_CPV_CAI_LDR_IMC_RON_MOB_reg5-jetta-outlet-geolocalizado_PD_1440x960</v>
      </c>
      <c r="G353" t="str">
        <f t="shared" si="80"/>
        <v>438942081</v>
      </c>
      <c r="H353" t="str">
        <f t="shared" si="81"/>
        <v>Tracking</v>
      </c>
      <c r="I353">
        <f t="shared" si="82"/>
        <v>3962</v>
      </c>
      <c r="J353">
        <f t="shared" si="83"/>
        <v>61</v>
      </c>
      <c r="K353" s="4">
        <f t="shared" si="72"/>
        <v>0.04</v>
      </c>
      <c r="L353">
        <f t="shared" si="73"/>
        <v>0.09</v>
      </c>
      <c r="M353" s="4">
        <f t="shared" si="70"/>
        <v>0.15847999999999998</v>
      </c>
      <c r="N353" s="4">
        <f t="shared" si="71"/>
        <v>0.35658000000000001</v>
      </c>
    </row>
    <row r="354" spans="1:14">
      <c r="A354" t="str">
        <f t="shared" si="74"/>
        <v>BR_IMC_DSY_LANCH_ND_NC_2019Q1MAR_RNG_varejoregionalmarco</v>
      </c>
      <c r="B354" t="str">
        <f t="shared" si="75"/>
        <v>In Loco Media</v>
      </c>
      <c r="C354" t="str">
        <f t="shared" si="76"/>
        <v>BR_VW_RNG_inloco_MOB_DRCT_CPV_CAI_LDR_IMC_RON_MOB_reg5-jetta-outlet-geolocalizado_PD_900x750</v>
      </c>
      <c r="D354" t="str">
        <f t="shared" si="77"/>
        <v>242425731</v>
      </c>
      <c r="E354" t="str">
        <f t="shared" si="78"/>
        <v>Standard</v>
      </c>
      <c r="F354" t="str">
        <f t="shared" si="79"/>
        <v>BR_VW_RNG_inloco_MOB_DRCT_CPV_CAI_LDR_IMC_RON_MOB_reg5-jetta-outlet-geolocalizado_PD_900x750</v>
      </c>
      <c r="G354" t="str">
        <f t="shared" si="80"/>
        <v>439034135</v>
      </c>
      <c r="H354" t="str">
        <f t="shared" si="81"/>
        <v>Tracking</v>
      </c>
      <c r="I354">
        <f t="shared" si="82"/>
        <v>51121</v>
      </c>
      <c r="J354">
        <f t="shared" si="83"/>
        <v>136</v>
      </c>
      <c r="K354" s="4">
        <f t="shared" si="72"/>
        <v>0.04</v>
      </c>
      <c r="L354">
        <f t="shared" si="73"/>
        <v>0.09</v>
      </c>
      <c r="M354" s="4">
        <f t="shared" si="70"/>
        <v>2.0448400000000002</v>
      </c>
      <c r="N354" s="4">
        <f t="shared" si="71"/>
        <v>4.6008899999999997</v>
      </c>
    </row>
    <row r="355" spans="1:14">
      <c r="A355" t="str">
        <f t="shared" si="74"/>
        <v>BR_IMC_DSY_LANCH_ND_NC_2019Q1MAR_RNG_varejoregionalmarco</v>
      </c>
      <c r="B355" t="str">
        <f t="shared" si="75"/>
        <v>In Loco Media</v>
      </c>
      <c r="C355" t="str">
        <f t="shared" si="76"/>
        <v>BR_VW_RNG_inloco_MOB_DRCT_CPV_CAI_LDR_IMC_RON_MOB_reg5-jetta-outlet-geolocalizado_PD_960x150</v>
      </c>
      <c r="D355" t="str">
        <f t="shared" si="77"/>
        <v>242107316</v>
      </c>
      <c r="E355" t="str">
        <f t="shared" si="78"/>
        <v>Standard</v>
      </c>
      <c r="F355" t="str">
        <f t="shared" si="79"/>
        <v>BR_VW_RNG_inloco_MOB_DRCT_CPV_CAI_LDR_IMC_RON_MOB_reg5-jetta-outlet-geolocalizado_PD_960x150</v>
      </c>
      <c r="G355" t="str">
        <f t="shared" si="80"/>
        <v>438942084</v>
      </c>
      <c r="H355" t="str">
        <f t="shared" si="81"/>
        <v>Tracking</v>
      </c>
      <c r="I355">
        <f t="shared" si="82"/>
        <v>48427</v>
      </c>
      <c r="J355">
        <f t="shared" si="83"/>
        <v>99</v>
      </c>
      <c r="K355" s="4">
        <f t="shared" si="72"/>
        <v>0.04</v>
      </c>
      <c r="L355">
        <f t="shared" si="73"/>
        <v>0.09</v>
      </c>
      <c r="M355" s="4">
        <f t="shared" ref="M355:M417" si="84">IF(E355="Dynamic Click",J355*K355,K355*$I355/1000)</f>
        <v>1.9370799999999999</v>
      </c>
      <c r="N355" s="4">
        <f t="shared" ref="N355:N417" si="85">IF(E355="Dynamic Click",J355*L355,L355*$I355/1000)</f>
        <v>4.3584300000000002</v>
      </c>
    </row>
    <row r="356" spans="1:14">
      <c r="A356" t="str">
        <f t="shared" si="74"/>
        <v>BR_IMC_DSY_LANCH_ND_NC_2019Q1MAR_RNG_varejoregionalmarco</v>
      </c>
      <c r="B356" t="str">
        <f t="shared" si="75"/>
        <v>In Loco Media</v>
      </c>
      <c r="C356" t="str">
        <f t="shared" si="76"/>
        <v>BR_VW_RNG_inloco_MOB_DRCT_CPV_CAI_LDR_IMC_RON_MOB_reg5-jetta-preto-geolocalizado_PD_1440x960</v>
      </c>
      <c r="D356" t="str">
        <f t="shared" si="77"/>
        <v>242107331</v>
      </c>
      <c r="E356" t="str">
        <f t="shared" si="78"/>
        <v>Standard</v>
      </c>
      <c r="F356" t="str">
        <f t="shared" si="79"/>
        <v>BR_VW_RNG_inloco_MOB_DRCT_CPV_CAI_LDR_IMC_RON_MOB_reg5-jetta-preto-geolocalizado_PD_1440x960</v>
      </c>
      <c r="G356" t="str">
        <f t="shared" si="80"/>
        <v>438942099</v>
      </c>
      <c r="H356" t="str">
        <f t="shared" si="81"/>
        <v>Tracking</v>
      </c>
      <c r="I356">
        <f t="shared" si="82"/>
        <v>3913</v>
      </c>
      <c r="J356">
        <f t="shared" si="83"/>
        <v>42</v>
      </c>
      <c r="K356" s="4">
        <f t="shared" si="72"/>
        <v>0.04</v>
      </c>
      <c r="L356">
        <f t="shared" si="73"/>
        <v>0.09</v>
      </c>
      <c r="M356" s="4">
        <f t="shared" si="84"/>
        <v>0.15652000000000002</v>
      </c>
      <c r="N356" s="4">
        <f t="shared" si="85"/>
        <v>0.35216999999999998</v>
      </c>
    </row>
    <row r="357" spans="1:14">
      <c r="A357" t="str">
        <f t="shared" si="74"/>
        <v>BR_IMC_DSY_LANCH_ND_NC_2019Q1MAR_RNG_varejoregionalmarco</v>
      </c>
      <c r="B357" t="str">
        <f t="shared" si="75"/>
        <v>In Loco Media</v>
      </c>
      <c r="C357" t="str">
        <f t="shared" si="76"/>
        <v>BR_VW_RNG_inloco_MOB_DRCT_CPV_CAI_LDR_IMC_RON_MOB_reg5-jetta-preto-geolocalizado_PD_900x750</v>
      </c>
      <c r="D357" t="str">
        <f t="shared" si="77"/>
        <v>242107328</v>
      </c>
      <c r="E357" t="str">
        <f t="shared" si="78"/>
        <v>Standard</v>
      </c>
      <c r="F357" t="str">
        <f t="shared" si="79"/>
        <v>BR_VW_RNG_inloco_MOB_DRCT_CPV_CAI_LDR_IMC_RON_MOB_reg5-jetta-preto-geolocalizado_PD_900x750</v>
      </c>
      <c r="G357" t="str">
        <f t="shared" si="80"/>
        <v>438942096</v>
      </c>
      <c r="H357" t="str">
        <f t="shared" si="81"/>
        <v>Tracking</v>
      </c>
      <c r="I357">
        <f t="shared" si="82"/>
        <v>51813</v>
      </c>
      <c r="J357">
        <f t="shared" si="83"/>
        <v>125</v>
      </c>
      <c r="K357" s="4">
        <f t="shared" si="72"/>
        <v>0.04</v>
      </c>
      <c r="L357">
        <f t="shared" si="73"/>
        <v>0.09</v>
      </c>
      <c r="M357" s="4">
        <f t="shared" si="84"/>
        <v>2.0725199999999999</v>
      </c>
      <c r="N357" s="4">
        <f t="shared" si="85"/>
        <v>4.66317</v>
      </c>
    </row>
    <row r="358" spans="1:14">
      <c r="A358" t="str">
        <f t="shared" si="74"/>
        <v>BR_IMC_DSY_LANCH_ND_NC_2019Q1MAR_RNG_varejoregionalmarco</v>
      </c>
      <c r="B358" t="str">
        <f t="shared" si="75"/>
        <v>In Loco Media</v>
      </c>
      <c r="C358" t="str">
        <f t="shared" si="76"/>
        <v>BR_VW_RNG_inloco_MOB_DRCT_CPV_CAI_LDR_IMC_RON_MOB_reg5-jetta-preto-geolocalizado_PD_960x150</v>
      </c>
      <c r="D358" t="str">
        <f t="shared" si="77"/>
        <v>242107334</v>
      </c>
      <c r="E358" t="str">
        <f t="shared" si="78"/>
        <v>Standard</v>
      </c>
      <c r="F358" t="str">
        <f t="shared" si="79"/>
        <v>BR_VW_RNG_inloco_MOB_DRCT_CPV_CAI_LDR_IMC_RON_MOB_reg5-jetta-preto-geolocalizado_PD_960x150</v>
      </c>
      <c r="G358" t="str">
        <f t="shared" si="80"/>
        <v>438942102</v>
      </c>
      <c r="H358" t="str">
        <f t="shared" si="81"/>
        <v>Tracking</v>
      </c>
      <c r="I358">
        <f t="shared" si="82"/>
        <v>49051</v>
      </c>
      <c r="J358">
        <f t="shared" si="83"/>
        <v>127</v>
      </c>
      <c r="K358" s="4">
        <f t="shared" si="72"/>
        <v>0.04</v>
      </c>
      <c r="L358">
        <f t="shared" si="73"/>
        <v>0.09</v>
      </c>
      <c r="M358" s="4">
        <f t="shared" si="84"/>
        <v>1.96204</v>
      </c>
      <c r="N358" s="4">
        <f t="shared" si="85"/>
        <v>4.4145900000000005</v>
      </c>
    </row>
    <row r="359" spans="1:14">
      <c r="A359" t="str">
        <f t="shared" si="74"/>
        <v>BR_IMC_DSY_LANCH_ND_NC_2019Q1MAR_RNG_varejoregionalmarco</v>
      </c>
      <c r="B359" t="str">
        <f t="shared" si="75"/>
        <v>In Loco Media</v>
      </c>
      <c r="C359" t="str">
        <f t="shared" si="76"/>
        <v>BR_VW_RNG_inloco_MOB_DRCT_CPV_CAI_LDR_IMC_RON_MOB_reg5-polo-geolocalizado_PD_1440x960</v>
      </c>
      <c r="D359" t="str">
        <f t="shared" si="77"/>
        <v>242107349</v>
      </c>
      <c r="E359" t="str">
        <f t="shared" si="78"/>
        <v>Standard</v>
      </c>
      <c r="F359" t="str">
        <f t="shared" si="79"/>
        <v>BR_VW_RNG_inloco_MOB_DRCT_CPV_CAI_LDR_IMC_RON_MOB_reg5-polo-geolocalizado_PD_1440x960</v>
      </c>
      <c r="G359" t="str">
        <f t="shared" si="80"/>
        <v>438942117</v>
      </c>
      <c r="H359" t="str">
        <f t="shared" si="81"/>
        <v>Tracking</v>
      </c>
      <c r="I359">
        <f t="shared" si="82"/>
        <v>4090</v>
      </c>
      <c r="J359">
        <f t="shared" si="83"/>
        <v>55</v>
      </c>
      <c r="K359" s="4">
        <f t="shared" si="72"/>
        <v>0.04</v>
      </c>
      <c r="L359">
        <f t="shared" si="73"/>
        <v>0.09</v>
      </c>
      <c r="M359" s="4">
        <f t="shared" si="84"/>
        <v>0.1636</v>
      </c>
      <c r="N359" s="4">
        <f t="shared" si="85"/>
        <v>0.36809999999999998</v>
      </c>
    </row>
    <row r="360" spans="1:14">
      <c r="A360" t="str">
        <f t="shared" si="74"/>
        <v>BR_IMC_DSY_LANCH_ND_NC_2019Q1MAR_RNG_varejoregionalmarco</v>
      </c>
      <c r="B360" t="str">
        <f t="shared" si="75"/>
        <v>In Loco Media</v>
      </c>
      <c r="C360" t="str">
        <f t="shared" si="76"/>
        <v>BR_VW_RNG_inloco_MOB_DRCT_CPV_CAI_LDR_IMC_RON_MOB_reg5-polo-geolocalizado_PD_900x750</v>
      </c>
      <c r="D360" t="str">
        <f t="shared" si="77"/>
        <v>242107343</v>
      </c>
      <c r="E360" t="str">
        <f t="shared" si="78"/>
        <v>Standard</v>
      </c>
      <c r="F360" t="str">
        <f t="shared" si="79"/>
        <v>BR_VW_RNG_inloco_MOB_DRCT_CPV_CAI_LDR_IMC_RON_MOB_reg5-polo-geolocalizado_PD_900x750</v>
      </c>
      <c r="G360" t="str">
        <f t="shared" si="80"/>
        <v>438942111</v>
      </c>
      <c r="H360" t="str">
        <f t="shared" si="81"/>
        <v>Tracking</v>
      </c>
      <c r="I360">
        <f t="shared" si="82"/>
        <v>51545</v>
      </c>
      <c r="J360">
        <f t="shared" si="83"/>
        <v>144</v>
      </c>
      <c r="K360" s="4">
        <f t="shared" si="72"/>
        <v>0.04</v>
      </c>
      <c r="L360">
        <f t="shared" si="73"/>
        <v>0.09</v>
      </c>
      <c r="M360" s="4">
        <f t="shared" si="84"/>
        <v>2.0618000000000003</v>
      </c>
      <c r="N360" s="4">
        <f t="shared" si="85"/>
        <v>4.6390500000000001</v>
      </c>
    </row>
    <row r="361" spans="1:14">
      <c r="A361" t="str">
        <f t="shared" si="74"/>
        <v>BR_IMC_DSY_LANCH_ND_NC_2019Q1MAR_RNG_varejoregionalmarco</v>
      </c>
      <c r="B361" t="str">
        <f t="shared" si="75"/>
        <v>In Loco Media</v>
      </c>
      <c r="C361" t="str">
        <f t="shared" si="76"/>
        <v>BR_VW_RNG_inloco_MOB_DRCT_CPV_CAI_LDR_IMC_RON_MOB_reg5-polo-geolocalizado_PD_960x150</v>
      </c>
      <c r="D361" t="str">
        <f t="shared" si="77"/>
        <v>242107355</v>
      </c>
      <c r="E361" t="str">
        <f t="shared" si="78"/>
        <v>Standard</v>
      </c>
      <c r="F361" t="str">
        <f t="shared" si="79"/>
        <v>BR_VW_RNG_inloco_MOB_DRCT_CPV_CAI_LDR_IMC_RON_MOB_reg5-polo-geolocalizado_PD_960x150</v>
      </c>
      <c r="G361" t="str">
        <f t="shared" si="80"/>
        <v>438942123</v>
      </c>
      <c r="H361" t="str">
        <f t="shared" si="81"/>
        <v>Tracking</v>
      </c>
      <c r="I361">
        <f t="shared" si="82"/>
        <v>49048</v>
      </c>
      <c r="J361">
        <f t="shared" si="83"/>
        <v>119</v>
      </c>
      <c r="K361" s="4">
        <f t="shared" si="72"/>
        <v>0.04</v>
      </c>
      <c r="L361">
        <f t="shared" si="73"/>
        <v>0.09</v>
      </c>
      <c r="M361" s="4">
        <f t="shared" si="84"/>
        <v>1.9619200000000001</v>
      </c>
      <c r="N361" s="4">
        <f t="shared" si="85"/>
        <v>4.41432</v>
      </c>
    </row>
    <row r="362" spans="1:14">
      <c r="A362" t="str">
        <f t="shared" si="74"/>
        <v>BR_IMC_DSY_LANCH_ND_NC_2019Q1MAR_RNG_varejoregionalmarco</v>
      </c>
      <c r="B362" t="str">
        <f t="shared" si="75"/>
        <v>In Loco Media</v>
      </c>
      <c r="C362" t="str">
        <f t="shared" si="76"/>
        <v>BR_VW_RNG_inloco_MOB_DRCT_CPV_CAI_MPU_IMC_RON_MOB_reg5-Tiguan-geolocalizado_PD_432x432</v>
      </c>
      <c r="D362" t="str">
        <f t="shared" si="77"/>
        <v>242107352</v>
      </c>
      <c r="E362" t="str">
        <f t="shared" si="78"/>
        <v>Dynamic Click</v>
      </c>
      <c r="F362" t="str">
        <f t="shared" si="79"/>
        <v>BR_VW_RNG_inloco_MOB_DRCT_CPV_CAI_MPU_IMC_RON_MOB_reg5-Tiguan-geolocalizado_PD_432x432</v>
      </c>
      <c r="G362" t="str">
        <f t="shared" si="80"/>
        <v>438942120</v>
      </c>
      <c r="H362" t="str">
        <f t="shared" si="81"/>
        <v>Tracking</v>
      </c>
      <c r="I362">
        <f t="shared" si="82"/>
        <v>0</v>
      </c>
      <c r="J362">
        <f t="shared" si="83"/>
        <v>10</v>
      </c>
      <c r="K362" s="4">
        <f t="shared" si="72"/>
        <v>3.5000000000000001E-3</v>
      </c>
      <c r="L362">
        <f t="shared" si="73"/>
        <v>0.02</v>
      </c>
      <c r="M362" s="4">
        <f t="shared" si="84"/>
        <v>3.5000000000000003E-2</v>
      </c>
      <c r="N362" s="4">
        <f t="shared" si="85"/>
        <v>0.2</v>
      </c>
    </row>
    <row r="363" spans="1:14">
      <c r="A363" t="str">
        <f t="shared" si="74"/>
        <v>BR_IMC_DSY_LANCH_ND_NC_2019Q1MAR_RNG_varejoregionalmarco</v>
      </c>
      <c r="B363" t="str">
        <f t="shared" si="75"/>
        <v>In Loco Media</v>
      </c>
      <c r="C363" t="str">
        <f t="shared" si="76"/>
        <v>BR_VW_RNG_inloco_MOB_DRCT_CPV_CAI_MPU_IMC_RON_MOB_reg5-jetta-outlet-geolocalizado_PD_432x432</v>
      </c>
      <c r="D363" t="str">
        <f t="shared" si="77"/>
        <v>242425725</v>
      </c>
      <c r="E363" t="str">
        <f t="shared" si="78"/>
        <v>Dynamic Click</v>
      </c>
      <c r="F363" t="str">
        <f t="shared" si="79"/>
        <v>BR_VW_RNG_inloco_MOB_DRCT_CPV_CAI_MPU_IMC_RON_MOB_reg5-jetta-outlet-geolocalizado_PD_432x432</v>
      </c>
      <c r="G363" t="str">
        <f t="shared" si="80"/>
        <v>439034129</v>
      </c>
      <c r="H363" t="str">
        <f t="shared" si="81"/>
        <v>Tracking</v>
      </c>
      <c r="I363">
        <f t="shared" si="82"/>
        <v>0</v>
      </c>
      <c r="J363">
        <f t="shared" si="83"/>
        <v>4</v>
      </c>
      <c r="K363" s="4">
        <f t="shared" si="72"/>
        <v>3.5000000000000001E-3</v>
      </c>
      <c r="L363">
        <f t="shared" si="73"/>
        <v>0.02</v>
      </c>
      <c r="M363" s="4">
        <f t="shared" si="84"/>
        <v>1.4E-2</v>
      </c>
      <c r="N363" s="4">
        <f t="shared" si="85"/>
        <v>0.08</v>
      </c>
    </row>
    <row r="364" spans="1:14">
      <c r="A364" t="str">
        <f t="shared" si="74"/>
        <v>BR_IMC_DSY_LANCH_ND_NC_2019Q1MAR_RNG_varejoregionalmarco</v>
      </c>
      <c r="B364" t="str">
        <f t="shared" si="75"/>
        <v>In Loco Media</v>
      </c>
      <c r="C364" t="str">
        <f t="shared" si="76"/>
        <v>BR_VW_RNG_inloco_MOB_DRCT_CPV_CAI_MPU_IMC_RON_MOB_reg5-jetta-preto-geolocalizado_PD_432x432</v>
      </c>
      <c r="D364" t="str">
        <f t="shared" si="77"/>
        <v>242107325</v>
      </c>
      <c r="E364" t="str">
        <f t="shared" si="78"/>
        <v>Dynamic Click</v>
      </c>
      <c r="F364" t="str">
        <f t="shared" si="79"/>
        <v>BR_VW_RNG_inloco_MOB_DRCT_CPV_CAI_MPU_IMC_RON_MOB_reg5-jetta-preto-geolocalizado_PD_432x432</v>
      </c>
      <c r="G364" t="str">
        <f t="shared" si="80"/>
        <v>438942093</v>
      </c>
      <c r="H364" t="str">
        <f t="shared" si="81"/>
        <v>Tracking</v>
      </c>
      <c r="I364">
        <f t="shared" si="82"/>
        <v>0</v>
      </c>
      <c r="J364">
        <f t="shared" si="83"/>
        <v>7</v>
      </c>
      <c r="K364" s="4">
        <f t="shared" ref="K364:K427" si="86">IF(LEFT(B364,3)="DBM",0,VLOOKUP(E364,tabela,2,FALSE))</f>
        <v>3.5000000000000001E-3</v>
      </c>
      <c r="L364">
        <f t="shared" ref="L364:L427" si="87">VLOOKUP(E364,tabela,3,FALSE)</f>
        <v>0.02</v>
      </c>
      <c r="M364" s="4">
        <f t="shared" si="84"/>
        <v>2.4500000000000001E-2</v>
      </c>
      <c r="N364" s="4">
        <f t="shared" si="85"/>
        <v>0.14000000000000001</v>
      </c>
    </row>
    <row r="365" spans="1:14">
      <c r="A365" t="str">
        <f t="shared" si="74"/>
        <v>BR_IMC_DSY_LANCH_ND_NC_2019Q1MAR_RNG_varejoregionalmarco</v>
      </c>
      <c r="B365" t="str">
        <f t="shared" si="75"/>
        <v>In Loco Media</v>
      </c>
      <c r="C365" t="str">
        <f t="shared" si="76"/>
        <v>BR_VW_RNG_inloco_MOB_DRCT_CPV_CAI_MPU_IMC_RON_MOB_reg5-polo-geolocalizado_PD_432x432</v>
      </c>
      <c r="D365" t="str">
        <f t="shared" si="77"/>
        <v>242107337</v>
      </c>
      <c r="E365" t="str">
        <f t="shared" si="78"/>
        <v>Dynamic Click</v>
      </c>
      <c r="F365" t="str">
        <f t="shared" si="79"/>
        <v>BR_VW_RNG_inloco_MOB_DRCT_CPV_CAI_MPU_IMC_RON_MOB_reg5-polo-geolocalizado_PD_432x432</v>
      </c>
      <c r="G365" t="str">
        <f t="shared" si="80"/>
        <v>438942105</v>
      </c>
      <c r="H365" t="str">
        <f t="shared" si="81"/>
        <v>Tracking</v>
      </c>
      <c r="I365">
        <f t="shared" si="82"/>
        <v>0</v>
      </c>
      <c r="J365">
        <f t="shared" si="83"/>
        <v>5</v>
      </c>
      <c r="K365" s="4">
        <f t="shared" si="86"/>
        <v>3.5000000000000001E-3</v>
      </c>
      <c r="L365">
        <f t="shared" si="87"/>
        <v>0.02</v>
      </c>
      <c r="M365" s="4">
        <f t="shared" si="84"/>
        <v>1.7500000000000002E-2</v>
      </c>
      <c r="N365" s="4">
        <f t="shared" si="85"/>
        <v>0.1</v>
      </c>
    </row>
    <row r="366" spans="1:14">
      <c r="A366" t="str">
        <f t="shared" si="74"/>
        <v>BR_IMC_DSY_LANCH_ND_NC_2019Q1MAR_RNG_varejoregionalmarco</v>
      </c>
      <c r="B366" t="str">
        <f t="shared" si="75"/>
        <v>In Loco Media</v>
      </c>
      <c r="C366" t="str">
        <f t="shared" si="76"/>
        <v>BR_VW_RNG_inloco_MOB_DRCT_CPV_CAI_SKY_IMC_RON_MOB_reg5-Tiguan-geolocalizado_PD_960x1440</v>
      </c>
      <c r="D366" t="str">
        <f t="shared" si="77"/>
        <v>242425728</v>
      </c>
      <c r="E366" t="str">
        <f t="shared" si="78"/>
        <v>Standard</v>
      </c>
      <c r="F366" t="str">
        <f t="shared" si="79"/>
        <v>BR_VW_RNG_inloco_MOB_DRCT_CPV_CAI_SKY_IMC_RON_MOB_reg5-Tiguan-geolocalizado_PD_960x1440</v>
      </c>
      <c r="G366" t="str">
        <f t="shared" si="80"/>
        <v>439034132</v>
      </c>
      <c r="H366" t="str">
        <f t="shared" si="81"/>
        <v>Tracking</v>
      </c>
      <c r="I366">
        <f t="shared" si="82"/>
        <v>30428</v>
      </c>
      <c r="J366">
        <f t="shared" si="83"/>
        <v>251</v>
      </c>
      <c r="K366" s="4">
        <f t="shared" si="86"/>
        <v>0.04</v>
      </c>
      <c r="L366">
        <f t="shared" si="87"/>
        <v>0.09</v>
      </c>
      <c r="M366" s="4">
        <f t="shared" si="84"/>
        <v>1.2171200000000002</v>
      </c>
      <c r="N366" s="4">
        <f t="shared" si="85"/>
        <v>2.7385199999999998</v>
      </c>
    </row>
    <row r="367" spans="1:14">
      <c r="A367" t="str">
        <f t="shared" si="74"/>
        <v>BR_IMC_DSY_LANCH_ND_NC_2019Q1MAR_RNG_varejoregionalmarco</v>
      </c>
      <c r="B367" t="str">
        <f t="shared" si="75"/>
        <v>In Loco Media</v>
      </c>
      <c r="C367" t="str">
        <f t="shared" si="76"/>
        <v>BR_VW_RNG_inloco_MOB_DRCT_CPV_CAI_SKY_IMC_RON_MOB_reg5-jetta-outlet-geolocalizado_PD_960x1440</v>
      </c>
      <c r="D367" t="str">
        <f t="shared" si="77"/>
        <v>242107319</v>
      </c>
      <c r="E367" t="str">
        <f t="shared" si="78"/>
        <v>Standard</v>
      </c>
      <c r="F367" t="str">
        <f t="shared" si="79"/>
        <v>BR_VW_RNG_inloco_MOB_DRCT_CPV_CAI_SKY_IMC_RON_MOB_reg5-jetta-outlet-geolocalizado_PD_960x1440</v>
      </c>
      <c r="G367" t="str">
        <f t="shared" si="80"/>
        <v>438942087</v>
      </c>
      <c r="H367" t="str">
        <f t="shared" si="81"/>
        <v>Tracking</v>
      </c>
      <c r="I367">
        <f t="shared" si="82"/>
        <v>31552</v>
      </c>
      <c r="J367">
        <f t="shared" si="83"/>
        <v>217</v>
      </c>
      <c r="K367" s="4">
        <f t="shared" si="86"/>
        <v>0.04</v>
      </c>
      <c r="L367">
        <f t="shared" si="87"/>
        <v>0.09</v>
      </c>
      <c r="M367" s="4">
        <f t="shared" si="84"/>
        <v>1.2620799999999999</v>
      </c>
      <c r="N367" s="4">
        <f t="shared" si="85"/>
        <v>2.83968</v>
      </c>
    </row>
    <row r="368" spans="1:14">
      <c r="A368" t="str">
        <f t="shared" si="74"/>
        <v>BR_IMC_DSY_LANCH_ND_NC_2019Q1MAR_RNG_varejoregionalmarco</v>
      </c>
      <c r="B368" t="str">
        <f t="shared" si="75"/>
        <v>In Loco Media</v>
      </c>
      <c r="C368" t="str">
        <f t="shared" si="76"/>
        <v>BR_VW_RNG_inloco_MOB_DRCT_CPV_CAI_SKY_IMC_RON_MOB_reg5-jetta-preto-geolocalizado_PD_960x1440</v>
      </c>
      <c r="D368" t="str">
        <f t="shared" si="77"/>
        <v>242107340</v>
      </c>
      <c r="E368" t="str">
        <f t="shared" si="78"/>
        <v>Standard</v>
      </c>
      <c r="F368" t="str">
        <f t="shared" si="79"/>
        <v>BR_VW_RNG_inloco_MOB_DRCT_CPV_CAI_SKY_IMC_RON_MOB_reg5-jetta-preto-geolocalizado_PD_960x1440</v>
      </c>
      <c r="G368" t="str">
        <f t="shared" si="80"/>
        <v>438942108</v>
      </c>
      <c r="H368" t="str">
        <f t="shared" si="81"/>
        <v>Tracking</v>
      </c>
      <c r="I368">
        <f t="shared" si="82"/>
        <v>31628</v>
      </c>
      <c r="J368">
        <f t="shared" si="83"/>
        <v>232</v>
      </c>
      <c r="K368" s="4">
        <f t="shared" si="86"/>
        <v>0.04</v>
      </c>
      <c r="L368">
        <f t="shared" si="87"/>
        <v>0.09</v>
      </c>
      <c r="M368" s="4">
        <f t="shared" si="84"/>
        <v>1.26512</v>
      </c>
      <c r="N368" s="4">
        <f t="shared" si="85"/>
        <v>2.8465199999999999</v>
      </c>
    </row>
    <row r="369" spans="1:14">
      <c r="A369" t="str">
        <f t="shared" si="74"/>
        <v>BR_IMC_DSY_LANCH_ND_NC_2019Q1MAR_RNG_varejoregionalmarco</v>
      </c>
      <c r="B369" t="str">
        <f t="shared" si="75"/>
        <v>In Loco Media</v>
      </c>
      <c r="C369" t="str">
        <f t="shared" si="76"/>
        <v>BR_VW_RNG_inloco_MOB_DRCT_CPV_CAI_SKY_IMC_RON_MOB_reg5-polo-geolocalizado_PD_960x1440</v>
      </c>
      <c r="D369" t="str">
        <f t="shared" si="77"/>
        <v>242107361</v>
      </c>
      <c r="E369" t="str">
        <f t="shared" si="78"/>
        <v>Standard</v>
      </c>
      <c r="F369" t="str">
        <f t="shared" si="79"/>
        <v>BR_VW_RNG_inloco_MOB_DRCT_CPV_CAI_SKY_IMC_RON_MOB_reg5-polo-geolocalizado_PD_960x1440</v>
      </c>
      <c r="G369" t="str">
        <f t="shared" si="80"/>
        <v>439034117</v>
      </c>
      <c r="H369" t="str">
        <f t="shared" si="81"/>
        <v>Tracking</v>
      </c>
      <c r="I369">
        <f t="shared" si="82"/>
        <v>31649</v>
      </c>
      <c r="J369">
        <f t="shared" si="83"/>
        <v>225</v>
      </c>
      <c r="K369" s="4">
        <f t="shared" si="86"/>
        <v>0.04</v>
      </c>
      <c r="L369">
        <f t="shared" si="87"/>
        <v>0.09</v>
      </c>
      <c r="M369" s="4">
        <f t="shared" si="84"/>
        <v>1.26596</v>
      </c>
      <c r="N369" s="4">
        <f t="shared" si="85"/>
        <v>2.8484099999999999</v>
      </c>
    </row>
    <row r="370" spans="1:14">
      <c r="A370" t="str">
        <f t="shared" si="74"/>
        <v>BR_IMC_DSY_LANCH_ND_NC_2019Q1MAR_RNG_varejoregionalmarco</v>
      </c>
      <c r="B370" t="str">
        <f t="shared" si="75"/>
        <v>In Loco Media</v>
      </c>
      <c r="C370" t="str">
        <f t="shared" si="76"/>
        <v>BR_VW_RNG_inloco_MOB_DRCT_CPV_CAI_SRB_IMC_RON_MOB_reg5-Tiguan-geolocalizado_PD_1200x627</v>
      </c>
      <c r="D370" t="str">
        <f t="shared" si="77"/>
        <v>242425734</v>
      </c>
      <c r="E370" t="str">
        <f t="shared" si="78"/>
        <v>Standard</v>
      </c>
      <c r="F370" t="str">
        <f t="shared" si="79"/>
        <v>BR_VW_RNG_inloco_MOB_DRCT_CPV_CAI_SRB_IMC_RON_MOB_reg5-Tiguan-geolocalizado_PD_1200x627</v>
      </c>
      <c r="G370" t="str">
        <f t="shared" si="80"/>
        <v>439034138</v>
      </c>
      <c r="H370" t="str">
        <f t="shared" si="81"/>
        <v>Tracking</v>
      </c>
      <c r="I370">
        <f t="shared" si="82"/>
        <v>77259</v>
      </c>
      <c r="J370">
        <f t="shared" si="83"/>
        <v>366</v>
      </c>
      <c r="K370" s="4">
        <f t="shared" si="86"/>
        <v>0.04</v>
      </c>
      <c r="L370">
        <f t="shared" si="87"/>
        <v>0.09</v>
      </c>
      <c r="M370" s="4">
        <f t="shared" si="84"/>
        <v>3.09036</v>
      </c>
      <c r="N370" s="4">
        <f t="shared" si="85"/>
        <v>6.9533099999999992</v>
      </c>
    </row>
    <row r="371" spans="1:14">
      <c r="A371" t="str">
        <f t="shared" si="74"/>
        <v>BR_IMC_DSY_LANCH_ND_NC_2019Q1MAR_RNG_varejoregionalmarco</v>
      </c>
      <c r="B371" t="str">
        <f t="shared" si="75"/>
        <v>In Loco Media</v>
      </c>
      <c r="C371" t="str">
        <f t="shared" si="76"/>
        <v>BR_VW_RNG_inloco_MOB_DRCT_CPV_CAI_SRB_IMC_RON_MOB_reg5-jetta-outlet-geolocalizado_PD_1200x627</v>
      </c>
      <c r="D371" t="str">
        <f t="shared" si="77"/>
        <v>242107322</v>
      </c>
      <c r="E371" t="str">
        <f t="shared" si="78"/>
        <v>Standard</v>
      </c>
      <c r="F371" t="str">
        <f t="shared" si="79"/>
        <v>BR_VW_RNG_inloco_MOB_DRCT_CPV_CAI_SRB_IMC_RON_MOB_reg5-jetta-outlet-geolocalizado_PD_1200x627</v>
      </c>
      <c r="G371" t="str">
        <f t="shared" si="80"/>
        <v>438942090</v>
      </c>
      <c r="H371" t="str">
        <f t="shared" si="81"/>
        <v>Tracking</v>
      </c>
      <c r="I371">
        <f t="shared" si="82"/>
        <v>77344</v>
      </c>
      <c r="J371">
        <f t="shared" si="83"/>
        <v>318</v>
      </c>
      <c r="K371" s="4">
        <f t="shared" si="86"/>
        <v>0.04</v>
      </c>
      <c r="L371">
        <f t="shared" si="87"/>
        <v>0.09</v>
      </c>
      <c r="M371" s="4">
        <f t="shared" si="84"/>
        <v>3.0937600000000001</v>
      </c>
      <c r="N371" s="4">
        <f t="shared" si="85"/>
        <v>6.96096</v>
      </c>
    </row>
    <row r="372" spans="1:14">
      <c r="A372" t="str">
        <f t="shared" si="74"/>
        <v>BR_IMC_DSY_LANCH_ND_NC_2019Q1MAR_RNG_varejoregionalmarco</v>
      </c>
      <c r="B372" t="str">
        <f t="shared" si="75"/>
        <v>In Loco Media</v>
      </c>
      <c r="C372" t="str">
        <f t="shared" si="76"/>
        <v>BR_VW_RNG_inloco_MOB_DRCT_CPV_CAI_SRB_IMC_RON_MOB_reg5-jetta-preto-geolocalizado_PD_1200x627</v>
      </c>
      <c r="D372" t="str">
        <f t="shared" si="77"/>
        <v>242107346</v>
      </c>
      <c r="E372" t="str">
        <f t="shared" si="78"/>
        <v>Standard</v>
      </c>
      <c r="F372" t="str">
        <f t="shared" si="79"/>
        <v>BR_VW_RNG_inloco_MOB_DRCT_CPV_CAI_SRB_IMC_RON_MOB_reg5-jetta-preto-geolocalizado_PD_1200x627</v>
      </c>
      <c r="G372" t="str">
        <f t="shared" si="80"/>
        <v>438942114</v>
      </c>
      <c r="H372" t="str">
        <f t="shared" si="81"/>
        <v>Tracking</v>
      </c>
      <c r="I372">
        <f t="shared" si="82"/>
        <v>77180</v>
      </c>
      <c r="J372">
        <f t="shared" si="83"/>
        <v>315</v>
      </c>
      <c r="K372" s="4">
        <f t="shared" si="86"/>
        <v>0.04</v>
      </c>
      <c r="L372">
        <f t="shared" si="87"/>
        <v>0.09</v>
      </c>
      <c r="M372" s="4">
        <f t="shared" si="84"/>
        <v>3.0872000000000002</v>
      </c>
      <c r="N372" s="4">
        <f t="shared" si="85"/>
        <v>6.9462000000000002</v>
      </c>
    </row>
    <row r="373" spans="1:14">
      <c r="A373" t="str">
        <f t="shared" si="74"/>
        <v>BR_IMC_DSY_LANCH_ND_NC_2019Q1MAR_RNG_varejoregionalmarco</v>
      </c>
      <c r="B373" t="str">
        <f t="shared" si="75"/>
        <v>In Loco Media</v>
      </c>
      <c r="C373" t="str">
        <f t="shared" si="76"/>
        <v>BR_VW_RNG_inloco_MOB_DRCT_CPV_CAI_SRB_IMC_RON_MOB_reg5-polo-geolocalizado_PD_1200x627</v>
      </c>
      <c r="D373" t="str">
        <f t="shared" si="77"/>
        <v>242107367</v>
      </c>
      <c r="E373" t="str">
        <f t="shared" si="78"/>
        <v>Standard</v>
      </c>
      <c r="F373" t="str">
        <f t="shared" si="79"/>
        <v>BR_VW_RNG_inloco_MOB_DRCT_CPV_CAI_SRB_IMC_RON_MOB_reg5-polo-geolocalizado_PD_1200x627</v>
      </c>
      <c r="G373" t="str">
        <f t="shared" si="80"/>
        <v>439034123</v>
      </c>
      <c r="H373" t="str">
        <f t="shared" si="81"/>
        <v>Tracking</v>
      </c>
      <c r="I373">
        <f t="shared" si="82"/>
        <v>77393</v>
      </c>
      <c r="J373">
        <f t="shared" si="83"/>
        <v>330</v>
      </c>
      <c r="K373" s="4">
        <f t="shared" si="86"/>
        <v>0.04</v>
      </c>
      <c r="L373">
        <f t="shared" si="87"/>
        <v>0.09</v>
      </c>
      <c r="M373" s="4">
        <f t="shared" si="84"/>
        <v>3.0957200000000005</v>
      </c>
      <c r="N373" s="4">
        <f t="shared" si="85"/>
        <v>6.9653700000000001</v>
      </c>
    </row>
    <row r="374" spans="1:14">
      <c r="A374" t="str">
        <f t="shared" si="74"/>
        <v>BR_IMC_DSY_PRESA_ND_NC_2019Q1FEB_TCR_Pre-Venda-T-Cross</v>
      </c>
      <c r="B374" t="str">
        <f t="shared" si="75"/>
        <v>Google Brasil</v>
      </c>
      <c r="C374" t="str">
        <f t="shared" si="76"/>
        <v>BR_VW_TCR_dv360-uol_DIS_PROG_CPM_STD__IMC_HTO_CXD_Pre-Venda-Tcross-AMC-Tcross_PD_1190x250-1190x460</v>
      </c>
      <c r="D374" t="str">
        <f t="shared" si="77"/>
        <v>240760095</v>
      </c>
      <c r="E374" t="str">
        <f t="shared" si="78"/>
        <v>Standard</v>
      </c>
      <c r="F374" t="str">
        <f t="shared" si="79"/>
        <v>BR_VW_TCR_dv360-uol_DIS_PROG_CPM_STD__IMC_HTO_CXD_Pre-Venda-Tcross-AMC-Tcross_PD_1190x250-1190x460</v>
      </c>
      <c r="G374" t="str">
        <f t="shared" si="80"/>
        <v>437502530</v>
      </c>
      <c r="H374" t="str">
        <f t="shared" si="81"/>
        <v>Tracking</v>
      </c>
      <c r="I374">
        <f t="shared" si="82"/>
        <v>8</v>
      </c>
      <c r="J374">
        <f t="shared" si="83"/>
        <v>0</v>
      </c>
      <c r="K374" s="4">
        <f t="shared" si="86"/>
        <v>0.04</v>
      </c>
      <c r="L374">
        <f t="shared" si="87"/>
        <v>0.09</v>
      </c>
      <c r="M374" s="4">
        <f t="shared" si="84"/>
        <v>3.2000000000000003E-4</v>
      </c>
      <c r="N374" s="4">
        <f t="shared" si="85"/>
        <v>7.1999999999999994E-4</v>
      </c>
    </row>
    <row r="375" spans="1:14">
      <c r="A375" t="str">
        <f t="shared" si="74"/>
        <v>BR_IMC_DSY_PRESA_ND_NC_2019Q1FEB_TCR_Pre-Venda-T-Cross</v>
      </c>
      <c r="B375" t="str">
        <f t="shared" si="75"/>
        <v>Google Brasil</v>
      </c>
      <c r="C375" t="str">
        <f t="shared" si="76"/>
        <v>BR_VW_TCR_dv360-uol_MOB_PROG_CPM_STD_MPU_IMC_HTO_CXD_Pre-Venda-Tcross-AMC-Tcross_PD_300x450</v>
      </c>
      <c r="D375" t="str">
        <f t="shared" si="77"/>
        <v>240758661</v>
      </c>
      <c r="E375" t="str">
        <f t="shared" si="78"/>
        <v>Dynamic Click</v>
      </c>
      <c r="F375" t="str">
        <f t="shared" si="79"/>
        <v>BR_VW_TCR_dv360-uol_MOB_PROG_CPM_STD_MPU_IMC_HTO_CXD_Pre-Venda-Tcross-AMC-Tcross_PD_300x450</v>
      </c>
      <c r="G375" t="str">
        <f t="shared" si="80"/>
        <v>437502536</v>
      </c>
      <c r="H375" t="str">
        <f t="shared" si="81"/>
        <v>Tracking</v>
      </c>
      <c r="I375">
        <f t="shared" si="82"/>
        <v>0</v>
      </c>
      <c r="J375">
        <f t="shared" si="83"/>
        <v>25</v>
      </c>
      <c r="K375" s="4">
        <f t="shared" si="86"/>
        <v>3.5000000000000001E-3</v>
      </c>
      <c r="L375">
        <f t="shared" si="87"/>
        <v>0.02</v>
      </c>
      <c r="M375" s="4">
        <f t="shared" si="84"/>
        <v>8.7500000000000008E-2</v>
      </c>
      <c r="N375" s="4">
        <f t="shared" si="85"/>
        <v>0.5</v>
      </c>
    </row>
    <row r="376" spans="1:14">
      <c r="A376" t="str">
        <f t="shared" si="74"/>
        <v>BR_IMC_DSY_PRESA_ND_NC_2019Q1FEB_TCR_Pre-Venda-T-Cross</v>
      </c>
      <c r="B376" t="str">
        <f t="shared" si="75"/>
        <v>Oath BR</v>
      </c>
      <c r="C376" t="str">
        <f t="shared" si="76"/>
        <v>BR_VW_TCR_oath_DIS_DRCT_CPM_CLK_SRB_IMC_RON_CXD_Pre-Venda-Tcross-AMC-Tcross_PD_1200x675</v>
      </c>
      <c r="D376" t="str">
        <f t="shared" si="77"/>
        <v>240503012</v>
      </c>
      <c r="E376" t="str">
        <f t="shared" si="78"/>
        <v>Dynamic Click</v>
      </c>
      <c r="F376" t="str">
        <f t="shared" si="79"/>
        <v>BR_VW_TCR_oath_DIS_DRCT_CPM_CLK_SRB_IMC_RON_CXD_Pre-Venda-Tcross-AMC-Tcross_PD_1200x675</v>
      </c>
      <c r="G376" t="str">
        <f t="shared" si="80"/>
        <v>437587771</v>
      </c>
      <c r="H376" t="str">
        <f t="shared" si="81"/>
        <v>Tracking</v>
      </c>
      <c r="I376">
        <f t="shared" si="82"/>
        <v>155</v>
      </c>
      <c r="J376">
        <f t="shared" si="83"/>
        <v>274</v>
      </c>
      <c r="K376" s="4">
        <f t="shared" si="86"/>
        <v>3.5000000000000001E-3</v>
      </c>
      <c r="L376">
        <f t="shared" si="87"/>
        <v>0.02</v>
      </c>
      <c r="M376" s="4">
        <f t="shared" si="84"/>
        <v>0.95900000000000007</v>
      </c>
      <c r="N376" s="4">
        <f t="shared" si="85"/>
        <v>5.48</v>
      </c>
    </row>
    <row r="377" spans="1:14">
      <c r="A377" t="str">
        <f t="shared" si="74"/>
        <v>BR_IMC_DSY_PRESA_ND_NC_2019Q1FEB_TCR_Pre-Venda-T-Cross</v>
      </c>
      <c r="B377" t="str">
        <f t="shared" si="75"/>
        <v>Oath BR</v>
      </c>
      <c r="C377" t="str">
        <f t="shared" si="76"/>
        <v>BR_VW_TCR_oath_DIS_DRCT_CPM_CLK__IMC_RON_CXD_Pre-Venda-Tcross-AMC-Tcross_PD_627x627</v>
      </c>
      <c r="D377" t="str">
        <f t="shared" si="77"/>
        <v>240502745</v>
      </c>
      <c r="E377" t="str">
        <f t="shared" si="78"/>
        <v>Standard</v>
      </c>
      <c r="F377" t="str">
        <f t="shared" si="79"/>
        <v>BR_VW_TCR_oath_DIS_DRCT_CPM_CLK__IMC_RON_CXD_Pre-Venda-Tcross-AMC-Tcross_PD_627x627</v>
      </c>
      <c r="G377" t="str">
        <f t="shared" si="80"/>
        <v>437539160</v>
      </c>
      <c r="H377" t="str">
        <f t="shared" si="81"/>
        <v>Tracking</v>
      </c>
      <c r="I377">
        <f t="shared" si="82"/>
        <v>85</v>
      </c>
      <c r="J377">
        <f t="shared" si="83"/>
        <v>82</v>
      </c>
      <c r="K377" s="4">
        <f t="shared" si="86"/>
        <v>0.04</v>
      </c>
      <c r="L377">
        <f t="shared" si="87"/>
        <v>0.09</v>
      </c>
      <c r="M377" s="4">
        <f t="shared" si="84"/>
        <v>3.3999999999999998E-3</v>
      </c>
      <c r="N377" s="4">
        <f t="shared" si="85"/>
        <v>7.6499999999999997E-3</v>
      </c>
    </row>
    <row r="378" spans="1:14">
      <c r="A378" t="str">
        <f t="shared" si="74"/>
        <v>BR_IMC_DSY_RUNOT_ND_NC_2019Q1MAR_AMV_VarejoAmarokMarco</v>
      </c>
      <c r="B378" t="str">
        <f t="shared" si="75"/>
        <v>br.linkedin.com</v>
      </c>
      <c r="C378" t="str">
        <f t="shared" si="76"/>
        <v>BR_VW_AMV_Linkedin_DIS_DRCT_CPC_STD_MPU_IMC_RON_CXD_Amarok-Varejo-Marco-Corporativo-CAMPO-InMail-NOVO-Amarok-AMC_PD_300x250</v>
      </c>
      <c r="D378" t="str">
        <f t="shared" si="77"/>
        <v>241650258</v>
      </c>
      <c r="E378" t="str">
        <f t="shared" si="78"/>
        <v>Dynamic Click</v>
      </c>
      <c r="F378" t="str">
        <f t="shared" si="79"/>
        <v>BR_VW_AMV_Linkedin_DIS_DRCT_CPC_STD_MPU_IMC_RON_CXD_Amarok-Varejo-Marco-Corporativo-CAMPO-InMail-NOVO-Amarok-AMC_PD_300x250</v>
      </c>
      <c r="G378" t="str">
        <f t="shared" si="80"/>
        <v>438310760</v>
      </c>
      <c r="H378" t="str">
        <f t="shared" si="81"/>
        <v>Tracking</v>
      </c>
      <c r="I378">
        <f t="shared" si="82"/>
        <v>0</v>
      </c>
      <c r="J378">
        <f t="shared" si="83"/>
        <v>9</v>
      </c>
      <c r="K378" s="4">
        <f t="shared" si="86"/>
        <v>3.5000000000000001E-3</v>
      </c>
      <c r="L378">
        <f t="shared" si="87"/>
        <v>0.02</v>
      </c>
      <c r="M378" s="4">
        <f t="shared" si="84"/>
        <v>3.15E-2</v>
      </c>
      <c r="N378" s="4">
        <f t="shared" si="85"/>
        <v>0.18</v>
      </c>
    </row>
    <row r="379" spans="1:14">
      <c r="A379" t="str">
        <f t="shared" si="74"/>
        <v>BR_IMC_DSY_RUNOT_ND_NC_2019Q1MAR_AMV_VarejoAmarokMarco</v>
      </c>
      <c r="B379" t="str">
        <f t="shared" si="75"/>
        <v>br.linkedin.com</v>
      </c>
      <c r="C379" t="str">
        <f t="shared" si="76"/>
        <v>BR_VW_AMV_Linkedin_DIS_DRCT_CPC_STD_MPU_IMC_RON_CXD_Amarok-Varejo-Marco-Corporativo-CAMPO-OLD-InMail-Amarok-AMC_PD_300x250</v>
      </c>
      <c r="D379" t="str">
        <f t="shared" si="77"/>
        <v>241650282</v>
      </c>
      <c r="E379" t="str">
        <f t="shared" si="78"/>
        <v>Dynamic Click</v>
      </c>
      <c r="F379" t="str">
        <f t="shared" si="79"/>
        <v>BR_VW_AMV_Linkedin_DIS_DRCT_CPC_STD_MPU_IMC_RON_CXD_Amarok-Varejo-Marco-Corporativo-CAMPO-OLD-InMail-Amarok-AMC_PD_300x250</v>
      </c>
      <c r="G379" t="str">
        <f t="shared" si="80"/>
        <v>438310784</v>
      </c>
      <c r="H379" t="str">
        <f t="shared" si="81"/>
        <v>Tracking</v>
      </c>
      <c r="I379">
        <f t="shared" si="82"/>
        <v>0</v>
      </c>
      <c r="J379">
        <f t="shared" si="83"/>
        <v>768</v>
      </c>
      <c r="K379" s="4">
        <f t="shared" si="86"/>
        <v>3.5000000000000001E-3</v>
      </c>
      <c r="L379">
        <f t="shared" si="87"/>
        <v>0.02</v>
      </c>
      <c r="M379" s="4">
        <f t="shared" si="84"/>
        <v>2.6880000000000002</v>
      </c>
      <c r="N379" s="4">
        <f t="shared" si="85"/>
        <v>15.36</v>
      </c>
    </row>
    <row r="380" spans="1:14">
      <c r="A380" t="str">
        <f t="shared" si="74"/>
        <v>BR_IMC_DSY_RUNOT_ND_NC_2019Q1MAR_AMV_VarejoAmarokMarco</v>
      </c>
      <c r="B380" t="str">
        <f t="shared" si="75"/>
        <v>br.linkedin.com</v>
      </c>
      <c r="C380" t="str">
        <f t="shared" si="76"/>
        <v>BR_VW_AMV_Linkedin_DIS_DRCT_CPC_STD_MPU_IMC_RON_CXD_Amarok-Varejo-Marco-Corporativo-CIDADE-InMail-NOVO-Amarok-AMC_PD_300x250</v>
      </c>
      <c r="D380" t="str">
        <f t="shared" si="77"/>
        <v>241650303</v>
      </c>
      <c r="E380" t="str">
        <f t="shared" si="78"/>
        <v>Dynamic Click</v>
      </c>
      <c r="F380" t="str">
        <f t="shared" si="79"/>
        <v>BR_VW_AMV_Linkedin_DIS_DRCT_CPC_STD_MPU_IMC_RON_CXD_Amarok-Varejo-Marco-Corporativo-CIDADE-InMail-NOVO-Amarok-AMC_PD_300x250</v>
      </c>
      <c r="G380" t="str">
        <f t="shared" si="80"/>
        <v>438310805</v>
      </c>
      <c r="H380" t="str">
        <f t="shared" si="81"/>
        <v>Tracking</v>
      </c>
      <c r="I380">
        <f t="shared" si="82"/>
        <v>0</v>
      </c>
      <c r="J380">
        <f t="shared" si="83"/>
        <v>17</v>
      </c>
      <c r="K380" s="4">
        <f t="shared" si="86"/>
        <v>3.5000000000000001E-3</v>
      </c>
      <c r="L380">
        <f t="shared" si="87"/>
        <v>0.02</v>
      </c>
      <c r="M380" s="4">
        <f t="shared" si="84"/>
        <v>5.9500000000000004E-2</v>
      </c>
      <c r="N380" s="4">
        <f t="shared" si="85"/>
        <v>0.34</v>
      </c>
    </row>
    <row r="381" spans="1:14">
      <c r="A381" t="str">
        <f t="shared" si="74"/>
        <v>BR_IMC_DSY_RUNOT_ND_NC_2019Q1MAR_AMV_VarejoAmarokMarco</v>
      </c>
      <c r="B381" t="str">
        <f t="shared" si="75"/>
        <v>br.linkedin.com</v>
      </c>
      <c r="C381" t="str">
        <f t="shared" si="76"/>
        <v>BR_VW_AMV_Linkedin_DIS_DRCT_CPC_STD_MPU_IMC_RON_CXD_Amarok-Varejo-Marco-Corporativo-CIDADE-OLD-InMail-Amarok-AMC_PD_300x250</v>
      </c>
      <c r="D381" t="str">
        <f t="shared" si="77"/>
        <v>241650270</v>
      </c>
      <c r="E381" t="str">
        <f t="shared" si="78"/>
        <v>Dynamic Click</v>
      </c>
      <c r="F381" t="str">
        <f t="shared" si="79"/>
        <v>BR_VW_AMV_Linkedin_DIS_DRCT_CPC_STD_MPU_IMC_RON_CXD_Amarok-Varejo-Marco-Corporativo-CIDADE-OLD-InMail-Amarok-AMC_PD_300x250</v>
      </c>
      <c r="G381" t="str">
        <f t="shared" si="80"/>
        <v>438310772</v>
      </c>
      <c r="H381" t="str">
        <f t="shared" si="81"/>
        <v>Tracking</v>
      </c>
      <c r="I381">
        <f t="shared" si="82"/>
        <v>0</v>
      </c>
      <c r="J381">
        <f t="shared" si="83"/>
        <v>2</v>
      </c>
      <c r="K381" s="4">
        <f t="shared" si="86"/>
        <v>3.5000000000000001E-3</v>
      </c>
      <c r="L381">
        <f t="shared" si="87"/>
        <v>0.02</v>
      </c>
      <c r="M381" s="4">
        <f t="shared" si="84"/>
        <v>7.0000000000000001E-3</v>
      </c>
      <c r="N381" s="4">
        <f t="shared" si="85"/>
        <v>0.04</v>
      </c>
    </row>
    <row r="382" spans="1:14">
      <c r="A382" t="str">
        <f t="shared" si="74"/>
        <v>BR_IMC_DSY_RUNOT_ND_NC_2019Q1MAR_AMV_VarejoAmarokMarco</v>
      </c>
      <c r="B382" t="str">
        <f t="shared" si="75"/>
        <v>br.linkedin.com</v>
      </c>
      <c r="C382" t="str">
        <f t="shared" si="76"/>
        <v>BR_VW_AMV_Linkedin_DIS_DRCT_CPC_STD_MPU_IMC_RON_CXD_Amarok-Varejo-Marco-Corporativo-OLD-CAMPO-Amarok-AMC_PD_300x250</v>
      </c>
      <c r="D382" t="str">
        <f t="shared" si="77"/>
        <v>241650276</v>
      </c>
      <c r="E382" t="str">
        <f t="shared" si="78"/>
        <v>Dynamic Click</v>
      </c>
      <c r="F382" t="str">
        <f t="shared" si="79"/>
        <v>BR_VW_AMV_Linkedin_DIS_DRCT_CPC_STD_MPU_IMC_RON_CXD_Amarok-Varejo-Marco-Corporativo-OLD-CAMPO-Amarok-AMC_PD_300x250</v>
      </c>
      <c r="G382" t="str">
        <f t="shared" si="80"/>
        <v>438310778</v>
      </c>
      <c r="H382" t="str">
        <f t="shared" si="81"/>
        <v>Tracking</v>
      </c>
      <c r="I382">
        <f t="shared" si="82"/>
        <v>0</v>
      </c>
      <c r="J382">
        <f t="shared" si="83"/>
        <v>1075</v>
      </c>
      <c r="K382" s="4">
        <f t="shared" si="86"/>
        <v>3.5000000000000001E-3</v>
      </c>
      <c r="L382">
        <f t="shared" si="87"/>
        <v>0.02</v>
      </c>
      <c r="M382" s="4">
        <f t="shared" si="84"/>
        <v>3.7625000000000002</v>
      </c>
      <c r="N382" s="4">
        <f t="shared" si="85"/>
        <v>21.5</v>
      </c>
    </row>
    <row r="383" spans="1:14">
      <c r="A383" t="str">
        <f t="shared" si="74"/>
        <v>BR_IMC_DSY_RUNOT_ND_NC_2019Q1MAR_AMV_VarejoAmarokMarco</v>
      </c>
      <c r="B383" t="str">
        <f t="shared" si="75"/>
        <v>br.linkedin.com</v>
      </c>
      <c r="C383" t="str">
        <f t="shared" si="76"/>
        <v>BR_VW_AMV_Linkedin_DIS_DRCT_CPC_STD_MPU_IMC_RON_CXD_Amarok-Varejo-Marco-PRIVADO-Amarok-AMC_PD_300x250</v>
      </c>
      <c r="D383" t="str">
        <f t="shared" si="77"/>
        <v>241650294</v>
      </c>
      <c r="E383" t="str">
        <f t="shared" si="78"/>
        <v>Dynamic Click</v>
      </c>
      <c r="F383" t="str">
        <f t="shared" si="79"/>
        <v>BR_VW_AMV_Linkedin_DIS_DRCT_CPC_STD_MPU_IMC_RON_CXD_Amarok-Varejo-Marco-PRIVADO-Amarok-AMC_PD_300x250</v>
      </c>
      <c r="G383" t="str">
        <f t="shared" si="80"/>
        <v>438310796</v>
      </c>
      <c r="H383" t="str">
        <f t="shared" si="81"/>
        <v>Tracking</v>
      </c>
      <c r="I383">
        <f t="shared" si="82"/>
        <v>0</v>
      </c>
      <c r="J383">
        <f t="shared" si="83"/>
        <v>1</v>
      </c>
      <c r="K383" s="4">
        <f t="shared" si="86"/>
        <v>3.5000000000000001E-3</v>
      </c>
      <c r="L383">
        <f t="shared" si="87"/>
        <v>0.02</v>
      </c>
      <c r="M383" s="4">
        <f t="shared" si="84"/>
        <v>3.5000000000000001E-3</v>
      </c>
      <c r="N383" s="4">
        <f t="shared" si="85"/>
        <v>0.02</v>
      </c>
    </row>
    <row r="384" spans="1:14">
      <c r="A384" t="str">
        <f t="shared" si="74"/>
        <v>BR_IMC_DSY_RUNOT_ND_NC_2019Q1MAR_AMV_VarejoAmarokMarco</v>
      </c>
      <c r="B384" t="str">
        <f t="shared" si="75"/>
        <v>br.linkedin.com</v>
      </c>
      <c r="C384" t="str">
        <f t="shared" si="76"/>
        <v>BR_VW_AMV_Linkedin_DIS_DRCT_CPC_STD_SRB_IMC_RON_CXD_Amarok-Varejo-Marco-Corporativo-CAMPO-NOVO-Amarok-AMC_PD_1200x627</v>
      </c>
      <c r="D384" t="str">
        <f t="shared" si="77"/>
        <v>241650255</v>
      </c>
      <c r="E384" t="str">
        <f t="shared" si="78"/>
        <v>Dynamic Click</v>
      </c>
      <c r="F384" t="str">
        <f t="shared" si="79"/>
        <v>BR_VW_AMV_Linkedin_DIS_DRCT_CPC_STD_SRB_IMC_RON_CXD_Amarok-Varejo-Marco-Corporativo-CAMPO-NOVO-Amarok-AMC_PD_1200x627</v>
      </c>
      <c r="G384" t="str">
        <f t="shared" si="80"/>
        <v>438310757</v>
      </c>
      <c r="H384" t="str">
        <f t="shared" si="81"/>
        <v>Tracking</v>
      </c>
      <c r="I384">
        <f t="shared" si="82"/>
        <v>0</v>
      </c>
      <c r="J384">
        <f t="shared" si="83"/>
        <v>2</v>
      </c>
      <c r="K384" s="4">
        <f t="shared" si="86"/>
        <v>3.5000000000000001E-3</v>
      </c>
      <c r="L384">
        <f t="shared" si="87"/>
        <v>0.02</v>
      </c>
      <c r="M384" s="4">
        <f t="shared" si="84"/>
        <v>7.0000000000000001E-3</v>
      </c>
      <c r="N384" s="4">
        <f t="shared" si="85"/>
        <v>0.04</v>
      </c>
    </row>
    <row r="385" spans="1:14">
      <c r="A385" t="str">
        <f t="shared" si="74"/>
        <v>BR_IMC_DSY_RUNOT_ND_NC_2019Q1MAR_AMV_VarejoAmarokMarco</v>
      </c>
      <c r="B385" t="str">
        <f t="shared" si="75"/>
        <v>br.linkedin.com</v>
      </c>
      <c r="C385" t="str">
        <f t="shared" si="76"/>
        <v>BR_VW_AMV_Linkedin_DIS_DRCT_CPC_STD_SRB_IMC_RON_CXD_Amarok-Varejo-Marco-Corporativo-CIDADE-NOVO-Amarok-AMC_PD_1200x627</v>
      </c>
      <c r="D385" t="str">
        <f t="shared" si="77"/>
        <v>241650297</v>
      </c>
      <c r="E385" t="str">
        <f t="shared" si="78"/>
        <v>Dynamic Click</v>
      </c>
      <c r="F385" t="str">
        <f t="shared" si="79"/>
        <v>BR_VW_AMV_Linkedin_DIS_DRCT_CPC_STD_SRB_IMC_RON_CXD_Amarok-Varejo-Marco-Corporativo-CIDADE-NOVO-Amarok-AMC_PD_1200x627</v>
      </c>
      <c r="G385" t="str">
        <f t="shared" si="80"/>
        <v>438310799</v>
      </c>
      <c r="H385" t="str">
        <f t="shared" si="81"/>
        <v>Tracking</v>
      </c>
      <c r="I385">
        <f t="shared" si="82"/>
        <v>0</v>
      </c>
      <c r="J385">
        <f t="shared" si="83"/>
        <v>1</v>
      </c>
      <c r="K385" s="4">
        <f t="shared" si="86"/>
        <v>3.5000000000000001E-3</v>
      </c>
      <c r="L385">
        <f t="shared" si="87"/>
        <v>0.02</v>
      </c>
      <c r="M385" s="4">
        <f t="shared" si="84"/>
        <v>3.5000000000000001E-3</v>
      </c>
      <c r="N385" s="4">
        <f t="shared" si="85"/>
        <v>0.02</v>
      </c>
    </row>
    <row r="386" spans="1:14">
      <c r="A386" t="str">
        <f t="shared" ref="A386:A449" si="88">bd_campaign</f>
        <v>BR_IMC_DSY_RUNOT_ND_NC_2019Q1MAR_AMV_VarejoAmarokMarco</v>
      </c>
      <c r="B386" t="str">
        <f t="shared" ref="B386:B449" si="89">bd_site</f>
        <v>br.linkedin.com</v>
      </c>
      <c r="C386" t="str">
        <f t="shared" ref="C386:C449" si="90">bd_placement</f>
        <v>BR_VW_AMV_Linkedin_DIS_DRCT_CPC_STD_SRB_IMC_RON_CXD_Amarok-Varejo-Marco-Corporativo-OLD-CAMPO-Amarok-AMC_PD_1080x1080</v>
      </c>
      <c r="D386" t="str">
        <f t="shared" ref="D386:D449" si="91">bd_placementID</f>
        <v>241650273</v>
      </c>
      <c r="E386" t="str">
        <f t="shared" ref="E386:E449" si="92">VLOOKUP(CONCATENATE(bd_adtype,"_",bd_creativetype),tabela,2,FALSE)</f>
        <v>Dynamic Click</v>
      </c>
      <c r="F386" t="str">
        <f t="shared" ref="F386:F449" si="93">bd_ad</f>
        <v>BR_VW_AMV_Linkedin_DIS_DRCT_CPC_STD_SRB_IMC_RON_CXD_Amarok-Varejo-Marco-Corporativo-OLD-CAMPO-Amarok-AMC_PD_1080x1080</v>
      </c>
      <c r="G386" t="str">
        <f t="shared" ref="G386:G449" si="94">bd_adid</f>
        <v>438310775</v>
      </c>
      <c r="H386" t="str">
        <f t="shared" ref="H386:H449" si="95">bd_creativetype</f>
        <v>Tracking</v>
      </c>
      <c r="I386">
        <f t="shared" ref="I386:I449" si="96">bd_impression</f>
        <v>0</v>
      </c>
      <c r="J386">
        <f t="shared" ref="J386:J449" si="97">bd_clicks</f>
        <v>1</v>
      </c>
      <c r="K386" s="4">
        <f t="shared" si="86"/>
        <v>3.5000000000000001E-3</v>
      </c>
      <c r="L386">
        <f t="shared" si="87"/>
        <v>0.02</v>
      </c>
      <c r="M386" s="4">
        <f t="shared" si="84"/>
        <v>3.5000000000000001E-3</v>
      </c>
      <c r="N386" s="4">
        <f t="shared" si="85"/>
        <v>0.02</v>
      </c>
    </row>
    <row r="387" spans="1:14">
      <c r="A387" t="str">
        <f t="shared" si="88"/>
        <v>BR_IMC_DSY_RUNOT_ND_NC_2019Q1MAR_AMV_VarejoAmarokMarco</v>
      </c>
      <c r="B387" t="str">
        <f t="shared" si="89"/>
        <v>br.linkedin.com</v>
      </c>
      <c r="C387" t="str">
        <f t="shared" si="90"/>
        <v>BR_VW_AMV_Linkedin_DIS_DRCT_CPC_STD_SRB_IMC_RON_CXD_Amarok-Varejo-Marco-Corporativo-OLD-CAMPO-Amarok-AMC_PD_1200x627</v>
      </c>
      <c r="D387" t="str">
        <f t="shared" si="91"/>
        <v>241650279</v>
      </c>
      <c r="E387" t="str">
        <f t="shared" si="92"/>
        <v>Dynamic Click</v>
      </c>
      <c r="F387" t="str">
        <f t="shared" si="93"/>
        <v>BR_VW_AMV_Linkedin_DIS_DRCT_CPC_STD_SRB_IMC_RON_CXD_Amarok-Varejo-Marco-Corporativo-OLD-CAMPO-Amarok-AMC_PD_1200x627</v>
      </c>
      <c r="G387" t="str">
        <f t="shared" si="94"/>
        <v>438310781</v>
      </c>
      <c r="H387" t="str">
        <f t="shared" si="95"/>
        <v>Tracking</v>
      </c>
      <c r="I387">
        <f t="shared" si="96"/>
        <v>0</v>
      </c>
      <c r="J387">
        <f t="shared" si="97"/>
        <v>11</v>
      </c>
      <c r="K387" s="4">
        <f t="shared" si="86"/>
        <v>3.5000000000000001E-3</v>
      </c>
      <c r="L387">
        <f t="shared" si="87"/>
        <v>0.02</v>
      </c>
      <c r="M387" s="4">
        <f t="shared" si="84"/>
        <v>3.85E-2</v>
      </c>
      <c r="N387" s="4">
        <f t="shared" si="85"/>
        <v>0.22</v>
      </c>
    </row>
    <row r="388" spans="1:14">
      <c r="A388" t="str">
        <f t="shared" si="88"/>
        <v>BR_IMC_DSY_RUNOT_ND_NC_2019Q1MAR_AMV_VarejoAmarokMarco</v>
      </c>
      <c r="B388" t="str">
        <f t="shared" si="89"/>
        <v>br.linkedin.com</v>
      </c>
      <c r="C388" t="str">
        <f t="shared" si="90"/>
        <v>BR_VW_AMV_Linkedin_DIS_DRCT_CPC_STD_SRB_IMC_RON_CXD_Amarok-Varejo-Marco-Corporativo-OLD-CIDADE-Amarok-AMC_PD_1080x1080</v>
      </c>
      <c r="D388" t="str">
        <f t="shared" si="91"/>
        <v>241650261</v>
      </c>
      <c r="E388" t="str">
        <f t="shared" si="92"/>
        <v>Dynamic Click</v>
      </c>
      <c r="F388" t="str">
        <f t="shared" si="93"/>
        <v>BR_VW_AMV_Linkedin_DIS_DRCT_CPC_STD_SRB_IMC_RON_CXD_Amarok-Varejo-Marco-Corporativo-OLD-CIDADE-Amarok-AMC_PD_1080x1080</v>
      </c>
      <c r="G388" t="str">
        <f t="shared" si="94"/>
        <v>438310763</v>
      </c>
      <c r="H388" t="str">
        <f t="shared" si="95"/>
        <v>Tracking</v>
      </c>
      <c r="I388">
        <f t="shared" si="96"/>
        <v>0</v>
      </c>
      <c r="J388">
        <f t="shared" si="97"/>
        <v>6</v>
      </c>
      <c r="K388" s="4">
        <f t="shared" si="86"/>
        <v>3.5000000000000001E-3</v>
      </c>
      <c r="L388">
        <f t="shared" si="87"/>
        <v>0.02</v>
      </c>
      <c r="M388" s="4">
        <f t="shared" si="84"/>
        <v>2.1000000000000001E-2</v>
      </c>
      <c r="N388" s="4">
        <f t="shared" si="85"/>
        <v>0.12</v>
      </c>
    </row>
    <row r="389" spans="1:14">
      <c r="A389" t="str">
        <f t="shared" si="88"/>
        <v>BR_IMC_DSY_RUNOT_ND_NC_2019Q1MAR_AMV_VarejoAmarokMarco</v>
      </c>
      <c r="B389" t="str">
        <f t="shared" si="89"/>
        <v>br.linkedin.com</v>
      </c>
      <c r="C389" t="str">
        <f t="shared" si="90"/>
        <v>BR_VW_AMV_Linkedin_DIS_DRCT_CPC_STD_SRB_IMC_RON_CXD_Amarok-Varejo-Marco-Corporativo-OLD-CIDADE-Amarok-AMC_PD_1200x627</v>
      </c>
      <c r="D389" t="str">
        <f t="shared" si="91"/>
        <v>241650267</v>
      </c>
      <c r="E389" t="str">
        <f t="shared" si="92"/>
        <v>Dynamic Click</v>
      </c>
      <c r="F389" t="str">
        <f t="shared" si="93"/>
        <v>BR_VW_AMV_Linkedin_DIS_DRCT_CPC_STD_SRB_IMC_RON_CXD_Amarok-Varejo-Marco-Corporativo-OLD-CIDADE-Amarok-AMC_PD_1200x627</v>
      </c>
      <c r="G389" t="str">
        <f t="shared" si="94"/>
        <v>438310769</v>
      </c>
      <c r="H389" t="str">
        <f t="shared" si="95"/>
        <v>Tracking</v>
      </c>
      <c r="I389">
        <f t="shared" si="96"/>
        <v>0</v>
      </c>
      <c r="J389">
        <f t="shared" si="97"/>
        <v>6</v>
      </c>
      <c r="K389" s="4">
        <f t="shared" si="86"/>
        <v>3.5000000000000001E-3</v>
      </c>
      <c r="L389">
        <f t="shared" si="87"/>
        <v>0.02</v>
      </c>
      <c r="M389" s="4">
        <f t="shared" si="84"/>
        <v>2.1000000000000001E-2</v>
      </c>
      <c r="N389" s="4">
        <f t="shared" si="85"/>
        <v>0.12</v>
      </c>
    </row>
    <row r="390" spans="1:14">
      <c r="A390" t="str">
        <f t="shared" si="88"/>
        <v>BR_IMC_SOC_NONMS_ND_UC_2019Q1MAR_AFS_Outlet-Pos-Vendas</v>
      </c>
      <c r="B390" t="str">
        <f t="shared" si="89"/>
        <v>Facebook</v>
      </c>
      <c r="C390" t="str">
        <f t="shared" si="90"/>
        <v>BR_VW_AFS_facebook_SOC_DRCT_CPM_STD_MXD_IMC_RON_CXD_Outlet-Pos-Vendas-Pos-Vendas-AMC-Reg1_PD_carrossel-landscape-</v>
      </c>
      <c r="D390" t="str">
        <f t="shared" si="91"/>
        <v>243048081</v>
      </c>
      <c r="E390" t="str">
        <f t="shared" si="92"/>
        <v>Dynamic Click</v>
      </c>
      <c r="F390" t="str">
        <f t="shared" si="93"/>
        <v>BR_VW_AFS_facebook_SOC_DRCT_CPM_STD_MXD_IMC_RON_CXD_Outlet-Pos-Vendas-Pos-Vendas-AMC-Reg1_PD_carrossel-landscape-</v>
      </c>
      <c r="G390" t="str">
        <f t="shared" si="94"/>
        <v>439550269</v>
      </c>
      <c r="H390" t="str">
        <f t="shared" si="95"/>
        <v>Tracking</v>
      </c>
      <c r="I390">
        <f t="shared" si="96"/>
        <v>0</v>
      </c>
      <c r="J390">
        <f t="shared" si="97"/>
        <v>2523</v>
      </c>
      <c r="K390" s="4">
        <f t="shared" si="86"/>
        <v>3.5000000000000001E-3</v>
      </c>
      <c r="L390">
        <f t="shared" si="87"/>
        <v>0.02</v>
      </c>
      <c r="M390" s="4">
        <f t="shared" si="84"/>
        <v>8.8305000000000007</v>
      </c>
      <c r="N390" s="4">
        <f t="shared" si="85"/>
        <v>50.46</v>
      </c>
    </row>
    <row r="391" spans="1:14">
      <c r="A391" t="str">
        <f t="shared" si="88"/>
        <v>BR_IMC_SOC_NONMS_ND_UC_2019Q1MAR_AFS_Outlet-Pos-Vendas</v>
      </c>
      <c r="B391" t="str">
        <f t="shared" si="89"/>
        <v>Facebook</v>
      </c>
      <c r="C391" t="str">
        <f t="shared" si="90"/>
        <v>BR_VW_AFS_facebook_SOC_DRCT_CPM_STD_MXD_IMC_RON_CXD_Outlet-Pos-Vendas-Pos-Vendas-AMC-Reg2_PD_carrossel-landscape-</v>
      </c>
      <c r="D391" t="str">
        <f t="shared" si="91"/>
        <v>243048078</v>
      </c>
      <c r="E391" t="str">
        <f t="shared" si="92"/>
        <v>Dynamic Click</v>
      </c>
      <c r="F391" t="str">
        <f t="shared" si="93"/>
        <v>BR_VW_AFS_facebook_SOC_DRCT_CPM_STD_MXD_IMC_RON_CXD_Outlet-Pos-Vendas-Pos-Vendas-AMC-Reg2_PD_carrossel-landscape-</v>
      </c>
      <c r="G391" t="str">
        <f t="shared" si="94"/>
        <v>439550266</v>
      </c>
      <c r="H391" t="str">
        <f t="shared" si="95"/>
        <v>Tracking</v>
      </c>
      <c r="I391">
        <f t="shared" si="96"/>
        <v>0</v>
      </c>
      <c r="J391">
        <f t="shared" si="97"/>
        <v>3544</v>
      </c>
      <c r="K391" s="4">
        <f t="shared" si="86"/>
        <v>3.5000000000000001E-3</v>
      </c>
      <c r="L391">
        <f t="shared" si="87"/>
        <v>0.02</v>
      </c>
      <c r="M391" s="4">
        <f t="shared" si="84"/>
        <v>12.404</v>
      </c>
      <c r="N391" s="4">
        <f t="shared" si="85"/>
        <v>70.88</v>
      </c>
    </row>
    <row r="392" spans="1:14">
      <c r="A392" t="str">
        <f t="shared" si="88"/>
        <v>BR_IMC_SOC_NONMS_ND_UC_2019Q1MAR_AFS_Outlet-Pos-Vendas</v>
      </c>
      <c r="B392" t="str">
        <f t="shared" si="89"/>
        <v>Facebook</v>
      </c>
      <c r="C392" t="str">
        <f t="shared" si="90"/>
        <v>BR_VW_AFS_facebook_SOC_DRCT_CPM_STD_MXD_IMC_RON_CXD_Outlet-Pos-Vendas-Pos-Vendas-AMC-Reg3_PD_carrossel-landscape-</v>
      </c>
      <c r="D392" t="str">
        <f t="shared" si="91"/>
        <v>243048075</v>
      </c>
      <c r="E392" t="str">
        <f t="shared" si="92"/>
        <v>Dynamic Click</v>
      </c>
      <c r="F392" t="str">
        <f t="shared" si="93"/>
        <v>BR_VW_AFS_facebook_SOC_DRCT_CPM_STD_MXD_IMC_RON_CXD_Outlet-Pos-Vendas-Pos-Vendas-AMC-Reg3_PD_carrossel-landscape-</v>
      </c>
      <c r="G392" t="str">
        <f t="shared" si="94"/>
        <v>439550263</v>
      </c>
      <c r="H392" t="str">
        <f t="shared" si="95"/>
        <v>Tracking</v>
      </c>
      <c r="I392">
        <f t="shared" si="96"/>
        <v>0</v>
      </c>
      <c r="J392">
        <f t="shared" si="97"/>
        <v>3802</v>
      </c>
      <c r="K392" s="4">
        <f t="shared" si="86"/>
        <v>3.5000000000000001E-3</v>
      </c>
      <c r="L392">
        <f t="shared" si="87"/>
        <v>0.02</v>
      </c>
      <c r="M392" s="4">
        <f t="shared" si="84"/>
        <v>13.307</v>
      </c>
      <c r="N392" s="4">
        <f t="shared" si="85"/>
        <v>76.040000000000006</v>
      </c>
    </row>
    <row r="393" spans="1:14">
      <c r="A393" t="str">
        <f t="shared" si="88"/>
        <v>BR_IMC_SOC_NONMS_ND_UC_2019Q1MAR_AFS_Outlet-Pos-Vendas</v>
      </c>
      <c r="B393" t="str">
        <f t="shared" si="89"/>
        <v>Facebook</v>
      </c>
      <c r="C393" t="str">
        <f t="shared" si="90"/>
        <v>BR_VW_AFS_facebook_SOC_DRCT_CPM_STD_MXD_IMC_RON_CXD_Outlet-Pos-Vendas-Pos-Vendas-AMC-Reg4_PD_carrossel-landscape-</v>
      </c>
      <c r="D393" t="str">
        <f t="shared" si="91"/>
        <v>243048072</v>
      </c>
      <c r="E393" t="str">
        <f t="shared" si="92"/>
        <v>Dynamic Click</v>
      </c>
      <c r="F393" t="str">
        <f t="shared" si="93"/>
        <v>BR_VW_AFS_facebook_SOC_DRCT_CPM_STD_MXD_IMC_RON_CXD_Outlet-Pos-Vendas-Pos-Vendas-AMC-Reg4_PD_carrossel-landscape-</v>
      </c>
      <c r="G393" t="str">
        <f t="shared" si="94"/>
        <v>439550260</v>
      </c>
      <c r="H393" t="str">
        <f t="shared" si="95"/>
        <v>Tracking</v>
      </c>
      <c r="I393">
        <f t="shared" si="96"/>
        <v>0</v>
      </c>
      <c r="J393">
        <f t="shared" si="97"/>
        <v>3717</v>
      </c>
      <c r="K393" s="4">
        <f t="shared" si="86"/>
        <v>3.5000000000000001E-3</v>
      </c>
      <c r="L393">
        <f t="shared" si="87"/>
        <v>0.02</v>
      </c>
      <c r="M393" s="4">
        <f t="shared" si="84"/>
        <v>13.009500000000001</v>
      </c>
      <c r="N393" s="4">
        <f t="shared" si="85"/>
        <v>74.34</v>
      </c>
    </row>
    <row r="394" spans="1:14">
      <c r="A394" t="str">
        <f t="shared" si="88"/>
        <v>BR_IMC_SOC_NONMS_ND_UC_2019Q1MAR_AFS_Outlet-Pos-Vendas</v>
      </c>
      <c r="B394" t="str">
        <f t="shared" si="89"/>
        <v>Facebook</v>
      </c>
      <c r="C394" t="str">
        <f t="shared" si="90"/>
        <v>BR_VW_AFS_facebook_SOC_DRCT_CPM_STD_MXD_IMC_RON_CXD_Outlet-Pos-Vendas-Pos-Vendas-AMC-Reg5_PD_carrossel-landscape-</v>
      </c>
      <c r="D394" t="str">
        <f t="shared" si="91"/>
        <v>243048069</v>
      </c>
      <c r="E394" t="str">
        <f t="shared" si="92"/>
        <v>Dynamic Click</v>
      </c>
      <c r="F394" t="str">
        <f t="shared" si="93"/>
        <v>BR_VW_AFS_facebook_SOC_DRCT_CPM_STD_MXD_IMC_RON_CXD_Outlet-Pos-Vendas-Pos-Vendas-AMC-Reg5_PD_carrossel-landscape-</v>
      </c>
      <c r="G394" t="str">
        <f t="shared" si="94"/>
        <v>439550257</v>
      </c>
      <c r="H394" t="str">
        <f t="shared" si="95"/>
        <v>Tracking</v>
      </c>
      <c r="I394">
        <f t="shared" si="96"/>
        <v>0</v>
      </c>
      <c r="J394">
        <f t="shared" si="97"/>
        <v>3662</v>
      </c>
      <c r="K394" s="4">
        <f t="shared" si="86"/>
        <v>3.5000000000000001E-3</v>
      </c>
      <c r="L394">
        <f t="shared" si="87"/>
        <v>0.02</v>
      </c>
      <c r="M394" s="4">
        <f t="shared" si="84"/>
        <v>12.817</v>
      </c>
      <c r="N394" s="4">
        <f t="shared" si="85"/>
        <v>73.239999999999995</v>
      </c>
    </row>
    <row r="395" spans="1:14">
      <c r="A395" t="str">
        <f t="shared" si="88"/>
        <v>BR_IMC_SOC_NONMS_ND_UC_2019Q1MAR_AFS_Outlet-Pos-Vendas</v>
      </c>
      <c r="B395" t="str">
        <f t="shared" si="89"/>
        <v>Facebook</v>
      </c>
      <c r="C395" t="str">
        <f t="shared" si="90"/>
        <v>BR_VW_AFS_facebook_SOC_DRCT_CPM_STD_MXD_IMC_RON_CXD_Outlet-Pos-Vendas-Pos-Vendas-AMC-Reg6_PD_carrossel-landscape-</v>
      </c>
      <c r="D395" t="str">
        <f t="shared" si="91"/>
        <v>243048066</v>
      </c>
      <c r="E395" t="str">
        <f t="shared" si="92"/>
        <v>Dynamic Click</v>
      </c>
      <c r="F395" t="str">
        <f t="shared" si="93"/>
        <v>BR_VW_AFS_facebook_SOC_DRCT_CPM_STD_MXD_IMC_RON_CXD_Outlet-Pos-Vendas-Pos-Vendas-AMC-Reg6_PD_carrossel-landscape-</v>
      </c>
      <c r="G395" t="str">
        <f t="shared" si="94"/>
        <v>439550254</v>
      </c>
      <c r="H395" t="str">
        <f t="shared" si="95"/>
        <v>Tracking</v>
      </c>
      <c r="I395">
        <f t="shared" si="96"/>
        <v>0</v>
      </c>
      <c r="J395">
        <f t="shared" si="97"/>
        <v>3590</v>
      </c>
      <c r="K395" s="4">
        <f t="shared" si="86"/>
        <v>3.5000000000000001E-3</v>
      </c>
      <c r="L395">
        <f t="shared" si="87"/>
        <v>0.02</v>
      </c>
      <c r="M395" s="4">
        <f t="shared" si="84"/>
        <v>12.565</v>
      </c>
      <c r="N395" s="4">
        <f t="shared" si="85"/>
        <v>71.8</v>
      </c>
    </row>
    <row r="396" spans="1:14">
      <c r="A396" t="str">
        <f t="shared" si="88"/>
        <v>BR_IMC_SOC_NONMS_ND_UC_2019Q1MAR_AFS_Outlet-Pos-Vendas</v>
      </c>
      <c r="B396" t="str">
        <f t="shared" si="89"/>
        <v>Facebook</v>
      </c>
      <c r="C396" t="str">
        <f t="shared" si="90"/>
        <v>BR_VW_AFS_facebook_SOC_DRCT_CPM_STD_MXD_IMC_RON_CXD_Outlet-Pos-Vendas-Pos-Vendas-AMC-Reg7_PD_carrossel-landscape-</v>
      </c>
      <c r="D396" t="str">
        <f t="shared" si="91"/>
        <v>243048063</v>
      </c>
      <c r="E396" t="str">
        <f t="shared" si="92"/>
        <v>Dynamic Click</v>
      </c>
      <c r="F396" t="str">
        <f t="shared" si="93"/>
        <v>BR_VW_AFS_facebook_SOC_DRCT_CPM_STD_MXD_IMC_RON_CXD_Outlet-Pos-Vendas-Pos-Vendas-AMC-Reg7_PD_carrossel-landscape-</v>
      </c>
      <c r="G396" t="str">
        <f t="shared" si="94"/>
        <v>439550251</v>
      </c>
      <c r="H396" t="str">
        <f t="shared" si="95"/>
        <v>Tracking</v>
      </c>
      <c r="I396">
        <f t="shared" si="96"/>
        <v>0</v>
      </c>
      <c r="J396">
        <f t="shared" si="97"/>
        <v>3704</v>
      </c>
      <c r="K396" s="4">
        <f t="shared" si="86"/>
        <v>3.5000000000000001E-3</v>
      </c>
      <c r="L396">
        <f t="shared" si="87"/>
        <v>0.02</v>
      </c>
      <c r="M396" s="4">
        <f t="shared" si="84"/>
        <v>12.964</v>
      </c>
      <c r="N396" s="4">
        <f t="shared" si="85"/>
        <v>74.08</v>
      </c>
    </row>
    <row r="397" spans="1:14">
      <c r="A397" t="str">
        <f t="shared" si="88"/>
        <v>BR_IMC_SOC_NONMS_ND_UC_2019Q1MAR_AFS_Outlet-Pos-Vendas</v>
      </c>
      <c r="B397" t="str">
        <f t="shared" si="89"/>
        <v>Facebook</v>
      </c>
      <c r="C397" t="str">
        <f t="shared" si="90"/>
        <v>BR_VW_AFS_facebook_SOC_DRCT_CPM_STD_SRB_IMC_RON_CXD_Outlet-Pos-Vendas-Pos-Vendas-AMC_PD_PagePost</v>
      </c>
      <c r="D397" t="str">
        <f t="shared" si="91"/>
        <v>243048084</v>
      </c>
      <c r="E397" t="str">
        <f t="shared" si="92"/>
        <v>Dynamic Click</v>
      </c>
      <c r="F397" t="str">
        <f t="shared" si="93"/>
        <v>BR_VW_AFS_facebook_SOC_DRCT_CPM_STD_SRB_IMC_RON_CXD_Outlet-Pos-Vendas-Pos-Vendas-AMC_PD_PagePost</v>
      </c>
      <c r="G397" t="str">
        <f t="shared" si="94"/>
        <v>439550272</v>
      </c>
      <c r="H397" t="str">
        <f t="shared" si="95"/>
        <v>Tracking</v>
      </c>
      <c r="I397">
        <f t="shared" si="96"/>
        <v>0</v>
      </c>
      <c r="J397">
        <f t="shared" si="97"/>
        <v>61929</v>
      </c>
      <c r="K397" s="4">
        <f t="shared" si="86"/>
        <v>3.5000000000000001E-3</v>
      </c>
      <c r="L397">
        <f t="shared" si="87"/>
        <v>0.02</v>
      </c>
      <c r="M397" s="4">
        <f t="shared" si="84"/>
        <v>216.75149999999999</v>
      </c>
      <c r="N397" s="4">
        <f t="shared" si="85"/>
        <v>1238.58</v>
      </c>
    </row>
    <row r="398" spans="1:14">
      <c r="A398" t="str">
        <f t="shared" si="88"/>
        <v>BR_IMC_SOC_PRESA_ND_NC_2019Q1FEB_TCR_Pre-Venda-T-Cross</v>
      </c>
      <c r="B398" t="str">
        <f t="shared" si="89"/>
        <v>faceinsta</v>
      </c>
      <c r="C398" t="str">
        <f t="shared" si="90"/>
        <v>BR_VW_TCR_faceinsta_SOC_DRCT_CPM_CLK_MPU_IMC_ROS_CXD_Pre-Venda-Tcross-AMC-Tcross_PD_Stories</v>
      </c>
      <c r="D398" t="str">
        <f t="shared" si="91"/>
        <v>240534265</v>
      </c>
      <c r="E398" t="str">
        <f t="shared" si="92"/>
        <v>Dynamic Click</v>
      </c>
      <c r="F398" t="str">
        <f t="shared" si="93"/>
        <v>BR_VW_TCR_faceinsta_SOC_DRCT_CPM_CLK_MPU_IMC_ROS_CXD_Pre-Venda-Tcross-AMC-Tcross_PD_Stories</v>
      </c>
      <c r="G398" t="str">
        <f t="shared" si="94"/>
        <v>437550820</v>
      </c>
      <c r="H398" t="str">
        <f t="shared" si="95"/>
        <v>Tracking</v>
      </c>
      <c r="I398">
        <f t="shared" si="96"/>
        <v>0</v>
      </c>
      <c r="J398">
        <f t="shared" si="97"/>
        <v>1</v>
      </c>
      <c r="K398" s="4">
        <f t="shared" si="86"/>
        <v>3.5000000000000001E-3</v>
      </c>
      <c r="L398">
        <f t="shared" si="87"/>
        <v>0.02</v>
      </c>
      <c r="M398" s="4">
        <f t="shared" si="84"/>
        <v>3.5000000000000001E-3</v>
      </c>
      <c r="N398" s="4">
        <f t="shared" si="85"/>
        <v>0.02</v>
      </c>
    </row>
    <row r="399" spans="1:14">
      <c r="A399" t="str">
        <f t="shared" si="88"/>
        <v>BR_IMC_SOC_PRESA_ND_NC_2019Q1FEB_TCR_Pre-Venda-T-Cross</v>
      </c>
      <c r="B399" t="str">
        <f t="shared" si="89"/>
        <v>faceinsta</v>
      </c>
      <c r="C399" t="str">
        <f t="shared" si="90"/>
        <v>BR_VW_TCR_faceinsta_SOC_DRCT_CPM_CLK_SRB_IMC_ROS_CXD_Pre-Venda-Tcross-AMC-Tcross_PD_1200x628</v>
      </c>
      <c r="D399" t="str">
        <f t="shared" si="91"/>
        <v>240533722</v>
      </c>
      <c r="E399" t="str">
        <f t="shared" si="92"/>
        <v>Dynamic Click</v>
      </c>
      <c r="F399" t="str">
        <f t="shared" si="93"/>
        <v>BR_VW_TCR_faceinsta_SOC_DRCT_CPM_CLK_SRB_IMC_ROS_CXD_Pre-Venda-Tcross-AMC-Tcross_PD_1200x628</v>
      </c>
      <c r="G399" t="str">
        <f t="shared" si="94"/>
        <v>437461146</v>
      </c>
      <c r="H399" t="str">
        <f t="shared" si="95"/>
        <v>Tracking</v>
      </c>
      <c r="I399">
        <f t="shared" si="96"/>
        <v>0</v>
      </c>
      <c r="J399">
        <f t="shared" si="97"/>
        <v>297</v>
      </c>
      <c r="K399" s="4">
        <f t="shared" si="86"/>
        <v>3.5000000000000001E-3</v>
      </c>
      <c r="L399">
        <f t="shared" si="87"/>
        <v>0.02</v>
      </c>
      <c r="M399" s="4">
        <f t="shared" si="84"/>
        <v>1.0395000000000001</v>
      </c>
      <c r="N399" s="4">
        <f t="shared" si="85"/>
        <v>5.94</v>
      </c>
    </row>
    <row r="400" spans="1:14">
      <c r="A400" t="str">
        <f t="shared" si="88"/>
        <v>BR_TAT_DSY_NONMS_ND_NC_2019Q1FEB_RNG_AlwaysOn</v>
      </c>
      <c r="B400" t="str">
        <f t="shared" si="89"/>
        <v>GSP</v>
      </c>
      <c r="C400" t="str">
        <f t="shared" si="90"/>
        <v>BR_VW_RNG_gsp_DIS_DRCT_CPC_CLK_MPU_TAT_RON_CXD_fox-xtreme-Rmkt-View-content_PD_email</v>
      </c>
      <c r="D400" t="str">
        <f t="shared" si="91"/>
        <v>242986564</v>
      </c>
      <c r="E400" t="str">
        <f t="shared" si="92"/>
        <v>Dynamic Click</v>
      </c>
      <c r="F400" t="str">
        <f t="shared" si="93"/>
        <v>BR_VW_RNG_gsp_DIS_DRCT_CPC_CLK_MPU_TAT_RON_CXD_fox-xtreme-Rmkt-View-content_PD_email</v>
      </c>
      <c r="G400" t="str">
        <f t="shared" si="94"/>
        <v>439684066</v>
      </c>
      <c r="H400" t="str">
        <f t="shared" si="95"/>
        <v>Tracking</v>
      </c>
      <c r="I400">
        <f t="shared" si="96"/>
        <v>0</v>
      </c>
      <c r="J400">
        <f t="shared" si="97"/>
        <v>1197</v>
      </c>
      <c r="K400" s="4">
        <f t="shared" si="86"/>
        <v>3.5000000000000001E-3</v>
      </c>
      <c r="L400">
        <f t="shared" si="87"/>
        <v>0.02</v>
      </c>
      <c r="M400" s="4">
        <f t="shared" si="84"/>
        <v>4.1894999999999998</v>
      </c>
      <c r="N400" s="4">
        <f t="shared" si="85"/>
        <v>23.94</v>
      </c>
    </row>
    <row r="401" spans="1:14">
      <c r="A401" t="str">
        <f t="shared" si="88"/>
        <v>BR_TAT_DSY_NONMS_ND_NC_2019Q1FEB_RNG_AlwaysOn</v>
      </c>
      <c r="B401" t="str">
        <f t="shared" si="89"/>
        <v>GSP</v>
      </c>
      <c r="C401" t="str">
        <f t="shared" si="90"/>
        <v>BR_VW_RNG_gsp_DIS_DRCT_CPC_CLK_MPU_TAT_RON_CXD_gol-Rmkt-View-content_PD_email</v>
      </c>
      <c r="D401" t="str">
        <f t="shared" si="91"/>
        <v>242986567</v>
      </c>
      <c r="E401" t="str">
        <f t="shared" si="92"/>
        <v>Dynamic Click</v>
      </c>
      <c r="F401" t="str">
        <f t="shared" si="93"/>
        <v>BR_VW_RNG_gsp_DIS_DRCT_CPC_CLK_MPU_TAT_RON_CXD_gol-Rmkt-View-content_PD_email</v>
      </c>
      <c r="G401" t="str">
        <f t="shared" si="94"/>
        <v>439684069</v>
      </c>
      <c r="H401" t="str">
        <f t="shared" si="95"/>
        <v>Tracking</v>
      </c>
      <c r="I401">
        <f t="shared" si="96"/>
        <v>0</v>
      </c>
      <c r="J401">
        <f t="shared" si="97"/>
        <v>872</v>
      </c>
      <c r="K401" s="4">
        <f t="shared" si="86"/>
        <v>3.5000000000000001E-3</v>
      </c>
      <c r="L401">
        <f t="shared" si="87"/>
        <v>0.02</v>
      </c>
      <c r="M401" s="4">
        <f t="shared" si="84"/>
        <v>3.052</v>
      </c>
      <c r="N401" s="4">
        <f t="shared" si="85"/>
        <v>17.440000000000001</v>
      </c>
    </row>
    <row r="402" spans="1:14">
      <c r="A402" t="str">
        <f t="shared" si="88"/>
        <v>BR_TAT_DSY_NONMS_ND_NC_2019Q1FEB_RNG_AlwaysOn</v>
      </c>
      <c r="B402" t="str">
        <f t="shared" si="89"/>
        <v>GSP</v>
      </c>
      <c r="C402" t="str">
        <f t="shared" si="90"/>
        <v>BR_VW_RNG_gsp_DIS_DRCT_CPC_CLK_MPU_TAT_RON_CXD_jetta-Rmkt-View-content_PD_email</v>
      </c>
      <c r="D402" t="str">
        <f t="shared" si="91"/>
        <v>242986570</v>
      </c>
      <c r="E402" t="str">
        <f t="shared" si="92"/>
        <v>Dynamic Click</v>
      </c>
      <c r="F402" t="str">
        <f t="shared" si="93"/>
        <v>BR_VW_RNG_gsp_DIS_DRCT_CPC_CLK_MPU_TAT_RON_CXD_jetta-Rmkt-View-content_PD_email</v>
      </c>
      <c r="G402" t="str">
        <f t="shared" si="94"/>
        <v>439684072</v>
      </c>
      <c r="H402" t="str">
        <f t="shared" si="95"/>
        <v>Tracking</v>
      </c>
      <c r="I402">
        <f t="shared" si="96"/>
        <v>0</v>
      </c>
      <c r="J402">
        <f t="shared" si="97"/>
        <v>1016</v>
      </c>
      <c r="K402" s="4">
        <f t="shared" si="86"/>
        <v>3.5000000000000001E-3</v>
      </c>
      <c r="L402">
        <f t="shared" si="87"/>
        <v>0.02</v>
      </c>
      <c r="M402" s="4">
        <f t="shared" si="84"/>
        <v>3.556</v>
      </c>
      <c r="N402" s="4">
        <f t="shared" si="85"/>
        <v>20.32</v>
      </c>
    </row>
    <row r="403" spans="1:14">
      <c r="A403" t="str">
        <f t="shared" si="88"/>
        <v>BR_TAT_DSY_NONMS_ND_NC_2019Q1FEB_RNG_AlwaysOn</v>
      </c>
      <c r="B403" t="str">
        <f t="shared" si="89"/>
        <v>GSP</v>
      </c>
      <c r="C403" t="str">
        <f t="shared" si="90"/>
        <v>BR_VW_RNG_gsp_DIS_DRCT_CPC_CLK_MPU_TAT_RON_CXD_passat-Rmkt-View-content_PD_email</v>
      </c>
      <c r="D403" t="str">
        <f t="shared" si="91"/>
        <v>242986573</v>
      </c>
      <c r="E403" t="str">
        <f t="shared" si="92"/>
        <v>Dynamic Click</v>
      </c>
      <c r="F403" t="str">
        <f t="shared" si="93"/>
        <v>BR_VW_RNG_gsp_DIS_DRCT_CPC_CLK_MPU_TAT_RON_CXD_passat-Rmkt-View-content_PD_email</v>
      </c>
      <c r="G403" t="str">
        <f t="shared" si="94"/>
        <v>439684075</v>
      </c>
      <c r="H403" t="str">
        <f t="shared" si="95"/>
        <v>Tracking</v>
      </c>
      <c r="I403">
        <f t="shared" si="96"/>
        <v>0</v>
      </c>
      <c r="J403">
        <f t="shared" si="97"/>
        <v>418</v>
      </c>
      <c r="K403" s="4">
        <f t="shared" si="86"/>
        <v>3.5000000000000001E-3</v>
      </c>
      <c r="L403">
        <f t="shared" si="87"/>
        <v>0.02</v>
      </c>
      <c r="M403" s="4">
        <f t="shared" si="84"/>
        <v>1.4630000000000001</v>
      </c>
      <c r="N403" s="4">
        <f t="shared" si="85"/>
        <v>8.36</v>
      </c>
    </row>
    <row r="404" spans="1:14">
      <c r="A404" t="str">
        <f t="shared" si="88"/>
        <v>BR_TAT_DSY_NONMS_ND_NC_2019Q1FEB_RNG_AlwaysOn</v>
      </c>
      <c r="B404" t="str">
        <f t="shared" si="89"/>
        <v>GSP</v>
      </c>
      <c r="C404" t="str">
        <f t="shared" si="90"/>
        <v>BR_VW_RNG_gsp_DIS_DRCT_CPC_CLK_MPU_TAT_RON_CXD_polo-Rmkt-View-content_PD_email</v>
      </c>
      <c r="D404" t="str">
        <f t="shared" si="91"/>
        <v>242986576</v>
      </c>
      <c r="E404" t="str">
        <f t="shared" si="92"/>
        <v>Dynamic Click</v>
      </c>
      <c r="F404" t="str">
        <f t="shared" si="93"/>
        <v>BR_VW_RNG_gsp_DIS_DRCT_CPC_CLK_MPU_TAT_RON_CXD_polo-Rmkt-View-content_PD_email</v>
      </c>
      <c r="G404" t="str">
        <f t="shared" si="94"/>
        <v>439684078</v>
      </c>
      <c r="H404" t="str">
        <f t="shared" si="95"/>
        <v>Tracking</v>
      </c>
      <c r="I404">
        <f t="shared" si="96"/>
        <v>0</v>
      </c>
      <c r="J404">
        <f t="shared" si="97"/>
        <v>1576</v>
      </c>
      <c r="K404" s="4">
        <f t="shared" si="86"/>
        <v>3.5000000000000001E-3</v>
      </c>
      <c r="L404">
        <f t="shared" si="87"/>
        <v>0.02</v>
      </c>
      <c r="M404" s="4">
        <f t="shared" si="84"/>
        <v>5.516</v>
      </c>
      <c r="N404" s="4">
        <f t="shared" si="85"/>
        <v>31.52</v>
      </c>
    </row>
    <row r="405" spans="1:14">
      <c r="A405" t="str">
        <f t="shared" si="88"/>
        <v>BR_TAT_DSY_NONMS_ND_NC_2019Q1FEB_RNG_AlwaysOn</v>
      </c>
      <c r="B405" t="str">
        <f t="shared" si="89"/>
        <v>GSP</v>
      </c>
      <c r="C405" t="str">
        <f t="shared" si="90"/>
        <v>BR_VW_RNG_gsp_DIS_DRCT_CPC_CLK_MPU_TAT_RON_CXD_saveiro-Rmkt-View-content_PD_email</v>
      </c>
      <c r="D405" t="str">
        <f t="shared" si="91"/>
        <v>242986579</v>
      </c>
      <c r="E405" t="str">
        <f t="shared" si="92"/>
        <v>Dynamic Click</v>
      </c>
      <c r="F405" t="str">
        <f t="shared" si="93"/>
        <v>BR_VW_RNG_gsp_DIS_DRCT_CPC_CLK_MPU_TAT_RON_CXD_saveiro-Rmkt-View-content_PD_email</v>
      </c>
      <c r="G405" t="str">
        <f t="shared" si="94"/>
        <v>439684081</v>
      </c>
      <c r="H405" t="str">
        <f t="shared" si="95"/>
        <v>Tracking</v>
      </c>
      <c r="I405">
        <f t="shared" si="96"/>
        <v>0</v>
      </c>
      <c r="J405">
        <f t="shared" si="97"/>
        <v>96</v>
      </c>
      <c r="K405" s="4">
        <f t="shared" si="86"/>
        <v>3.5000000000000001E-3</v>
      </c>
      <c r="L405">
        <f t="shared" si="87"/>
        <v>0.02</v>
      </c>
      <c r="M405" s="4">
        <f t="shared" si="84"/>
        <v>0.33600000000000002</v>
      </c>
      <c r="N405" s="4">
        <f t="shared" si="85"/>
        <v>1.92</v>
      </c>
    </row>
    <row r="406" spans="1:14">
      <c r="A406" t="str">
        <f t="shared" si="88"/>
        <v>BR_TAT_DSY_NONMS_ND_NC_2019Q1FEB_RNG_AlwaysOn</v>
      </c>
      <c r="B406" t="str">
        <f t="shared" si="89"/>
        <v>GSP</v>
      </c>
      <c r="C406" t="str">
        <f t="shared" si="90"/>
        <v>BR_VW_RNG_gsp_DIS_DRCT_CPC_CLK_MPU_TAT_RON_CXD_tiguan-Rmkt-View-content_PD_email</v>
      </c>
      <c r="D406" t="str">
        <f t="shared" si="91"/>
        <v>242986582</v>
      </c>
      <c r="E406" t="str">
        <f t="shared" si="92"/>
        <v>Dynamic Click</v>
      </c>
      <c r="F406" t="str">
        <f t="shared" si="93"/>
        <v>BR_VW_RNG_gsp_DIS_DRCT_CPC_CLK_MPU_TAT_RON_CXD_tiguan-Rmkt-View-content_PD_email</v>
      </c>
      <c r="G406" t="str">
        <f t="shared" si="94"/>
        <v>439684084</v>
      </c>
      <c r="H406" t="str">
        <f t="shared" si="95"/>
        <v>Tracking</v>
      </c>
      <c r="I406">
        <f t="shared" si="96"/>
        <v>0</v>
      </c>
      <c r="J406">
        <f t="shared" si="97"/>
        <v>178</v>
      </c>
      <c r="K406" s="4">
        <f t="shared" si="86"/>
        <v>3.5000000000000001E-3</v>
      </c>
      <c r="L406">
        <f t="shared" si="87"/>
        <v>0.02</v>
      </c>
      <c r="M406" s="4">
        <f t="shared" si="84"/>
        <v>0.623</v>
      </c>
      <c r="N406" s="4">
        <f t="shared" si="85"/>
        <v>3.56</v>
      </c>
    </row>
    <row r="407" spans="1:14">
      <c r="A407" t="str">
        <f t="shared" si="88"/>
        <v>BR_TAT_DSY_NONMS_ND_NC_2019Q1FEB_RNG_AlwaysOn</v>
      </c>
      <c r="B407" t="str">
        <f t="shared" si="89"/>
        <v>GSP</v>
      </c>
      <c r="C407" t="str">
        <f t="shared" si="90"/>
        <v>BR_VW_RNG_gsp_DIS_DRCT_CPC_CLK_MPU_TAT_RON_CXD_up-Rmkt-View-content_PD_email</v>
      </c>
      <c r="D407" t="str">
        <f t="shared" si="91"/>
        <v>242986585</v>
      </c>
      <c r="E407" t="str">
        <f t="shared" si="92"/>
        <v>Dynamic Click</v>
      </c>
      <c r="F407" t="str">
        <f t="shared" si="93"/>
        <v>BR_VW_RNG_gsp_DIS_DRCT_CPC_CLK_MPU_TAT_RON_CXD_up-Rmkt-View-content_PD_email</v>
      </c>
      <c r="G407" t="str">
        <f t="shared" si="94"/>
        <v>439684087</v>
      </c>
      <c r="H407" t="str">
        <f t="shared" si="95"/>
        <v>Tracking</v>
      </c>
      <c r="I407">
        <f t="shared" si="96"/>
        <v>0</v>
      </c>
      <c r="J407">
        <f t="shared" si="97"/>
        <v>311</v>
      </c>
      <c r="K407" s="4">
        <f t="shared" si="86"/>
        <v>3.5000000000000001E-3</v>
      </c>
      <c r="L407">
        <f t="shared" si="87"/>
        <v>0.02</v>
      </c>
      <c r="M407" s="4">
        <f t="shared" si="84"/>
        <v>1.0885</v>
      </c>
      <c r="N407" s="4">
        <f t="shared" si="85"/>
        <v>6.22</v>
      </c>
    </row>
    <row r="408" spans="1:14">
      <c r="A408" t="str">
        <f t="shared" si="88"/>
        <v>BR_TAT_DSY_NONMS_ND_NC_2019Q1FEB_RNG_AlwaysOn</v>
      </c>
      <c r="B408" t="str">
        <f t="shared" si="89"/>
        <v>GSP</v>
      </c>
      <c r="C408" t="str">
        <f t="shared" si="90"/>
        <v>BR_VW_RNG_gsp_DIS_DRCT_CPC_CLK_MPU_TAT_RON_CXD_virtus-Rmkt-View-content_PD_email</v>
      </c>
      <c r="D408" t="str">
        <f t="shared" si="91"/>
        <v>242986588</v>
      </c>
      <c r="E408" t="str">
        <f t="shared" si="92"/>
        <v>Dynamic Click</v>
      </c>
      <c r="F408" t="str">
        <f t="shared" si="93"/>
        <v>BR_VW_RNG_gsp_DIS_DRCT_CPC_CLK_MPU_TAT_RON_CXD_virtus-Rmkt-View-content_PD_email</v>
      </c>
      <c r="G408" t="str">
        <f t="shared" si="94"/>
        <v>439684090</v>
      </c>
      <c r="H408" t="str">
        <f t="shared" si="95"/>
        <v>Tracking</v>
      </c>
      <c r="I408">
        <f t="shared" si="96"/>
        <v>0</v>
      </c>
      <c r="J408">
        <f t="shared" si="97"/>
        <v>333</v>
      </c>
      <c r="K408" s="4">
        <f t="shared" si="86"/>
        <v>3.5000000000000001E-3</v>
      </c>
      <c r="L408">
        <f t="shared" si="87"/>
        <v>0.02</v>
      </c>
      <c r="M408" s="4">
        <f t="shared" si="84"/>
        <v>1.1655</v>
      </c>
      <c r="N408" s="4">
        <f t="shared" si="85"/>
        <v>6.66</v>
      </c>
    </row>
    <row r="409" spans="1:14">
      <c r="A409" t="str">
        <f t="shared" si="88"/>
        <v>BR_TAT_DSY_NONMS_ND_NC_2019Q1FEB_RNG_AlwaysOn</v>
      </c>
      <c r="B409" t="str">
        <f t="shared" si="89"/>
        <v>GSP</v>
      </c>
      <c r="C409" t="str">
        <f t="shared" si="90"/>
        <v>BR_VW_RNG_gsp_DIS_DRCT_CPC_CLK_MPU_TAT_RON_CXD_voyage-Rmkt-View-content_PD_email</v>
      </c>
      <c r="D409" t="str">
        <f t="shared" si="91"/>
        <v>242992600</v>
      </c>
      <c r="E409" t="str">
        <f t="shared" si="92"/>
        <v>Dynamic Click</v>
      </c>
      <c r="F409" t="str">
        <f t="shared" si="93"/>
        <v>BR_VW_RNG_gsp_DIS_DRCT_CPC_CLK_MPU_TAT_RON_CXD_voyage-Rmkt-View-content_PD_email</v>
      </c>
      <c r="G409" t="str">
        <f t="shared" si="94"/>
        <v>439684093</v>
      </c>
      <c r="H409" t="str">
        <f t="shared" si="95"/>
        <v>Tracking</v>
      </c>
      <c r="I409">
        <f t="shared" si="96"/>
        <v>0</v>
      </c>
      <c r="J409">
        <f t="shared" si="97"/>
        <v>2336</v>
      </c>
      <c r="K409" s="4">
        <f t="shared" si="86"/>
        <v>3.5000000000000001E-3</v>
      </c>
      <c r="L409">
        <f t="shared" si="87"/>
        <v>0.02</v>
      </c>
      <c r="M409" s="4">
        <f t="shared" si="84"/>
        <v>8.1760000000000002</v>
      </c>
      <c r="N409" s="4">
        <f t="shared" si="85"/>
        <v>46.72</v>
      </c>
    </row>
    <row r="410" spans="1:14">
      <c r="A410" t="str">
        <f t="shared" si="88"/>
        <v>BR_TAT_DSY_NONMS_ND_NC_2019Q1FEB_RNG_AlwaysOn</v>
      </c>
      <c r="B410" t="str">
        <f t="shared" si="89"/>
        <v>Google Brasil</v>
      </c>
      <c r="C410" t="str">
        <f t="shared" si="90"/>
        <v>BR_VW_RNG_dv360_DIS_PROG_CPM_CAI_MXD_TAT_RON_CXD_Varejo-Outlet-Rmkt_PD_nativeads</v>
      </c>
      <c r="D410" t="str">
        <f t="shared" si="91"/>
        <v>242131825</v>
      </c>
      <c r="E410" t="str">
        <f t="shared" si="92"/>
        <v>Standard</v>
      </c>
      <c r="F410" t="str">
        <f t="shared" si="93"/>
        <v>BR_VW_RNG_dv360_DIS_PROG_CPM_CAI_MXD_TAT_RON_CXD_Varejo-Outlet-Rmkt_PD_nativeads</v>
      </c>
      <c r="G410" t="str">
        <f t="shared" si="94"/>
        <v>438877305</v>
      </c>
      <c r="H410" t="str">
        <f t="shared" si="95"/>
        <v>Tracking</v>
      </c>
      <c r="I410">
        <f t="shared" si="96"/>
        <v>1934120</v>
      </c>
      <c r="J410">
        <f t="shared" si="97"/>
        <v>14102</v>
      </c>
      <c r="K410" s="4">
        <f t="shared" si="86"/>
        <v>0.04</v>
      </c>
      <c r="L410">
        <f t="shared" si="87"/>
        <v>0.09</v>
      </c>
      <c r="M410" s="4">
        <f t="shared" si="84"/>
        <v>77.364800000000002</v>
      </c>
      <c r="N410" s="4">
        <f t="shared" si="85"/>
        <v>174.07079999999999</v>
      </c>
    </row>
    <row r="411" spans="1:14">
      <c r="A411" t="str">
        <f t="shared" si="88"/>
        <v>BR_TAT_DSY_NONMS_ND_NC_2019Q1FEB_RNG_AlwaysOn</v>
      </c>
      <c r="B411" t="str">
        <f t="shared" si="89"/>
        <v>Google Brasil</v>
      </c>
      <c r="C411" t="str">
        <f t="shared" si="90"/>
        <v>BR_VW_RNG_dv360_DIS_PROG_CPM_STD_LDR_TAT_RON_CXD_Reg01-Ad01_PD_728x90</v>
      </c>
      <c r="D411" t="str">
        <f t="shared" si="91"/>
        <v>242627593</v>
      </c>
      <c r="E411" t="str">
        <f t="shared" si="92"/>
        <v>Standard</v>
      </c>
      <c r="F411" t="str">
        <f t="shared" si="93"/>
        <v>BR_VW_RNG_dv360_DIS_PROG_CPM_STD_LDR_TAT_RON_CXD_Jetta-Reg01-Ad01_PD_728x90</v>
      </c>
      <c r="G411" t="str">
        <f t="shared" si="94"/>
        <v>439244139</v>
      </c>
      <c r="H411" t="str">
        <f t="shared" si="95"/>
        <v>Display</v>
      </c>
      <c r="I411">
        <f t="shared" si="96"/>
        <v>5924</v>
      </c>
      <c r="J411">
        <f t="shared" si="97"/>
        <v>19</v>
      </c>
      <c r="K411" s="4">
        <f t="shared" si="86"/>
        <v>0.04</v>
      </c>
      <c r="L411">
        <f t="shared" si="87"/>
        <v>0.09</v>
      </c>
      <c r="M411" s="4">
        <f t="shared" si="84"/>
        <v>0.23696</v>
      </c>
      <c r="N411" s="4">
        <f t="shared" si="85"/>
        <v>0.53315999999999997</v>
      </c>
    </row>
    <row r="412" spans="1:14">
      <c r="A412" t="str">
        <f t="shared" si="88"/>
        <v>BR_TAT_DSY_NONMS_ND_NC_2019Q1FEB_RNG_AlwaysOn</v>
      </c>
      <c r="B412" t="str">
        <f t="shared" si="89"/>
        <v>Google Brasil</v>
      </c>
      <c r="C412" t="str">
        <f t="shared" si="90"/>
        <v>BR_VW_RNG_dv360_DIS_PROG_CPM_STD_LDR_TAT_RON_CXD_Reg03-Ad01_PD_728x90</v>
      </c>
      <c r="D412" t="str">
        <f t="shared" si="91"/>
        <v>242627578</v>
      </c>
      <c r="E412" t="str">
        <f t="shared" si="92"/>
        <v>Standard</v>
      </c>
      <c r="F412" t="str">
        <f t="shared" si="93"/>
        <v>BR_VW_RNG_dv360_DIS_PROG_CPM_STD_LDR_TAT_RON_CXD_Polo-Reg03-Ad01_PD_728x90</v>
      </c>
      <c r="G412" t="str">
        <f t="shared" si="94"/>
        <v>439244127</v>
      </c>
      <c r="H412" t="str">
        <f t="shared" si="95"/>
        <v>Display</v>
      </c>
      <c r="I412">
        <f t="shared" si="96"/>
        <v>15678</v>
      </c>
      <c r="J412">
        <f t="shared" si="97"/>
        <v>35</v>
      </c>
      <c r="K412" s="4">
        <f t="shared" si="86"/>
        <v>0.04</v>
      </c>
      <c r="L412">
        <f t="shared" si="87"/>
        <v>0.09</v>
      </c>
      <c r="M412" s="4">
        <f t="shared" si="84"/>
        <v>0.62712000000000001</v>
      </c>
      <c r="N412" s="4">
        <f t="shared" si="85"/>
        <v>1.4110199999999999</v>
      </c>
    </row>
    <row r="413" spans="1:14">
      <c r="A413" t="str">
        <f t="shared" si="88"/>
        <v>BR_TAT_DSY_NONMS_ND_NC_2019Q1FEB_RNG_AlwaysOn</v>
      </c>
      <c r="B413" t="str">
        <f t="shared" si="89"/>
        <v>Google Brasil</v>
      </c>
      <c r="C413" t="str">
        <f t="shared" si="90"/>
        <v>BR_VW_RNG_dv360_DIS_PROG_CPM_STD_LDR_TAT_RON_CXD_Reg03-Ad02_PD_728x90</v>
      </c>
      <c r="D413" t="str">
        <f t="shared" si="91"/>
        <v>242651725</v>
      </c>
      <c r="E413" t="str">
        <f t="shared" si="92"/>
        <v>Standard</v>
      </c>
      <c r="F413" t="str">
        <f t="shared" si="93"/>
        <v>BR_VW_RNG_dv360_DIS_PROG_CPM_STD_LDR_TAT_RON_CXD_Virtus-Reg03-Ad02_PD_728x90</v>
      </c>
      <c r="G413" t="str">
        <f t="shared" si="94"/>
        <v>439244115</v>
      </c>
      <c r="H413" t="str">
        <f t="shared" si="95"/>
        <v>Display</v>
      </c>
      <c r="I413">
        <f t="shared" si="96"/>
        <v>8375</v>
      </c>
      <c r="J413">
        <f t="shared" si="97"/>
        <v>35</v>
      </c>
      <c r="K413" s="4">
        <f t="shared" si="86"/>
        <v>0.04</v>
      </c>
      <c r="L413">
        <f t="shared" si="87"/>
        <v>0.09</v>
      </c>
      <c r="M413" s="4">
        <f t="shared" si="84"/>
        <v>0.33500000000000002</v>
      </c>
      <c r="N413" s="4">
        <f t="shared" si="85"/>
        <v>0.75375000000000003</v>
      </c>
    </row>
    <row r="414" spans="1:14">
      <c r="A414" t="str">
        <f t="shared" si="88"/>
        <v>BR_TAT_DSY_NONMS_ND_NC_2019Q1FEB_RNG_AlwaysOn</v>
      </c>
      <c r="B414" t="str">
        <f t="shared" si="89"/>
        <v>Google Brasil</v>
      </c>
      <c r="C414" t="str">
        <f t="shared" si="90"/>
        <v>BR_VW_RNG_dv360_DIS_PROG_CPM_STD_LDR_TAT_RON_CXD_Reg04-Ad01_PD_728x90</v>
      </c>
      <c r="D414" t="str">
        <f t="shared" si="91"/>
        <v>242627566</v>
      </c>
      <c r="E414" t="str">
        <f t="shared" si="92"/>
        <v>Standard</v>
      </c>
      <c r="F414" t="str">
        <f t="shared" si="93"/>
        <v>BR_VW_RNG_dv360_DIS_PROG_CPM_STD_LDR_TAT_RON_CXD_Jetta-Reg04-Ad01_PD_728x90</v>
      </c>
      <c r="G414" t="str">
        <f t="shared" si="94"/>
        <v>439244103</v>
      </c>
      <c r="H414" t="str">
        <f t="shared" si="95"/>
        <v>Display</v>
      </c>
      <c r="I414">
        <f t="shared" si="96"/>
        <v>2480</v>
      </c>
      <c r="J414">
        <f t="shared" si="97"/>
        <v>8</v>
      </c>
      <c r="K414" s="4">
        <f t="shared" si="86"/>
        <v>0.04</v>
      </c>
      <c r="L414">
        <f t="shared" si="87"/>
        <v>0.09</v>
      </c>
      <c r="M414" s="4">
        <f t="shared" si="84"/>
        <v>9.9199999999999997E-2</v>
      </c>
      <c r="N414" s="4">
        <f t="shared" si="85"/>
        <v>0.22319999999999998</v>
      </c>
    </row>
    <row r="415" spans="1:14">
      <c r="A415" t="str">
        <f t="shared" si="88"/>
        <v>BR_TAT_DSY_NONMS_ND_NC_2019Q1FEB_RNG_AlwaysOn</v>
      </c>
      <c r="B415" t="str">
        <f t="shared" si="89"/>
        <v>Google Brasil</v>
      </c>
      <c r="C415" t="str">
        <f t="shared" si="90"/>
        <v>BR_VW_RNG_dv360_DIS_PROG_CPM_STD_LDR_TAT_RON_CXD_Reg05-Ad01_PD_728x90</v>
      </c>
      <c r="D415" t="str">
        <f t="shared" si="91"/>
        <v>242627554</v>
      </c>
      <c r="E415" t="str">
        <f t="shared" si="92"/>
        <v>Standard</v>
      </c>
      <c r="F415" t="str">
        <f t="shared" si="93"/>
        <v>BR_VW_RNG_dv360_DIS_PROG_CPM_STD_LDR_TAT_RON_CXD_Gol-Reg05-Ad01_PD_728x90</v>
      </c>
      <c r="G415" t="str">
        <f t="shared" si="94"/>
        <v>439244091</v>
      </c>
      <c r="H415" t="str">
        <f t="shared" si="95"/>
        <v>Display</v>
      </c>
      <c r="I415">
        <f t="shared" si="96"/>
        <v>7897</v>
      </c>
      <c r="J415">
        <f t="shared" si="97"/>
        <v>18</v>
      </c>
      <c r="K415" s="4">
        <f t="shared" si="86"/>
        <v>0.04</v>
      </c>
      <c r="L415">
        <f t="shared" si="87"/>
        <v>0.09</v>
      </c>
      <c r="M415" s="4">
        <f t="shared" si="84"/>
        <v>0.31587999999999999</v>
      </c>
      <c r="N415" s="4">
        <f t="shared" si="85"/>
        <v>0.71072999999999997</v>
      </c>
    </row>
    <row r="416" spans="1:14">
      <c r="A416" t="str">
        <f t="shared" si="88"/>
        <v>BR_TAT_DSY_NONMS_ND_NC_2019Q1FEB_RNG_AlwaysOn</v>
      </c>
      <c r="B416" t="str">
        <f t="shared" si="89"/>
        <v>Google Brasil</v>
      </c>
      <c r="C416" t="str">
        <f t="shared" si="90"/>
        <v>BR_VW_RNG_dv360_DIS_PROG_CPM_STD_LDR_TAT_RON_CXD_Reg05-Ad02_PD_728x90</v>
      </c>
      <c r="D416" t="str">
        <f t="shared" si="91"/>
        <v>242651716</v>
      </c>
      <c r="E416" t="str">
        <f t="shared" si="92"/>
        <v>Standard</v>
      </c>
      <c r="F416" t="str">
        <f t="shared" si="93"/>
        <v>BR_VW_RNG_dv360_DIS_PROG_CPM_STD_LDR_TAT_RON_CXD_Virtus-Reg05-Ad02_PD_728x90</v>
      </c>
      <c r="G416" t="str">
        <f t="shared" si="94"/>
        <v>439369783</v>
      </c>
      <c r="H416" t="str">
        <f t="shared" si="95"/>
        <v>Display</v>
      </c>
      <c r="I416">
        <f t="shared" si="96"/>
        <v>6749</v>
      </c>
      <c r="J416">
        <f t="shared" si="97"/>
        <v>40</v>
      </c>
      <c r="K416" s="4">
        <f t="shared" si="86"/>
        <v>0.04</v>
      </c>
      <c r="L416">
        <f t="shared" si="87"/>
        <v>0.09</v>
      </c>
      <c r="M416" s="4">
        <f t="shared" si="84"/>
        <v>0.26995999999999998</v>
      </c>
      <c r="N416" s="4">
        <f t="shared" si="85"/>
        <v>0.60741000000000001</v>
      </c>
    </row>
    <row r="417" spans="1:14">
      <c r="A417" t="str">
        <f t="shared" si="88"/>
        <v>BR_TAT_DSY_NONMS_ND_NC_2019Q1FEB_RNG_AlwaysOn</v>
      </c>
      <c r="B417" t="str">
        <f t="shared" si="89"/>
        <v>Google Brasil</v>
      </c>
      <c r="C417" t="str">
        <f t="shared" si="90"/>
        <v>BR_VW_RNG_dv360_DIS_PROG_CPM_STD_LDR_TAT_RON_CXD_Reg06-Ad01_PD_728x90</v>
      </c>
      <c r="D417" t="str">
        <f t="shared" si="91"/>
        <v>242627590</v>
      </c>
      <c r="E417" t="str">
        <f t="shared" si="92"/>
        <v>Standard</v>
      </c>
      <c r="F417" t="str">
        <f t="shared" si="93"/>
        <v>BR_VW_RNG_dv360_DIS_PROG_CPM_STD_LDR_TAT_RON_CXD_Polo-Reg06-Ad01_PD_728x90</v>
      </c>
      <c r="G417" t="str">
        <f t="shared" si="94"/>
        <v>439244067</v>
      </c>
      <c r="H417" t="str">
        <f t="shared" si="95"/>
        <v>Display</v>
      </c>
      <c r="I417">
        <f t="shared" si="96"/>
        <v>12694</v>
      </c>
      <c r="J417">
        <f t="shared" si="97"/>
        <v>49</v>
      </c>
      <c r="K417" s="4">
        <f t="shared" si="86"/>
        <v>0.04</v>
      </c>
      <c r="L417">
        <f t="shared" si="87"/>
        <v>0.09</v>
      </c>
      <c r="M417" s="4">
        <f t="shared" si="84"/>
        <v>0.50775999999999999</v>
      </c>
      <c r="N417" s="4">
        <f t="shared" si="85"/>
        <v>1.14246</v>
      </c>
    </row>
    <row r="418" spans="1:14">
      <c r="A418" t="str">
        <f t="shared" si="88"/>
        <v>BR_TAT_DSY_NONMS_ND_NC_2019Q1FEB_RNG_AlwaysOn</v>
      </c>
      <c r="B418" t="str">
        <f t="shared" si="89"/>
        <v>Google Brasil</v>
      </c>
      <c r="C418" t="str">
        <f t="shared" si="90"/>
        <v>BR_VW_RNG_dv360_DIS_PROG_CPM_STD_MPU_TAT_RON_CXD_Reg01-Ad01_PD_300x250</v>
      </c>
      <c r="D418" t="str">
        <f t="shared" si="91"/>
        <v>242627605</v>
      </c>
      <c r="E418" t="str">
        <f t="shared" si="92"/>
        <v>Standard</v>
      </c>
      <c r="F418" t="str">
        <f t="shared" si="93"/>
        <v>BR_VW_RNG_dv360_DIS_PROG_CPM_STD_MPU_TAT_RON_CXD_Jetta-Reg01-Ad01_PD_300x250</v>
      </c>
      <c r="G418" t="str">
        <f t="shared" si="94"/>
        <v>439244145</v>
      </c>
      <c r="H418" t="str">
        <f t="shared" si="95"/>
        <v>Display</v>
      </c>
      <c r="I418">
        <f t="shared" si="96"/>
        <v>11753</v>
      </c>
      <c r="J418">
        <f t="shared" si="97"/>
        <v>36</v>
      </c>
      <c r="K418" s="4">
        <f t="shared" si="86"/>
        <v>0.04</v>
      </c>
      <c r="L418">
        <f t="shared" si="87"/>
        <v>0.09</v>
      </c>
      <c r="M418" s="4">
        <f t="shared" ref="M418:M481" si="98">IF(E418="Dynamic Click",J418*K418,K418*$I418/1000)</f>
        <v>0.47011999999999998</v>
      </c>
      <c r="N418" s="4">
        <f t="shared" ref="N418:N481" si="99">IF(E418="Dynamic Click",J418*L418,L418*$I418/1000)</f>
        <v>1.0577699999999999</v>
      </c>
    </row>
    <row r="419" spans="1:14">
      <c r="A419" t="str">
        <f t="shared" si="88"/>
        <v>BR_TAT_DSY_NONMS_ND_NC_2019Q1FEB_RNG_AlwaysOn</v>
      </c>
      <c r="B419" t="str">
        <f t="shared" si="89"/>
        <v>Google Brasil</v>
      </c>
      <c r="C419" t="str">
        <f t="shared" si="90"/>
        <v>BR_VW_RNG_dv360_DIS_PROG_CPM_STD_MPU_TAT_RON_CXD_Reg03-Ad01_PD_300x250</v>
      </c>
      <c r="D419" t="str">
        <f t="shared" si="91"/>
        <v>242627584</v>
      </c>
      <c r="E419" t="str">
        <f t="shared" si="92"/>
        <v>Standard</v>
      </c>
      <c r="F419" t="str">
        <f t="shared" si="93"/>
        <v>BR_VW_RNG_dv360_DIS_PROG_CPM_STD_MPU_TAT_RON_CXD_Polo-Reg03-Ad01_PD_300x250</v>
      </c>
      <c r="G419" t="str">
        <f t="shared" si="94"/>
        <v>439244133</v>
      </c>
      <c r="H419" t="str">
        <f t="shared" si="95"/>
        <v>Display</v>
      </c>
      <c r="I419">
        <f t="shared" si="96"/>
        <v>34976</v>
      </c>
      <c r="J419">
        <f t="shared" si="97"/>
        <v>156</v>
      </c>
      <c r="K419" s="4">
        <f t="shared" si="86"/>
        <v>0.04</v>
      </c>
      <c r="L419">
        <f t="shared" si="87"/>
        <v>0.09</v>
      </c>
      <c r="M419" s="4">
        <f t="shared" si="98"/>
        <v>1.3990400000000001</v>
      </c>
      <c r="N419" s="4">
        <f t="shared" si="99"/>
        <v>3.1478399999999995</v>
      </c>
    </row>
    <row r="420" spans="1:14">
      <c r="A420" t="str">
        <f t="shared" si="88"/>
        <v>BR_TAT_DSY_NONMS_ND_NC_2019Q1FEB_RNG_AlwaysOn</v>
      </c>
      <c r="B420" t="str">
        <f t="shared" si="89"/>
        <v>Google Brasil</v>
      </c>
      <c r="C420" t="str">
        <f t="shared" si="90"/>
        <v>BR_VW_RNG_dv360_DIS_PROG_CPM_STD_MPU_TAT_RON_CXD_Reg03-Ad02_PD_300x250</v>
      </c>
      <c r="D420" t="str">
        <f t="shared" si="91"/>
        <v>242651731</v>
      </c>
      <c r="E420" t="str">
        <f t="shared" si="92"/>
        <v>Standard</v>
      </c>
      <c r="F420" t="str">
        <f t="shared" si="93"/>
        <v>BR_VW_RNG_dv360_DIS_PROG_CPM_STD_MPU_TAT_RON_CXD_Virtus-Reg03-Ad02_PD_300x250</v>
      </c>
      <c r="G420" t="str">
        <f t="shared" si="94"/>
        <v>439244121</v>
      </c>
      <c r="H420" t="str">
        <f t="shared" si="95"/>
        <v>Display</v>
      </c>
      <c r="I420">
        <f t="shared" si="96"/>
        <v>20269</v>
      </c>
      <c r="J420">
        <f t="shared" si="97"/>
        <v>138</v>
      </c>
      <c r="K420" s="4">
        <f t="shared" si="86"/>
        <v>0.04</v>
      </c>
      <c r="L420">
        <f t="shared" si="87"/>
        <v>0.09</v>
      </c>
      <c r="M420" s="4">
        <f t="shared" si="98"/>
        <v>0.81076000000000004</v>
      </c>
      <c r="N420" s="4">
        <f t="shared" si="99"/>
        <v>1.8242100000000001</v>
      </c>
    </row>
    <row r="421" spans="1:14">
      <c r="A421" t="str">
        <f t="shared" si="88"/>
        <v>BR_TAT_DSY_NONMS_ND_NC_2019Q1FEB_RNG_AlwaysOn</v>
      </c>
      <c r="B421" t="str">
        <f t="shared" si="89"/>
        <v>Google Brasil</v>
      </c>
      <c r="C421" t="str">
        <f t="shared" si="90"/>
        <v>BR_VW_RNG_dv360_DIS_PROG_CPM_STD_MPU_TAT_RON_CXD_Reg04-Ad01_PD_300x250</v>
      </c>
      <c r="D421" t="str">
        <f t="shared" si="91"/>
        <v>242627572</v>
      </c>
      <c r="E421" t="str">
        <f t="shared" si="92"/>
        <v>Standard</v>
      </c>
      <c r="F421" t="str">
        <f t="shared" si="93"/>
        <v>BR_VW_RNG_dv360_DIS_PROG_CPM_STD_MPU_TAT_RON_CXD_Jetta-Reg04-Ad01_PD_300x250</v>
      </c>
      <c r="G421" t="str">
        <f t="shared" si="94"/>
        <v>439244109</v>
      </c>
      <c r="H421" t="str">
        <f t="shared" si="95"/>
        <v>Display</v>
      </c>
      <c r="I421">
        <f t="shared" si="96"/>
        <v>7281</v>
      </c>
      <c r="J421">
        <f t="shared" si="97"/>
        <v>29</v>
      </c>
      <c r="K421" s="4">
        <f t="shared" si="86"/>
        <v>0.04</v>
      </c>
      <c r="L421">
        <f t="shared" si="87"/>
        <v>0.09</v>
      </c>
      <c r="M421" s="4">
        <f t="shared" si="98"/>
        <v>0.29124</v>
      </c>
      <c r="N421" s="4">
        <f t="shared" si="99"/>
        <v>0.65528999999999993</v>
      </c>
    </row>
    <row r="422" spans="1:14">
      <c r="A422" t="str">
        <f t="shared" si="88"/>
        <v>BR_TAT_DSY_NONMS_ND_NC_2019Q1FEB_RNG_AlwaysOn</v>
      </c>
      <c r="B422" t="str">
        <f t="shared" si="89"/>
        <v>Google Brasil</v>
      </c>
      <c r="C422" t="str">
        <f t="shared" si="90"/>
        <v>BR_VW_RNG_dv360_DIS_PROG_CPM_STD_MPU_TAT_RON_CXD_Reg05-Ad01_PD_300x250</v>
      </c>
      <c r="D422" t="str">
        <f t="shared" si="91"/>
        <v>242627560</v>
      </c>
      <c r="E422" t="str">
        <f t="shared" si="92"/>
        <v>Standard</v>
      </c>
      <c r="F422" t="str">
        <f t="shared" si="93"/>
        <v>BR_VW_RNG_dv360_DIS_PROG_CPM_STD_MPU_TAT_RON_CXD_Gol-Reg05-Ad01_PD_300x250</v>
      </c>
      <c r="G422" t="str">
        <f t="shared" si="94"/>
        <v>439244097</v>
      </c>
      <c r="H422" t="str">
        <f t="shared" si="95"/>
        <v>Display</v>
      </c>
      <c r="I422">
        <f t="shared" si="96"/>
        <v>23290</v>
      </c>
      <c r="J422">
        <f t="shared" si="97"/>
        <v>114</v>
      </c>
      <c r="K422" s="4">
        <f t="shared" si="86"/>
        <v>0.04</v>
      </c>
      <c r="L422">
        <f t="shared" si="87"/>
        <v>0.09</v>
      </c>
      <c r="M422" s="4">
        <f t="shared" si="98"/>
        <v>0.93159999999999998</v>
      </c>
      <c r="N422" s="4">
        <f t="shared" si="99"/>
        <v>2.0960999999999999</v>
      </c>
    </row>
    <row r="423" spans="1:14">
      <c r="A423" t="str">
        <f t="shared" si="88"/>
        <v>BR_TAT_DSY_NONMS_ND_NC_2019Q1FEB_RNG_AlwaysOn</v>
      </c>
      <c r="B423" t="str">
        <f t="shared" si="89"/>
        <v>Google Brasil</v>
      </c>
      <c r="C423" t="str">
        <f t="shared" si="90"/>
        <v>BR_VW_RNG_dv360_DIS_PROG_CPM_STD_MPU_TAT_RON_CXD_Reg05-Ad02_PD_300x250</v>
      </c>
      <c r="D423" t="str">
        <f t="shared" si="91"/>
        <v>242651719</v>
      </c>
      <c r="E423" t="str">
        <f t="shared" si="92"/>
        <v>Standard</v>
      </c>
      <c r="F423" t="str">
        <f t="shared" si="93"/>
        <v>BR_VW_RNG_dv360_DIS_PROG_CPM_STD_MPU_TAT_RON_CXD_Virtus-Reg05-Ad02_PD_300x250</v>
      </c>
      <c r="G423" t="str">
        <f t="shared" si="94"/>
        <v>439244085</v>
      </c>
      <c r="H423" t="str">
        <f t="shared" si="95"/>
        <v>Display</v>
      </c>
      <c r="I423">
        <f t="shared" si="96"/>
        <v>19598</v>
      </c>
      <c r="J423">
        <f t="shared" si="97"/>
        <v>118</v>
      </c>
      <c r="K423" s="4">
        <f t="shared" si="86"/>
        <v>0.04</v>
      </c>
      <c r="L423">
        <f t="shared" si="87"/>
        <v>0.09</v>
      </c>
      <c r="M423" s="4">
        <f t="shared" si="98"/>
        <v>0.78392000000000006</v>
      </c>
      <c r="N423" s="4">
        <f t="shared" si="99"/>
        <v>1.7638199999999999</v>
      </c>
    </row>
    <row r="424" spans="1:14">
      <c r="A424" t="str">
        <f t="shared" si="88"/>
        <v>BR_TAT_DSY_NONMS_ND_NC_2019Q1FEB_RNG_AlwaysOn</v>
      </c>
      <c r="B424" t="str">
        <f t="shared" si="89"/>
        <v>Google Brasil</v>
      </c>
      <c r="C424" t="str">
        <f t="shared" si="90"/>
        <v>BR_VW_RNG_dv360_DIS_PROG_CPM_STD_MPU_TAT_RON_CXD_Reg06-Ad01_PD_300x250</v>
      </c>
      <c r="D424" t="str">
        <f t="shared" si="91"/>
        <v>242627602</v>
      </c>
      <c r="E424" t="str">
        <f t="shared" si="92"/>
        <v>Standard</v>
      </c>
      <c r="F424" t="str">
        <f t="shared" si="93"/>
        <v>BR_VW_RNG_dv360_DIS_PROG_CPM_STD_MPU_TAT_RON_CXD_Polo-Reg06-Ad01_PD_300x250</v>
      </c>
      <c r="G424" t="str">
        <f t="shared" si="94"/>
        <v>439244073</v>
      </c>
      <c r="H424" t="str">
        <f t="shared" si="95"/>
        <v>Display</v>
      </c>
      <c r="I424">
        <f t="shared" si="96"/>
        <v>28322</v>
      </c>
      <c r="J424">
        <f t="shared" si="97"/>
        <v>133</v>
      </c>
      <c r="K424" s="4">
        <f t="shared" si="86"/>
        <v>0.04</v>
      </c>
      <c r="L424">
        <f t="shared" si="87"/>
        <v>0.09</v>
      </c>
      <c r="M424" s="4">
        <f t="shared" si="98"/>
        <v>1.1328800000000001</v>
      </c>
      <c r="N424" s="4">
        <f t="shared" si="99"/>
        <v>2.5489799999999998</v>
      </c>
    </row>
    <row r="425" spans="1:14">
      <c r="A425" t="str">
        <f t="shared" si="88"/>
        <v>BR_TAT_DSY_NONMS_ND_NC_2019Q1FEB_RNG_AlwaysOn</v>
      </c>
      <c r="B425" t="str">
        <f t="shared" si="89"/>
        <v>Google Brasil</v>
      </c>
      <c r="C425" t="str">
        <f t="shared" si="90"/>
        <v>BR_VW_RNG_dv360_DIS_PROG_CPM_STD_SKY_TAT_RON_CXD_PosLead-PosLead_PD_300x600</v>
      </c>
      <c r="D425" t="str">
        <f t="shared" si="91"/>
        <v>239997232</v>
      </c>
      <c r="E425" t="str">
        <f t="shared" si="92"/>
        <v>Rich Media 2.2mb</v>
      </c>
      <c r="F425" t="str">
        <f t="shared" si="93"/>
        <v>BR_VW_RNG_dv360_DIS_PROG_CPM_STD_SKY_TAT_RON_CXD_PosLead-PosLead_PD_300x600</v>
      </c>
      <c r="G425" t="str">
        <f t="shared" si="94"/>
        <v>437045561</v>
      </c>
      <c r="H425" t="str">
        <f t="shared" si="95"/>
        <v>Rich Media display banner</v>
      </c>
      <c r="I425">
        <f t="shared" si="96"/>
        <v>1</v>
      </c>
      <c r="J425">
        <f t="shared" si="97"/>
        <v>1</v>
      </c>
      <c r="K425" s="4">
        <f t="shared" si="86"/>
        <v>0.91</v>
      </c>
      <c r="L425">
        <f t="shared" si="87"/>
        <v>0.35</v>
      </c>
      <c r="M425" s="4">
        <f t="shared" si="98"/>
        <v>9.1E-4</v>
      </c>
      <c r="N425" s="4">
        <f t="shared" si="99"/>
        <v>3.5E-4</v>
      </c>
    </row>
    <row r="426" spans="1:14">
      <c r="A426" t="str">
        <f t="shared" si="88"/>
        <v>BR_TAT_DSY_NONMS_ND_NC_2019Q1FEB_RNG_AlwaysOn</v>
      </c>
      <c r="B426" t="str">
        <f t="shared" si="89"/>
        <v>Google Brasil</v>
      </c>
      <c r="C426" t="str">
        <f t="shared" si="90"/>
        <v>BR_VW_RNG_dv360_DIS_PROG_CPM_STD_SKY_TAT_RON_CXD_Reg01-Ad01_PD_160x600</v>
      </c>
      <c r="D426" t="str">
        <f t="shared" si="91"/>
        <v>242627611</v>
      </c>
      <c r="E426" t="str">
        <f t="shared" si="92"/>
        <v>Standard</v>
      </c>
      <c r="F426" t="str">
        <f t="shared" si="93"/>
        <v>BR_VW_RNG_dv360_DIS_PROG_CPM_STD_SKY_TAT_RON_CXD_Jetta-Reg01-Ad01_PD_160x600</v>
      </c>
      <c r="G426" t="str">
        <f t="shared" si="94"/>
        <v>439244148</v>
      </c>
      <c r="H426" t="str">
        <f t="shared" si="95"/>
        <v>Display</v>
      </c>
      <c r="I426">
        <f t="shared" si="96"/>
        <v>1691</v>
      </c>
      <c r="J426">
        <f t="shared" si="97"/>
        <v>4</v>
      </c>
      <c r="K426" s="4">
        <f t="shared" si="86"/>
        <v>0.04</v>
      </c>
      <c r="L426">
        <f t="shared" si="87"/>
        <v>0.09</v>
      </c>
      <c r="M426" s="4">
        <f t="shared" si="98"/>
        <v>6.7640000000000006E-2</v>
      </c>
      <c r="N426" s="4">
        <f t="shared" si="99"/>
        <v>0.15218999999999999</v>
      </c>
    </row>
    <row r="427" spans="1:14">
      <c r="A427" t="str">
        <f t="shared" si="88"/>
        <v>BR_TAT_DSY_NONMS_ND_NC_2019Q1FEB_RNG_AlwaysOn</v>
      </c>
      <c r="B427" t="str">
        <f t="shared" si="89"/>
        <v>Google Brasil</v>
      </c>
      <c r="C427" t="str">
        <f t="shared" si="90"/>
        <v>BR_VW_RNG_dv360_DIS_PROG_CPM_STD_SKY_TAT_RON_CXD_Reg01-Ad01_PD_300x600</v>
      </c>
      <c r="D427" t="str">
        <f t="shared" si="91"/>
        <v>242627599</v>
      </c>
      <c r="E427" t="str">
        <f t="shared" si="92"/>
        <v>Standard</v>
      </c>
      <c r="F427" t="str">
        <f t="shared" si="93"/>
        <v>BR_VW_RNG_dv360_DIS_PROG_CPM_STD_SKY_TAT_RON_CXD_Jetta-Reg01-Ad01_PD_300x600</v>
      </c>
      <c r="G427" t="str">
        <f t="shared" si="94"/>
        <v>439244142</v>
      </c>
      <c r="H427" t="str">
        <f t="shared" si="95"/>
        <v>Display</v>
      </c>
      <c r="I427">
        <f t="shared" si="96"/>
        <v>2949</v>
      </c>
      <c r="J427">
        <f t="shared" si="97"/>
        <v>9</v>
      </c>
      <c r="K427" s="4">
        <f t="shared" si="86"/>
        <v>0.04</v>
      </c>
      <c r="L427">
        <f t="shared" si="87"/>
        <v>0.09</v>
      </c>
      <c r="M427" s="4">
        <f t="shared" si="98"/>
        <v>0.11796000000000001</v>
      </c>
      <c r="N427" s="4">
        <f t="shared" si="99"/>
        <v>0.26540999999999998</v>
      </c>
    </row>
    <row r="428" spans="1:14">
      <c r="A428" t="str">
        <f t="shared" si="88"/>
        <v>BR_TAT_DSY_NONMS_ND_NC_2019Q1FEB_RNG_AlwaysOn</v>
      </c>
      <c r="B428" t="str">
        <f t="shared" si="89"/>
        <v>Google Brasil</v>
      </c>
      <c r="C428" t="str">
        <f t="shared" si="90"/>
        <v>BR_VW_RNG_dv360_DIS_PROG_CPM_STD_SKY_TAT_RON_CXD_Reg03-Ad01_PD_160x600</v>
      </c>
      <c r="D428" t="str">
        <f t="shared" si="91"/>
        <v>242627587</v>
      </c>
      <c r="E428" t="str">
        <f t="shared" si="92"/>
        <v>Standard</v>
      </c>
      <c r="F428" t="str">
        <f t="shared" si="93"/>
        <v>BR_VW_RNG_dv360_DIS_PROG_CPM_STD_SKY_TAT_RON_CXD_Polo-Reg03-Ad01_PD_160x600</v>
      </c>
      <c r="G428" t="str">
        <f t="shared" si="94"/>
        <v>439244136</v>
      </c>
      <c r="H428" t="str">
        <f t="shared" si="95"/>
        <v>Display</v>
      </c>
      <c r="I428">
        <f t="shared" si="96"/>
        <v>4755</v>
      </c>
      <c r="J428">
        <f t="shared" si="97"/>
        <v>13</v>
      </c>
      <c r="K428" s="4">
        <f t="shared" ref="K428:K491" si="100">IF(LEFT(B428,3)="DBM",0,VLOOKUP(E428,tabela,2,FALSE))</f>
        <v>0.04</v>
      </c>
      <c r="L428">
        <f t="shared" ref="L428:L491" si="101">VLOOKUP(E428,tabela,3,FALSE)</f>
        <v>0.09</v>
      </c>
      <c r="M428" s="4">
        <f t="shared" si="98"/>
        <v>0.19020000000000001</v>
      </c>
      <c r="N428" s="4">
        <f t="shared" si="99"/>
        <v>0.42795</v>
      </c>
    </row>
    <row r="429" spans="1:14">
      <c r="A429" t="str">
        <f t="shared" si="88"/>
        <v>BR_TAT_DSY_NONMS_ND_NC_2019Q1FEB_RNG_AlwaysOn</v>
      </c>
      <c r="B429" t="str">
        <f t="shared" si="89"/>
        <v>Google Brasil</v>
      </c>
      <c r="C429" t="str">
        <f t="shared" si="90"/>
        <v>BR_VW_RNG_dv360_DIS_PROG_CPM_STD_SKY_TAT_RON_CXD_Reg03-Ad01_PD_300x600</v>
      </c>
      <c r="D429" t="str">
        <f t="shared" si="91"/>
        <v>242627581</v>
      </c>
      <c r="E429" t="str">
        <f t="shared" si="92"/>
        <v>Standard</v>
      </c>
      <c r="F429" t="str">
        <f t="shared" si="93"/>
        <v>BR_VW_RNG_dv360_DIS_PROG_CPM_STD_SKY_TAT_RON_CXD_Polo-Reg03-Ad01_PD_300x600</v>
      </c>
      <c r="G429" t="str">
        <f t="shared" si="94"/>
        <v>439244130</v>
      </c>
      <c r="H429" t="str">
        <f t="shared" si="95"/>
        <v>Display</v>
      </c>
      <c r="I429">
        <f t="shared" si="96"/>
        <v>7421</v>
      </c>
      <c r="J429">
        <f t="shared" si="97"/>
        <v>52</v>
      </c>
      <c r="K429" s="4">
        <f t="shared" si="100"/>
        <v>0.04</v>
      </c>
      <c r="L429">
        <f t="shared" si="101"/>
        <v>0.09</v>
      </c>
      <c r="M429" s="4">
        <f t="shared" si="98"/>
        <v>0.29684000000000005</v>
      </c>
      <c r="N429" s="4">
        <f t="shared" si="99"/>
        <v>0.66788999999999998</v>
      </c>
    </row>
    <row r="430" spans="1:14">
      <c r="A430" t="str">
        <f t="shared" si="88"/>
        <v>BR_TAT_DSY_NONMS_ND_NC_2019Q1FEB_RNG_AlwaysOn</v>
      </c>
      <c r="B430" t="str">
        <f t="shared" si="89"/>
        <v>Google Brasil</v>
      </c>
      <c r="C430" t="str">
        <f t="shared" si="90"/>
        <v>BR_VW_RNG_dv360_DIS_PROG_CPM_STD_SKY_TAT_RON_CXD_Reg03-Ad02_PD_160x600</v>
      </c>
      <c r="D430" t="str">
        <f t="shared" si="91"/>
        <v>242651734</v>
      </c>
      <c r="E430" t="str">
        <f t="shared" si="92"/>
        <v>Standard</v>
      </c>
      <c r="F430" t="str">
        <f t="shared" si="93"/>
        <v>BR_VW_RNG_dv360_DIS_PROG_CPM_STD_SKY_TAT_RON_CXD_Virtus-Reg03-Ad02_PD_160x600</v>
      </c>
      <c r="G430" t="str">
        <f t="shared" si="94"/>
        <v>439244124</v>
      </c>
      <c r="H430" t="str">
        <f t="shared" si="95"/>
        <v>Display</v>
      </c>
      <c r="I430">
        <f t="shared" si="96"/>
        <v>2550</v>
      </c>
      <c r="J430">
        <f t="shared" si="97"/>
        <v>17</v>
      </c>
      <c r="K430" s="4">
        <f t="shared" si="100"/>
        <v>0.04</v>
      </c>
      <c r="L430">
        <f t="shared" si="101"/>
        <v>0.09</v>
      </c>
      <c r="M430" s="4">
        <f t="shared" si="98"/>
        <v>0.10199999999999999</v>
      </c>
      <c r="N430" s="4">
        <f t="shared" si="99"/>
        <v>0.22950000000000001</v>
      </c>
    </row>
    <row r="431" spans="1:14">
      <c r="A431" t="str">
        <f t="shared" si="88"/>
        <v>BR_TAT_DSY_NONMS_ND_NC_2019Q1FEB_RNG_AlwaysOn</v>
      </c>
      <c r="B431" t="str">
        <f t="shared" si="89"/>
        <v>Google Brasil</v>
      </c>
      <c r="C431" t="str">
        <f t="shared" si="90"/>
        <v>BR_VW_RNG_dv360_DIS_PROG_CPM_STD_SKY_TAT_RON_CXD_Reg03-Ad02_PD_300x600</v>
      </c>
      <c r="D431" t="str">
        <f t="shared" si="91"/>
        <v>242651728</v>
      </c>
      <c r="E431" t="str">
        <f t="shared" si="92"/>
        <v>Standard</v>
      </c>
      <c r="F431" t="str">
        <f t="shared" si="93"/>
        <v>BR_VW_RNG_dv360_DIS_PROG_CPM_STD_SKY_TAT_RON_CXD_Virtus-Reg03-Ad02_PD_300x600</v>
      </c>
      <c r="G431" t="str">
        <f t="shared" si="94"/>
        <v>439244118</v>
      </c>
      <c r="H431" t="str">
        <f t="shared" si="95"/>
        <v>Display</v>
      </c>
      <c r="I431">
        <f t="shared" si="96"/>
        <v>3822</v>
      </c>
      <c r="J431">
        <f t="shared" si="97"/>
        <v>21</v>
      </c>
      <c r="K431" s="4">
        <f t="shared" si="100"/>
        <v>0.04</v>
      </c>
      <c r="L431">
        <f t="shared" si="101"/>
        <v>0.09</v>
      </c>
      <c r="M431" s="4">
        <f t="shared" si="98"/>
        <v>0.15287999999999999</v>
      </c>
      <c r="N431" s="4">
        <f t="shared" si="99"/>
        <v>0.34397999999999995</v>
      </c>
    </row>
    <row r="432" spans="1:14">
      <c r="A432" t="str">
        <f t="shared" si="88"/>
        <v>BR_TAT_DSY_NONMS_ND_NC_2019Q1FEB_RNG_AlwaysOn</v>
      </c>
      <c r="B432" t="str">
        <f t="shared" si="89"/>
        <v>Google Brasil</v>
      </c>
      <c r="C432" t="str">
        <f t="shared" si="90"/>
        <v>BR_VW_RNG_dv360_DIS_PROG_CPM_STD_SKY_TAT_RON_CXD_Reg04-Ad01_PD_160x600</v>
      </c>
      <c r="D432" t="str">
        <f t="shared" si="91"/>
        <v>242627575</v>
      </c>
      <c r="E432" t="str">
        <f t="shared" si="92"/>
        <v>Standard</v>
      </c>
      <c r="F432" t="str">
        <f t="shared" si="93"/>
        <v>BR_VW_RNG_dv360_DIS_PROG_CPM_STD_SKY_TAT_RON_CXD_Jetta-Reg04-Ad01_PD_160x600</v>
      </c>
      <c r="G432" t="str">
        <f t="shared" si="94"/>
        <v>439244112</v>
      </c>
      <c r="H432" t="str">
        <f t="shared" si="95"/>
        <v>Display</v>
      </c>
      <c r="I432">
        <f t="shared" si="96"/>
        <v>718</v>
      </c>
      <c r="J432">
        <f t="shared" si="97"/>
        <v>1</v>
      </c>
      <c r="K432" s="4">
        <f t="shared" si="100"/>
        <v>0.04</v>
      </c>
      <c r="L432">
        <f t="shared" si="101"/>
        <v>0.09</v>
      </c>
      <c r="M432" s="4">
        <f t="shared" si="98"/>
        <v>2.8719999999999999E-2</v>
      </c>
      <c r="N432" s="4">
        <f t="shared" si="99"/>
        <v>6.4620000000000011E-2</v>
      </c>
    </row>
    <row r="433" spans="1:14">
      <c r="A433" t="str">
        <f t="shared" si="88"/>
        <v>BR_TAT_DSY_NONMS_ND_NC_2019Q1FEB_RNG_AlwaysOn</v>
      </c>
      <c r="B433" t="str">
        <f t="shared" si="89"/>
        <v>Google Brasil</v>
      </c>
      <c r="C433" t="str">
        <f t="shared" si="90"/>
        <v>BR_VW_RNG_dv360_DIS_PROG_CPM_STD_SKY_TAT_RON_CXD_Reg04-Ad01_PD_300x600</v>
      </c>
      <c r="D433" t="str">
        <f t="shared" si="91"/>
        <v>242627569</v>
      </c>
      <c r="E433" t="str">
        <f t="shared" si="92"/>
        <v>Standard</v>
      </c>
      <c r="F433" t="str">
        <f t="shared" si="93"/>
        <v>BR_VW_RNG_dv360_DIS_PROG_CPM_STD_SKY_TAT_RON_CXD_Jetta-Reg04-Ad01_PD_300x600</v>
      </c>
      <c r="G433" t="str">
        <f t="shared" si="94"/>
        <v>439244106</v>
      </c>
      <c r="H433" t="str">
        <f t="shared" si="95"/>
        <v>Display</v>
      </c>
      <c r="I433">
        <f t="shared" si="96"/>
        <v>1240</v>
      </c>
      <c r="J433">
        <f t="shared" si="97"/>
        <v>9</v>
      </c>
      <c r="K433" s="4">
        <f t="shared" si="100"/>
        <v>0.04</v>
      </c>
      <c r="L433">
        <f t="shared" si="101"/>
        <v>0.09</v>
      </c>
      <c r="M433" s="4">
        <f t="shared" si="98"/>
        <v>4.9599999999999998E-2</v>
      </c>
      <c r="N433" s="4">
        <f t="shared" si="99"/>
        <v>0.11159999999999999</v>
      </c>
    </row>
    <row r="434" spans="1:14">
      <c r="A434" t="str">
        <f t="shared" si="88"/>
        <v>BR_TAT_DSY_NONMS_ND_NC_2019Q1FEB_RNG_AlwaysOn</v>
      </c>
      <c r="B434" t="str">
        <f t="shared" si="89"/>
        <v>Google Brasil</v>
      </c>
      <c r="C434" t="str">
        <f t="shared" si="90"/>
        <v>BR_VW_RNG_dv360_DIS_PROG_CPM_STD_SKY_TAT_RON_CXD_Reg05-Ad01_PD_160x600</v>
      </c>
      <c r="D434" t="str">
        <f t="shared" si="91"/>
        <v>242627563</v>
      </c>
      <c r="E434" t="str">
        <f t="shared" si="92"/>
        <v>Standard</v>
      </c>
      <c r="F434" t="str">
        <f t="shared" si="93"/>
        <v>BR_VW_RNG_dv360_DIS_PROG_CPM_STD_SKY_TAT_RON_CXD_Gol-Reg05-Ad01_PD_160x600</v>
      </c>
      <c r="G434" t="str">
        <f t="shared" si="94"/>
        <v>439244100</v>
      </c>
      <c r="H434" t="str">
        <f t="shared" si="95"/>
        <v>Display</v>
      </c>
      <c r="I434">
        <f t="shared" si="96"/>
        <v>2908</v>
      </c>
      <c r="J434">
        <f t="shared" si="97"/>
        <v>10</v>
      </c>
      <c r="K434" s="4">
        <f t="shared" si="100"/>
        <v>0.04</v>
      </c>
      <c r="L434">
        <f t="shared" si="101"/>
        <v>0.09</v>
      </c>
      <c r="M434" s="4">
        <f t="shared" si="98"/>
        <v>0.11632000000000001</v>
      </c>
      <c r="N434" s="4">
        <f t="shared" si="99"/>
        <v>0.26171999999999995</v>
      </c>
    </row>
    <row r="435" spans="1:14">
      <c r="A435" t="str">
        <f t="shared" si="88"/>
        <v>BR_TAT_DSY_NONMS_ND_NC_2019Q1FEB_RNG_AlwaysOn</v>
      </c>
      <c r="B435" t="str">
        <f t="shared" si="89"/>
        <v>Google Brasil</v>
      </c>
      <c r="C435" t="str">
        <f t="shared" si="90"/>
        <v>BR_VW_RNG_dv360_DIS_PROG_CPM_STD_SKY_TAT_RON_CXD_Reg05-Ad01_PD_300x600</v>
      </c>
      <c r="D435" t="str">
        <f t="shared" si="91"/>
        <v>242627557</v>
      </c>
      <c r="E435" t="str">
        <f t="shared" si="92"/>
        <v>Standard</v>
      </c>
      <c r="F435" t="str">
        <f t="shared" si="93"/>
        <v>BR_VW_RNG_dv360_DIS_PROG_CPM_STD_SKY_TAT_RON_CXD_Gol-Reg05-Ad01_PD_300x600</v>
      </c>
      <c r="G435" t="str">
        <f t="shared" si="94"/>
        <v>439244094</v>
      </c>
      <c r="H435" t="str">
        <f t="shared" si="95"/>
        <v>Display</v>
      </c>
      <c r="I435">
        <f t="shared" si="96"/>
        <v>4356</v>
      </c>
      <c r="J435">
        <f t="shared" si="97"/>
        <v>24</v>
      </c>
      <c r="K435" s="4">
        <f t="shared" si="100"/>
        <v>0.04</v>
      </c>
      <c r="L435">
        <f t="shared" si="101"/>
        <v>0.09</v>
      </c>
      <c r="M435" s="4">
        <f t="shared" si="98"/>
        <v>0.17424000000000001</v>
      </c>
      <c r="N435" s="4">
        <f t="shared" si="99"/>
        <v>0.39203999999999994</v>
      </c>
    </row>
    <row r="436" spans="1:14">
      <c r="A436" t="str">
        <f t="shared" si="88"/>
        <v>BR_TAT_DSY_NONMS_ND_NC_2019Q1FEB_RNG_AlwaysOn</v>
      </c>
      <c r="B436" t="str">
        <f t="shared" si="89"/>
        <v>Google Brasil</v>
      </c>
      <c r="C436" t="str">
        <f t="shared" si="90"/>
        <v>BR_VW_RNG_dv360_DIS_PROG_CPM_STD_SKY_TAT_RON_CXD_Reg05-Ad02_PD_160x600</v>
      </c>
      <c r="D436" t="str">
        <f t="shared" si="91"/>
        <v>242651722</v>
      </c>
      <c r="E436" t="str">
        <f t="shared" si="92"/>
        <v>Standard</v>
      </c>
      <c r="F436" t="str">
        <f t="shared" si="93"/>
        <v>BR_VW_RNG_dv360_DIS_PROG_CPM_STD_SKY_TAT_RON_CXD_Virtus-Reg05-Ad02_PD_160x600</v>
      </c>
      <c r="G436" t="str">
        <f t="shared" si="94"/>
        <v>439244088</v>
      </c>
      <c r="H436" t="str">
        <f t="shared" si="95"/>
        <v>Display</v>
      </c>
      <c r="I436">
        <f t="shared" si="96"/>
        <v>2501</v>
      </c>
      <c r="J436">
        <f t="shared" si="97"/>
        <v>13</v>
      </c>
      <c r="K436" s="4">
        <f t="shared" si="100"/>
        <v>0.04</v>
      </c>
      <c r="L436">
        <f t="shared" si="101"/>
        <v>0.09</v>
      </c>
      <c r="M436" s="4">
        <f t="shared" si="98"/>
        <v>0.10004</v>
      </c>
      <c r="N436" s="4">
        <f t="shared" si="99"/>
        <v>0.22509000000000001</v>
      </c>
    </row>
    <row r="437" spans="1:14">
      <c r="A437" t="str">
        <f t="shared" si="88"/>
        <v>BR_TAT_DSY_NONMS_ND_NC_2019Q1FEB_RNG_AlwaysOn</v>
      </c>
      <c r="B437" t="str">
        <f t="shared" si="89"/>
        <v>Google Brasil</v>
      </c>
      <c r="C437" t="str">
        <f t="shared" si="90"/>
        <v>BR_VW_RNG_dv360_DIS_PROG_CPM_STD_SKY_TAT_RON_CXD_Reg05-Ad02_PD_300x600</v>
      </c>
      <c r="D437" t="str">
        <f t="shared" si="91"/>
        <v>242651713</v>
      </c>
      <c r="E437" t="str">
        <f t="shared" si="92"/>
        <v>Standard</v>
      </c>
      <c r="F437" t="str">
        <f t="shared" si="93"/>
        <v>BR_VW_RNG_dv360_DIS_PROG_CPM_STD_SKY_TAT_RON_CXD_Virtus-Reg05-Ad02_PD_300x600</v>
      </c>
      <c r="G437" t="str">
        <f t="shared" si="94"/>
        <v>439244082</v>
      </c>
      <c r="H437" t="str">
        <f t="shared" si="95"/>
        <v>Display</v>
      </c>
      <c r="I437">
        <f t="shared" si="96"/>
        <v>3654</v>
      </c>
      <c r="J437">
        <f t="shared" si="97"/>
        <v>42</v>
      </c>
      <c r="K437" s="4">
        <f t="shared" si="100"/>
        <v>0.04</v>
      </c>
      <c r="L437">
        <f t="shared" si="101"/>
        <v>0.09</v>
      </c>
      <c r="M437" s="4">
        <f t="shared" si="98"/>
        <v>0.14615999999999998</v>
      </c>
      <c r="N437" s="4">
        <f t="shared" si="99"/>
        <v>0.32886000000000004</v>
      </c>
    </row>
    <row r="438" spans="1:14">
      <c r="A438" t="str">
        <f t="shared" si="88"/>
        <v>BR_TAT_DSY_NONMS_ND_NC_2019Q1FEB_RNG_AlwaysOn</v>
      </c>
      <c r="B438" t="str">
        <f t="shared" si="89"/>
        <v>Google Brasil</v>
      </c>
      <c r="C438" t="str">
        <f t="shared" si="90"/>
        <v>BR_VW_RNG_dv360_DIS_PROG_CPM_STD_SKY_TAT_RON_CXD_Reg06-Ad01_PD_160x600</v>
      </c>
      <c r="D438" t="str">
        <f t="shared" si="91"/>
        <v>242627608</v>
      </c>
      <c r="E438" t="str">
        <f t="shared" si="92"/>
        <v>Standard</v>
      </c>
      <c r="F438" t="str">
        <f t="shared" si="93"/>
        <v>BR_VW_RNG_dv360_DIS_PROG_CPM_STD_SKY_TAT_RON_CXD_Polo-Reg06-Ad01_PD_160x600</v>
      </c>
      <c r="G438" t="str">
        <f t="shared" si="94"/>
        <v>439244076</v>
      </c>
      <c r="H438" t="str">
        <f t="shared" si="95"/>
        <v>Display</v>
      </c>
      <c r="I438">
        <f t="shared" si="96"/>
        <v>3499</v>
      </c>
      <c r="J438">
        <f t="shared" si="97"/>
        <v>6</v>
      </c>
      <c r="K438" s="4">
        <f t="shared" si="100"/>
        <v>0.04</v>
      </c>
      <c r="L438">
        <f t="shared" si="101"/>
        <v>0.09</v>
      </c>
      <c r="M438" s="4">
        <f t="shared" si="98"/>
        <v>0.13996</v>
      </c>
      <c r="N438" s="4">
        <f t="shared" si="99"/>
        <v>0.31490999999999997</v>
      </c>
    </row>
    <row r="439" spans="1:14">
      <c r="A439" t="str">
        <f t="shared" si="88"/>
        <v>BR_TAT_DSY_NONMS_ND_NC_2019Q1FEB_RNG_AlwaysOn</v>
      </c>
      <c r="B439" t="str">
        <f t="shared" si="89"/>
        <v>Google Brasil</v>
      </c>
      <c r="C439" t="str">
        <f t="shared" si="90"/>
        <v>BR_VW_RNG_dv360_DIS_PROG_CPM_STD_SKY_TAT_RON_CXD_Reg06-Ad01_PD_300x600</v>
      </c>
      <c r="D439" t="str">
        <f t="shared" si="91"/>
        <v>242627596</v>
      </c>
      <c r="E439" t="str">
        <f t="shared" si="92"/>
        <v>Standard</v>
      </c>
      <c r="F439" t="str">
        <f t="shared" si="93"/>
        <v>BR_VW_RNG_dv360_DIS_PROG_CPM_STD_SKY_TAT_RON_CXD_Polo-Reg06-Ad01_PD_300x600</v>
      </c>
      <c r="G439" t="str">
        <f t="shared" si="94"/>
        <v>439244070</v>
      </c>
      <c r="H439" t="str">
        <f t="shared" si="95"/>
        <v>Display</v>
      </c>
      <c r="I439">
        <f t="shared" si="96"/>
        <v>6623</v>
      </c>
      <c r="J439">
        <f t="shared" si="97"/>
        <v>42</v>
      </c>
      <c r="K439" s="4">
        <f t="shared" si="100"/>
        <v>0.04</v>
      </c>
      <c r="L439">
        <f t="shared" si="101"/>
        <v>0.09</v>
      </c>
      <c r="M439" s="4">
        <f t="shared" si="98"/>
        <v>0.26491999999999999</v>
      </c>
      <c r="N439" s="4">
        <f t="shared" si="99"/>
        <v>0.59606999999999999</v>
      </c>
    </row>
    <row r="440" spans="1:14">
      <c r="A440" t="str">
        <f t="shared" si="88"/>
        <v>BR_TAT_DSY_NONMS_ND_NC_2019Q1FEB_RNG_AlwaysOn</v>
      </c>
      <c r="B440" t="str">
        <f t="shared" si="89"/>
        <v>Google-Discovery</v>
      </c>
      <c r="C440" t="str">
        <f t="shared" si="90"/>
        <v>BR_VW_RNG_google-discovery_DIS_DRCT_CPC_CLK_MXD_TAT_RON_CXD_fox-Rmkt-View-content_PD_nativeads</v>
      </c>
      <c r="D440" t="str">
        <f t="shared" si="91"/>
        <v>242986537</v>
      </c>
      <c r="E440" t="str">
        <f t="shared" si="92"/>
        <v>Dynamic Click</v>
      </c>
      <c r="F440" t="str">
        <f t="shared" si="93"/>
        <v>BR_VW_RNG_google-discovery_DIS_DRCT_CPC_CLK_MXD_TAT_RON_CXD_fox-Rmkt-View-content_PD_nativeads</v>
      </c>
      <c r="G440" t="str">
        <f t="shared" si="94"/>
        <v>439684036</v>
      </c>
      <c r="H440" t="str">
        <f t="shared" si="95"/>
        <v>Tracking</v>
      </c>
      <c r="I440">
        <f t="shared" si="96"/>
        <v>0</v>
      </c>
      <c r="J440">
        <f t="shared" si="97"/>
        <v>43</v>
      </c>
      <c r="K440" s="4">
        <f t="shared" si="100"/>
        <v>3.5000000000000001E-3</v>
      </c>
      <c r="L440">
        <f t="shared" si="101"/>
        <v>0.02</v>
      </c>
      <c r="M440" s="4">
        <f t="shared" si="98"/>
        <v>0.15049999999999999</v>
      </c>
      <c r="N440" s="4">
        <f t="shared" si="99"/>
        <v>0.86</v>
      </c>
    </row>
    <row r="441" spans="1:14">
      <c r="A441" t="str">
        <f t="shared" si="88"/>
        <v>BR_TAT_DSY_NONMS_ND_NC_2019Q1FEB_RNG_AlwaysOn</v>
      </c>
      <c r="B441" t="str">
        <f t="shared" si="89"/>
        <v>Google-Discovery</v>
      </c>
      <c r="C441" t="str">
        <f t="shared" si="90"/>
        <v>BR_VW_RNG_google-discovery_DIS_DRCT_CPC_CLK_MXD_TAT_RON_CXD_gol-Rmkt-View-content_PD_nativeads</v>
      </c>
      <c r="D441" t="str">
        <f t="shared" si="91"/>
        <v>242986540</v>
      </c>
      <c r="E441" t="str">
        <f t="shared" si="92"/>
        <v>Dynamic Click</v>
      </c>
      <c r="F441" t="str">
        <f t="shared" si="93"/>
        <v>BR_VW_RNG_google-discovery_DIS_DRCT_CPC_CLK_MXD_TAT_RON_CXD_gol-Rmkt-View-content_PD_nativeads</v>
      </c>
      <c r="G441" t="str">
        <f t="shared" si="94"/>
        <v>439684039</v>
      </c>
      <c r="H441" t="str">
        <f t="shared" si="95"/>
        <v>Tracking</v>
      </c>
      <c r="I441">
        <f t="shared" si="96"/>
        <v>0</v>
      </c>
      <c r="J441">
        <f t="shared" si="97"/>
        <v>696</v>
      </c>
      <c r="K441" s="4">
        <f t="shared" si="100"/>
        <v>3.5000000000000001E-3</v>
      </c>
      <c r="L441">
        <f t="shared" si="101"/>
        <v>0.02</v>
      </c>
      <c r="M441" s="4">
        <f t="shared" si="98"/>
        <v>2.4359999999999999</v>
      </c>
      <c r="N441" s="4">
        <f t="shared" si="99"/>
        <v>13.92</v>
      </c>
    </row>
    <row r="442" spans="1:14">
      <c r="A442" t="str">
        <f t="shared" si="88"/>
        <v>BR_TAT_DSY_NONMS_ND_NC_2019Q1FEB_RNG_AlwaysOn</v>
      </c>
      <c r="B442" t="str">
        <f t="shared" si="89"/>
        <v>Google-Discovery</v>
      </c>
      <c r="C442" t="str">
        <f t="shared" si="90"/>
        <v>BR_VW_RNG_google-discovery_DIS_DRCT_CPC_CLK_MXD_TAT_RON_CXD_jetta-Rmkt-View-content_PD_nativeads</v>
      </c>
      <c r="D442" t="str">
        <f t="shared" si="91"/>
        <v>242986543</v>
      </c>
      <c r="E442" t="str">
        <f t="shared" si="92"/>
        <v>Dynamic Click</v>
      </c>
      <c r="F442" t="str">
        <f t="shared" si="93"/>
        <v>BR_VW_RNG_google-discovery_DIS_DRCT_CPC_CLK_MXD_TAT_RON_CXD_jetta-Rmkt-View-content_PD_nativeads</v>
      </c>
      <c r="G442" t="str">
        <f t="shared" si="94"/>
        <v>439684042</v>
      </c>
      <c r="H442" t="str">
        <f t="shared" si="95"/>
        <v>Tracking</v>
      </c>
      <c r="I442">
        <f t="shared" si="96"/>
        <v>0</v>
      </c>
      <c r="J442">
        <f t="shared" si="97"/>
        <v>590</v>
      </c>
      <c r="K442" s="4">
        <f t="shared" si="100"/>
        <v>3.5000000000000001E-3</v>
      </c>
      <c r="L442">
        <f t="shared" si="101"/>
        <v>0.02</v>
      </c>
      <c r="M442" s="4">
        <f t="shared" si="98"/>
        <v>2.0649999999999999</v>
      </c>
      <c r="N442" s="4">
        <f t="shared" si="99"/>
        <v>11.8</v>
      </c>
    </row>
    <row r="443" spans="1:14">
      <c r="A443" t="str">
        <f t="shared" si="88"/>
        <v>BR_TAT_DSY_NONMS_ND_NC_2019Q1FEB_RNG_AlwaysOn</v>
      </c>
      <c r="B443" t="str">
        <f t="shared" si="89"/>
        <v>Google-Discovery</v>
      </c>
      <c r="C443" t="str">
        <f t="shared" si="90"/>
        <v>BR_VW_RNG_google-discovery_DIS_DRCT_CPC_CLK_MXD_TAT_RON_CXD_passat-Rmkt-View-content_PD_nativeads</v>
      </c>
      <c r="D443" t="str">
        <f t="shared" si="91"/>
        <v>242986546</v>
      </c>
      <c r="E443" t="str">
        <f t="shared" si="92"/>
        <v>Dynamic Click</v>
      </c>
      <c r="F443" t="str">
        <f t="shared" si="93"/>
        <v>BR_VW_RNG_google-discovery_DIS_DRCT_CPC_CLK_MXD_TAT_RON_CXD_passat-Rmkt-View-content_PD_nativeads</v>
      </c>
      <c r="G443" t="str">
        <f t="shared" si="94"/>
        <v>439684045</v>
      </c>
      <c r="H443" t="str">
        <f t="shared" si="95"/>
        <v>Tracking</v>
      </c>
      <c r="I443">
        <f t="shared" si="96"/>
        <v>0</v>
      </c>
      <c r="J443">
        <f t="shared" si="97"/>
        <v>28689</v>
      </c>
      <c r="K443" s="4">
        <f t="shared" si="100"/>
        <v>3.5000000000000001E-3</v>
      </c>
      <c r="L443">
        <f t="shared" si="101"/>
        <v>0.02</v>
      </c>
      <c r="M443" s="4">
        <f t="shared" si="98"/>
        <v>100.4115</v>
      </c>
      <c r="N443" s="4">
        <f t="shared" si="99"/>
        <v>573.78</v>
      </c>
    </row>
    <row r="444" spans="1:14">
      <c r="A444" t="str">
        <f t="shared" si="88"/>
        <v>BR_TAT_DSY_NONMS_ND_NC_2019Q1FEB_RNG_AlwaysOn</v>
      </c>
      <c r="B444" t="str">
        <f t="shared" si="89"/>
        <v>Google-Discovery</v>
      </c>
      <c r="C444" t="str">
        <f t="shared" si="90"/>
        <v>BR_VW_RNG_google-discovery_DIS_DRCT_CPC_CLK_MXD_TAT_RON_CXD_polo-Rmkt-View-content_PD_nativeads</v>
      </c>
      <c r="D444" t="str">
        <f t="shared" si="91"/>
        <v>242986549</v>
      </c>
      <c r="E444" t="str">
        <f t="shared" si="92"/>
        <v>Dynamic Click</v>
      </c>
      <c r="F444" t="str">
        <f t="shared" si="93"/>
        <v>BR_VW_RNG_google-discovery_DIS_DRCT_CPC_CLK_MXD_TAT_RON_CXD_polo-Rmkt-View-content_PD_nativeads</v>
      </c>
      <c r="G444" t="str">
        <f t="shared" si="94"/>
        <v>439684048</v>
      </c>
      <c r="H444" t="str">
        <f t="shared" si="95"/>
        <v>Tracking</v>
      </c>
      <c r="I444">
        <f t="shared" si="96"/>
        <v>0</v>
      </c>
      <c r="J444">
        <f t="shared" si="97"/>
        <v>772</v>
      </c>
      <c r="K444" s="4">
        <f t="shared" si="100"/>
        <v>3.5000000000000001E-3</v>
      </c>
      <c r="L444">
        <f t="shared" si="101"/>
        <v>0.02</v>
      </c>
      <c r="M444" s="4">
        <f t="shared" si="98"/>
        <v>2.702</v>
      </c>
      <c r="N444" s="4">
        <f t="shared" si="99"/>
        <v>15.44</v>
      </c>
    </row>
    <row r="445" spans="1:14">
      <c r="A445" t="str">
        <f t="shared" si="88"/>
        <v>BR_TAT_DSY_NONMS_ND_NC_2019Q1FEB_RNG_AlwaysOn</v>
      </c>
      <c r="B445" t="str">
        <f t="shared" si="89"/>
        <v>Google-Discovery</v>
      </c>
      <c r="C445" t="str">
        <f t="shared" si="90"/>
        <v>BR_VW_RNG_google-discovery_DIS_DRCT_CPC_CLK_MXD_TAT_RON_CXD_saveiro-Rmkt-View-content_PD_nativeads</v>
      </c>
      <c r="D445" t="str">
        <f t="shared" si="91"/>
        <v>242986552</v>
      </c>
      <c r="E445" t="str">
        <f t="shared" si="92"/>
        <v>Dynamic Click</v>
      </c>
      <c r="F445" t="str">
        <f t="shared" si="93"/>
        <v>BR_VW_RNG_google-discovery_DIS_DRCT_CPC_CLK_MXD_TAT_RON_CXD_saveiro-Rmkt-View-content_PD_nativeads</v>
      </c>
      <c r="G445" t="str">
        <f t="shared" si="94"/>
        <v>439684051</v>
      </c>
      <c r="H445" t="str">
        <f t="shared" si="95"/>
        <v>Tracking</v>
      </c>
      <c r="I445">
        <f t="shared" si="96"/>
        <v>0</v>
      </c>
      <c r="J445">
        <f t="shared" si="97"/>
        <v>401</v>
      </c>
      <c r="K445" s="4">
        <f t="shared" si="100"/>
        <v>3.5000000000000001E-3</v>
      </c>
      <c r="L445">
        <f t="shared" si="101"/>
        <v>0.02</v>
      </c>
      <c r="M445" s="4">
        <f t="shared" si="98"/>
        <v>1.4035</v>
      </c>
      <c r="N445" s="4">
        <f t="shared" si="99"/>
        <v>8.02</v>
      </c>
    </row>
    <row r="446" spans="1:14">
      <c r="A446" t="str">
        <f t="shared" si="88"/>
        <v>BR_TAT_DSY_NONMS_ND_NC_2019Q1FEB_RNG_AlwaysOn</v>
      </c>
      <c r="B446" t="str">
        <f t="shared" si="89"/>
        <v>Google-Discovery</v>
      </c>
      <c r="C446" t="str">
        <f t="shared" si="90"/>
        <v>BR_VW_RNG_google-discovery_DIS_DRCT_CPC_CLK_MXD_TAT_RON_CXD_tiguan-Rmkt-View-content_PD_nativeads</v>
      </c>
      <c r="D446" t="str">
        <f t="shared" si="91"/>
        <v>242986555</v>
      </c>
      <c r="E446" t="str">
        <f t="shared" si="92"/>
        <v>Dynamic Click</v>
      </c>
      <c r="F446" t="str">
        <f t="shared" si="93"/>
        <v>BR_VW_RNG_google-discovery_DIS_DRCT_CPC_CLK_MXD_TAT_RON_CXD_tiguan-Rmkt-View-content_PD_nativeads</v>
      </c>
      <c r="G446" t="str">
        <f t="shared" si="94"/>
        <v>439684054</v>
      </c>
      <c r="H446" t="str">
        <f t="shared" si="95"/>
        <v>Tracking</v>
      </c>
      <c r="I446">
        <f t="shared" si="96"/>
        <v>0</v>
      </c>
      <c r="J446">
        <f t="shared" si="97"/>
        <v>192</v>
      </c>
      <c r="K446" s="4">
        <f t="shared" si="100"/>
        <v>3.5000000000000001E-3</v>
      </c>
      <c r="L446">
        <f t="shared" si="101"/>
        <v>0.02</v>
      </c>
      <c r="M446" s="4">
        <f t="shared" si="98"/>
        <v>0.67200000000000004</v>
      </c>
      <c r="N446" s="4">
        <f t="shared" si="99"/>
        <v>3.84</v>
      </c>
    </row>
    <row r="447" spans="1:14">
      <c r="A447" t="str">
        <f t="shared" si="88"/>
        <v>BR_TAT_DSY_NONMS_ND_NC_2019Q1FEB_RNG_AlwaysOn</v>
      </c>
      <c r="B447" t="str">
        <f t="shared" si="89"/>
        <v>Google-Discovery</v>
      </c>
      <c r="C447" t="str">
        <f t="shared" si="90"/>
        <v>BR_VW_RNG_google-discovery_DIS_DRCT_CPC_CLK_MXD_TAT_RON_CXD_up-Rmkt-View-content_PD_nativeads</v>
      </c>
      <c r="D447" t="str">
        <f t="shared" si="91"/>
        <v>242986558</v>
      </c>
      <c r="E447" t="str">
        <f t="shared" si="92"/>
        <v>Dynamic Click</v>
      </c>
      <c r="F447" t="str">
        <f t="shared" si="93"/>
        <v>BR_VW_RNG_google-discovery_DIS_DRCT_CPC_CLK_MXD_TAT_RON_CXD_up-Rmkt-View-content_PD_nativeads</v>
      </c>
      <c r="G447" t="str">
        <f t="shared" si="94"/>
        <v>439684057</v>
      </c>
      <c r="H447" t="str">
        <f t="shared" si="95"/>
        <v>Tracking</v>
      </c>
      <c r="I447">
        <f t="shared" si="96"/>
        <v>0</v>
      </c>
      <c r="J447">
        <f t="shared" si="97"/>
        <v>526</v>
      </c>
      <c r="K447" s="4">
        <f t="shared" si="100"/>
        <v>3.5000000000000001E-3</v>
      </c>
      <c r="L447">
        <f t="shared" si="101"/>
        <v>0.02</v>
      </c>
      <c r="M447" s="4">
        <f t="shared" si="98"/>
        <v>1.841</v>
      </c>
      <c r="N447" s="4">
        <f t="shared" si="99"/>
        <v>10.52</v>
      </c>
    </row>
    <row r="448" spans="1:14">
      <c r="A448" t="str">
        <f t="shared" si="88"/>
        <v>BR_TAT_DSY_NONMS_ND_NC_2019Q1FEB_RNG_AlwaysOn</v>
      </c>
      <c r="B448" t="str">
        <f t="shared" si="89"/>
        <v>Google-Discovery</v>
      </c>
      <c r="C448" t="str">
        <f t="shared" si="90"/>
        <v>BR_VW_RNG_google-discovery_DIS_DRCT_CPC_CLK_MXD_TAT_RON_CXD_virtus-Rmkt-View-content_PD_nativeads</v>
      </c>
      <c r="D448" t="str">
        <f t="shared" si="91"/>
        <v>242986561</v>
      </c>
      <c r="E448" t="str">
        <f t="shared" si="92"/>
        <v>Dynamic Click</v>
      </c>
      <c r="F448" t="str">
        <f t="shared" si="93"/>
        <v>BR_VW_RNG_google-discovery_DIS_DRCT_CPC_CLK_MXD_TAT_RON_CXD_virtus-Rmkt-View-content_PD_nativeads</v>
      </c>
      <c r="G448" t="str">
        <f t="shared" si="94"/>
        <v>439684060</v>
      </c>
      <c r="H448" t="str">
        <f t="shared" si="95"/>
        <v>Tracking</v>
      </c>
      <c r="I448">
        <f t="shared" si="96"/>
        <v>0</v>
      </c>
      <c r="J448">
        <f t="shared" si="97"/>
        <v>498</v>
      </c>
      <c r="K448" s="4">
        <f t="shared" si="100"/>
        <v>3.5000000000000001E-3</v>
      </c>
      <c r="L448">
        <f t="shared" si="101"/>
        <v>0.02</v>
      </c>
      <c r="M448" s="4">
        <f t="shared" si="98"/>
        <v>1.7430000000000001</v>
      </c>
      <c r="N448" s="4">
        <f t="shared" si="99"/>
        <v>9.9600000000000009</v>
      </c>
    </row>
    <row r="449" spans="1:14">
      <c r="A449" t="str">
        <f t="shared" si="88"/>
        <v>BR_TAT_DSY_NONMS_ND_NC_2019Q1FEB_RNG_AlwaysOn</v>
      </c>
      <c r="B449" t="str">
        <f t="shared" si="89"/>
        <v>Google-Discovery</v>
      </c>
      <c r="C449" t="str">
        <f t="shared" si="90"/>
        <v>BR_VW_RNG_google-discovery_DIS_DRCT_CPC_CLK_MXD_TAT_RON_CXD_voyage-Rmkt-View-content_PD_nativeads</v>
      </c>
      <c r="D449" t="str">
        <f t="shared" si="91"/>
        <v>242992999</v>
      </c>
      <c r="E449" t="str">
        <f t="shared" si="92"/>
        <v>Dynamic Click</v>
      </c>
      <c r="F449" t="str">
        <f t="shared" si="93"/>
        <v>BR_VW_RNG_google-discovery_DIS_DRCT_CPC_CLK_MXD_TAT_RON_CXD_voyage-Rmkt-View-content_PD_nativeads</v>
      </c>
      <c r="G449" t="str">
        <f t="shared" si="94"/>
        <v>439684063</v>
      </c>
      <c r="H449" t="str">
        <f t="shared" si="95"/>
        <v>Tracking</v>
      </c>
      <c r="I449">
        <f t="shared" si="96"/>
        <v>0</v>
      </c>
      <c r="J449">
        <f t="shared" si="97"/>
        <v>461</v>
      </c>
      <c r="K449" s="4">
        <f t="shared" si="100"/>
        <v>3.5000000000000001E-3</v>
      </c>
      <c r="L449">
        <f t="shared" si="101"/>
        <v>0.02</v>
      </c>
      <c r="M449" s="4">
        <f t="shared" si="98"/>
        <v>1.6134999999999999</v>
      </c>
      <c r="N449" s="4">
        <f t="shared" si="99"/>
        <v>9.2200000000000006</v>
      </c>
    </row>
    <row r="450" spans="1:14">
      <c r="A450" t="str">
        <f t="shared" ref="A450:A513" si="102">bd_campaign</f>
        <v>BR_TAT_DSY_NONMS_ND_NC_2019Q1FEB_RNG_AlwaysOn</v>
      </c>
      <c r="B450" t="str">
        <f t="shared" ref="B450:B513" si="103">bd_site</f>
        <v>Oath BR</v>
      </c>
      <c r="C450" t="str">
        <f t="shared" ref="C450:C513" si="104">bd_placement</f>
        <v>BR_VW_RNG_oath_DIS_DRCT_CPC_CAI_MXD_TAT_RON_CXD_FoxConnect-Rmkt_PD_nativeads</v>
      </c>
      <c r="D450" t="str">
        <f t="shared" ref="D450:D513" si="105">bd_placementID</f>
        <v>243402818</v>
      </c>
      <c r="E450" t="str">
        <f t="shared" ref="E450:E513" si="106">VLOOKUP(CONCATENATE(bd_adtype,"_",bd_creativetype),tabela,2,FALSE)</f>
        <v>Dynamic Click</v>
      </c>
      <c r="F450" t="str">
        <f t="shared" ref="F450:F513" si="107">bd_ad</f>
        <v>BR_VW_RNG_oath_DIS_DRCT_CPC_CAI_MXD_TAT_RON_CXD_FoxConnect-Rmkt_PD_nativeads</v>
      </c>
      <c r="G450" t="str">
        <f t="shared" ref="G450:G513" si="108">bd_adid</f>
        <v>440130243</v>
      </c>
      <c r="H450" t="str">
        <f t="shared" ref="H450:H513" si="109">bd_creativetype</f>
        <v>Tracking</v>
      </c>
      <c r="I450">
        <f t="shared" ref="I450:I513" si="110">bd_impression</f>
        <v>0</v>
      </c>
      <c r="J450">
        <f t="shared" ref="J450:J513" si="111">bd_clicks</f>
        <v>76</v>
      </c>
      <c r="K450" s="4">
        <f t="shared" si="100"/>
        <v>3.5000000000000001E-3</v>
      </c>
      <c r="L450">
        <f t="shared" si="101"/>
        <v>0.02</v>
      </c>
      <c r="M450" s="4">
        <f t="shared" si="98"/>
        <v>0.26600000000000001</v>
      </c>
      <c r="N450" s="4">
        <f t="shared" si="99"/>
        <v>1.52</v>
      </c>
    </row>
    <row r="451" spans="1:14">
      <c r="A451" t="str">
        <f t="shared" si="102"/>
        <v>BR_TAT_DSY_NONMS_ND_NC_2019Q1FEB_RNG_AlwaysOn</v>
      </c>
      <c r="B451" t="str">
        <f t="shared" si="103"/>
        <v>Oath BR</v>
      </c>
      <c r="C451" t="str">
        <f t="shared" si="104"/>
        <v>BR_VW_RNG_oath_DIS_DRCT_CPC_CAI_MXD_TAT_RON_CXD_FoxXtreme-Rmkt_PD_nativeads</v>
      </c>
      <c r="D451" t="str">
        <f t="shared" si="105"/>
        <v>243402812</v>
      </c>
      <c r="E451" t="str">
        <f t="shared" si="106"/>
        <v>Dynamic Click</v>
      </c>
      <c r="F451" t="str">
        <f t="shared" si="107"/>
        <v>BR_VW_RNG_oath_DIS_DRCT_CPC_CAI_MXD_TAT_RON_CXD_FoxXtreme-Rmkt_PD_nativeads</v>
      </c>
      <c r="G451" t="str">
        <f t="shared" si="108"/>
        <v>440130237</v>
      </c>
      <c r="H451" t="str">
        <f t="shared" si="109"/>
        <v>Tracking</v>
      </c>
      <c r="I451">
        <f t="shared" si="110"/>
        <v>0</v>
      </c>
      <c r="J451">
        <f t="shared" si="111"/>
        <v>141</v>
      </c>
      <c r="K451" s="4">
        <f t="shared" si="100"/>
        <v>3.5000000000000001E-3</v>
      </c>
      <c r="L451">
        <f t="shared" si="101"/>
        <v>0.02</v>
      </c>
      <c r="M451" s="4">
        <f t="shared" si="98"/>
        <v>0.49349999999999999</v>
      </c>
      <c r="N451" s="4">
        <f t="shared" si="99"/>
        <v>2.82</v>
      </c>
    </row>
    <row r="452" spans="1:14">
      <c r="A452" t="str">
        <f t="shared" si="102"/>
        <v>BR_TAT_DSY_NONMS_ND_NC_2019Q1FEB_RNG_AlwaysOn</v>
      </c>
      <c r="B452" t="str">
        <f t="shared" si="103"/>
        <v>Oath BR</v>
      </c>
      <c r="C452" t="str">
        <f t="shared" si="104"/>
        <v>BR_VW_RNG_oath_DIS_DRCT_CPC_CAI_MXD_TAT_RON_CXD_Gol-Rmkt_PD_nativeads</v>
      </c>
      <c r="D452" t="str">
        <f t="shared" si="105"/>
        <v>243402806</v>
      </c>
      <c r="E452" t="str">
        <f t="shared" si="106"/>
        <v>Dynamic Click</v>
      </c>
      <c r="F452" t="str">
        <f t="shared" si="107"/>
        <v>BR_VW_RNG_oath_DIS_DRCT_CPC_CAI_MXD_TAT_RON_CXD_Gol-Rmkt_PD_nativeads</v>
      </c>
      <c r="G452" t="str">
        <f t="shared" si="108"/>
        <v>440130231</v>
      </c>
      <c r="H452" t="str">
        <f t="shared" si="109"/>
        <v>Tracking</v>
      </c>
      <c r="I452">
        <f t="shared" si="110"/>
        <v>0</v>
      </c>
      <c r="J452">
        <f t="shared" si="111"/>
        <v>286</v>
      </c>
      <c r="K452" s="4">
        <f t="shared" si="100"/>
        <v>3.5000000000000001E-3</v>
      </c>
      <c r="L452">
        <f t="shared" si="101"/>
        <v>0.02</v>
      </c>
      <c r="M452" s="4">
        <f t="shared" si="98"/>
        <v>1.0010000000000001</v>
      </c>
      <c r="N452" s="4">
        <f t="shared" si="99"/>
        <v>5.72</v>
      </c>
    </row>
    <row r="453" spans="1:14">
      <c r="A453" t="str">
        <f t="shared" si="102"/>
        <v>BR_TAT_DSY_NONMS_ND_NC_2019Q1FEB_RNG_AlwaysOn</v>
      </c>
      <c r="B453" t="str">
        <f t="shared" si="103"/>
        <v>Oath BR</v>
      </c>
      <c r="C453" t="str">
        <f t="shared" si="104"/>
        <v>BR_VW_RNG_oath_DIS_DRCT_CPC_CAI_MXD_TAT_RON_CXD_Jetta-Rmkt-ViewContent_PD_nativeads</v>
      </c>
      <c r="D453" t="str">
        <f t="shared" si="105"/>
        <v>243402752</v>
      </c>
      <c r="E453" t="str">
        <f t="shared" si="106"/>
        <v>Dynamic Click</v>
      </c>
      <c r="F453" t="str">
        <f t="shared" si="107"/>
        <v>BR_VW_RNG_oath_DIS_DRCT_CPC_CAI_MXD_TAT_RON_CXD_Jetta-Rmkt-ViewContent_PD_nativeads</v>
      </c>
      <c r="G453" t="str">
        <f t="shared" si="108"/>
        <v>440130177</v>
      </c>
      <c r="H453" t="str">
        <f t="shared" si="109"/>
        <v>Tracking</v>
      </c>
      <c r="I453">
        <f t="shared" si="110"/>
        <v>0</v>
      </c>
      <c r="J453">
        <f t="shared" si="111"/>
        <v>1</v>
      </c>
      <c r="K453" s="4">
        <f t="shared" si="100"/>
        <v>3.5000000000000001E-3</v>
      </c>
      <c r="L453">
        <f t="shared" si="101"/>
        <v>0.02</v>
      </c>
      <c r="M453" s="4">
        <f t="shared" si="98"/>
        <v>3.5000000000000001E-3</v>
      </c>
      <c r="N453" s="4">
        <f t="shared" si="99"/>
        <v>0.02</v>
      </c>
    </row>
    <row r="454" spans="1:14">
      <c r="A454" t="str">
        <f t="shared" si="102"/>
        <v>BR_TAT_DSY_NONMS_ND_NC_2019Q1FEB_RNG_AlwaysOn</v>
      </c>
      <c r="B454" t="str">
        <f t="shared" si="103"/>
        <v>Oath BR</v>
      </c>
      <c r="C454" t="str">
        <f t="shared" si="104"/>
        <v>BR_VW_RNG_oath_DIS_DRCT_CPC_CAI_MXD_TAT_RON_CXD_Jetta-Rmkt_PD_nativeads</v>
      </c>
      <c r="D454" t="str">
        <f t="shared" si="105"/>
        <v>243402800</v>
      </c>
      <c r="E454" t="str">
        <f t="shared" si="106"/>
        <v>Dynamic Click</v>
      </c>
      <c r="F454" t="str">
        <f t="shared" si="107"/>
        <v>BR_VW_RNG_oath_DIS_DRCT_CPC_CAI_MXD_TAT_RON_CXD_Jetta-Rmkt_PD_nativeads</v>
      </c>
      <c r="G454" t="str">
        <f t="shared" si="108"/>
        <v>440130225</v>
      </c>
      <c r="H454" t="str">
        <f t="shared" si="109"/>
        <v>Tracking</v>
      </c>
      <c r="I454">
        <f t="shared" si="110"/>
        <v>0</v>
      </c>
      <c r="J454">
        <f t="shared" si="111"/>
        <v>321</v>
      </c>
      <c r="K454" s="4">
        <f t="shared" si="100"/>
        <v>3.5000000000000001E-3</v>
      </c>
      <c r="L454">
        <f t="shared" si="101"/>
        <v>0.02</v>
      </c>
      <c r="M454" s="4">
        <f t="shared" si="98"/>
        <v>1.1234999999999999</v>
      </c>
      <c r="N454" s="4">
        <f t="shared" si="99"/>
        <v>6.42</v>
      </c>
    </row>
    <row r="455" spans="1:14">
      <c r="A455" t="str">
        <f t="shared" si="102"/>
        <v>BR_TAT_DSY_NONMS_ND_NC_2019Q1FEB_RNG_AlwaysOn</v>
      </c>
      <c r="B455" t="str">
        <f t="shared" si="103"/>
        <v>Oath BR</v>
      </c>
      <c r="C455" t="str">
        <f t="shared" si="104"/>
        <v>BR_VW_RNG_oath_DIS_DRCT_CPC_CAI_MXD_TAT_RON_CXD_Passat-Rmkt-ViewContent_PD_nativeads</v>
      </c>
      <c r="D455" t="str">
        <f t="shared" si="105"/>
        <v>243402815</v>
      </c>
      <c r="E455" t="str">
        <f t="shared" si="106"/>
        <v>Dynamic Click</v>
      </c>
      <c r="F455" t="str">
        <f t="shared" si="107"/>
        <v>BR_VW_RNG_oath_DIS_DRCT_CPC_CAI_MXD_TAT_RON_CXD_Passat-Rmkt-ViewContent_PD_nativeads</v>
      </c>
      <c r="G455" t="str">
        <f t="shared" si="108"/>
        <v>440130240</v>
      </c>
      <c r="H455" t="str">
        <f t="shared" si="109"/>
        <v>Tracking</v>
      </c>
      <c r="I455">
        <f t="shared" si="110"/>
        <v>0</v>
      </c>
      <c r="J455">
        <f t="shared" si="111"/>
        <v>1</v>
      </c>
      <c r="K455" s="4">
        <f t="shared" si="100"/>
        <v>3.5000000000000001E-3</v>
      </c>
      <c r="L455">
        <f t="shared" si="101"/>
        <v>0.02</v>
      </c>
      <c r="M455" s="4">
        <f t="shared" si="98"/>
        <v>3.5000000000000001E-3</v>
      </c>
      <c r="N455" s="4">
        <f t="shared" si="99"/>
        <v>0.02</v>
      </c>
    </row>
    <row r="456" spans="1:14">
      <c r="A456" t="str">
        <f t="shared" si="102"/>
        <v>BR_TAT_DSY_NONMS_ND_NC_2019Q1FEB_RNG_AlwaysOn</v>
      </c>
      <c r="B456" t="str">
        <f t="shared" si="103"/>
        <v>Oath BR</v>
      </c>
      <c r="C456" t="str">
        <f t="shared" si="104"/>
        <v>BR_VW_RNG_oath_DIS_DRCT_CPC_CAI_MXD_TAT_RON_CXD_Passat-Rmkt_PD_nativeads</v>
      </c>
      <c r="D456" t="str">
        <f t="shared" si="105"/>
        <v>243402794</v>
      </c>
      <c r="E456" t="str">
        <f t="shared" si="106"/>
        <v>Dynamic Click</v>
      </c>
      <c r="F456" t="str">
        <f t="shared" si="107"/>
        <v>BR_VW_RNG_oath_DIS_DRCT_CPC_CAI_MXD_TAT_RON_CXD_Passat-Rmkt_PD_nativeads</v>
      </c>
      <c r="G456" t="str">
        <f t="shared" si="108"/>
        <v>440130219</v>
      </c>
      <c r="H456" t="str">
        <f t="shared" si="109"/>
        <v>Tracking</v>
      </c>
      <c r="I456">
        <f t="shared" si="110"/>
        <v>0</v>
      </c>
      <c r="J456">
        <f t="shared" si="111"/>
        <v>120</v>
      </c>
      <c r="K456" s="4">
        <f t="shared" si="100"/>
        <v>3.5000000000000001E-3</v>
      </c>
      <c r="L456">
        <f t="shared" si="101"/>
        <v>0.02</v>
      </c>
      <c r="M456" s="4">
        <f t="shared" si="98"/>
        <v>0.42</v>
      </c>
      <c r="N456" s="4">
        <f t="shared" si="99"/>
        <v>2.4</v>
      </c>
    </row>
    <row r="457" spans="1:14">
      <c r="A457" t="str">
        <f t="shared" si="102"/>
        <v>BR_TAT_DSY_NONMS_ND_NC_2019Q1FEB_RNG_AlwaysOn</v>
      </c>
      <c r="B457" t="str">
        <f t="shared" si="103"/>
        <v>Oath BR</v>
      </c>
      <c r="C457" t="str">
        <f t="shared" si="104"/>
        <v>BR_VW_RNG_oath_DIS_DRCT_CPC_CAI_MXD_TAT_RON_CXD_Polo-Rmkt_PD_nativeads</v>
      </c>
      <c r="D457" t="str">
        <f t="shared" si="105"/>
        <v>243402788</v>
      </c>
      <c r="E457" t="str">
        <f t="shared" si="106"/>
        <v>Dynamic Click</v>
      </c>
      <c r="F457" t="str">
        <f t="shared" si="107"/>
        <v>BR_VW_RNG_oath_DIS_DRCT_CPC_CAI_MXD_TAT_RON_CXD_Polo-Rmkt_PD_nativeads</v>
      </c>
      <c r="G457" t="str">
        <f t="shared" si="108"/>
        <v>440130213</v>
      </c>
      <c r="H457" t="str">
        <f t="shared" si="109"/>
        <v>Tracking</v>
      </c>
      <c r="I457">
        <f t="shared" si="110"/>
        <v>0</v>
      </c>
      <c r="J457">
        <f t="shared" si="111"/>
        <v>176</v>
      </c>
      <c r="K457" s="4">
        <f t="shared" si="100"/>
        <v>3.5000000000000001E-3</v>
      </c>
      <c r="L457">
        <f t="shared" si="101"/>
        <v>0.02</v>
      </c>
      <c r="M457" s="4">
        <f t="shared" si="98"/>
        <v>0.61599999999999999</v>
      </c>
      <c r="N457" s="4">
        <f t="shared" si="99"/>
        <v>3.52</v>
      </c>
    </row>
    <row r="458" spans="1:14">
      <c r="A458" t="str">
        <f t="shared" si="102"/>
        <v>BR_TAT_DSY_NONMS_ND_NC_2019Q1FEB_RNG_AlwaysOn</v>
      </c>
      <c r="B458" t="str">
        <f t="shared" si="103"/>
        <v>Oath BR</v>
      </c>
      <c r="C458" t="str">
        <f t="shared" si="104"/>
        <v>BR_VW_RNG_oath_DIS_DRCT_CPC_CAI_MXD_TAT_RON_CXD_Saveiro-Rmkt_PD_nativeads</v>
      </c>
      <c r="D458" t="str">
        <f t="shared" si="105"/>
        <v>243402782</v>
      </c>
      <c r="E458" t="str">
        <f t="shared" si="106"/>
        <v>Dynamic Click</v>
      </c>
      <c r="F458" t="str">
        <f t="shared" si="107"/>
        <v>BR_VW_RNG_oath_DIS_DRCT_CPC_CAI_MXD_TAT_RON_CXD_Saveiro-Rmkt_PD_nativeads</v>
      </c>
      <c r="G458" t="str">
        <f t="shared" si="108"/>
        <v>440130207</v>
      </c>
      <c r="H458" t="str">
        <f t="shared" si="109"/>
        <v>Tracking</v>
      </c>
      <c r="I458">
        <f t="shared" si="110"/>
        <v>0</v>
      </c>
      <c r="J458">
        <f t="shared" si="111"/>
        <v>310</v>
      </c>
      <c r="K458" s="4">
        <f t="shared" si="100"/>
        <v>3.5000000000000001E-3</v>
      </c>
      <c r="L458">
        <f t="shared" si="101"/>
        <v>0.02</v>
      </c>
      <c r="M458" s="4">
        <f t="shared" si="98"/>
        <v>1.085</v>
      </c>
      <c r="N458" s="4">
        <f t="shared" si="99"/>
        <v>6.2</v>
      </c>
    </row>
    <row r="459" spans="1:14">
      <c r="A459" t="str">
        <f t="shared" si="102"/>
        <v>BR_TAT_DSY_NONMS_ND_NC_2019Q1FEB_RNG_AlwaysOn</v>
      </c>
      <c r="B459" t="str">
        <f t="shared" si="103"/>
        <v>Oath BR</v>
      </c>
      <c r="C459" t="str">
        <f t="shared" si="104"/>
        <v>BR_VW_RNG_oath_DIS_DRCT_CPC_CAI_MXD_TAT_RON_CXD_SaveiroPepper-Rmkt_PD_nativeads</v>
      </c>
      <c r="D459" t="str">
        <f t="shared" si="105"/>
        <v>243402776</v>
      </c>
      <c r="E459" t="str">
        <f t="shared" si="106"/>
        <v>Dynamic Click</v>
      </c>
      <c r="F459" t="str">
        <f t="shared" si="107"/>
        <v>BR_VW_RNG_oath_DIS_DRCT_CPC_CAI_MXD_TAT_RON_CXD_SaveiroPepper-Rmkt_PD_nativeads</v>
      </c>
      <c r="G459" t="str">
        <f t="shared" si="108"/>
        <v>440130201</v>
      </c>
      <c r="H459" t="str">
        <f t="shared" si="109"/>
        <v>Tracking</v>
      </c>
      <c r="I459">
        <f t="shared" si="110"/>
        <v>0</v>
      </c>
      <c r="J459">
        <f t="shared" si="111"/>
        <v>269</v>
      </c>
      <c r="K459" s="4">
        <f t="shared" si="100"/>
        <v>3.5000000000000001E-3</v>
      </c>
      <c r="L459">
        <f t="shared" si="101"/>
        <v>0.02</v>
      </c>
      <c r="M459" s="4">
        <f t="shared" si="98"/>
        <v>0.9415</v>
      </c>
      <c r="N459" s="4">
        <f t="shared" si="99"/>
        <v>5.38</v>
      </c>
    </row>
    <row r="460" spans="1:14">
      <c r="A460" t="str">
        <f t="shared" si="102"/>
        <v>BR_TAT_DSY_NONMS_ND_NC_2019Q1FEB_RNG_AlwaysOn</v>
      </c>
      <c r="B460" t="str">
        <f t="shared" si="103"/>
        <v>Oath BR</v>
      </c>
      <c r="C460" t="str">
        <f t="shared" si="104"/>
        <v>BR_VW_RNG_oath_DIS_DRCT_CPC_CAI_MXD_TAT_RON_CXD_Tiguan-Rmkt_PD_nativeads</v>
      </c>
      <c r="D460" t="str">
        <f t="shared" si="105"/>
        <v>243402773</v>
      </c>
      <c r="E460" t="str">
        <f t="shared" si="106"/>
        <v>Dynamic Click</v>
      </c>
      <c r="F460" t="str">
        <f t="shared" si="107"/>
        <v>BR_VW_RNG_oath_DIS_DRCT_CPC_CAI_MXD_TAT_RON_CXD_Tiguan-Rmkt_PD_nativeads</v>
      </c>
      <c r="G460" t="str">
        <f t="shared" si="108"/>
        <v>440130198</v>
      </c>
      <c r="H460" t="str">
        <f t="shared" si="109"/>
        <v>Tracking</v>
      </c>
      <c r="I460">
        <f t="shared" si="110"/>
        <v>0</v>
      </c>
      <c r="J460">
        <f t="shared" si="111"/>
        <v>344</v>
      </c>
      <c r="K460" s="4">
        <f t="shared" si="100"/>
        <v>3.5000000000000001E-3</v>
      </c>
      <c r="L460">
        <f t="shared" si="101"/>
        <v>0.02</v>
      </c>
      <c r="M460" s="4">
        <f t="shared" si="98"/>
        <v>1.204</v>
      </c>
      <c r="N460" s="4">
        <f t="shared" si="99"/>
        <v>6.88</v>
      </c>
    </row>
    <row r="461" spans="1:14">
      <c r="A461" t="str">
        <f t="shared" si="102"/>
        <v>BR_TAT_DSY_NONMS_ND_NC_2019Q1FEB_RNG_AlwaysOn</v>
      </c>
      <c r="B461" t="str">
        <f t="shared" si="103"/>
        <v>Oath BR</v>
      </c>
      <c r="C461" t="str">
        <f t="shared" si="104"/>
        <v>BR_VW_RNG_oath_DIS_DRCT_CPC_CAI_MXD_TAT_RON_CXD_UP-Rmkt_PD_nativeads</v>
      </c>
      <c r="D461" t="str">
        <f t="shared" si="105"/>
        <v>243402767</v>
      </c>
      <c r="E461" t="str">
        <f t="shared" si="106"/>
        <v>Dynamic Click</v>
      </c>
      <c r="F461" t="str">
        <f t="shared" si="107"/>
        <v>BR_VW_RNG_oath_DIS_DRCT_CPC_CAI_MXD_TAT_RON_CXD_UP-Rmkt_PD_nativeads</v>
      </c>
      <c r="G461" t="str">
        <f t="shared" si="108"/>
        <v>440130192</v>
      </c>
      <c r="H461" t="str">
        <f t="shared" si="109"/>
        <v>Tracking</v>
      </c>
      <c r="I461">
        <f t="shared" si="110"/>
        <v>0</v>
      </c>
      <c r="J461">
        <f t="shared" si="111"/>
        <v>192</v>
      </c>
      <c r="K461" s="4">
        <f t="shared" si="100"/>
        <v>3.5000000000000001E-3</v>
      </c>
      <c r="L461">
        <f t="shared" si="101"/>
        <v>0.02</v>
      </c>
      <c r="M461" s="4">
        <f t="shared" si="98"/>
        <v>0.67200000000000004</v>
      </c>
      <c r="N461" s="4">
        <f t="shared" si="99"/>
        <v>3.84</v>
      </c>
    </row>
    <row r="462" spans="1:14">
      <c r="A462" t="str">
        <f t="shared" si="102"/>
        <v>BR_TAT_DSY_NONMS_ND_NC_2019Q1FEB_RNG_AlwaysOn</v>
      </c>
      <c r="B462" t="str">
        <f t="shared" si="103"/>
        <v>Oath BR</v>
      </c>
      <c r="C462" t="str">
        <f t="shared" si="104"/>
        <v>BR_VW_RNG_oath_DIS_DRCT_CPC_CAI_MXD_TAT_RON_CXD_UPPepper-Rmkt_PD_nativeads</v>
      </c>
      <c r="D462" t="str">
        <f t="shared" si="105"/>
        <v>243402770</v>
      </c>
      <c r="E462" t="str">
        <f t="shared" si="106"/>
        <v>Dynamic Click</v>
      </c>
      <c r="F462" t="str">
        <f t="shared" si="107"/>
        <v>BR_VW_RNG_oath_DIS_DRCT_CPC_CAI_MXD_TAT_RON_CXD_UPPepper-Rmkt_PD_nativeads</v>
      </c>
      <c r="G462" t="str">
        <f t="shared" si="108"/>
        <v>440130195</v>
      </c>
      <c r="H462" t="str">
        <f t="shared" si="109"/>
        <v>Tracking</v>
      </c>
      <c r="I462">
        <f t="shared" si="110"/>
        <v>0</v>
      </c>
      <c r="J462">
        <f t="shared" si="111"/>
        <v>300</v>
      </c>
      <c r="K462" s="4">
        <f t="shared" si="100"/>
        <v>3.5000000000000001E-3</v>
      </c>
      <c r="L462">
        <f t="shared" si="101"/>
        <v>0.02</v>
      </c>
      <c r="M462" s="4">
        <f t="shared" si="98"/>
        <v>1.05</v>
      </c>
      <c r="N462" s="4">
        <f t="shared" si="99"/>
        <v>6</v>
      </c>
    </row>
    <row r="463" spans="1:14">
      <c r="A463" t="str">
        <f t="shared" si="102"/>
        <v>BR_TAT_DSY_NONMS_ND_NC_2019Q1FEB_RNG_AlwaysOn</v>
      </c>
      <c r="B463" t="str">
        <f t="shared" si="103"/>
        <v>Oath BR</v>
      </c>
      <c r="C463" t="str">
        <f t="shared" si="104"/>
        <v>BR_VW_RNG_oath_DIS_DRCT_CPC_CAI_MXD_TAT_RON_CXD_Varejo-Outlet-Rmkt_PD_nativeads</v>
      </c>
      <c r="D463" t="str">
        <f t="shared" si="105"/>
        <v>242043182</v>
      </c>
      <c r="E463" t="str">
        <f t="shared" si="106"/>
        <v>Dynamic Click</v>
      </c>
      <c r="F463" t="str">
        <f t="shared" si="107"/>
        <v>BR_VW_RNG_oath_DIS_DRCT_CPC_CAI_MXD_TAT_RON_CXD_Varejo-Outlet-Rmkt_PD_nativeads</v>
      </c>
      <c r="G463" t="str">
        <f t="shared" si="108"/>
        <v>438886359</v>
      </c>
      <c r="H463" t="str">
        <f t="shared" si="109"/>
        <v>Tracking</v>
      </c>
      <c r="I463">
        <f t="shared" si="110"/>
        <v>0</v>
      </c>
      <c r="J463">
        <f t="shared" si="111"/>
        <v>6562</v>
      </c>
      <c r="K463" s="4">
        <f t="shared" si="100"/>
        <v>3.5000000000000001E-3</v>
      </c>
      <c r="L463">
        <f t="shared" si="101"/>
        <v>0.02</v>
      </c>
      <c r="M463" s="4">
        <f t="shared" si="98"/>
        <v>22.966999999999999</v>
      </c>
      <c r="N463" s="4">
        <f t="shared" si="99"/>
        <v>131.24</v>
      </c>
    </row>
    <row r="464" spans="1:14">
      <c r="A464" t="str">
        <f t="shared" si="102"/>
        <v>BR_TAT_DSY_NONMS_ND_NC_2019Q1FEB_RNG_AlwaysOn</v>
      </c>
      <c r="B464" t="str">
        <f t="shared" si="103"/>
        <v>Oath BR</v>
      </c>
      <c r="C464" t="str">
        <f t="shared" si="104"/>
        <v>BR_VW_RNG_oath_DIS_DRCT_CPC_CAI_MXD_TAT_RON_CXD_Virtus-Rmkt-ViewContent_PD_nativeads</v>
      </c>
      <c r="D464" t="str">
        <f t="shared" si="105"/>
        <v>243402785</v>
      </c>
      <c r="E464" t="str">
        <f t="shared" si="106"/>
        <v>Dynamic Click</v>
      </c>
      <c r="F464" t="str">
        <f t="shared" si="107"/>
        <v>BR_VW_RNG_oath_DIS_DRCT_CPC_CAI_MXD_TAT_RON_CXD_Virtus-Rmkt-ViewContent_PD_nativeads</v>
      </c>
      <c r="G464" t="str">
        <f t="shared" si="108"/>
        <v>440130210</v>
      </c>
      <c r="H464" t="str">
        <f t="shared" si="109"/>
        <v>Tracking</v>
      </c>
      <c r="I464">
        <f t="shared" si="110"/>
        <v>0</v>
      </c>
      <c r="J464">
        <f t="shared" si="111"/>
        <v>1</v>
      </c>
      <c r="K464" s="4">
        <f t="shared" si="100"/>
        <v>3.5000000000000001E-3</v>
      </c>
      <c r="L464">
        <f t="shared" si="101"/>
        <v>0.02</v>
      </c>
      <c r="M464" s="4">
        <f t="shared" si="98"/>
        <v>3.5000000000000001E-3</v>
      </c>
      <c r="N464" s="4">
        <f t="shared" si="99"/>
        <v>0.02</v>
      </c>
    </row>
    <row r="465" spans="1:14">
      <c r="A465" t="str">
        <f t="shared" si="102"/>
        <v>BR_TAT_DSY_NONMS_ND_NC_2019Q1FEB_RNG_AlwaysOn</v>
      </c>
      <c r="B465" t="str">
        <f t="shared" si="103"/>
        <v>Oath BR</v>
      </c>
      <c r="C465" t="str">
        <f t="shared" si="104"/>
        <v>BR_VW_RNG_oath_DIS_DRCT_CPC_CAI_MXD_TAT_RON_CXD_Virtus-Rmkt_PD_nativeads</v>
      </c>
      <c r="D465" t="str">
        <f t="shared" si="105"/>
        <v>243402764</v>
      </c>
      <c r="E465" t="str">
        <f t="shared" si="106"/>
        <v>Dynamic Click</v>
      </c>
      <c r="F465" t="str">
        <f t="shared" si="107"/>
        <v>BR_VW_RNG_oath_DIS_DRCT_CPC_CAI_MXD_TAT_RON_CXD_Virtus-Rmkt_PD_nativeads</v>
      </c>
      <c r="G465" t="str">
        <f t="shared" si="108"/>
        <v>440130189</v>
      </c>
      <c r="H465" t="str">
        <f t="shared" si="109"/>
        <v>Tracking</v>
      </c>
      <c r="I465">
        <f t="shared" si="110"/>
        <v>0</v>
      </c>
      <c r="J465">
        <f t="shared" si="111"/>
        <v>320</v>
      </c>
      <c r="K465" s="4">
        <f t="shared" si="100"/>
        <v>3.5000000000000001E-3</v>
      </c>
      <c r="L465">
        <f t="shared" si="101"/>
        <v>0.02</v>
      </c>
      <c r="M465" s="4">
        <f t="shared" si="98"/>
        <v>1.1200000000000001</v>
      </c>
      <c r="N465" s="4">
        <f t="shared" si="99"/>
        <v>6.4</v>
      </c>
    </row>
    <row r="466" spans="1:14">
      <c r="A466" t="str">
        <f t="shared" si="102"/>
        <v>BR_TAT_DSY_NONMS_ND_NC_2019Q1FEB_RNG_AlwaysOn</v>
      </c>
      <c r="B466" t="str">
        <f t="shared" si="103"/>
        <v>Oath BR</v>
      </c>
      <c r="C466" t="str">
        <f t="shared" si="104"/>
        <v>BR_VW_RNG_oath_DIS_DRCT_CPC_CAI_MXD_TAT_RON_CXD_Voyage-Rmkt-ViewContent_PD_nativeads</v>
      </c>
      <c r="D466" t="str">
        <f t="shared" si="105"/>
        <v>243402779</v>
      </c>
      <c r="E466" t="str">
        <f t="shared" si="106"/>
        <v>Dynamic Click</v>
      </c>
      <c r="F466" t="str">
        <f t="shared" si="107"/>
        <v>BR_VW_RNG_oath_DIS_DRCT_CPC_CAI_MXD_TAT_RON_CXD_Voyage-Rmkt-ViewContent_PD_nativeads</v>
      </c>
      <c r="G466" t="str">
        <f t="shared" si="108"/>
        <v>440130204</v>
      </c>
      <c r="H466" t="str">
        <f t="shared" si="109"/>
        <v>Tracking</v>
      </c>
      <c r="I466">
        <f t="shared" si="110"/>
        <v>0</v>
      </c>
      <c r="J466">
        <f t="shared" si="111"/>
        <v>1</v>
      </c>
      <c r="K466" s="4">
        <f t="shared" si="100"/>
        <v>3.5000000000000001E-3</v>
      </c>
      <c r="L466">
        <f t="shared" si="101"/>
        <v>0.02</v>
      </c>
      <c r="M466" s="4">
        <f t="shared" si="98"/>
        <v>3.5000000000000001E-3</v>
      </c>
      <c r="N466" s="4">
        <f t="shared" si="99"/>
        <v>0.02</v>
      </c>
    </row>
    <row r="467" spans="1:14">
      <c r="A467" t="str">
        <f t="shared" si="102"/>
        <v>BR_TAT_DSY_NONMS_ND_NC_2019Q1FEB_RNG_AlwaysOn</v>
      </c>
      <c r="B467" t="str">
        <f t="shared" si="103"/>
        <v>Oath BR</v>
      </c>
      <c r="C467" t="str">
        <f t="shared" si="104"/>
        <v>BR_VW_RNG_oath_DIS_DRCT_CPC_CAI_MXD_TAT_RON_CXD_Voyage-Rmkt_PD_nativeads</v>
      </c>
      <c r="D467" t="str">
        <f t="shared" si="105"/>
        <v>243402761</v>
      </c>
      <c r="E467" t="str">
        <f t="shared" si="106"/>
        <v>Dynamic Click</v>
      </c>
      <c r="F467" t="str">
        <f t="shared" si="107"/>
        <v>BR_VW_RNG_oath_DIS_DRCT_CPC_CAI_MXD_TAT_RON_CXD_Voyage-Rmkt_PD_nativeads</v>
      </c>
      <c r="G467" t="str">
        <f t="shared" si="108"/>
        <v>440130186</v>
      </c>
      <c r="H467" t="str">
        <f t="shared" si="109"/>
        <v>Tracking</v>
      </c>
      <c r="I467">
        <f t="shared" si="110"/>
        <v>0</v>
      </c>
      <c r="J467">
        <f t="shared" si="111"/>
        <v>451</v>
      </c>
      <c r="K467" s="4">
        <f t="shared" si="100"/>
        <v>3.5000000000000001E-3</v>
      </c>
      <c r="L467">
        <f t="shared" si="101"/>
        <v>0.02</v>
      </c>
      <c r="M467" s="4">
        <f t="shared" si="98"/>
        <v>1.5785</v>
      </c>
      <c r="N467" s="4">
        <f t="shared" si="99"/>
        <v>9.02</v>
      </c>
    </row>
    <row r="468" spans="1:14">
      <c r="A468" t="str">
        <f t="shared" si="102"/>
        <v>BR_TAT_DSY_NONMS_ND_NC_2019Q1FEB_RNG_AlwaysOn</v>
      </c>
      <c r="B468" t="str">
        <f t="shared" si="103"/>
        <v>faceinsta</v>
      </c>
      <c r="C468" t="str">
        <f t="shared" si="104"/>
        <v>BR_VW_RNG_faceinsta_SOC_DRCT_CPM_CLK_MXD_TAT_RON_CXD_DPA-Amarok-Rmkt-View-content_PD_pagepost</v>
      </c>
      <c r="D468" t="str">
        <f t="shared" si="105"/>
        <v>242705856</v>
      </c>
      <c r="E468" t="str">
        <f t="shared" si="106"/>
        <v>Dynamic Click</v>
      </c>
      <c r="F468" t="str">
        <f t="shared" si="107"/>
        <v>BR_VW_RNG_faceinsta_SOC_DRCT_CPM_CLK_MXD_TAT_RON_CXD_DPA-Amarok-Rmkt-View-content_PD_pagepost</v>
      </c>
      <c r="G468" t="str">
        <f t="shared" si="108"/>
        <v>439229398</v>
      </c>
      <c r="H468" t="str">
        <f t="shared" si="109"/>
        <v>Tracking</v>
      </c>
      <c r="I468">
        <f t="shared" si="110"/>
        <v>0</v>
      </c>
      <c r="J468">
        <f t="shared" si="111"/>
        <v>2817</v>
      </c>
      <c r="K468" s="4">
        <f t="shared" si="100"/>
        <v>3.5000000000000001E-3</v>
      </c>
      <c r="L468">
        <f t="shared" si="101"/>
        <v>0.02</v>
      </c>
      <c r="M468" s="4">
        <f t="shared" si="98"/>
        <v>9.8595000000000006</v>
      </c>
      <c r="N468" s="4">
        <f t="shared" si="99"/>
        <v>56.34</v>
      </c>
    </row>
    <row r="469" spans="1:14">
      <c r="A469" t="str">
        <f t="shared" si="102"/>
        <v>BR_TAT_DSY_NONMS_ND_NC_2019Q1FEB_RNG_AlwaysOn</v>
      </c>
      <c r="B469" t="str">
        <f t="shared" si="103"/>
        <v>faceinsta</v>
      </c>
      <c r="C469" t="str">
        <f t="shared" si="104"/>
        <v>BR_VW_RNG_faceinsta_SOC_DRCT_CPM_CLK_MXD_TAT_RON_CXD_DPA-Amarok-Rmkt-home_PD_pagepost</v>
      </c>
      <c r="D469" t="str">
        <f t="shared" si="105"/>
        <v>242705904</v>
      </c>
      <c r="E469" t="str">
        <f t="shared" si="106"/>
        <v>Dynamic Click</v>
      </c>
      <c r="F469" t="str">
        <f t="shared" si="107"/>
        <v>BR_VW_RNG_faceinsta_SOC_DRCT_CPM_CLK_MXD_TAT_RON_CXD_DPA-Amarok-Rmkt-home_PD_pagepost</v>
      </c>
      <c r="G469" t="str">
        <f t="shared" si="108"/>
        <v>439229446</v>
      </c>
      <c r="H469" t="str">
        <f t="shared" si="109"/>
        <v>Tracking</v>
      </c>
      <c r="I469">
        <f t="shared" si="110"/>
        <v>0</v>
      </c>
      <c r="J469">
        <f t="shared" si="111"/>
        <v>672</v>
      </c>
      <c r="K469" s="4">
        <f t="shared" si="100"/>
        <v>3.5000000000000001E-3</v>
      </c>
      <c r="L469">
        <f t="shared" si="101"/>
        <v>0.02</v>
      </c>
      <c r="M469" s="4">
        <f t="shared" si="98"/>
        <v>2.3519999999999999</v>
      </c>
      <c r="N469" s="4">
        <f t="shared" si="99"/>
        <v>13.44</v>
      </c>
    </row>
    <row r="470" spans="1:14">
      <c r="A470" t="str">
        <f t="shared" si="102"/>
        <v>BR_TAT_DSY_NONMS_ND_NC_2019Q1FEB_RNG_AlwaysOn</v>
      </c>
      <c r="B470" t="str">
        <f t="shared" si="103"/>
        <v>faceinsta</v>
      </c>
      <c r="C470" t="str">
        <f t="shared" si="104"/>
        <v>BR_VW_RNG_faceinsta_SOC_DRCT_CPM_CLK_MXD_TAT_RON_CXD_DPA-Fox-Rmkt-View-content_PD_pagepost</v>
      </c>
      <c r="D470" t="str">
        <f t="shared" si="105"/>
        <v>242705853</v>
      </c>
      <c r="E470" t="str">
        <f t="shared" si="106"/>
        <v>Dynamic Click</v>
      </c>
      <c r="F470" t="str">
        <f t="shared" si="107"/>
        <v>BR_VW_RNG_faceinsta_SOC_DRCT_CPM_CLK_MXD_TAT_RON_CXD_DPA-Fox-Rmkt-View-content_PD_pagepost</v>
      </c>
      <c r="G470" t="str">
        <f t="shared" si="108"/>
        <v>439229395</v>
      </c>
      <c r="H470" t="str">
        <f t="shared" si="109"/>
        <v>Tracking</v>
      </c>
      <c r="I470">
        <f t="shared" si="110"/>
        <v>0</v>
      </c>
      <c r="J470">
        <f t="shared" si="111"/>
        <v>2764</v>
      </c>
      <c r="K470" s="4">
        <f t="shared" si="100"/>
        <v>3.5000000000000001E-3</v>
      </c>
      <c r="L470">
        <f t="shared" si="101"/>
        <v>0.02</v>
      </c>
      <c r="M470" s="4">
        <f t="shared" si="98"/>
        <v>9.6739999999999995</v>
      </c>
      <c r="N470" s="4">
        <f t="shared" si="99"/>
        <v>55.28</v>
      </c>
    </row>
    <row r="471" spans="1:14">
      <c r="A471" t="str">
        <f t="shared" si="102"/>
        <v>BR_TAT_DSY_NONMS_ND_NC_2019Q1FEB_RNG_AlwaysOn</v>
      </c>
      <c r="B471" t="str">
        <f t="shared" si="103"/>
        <v>faceinsta</v>
      </c>
      <c r="C471" t="str">
        <f t="shared" si="104"/>
        <v>BR_VW_RNG_faceinsta_SOC_DRCT_CPM_CLK_MXD_TAT_RON_CXD_DPA-Fox-Rmkt-home_PD_pagepost</v>
      </c>
      <c r="D471" t="str">
        <f t="shared" si="105"/>
        <v>242705898</v>
      </c>
      <c r="E471" t="str">
        <f t="shared" si="106"/>
        <v>Dynamic Click</v>
      </c>
      <c r="F471" t="str">
        <f t="shared" si="107"/>
        <v>BR_VW_RNG_faceinsta_SOC_DRCT_CPM_CLK_MXD_TAT_RON_CXD_DPA-Fox-Rmkt-home_PD_pagepost</v>
      </c>
      <c r="G471" t="str">
        <f t="shared" si="108"/>
        <v>439229440</v>
      </c>
      <c r="H471" t="str">
        <f t="shared" si="109"/>
        <v>Tracking</v>
      </c>
      <c r="I471">
        <f t="shared" si="110"/>
        <v>0</v>
      </c>
      <c r="J471">
        <f t="shared" si="111"/>
        <v>2126</v>
      </c>
      <c r="K471" s="4">
        <f t="shared" si="100"/>
        <v>3.5000000000000001E-3</v>
      </c>
      <c r="L471">
        <f t="shared" si="101"/>
        <v>0.02</v>
      </c>
      <c r="M471" s="4">
        <f t="shared" si="98"/>
        <v>7.4409999999999998</v>
      </c>
      <c r="N471" s="4">
        <f t="shared" si="99"/>
        <v>42.52</v>
      </c>
    </row>
    <row r="472" spans="1:14">
      <c r="A472" t="str">
        <f t="shared" si="102"/>
        <v>BR_TAT_DSY_NONMS_ND_NC_2019Q1FEB_RNG_AlwaysOn</v>
      </c>
      <c r="B472" t="str">
        <f t="shared" si="103"/>
        <v>faceinsta</v>
      </c>
      <c r="C472" t="str">
        <f t="shared" si="104"/>
        <v>BR_VW_RNG_faceinsta_SOC_DRCT_CPM_CLK_MXD_TAT_RON_CXD_DPA-Gol-Rmkt-View-content_PD_pagepost</v>
      </c>
      <c r="D472" t="str">
        <f t="shared" si="105"/>
        <v>242705850</v>
      </c>
      <c r="E472" t="str">
        <f t="shared" si="106"/>
        <v>Dynamic Click</v>
      </c>
      <c r="F472" t="str">
        <f t="shared" si="107"/>
        <v>BR_VW_RNG_faceinsta_SOC_DRCT_CPM_CLK_MXD_TAT_RON_CXD_DPA-Gol-Rmkt-View-content_PD_pagepost</v>
      </c>
      <c r="G472" t="str">
        <f t="shared" si="108"/>
        <v>439229392</v>
      </c>
      <c r="H472" t="str">
        <f t="shared" si="109"/>
        <v>Tracking</v>
      </c>
      <c r="I472">
        <f t="shared" si="110"/>
        <v>0</v>
      </c>
      <c r="J472">
        <f t="shared" si="111"/>
        <v>12693</v>
      </c>
      <c r="K472" s="4">
        <f t="shared" si="100"/>
        <v>3.5000000000000001E-3</v>
      </c>
      <c r="L472">
        <f t="shared" si="101"/>
        <v>0.02</v>
      </c>
      <c r="M472" s="4">
        <f t="shared" si="98"/>
        <v>44.4255</v>
      </c>
      <c r="N472" s="4">
        <f t="shared" si="99"/>
        <v>253.86</v>
      </c>
    </row>
    <row r="473" spans="1:14">
      <c r="A473" t="str">
        <f t="shared" si="102"/>
        <v>BR_TAT_DSY_NONMS_ND_NC_2019Q1FEB_RNG_AlwaysOn</v>
      </c>
      <c r="B473" t="str">
        <f t="shared" si="103"/>
        <v>faceinsta</v>
      </c>
      <c r="C473" t="str">
        <f t="shared" si="104"/>
        <v>BR_VW_RNG_faceinsta_SOC_DRCT_CPM_CLK_MXD_TAT_RON_CXD_DPA-Gol-Rmkt-home_PD_pagepost</v>
      </c>
      <c r="D473" t="str">
        <f t="shared" si="105"/>
        <v>242705892</v>
      </c>
      <c r="E473" t="str">
        <f t="shared" si="106"/>
        <v>Dynamic Click</v>
      </c>
      <c r="F473" t="str">
        <f t="shared" si="107"/>
        <v>BR_VW_RNG_faceinsta_SOC_DRCT_CPM_CLK_MXD_TAT_RON_CXD_DPA-Gol-Rmkt-home_PD_pagepost</v>
      </c>
      <c r="G473" t="str">
        <f t="shared" si="108"/>
        <v>439229434</v>
      </c>
      <c r="H473" t="str">
        <f t="shared" si="109"/>
        <v>Tracking</v>
      </c>
      <c r="I473">
        <f t="shared" si="110"/>
        <v>0</v>
      </c>
      <c r="J473">
        <f t="shared" si="111"/>
        <v>984</v>
      </c>
      <c r="K473" s="4">
        <f t="shared" si="100"/>
        <v>3.5000000000000001E-3</v>
      </c>
      <c r="L473">
        <f t="shared" si="101"/>
        <v>0.02</v>
      </c>
      <c r="M473" s="4">
        <f t="shared" si="98"/>
        <v>3.444</v>
      </c>
      <c r="N473" s="4">
        <f t="shared" si="99"/>
        <v>19.68</v>
      </c>
    </row>
    <row r="474" spans="1:14">
      <c r="A474" t="str">
        <f t="shared" si="102"/>
        <v>BR_TAT_DSY_NONMS_ND_NC_2019Q1FEB_RNG_AlwaysOn</v>
      </c>
      <c r="B474" t="str">
        <f t="shared" si="103"/>
        <v>faceinsta</v>
      </c>
      <c r="C474" t="str">
        <f t="shared" si="104"/>
        <v>BR_VW_RNG_faceinsta_SOC_DRCT_CPM_CLK_MXD_TAT_RON_CXD_DPA-Jetta-Rmkt-View-content_PD_pagepost</v>
      </c>
      <c r="D474" t="str">
        <f t="shared" si="105"/>
        <v>242705847</v>
      </c>
      <c r="E474" t="str">
        <f t="shared" si="106"/>
        <v>Dynamic Click</v>
      </c>
      <c r="F474" t="str">
        <f t="shared" si="107"/>
        <v>BR_VW_RNG_faceinsta_SOC_DRCT_CPM_CLK_MXD_TAT_RON_CXD_DPA-Jetta-Rmkt-View-content_PD_pagepost</v>
      </c>
      <c r="G474" t="str">
        <f t="shared" si="108"/>
        <v>439229389</v>
      </c>
      <c r="H474" t="str">
        <f t="shared" si="109"/>
        <v>Tracking</v>
      </c>
      <c r="I474">
        <f t="shared" si="110"/>
        <v>0</v>
      </c>
      <c r="J474">
        <f t="shared" si="111"/>
        <v>19687</v>
      </c>
      <c r="K474" s="4">
        <f t="shared" si="100"/>
        <v>3.5000000000000001E-3</v>
      </c>
      <c r="L474">
        <f t="shared" si="101"/>
        <v>0.02</v>
      </c>
      <c r="M474" s="4">
        <f t="shared" si="98"/>
        <v>68.904499999999999</v>
      </c>
      <c r="N474" s="4">
        <f t="shared" si="99"/>
        <v>393.74</v>
      </c>
    </row>
    <row r="475" spans="1:14">
      <c r="A475" t="str">
        <f t="shared" si="102"/>
        <v>BR_TAT_DSY_NONMS_ND_NC_2019Q1FEB_RNG_AlwaysOn</v>
      </c>
      <c r="B475" t="str">
        <f t="shared" si="103"/>
        <v>faceinsta</v>
      </c>
      <c r="C475" t="str">
        <f t="shared" si="104"/>
        <v>BR_VW_RNG_faceinsta_SOC_DRCT_CPM_CLK_MXD_TAT_RON_CXD_DPA-Passat-Rmkt-View-content_PD_pagepost</v>
      </c>
      <c r="D475" t="str">
        <f t="shared" si="105"/>
        <v>242705901</v>
      </c>
      <c r="E475" t="str">
        <f t="shared" si="106"/>
        <v>Dynamic Click</v>
      </c>
      <c r="F475" t="str">
        <f t="shared" si="107"/>
        <v>BR_VW_RNG_faceinsta_SOC_DRCT_CPM_CLK_MXD_TAT_RON_CXD_DPA-Passat-Rmkt-View-content_PD_pagepost</v>
      </c>
      <c r="G475" t="str">
        <f t="shared" si="108"/>
        <v>439229443</v>
      </c>
      <c r="H475" t="str">
        <f t="shared" si="109"/>
        <v>Tracking</v>
      </c>
      <c r="I475">
        <f t="shared" si="110"/>
        <v>0</v>
      </c>
      <c r="J475">
        <f t="shared" si="111"/>
        <v>5102</v>
      </c>
      <c r="K475" s="4">
        <f t="shared" si="100"/>
        <v>3.5000000000000001E-3</v>
      </c>
      <c r="L475">
        <f t="shared" si="101"/>
        <v>0.02</v>
      </c>
      <c r="M475" s="4">
        <f t="shared" si="98"/>
        <v>17.856999999999999</v>
      </c>
      <c r="N475" s="4">
        <f t="shared" si="99"/>
        <v>102.04</v>
      </c>
    </row>
    <row r="476" spans="1:14">
      <c r="A476" t="str">
        <f t="shared" si="102"/>
        <v>BR_TAT_DSY_NONMS_ND_NC_2019Q1FEB_RNG_AlwaysOn</v>
      </c>
      <c r="B476" t="str">
        <f t="shared" si="103"/>
        <v>faceinsta</v>
      </c>
      <c r="C476" t="str">
        <f t="shared" si="104"/>
        <v>BR_VW_RNG_faceinsta_SOC_DRCT_CPM_CLK_MXD_TAT_RON_CXD_DPA-Passat-Rmkt-home_PD_pagepost</v>
      </c>
      <c r="D476" t="str">
        <f t="shared" si="105"/>
        <v>242705874</v>
      </c>
      <c r="E476" t="str">
        <f t="shared" si="106"/>
        <v>Dynamic Click</v>
      </c>
      <c r="F476" t="str">
        <f t="shared" si="107"/>
        <v>BR_VW_RNG_faceinsta_SOC_DRCT_CPM_CLK_MXD_TAT_RON_CXD_DPA-Passat-Rmkt-home_PD_pagepost</v>
      </c>
      <c r="G476" t="str">
        <f t="shared" si="108"/>
        <v>439229416</v>
      </c>
      <c r="H476" t="str">
        <f t="shared" si="109"/>
        <v>Tracking</v>
      </c>
      <c r="I476">
        <f t="shared" si="110"/>
        <v>0</v>
      </c>
      <c r="J476">
        <f t="shared" si="111"/>
        <v>2088</v>
      </c>
      <c r="K476" s="4">
        <f t="shared" si="100"/>
        <v>3.5000000000000001E-3</v>
      </c>
      <c r="L476">
        <f t="shared" si="101"/>
        <v>0.02</v>
      </c>
      <c r="M476" s="4">
        <f t="shared" si="98"/>
        <v>7.3079999999999998</v>
      </c>
      <c r="N476" s="4">
        <f t="shared" si="99"/>
        <v>41.76</v>
      </c>
    </row>
    <row r="477" spans="1:14">
      <c r="A477" t="str">
        <f t="shared" si="102"/>
        <v>BR_TAT_DSY_NONMS_ND_NC_2019Q1FEB_RNG_AlwaysOn</v>
      </c>
      <c r="B477" t="str">
        <f t="shared" si="103"/>
        <v>faceinsta</v>
      </c>
      <c r="C477" t="str">
        <f t="shared" si="104"/>
        <v>BR_VW_RNG_faceinsta_SOC_DRCT_CPM_CLK_MXD_TAT_RON_CXD_DPA-Polo-Rmkt-View-content_PD_pagepost</v>
      </c>
      <c r="D477" t="str">
        <f t="shared" si="105"/>
        <v>242705859</v>
      </c>
      <c r="E477" t="str">
        <f t="shared" si="106"/>
        <v>Dynamic Click</v>
      </c>
      <c r="F477" t="str">
        <f t="shared" si="107"/>
        <v>BR_VW_RNG_faceinsta_SOC_DRCT_CPM_CLK_MXD_TAT_RON_CXD_DPA-Polo-Rmkt-View-content_PD_pagepost</v>
      </c>
      <c r="G477" t="str">
        <f t="shared" si="108"/>
        <v>439229401</v>
      </c>
      <c r="H477" t="str">
        <f t="shared" si="109"/>
        <v>Tracking</v>
      </c>
      <c r="I477">
        <f t="shared" si="110"/>
        <v>0</v>
      </c>
      <c r="J477">
        <f t="shared" si="111"/>
        <v>3995</v>
      </c>
      <c r="K477" s="4">
        <f t="shared" si="100"/>
        <v>3.5000000000000001E-3</v>
      </c>
      <c r="L477">
        <f t="shared" si="101"/>
        <v>0.02</v>
      </c>
      <c r="M477" s="4">
        <f t="shared" si="98"/>
        <v>13.9825</v>
      </c>
      <c r="N477" s="4">
        <f t="shared" si="99"/>
        <v>79.900000000000006</v>
      </c>
    </row>
    <row r="478" spans="1:14">
      <c r="A478" t="str">
        <f t="shared" si="102"/>
        <v>BR_TAT_DSY_NONMS_ND_NC_2019Q1FEB_RNG_AlwaysOn</v>
      </c>
      <c r="B478" t="str">
        <f t="shared" si="103"/>
        <v>faceinsta</v>
      </c>
      <c r="C478" t="str">
        <f t="shared" si="104"/>
        <v>BR_VW_RNG_faceinsta_SOC_DRCT_CPM_CLK_MXD_TAT_RON_CXD_DPA-Polo-Rmkt-home_PD_pagepost</v>
      </c>
      <c r="D478" t="str">
        <f t="shared" si="105"/>
        <v>242705910</v>
      </c>
      <c r="E478" t="str">
        <f t="shared" si="106"/>
        <v>Dynamic Click</v>
      </c>
      <c r="F478" t="str">
        <f t="shared" si="107"/>
        <v>BR_VW_RNG_faceinsta_SOC_DRCT_CPM_CLK_MXD_TAT_RON_CXD_DPA-Polo-Rmkt-home_PD_pagepost</v>
      </c>
      <c r="G478" t="str">
        <f t="shared" si="108"/>
        <v>439269386</v>
      </c>
      <c r="H478" t="str">
        <f t="shared" si="109"/>
        <v>Tracking</v>
      </c>
      <c r="I478">
        <f t="shared" si="110"/>
        <v>0</v>
      </c>
      <c r="J478">
        <f t="shared" si="111"/>
        <v>1776</v>
      </c>
      <c r="K478" s="4">
        <f t="shared" si="100"/>
        <v>3.5000000000000001E-3</v>
      </c>
      <c r="L478">
        <f t="shared" si="101"/>
        <v>0.02</v>
      </c>
      <c r="M478" s="4">
        <f t="shared" si="98"/>
        <v>6.2160000000000002</v>
      </c>
      <c r="N478" s="4">
        <f t="shared" si="99"/>
        <v>35.520000000000003</v>
      </c>
    </row>
    <row r="479" spans="1:14">
      <c r="A479" t="str">
        <f t="shared" si="102"/>
        <v>BR_TAT_DSY_NONMS_ND_NC_2019Q1FEB_RNG_AlwaysOn</v>
      </c>
      <c r="B479" t="str">
        <f t="shared" si="103"/>
        <v>faceinsta</v>
      </c>
      <c r="C479" t="str">
        <f t="shared" si="104"/>
        <v>BR_VW_RNG_faceinsta_SOC_DRCT_CPM_CLK_MXD_TAT_RON_CXD_DPA-Saveiro-Rmkt-View-content_PD_pagepost</v>
      </c>
      <c r="D479" t="str">
        <f t="shared" si="105"/>
        <v>242705895</v>
      </c>
      <c r="E479" t="str">
        <f t="shared" si="106"/>
        <v>Dynamic Click</v>
      </c>
      <c r="F479" t="str">
        <f t="shared" si="107"/>
        <v>BR_VW_RNG_faceinsta_SOC_DRCT_CPM_CLK_MXD_TAT_RON_CXD_DPA-Saveiro-Rmkt-View-content_PD_pagepost</v>
      </c>
      <c r="G479" t="str">
        <f t="shared" si="108"/>
        <v>439229437</v>
      </c>
      <c r="H479" t="str">
        <f t="shared" si="109"/>
        <v>Tracking</v>
      </c>
      <c r="I479">
        <f t="shared" si="110"/>
        <v>0</v>
      </c>
      <c r="J479">
        <f t="shared" si="111"/>
        <v>762</v>
      </c>
      <c r="K479" s="4">
        <f t="shared" si="100"/>
        <v>3.5000000000000001E-3</v>
      </c>
      <c r="L479">
        <f t="shared" si="101"/>
        <v>0.02</v>
      </c>
      <c r="M479" s="4">
        <f t="shared" si="98"/>
        <v>2.6670000000000003</v>
      </c>
      <c r="N479" s="4">
        <f t="shared" si="99"/>
        <v>15.24</v>
      </c>
    </row>
    <row r="480" spans="1:14">
      <c r="A480" t="str">
        <f t="shared" si="102"/>
        <v>BR_TAT_DSY_NONMS_ND_NC_2019Q1FEB_RNG_AlwaysOn</v>
      </c>
      <c r="B480" t="str">
        <f t="shared" si="103"/>
        <v>faceinsta</v>
      </c>
      <c r="C480" t="str">
        <f t="shared" si="104"/>
        <v>BR_VW_RNG_faceinsta_SOC_DRCT_CPM_CLK_MXD_TAT_RON_CXD_DPA-Saveiro-Rmkt-home_PD_pagepost</v>
      </c>
      <c r="D480" t="str">
        <f t="shared" si="105"/>
        <v>242705871</v>
      </c>
      <c r="E480" t="str">
        <f t="shared" si="106"/>
        <v>Dynamic Click</v>
      </c>
      <c r="F480" t="str">
        <f t="shared" si="107"/>
        <v>BR_VW_RNG_faceinsta_SOC_DRCT_CPM_CLK_MXD_TAT_RON_CXD_DPA-Saveiro-Rmkt-home_PD_pagepost</v>
      </c>
      <c r="G480" t="str">
        <f t="shared" si="108"/>
        <v>439229413</v>
      </c>
      <c r="H480" t="str">
        <f t="shared" si="109"/>
        <v>Tracking</v>
      </c>
      <c r="I480">
        <f t="shared" si="110"/>
        <v>0</v>
      </c>
      <c r="J480">
        <f t="shared" si="111"/>
        <v>1192</v>
      </c>
      <c r="K480" s="4">
        <f t="shared" si="100"/>
        <v>3.5000000000000001E-3</v>
      </c>
      <c r="L480">
        <f t="shared" si="101"/>
        <v>0.02</v>
      </c>
      <c r="M480" s="4">
        <f t="shared" si="98"/>
        <v>4.1719999999999997</v>
      </c>
      <c r="N480" s="4">
        <f t="shared" si="99"/>
        <v>23.84</v>
      </c>
    </row>
    <row r="481" spans="1:14">
      <c r="A481" t="str">
        <f t="shared" si="102"/>
        <v>BR_TAT_DSY_NONMS_ND_NC_2019Q1FEB_RNG_AlwaysOn</v>
      </c>
      <c r="B481" t="str">
        <f t="shared" si="103"/>
        <v>faceinsta</v>
      </c>
      <c r="C481" t="str">
        <f t="shared" si="104"/>
        <v>BR_VW_RNG_faceinsta_SOC_DRCT_CPM_CLK_MXD_TAT_RON_CXD_DPA-Tiguan-Rmkt-home_PD_pagepost</v>
      </c>
      <c r="D481" t="str">
        <f t="shared" si="105"/>
        <v>242705868</v>
      </c>
      <c r="E481" t="str">
        <f t="shared" si="106"/>
        <v>Dynamic Click</v>
      </c>
      <c r="F481" t="str">
        <f t="shared" si="107"/>
        <v>BR_VW_RNG_faceinsta_SOC_DRCT_CPM_CLK_MXD_TAT_RON_CXD_DPA-Tiguan-Rmkt-home_PD_pagepost</v>
      </c>
      <c r="G481" t="str">
        <f t="shared" si="108"/>
        <v>439229410</v>
      </c>
      <c r="H481" t="str">
        <f t="shared" si="109"/>
        <v>Tracking</v>
      </c>
      <c r="I481">
        <f t="shared" si="110"/>
        <v>0</v>
      </c>
      <c r="J481">
        <f t="shared" si="111"/>
        <v>1625</v>
      </c>
      <c r="K481" s="4">
        <f t="shared" si="100"/>
        <v>3.5000000000000001E-3</v>
      </c>
      <c r="L481">
        <f t="shared" si="101"/>
        <v>0.02</v>
      </c>
      <c r="M481" s="4">
        <f t="shared" si="98"/>
        <v>5.6875</v>
      </c>
      <c r="N481" s="4">
        <f t="shared" si="99"/>
        <v>32.5</v>
      </c>
    </row>
    <row r="482" spans="1:14">
      <c r="A482" t="str">
        <f t="shared" si="102"/>
        <v>BR_TAT_DSY_NONMS_ND_NC_2019Q1FEB_RNG_AlwaysOn</v>
      </c>
      <c r="B482" t="str">
        <f t="shared" si="103"/>
        <v>faceinsta</v>
      </c>
      <c r="C482" t="str">
        <f t="shared" si="104"/>
        <v>BR_VW_RNG_faceinsta_SOC_DRCT_CPM_CLK_MXD_TAT_RON_CXD_DPA-Virtus-Rmkt-View-content_PD_pagepost</v>
      </c>
      <c r="D482" t="str">
        <f t="shared" si="105"/>
        <v>242705883</v>
      </c>
      <c r="E482" t="str">
        <f t="shared" si="106"/>
        <v>Dynamic Click</v>
      </c>
      <c r="F482" t="str">
        <f t="shared" si="107"/>
        <v>BR_VW_RNG_faceinsta_SOC_DRCT_CPM_CLK_MXD_TAT_RON_CXD_DPA-Virtus-Rmkt-View-content_PD_pagepost</v>
      </c>
      <c r="G482" t="str">
        <f t="shared" si="108"/>
        <v>439229425</v>
      </c>
      <c r="H482" t="str">
        <f t="shared" si="109"/>
        <v>Tracking</v>
      </c>
      <c r="I482">
        <f t="shared" si="110"/>
        <v>0</v>
      </c>
      <c r="J482">
        <f t="shared" si="111"/>
        <v>1503</v>
      </c>
      <c r="K482" s="4">
        <f t="shared" si="100"/>
        <v>3.5000000000000001E-3</v>
      </c>
      <c r="L482">
        <f t="shared" si="101"/>
        <v>0.02</v>
      </c>
      <c r="M482" s="4">
        <f t="shared" ref="M482:M545" si="112">IF(E482="Dynamic Click",J482*K482,K482*$I482/1000)</f>
        <v>5.2605000000000004</v>
      </c>
      <c r="N482" s="4">
        <f t="shared" ref="N482:N545" si="113">IF(E482="Dynamic Click",J482*L482,L482*$I482/1000)</f>
        <v>30.060000000000002</v>
      </c>
    </row>
    <row r="483" spans="1:14">
      <c r="A483" t="str">
        <f t="shared" si="102"/>
        <v>BR_TAT_DSY_NONMS_ND_NC_2019Q1FEB_RNG_AlwaysOn</v>
      </c>
      <c r="B483" t="str">
        <f t="shared" si="103"/>
        <v>faceinsta</v>
      </c>
      <c r="C483" t="str">
        <f t="shared" si="104"/>
        <v>BR_VW_RNG_faceinsta_SOC_DRCT_CPM_CLK_MXD_TAT_RON_CXD_DPA-Virtus-Rmkt-home_PD_pagepost</v>
      </c>
      <c r="D483" t="str">
        <f t="shared" si="105"/>
        <v>242705865</v>
      </c>
      <c r="E483" t="str">
        <f t="shared" si="106"/>
        <v>Dynamic Click</v>
      </c>
      <c r="F483" t="str">
        <f t="shared" si="107"/>
        <v>BR_VW_RNG_faceinsta_SOC_DRCT_CPM_CLK_MXD_TAT_RON_CXD_DPA-Virtus-Rmkt-home_PD_pagepost</v>
      </c>
      <c r="G483" t="str">
        <f t="shared" si="108"/>
        <v>439229407</v>
      </c>
      <c r="H483" t="str">
        <f t="shared" si="109"/>
        <v>Tracking</v>
      </c>
      <c r="I483">
        <f t="shared" si="110"/>
        <v>0</v>
      </c>
      <c r="J483">
        <f t="shared" si="111"/>
        <v>1077</v>
      </c>
      <c r="K483" s="4">
        <f t="shared" si="100"/>
        <v>3.5000000000000001E-3</v>
      </c>
      <c r="L483">
        <f t="shared" si="101"/>
        <v>0.02</v>
      </c>
      <c r="M483" s="4">
        <f t="shared" si="112"/>
        <v>3.7695000000000003</v>
      </c>
      <c r="N483" s="4">
        <f t="shared" si="113"/>
        <v>21.54</v>
      </c>
    </row>
    <row r="484" spans="1:14">
      <c r="A484" t="str">
        <f t="shared" si="102"/>
        <v>BR_TAT_DSY_NONMS_ND_NC_2019Q1FEB_RNG_AlwaysOn</v>
      </c>
      <c r="B484" t="str">
        <f t="shared" si="103"/>
        <v>faceinsta</v>
      </c>
      <c r="C484" t="str">
        <f t="shared" si="104"/>
        <v>BR_VW_RNG_faceinsta_SOC_DRCT_CPM_CLK_MXD_TAT_RON_CXD_DPA-Voyage-Rmkt-View-content_PD_pagepost</v>
      </c>
      <c r="D484" t="str">
        <f t="shared" si="105"/>
        <v>242705877</v>
      </c>
      <c r="E484" t="str">
        <f t="shared" si="106"/>
        <v>Dynamic Click</v>
      </c>
      <c r="F484" t="str">
        <f t="shared" si="107"/>
        <v>BR_VW_RNG_faceinsta_SOC_DRCT_CPM_CLK_MXD_TAT_RON_CXD_DPA-Voyage-Rmkt-View-content_PD_pagepost</v>
      </c>
      <c r="G484" t="str">
        <f t="shared" si="108"/>
        <v>439229419</v>
      </c>
      <c r="H484" t="str">
        <f t="shared" si="109"/>
        <v>Tracking</v>
      </c>
      <c r="I484">
        <f t="shared" si="110"/>
        <v>0</v>
      </c>
      <c r="J484">
        <f t="shared" si="111"/>
        <v>4317</v>
      </c>
      <c r="K484" s="4">
        <f t="shared" si="100"/>
        <v>3.5000000000000001E-3</v>
      </c>
      <c r="L484">
        <f t="shared" si="101"/>
        <v>0.02</v>
      </c>
      <c r="M484" s="4">
        <f t="shared" si="112"/>
        <v>15.109500000000001</v>
      </c>
      <c r="N484" s="4">
        <f t="shared" si="113"/>
        <v>86.34</v>
      </c>
    </row>
    <row r="485" spans="1:14">
      <c r="A485" t="str">
        <f t="shared" si="102"/>
        <v>BR_TAT_DSY_NONMS_ND_NC_2019Q1FEB_RNG_AlwaysOn</v>
      </c>
      <c r="B485" t="str">
        <f t="shared" si="103"/>
        <v>faceinsta</v>
      </c>
      <c r="C485" t="str">
        <f t="shared" si="104"/>
        <v>BR_VW_RNG_faceinsta_SOC_DRCT_CPM_CLK_MXD_TAT_RON_CXD_DPA-Voyage-Rmkt-home_PD_pagepost</v>
      </c>
      <c r="D485" t="str">
        <f t="shared" si="105"/>
        <v>242705862</v>
      </c>
      <c r="E485" t="str">
        <f t="shared" si="106"/>
        <v>Dynamic Click</v>
      </c>
      <c r="F485" t="str">
        <f t="shared" si="107"/>
        <v>BR_VW_RNG_faceinsta_SOC_DRCT_CPM_CLK_MXD_TAT_RON_CXD_DPA-Voyage-Rmkt-home_PD_pagepost</v>
      </c>
      <c r="G485" t="str">
        <f t="shared" si="108"/>
        <v>439229404</v>
      </c>
      <c r="H485" t="str">
        <f t="shared" si="109"/>
        <v>Tracking</v>
      </c>
      <c r="I485">
        <f t="shared" si="110"/>
        <v>0</v>
      </c>
      <c r="J485">
        <f t="shared" si="111"/>
        <v>698</v>
      </c>
      <c r="K485" s="4">
        <f t="shared" si="100"/>
        <v>3.5000000000000001E-3</v>
      </c>
      <c r="L485">
        <f t="shared" si="101"/>
        <v>0.02</v>
      </c>
      <c r="M485" s="4">
        <f t="shared" si="112"/>
        <v>2.4430000000000001</v>
      </c>
      <c r="N485" s="4">
        <f t="shared" si="113"/>
        <v>13.96</v>
      </c>
    </row>
    <row r="486" spans="1:14">
      <c r="A486" t="str">
        <f t="shared" si="102"/>
        <v>BR_TAT_DSY_NONMS_ND_NC_2019Q1FEB_RNG_AlwaysOn</v>
      </c>
      <c r="B486" t="str">
        <f t="shared" si="103"/>
        <v>faceinsta</v>
      </c>
      <c r="C486" t="str">
        <f t="shared" si="104"/>
        <v>BR_VW_RNG_faceinsta_SOC_DRCT_CPM_CLK_MXD_TAT_RON_CXD_DPA-up-Rmkt-View-content_PD_pagepost</v>
      </c>
      <c r="D486" t="str">
        <f t="shared" si="105"/>
        <v>242705907</v>
      </c>
      <c r="E486" t="str">
        <f t="shared" si="106"/>
        <v>Dynamic Click</v>
      </c>
      <c r="F486" t="str">
        <f t="shared" si="107"/>
        <v>BR_VW_RNG_faceinsta_SOC_DRCT_CPM_CLK_MXD_TAT_RON_CXD_DPA-up-Rmkt-View-content_PD_pagepost</v>
      </c>
      <c r="G486" t="str">
        <f t="shared" si="108"/>
        <v>439269383</v>
      </c>
      <c r="H486" t="str">
        <f t="shared" si="109"/>
        <v>Tracking</v>
      </c>
      <c r="I486">
        <f t="shared" si="110"/>
        <v>0</v>
      </c>
      <c r="J486">
        <f t="shared" si="111"/>
        <v>34734</v>
      </c>
      <c r="K486" s="4">
        <f t="shared" si="100"/>
        <v>3.5000000000000001E-3</v>
      </c>
      <c r="L486">
        <f t="shared" si="101"/>
        <v>0.02</v>
      </c>
      <c r="M486" s="4">
        <f t="shared" si="112"/>
        <v>121.569</v>
      </c>
      <c r="N486" s="4">
        <f t="shared" si="113"/>
        <v>694.68000000000006</v>
      </c>
    </row>
    <row r="487" spans="1:14">
      <c r="A487" t="str">
        <f t="shared" si="102"/>
        <v>BR_TAT_DSY_NONMS_ND_NC_2019Q1FEB_RNG_AlwaysOn</v>
      </c>
      <c r="B487" t="str">
        <f t="shared" si="103"/>
        <v>faceinsta</v>
      </c>
      <c r="C487" t="str">
        <f t="shared" si="104"/>
        <v>BR_VW_RNG_faceinsta_SOC_DRCT_CPM_CLK_MXD_TAT_RON_CXD_DPA-up-Rmkt-home_PD_pagepost</v>
      </c>
      <c r="D487" t="str">
        <f t="shared" si="105"/>
        <v>242705880</v>
      </c>
      <c r="E487" t="str">
        <f t="shared" si="106"/>
        <v>Dynamic Click</v>
      </c>
      <c r="F487" t="str">
        <f t="shared" si="107"/>
        <v>BR_VW_RNG_faceinsta_SOC_DRCT_CPM_CLK_MXD_TAT_RON_CXD_DPA-up-Rmkt-home_PD_pagepost</v>
      </c>
      <c r="G487" t="str">
        <f t="shared" si="108"/>
        <v>439229422</v>
      </c>
      <c r="H487" t="str">
        <f t="shared" si="109"/>
        <v>Tracking</v>
      </c>
      <c r="I487">
        <f t="shared" si="110"/>
        <v>0</v>
      </c>
      <c r="J487">
        <f t="shared" si="111"/>
        <v>6407</v>
      </c>
      <c r="K487" s="4">
        <f t="shared" si="100"/>
        <v>3.5000000000000001E-3</v>
      </c>
      <c r="L487">
        <f t="shared" si="101"/>
        <v>0.02</v>
      </c>
      <c r="M487" s="4">
        <f t="shared" si="112"/>
        <v>22.424500000000002</v>
      </c>
      <c r="N487" s="4">
        <f t="shared" si="113"/>
        <v>128.14000000000001</v>
      </c>
    </row>
    <row r="488" spans="1:14">
      <c r="A488" t="str">
        <f t="shared" si="102"/>
        <v>BR_TAT_DSY_NONMS_ND_NC_2019Q1FEB_RNG_AlwaysOn</v>
      </c>
      <c r="B488" t="str">
        <f t="shared" si="103"/>
        <v>faceinsta</v>
      </c>
      <c r="C488" t="str">
        <f t="shared" si="104"/>
        <v>BR_VW_RNG_faceinsta_SOC_DRCT_CPM_CLK_SRB_TAT_RON_CXD_Varejo-Outlet-Rmkt_PD_1200x628</v>
      </c>
      <c r="D488" t="str">
        <f t="shared" si="105"/>
        <v>242208841</v>
      </c>
      <c r="E488" t="str">
        <f t="shared" si="106"/>
        <v>Dynamic Click</v>
      </c>
      <c r="F488" t="str">
        <f t="shared" si="107"/>
        <v>BR_VW_RNG_faceinsta_SOC_DRCT_CPM_CLK_SRB_TAT_RON_CXD_Varejo-Outlet-Rmkt_PD_1200x628</v>
      </c>
      <c r="G488" t="str">
        <f t="shared" si="108"/>
        <v>438936543</v>
      </c>
      <c r="H488" t="str">
        <f t="shared" si="109"/>
        <v>Tracking</v>
      </c>
      <c r="I488">
        <f t="shared" si="110"/>
        <v>0</v>
      </c>
      <c r="J488">
        <f t="shared" si="111"/>
        <v>24743</v>
      </c>
      <c r="K488" s="4">
        <f t="shared" si="100"/>
        <v>3.5000000000000001E-3</v>
      </c>
      <c r="L488">
        <f t="shared" si="101"/>
        <v>0.02</v>
      </c>
      <c r="M488" s="4">
        <f t="shared" si="112"/>
        <v>86.600499999999997</v>
      </c>
      <c r="N488" s="4">
        <f t="shared" si="113"/>
        <v>494.86</v>
      </c>
    </row>
    <row r="489" spans="1:14">
      <c r="A489" t="str">
        <f t="shared" si="102"/>
        <v>alp_AlwaysOn</v>
      </c>
      <c r="B489" t="str">
        <f t="shared" si="103"/>
        <v>BR MSN.</v>
      </c>
      <c r="C489" t="str">
        <f t="shared" si="104"/>
        <v>alp_AlwaysOn_msn_horizontal_shopping_msn-shopping_cpc_na_200x200_Amarok_na</v>
      </c>
      <c r="D489" t="str">
        <f t="shared" si="105"/>
        <v>227051652</v>
      </c>
      <c r="E489" t="str">
        <f t="shared" si="106"/>
        <v>Dynamic Click</v>
      </c>
      <c r="F489" t="str">
        <f t="shared" si="107"/>
        <v>alp_AlwaysOn_msn_horizontal_shopping_msn-shopping_cpc_na_200x200_Amarok_na</v>
      </c>
      <c r="G489" t="str">
        <f t="shared" si="108"/>
        <v>424938083</v>
      </c>
      <c r="H489" t="str">
        <f t="shared" si="109"/>
        <v>Tracking</v>
      </c>
      <c r="I489">
        <f t="shared" si="110"/>
        <v>0</v>
      </c>
      <c r="J489">
        <f t="shared" si="111"/>
        <v>353</v>
      </c>
      <c r="K489" s="4">
        <f t="shared" si="100"/>
        <v>3.5000000000000001E-3</v>
      </c>
      <c r="L489">
        <f t="shared" si="101"/>
        <v>0.02</v>
      </c>
      <c r="M489" s="4">
        <f t="shared" si="112"/>
        <v>1.2355</v>
      </c>
      <c r="N489" s="4">
        <f t="shared" si="113"/>
        <v>7.0600000000000005</v>
      </c>
    </row>
    <row r="490" spans="1:14">
      <c r="A490" t="str">
        <f t="shared" si="102"/>
        <v>alp_AlwaysOn</v>
      </c>
      <c r="B490" t="str">
        <f t="shared" si="103"/>
        <v>BR MSN.</v>
      </c>
      <c r="C490" t="str">
        <f t="shared" si="104"/>
        <v>alp_AlwaysOn_msn_horizontal_shopping_msn-shopping_cpc_na_200x200_Fox-Connect_na</v>
      </c>
      <c r="D490" t="str">
        <f t="shared" si="105"/>
        <v>226905775</v>
      </c>
      <c r="E490" t="str">
        <f t="shared" si="106"/>
        <v>Dynamic Click</v>
      </c>
      <c r="F490" t="str">
        <f t="shared" si="107"/>
        <v>alp_AlwaysOn_msn_horizontal_shopping_msn-shopping_cpc_na_200x200_Fox-Connect_na</v>
      </c>
      <c r="G490" t="str">
        <f t="shared" si="108"/>
        <v>424942061</v>
      </c>
      <c r="H490" t="str">
        <f t="shared" si="109"/>
        <v>Tracking</v>
      </c>
      <c r="I490">
        <f t="shared" si="110"/>
        <v>0</v>
      </c>
      <c r="J490">
        <f t="shared" si="111"/>
        <v>713</v>
      </c>
      <c r="K490" s="4">
        <f t="shared" si="100"/>
        <v>3.5000000000000001E-3</v>
      </c>
      <c r="L490">
        <f t="shared" si="101"/>
        <v>0.02</v>
      </c>
      <c r="M490" s="4">
        <f t="shared" si="112"/>
        <v>2.4955000000000003</v>
      </c>
      <c r="N490" s="4">
        <f t="shared" si="113"/>
        <v>14.26</v>
      </c>
    </row>
    <row r="491" spans="1:14">
      <c r="A491" t="str">
        <f t="shared" si="102"/>
        <v>alp_AlwaysOn</v>
      </c>
      <c r="B491" t="str">
        <f t="shared" si="103"/>
        <v>BR MSN.</v>
      </c>
      <c r="C491" t="str">
        <f t="shared" si="104"/>
        <v>alp_AlwaysOn_msn_horizontal_shopping_msn-shopping_cpc_na_200x200_Fox-Xtreme_na</v>
      </c>
      <c r="D491" t="str">
        <f t="shared" si="105"/>
        <v>226905769</v>
      </c>
      <c r="E491" t="str">
        <f t="shared" si="106"/>
        <v>Dynamic Click</v>
      </c>
      <c r="F491" t="str">
        <f t="shared" si="107"/>
        <v>alp_AlwaysOn_msn_horizontal_shopping_msn-shopping_cpc_na_200x200_Fox-Xtreme_na</v>
      </c>
      <c r="G491" t="str">
        <f t="shared" si="108"/>
        <v>424942055</v>
      </c>
      <c r="H491" t="str">
        <f t="shared" si="109"/>
        <v>Tracking</v>
      </c>
      <c r="I491">
        <f t="shared" si="110"/>
        <v>0</v>
      </c>
      <c r="J491">
        <f t="shared" si="111"/>
        <v>1396</v>
      </c>
      <c r="K491" s="4">
        <f t="shared" si="100"/>
        <v>3.5000000000000001E-3</v>
      </c>
      <c r="L491">
        <f t="shared" si="101"/>
        <v>0.02</v>
      </c>
      <c r="M491" s="4">
        <f t="shared" si="112"/>
        <v>4.8860000000000001</v>
      </c>
      <c r="N491" s="4">
        <f t="shared" si="113"/>
        <v>27.92</v>
      </c>
    </row>
    <row r="492" spans="1:14">
      <c r="A492" t="str">
        <f t="shared" si="102"/>
        <v>alp_AlwaysOn</v>
      </c>
      <c r="B492" t="str">
        <f t="shared" si="103"/>
        <v>BR MSN.</v>
      </c>
      <c r="C492" t="str">
        <f t="shared" si="104"/>
        <v>alp_AlwaysOn_msn_horizontal_shopping_msn-shopping_cpc_na_200x200_Gol_na</v>
      </c>
      <c r="D492" t="str">
        <f t="shared" si="105"/>
        <v>226905766</v>
      </c>
      <c r="E492" t="str">
        <f t="shared" si="106"/>
        <v>Dynamic Click</v>
      </c>
      <c r="F492" t="str">
        <f t="shared" si="107"/>
        <v>alp_AlwaysOn_msn_horizontal_shopping_msn-shopping_cpc_na_200x200_Gol_na</v>
      </c>
      <c r="G492" t="str">
        <f t="shared" si="108"/>
        <v>424942052</v>
      </c>
      <c r="H492" t="str">
        <f t="shared" si="109"/>
        <v>Tracking</v>
      </c>
      <c r="I492">
        <f t="shared" si="110"/>
        <v>0</v>
      </c>
      <c r="J492">
        <f t="shared" si="111"/>
        <v>712</v>
      </c>
      <c r="K492" s="4">
        <f t="shared" ref="K492:K555" si="114">IF(LEFT(B492,3)="DBM",0,VLOOKUP(E492,tabela,2,FALSE))</f>
        <v>3.5000000000000001E-3</v>
      </c>
      <c r="L492">
        <f t="shared" ref="L492:L555" si="115">VLOOKUP(E492,tabela,3,FALSE)</f>
        <v>0.02</v>
      </c>
      <c r="M492" s="4">
        <f t="shared" si="112"/>
        <v>2.492</v>
      </c>
      <c r="N492" s="4">
        <f t="shared" si="113"/>
        <v>14.24</v>
      </c>
    </row>
    <row r="493" spans="1:14">
      <c r="A493" t="str">
        <f t="shared" si="102"/>
        <v>alp_AlwaysOn</v>
      </c>
      <c r="B493" t="str">
        <f t="shared" si="103"/>
        <v>BR MSN.</v>
      </c>
      <c r="C493" t="str">
        <f t="shared" si="104"/>
        <v>alp_AlwaysOn_msn_horizontal_shopping_msn-shopping_cpc_na_200x200_Passat_na</v>
      </c>
      <c r="D493" t="str">
        <f t="shared" si="105"/>
        <v>226905751</v>
      </c>
      <c r="E493" t="str">
        <f t="shared" si="106"/>
        <v>Dynamic Click</v>
      </c>
      <c r="F493" t="str">
        <f t="shared" si="107"/>
        <v>alp_AlwaysOn_msn_horizontal_shopping_msn-shopping_cpc_na_200x200_Passat_na</v>
      </c>
      <c r="G493" t="str">
        <f t="shared" si="108"/>
        <v>424942037</v>
      </c>
      <c r="H493" t="str">
        <f t="shared" si="109"/>
        <v>Tracking</v>
      </c>
      <c r="I493">
        <f t="shared" si="110"/>
        <v>0</v>
      </c>
      <c r="J493">
        <f t="shared" si="111"/>
        <v>1224</v>
      </c>
      <c r="K493" s="4">
        <f t="shared" si="114"/>
        <v>3.5000000000000001E-3</v>
      </c>
      <c r="L493">
        <f t="shared" si="115"/>
        <v>0.02</v>
      </c>
      <c r="M493" s="4">
        <f t="shared" si="112"/>
        <v>4.2839999999999998</v>
      </c>
      <c r="N493" s="4">
        <f t="shared" si="113"/>
        <v>24.48</v>
      </c>
    </row>
    <row r="494" spans="1:14">
      <c r="A494" t="str">
        <f t="shared" si="102"/>
        <v>alp_AlwaysOn</v>
      </c>
      <c r="B494" t="str">
        <f t="shared" si="103"/>
        <v>BR MSN.</v>
      </c>
      <c r="C494" t="str">
        <f t="shared" si="104"/>
        <v>alp_AlwaysOn_msn_horizontal_shopping_msn-shopping_cpc_na_200x200_Polo_na</v>
      </c>
      <c r="D494" t="str">
        <f t="shared" si="105"/>
        <v>226905748</v>
      </c>
      <c r="E494" t="str">
        <f t="shared" si="106"/>
        <v>Dynamic Click</v>
      </c>
      <c r="F494" t="str">
        <f t="shared" si="107"/>
        <v>alp_AlwaysOn_msn_horizontal_shopping_msn-shopping_cpc_na_200x200_Polo_na</v>
      </c>
      <c r="G494" t="str">
        <f t="shared" si="108"/>
        <v>424942034</v>
      </c>
      <c r="H494" t="str">
        <f t="shared" si="109"/>
        <v>Tracking</v>
      </c>
      <c r="I494">
        <f t="shared" si="110"/>
        <v>0</v>
      </c>
      <c r="J494">
        <f t="shared" si="111"/>
        <v>886</v>
      </c>
      <c r="K494" s="4">
        <f t="shared" si="114"/>
        <v>3.5000000000000001E-3</v>
      </c>
      <c r="L494">
        <f t="shared" si="115"/>
        <v>0.02</v>
      </c>
      <c r="M494" s="4">
        <f t="shared" si="112"/>
        <v>3.101</v>
      </c>
      <c r="N494" s="4">
        <f t="shared" si="113"/>
        <v>17.72</v>
      </c>
    </row>
    <row r="495" spans="1:14">
      <c r="A495" t="str">
        <f t="shared" si="102"/>
        <v>alp_AlwaysOn</v>
      </c>
      <c r="B495" t="str">
        <f t="shared" si="103"/>
        <v>BR MSN.</v>
      </c>
      <c r="C495" t="str">
        <f t="shared" si="104"/>
        <v>alp_AlwaysOn_msn_horizontal_shopping_msn-shopping_cpc_na_200x200_Saveiro-Pepper_na</v>
      </c>
      <c r="D495" t="str">
        <f t="shared" si="105"/>
        <v>226905742</v>
      </c>
      <c r="E495" t="str">
        <f t="shared" si="106"/>
        <v>Dynamic Click</v>
      </c>
      <c r="F495" t="str">
        <f t="shared" si="107"/>
        <v>alp_AlwaysOn_msn_horizontal_shopping_msn-shopping_cpc_na_200x200_Saveiro-Pepper_na</v>
      </c>
      <c r="G495" t="str">
        <f t="shared" si="108"/>
        <v>424942028</v>
      </c>
      <c r="H495" t="str">
        <f t="shared" si="109"/>
        <v>Tracking</v>
      </c>
      <c r="I495">
        <f t="shared" si="110"/>
        <v>0</v>
      </c>
      <c r="J495">
        <f t="shared" si="111"/>
        <v>1215</v>
      </c>
      <c r="K495" s="4">
        <f t="shared" si="114"/>
        <v>3.5000000000000001E-3</v>
      </c>
      <c r="L495">
        <f t="shared" si="115"/>
        <v>0.02</v>
      </c>
      <c r="M495" s="4">
        <f t="shared" si="112"/>
        <v>4.2525000000000004</v>
      </c>
      <c r="N495" s="4">
        <f t="shared" si="113"/>
        <v>24.3</v>
      </c>
    </row>
    <row r="496" spans="1:14">
      <c r="A496" t="str">
        <f t="shared" si="102"/>
        <v>alp_AlwaysOn</v>
      </c>
      <c r="B496" t="str">
        <f t="shared" si="103"/>
        <v>BR MSN.</v>
      </c>
      <c r="C496" t="str">
        <f t="shared" si="104"/>
        <v>alp_AlwaysOn_msn_horizontal_shopping_msn-shopping_cpc_na_200x200_Saveiro_na</v>
      </c>
      <c r="D496" t="str">
        <f t="shared" si="105"/>
        <v>226905745</v>
      </c>
      <c r="E496" t="str">
        <f t="shared" si="106"/>
        <v>Dynamic Click</v>
      </c>
      <c r="F496" t="str">
        <f t="shared" si="107"/>
        <v>alp_AlwaysOn_msn_horizontal_shopping_msn-shopping_cpc_na_200x200_Saveiro_na</v>
      </c>
      <c r="G496" t="str">
        <f t="shared" si="108"/>
        <v>424942031</v>
      </c>
      <c r="H496" t="str">
        <f t="shared" si="109"/>
        <v>Tracking</v>
      </c>
      <c r="I496">
        <f t="shared" si="110"/>
        <v>0</v>
      </c>
      <c r="J496">
        <f t="shared" si="111"/>
        <v>637</v>
      </c>
      <c r="K496" s="4">
        <f t="shared" si="114"/>
        <v>3.5000000000000001E-3</v>
      </c>
      <c r="L496">
        <f t="shared" si="115"/>
        <v>0.02</v>
      </c>
      <c r="M496" s="4">
        <f t="shared" si="112"/>
        <v>2.2295000000000003</v>
      </c>
      <c r="N496" s="4">
        <f t="shared" si="113"/>
        <v>12.74</v>
      </c>
    </row>
    <row r="497" spans="1:14">
      <c r="A497" t="str">
        <f t="shared" si="102"/>
        <v>alp_AlwaysOn</v>
      </c>
      <c r="B497" t="str">
        <f t="shared" si="103"/>
        <v>BR MSN.</v>
      </c>
      <c r="C497" t="str">
        <f t="shared" si="104"/>
        <v>alp_AlwaysOn_msn_horizontal_shopping_msn-shopping_cpc_na_200x200_Tiguan_na</v>
      </c>
      <c r="D497" t="str">
        <f t="shared" si="105"/>
        <v>232437885</v>
      </c>
      <c r="E497" t="str">
        <f t="shared" si="106"/>
        <v>Dynamic Click</v>
      </c>
      <c r="F497" t="str">
        <f t="shared" si="107"/>
        <v>alp_AlwaysOn_msn_horizontal_shopping_msn-shopping_cpc_na_200x200_Tiguan_na</v>
      </c>
      <c r="G497" t="str">
        <f t="shared" si="108"/>
        <v>429893270</v>
      </c>
      <c r="H497" t="str">
        <f t="shared" si="109"/>
        <v>Tracking</v>
      </c>
      <c r="I497">
        <f t="shared" si="110"/>
        <v>0</v>
      </c>
      <c r="J497">
        <f t="shared" si="111"/>
        <v>5</v>
      </c>
      <c r="K497" s="4">
        <f t="shared" si="114"/>
        <v>3.5000000000000001E-3</v>
      </c>
      <c r="L497">
        <f t="shared" si="115"/>
        <v>0.02</v>
      </c>
      <c r="M497" s="4">
        <f t="shared" si="112"/>
        <v>1.7500000000000002E-2</v>
      </c>
      <c r="N497" s="4">
        <f t="shared" si="113"/>
        <v>0.1</v>
      </c>
    </row>
    <row r="498" spans="1:14">
      <c r="A498" t="str">
        <f t="shared" si="102"/>
        <v>alp_AlwaysOn</v>
      </c>
      <c r="B498" t="str">
        <f t="shared" si="103"/>
        <v>BR MSN.</v>
      </c>
      <c r="C498" t="str">
        <f t="shared" si="104"/>
        <v>alp_AlwaysOn_msn_horizontal_shopping_msn-shopping_cpc_na_200x200_Up-Pepper_na</v>
      </c>
      <c r="D498" t="str">
        <f t="shared" si="105"/>
        <v>226905733</v>
      </c>
      <c r="E498" t="str">
        <f t="shared" si="106"/>
        <v>Dynamic Click</v>
      </c>
      <c r="F498" t="str">
        <f t="shared" si="107"/>
        <v>alp_AlwaysOn_msn_horizontal_shopping_msn-shopping_cpc_na_200x200_Up-Pepper_na</v>
      </c>
      <c r="G498" t="str">
        <f t="shared" si="108"/>
        <v>424942019</v>
      </c>
      <c r="H498" t="str">
        <f t="shared" si="109"/>
        <v>Tracking</v>
      </c>
      <c r="I498">
        <f t="shared" si="110"/>
        <v>0</v>
      </c>
      <c r="J498">
        <f t="shared" si="111"/>
        <v>1304</v>
      </c>
      <c r="K498" s="4">
        <f t="shared" si="114"/>
        <v>3.5000000000000001E-3</v>
      </c>
      <c r="L498">
        <f t="shared" si="115"/>
        <v>0.02</v>
      </c>
      <c r="M498" s="4">
        <f t="shared" si="112"/>
        <v>4.5640000000000001</v>
      </c>
      <c r="N498" s="4">
        <f t="shared" si="113"/>
        <v>26.080000000000002</v>
      </c>
    </row>
    <row r="499" spans="1:14">
      <c r="A499" t="str">
        <f t="shared" si="102"/>
        <v>alp_AlwaysOn</v>
      </c>
      <c r="B499" t="str">
        <f t="shared" si="103"/>
        <v>BR MSN.</v>
      </c>
      <c r="C499" t="str">
        <f t="shared" si="104"/>
        <v>alp_AlwaysOn_msn_horizontal_shopping_msn-shopping_cpc_na_200x200_Up_na</v>
      </c>
      <c r="D499" t="str">
        <f t="shared" si="105"/>
        <v>226905736</v>
      </c>
      <c r="E499" t="str">
        <f t="shared" si="106"/>
        <v>Dynamic Click</v>
      </c>
      <c r="F499" t="str">
        <f t="shared" si="107"/>
        <v>alp_AlwaysOn_msn_horizontal_shopping_msn-shopping_cpc_na_200x200_Up_na</v>
      </c>
      <c r="G499" t="str">
        <f t="shared" si="108"/>
        <v>424942022</v>
      </c>
      <c r="H499" t="str">
        <f t="shared" si="109"/>
        <v>Tracking</v>
      </c>
      <c r="I499">
        <f t="shared" si="110"/>
        <v>0</v>
      </c>
      <c r="J499">
        <f t="shared" si="111"/>
        <v>1334</v>
      </c>
      <c r="K499" s="4">
        <f t="shared" si="114"/>
        <v>3.5000000000000001E-3</v>
      </c>
      <c r="L499">
        <f t="shared" si="115"/>
        <v>0.02</v>
      </c>
      <c r="M499" s="4">
        <f t="shared" si="112"/>
        <v>4.6690000000000005</v>
      </c>
      <c r="N499" s="4">
        <f t="shared" si="113"/>
        <v>26.68</v>
      </c>
    </row>
    <row r="500" spans="1:14">
      <c r="A500" t="str">
        <f t="shared" si="102"/>
        <v>alp_AlwaysOn</v>
      </c>
      <c r="B500" t="str">
        <f t="shared" si="103"/>
        <v>BR MSN.</v>
      </c>
      <c r="C500" t="str">
        <f t="shared" si="104"/>
        <v>alp_AlwaysOn_msn_horizontal_shopping_msn-shopping_cpc_na_200x200_Virtus_na</v>
      </c>
      <c r="D500" t="str">
        <f t="shared" si="105"/>
        <v>226905730</v>
      </c>
      <c r="E500" t="str">
        <f t="shared" si="106"/>
        <v>Dynamic Click</v>
      </c>
      <c r="F500" t="str">
        <f t="shared" si="107"/>
        <v>alp_AlwaysOn_msn_horizontal_shopping_msn-shopping_cpc_na_200x200_Virtus_na</v>
      </c>
      <c r="G500" t="str">
        <f t="shared" si="108"/>
        <v>424942016</v>
      </c>
      <c r="H500" t="str">
        <f t="shared" si="109"/>
        <v>Tracking</v>
      </c>
      <c r="I500">
        <f t="shared" si="110"/>
        <v>0</v>
      </c>
      <c r="J500">
        <f t="shared" si="111"/>
        <v>1929</v>
      </c>
      <c r="K500" s="4">
        <f t="shared" si="114"/>
        <v>3.5000000000000001E-3</v>
      </c>
      <c r="L500">
        <f t="shared" si="115"/>
        <v>0.02</v>
      </c>
      <c r="M500" s="4">
        <f t="shared" si="112"/>
        <v>6.7515000000000001</v>
      </c>
      <c r="N500" s="4">
        <f t="shared" si="113"/>
        <v>38.58</v>
      </c>
    </row>
    <row r="501" spans="1:14">
      <c r="A501" t="str">
        <f t="shared" si="102"/>
        <v>alp_AlwaysOn</v>
      </c>
      <c r="B501" t="str">
        <f t="shared" si="103"/>
        <v>BR MSN.</v>
      </c>
      <c r="C501" t="str">
        <f t="shared" si="104"/>
        <v>alp_AlwaysOn_msn_horizontal_shopping_msn-shopping_cpc_na_200x200_Voyage_na</v>
      </c>
      <c r="D501" t="str">
        <f t="shared" si="105"/>
        <v>226905727</v>
      </c>
      <c r="E501" t="str">
        <f t="shared" si="106"/>
        <v>Dynamic Click</v>
      </c>
      <c r="F501" t="str">
        <f t="shared" si="107"/>
        <v>alp_AlwaysOn_msn_horizontal_shopping_msn-shopping_cpc_na_200x200_Voyage_na</v>
      </c>
      <c r="G501" t="str">
        <f t="shared" si="108"/>
        <v>424942013</v>
      </c>
      <c r="H501" t="str">
        <f t="shared" si="109"/>
        <v>Tracking</v>
      </c>
      <c r="I501">
        <f t="shared" si="110"/>
        <v>0</v>
      </c>
      <c r="J501">
        <f t="shared" si="111"/>
        <v>1719</v>
      </c>
      <c r="K501" s="4">
        <f t="shared" si="114"/>
        <v>3.5000000000000001E-3</v>
      </c>
      <c r="L501">
        <f t="shared" si="115"/>
        <v>0.02</v>
      </c>
      <c r="M501" s="4">
        <f t="shared" si="112"/>
        <v>6.0164999999999997</v>
      </c>
      <c r="N501" s="4">
        <f t="shared" si="113"/>
        <v>34.380000000000003</v>
      </c>
    </row>
    <row r="502" spans="1:14">
      <c r="A502" t="str">
        <f t="shared" si="102"/>
        <v>alp_AlwaysOn</v>
      </c>
      <c r="B502" t="str">
        <f t="shared" si="103"/>
        <v>GDN</v>
      </c>
      <c r="C502" t="str">
        <f t="shared" si="104"/>
        <v>alp_AlwaysOn_gdn_network_gsp_gsppatrocinado_cpc_prospecting_1200x1200_Ano-Novo_na</v>
      </c>
      <c r="D502" t="str">
        <f t="shared" si="105"/>
        <v>240289178</v>
      </c>
      <c r="E502" t="str">
        <f t="shared" si="106"/>
        <v>Dynamic Click</v>
      </c>
      <c r="F502" t="str">
        <f t="shared" si="107"/>
        <v>alp_AlwaysOn_gdn_network_gsp_gsppatrocinado_cpc_prospecting_1200x1200_Ano-Novo_na</v>
      </c>
      <c r="G502" t="str">
        <f t="shared" si="108"/>
        <v>437296836</v>
      </c>
      <c r="H502" t="str">
        <f t="shared" si="109"/>
        <v>Tracking</v>
      </c>
      <c r="I502">
        <f t="shared" si="110"/>
        <v>0</v>
      </c>
      <c r="J502">
        <f t="shared" si="111"/>
        <v>4</v>
      </c>
      <c r="K502" s="4">
        <f t="shared" si="114"/>
        <v>3.5000000000000001E-3</v>
      </c>
      <c r="L502">
        <f t="shared" si="115"/>
        <v>0.02</v>
      </c>
      <c r="M502" s="4">
        <f t="shared" si="112"/>
        <v>1.4E-2</v>
      </c>
      <c r="N502" s="4">
        <f t="shared" si="113"/>
        <v>0.08</v>
      </c>
    </row>
    <row r="503" spans="1:14">
      <c r="A503" t="str">
        <f t="shared" si="102"/>
        <v>alp_AlwaysOn</v>
      </c>
      <c r="B503" t="str">
        <f t="shared" si="103"/>
        <v>GDN</v>
      </c>
      <c r="C503" t="str">
        <f t="shared" si="104"/>
        <v>alp_AlwaysOn_gdn_network_gsp_gsppatrocinado_cpc_remarketing_1200x1200_Fox-Xtreme_na</v>
      </c>
      <c r="D503" t="str">
        <f t="shared" si="105"/>
        <v>228026671</v>
      </c>
      <c r="E503" t="str">
        <f t="shared" si="106"/>
        <v>Dynamic Click</v>
      </c>
      <c r="F503" t="str">
        <f t="shared" si="107"/>
        <v>alp_AlwaysOn_gdn_network_gsp_gsppatrocinado_cpc_remarketing_1200x1200_Fox-Xtreme_na</v>
      </c>
      <c r="G503" t="str">
        <f t="shared" si="108"/>
        <v>426185983</v>
      </c>
      <c r="H503" t="str">
        <f t="shared" si="109"/>
        <v>Tracking</v>
      </c>
      <c r="I503">
        <f t="shared" si="110"/>
        <v>0</v>
      </c>
      <c r="J503">
        <f t="shared" si="111"/>
        <v>3229</v>
      </c>
      <c r="K503" s="4">
        <f t="shared" si="114"/>
        <v>3.5000000000000001E-3</v>
      </c>
      <c r="L503">
        <f t="shared" si="115"/>
        <v>0.02</v>
      </c>
      <c r="M503" s="4">
        <f t="shared" si="112"/>
        <v>11.301500000000001</v>
      </c>
      <c r="N503" s="4">
        <f t="shared" si="113"/>
        <v>64.58</v>
      </c>
    </row>
    <row r="504" spans="1:14">
      <c r="A504" t="str">
        <f t="shared" si="102"/>
        <v>alp_AlwaysOn</v>
      </c>
      <c r="B504" t="str">
        <f t="shared" si="103"/>
        <v>GDN</v>
      </c>
      <c r="C504" t="str">
        <f t="shared" si="104"/>
        <v>alp_AlwaysOn_gdn_network_gsp_gsppatrocinado_cpc_remarketing_1200x1200_Gol_na</v>
      </c>
      <c r="D504" t="str">
        <f t="shared" si="105"/>
        <v>228023230</v>
      </c>
      <c r="E504" t="str">
        <f t="shared" si="106"/>
        <v>Dynamic Click</v>
      </c>
      <c r="F504" t="str">
        <f t="shared" si="107"/>
        <v>alp_AlwaysOn_gdn_network_gsp_gsppatrocinado_cpc_remarketing_1200x1200_Gol_na</v>
      </c>
      <c r="G504" t="str">
        <f t="shared" si="108"/>
        <v>426105353</v>
      </c>
      <c r="H504" t="str">
        <f t="shared" si="109"/>
        <v>Tracking</v>
      </c>
      <c r="I504">
        <f t="shared" si="110"/>
        <v>0</v>
      </c>
      <c r="J504">
        <f t="shared" si="111"/>
        <v>3032</v>
      </c>
      <c r="K504" s="4">
        <f t="shared" si="114"/>
        <v>3.5000000000000001E-3</v>
      </c>
      <c r="L504">
        <f t="shared" si="115"/>
        <v>0.02</v>
      </c>
      <c r="M504" s="4">
        <f t="shared" si="112"/>
        <v>10.612</v>
      </c>
      <c r="N504" s="4">
        <f t="shared" si="113"/>
        <v>60.64</v>
      </c>
    </row>
    <row r="505" spans="1:14">
      <c r="A505" t="str">
        <f t="shared" si="102"/>
        <v>alp_AlwaysOn</v>
      </c>
      <c r="B505" t="str">
        <f t="shared" si="103"/>
        <v>GDN</v>
      </c>
      <c r="C505" t="str">
        <f t="shared" si="104"/>
        <v>alp_AlwaysOn_gdn_network_gsp_gsppatrocinado_cpc_remarketing_1200x1200_Golf_na</v>
      </c>
      <c r="D505" t="str">
        <f t="shared" si="105"/>
        <v>230732162</v>
      </c>
      <c r="E505" t="str">
        <f t="shared" si="106"/>
        <v>Dynamic Click</v>
      </c>
      <c r="F505" t="str">
        <f t="shared" si="107"/>
        <v>alp_AlwaysOn_gdn_network_gsp_gsppatrocinado_cpc_remarketing_1200x1200_Golf_na</v>
      </c>
      <c r="G505" t="str">
        <f t="shared" si="108"/>
        <v>428659894</v>
      </c>
      <c r="H505" t="str">
        <f t="shared" si="109"/>
        <v>Tracking</v>
      </c>
      <c r="I505">
        <f t="shared" si="110"/>
        <v>0</v>
      </c>
      <c r="J505">
        <f t="shared" si="111"/>
        <v>4</v>
      </c>
      <c r="K505" s="4">
        <f t="shared" si="114"/>
        <v>3.5000000000000001E-3</v>
      </c>
      <c r="L505">
        <f t="shared" si="115"/>
        <v>0.02</v>
      </c>
      <c r="M505" s="4">
        <f t="shared" si="112"/>
        <v>1.4E-2</v>
      </c>
      <c r="N505" s="4">
        <f t="shared" si="113"/>
        <v>0.08</v>
      </c>
    </row>
    <row r="506" spans="1:14">
      <c r="A506" t="str">
        <f t="shared" si="102"/>
        <v>alp_AlwaysOn</v>
      </c>
      <c r="B506" t="str">
        <f t="shared" si="103"/>
        <v>GDN</v>
      </c>
      <c r="C506" t="str">
        <f t="shared" si="104"/>
        <v>alp_AlwaysOn_gdn_network_gsp_gsppatrocinado_cpc_remarketing_1200x1200_Jetta_na</v>
      </c>
      <c r="D506" t="str">
        <f t="shared" si="105"/>
        <v>240152680</v>
      </c>
      <c r="E506" t="str">
        <f t="shared" si="106"/>
        <v>Dynamic Click</v>
      </c>
      <c r="F506" t="str">
        <f t="shared" si="107"/>
        <v>alp_AlwaysOn_gdn_network_gsp_gsppatrocinado_cpc_remarketing_1200x1200_Jetta_na</v>
      </c>
      <c r="G506" t="str">
        <f t="shared" si="108"/>
        <v>437109891</v>
      </c>
      <c r="H506" t="str">
        <f t="shared" si="109"/>
        <v>Tracking</v>
      </c>
      <c r="I506">
        <f t="shared" si="110"/>
        <v>0</v>
      </c>
      <c r="J506">
        <f t="shared" si="111"/>
        <v>4345</v>
      </c>
      <c r="K506" s="4">
        <f t="shared" si="114"/>
        <v>3.5000000000000001E-3</v>
      </c>
      <c r="L506">
        <f t="shared" si="115"/>
        <v>0.02</v>
      </c>
      <c r="M506" s="4">
        <f t="shared" si="112"/>
        <v>15.2075</v>
      </c>
      <c r="N506" s="4">
        <f t="shared" si="113"/>
        <v>86.9</v>
      </c>
    </row>
    <row r="507" spans="1:14">
      <c r="A507" t="str">
        <f t="shared" si="102"/>
        <v>alp_AlwaysOn</v>
      </c>
      <c r="B507" t="str">
        <f t="shared" si="103"/>
        <v>GDN</v>
      </c>
      <c r="C507" t="str">
        <f t="shared" si="104"/>
        <v>alp_AlwaysOn_gdn_network_gsp_gsppatrocinado_cpc_remarketing_1200x1200_Passat_na</v>
      </c>
      <c r="D507" t="str">
        <f t="shared" si="105"/>
        <v>230732168</v>
      </c>
      <c r="E507" t="str">
        <f t="shared" si="106"/>
        <v>Dynamic Click</v>
      </c>
      <c r="F507" t="str">
        <f t="shared" si="107"/>
        <v>alp_AlwaysOn_gdn_network_gsp_gsppatrocinado_cpc_remarketing_1200x1200_Passat_na</v>
      </c>
      <c r="G507" t="str">
        <f t="shared" si="108"/>
        <v>428604284</v>
      </c>
      <c r="H507" t="str">
        <f t="shared" si="109"/>
        <v>Tracking</v>
      </c>
      <c r="I507">
        <f t="shared" si="110"/>
        <v>0</v>
      </c>
      <c r="J507">
        <f t="shared" si="111"/>
        <v>1950</v>
      </c>
      <c r="K507" s="4">
        <f t="shared" si="114"/>
        <v>3.5000000000000001E-3</v>
      </c>
      <c r="L507">
        <f t="shared" si="115"/>
        <v>0.02</v>
      </c>
      <c r="M507" s="4">
        <f t="shared" si="112"/>
        <v>6.8250000000000002</v>
      </c>
      <c r="N507" s="4">
        <f t="shared" si="113"/>
        <v>39</v>
      </c>
    </row>
    <row r="508" spans="1:14">
      <c r="A508" t="str">
        <f t="shared" si="102"/>
        <v>alp_AlwaysOn</v>
      </c>
      <c r="B508" t="str">
        <f t="shared" si="103"/>
        <v>GDN</v>
      </c>
      <c r="C508" t="str">
        <f t="shared" si="104"/>
        <v>alp_AlwaysOn_gdn_network_gsp_gsppatrocinado_cpc_remarketing_1200x1200_Polo-Beats_na</v>
      </c>
      <c r="D508" t="str">
        <f t="shared" si="105"/>
        <v>233732162</v>
      </c>
      <c r="E508" t="str">
        <f t="shared" si="106"/>
        <v>Dynamic Click</v>
      </c>
      <c r="F508" t="str">
        <f t="shared" si="107"/>
        <v>alp_AlwaysOn_gdn_network_gsp_gsppatrocinado_cpc_remarketing_1200x1200_Polo-Beats_na</v>
      </c>
      <c r="G508" t="str">
        <f t="shared" si="108"/>
        <v>431480712</v>
      </c>
      <c r="H508" t="str">
        <f t="shared" si="109"/>
        <v>Tracking</v>
      </c>
      <c r="I508">
        <f t="shared" si="110"/>
        <v>0</v>
      </c>
      <c r="J508">
        <f t="shared" si="111"/>
        <v>255</v>
      </c>
      <c r="K508" s="4">
        <f t="shared" si="114"/>
        <v>3.5000000000000001E-3</v>
      </c>
      <c r="L508">
        <f t="shared" si="115"/>
        <v>0.02</v>
      </c>
      <c r="M508" s="4">
        <f t="shared" si="112"/>
        <v>0.89250000000000007</v>
      </c>
      <c r="N508" s="4">
        <f t="shared" si="113"/>
        <v>5.1000000000000005</v>
      </c>
    </row>
    <row r="509" spans="1:14">
      <c r="A509" t="str">
        <f t="shared" si="102"/>
        <v>alp_AlwaysOn</v>
      </c>
      <c r="B509" t="str">
        <f t="shared" si="103"/>
        <v>GDN</v>
      </c>
      <c r="C509" t="str">
        <f t="shared" si="104"/>
        <v>alp_AlwaysOn_gdn_network_gsp_gsppatrocinado_cpc_remarketing_1200x1200_Polo_na</v>
      </c>
      <c r="D509" t="str">
        <f t="shared" si="105"/>
        <v>228204708</v>
      </c>
      <c r="E509" t="str">
        <f t="shared" si="106"/>
        <v>Dynamic Click</v>
      </c>
      <c r="F509" t="str">
        <f t="shared" si="107"/>
        <v>alp_AlwaysOn_gdn_network_gsp_gsppatrocinado_cpc_remarketing_1200x1200_Polo_na</v>
      </c>
      <c r="G509" t="str">
        <f t="shared" si="108"/>
        <v>426100104</v>
      </c>
      <c r="H509" t="str">
        <f t="shared" si="109"/>
        <v>Tracking</v>
      </c>
      <c r="I509">
        <f t="shared" si="110"/>
        <v>0</v>
      </c>
      <c r="J509">
        <f t="shared" si="111"/>
        <v>434</v>
      </c>
      <c r="K509" s="4">
        <f t="shared" si="114"/>
        <v>3.5000000000000001E-3</v>
      </c>
      <c r="L509">
        <f t="shared" si="115"/>
        <v>0.02</v>
      </c>
      <c r="M509" s="4">
        <f t="shared" si="112"/>
        <v>1.5190000000000001</v>
      </c>
      <c r="N509" s="4">
        <f t="shared" si="113"/>
        <v>8.68</v>
      </c>
    </row>
    <row r="510" spans="1:14">
      <c r="A510" t="str">
        <f t="shared" si="102"/>
        <v>alp_AlwaysOn</v>
      </c>
      <c r="B510" t="str">
        <f t="shared" si="103"/>
        <v>GDN</v>
      </c>
      <c r="C510" t="str">
        <f t="shared" si="104"/>
        <v>alp_AlwaysOn_gdn_network_gsp_gsppatrocinado_cpc_remarketing_1200x1200_Saveiro_na</v>
      </c>
      <c r="D510" t="str">
        <f t="shared" si="105"/>
        <v>231007269</v>
      </c>
      <c r="E510" t="str">
        <f t="shared" si="106"/>
        <v>Dynamic Click</v>
      </c>
      <c r="F510" t="str">
        <f t="shared" si="107"/>
        <v>alp_AlwaysOn_gdn_network_gsp_gsppatrocinado_cpc_remarketing_1200x1200_Saveiro_na</v>
      </c>
      <c r="G510" t="str">
        <f t="shared" si="108"/>
        <v>428604528</v>
      </c>
      <c r="H510" t="str">
        <f t="shared" si="109"/>
        <v>Tracking</v>
      </c>
      <c r="I510">
        <f t="shared" si="110"/>
        <v>0</v>
      </c>
      <c r="J510">
        <f t="shared" si="111"/>
        <v>375</v>
      </c>
      <c r="K510" s="4">
        <f t="shared" si="114"/>
        <v>3.5000000000000001E-3</v>
      </c>
      <c r="L510">
        <f t="shared" si="115"/>
        <v>0.02</v>
      </c>
      <c r="M510" s="4">
        <f t="shared" si="112"/>
        <v>1.3125</v>
      </c>
      <c r="N510" s="4">
        <f t="shared" si="113"/>
        <v>7.5</v>
      </c>
    </row>
    <row r="511" spans="1:14">
      <c r="A511" t="str">
        <f t="shared" si="102"/>
        <v>alp_AlwaysOn</v>
      </c>
      <c r="B511" t="str">
        <f t="shared" si="103"/>
        <v>GDN</v>
      </c>
      <c r="C511" t="str">
        <f t="shared" si="104"/>
        <v>alp_AlwaysOn_gdn_network_gsp_gsppatrocinado_cpc_remarketing_1200x1200_Tiguan_na</v>
      </c>
      <c r="D511" t="str">
        <f t="shared" si="105"/>
        <v>230714048</v>
      </c>
      <c r="E511" t="str">
        <f t="shared" si="106"/>
        <v>Dynamic Click</v>
      </c>
      <c r="F511" t="str">
        <f t="shared" si="107"/>
        <v>alp_AlwaysOn_gdn_network_gsp_gsppatrocinado_cpc_remarketing_1200x1200_Tiguan_na</v>
      </c>
      <c r="G511" t="str">
        <f t="shared" si="108"/>
        <v>428663965</v>
      </c>
      <c r="H511" t="str">
        <f t="shared" si="109"/>
        <v>Tracking</v>
      </c>
      <c r="I511">
        <f t="shared" si="110"/>
        <v>0</v>
      </c>
      <c r="J511">
        <f t="shared" si="111"/>
        <v>324</v>
      </c>
      <c r="K511" s="4">
        <f t="shared" si="114"/>
        <v>3.5000000000000001E-3</v>
      </c>
      <c r="L511">
        <f t="shared" si="115"/>
        <v>0.02</v>
      </c>
      <c r="M511" s="4">
        <f t="shared" si="112"/>
        <v>1.1340000000000001</v>
      </c>
      <c r="N511" s="4">
        <f t="shared" si="113"/>
        <v>6.48</v>
      </c>
    </row>
    <row r="512" spans="1:14">
      <c r="A512" t="str">
        <f t="shared" si="102"/>
        <v>alp_AlwaysOn</v>
      </c>
      <c r="B512" t="str">
        <f t="shared" si="103"/>
        <v>GDN</v>
      </c>
      <c r="C512" t="str">
        <f t="shared" si="104"/>
        <v>alp_AlwaysOn_gdn_network_gsp_gsppatrocinado_cpc_remarketing_1200x1200_Up_na</v>
      </c>
      <c r="D512" t="str">
        <f t="shared" si="105"/>
        <v>227935124</v>
      </c>
      <c r="E512" t="str">
        <f t="shared" si="106"/>
        <v>Dynamic Click</v>
      </c>
      <c r="F512" t="str">
        <f t="shared" si="107"/>
        <v>alp_AlwaysOn_gdn_network_gsp_gsppatrocinado_cpc_remarketing_1200x1200_Up_na</v>
      </c>
      <c r="G512" t="str">
        <f t="shared" si="108"/>
        <v>426103892</v>
      </c>
      <c r="H512" t="str">
        <f t="shared" si="109"/>
        <v>Tracking</v>
      </c>
      <c r="I512">
        <f t="shared" si="110"/>
        <v>0</v>
      </c>
      <c r="J512">
        <f t="shared" si="111"/>
        <v>838</v>
      </c>
      <c r="K512" s="4">
        <f t="shared" si="114"/>
        <v>3.5000000000000001E-3</v>
      </c>
      <c r="L512">
        <f t="shared" si="115"/>
        <v>0.02</v>
      </c>
      <c r="M512" s="4">
        <f t="shared" si="112"/>
        <v>2.9330000000000003</v>
      </c>
      <c r="N512" s="4">
        <f t="shared" si="113"/>
        <v>16.760000000000002</v>
      </c>
    </row>
    <row r="513" spans="1:14">
      <c r="A513" t="str">
        <f t="shared" si="102"/>
        <v>alp_AlwaysOn</v>
      </c>
      <c r="B513" t="str">
        <f t="shared" si="103"/>
        <v>GDN</v>
      </c>
      <c r="C513" t="str">
        <f t="shared" si="104"/>
        <v>alp_AlwaysOn_gdn_network_gsp_gsppatrocinado_cpc_remarketing_1200x1200_Virtus_na</v>
      </c>
      <c r="D513" t="str">
        <f t="shared" si="105"/>
        <v>228026689</v>
      </c>
      <c r="E513" t="str">
        <f t="shared" si="106"/>
        <v>Dynamic Click</v>
      </c>
      <c r="F513" t="str">
        <f t="shared" si="107"/>
        <v>alp_AlwaysOn_gdn_network_gsp_gsppatrocinado_cpc_remarketing_1200x1200_Virtus_na</v>
      </c>
      <c r="G513" t="str">
        <f t="shared" si="108"/>
        <v>426186004</v>
      </c>
      <c r="H513" t="str">
        <f t="shared" si="109"/>
        <v>Tracking</v>
      </c>
      <c r="I513">
        <f t="shared" si="110"/>
        <v>0</v>
      </c>
      <c r="J513">
        <f t="shared" si="111"/>
        <v>985</v>
      </c>
      <c r="K513" s="4">
        <f t="shared" si="114"/>
        <v>3.5000000000000001E-3</v>
      </c>
      <c r="L513">
        <f t="shared" si="115"/>
        <v>0.02</v>
      </c>
      <c r="M513" s="4">
        <f t="shared" si="112"/>
        <v>3.4475000000000002</v>
      </c>
      <c r="N513" s="4">
        <f t="shared" si="113"/>
        <v>19.7</v>
      </c>
    </row>
    <row r="514" spans="1:14">
      <c r="A514" t="str">
        <f t="shared" ref="A514:A577" si="116">bd_campaign</f>
        <v>alp_AlwaysOn</v>
      </c>
      <c r="B514" t="str">
        <f t="shared" ref="B514:B577" si="117">bd_site</f>
        <v>GDN</v>
      </c>
      <c r="C514" t="str">
        <f t="shared" ref="C514:C577" si="118">bd_placement</f>
        <v>alp_AlwaysOn_gdn_network_gsp_gsppatrocinado_cpc_remarketing_1200x1200_Voyage_na</v>
      </c>
      <c r="D514" t="str">
        <f t="shared" ref="D514:D577" si="119">bd_placementID</f>
        <v>227936651</v>
      </c>
      <c r="E514" t="str">
        <f t="shared" ref="E514:E577" si="120">VLOOKUP(CONCATENATE(bd_adtype,"_",bd_creativetype),tabela,2,FALSE)</f>
        <v>Dynamic Click</v>
      </c>
      <c r="F514" t="str">
        <f t="shared" ref="F514:F577" si="121">bd_ad</f>
        <v>alp_AlwaysOn_gdn_network_gsp_gsppatrocinado_cpc_remarketing_1200x1200_Voyage_na</v>
      </c>
      <c r="G514" t="str">
        <f t="shared" ref="G514:G577" si="122">bd_adid</f>
        <v>426103898</v>
      </c>
      <c r="H514" t="str">
        <f t="shared" ref="H514:H577" si="123">bd_creativetype</f>
        <v>Tracking</v>
      </c>
      <c r="I514">
        <f t="shared" ref="I514:I577" si="124">bd_impression</f>
        <v>0</v>
      </c>
      <c r="J514">
        <f t="shared" ref="J514:J577" si="125">bd_clicks</f>
        <v>4580</v>
      </c>
      <c r="K514" s="4">
        <f t="shared" si="114"/>
        <v>3.5000000000000001E-3</v>
      </c>
      <c r="L514">
        <f t="shared" si="115"/>
        <v>0.02</v>
      </c>
      <c r="M514" s="4">
        <f t="shared" si="112"/>
        <v>16.03</v>
      </c>
      <c r="N514" s="4">
        <f t="shared" si="113"/>
        <v>91.600000000000009</v>
      </c>
    </row>
    <row r="515" spans="1:14">
      <c r="A515" t="str">
        <f t="shared" si="116"/>
        <v>alp_AlwaysOn</v>
      </c>
      <c r="B515" t="str">
        <f t="shared" si="117"/>
        <v>GDN</v>
      </c>
      <c r="C515" t="str">
        <f t="shared" si="118"/>
        <v>alp_AlwaysOn_gdn_network_gsp_gsppatrocinado_cpc_remarketing_1200x1200_up!-Pepper_na</v>
      </c>
      <c r="D515" t="str">
        <f t="shared" si="119"/>
        <v>240374847</v>
      </c>
      <c r="E515" t="str">
        <f t="shared" si="120"/>
        <v>Dynamic Click</v>
      </c>
      <c r="F515" t="str">
        <f t="shared" si="121"/>
        <v>alp_AlwaysOn_gdn_network_gsp_gsppatrocinado_cpc_remarketing_1200x1200_up!-Pepper_na</v>
      </c>
      <c r="G515" t="str">
        <f t="shared" si="122"/>
        <v>437203012</v>
      </c>
      <c r="H515" t="str">
        <f t="shared" si="123"/>
        <v>Tracking</v>
      </c>
      <c r="I515">
        <f t="shared" si="124"/>
        <v>0</v>
      </c>
      <c r="J515">
        <f t="shared" si="125"/>
        <v>815</v>
      </c>
      <c r="K515" s="4">
        <f t="shared" si="114"/>
        <v>3.5000000000000001E-3</v>
      </c>
      <c r="L515">
        <f t="shared" si="115"/>
        <v>0.02</v>
      </c>
      <c r="M515" s="4">
        <f t="shared" si="112"/>
        <v>2.8525</v>
      </c>
      <c r="N515" s="4">
        <f t="shared" si="113"/>
        <v>16.3</v>
      </c>
    </row>
    <row r="516" spans="1:14">
      <c r="A516" t="str">
        <f t="shared" si="116"/>
        <v>alp_AlwaysOn</v>
      </c>
      <c r="B516" t="str">
        <f t="shared" si="117"/>
        <v>GDN</v>
      </c>
      <c r="C516" t="str">
        <f t="shared" si="118"/>
        <v>alp_AlwaysOn_gdn_network_smart-display_smart-display_cpc_prospecting_smart-display_prospecting_na</v>
      </c>
      <c r="D516" t="str">
        <f t="shared" si="119"/>
        <v>227903815</v>
      </c>
      <c r="E516" t="str">
        <f t="shared" si="120"/>
        <v>Dynamic Click</v>
      </c>
      <c r="F516" t="str">
        <f t="shared" si="121"/>
        <v>alp_AlwaysOn_gdn_network_smart-display_smart-display_cpc_prospecting_smart-display_prospecting_na</v>
      </c>
      <c r="G516" t="str">
        <f t="shared" si="122"/>
        <v>426001554</v>
      </c>
      <c r="H516" t="str">
        <f t="shared" si="123"/>
        <v>Tracking</v>
      </c>
      <c r="I516">
        <f t="shared" si="124"/>
        <v>0</v>
      </c>
      <c r="J516">
        <f t="shared" si="125"/>
        <v>2</v>
      </c>
      <c r="K516" s="4">
        <f t="shared" si="114"/>
        <v>3.5000000000000001E-3</v>
      </c>
      <c r="L516">
        <f t="shared" si="115"/>
        <v>0.02</v>
      </c>
      <c r="M516" s="4">
        <f t="shared" si="112"/>
        <v>7.0000000000000001E-3</v>
      </c>
      <c r="N516" s="4">
        <f t="shared" si="113"/>
        <v>0.04</v>
      </c>
    </row>
    <row r="517" spans="1:14">
      <c r="A517" t="str">
        <f t="shared" si="116"/>
        <v>alp_AlwaysOn</v>
      </c>
      <c r="B517" t="str">
        <f t="shared" si="117"/>
        <v>GDN</v>
      </c>
      <c r="C517" t="str">
        <f t="shared" si="118"/>
        <v>alp_AlwaysOn_gdn_network_varejo_gsppatrocinado_cpc_prospecting_1200x1200_Black-Friday_na</v>
      </c>
      <c r="D517" t="str">
        <f t="shared" si="119"/>
        <v>233490580</v>
      </c>
      <c r="E517" t="str">
        <f t="shared" si="120"/>
        <v>Dynamic Click</v>
      </c>
      <c r="F517" t="str">
        <f t="shared" si="121"/>
        <v>alp_AlwaysOn_gdn_network_varejo_gsppatrocinado_cpc_prospecting_1200x1200_Black-Friday_na</v>
      </c>
      <c r="G517" t="str">
        <f t="shared" si="122"/>
        <v>431109761</v>
      </c>
      <c r="H517" t="str">
        <f t="shared" si="123"/>
        <v>Tracking</v>
      </c>
      <c r="I517">
        <f t="shared" si="124"/>
        <v>0</v>
      </c>
      <c r="J517">
        <f t="shared" si="125"/>
        <v>1</v>
      </c>
      <c r="K517" s="4">
        <f t="shared" si="114"/>
        <v>3.5000000000000001E-3</v>
      </c>
      <c r="L517">
        <f t="shared" si="115"/>
        <v>0.02</v>
      </c>
      <c r="M517" s="4">
        <f t="shared" si="112"/>
        <v>3.5000000000000001E-3</v>
      </c>
      <c r="N517" s="4">
        <f t="shared" si="113"/>
        <v>0.02</v>
      </c>
    </row>
    <row r="518" spans="1:14">
      <c r="A518" t="str">
        <f t="shared" si="116"/>
        <v>alp_AlwaysOn</v>
      </c>
      <c r="B518" t="str">
        <f t="shared" si="117"/>
        <v>GDN</v>
      </c>
      <c r="C518" t="str">
        <f t="shared" si="118"/>
        <v>alp_AlwaysOn_gdn_network_varejo_gsppatrocinado_cpc_prospecting_1200x1200_Dezembro-Especial_na</v>
      </c>
      <c r="D518" t="str">
        <f t="shared" si="119"/>
        <v>235649198</v>
      </c>
      <c r="E518" t="str">
        <f t="shared" si="120"/>
        <v>Dynamic Click</v>
      </c>
      <c r="F518" t="str">
        <f t="shared" si="121"/>
        <v>alp_AlwaysOn_gdn_network_varejo_gsppatrocinado_cpc_prospecting_1200x1200_Dezembro-Especial_na</v>
      </c>
      <c r="G518" t="str">
        <f t="shared" si="122"/>
        <v>433273964</v>
      </c>
      <c r="H518" t="str">
        <f t="shared" si="123"/>
        <v>Tracking</v>
      </c>
      <c r="I518">
        <f t="shared" si="124"/>
        <v>0</v>
      </c>
      <c r="J518">
        <f t="shared" si="125"/>
        <v>2</v>
      </c>
      <c r="K518" s="4">
        <f t="shared" si="114"/>
        <v>3.5000000000000001E-3</v>
      </c>
      <c r="L518">
        <f t="shared" si="115"/>
        <v>0.02</v>
      </c>
      <c r="M518" s="4">
        <f t="shared" si="112"/>
        <v>7.0000000000000001E-3</v>
      </c>
      <c r="N518" s="4">
        <f t="shared" si="113"/>
        <v>0.04</v>
      </c>
    </row>
    <row r="519" spans="1:14">
      <c r="A519" t="str">
        <f t="shared" si="116"/>
        <v>alp_AlwaysOn</v>
      </c>
      <c r="B519" t="str">
        <f t="shared" si="117"/>
        <v>GSD</v>
      </c>
      <c r="C519" t="str">
        <f t="shared" si="118"/>
        <v>alp_AlwaysOn_gsd_network_smart-display_smart-display_cpc_na_smart-display_prospecting_na</v>
      </c>
      <c r="D519" t="str">
        <f t="shared" si="119"/>
        <v>233468515</v>
      </c>
      <c r="E519" t="str">
        <f t="shared" si="120"/>
        <v>Dynamic Click</v>
      </c>
      <c r="F519" t="str">
        <f t="shared" si="121"/>
        <v>alp_AlwaysOn_gsd_network_smart-display_smart-display_cpc_na_smart-display_prospecting_na</v>
      </c>
      <c r="G519" t="str">
        <f t="shared" si="122"/>
        <v>431205523</v>
      </c>
      <c r="H519" t="str">
        <f t="shared" si="123"/>
        <v>Tracking</v>
      </c>
      <c r="I519">
        <f t="shared" si="124"/>
        <v>0</v>
      </c>
      <c r="J519">
        <f t="shared" si="125"/>
        <v>253095</v>
      </c>
      <c r="K519" s="4">
        <f t="shared" si="114"/>
        <v>3.5000000000000001E-3</v>
      </c>
      <c r="L519">
        <f t="shared" si="115"/>
        <v>0.02</v>
      </c>
      <c r="M519" s="4">
        <f t="shared" si="112"/>
        <v>885.83249999999998</v>
      </c>
      <c r="N519" s="4">
        <f t="shared" si="113"/>
        <v>5061.9000000000005</v>
      </c>
    </row>
    <row r="520" spans="1:14">
      <c r="A520" t="str">
        <f t="shared" si="116"/>
        <v>alp_AlwaysOn</v>
      </c>
      <c r="B520" t="str">
        <f t="shared" si="117"/>
        <v>Google Brasil</v>
      </c>
      <c r="C520" t="str">
        <f t="shared" si="118"/>
        <v>alp_AlwaysOn_dbm_network_native-ads_dbm-native_cpm_prospecting_nativeads_Amarok-Prospect_na</v>
      </c>
      <c r="D520" t="str">
        <f t="shared" si="119"/>
        <v>228878582</v>
      </c>
      <c r="E520" t="str">
        <f t="shared" si="120"/>
        <v>Standard</v>
      </c>
      <c r="F520" t="str">
        <f t="shared" si="121"/>
        <v>alp_AlwaysOn_dbm_network_native-ads_dbm-native_cpm_prospecting_nativeads_Amarok-Prospect_na</v>
      </c>
      <c r="G520" t="str">
        <f t="shared" si="122"/>
        <v>427031720</v>
      </c>
      <c r="H520" t="str">
        <f t="shared" si="123"/>
        <v>Tracking</v>
      </c>
      <c r="I520">
        <f t="shared" si="124"/>
        <v>243840</v>
      </c>
      <c r="J520">
        <f t="shared" si="125"/>
        <v>937</v>
      </c>
      <c r="K520" s="4">
        <f t="shared" si="114"/>
        <v>0.04</v>
      </c>
      <c r="L520">
        <f t="shared" si="115"/>
        <v>0.09</v>
      </c>
      <c r="M520" s="4">
        <f t="shared" si="112"/>
        <v>9.7536000000000005</v>
      </c>
      <c r="N520" s="4">
        <f t="shared" si="113"/>
        <v>21.945599999999999</v>
      </c>
    </row>
    <row r="521" spans="1:14">
      <c r="A521" t="str">
        <f t="shared" si="116"/>
        <v>alp_AlwaysOn</v>
      </c>
      <c r="B521" t="str">
        <f t="shared" si="117"/>
        <v>Google Brasil</v>
      </c>
      <c r="C521" t="str">
        <f t="shared" si="118"/>
        <v>alp_AlwaysOn_dbm_network_native-ads_dbm-native_cpm_prospecting_nativeads_FoxConnect-Prospect_na</v>
      </c>
      <c r="D521" t="str">
        <f t="shared" si="119"/>
        <v>228878579</v>
      </c>
      <c r="E521" t="str">
        <f t="shared" si="120"/>
        <v>Standard</v>
      </c>
      <c r="F521" t="str">
        <f t="shared" si="121"/>
        <v>alp_AlwaysOn_dbm_network_native-ads_dbm-native_cpm_prospecting_nativeads_FoxConnect-Prospect_na</v>
      </c>
      <c r="G521" t="str">
        <f t="shared" si="122"/>
        <v>427031717</v>
      </c>
      <c r="H521" t="str">
        <f t="shared" si="123"/>
        <v>Tracking</v>
      </c>
      <c r="I521">
        <f t="shared" si="124"/>
        <v>247732</v>
      </c>
      <c r="J521">
        <f t="shared" si="125"/>
        <v>815</v>
      </c>
      <c r="K521" s="4">
        <f t="shared" si="114"/>
        <v>0.04</v>
      </c>
      <c r="L521">
        <f t="shared" si="115"/>
        <v>0.09</v>
      </c>
      <c r="M521" s="4">
        <f t="shared" si="112"/>
        <v>9.9092800000000008</v>
      </c>
      <c r="N521" s="4">
        <f t="shared" si="113"/>
        <v>22.295879999999997</v>
      </c>
    </row>
    <row r="522" spans="1:14">
      <c r="A522" t="str">
        <f t="shared" si="116"/>
        <v>alp_AlwaysOn</v>
      </c>
      <c r="B522" t="str">
        <f t="shared" si="117"/>
        <v>Google Brasil</v>
      </c>
      <c r="C522" t="str">
        <f t="shared" si="118"/>
        <v>alp_AlwaysOn_dbm_network_native-ads_dbm-native_cpm_prospecting_nativeads_FoxXtreme-Prospect_na</v>
      </c>
      <c r="D522" t="str">
        <f t="shared" si="119"/>
        <v>228878576</v>
      </c>
      <c r="E522" t="str">
        <f t="shared" si="120"/>
        <v>Standard</v>
      </c>
      <c r="F522" t="str">
        <f t="shared" si="121"/>
        <v>alp_AlwaysOn_dbm_network_native-ads_dbm-native_cpm_prospecting_nativeads_FoxXtreme-Prospect_na</v>
      </c>
      <c r="G522" t="str">
        <f t="shared" si="122"/>
        <v>427031714</v>
      </c>
      <c r="H522" t="str">
        <f t="shared" si="123"/>
        <v>Tracking</v>
      </c>
      <c r="I522">
        <f t="shared" si="124"/>
        <v>254166</v>
      </c>
      <c r="J522">
        <f t="shared" si="125"/>
        <v>966</v>
      </c>
      <c r="K522" s="4">
        <f t="shared" si="114"/>
        <v>0.04</v>
      </c>
      <c r="L522">
        <f t="shared" si="115"/>
        <v>0.09</v>
      </c>
      <c r="M522" s="4">
        <f t="shared" si="112"/>
        <v>10.166639999999999</v>
      </c>
      <c r="N522" s="4">
        <f t="shared" si="113"/>
        <v>22.874939999999999</v>
      </c>
    </row>
    <row r="523" spans="1:14">
      <c r="A523" t="str">
        <f t="shared" si="116"/>
        <v>alp_AlwaysOn</v>
      </c>
      <c r="B523" t="str">
        <f t="shared" si="117"/>
        <v>Google Brasil</v>
      </c>
      <c r="C523" t="str">
        <f t="shared" si="118"/>
        <v>alp_AlwaysOn_dbm_network_native-ads_dbm-native_cpm_prospecting_nativeads_Gol-Prospect_na</v>
      </c>
      <c r="D523" t="str">
        <f t="shared" si="119"/>
        <v>228878573</v>
      </c>
      <c r="E523" t="str">
        <f t="shared" si="120"/>
        <v>Standard</v>
      </c>
      <c r="F523" t="str">
        <f t="shared" si="121"/>
        <v>alp_AlwaysOn_dbm_network_native-ads_dbm-native_cpm_prospecting_nativeads_Gol-Prospect_na</v>
      </c>
      <c r="G523" t="str">
        <f t="shared" si="122"/>
        <v>427031711</v>
      </c>
      <c r="H523" t="str">
        <f t="shared" si="123"/>
        <v>Tracking</v>
      </c>
      <c r="I523">
        <f t="shared" si="124"/>
        <v>252531</v>
      </c>
      <c r="J523">
        <f t="shared" si="125"/>
        <v>747</v>
      </c>
      <c r="K523" s="4">
        <f t="shared" si="114"/>
        <v>0.04</v>
      </c>
      <c r="L523">
        <f t="shared" si="115"/>
        <v>0.09</v>
      </c>
      <c r="M523" s="4">
        <f t="shared" si="112"/>
        <v>10.101240000000001</v>
      </c>
      <c r="N523" s="4">
        <f t="shared" si="113"/>
        <v>22.727790000000002</v>
      </c>
    </row>
    <row r="524" spans="1:14">
      <c r="A524" t="str">
        <f t="shared" si="116"/>
        <v>alp_AlwaysOn</v>
      </c>
      <c r="B524" t="str">
        <f t="shared" si="117"/>
        <v>Google Brasil</v>
      </c>
      <c r="C524" t="str">
        <f t="shared" si="118"/>
        <v>alp_AlwaysOn_dbm_network_native-ads_dbm-native_cpm_prospecting_nativeads_Jetta-Prospect_na</v>
      </c>
      <c r="D524" t="str">
        <f t="shared" si="119"/>
        <v>228878567</v>
      </c>
      <c r="E524" t="str">
        <f t="shared" si="120"/>
        <v>Standard</v>
      </c>
      <c r="F524" t="str">
        <f t="shared" si="121"/>
        <v>alp_AlwaysOn_dbm_network_native-ads_dbm-native_cpm_prospecting_nativeads_Jetta-Prospect_na</v>
      </c>
      <c r="G524" t="str">
        <f t="shared" si="122"/>
        <v>427031705</v>
      </c>
      <c r="H524" t="str">
        <f t="shared" si="123"/>
        <v>Tracking</v>
      </c>
      <c r="I524">
        <f t="shared" si="124"/>
        <v>313441</v>
      </c>
      <c r="J524">
        <f t="shared" si="125"/>
        <v>791</v>
      </c>
      <c r="K524" s="4">
        <f t="shared" si="114"/>
        <v>0.04</v>
      </c>
      <c r="L524">
        <f t="shared" si="115"/>
        <v>0.09</v>
      </c>
      <c r="M524" s="4">
        <f t="shared" si="112"/>
        <v>12.53764</v>
      </c>
      <c r="N524" s="4">
        <f t="shared" si="113"/>
        <v>28.209689999999998</v>
      </c>
    </row>
    <row r="525" spans="1:14">
      <c r="A525" t="str">
        <f t="shared" si="116"/>
        <v>alp_AlwaysOn</v>
      </c>
      <c r="B525" t="str">
        <f t="shared" si="117"/>
        <v>Google Brasil</v>
      </c>
      <c r="C525" t="str">
        <f t="shared" si="118"/>
        <v>alp_AlwaysOn_dbm_network_native-ads_dbm-native_cpm_prospecting_nativeads_Passat-Prospect_na</v>
      </c>
      <c r="D525" t="str">
        <f t="shared" si="119"/>
        <v>228878564</v>
      </c>
      <c r="E525" t="str">
        <f t="shared" si="120"/>
        <v>Standard</v>
      </c>
      <c r="F525" t="str">
        <f t="shared" si="121"/>
        <v>alp_AlwaysOn_dbm_network_native-ads_dbm-native_cpm_prospecting_nativeads_Passat-Prospect_na</v>
      </c>
      <c r="G525" t="str">
        <f t="shared" si="122"/>
        <v>427031702</v>
      </c>
      <c r="H525" t="str">
        <f t="shared" si="123"/>
        <v>Tracking</v>
      </c>
      <c r="I525">
        <f t="shared" si="124"/>
        <v>649101</v>
      </c>
      <c r="J525">
        <f t="shared" si="125"/>
        <v>2486</v>
      </c>
      <c r="K525" s="4">
        <f t="shared" si="114"/>
        <v>0.04</v>
      </c>
      <c r="L525">
        <f t="shared" si="115"/>
        <v>0.09</v>
      </c>
      <c r="M525" s="4">
        <f t="shared" si="112"/>
        <v>25.964040000000001</v>
      </c>
      <c r="N525" s="4">
        <f t="shared" si="113"/>
        <v>58.419089999999997</v>
      </c>
    </row>
    <row r="526" spans="1:14">
      <c r="A526" t="str">
        <f t="shared" si="116"/>
        <v>alp_AlwaysOn</v>
      </c>
      <c r="B526" t="str">
        <f t="shared" si="117"/>
        <v>Google Brasil</v>
      </c>
      <c r="C526" t="str">
        <f t="shared" si="118"/>
        <v>alp_AlwaysOn_dbm_network_native-ads_dbm-native_cpm_prospecting_nativeads_Polo-Prospect_na</v>
      </c>
      <c r="D526" t="str">
        <f t="shared" si="119"/>
        <v>228878561</v>
      </c>
      <c r="E526" t="str">
        <f t="shared" si="120"/>
        <v>Default</v>
      </c>
      <c r="F526" t="str">
        <f t="shared" si="121"/>
        <v>1x1 Default Web Ad</v>
      </c>
      <c r="G526" t="str">
        <f t="shared" si="122"/>
        <v>424916688</v>
      </c>
      <c r="H526" t="str">
        <f t="shared" si="123"/>
        <v>Display</v>
      </c>
      <c r="I526">
        <f t="shared" si="124"/>
        <v>1577</v>
      </c>
      <c r="J526">
        <f t="shared" si="125"/>
        <v>0</v>
      </c>
      <c r="K526" s="4">
        <f t="shared" si="114"/>
        <v>0.04</v>
      </c>
      <c r="L526">
        <f t="shared" si="115"/>
        <v>0.09</v>
      </c>
      <c r="M526" s="4">
        <f t="shared" si="112"/>
        <v>6.3079999999999997E-2</v>
      </c>
      <c r="N526" s="4">
        <f t="shared" si="113"/>
        <v>0.14193</v>
      </c>
    </row>
    <row r="527" spans="1:14">
      <c r="A527" t="str">
        <f t="shared" si="116"/>
        <v>alp_AlwaysOn</v>
      </c>
      <c r="B527" t="str">
        <f t="shared" si="117"/>
        <v>Google Brasil</v>
      </c>
      <c r="C527" t="str">
        <f t="shared" si="118"/>
        <v>alp_AlwaysOn_dbm_network_native-ads_dbm-native_cpm_prospecting_nativeads_Polo-Prospect_na</v>
      </c>
      <c r="D527" t="str">
        <f t="shared" si="119"/>
        <v>228878561</v>
      </c>
      <c r="E527" t="str">
        <f t="shared" si="120"/>
        <v>Standard</v>
      </c>
      <c r="F527" t="str">
        <f t="shared" si="121"/>
        <v>alp_AlwaysOn_dbm_network_native-ads_dbm-native_cpm_prospecting_nativeads_Polo-Prospect_na</v>
      </c>
      <c r="G527" t="str">
        <f t="shared" si="122"/>
        <v>427031699</v>
      </c>
      <c r="H527" t="str">
        <f t="shared" si="123"/>
        <v>Tracking</v>
      </c>
      <c r="I527">
        <f t="shared" si="124"/>
        <v>204633</v>
      </c>
      <c r="J527">
        <f t="shared" si="125"/>
        <v>662</v>
      </c>
      <c r="K527" s="4">
        <f t="shared" si="114"/>
        <v>0.04</v>
      </c>
      <c r="L527">
        <f t="shared" si="115"/>
        <v>0.09</v>
      </c>
      <c r="M527" s="4">
        <f t="shared" si="112"/>
        <v>8.1853200000000008</v>
      </c>
      <c r="N527" s="4">
        <f t="shared" si="113"/>
        <v>18.416969999999999</v>
      </c>
    </row>
    <row r="528" spans="1:14">
      <c r="A528" t="str">
        <f t="shared" si="116"/>
        <v>alp_AlwaysOn</v>
      </c>
      <c r="B528" t="str">
        <f t="shared" si="117"/>
        <v>Google Brasil</v>
      </c>
      <c r="C528" t="str">
        <f t="shared" si="118"/>
        <v>alp_AlwaysOn_dbm_network_native-ads_dbm-native_cpm_prospecting_nativeads_Saveiro-Prospect_na</v>
      </c>
      <c r="D528" t="str">
        <f t="shared" si="119"/>
        <v>228878558</v>
      </c>
      <c r="E528" t="str">
        <f t="shared" si="120"/>
        <v>Default</v>
      </c>
      <c r="F528" t="str">
        <f t="shared" si="121"/>
        <v>1x1 Default Web Ad</v>
      </c>
      <c r="G528" t="str">
        <f t="shared" si="122"/>
        <v>424916688</v>
      </c>
      <c r="H528" t="str">
        <f t="shared" si="123"/>
        <v>Display</v>
      </c>
      <c r="I528">
        <f t="shared" si="124"/>
        <v>1602</v>
      </c>
      <c r="J528">
        <f t="shared" si="125"/>
        <v>0</v>
      </c>
      <c r="K528" s="4">
        <f t="shared" si="114"/>
        <v>0.04</v>
      </c>
      <c r="L528">
        <f t="shared" si="115"/>
        <v>0.09</v>
      </c>
      <c r="M528" s="4">
        <f t="shared" si="112"/>
        <v>6.4079999999999998E-2</v>
      </c>
      <c r="N528" s="4">
        <f t="shared" si="113"/>
        <v>0.14418</v>
      </c>
    </row>
    <row r="529" spans="1:14">
      <c r="A529" t="str">
        <f t="shared" si="116"/>
        <v>alp_AlwaysOn</v>
      </c>
      <c r="B529" t="str">
        <f t="shared" si="117"/>
        <v>Google Brasil</v>
      </c>
      <c r="C529" t="str">
        <f t="shared" si="118"/>
        <v>alp_AlwaysOn_dbm_network_native-ads_dbm-native_cpm_prospecting_nativeads_Saveiro-Prospect_na</v>
      </c>
      <c r="D529" t="str">
        <f t="shared" si="119"/>
        <v>228878558</v>
      </c>
      <c r="E529" t="str">
        <f t="shared" si="120"/>
        <v>Standard</v>
      </c>
      <c r="F529" t="str">
        <f t="shared" si="121"/>
        <v>alp_AlwaysOn_dbm_network_native-ads_dbm-native_cpm_prospecting_nativeads_Saveiro-Prospect_na</v>
      </c>
      <c r="G529" t="str">
        <f t="shared" si="122"/>
        <v>427031696</v>
      </c>
      <c r="H529" t="str">
        <f t="shared" si="123"/>
        <v>Tracking</v>
      </c>
      <c r="I529">
        <f t="shared" si="124"/>
        <v>258159</v>
      </c>
      <c r="J529">
        <f t="shared" si="125"/>
        <v>970</v>
      </c>
      <c r="K529" s="4">
        <f t="shared" si="114"/>
        <v>0.04</v>
      </c>
      <c r="L529">
        <f t="shared" si="115"/>
        <v>0.09</v>
      </c>
      <c r="M529" s="4">
        <f t="shared" si="112"/>
        <v>10.326360000000001</v>
      </c>
      <c r="N529" s="4">
        <f t="shared" si="113"/>
        <v>23.234309999999997</v>
      </c>
    </row>
    <row r="530" spans="1:14">
      <c r="A530" t="str">
        <f t="shared" si="116"/>
        <v>alp_AlwaysOn</v>
      </c>
      <c r="B530" t="str">
        <f t="shared" si="117"/>
        <v>Google Brasil</v>
      </c>
      <c r="C530" t="str">
        <f t="shared" si="118"/>
        <v>alp_AlwaysOn_dbm_network_native-ads_dbm-native_cpm_prospecting_nativeads_SaveiroPepper-Prospect_na</v>
      </c>
      <c r="D530" t="str">
        <f t="shared" si="119"/>
        <v>228878555</v>
      </c>
      <c r="E530" t="str">
        <f t="shared" si="120"/>
        <v>Default</v>
      </c>
      <c r="F530" t="str">
        <f t="shared" si="121"/>
        <v>1x1 Default Web Ad</v>
      </c>
      <c r="G530" t="str">
        <f t="shared" si="122"/>
        <v>424916688</v>
      </c>
      <c r="H530" t="str">
        <f t="shared" si="123"/>
        <v>Display</v>
      </c>
      <c r="I530">
        <f t="shared" si="124"/>
        <v>1599</v>
      </c>
      <c r="J530">
        <f t="shared" si="125"/>
        <v>0</v>
      </c>
      <c r="K530" s="4">
        <f t="shared" si="114"/>
        <v>0.04</v>
      </c>
      <c r="L530">
        <f t="shared" si="115"/>
        <v>0.09</v>
      </c>
      <c r="M530" s="4">
        <f t="shared" si="112"/>
        <v>6.3960000000000003E-2</v>
      </c>
      <c r="N530" s="4">
        <f t="shared" si="113"/>
        <v>0.14391000000000001</v>
      </c>
    </row>
    <row r="531" spans="1:14">
      <c r="A531" t="str">
        <f t="shared" si="116"/>
        <v>alp_AlwaysOn</v>
      </c>
      <c r="B531" t="str">
        <f t="shared" si="117"/>
        <v>Google Brasil</v>
      </c>
      <c r="C531" t="str">
        <f t="shared" si="118"/>
        <v>alp_AlwaysOn_dbm_network_native-ads_dbm-native_cpm_prospecting_nativeads_SaveiroPepper-Prospect_na</v>
      </c>
      <c r="D531" t="str">
        <f t="shared" si="119"/>
        <v>228878555</v>
      </c>
      <c r="E531" t="str">
        <f t="shared" si="120"/>
        <v>Standard</v>
      </c>
      <c r="F531" t="str">
        <f t="shared" si="121"/>
        <v>alp_AlwaysOn_dbm_network_native-ads_dbm-native_cpm_prospecting_nativeads_SaveiroPepper-Prospect_na</v>
      </c>
      <c r="G531" t="str">
        <f t="shared" si="122"/>
        <v>427031693</v>
      </c>
      <c r="H531" t="str">
        <f t="shared" si="123"/>
        <v>Tracking</v>
      </c>
      <c r="I531">
        <f t="shared" si="124"/>
        <v>242730</v>
      </c>
      <c r="J531">
        <f t="shared" si="125"/>
        <v>766</v>
      </c>
      <c r="K531" s="4">
        <f t="shared" si="114"/>
        <v>0.04</v>
      </c>
      <c r="L531">
        <f t="shared" si="115"/>
        <v>0.09</v>
      </c>
      <c r="M531" s="4">
        <f t="shared" si="112"/>
        <v>9.7092000000000009</v>
      </c>
      <c r="N531" s="4">
        <f t="shared" si="113"/>
        <v>21.845700000000001</v>
      </c>
    </row>
    <row r="532" spans="1:14">
      <c r="A532" t="str">
        <f t="shared" si="116"/>
        <v>alp_AlwaysOn</v>
      </c>
      <c r="B532" t="str">
        <f t="shared" si="117"/>
        <v>Google Brasil</v>
      </c>
      <c r="C532" t="str">
        <f t="shared" si="118"/>
        <v>alp_AlwaysOn_dbm_network_native-ads_dbm-native_cpm_prospecting_nativeads_Tiguan-Prospect_na</v>
      </c>
      <c r="D532" t="str">
        <f t="shared" si="119"/>
        <v>232437873</v>
      </c>
      <c r="E532" t="str">
        <f t="shared" si="120"/>
        <v>Default</v>
      </c>
      <c r="F532" t="str">
        <f t="shared" si="121"/>
        <v>1x1 Default Web Ad</v>
      </c>
      <c r="G532" t="str">
        <f t="shared" si="122"/>
        <v>424916688</v>
      </c>
      <c r="H532" t="str">
        <f t="shared" si="123"/>
        <v>Display</v>
      </c>
      <c r="I532">
        <f t="shared" si="124"/>
        <v>1536</v>
      </c>
      <c r="J532">
        <f t="shared" si="125"/>
        <v>0</v>
      </c>
      <c r="K532" s="4">
        <f t="shared" si="114"/>
        <v>0.04</v>
      </c>
      <c r="L532">
        <f t="shared" si="115"/>
        <v>0.09</v>
      </c>
      <c r="M532" s="4">
        <f t="shared" si="112"/>
        <v>6.1439999999999995E-2</v>
      </c>
      <c r="N532" s="4">
        <f t="shared" si="113"/>
        <v>0.13824</v>
      </c>
    </row>
    <row r="533" spans="1:14">
      <c r="A533" t="str">
        <f t="shared" si="116"/>
        <v>alp_AlwaysOn</v>
      </c>
      <c r="B533" t="str">
        <f t="shared" si="117"/>
        <v>Google Brasil</v>
      </c>
      <c r="C533" t="str">
        <f t="shared" si="118"/>
        <v>alp_AlwaysOn_dbm_network_native-ads_dbm-native_cpm_prospecting_nativeads_Tiguan-Prospect_na</v>
      </c>
      <c r="D533" t="str">
        <f t="shared" si="119"/>
        <v>232437873</v>
      </c>
      <c r="E533" t="str">
        <f t="shared" si="120"/>
        <v>Standard</v>
      </c>
      <c r="F533" t="str">
        <f t="shared" si="121"/>
        <v>alp_AlwaysOn_dbm_network_native-ads_dbm-native_cpm_prospecting_nativeads_Tiguan-Prospect_na</v>
      </c>
      <c r="G533" t="str">
        <f t="shared" si="122"/>
        <v>429893282</v>
      </c>
      <c r="H533" t="str">
        <f t="shared" si="123"/>
        <v>Tracking</v>
      </c>
      <c r="I533">
        <f t="shared" si="124"/>
        <v>291282</v>
      </c>
      <c r="J533">
        <f t="shared" si="125"/>
        <v>908</v>
      </c>
      <c r="K533" s="4">
        <f t="shared" si="114"/>
        <v>0.04</v>
      </c>
      <c r="L533">
        <f t="shared" si="115"/>
        <v>0.09</v>
      </c>
      <c r="M533" s="4">
        <f t="shared" si="112"/>
        <v>11.65128</v>
      </c>
      <c r="N533" s="4">
        <f t="shared" si="113"/>
        <v>26.215379999999996</v>
      </c>
    </row>
    <row r="534" spans="1:14">
      <c r="A534" t="str">
        <f t="shared" si="116"/>
        <v>alp_AlwaysOn</v>
      </c>
      <c r="B534" t="str">
        <f t="shared" si="117"/>
        <v>Google Brasil</v>
      </c>
      <c r="C534" t="str">
        <f t="shared" si="118"/>
        <v>alp_AlwaysOn_dbm_network_native-ads_dbm-native_cpm_prospecting_nativeads_UP-Prospect_na</v>
      </c>
      <c r="D534" t="str">
        <f t="shared" si="119"/>
        <v>228878549</v>
      </c>
      <c r="E534" t="str">
        <f t="shared" si="120"/>
        <v>Default</v>
      </c>
      <c r="F534" t="str">
        <f t="shared" si="121"/>
        <v>1x1 Default Web Ad</v>
      </c>
      <c r="G534" t="str">
        <f t="shared" si="122"/>
        <v>424916688</v>
      </c>
      <c r="H534" t="str">
        <f t="shared" si="123"/>
        <v>Display</v>
      </c>
      <c r="I534">
        <f t="shared" si="124"/>
        <v>1680</v>
      </c>
      <c r="J534">
        <f t="shared" si="125"/>
        <v>0</v>
      </c>
      <c r="K534" s="4">
        <f t="shared" si="114"/>
        <v>0.04</v>
      </c>
      <c r="L534">
        <f t="shared" si="115"/>
        <v>0.09</v>
      </c>
      <c r="M534" s="4">
        <f t="shared" si="112"/>
        <v>6.720000000000001E-2</v>
      </c>
      <c r="N534" s="4">
        <f t="shared" si="113"/>
        <v>0.1512</v>
      </c>
    </row>
    <row r="535" spans="1:14">
      <c r="A535" t="str">
        <f t="shared" si="116"/>
        <v>alp_AlwaysOn</v>
      </c>
      <c r="B535" t="str">
        <f t="shared" si="117"/>
        <v>Google Brasil</v>
      </c>
      <c r="C535" t="str">
        <f t="shared" si="118"/>
        <v>alp_AlwaysOn_dbm_network_native-ads_dbm-native_cpm_prospecting_nativeads_UP-Prospect_na</v>
      </c>
      <c r="D535" t="str">
        <f t="shared" si="119"/>
        <v>228878549</v>
      </c>
      <c r="E535" t="str">
        <f t="shared" si="120"/>
        <v>Standard</v>
      </c>
      <c r="F535" t="str">
        <f t="shared" si="121"/>
        <v>alp_AlwaysOn_yahoo_horizontal_native-ads_native_cpc_prospecting_nativeads_Tiguan-Prospect_na</v>
      </c>
      <c r="G535" t="str">
        <f t="shared" si="122"/>
        <v>427031687</v>
      </c>
      <c r="H535" t="str">
        <f t="shared" si="123"/>
        <v>Tracking</v>
      </c>
      <c r="I535">
        <f t="shared" si="124"/>
        <v>225810</v>
      </c>
      <c r="J535">
        <f t="shared" si="125"/>
        <v>750</v>
      </c>
      <c r="K535" s="4">
        <f t="shared" si="114"/>
        <v>0.04</v>
      </c>
      <c r="L535">
        <f t="shared" si="115"/>
        <v>0.09</v>
      </c>
      <c r="M535" s="4">
        <f t="shared" si="112"/>
        <v>9.0323999999999991</v>
      </c>
      <c r="N535" s="4">
        <f t="shared" si="113"/>
        <v>20.322899999999997</v>
      </c>
    </row>
    <row r="536" spans="1:14">
      <c r="A536" t="str">
        <f t="shared" si="116"/>
        <v>alp_AlwaysOn</v>
      </c>
      <c r="B536" t="str">
        <f t="shared" si="117"/>
        <v>Google Brasil</v>
      </c>
      <c r="C536" t="str">
        <f t="shared" si="118"/>
        <v>alp_AlwaysOn_dbm_network_native-ads_dbm-native_cpm_prospecting_nativeads_UPPepper-Prospect_na</v>
      </c>
      <c r="D536" t="str">
        <f t="shared" si="119"/>
        <v>228878546</v>
      </c>
      <c r="E536" t="str">
        <f t="shared" si="120"/>
        <v>Default</v>
      </c>
      <c r="F536" t="str">
        <f t="shared" si="121"/>
        <v>1x1 Default Web Ad</v>
      </c>
      <c r="G536" t="str">
        <f t="shared" si="122"/>
        <v>424916688</v>
      </c>
      <c r="H536" t="str">
        <f t="shared" si="123"/>
        <v>Display</v>
      </c>
      <c r="I536">
        <f t="shared" si="124"/>
        <v>1625</v>
      </c>
      <c r="J536">
        <f t="shared" si="125"/>
        <v>0</v>
      </c>
      <c r="K536" s="4">
        <f t="shared" si="114"/>
        <v>0.04</v>
      </c>
      <c r="L536">
        <f t="shared" si="115"/>
        <v>0.09</v>
      </c>
      <c r="M536" s="4">
        <f t="shared" si="112"/>
        <v>6.5000000000000002E-2</v>
      </c>
      <c r="N536" s="4">
        <f t="shared" si="113"/>
        <v>0.14624999999999999</v>
      </c>
    </row>
    <row r="537" spans="1:14">
      <c r="A537" t="str">
        <f t="shared" si="116"/>
        <v>alp_AlwaysOn</v>
      </c>
      <c r="B537" t="str">
        <f t="shared" si="117"/>
        <v>Google Brasil</v>
      </c>
      <c r="C537" t="str">
        <f t="shared" si="118"/>
        <v>alp_AlwaysOn_dbm_network_native-ads_dbm-native_cpm_prospecting_nativeads_UPPepper-Prospect_na</v>
      </c>
      <c r="D537" t="str">
        <f t="shared" si="119"/>
        <v>228878546</v>
      </c>
      <c r="E537" t="str">
        <f t="shared" si="120"/>
        <v>Standard</v>
      </c>
      <c r="F537" t="str">
        <f t="shared" si="121"/>
        <v>alp_AlwaysOn_dbm_network_native-ads_dbm-native_cpm_prospecting_nativeads_UPPepper-Prospect_na</v>
      </c>
      <c r="G537" t="str">
        <f t="shared" si="122"/>
        <v>427031684</v>
      </c>
      <c r="H537" t="str">
        <f t="shared" si="123"/>
        <v>Tracking</v>
      </c>
      <c r="I537">
        <f t="shared" si="124"/>
        <v>204381</v>
      </c>
      <c r="J537">
        <f t="shared" si="125"/>
        <v>578</v>
      </c>
      <c r="K537" s="4">
        <f t="shared" si="114"/>
        <v>0.04</v>
      </c>
      <c r="L537">
        <f t="shared" si="115"/>
        <v>0.09</v>
      </c>
      <c r="M537" s="4">
        <f t="shared" si="112"/>
        <v>8.1752400000000005</v>
      </c>
      <c r="N537" s="4">
        <f t="shared" si="113"/>
        <v>18.394290000000002</v>
      </c>
    </row>
    <row r="538" spans="1:14">
      <c r="A538" t="str">
        <f t="shared" si="116"/>
        <v>alp_AlwaysOn</v>
      </c>
      <c r="B538" t="str">
        <f t="shared" si="117"/>
        <v>Google Brasil</v>
      </c>
      <c r="C538" t="str">
        <f t="shared" si="118"/>
        <v>alp_AlwaysOn_dbm_network_native-ads_dbm-native_cpm_prospecting_nativeads_Virtus-Prospect_na</v>
      </c>
      <c r="D538" t="str">
        <f t="shared" si="119"/>
        <v>228878543</v>
      </c>
      <c r="E538" t="str">
        <f t="shared" si="120"/>
        <v>Default</v>
      </c>
      <c r="F538" t="str">
        <f t="shared" si="121"/>
        <v>1x1 Default Web Ad</v>
      </c>
      <c r="G538" t="str">
        <f t="shared" si="122"/>
        <v>424916688</v>
      </c>
      <c r="H538" t="str">
        <f t="shared" si="123"/>
        <v>Display</v>
      </c>
      <c r="I538">
        <f t="shared" si="124"/>
        <v>1722</v>
      </c>
      <c r="J538">
        <f t="shared" si="125"/>
        <v>0</v>
      </c>
      <c r="K538" s="4">
        <f t="shared" si="114"/>
        <v>0.04</v>
      </c>
      <c r="L538">
        <f t="shared" si="115"/>
        <v>0.09</v>
      </c>
      <c r="M538" s="4">
        <f t="shared" si="112"/>
        <v>6.8879999999999997E-2</v>
      </c>
      <c r="N538" s="4">
        <f t="shared" si="113"/>
        <v>0.15497999999999998</v>
      </c>
    </row>
    <row r="539" spans="1:14">
      <c r="A539" t="str">
        <f t="shared" si="116"/>
        <v>alp_AlwaysOn</v>
      </c>
      <c r="B539" t="str">
        <f t="shared" si="117"/>
        <v>Google Brasil</v>
      </c>
      <c r="C539" t="str">
        <f t="shared" si="118"/>
        <v>alp_AlwaysOn_dbm_network_native-ads_dbm-native_cpm_prospecting_nativeads_Virtus-Prospect_na</v>
      </c>
      <c r="D539" t="str">
        <f t="shared" si="119"/>
        <v>228878543</v>
      </c>
      <c r="E539" t="str">
        <f t="shared" si="120"/>
        <v>Standard</v>
      </c>
      <c r="F539" t="str">
        <f t="shared" si="121"/>
        <v>alp_AlwaysOn_dbm_network_native-ads_dbm-native_cpm_prospecting_nativeads_Virtus-Prospect_na</v>
      </c>
      <c r="G539" t="str">
        <f t="shared" si="122"/>
        <v>427031681</v>
      </c>
      <c r="H539" t="str">
        <f t="shared" si="123"/>
        <v>Tracking</v>
      </c>
      <c r="I539">
        <f t="shared" si="124"/>
        <v>184432</v>
      </c>
      <c r="J539">
        <f t="shared" si="125"/>
        <v>506</v>
      </c>
      <c r="K539" s="4">
        <f t="shared" si="114"/>
        <v>0.04</v>
      </c>
      <c r="L539">
        <f t="shared" si="115"/>
        <v>0.09</v>
      </c>
      <c r="M539" s="4">
        <f t="shared" si="112"/>
        <v>7.3772799999999998</v>
      </c>
      <c r="N539" s="4">
        <f t="shared" si="113"/>
        <v>16.598880000000001</v>
      </c>
    </row>
    <row r="540" spans="1:14">
      <c r="A540" t="str">
        <f t="shared" si="116"/>
        <v>alp_AlwaysOn</v>
      </c>
      <c r="B540" t="str">
        <f t="shared" si="117"/>
        <v>Google Brasil</v>
      </c>
      <c r="C540" t="str">
        <f t="shared" si="118"/>
        <v>alp_AlwaysOn_dbm_network_native-ads_dbm-native_cpm_prospecting_nativeads_Voyage-Prospect_na</v>
      </c>
      <c r="D540" t="str">
        <f t="shared" si="119"/>
        <v>228878540</v>
      </c>
      <c r="E540" t="str">
        <f t="shared" si="120"/>
        <v>Default</v>
      </c>
      <c r="F540" t="str">
        <f t="shared" si="121"/>
        <v>1x1 Default Web Ad</v>
      </c>
      <c r="G540" t="str">
        <f t="shared" si="122"/>
        <v>424916688</v>
      </c>
      <c r="H540" t="str">
        <f t="shared" si="123"/>
        <v>Display</v>
      </c>
      <c r="I540">
        <f t="shared" si="124"/>
        <v>1558</v>
      </c>
      <c r="J540">
        <f t="shared" si="125"/>
        <v>0</v>
      </c>
      <c r="K540" s="4">
        <f t="shared" si="114"/>
        <v>0.04</v>
      </c>
      <c r="L540">
        <f t="shared" si="115"/>
        <v>0.09</v>
      </c>
      <c r="M540" s="4">
        <f t="shared" si="112"/>
        <v>6.232E-2</v>
      </c>
      <c r="N540" s="4">
        <f t="shared" si="113"/>
        <v>0.14022000000000001</v>
      </c>
    </row>
    <row r="541" spans="1:14">
      <c r="A541" t="str">
        <f t="shared" si="116"/>
        <v>alp_AlwaysOn</v>
      </c>
      <c r="B541" t="str">
        <f t="shared" si="117"/>
        <v>Google Brasil</v>
      </c>
      <c r="C541" t="str">
        <f t="shared" si="118"/>
        <v>alp_AlwaysOn_dbm_network_native-ads_dbm-native_cpm_prospecting_nativeads_Voyage-Prospect_na</v>
      </c>
      <c r="D541" t="str">
        <f t="shared" si="119"/>
        <v>228878540</v>
      </c>
      <c r="E541" t="str">
        <f t="shared" si="120"/>
        <v>Standard</v>
      </c>
      <c r="F541" t="str">
        <f t="shared" si="121"/>
        <v>alp_AlwaysOn_dbm_network_native-ads_dbm-native_cpm_prospecting_nativeads_Voyage-Prospect_na</v>
      </c>
      <c r="G541" t="str">
        <f t="shared" si="122"/>
        <v>427031678</v>
      </c>
      <c r="H541" t="str">
        <f t="shared" si="123"/>
        <v>Tracking</v>
      </c>
      <c r="I541">
        <f t="shared" si="124"/>
        <v>189270</v>
      </c>
      <c r="J541">
        <f t="shared" si="125"/>
        <v>522</v>
      </c>
      <c r="K541" s="4">
        <f t="shared" si="114"/>
        <v>0.04</v>
      </c>
      <c r="L541">
        <f t="shared" si="115"/>
        <v>0.09</v>
      </c>
      <c r="M541" s="4">
        <f t="shared" si="112"/>
        <v>7.5708000000000002</v>
      </c>
      <c r="N541" s="4">
        <f t="shared" si="113"/>
        <v>17.034299999999998</v>
      </c>
    </row>
    <row r="542" spans="1:14">
      <c r="A542" t="str">
        <f t="shared" si="116"/>
        <v>alp_AlwaysOn</v>
      </c>
      <c r="B542" t="str">
        <f t="shared" si="117"/>
        <v>Google Brasil</v>
      </c>
      <c r="C542" t="str">
        <f t="shared" si="118"/>
        <v>alp_AlwaysOn_dbm_network_native-ads_dbm-native_cpm_remarketing_nativeads_Amarok-Rmkt_na</v>
      </c>
      <c r="D542" t="str">
        <f t="shared" si="119"/>
        <v>228878537</v>
      </c>
      <c r="E542" t="str">
        <f t="shared" si="120"/>
        <v>Standard</v>
      </c>
      <c r="F542" t="str">
        <f t="shared" si="121"/>
        <v>alp_AlwaysOn_dbm_network_native-ads_dbm-native_cpm_remarketing_nativeads_Amarok-Rmkt_na</v>
      </c>
      <c r="G542" t="str">
        <f t="shared" si="122"/>
        <v>427031675</v>
      </c>
      <c r="H542" t="str">
        <f t="shared" si="123"/>
        <v>Tracking</v>
      </c>
      <c r="I542">
        <f t="shared" si="124"/>
        <v>1156320</v>
      </c>
      <c r="J542">
        <f t="shared" si="125"/>
        <v>7170</v>
      </c>
      <c r="K542" s="4">
        <f t="shared" si="114"/>
        <v>0.04</v>
      </c>
      <c r="L542">
        <f t="shared" si="115"/>
        <v>0.09</v>
      </c>
      <c r="M542" s="4">
        <f t="shared" si="112"/>
        <v>46.252800000000001</v>
      </c>
      <c r="N542" s="4">
        <f t="shared" si="113"/>
        <v>104.0688</v>
      </c>
    </row>
    <row r="543" spans="1:14">
      <c r="A543" t="str">
        <f t="shared" si="116"/>
        <v>alp_AlwaysOn</v>
      </c>
      <c r="B543" t="str">
        <f t="shared" si="117"/>
        <v>Google Brasil</v>
      </c>
      <c r="C543" t="str">
        <f t="shared" si="118"/>
        <v>alp_AlwaysOn_dbm_network_native-ads_dbm-native_cpm_remarketing_nativeads_FoxConnect-Rmkt_na</v>
      </c>
      <c r="D543" t="str">
        <f t="shared" si="119"/>
        <v>228878534</v>
      </c>
      <c r="E543" t="str">
        <f t="shared" si="120"/>
        <v>Standard</v>
      </c>
      <c r="F543" t="str">
        <f t="shared" si="121"/>
        <v>alp_AlwaysOn_dbm_network_native-ads_dbm-native_cpm_remarketing_nativeads_FoxConnect-Rmkt_na</v>
      </c>
      <c r="G543" t="str">
        <f t="shared" si="122"/>
        <v>427031672</v>
      </c>
      <c r="H543" t="str">
        <f t="shared" si="123"/>
        <v>Tracking</v>
      </c>
      <c r="I543">
        <f t="shared" si="124"/>
        <v>113083</v>
      </c>
      <c r="J543">
        <f t="shared" si="125"/>
        <v>449</v>
      </c>
      <c r="K543" s="4">
        <f t="shared" si="114"/>
        <v>0.04</v>
      </c>
      <c r="L543">
        <f t="shared" si="115"/>
        <v>0.09</v>
      </c>
      <c r="M543" s="4">
        <f t="shared" si="112"/>
        <v>4.52332</v>
      </c>
      <c r="N543" s="4">
        <f t="shared" si="113"/>
        <v>10.17747</v>
      </c>
    </row>
    <row r="544" spans="1:14">
      <c r="A544" t="str">
        <f t="shared" si="116"/>
        <v>alp_AlwaysOn</v>
      </c>
      <c r="B544" t="str">
        <f t="shared" si="117"/>
        <v>Google Brasil</v>
      </c>
      <c r="C544" t="str">
        <f t="shared" si="118"/>
        <v>alp_AlwaysOn_dbm_network_native-ads_dbm-native_cpm_remarketing_nativeads_FoxXtreme-Rmkt_na</v>
      </c>
      <c r="D544" t="str">
        <f t="shared" si="119"/>
        <v>228878531</v>
      </c>
      <c r="E544" t="str">
        <f t="shared" si="120"/>
        <v>Standard</v>
      </c>
      <c r="F544" t="str">
        <f t="shared" si="121"/>
        <v>alp_AlwaysOn_dbm_network_native-ads_dbm-native_cpm_remarketing_nativeads_FoxXtreme-Rmkt_na</v>
      </c>
      <c r="G544" t="str">
        <f t="shared" si="122"/>
        <v>427031669</v>
      </c>
      <c r="H544" t="str">
        <f t="shared" si="123"/>
        <v>Tracking</v>
      </c>
      <c r="I544">
        <f t="shared" si="124"/>
        <v>112997</v>
      </c>
      <c r="J544">
        <f t="shared" si="125"/>
        <v>455</v>
      </c>
      <c r="K544" s="4">
        <f t="shared" si="114"/>
        <v>0.04</v>
      </c>
      <c r="L544">
        <f t="shared" si="115"/>
        <v>0.09</v>
      </c>
      <c r="M544" s="4">
        <f t="shared" si="112"/>
        <v>4.5198799999999997</v>
      </c>
      <c r="N544" s="4">
        <f t="shared" si="113"/>
        <v>10.169729999999999</v>
      </c>
    </row>
    <row r="545" spans="1:14">
      <c r="A545" t="str">
        <f t="shared" si="116"/>
        <v>alp_AlwaysOn</v>
      </c>
      <c r="B545" t="str">
        <f t="shared" si="117"/>
        <v>Google Brasil</v>
      </c>
      <c r="C545" t="str">
        <f t="shared" si="118"/>
        <v>alp_AlwaysOn_dbm_network_native-ads_dbm-native_cpm_remarketing_nativeads_Gol-Rmkt_na</v>
      </c>
      <c r="D545" t="str">
        <f t="shared" si="119"/>
        <v>228878528</v>
      </c>
      <c r="E545" t="str">
        <f t="shared" si="120"/>
        <v>Standard</v>
      </c>
      <c r="F545" t="str">
        <f t="shared" si="121"/>
        <v>alp_AlwaysOn_dbm_network_native-ads_dbm-native_cpm_remarketing_nativeads_Gol-Rmkt_na</v>
      </c>
      <c r="G545" t="str">
        <f t="shared" si="122"/>
        <v>427031666</v>
      </c>
      <c r="H545" t="str">
        <f t="shared" si="123"/>
        <v>Tracking</v>
      </c>
      <c r="I545">
        <f t="shared" si="124"/>
        <v>13669</v>
      </c>
      <c r="J545">
        <f t="shared" si="125"/>
        <v>12</v>
      </c>
      <c r="K545" s="4">
        <f t="shared" si="114"/>
        <v>0.04</v>
      </c>
      <c r="L545">
        <f t="shared" si="115"/>
        <v>0.09</v>
      </c>
      <c r="M545" s="4">
        <f t="shared" si="112"/>
        <v>0.54676000000000002</v>
      </c>
      <c r="N545" s="4">
        <f t="shared" si="113"/>
        <v>1.23021</v>
      </c>
    </row>
    <row r="546" spans="1:14">
      <c r="A546" t="str">
        <f t="shared" si="116"/>
        <v>alp_AlwaysOn</v>
      </c>
      <c r="B546" t="str">
        <f t="shared" si="117"/>
        <v>Google Brasil</v>
      </c>
      <c r="C546" t="str">
        <f t="shared" si="118"/>
        <v>alp_AlwaysOn_dbm_network_native-ads_dbm-native_cpm_remarketing_nativeads_Golf-Rmkt_na</v>
      </c>
      <c r="D546" t="str">
        <f t="shared" si="119"/>
        <v>228878525</v>
      </c>
      <c r="E546" t="str">
        <f t="shared" si="120"/>
        <v>Standard</v>
      </c>
      <c r="F546" t="str">
        <f t="shared" si="121"/>
        <v>alp_AlwaysOn_dbm_network_native-ads_dbm-native_cpm_remarketing_nativeads_Golf-Rmkt_na</v>
      </c>
      <c r="G546" t="str">
        <f t="shared" si="122"/>
        <v>427031663</v>
      </c>
      <c r="H546" t="str">
        <f t="shared" si="123"/>
        <v>Tracking</v>
      </c>
      <c r="I546">
        <f t="shared" si="124"/>
        <v>248781</v>
      </c>
      <c r="J546">
        <f t="shared" si="125"/>
        <v>590</v>
      </c>
      <c r="K546" s="4">
        <f t="shared" si="114"/>
        <v>0.04</v>
      </c>
      <c r="L546">
        <f t="shared" si="115"/>
        <v>0.09</v>
      </c>
      <c r="M546" s="4">
        <f t="shared" ref="M546:M609" si="126">IF(E546="Dynamic Click",J546*K546,K546*$I546/1000)</f>
        <v>9.9512400000000003</v>
      </c>
      <c r="N546" s="4">
        <f t="shared" ref="N546:N609" si="127">IF(E546="Dynamic Click",J546*L546,L546*$I546/1000)</f>
        <v>22.39029</v>
      </c>
    </row>
    <row r="547" spans="1:14">
      <c r="A547" t="str">
        <f t="shared" si="116"/>
        <v>alp_AlwaysOn</v>
      </c>
      <c r="B547" t="str">
        <f t="shared" si="117"/>
        <v>Google Brasil</v>
      </c>
      <c r="C547" t="str">
        <f t="shared" si="118"/>
        <v>alp_AlwaysOn_dbm_network_native-ads_dbm-native_cpm_remarketing_nativeads_Jetta-Rmkt_na</v>
      </c>
      <c r="D547" t="str">
        <f t="shared" si="119"/>
        <v>228878522</v>
      </c>
      <c r="E547" t="str">
        <f t="shared" si="120"/>
        <v>Standard</v>
      </c>
      <c r="F547" t="str">
        <f t="shared" si="121"/>
        <v>alp_AlwaysOn_dbm_network_native-ads_dbm-native_cpm_remarketing_nativeads_Jetta-Rmkt_na</v>
      </c>
      <c r="G547" t="str">
        <f t="shared" si="122"/>
        <v>427031660</v>
      </c>
      <c r="H547" t="str">
        <f t="shared" si="123"/>
        <v>Tracking</v>
      </c>
      <c r="I547">
        <f t="shared" si="124"/>
        <v>31164</v>
      </c>
      <c r="J547">
        <f t="shared" si="125"/>
        <v>130</v>
      </c>
      <c r="K547" s="4">
        <f t="shared" si="114"/>
        <v>0.04</v>
      </c>
      <c r="L547">
        <f t="shared" si="115"/>
        <v>0.09</v>
      </c>
      <c r="M547" s="4">
        <f t="shared" si="126"/>
        <v>1.2465599999999999</v>
      </c>
      <c r="N547" s="4">
        <f t="shared" si="127"/>
        <v>2.8047599999999999</v>
      </c>
    </row>
    <row r="548" spans="1:14">
      <c r="A548" t="str">
        <f t="shared" si="116"/>
        <v>alp_AlwaysOn</v>
      </c>
      <c r="B548" t="str">
        <f t="shared" si="117"/>
        <v>Google Brasil</v>
      </c>
      <c r="C548" t="str">
        <f t="shared" si="118"/>
        <v>alp_AlwaysOn_dbm_network_native-ads_dbm-native_cpm_remarketing_nativeads_Passat-Rmkt_na</v>
      </c>
      <c r="D548" t="str">
        <f t="shared" si="119"/>
        <v>228878519</v>
      </c>
      <c r="E548" t="str">
        <f t="shared" si="120"/>
        <v>Standard</v>
      </c>
      <c r="F548" t="str">
        <f t="shared" si="121"/>
        <v>alp_AlwaysOn_dbm_network_native-ads_dbm-native_cpm_remarketing_nativeads_Passat-Rmkt_na</v>
      </c>
      <c r="G548" t="str">
        <f t="shared" si="122"/>
        <v>427031657</v>
      </c>
      <c r="H548" t="str">
        <f t="shared" si="123"/>
        <v>Tracking</v>
      </c>
      <c r="I548">
        <f t="shared" si="124"/>
        <v>90637</v>
      </c>
      <c r="J548">
        <f t="shared" si="125"/>
        <v>553</v>
      </c>
      <c r="K548" s="4">
        <f t="shared" si="114"/>
        <v>0.04</v>
      </c>
      <c r="L548">
        <f t="shared" si="115"/>
        <v>0.09</v>
      </c>
      <c r="M548" s="4">
        <f t="shared" si="126"/>
        <v>3.62548</v>
      </c>
      <c r="N548" s="4">
        <f t="shared" si="127"/>
        <v>8.15733</v>
      </c>
    </row>
    <row r="549" spans="1:14">
      <c r="A549" t="str">
        <f t="shared" si="116"/>
        <v>alp_AlwaysOn</v>
      </c>
      <c r="B549" t="str">
        <f t="shared" si="117"/>
        <v>Google Brasil</v>
      </c>
      <c r="C549" t="str">
        <f t="shared" si="118"/>
        <v>alp_AlwaysOn_dbm_network_native-ads_dbm-native_cpm_remarketing_nativeads_Polo-Rmkt_na</v>
      </c>
      <c r="D549" t="str">
        <f t="shared" si="119"/>
        <v>228878516</v>
      </c>
      <c r="E549" t="str">
        <f t="shared" si="120"/>
        <v>Standard</v>
      </c>
      <c r="F549" t="str">
        <f t="shared" si="121"/>
        <v>alp_AlwaysOn_dbm_network_native-ads_dbm-native_cpm_remarketing_nativeads_Polo-Rmkt_na</v>
      </c>
      <c r="G549" t="str">
        <f t="shared" si="122"/>
        <v>427031654</v>
      </c>
      <c r="H549" t="str">
        <f t="shared" si="123"/>
        <v>Tracking</v>
      </c>
      <c r="I549">
        <f t="shared" si="124"/>
        <v>148359</v>
      </c>
      <c r="J549">
        <f t="shared" si="125"/>
        <v>299</v>
      </c>
      <c r="K549" s="4">
        <f t="shared" si="114"/>
        <v>0.04</v>
      </c>
      <c r="L549">
        <f t="shared" si="115"/>
        <v>0.09</v>
      </c>
      <c r="M549" s="4">
        <f t="shared" si="126"/>
        <v>5.9343599999999999</v>
      </c>
      <c r="N549" s="4">
        <f t="shared" si="127"/>
        <v>13.352309999999999</v>
      </c>
    </row>
    <row r="550" spans="1:14">
      <c r="A550" t="str">
        <f t="shared" si="116"/>
        <v>alp_AlwaysOn</v>
      </c>
      <c r="B550" t="str">
        <f t="shared" si="117"/>
        <v>Google Brasil</v>
      </c>
      <c r="C550" t="str">
        <f t="shared" si="118"/>
        <v>alp_AlwaysOn_dbm_network_native-ads_dbm-native_cpm_remarketing_nativeads_Saveiro-Rmkt_na</v>
      </c>
      <c r="D550" t="str">
        <f t="shared" si="119"/>
        <v>228878513</v>
      </c>
      <c r="E550" t="str">
        <f t="shared" si="120"/>
        <v>Standard</v>
      </c>
      <c r="F550" t="str">
        <f t="shared" si="121"/>
        <v>alp_AlwaysOn_dbm_network_native-ads_dbm-native_cpm_remarketing_nativeads_Saveiro-Rmkt_na</v>
      </c>
      <c r="G550" t="str">
        <f t="shared" si="122"/>
        <v>427031651</v>
      </c>
      <c r="H550" t="str">
        <f t="shared" si="123"/>
        <v>Tracking</v>
      </c>
      <c r="I550">
        <f t="shared" si="124"/>
        <v>285984</v>
      </c>
      <c r="J550">
        <f t="shared" si="125"/>
        <v>1239</v>
      </c>
      <c r="K550" s="4">
        <f t="shared" si="114"/>
        <v>0.04</v>
      </c>
      <c r="L550">
        <f t="shared" si="115"/>
        <v>0.09</v>
      </c>
      <c r="M550" s="4">
        <f t="shared" si="126"/>
        <v>11.439360000000001</v>
      </c>
      <c r="N550" s="4">
        <f t="shared" si="127"/>
        <v>25.738559999999996</v>
      </c>
    </row>
    <row r="551" spans="1:14">
      <c r="A551" t="str">
        <f t="shared" si="116"/>
        <v>alp_AlwaysOn</v>
      </c>
      <c r="B551" t="str">
        <f t="shared" si="117"/>
        <v>Google Brasil</v>
      </c>
      <c r="C551" t="str">
        <f t="shared" si="118"/>
        <v>alp_AlwaysOn_dbm_network_native-ads_dbm-native_cpm_remarketing_nativeads_SaveiroPepper-Rmkt_na</v>
      </c>
      <c r="D551" t="str">
        <f t="shared" si="119"/>
        <v>228878510</v>
      </c>
      <c r="E551" t="str">
        <f t="shared" si="120"/>
        <v>Standard</v>
      </c>
      <c r="F551" t="str">
        <f t="shared" si="121"/>
        <v>alp_AlwaysOn_dbm_network_native-ads_dbm-native_cpm_remarketing_nativeads_SaveiroPepper-Rmkt_na</v>
      </c>
      <c r="G551" t="str">
        <f t="shared" si="122"/>
        <v>427031648</v>
      </c>
      <c r="H551" t="str">
        <f t="shared" si="123"/>
        <v>Tracking</v>
      </c>
      <c r="I551">
        <f t="shared" si="124"/>
        <v>284048</v>
      </c>
      <c r="J551">
        <f t="shared" si="125"/>
        <v>1581</v>
      </c>
      <c r="K551" s="4">
        <f t="shared" si="114"/>
        <v>0.04</v>
      </c>
      <c r="L551">
        <f t="shared" si="115"/>
        <v>0.09</v>
      </c>
      <c r="M551" s="4">
        <f t="shared" si="126"/>
        <v>11.36192</v>
      </c>
      <c r="N551" s="4">
        <f t="shared" si="127"/>
        <v>25.564319999999999</v>
      </c>
    </row>
    <row r="552" spans="1:14">
      <c r="A552" t="str">
        <f t="shared" si="116"/>
        <v>alp_AlwaysOn</v>
      </c>
      <c r="B552" t="str">
        <f t="shared" si="117"/>
        <v>Google Brasil</v>
      </c>
      <c r="C552" t="str">
        <f t="shared" si="118"/>
        <v>alp_AlwaysOn_dbm_network_native-ads_dbm-native_cpm_remarketing_nativeads_Tiguan-Rmkt_na</v>
      </c>
      <c r="D552" t="str">
        <f t="shared" si="119"/>
        <v>232437870</v>
      </c>
      <c r="E552" t="str">
        <f t="shared" si="120"/>
        <v>Standard</v>
      </c>
      <c r="F552" t="str">
        <f t="shared" si="121"/>
        <v>alp_AlwaysOn_dbm_network_native-ads_dbm-native_cpm_remarketing_nativeads_Tiguan-Rmkt_na</v>
      </c>
      <c r="G552" t="str">
        <f t="shared" si="122"/>
        <v>429893285</v>
      </c>
      <c r="H552" t="str">
        <f t="shared" si="123"/>
        <v>Tracking</v>
      </c>
      <c r="I552">
        <f t="shared" si="124"/>
        <v>119589</v>
      </c>
      <c r="J552">
        <f t="shared" si="125"/>
        <v>611</v>
      </c>
      <c r="K552" s="4">
        <f t="shared" si="114"/>
        <v>0.04</v>
      </c>
      <c r="L552">
        <f t="shared" si="115"/>
        <v>0.09</v>
      </c>
      <c r="M552" s="4">
        <f t="shared" si="126"/>
        <v>4.7835600000000005</v>
      </c>
      <c r="N552" s="4">
        <f t="shared" si="127"/>
        <v>10.76301</v>
      </c>
    </row>
    <row r="553" spans="1:14">
      <c r="A553" t="str">
        <f t="shared" si="116"/>
        <v>alp_AlwaysOn</v>
      </c>
      <c r="B553" t="str">
        <f t="shared" si="117"/>
        <v>Google Brasil</v>
      </c>
      <c r="C553" t="str">
        <f t="shared" si="118"/>
        <v>alp_AlwaysOn_dbm_network_native-ads_dbm-native_cpm_remarketing_nativeads_UP-Rmkt_na</v>
      </c>
      <c r="D553" t="str">
        <f t="shared" si="119"/>
        <v>228878504</v>
      </c>
      <c r="E553" t="str">
        <f t="shared" si="120"/>
        <v>Standard</v>
      </c>
      <c r="F553" t="str">
        <f t="shared" si="121"/>
        <v>alp_AlwaysOn_dbm_network_native-ads_dbm-native_cpm_remarketing_nativeads_Tiguan-Rmkt_na</v>
      </c>
      <c r="G553" t="str">
        <f t="shared" si="122"/>
        <v>427031642</v>
      </c>
      <c r="H553" t="str">
        <f t="shared" si="123"/>
        <v>Tracking</v>
      </c>
      <c r="I553">
        <f t="shared" si="124"/>
        <v>225330</v>
      </c>
      <c r="J553">
        <f t="shared" si="125"/>
        <v>1069</v>
      </c>
      <c r="K553" s="4">
        <f t="shared" si="114"/>
        <v>0.04</v>
      </c>
      <c r="L553">
        <f t="shared" si="115"/>
        <v>0.09</v>
      </c>
      <c r="M553" s="4">
        <f t="shared" si="126"/>
        <v>9.0132000000000012</v>
      </c>
      <c r="N553" s="4">
        <f t="shared" si="127"/>
        <v>20.279700000000002</v>
      </c>
    </row>
    <row r="554" spans="1:14">
      <c r="A554" t="str">
        <f t="shared" si="116"/>
        <v>alp_AlwaysOn</v>
      </c>
      <c r="B554" t="str">
        <f t="shared" si="117"/>
        <v>Google Brasil</v>
      </c>
      <c r="C554" t="str">
        <f t="shared" si="118"/>
        <v>alp_AlwaysOn_dbm_network_native-ads_dbm-native_cpm_remarketing_nativeads_UPPepper-Rmkt_na</v>
      </c>
      <c r="D554" t="str">
        <f t="shared" si="119"/>
        <v>228878501</v>
      </c>
      <c r="E554" t="str">
        <f t="shared" si="120"/>
        <v>Standard</v>
      </c>
      <c r="F554" t="str">
        <f t="shared" si="121"/>
        <v>alp_AlwaysOn_dbm_network_native-ads_dbm-native_cpm_remarketing_nativeads_UPPepper-Rmkt_na</v>
      </c>
      <c r="G554" t="str">
        <f t="shared" si="122"/>
        <v>427031639</v>
      </c>
      <c r="H554" t="str">
        <f t="shared" si="123"/>
        <v>Tracking</v>
      </c>
      <c r="I554">
        <f t="shared" si="124"/>
        <v>225272</v>
      </c>
      <c r="J554">
        <f t="shared" si="125"/>
        <v>1061</v>
      </c>
      <c r="K554" s="4">
        <f t="shared" si="114"/>
        <v>0.04</v>
      </c>
      <c r="L554">
        <f t="shared" si="115"/>
        <v>0.09</v>
      </c>
      <c r="M554" s="4">
        <f t="shared" si="126"/>
        <v>9.0108800000000002</v>
      </c>
      <c r="N554" s="4">
        <f t="shared" si="127"/>
        <v>20.274480000000001</v>
      </c>
    </row>
    <row r="555" spans="1:14">
      <c r="A555" t="str">
        <f t="shared" si="116"/>
        <v>alp_AlwaysOn</v>
      </c>
      <c r="B555" t="str">
        <f t="shared" si="117"/>
        <v>Google Brasil</v>
      </c>
      <c r="C555" t="str">
        <f t="shared" si="118"/>
        <v>alp_AlwaysOn_dbm_network_native-ads_dbm-native_cpm_remarketing_nativeads_Virtus-Rmkt_na</v>
      </c>
      <c r="D555" t="str">
        <f t="shared" si="119"/>
        <v>228878498</v>
      </c>
      <c r="E555" t="str">
        <f t="shared" si="120"/>
        <v>Standard</v>
      </c>
      <c r="F555" t="str">
        <f t="shared" si="121"/>
        <v>alp_AlwaysOn_dbm_network_native-ads_dbm-native_cpm_remarketing_nativeads_Virtus-Rmkt_na</v>
      </c>
      <c r="G555" t="str">
        <f t="shared" si="122"/>
        <v>427031636</v>
      </c>
      <c r="H555" t="str">
        <f t="shared" si="123"/>
        <v>Tracking</v>
      </c>
      <c r="I555">
        <f t="shared" si="124"/>
        <v>555373</v>
      </c>
      <c r="J555">
        <f t="shared" si="125"/>
        <v>1417</v>
      </c>
      <c r="K555" s="4">
        <f t="shared" si="114"/>
        <v>0.04</v>
      </c>
      <c r="L555">
        <f t="shared" si="115"/>
        <v>0.09</v>
      </c>
      <c r="M555" s="4">
        <f t="shared" si="126"/>
        <v>22.214920000000003</v>
      </c>
      <c r="N555" s="4">
        <f t="shared" si="127"/>
        <v>49.98357</v>
      </c>
    </row>
    <row r="556" spans="1:14">
      <c r="A556" t="str">
        <f t="shared" si="116"/>
        <v>alp_AlwaysOn</v>
      </c>
      <c r="B556" t="str">
        <f t="shared" si="117"/>
        <v>Google Brasil</v>
      </c>
      <c r="C556" t="str">
        <f t="shared" si="118"/>
        <v>alp_AlwaysOn_dbm_network_native-ads_dbm-native_cpm_remarketing_nativeads_Voyage-Rmkt_na</v>
      </c>
      <c r="D556" t="str">
        <f t="shared" si="119"/>
        <v>228878495</v>
      </c>
      <c r="E556" t="str">
        <f t="shared" si="120"/>
        <v>Standard</v>
      </c>
      <c r="F556" t="str">
        <f t="shared" si="121"/>
        <v>alp_AlwaysOn_dbm_network_native-ads_dbm-native_cpm_remarketing_nativeads_Voyage-Rmkt_na</v>
      </c>
      <c r="G556" t="str">
        <f t="shared" si="122"/>
        <v>427031633</v>
      </c>
      <c r="H556" t="str">
        <f t="shared" si="123"/>
        <v>Tracking</v>
      </c>
      <c r="I556">
        <f t="shared" si="124"/>
        <v>109188</v>
      </c>
      <c r="J556">
        <f t="shared" si="125"/>
        <v>480</v>
      </c>
      <c r="K556" s="4">
        <f t="shared" ref="K556:K619" si="128">IF(LEFT(B556,3)="DBM",0,VLOOKUP(E556,tabela,2,FALSE))</f>
        <v>0.04</v>
      </c>
      <c r="L556">
        <f t="shared" ref="L556:L619" si="129">VLOOKUP(E556,tabela,3,FALSE)</f>
        <v>0.09</v>
      </c>
      <c r="M556" s="4">
        <f t="shared" si="126"/>
        <v>4.3675200000000007</v>
      </c>
      <c r="N556" s="4">
        <f t="shared" si="127"/>
        <v>9.8269199999999994</v>
      </c>
    </row>
    <row r="557" spans="1:14">
      <c r="A557" t="str">
        <f t="shared" si="116"/>
        <v>alp_AlwaysOn</v>
      </c>
      <c r="B557" t="str">
        <f t="shared" si="117"/>
        <v>Google Brasil</v>
      </c>
      <c r="C557" t="str">
        <f t="shared" si="118"/>
        <v>alp_AlwaysOn_dbm_network_regional_dbm-regional_cpm_remarketing_300x600_NA_Reg05-Ad02</v>
      </c>
      <c r="D557" t="str">
        <f t="shared" si="119"/>
        <v>230096266</v>
      </c>
      <c r="E557" t="str">
        <f t="shared" si="120"/>
        <v>Standard</v>
      </c>
      <c r="F557" t="str">
        <f t="shared" si="121"/>
        <v>alp_AlwaysOn_dbm_network_regional_dbm-regional_cpm_remarketing_300x600_Polo_Reg05-Ad02</v>
      </c>
      <c r="G557" t="str">
        <f t="shared" si="122"/>
        <v>437536937</v>
      </c>
      <c r="H557" t="str">
        <f t="shared" si="123"/>
        <v>Display</v>
      </c>
      <c r="I557">
        <f t="shared" si="124"/>
        <v>1</v>
      </c>
      <c r="J557">
        <f t="shared" si="125"/>
        <v>0</v>
      </c>
      <c r="K557" s="4">
        <f t="shared" si="128"/>
        <v>0.04</v>
      </c>
      <c r="L557">
        <f t="shared" si="129"/>
        <v>0.09</v>
      </c>
      <c r="M557" s="4">
        <f t="shared" si="126"/>
        <v>4.0000000000000003E-5</v>
      </c>
      <c r="N557" s="4">
        <f t="shared" si="127"/>
        <v>8.9999999999999992E-5</v>
      </c>
    </row>
    <row r="558" spans="1:14">
      <c r="A558" t="str">
        <f t="shared" si="116"/>
        <v>alp_AlwaysOn</v>
      </c>
      <c r="B558" t="str">
        <f t="shared" si="117"/>
        <v>Google Brasil</v>
      </c>
      <c r="C558" t="str">
        <f t="shared" si="118"/>
        <v>alp_AlwaysOn_dbm_network_varejo_dbm-native_cpm_prospecting_nativeads_Ano-Novo_na</v>
      </c>
      <c r="D558" t="str">
        <f t="shared" si="119"/>
        <v>238225230</v>
      </c>
      <c r="E558" t="str">
        <f t="shared" si="120"/>
        <v>Standard</v>
      </c>
      <c r="F558" t="str">
        <f t="shared" si="121"/>
        <v>alp_AlwaysOn_dbm_network_varejo_dbm-native_cpm_prospecting_nativeads_Ano-Novo_na</v>
      </c>
      <c r="G558" t="str">
        <f t="shared" si="122"/>
        <v>435158120</v>
      </c>
      <c r="H558" t="str">
        <f t="shared" si="123"/>
        <v>Tracking</v>
      </c>
      <c r="I558">
        <f t="shared" si="124"/>
        <v>17</v>
      </c>
      <c r="J558">
        <f t="shared" si="125"/>
        <v>3</v>
      </c>
      <c r="K558" s="4">
        <f t="shared" si="128"/>
        <v>0.04</v>
      </c>
      <c r="L558">
        <f t="shared" si="129"/>
        <v>0.09</v>
      </c>
      <c r="M558" s="4">
        <f t="shared" si="126"/>
        <v>6.8000000000000005E-4</v>
      </c>
      <c r="N558" s="4">
        <f t="shared" si="127"/>
        <v>1.5300000000000001E-3</v>
      </c>
    </row>
    <row r="559" spans="1:14">
      <c r="A559" t="str">
        <f t="shared" si="116"/>
        <v>alp_AlwaysOn</v>
      </c>
      <c r="B559" t="str">
        <f t="shared" si="117"/>
        <v>Google Brasil</v>
      </c>
      <c r="C559" t="str">
        <f t="shared" si="118"/>
        <v>alp_AlwaysOn_dbm_network_varejo_dbm-native_cpm_prospecting_nativeads_Outlet_na</v>
      </c>
      <c r="D559" t="str">
        <f t="shared" si="119"/>
        <v>231617753</v>
      </c>
      <c r="E559" t="str">
        <f t="shared" si="120"/>
        <v>Dynamic Click</v>
      </c>
      <c r="F559" t="str">
        <f t="shared" si="121"/>
        <v>alp_AlwaysOn_dbm_network_varejo_dbm-native_cpm_prospecting_nativeads_Outlet_na</v>
      </c>
      <c r="G559" t="str">
        <f t="shared" si="122"/>
        <v>429455806</v>
      </c>
      <c r="H559" t="str">
        <f t="shared" si="123"/>
        <v>Tracking</v>
      </c>
      <c r="I559">
        <f t="shared" si="124"/>
        <v>0</v>
      </c>
      <c r="J559">
        <f t="shared" si="125"/>
        <v>1</v>
      </c>
      <c r="K559" s="4">
        <f t="shared" si="128"/>
        <v>3.5000000000000001E-3</v>
      </c>
      <c r="L559">
        <f t="shared" si="129"/>
        <v>0.02</v>
      </c>
      <c r="M559" s="4">
        <f t="shared" si="126"/>
        <v>3.5000000000000001E-3</v>
      </c>
      <c r="N559" s="4">
        <f t="shared" si="127"/>
        <v>0.02</v>
      </c>
    </row>
    <row r="560" spans="1:14">
      <c r="A560" t="str">
        <f t="shared" si="116"/>
        <v>alp_AlwaysOn</v>
      </c>
      <c r="B560" t="str">
        <f t="shared" si="117"/>
        <v>Google Brasil</v>
      </c>
      <c r="C560" t="str">
        <f t="shared" si="118"/>
        <v>alp_AlwaysOn_dbm_network_varejo_dbm-native_cpm_remarketing_nativeads_Ano-Novo_na</v>
      </c>
      <c r="D560" t="str">
        <f t="shared" si="119"/>
        <v>237948505</v>
      </c>
      <c r="E560" t="str">
        <f t="shared" si="120"/>
        <v>Standard</v>
      </c>
      <c r="F560" t="str">
        <f t="shared" si="121"/>
        <v>alp_AlwaysOn_dbm_network_varejo_dbm-native_cpm_remarketing_nativeads_Ano-Novo_na</v>
      </c>
      <c r="G560" t="str">
        <f t="shared" si="122"/>
        <v>435164205</v>
      </c>
      <c r="H560" t="str">
        <f t="shared" si="123"/>
        <v>Tracking</v>
      </c>
      <c r="I560">
        <f t="shared" si="124"/>
        <v>18</v>
      </c>
      <c r="J560">
        <f t="shared" si="125"/>
        <v>4</v>
      </c>
      <c r="K560" s="4">
        <f t="shared" si="128"/>
        <v>0.04</v>
      </c>
      <c r="L560">
        <f t="shared" si="129"/>
        <v>0.09</v>
      </c>
      <c r="M560" s="4">
        <f t="shared" si="126"/>
        <v>7.1999999999999994E-4</v>
      </c>
      <c r="N560" s="4">
        <f t="shared" si="127"/>
        <v>1.6199999999999999E-3</v>
      </c>
    </row>
    <row r="561" spans="1:14">
      <c r="A561" t="str">
        <f t="shared" si="116"/>
        <v>alp_AlwaysOn</v>
      </c>
      <c r="B561" t="str">
        <f t="shared" si="117"/>
        <v>Google Brasil</v>
      </c>
      <c r="C561" t="str">
        <f t="shared" si="118"/>
        <v>alp_AlwaysOn_dbm_network_varejo_dbm-native_cpm_remarketing_nativeads_Black-Friday_na</v>
      </c>
      <c r="D561" t="str">
        <f t="shared" si="119"/>
        <v>233487961</v>
      </c>
      <c r="E561" t="str">
        <f t="shared" si="120"/>
        <v>Dynamic Click</v>
      </c>
      <c r="F561" t="str">
        <f t="shared" si="121"/>
        <v>alp_AlwaysOn_dbm_network_varejo_dbm-native_cpm_remarketing_nativeads_Black-Friday_na</v>
      </c>
      <c r="G561" t="str">
        <f t="shared" si="122"/>
        <v>431195779</v>
      </c>
      <c r="H561" t="str">
        <f t="shared" si="123"/>
        <v>Tracking</v>
      </c>
      <c r="I561">
        <f t="shared" si="124"/>
        <v>0</v>
      </c>
      <c r="J561">
        <f t="shared" si="125"/>
        <v>2</v>
      </c>
      <c r="K561" s="4">
        <f t="shared" si="128"/>
        <v>3.5000000000000001E-3</v>
      </c>
      <c r="L561">
        <f t="shared" si="129"/>
        <v>0.02</v>
      </c>
      <c r="M561" s="4">
        <f t="shared" si="126"/>
        <v>7.0000000000000001E-3</v>
      </c>
      <c r="N561" s="4">
        <f t="shared" si="127"/>
        <v>0.04</v>
      </c>
    </row>
    <row r="562" spans="1:14">
      <c r="A562" t="str">
        <f t="shared" si="116"/>
        <v>alp_AlwaysOn</v>
      </c>
      <c r="B562" t="str">
        <f t="shared" si="117"/>
        <v>br.yahoo.com</v>
      </c>
      <c r="C562" t="str">
        <f t="shared" si="118"/>
        <v>alp_AlwaysOn_yahoo_horizontal_dpa_native_cpc_remarketing_nativeads_FoxConnect-ViewContent_na</v>
      </c>
      <c r="D562" t="str">
        <f t="shared" si="119"/>
        <v>228309970</v>
      </c>
      <c r="E562" t="str">
        <f t="shared" si="120"/>
        <v>Dynamic Click</v>
      </c>
      <c r="F562" t="str">
        <f t="shared" si="121"/>
        <v>alp_AlwaysOn_yahoo_horizontal_dpa_native_cpc_remarketing_nativeads_FoxConnect-ViewContent_na</v>
      </c>
      <c r="G562" t="str">
        <f t="shared" si="122"/>
        <v>426395336</v>
      </c>
      <c r="H562" t="str">
        <f t="shared" si="123"/>
        <v>Tracking</v>
      </c>
      <c r="I562">
        <f t="shared" si="124"/>
        <v>0</v>
      </c>
      <c r="J562">
        <f t="shared" si="125"/>
        <v>4789</v>
      </c>
      <c r="K562" s="4">
        <f t="shared" si="128"/>
        <v>3.5000000000000001E-3</v>
      </c>
      <c r="L562">
        <f t="shared" si="129"/>
        <v>0.02</v>
      </c>
      <c r="M562" s="4">
        <f t="shared" si="126"/>
        <v>16.761500000000002</v>
      </c>
      <c r="N562" s="4">
        <f t="shared" si="127"/>
        <v>95.78</v>
      </c>
    </row>
    <row r="563" spans="1:14">
      <c r="A563" t="str">
        <f t="shared" si="116"/>
        <v>alp_AlwaysOn</v>
      </c>
      <c r="B563" t="str">
        <f t="shared" si="117"/>
        <v>br.yahoo.com</v>
      </c>
      <c r="C563" t="str">
        <f t="shared" si="118"/>
        <v>alp_AlwaysOn_yahoo_horizontal_dpa_native_cpc_remarketing_nativeads_Gol-ViewContent_na</v>
      </c>
      <c r="D563" t="str">
        <f t="shared" si="119"/>
        <v>228309964</v>
      </c>
      <c r="E563" t="str">
        <f t="shared" si="120"/>
        <v>Dynamic Click</v>
      </c>
      <c r="F563" t="str">
        <f t="shared" si="121"/>
        <v>alp_AlwaysOn_yahoo_horizontal_dpa_native_cpc_remarketing_nativeads_Gol-ViewContent_na</v>
      </c>
      <c r="G563" t="str">
        <f t="shared" si="122"/>
        <v>426395330</v>
      </c>
      <c r="H563" t="str">
        <f t="shared" si="123"/>
        <v>Tracking</v>
      </c>
      <c r="I563">
        <f t="shared" si="124"/>
        <v>0</v>
      </c>
      <c r="J563">
        <f t="shared" si="125"/>
        <v>25378</v>
      </c>
      <c r="K563" s="4">
        <f t="shared" si="128"/>
        <v>3.5000000000000001E-3</v>
      </c>
      <c r="L563">
        <f t="shared" si="129"/>
        <v>0.02</v>
      </c>
      <c r="M563" s="4">
        <f t="shared" si="126"/>
        <v>88.823000000000008</v>
      </c>
      <c r="N563" s="4">
        <f t="shared" si="127"/>
        <v>507.56</v>
      </c>
    </row>
    <row r="564" spans="1:14">
      <c r="A564" t="str">
        <f t="shared" si="116"/>
        <v>alp_AlwaysOn</v>
      </c>
      <c r="B564" t="str">
        <f t="shared" si="117"/>
        <v>br.yahoo.com</v>
      </c>
      <c r="C564" t="str">
        <f t="shared" si="118"/>
        <v>alp_AlwaysOn_yahoo_horizontal_dpa_native_cpc_remarketing_nativeads_Jetta-ViewContent_na</v>
      </c>
      <c r="D564" t="str">
        <f t="shared" si="119"/>
        <v>228309955</v>
      </c>
      <c r="E564" t="str">
        <f t="shared" si="120"/>
        <v>Dynamic Click</v>
      </c>
      <c r="F564" t="str">
        <f t="shared" si="121"/>
        <v>alp_AlwaysOn_yahoo_horizontal_dpa_native_cpc_remarketing_nativeads_Jetta-ViewContent_na</v>
      </c>
      <c r="G564" t="str">
        <f t="shared" si="122"/>
        <v>426395321</v>
      </c>
      <c r="H564" t="str">
        <f t="shared" si="123"/>
        <v>Tracking</v>
      </c>
      <c r="I564">
        <f t="shared" si="124"/>
        <v>0</v>
      </c>
      <c r="J564">
        <f t="shared" si="125"/>
        <v>2790</v>
      </c>
      <c r="K564" s="4">
        <f t="shared" si="128"/>
        <v>3.5000000000000001E-3</v>
      </c>
      <c r="L564">
        <f t="shared" si="129"/>
        <v>0.02</v>
      </c>
      <c r="M564" s="4">
        <f t="shared" si="126"/>
        <v>9.7650000000000006</v>
      </c>
      <c r="N564" s="4">
        <f t="shared" si="127"/>
        <v>55.800000000000004</v>
      </c>
    </row>
    <row r="565" spans="1:14">
      <c r="A565" t="str">
        <f t="shared" si="116"/>
        <v>alp_AlwaysOn</v>
      </c>
      <c r="B565" t="str">
        <f t="shared" si="117"/>
        <v>br.yahoo.com</v>
      </c>
      <c r="C565" t="str">
        <f t="shared" si="118"/>
        <v>alp_AlwaysOn_yahoo_horizontal_dpa_native_cpc_remarketing_nativeads_Passat-ViewContent_na</v>
      </c>
      <c r="D565" t="str">
        <f t="shared" si="119"/>
        <v>228488847</v>
      </c>
      <c r="E565" t="str">
        <f t="shared" si="120"/>
        <v>Dynamic Click</v>
      </c>
      <c r="F565" t="str">
        <f t="shared" si="121"/>
        <v>alp_AlwaysOn_yahoo_horizontal_dpa_native_cpc_remarketing_nativeads_Passat-ViewContent_na</v>
      </c>
      <c r="G565" t="str">
        <f t="shared" si="122"/>
        <v>426395318</v>
      </c>
      <c r="H565" t="str">
        <f t="shared" si="123"/>
        <v>Tracking</v>
      </c>
      <c r="I565">
        <f t="shared" si="124"/>
        <v>0</v>
      </c>
      <c r="J565">
        <f t="shared" si="125"/>
        <v>1014</v>
      </c>
      <c r="K565" s="4">
        <f t="shared" si="128"/>
        <v>3.5000000000000001E-3</v>
      </c>
      <c r="L565">
        <f t="shared" si="129"/>
        <v>0.02</v>
      </c>
      <c r="M565" s="4">
        <f t="shared" si="126"/>
        <v>3.5489999999999999</v>
      </c>
      <c r="N565" s="4">
        <f t="shared" si="127"/>
        <v>20.28</v>
      </c>
    </row>
    <row r="566" spans="1:14">
      <c r="A566" t="str">
        <f t="shared" si="116"/>
        <v>alp_AlwaysOn</v>
      </c>
      <c r="B566" t="str">
        <f t="shared" si="117"/>
        <v>br.yahoo.com</v>
      </c>
      <c r="C566" t="str">
        <f t="shared" si="118"/>
        <v>alp_AlwaysOn_yahoo_horizontal_dpa_native_cpc_remarketing_nativeads_Polo-ViewContent_na</v>
      </c>
      <c r="D566" t="str">
        <f t="shared" si="119"/>
        <v>228488844</v>
      </c>
      <c r="E566" t="str">
        <f t="shared" si="120"/>
        <v>Dynamic Click</v>
      </c>
      <c r="F566" t="str">
        <f t="shared" si="121"/>
        <v>alp_AlwaysOn_yahoo_horizontal_dpa_native_cpc_remarketing_nativeads_Polo-ViewContent_na</v>
      </c>
      <c r="G566" t="str">
        <f t="shared" si="122"/>
        <v>426395315</v>
      </c>
      <c r="H566" t="str">
        <f t="shared" si="123"/>
        <v>Tracking</v>
      </c>
      <c r="I566">
        <f t="shared" si="124"/>
        <v>0</v>
      </c>
      <c r="J566">
        <f t="shared" si="125"/>
        <v>6488</v>
      </c>
      <c r="K566" s="4">
        <f t="shared" si="128"/>
        <v>3.5000000000000001E-3</v>
      </c>
      <c r="L566">
        <f t="shared" si="129"/>
        <v>0.02</v>
      </c>
      <c r="M566" s="4">
        <f t="shared" si="126"/>
        <v>22.708000000000002</v>
      </c>
      <c r="N566" s="4">
        <f t="shared" si="127"/>
        <v>129.76</v>
      </c>
    </row>
    <row r="567" spans="1:14">
      <c r="A567" t="str">
        <f t="shared" si="116"/>
        <v>alp_AlwaysOn</v>
      </c>
      <c r="B567" t="str">
        <f t="shared" si="117"/>
        <v>br.yahoo.com</v>
      </c>
      <c r="C567" t="str">
        <f t="shared" si="118"/>
        <v>alp_AlwaysOn_yahoo_horizontal_dpa_native_cpc_remarketing_nativeads_Saveiro-ViewContent_na</v>
      </c>
      <c r="D567" t="str">
        <f t="shared" si="119"/>
        <v>228488841</v>
      </c>
      <c r="E567" t="str">
        <f t="shared" si="120"/>
        <v>Dynamic Click</v>
      </c>
      <c r="F567" t="str">
        <f t="shared" si="121"/>
        <v>alp_AlwaysOn_yahoo_horizontal_dpa_native_cpc_remarketing_nativeads_Saveiro-ViewContent_na</v>
      </c>
      <c r="G567" t="str">
        <f t="shared" si="122"/>
        <v>426395312</v>
      </c>
      <c r="H567" t="str">
        <f t="shared" si="123"/>
        <v>Tracking</v>
      </c>
      <c r="I567">
        <f t="shared" si="124"/>
        <v>0</v>
      </c>
      <c r="J567">
        <f t="shared" si="125"/>
        <v>15213</v>
      </c>
      <c r="K567" s="4">
        <f t="shared" si="128"/>
        <v>3.5000000000000001E-3</v>
      </c>
      <c r="L567">
        <f t="shared" si="129"/>
        <v>0.02</v>
      </c>
      <c r="M567" s="4">
        <f t="shared" si="126"/>
        <v>53.2455</v>
      </c>
      <c r="N567" s="4">
        <f t="shared" si="127"/>
        <v>304.26</v>
      </c>
    </row>
    <row r="568" spans="1:14">
      <c r="A568" t="str">
        <f t="shared" si="116"/>
        <v>alp_AlwaysOn</v>
      </c>
      <c r="B568" t="str">
        <f t="shared" si="117"/>
        <v>br.yahoo.com</v>
      </c>
      <c r="C568" t="str">
        <f t="shared" si="118"/>
        <v>alp_AlwaysOn_yahoo_horizontal_dpa_native_cpc_remarketing_nativeads_Tiguan-ViewContent_na</v>
      </c>
      <c r="D568" t="str">
        <f t="shared" si="119"/>
        <v>232437879</v>
      </c>
      <c r="E568" t="str">
        <f t="shared" si="120"/>
        <v>Dynamic Click</v>
      </c>
      <c r="F568" t="str">
        <f t="shared" si="121"/>
        <v>alp_AlwaysOn_yahoo_horizontal_dpa_native_cpc_remarketing_nativeads_Tiguan-ViewContent_na</v>
      </c>
      <c r="G568" t="str">
        <f t="shared" si="122"/>
        <v>429893276</v>
      </c>
      <c r="H568" t="str">
        <f t="shared" si="123"/>
        <v>Tracking</v>
      </c>
      <c r="I568">
        <f t="shared" si="124"/>
        <v>0</v>
      </c>
      <c r="J568">
        <f t="shared" si="125"/>
        <v>61</v>
      </c>
      <c r="K568" s="4">
        <f t="shared" si="128"/>
        <v>3.5000000000000001E-3</v>
      </c>
      <c r="L568">
        <f t="shared" si="129"/>
        <v>0.02</v>
      </c>
      <c r="M568" s="4">
        <f t="shared" si="126"/>
        <v>0.2135</v>
      </c>
      <c r="N568" s="4">
        <f t="shared" si="127"/>
        <v>1.22</v>
      </c>
    </row>
    <row r="569" spans="1:14">
      <c r="A569" t="str">
        <f t="shared" si="116"/>
        <v>alp_AlwaysOn</v>
      </c>
      <c r="B569" t="str">
        <f t="shared" si="117"/>
        <v>br.yahoo.com</v>
      </c>
      <c r="C569" t="str">
        <f t="shared" si="118"/>
        <v>alp_AlwaysOn_yahoo_horizontal_dpa_native_cpc_remarketing_nativeads_UP-ViewContent_na</v>
      </c>
      <c r="D569" t="str">
        <f t="shared" si="119"/>
        <v>228488832</v>
      </c>
      <c r="E569" t="str">
        <f t="shared" si="120"/>
        <v>Dynamic Click</v>
      </c>
      <c r="F569" t="str">
        <f t="shared" si="121"/>
        <v>alp_AlwaysOn_yahoo_horizontal_dpa_native_cpc_remarketing_nativeads_Tiguan-ViewContent_na</v>
      </c>
      <c r="G569" t="str">
        <f t="shared" si="122"/>
        <v>426395303</v>
      </c>
      <c r="H569" t="str">
        <f t="shared" si="123"/>
        <v>Tracking</v>
      </c>
      <c r="I569">
        <f t="shared" si="124"/>
        <v>0</v>
      </c>
      <c r="J569">
        <f t="shared" si="125"/>
        <v>1788</v>
      </c>
      <c r="K569" s="4">
        <f t="shared" si="128"/>
        <v>3.5000000000000001E-3</v>
      </c>
      <c r="L569">
        <f t="shared" si="129"/>
        <v>0.02</v>
      </c>
      <c r="M569" s="4">
        <f t="shared" si="126"/>
        <v>6.258</v>
      </c>
      <c r="N569" s="4">
        <f t="shared" si="127"/>
        <v>35.76</v>
      </c>
    </row>
    <row r="570" spans="1:14">
      <c r="A570" t="str">
        <f t="shared" si="116"/>
        <v>alp_AlwaysOn</v>
      </c>
      <c r="B570" t="str">
        <f t="shared" si="117"/>
        <v>br.yahoo.com</v>
      </c>
      <c r="C570" t="str">
        <f t="shared" si="118"/>
        <v>alp_AlwaysOn_yahoo_horizontal_dpa_native_cpc_remarketing_nativeads_Virtus-ViewContent_na</v>
      </c>
      <c r="D570" t="str">
        <f t="shared" si="119"/>
        <v>228488826</v>
      </c>
      <c r="E570" t="str">
        <f t="shared" si="120"/>
        <v>Dynamic Click</v>
      </c>
      <c r="F570" t="str">
        <f t="shared" si="121"/>
        <v>alp_AlwaysOn_yahoo_horizontal_dpa_native_cpc_remarketing_nativeads_Virtus-ViewContent_na</v>
      </c>
      <c r="G570" t="str">
        <f t="shared" si="122"/>
        <v>426395297</v>
      </c>
      <c r="H570" t="str">
        <f t="shared" si="123"/>
        <v>Tracking</v>
      </c>
      <c r="I570">
        <f t="shared" si="124"/>
        <v>0</v>
      </c>
      <c r="J570">
        <f t="shared" si="125"/>
        <v>5472</v>
      </c>
      <c r="K570" s="4">
        <f t="shared" si="128"/>
        <v>3.5000000000000001E-3</v>
      </c>
      <c r="L570">
        <f t="shared" si="129"/>
        <v>0.02</v>
      </c>
      <c r="M570" s="4">
        <f t="shared" si="126"/>
        <v>19.152000000000001</v>
      </c>
      <c r="N570" s="4">
        <f t="shared" si="127"/>
        <v>109.44</v>
      </c>
    </row>
    <row r="571" spans="1:14">
      <c r="A571" t="str">
        <f t="shared" si="116"/>
        <v>alp_AlwaysOn</v>
      </c>
      <c r="B571" t="str">
        <f t="shared" si="117"/>
        <v>br.yahoo.com</v>
      </c>
      <c r="C571" t="str">
        <f t="shared" si="118"/>
        <v>alp_AlwaysOn_yahoo_horizontal_dpa_native_cpc_remarketing_nativeads_Voyage-ViewContent_na</v>
      </c>
      <c r="D571" t="str">
        <f t="shared" si="119"/>
        <v>228488823</v>
      </c>
      <c r="E571" t="str">
        <f t="shared" si="120"/>
        <v>Dynamic Click</v>
      </c>
      <c r="F571" t="str">
        <f t="shared" si="121"/>
        <v>alp_AlwaysOn_yahoo_horizontal_dpa_native_cpc_remarketing_nativeads_Voyage-ViewContent_na</v>
      </c>
      <c r="G571" t="str">
        <f t="shared" si="122"/>
        <v>426395294</v>
      </c>
      <c r="H571" t="str">
        <f t="shared" si="123"/>
        <v>Tracking</v>
      </c>
      <c r="I571">
        <f t="shared" si="124"/>
        <v>0</v>
      </c>
      <c r="J571">
        <f t="shared" si="125"/>
        <v>5441</v>
      </c>
      <c r="K571" s="4">
        <f t="shared" si="128"/>
        <v>3.5000000000000001E-3</v>
      </c>
      <c r="L571">
        <f t="shared" si="129"/>
        <v>0.02</v>
      </c>
      <c r="M571" s="4">
        <f t="shared" si="126"/>
        <v>19.043500000000002</v>
      </c>
      <c r="N571" s="4">
        <f t="shared" si="127"/>
        <v>108.82000000000001</v>
      </c>
    </row>
    <row r="572" spans="1:14">
      <c r="A572" t="str">
        <f t="shared" si="116"/>
        <v>alp_AlwaysOn</v>
      </c>
      <c r="B572" t="str">
        <f t="shared" si="117"/>
        <v>br.yahoo.com</v>
      </c>
      <c r="C572" t="str">
        <f t="shared" si="118"/>
        <v>alp_AlwaysOn_yahoo_horizontal_native-ads_native_cpc_prospecting_nativeads_FoxConnect-Prospect_na</v>
      </c>
      <c r="D572" t="str">
        <f t="shared" si="119"/>
        <v>231859048</v>
      </c>
      <c r="E572" t="str">
        <f t="shared" si="120"/>
        <v>Dynamic Click</v>
      </c>
      <c r="F572" t="str">
        <f t="shared" si="121"/>
        <v>alp_AlwaysOn_yahoo_horizontal_native-ads_native_cpc_prospecting_nativeads_FoxConnect-Prospect_na</v>
      </c>
      <c r="G572" t="str">
        <f t="shared" si="122"/>
        <v>429612226</v>
      </c>
      <c r="H572" t="str">
        <f t="shared" si="123"/>
        <v>Tracking</v>
      </c>
      <c r="I572">
        <f t="shared" si="124"/>
        <v>0</v>
      </c>
      <c r="J572">
        <f t="shared" si="125"/>
        <v>2816</v>
      </c>
      <c r="K572" s="4">
        <f t="shared" si="128"/>
        <v>3.5000000000000001E-3</v>
      </c>
      <c r="L572">
        <f t="shared" si="129"/>
        <v>0.02</v>
      </c>
      <c r="M572" s="4">
        <f t="shared" si="126"/>
        <v>9.8559999999999999</v>
      </c>
      <c r="N572" s="4">
        <f t="shared" si="127"/>
        <v>56.32</v>
      </c>
    </row>
    <row r="573" spans="1:14">
      <c r="A573" t="str">
        <f t="shared" si="116"/>
        <v>alp_AlwaysOn</v>
      </c>
      <c r="B573" t="str">
        <f t="shared" si="117"/>
        <v>br.yahoo.com</v>
      </c>
      <c r="C573" t="str">
        <f t="shared" si="118"/>
        <v>alp_AlwaysOn_yahoo_horizontal_native-ads_native_cpc_prospecting_nativeads_FoxXtreme-Prospect_na</v>
      </c>
      <c r="D573" t="str">
        <f t="shared" si="119"/>
        <v>231859042</v>
      </c>
      <c r="E573" t="str">
        <f t="shared" si="120"/>
        <v>Dynamic Click</v>
      </c>
      <c r="F573" t="str">
        <f t="shared" si="121"/>
        <v>alp_AlwaysOn_yahoo_horizontal_native-ads_native_cpc_prospecting_nativeads_FoxXtreme-Prospect_na</v>
      </c>
      <c r="G573" t="str">
        <f t="shared" si="122"/>
        <v>429612220</v>
      </c>
      <c r="H573" t="str">
        <f t="shared" si="123"/>
        <v>Tracking</v>
      </c>
      <c r="I573">
        <f t="shared" si="124"/>
        <v>0</v>
      </c>
      <c r="J573">
        <f t="shared" si="125"/>
        <v>149278</v>
      </c>
      <c r="K573" s="4">
        <f t="shared" si="128"/>
        <v>3.5000000000000001E-3</v>
      </c>
      <c r="L573">
        <f t="shared" si="129"/>
        <v>0.02</v>
      </c>
      <c r="M573" s="4">
        <f t="shared" si="126"/>
        <v>522.47299999999996</v>
      </c>
      <c r="N573" s="4">
        <f t="shared" si="127"/>
        <v>2985.56</v>
      </c>
    </row>
    <row r="574" spans="1:14">
      <c r="A574" t="str">
        <f t="shared" si="116"/>
        <v>alp_AlwaysOn</v>
      </c>
      <c r="B574" t="str">
        <f t="shared" si="117"/>
        <v>br.yahoo.com</v>
      </c>
      <c r="C574" t="str">
        <f t="shared" si="118"/>
        <v>alp_AlwaysOn_yahoo_horizontal_native-ads_native_cpc_prospecting_nativeads_Gol-Prospect_na</v>
      </c>
      <c r="D574" t="str">
        <f t="shared" si="119"/>
        <v>231859036</v>
      </c>
      <c r="E574" t="str">
        <f t="shared" si="120"/>
        <v>Dynamic Click</v>
      </c>
      <c r="F574" t="str">
        <f t="shared" si="121"/>
        <v>alp_AlwaysOn_yahoo_horizontal_native-ads_native_cpc_prospecting_nativeads_Gol-Prospect_na</v>
      </c>
      <c r="G574" t="str">
        <f t="shared" si="122"/>
        <v>429612214</v>
      </c>
      <c r="H574" t="str">
        <f t="shared" si="123"/>
        <v>Tracking</v>
      </c>
      <c r="I574">
        <f t="shared" si="124"/>
        <v>0</v>
      </c>
      <c r="J574">
        <f t="shared" si="125"/>
        <v>71096</v>
      </c>
      <c r="K574" s="4">
        <f t="shared" si="128"/>
        <v>3.5000000000000001E-3</v>
      </c>
      <c r="L574">
        <f t="shared" si="129"/>
        <v>0.02</v>
      </c>
      <c r="M574" s="4">
        <f t="shared" si="126"/>
        <v>248.83600000000001</v>
      </c>
      <c r="N574" s="4">
        <f t="shared" si="127"/>
        <v>1421.92</v>
      </c>
    </row>
    <row r="575" spans="1:14">
      <c r="A575" t="str">
        <f t="shared" si="116"/>
        <v>alp_AlwaysOn</v>
      </c>
      <c r="B575" t="str">
        <f t="shared" si="117"/>
        <v>br.yahoo.com</v>
      </c>
      <c r="C575" t="str">
        <f t="shared" si="118"/>
        <v>alp_AlwaysOn_yahoo_horizontal_native-ads_native_cpc_prospecting_nativeads_Golf-Prospect_na</v>
      </c>
      <c r="D575" t="str">
        <f t="shared" si="119"/>
        <v>231859030</v>
      </c>
      <c r="E575" t="str">
        <f t="shared" si="120"/>
        <v>Dynamic Click</v>
      </c>
      <c r="F575" t="str">
        <f t="shared" si="121"/>
        <v>alp_AlwaysOn_yahoo_horizontal_native-ads_native_cpc_prospecting_nativeads_Golf-Prospect_na</v>
      </c>
      <c r="G575" t="str">
        <f t="shared" si="122"/>
        <v>429612208</v>
      </c>
      <c r="H575" t="str">
        <f t="shared" si="123"/>
        <v>Tracking</v>
      </c>
      <c r="I575">
        <f t="shared" si="124"/>
        <v>0</v>
      </c>
      <c r="J575">
        <f t="shared" si="125"/>
        <v>21</v>
      </c>
      <c r="K575" s="4">
        <f t="shared" si="128"/>
        <v>3.5000000000000001E-3</v>
      </c>
      <c r="L575">
        <f t="shared" si="129"/>
        <v>0.02</v>
      </c>
      <c r="M575" s="4">
        <f t="shared" si="126"/>
        <v>7.3499999999999996E-2</v>
      </c>
      <c r="N575" s="4">
        <f t="shared" si="127"/>
        <v>0.42</v>
      </c>
    </row>
    <row r="576" spans="1:14">
      <c r="A576" t="str">
        <f t="shared" si="116"/>
        <v>alp_AlwaysOn</v>
      </c>
      <c r="B576" t="str">
        <f t="shared" si="117"/>
        <v>br.yahoo.com</v>
      </c>
      <c r="C576" t="str">
        <f t="shared" si="118"/>
        <v>alp_AlwaysOn_yahoo_horizontal_native-ads_native_cpc_prospecting_nativeads_Passat-Prospect_na</v>
      </c>
      <c r="D576" t="str">
        <f t="shared" si="119"/>
        <v>231859024</v>
      </c>
      <c r="E576" t="str">
        <f t="shared" si="120"/>
        <v>Dynamic Click</v>
      </c>
      <c r="F576" t="str">
        <f t="shared" si="121"/>
        <v>alp_AlwaysOn_yahoo_horizontal_native-ads_native_cpc_prospecting_nativeads_Passat-Prospect_na</v>
      </c>
      <c r="G576" t="str">
        <f t="shared" si="122"/>
        <v>429612202</v>
      </c>
      <c r="H576" t="str">
        <f t="shared" si="123"/>
        <v>Tracking</v>
      </c>
      <c r="I576">
        <f t="shared" si="124"/>
        <v>0</v>
      </c>
      <c r="J576">
        <f t="shared" si="125"/>
        <v>129099</v>
      </c>
      <c r="K576" s="4">
        <f t="shared" si="128"/>
        <v>3.5000000000000001E-3</v>
      </c>
      <c r="L576">
        <f t="shared" si="129"/>
        <v>0.02</v>
      </c>
      <c r="M576" s="4">
        <f t="shared" si="126"/>
        <v>451.84649999999999</v>
      </c>
      <c r="N576" s="4">
        <f t="shared" si="127"/>
        <v>2581.98</v>
      </c>
    </row>
    <row r="577" spans="1:14">
      <c r="A577" t="str">
        <f t="shared" si="116"/>
        <v>alp_AlwaysOn</v>
      </c>
      <c r="B577" t="str">
        <f t="shared" si="117"/>
        <v>br.yahoo.com</v>
      </c>
      <c r="C577" t="str">
        <f t="shared" si="118"/>
        <v>alp_AlwaysOn_yahoo_horizontal_native-ads_native_cpc_prospecting_nativeads_Polo-Prospect_na</v>
      </c>
      <c r="D577" t="str">
        <f t="shared" si="119"/>
        <v>234951501</v>
      </c>
      <c r="E577" t="str">
        <f t="shared" si="120"/>
        <v>Dynamic Click</v>
      </c>
      <c r="F577" t="str">
        <f t="shared" si="121"/>
        <v>alp_AlwaysOn_yahoo_horizontal_native-ads_native_cpc_prospecting_nativeads_Polo-Prospect_na</v>
      </c>
      <c r="G577" t="str">
        <f t="shared" si="122"/>
        <v>432383681</v>
      </c>
      <c r="H577" t="str">
        <f t="shared" si="123"/>
        <v>Tracking</v>
      </c>
      <c r="I577">
        <f t="shared" si="124"/>
        <v>0</v>
      </c>
      <c r="J577">
        <f t="shared" si="125"/>
        <v>7990</v>
      </c>
      <c r="K577" s="4">
        <f t="shared" si="128"/>
        <v>3.5000000000000001E-3</v>
      </c>
      <c r="L577">
        <f t="shared" si="129"/>
        <v>0.02</v>
      </c>
      <c r="M577" s="4">
        <f t="shared" si="126"/>
        <v>27.965</v>
      </c>
      <c r="N577" s="4">
        <f t="shared" si="127"/>
        <v>159.80000000000001</v>
      </c>
    </row>
    <row r="578" spans="1:14">
      <c r="A578" t="str">
        <f t="shared" ref="A578:A641" si="130">bd_campaign</f>
        <v>alp_AlwaysOn</v>
      </c>
      <c r="B578" t="str">
        <f t="shared" ref="B578:B641" si="131">bd_site</f>
        <v>br.yahoo.com</v>
      </c>
      <c r="C578" t="str">
        <f t="shared" ref="C578:C641" si="132">bd_placement</f>
        <v>alp_AlwaysOn_yahoo_horizontal_native-ads_native_cpc_prospecting_nativeads_Saveiro-Prospect_na</v>
      </c>
      <c r="D578" t="str">
        <f t="shared" ref="D578:D641" si="133">bd_placementID</f>
        <v>231859018</v>
      </c>
      <c r="E578" t="str">
        <f t="shared" ref="E578:E641" si="134">VLOOKUP(CONCATENATE(bd_adtype,"_",bd_creativetype),tabela,2,FALSE)</f>
        <v>Dynamic Click</v>
      </c>
      <c r="F578" t="str">
        <f t="shared" ref="F578:F641" si="135">bd_ad</f>
        <v>alp_AlwaysOn_yahoo_horizontal_native-ads_native_cpc_prospecting_nativeads_Saveiro-Prospect_na</v>
      </c>
      <c r="G578" t="str">
        <f t="shared" ref="G578:G641" si="136">bd_adid</f>
        <v>429612196</v>
      </c>
      <c r="H578" t="str">
        <f t="shared" ref="H578:H641" si="137">bd_creativetype</f>
        <v>Tracking</v>
      </c>
      <c r="I578">
        <f t="shared" ref="I578:I641" si="138">bd_impression</f>
        <v>0</v>
      </c>
      <c r="J578">
        <f t="shared" ref="J578:J641" si="139">bd_clicks</f>
        <v>258602</v>
      </c>
      <c r="K578" s="4">
        <f t="shared" si="128"/>
        <v>3.5000000000000001E-3</v>
      </c>
      <c r="L578">
        <f t="shared" si="129"/>
        <v>0.02</v>
      </c>
      <c r="M578" s="4">
        <f t="shared" si="126"/>
        <v>905.10699999999997</v>
      </c>
      <c r="N578" s="4">
        <f t="shared" si="127"/>
        <v>5172.04</v>
      </c>
    </row>
    <row r="579" spans="1:14">
      <c r="A579" t="str">
        <f t="shared" si="130"/>
        <v>alp_AlwaysOn</v>
      </c>
      <c r="B579" t="str">
        <f t="shared" si="131"/>
        <v>br.yahoo.com</v>
      </c>
      <c r="C579" t="str">
        <f t="shared" si="132"/>
        <v>alp_AlwaysOn_yahoo_horizontal_native-ads_native_cpc_prospecting_nativeads_SaveiroPepper-Prospect_na</v>
      </c>
      <c r="D579" t="str">
        <f t="shared" si="133"/>
        <v>231859012</v>
      </c>
      <c r="E579" t="str">
        <f t="shared" si="134"/>
        <v>Dynamic Click</v>
      </c>
      <c r="F579" t="str">
        <f t="shared" si="135"/>
        <v>alp_AlwaysOn_yahoo_horizontal_native-ads_native_cpc_prospecting_nativeads_SaveiroPepper-Prospect_na</v>
      </c>
      <c r="G579" t="str">
        <f t="shared" si="136"/>
        <v>429612190</v>
      </c>
      <c r="H579" t="str">
        <f t="shared" si="137"/>
        <v>Tracking</v>
      </c>
      <c r="I579">
        <f t="shared" si="138"/>
        <v>0</v>
      </c>
      <c r="J579">
        <f t="shared" si="139"/>
        <v>16388</v>
      </c>
      <c r="K579" s="4">
        <f t="shared" si="128"/>
        <v>3.5000000000000001E-3</v>
      </c>
      <c r="L579">
        <f t="shared" si="129"/>
        <v>0.02</v>
      </c>
      <c r="M579" s="4">
        <f t="shared" si="126"/>
        <v>57.358000000000004</v>
      </c>
      <c r="N579" s="4">
        <f t="shared" si="127"/>
        <v>327.76</v>
      </c>
    </row>
    <row r="580" spans="1:14">
      <c r="A580" t="str">
        <f t="shared" si="130"/>
        <v>alp_AlwaysOn</v>
      </c>
      <c r="B580" t="str">
        <f t="shared" si="131"/>
        <v>br.yahoo.com</v>
      </c>
      <c r="C580" t="str">
        <f t="shared" si="132"/>
        <v>alp_AlwaysOn_yahoo_horizontal_native-ads_native_cpc_prospecting_nativeads_SpaceFox-Prospect_na</v>
      </c>
      <c r="D580" t="str">
        <f t="shared" si="133"/>
        <v>231859006</v>
      </c>
      <c r="E580" t="str">
        <f t="shared" si="134"/>
        <v>Dynamic Click</v>
      </c>
      <c r="F580" t="str">
        <f t="shared" si="135"/>
        <v>alp_AlwaysOn_yahoo_horizontal_native-ads_native_cpc_prospecting_nativeads_SpaceFox-Prospect_na</v>
      </c>
      <c r="G580" t="str">
        <f t="shared" si="136"/>
        <v>429612184</v>
      </c>
      <c r="H580" t="str">
        <f t="shared" si="137"/>
        <v>Tracking</v>
      </c>
      <c r="I580">
        <f t="shared" si="138"/>
        <v>0</v>
      </c>
      <c r="J580">
        <f t="shared" si="139"/>
        <v>30</v>
      </c>
      <c r="K580" s="4">
        <f t="shared" si="128"/>
        <v>3.5000000000000001E-3</v>
      </c>
      <c r="L580">
        <f t="shared" si="129"/>
        <v>0.02</v>
      </c>
      <c r="M580" s="4">
        <f t="shared" si="126"/>
        <v>0.105</v>
      </c>
      <c r="N580" s="4">
        <f t="shared" si="127"/>
        <v>0.6</v>
      </c>
    </row>
    <row r="581" spans="1:14">
      <c r="A581" t="str">
        <f t="shared" si="130"/>
        <v>alp_AlwaysOn</v>
      </c>
      <c r="B581" t="str">
        <f t="shared" si="131"/>
        <v>br.yahoo.com</v>
      </c>
      <c r="C581" t="str">
        <f t="shared" si="132"/>
        <v>alp_AlwaysOn_yahoo_horizontal_native-ads_native_cpc_prospecting_nativeads_Tiguan-Prospect_na</v>
      </c>
      <c r="D581" t="str">
        <f t="shared" si="133"/>
        <v>232437867</v>
      </c>
      <c r="E581" t="str">
        <f t="shared" si="134"/>
        <v>Dynamic Click</v>
      </c>
      <c r="F581" t="str">
        <f t="shared" si="135"/>
        <v>alp_AlwaysOn_yahoo_horizontal_native-ads_native_cpc_prospecting_nativeads_Tiguan-Prospect_na</v>
      </c>
      <c r="G581" t="str">
        <f t="shared" si="136"/>
        <v>429893288</v>
      </c>
      <c r="H581" t="str">
        <f t="shared" si="137"/>
        <v>Tracking</v>
      </c>
      <c r="I581">
        <f t="shared" si="138"/>
        <v>0</v>
      </c>
      <c r="J581">
        <f t="shared" si="139"/>
        <v>208726</v>
      </c>
      <c r="K581" s="4">
        <f t="shared" si="128"/>
        <v>3.5000000000000001E-3</v>
      </c>
      <c r="L581">
        <f t="shared" si="129"/>
        <v>0.02</v>
      </c>
      <c r="M581" s="4">
        <f t="shared" si="126"/>
        <v>730.54100000000005</v>
      </c>
      <c r="N581" s="4">
        <f t="shared" si="127"/>
        <v>4174.5200000000004</v>
      </c>
    </row>
    <row r="582" spans="1:14">
      <c r="A582" t="str">
        <f t="shared" si="130"/>
        <v>alp_AlwaysOn</v>
      </c>
      <c r="B582" t="str">
        <f t="shared" si="131"/>
        <v>br.yahoo.com</v>
      </c>
      <c r="C582" t="str">
        <f t="shared" si="132"/>
        <v>alp_AlwaysOn_yahoo_horizontal_native-ads_native_cpc_prospecting_nativeads_UP-Prospect_na</v>
      </c>
      <c r="D582" t="str">
        <f t="shared" si="133"/>
        <v>231859000</v>
      </c>
      <c r="E582" t="str">
        <f t="shared" si="134"/>
        <v>Dynamic Click</v>
      </c>
      <c r="F582" t="str">
        <f t="shared" si="135"/>
        <v>alp_AlwaysOn_yahoo_horizontal_native-ads_native_cpc_remarketing_nativeads_Tiguan-Rmkt_na</v>
      </c>
      <c r="G582" t="str">
        <f t="shared" si="136"/>
        <v>429612178</v>
      </c>
      <c r="H582" t="str">
        <f t="shared" si="137"/>
        <v>Tracking</v>
      </c>
      <c r="I582">
        <f t="shared" si="138"/>
        <v>0</v>
      </c>
      <c r="J582">
        <f t="shared" si="139"/>
        <v>17133</v>
      </c>
      <c r="K582" s="4">
        <f t="shared" si="128"/>
        <v>3.5000000000000001E-3</v>
      </c>
      <c r="L582">
        <f t="shared" si="129"/>
        <v>0.02</v>
      </c>
      <c r="M582" s="4">
        <f t="shared" si="126"/>
        <v>59.965499999999999</v>
      </c>
      <c r="N582" s="4">
        <f t="shared" si="127"/>
        <v>342.66</v>
      </c>
    </row>
    <row r="583" spans="1:14">
      <c r="A583" t="str">
        <f t="shared" si="130"/>
        <v>alp_AlwaysOn</v>
      </c>
      <c r="B583" t="str">
        <f t="shared" si="131"/>
        <v>br.yahoo.com</v>
      </c>
      <c r="C583" t="str">
        <f t="shared" si="132"/>
        <v>alp_AlwaysOn_yahoo_horizontal_native-ads_native_cpc_prospecting_nativeads_UPPepper-Prospect_na</v>
      </c>
      <c r="D583" t="str">
        <f t="shared" si="133"/>
        <v>231858997</v>
      </c>
      <c r="E583" t="str">
        <f t="shared" si="134"/>
        <v>Dynamic Click</v>
      </c>
      <c r="F583" t="str">
        <f t="shared" si="135"/>
        <v>alp_AlwaysOn_yahoo_horizontal_native-ads_native_cpc_prospecting_nativeads_UPPepper-Prospect_na</v>
      </c>
      <c r="G583" t="str">
        <f t="shared" si="136"/>
        <v>429612175</v>
      </c>
      <c r="H583" t="str">
        <f t="shared" si="137"/>
        <v>Tracking</v>
      </c>
      <c r="I583">
        <f t="shared" si="138"/>
        <v>0</v>
      </c>
      <c r="J583">
        <f t="shared" si="139"/>
        <v>17380</v>
      </c>
      <c r="K583" s="4">
        <f t="shared" si="128"/>
        <v>3.5000000000000001E-3</v>
      </c>
      <c r="L583">
        <f t="shared" si="129"/>
        <v>0.02</v>
      </c>
      <c r="M583" s="4">
        <f t="shared" si="126"/>
        <v>60.83</v>
      </c>
      <c r="N583" s="4">
        <f t="shared" si="127"/>
        <v>347.6</v>
      </c>
    </row>
    <row r="584" spans="1:14">
      <c r="A584" t="str">
        <f t="shared" si="130"/>
        <v>alp_AlwaysOn</v>
      </c>
      <c r="B584" t="str">
        <f t="shared" si="131"/>
        <v>br.yahoo.com</v>
      </c>
      <c r="C584" t="str">
        <f t="shared" si="132"/>
        <v>alp_AlwaysOn_yahoo_horizontal_native-ads_native_cpc_prospecting_nativeads_Voyage-Prospect_na</v>
      </c>
      <c r="D584" t="str">
        <f t="shared" si="133"/>
        <v>231858991</v>
      </c>
      <c r="E584" t="str">
        <f t="shared" si="134"/>
        <v>Dynamic Click</v>
      </c>
      <c r="F584" t="str">
        <f t="shared" si="135"/>
        <v>alp_AlwaysOn_yahoo_horizontal_native-ads_native_cpc_prospecting_nativeads_Voyage-Prospect_na</v>
      </c>
      <c r="G584" t="str">
        <f t="shared" si="136"/>
        <v>429612169</v>
      </c>
      <c r="H584" t="str">
        <f t="shared" si="137"/>
        <v>Tracking</v>
      </c>
      <c r="I584">
        <f t="shared" si="138"/>
        <v>0</v>
      </c>
      <c r="J584">
        <f t="shared" si="139"/>
        <v>16791</v>
      </c>
      <c r="K584" s="4">
        <f t="shared" si="128"/>
        <v>3.5000000000000001E-3</v>
      </c>
      <c r="L584">
        <f t="shared" si="129"/>
        <v>0.02</v>
      </c>
      <c r="M584" s="4">
        <f t="shared" si="126"/>
        <v>58.768500000000003</v>
      </c>
      <c r="N584" s="4">
        <f t="shared" si="127"/>
        <v>335.82</v>
      </c>
    </row>
    <row r="585" spans="1:14">
      <c r="A585" t="str">
        <f t="shared" si="130"/>
        <v>alp_AlwaysOn</v>
      </c>
      <c r="B585" t="str">
        <f t="shared" si="131"/>
        <v>br.yahoo.com</v>
      </c>
      <c r="C585" t="str">
        <f t="shared" si="132"/>
        <v>alp_AlwaysOn_yahoo_horizontal_native-ads_native_cpc_remarketing_nativeads_FoxConnect-Rmkt_na</v>
      </c>
      <c r="D585" t="str">
        <f t="shared" si="133"/>
        <v>231858988</v>
      </c>
      <c r="E585" t="str">
        <f t="shared" si="134"/>
        <v>Dynamic Click</v>
      </c>
      <c r="F585" t="str">
        <f t="shared" si="135"/>
        <v>alp_AlwaysOn_yahoo_horizontal_native-ads_native_cpc_remarketing_nativeads_FoxConnect-Rmkt_na</v>
      </c>
      <c r="G585" t="str">
        <f t="shared" si="136"/>
        <v>429612166</v>
      </c>
      <c r="H585" t="str">
        <f t="shared" si="137"/>
        <v>Tracking</v>
      </c>
      <c r="I585">
        <f t="shared" si="138"/>
        <v>0</v>
      </c>
      <c r="J585">
        <f t="shared" si="139"/>
        <v>909</v>
      </c>
      <c r="K585" s="4">
        <f t="shared" si="128"/>
        <v>3.5000000000000001E-3</v>
      </c>
      <c r="L585">
        <f t="shared" si="129"/>
        <v>0.02</v>
      </c>
      <c r="M585" s="4">
        <f t="shared" si="126"/>
        <v>3.1815000000000002</v>
      </c>
      <c r="N585" s="4">
        <f t="shared" si="127"/>
        <v>18.18</v>
      </c>
    </row>
    <row r="586" spans="1:14">
      <c r="A586" t="str">
        <f t="shared" si="130"/>
        <v>alp_AlwaysOn</v>
      </c>
      <c r="B586" t="str">
        <f t="shared" si="131"/>
        <v>br.yahoo.com</v>
      </c>
      <c r="C586" t="str">
        <f t="shared" si="132"/>
        <v>alp_AlwaysOn_yahoo_horizontal_native-ads_native_cpc_remarketing_nativeads_FoxXtreme-Rmkt_na</v>
      </c>
      <c r="D586" t="str">
        <f t="shared" si="133"/>
        <v>231858985</v>
      </c>
      <c r="E586" t="str">
        <f t="shared" si="134"/>
        <v>Dynamic Click</v>
      </c>
      <c r="F586" t="str">
        <f t="shared" si="135"/>
        <v>alp_AlwaysOn_yahoo_horizontal_native-ads_native_cpc_remarketing_nativeads_FoxXtreme-Rmkt_na</v>
      </c>
      <c r="G586" t="str">
        <f t="shared" si="136"/>
        <v>429612163</v>
      </c>
      <c r="H586" t="str">
        <f t="shared" si="137"/>
        <v>Tracking</v>
      </c>
      <c r="I586">
        <f t="shared" si="138"/>
        <v>0</v>
      </c>
      <c r="J586">
        <f t="shared" si="139"/>
        <v>4349</v>
      </c>
      <c r="K586" s="4">
        <f t="shared" si="128"/>
        <v>3.5000000000000001E-3</v>
      </c>
      <c r="L586">
        <f t="shared" si="129"/>
        <v>0.02</v>
      </c>
      <c r="M586" s="4">
        <f t="shared" si="126"/>
        <v>15.221500000000001</v>
      </c>
      <c r="N586" s="4">
        <f t="shared" si="127"/>
        <v>86.98</v>
      </c>
    </row>
    <row r="587" spans="1:14">
      <c r="A587" t="str">
        <f t="shared" si="130"/>
        <v>alp_AlwaysOn</v>
      </c>
      <c r="B587" t="str">
        <f t="shared" si="131"/>
        <v>br.yahoo.com</v>
      </c>
      <c r="C587" t="str">
        <f t="shared" si="132"/>
        <v>alp_AlwaysOn_yahoo_horizontal_native-ads_native_cpc_remarketing_nativeads_Gol-Rmkt_na</v>
      </c>
      <c r="D587" t="str">
        <f t="shared" si="133"/>
        <v>231858982</v>
      </c>
      <c r="E587" t="str">
        <f t="shared" si="134"/>
        <v>Dynamic Click</v>
      </c>
      <c r="F587" t="str">
        <f t="shared" si="135"/>
        <v>alp_AlwaysOn_yahoo_horizontal_native-ads_native_cpc_remarketing_nativeads_Gol-Rmkt_na</v>
      </c>
      <c r="G587" t="str">
        <f t="shared" si="136"/>
        <v>429612160</v>
      </c>
      <c r="H587" t="str">
        <f t="shared" si="137"/>
        <v>Tracking</v>
      </c>
      <c r="I587">
        <f t="shared" si="138"/>
        <v>0</v>
      </c>
      <c r="J587">
        <f t="shared" si="139"/>
        <v>3083</v>
      </c>
      <c r="K587" s="4">
        <f t="shared" si="128"/>
        <v>3.5000000000000001E-3</v>
      </c>
      <c r="L587">
        <f t="shared" si="129"/>
        <v>0.02</v>
      </c>
      <c r="M587" s="4">
        <f t="shared" si="126"/>
        <v>10.7905</v>
      </c>
      <c r="N587" s="4">
        <f t="shared" si="127"/>
        <v>61.660000000000004</v>
      </c>
    </row>
    <row r="588" spans="1:14">
      <c r="A588" t="str">
        <f t="shared" si="130"/>
        <v>alp_AlwaysOn</v>
      </c>
      <c r="B588" t="str">
        <f t="shared" si="131"/>
        <v>br.yahoo.com</v>
      </c>
      <c r="C588" t="str">
        <f t="shared" si="132"/>
        <v>alp_AlwaysOn_yahoo_horizontal_native-ads_native_cpc_remarketing_nativeads_Golf-Rmkt_na</v>
      </c>
      <c r="D588" t="str">
        <f t="shared" si="133"/>
        <v>231858979</v>
      </c>
      <c r="E588" t="str">
        <f t="shared" si="134"/>
        <v>Dynamic Click</v>
      </c>
      <c r="F588" t="str">
        <f t="shared" si="135"/>
        <v>alp_AlwaysOn_yahoo_horizontal_native-ads_native_cpc_remarketing_nativeads_Golf-Rmkt_na</v>
      </c>
      <c r="G588" t="str">
        <f t="shared" si="136"/>
        <v>429612157</v>
      </c>
      <c r="H588" t="str">
        <f t="shared" si="137"/>
        <v>Tracking</v>
      </c>
      <c r="I588">
        <f t="shared" si="138"/>
        <v>0</v>
      </c>
      <c r="J588">
        <f t="shared" si="139"/>
        <v>1</v>
      </c>
      <c r="K588" s="4">
        <f t="shared" si="128"/>
        <v>3.5000000000000001E-3</v>
      </c>
      <c r="L588">
        <f t="shared" si="129"/>
        <v>0.02</v>
      </c>
      <c r="M588" s="4">
        <f t="shared" si="126"/>
        <v>3.5000000000000001E-3</v>
      </c>
      <c r="N588" s="4">
        <f t="shared" si="127"/>
        <v>0.02</v>
      </c>
    </row>
    <row r="589" spans="1:14">
      <c r="A589" t="str">
        <f t="shared" si="130"/>
        <v>alp_AlwaysOn</v>
      </c>
      <c r="B589" t="str">
        <f t="shared" si="131"/>
        <v>br.yahoo.com</v>
      </c>
      <c r="C589" t="str">
        <f t="shared" si="132"/>
        <v>alp_AlwaysOn_yahoo_horizontal_native-ads_native_cpc_remarketing_nativeads_Jetta-Rmkt_na</v>
      </c>
      <c r="D589" t="str">
        <f t="shared" si="133"/>
        <v>240445505</v>
      </c>
      <c r="E589" t="str">
        <f t="shared" si="134"/>
        <v>Dynamic Click</v>
      </c>
      <c r="F589" t="str">
        <f t="shared" si="135"/>
        <v>alp_AlwaysOn_yahoo_horizontal_native-ads_native_cpc_remarketing_nativeads_Jetta-Rmkt_na</v>
      </c>
      <c r="G589" t="str">
        <f t="shared" si="136"/>
        <v>437442315</v>
      </c>
      <c r="H589" t="str">
        <f t="shared" si="137"/>
        <v>Tracking</v>
      </c>
      <c r="I589">
        <f t="shared" si="138"/>
        <v>0</v>
      </c>
      <c r="J589">
        <f t="shared" si="139"/>
        <v>3135</v>
      </c>
      <c r="K589" s="4">
        <f t="shared" si="128"/>
        <v>3.5000000000000001E-3</v>
      </c>
      <c r="L589">
        <f t="shared" si="129"/>
        <v>0.02</v>
      </c>
      <c r="M589" s="4">
        <f t="shared" si="126"/>
        <v>10.9725</v>
      </c>
      <c r="N589" s="4">
        <f t="shared" si="127"/>
        <v>62.7</v>
      </c>
    </row>
    <row r="590" spans="1:14">
      <c r="A590" t="str">
        <f t="shared" si="130"/>
        <v>alp_AlwaysOn</v>
      </c>
      <c r="B590" t="str">
        <f t="shared" si="131"/>
        <v>br.yahoo.com</v>
      </c>
      <c r="C590" t="str">
        <f t="shared" si="132"/>
        <v>alp_AlwaysOn_yahoo_horizontal_native-ads_native_cpc_remarketing_nativeads_Passat-Rmkt_na</v>
      </c>
      <c r="D590" t="str">
        <f t="shared" si="133"/>
        <v>231859045</v>
      </c>
      <c r="E590" t="str">
        <f t="shared" si="134"/>
        <v>Dynamic Click</v>
      </c>
      <c r="F590" t="str">
        <f t="shared" si="135"/>
        <v>alp_AlwaysOn_yahoo_horizontal_native-ads_native_cpc_remarketing_nativeads_Passat-Rmkt_na</v>
      </c>
      <c r="G590" t="str">
        <f t="shared" si="136"/>
        <v>429612223</v>
      </c>
      <c r="H590" t="str">
        <f t="shared" si="137"/>
        <v>Tracking</v>
      </c>
      <c r="I590">
        <f t="shared" si="138"/>
        <v>0</v>
      </c>
      <c r="J590">
        <f t="shared" si="139"/>
        <v>2210</v>
      </c>
      <c r="K590" s="4">
        <f t="shared" si="128"/>
        <v>3.5000000000000001E-3</v>
      </c>
      <c r="L590">
        <f t="shared" si="129"/>
        <v>0.02</v>
      </c>
      <c r="M590" s="4">
        <f t="shared" si="126"/>
        <v>7.7350000000000003</v>
      </c>
      <c r="N590" s="4">
        <f t="shared" si="127"/>
        <v>44.2</v>
      </c>
    </row>
    <row r="591" spans="1:14">
      <c r="A591" t="str">
        <f t="shared" si="130"/>
        <v>alp_AlwaysOn</v>
      </c>
      <c r="B591" t="str">
        <f t="shared" si="131"/>
        <v>br.yahoo.com</v>
      </c>
      <c r="C591" t="str">
        <f t="shared" si="132"/>
        <v>alp_AlwaysOn_yahoo_horizontal_native-ads_native_cpc_remarketing_nativeads_Polo-Rmkt_na</v>
      </c>
      <c r="D591" t="str">
        <f t="shared" si="133"/>
        <v>234719206</v>
      </c>
      <c r="E591" t="str">
        <f t="shared" si="134"/>
        <v>Dynamic Click</v>
      </c>
      <c r="F591" t="str">
        <f t="shared" si="135"/>
        <v>alp_AlwaysOn_yahoo_horizontal_native-ads_native_cpc_remarketing_nativeads_Polo-Rmkt_na</v>
      </c>
      <c r="G591" t="str">
        <f t="shared" si="136"/>
        <v>432385925</v>
      </c>
      <c r="H591" t="str">
        <f t="shared" si="137"/>
        <v>Tracking</v>
      </c>
      <c r="I591">
        <f t="shared" si="138"/>
        <v>0</v>
      </c>
      <c r="J591">
        <f t="shared" si="139"/>
        <v>2171</v>
      </c>
      <c r="K591" s="4">
        <f t="shared" si="128"/>
        <v>3.5000000000000001E-3</v>
      </c>
      <c r="L591">
        <f t="shared" si="129"/>
        <v>0.02</v>
      </c>
      <c r="M591" s="4">
        <f t="shared" si="126"/>
        <v>7.5985000000000005</v>
      </c>
      <c r="N591" s="4">
        <f t="shared" si="127"/>
        <v>43.42</v>
      </c>
    </row>
    <row r="592" spans="1:14">
      <c r="A592" t="str">
        <f t="shared" si="130"/>
        <v>alp_AlwaysOn</v>
      </c>
      <c r="B592" t="str">
        <f t="shared" si="131"/>
        <v>br.yahoo.com</v>
      </c>
      <c r="C592" t="str">
        <f t="shared" si="132"/>
        <v>alp_AlwaysOn_yahoo_horizontal_native-ads_native_cpc_remarketing_nativeads_Saveiro-Rmkt_na</v>
      </c>
      <c r="D592" t="str">
        <f t="shared" si="133"/>
        <v>231859039</v>
      </c>
      <c r="E592" t="str">
        <f t="shared" si="134"/>
        <v>Dynamic Click</v>
      </c>
      <c r="F592" t="str">
        <f t="shared" si="135"/>
        <v>alp_AlwaysOn_yahoo_horizontal_native-ads_native_cpc_remarketing_nativeads_Saveiro-Rmkt_na</v>
      </c>
      <c r="G592" t="str">
        <f t="shared" si="136"/>
        <v>429612217</v>
      </c>
      <c r="H592" t="str">
        <f t="shared" si="137"/>
        <v>Tracking</v>
      </c>
      <c r="I592">
        <f t="shared" si="138"/>
        <v>0</v>
      </c>
      <c r="J592">
        <f t="shared" si="139"/>
        <v>3878</v>
      </c>
      <c r="K592" s="4">
        <f t="shared" si="128"/>
        <v>3.5000000000000001E-3</v>
      </c>
      <c r="L592">
        <f t="shared" si="129"/>
        <v>0.02</v>
      </c>
      <c r="M592" s="4">
        <f t="shared" si="126"/>
        <v>13.573</v>
      </c>
      <c r="N592" s="4">
        <f t="shared" si="127"/>
        <v>77.56</v>
      </c>
    </row>
    <row r="593" spans="1:14">
      <c r="A593" t="str">
        <f t="shared" si="130"/>
        <v>alp_AlwaysOn</v>
      </c>
      <c r="B593" t="str">
        <f t="shared" si="131"/>
        <v>br.yahoo.com</v>
      </c>
      <c r="C593" t="str">
        <f t="shared" si="132"/>
        <v>alp_AlwaysOn_yahoo_horizontal_native-ads_native_cpc_remarketing_nativeads_SaveiroPepper-Rmkt_na</v>
      </c>
      <c r="D593" t="str">
        <f t="shared" si="133"/>
        <v>231859033</v>
      </c>
      <c r="E593" t="str">
        <f t="shared" si="134"/>
        <v>Dynamic Click</v>
      </c>
      <c r="F593" t="str">
        <f t="shared" si="135"/>
        <v>alp_AlwaysOn_yahoo_horizontal_native-ads_native_cpc_remarketing_nativeads_SaveiroPepper-Rmkt_na</v>
      </c>
      <c r="G593" t="str">
        <f t="shared" si="136"/>
        <v>429612211</v>
      </c>
      <c r="H593" t="str">
        <f t="shared" si="137"/>
        <v>Tracking</v>
      </c>
      <c r="I593">
        <f t="shared" si="138"/>
        <v>0</v>
      </c>
      <c r="J593">
        <f t="shared" si="139"/>
        <v>4131</v>
      </c>
      <c r="K593" s="4">
        <f t="shared" si="128"/>
        <v>3.5000000000000001E-3</v>
      </c>
      <c r="L593">
        <f t="shared" si="129"/>
        <v>0.02</v>
      </c>
      <c r="M593" s="4">
        <f t="shared" si="126"/>
        <v>14.458500000000001</v>
      </c>
      <c r="N593" s="4">
        <f t="shared" si="127"/>
        <v>82.62</v>
      </c>
    </row>
    <row r="594" spans="1:14">
      <c r="A594" t="str">
        <f t="shared" si="130"/>
        <v>alp_AlwaysOn</v>
      </c>
      <c r="B594" t="str">
        <f t="shared" si="131"/>
        <v>br.yahoo.com</v>
      </c>
      <c r="C594" t="str">
        <f t="shared" si="132"/>
        <v>alp_AlwaysOn_yahoo_horizontal_native-ads_native_cpc_remarketing_nativeads_Tiguan-Rmkt_na</v>
      </c>
      <c r="D594" t="str">
        <f t="shared" si="133"/>
        <v>232437864</v>
      </c>
      <c r="E594" t="str">
        <f t="shared" si="134"/>
        <v>Dynamic Click</v>
      </c>
      <c r="F594" t="str">
        <f t="shared" si="135"/>
        <v>alp_AlwaysOn_yahoo_horizontal_native-ads_native_cpc_remarketing_nativeads_Tiguan-Rmkt_na</v>
      </c>
      <c r="G594" t="str">
        <f t="shared" si="136"/>
        <v>429612178</v>
      </c>
      <c r="H594" t="str">
        <f t="shared" si="137"/>
        <v>Tracking</v>
      </c>
      <c r="I594">
        <f t="shared" si="138"/>
        <v>0</v>
      </c>
      <c r="J594">
        <f t="shared" si="139"/>
        <v>3394</v>
      </c>
      <c r="K594" s="4">
        <f t="shared" si="128"/>
        <v>3.5000000000000001E-3</v>
      </c>
      <c r="L594">
        <f t="shared" si="129"/>
        <v>0.02</v>
      </c>
      <c r="M594" s="4">
        <f t="shared" si="126"/>
        <v>11.879</v>
      </c>
      <c r="N594" s="4">
        <f t="shared" si="127"/>
        <v>67.88</v>
      </c>
    </row>
    <row r="595" spans="1:14">
      <c r="A595" t="str">
        <f t="shared" si="130"/>
        <v>alp_AlwaysOn</v>
      </c>
      <c r="B595" t="str">
        <f t="shared" si="131"/>
        <v>br.yahoo.com</v>
      </c>
      <c r="C595" t="str">
        <f t="shared" si="132"/>
        <v>alp_AlwaysOn_yahoo_horizontal_native-ads_native_cpc_remarketing_nativeads_UP-Rmkt_na</v>
      </c>
      <c r="D595" t="str">
        <f t="shared" si="133"/>
        <v>231859021</v>
      </c>
      <c r="E595" t="str">
        <f t="shared" si="134"/>
        <v>Dynamic Click</v>
      </c>
      <c r="F595" t="str">
        <f t="shared" si="135"/>
        <v>alp_AlwaysOn_yahoo_horizontal_native-ads_native_cpc_remarketing_nativeads_UP-Rmkt_na</v>
      </c>
      <c r="G595" t="str">
        <f t="shared" si="136"/>
        <v>429612199</v>
      </c>
      <c r="H595" t="str">
        <f t="shared" si="137"/>
        <v>Tracking</v>
      </c>
      <c r="I595">
        <f t="shared" si="138"/>
        <v>0</v>
      </c>
      <c r="J595">
        <f t="shared" si="139"/>
        <v>1336</v>
      </c>
      <c r="K595" s="4">
        <f t="shared" si="128"/>
        <v>3.5000000000000001E-3</v>
      </c>
      <c r="L595">
        <f t="shared" si="129"/>
        <v>0.02</v>
      </c>
      <c r="M595" s="4">
        <f t="shared" si="126"/>
        <v>4.6760000000000002</v>
      </c>
      <c r="N595" s="4">
        <f t="shared" si="127"/>
        <v>26.72</v>
      </c>
    </row>
    <row r="596" spans="1:14">
      <c r="A596" t="str">
        <f t="shared" si="130"/>
        <v>alp_AlwaysOn</v>
      </c>
      <c r="B596" t="str">
        <f t="shared" si="131"/>
        <v>br.yahoo.com</v>
      </c>
      <c r="C596" t="str">
        <f t="shared" si="132"/>
        <v>alp_AlwaysOn_yahoo_horizontal_native-ads_native_cpc_remarketing_nativeads_UPPepper-Rmkt_na</v>
      </c>
      <c r="D596" t="str">
        <f t="shared" si="133"/>
        <v>231859015</v>
      </c>
      <c r="E596" t="str">
        <f t="shared" si="134"/>
        <v>Dynamic Click</v>
      </c>
      <c r="F596" t="str">
        <f t="shared" si="135"/>
        <v>alp_AlwaysOn_yahoo_horizontal_native-ads_native_cpc_remarketing_nativeads_UPPepper-Rmkt_na</v>
      </c>
      <c r="G596" t="str">
        <f t="shared" si="136"/>
        <v>429612193</v>
      </c>
      <c r="H596" t="str">
        <f t="shared" si="137"/>
        <v>Tracking</v>
      </c>
      <c r="I596">
        <f t="shared" si="138"/>
        <v>0</v>
      </c>
      <c r="J596">
        <f t="shared" si="139"/>
        <v>2896</v>
      </c>
      <c r="K596" s="4">
        <f t="shared" si="128"/>
        <v>3.5000000000000001E-3</v>
      </c>
      <c r="L596">
        <f t="shared" si="129"/>
        <v>0.02</v>
      </c>
      <c r="M596" s="4">
        <f t="shared" si="126"/>
        <v>10.136000000000001</v>
      </c>
      <c r="N596" s="4">
        <f t="shared" si="127"/>
        <v>57.92</v>
      </c>
    </row>
    <row r="597" spans="1:14">
      <c r="A597" t="str">
        <f t="shared" si="130"/>
        <v>alp_AlwaysOn</v>
      </c>
      <c r="B597" t="str">
        <f t="shared" si="131"/>
        <v>br.yahoo.com</v>
      </c>
      <c r="C597" t="str">
        <f t="shared" si="132"/>
        <v>alp_AlwaysOn_yahoo_horizontal_native-ads_native_cpc_remarketing_nativeads_Virtus-Rmkt_na</v>
      </c>
      <c r="D597" t="str">
        <f t="shared" si="133"/>
        <v>231859009</v>
      </c>
      <c r="E597" t="str">
        <f t="shared" si="134"/>
        <v>Dynamic Click</v>
      </c>
      <c r="F597" t="str">
        <f t="shared" si="135"/>
        <v>alp_AlwaysOn_yahoo_horizontal_native-ads_native_cpc_remarketing_nativeads_Virtus-Rmkt_na</v>
      </c>
      <c r="G597" t="str">
        <f t="shared" si="136"/>
        <v>429612187</v>
      </c>
      <c r="H597" t="str">
        <f t="shared" si="137"/>
        <v>Tracking</v>
      </c>
      <c r="I597">
        <f t="shared" si="138"/>
        <v>0</v>
      </c>
      <c r="J597">
        <f t="shared" si="139"/>
        <v>3891</v>
      </c>
      <c r="K597" s="4">
        <f t="shared" si="128"/>
        <v>3.5000000000000001E-3</v>
      </c>
      <c r="L597">
        <f t="shared" si="129"/>
        <v>0.02</v>
      </c>
      <c r="M597" s="4">
        <f t="shared" si="126"/>
        <v>13.618500000000001</v>
      </c>
      <c r="N597" s="4">
        <f t="shared" si="127"/>
        <v>77.820000000000007</v>
      </c>
    </row>
    <row r="598" spans="1:14">
      <c r="A598" t="str">
        <f t="shared" si="130"/>
        <v>alp_AlwaysOn</v>
      </c>
      <c r="B598" t="str">
        <f t="shared" si="131"/>
        <v>br.yahoo.com</v>
      </c>
      <c r="C598" t="str">
        <f t="shared" si="132"/>
        <v>alp_AlwaysOn_yahoo_horizontal_native-ads_native_cpc_remarketing_nativeads_Voyage-Rmkt_na</v>
      </c>
      <c r="D598" t="str">
        <f t="shared" si="133"/>
        <v>231859003</v>
      </c>
      <c r="E598" t="str">
        <f t="shared" si="134"/>
        <v>Dynamic Click</v>
      </c>
      <c r="F598" t="str">
        <f t="shared" si="135"/>
        <v>alp_AlwaysOn_yahoo_horizontal_native-ads_native_cpc_remarketing_nativeads_Voyage-Rmkt_na</v>
      </c>
      <c r="G598" t="str">
        <f t="shared" si="136"/>
        <v>429612181</v>
      </c>
      <c r="H598" t="str">
        <f t="shared" si="137"/>
        <v>Tracking</v>
      </c>
      <c r="I598">
        <f t="shared" si="138"/>
        <v>0</v>
      </c>
      <c r="J598">
        <f t="shared" si="139"/>
        <v>6351</v>
      </c>
      <c r="K598" s="4">
        <f t="shared" si="128"/>
        <v>3.5000000000000001E-3</v>
      </c>
      <c r="L598">
        <f t="shared" si="129"/>
        <v>0.02</v>
      </c>
      <c r="M598" s="4">
        <f t="shared" si="126"/>
        <v>22.2285</v>
      </c>
      <c r="N598" s="4">
        <f t="shared" si="127"/>
        <v>127.02</v>
      </c>
    </row>
    <row r="599" spans="1:14">
      <c r="A599" t="str">
        <f t="shared" si="130"/>
        <v>alp_AlwaysOn</v>
      </c>
      <c r="B599" t="str">
        <f t="shared" si="131"/>
        <v>br.yahoo.com</v>
      </c>
      <c r="C599" t="str">
        <f t="shared" si="132"/>
        <v>alp_AlwaysOn_yahoo_horizontal_varejo_native_cpc_prospecting_nativeads_Ano-Novo_na</v>
      </c>
      <c r="D599" t="str">
        <f t="shared" si="133"/>
        <v>238224975</v>
      </c>
      <c r="E599" t="str">
        <f t="shared" si="134"/>
        <v>Dynamic Click</v>
      </c>
      <c r="F599" t="str">
        <f t="shared" si="135"/>
        <v>alp_AlwaysOn_yahoo_horizontal_varejo_native_cpc_prospecting_nativeads_Ano-Novo_na</v>
      </c>
      <c r="G599" t="str">
        <f t="shared" si="136"/>
        <v>435151752</v>
      </c>
      <c r="H599" t="str">
        <f t="shared" si="137"/>
        <v>Tracking</v>
      </c>
      <c r="I599">
        <f t="shared" si="138"/>
        <v>0</v>
      </c>
      <c r="J599">
        <f t="shared" si="139"/>
        <v>1</v>
      </c>
      <c r="K599" s="4">
        <f t="shared" si="128"/>
        <v>3.5000000000000001E-3</v>
      </c>
      <c r="L599">
        <f t="shared" si="129"/>
        <v>0.02</v>
      </c>
      <c r="M599" s="4">
        <f t="shared" si="126"/>
        <v>3.5000000000000001E-3</v>
      </c>
      <c r="N599" s="4">
        <f t="shared" si="127"/>
        <v>0.02</v>
      </c>
    </row>
    <row r="600" spans="1:14">
      <c r="A600" t="str">
        <f t="shared" si="130"/>
        <v>alp_AlwaysOn</v>
      </c>
      <c r="B600" t="str">
        <f t="shared" si="131"/>
        <v>br.yahoo.com</v>
      </c>
      <c r="C600" t="str">
        <f t="shared" si="132"/>
        <v>alp_AlwaysOn_yahoo_horizontal_varejo_native_cpc_remarketing_nativeads_Ano-Novo_na</v>
      </c>
      <c r="D600" t="str">
        <f t="shared" si="133"/>
        <v>238228341</v>
      </c>
      <c r="E600" t="str">
        <f t="shared" si="134"/>
        <v>Dynamic Click</v>
      </c>
      <c r="F600" t="str">
        <f t="shared" si="135"/>
        <v>alp_AlwaysOn_yahoo_horizontal_varejo_native_cpc_remarketing_nativeads_Ano-Novo_na</v>
      </c>
      <c r="G600" t="str">
        <f t="shared" si="136"/>
        <v>435257164</v>
      </c>
      <c r="H600" t="str">
        <f t="shared" si="137"/>
        <v>Tracking</v>
      </c>
      <c r="I600">
        <f t="shared" si="138"/>
        <v>0</v>
      </c>
      <c r="J600">
        <f t="shared" si="139"/>
        <v>5</v>
      </c>
      <c r="K600" s="4">
        <f t="shared" si="128"/>
        <v>3.5000000000000001E-3</v>
      </c>
      <c r="L600">
        <f t="shared" si="129"/>
        <v>0.02</v>
      </c>
      <c r="M600" s="4">
        <f t="shared" si="126"/>
        <v>1.7500000000000002E-2</v>
      </c>
      <c r="N600" s="4">
        <f t="shared" si="127"/>
        <v>0.1</v>
      </c>
    </row>
    <row r="601" spans="1:14">
      <c r="A601" t="str">
        <f t="shared" si="130"/>
        <v>alp_AlwaysOn-DPA</v>
      </c>
      <c r="B601" t="str">
        <f t="shared" si="131"/>
        <v>Facebook</v>
      </c>
      <c r="C601" t="str">
        <f t="shared" si="132"/>
        <v>always-on-dpa-retarget|facebook|ros|dpa|varejo_nacional_facebook_dpa_retarget_voyage|por</v>
      </c>
      <c r="D601" t="str">
        <f t="shared" si="133"/>
        <v>124153027</v>
      </c>
      <c r="E601" t="str">
        <f t="shared" si="134"/>
        <v>Dynamic Click</v>
      </c>
      <c r="F601" t="str">
        <f t="shared" si="135"/>
        <v>always-on-dpa-retarget|facebook|ros|dpa|varejo_nacional_facebook_dpa_retarget_voyage|por</v>
      </c>
      <c r="G601" t="str">
        <f t="shared" si="136"/>
        <v>297102056</v>
      </c>
      <c r="H601" t="str">
        <f t="shared" si="137"/>
        <v>(not set)</v>
      </c>
      <c r="I601">
        <f t="shared" si="138"/>
        <v>0</v>
      </c>
      <c r="J601">
        <f t="shared" si="139"/>
        <v>1</v>
      </c>
      <c r="K601" s="4">
        <f t="shared" si="128"/>
        <v>3.5000000000000001E-3</v>
      </c>
      <c r="L601">
        <f t="shared" si="129"/>
        <v>0.02</v>
      </c>
      <c r="M601" s="4">
        <f t="shared" si="126"/>
        <v>3.5000000000000001E-3</v>
      </c>
      <c r="N601" s="4">
        <f t="shared" si="127"/>
        <v>0.02</v>
      </c>
    </row>
    <row r="602" spans="1:14">
      <c r="A602" t="str">
        <f t="shared" si="130"/>
        <v>alp_AlwaysOn_DBM-Estrutura-2015</v>
      </c>
      <c r="B602" t="str">
        <f t="shared" si="131"/>
        <v>Google Brasil</v>
      </c>
      <c r="C602" t="str">
        <f t="shared" si="132"/>
        <v>always-on-Medio|google|dbm|120x600</v>
      </c>
      <c r="D602" t="str">
        <f t="shared" si="133"/>
        <v>125063529</v>
      </c>
      <c r="E602" t="str">
        <f t="shared" si="134"/>
        <v>Default</v>
      </c>
      <c r="F602" t="str">
        <f t="shared" si="135"/>
        <v>120x600 Default Web Ad</v>
      </c>
      <c r="G602" t="str">
        <f t="shared" si="136"/>
        <v>297951980</v>
      </c>
      <c r="H602" t="str">
        <f t="shared" si="137"/>
        <v>Display</v>
      </c>
      <c r="I602">
        <f t="shared" si="138"/>
        <v>6598</v>
      </c>
      <c r="J602">
        <f t="shared" si="139"/>
        <v>4</v>
      </c>
      <c r="K602" s="4">
        <f t="shared" si="128"/>
        <v>0.04</v>
      </c>
      <c r="L602">
        <f t="shared" si="129"/>
        <v>0.09</v>
      </c>
      <c r="M602" s="4">
        <f t="shared" si="126"/>
        <v>0.26392000000000004</v>
      </c>
      <c r="N602" s="4">
        <f t="shared" si="127"/>
        <v>0.5938199999999999</v>
      </c>
    </row>
    <row r="603" spans="1:14">
      <c r="A603" t="str">
        <f t="shared" si="130"/>
        <v>alp_AlwaysOn_DBM-Estrutura-2015</v>
      </c>
      <c r="B603" t="str">
        <f t="shared" si="131"/>
        <v>Google Brasil</v>
      </c>
      <c r="C603" t="str">
        <f t="shared" si="132"/>
        <v>always-on-Medio|google|dbm|120x600</v>
      </c>
      <c r="D603" t="str">
        <f t="shared" si="133"/>
        <v>125063529</v>
      </c>
      <c r="E603" t="str">
        <f t="shared" si="134"/>
        <v>DCO</v>
      </c>
      <c r="F603" t="str">
        <f t="shared" si="135"/>
        <v>120x600_GerouLead_Concessionarias_MEDIO</v>
      </c>
      <c r="G603" t="str">
        <f t="shared" si="136"/>
        <v>297951358</v>
      </c>
      <c r="H603" t="str">
        <f t="shared" si="137"/>
        <v>Rich Media display banner</v>
      </c>
      <c r="I603">
        <f t="shared" si="138"/>
        <v>1680</v>
      </c>
      <c r="J603">
        <f t="shared" si="139"/>
        <v>0</v>
      </c>
      <c r="K603" s="4">
        <f t="shared" si="128"/>
        <v>0.12</v>
      </c>
      <c r="L603">
        <f t="shared" si="129"/>
        <v>7.0000000000000007E-2</v>
      </c>
      <c r="M603" s="4">
        <f t="shared" si="126"/>
        <v>0.2016</v>
      </c>
      <c r="N603" s="4">
        <f t="shared" si="127"/>
        <v>0.11760000000000001</v>
      </c>
    </row>
    <row r="604" spans="1:14">
      <c r="A604" t="str">
        <f t="shared" si="130"/>
        <v>alp_AlwaysOn_DBM-Estrutura-2015</v>
      </c>
      <c r="B604" t="str">
        <f t="shared" si="131"/>
        <v>Google Brasil</v>
      </c>
      <c r="C604" t="str">
        <f t="shared" si="132"/>
        <v>always-on-Medio|google|dbm|120x600</v>
      </c>
      <c r="D604" t="str">
        <f t="shared" si="133"/>
        <v>125063529</v>
      </c>
      <c r="E604" t="str">
        <f t="shared" si="134"/>
        <v>DCO</v>
      </c>
      <c r="F604" t="str">
        <f t="shared" si="135"/>
        <v>120x600_GerouRadar_Radar_MEDIO</v>
      </c>
      <c r="G604" t="str">
        <f t="shared" si="136"/>
        <v>297953700</v>
      </c>
      <c r="H604" t="str">
        <f t="shared" si="137"/>
        <v>Rich Media display banner</v>
      </c>
      <c r="I604">
        <f t="shared" si="138"/>
        <v>646</v>
      </c>
      <c r="J604">
        <f t="shared" si="139"/>
        <v>3</v>
      </c>
      <c r="K604" s="4">
        <f t="shared" si="128"/>
        <v>0.12</v>
      </c>
      <c r="L604">
        <f t="shared" si="129"/>
        <v>7.0000000000000007E-2</v>
      </c>
      <c r="M604" s="4">
        <f t="shared" si="126"/>
        <v>7.7519999999999992E-2</v>
      </c>
      <c r="N604" s="4">
        <f t="shared" si="127"/>
        <v>4.5220000000000003E-2</v>
      </c>
    </row>
    <row r="605" spans="1:14">
      <c r="A605" t="str">
        <f t="shared" si="130"/>
        <v>alp_AlwaysOn_DBM-Estrutura-2015</v>
      </c>
      <c r="B605" t="str">
        <f t="shared" si="131"/>
        <v>Google Brasil</v>
      </c>
      <c r="C605" t="str">
        <f t="shared" si="132"/>
        <v>always-on-Medio|google|dbm|120x600</v>
      </c>
      <c r="D605" t="str">
        <f t="shared" si="133"/>
        <v>125063529</v>
      </c>
      <c r="E605" t="str">
        <f t="shared" si="134"/>
        <v>DCO</v>
      </c>
      <c r="F605" t="str">
        <f t="shared" si="135"/>
        <v>120x600_Prospeccao_Institucional_Condicoes_Produto_MEDIO</v>
      </c>
      <c r="G605" t="str">
        <f t="shared" si="136"/>
        <v>297947048</v>
      </c>
      <c r="H605" t="str">
        <f t="shared" si="137"/>
        <v>Rich Media display banner</v>
      </c>
      <c r="I605">
        <f t="shared" si="138"/>
        <v>437774</v>
      </c>
      <c r="J605">
        <f t="shared" si="139"/>
        <v>378</v>
      </c>
      <c r="K605" s="4">
        <f t="shared" si="128"/>
        <v>0.12</v>
      </c>
      <c r="L605">
        <f t="shared" si="129"/>
        <v>7.0000000000000007E-2</v>
      </c>
      <c r="M605" s="4">
        <f t="shared" si="126"/>
        <v>52.532879999999999</v>
      </c>
      <c r="N605" s="4">
        <f t="shared" si="127"/>
        <v>30.644180000000002</v>
      </c>
    </row>
    <row r="606" spans="1:14">
      <c r="A606" t="str">
        <f t="shared" si="130"/>
        <v>alp_AlwaysOn_DBM-Estrutura-2015</v>
      </c>
      <c r="B606" t="str">
        <f t="shared" si="131"/>
        <v>Google Brasil</v>
      </c>
      <c r="C606" t="str">
        <f t="shared" si="132"/>
        <v>always-on-Medio|google|dbm|120x600</v>
      </c>
      <c r="D606" t="str">
        <f t="shared" si="133"/>
        <v>125063529</v>
      </c>
      <c r="E606" t="str">
        <f t="shared" si="134"/>
        <v>DCO</v>
      </c>
      <c r="F606" t="str">
        <f t="shared" si="135"/>
        <v>120x600_ViuCarro_Features_Intencao_MEDIO</v>
      </c>
      <c r="G606" t="str">
        <f t="shared" si="136"/>
        <v>302661358</v>
      </c>
      <c r="H606" t="str">
        <f t="shared" si="137"/>
        <v>Rich Media display banner</v>
      </c>
      <c r="I606">
        <f t="shared" si="138"/>
        <v>61174</v>
      </c>
      <c r="J606">
        <f t="shared" si="139"/>
        <v>92</v>
      </c>
      <c r="K606" s="4">
        <f t="shared" si="128"/>
        <v>0.12</v>
      </c>
      <c r="L606">
        <f t="shared" si="129"/>
        <v>7.0000000000000007E-2</v>
      </c>
      <c r="M606" s="4">
        <f t="shared" si="126"/>
        <v>7.3408800000000003</v>
      </c>
      <c r="N606" s="4">
        <f t="shared" si="127"/>
        <v>4.2821800000000003</v>
      </c>
    </row>
    <row r="607" spans="1:14">
      <c r="A607" t="str">
        <f t="shared" si="130"/>
        <v>alp_AlwaysOn_DBM-Estrutura-2015</v>
      </c>
      <c r="B607" t="str">
        <f t="shared" si="131"/>
        <v>Google Brasil</v>
      </c>
      <c r="C607" t="str">
        <f t="shared" si="132"/>
        <v>always-on-Medio|google|dbm|120x600</v>
      </c>
      <c r="D607" t="str">
        <f t="shared" si="133"/>
        <v>125063529</v>
      </c>
      <c r="E607" t="str">
        <f t="shared" si="134"/>
        <v>DCO</v>
      </c>
      <c r="F607" t="str">
        <f t="shared" si="135"/>
        <v>120x600_ViuCarro_Features_MEDIO</v>
      </c>
      <c r="G607" t="str">
        <f t="shared" si="136"/>
        <v>297952203</v>
      </c>
      <c r="H607" t="str">
        <f t="shared" si="137"/>
        <v>Rich Media display banner</v>
      </c>
      <c r="I607">
        <f t="shared" si="138"/>
        <v>297797</v>
      </c>
      <c r="J607">
        <f t="shared" si="139"/>
        <v>210</v>
      </c>
      <c r="K607" s="4">
        <f t="shared" si="128"/>
        <v>0.12</v>
      </c>
      <c r="L607">
        <f t="shared" si="129"/>
        <v>7.0000000000000007E-2</v>
      </c>
      <c r="M607" s="4">
        <f t="shared" si="126"/>
        <v>35.735639999999997</v>
      </c>
      <c r="N607" s="4">
        <f t="shared" si="127"/>
        <v>20.845790000000001</v>
      </c>
    </row>
    <row r="608" spans="1:14">
      <c r="A608" t="str">
        <f t="shared" si="130"/>
        <v>alp_AlwaysOn_DBM-Estrutura-2015</v>
      </c>
      <c r="B608" t="str">
        <f t="shared" si="131"/>
        <v>Google Brasil</v>
      </c>
      <c r="C608" t="str">
        <f t="shared" si="132"/>
        <v>always-on-Medio|google|dbm|120x600_TESTE</v>
      </c>
      <c r="D608" t="str">
        <f t="shared" si="133"/>
        <v>138030220</v>
      </c>
      <c r="E608" t="str">
        <f t="shared" si="134"/>
        <v>Default</v>
      </c>
      <c r="F608" t="str">
        <f t="shared" si="135"/>
        <v>120x600 Default Web Ad</v>
      </c>
      <c r="G608" t="str">
        <f t="shared" si="136"/>
        <v>297951980</v>
      </c>
      <c r="H608" t="str">
        <f t="shared" si="137"/>
        <v>Display</v>
      </c>
      <c r="I608">
        <f t="shared" si="138"/>
        <v>108</v>
      </c>
      <c r="J608">
        <f t="shared" si="139"/>
        <v>0</v>
      </c>
      <c r="K608" s="4">
        <f t="shared" si="128"/>
        <v>0.04</v>
      </c>
      <c r="L608">
        <f t="shared" si="129"/>
        <v>0.09</v>
      </c>
      <c r="M608" s="4">
        <f t="shared" si="126"/>
        <v>4.3200000000000001E-3</v>
      </c>
      <c r="N608" s="4">
        <f t="shared" si="127"/>
        <v>9.7199999999999995E-3</v>
      </c>
    </row>
    <row r="609" spans="1:14">
      <c r="A609" t="str">
        <f t="shared" si="130"/>
        <v>alp_AlwaysOn_DBM-Estrutura-2015</v>
      </c>
      <c r="B609" t="str">
        <f t="shared" si="131"/>
        <v>Google Brasil</v>
      </c>
      <c r="C609" t="str">
        <f t="shared" si="132"/>
        <v>always-on-Medio|google|dbm|120x600_TESTE</v>
      </c>
      <c r="D609" t="str">
        <f t="shared" si="133"/>
        <v>138030220</v>
      </c>
      <c r="E609" t="str">
        <f t="shared" si="134"/>
        <v>DCO</v>
      </c>
      <c r="F609" t="str">
        <f t="shared" si="135"/>
        <v>120x600_GerouRadar_Radar_MEDIO</v>
      </c>
      <c r="G609" t="str">
        <f t="shared" si="136"/>
        <v>297953700</v>
      </c>
      <c r="H609" t="str">
        <f t="shared" si="137"/>
        <v>Rich Media display banner</v>
      </c>
      <c r="I609">
        <f t="shared" si="138"/>
        <v>1</v>
      </c>
      <c r="J609">
        <f t="shared" si="139"/>
        <v>0</v>
      </c>
      <c r="K609" s="4">
        <f t="shared" si="128"/>
        <v>0.12</v>
      </c>
      <c r="L609">
        <f t="shared" si="129"/>
        <v>7.0000000000000007E-2</v>
      </c>
      <c r="M609" s="4">
        <f t="shared" si="126"/>
        <v>1.1999999999999999E-4</v>
      </c>
      <c r="N609" s="4">
        <f t="shared" si="127"/>
        <v>7.0000000000000007E-5</v>
      </c>
    </row>
    <row r="610" spans="1:14">
      <c r="A610" t="str">
        <f t="shared" si="130"/>
        <v>alp_AlwaysOn_DBM-Estrutura-2015</v>
      </c>
      <c r="B610" t="str">
        <f t="shared" si="131"/>
        <v>Google Brasil</v>
      </c>
      <c r="C610" t="str">
        <f t="shared" si="132"/>
        <v>always-on-Medio|google|dbm|120x600_TESTE</v>
      </c>
      <c r="D610" t="str">
        <f t="shared" si="133"/>
        <v>138030220</v>
      </c>
      <c r="E610" t="str">
        <f t="shared" si="134"/>
        <v>DCO</v>
      </c>
      <c r="F610" t="str">
        <f t="shared" si="135"/>
        <v>120x600_Prospeccao_Institucional_Condicoes_Produto_MEDIO</v>
      </c>
      <c r="G610" t="str">
        <f t="shared" si="136"/>
        <v>297947048</v>
      </c>
      <c r="H610" t="str">
        <f t="shared" si="137"/>
        <v>Rich Media display banner</v>
      </c>
      <c r="I610">
        <f t="shared" si="138"/>
        <v>15941</v>
      </c>
      <c r="J610">
        <f t="shared" si="139"/>
        <v>7</v>
      </c>
      <c r="K610" s="4">
        <f t="shared" si="128"/>
        <v>0.12</v>
      </c>
      <c r="L610">
        <f t="shared" si="129"/>
        <v>7.0000000000000007E-2</v>
      </c>
      <c r="M610" s="4">
        <f t="shared" ref="M610:M673" si="140">IF(E610="Dynamic Click",J610*K610,K610*$I610/1000)</f>
        <v>1.91292</v>
      </c>
      <c r="N610" s="4">
        <f t="shared" ref="N610:N673" si="141">IF(E610="Dynamic Click",J610*L610,L610*$I610/1000)</f>
        <v>1.1158700000000001</v>
      </c>
    </row>
    <row r="611" spans="1:14">
      <c r="A611" t="str">
        <f t="shared" si="130"/>
        <v>alp_AlwaysOn_DBM-Estrutura-2015</v>
      </c>
      <c r="B611" t="str">
        <f t="shared" si="131"/>
        <v>Google Brasil</v>
      </c>
      <c r="C611" t="str">
        <f t="shared" si="132"/>
        <v>always-on-Medio|google|dbm|120x600_TESTE</v>
      </c>
      <c r="D611" t="str">
        <f t="shared" si="133"/>
        <v>138030220</v>
      </c>
      <c r="E611" t="str">
        <f t="shared" si="134"/>
        <v>DCO</v>
      </c>
      <c r="F611" t="str">
        <f t="shared" si="135"/>
        <v>120x600_ViuCarro_Features_Intencao_MEDIO</v>
      </c>
      <c r="G611" t="str">
        <f t="shared" si="136"/>
        <v>302661358</v>
      </c>
      <c r="H611" t="str">
        <f t="shared" si="137"/>
        <v>Rich Media display banner</v>
      </c>
      <c r="I611">
        <f t="shared" si="138"/>
        <v>21</v>
      </c>
      <c r="J611">
        <f t="shared" si="139"/>
        <v>0</v>
      </c>
      <c r="K611" s="4">
        <f t="shared" si="128"/>
        <v>0.12</v>
      </c>
      <c r="L611">
        <f t="shared" si="129"/>
        <v>7.0000000000000007E-2</v>
      </c>
      <c r="M611" s="4">
        <f t="shared" si="140"/>
        <v>2.5200000000000001E-3</v>
      </c>
      <c r="N611" s="4">
        <f t="shared" si="141"/>
        <v>1.4700000000000002E-3</v>
      </c>
    </row>
    <row r="612" spans="1:14">
      <c r="A612" t="str">
        <f t="shared" si="130"/>
        <v>alp_AlwaysOn_DBM-Estrutura-2015</v>
      </c>
      <c r="B612" t="str">
        <f t="shared" si="131"/>
        <v>Google Brasil</v>
      </c>
      <c r="C612" t="str">
        <f t="shared" si="132"/>
        <v>always-on-Medio|google|dbm|120x600_TESTE</v>
      </c>
      <c r="D612" t="str">
        <f t="shared" si="133"/>
        <v>138030220</v>
      </c>
      <c r="E612" t="str">
        <f t="shared" si="134"/>
        <v>DCO</v>
      </c>
      <c r="F612" t="str">
        <f t="shared" si="135"/>
        <v>120x600_ViuCarro_Features_MEDIO</v>
      </c>
      <c r="G612" t="str">
        <f t="shared" si="136"/>
        <v>297952203</v>
      </c>
      <c r="H612" t="str">
        <f t="shared" si="137"/>
        <v>Rich Media display banner</v>
      </c>
      <c r="I612">
        <f t="shared" si="138"/>
        <v>14</v>
      </c>
      <c r="J612">
        <f t="shared" si="139"/>
        <v>0</v>
      </c>
      <c r="K612" s="4">
        <f t="shared" si="128"/>
        <v>0.12</v>
      </c>
      <c r="L612">
        <f t="shared" si="129"/>
        <v>7.0000000000000007E-2</v>
      </c>
      <c r="M612" s="4">
        <f t="shared" si="140"/>
        <v>1.6799999999999999E-3</v>
      </c>
      <c r="N612" s="4">
        <f t="shared" si="141"/>
        <v>9.8000000000000019E-4</v>
      </c>
    </row>
    <row r="613" spans="1:14">
      <c r="A613" t="str">
        <f t="shared" si="130"/>
        <v>alp_AlwaysOn_DBM-Estrutura-2015</v>
      </c>
      <c r="B613" t="str">
        <f t="shared" si="131"/>
        <v>Google Brasil</v>
      </c>
      <c r="C613" t="str">
        <f t="shared" si="132"/>
        <v>always-on-Medio|google|dbm|160x600</v>
      </c>
      <c r="D613" t="str">
        <f t="shared" si="133"/>
        <v>125063534</v>
      </c>
      <c r="E613" t="str">
        <f t="shared" si="134"/>
        <v>Default</v>
      </c>
      <c r="F613" t="str">
        <f t="shared" si="135"/>
        <v>160x600 Default Web Ad</v>
      </c>
      <c r="G613" t="str">
        <f t="shared" si="136"/>
        <v>297953405</v>
      </c>
      <c r="H613" t="str">
        <f t="shared" si="137"/>
        <v>Display</v>
      </c>
      <c r="I613">
        <f t="shared" si="138"/>
        <v>7349</v>
      </c>
      <c r="J613">
        <f t="shared" si="139"/>
        <v>7</v>
      </c>
      <c r="K613" s="4">
        <f t="shared" si="128"/>
        <v>0.04</v>
      </c>
      <c r="L613">
        <f t="shared" si="129"/>
        <v>0.09</v>
      </c>
      <c r="M613" s="4">
        <f t="shared" si="140"/>
        <v>0.29396</v>
      </c>
      <c r="N613" s="4">
        <f t="shared" si="141"/>
        <v>0.66140999999999994</v>
      </c>
    </row>
    <row r="614" spans="1:14">
      <c r="A614" t="str">
        <f t="shared" si="130"/>
        <v>alp_AlwaysOn_DBM-Estrutura-2015</v>
      </c>
      <c r="B614" t="str">
        <f t="shared" si="131"/>
        <v>Google Brasil</v>
      </c>
      <c r="C614" t="str">
        <f t="shared" si="132"/>
        <v>always-on-Medio|google|dbm|160x600</v>
      </c>
      <c r="D614" t="str">
        <f t="shared" si="133"/>
        <v>125063534</v>
      </c>
      <c r="E614" t="str">
        <f t="shared" si="134"/>
        <v>DCO</v>
      </c>
      <c r="F614" t="str">
        <f t="shared" si="135"/>
        <v>160x600_GerouLead_Concessionarias_MEDIO</v>
      </c>
      <c r="G614" t="str">
        <f t="shared" si="136"/>
        <v>297947052</v>
      </c>
      <c r="H614" t="str">
        <f t="shared" si="137"/>
        <v>Rich Media display banner</v>
      </c>
      <c r="I614">
        <f t="shared" si="138"/>
        <v>2706</v>
      </c>
      <c r="J614">
        <f t="shared" si="139"/>
        <v>5</v>
      </c>
      <c r="K614" s="4">
        <f t="shared" si="128"/>
        <v>0.12</v>
      </c>
      <c r="L614">
        <f t="shared" si="129"/>
        <v>7.0000000000000007E-2</v>
      </c>
      <c r="M614" s="4">
        <f t="shared" si="140"/>
        <v>0.32471999999999995</v>
      </c>
      <c r="N614" s="4">
        <f t="shared" si="141"/>
        <v>0.18942000000000001</v>
      </c>
    </row>
    <row r="615" spans="1:14">
      <c r="A615" t="str">
        <f t="shared" si="130"/>
        <v>alp_AlwaysOn_DBM-Estrutura-2015</v>
      </c>
      <c r="B615" t="str">
        <f t="shared" si="131"/>
        <v>Google Brasil</v>
      </c>
      <c r="C615" t="str">
        <f t="shared" si="132"/>
        <v>always-on-Medio|google|dbm|160x600</v>
      </c>
      <c r="D615" t="str">
        <f t="shared" si="133"/>
        <v>125063534</v>
      </c>
      <c r="E615" t="str">
        <f t="shared" si="134"/>
        <v>DCO</v>
      </c>
      <c r="F615" t="str">
        <f t="shared" si="135"/>
        <v>160x600_GerouRadar_Radar_MEDIO</v>
      </c>
      <c r="G615" t="str">
        <f t="shared" si="136"/>
        <v>302818183</v>
      </c>
      <c r="H615" t="str">
        <f t="shared" si="137"/>
        <v>Rich Media display banner</v>
      </c>
      <c r="I615">
        <f t="shared" si="138"/>
        <v>1715</v>
      </c>
      <c r="J615">
        <f t="shared" si="139"/>
        <v>13</v>
      </c>
      <c r="K615" s="4">
        <f t="shared" si="128"/>
        <v>0.12</v>
      </c>
      <c r="L615">
        <f t="shared" si="129"/>
        <v>7.0000000000000007E-2</v>
      </c>
      <c r="M615" s="4">
        <f t="shared" si="140"/>
        <v>0.20579999999999998</v>
      </c>
      <c r="N615" s="4">
        <f t="shared" si="141"/>
        <v>0.12005000000000002</v>
      </c>
    </row>
    <row r="616" spans="1:14">
      <c r="A616" t="str">
        <f t="shared" si="130"/>
        <v>alp_AlwaysOn_DBM-Estrutura-2015</v>
      </c>
      <c r="B616" t="str">
        <f t="shared" si="131"/>
        <v>Google Brasil</v>
      </c>
      <c r="C616" t="str">
        <f t="shared" si="132"/>
        <v>always-on-Medio|google|dbm|160x600</v>
      </c>
      <c r="D616" t="str">
        <f t="shared" si="133"/>
        <v>125063534</v>
      </c>
      <c r="E616" t="str">
        <f t="shared" si="134"/>
        <v>DCO</v>
      </c>
      <c r="F616" t="str">
        <f t="shared" si="135"/>
        <v>160x600_Prospeccao_Institucional_Condicoes_Produto_MEDIO</v>
      </c>
      <c r="G616" t="str">
        <f t="shared" si="136"/>
        <v>297953711</v>
      </c>
      <c r="H616" t="str">
        <f t="shared" si="137"/>
        <v>Rich Media display banner</v>
      </c>
      <c r="I616">
        <f t="shared" si="138"/>
        <v>900563</v>
      </c>
      <c r="J616">
        <f t="shared" si="139"/>
        <v>1466</v>
      </c>
      <c r="K616" s="4">
        <f t="shared" si="128"/>
        <v>0.12</v>
      </c>
      <c r="L616">
        <f t="shared" si="129"/>
        <v>7.0000000000000007E-2</v>
      </c>
      <c r="M616" s="4">
        <f t="shared" si="140"/>
        <v>108.06756</v>
      </c>
      <c r="N616" s="4">
        <f t="shared" si="141"/>
        <v>63.039410000000004</v>
      </c>
    </row>
    <row r="617" spans="1:14">
      <c r="A617" t="str">
        <f t="shared" si="130"/>
        <v>alp_AlwaysOn_DBM-Estrutura-2015</v>
      </c>
      <c r="B617" t="str">
        <f t="shared" si="131"/>
        <v>Google Brasil</v>
      </c>
      <c r="C617" t="str">
        <f t="shared" si="132"/>
        <v>always-on-Medio|google|dbm|160x600</v>
      </c>
      <c r="D617" t="str">
        <f t="shared" si="133"/>
        <v>125063534</v>
      </c>
      <c r="E617" t="str">
        <f t="shared" si="134"/>
        <v>DCO</v>
      </c>
      <c r="F617" t="str">
        <f t="shared" si="135"/>
        <v>160x600_ViuCarro_Features_Intencao_MEDIO</v>
      </c>
      <c r="G617" t="str">
        <f t="shared" si="136"/>
        <v>302822197</v>
      </c>
      <c r="H617" t="str">
        <f t="shared" si="137"/>
        <v>Rich Media display banner</v>
      </c>
      <c r="I617">
        <f t="shared" si="138"/>
        <v>70247</v>
      </c>
      <c r="J617">
        <f t="shared" si="139"/>
        <v>154</v>
      </c>
      <c r="K617" s="4">
        <f t="shared" si="128"/>
        <v>0.12</v>
      </c>
      <c r="L617">
        <f t="shared" si="129"/>
        <v>7.0000000000000007E-2</v>
      </c>
      <c r="M617" s="4">
        <f t="shared" si="140"/>
        <v>8.4296399999999991</v>
      </c>
      <c r="N617" s="4">
        <f t="shared" si="141"/>
        <v>4.9172900000000013</v>
      </c>
    </row>
    <row r="618" spans="1:14">
      <c r="A618" t="str">
        <f t="shared" si="130"/>
        <v>alp_AlwaysOn_DBM-Estrutura-2015</v>
      </c>
      <c r="B618" t="str">
        <f t="shared" si="131"/>
        <v>Google Brasil</v>
      </c>
      <c r="C618" t="str">
        <f t="shared" si="132"/>
        <v>always-on-Medio|google|dbm|160x600</v>
      </c>
      <c r="D618" t="str">
        <f t="shared" si="133"/>
        <v>125063534</v>
      </c>
      <c r="E618" t="str">
        <f t="shared" si="134"/>
        <v>DCO</v>
      </c>
      <c r="F618" t="str">
        <f t="shared" si="135"/>
        <v>160x600_ViuCarro_Features_MEDIO</v>
      </c>
      <c r="G618" t="str">
        <f t="shared" si="136"/>
        <v>297953410</v>
      </c>
      <c r="H618" t="str">
        <f t="shared" si="137"/>
        <v>Rich Media display banner</v>
      </c>
      <c r="I618">
        <f t="shared" si="138"/>
        <v>265750</v>
      </c>
      <c r="J618">
        <f t="shared" si="139"/>
        <v>349</v>
      </c>
      <c r="K618" s="4">
        <f t="shared" si="128"/>
        <v>0.12</v>
      </c>
      <c r="L618">
        <f t="shared" si="129"/>
        <v>7.0000000000000007E-2</v>
      </c>
      <c r="M618" s="4">
        <f t="shared" si="140"/>
        <v>31.89</v>
      </c>
      <c r="N618" s="4">
        <f t="shared" si="141"/>
        <v>18.602499999999999</v>
      </c>
    </row>
    <row r="619" spans="1:14">
      <c r="A619" t="str">
        <f t="shared" si="130"/>
        <v>alp_AlwaysOn_DBM-Estrutura-2015</v>
      </c>
      <c r="B619" t="str">
        <f t="shared" si="131"/>
        <v>Google Brasil</v>
      </c>
      <c r="C619" t="str">
        <f t="shared" si="132"/>
        <v>always-on-Medio|google|dbm|300x50</v>
      </c>
      <c r="D619" t="str">
        <f t="shared" si="133"/>
        <v>125065153</v>
      </c>
      <c r="E619" t="str">
        <f t="shared" si="134"/>
        <v>Default</v>
      </c>
      <c r="F619" t="str">
        <f t="shared" si="135"/>
        <v>300x50 Default Web Ad</v>
      </c>
      <c r="G619" t="str">
        <f t="shared" si="136"/>
        <v>297953347</v>
      </c>
      <c r="H619" t="str">
        <f t="shared" si="137"/>
        <v>Display</v>
      </c>
      <c r="I619">
        <f t="shared" si="138"/>
        <v>12113</v>
      </c>
      <c r="J619">
        <f t="shared" si="139"/>
        <v>11</v>
      </c>
      <c r="K619" s="4">
        <f t="shared" si="128"/>
        <v>0.04</v>
      </c>
      <c r="L619">
        <f t="shared" si="129"/>
        <v>0.09</v>
      </c>
      <c r="M619" s="4">
        <f t="shared" si="140"/>
        <v>0.48452000000000001</v>
      </c>
      <c r="N619" s="4">
        <f t="shared" si="141"/>
        <v>1.0901700000000001</v>
      </c>
    </row>
    <row r="620" spans="1:14">
      <c r="A620" t="str">
        <f t="shared" si="130"/>
        <v>alp_AlwaysOn_DBM-Estrutura-2015</v>
      </c>
      <c r="B620" t="str">
        <f t="shared" si="131"/>
        <v>Google Brasil</v>
      </c>
      <c r="C620" t="str">
        <f t="shared" si="132"/>
        <v>always-on-Medio|google|dbm|300x50</v>
      </c>
      <c r="D620" t="str">
        <f t="shared" si="133"/>
        <v>125065153</v>
      </c>
      <c r="E620" t="str">
        <f t="shared" si="134"/>
        <v>DCO</v>
      </c>
      <c r="F620" t="str">
        <f t="shared" si="135"/>
        <v>300x50_GerouLead_Concessionarias_MEDIO</v>
      </c>
      <c r="G620" t="str">
        <f t="shared" si="136"/>
        <v>297953517</v>
      </c>
      <c r="H620" t="str">
        <f t="shared" si="137"/>
        <v>Rich Media display banner</v>
      </c>
      <c r="I620">
        <f t="shared" si="138"/>
        <v>3844</v>
      </c>
      <c r="J620">
        <f t="shared" si="139"/>
        <v>8</v>
      </c>
      <c r="K620" s="4">
        <f t="shared" ref="K620:K683" si="142">IF(LEFT(B620,3)="DBM",0,VLOOKUP(E620,tabela,2,FALSE))</f>
        <v>0.12</v>
      </c>
      <c r="L620">
        <f t="shared" ref="L620:L683" si="143">VLOOKUP(E620,tabela,3,FALSE)</f>
        <v>7.0000000000000007E-2</v>
      </c>
      <c r="M620" s="4">
        <f t="shared" si="140"/>
        <v>0.46127999999999997</v>
      </c>
      <c r="N620" s="4">
        <f t="shared" si="141"/>
        <v>0.26908000000000004</v>
      </c>
    </row>
    <row r="621" spans="1:14">
      <c r="A621" t="str">
        <f t="shared" si="130"/>
        <v>alp_AlwaysOn_DBM-Estrutura-2015</v>
      </c>
      <c r="B621" t="str">
        <f t="shared" si="131"/>
        <v>Google Brasil</v>
      </c>
      <c r="C621" t="str">
        <f t="shared" si="132"/>
        <v>always-on-Medio|google|dbm|300x50</v>
      </c>
      <c r="D621" t="str">
        <f t="shared" si="133"/>
        <v>125065153</v>
      </c>
      <c r="E621" t="str">
        <f t="shared" si="134"/>
        <v>DCO</v>
      </c>
      <c r="F621" t="str">
        <f t="shared" si="135"/>
        <v>300x50_GerouRadar_Radar_MEDIO</v>
      </c>
      <c r="G621" t="str">
        <f t="shared" si="136"/>
        <v>302822868</v>
      </c>
      <c r="H621" t="str">
        <f t="shared" si="137"/>
        <v>Rich Media display banner</v>
      </c>
      <c r="I621">
        <f t="shared" si="138"/>
        <v>2847</v>
      </c>
      <c r="J621">
        <f t="shared" si="139"/>
        <v>7</v>
      </c>
      <c r="K621" s="4">
        <f t="shared" si="142"/>
        <v>0.12</v>
      </c>
      <c r="L621">
        <f t="shared" si="143"/>
        <v>7.0000000000000007E-2</v>
      </c>
      <c r="M621" s="4">
        <f t="shared" si="140"/>
        <v>0.34164</v>
      </c>
      <c r="N621" s="4">
        <f t="shared" si="141"/>
        <v>0.19929000000000002</v>
      </c>
    </row>
    <row r="622" spans="1:14">
      <c r="A622" t="str">
        <f t="shared" si="130"/>
        <v>alp_AlwaysOn_DBM-Estrutura-2015</v>
      </c>
      <c r="B622" t="str">
        <f t="shared" si="131"/>
        <v>Google Brasil</v>
      </c>
      <c r="C622" t="str">
        <f t="shared" si="132"/>
        <v>always-on-Medio|google|dbm|300x50</v>
      </c>
      <c r="D622" t="str">
        <f t="shared" si="133"/>
        <v>125065153</v>
      </c>
      <c r="E622" t="str">
        <f t="shared" si="134"/>
        <v>DCO</v>
      </c>
      <c r="F622" t="str">
        <f t="shared" si="135"/>
        <v>300x50_Prospeccao_Institucional_Condicoes_Produto_MEDIO</v>
      </c>
      <c r="G622" t="str">
        <f t="shared" si="136"/>
        <v>297953426</v>
      </c>
      <c r="H622" t="str">
        <f t="shared" si="137"/>
        <v>Rich Media display banner</v>
      </c>
      <c r="I622">
        <f t="shared" si="138"/>
        <v>4042146</v>
      </c>
      <c r="J622">
        <f t="shared" si="139"/>
        <v>2911</v>
      </c>
      <c r="K622" s="4">
        <f t="shared" si="142"/>
        <v>0.12</v>
      </c>
      <c r="L622">
        <f t="shared" si="143"/>
        <v>7.0000000000000007E-2</v>
      </c>
      <c r="M622" s="4">
        <f t="shared" si="140"/>
        <v>485.05751999999995</v>
      </c>
      <c r="N622" s="4">
        <f t="shared" si="141"/>
        <v>282.95022000000006</v>
      </c>
    </row>
    <row r="623" spans="1:14">
      <c r="A623" t="str">
        <f t="shared" si="130"/>
        <v>alp_AlwaysOn_DBM-Estrutura-2015</v>
      </c>
      <c r="B623" t="str">
        <f t="shared" si="131"/>
        <v>Google Brasil</v>
      </c>
      <c r="C623" t="str">
        <f t="shared" si="132"/>
        <v>always-on-Medio|google|dbm|300x50</v>
      </c>
      <c r="D623" t="str">
        <f t="shared" si="133"/>
        <v>125065153</v>
      </c>
      <c r="E623" t="str">
        <f t="shared" si="134"/>
        <v>DCO</v>
      </c>
      <c r="F623" t="str">
        <f t="shared" si="135"/>
        <v>300x50_ViuCarro_Features_Intencao_MEDIO</v>
      </c>
      <c r="G623" t="str">
        <f t="shared" si="136"/>
        <v>297954500</v>
      </c>
      <c r="H623" t="str">
        <f t="shared" si="137"/>
        <v>Rich Media display banner</v>
      </c>
      <c r="I623">
        <f t="shared" si="138"/>
        <v>66013</v>
      </c>
      <c r="J623">
        <f t="shared" si="139"/>
        <v>209</v>
      </c>
      <c r="K623" s="4">
        <f t="shared" si="142"/>
        <v>0.12</v>
      </c>
      <c r="L623">
        <f t="shared" si="143"/>
        <v>7.0000000000000007E-2</v>
      </c>
      <c r="M623" s="4">
        <f t="shared" si="140"/>
        <v>7.9215599999999995</v>
      </c>
      <c r="N623" s="4">
        <f t="shared" si="141"/>
        <v>4.6209100000000012</v>
      </c>
    </row>
    <row r="624" spans="1:14">
      <c r="A624" t="str">
        <f t="shared" si="130"/>
        <v>alp_AlwaysOn_DBM-Estrutura-2015</v>
      </c>
      <c r="B624" t="str">
        <f t="shared" si="131"/>
        <v>Google Brasil</v>
      </c>
      <c r="C624" t="str">
        <f t="shared" si="132"/>
        <v>always-on-Medio|google|dbm|300x50</v>
      </c>
      <c r="D624" t="str">
        <f t="shared" si="133"/>
        <v>125065153</v>
      </c>
      <c r="E624" t="str">
        <f t="shared" si="134"/>
        <v>DCO</v>
      </c>
      <c r="F624" t="str">
        <f t="shared" si="135"/>
        <v>300x50_ViuCarro_Features_MEDIO</v>
      </c>
      <c r="G624" t="str">
        <f t="shared" si="136"/>
        <v>302824609</v>
      </c>
      <c r="H624" t="str">
        <f t="shared" si="137"/>
        <v>Rich Media display banner</v>
      </c>
      <c r="I624">
        <f t="shared" si="138"/>
        <v>429549</v>
      </c>
      <c r="J624">
        <f t="shared" si="139"/>
        <v>741</v>
      </c>
      <c r="K624" s="4">
        <f t="shared" si="142"/>
        <v>0.12</v>
      </c>
      <c r="L624">
        <f t="shared" si="143"/>
        <v>7.0000000000000007E-2</v>
      </c>
      <c r="M624" s="4">
        <f t="shared" si="140"/>
        <v>51.545879999999997</v>
      </c>
      <c r="N624" s="4">
        <f t="shared" si="141"/>
        <v>30.068430000000003</v>
      </c>
    </row>
    <row r="625" spans="1:14">
      <c r="A625" t="str">
        <f t="shared" si="130"/>
        <v>alp_AlwaysOn_DBM-Estrutura-2015</v>
      </c>
      <c r="B625" t="str">
        <f t="shared" si="131"/>
        <v>Google Brasil</v>
      </c>
      <c r="C625" t="str">
        <f t="shared" si="132"/>
        <v>always-on-Medio|google|dbm|320x50</v>
      </c>
      <c r="D625" t="str">
        <f t="shared" si="133"/>
        <v>125065068</v>
      </c>
      <c r="E625" t="str">
        <f t="shared" si="134"/>
        <v>Default</v>
      </c>
      <c r="F625" t="str">
        <f t="shared" si="135"/>
        <v>320x50 Default Web Ad</v>
      </c>
      <c r="G625" t="str">
        <f t="shared" si="136"/>
        <v>297946946</v>
      </c>
      <c r="H625" t="str">
        <f t="shared" si="137"/>
        <v>Display</v>
      </c>
      <c r="I625">
        <f t="shared" si="138"/>
        <v>56983</v>
      </c>
      <c r="J625">
        <f t="shared" si="139"/>
        <v>66</v>
      </c>
      <c r="K625" s="4">
        <f t="shared" si="142"/>
        <v>0.04</v>
      </c>
      <c r="L625">
        <f t="shared" si="143"/>
        <v>0.09</v>
      </c>
      <c r="M625" s="4">
        <f t="shared" si="140"/>
        <v>2.2793200000000002</v>
      </c>
      <c r="N625" s="4">
        <f t="shared" si="141"/>
        <v>5.1284700000000001</v>
      </c>
    </row>
    <row r="626" spans="1:14">
      <c r="A626" t="str">
        <f t="shared" si="130"/>
        <v>alp_AlwaysOn_DBM-Estrutura-2015</v>
      </c>
      <c r="B626" t="str">
        <f t="shared" si="131"/>
        <v>Google Brasil</v>
      </c>
      <c r="C626" t="str">
        <f t="shared" si="132"/>
        <v>always-on-Medio|google|dbm|320x50</v>
      </c>
      <c r="D626" t="str">
        <f t="shared" si="133"/>
        <v>125065068</v>
      </c>
      <c r="E626" t="str">
        <f t="shared" si="134"/>
        <v>DCO</v>
      </c>
      <c r="F626" t="str">
        <f t="shared" si="135"/>
        <v>320x50_GerouLead_Concessionarias_MEDIO</v>
      </c>
      <c r="G626" t="str">
        <f t="shared" si="136"/>
        <v>297949654</v>
      </c>
      <c r="H626" t="str">
        <f t="shared" si="137"/>
        <v>Rich Media display banner</v>
      </c>
      <c r="I626">
        <f t="shared" si="138"/>
        <v>18074</v>
      </c>
      <c r="J626">
        <f t="shared" si="139"/>
        <v>47</v>
      </c>
      <c r="K626" s="4">
        <f t="shared" si="142"/>
        <v>0.12</v>
      </c>
      <c r="L626">
        <f t="shared" si="143"/>
        <v>7.0000000000000007E-2</v>
      </c>
      <c r="M626" s="4">
        <f t="shared" si="140"/>
        <v>2.1688800000000001</v>
      </c>
      <c r="N626" s="4">
        <f t="shared" si="141"/>
        <v>1.26518</v>
      </c>
    </row>
    <row r="627" spans="1:14">
      <c r="A627" t="str">
        <f t="shared" si="130"/>
        <v>alp_AlwaysOn_DBM-Estrutura-2015</v>
      </c>
      <c r="B627" t="str">
        <f t="shared" si="131"/>
        <v>Google Brasil</v>
      </c>
      <c r="C627" t="str">
        <f t="shared" si="132"/>
        <v>always-on-Medio|google|dbm|320x50</v>
      </c>
      <c r="D627" t="str">
        <f t="shared" si="133"/>
        <v>125065068</v>
      </c>
      <c r="E627" t="str">
        <f t="shared" si="134"/>
        <v>DCO</v>
      </c>
      <c r="F627" t="str">
        <f t="shared" si="135"/>
        <v>320x50_GerouRadar_Radar_MEDIO</v>
      </c>
      <c r="G627" t="str">
        <f t="shared" si="136"/>
        <v>302829129</v>
      </c>
      <c r="H627" t="str">
        <f t="shared" si="137"/>
        <v>Rich Media display banner</v>
      </c>
      <c r="I627">
        <f t="shared" si="138"/>
        <v>14407</v>
      </c>
      <c r="J627">
        <f t="shared" si="139"/>
        <v>51</v>
      </c>
      <c r="K627" s="4">
        <f t="shared" si="142"/>
        <v>0.12</v>
      </c>
      <c r="L627">
        <f t="shared" si="143"/>
        <v>7.0000000000000007E-2</v>
      </c>
      <c r="M627" s="4">
        <f t="shared" si="140"/>
        <v>1.7288399999999999</v>
      </c>
      <c r="N627" s="4">
        <f t="shared" si="141"/>
        <v>1.0084900000000001</v>
      </c>
    </row>
    <row r="628" spans="1:14">
      <c r="A628" t="str">
        <f t="shared" si="130"/>
        <v>alp_AlwaysOn_DBM-Estrutura-2015</v>
      </c>
      <c r="B628" t="str">
        <f t="shared" si="131"/>
        <v>Google Brasil</v>
      </c>
      <c r="C628" t="str">
        <f t="shared" si="132"/>
        <v>always-on-Medio|google|dbm|320x50</v>
      </c>
      <c r="D628" t="str">
        <f t="shared" si="133"/>
        <v>125065068</v>
      </c>
      <c r="E628" t="str">
        <f t="shared" si="134"/>
        <v>DCO</v>
      </c>
      <c r="F628" t="str">
        <f t="shared" si="135"/>
        <v>320x50_Prospeccao_Institucional_Condicoes_Produto_MEDIO</v>
      </c>
      <c r="G628" t="str">
        <f t="shared" si="136"/>
        <v>297951897</v>
      </c>
      <c r="H628" t="str">
        <f t="shared" si="137"/>
        <v>Rich Media display banner</v>
      </c>
      <c r="I628">
        <f t="shared" si="138"/>
        <v>21101859</v>
      </c>
      <c r="J628">
        <f t="shared" si="139"/>
        <v>28035</v>
      </c>
      <c r="K628" s="4">
        <f t="shared" si="142"/>
        <v>0.12</v>
      </c>
      <c r="L628">
        <f t="shared" si="143"/>
        <v>7.0000000000000007E-2</v>
      </c>
      <c r="M628" s="4">
        <f t="shared" si="140"/>
        <v>2532.2230800000002</v>
      </c>
      <c r="N628" s="4">
        <f t="shared" si="141"/>
        <v>1477.13013</v>
      </c>
    </row>
    <row r="629" spans="1:14">
      <c r="A629" t="str">
        <f t="shared" si="130"/>
        <v>alp_AlwaysOn_DBM-Estrutura-2015</v>
      </c>
      <c r="B629" t="str">
        <f t="shared" si="131"/>
        <v>Google Brasil</v>
      </c>
      <c r="C629" t="str">
        <f t="shared" si="132"/>
        <v>always-on-Medio|google|dbm|320x50</v>
      </c>
      <c r="D629" t="str">
        <f t="shared" si="133"/>
        <v>125065068</v>
      </c>
      <c r="E629" t="str">
        <f t="shared" si="134"/>
        <v>DCO</v>
      </c>
      <c r="F629" t="str">
        <f t="shared" si="135"/>
        <v>320x50_ViuCarro_Features_Intencao_MEDIO</v>
      </c>
      <c r="G629" t="str">
        <f t="shared" si="136"/>
        <v>297946615</v>
      </c>
      <c r="H629" t="str">
        <f t="shared" si="137"/>
        <v>Rich Media display banner</v>
      </c>
      <c r="I629">
        <f t="shared" si="138"/>
        <v>272430</v>
      </c>
      <c r="J629">
        <f t="shared" si="139"/>
        <v>858</v>
      </c>
      <c r="K629" s="4">
        <f t="shared" si="142"/>
        <v>0.12</v>
      </c>
      <c r="L629">
        <f t="shared" si="143"/>
        <v>7.0000000000000007E-2</v>
      </c>
      <c r="M629" s="4">
        <f t="shared" si="140"/>
        <v>32.691600000000001</v>
      </c>
      <c r="N629" s="4">
        <f t="shared" si="141"/>
        <v>19.070100000000004</v>
      </c>
    </row>
    <row r="630" spans="1:14">
      <c r="A630" t="str">
        <f t="shared" si="130"/>
        <v>alp_AlwaysOn_DBM-Estrutura-2015</v>
      </c>
      <c r="B630" t="str">
        <f t="shared" si="131"/>
        <v>Google Brasil</v>
      </c>
      <c r="C630" t="str">
        <f t="shared" si="132"/>
        <v>always-on-Medio|google|dbm|320x50</v>
      </c>
      <c r="D630" t="str">
        <f t="shared" si="133"/>
        <v>125065068</v>
      </c>
      <c r="E630" t="str">
        <f t="shared" si="134"/>
        <v>DCO</v>
      </c>
      <c r="F630" t="str">
        <f t="shared" si="135"/>
        <v>320x50_ViuCarro_Features_MEDIO</v>
      </c>
      <c r="G630" t="str">
        <f t="shared" si="136"/>
        <v>302829138</v>
      </c>
      <c r="H630" t="str">
        <f t="shared" si="137"/>
        <v>Rich Media display banner</v>
      </c>
      <c r="I630">
        <f t="shared" si="138"/>
        <v>1648252</v>
      </c>
      <c r="J630">
        <f t="shared" si="139"/>
        <v>3149</v>
      </c>
      <c r="K630" s="4">
        <f t="shared" si="142"/>
        <v>0.12</v>
      </c>
      <c r="L630">
        <f t="shared" si="143"/>
        <v>7.0000000000000007E-2</v>
      </c>
      <c r="M630" s="4">
        <f t="shared" si="140"/>
        <v>197.79023999999998</v>
      </c>
      <c r="N630" s="4">
        <f t="shared" si="141"/>
        <v>115.37764000000001</v>
      </c>
    </row>
    <row r="631" spans="1:14">
      <c r="A631" t="str">
        <f t="shared" si="130"/>
        <v>alp_AlwaysOn_DBM-Estrutura-2015</v>
      </c>
      <c r="B631" t="str">
        <f t="shared" si="131"/>
        <v>Google Brasil</v>
      </c>
      <c r="C631" t="str">
        <f t="shared" si="132"/>
        <v>always-on-Medio|google|dbm|468x60</v>
      </c>
      <c r="D631" t="str">
        <f t="shared" si="133"/>
        <v>125065089</v>
      </c>
      <c r="E631" t="str">
        <f t="shared" si="134"/>
        <v>Default</v>
      </c>
      <c r="F631" t="str">
        <f t="shared" si="135"/>
        <v>468x60 Default Web Ad</v>
      </c>
      <c r="G631" t="str">
        <f t="shared" si="136"/>
        <v>297946650</v>
      </c>
      <c r="H631" t="str">
        <f t="shared" si="137"/>
        <v>Display</v>
      </c>
      <c r="I631">
        <f t="shared" si="138"/>
        <v>3120</v>
      </c>
      <c r="J631">
        <f t="shared" si="139"/>
        <v>38</v>
      </c>
      <c r="K631" s="4">
        <f t="shared" si="142"/>
        <v>0.04</v>
      </c>
      <c r="L631">
        <f t="shared" si="143"/>
        <v>0.09</v>
      </c>
      <c r="M631" s="4">
        <f t="shared" si="140"/>
        <v>0.12479999999999999</v>
      </c>
      <c r="N631" s="4">
        <f t="shared" si="141"/>
        <v>0.28079999999999999</v>
      </c>
    </row>
    <row r="632" spans="1:14">
      <c r="A632" t="str">
        <f t="shared" si="130"/>
        <v>alp_AlwaysOn_DBM-Estrutura-2015</v>
      </c>
      <c r="B632" t="str">
        <f t="shared" si="131"/>
        <v>Google Brasil</v>
      </c>
      <c r="C632" t="str">
        <f t="shared" si="132"/>
        <v>always-on-Medio|google|dbm|468x60</v>
      </c>
      <c r="D632" t="str">
        <f t="shared" si="133"/>
        <v>125065089</v>
      </c>
      <c r="E632" t="str">
        <f t="shared" si="134"/>
        <v>DCO</v>
      </c>
      <c r="F632" t="str">
        <f t="shared" si="135"/>
        <v>468x60_GerouLead_Concessionarias_MEDIO</v>
      </c>
      <c r="G632" t="str">
        <f t="shared" si="136"/>
        <v>297951134</v>
      </c>
      <c r="H632" t="str">
        <f t="shared" si="137"/>
        <v>Rich Media display banner</v>
      </c>
      <c r="I632">
        <f t="shared" si="138"/>
        <v>336</v>
      </c>
      <c r="J632">
        <f t="shared" si="139"/>
        <v>0</v>
      </c>
      <c r="K632" s="4">
        <f t="shared" si="142"/>
        <v>0.12</v>
      </c>
      <c r="L632">
        <f t="shared" si="143"/>
        <v>7.0000000000000007E-2</v>
      </c>
      <c r="M632" s="4">
        <f t="shared" si="140"/>
        <v>4.0320000000000002E-2</v>
      </c>
      <c r="N632" s="4">
        <f t="shared" si="141"/>
        <v>2.3520000000000003E-2</v>
      </c>
    </row>
    <row r="633" spans="1:14">
      <c r="A633" t="str">
        <f t="shared" si="130"/>
        <v>alp_AlwaysOn_DBM-Estrutura-2015</v>
      </c>
      <c r="B633" t="str">
        <f t="shared" si="131"/>
        <v>Google Brasil</v>
      </c>
      <c r="C633" t="str">
        <f t="shared" si="132"/>
        <v>always-on-Medio|google|dbm|468x60</v>
      </c>
      <c r="D633" t="str">
        <f t="shared" si="133"/>
        <v>125065089</v>
      </c>
      <c r="E633" t="str">
        <f t="shared" si="134"/>
        <v>DCO</v>
      </c>
      <c r="F633" t="str">
        <f t="shared" si="135"/>
        <v>468x60_GerouRadar_Radar_MEDIO</v>
      </c>
      <c r="G633" t="str">
        <f t="shared" si="136"/>
        <v>302824566</v>
      </c>
      <c r="H633" t="str">
        <f t="shared" si="137"/>
        <v>Rich Media display banner</v>
      </c>
      <c r="I633">
        <f t="shared" si="138"/>
        <v>187</v>
      </c>
      <c r="J633">
        <f t="shared" si="139"/>
        <v>0</v>
      </c>
      <c r="K633" s="4">
        <f t="shared" si="142"/>
        <v>0.12</v>
      </c>
      <c r="L633">
        <f t="shared" si="143"/>
        <v>7.0000000000000007E-2</v>
      </c>
      <c r="M633" s="4">
        <f t="shared" si="140"/>
        <v>2.2439999999999998E-2</v>
      </c>
      <c r="N633" s="4">
        <f t="shared" si="141"/>
        <v>1.3090000000000001E-2</v>
      </c>
    </row>
    <row r="634" spans="1:14">
      <c r="A634" t="str">
        <f t="shared" si="130"/>
        <v>alp_AlwaysOn_DBM-Estrutura-2015</v>
      </c>
      <c r="B634" t="str">
        <f t="shared" si="131"/>
        <v>Google Brasil</v>
      </c>
      <c r="C634" t="str">
        <f t="shared" si="132"/>
        <v>always-on-Medio|google|dbm|468x60</v>
      </c>
      <c r="D634" t="str">
        <f t="shared" si="133"/>
        <v>125065089</v>
      </c>
      <c r="E634" t="str">
        <f t="shared" si="134"/>
        <v>DCO</v>
      </c>
      <c r="F634" t="str">
        <f t="shared" si="135"/>
        <v>468x60_Prospeccao_Institucional_Condicoes_Produto_MEDIO</v>
      </c>
      <c r="G634" t="str">
        <f t="shared" si="136"/>
        <v>297951150</v>
      </c>
      <c r="H634" t="str">
        <f t="shared" si="137"/>
        <v>Rich Media display banner</v>
      </c>
      <c r="I634">
        <f t="shared" si="138"/>
        <v>360629</v>
      </c>
      <c r="J634">
        <f t="shared" si="139"/>
        <v>5787</v>
      </c>
      <c r="K634" s="4">
        <f t="shared" si="142"/>
        <v>0.12</v>
      </c>
      <c r="L634">
        <f t="shared" si="143"/>
        <v>7.0000000000000007E-2</v>
      </c>
      <c r="M634" s="4">
        <f t="shared" si="140"/>
        <v>43.275479999999995</v>
      </c>
      <c r="N634" s="4">
        <f t="shared" si="141"/>
        <v>25.244030000000002</v>
      </c>
    </row>
    <row r="635" spans="1:14">
      <c r="A635" t="str">
        <f t="shared" si="130"/>
        <v>alp_AlwaysOn_DBM-Estrutura-2015</v>
      </c>
      <c r="B635" t="str">
        <f t="shared" si="131"/>
        <v>Google Brasil</v>
      </c>
      <c r="C635" t="str">
        <f t="shared" si="132"/>
        <v>always-on-Medio|google|dbm|468x60</v>
      </c>
      <c r="D635" t="str">
        <f t="shared" si="133"/>
        <v>125065089</v>
      </c>
      <c r="E635" t="str">
        <f t="shared" si="134"/>
        <v>DCO</v>
      </c>
      <c r="F635" t="str">
        <f t="shared" si="135"/>
        <v>468x60_ViuCarro_Features_Intencao_MEDIO</v>
      </c>
      <c r="G635" t="str">
        <f t="shared" si="136"/>
        <v>297947859</v>
      </c>
      <c r="H635" t="str">
        <f t="shared" si="137"/>
        <v>Rich Media display banner</v>
      </c>
      <c r="I635">
        <f t="shared" si="138"/>
        <v>12963</v>
      </c>
      <c r="J635">
        <f t="shared" si="139"/>
        <v>76</v>
      </c>
      <c r="K635" s="4">
        <f t="shared" si="142"/>
        <v>0.12</v>
      </c>
      <c r="L635">
        <f t="shared" si="143"/>
        <v>7.0000000000000007E-2</v>
      </c>
      <c r="M635" s="4">
        <f t="shared" si="140"/>
        <v>1.5555600000000001</v>
      </c>
      <c r="N635" s="4">
        <f t="shared" si="141"/>
        <v>0.90741000000000005</v>
      </c>
    </row>
    <row r="636" spans="1:14">
      <c r="A636" t="str">
        <f t="shared" si="130"/>
        <v>alp_AlwaysOn_DBM-Estrutura-2015</v>
      </c>
      <c r="B636" t="str">
        <f t="shared" si="131"/>
        <v>Google Brasil</v>
      </c>
      <c r="C636" t="str">
        <f t="shared" si="132"/>
        <v>always-on-Medio|google|dbm|468x60</v>
      </c>
      <c r="D636" t="str">
        <f t="shared" si="133"/>
        <v>125065089</v>
      </c>
      <c r="E636" t="str">
        <f t="shared" si="134"/>
        <v>DCO</v>
      </c>
      <c r="F636" t="str">
        <f t="shared" si="135"/>
        <v>468x60_ViuCarro_Features_MEDIO</v>
      </c>
      <c r="G636" t="str">
        <f t="shared" si="136"/>
        <v>302824923</v>
      </c>
      <c r="H636" t="str">
        <f t="shared" si="137"/>
        <v>Rich Media display banner</v>
      </c>
      <c r="I636">
        <f t="shared" si="138"/>
        <v>70023</v>
      </c>
      <c r="J636">
        <f t="shared" si="139"/>
        <v>259</v>
      </c>
      <c r="K636" s="4">
        <f t="shared" si="142"/>
        <v>0.12</v>
      </c>
      <c r="L636">
        <f t="shared" si="143"/>
        <v>7.0000000000000007E-2</v>
      </c>
      <c r="M636" s="4">
        <f t="shared" si="140"/>
        <v>8.4027600000000007</v>
      </c>
      <c r="N636" s="4">
        <f t="shared" si="141"/>
        <v>4.9016100000000007</v>
      </c>
    </row>
    <row r="637" spans="1:14">
      <c r="A637" t="str">
        <f t="shared" si="130"/>
        <v>alp_AlwaysOn_DBM-Estrutura-2015</v>
      </c>
      <c r="B637" t="str">
        <f t="shared" si="131"/>
        <v>Google Brasil</v>
      </c>
      <c r="C637" t="str">
        <f t="shared" si="132"/>
        <v>always-on-Medio|google|dbm|970x250</v>
      </c>
      <c r="D637" t="str">
        <f t="shared" si="133"/>
        <v>125060879</v>
      </c>
      <c r="E637" t="str">
        <f t="shared" si="134"/>
        <v>Default</v>
      </c>
      <c r="F637" t="str">
        <f t="shared" si="135"/>
        <v>970x250 Default Web Ad</v>
      </c>
      <c r="G637" t="str">
        <f t="shared" si="136"/>
        <v>297950089</v>
      </c>
      <c r="H637" t="str">
        <f t="shared" si="137"/>
        <v>Display</v>
      </c>
      <c r="I637">
        <f t="shared" si="138"/>
        <v>11668</v>
      </c>
      <c r="J637">
        <f t="shared" si="139"/>
        <v>27</v>
      </c>
      <c r="K637" s="4">
        <f t="shared" si="142"/>
        <v>0.04</v>
      </c>
      <c r="L637">
        <f t="shared" si="143"/>
        <v>0.09</v>
      </c>
      <c r="M637" s="4">
        <f t="shared" si="140"/>
        <v>0.46672000000000002</v>
      </c>
      <c r="N637" s="4">
        <f t="shared" si="141"/>
        <v>1.0501199999999999</v>
      </c>
    </row>
    <row r="638" spans="1:14">
      <c r="A638" t="str">
        <f t="shared" si="130"/>
        <v>alp_AlwaysOn_DBM-Estrutura-2015</v>
      </c>
      <c r="B638" t="str">
        <f t="shared" si="131"/>
        <v>Google Brasil</v>
      </c>
      <c r="C638" t="str">
        <f t="shared" si="132"/>
        <v>always-on-Medio|google|dbm|970x250</v>
      </c>
      <c r="D638" t="str">
        <f t="shared" si="133"/>
        <v>125060879</v>
      </c>
      <c r="E638" t="str">
        <f t="shared" si="134"/>
        <v>DCO</v>
      </c>
      <c r="F638" t="str">
        <f t="shared" si="135"/>
        <v>970x250_GerouLead_Concessionarias_MEDIO</v>
      </c>
      <c r="G638" t="str">
        <f t="shared" si="136"/>
        <v>297949728</v>
      </c>
      <c r="H638" t="str">
        <f t="shared" si="137"/>
        <v>Rich Media display banner</v>
      </c>
      <c r="I638">
        <f t="shared" si="138"/>
        <v>2066</v>
      </c>
      <c r="J638">
        <f t="shared" si="139"/>
        <v>13</v>
      </c>
      <c r="K638" s="4">
        <f t="shared" si="142"/>
        <v>0.12</v>
      </c>
      <c r="L638">
        <f t="shared" si="143"/>
        <v>7.0000000000000007E-2</v>
      </c>
      <c r="M638" s="4">
        <f t="shared" si="140"/>
        <v>0.24791999999999997</v>
      </c>
      <c r="N638" s="4">
        <f t="shared" si="141"/>
        <v>0.14462</v>
      </c>
    </row>
    <row r="639" spans="1:14">
      <c r="A639" t="str">
        <f t="shared" si="130"/>
        <v>alp_AlwaysOn_DBM-Estrutura-2015</v>
      </c>
      <c r="B639" t="str">
        <f t="shared" si="131"/>
        <v>Google Brasil</v>
      </c>
      <c r="C639" t="str">
        <f t="shared" si="132"/>
        <v>always-on-Medio|google|dbm|970x250</v>
      </c>
      <c r="D639" t="str">
        <f t="shared" si="133"/>
        <v>125060879</v>
      </c>
      <c r="E639" t="str">
        <f t="shared" si="134"/>
        <v>DCO</v>
      </c>
      <c r="F639" t="str">
        <f t="shared" si="135"/>
        <v>970x250_GerouRadar_Radar_MEDIO</v>
      </c>
      <c r="G639" t="str">
        <f t="shared" si="136"/>
        <v>302851315</v>
      </c>
      <c r="H639" t="str">
        <f t="shared" si="137"/>
        <v>Rich Media display banner</v>
      </c>
      <c r="I639">
        <f t="shared" si="138"/>
        <v>1180</v>
      </c>
      <c r="J639">
        <f t="shared" si="139"/>
        <v>18</v>
      </c>
      <c r="K639" s="4">
        <f t="shared" si="142"/>
        <v>0.12</v>
      </c>
      <c r="L639">
        <f t="shared" si="143"/>
        <v>7.0000000000000007E-2</v>
      </c>
      <c r="M639" s="4">
        <f t="shared" si="140"/>
        <v>0.1416</v>
      </c>
      <c r="N639" s="4">
        <f t="shared" si="141"/>
        <v>8.2600000000000007E-2</v>
      </c>
    </row>
    <row r="640" spans="1:14">
      <c r="A640" t="str">
        <f t="shared" si="130"/>
        <v>alp_AlwaysOn_DBM-Estrutura-2015</v>
      </c>
      <c r="B640" t="str">
        <f t="shared" si="131"/>
        <v>Google Brasil</v>
      </c>
      <c r="C640" t="str">
        <f t="shared" si="132"/>
        <v>always-on-Medio|google|dbm|970x250</v>
      </c>
      <c r="D640" t="str">
        <f t="shared" si="133"/>
        <v>125060879</v>
      </c>
      <c r="E640" t="str">
        <f t="shared" si="134"/>
        <v>DCO</v>
      </c>
      <c r="F640" t="str">
        <f t="shared" si="135"/>
        <v>970x250_Prospeccao_Institucional_Condicoes_Produto_MEDIO</v>
      </c>
      <c r="G640" t="str">
        <f t="shared" si="136"/>
        <v>297949282</v>
      </c>
      <c r="H640" t="str">
        <f t="shared" si="137"/>
        <v>Rich Media display banner</v>
      </c>
      <c r="I640">
        <f t="shared" si="138"/>
        <v>965976</v>
      </c>
      <c r="J640">
        <f t="shared" si="139"/>
        <v>2374</v>
      </c>
      <c r="K640" s="4">
        <f t="shared" si="142"/>
        <v>0.12</v>
      </c>
      <c r="L640">
        <f t="shared" si="143"/>
        <v>7.0000000000000007E-2</v>
      </c>
      <c r="M640" s="4">
        <f t="shared" si="140"/>
        <v>115.91712</v>
      </c>
      <c r="N640" s="4">
        <f t="shared" si="141"/>
        <v>67.618320000000011</v>
      </c>
    </row>
    <row r="641" spans="1:14">
      <c r="A641" t="str">
        <f t="shared" si="130"/>
        <v>alp_AlwaysOn_DBM-Estrutura-2015</v>
      </c>
      <c r="B641" t="str">
        <f t="shared" si="131"/>
        <v>Google Brasil</v>
      </c>
      <c r="C641" t="str">
        <f t="shared" si="132"/>
        <v>always-on-Medio|google|dbm|970x250</v>
      </c>
      <c r="D641" t="str">
        <f t="shared" si="133"/>
        <v>125060879</v>
      </c>
      <c r="E641" t="str">
        <f t="shared" si="134"/>
        <v>DCO</v>
      </c>
      <c r="F641" t="str">
        <f t="shared" si="135"/>
        <v>970x250_ViuCarro_Features_Intencao_MEDIO</v>
      </c>
      <c r="G641" t="str">
        <f t="shared" si="136"/>
        <v>297947882</v>
      </c>
      <c r="H641" t="str">
        <f t="shared" si="137"/>
        <v>Rich Media display banner</v>
      </c>
      <c r="I641">
        <f t="shared" si="138"/>
        <v>76304</v>
      </c>
      <c r="J641">
        <f t="shared" si="139"/>
        <v>398</v>
      </c>
      <c r="K641" s="4">
        <f t="shared" si="142"/>
        <v>0.12</v>
      </c>
      <c r="L641">
        <f t="shared" si="143"/>
        <v>7.0000000000000007E-2</v>
      </c>
      <c r="M641" s="4">
        <f t="shared" si="140"/>
        <v>9.1564800000000002</v>
      </c>
      <c r="N641" s="4">
        <f t="shared" si="141"/>
        <v>5.3412800000000002</v>
      </c>
    </row>
    <row r="642" spans="1:14">
      <c r="A642" t="str">
        <f t="shared" ref="A642:A705" si="144">bd_campaign</f>
        <v>alp_AlwaysOn_DBM-Estrutura-2015</v>
      </c>
      <c r="B642" t="str">
        <f t="shared" ref="B642:B705" si="145">bd_site</f>
        <v>Google Brasil</v>
      </c>
      <c r="C642" t="str">
        <f t="shared" ref="C642:C705" si="146">bd_placement</f>
        <v>always-on-Medio|google|dbm|970x250</v>
      </c>
      <c r="D642" t="str">
        <f t="shared" ref="D642:D705" si="147">bd_placementID</f>
        <v>125060879</v>
      </c>
      <c r="E642" t="str">
        <f t="shared" ref="E642:E705" si="148">VLOOKUP(CONCATENATE(bd_adtype,"_",bd_creativetype),tabela,2,FALSE)</f>
        <v>DCO</v>
      </c>
      <c r="F642" t="str">
        <f t="shared" ref="F642:F705" si="149">bd_ad</f>
        <v>970x250_ViuCarro_Features_MEDIO</v>
      </c>
      <c r="G642" t="str">
        <f t="shared" ref="G642:G705" si="150">bd_adid</f>
        <v>302846061</v>
      </c>
      <c r="H642" t="str">
        <f t="shared" ref="H642:H705" si="151">bd_creativetype</f>
        <v>Rich Media display banner</v>
      </c>
      <c r="I642">
        <f t="shared" ref="I642:I705" si="152">bd_impression</f>
        <v>420831</v>
      </c>
      <c r="J642">
        <f t="shared" ref="J642:J705" si="153">bd_clicks</f>
        <v>962</v>
      </c>
      <c r="K642" s="4">
        <f t="shared" si="142"/>
        <v>0.12</v>
      </c>
      <c r="L642">
        <f t="shared" si="143"/>
        <v>7.0000000000000007E-2</v>
      </c>
      <c r="M642" s="4">
        <f t="shared" si="140"/>
        <v>50.499720000000003</v>
      </c>
      <c r="N642" s="4">
        <f t="shared" si="141"/>
        <v>29.458170000000003</v>
      </c>
    </row>
    <row r="643" spans="1:14">
      <c r="A643" t="str">
        <f t="shared" si="144"/>
        <v>alp_AlwaysOn_DBM-Estrutura-2015</v>
      </c>
      <c r="B643" t="str">
        <f t="shared" si="145"/>
        <v>Google Brasil</v>
      </c>
      <c r="C643" t="str">
        <f t="shared" si="146"/>
        <v>always-on-Medio|google|dbm|970x90</v>
      </c>
      <c r="D643" t="str">
        <f t="shared" si="147"/>
        <v>125061312</v>
      </c>
      <c r="E643" t="str">
        <f t="shared" si="148"/>
        <v>Default</v>
      </c>
      <c r="F643" t="str">
        <f t="shared" si="149"/>
        <v>970x90 Default Web Ad</v>
      </c>
      <c r="G643" t="str">
        <f t="shared" si="150"/>
        <v>297947867</v>
      </c>
      <c r="H643" t="str">
        <f t="shared" si="151"/>
        <v>Display</v>
      </c>
      <c r="I643">
        <f t="shared" si="152"/>
        <v>9666</v>
      </c>
      <c r="J643">
        <f t="shared" si="153"/>
        <v>13</v>
      </c>
      <c r="K643" s="4">
        <f t="shared" si="142"/>
        <v>0.04</v>
      </c>
      <c r="L643">
        <f t="shared" si="143"/>
        <v>0.09</v>
      </c>
      <c r="M643" s="4">
        <f t="shared" si="140"/>
        <v>0.38663999999999998</v>
      </c>
      <c r="N643" s="4">
        <f t="shared" si="141"/>
        <v>0.86993999999999994</v>
      </c>
    </row>
    <row r="644" spans="1:14">
      <c r="A644" t="str">
        <f t="shared" si="144"/>
        <v>alp_AlwaysOn_DBM-Estrutura-2015</v>
      </c>
      <c r="B644" t="str">
        <f t="shared" si="145"/>
        <v>Google Brasil</v>
      </c>
      <c r="C644" t="str">
        <f t="shared" si="146"/>
        <v>always-on-Medio|google|dbm|970x90</v>
      </c>
      <c r="D644" t="str">
        <f t="shared" si="147"/>
        <v>125061312</v>
      </c>
      <c r="E644" t="str">
        <f t="shared" si="148"/>
        <v>DCO</v>
      </c>
      <c r="F644" t="str">
        <f t="shared" si="149"/>
        <v>970x90_GerouLead_Concessionarias_MEDIO</v>
      </c>
      <c r="G644" t="str">
        <f t="shared" si="150"/>
        <v>297947014</v>
      </c>
      <c r="H644" t="str">
        <f t="shared" si="151"/>
        <v>Rich Media display banner</v>
      </c>
      <c r="I644">
        <f t="shared" si="152"/>
        <v>1512</v>
      </c>
      <c r="J644">
        <f t="shared" si="153"/>
        <v>3</v>
      </c>
      <c r="K644" s="4">
        <f t="shared" si="142"/>
        <v>0.12</v>
      </c>
      <c r="L644">
        <f t="shared" si="143"/>
        <v>7.0000000000000007E-2</v>
      </c>
      <c r="M644" s="4">
        <f t="shared" si="140"/>
        <v>0.18143999999999999</v>
      </c>
      <c r="N644" s="4">
        <f t="shared" si="141"/>
        <v>0.10584</v>
      </c>
    </row>
    <row r="645" spans="1:14">
      <c r="A645" t="str">
        <f t="shared" si="144"/>
        <v>alp_AlwaysOn_DBM-Estrutura-2015</v>
      </c>
      <c r="B645" t="str">
        <f t="shared" si="145"/>
        <v>Google Brasil</v>
      </c>
      <c r="C645" t="str">
        <f t="shared" si="146"/>
        <v>always-on-Medio|google|dbm|970x90</v>
      </c>
      <c r="D645" t="str">
        <f t="shared" si="147"/>
        <v>125061312</v>
      </c>
      <c r="E645" t="str">
        <f t="shared" si="148"/>
        <v>DCO</v>
      </c>
      <c r="F645" t="str">
        <f t="shared" si="149"/>
        <v>970x90_GerouRadar_Radar_MEDIO</v>
      </c>
      <c r="G645" t="str">
        <f t="shared" si="150"/>
        <v>302844584</v>
      </c>
      <c r="H645" t="str">
        <f t="shared" si="151"/>
        <v>Rich Media display banner</v>
      </c>
      <c r="I645">
        <f t="shared" si="152"/>
        <v>1019</v>
      </c>
      <c r="J645">
        <f t="shared" si="153"/>
        <v>6</v>
      </c>
      <c r="K645" s="4">
        <f t="shared" si="142"/>
        <v>0.12</v>
      </c>
      <c r="L645">
        <f t="shared" si="143"/>
        <v>7.0000000000000007E-2</v>
      </c>
      <c r="M645" s="4">
        <f t="shared" si="140"/>
        <v>0.12228</v>
      </c>
      <c r="N645" s="4">
        <f t="shared" si="141"/>
        <v>7.1330000000000018E-2</v>
      </c>
    </row>
    <row r="646" spans="1:14">
      <c r="A646" t="str">
        <f t="shared" si="144"/>
        <v>alp_AlwaysOn_DBM-Estrutura-2015</v>
      </c>
      <c r="B646" t="str">
        <f t="shared" si="145"/>
        <v>Google Brasil</v>
      </c>
      <c r="C646" t="str">
        <f t="shared" si="146"/>
        <v>always-on-Medio|google|dbm|970x90</v>
      </c>
      <c r="D646" t="str">
        <f t="shared" si="147"/>
        <v>125061312</v>
      </c>
      <c r="E646" t="str">
        <f t="shared" si="148"/>
        <v>DCO</v>
      </c>
      <c r="F646" t="str">
        <f t="shared" si="149"/>
        <v>970x90_Prospeccao_Institucional_Condicoes_Produto_MEDIO</v>
      </c>
      <c r="G646" t="str">
        <f t="shared" si="150"/>
        <v>297947625</v>
      </c>
      <c r="H646" t="str">
        <f t="shared" si="151"/>
        <v>Rich Media display banner</v>
      </c>
      <c r="I646">
        <f t="shared" si="152"/>
        <v>654850</v>
      </c>
      <c r="J646">
        <f t="shared" si="153"/>
        <v>585</v>
      </c>
      <c r="K646" s="4">
        <f t="shared" si="142"/>
        <v>0.12</v>
      </c>
      <c r="L646">
        <f t="shared" si="143"/>
        <v>7.0000000000000007E-2</v>
      </c>
      <c r="M646" s="4">
        <f t="shared" si="140"/>
        <v>78.581999999999994</v>
      </c>
      <c r="N646" s="4">
        <f t="shared" si="141"/>
        <v>45.839500000000008</v>
      </c>
    </row>
    <row r="647" spans="1:14">
      <c r="A647" t="str">
        <f t="shared" si="144"/>
        <v>alp_AlwaysOn_DBM-Estrutura-2015</v>
      </c>
      <c r="B647" t="str">
        <f t="shared" si="145"/>
        <v>Google Brasil</v>
      </c>
      <c r="C647" t="str">
        <f t="shared" si="146"/>
        <v>always-on-Medio|google|dbm|970x90</v>
      </c>
      <c r="D647" t="str">
        <f t="shared" si="147"/>
        <v>125061312</v>
      </c>
      <c r="E647" t="str">
        <f t="shared" si="148"/>
        <v>DCO</v>
      </c>
      <c r="F647" t="str">
        <f t="shared" si="149"/>
        <v>970x90_ViuCarro_Features_Intencao_MEDIO</v>
      </c>
      <c r="G647" t="str">
        <f t="shared" si="150"/>
        <v>297951333</v>
      </c>
      <c r="H647" t="str">
        <f t="shared" si="151"/>
        <v>Rich Media display banner</v>
      </c>
      <c r="I647">
        <f t="shared" si="152"/>
        <v>85819</v>
      </c>
      <c r="J647">
        <f t="shared" si="153"/>
        <v>145</v>
      </c>
      <c r="K647" s="4">
        <f t="shared" si="142"/>
        <v>0.12</v>
      </c>
      <c r="L647">
        <f t="shared" si="143"/>
        <v>7.0000000000000007E-2</v>
      </c>
      <c r="M647" s="4">
        <f t="shared" si="140"/>
        <v>10.298279999999998</v>
      </c>
      <c r="N647" s="4">
        <f t="shared" si="141"/>
        <v>6.0073300000000005</v>
      </c>
    </row>
    <row r="648" spans="1:14">
      <c r="A648" t="str">
        <f t="shared" si="144"/>
        <v>alp_AlwaysOn_DBM-Estrutura-2015</v>
      </c>
      <c r="B648" t="str">
        <f t="shared" si="145"/>
        <v>Google Brasil</v>
      </c>
      <c r="C648" t="str">
        <f t="shared" si="146"/>
        <v>always-on-Medio|google|dbm|970x90</v>
      </c>
      <c r="D648" t="str">
        <f t="shared" si="147"/>
        <v>125061312</v>
      </c>
      <c r="E648" t="str">
        <f t="shared" si="148"/>
        <v>DCO</v>
      </c>
      <c r="F648" t="str">
        <f t="shared" si="149"/>
        <v>970x90_ViuCarro_Features_MEDIO</v>
      </c>
      <c r="G648" t="str">
        <f t="shared" si="150"/>
        <v>302846458</v>
      </c>
      <c r="H648" t="str">
        <f t="shared" si="151"/>
        <v>Rich Media display banner</v>
      </c>
      <c r="I648">
        <f t="shared" si="152"/>
        <v>432200</v>
      </c>
      <c r="J648">
        <f t="shared" si="153"/>
        <v>311</v>
      </c>
      <c r="K648" s="4">
        <f t="shared" si="142"/>
        <v>0.12</v>
      </c>
      <c r="L648">
        <f t="shared" si="143"/>
        <v>7.0000000000000007E-2</v>
      </c>
      <c r="M648" s="4">
        <f t="shared" si="140"/>
        <v>51.863999999999997</v>
      </c>
      <c r="N648" s="4">
        <f t="shared" si="141"/>
        <v>30.254000000000005</v>
      </c>
    </row>
    <row r="649" spans="1:14">
      <c r="A649" t="str">
        <f t="shared" si="144"/>
        <v>alp_AlwaysOn_DBM-Estrutura-2015</v>
      </c>
      <c r="B649" t="str">
        <f t="shared" si="145"/>
        <v>Google Brasil</v>
      </c>
      <c r="C649" t="str">
        <f t="shared" si="146"/>
        <v>always-on-Medio|google|dbm|half-page-300x600</v>
      </c>
      <c r="D649" t="str">
        <f t="shared" si="147"/>
        <v>125047163</v>
      </c>
      <c r="E649" t="str">
        <f t="shared" si="148"/>
        <v>Default</v>
      </c>
      <c r="F649" t="str">
        <f t="shared" si="149"/>
        <v>300x600 Default Web Ad</v>
      </c>
      <c r="G649" t="str">
        <f t="shared" si="150"/>
        <v>297934556</v>
      </c>
      <c r="H649" t="str">
        <f t="shared" si="151"/>
        <v>Display</v>
      </c>
      <c r="I649">
        <f t="shared" si="152"/>
        <v>21465</v>
      </c>
      <c r="J649">
        <f t="shared" si="153"/>
        <v>17</v>
      </c>
      <c r="K649" s="4">
        <f t="shared" si="142"/>
        <v>0.04</v>
      </c>
      <c r="L649">
        <f t="shared" si="143"/>
        <v>0.09</v>
      </c>
      <c r="M649" s="4">
        <f t="shared" si="140"/>
        <v>0.85860000000000003</v>
      </c>
      <c r="N649" s="4">
        <f t="shared" si="141"/>
        <v>1.9318499999999998</v>
      </c>
    </row>
    <row r="650" spans="1:14">
      <c r="A650" t="str">
        <f t="shared" si="144"/>
        <v>alp_AlwaysOn_DBM-Estrutura-2015</v>
      </c>
      <c r="B650" t="str">
        <f t="shared" si="145"/>
        <v>Google Brasil</v>
      </c>
      <c r="C650" t="str">
        <f t="shared" si="146"/>
        <v>always-on-Medio|google|dbm|half-page-300x600</v>
      </c>
      <c r="D650" t="str">
        <f t="shared" si="147"/>
        <v>125047163</v>
      </c>
      <c r="E650" t="str">
        <f t="shared" si="148"/>
        <v>DCO</v>
      </c>
      <c r="F650" t="str">
        <f t="shared" si="149"/>
        <v>300x600_GerouLead_Concessionarias_MEDIO</v>
      </c>
      <c r="G650" t="str">
        <f t="shared" si="150"/>
        <v>297933377</v>
      </c>
      <c r="H650" t="str">
        <f t="shared" si="151"/>
        <v>Rich Media display banner</v>
      </c>
      <c r="I650">
        <f t="shared" si="152"/>
        <v>4661</v>
      </c>
      <c r="J650">
        <f t="shared" si="153"/>
        <v>13</v>
      </c>
      <c r="K650" s="4">
        <f t="shared" si="142"/>
        <v>0.12</v>
      </c>
      <c r="L650">
        <f t="shared" si="143"/>
        <v>7.0000000000000007E-2</v>
      </c>
      <c r="M650" s="4">
        <f t="shared" si="140"/>
        <v>0.55931999999999993</v>
      </c>
      <c r="N650" s="4">
        <f t="shared" si="141"/>
        <v>0.32627000000000006</v>
      </c>
    </row>
    <row r="651" spans="1:14">
      <c r="A651" t="str">
        <f t="shared" si="144"/>
        <v>alp_AlwaysOn_DBM-Estrutura-2015</v>
      </c>
      <c r="B651" t="str">
        <f t="shared" si="145"/>
        <v>Google Brasil</v>
      </c>
      <c r="C651" t="str">
        <f t="shared" si="146"/>
        <v>always-on-Medio|google|dbm|half-page-300x600</v>
      </c>
      <c r="D651" t="str">
        <f t="shared" si="147"/>
        <v>125047163</v>
      </c>
      <c r="E651" t="str">
        <f t="shared" si="148"/>
        <v>DCO</v>
      </c>
      <c r="F651" t="str">
        <f t="shared" si="149"/>
        <v>300x600_GerouRadar_Radar_MEDIO</v>
      </c>
      <c r="G651" t="str">
        <f t="shared" si="150"/>
        <v>302828048</v>
      </c>
      <c r="H651" t="str">
        <f t="shared" si="151"/>
        <v>Rich Media display banner</v>
      </c>
      <c r="I651">
        <f t="shared" si="152"/>
        <v>2392</v>
      </c>
      <c r="J651">
        <f t="shared" si="153"/>
        <v>17</v>
      </c>
      <c r="K651" s="4">
        <f t="shared" si="142"/>
        <v>0.12</v>
      </c>
      <c r="L651">
        <f t="shared" si="143"/>
        <v>7.0000000000000007E-2</v>
      </c>
      <c r="M651" s="4">
        <f t="shared" si="140"/>
        <v>0.28703999999999996</v>
      </c>
      <c r="N651" s="4">
        <f t="shared" si="141"/>
        <v>0.16744000000000003</v>
      </c>
    </row>
    <row r="652" spans="1:14">
      <c r="A652" t="str">
        <f t="shared" si="144"/>
        <v>alp_AlwaysOn_DBM-Estrutura-2015</v>
      </c>
      <c r="B652" t="str">
        <f t="shared" si="145"/>
        <v>Google Brasil</v>
      </c>
      <c r="C652" t="str">
        <f t="shared" si="146"/>
        <v>always-on-Medio|google|dbm|half-page-300x600</v>
      </c>
      <c r="D652" t="str">
        <f t="shared" si="147"/>
        <v>125047163</v>
      </c>
      <c r="E652" t="str">
        <f t="shared" si="148"/>
        <v>DCO</v>
      </c>
      <c r="F652" t="str">
        <f t="shared" si="149"/>
        <v>300x600_Prospeccao_Institucional_Condicoes_Produto_MEDIO</v>
      </c>
      <c r="G652" t="str">
        <f t="shared" si="150"/>
        <v>297935609</v>
      </c>
      <c r="H652" t="str">
        <f t="shared" si="151"/>
        <v>Rich Media display banner</v>
      </c>
      <c r="I652">
        <f t="shared" si="152"/>
        <v>2204402</v>
      </c>
      <c r="J652">
        <f t="shared" si="153"/>
        <v>3080</v>
      </c>
      <c r="K652" s="4">
        <f t="shared" si="142"/>
        <v>0.12</v>
      </c>
      <c r="L652">
        <f t="shared" si="143"/>
        <v>7.0000000000000007E-2</v>
      </c>
      <c r="M652" s="4">
        <f t="shared" si="140"/>
        <v>264.52823999999998</v>
      </c>
      <c r="N652" s="4">
        <f t="shared" si="141"/>
        <v>154.30814000000001</v>
      </c>
    </row>
    <row r="653" spans="1:14">
      <c r="A653" t="str">
        <f t="shared" si="144"/>
        <v>alp_AlwaysOn_DBM-Estrutura-2015</v>
      </c>
      <c r="B653" t="str">
        <f t="shared" si="145"/>
        <v>Google Brasil</v>
      </c>
      <c r="C653" t="str">
        <f t="shared" si="146"/>
        <v>always-on-Medio|google|dbm|half-page-300x600</v>
      </c>
      <c r="D653" t="str">
        <f t="shared" si="147"/>
        <v>125047163</v>
      </c>
      <c r="E653" t="str">
        <f t="shared" si="148"/>
        <v>DCO</v>
      </c>
      <c r="F653" t="str">
        <f t="shared" si="149"/>
        <v>300x600_ViuCarro_Features_Intencao_MEDIO</v>
      </c>
      <c r="G653" t="str">
        <f t="shared" si="150"/>
        <v>297933987</v>
      </c>
      <c r="H653" t="str">
        <f t="shared" si="151"/>
        <v>Rich Media display banner</v>
      </c>
      <c r="I653">
        <f t="shared" si="152"/>
        <v>143865</v>
      </c>
      <c r="J653">
        <f t="shared" si="153"/>
        <v>463</v>
      </c>
      <c r="K653" s="4">
        <f t="shared" si="142"/>
        <v>0.12</v>
      </c>
      <c r="L653">
        <f t="shared" si="143"/>
        <v>7.0000000000000007E-2</v>
      </c>
      <c r="M653" s="4">
        <f t="shared" si="140"/>
        <v>17.2638</v>
      </c>
      <c r="N653" s="4">
        <f t="shared" si="141"/>
        <v>10.070550000000001</v>
      </c>
    </row>
    <row r="654" spans="1:14">
      <c r="A654" t="str">
        <f t="shared" si="144"/>
        <v>alp_AlwaysOn_DBM-Estrutura-2015</v>
      </c>
      <c r="B654" t="str">
        <f t="shared" si="145"/>
        <v>Google Brasil</v>
      </c>
      <c r="C654" t="str">
        <f t="shared" si="146"/>
        <v>always-on-Medio|google|dbm|half-page-300x600</v>
      </c>
      <c r="D654" t="str">
        <f t="shared" si="147"/>
        <v>125047163</v>
      </c>
      <c r="E654" t="str">
        <f t="shared" si="148"/>
        <v>DCO</v>
      </c>
      <c r="F654" t="str">
        <f t="shared" si="149"/>
        <v>300x600_ViuCarro_Features_MEDIO</v>
      </c>
      <c r="G654" t="str">
        <f t="shared" si="150"/>
        <v>302828053</v>
      </c>
      <c r="H654" t="str">
        <f t="shared" si="151"/>
        <v>Rich Media display banner</v>
      </c>
      <c r="I654">
        <f t="shared" si="152"/>
        <v>668443</v>
      </c>
      <c r="J654">
        <f t="shared" si="153"/>
        <v>1179</v>
      </c>
      <c r="K654" s="4">
        <f t="shared" si="142"/>
        <v>0.12</v>
      </c>
      <c r="L654">
        <f t="shared" si="143"/>
        <v>7.0000000000000007E-2</v>
      </c>
      <c r="M654" s="4">
        <f t="shared" si="140"/>
        <v>80.213160000000002</v>
      </c>
      <c r="N654" s="4">
        <f t="shared" si="141"/>
        <v>46.79101</v>
      </c>
    </row>
    <row r="655" spans="1:14">
      <c r="A655" t="str">
        <f t="shared" si="144"/>
        <v>alp_AlwaysOn_DBM-Estrutura-2015</v>
      </c>
      <c r="B655" t="str">
        <f t="shared" si="145"/>
        <v>Google Brasil</v>
      </c>
      <c r="C655" t="str">
        <f t="shared" si="146"/>
        <v>always-on-Medio|google|dbm|retangulo-medio-300x250</v>
      </c>
      <c r="D655" t="str">
        <f t="shared" si="147"/>
        <v>125031467</v>
      </c>
      <c r="E655" t="str">
        <f t="shared" si="148"/>
        <v>Default</v>
      </c>
      <c r="F655" t="str">
        <f t="shared" si="149"/>
        <v>300x250 Default Web Ad</v>
      </c>
      <c r="G655" t="str">
        <f t="shared" si="150"/>
        <v>297931212</v>
      </c>
      <c r="H655" t="str">
        <f t="shared" si="151"/>
        <v>Display</v>
      </c>
      <c r="I655">
        <f t="shared" si="152"/>
        <v>56069</v>
      </c>
      <c r="J655">
        <f t="shared" si="153"/>
        <v>106</v>
      </c>
      <c r="K655" s="4">
        <f t="shared" si="142"/>
        <v>0.04</v>
      </c>
      <c r="L655">
        <f t="shared" si="143"/>
        <v>0.09</v>
      </c>
      <c r="M655" s="4">
        <f t="shared" si="140"/>
        <v>2.2427600000000001</v>
      </c>
      <c r="N655" s="4">
        <f t="shared" si="141"/>
        <v>5.0462100000000003</v>
      </c>
    </row>
    <row r="656" spans="1:14">
      <c r="A656" t="str">
        <f t="shared" si="144"/>
        <v>alp_AlwaysOn_DBM-Estrutura-2015</v>
      </c>
      <c r="B656" t="str">
        <f t="shared" si="145"/>
        <v>Google Brasil</v>
      </c>
      <c r="C656" t="str">
        <f t="shared" si="146"/>
        <v>always-on-Medio|google|dbm|retangulo-medio-300x250</v>
      </c>
      <c r="D656" t="str">
        <f t="shared" si="147"/>
        <v>125031467</v>
      </c>
      <c r="E656" t="str">
        <f t="shared" si="148"/>
        <v>DCO</v>
      </c>
      <c r="F656" t="str">
        <f t="shared" si="149"/>
        <v>300x250_GerouLead_Concessionarias_MEDIO</v>
      </c>
      <c r="G656" t="str">
        <f t="shared" si="150"/>
        <v>297930750</v>
      </c>
      <c r="H656" t="str">
        <f t="shared" si="151"/>
        <v>Rich Media display banner</v>
      </c>
      <c r="I656">
        <f t="shared" si="152"/>
        <v>34578</v>
      </c>
      <c r="J656">
        <f t="shared" si="153"/>
        <v>133</v>
      </c>
      <c r="K656" s="4">
        <f t="shared" si="142"/>
        <v>0.12</v>
      </c>
      <c r="L656">
        <f t="shared" si="143"/>
        <v>7.0000000000000007E-2</v>
      </c>
      <c r="M656" s="4">
        <f t="shared" si="140"/>
        <v>4.1493599999999997</v>
      </c>
      <c r="N656" s="4">
        <f t="shared" si="141"/>
        <v>2.4204599999999998</v>
      </c>
    </row>
    <row r="657" spans="1:14">
      <c r="A657" t="str">
        <f t="shared" si="144"/>
        <v>alp_AlwaysOn_DBM-Estrutura-2015</v>
      </c>
      <c r="B657" t="str">
        <f t="shared" si="145"/>
        <v>Google Brasil</v>
      </c>
      <c r="C657" t="str">
        <f t="shared" si="146"/>
        <v>always-on-Medio|google|dbm|retangulo-medio-300x250</v>
      </c>
      <c r="D657" t="str">
        <f t="shared" si="147"/>
        <v>125031467</v>
      </c>
      <c r="E657" t="str">
        <f t="shared" si="148"/>
        <v>DCO</v>
      </c>
      <c r="F657" t="str">
        <f t="shared" si="149"/>
        <v>300x250_GerouRadar_Radar_MEDIO</v>
      </c>
      <c r="G657" t="str">
        <f t="shared" si="150"/>
        <v>302829256</v>
      </c>
      <c r="H657" t="str">
        <f t="shared" si="151"/>
        <v>Rich Media display banner</v>
      </c>
      <c r="I657">
        <f t="shared" si="152"/>
        <v>8638</v>
      </c>
      <c r="J657">
        <f t="shared" si="153"/>
        <v>74</v>
      </c>
      <c r="K657" s="4">
        <f t="shared" si="142"/>
        <v>0.12</v>
      </c>
      <c r="L657">
        <f t="shared" si="143"/>
        <v>7.0000000000000007E-2</v>
      </c>
      <c r="M657" s="4">
        <f t="shared" si="140"/>
        <v>1.0365599999999999</v>
      </c>
      <c r="N657" s="4">
        <f t="shared" si="141"/>
        <v>0.60466000000000009</v>
      </c>
    </row>
    <row r="658" spans="1:14">
      <c r="A658" t="str">
        <f t="shared" si="144"/>
        <v>alp_AlwaysOn_DBM-Estrutura-2015</v>
      </c>
      <c r="B658" t="str">
        <f t="shared" si="145"/>
        <v>Google Brasil</v>
      </c>
      <c r="C658" t="str">
        <f t="shared" si="146"/>
        <v>always-on-Medio|google|dbm|retangulo-medio-300x250</v>
      </c>
      <c r="D658" t="str">
        <f t="shared" si="147"/>
        <v>125031467</v>
      </c>
      <c r="E658" t="str">
        <f t="shared" si="148"/>
        <v>DCO</v>
      </c>
      <c r="F658" t="str">
        <f t="shared" si="149"/>
        <v>300x250_Prospeccao_Institucional_Condicoes_Produto_MEDIO</v>
      </c>
      <c r="G658" t="str">
        <f t="shared" si="150"/>
        <v>297933737</v>
      </c>
      <c r="H658" t="str">
        <f t="shared" si="151"/>
        <v>Rich Media display banner</v>
      </c>
      <c r="I658">
        <f t="shared" si="152"/>
        <v>8129715</v>
      </c>
      <c r="J658">
        <f t="shared" si="153"/>
        <v>37648</v>
      </c>
      <c r="K658" s="4">
        <f t="shared" si="142"/>
        <v>0.12</v>
      </c>
      <c r="L658">
        <f t="shared" si="143"/>
        <v>7.0000000000000007E-2</v>
      </c>
      <c r="M658" s="4">
        <f t="shared" si="140"/>
        <v>975.56579999999997</v>
      </c>
      <c r="N658" s="4">
        <f t="shared" si="141"/>
        <v>569.08005000000003</v>
      </c>
    </row>
    <row r="659" spans="1:14">
      <c r="A659" t="str">
        <f t="shared" si="144"/>
        <v>alp_AlwaysOn_DBM-Estrutura-2015</v>
      </c>
      <c r="B659" t="str">
        <f t="shared" si="145"/>
        <v>Google Brasil</v>
      </c>
      <c r="C659" t="str">
        <f t="shared" si="146"/>
        <v>always-on-Medio|google|dbm|retangulo-medio-300x250</v>
      </c>
      <c r="D659" t="str">
        <f t="shared" si="147"/>
        <v>125031467</v>
      </c>
      <c r="E659" t="str">
        <f t="shared" si="148"/>
        <v>DCO</v>
      </c>
      <c r="F659" t="str">
        <f t="shared" si="149"/>
        <v>300x250_ViuCarro_Features_Intencao_MEDIO</v>
      </c>
      <c r="G659" t="str">
        <f t="shared" si="150"/>
        <v>297933196</v>
      </c>
      <c r="H659" t="str">
        <f t="shared" si="151"/>
        <v>Rich Media display banner</v>
      </c>
      <c r="I659">
        <f t="shared" si="152"/>
        <v>356207</v>
      </c>
      <c r="J659">
        <f t="shared" si="153"/>
        <v>1252</v>
      </c>
      <c r="K659" s="4">
        <f t="shared" si="142"/>
        <v>0.12</v>
      </c>
      <c r="L659">
        <f t="shared" si="143"/>
        <v>7.0000000000000007E-2</v>
      </c>
      <c r="M659" s="4">
        <f t="shared" si="140"/>
        <v>42.744839999999996</v>
      </c>
      <c r="N659" s="4">
        <f t="shared" si="141"/>
        <v>24.93449</v>
      </c>
    </row>
    <row r="660" spans="1:14">
      <c r="A660" t="str">
        <f t="shared" si="144"/>
        <v>alp_AlwaysOn_DBM-Estrutura-2015</v>
      </c>
      <c r="B660" t="str">
        <f t="shared" si="145"/>
        <v>Google Brasil</v>
      </c>
      <c r="C660" t="str">
        <f t="shared" si="146"/>
        <v>always-on-Medio|google|dbm|retangulo-medio-300x250</v>
      </c>
      <c r="D660" t="str">
        <f t="shared" si="147"/>
        <v>125031467</v>
      </c>
      <c r="E660" t="str">
        <f t="shared" si="148"/>
        <v>DCO</v>
      </c>
      <c r="F660" t="str">
        <f t="shared" si="149"/>
        <v>300x250_ViuCarro_Features_MEDIO</v>
      </c>
      <c r="G660" t="str">
        <f t="shared" si="150"/>
        <v>302829813</v>
      </c>
      <c r="H660" t="str">
        <f t="shared" si="151"/>
        <v>Rich Media display banner</v>
      </c>
      <c r="I660">
        <f t="shared" si="152"/>
        <v>1987341</v>
      </c>
      <c r="J660">
        <f t="shared" si="153"/>
        <v>3914</v>
      </c>
      <c r="K660" s="4">
        <f t="shared" si="142"/>
        <v>0.12</v>
      </c>
      <c r="L660">
        <f t="shared" si="143"/>
        <v>7.0000000000000007E-2</v>
      </c>
      <c r="M660" s="4">
        <f t="shared" si="140"/>
        <v>238.48092</v>
      </c>
      <c r="N660" s="4">
        <f t="shared" si="141"/>
        <v>139.11387000000002</v>
      </c>
    </row>
    <row r="661" spans="1:14">
      <c r="A661" t="str">
        <f t="shared" si="144"/>
        <v>alp_AlwaysOn_DBM-Estrutura-2015</v>
      </c>
      <c r="B661" t="str">
        <f t="shared" si="145"/>
        <v>Google Brasil</v>
      </c>
      <c r="C661" t="str">
        <f t="shared" si="146"/>
        <v>always-on-Medio|google|dbm|super-banner-728x90</v>
      </c>
      <c r="D661" t="str">
        <f t="shared" si="147"/>
        <v>124051936</v>
      </c>
      <c r="E661" t="str">
        <f t="shared" si="148"/>
        <v>Default</v>
      </c>
      <c r="F661" t="str">
        <f t="shared" si="149"/>
        <v>728x90 Default Web Ad</v>
      </c>
      <c r="G661" t="str">
        <f t="shared" si="150"/>
        <v>297012945</v>
      </c>
      <c r="H661" t="str">
        <f t="shared" si="151"/>
        <v>Display</v>
      </c>
      <c r="I661">
        <f t="shared" si="152"/>
        <v>33869</v>
      </c>
      <c r="J661">
        <f t="shared" si="153"/>
        <v>87</v>
      </c>
      <c r="K661" s="4">
        <f t="shared" si="142"/>
        <v>0.04</v>
      </c>
      <c r="L661">
        <f t="shared" si="143"/>
        <v>0.09</v>
      </c>
      <c r="M661" s="4">
        <f t="shared" si="140"/>
        <v>1.35476</v>
      </c>
      <c r="N661" s="4">
        <f t="shared" si="141"/>
        <v>3.0482100000000001</v>
      </c>
    </row>
    <row r="662" spans="1:14">
      <c r="A662" t="str">
        <f t="shared" si="144"/>
        <v>alp_AlwaysOn_DBM-Estrutura-2015</v>
      </c>
      <c r="B662" t="str">
        <f t="shared" si="145"/>
        <v>Google Brasil</v>
      </c>
      <c r="C662" t="str">
        <f t="shared" si="146"/>
        <v>always-on-Medio|google|dbm|super-banner-728x90</v>
      </c>
      <c r="D662" t="str">
        <f t="shared" si="147"/>
        <v>124051936</v>
      </c>
      <c r="E662" t="str">
        <f t="shared" si="148"/>
        <v>DCO</v>
      </c>
      <c r="F662" t="str">
        <f t="shared" si="149"/>
        <v>728x90_GerouLead_Concessionarias_MEDIO</v>
      </c>
      <c r="G662" t="str">
        <f t="shared" si="150"/>
        <v>299649364</v>
      </c>
      <c r="H662" t="str">
        <f t="shared" si="151"/>
        <v>Rich Media display banner</v>
      </c>
      <c r="I662">
        <f t="shared" si="152"/>
        <v>7677</v>
      </c>
      <c r="J662">
        <f t="shared" si="153"/>
        <v>12</v>
      </c>
      <c r="K662" s="4">
        <f t="shared" si="142"/>
        <v>0.12</v>
      </c>
      <c r="L662">
        <f t="shared" si="143"/>
        <v>7.0000000000000007E-2</v>
      </c>
      <c r="M662" s="4">
        <f t="shared" si="140"/>
        <v>0.92124000000000006</v>
      </c>
      <c r="N662" s="4">
        <f t="shared" si="141"/>
        <v>0.53739000000000015</v>
      </c>
    </row>
    <row r="663" spans="1:14">
      <c r="A663" t="str">
        <f t="shared" si="144"/>
        <v>alp_AlwaysOn_DBM-Estrutura-2015</v>
      </c>
      <c r="B663" t="str">
        <f t="shared" si="145"/>
        <v>Google Brasil</v>
      </c>
      <c r="C663" t="str">
        <f t="shared" si="146"/>
        <v>always-on-Medio|google|dbm|super-banner-728x90</v>
      </c>
      <c r="D663" t="str">
        <f t="shared" si="147"/>
        <v>124051936</v>
      </c>
      <c r="E663" t="str">
        <f t="shared" si="148"/>
        <v>DCO</v>
      </c>
      <c r="F663" t="str">
        <f t="shared" si="149"/>
        <v>728x90_GerouRadar_Radar_MEDIO</v>
      </c>
      <c r="G663" t="str">
        <f t="shared" si="150"/>
        <v>302828302</v>
      </c>
      <c r="H663" t="str">
        <f t="shared" si="151"/>
        <v>Rich Media display banner</v>
      </c>
      <c r="I663">
        <f t="shared" si="152"/>
        <v>2684</v>
      </c>
      <c r="J663">
        <f t="shared" si="153"/>
        <v>9</v>
      </c>
      <c r="K663" s="4">
        <f t="shared" si="142"/>
        <v>0.12</v>
      </c>
      <c r="L663">
        <f t="shared" si="143"/>
        <v>7.0000000000000007E-2</v>
      </c>
      <c r="M663" s="4">
        <f t="shared" si="140"/>
        <v>0.32207999999999998</v>
      </c>
      <c r="N663" s="4">
        <f t="shared" si="141"/>
        <v>0.18788000000000002</v>
      </c>
    </row>
    <row r="664" spans="1:14">
      <c r="A664" t="str">
        <f t="shared" si="144"/>
        <v>alp_AlwaysOn_DBM-Estrutura-2015</v>
      </c>
      <c r="B664" t="str">
        <f t="shared" si="145"/>
        <v>Google Brasil</v>
      </c>
      <c r="C664" t="str">
        <f t="shared" si="146"/>
        <v>always-on-Medio|google|dbm|super-banner-728x90</v>
      </c>
      <c r="D664" t="str">
        <f t="shared" si="147"/>
        <v>124051936</v>
      </c>
      <c r="E664" t="str">
        <f t="shared" si="148"/>
        <v>DCO</v>
      </c>
      <c r="F664" t="str">
        <f t="shared" si="149"/>
        <v>728x90_Prospeccao_Institucional_Condicoes_Produto_MEDIO</v>
      </c>
      <c r="G664" t="str">
        <f t="shared" si="150"/>
        <v>299649357</v>
      </c>
      <c r="H664" t="str">
        <f t="shared" si="151"/>
        <v>Rich Media display banner</v>
      </c>
      <c r="I664">
        <f t="shared" si="152"/>
        <v>3721313</v>
      </c>
      <c r="J664">
        <f t="shared" si="153"/>
        <v>15372</v>
      </c>
      <c r="K664" s="4">
        <f t="shared" si="142"/>
        <v>0.12</v>
      </c>
      <c r="L664">
        <f t="shared" si="143"/>
        <v>7.0000000000000007E-2</v>
      </c>
      <c r="M664" s="4">
        <f t="shared" si="140"/>
        <v>446.55756000000002</v>
      </c>
      <c r="N664" s="4">
        <f t="shared" si="141"/>
        <v>260.49191000000002</v>
      </c>
    </row>
    <row r="665" spans="1:14">
      <c r="A665" t="str">
        <f t="shared" si="144"/>
        <v>alp_AlwaysOn_DBM-Estrutura-2015</v>
      </c>
      <c r="B665" t="str">
        <f t="shared" si="145"/>
        <v>Google Brasil</v>
      </c>
      <c r="C665" t="str">
        <f t="shared" si="146"/>
        <v>always-on-Medio|google|dbm|super-banner-728x90</v>
      </c>
      <c r="D665" t="str">
        <f t="shared" si="147"/>
        <v>124051936</v>
      </c>
      <c r="E665" t="str">
        <f t="shared" si="148"/>
        <v>DCO</v>
      </c>
      <c r="F665" t="str">
        <f t="shared" si="149"/>
        <v>728x90_ViuCarro_Features_Intencao_MEDIO</v>
      </c>
      <c r="G665" t="str">
        <f t="shared" si="150"/>
        <v>299649358</v>
      </c>
      <c r="H665" t="str">
        <f t="shared" si="151"/>
        <v>Rich Media display banner</v>
      </c>
      <c r="I665">
        <f t="shared" si="152"/>
        <v>201112</v>
      </c>
      <c r="J665">
        <f t="shared" si="153"/>
        <v>397</v>
      </c>
      <c r="K665" s="4">
        <f t="shared" si="142"/>
        <v>0.12</v>
      </c>
      <c r="L665">
        <f t="shared" si="143"/>
        <v>7.0000000000000007E-2</v>
      </c>
      <c r="M665" s="4">
        <f t="shared" si="140"/>
        <v>24.13344</v>
      </c>
      <c r="N665" s="4">
        <f t="shared" si="141"/>
        <v>14.077840000000002</v>
      </c>
    </row>
    <row r="666" spans="1:14">
      <c r="A666" t="str">
        <f t="shared" si="144"/>
        <v>alp_AlwaysOn_DBM-Estrutura-2015</v>
      </c>
      <c r="B666" t="str">
        <f t="shared" si="145"/>
        <v>Google Brasil</v>
      </c>
      <c r="C666" t="str">
        <f t="shared" si="146"/>
        <v>always-on-Medio|google|dbm|super-banner-728x90</v>
      </c>
      <c r="D666" t="str">
        <f t="shared" si="147"/>
        <v>124051936</v>
      </c>
      <c r="E666" t="str">
        <f t="shared" si="148"/>
        <v>DCO</v>
      </c>
      <c r="F666" t="str">
        <f t="shared" si="149"/>
        <v>728x90_ViuCarro_Features_MEDIO</v>
      </c>
      <c r="G666" t="str">
        <f t="shared" si="150"/>
        <v>302827216</v>
      </c>
      <c r="H666" t="str">
        <f t="shared" si="151"/>
        <v>Rich Media display banner</v>
      </c>
      <c r="I666">
        <f t="shared" si="152"/>
        <v>927817</v>
      </c>
      <c r="J666">
        <f t="shared" si="153"/>
        <v>1125</v>
      </c>
      <c r="K666" s="4">
        <f t="shared" si="142"/>
        <v>0.12</v>
      </c>
      <c r="L666">
        <f t="shared" si="143"/>
        <v>7.0000000000000007E-2</v>
      </c>
      <c r="M666" s="4">
        <f t="shared" si="140"/>
        <v>111.33803999999999</v>
      </c>
      <c r="N666" s="4">
        <f t="shared" si="141"/>
        <v>64.947190000000006</v>
      </c>
    </row>
    <row r="667" spans="1:14">
      <c r="A667" t="str">
        <f t="shared" si="144"/>
        <v>alp_AlwaysOn_DBM-Estrutura-2015</v>
      </c>
      <c r="B667" t="str">
        <f t="shared" si="145"/>
        <v>Google Brasil</v>
      </c>
      <c r="C667" t="str">
        <f t="shared" si="146"/>
        <v>always-on-Premium|google|dbm|120x600</v>
      </c>
      <c r="D667" t="str">
        <f t="shared" si="147"/>
        <v>125065622</v>
      </c>
      <c r="E667" t="str">
        <f t="shared" si="148"/>
        <v>Default</v>
      </c>
      <c r="F667" t="str">
        <f t="shared" si="149"/>
        <v>120x600 Default Web Ad</v>
      </c>
      <c r="G667" t="str">
        <f t="shared" si="150"/>
        <v>297951980</v>
      </c>
      <c r="H667" t="str">
        <f t="shared" si="151"/>
        <v>Display</v>
      </c>
      <c r="I667">
        <f t="shared" si="152"/>
        <v>7397</v>
      </c>
      <c r="J667">
        <f t="shared" si="153"/>
        <v>12</v>
      </c>
      <c r="K667" s="4">
        <f t="shared" si="142"/>
        <v>0.04</v>
      </c>
      <c r="L667">
        <f t="shared" si="143"/>
        <v>0.09</v>
      </c>
      <c r="M667" s="4">
        <f t="shared" si="140"/>
        <v>0.29587999999999998</v>
      </c>
      <c r="N667" s="4">
        <f t="shared" si="141"/>
        <v>0.66573000000000004</v>
      </c>
    </row>
    <row r="668" spans="1:14">
      <c r="A668" t="str">
        <f t="shared" si="144"/>
        <v>alp_AlwaysOn_DBM-Estrutura-2015</v>
      </c>
      <c r="B668" t="str">
        <f t="shared" si="145"/>
        <v>Google Brasil</v>
      </c>
      <c r="C668" t="str">
        <f t="shared" si="146"/>
        <v>always-on-Premium|google|dbm|120x600</v>
      </c>
      <c r="D668" t="str">
        <f t="shared" si="147"/>
        <v>125065622</v>
      </c>
      <c r="E668" t="str">
        <f t="shared" si="148"/>
        <v>DCO</v>
      </c>
      <c r="F668" t="str">
        <f t="shared" si="149"/>
        <v>120x600_GerouLead_Concessionarias_PREMIUM</v>
      </c>
      <c r="G668" t="str">
        <f t="shared" si="150"/>
        <v>299652238</v>
      </c>
      <c r="H668" t="str">
        <f t="shared" si="151"/>
        <v>Rich Media display banner</v>
      </c>
      <c r="I668">
        <f t="shared" si="152"/>
        <v>1332</v>
      </c>
      <c r="J668">
        <f t="shared" si="153"/>
        <v>2</v>
      </c>
      <c r="K668" s="4">
        <f t="shared" si="142"/>
        <v>0.12</v>
      </c>
      <c r="L668">
        <f t="shared" si="143"/>
        <v>7.0000000000000007E-2</v>
      </c>
      <c r="M668" s="4">
        <f t="shared" si="140"/>
        <v>0.15984000000000001</v>
      </c>
      <c r="N668" s="4">
        <f t="shared" si="141"/>
        <v>9.3240000000000003E-2</v>
      </c>
    </row>
    <row r="669" spans="1:14">
      <c r="A669" t="str">
        <f t="shared" si="144"/>
        <v>alp_AlwaysOn_DBM-Estrutura-2015</v>
      </c>
      <c r="B669" t="str">
        <f t="shared" si="145"/>
        <v>Google Brasil</v>
      </c>
      <c r="C669" t="str">
        <f t="shared" si="146"/>
        <v>always-on-Premium|google|dbm|120x600</v>
      </c>
      <c r="D669" t="str">
        <f t="shared" si="147"/>
        <v>125065622</v>
      </c>
      <c r="E669" t="str">
        <f t="shared" si="148"/>
        <v>DCO</v>
      </c>
      <c r="F669" t="str">
        <f t="shared" si="149"/>
        <v>120x600_GerouRadar_Radar_PREMIUM</v>
      </c>
      <c r="G669" t="str">
        <f t="shared" si="150"/>
        <v>299652236</v>
      </c>
      <c r="H669" t="str">
        <f t="shared" si="151"/>
        <v>Rich Media display banner</v>
      </c>
      <c r="I669">
        <f t="shared" si="152"/>
        <v>432</v>
      </c>
      <c r="J669">
        <f t="shared" si="153"/>
        <v>1</v>
      </c>
      <c r="K669" s="4">
        <f t="shared" si="142"/>
        <v>0.12</v>
      </c>
      <c r="L669">
        <f t="shared" si="143"/>
        <v>7.0000000000000007E-2</v>
      </c>
      <c r="M669" s="4">
        <f t="shared" si="140"/>
        <v>5.1839999999999997E-2</v>
      </c>
      <c r="N669" s="4">
        <f t="shared" si="141"/>
        <v>3.0240000000000003E-2</v>
      </c>
    </row>
    <row r="670" spans="1:14">
      <c r="A670" t="str">
        <f t="shared" si="144"/>
        <v>alp_AlwaysOn_DBM-Estrutura-2015</v>
      </c>
      <c r="B670" t="str">
        <f t="shared" si="145"/>
        <v>Google Brasil</v>
      </c>
      <c r="C670" t="str">
        <f t="shared" si="146"/>
        <v>always-on-Premium|google|dbm|120x600</v>
      </c>
      <c r="D670" t="str">
        <f t="shared" si="147"/>
        <v>125065622</v>
      </c>
      <c r="E670" t="str">
        <f t="shared" si="148"/>
        <v>DCO</v>
      </c>
      <c r="F670" t="str">
        <f t="shared" si="149"/>
        <v>120x600_Prospeccao_Institucional_Condicoes_Produto_PREMIUM</v>
      </c>
      <c r="G670" t="str">
        <f t="shared" si="150"/>
        <v>299652234</v>
      </c>
      <c r="H670" t="str">
        <f t="shared" si="151"/>
        <v>Rich Media display banner</v>
      </c>
      <c r="I670">
        <f t="shared" si="152"/>
        <v>877630</v>
      </c>
      <c r="J670">
        <f t="shared" si="153"/>
        <v>1009</v>
      </c>
      <c r="K670" s="4">
        <f t="shared" si="142"/>
        <v>0.12</v>
      </c>
      <c r="L670">
        <f t="shared" si="143"/>
        <v>7.0000000000000007E-2</v>
      </c>
      <c r="M670" s="4">
        <f t="shared" si="140"/>
        <v>105.31559999999999</v>
      </c>
      <c r="N670" s="4">
        <f t="shared" si="141"/>
        <v>61.434100000000008</v>
      </c>
    </row>
    <row r="671" spans="1:14">
      <c r="A671" t="str">
        <f t="shared" si="144"/>
        <v>alp_AlwaysOn_DBM-Estrutura-2015</v>
      </c>
      <c r="B671" t="str">
        <f t="shared" si="145"/>
        <v>Google Brasil</v>
      </c>
      <c r="C671" t="str">
        <f t="shared" si="146"/>
        <v>always-on-Premium|google|dbm|120x600</v>
      </c>
      <c r="D671" t="str">
        <f t="shared" si="147"/>
        <v>125065622</v>
      </c>
      <c r="E671" t="str">
        <f t="shared" si="148"/>
        <v>DCO</v>
      </c>
      <c r="F671" t="str">
        <f t="shared" si="149"/>
        <v>120x600_ViuCarro_Features_Intencao_PREMIUM</v>
      </c>
      <c r="G671" t="str">
        <f t="shared" si="150"/>
        <v>302822408</v>
      </c>
      <c r="H671" t="str">
        <f t="shared" si="151"/>
        <v>Rich Media display banner</v>
      </c>
      <c r="I671">
        <f t="shared" si="152"/>
        <v>42287</v>
      </c>
      <c r="J671">
        <f t="shared" si="153"/>
        <v>64</v>
      </c>
      <c r="K671" s="4">
        <f t="shared" si="142"/>
        <v>0.12</v>
      </c>
      <c r="L671">
        <f t="shared" si="143"/>
        <v>7.0000000000000007E-2</v>
      </c>
      <c r="M671" s="4">
        <f t="shared" si="140"/>
        <v>5.0744399999999992</v>
      </c>
      <c r="N671" s="4">
        <f t="shared" si="141"/>
        <v>2.9600900000000001</v>
      </c>
    </row>
    <row r="672" spans="1:14">
      <c r="A672" t="str">
        <f t="shared" si="144"/>
        <v>alp_AlwaysOn_DBM-Estrutura-2015</v>
      </c>
      <c r="B672" t="str">
        <f t="shared" si="145"/>
        <v>Google Brasil</v>
      </c>
      <c r="C672" t="str">
        <f t="shared" si="146"/>
        <v>always-on-Premium|google|dbm|120x600</v>
      </c>
      <c r="D672" t="str">
        <f t="shared" si="147"/>
        <v>125065622</v>
      </c>
      <c r="E672" t="str">
        <f t="shared" si="148"/>
        <v>DCO</v>
      </c>
      <c r="F672" t="str">
        <f t="shared" si="149"/>
        <v>120x600_ViuCarro_Features_PREMIUM</v>
      </c>
      <c r="G672" t="str">
        <f t="shared" si="150"/>
        <v>299652235</v>
      </c>
      <c r="H672" t="str">
        <f t="shared" si="151"/>
        <v>Rich Media display banner</v>
      </c>
      <c r="I672">
        <f t="shared" si="152"/>
        <v>193691</v>
      </c>
      <c r="J672">
        <f t="shared" si="153"/>
        <v>163</v>
      </c>
      <c r="K672" s="4">
        <f t="shared" si="142"/>
        <v>0.12</v>
      </c>
      <c r="L672">
        <f t="shared" si="143"/>
        <v>7.0000000000000007E-2</v>
      </c>
      <c r="M672" s="4">
        <f t="shared" si="140"/>
        <v>23.242919999999998</v>
      </c>
      <c r="N672" s="4">
        <f t="shared" si="141"/>
        <v>13.55837</v>
      </c>
    </row>
    <row r="673" spans="1:14">
      <c r="A673" t="str">
        <f t="shared" si="144"/>
        <v>alp_AlwaysOn_DBM-Estrutura-2015</v>
      </c>
      <c r="B673" t="str">
        <f t="shared" si="145"/>
        <v>Google Brasil</v>
      </c>
      <c r="C673" t="str">
        <f t="shared" si="146"/>
        <v>always-on-Premium|google|dbm|160x600</v>
      </c>
      <c r="D673" t="str">
        <f t="shared" si="147"/>
        <v>125065152</v>
      </c>
      <c r="E673" t="str">
        <f t="shared" si="148"/>
        <v>Default</v>
      </c>
      <c r="F673" t="str">
        <f t="shared" si="149"/>
        <v>160x600 Default Web Ad</v>
      </c>
      <c r="G673" t="str">
        <f t="shared" si="150"/>
        <v>297953405</v>
      </c>
      <c r="H673" t="str">
        <f t="shared" si="151"/>
        <v>Display</v>
      </c>
      <c r="I673">
        <f t="shared" si="152"/>
        <v>7253</v>
      </c>
      <c r="J673">
        <f t="shared" si="153"/>
        <v>4</v>
      </c>
      <c r="K673" s="4">
        <f t="shared" si="142"/>
        <v>0.04</v>
      </c>
      <c r="L673">
        <f t="shared" si="143"/>
        <v>0.09</v>
      </c>
      <c r="M673" s="4">
        <f t="shared" si="140"/>
        <v>0.29011999999999999</v>
      </c>
      <c r="N673" s="4">
        <f t="shared" si="141"/>
        <v>0.65276999999999996</v>
      </c>
    </row>
    <row r="674" spans="1:14">
      <c r="A674" t="str">
        <f t="shared" si="144"/>
        <v>alp_AlwaysOn_DBM-Estrutura-2015</v>
      </c>
      <c r="B674" t="str">
        <f t="shared" si="145"/>
        <v>Google Brasil</v>
      </c>
      <c r="C674" t="str">
        <f t="shared" si="146"/>
        <v>always-on-Premium|google|dbm|160x600</v>
      </c>
      <c r="D674" t="str">
        <f t="shared" si="147"/>
        <v>125065152</v>
      </c>
      <c r="E674" t="str">
        <f t="shared" si="148"/>
        <v>DCO</v>
      </c>
      <c r="F674" t="str">
        <f t="shared" si="149"/>
        <v>160x600_GerouLead_Concessionarias_PREMIUM</v>
      </c>
      <c r="G674" t="str">
        <f t="shared" si="150"/>
        <v>299682295</v>
      </c>
      <c r="H674" t="str">
        <f t="shared" si="151"/>
        <v>Rich Media display banner</v>
      </c>
      <c r="I674">
        <f t="shared" si="152"/>
        <v>3644</v>
      </c>
      <c r="J674">
        <f t="shared" si="153"/>
        <v>7</v>
      </c>
      <c r="K674" s="4">
        <f t="shared" si="142"/>
        <v>0.12</v>
      </c>
      <c r="L674">
        <f t="shared" si="143"/>
        <v>7.0000000000000007E-2</v>
      </c>
      <c r="M674" s="4">
        <f t="shared" ref="M674:M737" si="154">IF(E674="Dynamic Click",J674*K674,K674*$I674/1000)</f>
        <v>0.43727999999999995</v>
      </c>
      <c r="N674" s="4">
        <f t="shared" ref="N674:N737" si="155">IF(E674="Dynamic Click",J674*L674,L674*$I674/1000)</f>
        <v>0.25508000000000003</v>
      </c>
    </row>
    <row r="675" spans="1:14">
      <c r="A675" t="str">
        <f t="shared" si="144"/>
        <v>alp_AlwaysOn_DBM-Estrutura-2015</v>
      </c>
      <c r="B675" t="str">
        <f t="shared" si="145"/>
        <v>Google Brasil</v>
      </c>
      <c r="C675" t="str">
        <f t="shared" si="146"/>
        <v>always-on-Premium|google|dbm|160x600</v>
      </c>
      <c r="D675" t="str">
        <f t="shared" si="147"/>
        <v>125065152</v>
      </c>
      <c r="E675" t="str">
        <f t="shared" si="148"/>
        <v>DCO</v>
      </c>
      <c r="F675" t="str">
        <f t="shared" si="149"/>
        <v>160x600_GerouRadar_Radar_PREMIUM</v>
      </c>
      <c r="G675" t="str">
        <f t="shared" si="150"/>
        <v>299682291</v>
      </c>
      <c r="H675" t="str">
        <f t="shared" si="151"/>
        <v>Rich Media display banner</v>
      </c>
      <c r="I675">
        <f t="shared" si="152"/>
        <v>1785</v>
      </c>
      <c r="J675">
        <f t="shared" si="153"/>
        <v>9</v>
      </c>
      <c r="K675" s="4">
        <f t="shared" si="142"/>
        <v>0.12</v>
      </c>
      <c r="L675">
        <f t="shared" si="143"/>
        <v>7.0000000000000007E-2</v>
      </c>
      <c r="M675" s="4">
        <f t="shared" si="154"/>
        <v>0.2142</v>
      </c>
      <c r="N675" s="4">
        <f t="shared" si="155"/>
        <v>0.12495000000000002</v>
      </c>
    </row>
    <row r="676" spans="1:14">
      <c r="A676" t="str">
        <f t="shared" si="144"/>
        <v>alp_AlwaysOn_DBM-Estrutura-2015</v>
      </c>
      <c r="B676" t="str">
        <f t="shared" si="145"/>
        <v>Google Brasil</v>
      </c>
      <c r="C676" t="str">
        <f t="shared" si="146"/>
        <v>always-on-Premium|google|dbm|160x600</v>
      </c>
      <c r="D676" t="str">
        <f t="shared" si="147"/>
        <v>125065152</v>
      </c>
      <c r="E676" t="str">
        <f t="shared" si="148"/>
        <v>DCO</v>
      </c>
      <c r="F676" t="str">
        <f t="shared" si="149"/>
        <v>160x600_Prospeccao_Institucional_Condicoes_Produto_PREMIUM</v>
      </c>
      <c r="G676" t="str">
        <f t="shared" si="150"/>
        <v>299682294</v>
      </c>
      <c r="H676" t="str">
        <f t="shared" si="151"/>
        <v>Rich Media display banner</v>
      </c>
      <c r="I676">
        <f t="shared" si="152"/>
        <v>873995</v>
      </c>
      <c r="J676">
        <f t="shared" si="153"/>
        <v>1221</v>
      </c>
      <c r="K676" s="4">
        <f t="shared" si="142"/>
        <v>0.12</v>
      </c>
      <c r="L676">
        <f t="shared" si="143"/>
        <v>7.0000000000000007E-2</v>
      </c>
      <c r="M676" s="4">
        <f t="shared" si="154"/>
        <v>104.87939999999999</v>
      </c>
      <c r="N676" s="4">
        <f t="shared" si="155"/>
        <v>61.179650000000009</v>
      </c>
    </row>
    <row r="677" spans="1:14">
      <c r="A677" t="str">
        <f t="shared" si="144"/>
        <v>alp_AlwaysOn_DBM-Estrutura-2015</v>
      </c>
      <c r="B677" t="str">
        <f t="shared" si="145"/>
        <v>Google Brasil</v>
      </c>
      <c r="C677" t="str">
        <f t="shared" si="146"/>
        <v>always-on-Premium|google|dbm|160x600</v>
      </c>
      <c r="D677" t="str">
        <f t="shared" si="147"/>
        <v>125065152</v>
      </c>
      <c r="E677" t="str">
        <f t="shared" si="148"/>
        <v>DCO</v>
      </c>
      <c r="F677" t="str">
        <f t="shared" si="149"/>
        <v>160x600_ViuCarro_Features_Intencao_PREMIUM</v>
      </c>
      <c r="G677" t="str">
        <f t="shared" si="150"/>
        <v>302822280</v>
      </c>
      <c r="H677" t="str">
        <f t="shared" si="151"/>
        <v>Rich Media display banner</v>
      </c>
      <c r="I677">
        <f t="shared" si="152"/>
        <v>70858</v>
      </c>
      <c r="J677">
        <f t="shared" si="153"/>
        <v>181</v>
      </c>
      <c r="K677" s="4">
        <f t="shared" si="142"/>
        <v>0.12</v>
      </c>
      <c r="L677">
        <f t="shared" si="143"/>
        <v>7.0000000000000007E-2</v>
      </c>
      <c r="M677" s="4">
        <f t="shared" si="154"/>
        <v>8.5029599999999999</v>
      </c>
      <c r="N677" s="4">
        <f t="shared" si="155"/>
        <v>4.9600600000000004</v>
      </c>
    </row>
    <row r="678" spans="1:14">
      <c r="A678" t="str">
        <f t="shared" si="144"/>
        <v>alp_AlwaysOn_DBM-Estrutura-2015</v>
      </c>
      <c r="B678" t="str">
        <f t="shared" si="145"/>
        <v>Google Brasil</v>
      </c>
      <c r="C678" t="str">
        <f t="shared" si="146"/>
        <v>always-on-Premium|google|dbm|160x600</v>
      </c>
      <c r="D678" t="str">
        <f t="shared" si="147"/>
        <v>125065152</v>
      </c>
      <c r="E678" t="str">
        <f t="shared" si="148"/>
        <v>DCO</v>
      </c>
      <c r="F678" t="str">
        <f t="shared" si="149"/>
        <v>160x600_ViuCarro_Features_PREMIUM</v>
      </c>
      <c r="G678" t="str">
        <f t="shared" si="150"/>
        <v>299682292</v>
      </c>
      <c r="H678" t="str">
        <f t="shared" si="151"/>
        <v>Rich Media display banner</v>
      </c>
      <c r="I678">
        <f t="shared" si="152"/>
        <v>267698</v>
      </c>
      <c r="J678">
        <f t="shared" si="153"/>
        <v>418</v>
      </c>
      <c r="K678" s="4">
        <f t="shared" si="142"/>
        <v>0.12</v>
      </c>
      <c r="L678">
        <f t="shared" si="143"/>
        <v>7.0000000000000007E-2</v>
      </c>
      <c r="M678" s="4">
        <f t="shared" si="154"/>
        <v>32.123759999999997</v>
      </c>
      <c r="N678" s="4">
        <f t="shared" si="155"/>
        <v>18.738859999999999</v>
      </c>
    </row>
    <row r="679" spans="1:14">
      <c r="A679" t="str">
        <f t="shared" si="144"/>
        <v>alp_AlwaysOn_DBM-Estrutura-2015</v>
      </c>
      <c r="B679" t="str">
        <f t="shared" si="145"/>
        <v>Google Brasil</v>
      </c>
      <c r="C679" t="str">
        <f t="shared" si="146"/>
        <v>always-on-Premium|google|dbm|300x50</v>
      </c>
      <c r="D679" t="str">
        <f t="shared" si="147"/>
        <v>125066125</v>
      </c>
      <c r="E679" t="str">
        <f t="shared" si="148"/>
        <v>Default</v>
      </c>
      <c r="F679" t="str">
        <f t="shared" si="149"/>
        <v>300x50 Default Web Ad</v>
      </c>
      <c r="G679" t="str">
        <f t="shared" si="150"/>
        <v>297953347</v>
      </c>
      <c r="H679" t="str">
        <f t="shared" si="151"/>
        <v>Display</v>
      </c>
      <c r="I679">
        <f t="shared" si="152"/>
        <v>22466</v>
      </c>
      <c r="J679">
        <f t="shared" si="153"/>
        <v>13</v>
      </c>
      <c r="K679" s="4">
        <f t="shared" si="142"/>
        <v>0.04</v>
      </c>
      <c r="L679">
        <f t="shared" si="143"/>
        <v>0.09</v>
      </c>
      <c r="M679" s="4">
        <f t="shared" si="154"/>
        <v>0.89863999999999999</v>
      </c>
      <c r="N679" s="4">
        <f t="shared" si="155"/>
        <v>2.0219399999999998</v>
      </c>
    </row>
    <row r="680" spans="1:14">
      <c r="A680" t="str">
        <f t="shared" si="144"/>
        <v>alp_AlwaysOn_DBM-Estrutura-2015</v>
      </c>
      <c r="B680" t="str">
        <f t="shared" si="145"/>
        <v>Google Brasil</v>
      </c>
      <c r="C680" t="str">
        <f t="shared" si="146"/>
        <v>always-on-Premium|google|dbm|300x50</v>
      </c>
      <c r="D680" t="str">
        <f t="shared" si="147"/>
        <v>125066125</v>
      </c>
      <c r="E680" t="str">
        <f t="shared" si="148"/>
        <v>DCO</v>
      </c>
      <c r="F680" t="str">
        <f t="shared" si="149"/>
        <v>300x50_GerouLead_Concessionarias_PREMIUM</v>
      </c>
      <c r="G680" t="str">
        <f t="shared" si="150"/>
        <v>299686770</v>
      </c>
      <c r="H680" t="str">
        <f t="shared" si="151"/>
        <v>Rich Media display banner</v>
      </c>
      <c r="I680">
        <f t="shared" si="152"/>
        <v>2640</v>
      </c>
      <c r="J680">
        <f t="shared" si="153"/>
        <v>2</v>
      </c>
      <c r="K680" s="4">
        <f t="shared" si="142"/>
        <v>0.12</v>
      </c>
      <c r="L680">
        <f t="shared" si="143"/>
        <v>7.0000000000000007E-2</v>
      </c>
      <c r="M680" s="4">
        <f t="shared" si="154"/>
        <v>0.31680000000000003</v>
      </c>
      <c r="N680" s="4">
        <f t="shared" si="155"/>
        <v>0.18480000000000002</v>
      </c>
    </row>
    <row r="681" spans="1:14">
      <c r="A681" t="str">
        <f t="shared" si="144"/>
        <v>alp_AlwaysOn_DBM-Estrutura-2015</v>
      </c>
      <c r="B681" t="str">
        <f t="shared" si="145"/>
        <v>Google Brasil</v>
      </c>
      <c r="C681" t="str">
        <f t="shared" si="146"/>
        <v>always-on-Premium|google|dbm|300x50</v>
      </c>
      <c r="D681" t="str">
        <f t="shared" si="147"/>
        <v>125066125</v>
      </c>
      <c r="E681" t="str">
        <f t="shared" si="148"/>
        <v>DCO</v>
      </c>
      <c r="F681" t="str">
        <f t="shared" si="149"/>
        <v>300x50_GerouRadar_Radar_PREMIUM</v>
      </c>
      <c r="G681" t="str">
        <f t="shared" si="150"/>
        <v>299686768</v>
      </c>
      <c r="H681" t="str">
        <f t="shared" si="151"/>
        <v>Rich Media display banner</v>
      </c>
      <c r="I681">
        <f t="shared" si="152"/>
        <v>1847</v>
      </c>
      <c r="J681">
        <f t="shared" si="153"/>
        <v>7</v>
      </c>
      <c r="K681" s="4">
        <f t="shared" si="142"/>
        <v>0.12</v>
      </c>
      <c r="L681">
        <f t="shared" si="143"/>
        <v>7.0000000000000007E-2</v>
      </c>
      <c r="M681" s="4">
        <f t="shared" si="154"/>
        <v>0.22163999999999998</v>
      </c>
      <c r="N681" s="4">
        <f t="shared" si="155"/>
        <v>0.12929000000000002</v>
      </c>
    </row>
    <row r="682" spans="1:14">
      <c r="A682" t="str">
        <f t="shared" si="144"/>
        <v>alp_AlwaysOn_DBM-Estrutura-2015</v>
      </c>
      <c r="B682" t="str">
        <f t="shared" si="145"/>
        <v>Google Brasil</v>
      </c>
      <c r="C682" t="str">
        <f t="shared" si="146"/>
        <v>always-on-Premium|google|dbm|300x50</v>
      </c>
      <c r="D682" t="str">
        <f t="shared" si="147"/>
        <v>125066125</v>
      </c>
      <c r="E682" t="str">
        <f t="shared" si="148"/>
        <v>DCO</v>
      </c>
      <c r="F682" t="str">
        <f t="shared" si="149"/>
        <v>300x50_Prospeccao_Institucional_Condicoes_Produto_PREMIUM</v>
      </c>
      <c r="G682" t="str">
        <f t="shared" si="150"/>
        <v>299686775</v>
      </c>
      <c r="H682" t="str">
        <f t="shared" si="151"/>
        <v>Rich Media display banner</v>
      </c>
      <c r="I682">
        <f t="shared" si="152"/>
        <v>7505683</v>
      </c>
      <c r="J682">
        <f t="shared" si="153"/>
        <v>5236</v>
      </c>
      <c r="K682" s="4">
        <f t="shared" si="142"/>
        <v>0.12</v>
      </c>
      <c r="L682">
        <f t="shared" si="143"/>
        <v>7.0000000000000007E-2</v>
      </c>
      <c r="M682" s="4">
        <f t="shared" si="154"/>
        <v>900.68196</v>
      </c>
      <c r="N682" s="4">
        <f t="shared" si="155"/>
        <v>525.39781000000005</v>
      </c>
    </row>
    <row r="683" spans="1:14">
      <c r="A683" t="str">
        <f t="shared" si="144"/>
        <v>alp_AlwaysOn_DBM-Estrutura-2015</v>
      </c>
      <c r="B683" t="str">
        <f t="shared" si="145"/>
        <v>Google Brasil</v>
      </c>
      <c r="C683" t="str">
        <f t="shared" si="146"/>
        <v>always-on-Premium|google|dbm|300x50</v>
      </c>
      <c r="D683" t="str">
        <f t="shared" si="147"/>
        <v>125066125</v>
      </c>
      <c r="E683" t="str">
        <f t="shared" si="148"/>
        <v>DCO</v>
      </c>
      <c r="F683" t="str">
        <f t="shared" si="149"/>
        <v>300x50_ViuCarro_Features_Intencao_PREMIUM</v>
      </c>
      <c r="G683" t="str">
        <f t="shared" si="150"/>
        <v>302824620</v>
      </c>
      <c r="H683" t="str">
        <f t="shared" si="151"/>
        <v>Rich Media display banner</v>
      </c>
      <c r="I683">
        <f t="shared" si="152"/>
        <v>39375</v>
      </c>
      <c r="J683">
        <f t="shared" si="153"/>
        <v>110</v>
      </c>
      <c r="K683" s="4">
        <f t="shared" si="142"/>
        <v>0.12</v>
      </c>
      <c r="L683">
        <f t="shared" si="143"/>
        <v>7.0000000000000007E-2</v>
      </c>
      <c r="M683" s="4">
        <f t="shared" si="154"/>
        <v>4.7249999999999996</v>
      </c>
      <c r="N683" s="4">
        <f t="shared" si="155"/>
        <v>2.7562500000000005</v>
      </c>
    </row>
    <row r="684" spans="1:14">
      <c r="A684" t="str">
        <f t="shared" si="144"/>
        <v>alp_AlwaysOn_DBM-Estrutura-2015</v>
      </c>
      <c r="B684" t="str">
        <f t="shared" si="145"/>
        <v>Google Brasil</v>
      </c>
      <c r="C684" t="str">
        <f t="shared" si="146"/>
        <v>always-on-Premium|google|dbm|300x50</v>
      </c>
      <c r="D684" t="str">
        <f t="shared" si="147"/>
        <v>125066125</v>
      </c>
      <c r="E684" t="str">
        <f t="shared" si="148"/>
        <v>DCO</v>
      </c>
      <c r="F684" t="str">
        <f t="shared" si="149"/>
        <v>300x50_ViuCarro_Features_PREMIUM</v>
      </c>
      <c r="G684" t="str">
        <f t="shared" si="150"/>
        <v>299686773</v>
      </c>
      <c r="H684" t="str">
        <f t="shared" si="151"/>
        <v>Rich Media display banner</v>
      </c>
      <c r="I684">
        <f t="shared" si="152"/>
        <v>241357</v>
      </c>
      <c r="J684">
        <f t="shared" si="153"/>
        <v>384</v>
      </c>
      <c r="K684" s="4">
        <f t="shared" ref="K684:K747" si="156">IF(LEFT(B684,3)="DBM",0,VLOOKUP(E684,tabela,2,FALSE))</f>
        <v>0.12</v>
      </c>
      <c r="L684">
        <f t="shared" ref="L684:L747" si="157">VLOOKUP(E684,tabela,3,FALSE)</f>
        <v>7.0000000000000007E-2</v>
      </c>
      <c r="M684" s="4">
        <f t="shared" si="154"/>
        <v>28.96284</v>
      </c>
      <c r="N684" s="4">
        <f t="shared" si="155"/>
        <v>16.89499</v>
      </c>
    </row>
    <row r="685" spans="1:14">
      <c r="A685" t="str">
        <f t="shared" si="144"/>
        <v>alp_AlwaysOn_DBM-Estrutura-2015</v>
      </c>
      <c r="B685" t="str">
        <f t="shared" si="145"/>
        <v>Google Brasil</v>
      </c>
      <c r="C685" t="str">
        <f t="shared" si="146"/>
        <v>always-on-Premium|google|dbm|320x50</v>
      </c>
      <c r="D685" t="str">
        <f t="shared" si="147"/>
        <v>125061306</v>
      </c>
      <c r="E685" t="str">
        <f t="shared" si="148"/>
        <v>Default</v>
      </c>
      <c r="F685" t="str">
        <f t="shared" si="149"/>
        <v>320x50 Default Web Ad</v>
      </c>
      <c r="G685" t="str">
        <f t="shared" si="150"/>
        <v>297946946</v>
      </c>
      <c r="H685" t="str">
        <f t="shared" si="151"/>
        <v>Display</v>
      </c>
      <c r="I685">
        <f t="shared" si="152"/>
        <v>50802</v>
      </c>
      <c r="J685">
        <f t="shared" si="153"/>
        <v>45</v>
      </c>
      <c r="K685" s="4">
        <f t="shared" si="156"/>
        <v>0.04</v>
      </c>
      <c r="L685">
        <f t="shared" si="157"/>
        <v>0.09</v>
      </c>
      <c r="M685" s="4">
        <f t="shared" si="154"/>
        <v>2.0320800000000001</v>
      </c>
      <c r="N685" s="4">
        <f t="shared" si="155"/>
        <v>4.5721799999999995</v>
      </c>
    </row>
    <row r="686" spans="1:14">
      <c r="A686" t="str">
        <f t="shared" si="144"/>
        <v>alp_AlwaysOn_DBM-Estrutura-2015</v>
      </c>
      <c r="B686" t="str">
        <f t="shared" si="145"/>
        <v>Google Brasil</v>
      </c>
      <c r="C686" t="str">
        <f t="shared" si="146"/>
        <v>always-on-Premium|google|dbm|320x50</v>
      </c>
      <c r="D686" t="str">
        <f t="shared" si="147"/>
        <v>125061306</v>
      </c>
      <c r="E686" t="str">
        <f t="shared" si="148"/>
        <v>DCO</v>
      </c>
      <c r="F686" t="str">
        <f t="shared" si="149"/>
        <v>320x50_GerouLead_Concessionarias_PREMIUM</v>
      </c>
      <c r="G686" t="str">
        <f t="shared" si="150"/>
        <v>299687003</v>
      </c>
      <c r="H686" t="str">
        <f t="shared" si="151"/>
        <v>Rich Media display banner</v>
      </c>
      <c r="I686">
        <f t="shared" si="152"/>
        <v>21857</v>
      </c>
      <c r="J686">
        <f t="shared" si="153"/>
        <v>50</v>
      </c>
      <c r="K686" s="4">
        <f t="shared" si="156"/>
        <v>0.12</v>
      </c>
      <c r="L686">
        <f t="shared" si="157"/>
        <v>7.0000000000000007E-2</v>
      </c>
      <c r="M686" s="4">
        <f t="shared" si="154"/>
        <v>2.6228399999999996</v>
      </c>
      <c r="N686" s="4">
        <f t="shared" si="155"/>
        <v>1.5299900000000002</v>
      </c>
    </row>
    <row r="687" spans="1:14">
      <c r="A687" t="str">
        <f t="shared" si="144"/>
        <v>alp_AlwaysOn_DBM-Estrutura-2015</v>
      </c>
      <c r="B687" t="str">
        <f t="shared" si="145"/>
        <v>Google Brasil</v>
      </c>
      <c r="C687" t="str">
        <f t="shared" si="146"/>
        <v>always-on-Premium|google|dbm|320x50</v>
      </c>
      <c r="D687" t="str">
        <f t="shared" si="147"/>
        <v>125061306</v>
      </c>
      <c r="E687" t="str">
        <f t="shared" si="148"/>
        <v>DCO</v>
      </c>
      <c r="F687" t="str">
        <f t="shared" si="149"/>
        <v>320x50_GerouRadar_Radar_PREMIUM</v>
      </c>
      <c r="G687" t="str">
        <f t="shared" si="150"/>
        <v>299687006</v>
      </c>
      <c r="H687" t="str">
        <f t="shared" si="151"/>
        <v>Rich Media display banner</v>
      </c>
      <c r="I687">
        <f t="shared" si="152"/>
        <v>10424</v>
      </c>
      <c r="J687">
        <f t="shared" si="153"/>
        <v>30</v>
      </c>
      <c r="K687" s="4">
        <f t="shared" si="156"/>
        <v>0.12</v>
      </c>
      <c r="L687">
        <f t="shared" si="157"/>
        <v>7.0000000000000007E-2</v>
      </c>
      <c r="M687" s="4">
        <f t="shared" si="154"/>
        <v>1.25088</v>
      </c>
      <c r="N687" s="4">
        <f t="shared" si="155"/>
        <v>0.72968000000000011</v>
      </c>
    </row>
    <row r="688" spans="1:14">
      <c r="A688" t="str">
        <f t="shared" si="144"/>
        <v>alp_AlwaysOn_DBM-Estrutura-2015</v>
      </c>
      <c r="B688" t="str">
        <f t="shared" si="145"/>
        <v>Google Brasil</v>
      </c>
      <c r="C688" t="str">
        <f t="shared" si="146"/>
        <v>always-on-Premium|google|dbm|320x50</v>
      </c>
      <c r="D688" t="str">
        <f t="shared" si="147"/>
        <v>125061306</v>
      </c>
      <c r="E688" t="str">
        <f t="shared" si="148"/>
        <v>DCO</v>
      </c>
      <c r="F688" t="str">
        <f t="shared" si="149"/>
        <v>320x50_Prospeccao_Institucional_Condicoes_Produto_PREMIUM</v>
      </c>
      <c r="G688" t="str">
        <f t="shared" si="150"/>
        <v>299687001</v>
      </c>
      <c r="H688" t="str">
        <f t="shared" si="151"/>
        <v>Rich Media display banner</v>
      </c>
      <c r="I688">
        <f t="shared" si="152"/>
        <v>14994994</v>
      </c>
      <c r="J688">
        <f t="shared" si="153"/>
        <v>25444</v>
      </c>
      <c r="K688" s="4">
        <f t="shared" si="156"/>
        <v>0.12</v>
      </c>
      <c r="L688">
        <f t="shared" si="157"/>
        <v>7.0000000000000007E-2</v>
      </c>
      <c r="M688" s="4">
        <f t="shared" si="154"/>
        <v>1799.3992800000001</v>
      </c>
      <c r="N688" s="4">
        <f t="shared" si="155"/>
        <v>1049.64958</v>
      </c>
    </row>
    <row r="689" spans="1:14">
      <c r="A689" t="str">
        <f t="shared" si="144"/>
        <v>alp_AlwaysOn_DBM-Estrutura-2015</v>
      </c>
      <c r="B689" t="str">
        <f t="shared" si="145"/>
        <v>Google Brasil</v>
      </c>
      <c r="C689" t="str">
        <f t="shared" si="146"/>
        <v>always-on-Premium|google|dbm|320x50</v>
      </c>
      <c r="D689" t="str">
        <f t="shared" si="147"/>
        <v>125061306</v>
      </c>
      <c r="E689" t="str">
        <f t="shared" si="148"/>
        <v>DCO</v>
      </c>
      <c r="F689" t="str">
        <f t="shared" si="149"/>
        <v>320x50_ViuCarro_Features_Intencao_PREMIUM</v>
      </c>
      <c r="G689" t="str">
        <f t="shared" si="150"/>
        <v>302829318</v>
      </c>
      <c r="H689" t="str">
        <f t="shared" si="151"/>
        <v>Rich Media display banner</v>
      </c>
      <c r="I689">
        <f t="shared" si="152"/>
        <v>193297</v>
      </c>
      <c r="J689">
        <f t="shared" si="153"/>
        <v>593</v>
      </c>
      <c r="K689" s="4">
        <f t="shared" si="156"/>
        <v>0.12</v>
      </c>
      <c r="L689">
        <f t="shared" si="157"/>
        <v>7.0000000000000007E-2</v>
      </c>
      <c r="M689" s="4">
        <f t="shared" si="154"/>
        <v>23.195640000000001</v>
      </c>
      <c r="N689" s="4">
        <f t="shared" si="155"/>
        <v>13.530790000000001</v>
      </c>
    </row>
    <row r="690" spans="1:14">
      <c r="A690" t="str">
        <f t="shared" si="144"/>
        <v>alp_AlwaysOn_DBM-Estrutura-2015</v>
      </c>
      <c r="B690" t="str">
        <f t="shared" si="145"/>
        <v>Google Brasil</v>
      </c>
      <c r="C690" t="str">
        <f t="shared" si="146"/>
        <v>always-on-Premium|google|dbm|320x50</v>
      </c>
      <c r="D690" t="str">
        <f t="shared" si="147"/>
        <v>125061306</v>
      </c>
      <c r="E690" t="str">
        <f t="shared" si="148"/>
        <v>DCO</v>
      </c>
      <c r="F690" t="str">
        <f t="shared" si="149"/>
        <v>320x50_ViuCarro_Features_PREMIUM</v>
      </c>
      <c r="G690" t="str">
        <f t="shared" si="150"/>
        <v>299683599</v>
      </c>
      <c r="H690" t="str">
        <f t="shared" si="151"/>
        <v>Rich Media display banner</v>
      </c>
      <c r="I690">
        <f t="shared" si="152"/>
        <v>1237430</v>
      </c>
      <c r="J690">
        <f t="shared" si="153"/>
        <v>2436</v>
      </c>
      <c r="K690" s="4">
        <f t="shared" si="156"/>
        <v>0.12</v>
      </c>
      <c r="L690">
        <f t="shared" si="157"/>
        <v>7.0000000000000007E-2</v>
      </c>
      <c r="M690" s="4">
        <f t="shared" si="154"/>
        <v>148.49160000000001</v>
      </c>
      <c r="N690" s="4">
        <f t="shared" si="155"/>
        <v>86.620100000000008</v>
      </c>
    </row>
    <row r="691" spans="1:14">
      <c r="A691" t="str">
        <f t="shared" si="144"/>
        <v>alp_AlwaysOn_DBM-Estrutura-2015</v>
      </c>
      <c r="B691" t="str">
        <f t="shared" si="145"/>
        <v>Google Brasil</v>
      </c>
      <c r="C691" t="str">
        <f t="shared" si="146"/>
        <v>always-on-Premium|google|dbm|468x60</v>
      </c>
      <c r="D691" t="str">
        <f t="shared" si="147"/>
        <v>125061310</v>
      </c>
      <c r="E691" t="str">
        <f t="shared" si="148"/>
        <v>Default</v>
      </c>
      <c r="F691" t="str">
        <f t="shared" si="149"/>
        <v>468x60 Default Web Ad</v>
      </c>
      <c r="G691" t="str">
        <f t="shared" si="150"/>
        <v>297946650</v>
      </c>
      <c r="H691" t="str">
        <f t="shared" si="151"/>
        <v>Display</v>
      </c>
      <c r="I691">
        <f t="shared" si="152"/>
        <v>2279</v>
      </c>
      <c r="J691">
        <f t="shared" si="153"/>
        <v>6</v>
      </c>
      <c r="K691" s="4">
        <f t="shared" si="156"/>
        <v>0.04</v>
      </c>
      <c r="L691">
        <f t="shared" si="157"/>
        <v>0.09</v>
      </c>
      <c r="M691" s="4">
        <f t="shared" si="154"/>
        <v>9.1159999999999991E-2</v>
      </c>
      <c r="N691" s="4">
        <f t="shared" si="155"/>
        <v>0.20510999999999999</v>
      </c>
    </row>
    <row r="692" spans="1:14">
      <c r="A692" t="str">
        <f t="shared" si="144"/>
        <v>alp_AlwaysOn_DBM-Estrutura-2015</v>
      </c>
      <c r="B692" t="str">
        <f t="shared" si="145"/>
        <v>Google Brasil</v>
      </c>
      <c r="C692" t="str">
        <f t="shared" si="146"/>
        <v>always-on-Premium|google|dbm|468x60</v>
      </c>
      <c r="D692" t="str">
        <f t="shared" si="147"/>
        <v>125061310</v>
      </c>
      <c r="E692" t="str">
        <f t="shared" si="148"/>
        <v>DCO</v>
      </c>
      <c r="F692" t="str">
        <f t="shared" si="149"/>
        <v>468x60_GerouLead_Concessionarias_PREMIUM</v>
      </c>
      <c r="G692" t="str">
        <f t="shared" si="150"/>
        <v>299685253</v>
      </c>
      <c r="H692" t="str">
        <f t="shared" si="151"/>
        <v>Rich Media display banner</v>
      </c>
      <c r="I692">
        <f t="shared" si="152"/>
        <v>316</v>
      </c>
      <c r="J692">
        <f t="shared" si="153"/>
        <v>0</v>
      </c>
      <c r="K692" s="4">
        <f t="shared" si="156"/>
        <v>0.12</v>
      </c>
      <c r="L692">
        <f t="shared" si="157"/>
        <v>7.0000000000000007E-2</v>
      </c>
      <c r="M692" s="4">
        <f t="shared" si="154"/>
        <v>3.7920000000000002E-2</v>
      </c>
      <c r="N692" s="4">
        <f t="shared" si="155"/>
        <v>2.2120000000000001E-2</v>
      </c>
    </row>
    <row r="693" spans="1:14">
      <c r="A693" t="str">
        <f t="shared" si="144"/>
        <v>alp_AlwaysOn_DBM-Estrutura-2015</v>
      </c>
      <c r="B693" t="str">
        <f t="shared" si="145"/>
        <v>Google Brasil</v>
      </c>
      <c r="C693" t="str">
        <f t="shared" si="146"/>
        <v>always-on-Premium|google|dbm|468x60</v>
      </c>
      <c r="D693" t="str">
        <f t="shared" si="147"/>
        <v>125061310</v>
      </c>
      <c r="E693" t="str">
        <f t="shared" si="148"/>
        <v>DCO</v>
      </c>
      <c r="F693" t="str">
        <f t="shared" si="149"/>
        <v>468x60_GerouRadar_Radar_PREMIUM</v>
      </c>
      <c r="G693" t="str">
        <f t="shared" si="150"/>
        <v>299685250</v>
      </c>
      <c r="H693" t="str">
        <f t="shared" si="151"/>
        <v>Rich Media display banner</v>
      </c>
      <c r="I693">
        <f t="shared" si="152"/>
        <v>199</v>
      </c>
      <c r="J693">
        <f t="shared" si="153"/>
        <v>0</v>
      </c>
      <c r="K693" s="4">
        <f t="shared" si="156"/>
        <v>0.12</v>
      </c>
      <c r="L693">
        <f t="shared" si="157"/>
        <v>7.0000000000000007E-2</v>
      </c>
      <c r="M693" s="4">
        <f t="shared" si="154"/>
        <v>2.3879999999999998E-2</v>
      </c>
      <c r="N693" s="4">
        <f t="shared" si="155"/>
        <v>1.3930000000000001E-2</v>
      </c>
    </row>
    <row r="694" spans="1:14">
      <c r="A694" t="str">
        <f t="shared" si="144"/>
        <v>alp_AlwaysOn_DBM-Estrutura-2015</v>
      </c>
      <c r="B694" t="str">
        <f t="shared" si="145"/>
        <v>Google Brasil</v>
      </c>
      <c r="C694" t="str">
        <f t="shared" si="146"/>
        <v>always-on-Premium|google|dbm|468x60</v>
      </c>
      <c r="D694" t="str">
        <f t="shared" si="147"/>
        <v>125061310</v>
      </c>
      <c r="E694" t="str">
        <f t="shared" si="148"/>
        <v>DCO</v>
      </c>
      <c r="F694" t="str">
        <f t="shared" si="149"/>
        <v>468x60_Prospeccao_Institucional_Condicoes_Produto_PREMIUM</v>
      </c>
      <c r="G694" t="str">
        <f t="shared" si="150"/>
        <v>299685184</v>
      </c>
      <c r="H694" t="str">
        <f t="shared" si="151"/>
        <v>Rich Media display banner</v>
      </c>
      <c r="I694">
        <f t="shared" si="152"/>
        <v>160100</v>
      </c>
      <c r="J694">
        <f t="shared" si="153"/>
        <v>1212</v>
      </c>
      <c r="K694" s="4">
        <f t="shared" si="156"/>
        <v>0.12</v>
      </c>
      <c r="L694">
        <f t="shared" si="157"/>
        <v>7.0000000000000007E-2</v>
      </c>
      <c r="M694" s="4">
        <f t="shared" si="154"/>
        <v>19.212</v>
      </c>
      <c r="N694" s="4">
        <f t="shared" si="155"/>
        <v>11.207000000000003</v>
      </c>
    </row>
    <row r="695" spans="1:14">
      <c r="A695" t="str">
        <f t="shared" si="144"/>
        <v>alp_AlwaysOn_DBM-Estrutura-2015</v>
      </c>
      <c r="B695" t="str">
        <f t="shared" si="145"/>
        <v>Google Brasil</v>
      </c>
      <c r="C695" t="str">
        <f t="shared" si="146"/>
        <v>always-on-Premium|google|dbm|468x60</v>
      </c>
      <c r="D695" t="str">
        <f t="shared" si="147"/>
        <v>125061310</v>
      </c>
      <c r="E695" t="str">
        <f t="shared" si="148"/>
        <v>DCO</v>
      </c>
      <c r="F695" t="str">
        <f t="shared" si="149"/>
        <v>468x60_ViuCarro_Features_Intencao_PREMIUM</v>
      </c>
      <c r="G695" t="str">
        <f t="shared" si="150"/>
        <v>302824951</v>
      </c>
      <c r="H695" t="str">
        <f t="shared" si="151"/>
        <v>Rich Media display banner</v>
      </c>
      <c r="I695">
        <f t="shared" si="152"/>
        <v>13392</v>
      </c>
      <c r="J695">
        <f t="shared" si="153"/>
        <v>51</v>
      </c>
      <c r="K695" s="4">
        <f t="shared" si="156"/>
        <v>0.12</v>
      </c>
      <c r="L695">
        <f t="shared" si="157"/>
        <v>7.0000000000000007E-2</v>
      </c>
      <c r="M695" s="4">
        <f t="shared" si="154"/>
        <v>1.60704</v>
      </c>
      <c r="N695" s="4">
        <f t="shared" si="155"/>
        <v>0.93744000000000005</v>
      </c>
    </row>
    <row r="696" spans="1:14">
      <c r="A696" t="str">
        <f t="shared" si="144"/>
        <v>alp_AlwaysOn_DBM-Estrutura-2015</v>
      </c>
      <c r="B696" t="str">
        <f t="shared" si="145"/>
        <v>Google Brasil</v>
      </c>
      <c r="C696" t="str">
        <f t="shared" si="146"/>
        <v>always-on-Premium|google|dbm|468x60</v>
      </c>
      <c r="D696" t="str">
        <f t="shared" si="147"/>
        <v>125061310</v>
      </c>
      <c r="E696" t="str">
        <f t="shared" si="148"/>
        <v>DCO</v>
      </c>
      <c r="F696" t="str">
        <f t="shared" si="149"/>
        <v>468x60_ViuCarro_Features_PREMIUM</v>
      </c>
      <c r="G696" t="str">
        <f t="shared" si="150"/>
        <v>299685185</v>
      </c>
      <c r="H696" t="str">
        <f t="shared" si="151"/>
        <v>Rich Media display banner</v>
      </c>
      <c r="I696">
        <f t="shared" si="152"/>
        <v>72215</v>
      </c>
      <c r="J696">
        <f t="shared" si="153"/>
        <v>186</v>
      </c>
      <c r="K696" s="4">
        <f t="shared" si="156"/>
        <v>0.12</v>
      </c>
      <c r="L696">
        <f t="shared" si="157"/>
        <v>7.0000000000000007E-2</v>
      </c>
      <c r="M696" s="4">
        <f t="shared" si="154"/>
        <v>8.6657999999999991</v>
      </c>
      <c r="N696" s="4">
        <f t="shared" si="155"/>
        <v>5.0550500000000005</v>
      </c>
    </row>
    <row r="697" spans="1:14">
      <c r="A697" t="str">
        <f t="shared" si="144"/>
        <v>alp_AlwaysOn_DBM-Estrutura-2015</v>
      </c>
      <c r="B697" t="str">
        <f t="shared" si="145"/>
        <v>Google Brasil</v>
      </c>
      <c r="C697" t="str">
        <f t="shared" si="146"/>
        <v>always-on-Premium|google|dbm|970x250</v>
      </c>
      <c r="D697" t="str">
        <f t="shared" si="147"/>
        <v>125063524</v>
      </c>
      <c r="E697" t="str">
        <f t="shared" si="148"/>
        <v>Default</v>
      </c>
      <c r="F697" t="str">
        <f t="shared" si="149"/>
        <v>970x250 Default Web Ad</v>
      </c>
      <c r="G697" t="str">
        <f t="shared" si="150"/>
        <v>297950089</v>
      </c>
      <c r="H697" t="str">
        <f t="shared" si="151"/>
        <v>Display</v>
      </c>
      <c r="I697">
        <f t="shared" si="152"/>
        <v>45633</v>
      </c>
      <c r="J697">
        <f t="shared" si="153"/>
        <v>87</v>
      </c>
      <c r="K697" s="4">
        <f t="shared" si="156"/>
        <v>0.04</v>
      </c>
      <c r="L697">
        <f t="shared" si="157"/>
        <v>0.09</v>
      </c>
      <c r="M697" s="4">
        <f t="shared" si="154"/>
        <v>1.8253199999999998</v>
      </c>
      <c r="N697" s="4">
        <f t="shared" si="155"/>
        <v>4.1069700000000005</v>
      </c>
    </row>
    <row r="698" spans="1:14">
      <c r="A698" t="str">
        <f t="shared" si="144"/>
        <v>alp_AlwaysOn_DBM-Estrutura-2015</v>
      </c>
      <c r="B698" t="str">
        <f t="shared" si="145"/>
        <v>Google Brasil</v>
      </c>
      <c r="C698" t="str">
        <f t="shared" si="146"/>
        <v>always-on-Premium|google|dbm|970x250</v>
      </c>
      <c r="D698" t="str">
        <f t="shared" si="147"/>
        <v>125063524</v>
      </c>
      <c r="E698" t="str">
        <f t="shared" si="148"/>
        <v>DCO</v>
      </c>
      <c r="F698" t="str">
        <f t="shared" si="149"/>
        <v>970x250_GerouLead_Concessionarias_PREMIUM</v>
      </c>
      <c r="G698" t="str">
        <f t="shared" si="150"/>
        <v>299689554</v>
      </c>
      <c r="H698" t="str">
        <f t="shared" si="151"/>
        <v>Rich Media display banner</v>
      </c>
      <c r="I698">
        <f t="shared" si="152"/>
        <v>2651</v>
      </c>
      <c r="J698">
        <f t="shared" si="153"/>
        <v>17</v>
      </c>
      <c r="K698" s="4">
        <f t="shared" si="156"/>
        <v>0.12</v>
      </c>
      <c r="L698">
        <f t="shared" si="157"/>
        <v>7.0000000000000007E-2</v>
      </c>
      <c r="M698" s="4">
        <f t="shared" si="154"/>
        <v>0.31812000000000001</v>
      </c>
      <c r="N698" s="4">
        <f t="shared" si="155"/>
        <v>0.18557000000000001</v>
      </c>
    </row>
    <row r="699" spans="1:14">
      <c r="A699" t="str">
        <f t="shared" si="144"/>
        <v>alp_AlwaysOn_DBM-Estrutura-2015</v>
      </c>
      <c r="B699" t="str">
        <f t="shared" si="145"/>
        <v>Google Brasil</v>
      </c>
      <c r="C699" t="str">
        <f t="shared" si="146"/>
        <v>always-on-Premium|google|dbm|970x250</v>
      </c>
      <c r="D699" t="str">
        <f t="shared" si="147"/>
        <v>125063524</v>
      </c>
      <c r="E699" t="str">
        <f t="shared" si="148"/>
        <v>DCO</v>
      </c>
      <c r="F699" t="str">
        <f t="shared" si="149"/>
        <v>970x250_GerouRadar_Radar_PREMIUM</v>
      </c>
      <c r="G699" t="str">
        <f t="shared" si="150"/>
        <v>299689559</v>
      </c>
      <c r="H699" t="str">
        <f t="shared" si="151"/>
        <v>Rich Media display banner</v>
      </c>
      <c r="I699">
        <f t="shared" si="152"/>
        <v>3481</v>
      </c>
      <c r="J699">
        <f t="shared" si="153"/>
        <v>23</v>
      </c>
      <c r="K699" s="4">
        <f t="shared" si="156"/>
        <v>0.12</v>
      </c>
      <c r="L699">
        <f t="shared" si="157"/>
        <v>7.0000000000000007E-2</v>
      </c>
      <c r="M699" s="4">
        <f t="shared" si="154"/>
        <v>0.41771999999999998</v>
      </c>
      <c r="N699" s="4">
        <f t="shared" si="155"/>
        <v>0.24367000000000003</v>
      </c>
    </row>
    <row r="700" spans="1:14">
      <c r="A700" t="str">
        <f t="shared" si="144"/>
        <v>alp_AlwaysOn_DBM-Estrutura-2015</v>
      </c>
      <c r="B700" t="str">
        <f t="shared" si="145"/>
        <v>Google Brasil</v>
      </c>
      <c r="C700" t="str">
        <f t="shared" si="146"/>
        <v>always-on-Premium|google|dbm|970x250</v>
      </c>
      <c r="D700" t="str">
        <f t="shared" si="147"/>
        <v>125063524</v>
      </c>
      <c r="E700" t="str">
        <f t="shared" si="148"/>
        <v>DCO</v>
      </c>
      <c r="F700" t="str">
        <f t="shared" si="149"/>
        <v>970x250_Prospeccao_Institucional_Condicoes_Produto_PREMIUM</v>
      </c>
      <c r="G700" t="str">
        <f t="shared" si="150"/>
        <v>299689557</v>
      </c>
      <c r="H700" t="str">
        <f t="shared" si="151"/>
        <v>Rich Media display banner</v>
      </c>
      <c r="I700">
        <f t="shared" si="152"/>
        <v>4429326</v>
      </c>
      <c r="J700">
        <f t="shared" si="153"/>
        <v>8761</v>
      </c>
      <c r="K700" s="4">
        <f t="shared" si="156"/>
        <v>0.12</v>
      </c>
      <c r="L700">
        <f t="shared" si="157"/>
        <v>7.0000000000000007E-2</v>
      </c>
      <c r="M700" s="4">
        <f t="shared" si="154"/>
        <v>531.51912000000004</v>
      </c>
      <c r="N700" s="4">
        <f t="shared" si="155"/>
        <v>310.05282</v>
      </c>
    </row>
    <row r="701" spans="1:14">
      <c r="A701" t="str">
        <f t="shared" si="144"/>
        <v>alp_AlwaysOn_DBM-Estrutura-2015</v>
      </c>
      <c r="B701" t="str">
        <f t="shared" si="145"/>
        <v>Google Brasil</v>
      </c>
      <c r="C701" t="str">
        <f t="shared" si="146"/>
        <v>always-on-Premium|google|dbm|970x250</v>
      </c>
      <c r="D701" t="str">
        <f t="shared" si="147"/>
        <v>125063524</v>
      </c>
      <c r="E701" t="str">
        <f t="shared" si="148"/>
        <v>DCO</v>
      </c>
      <c r="F701" t="str">
        <f t="shared" si="149"/>
        <v>970x250_ViuCarro_Features_Intencao_PREMIUM</v>
      </c>
      <c r="G701" t="str">
        <f t="shared" si="150"/>
        <v>302850325</v>
      </c>
      <c r="H701" t="str">
        <f t="shared" si="151"/>
        <v>Rich Media display banner</v>
      </c>
      <c r="I701">
        <f t="shared" si="152"/>
        <v>211007</v>
      </c>
      <c r="J701">
        <f t="shared" si="153"/>
        <v>1009</v>
      </c>
      <c r="K701" s="4">
        <f t="shared" si="156"/>
        <v>0.12</v>
      </c>
      <c r="L701">
        <f t="shared" si="157"/>
        <v>7.0000000000000007E-2</v>
      </c>
      <c r="M701" s="4">
        <f t="shared" si="154"/>
        <v>25.32084</v>
      </c>
      <c r="N701" s="4">
        <f t="shared" si="155"/>
        <v>14.770490000000002</v>
      </c>
    </row>
    <row r="702" spans="1:14">
      <c r="A702" t="str">
        <f t="shared" si="144"/>
        <v>alp_AlwaysOn_DBM-Estrutura-2015</v>
      </c>
      <c r="B702" t="str">
        <f t="shared" si="145"/>
        <v>Google Brasil</v>
      </c>
      <c r="C702" t="str">
        <f t="shared" si="146"/>
        <v>always-on-Premium|google|dbm|970x250</v>
      </c>
      <c r="D702" t="str">
        <f t="shared" si="147"/>
        <v>125063524</v>
      </c>
      <c r="E702" t="str">
        <f t="shared" si="148"/>
        <v>DCO</v>
      </c>
      <c r="F702" t="str">
        <f t="shared" si="149"/>
        <v>970x250_ViuCarro_Features_PREMIUM</v>
      </c>
      <c r="G702" t="str">
        <f t="shared" si="150"/>
        <v>299689561</v>
      </c>
      <c r="H702" t="str">
        <f t="shared" si="151"/>
        <v>Rich Media display banner</v>
      </c>
      <c r="I702">
        <f t="shared" si="152"/>
        <v>1068847</v>
      </c>
      <c r="J702">
        <f t="shared" si="153"/>
        <v>2955</v>
      </c>
      <c r="K702" s="4">
        <f t="shared" si="156"/>
        <v>0.12</v>
      </c>
      <c r="L702">
        <f t="shared" si="157"/>
        <v>7.0000000000000007E-2</v>
      </c>
      <c r="M702" s="4">
        <f t="shared" si="154"/>
        <v>128.26164</v>
      </c>
      <c r="N702" s="4">
        <f t="shared" si="155"/>
        <v>74.819290000000009</v>
      </c>
    </row>
    <row r="703" spans="1:14">
      <c r="A703" t="str">
        <f t="shared" si="144"/>
        <v>alp_AlwaysOn_DBM-Estrutura-2015</v>
      </c>
      <c r="B703" t="str">
        <f t="shared" si="145"/>
        <v>Google Brasil</v>
      </c>
      <c r="C703" t="str">
        <f t="shared" si="146"/>
        <v>always-on-Premium|google|dbm|970x90</v>
      </c>
      <c r="D703" t="str">
        <f t="shared" si="147"/>
        <v>125060470</v>
      </c>
      <c r="E703" t="str">
        <f t="shared" si="148"/>
        <v>Default</v>
      </c>
      <c r="F703" t="str">
        <f t="shared" si="149"/>
        <v>970x90 Default Web Ad</v>
      </c>
      <c r="G703" t="str">
        <f t="shared" si="150"/>
        <v>297947867</v>
      </c>
      <c r="H703" t="str">
        <f t="shared" si="151"/>
        <v>Display</v>
      </c>
      <c r="I703">
        <f t="shared" si="152"/>
        <v>6720</v>
      </c>
      <c r="J703">
        <f t="shared" si="153"/>
        <v>4</v>
      </c>
      <c r="K703" s="4">
        <f t="shared" si="156"/>
        <v>0.04</v>
      </c>
      <c r="L703">
        <f t="shared" si="157"/>
        <v>0.09</v>
      </c>
      <c r="M703" s="4">
        <f t="shared" si="154"/>
        <v>0.26880000000000004</v>
      </c>
      <c r="N703" s="4">
        <f t="shared" si="155"/>
        <v>0.6048</v>
      </c>
    </row>
    <row r="704" spans="1:14">
      <c r="A704" t="str">
        <f t="shared" si="144"/>
        <v>alp_AlwaysOn_DBM-Estrutura-2015</v>
      </c>
      <c r="B704" t="str">
        <f t="shared" si="145"/>
        <v>Google Brasil</v>
      </c>
      <c r="C704" t="str">
        <f t="shared" si="146"/>
        <v>always-on-Premium|google|dbm|970x90</v>
      </c>
      <c r="D704" t="str">
        <f t="shared" si="147"/>
        <v>125060470</v>
      </c>
      <c r="E704" t="str">
        <f t="shared" si="148"/>
        <v>DCO</v>
      </c>
      <c r="F704" t="str">
        <f t="shared" si="149"/>
        <v>970x90_GerouLead_Concessionarias_PREMIUM</v>
      </c>
      <c r="G704" t="str">
        <f t="shared" si="150"/>
        <v>299687991</v>
      </c>
      <c r="H704" t="str">
        <f t="shared" si="151"/>
        <v>Rich Media display banner</v>
      </c>
      <c r="I704">
        <f t="shared" si="152"/>
        <v>1173</v>
      </c>
      <c r="J704">
        <f t="shared" si="153"/>
        <v>1</v>
      </c>
      <c r="K704" s="4">
        <f t="shared" si="156"/>
        <v>0.12</v>
      </c>
      <c r="L704">
        <f t="shared" si="157"/>
        <v>7.0000000000000007E-2</v>
      </c>
      <c r="M704" s="4">
        <f t="shared" si="154"/>
        <v>0.14076</v>
      </c>
      <c r="N704" s="4">
        <f t="shared" si="155"/>
        <v>8.2110000000000016E-2</v>
      </c>
    </row>
    <row r="705" spans="1:14">
      <c r="A705" t="str">
        <f t="shared" si="144"/>
        <v>alp_AlwaysOn_DBM-Estrutura-2015</v>
      </c>
      <c r="B705" t="str">
        <f t="shared" si="145"/>
        <v>Google Brasil</v>
      </c>
      <c r="C705" t="str">
        <f t="shared" si="146"/>
        <v>always-on-Premium|google|dbm|970x90</v>
      </c>
      <c r="D705" t="str">
        <f t="shared" si="147"/>
        <v>125060470</v>
      </c>
      <c r="E705" t="str">
        <f t="shared" si="148"/>
        <v>DCO</v>
      </c>
      <c r="F705" t="str">
        <f t="shared" si="149"/>
        <v>970x90_GerouRadar_Radar_PREMIUM</v>
      </c>
      <c r="G705" t="str">
        <f t="shared" si="150"/>
        <v>299687995</v>
      </c>
      <c r="H705" t="str">
        <f t="shared" si="151"/>
        <v>Rich Media display banner</v>
      </c>
      <c r="I705">
        <f t="shared" si="152"/>
        <v>615</v>
      </c>
      <c r="J705">
        <f t="shared" si="153"/>
        <v>1</v>
      </c>
      <c r="K705" s="4">
        <f t="shared" si="156"/>
        <v>0.12</v>
      </c>
      <c r="L705">
        <f t="shared" si="157"/>
        <v>7.0000000000000007E-2</v>
      </c>
      <c r="M705" s="4">
        <f t="shared" si="154"/>
        <v>7.3799999999999991E-2</v>
      </c>
      <c r="N705" s="4">
        <f t="shared" si="155"/>
        <v>4.3050000000000005E-2</v>
      </c>
    </row>
    <row r="706" spans="1:14">
      <c r="A706" t="str">
        <f t="shared" ref="A706:A769" si="158">bd_campaign</f>
        <v>alp_AlwaysOn_DBM-Estrutura-2015</v>
      </c>
      <c r="B706" t="str">
        <f t="shared" ref="B706:B769" si="159">bd_site</f>
        <v>Google Brasil</v>
      </c>
      <c r="C706" t="str">
        <f t="shared" ref="C706:C769" si="160">bd_placement</f>
        <v>always-on-Premium|google|dbm|970x90</v>
      </c>
      <c r="D706" t="str">
        <f t="shared" ref="D706:D769" si="161">bd_placementID</f>
        <v>125060470</v>
      </c>
      <c r="E706" t="str">
        <f t="shared" ref="E706:E769" si="162">VLOOKUP(CONCATENATE(bd_adtype,"_",bd_creativetype),tabela,2,FALSE)</f>
        <v>DCO</v>
      </c>
      <c r="F706" t="str">
        <f t="shared" ref="F706:F769" si="163">bd_ad</f>
        <v>970x90_Prospeccao_Institucional_Condicoes_Produto_PREMIUM</v>
      </c>
      <c r="G706" t="str">
        <f t="shared" ref="G706:G769" si="164">bd_adid</f>
        <v>299687993</v>
      </c>
      <c r="H706" t="str">
        <f t="shared" ref="H706:H769" si="165">bd_creativetype</f>
        <v>Rich Media display banner</v>
      </c>
      <c r="I706">
        <f t="shared" ref="I706:I769" si="166">bd_impression</f>
        <v>541175</v>
      </c>
      <c r="J706">
        <f t="shared" ref="J706:J769" si="167">bd_clicks</f>
        <v>489</v>
      </c>
      <c r="K706" s="4">
        <f t="shared" si="156"/>
        <v>0.12</v>
      </c>
      <c r="L706">
        <f t="shared" si="157"/>
        <v>7.0000000000000007E-2</v>
      </c>
      <c r="M706" s="4">
        <f t="shared" si="154"/>
        <v>64.941000000000003</v>
      </c>
      <c r="N706" s="4">
        <f t="shared" si="155"/>
        <v>37.882249999999999</v>
      </c>
    </row>
    <row r="707" spans="1:14">
      <c r="A707" t="str">
        <f t="shared" si="158"/>
        <v>alp_AlwaysOn_DBM-Estrutura-2015</v>
      </c>
      <c r="B707" t="str">
        <f t="shared" si="159"/>
        <v>Google Brasil</v>
      </c>
      <c r="C707" t="str">
        <f t="shared" si="160"/>
        <v>always-on-Premium|google|dbm|970x90</v>
      </c>
      <c r="D707" t="str">
        <f t="shared" si="161"/>
        <v>125060470</v>
      </c>
      <c r="E707" t="str">
        <f t="shared" si="162"/>
        <v>DCO</v>
      </c>
      <c r="F707" t="str">
        <f t="shared" si="163"/>
        <v>970x90_ViuCarro_Features_Intencao_PREMIUM</v>
      </c>
      <c r="G707" t="str">
        <f t="shared" si="164"/>
        <v>302850518</v>
      </c>
      <c r="H707" t="str">
        <f t="shared" si="165"/>
        <v>Rich Media display banner</v>
      </c>
      <c r="I707">
        <f t="shared" si="166"/>
        <v>43097</v>
      </c>
      <c r="J707">
        <f t="shared" si="167"/>
        <v>59</v>
      </c>
      <c r="K707" s="4">
        <f t="shared" si="156"/>
        <v>0.12</v>
      </c>
      <c r="L707">
        <f t="shared" si="157"/>
        <v>7.0000000000000007E-2</v>
      </c>
      <c r="M707" s="4">
        <f t="shared" si="154"/>
        <v>5.1716399999999991</v>
      </c>
      <c r="N707" s="4">
        <f t="shared" si="155"/>
        <v>3.0167900000000003</v>
      </c>
    </row>
    <row r="708" spans="1:14">
      <c r="A708" t="str">
        <f t="shared" si="158"/>
        <v>alp_AlwaysOn_DBM-Estrutura-2015</v>
      </c>
      <c r="B708" t="str">
        <f t="shared" si="159"/>
        <v>Google Brasil</v>
      </c>
      <c r="C708" t="str">
        <f t="shared" si="160"/>
        <v>always-on-Premium|google|dbm|970x90</v>
      </c>
      <c r="D708" t="str">
        <f t="shared" si="161"/>
        <v>125060470</v>
      </c>
      <c r="E708" t="str">
        <f t="shared" si="162"/>
        <v>DCO</v>
      </c>
      <c r="F708" t="str">
        <f t="shared" si="163"/>
        <v>970x90_ViuCarro_Features_PREMIUM</v>
      </c>
      <c r="G708" t="str">
        <f t="shared" si="164"/>
        <v>299687987</v>
      </c>
      <c r="H708" t="str">
        <f t="shared" si="165"/>
        <v>Rich Media display banner</v>
      </c>
      <c r="I708">
        <f t="shared" si="166"/>
        <v>214462</v>
      </c>
      <c r="J708">
        <f t="shared" si="167"/>
        <v>156</v>
      </c>
      <c r="K708" s="4">
        <f t="shared" si="156"/>
        <v>0.12</v>
      </c>
      <c r="L708">
        <f t="shared" si="157"/>
        <v>7.0000000000000007E-2</v>
      </c>
      <c r="M708" s="4">
        <f t="shared" si="154"/>
        <v>25.735439999999997</v>
      </c>
      <c r="N708" s="4">
        <f t="shared" si="155"/>
        <v>15.012340000000002</v>
      </c>
    </row>
    <row r="709" spans="1:14">
      <c r="A709" t="str">
        <f t="shared" si="158"/>
        <v>alp_AlwaysOn_DBM-Estrutura-2015</v>
      </c>
      <c r="B709" t="str">
        <f t="shared" si="159"/>
        <v>Google Brasil</v>
      </c>
      <c r="C709" t="str">
        <f t="shared" si="160"/>
        <v>always-on-Premium|google|dbm|half-page-300x600</v>
      </c>
      <c r="D709" t="str">
        <f t="shared" si="161"/>
        <v>125044472</v>
      </c>
      <c r="E709" t="str">
        <f t="shared" si="162"/>
        <v>Default</v>
      </c>
      <c r="F709" t="str">
        <f t="shared" si="163"/>
        <v>300x600 Default Web Ad</v>
      </c>
      <c r="G709" t="str">
        <f t="shared" si="164"/>
        <v>297934556</v>
      </c>
      <c r="H709" t="str">
        <f t="shared" si="165"/>
        <v>Display</v>
      </c>
      <c r="I709">
        <f t="shared" si="166"/>
        <v>36947</v>
      </c>
      <c r="J709">
        <f t="shared" si="167"/>
        <v>27</v>
      </c>
      <c r="K709" s="4">
        <f t="shared" si="156"/>
        <v>0.04</v>
      </c>
      <c r="L709">
        <f t="shared" si="157"/>
        <v>0.09</v>
      </c>
      <c r="M709" s="4">
        <f t="shared" si="154"/>
        <v>1.4778800000000001</v>
      </c>
      <c r="N709" s="4">
        <f t="shared" si="155"/>
        <v>3.3252299999999999</v>
      </c>
    </row>
    <row r="710" spans="1:14">
      <c r="A710" t="str">
        <f t="shared" si="158"/>
        <v>alp_AlwaysOn_DBM-Estrutura-2015</v>
      </c>
      <c r="B710" t="str">
        <f t="shared" si="159"/>
        <v>Google Brasil</v>
      </c>
      <c r="C710" t="str">
        <f t="shared" si="160"/>
        <v>always-on-Premium|google|dbm|half-page-300x600</v>
      </c>
      <c r="D710" t="str">
        <f t="shared" si="161"/>
        <v>125044472</v>
      </c>
      <c r="E710" t="str">
        <f t="shared" si="162"/>
        <v>DCO</v>
      </c>
      <c r="F710" t="str">
        <f t="shared" si="163"/>
        <v>300x600_GerouLead_Concessionarias_PREMIUM</v>
      </c>
      <c r="G710" t="str">
        <f t="shared" si="164"/>
        <v>299687661</v>
      </c>
      <c r="H710" t="str">
        <f t="shared" si="165"/>
        <v>Rich Media display banner</v>
      </c>
      <c r="I710">
        <f t="shared" si="166"/>
        <v>4971</v>
      </c>
      <c r="J710">
        <f t="shared" si="167"/>
        <v>10</v>
      </c>
      <c r="K710" s="4">
        <f t="shared" si="156"/>
        <v>0.12</v>
      </c>
      <c r="L710">
        <f t="shared" si="157"/>
        <v>7.0000000000000007E-2</v>
      </c>
      <c r="M710" s="4">
        <f t="shared" si="154"/>
        <v>0.59651999999999994</v>
      </c>
      <c r="N710" s="4">
        <f t="shared" si="155"/>
        <v>0.34797</v>
      </c>
    </row>
    <row r="711" spans="1:14">
      <c r="A711" t="str">
        <f t="shared" si="158"/>
        <v>alp_AlwaysOn_DBM-Estrutura-2015</v>
      </c>
      <c r="B711" t="str">
        <f t="shared" si="159"/>
        <v>Google Brasil</v>
      </c>
      <c r="C711" t="str">
        <f t="shared" si="160"/>
        <v>always-on-Premium|google|dbm|half-page-300x600</v>
      </c>
      <c r="D711" t="str">
        <f t="shared" si="161"/>
        <v>125044472</v>
      </c>
      <c r="E711" t="str">
        <f t="shared" si="162"/>
        <v>DCO</v>
      </c>
      <c r="F711" t="str">
        <f t="shared" si="163"/>
        <v>300x600_GerouRadar_Radar_PREMIUM</v>
      </c>
      <c r="G711" t="str">
        <f t="shared" si="164"/>
        <v>299687666</v>
      </c>
      <c r="H711" t="str">
        <f t="shared" si="165"/>
        <v>Rich Media display banner</v>
      </c>
      <c r="I711">
        <f t="shared" si="166"/>
        <v>3247</v>
      </c>
      <c r="J711">
        <f t="shared" si="167"/>
        <v>13</v>
      </c>
      <c r="K711" s="4">
        <f t="shared" si="156"/>
        <v>0.12</v>
      </c>
      <c r="L711">
        <f t="shared" si="157"/>
        <v>7.0000000000000007E-2</v>
      </c>
      <c r="M711" s="4">
        <f t="shared" si="154"/>
        <v>0.38963999999999999</v>
      </c>
      <c r="N711" s="4">
        <f t="shared" si="155"/>
        <v>0.22729000000000002</v>
      </c>
    </row>
    <row r="712" spans="1:14">
      <c r="A712" t="str">
        <f t="shared" si="158"/>
        <v>alp_AlwaysOn_DBM-Estrutura-2015</v>
      </c>
      <c r="B712" t="str">
        <f t="shared" si="159"/>
        <v>Google Brasil</v>
      </c>
      <c r="C712" t="str">
        <f t="shared" si="160"/>
        <v>always-on-Premium|google|dbm|half-page-300x600</v>
      </c>
      <c r="D712" t="str">
        <f t="shared" si="161"/>
        <v>125044472</v>
      </c>
      <c r="E712" t="str">
        <f t="shared" si="162"/>
        <v>DCO</v>
      </c>
      <c r="F712" t="str">
        <f t="shared" si="163"/>
        <v>300x600_Prospeccao_Institucional_Condicoes_Produto_PREMIUM</v>
      </c>
      <c r="G712" t="str">
        <f t="shared" si="164"/>
        <v>299687660</v>
      </c>
      <c r="H712" t="str">
        <f t="shared" si="165"/>
        <v>Rich Media display banner</v>
      </c>
      <c r="I712">
        <f t="shared" si="166"/>
        <v>3560668</v>
      </c>
      <c r="J712">
        <f t="shared" si="167"/>
        <v>4254</v>
      </c>
      <c r="K712" s="4">
        <f t="shared" si="156"/>
        <v>0.12</v>
      </c>
      <c r="L712">
        <f t="shared" si="157"/>
        <v>7.0000000000000007E-2</v>
      </c>
      <c r="M712" s="4">
        <f t="shared" si="154"/>
        <v>427.28015999999997</v>
      </c>
      <c r="N712" s="4">
        <f t="shared" si="155"/>
        <v>249.24676000000002</v>
      </c>
    </row>
    <row r="713" spans="1:14">
      <c r="A713" t="str">
        <f t="shared" si="158"/>
        <v>alp_AlwaysOn_DBM-Estrutura-2015</v>
      </c>
      <c r="B713" t="str">
        <f t="shared" si="159"/>
        <v>Google Brasil</v>
      </c>
      <c r="C713" t="str">
        <f t="shared" si="160"/>
        <v>always-on-Premium|google|dbm|half-page-300x600</v>
      </c>
      <c r="D713" t="str">
        <f t="shared" si="161"/>
        <v>125044472</v>
      </c>
      <c r="E713" t="str">
        <f t="shared" si="162"/>
        <v>DCO</v>
      </c>
      <c r="F713" t="str">
        <f t="shared" si="163"/>
        <v>300x600_ViuCarro_Features_Intencao_PREMIUM</v>
      </c>
      <c r="G713" t="str">
        <f t="shared" si="164"/>
        <v>302828079</v>
      </c>
      <c r="H713" t="str">
        <f t="shared" si="165"/>
        <v>Rich Media display banner</v>
      </c>
      <c r="I713">
        <f t="shared" si="166"/>
        <v>219674</v>
      </c>
      <c r="J713">
        <f t="shared" si="167"/>
        <v>707</v>
      </c>
      <c r="K713" s="4">
        <f t="shared" si="156"/>
        <v>0.12</v>
      </c>
      <c r="L713">
        <f t="shared" si="157"/>
        <v>7.0000000000000007E-2</v>
      </c>
      <c r="M713" s="4">
        <f t="shared" si="154"/>
        <v>26.360879999999998</v>
      </c>
      <c r="N713" s="4">
        <f t="shared" si="155"/>
        <v>15.377180000000003</v>
      </c>
    </row>
    <row r="714" spans="1:14">
      <c r="A714" t="str">
        <f t="shared" si="158"/>
        <v>alp_AlwaysOn_DBM-Estrutura-2015</v>
      </c>
      <c r="B714" t="str">
        <f t="shared" si="159"/>
        <v>Google Brasil</v>
      </c>
      <c r="C714" t="str">
        <f t="shared" si="160"/>
        <v>always-on-Premium|google|dbm|half-page-300x600</v>
      </c>
      <c r="D714" t="str">
        <f t="shared" si="161"/>
        <v>125044472</v>
      </c>
      <c r="E714" t="str">
        <f t="shared" si="162"/>
        <v>DCO</v>
      </c>
      <c r="F714" t="str">
        <f t="shared" si="163"/>
        <v>300x600_ViuCarro_Features_PREMIUM</v>
      </c>
      <c r="G714" t="str">
        <f t="shared" si="164"/>
        <v>299687668</v>
      </c>
      <c r="H714" t="str">
        <f t="shared" si="165"/>
        <v>Rich Media display banner</v>
      </c>
      <c r="I714">
        <f t="shared" si="166"/>
        <v>974923</v>
      </c>
      <c r="J714">
        <f t="shared" si="167"/>
        <v>1566</v>
      </c>
      <c r="K714" s="4">
        <f t="shared" si="156"/>
        <v>0.12</v>
      </c>
      <c r="L714">
        <f t="shared" si="157"/>
        <v>7.0000000000000007E-2</v>
      </c>
      <c r="M714" s="4">
        <f t="shared" si="154"/>
        <v>116.99075999999999</v>
      </c>
      <c r="N714" s="4">
        <f t="shared" si="155"/>
        <v>68.244609999999994</v>
      </c>
    </row>
    <row r="715" spans="1:14">
      <c r="A715" t="str">
        <f t="shared" si="158"/>
        <v>alp_AlwaysOn_DBM-Estrutura-2015</v>
      </c>
      <c r="B715" t="str">
        <f t="shared" si="159"/>
        <v>Google Brasil</v>
      </c>
      <c r="C715" t="str">
        <f t="shared" si="160"/>
        <v>always-on-Premium|google|dbm|retangulo-medio-300x250</v>
      </c>
      <c r="D715" t="str">
        <f t="shared" si="161"/>
        <v>125045551</v>
      </c>
      <c r="E715" t="str">
        <f t="shared" si="162"/>
        <v>Default</v>
      </c>
      <c r="F715" t="str">
        <f t="shared" si="163"/>
        <v>300x250 Default Web Ad</v>
      </c>
      <c r="G715" t="str">
        <f t="shared" si="164"/>
        <v>297931212</v>
      </c>
      <c r="H715" t="str">
        <f t="shared" si="165"/>
        <v>Display</v>
      </c>
      <c r="I715">
        <f t="shared" si="166"/>
        <v>56084</v>
      </c>
      <c r="J715">
        <f t="shared" si="167"/>
        <v>187</v>
      </c>
      <c r="K715" s="4">
        <f t="shared" si="156"/>
        <v>0.04</v>
      </c>
      <c r="L715">
        <f t="shared" si="157"/>
        <v>0.09</v>
      </c>
      <c r="M715" s="4">
        <f t="shared" si="154"/>
        <v>2.24336</v>
      </c>
      <c r="N715" s="4">
        <f t="shared" si="155"/>
        <v>5.0475599999999998</v>
      </c>
    </row>
    <row r="716" spans="1:14">
      <c r="A716" t="str">
        <f t="shared" si="158"/>
        <v>alp_AlwaysOn_DBM-Estrutura-2015</v>
      </c>
      <c r="B716" t="str">
        <f t="shared" si="159"/>
        <v>Google Brasil</v>
      </c>
      <c r="C716" t="str">
        <f t="shared" si="160"/>
        <v>always-on-Premium|google|dbm|retangulo-medio-300x250</v>
      </c>
      <c r="D716" t="str">
        <f t="shared" si="161"/>
        <v>125045551</v>
      </c>
      <c r="E716" t="str">
        <f t="shared" si="162"/>
        <v>DCO</v>
      </c>
      <c r="F716" t="str">
        <f t="shared" si="163"/>
        <v>300x250_GerouLead_Concessionarias_PREMIUM</v>
      </c>
      <c r="G716" t="str">
        <f t="shared" si="164"/>
        <v>299686038</v>
      </c>
      <c r="H716" t="str">
        <f t="shared" si="165"/>
        <v>Rich Media display banner</v>
      </c>
      <c r="I716">
        <f t="shared" si="166"/>
        <v>28919</v>
      </c>
      <c r="J716">
        <f t="shared" si="167"/>
        <v>89</v>
      </c>
      <c r="K716" s="4">
        <f t="shared" si="156"/>
        <v>0.12</v>
      </c>
      <c r="L716">
        <f t="shared" si="157"/>
        <v>7.0000000000000007E-2</v>
      </c>
      <c r="M716" s="4">
        <f t="shared" si="154"/>
        <v>3.4702799999999998</v>
      </c>
      <c r="N716" s="4">
        <f t="shared" si="155"/>
        <v>2.02433</v>
      </c>
    </row>
    <row r="717" spans="1:14">
      <c r="A717" t="str">
        <f t="shared" si="158"/>
        <v>alp_AlwaysOn_DBM-Estrutura-2015</v>
      </c>
      <c r="B717" t="str">
        <f t="shared" si="159"/>
        <v>Google Brasil</v>
      </c>
      <c r="C717" t="str">
        <f t="shared" si="160"/>
        <v>always-on-Premium|google|dbm|retangulo-medio-300x250</v>
      </c>
      <c r="D717" t="str">
        <f t="shared" si="161"/>
        <v>125045551</v>
      </c>
      <c r="E717" t="str">
        <f t="shared" si="162"/>
        <v>DCO</v>
      </c>
      <c r="F717" t="str">
        <f t="shared" si="163"/>
        <v>300x250_GerouRadar_Radar_PREMIUM</v>
      </c>
      <c r="G717" t="str">
        <f t="shared" si="164"/>
        <v>299686040</v>
      </c>
      <c r="H717" t="str">
        <f t="shared" si="165"/>
        <v>Rich Media display banner</v>
      </c>
      <c r="I717">
        <f t="shared" si="166"/>
        <v>7698</v>
      </c>
      <c r="J717">
        <f t="shared" si="167"/>
        <v>48</v>
      </c>
      <c r="K717" s="4">
        <f t="shared" si="156"/>
        <v>0.12</v>
      </c>
      <c r="L717">
        <f t="shared" si="157"/>
        <v>7.0000000000000007E-2</v>
      </c>
      <c r="M717" s="4">
        <f t="shared" si="154"/>
        <v>0.92376000000000003</v>
      </c>
      <c r="N717" s="4">
        <f t="shared" si="155"/>
        <v>0.53886000000000001</v>
      </c>
    </row>
    <row r="718" spans="1:14">
      <c r="A718" t="str">
        <f t="shared" si="158"/>
        <v>alp_AlwaysOn_DBM-Estrutura-2015</v>
      </c>
      <c r="B718" t="str">
        <f t="shared" si="159"/>
        <v>Google Brasil</v>
      </c>
      <c r="C718" t="str">
        <f t="shared" si="160"/>
        <v>always-on-Premium|google|dbm|retangulo-medio-300x250</v>
      </c>
      <c r="D718" t="str">
        <f t="shared" si="161"/>
        <v>125045551</v>
      </c>
      <c r="E718" t="str">
        <f t="shared" si="162"/>
        <v>DCO</v>
      </c>
      <c r="F718" t="str">
        <f t="shared" si="163"/>
        <v>300x250_Prospeccao_Institucional_Condicoes_Produto_PREMIUM</v>
      </c>
      <c r="G718" t="str">
        <f t="shared" si="164"/>
        <v>299686047</v>
      </c>
      <c r="H718" t="str">
        <f t="shared" si="165"/>
        <v>Rich Media display banner</v>
      </c>
      <c r="I718">
        <f t="shared" si="166"/>
        <v>9921249</v>
      </c>
      <c r="J718">
        <f t="shared" si="167"/>
        <v>80088</v>
      </c>
      <c r="K718" s="4">
        <f t="shared" si="156"/>
        <v>0.12</v>
      </c>
      <c r="L718">
        <f t="shared" si="157"/>
        <v>7.0000000000000007E-2</v>
      </c>
      <c r="M718" s="4">
        <f t="shared" si="154"/>
        <v>1190.5498799999998</v>
      </c>
      <c r="N718" s="4">
        <f t="shared" si="155"/>
        <v>694.48743000000002</v>
      </c>
    </row>
    <row r="719" spans="1:14">
      <c r="A719" t="str">
        <f t="shared" si="158"/>
        <v>alp_AlwaysOn_DBM-Estrutura-2015</v>
      </c>
      <c r="B719" t="str">
        <f t="shared" si="159"/>
        <v>Google Brasil</v>
      </c>
      <c r="C719" t="str">
        <f t="shared" si="160"/>
        <v>always-on-Premium|google|dbm|retangulo-medio-300x250</v>
      </c>
      <c r="D719" t="str">
        <f t="shared" si="161"/>
        <v>125045551</v>
      </c>
      <c r="E719" t="str">
        <f t="shared" si="162"/>
        <v>DCO</v>
      </c>
      <c r="F719" t="str">
        <f t="shared" si="163"/>
        <v>300x250_ViuCarro_Features_Intencao_PREMIUM</v>
      </c>
      <c r="G719" t="str">
        <f t="shared" si="164"/>
        <v>302846767</v>
      </c>
      <c r="H719" t="str">
        <f t="shared" si="165"/>
        <v>Rich Media display banner</v>
      </c>
      <c r="I719">
        <f t="shared" si="166"/>
        <v>343425</v>
      </c>
      <c r="J719">
        <f t="shared" si="167"/>
        <v>1230</v>
      </c>
      <c r="K719" s="4">
        <f t="shared" si="156"/>
        <v>0.12</v>
      </c>
      <c r="L719">
        <f t="shared" si="157"/>
        <v>7.0000000000000007E-2</v>
      </c>
      <c r="M719" s="4">
        <f t="shared" si="154"/>
        <v>41.210999999999999</v>
      </c>
      <c r="N719" s="4">
        <f t="shared" si="155"/>
        <v>24.039750000000005</v>
      </c>
    </row>
    <row r="720" spans="1:14">
      <c r="A720" t="str">
        <f t="shared" si="158"/>
        <v>alp_AlwaysOn_DBM-Estrutura-2015</v>
      </c>
      <c r="B720" t="str">
        <f t="shared" si="159"/>
        <v>Google Brasil</v>
      </c>
      <c r="C720" t="str">
        <f t="shared" si="160"/>
        <v>always-on-Premium|google|dbm|retangulo-medio-300x250</v>
      </c>
      <c r="D720" t="str">
        <f t="shared" si="161"/>
        <v>125045551</v>
      </c>
      <c r="E720" t="str">
        <f t="shared" si="162"/>
        <v>DCO</v>
      </c>
      <c r="F720" t="str">
        <f t="shared" si="163"/>
        <v>300x250_ViuCarro_Features_PREMIUM</v>
      </c>
      <c r="G720" t="str">
        <f t="shared" si="164"/>
        <v>299686043</v>
      </c>
      <c r="H720" t="str">
        <f t="shared" si="165"/>
        <v>Rich Media display banner</v>
      </c>
      <c r="I720">
        <f t="shared" si="166"/>
        <v>1763498</v>
      </c>
      <c r="J720">
        <f t="shared" si="167"/>
        <v>3768</v>
      </c>
      <c r="K720" s="4">
        <f t="shared" si="156"/>
        <v>0.12</v>
      </c>
      <c r="L720">
        <f t="shared" si="157"/>
        <v>7.0000000000000007E-2</v>
      </c>
      <c r="M720" s="4">
        <f t="shared" si="154"/>
        <v>211.61975999999999</v>
      </c>
      <c r="N720" s="4">
        <f t="shared" si="155"/>
        <v>123.44486000000002</v>
      </c>
    </row>
    <row r="721" spans="1:14">
      <c r="A721" t="str">
        <f t="shared" si="158"/>
        <v>alp_AlwaysOn_DBM-Estrutura-2015</v>
      </c>
      <c r="B721" t="str">
        <f t="shared" si="159"/>
        <v>Google Brasil</v>
      </c>
      <c r="C721" t="str">
        <f t="shared" si="160"/>
        <v>always-on-Premium|google|dbm|super-banner-728x90</v>
      </c>
      <c r="D721" t="str">
        <f t="shared" si="161"/>
        <v>125044006</v>
      </c>
      <c r="E721" t="str">
        <f t="shared" si="162"/>
        <v>Default</v>
      </c>
      <c r="F721" t="str">
        <f t="shared" si="163"/>
        <v>728x90 Default Web Ad</v>
      </c>
      <c r="G721" t="str">
        <f t="shared" si="164"/>
        <v>297012945</v>
      </c>
      <c r="H721" t="str">
        <f t="shared" si="165"/>
        <v>Display</v>
      </c>
      <c r="I721">
        <f t="shared" si="166"/>
        <v>23406</v>
      </c>
      <c r="J721">
        <f t="shared" si="167"/>
        <v>49</v>
      </c>
      <c r="K721" s="4">
        <f t="shared" si="156"/>
        <v>0.04</v>
      </c>
      <c r="L721">
        <f t="shared" si="157"/>
        <v>0.09</v>
      </c>
      <c r="M721" s="4">
        <f t="shared" si="154"/>
        <v>0.93623999999999996</v>
      </c>
      <c r="N721" s="4">
        <f t="shared" si="155"/>
        <v>2.1065399999999999</v>
      </c>
    </row>
    <row r="722" spans="1:14">
      <c r="A722" t="str">
        <f t="shared" si="158"/>
        <v>alp_AlwaysOn_DBM-Estrutura-2015</v>
      </c>
      <c r="B722" t="str">
        <f t="shared" si="159"/>
        <v>Google Brasil</v>
      </c>
      <c r="C722" t="str">
        <f t="shared" si="160"/>
        <v>always-on-Premium|google|dbm|super-banner-728x90</v>
      </c>
      <c r="D722" t="str">
        <f t="shared" si="161"/>
        <v>125044006</v>
      </c>
      <c r="E722" t="str">
        <f t="shared" si="162"/>
        <v>DCO</v>
      </c>
      <c r="F722" t="str">
        <f t="shared" si="163"/>
        <v>728x90_GerouLead_Concessionarias_PREMIUM</v>
      </c>
      <c r="G722" t="str">
        <f t="shared" si="164"/>
        <v>297012987</v>
      </c>
      <c r="H722" t="str">
        <f t="shared" si="165"/>
        <v>Rich Media display banner</v>
      </c>
      <c r="I722">
        <f t="shared" si="166"/>
        <v>8664</v>
      </c>
      <c r="J722">
        <f t="shared" si="167"/>
        <v>11</v>
      </c>
      <c r="K722" s="4">
        <f t="shared" si="156"/>
        <v>0.12</v>
      </c>
      <c r="L722">
        <f t="shared" si="157"/>
        <v>7.0000000000000007E-2</v>
      </c>
      <c r="M722" s="4">
        <f t="shared" si="154"/>
        <v>1.0396800000000002</v>
      </c>
      <c r="N722" s="4">
        <f t="shared" si="155"/>
        <v>0.60648000000000002</v>
      </c>
    </row>
    <row r="723" spans="1:14">
      <c r="A723" t="str">
        <f t="shared" si="158"/>
        <v>alp_AlwaysOn_DBM-Estrutura-2015</v>
      </c>
      <c r="B723" t="str">
        <f t="shared" si="159"/>
        <v>Google Brasil</v>
      </c>
      <c r="C723" t="str">
        <f t="shared" si="160"/>
        <v>always-on-Premium|google|dbm|super-banner-728x90</v>
      </c>
      <c r="D723" t="str">
        <f t="shared" si="161"/>
        <v>125044006</v>
      </c>
      <c r="E723" t="str">
        <f t="shared" si="162"/>
        <v>DCO</v>
      </c>
      <c r="F723" t="str">
        <f t="shared" si="163"/>
        <v>728x90_GerouRadar_Radar_PREMIUM</v>
      </c>
      <c r="G723" t="str">
        <f t="shared" si="164"/>
        <v>297013842</v>
      </c>
      <c r="H723" t="str">
        <f t="shared" si="165"/>
        <v>Rich Media display banner</v>
      </c>
      <c r="I723">
        <f t="shared" si="166"/>
        <v>2604</v>
      </c>
      <c r="J723">
        <f t="shared" si="167"/>
        <v>4</v>
      </c>
      <c r="K723" s="4">
        <f t="shared" si="156"/>
        <v>0.12</v>
      </c>
      <c r="L723">
        <f t="shared" si="157"/>
        <v>7.0000000000000007E-2</v>
      </c>
      <c r="M723" s="4">
        <f t="shared" si="154"/>
        <v>0.31247999999999998</v>
      </c>
      <c r="N723" s="4">
        <f t="shared" si="155"/>
        <v>0.18228000000000003</v>
      </c>
    </row>
    <row r="724" spans="1:14">
      <c r="A724" t="str">
        <f t="shared" si="158"/>
        <v>alp_AlwaysOn_DBM-Estrutura-2015</v>
      </c>
      <c r="B724" t="str">
        <f t="shared" si="159"/>
        <v>Google Brasil</v>
      </c>
      <c r="C724" t="str">
        <f t="shared" si="160"/>
        <v>always-on-Premium|google|dbm|super-banner-728x90</v>
      </c>
      <c r="D724" t="str">
        <f t="shared" si="161"/>
        <v>125044006</v>
      </c>
      <c r="E724" t="str">
        <f t="shared" si="162"/>
        <v>DCO</v>
      </c>
      <c r="F724" t="str">
        <f t="shared" si="163"/>
        <v>728x90_Prospeccao_Institucional_Condicoes_Produto_PREMIUM</v>
      </c>
      <c r="G724" t="str">
        <f t="shared" si="164"/>
        <v>297014270</v>
      </c>
      <c r="H724" t="str">
        <f t="shared" si="165"/>
        <v>Rich Media display banner</v>
      </c>
      <c r="I724">
        <f t="shared" si="166"/>
        <v>1967406</v>
      </c>
      <c r="J724">
        <f t="shared" si="167"/>
        <v>5459</v>
      </c>
      <c r="K724" s="4">
        <f t="shared" si="156"/>
        <v>0.12</v>
      </c>
      <c r="L724">
        <f t="shared" si="157"/>
        <v>7.0000000000000007E-2</v>
      </c>
      <c r="M724" s="4">
        <f t="shared" si="154"/>
        <v>236.08872</v>
      </c>
      <c r="N724" s="4">
        <f t="shared" si="155"/>
        <v>137.71842000000001</v>
      </c>
    </row>
    <row r="725" spans="1:14">
      <c r="A725" t="str">
        <f t="shared" si="158"/>
        <v>alp_AlwaysOn_DBM-Estrutura-2015</v>
      </c>
      <c r="B725" t="str">
        <f t="shared" si="159"/>
        <v>Google Brasil</v>
      </c>
      <c r="C725" t="str">
        <f t="shared" si="160"/>
        <v>always-on-Premium|google|dbm|super-banner-728x90</v>
      </c>
      <c r="D725" t="str">
        <f t="shared" si="161"/>
        <v>125044006</v>
      </c>
      <c r="E725" t="str">
        <f t="shared" si="162"/>
        <v>DCO</v>
      </c>
      <c r="F725" t="str">
        <f t="shared" si="163"/>
        <v>728x90_ViuCarro_Features_Intencao_PREMIUM</v>
      </c>
      <c r="G725" t="str">
        <f t="shared" si="164"/>
        <v>302826947</v>
      </c>
      <c r="H725" t="str">
        <f t="shared" si="165"/>
        <v>Rich Media display banner</v>
      </c>
      <c r="I725">
        <f t="shared" si="166"/>
        <v>176730</v>
      </c>
      <c r="J725">
        <f t="shared" si="167"/>
        <v>342</v>
      </c>
      <c r="K725" s="4">
        <f t="shared" si="156"/>
        <v>0.12</v>
      </c>
      <c r="L725">
        <f t="shared" si="157"/>
        <v>7.0000000000000007E-2</v>
      </c>
      <c r="M725" s="4">
        <f t="shared" si="154"/>
        <v>21.207599999999999</v>
      </c>
      <c r="N725" s="4">
        <f t="shared" si="155"/>
        <v>12.3711</v>
      </c>
    </row>
    <row r="726" spans="1:14">
      <c r="A726" t="str">
        <f t="shared" si="158"/>
        <v>alp_AlwaysOn_DBM-Estrutura-2015</v>
      </c>
      <c r="B726" t="str">
        <f t="shared" si="159"/>
        <v>Google Brasil</v>
      </c>
      <c r="C726" t="str">
        <f t="shared" si="160"/>
        <v>always-on-Premium|google|dbm|super-banner-728x90</v>
      </c>
      <c r="D726" t="str">
        <f t="shared" si="161"/>
        <v>125044006</v>
      </c>
      <c r="E726" t="str">
        <f t="shared" si="162"/>
        <v>DCO</v>
      </c>
      <c r="F726" t="str">
        <f t="shared" si="163"/>
        <v>728x90_ViuCarro_Features_PREMIUM</v>
      </c>
      <c r="G726" t="str">
        <f t="shared" si="164"/>
        <v>297014528</v>
      </c>
      <c r="H726" t="str">
        <f t="shared" si="165"/>
        <v>Rich Media display banner</v>
      </c>
      <c r="I726">
        <f t="shared" si="166"/>
        <v>840710</v>
      </c>
      <c r="J726">
        <f t="shared" si="167"/>
        <v>897</v>
      </c>
      <c r="K726" s="4">
        <f t="shared" si="156"/>
        <v>0.12</v>
      </c>
      <c r="L726">
        <f t="shared" si="157"/>
        <v>7.0000000000000007E-2</v>
      </c>
      <c r="M726" s="4">
        <f t="shared" si="154"/>
        <v>100.8852</v>
      </c>
      <c r="N726" s="4">
        <f t="shared" si="155"/>
        <v>58.849700000000006</v>
      </c>
    </row>
    <row r="727" spans="1:14">
      <c r="A727" t="str">
        <f t="shared" si="158"/>
        <v>alp_AlwaysOn_DBM-Estrutura-2015</v>
      </c>
      <c r="B727" t="str">
        <f t="shared" si="159"/>
        <v>Google Brasil</v>
      </c>
      <c r="C727" t="str">
        <f t="shared" si="160"/>
        <v>always-on-Volume|google|dbm|120x600</v>
      </c>
      <c r="D727" t="str">
        <f t="shared" si="161"/>
        <v>125065533</v>
      </c>
      <c r="E727" t="str">
        <f t="shared" si="162"/>
        <v>Default</v>
      </c>
      <c r="F727" t="str">
        <f t="shared" si="163"/>
        <v>120x600 Default Web Ad</v>
      </c>
      <c r="G727" t="str">
        <f t="shared" si="164"/>
        <v>297951980</v>
      </c>
      <c r="H727" t="str">
        <f t="shared" si="165"/>
        <v>Display</v>
      </c>
      <c r="I727">
        <f t="shared" si="166"/>
        <v>6761</v>
      </c>
      <c r="J727">
        <f t="shared" si="167"/>
        <v>6</v>
      </c>
      <c r="K727" s="4">
        <f t="shared" si="156"/>
        <v>0.04</v>
      </c>
      <c r="L727">
        <f t="shared" si="157"/>
        <v>0.09</v>
      </c>
      <c r="M727" s="4">
        <f t="shared" si="154"/>
        <v>0.27044000000000001</v>
      </c>
      <c r="N727" s="4">
        <f t="shared" si="155"/>
        <v>0.60848999999999998</v>
      </c>
    </row>
    <row r="728" spans="1:14">
      <c r="A728" t="str">
        <f t="shared" si="158"/>
        <v>alp_AlwaysOn_DBM-Estrutura-2015</v>
      </c>
      <c r="B728" t="str">
        <f t="shared" si="159"/>
        <v>Google Brasil</v>
      </c>
      <c r="C728" t="str">
        <f t="shared" si="160"/>
        <v>always-on-Volume|google|dbm|120x600</v>
      </c>
      <c r="D728" t="str">
        <f t="shared" si="161"/>
        <v>125065533</v>
      </c>
      <c r="E728" t="str">
        <f t="shared" si="162"/>
        <v>DCO</v>
      </c>
      <c r="F728" t="str">
        <f t="shared" si="163"/>
        <v>120x600_GerouLead_Concessionarias_VOLUME</v>
      </c>
      <c r="G728" t="str">
        <f t="shared" si="164"/>
        <v>299651850</v>
      </c>
      <c r="H728" t="str">
        <f t="shared" si="165"/>
        <v>Rich Media display banner</v>
      </c>
      <c r="I728">
        <f t="shared" si="166"/>
        <v>1332</v>
      </c>
      <c r="J728">
        <f t="shared" si="167"/>
        <v>3</v>
      </c>
      <c r="K728" s="4">
        <f t="shared" si="156"/>
        <v>0.12</v>
      </c>
      <c r="L728">
        <f t="shared" si="157"/>
        <v>7.0000000000000007E-2</v>
      </c>
      <c r="M728" s="4">
        <f t="shared" si="154"/>
        <v>0.15984000000000001</v>
      </c>
      <c r="N728" s="4">
        <f t="shared" si="155"/>
        <v>9.3240000000000003E-2</v>
      </c>
    </row>
    <row r="729" spans="1:14">
      <c r="A729" t="str">
        <f t="shared" si="158"/>
        <v>alp_AlwaysOn_DBM-Estrutura-2015</v>
      </c>
      <c r="B729" t="str">
        <f t="shared" si="159"/>
        <v>Google Brasil</v>
      </c>
      <c r="C729" t="str">
        <f t="shared" si="160"/>
        <v>always-on-Volume|google|dbm|120x600</v>
      </c>
      <c r="D729" t="str">
        <f t="shared" si="161"/>
        <v>125065533</v>
      </c>
      <c r="E729" t="str">
        <f t="shared" si="162"/>
        <v>DCO</v>
      </c>
      <c r="F729" t="str">
        <f t="shared" si="163"/>
        <v>120x600_GerouRadar_Radar_VOLUME</v>
      </c>
      <c r="G729" t="str">
        <f t="shared" si="164"/>
        <v>299651848</v>
      </c>
      <c r="H729" t="str">
        <f t="shared" si="165"/>
        <v>Rich Media display banner</v>
      </c>
      <c r="I729">
        <f t="shared" si="166"/>
        <v>454</v>
      </c>
      <c r="J729">
        <f t="shared" si="167"/>
        <v>0</v>
      </c>
      <c r="K729" s="4">
        <f t="shared" si="156"/>
        <v>0.12</v>
      </c>
      <c r="L729">
        <f t="shared" si="157"/>
        <v>7.0000000000000007E-2</v>
      </c>
      <c r="M729" s="4">
        <f t="shared" si="154"/>
        <v>5.4479999999999994E-2</v>
      </c>
      <c r="N729" s="4">
        <f t="shared" si="155"/>
        <v>3.1780000000000003E-2</v>
      </c>
    </row>
    <row r="730" spans="1:14">
      <c r="A730" t="str">
        <f t="shared" si="158"/>
        <v>alp_AlwaysOn_DBM-Estrutura-2015</v>
      </c>
      <c r="B730" t="str">
        <f t="shared" si="159"/>
        <v>Google Brasil</v>
      </c>
      <c r="C730" t="str">
        <f t="shared" si="160"/>
        <v>always-on-Volume|google|dbm|120x600</v>
      </c>
      <c r="D730" t="str">
        <f t="shared" si="161"/>
        <v>125065533</v>
      </c>
      <c r="E730" t="str">
        <f t="shared" si="162"/>
        <v>DCO</v>
      </c>
      <c r="F730" t="str">
        <f t="shared" si="163"/>
        <v>120x600_Prospeccao_Institucional_Condicoes_Produto_VOLUME</v>
      </c>
      <c r="G730" t="str">
        <f t="shared" si="164"/>
        <v>299651846</v>
      </c>
      <c r="H730" t="str">
        <f t="shared" si="165"/>
        <v>Rich Media display banner</v>
      </c>
      <c r="I730">
        <f t="shared" si="166"/>
        <v>803148</v>
      </c>
      <c r="J730">
        <f t="shared" si="167"/>
        <v>824</v>
      </c>
      <c r="K730" s="4">
        <f t="shared" si="156"/>
        <v>0.12</v>
      </c>
      <c r="L730">
        <f t="shared" si="157"/>
        <v>7.0000000000000007E-2</v>
      </c>
      <c r="M730" s="4">
        <f t="shared" si="154"/>
        <v>96.377759999999995</v>
      </c>
      <c r="N730" s="4">
        <f t="shared" si="155"/>
        <v>56.220360000000007</v>
      </c>
    </row>
    <row r="731" spans="1:14">
      <c r="A731" t="str">
        <f t="shared" si="158"/>
        <v>alp_AlwaysOn_DBM-Estrutura-2015</v>
      </c>
      <c r="B731" t="str">
        <f t="shared" si="159"/>
        <v>Google Brasil</v>
      </c>
      <c r="C731" t="str">
        <f t="shared" si="160"/>
        <v>always-on-Volume|google|dbm|120x600</v>
      </c>
      <c r="D731" t="str">
        <f t="shared" si="161"/>
        <v>125065533</v>
      </c>
      <c r="E731" t="str">
        <f t="shared" si="162"/>
        <v>DCO</v>
      </c>
      <c r="F731" t="str">
        <f t="shared" si="163"/>
        <v>120x600_ViuCarro_Features_Intencao_VOLUME</v>
      </c>
      <c r="G731" t="str">
        <f t="shared" si="164"/>
        <v>302822410</v>
      </c>
      <c r="H731" t="str">
        <f t="shared" si="165"/>
        <v>Rich Media display banner</v>
      </c>
      <c r="I731">
        <f t="shared" si="166"/>
        <v>33842</v>
      </c>
      <c r="J731">
        <f t="shared" si="167"/>
        <v>39</v>
      </c>
      <c r="K731" s="4">
        <f t="shared" si="156"/>
        <v>0.12</v>
      </c>
      <c r="L731">
        <f t="shared" si="157"/>
        <v>7.0000000000000007E-2</v>
      </c>
      <c r="M731" s="4">
        <f t="shared" si="154"/>
        <v>4.0610400000000002</v>
      </c>
      <c r="N731" s="4">
        <f t="shared" si="155"/>
        <v>2.3689400000000003</v>
      </c>
    </row>
    <row r="732" spans="1:14">
      <c r="A732" t="str">
        <f t="shared" si="158"/>
        <v>alp_AlwaysOn_DBM-Estrutura-2015</v>
      </c>
      <c r="B732" t="str">
        <f t="shared" si="159"/>
        <v>Google Brasil</v>
      </c>
      <c r="C732" t="str">
        <f t="shared" si="160"/>
        <v>always-on-Volume|google|dbm|120x600</v>
      </c>
      <c r="D732" t="str">
        <f t="shared" si="161"/>
        <v>125065533</v>
      </c>
      <c r="E732" t="str">
        <f t="shared" si="162"/>
        <v>DCO</v>
      </c>
      <c r="F732" t="str">
        <f t="shared" si="163"/>
        <v>120x600_ViuCarro_Features_VOLUME</v>
      </c>
      <c r="G732" t="str">
        <f t="shared" si="164"/>
        <v>299651847</v>
      </c>
      <c r="H732" t="str">
        <f t="shared" si="165"/>
        <v>Rich Media display banner</v>
      </c>
      <c r="I732">
        <f t="shared" si="166"/>
        <v>164775</v>
      </c>
      <c r="J732">
        <f t="shared" si="167"/>
        <v>110</v>
      </c>
      <c r="K732" s="4">
        <f t="shared" si="156"/>
        <v>0.12</v>
      </c>
      <c r="L732">
        <f t="shared" si="157"/>
        <v>7.0000000000000007E-2</v>
      </c>
      <c r="M732" s="4">
        <f t="shared" si="154"/>
        <v>19.773</v>
      </c>
      <c r="N732" s="4">
        <f t="shared" si="155"/>
        <v>11.534250000000002</v>
      </c>
    </row>
    <row r="733" spans="1:14">
      <c r="A733" t="str">
        <f t="shared" si="158"/>
        <v>alp_AlwaysOn_DBM-Estrutura-2015</v>
      </c>
      <c r="B733" t="str">
        <f t="shared" si="159"/>
        <v>Google Brasil</v>
      </c>
      <c r="C733" t="str">
        <f t="shared" si="160"/>
        <v>always-on-Volume|google|dbm|160x600</v>
      </c>
      <c r="D733" t="str">
        <f t="shared" si="161"/>
        <v>125063540</v>
      </c>
      <c r="E733" t="str">
        <f t="shared" si="162"/>
        <v>Default</v>
      </c>
      <c r="F733" t="str">
        <f t="shared" si="163"/>
        <v>160x600 Default Web Ad</v>
      </c>
      <c r="G733" t="str">
        <f t="shared" si="164"/>
        <v>297953405</v>
      </c>
      <c r="H733" t="str">
        <f t="shared" si="165"/>
        <v>Display</v>
      </c>
      <c r="I733">
        <f t="shared" si="166"/>
        <v>7740</v>
      </c>
      <c r="J733">
        <f t="shared" si="167"/>
        <v>15</v>
      </c>
      <c r="K733" s="4">
        <f t="shared" si="156"/>
        <v>0.04</v>
      </c>
      <c r="L733">
        <f t="shared" si="157"/>
        <v>0.09</v>
      </c>
      <c r="M733" s="4">
        <f t="shared" si="154"/>
        <v>0.30960000000000004</v>
      </c>
      <c r="N733" s="4">
        <f t="shared" si="155"/>
        <v>0.6966</v>
      </c>
    </row>
    <row r="734" spans="1:14">
      <c r="A734" t="str">
        <f t="shared" si="158"/>
        <v>alp_AlwaysOn_DBM-Estrutura-2015</v>
      </c>
      <c r="B734" t="str">
        <f t="shared" si="159"/>
        <v>Google Brasil</v>
      </c>
      <c r="C734" t="str">
        <f t="shared" si="160"/>
        <v>always-on-Volume|google|dbm|160x600</v>
      </c>
      <c r="D734" t="str">
        <f t="shared" si="161"/>
        <v>125063540</v>
      </c>
      <c r="E734" t="str">
        <f t="shared" si="162"/>
        <v>DCO</v>
      </c>
      <c r="F734" t="str">
        <f t="shared" si="163"/>
        <v>160x600_GerouLead_Concessionarias_VOLUME</v>
      </c>
      <c r="G734" t="str">
        <f t="shared" si="164"/>
        <v>299687461</v>
      </c>
      <c r="H734" t="str">
        <f t="shared" si="165"/>
        <v>Rich Media display banner</v>
      </c>
      <c r="I734">
        <f t="shared" si="166"/>
        <v>6316</v>
      </c>
      <c r="J734">
        <f t="shared" si="167"/>
        <v>13</v>
      </c>
      <c r="K734" s="4">
        <f t="shared" si="156"/>
        <v>0.12</v>
      </c>
      <c r="L734">
        <f t="shared" si="157"/>
        <v>7.0000000000000007E-2</v>
      </c>
      <c r="M734" s="4">
        <f t="shared" si="154"/>
        <v>0.75791999999999993</v>
      </c>
      <c r="N734" s="4">
        <f t="shared" si="155"/>
        <v>0.44212000000000007</v>
      </c>
    </row>
    <row r="735" spans="1:14">
      <c r="A735" t="str">
        <f t="shared" si="158"/>
        <v>alp_AlwaysOn_DBM-Estrutura-2015</v>
      </c>
      <c r="B735" t="str">
        <f t="shared" si="159"/>
        <v>Google Brasil</v>
      </c>
      <c r="C735" t="str">
        <f t="shared" si="160"/>
        <v>always-on-Volume|google|dbm|160x600</v>
      </c>
      <c r="D735" t="str">
        <f t="shared" si="161"/>
        <v>125063540</v>
      </c>
      <c r="E735" t="str">
        <f t="shared" si="162"/>
        <v>DCO</v>
      </c>
      <c r="F735" t="str">
        <f t="shared" si="163"/>
        <v>160x600_GerouRadar_Radar_VOLUME</v>
      </c>
      <c r="G735" t="str">
        <f t="shared" si="164"/>
        <v>299687457</v>
      </c>
      <c r="H735" t="str">
        <f t="shared" si="165"/>
        <v>Rich Media display banner</v>
      </c>
      <c r="I735">
        <f t="shared" si="166"/>
        <v>1695</v>
      </c>
      <c r="J735">
        <f t="shared" si="167"/>
        <v>13</v>
      </c>
      <c r="K735" s="4">
        <f t="shared" si="156"/>
        <v>0.12</v>
      </c>
      <c r="L735">
        <f t="shared" si="157"/>
        <v>7.0000000000000007E-2</v>
      </c>
      <c r="M735" s="4">
        <f t="shared" si="154"/>
        <v>0.2034</v>
      </c>
      <c r="N735" s="4">
        <f t="shared" si="155"/>
        <v>0.11865000000000001</v>
      </c>
    </row>
    <row r="736" spans="1:14">
      <c r="A736" t="str">
        <f t="shared" si="158"/>
        <v>alp_AlwaysOn_DBM-Estrutura-2015</v>
      </c>
      <c r="B736" t="str">
        <f t="shared" si="159"/>
        <v>Google Brasil</v>
      </c>
      <c r="C736" t="str">
        <f t="shared" si="160"/>
        <v>always-on-Volume|google|dbm|160x600</v>
      </c>
      <c r="D736" t="str">
        <f t="shared" si="161"/>
        <v>125063540</v>
      </c>
      <c r="E736" t="str">
        <f t="shared" si="162"/>
        <v>DCO</v>
      </c>
      <c r="F736" t="str">
        <f t="shared" si="163"/>
        <v>160x600_Prospeccao_Institucional_Condicoes_Produto_VOLUME</v>
      </c>
      <c r="G736" t="str">
        <f t="shared" si="164"/>
        <v>299687460</v>
      </c>
      <c r="H736" t="str">
        <f t="shared" si="165"/>
        <v>Rich Media display banner</v>
      </c>
      <c r="I736">
        <f t="shared" si="166"/>
        <v>1024035</v>
      </c>
      <c r="J736">
        <f t="shared" si="167"/>
        <v>1649</v>
      </c>
      <c r="K736" s="4">
        <f t="shared" si="156"/>
        <v>0.12</v>
      </c>
      <c r="L736">
        <f t="shared" si="157"/>
        <v>7.0000000000000007E-2</v>
      </c>
      <c r="M736" s="4">
        <f t="shared" si="154"/>
        <v>122.88419999999999</v>
      </c>
      <c r="N736" s="4">
        <f t="shared" si="155"/>
        <v>71.682450000000017</v>
      </c>
    </row>
    <row r="737" spans="1:14">
      <c r="A737" t="str">
        <f t="shared" si="158"/>
        <v>alp_AlwaysOn_DBM-Estrutura-2015</v>
      </c>
      <c r="B737" t="str">
        <f t="shared" si="159"/>
        <v>Google Brasil</v>
      </c>
      <c r="C737" t="str">
        <f t="shared" si="160"/>
        <v>always-on-Volume|google|dbm|160x600</v>
      </c>
      <c r="D737" t="str">
        <f t="shared" si="161"/>
        <v>125063540</v>
      </c>
      <c r="E737" t="str">
        <f t="shared" si="162"/>
        <v>DCO</v>
      </c>
      <c r="F737" t="str">
        <f t="shared" si="163"/>
        <v>160x600_ViuCarro_Features_Intencao_VOLUME</v>
      </c>
      <c r="G737" t="str">
        <f t="shared" si="164"/>
        <v>302821966</v>
      </c>
      <c r="H737" t="str">
        <f t="shared" si="165"/>
        <v>Rich Media display banner</v>
      </c>
      <c r="I737">
        <f t="shared" si="166"/>
        <v>71242</v>
      </c>
      <c r="J737">
        <f t="shared" si="167"/>
        <v>157</v>
      </c>
      <c r="K737" s="4">
        <f t="shared" si="156"/>
        <v>0.12</v>
      </c>
      <c r="L737">
        <f t="shared" si="157"/>
        <v>7.0000000000000007E-2</v>
      </c>
      <c r="M737" s="4">
        <f t="shared" si="154"/>
        <v>8.5490399999999998</v>
      </c>
      <c r="N737" s="4">
        <f t="shared" si="155"/>
        <v>4.9869400000000006</v>
      </c>
    </row>
    <row r="738" spans="1:14">
      <c r="A738" t="str">
        <f t="shared" si="158"/>
        <v>alp_AlwaysOn_DBM-Estrutura-2015</v>
      </c>
      <c r="B738" t="str">
        <f t="shared" si="159"/>
        <v>Google Brasil</v>
      </c>
      <c r="C738" t="str">
        <f t="shared" si="160"/>
        <v>always-on-Volume|google|dbm|160x600</v>
      </c>
      <c r="D738" t="str">
        <f t="shared" si="161"/>
        <v>125063540</v>
      </c>
      <c r="E738" t="str">
        <f t="shared" si="162"/>
        <v>DCO</v>
      </c>
      <c r="F738" t="str">
        <f t="shared" si="163"/>
        <v>160x600_ViuCarro_Features_VOLUME</v>
      </c>
      <c r="G738" t="str">
        <f t="shared" si="164"/>
        <v>299687458</v>
      </c>
      <c r="H738" t="str">
        <f t="shared" si="165"/>
        <v>Rich Media display banner</v>
      </c>
      <c r="I738">
        <f t="shared" si="166"/>
        <v>268361</v>
      </c>
      <c r="J738">
        <f t="shared" si="167"/>
        <v>376</v>
      </c>
      <c r="K738" s="4">
        <f t="shared" si="156"/>
        <v>0.12</v>
      </c>
      <c r="L738">
        <f t="shared" si="157"/>
        <v>7.0000000000000007E-2</v>
      </c>
      <c r="M738" s="4">
        <f t="shared" ref="M738:M801" si="168">IF(E738="Dynamic Click",J738*K738,K738*$I738/1000)</f>
        <v>32.203319999999998</v>
      </c>
      <c r="N738" s="4">
        <f t="shared" ref="N738:N801" si="169">IF(E738="Dynamic Click",J738*L738,L738*$I738/1000)</f>
        <v>18.785270000000001</v>
      </c>
    </row>
    <row r="739" spans="1:14">
      <c r="A739" t="str">
        <f t="shared" si="158"/>
        <v>alp_AlwaysOn_DBM-Estrutura-2015</v>
      </c>
      <c r="B739" t="str">
        <f t="shared" si="159"/>
        <v>Google Brasil</v>
      </c>
      <c r="C739" t="str">
        <f t="shared" si="160"/>
        <v>always-on-Volume|google|dbm|300x50</v>
      </c>
      <c r="D739" t="str">
        <f t="shared" si="161"/>
        <v>125065543</v>
      </c>
      <c r="E739" t="str">
        <f t="shared" si="162"/>
        <v>Default</v>
      </c>
      <c r="F739" t="str">
        <f t="shared" si="163"/>
        <v>300x50 Default Web Ad</v>
      </c>
      <c r="G739" t="str">
        <f t="shared" si="164"/>
        <v>297953347</v>
      </c>
      <c r="H739" t="str">
        <f t="shared" si="165"/>
        <v>Display</v>
      </c>
      <c r="I739">
        <f t="shared" si="166"/>
        <v>20497</v>
      </c>
      <c r="J739">
        <f t="shared" si="167"/>
        <v>11</v>
      </c>
      <c r="K739" s="4">
        <f t="shared" si="156"/>
        <v>0.04</v>
      </c>
      <c r="L739">
        <f t="shared" si="157"/>
        <v>0.09</v>
      </c>
      <c r="M739" s="4">
        <f t="shared" si="168"/>
        <v>0.81987999999999994</v>
      </c>
      <c r="N739" s="4">
        <f t="shared" si="169"/>
        <v>1.84473</v>
      </c>
    </row>
    <row r="740" spans="1:14">
      <c r="A740" t="str">
        <f t="shared" si="158"/>
        <v>alp_AlwaysOn_DBM-Estrutura-2015</v>
      </c>
      <c r="B740" t="str">
        <f t="shared" si="159"/>
        <v>Google Brasil</v>
      </c>
      <c r="C740" t="str">
        <f t="shared" si="160"/>
        <v>always-on-Volume|google|dbm|300x50</v>
      </c>
      <c r="D740" t="str">
        <f t="shared" si="161"/>
        <v>125065543</v>
      </c>
      <c r="E740" t="str">
        <f t="shared" si="162"/>
        <v>DCO</v>
      </c>
      <c r="F740" t="str">
        <f t="shared" si="163"/>
        <v>300x50_GerouLead_Concessionarias_VOLUME</v>
      </c>
      <c r="G740" t="str">
        <f t="shared" si="164"/>
        <v>299686769</v>
      </c>
      <c r="H740" t="str">
        <f t="shared" si="165"/>
        <v>Rich Media display banner</v>
      </c>
      <c r="I740">
        <f t="shared" si="166"/>
        <v>3399</v>
      </c>
      <c r="J740">
        <f t="shared" si="167"/>
        <v>8</v>
      </c>
      <c r="K740" s="4">
        <f t="shared" si="156"/>
        <v>0.12</v>
      </c>
      <c r="L740">
        <f t="shared" si="157"/>
        <v>7.0000000000000007E-2</v>
      </c>
      <c r="M740" s="4">
        <f t="shared" si="168"/>
        <v>0.40788000000000002</v>
      </c>
      <c r="N740" s="4">
        <f t="shared" si="169"/>
        <v>0.23793000000000003</v>
      </c>
    </row>
    <row r="741" spans="1:14">
      <c r="A741" t="str">
        <f t="shared" si="158"/>
        <v>alp_AlwaysOn_DBM-Estrutura-2015</v>
      </c>
      <c r="B741" t="str">
        <f t="shared" si="159"/>
        <v>Google Brasil</v>
      </c>
      <c r="C741" t="str">
        <f t="shared" si="160"/>
        <v>always-on-Volume|google|dbm|300x50</v>
      </c>
      <c r="D741" t="str">
        <f t="shared" si="161"/>
        <v>125065543</v>
      </c>
      <c r="E741" t="str">
        <f t="shared" si="162"/>
        <v>DCO</v>
      </c>
      <c r="F741" t="str">
        <f t="shared" si="163"/>
        <v>300x50_GerouRadar_Radar_VOLUME</v>
      </c>
      <c r="G741" t="str">
        <f t="shared" si="164"/>
        <v>299686767</v>
      </c>
      <c r="H741" t="str">
        <f t="shared" si="165"/>
        <v>Rich Media display banner</v>
      </c>
      <c r="I741">
        <f t="shared" si="166"/>
        <v>2896</v>
      </c>
      <c r="J741">
        <f t="shared" si="167"/>
        <v>9</v>
      </c>
      <c r="K741" s="4">
        <f t="shared" si="156"/>
        <v>0.12</v>
      </c>
      <c r="L741">
        <f t="shared" si="157"/>
        <v>7.0000000000000007E-2</v>
      </c>
      <c r="M741" s="4">
        <f t="shared" si="168"/>
        <v>0.34752</v>
      </c>
      <c r="N741" s="4">
        <f t="shared" si="169"/>
        <v>0.20272000000000004</v>
      </c>
    </row>
    <row r="742" spans="1:14">
      <c r="A742" t="str">
        <f t="shared" si="158"/>
        <v>alp_AlwaysOn_DBM-Estrutura-2015</v>
      </c>
      <c r="B742" t="str">
        <f t="shared" si="159"/>
        <v>Google Brasil</v>
      </c>
      <c r="C742" t="str">
        <f t="shared" si="160"/>
        <v>always-on-Volume|google|dbm|300x50</v>
      </c>
      <c r="D742" t="str">
        <f t="shared" si="161"/>
        <v>125065543</v>
      </c>
      <c r="E742" t="str">
        <f t="shared" si="162"/>
        <v>DCO</v>
      </c>
      <c r="F742" t="str">
        <f t="shared" si="163"/>
        <v>300x50_Prospeccao_Institucional_Condicoes_Produto_VOLUME</v>
      </c>
      <c r="G742" t="str">
        <f t="shared" si="164"/>
        <v>299686776</v>
      </c>
      <c r="H742" t="str">
        <f t="shared" si="165"/>
        <v>Rich Media display banner</v>
      </c>
      <c r="I742">
        <f t="shared" si="166"/>
        <v>7275666</v>
      </c>
      <c r="J742">
        <f t="shared" si="167"/>
        <v>5551</v>
      </c>
      <c r="K742" s="4">
        <f t="shared" si="156"/>
        <v>0.12</v>
      </c>
      <c r="L742">
        <f t="shared" si="157"/>
        <v>7.0000000000000007E-2</v>
      </c>
      <c r="M742" s="4">
        <f t="shared" si="168"/>
        <v>873.0799199999999</v>
      </c>
      <c r="N742" s="4">
        <f t="shared" si="169"/>
        <v>509.29662000000008</v>
      </c>
    </row>
    <row r="743" spans="1:14">
      <c r="A743" t="str">
        <f t="shared" si="158"/>
        <v>alp_AlwaysOn_DBM-Estrutura-2015</v>
      </c>
      <c r="B743" t="str">
        <f t="shared" si="159"/>
        <v>Google Brasil</v>
      </c>
      <c r="C743" t="str">
        <f t="shared" si="160"/>
        <v>always-on-Volume|google|dbm|300x50</v>
      </c>
      <c r="D743" t="str">
        <f t="shared" si="161"/>
        <v>125065543</v>
      </c>
      <c r="E743" t="str">
        <f t="shared" si="162"/>
        <v>DCO</v>
      </c>
      <c r="F743" t="str">
        <f t="shared" si="163"/>
        <v>300x50_ViuCarro_Features_Intencao_VOLUME</v>
      </c>
      <c r="G743" t="str">
        <f t="shared" si="164"/>
        <v>302823735</v>
      </c>
      <c r="H743" t="str">
        <f t="shared" si="165"/>
        <v>Rich Media display banner</v>
      </c>
      <c r="I743">
        <f t="shared" si="166"/>
        <v>60191</v>
      </c>
      <c r="J743">
        <f t="shared" si="167"/>
        <v>219</v>
      </c>
      <c r="K743" s="4">
        <f t="shared" si="156"/>
        <v>0.12</v>
      </c>
      <c r="L743">
        <f t="shared" si="157"/>
        <v>7.0000000000000007E-2</v>
      </c>
      <c r="M743" s="4">
        <f t="shared" si="168"/>
        <v>7.2229200000000002</v>
      </c>
      <c r="N743" s="4">
        <f t="shared" si="169"/>
        <v>4.2133700000000012</v>
      </c>
    </row>
    <row r="744" spans="1:14">
      <c r="A744" t="str">
        <f t="shared" si="158"/>
        <v>alp_AlwaysOn_DBM-Estrutura-2015</v>
      </c>
      <c r="B744" t="str">
        <f t="shared" si="159"/>
        <v>Google Brasil</v>
      </c>
      <c r="C744" t="str">
        <f t="shared" si="160"/>
        <v>always-on-Volume|google|dbm|300x50</v>
      </c>
      <c r="D744" t="str">
        <f t="shared" si="161"/>
        <v>125065543</v>
      </c>
      <c r="E744" t="str">
        <f t="shared" si="162"/>
        <v>DCO</v>
      </c>
      <c r="F744" t="str">
        <f t="shared" si="163"/>
        <v>300x50_ViuCarro_Features_VOLUME</v>
      </c>
      <c r="G744" t="str">
        <f t="shared" si="164"/>
        <v>299686774</v>
      </c>
      <c r="H744" t="str">
        <f t="shared" si="165"/>
        <v>Rich Media display banner</v>
      </c>
      <c r="I744">
        <f t="shared" si="166"/>
        <v>376954</v>
      </c>
      <c r="J744">
        <f t="shared" si="167"/>
        <v>641</v>
      </c>
      <c r="K744" s="4">
        <f t="shared" si="156"/>
        <v>0.12</v>
      </c>
      <c r="L744">
        <f t="shared" si="157"/>
        <v>7.0000000000000007E-2</v>
      </c>
      <c r="M744" s="4">
        <f t="shared" si="168"/>
        <v>45.234479999999998</v>
      </c>
      <c r="N744" s="4">
        <f t="shared" si="169"/>
        <v>26.386780000000002</v>
      </c>
    </row>
    <row r="745" spans="1:14">
      <c r="A745" t="str">
        <f t="shared" si="158"/>
        <v>alp_AlwaysOn_DBM-Estrutura-2015</v>
      </c>
      <c r="B745" t="str">
        <f t="shared" si="159"/>
        <v>Google Brasil</v>
      </c>
      <c r="C745" t="str">
        <f t="shared" si="160"/>
        <v>always-on-Volume|google|dbm|320x50</v>
      </c>
      <c r="D745" t="str">
        <f t="shared" si="161"/>
        <v>125060846</v>
      </c>
      <c r="E745" t="str">
        <f t="shared" si="162"/>
        <v>Default</v>
      </c>
      <c r="F745" t="str">
        <f t="shared" si="163"/>
        <v>320x50 Default Web Ad</v>
      </c>
      <c r="G745" t="str">
        <f t="shared" si="164"/>
        <v>297946946</v>
      </c>
      <c r="H745" t="str">
        <f t="shared" si="165"/>
        <v>Display</v>
      </c>
      <c r="I745">
        <f t="shared" si="166"/>
        <v>51753</v>
      </c>
      <c r="J745">
        <f t="shared" si="167"/>
        <v>130</v>
      </c>
      <c r="K745" s="4">
        <f t="shared" si="156"/>
        <v>0.04</v>
      </c>
      <c r="L745">
        <f t="shared" si="157"/>
        <v>0.09</v>
      </c>
      <c r="M745" s="4">
        <f t="shared" si="168"/>
        <v>2.0701199999999997</v>
      </c>
      <c r="N745" s="4">
        <f t="shared" si="169"/>
        <v>4.6577699999999993</v>
      </c>
    </row>
    <row r="746" spans="1:14">
      <c r="A746" t="str">
        <f t="shared" si="158"/>
        <v>alp_AlwaysOn_DBM-Estrutura-2015</v>
      </c>
      <c r="B746" t="str">
        <f t="shared" si="159"/>
        <v>Google Brasil</v>
      </c>
      <c r="C746" t="str">
        <f t="shared" si="160"/>
        <v>always-on-Volume|google|dbm|320x50</v>
      </c>
      <c r="D746" t="str">
        <f t="shared" si="161"/>
        <v>125060846</v>
      </c>
      <c r="E746" t="str">
        <f t="shared" si="162"/>
        <v>DCO</v>
      </c>
      <c r="F746" t="str">
        <f t="shared" si="163"/>
        <v>320x50_GerouLead_Concessionarias_VOLUME</v>
      </c>
      <c r="G746" t="str">
        <f t="shared" si="164"/>
        <v>299687004</v>
      </c>
      <c r="H746" t="str">
        <f t="shared" si="165"/>
        <v>Rich Media display banner</v>
      </c>
      <c r="I746">
        <f t="shared" si="166"/>
        <v>11781</v>
      </c>
      <c r="J746">
        <f t="shared" si="167"/>
        <v>26</v>
      </c>
      <c r="K746" s="4">
        <f t="shared" si="156"/>
        <v>0.12</v>
      </c>
      <c r="L746">
        <f t="shared" si="157"/>
        <v>7.0000000000000007E-2</v>
      </c>
      <c r="M746" s="4">
        <f t="shared" si="168"/>
        <v>1.4137200000000001</v>
      </c>
      <c r="N746" s="4">
        <f t="shared" si="169"/>
        <v>0.82467000000000013</v>
      </c>
    </row>
    <row r="747" spans="1:14">
      <c r="A747" t="str">
        <f t="shared" si="158"/>
        <v>alp_AlwaysOn_DBM-Estrutura-2015</v>
      </c>
      <c r="B747" t="str">
        <f t="shared" si="159"/>
        <v>Google Brasil</v>
      </c>
      <c r="C747" t="str">
        <f t="shared" si="160"/>
        <v>always-on-Volume|google|dbm|320x50</v>
      </c>
      <c r="D747" t="str">
        <f t="shared" si="161"/>
        <v>125060846</v>
      </c>
      <c r="E747" t="str">
        <f t="shared" si="162"/>
        <v>DCO</v>
      </c>
      <c r="F747" t="str">
        <f t="shared" si="163"/>
        <v>320x50_GerouRadar_Radar_VOLUME</v>
      </c>
      <c r="G747" t="str">
        <f t="shared" si="164"/>
        <v>299687005</v>
      </c>
      <c r="H747" t="str">
        <f t="shared" si="165"/>
        <v>Rich Media display banner</v>
      </c>
      <c r="I747">
        <f t="shared" si="166"/>
        <v>8916</v>
      </c>
      <c r="J747">
        <f t="shared" si="167"/>
        <v>30</v>
      </c>
      <c r="K747" s="4">
        <f t="shared" si="156"/>
        <v>0.12</v>
      </c>
      <c r="L747">
        <f t="shared" si="157"/>
        <v>7.0000000000000007E-2</v>
      </c>
      <c r="M747" s="4">
        <f t="shared" si="168"/>
        <v>1.06992</v>
      </c>
      <c r="N747" s="4">
        <f t="shared" si="169"/>
        <v>0.62412000000000001</v>
      </c>
    </row>
    <row r="748" spans="1:14">
      <c r="A748" t="str">
        <f t="shared" si="158"/>
        <v>alp_AlwaysOn_DBM-Estrutura-2015</v>
      </c>
      <c r="B748" t="str">
        <f t="shared" si="159"/>
        <v>Google Brasil</v>
      </c>
      <c r="C748" t="str">
        <f t="shared" si="160"/>
        <v>always-on-Volume|google|dbm|320x50</v>
      </c>
      <c r="D748" t="str">
        <f t="shared" si="161"/>
        <v>125060846</v>
      </c>
      <c r="E748" t="str">
        <f t="shared" si="162"/>
        <v>DCO</v>
      </c>
      <c r="F748" t="str">
        <f t="shared" si="163"/>
        <v>320x50_Prospeccao_Institucional_Condicoes_Produto_VOLUME</v>
      </c>
      <c r="G748" t="str">
        <f t="shared" si="164"/>
        <v>299687000</v>
      </c>
      <c r="H748" t="str">
        <f t="shared" si="165"/>
        <v>Rich Media display banner</v>
      </c>
      <c r="I748">
        <f t="shared" si="166"/>
        <v>29119253</v>
      </c>
      <c r="J748">
        <f t="shared" si="167"/>
        <v>163276</v>
      </c>
      <c r="K748" s="4">
        <f t="shared" ref="K748:K811" si="170">IF(LEFT(B748,3)="DBM",0,VLOOKUP(E748,tabela,2,FALSE))</f>
        <v>0.12</v>
      </c>
      <c r="L748">
        <f t="shared" ref="L748:L811" si="171">VLOOKUP(E748,tabela,3,FALSE)</f>
        <v>7.0000000000000007E-2</v>
      </c>
      <c r="M748" s="4">
        <f t="shared" si="168"/>
        <v>3494.3103599999999</v>
      </c>
      <c r="N748" s="4">
        <f t="shared" si="169"/>
        <v>2038.3477100000002</v>
      </c>
    </row>
    <row r="749" spans="1:14">
      <c r="A749" t="str">
        <f t="shared" si="158"/>
        <v>alp_AlwaysOn_DBM-Estrutura-2015</v>
      </c>
      <c r="B749" t="str">
        <f t="shared" si="159"/>
        <v>Google Brasil</v>
      </c>
      <c r="C749" t="str">
        <f t="shared" si="160"/>
        <v>always-on-Volume|google|dbm|320x50</v>
      </c>
      <c r="D749" t="str">
        <f t="shared" si="161"/>
        <v>125060846</v>
      </c>
      <c r="E749" t="str">
        <f t="shared" si="162"/>
        <v>DCO</v>
      </c>
      <c r="F749" t="str">
        <f t="shared" si="163"/>
        <v>320x50_ViuCarro_Features_Intencao_VOLUME</v>
      </c>
      <c r="G749" t="str">
        <f t="shared" si="164"/>
        <v>302829522</v>
      </c>
      <c r="H749" t="str">
        <f t="shared" si="165"/>
        <v>Rich Media display banner</v>
      </c>
      <c r="I749">
        <f t="shared" si="166"/>
        <v>125589</v>
      </c>
      <c r="J749">
        <f t="shared" si="167"/>
        <v>440</v>
      </c>
      <c r="K749" s="4">
        <f t="shared" si="170"/>
        <v>0.12</v>
      </c>
      <c r="L749">
        <f t="shared" si="171"/>
        <v>7.0000000000000007E-2</v>
      </c>
      <c r="M749" s="4">
        <f t="shared" si="168"/>
        <v>15.070679999999999</v>
      </c>
      <c r="N749" s="4">
        <f t="shared" si="169"/>
        <v>8.7912300000000005</v>
      </c>
    </row>
    <row r="750" spans="1:14">
      <c r="A750" t="str">
        <f t="shared" si="158"/>
        <v>alp_AlwaysOn_DBM-Estrutura-2015</v>
      </c>
      <c r="B750" t="str">
        <f t="shared" si="159"/>
        <v>Google Brasil</v>
      </c>
      <c r="C750" t="str">
        <f t="shared" si="160"/>
        <v>always-on-Volume|google|dbm|320x50</v>
      </c>
      <c r="D750" t="str">
        <f t="shared" si="161"/>
        <v>125060846</v>
      </c>
      <c r="E750" t="str">
        <f t="shared" si="162"/>
        <v>DCO</v>
      </c>
      <c r="F750" t="str">
        <f t="shared" si="163"/>
        <v>320x50_ViuCarro_Features_VOLUME</v>
      </c>
      <c r="G750" t="str">
        <f t="shared" si="164"/>
        <v>299683598</v>
      </c>
      <c r="H750" t="str">
        <f t="shared" si="165"/>
        <v>Rich Media display banner</v>
      </c>
      <c r="I750">
        <f t="shared" si="166"/>
        <v>776985</v>
      </c>
      <c r="J750">
        <f t="shared" si="167"/>
        <v>1569</v>
      </c>
      <c r="K750" s="4">
        <f t="shared" si="170"/>
        <v>0.12</v>
      </c>
      <c r="L750">
        <f t="shared" si="171"/>
        <v>7.0000000000000007E-2</v>
      </c>
      <c r="M750" s="4">
        <f t="shared" si="168"/>
        <v>93.238199999999992</v>
      </c>
      <c r="N750" s="4">
        <f t="shared" si="169"/>
        <v>54.388950000000001</v>
      </c>
    </row>
    <row r="751" spans="1:14">
      <c r="A751" t="str">
        <f t="shared" si="158"/>
        <v>alp_AlwaysOn_DBM-Estrutura-2015</v>
      </c>
      <c r="B751" t="str">
        <f t="shared" si="159"/>
        <v>Google Brasil</v>
      </c>
      <c r="C751" t="str">
        <f t="shared" si="160"/>
        <v>always-on-Volume|google|dbm|468x60</v>
      </c>
      <c r="D751" t="str">
        <f t="shared" si="161"/>
        <v>125061459</v>
      </c>
      <c r="E751" t="str">
        <f t="shared" si="162"/>
        <v>Default</v>
      </c>
      <c r="F751" t="str">
        <f t="shared" si="163"/>
        <v>468x60 Default Web Ad</v>
      </c>
      <c r="G751" t="str">
        <f t="shared" si="164"/>
        <v>297946650</v>
      </c>
      <c r="H751" t="str">
        <f t="shared" si="165"/>
        <v>Display</v>
      </c>
      <c r="I751">
        <f t="shared" si="166"/>
        <v>1988</v>
      </c>
      <c r="J751">
        <f t="shared" si="167"/>
        <v>10</v>
      </c>
      <c r="K751" s="4">
        <f t="shared" si="170"/>
        <v>0.04</v>
      </c>
      <c r="L751">
        <f t="shared" si="171"/>
        <v>0.09</v>
      </c>
      <c r="M751" s="4">
        <f t="shared" si="168"/>
        <v>7.9519999999999993E-2</v>
      </c>
      <c r="N751" s="4">
        <f t="shared" si="169"/>
        <v>0.17892</v>
      </c>
    </row>
    <row r="752" spans="1:14">
      <c r="A752" t="str">
        <f t="shared" si="158"/>
        <v>alp_AlwaysOn_DBM-Estrutura-2015</v>
      </c>
      <c r="B752" t="str">
        <f t="shared" si="159"/>
        <v>Google Brasil</v>
      </c>
      <c r="C752" t="str">
        <f t="shared" si="160"/>
        <v>always-on-Volume|google|dbm|468x60</v>
      </c>
      <c r="D752" t="str">
        <f t="shared" si="161"/>
        <v>125061459</v>
      </c>
      <c r="E752" t="str">
        <f t="shared" si="162"/>
        <v>DCO</v>
      </c>
      <c r="F752" t="str">
        <f t="shared" si="163"/>
        <v>468x60_GerouLead_Concessionarias_VOLUME</v>
      </c>
      <c r="G752" t="str">
        <f t="shared" si="164"/>
        <v>299685186</v>
      </c>
      <c r="H752" t="str">
        <f t="shared" si="165"/>
        <v>Rich Media display banner</v>
      </c>
      <c r="I752">
        <f t="shared" si="166"/>
        <v>315</v>
      </c>
      <c r="J752">
        <f t="shared" si="167"/>
        <v>0</v>
      </c>
      <c r="K752" s="4">
        <f t="shared" si="170"/>
        <v>0.12</v>
      </c>
      <c r="L752">
        <f t="shared" si="171"/>
        <v>7.0000000000000007E-2</v>
      </c>
      <c r="M752" s="4">
        <f t="shared" si="168"/>
        <v>3.78E-2</v>
      </c>
      <c r="N752" s="4">
        <f t="shared" si="169"/>
        <v>2.205E-2</v>
      </c>
    </row>
    <row r="753" spans="1:14">
      <c r="A753" t="str">
        <f t="shared" si="158"/>
        <v>alp_AlwaysOn_DBM-Estrutura-2015</v>
      </c>
      <c r="B753" t="str">
        <f t="shared" si="159"/>
        <v>Google Brasil</v>
      </c>
      <c r="C753" t="str">
        <f t="shared" si="160"/>
        <v>always-on-Volume|google|dbm|468x60</v>
      </c>
      <c r="D753" t="str">
        <f t="shared" si="161"/>
        <v>125061459</v>
      </c>
      <c r="E753" t="str">
        <f t="shared" si="162"/>
        <v>DCO</v>
      </c>
      <c r="F753" t="str">
        <f t="shared" si="163"/>
        <v>468x60_GerouRadar_Radar_VOLUME</v>
      </c>
      <c r="G753" t="str">
        <f t="shared" si="164"/>
        <v>299685183</v>
      </c>
      <c r="H753" t="str">
        <f t="shared" si="165"/>
        <v>Rich Media display banner</v>
      </c>
      <c r="I753">
        <f t="shared" si="166"/>
        <v>207</v>
      </c>
      <c r="J753">
        <f t="shared" si="167"/>
        <v>1</v>
      </c>
      <c r="K753" s="4">
        <f t="shared" si="170"/>
        <v>0.12</v>
      </c>
      <c r="L753">
        <f t="shared" si="171"/>
        <v>7.0000000000000007E-2</v>
      </c>
      <c r="M753" s="4">
        <f t="shared" si="168"/>
        <v>2.4840000000000001E-2</v>
      </c>
      <c r="N753" s="4">
        <f t="shared" si="169"/>
        <v>1.4490000000000001E-2</v>
      </c>
    </row>
    <row r="754" spans="1:14">
      <c r="A754" t="str">
        <f t="shared" si="158"/>
        <v>alp_AlwaysOn_DBM-Estrutura-2015</v>
      </c>
      <c r="B754" t="str">
        <f t="shared" si="159"/>
        <v>Google Brasil</v>
      </c>
      <c r="C754" t="str">
        <f t="shared" si="160"/>
        <v>always-on-Volume|google|dbm|468x60</v>
      </c>
      <c r="D754" t="str">
        <f t="shared" si="161"/>
        <v>125061459</v>
      </c>
      <c r="E754" t="str">
        <f t="shared" si="162"/>
        <v>DCO</v>
      </c>
      <c r="F754" t="str">
        <f t="shared" si="163"/>
        <v>468x60_Prospeccao_Institucional_Condicoes_Produto_VOLUME</v>
      </c>
      <c r="G754" t="str">
        <f t="shared" si="164"/>
        <v>299685251</v>
      </c>
      <c r="H754" t="str">
        <f t="shared" si="165"/>
        <v>Rich Media display banner</v>
      </c>
      <c r="I754">
        <f t="shared" si="166"/>
        <v>155778</v>
      </c>
      <c r="J754">
        <f t="shared" si="167"/>
        <v>1240</v>
      </c>
      <c r="K754" s="4">
        <f t="shared" si="170"/>
        <v>0.12</v>
      </c>
      <c r="L754">
        <f t="shared" si="171"/>
        <v>7.0000000000000007E-2</v>
      </c>
      <c r="M754" s="4">
        <f t="shared" si="168"/>
        <v>18.693360000000002</v>
      </c>
      <c r="N754" s="4">
        <f t="shared" si="169"/>
        <v>10.90446</v>
      </c>
    </row>
    <row r="755" spans="1:14">
      <c r="A755" t="str">
        <f t="shared" si="158"/>
        <v>alp_AlwaysOn_DBM-Estrutura-2015</v>
      </c>
      <c r="B755" t="str">
        <f t="shared" si="159"/>
        <v>Google Brasil</v>
      </c>
      <c r="C755" t="str">
        <f t="shared" si="160"/>
        <v>always-on-Volume|google|dbm|468x60</v>
      </c>
      <c r="D755" t="str">
        <f t="shared" si="161"/>
        <v>125061459</v>
      </c>
      <c r="E755" t="str">
        <f t="shared" si="162"/>
        <v>DCO</v>
      </c>
      <c r="F755" t="str">
        <f t="shared" si="163"/>
        <v>468x60_ViuCarro_Features_Intencao_VOLUME</v>
      </c>
      <c r="G755" t="str">
        <f t="shared" si="164"/>
        <v>302825157</v>
      </c>
      <c r="H755" t="str">
        <f t="shared" si="165"/>
        <v>Rich Media display banner</v>
      </c>
      <c r="I755">
        <f t="shared" si="166"/>
        <v>11847</v>
      </c>
      <c r="J755">
        <f t="shared" si="167"/>
        <v>24</v>
      </c>
      <c r="K755" s="4">
        <f t="shared" si="170"/>
        <v>0.12</v>
      </c>
      <c r="L755">
        <f t="shared" si="171"/>
        <v>7.0000000000000007E-2</v>
      </c>
      <c r="M755" s="4">
        <f t="shared" si="168"/>
        <v>1.4216399999999998</v>
      </c>
      <c r="N755" s="4">
        <f t="shared" si="169"/>
        <v>0.82929000000000008</v>
      </c>
    </row>
    <row r="756" spans="1:14">
      <c r="A756" t="str">
        <f t="shared" si="158"/>
        <v>alp_AlwaysOn_DBM-Estrutura-2015</v>
      </c>
      <c r="B756" t="str">
        <f t="shared" si="159"/>
        <v>Google Brasil</v>
      </c>
      <c r="C756" t="str">
        <f t="shared" si="160"/>
        <v>always-on-Volume|google|dbm|468x60</v>
      </c>
      <c r="D756" t="str">
        <f t="shared" si="161"/>
        <v>125061459</v>
      </c>
      <c r="E756" t="str">
        <f t="shared" si="162"/>
        <v>DCO</v>
      </c>
      <c r="F756" t="str">
        <f t="shared" si="163"/>
        <v>468x60_ViuCarro_Features_VOLUME</v>
      </c>
      <c r="G756" t="str">
        <f t="shared" si="164"/>
        <v>299685252</v>
      </c>
      <c r="H756" t="str">
        <f t="shared" si="165"/>
        <v>Rich Media display banner</v>
      </c>
      <c r="I756">
        <f t="shared" si="166"/>
        <v>64484</v>
      </c>
      <c r="J756">
        <f t="shared" si="167"/>
        <v>173</v>
      </c>
      <c r="K756" s="4">
        <f t="shared" si="170"/>
        <v>0.12</v>
      </c>
      <c r="L756">
        <f t="shared" si="171"/>
        <v>7.0000000000000007E-2</v>
      </c>
      <c r="M756" s="4">
        <f t="shared" si="168"/>
        <v>7.7380800000000001</v>
      </c>
      <c r="N756" s="4">
        <f t="shared" si="169"/>
        <v>4.5138800000000003</v>
      </c>
    </row>
    <row r="757" spans="1:14">
      <c r="A757" t="str">
        <f t="shared" si="158"/>
        <v>alp_AlwaysOn_DBM-Estrutura-2015</v>
      </c>
      <c r="B757" t="str">
        <f t="shared" si="159"/>
        <v>Google Brasil</v>
      </c>
      <c r="C757" t="str">
        <f t="shared" si="160"/>
        <v>always-on-Volume|google|dbm|970x250</v>
      </c>
      <c r="D757" t="str">
        <f t="shared" si="161"/>
        <v>125063523</v>
      </c>
      <c r="E757" t="str">
        <f t="shared" si="162"/>
        <v>Default</v>
      </c>
      <c r="F757" t="str">
        <f t="shared" si="163"/>
        <v>970x250 Default Web Ad</v>
      </c>
      <c r="G757" t="str">
        <f t="shared" si="164"/>
        <v>297950089</v>
      </c>
      <c r="H757" t="str">
        <f t="shared" si="165"/>
        <v>Display</v>
      </c>
      <c r="I757">
        <f t="shared" si="166"/>
        <v>29117</v>
      </c>
      <c r="J757">
        <f t="shared" si="167"/>
        <v>82</v>
      </c>
      <c r="K757" s="4">
        <f t="shared" si="170"/>
        <v>0.04</v>
      </c>
      <c r="L757">
        <f t="shared" si="171"/>
        <v>0.09</v>
      </c>
      <c r="M757" s="4">
        <f t="shared" si="168"/>
        <v>1.1646800000000002</v>
      </c>
      <c r="N757" s="4">
        <f t="shared" si="169"/>
        <v>2.6205299999999996</v>
      </c>
    </row>
    <row r="758" spans="1:14">
      <c r="A758" t="str">
        <f t="shared" si="158"/>
        <v>alp_AlwaysOn_DBM-Estrutura-2015</v>
      </c>
      <c r="B758" t="str">
        <f t="shared" si="159"/>
        <v>Google Brasil</v>
      </c>
      <c r="C758" t="str">
        <f t="shared" si="160"/>
        <v>always-on-Volume|google|dbm|970x250</v>
      </c>
      <c r="D758" t="str">
        <f t="shared" si="161"/>
        <v>125063523</v>
      </c>
      <c r="E758" t="str">
        <f t="shared" si="162"/>
        <v>DCO</v>
      </c>
      <c r="F758" t="str">
        <f t="shared" si="163"/>
        <v>970x250_GerouLead_Concessionarias_VOLUME</v>
      </c>
      <c r="G758" t="str">
        <f t="shared" si="164"/>
        <v>299689555</v>
      </c>
      <c r="H758" t="str">
        <f t="shared" si="165"/>
        <v>Rich Media display banner</v>
      </c>
      <c r="I758">
        <f t="shared" si="166"/>
        <v>3350</v>
      </c>
      <c r="J758">
        <f t="shared" si="167"/>
        <v>9</v>
      </c>
      <c r="K758" s="4">
        <f t="shared" si="170"/>
        <v>0.12</v>
      </c>
      <c r="L758">
        <f t="shared" si="171"/>
        <v>7.0000000000000007E-2</v>
      </c>
      <c r="M758" s="4">
        <f t="shared" si="168"/>
        <v>0.40200000000000002</v>
      </c>
      <c r="N758" s="4">
        <f t="shared" si="169"/>
        <v>0.23450000000000004</v>
      </c>
    </row>
    <row r="759" spans="1:14">
      <c r="A759" t="str">
        <f t="shared" si="158"/>
        <v>alp_AlwaysOn_DBM-Estrutura-2015</v>
      </c>
      <c r="B759" t="str">
        <f t="shared" si="159"/>
        <v>Google Brasil</v>
      </c>
      <c r="C759" t="str">
        <f t="shared" si="160"/>
        <v>always-on-Volume|google|dbm|970x250</v>
      </c>
      <c r="D759" t="str">
        <f t="shared" si="161"/>
        <v>125063523</v>
      </c>
      <c r="E759" t="str">
        <f t="shared" si="162"/>
        <v>DCO</v>
      </c>
      <c r="F759" t="str">
        <f t="shared" si="163"/>
        <v>970x250_GerouRadar_Radar_VOLUME</v>
      </c>
      <c r="G759" t="str">
        <f t="shared" si="164"/>
        <v>299689558</v>
      </c>
      <c r="H759" t="str">
        <f t="shared" si="165"/>
        <v>Rich Media display banner</v>
      </c>
      <c r="I759">
        <f t="shared" si="166"/>
        <v>4052</v>
      </c>
      <c r="J759">
        <f t="shared" si="167"/>
        <v>31</v>
      </c>
      <c r="K759" s="4">
        <f t="shared" si="170"/>
        <v>0.12</v>
      </c>
      <c r="L759">
        <f t="shared" si="171"/>
        <v>7.0000000000000007E-2</v>
      </c>
      <c r="M759" s="4">
        <f t="shared" si="168"/>
        <v>0.48624000000000001</v>
      </c>
      <c r="N759" s="4">
        <f t="shared" si="169"/>
        <v>0.28364000000000006</v>
      </c>
    </row>
    <row r="760" spans="1:14">
      <c r="A760" t="str">
        <f t="shared" si="158"/>
        <v>alp_AlwaysOn_DBM-Estrutura-2015</v>
      </c>
      <c r="B760" t="str">
        <f t="shared" si="159"/>
        <v>Google Brasil</v>
      </c>
      <c r="C760" t="str">
        <f t="shared" si="160"/>
        <v>always-on-Volume|google|dbm|970x250</v>
      </c>
      <c r="D760" t="str">
        <f t="shared" si="161"/>
        <v>125063523</v>
      </c>
      <c r="E760" t="str">
        <f t="shared" si="162"/>
        <v>DCO</v>
      </c>
      <c r="F760" t="str">
        <f t="shared" si="163"/>
        <v>970x250_Prospeccao_Institucional_Condicoes_Produto_VOLUME</v>
      </c>
      <c r="G760" t="str">
        <f t="shared" si="164"/>
        <v>299689556</v>
      </c>
      <c r="H760" t="str">
        <f t="shared" si="165"/>
        <v>Rich Media display banner</v>
      </c>
      <c r="I760">
        <f t="shared" si="166"/>
        <v>1774903</v>
      </c>
      <c r="J760">
        <f t="shared" si="167"/>
        <v>3702</v>
      </c>
      <c r="K760" s="4">
        <f t="shared" si="170"/>
        <v>0.12</v>
      </c>
      <c r="L760">
        <f t="shared" si="171"/>
        <v>7.0000000000000007E-2</v>
      </c>
      <c r="M760" s="4">
        <f t="shared" si="168"/>
        <v>212.98836</v>
      </c>
      <c r="N760" s="4">
        <f t="shared" si="169"/>
        <v>124.24321</v>
      </c>
    </row>
    <row r="761" spans="1:14">
      <c r="A761" t="str">
        <f t="shared" si="158"/>
        <v>alp_AlwaysOn_DBM-Estrutura-2015</v>
      </c>
      <c r="B761" t="str">
        <f t="shared" si="159"/>
        <v>Google Brasil</v>
      </c>
      <c r="C761" t="str">
        <f t="shared" si="160"/>
        <v>always-on-Volume|google|dbm|970x250</v>
      </c>
      <c r="D761" t="str">
        <f t="shared" si="161"/>
        <v>125063523</v>
      </c>
      <c r="E761" t="str">
        <f t="shared" si="162"/>
        <v>DCO</v>
      </c>
      <c r="F761" t="str">
        <f t="shared" si="163"/>
        <v>970x250_ViuCarro_Features_Intencao_VOLUME</v>
      </c>
      <c r="G761" t="str">
        <f t="shared" si="164"/>
        <v>302846957</v>
      </c>
      <c r="H761" t="str">
        <f t="shared" si="165"/>
        <v>Rich Media display banner</v>
      </c>
      <c r="I761">
        <f t="shared" si="166"/>
        <v>241734</v>
      </c>
      <c r="J761">
        <f t="shared" si="167"/>
        <v>1411</v>
      </c>
      <c r="K761" s="4">
        <f t="shared" si="170"/>
        <v>0.12</v>
      </c>
      <c r="L761">
        <f t="shared" si="171"/>
        <v>7.0000000000000007E-2</v>
      </c>
      <c r="M761" s="4">
        <f t="shared" si="168"/>
        <v>29.00808</v>
      </c>
      <c r="N761" s="4">
        <f t="shared" si="169"/>
        <v>16.921380000000003</v>
      </c>
    </row>
    <row r="762" spans="1:14">
      <c r="A762" t="str">
        <f t="shared" si="158"/>
        <v>alp_AlwaysOn_DBM-Estrutura-2015</v>
      </c>
      <c r="B762" t="str">
        <f t="shared" si="159"/>
        <v>Google Brasil</v>
      </c>
      <c r="C762" t="str">
        <f t="shared" si="160"/>
        <v>always-on-Volume|google|dbm|970x250</v>
      </c>
      <c r="D762" t="str">
        <f t="shared" si="161"/>
        <v>125063523</v>
      </c>
      <c r="E762" t="str">
        <f t="shared" si="162"/>
        <v>DCO</v>
      </c>
      <c r="F762" t="str">
        <f t="shared" si="163"/>
        <v>970x250_ViuCarro_Features_VOLUME</v>
      </c>
      <c r="G762" t="str">
        <f t="shared" si="164"/>
        <v>299689560</v>
      </c>
      <c r="H762" t="str">
        <f t="shared" si="165"/>
        <v>Rich Media display banner</v>
      </c>
      <c r="I762">
        <f t="shared" si="166"/>
        <v>1373547</v>
      </c>
      <c r="J762">
        <f t="shared" si="167"/>
        <v>4053</v>
      </c>
      <c r="K762" s="4">
        <f t="shared" si="170"/>
        <v>0.12</v>
      </c>
      <c r="L762">
        <f t="shared" si="171"/>
        <v>7.0000000000000007E-2</v>
      </c>
      <c r="M762" s="4">
        <f t="shared" si="168"/>
        <v>164.82563999999999</v>
      </c>
      <c r="N762" s="4">
        <f t="shared" si="169"/>
        <v>96.148290000000003</v>
      </c>
    </row>
    <row r="763" spans="1:14">
      <c r="A763" t="str">
        <f t="shared" si="158"/>
        <v>alp_AlwaysOn_DBM-Estrutura-2015</v>
      </c>
      <c r="B763" t="str">
        <f t="shared" si="159"/>
        <v>Google Brasil</v>
      </c>
      <c r="C763" t="str">
        <f t="shared" si="160"/>
        <v>always-on-Volume|google|dbm|970x90</v>
      </c>
      <c r="D763" t="str">
        <f t="shared" si="161"/>
        <v>125061323</v>
      </c>
      <c r="E763" t="str">
        <f t="shared" si="162"/>
        <v>Default</v>
      </c>
      <c r="F763" t="str">
        <f t="shared" si="163"/>
        <v>970x90 Default Web Ad</v>
      </c>
      <c r="G763" t="str">
        <f t="shared" si="164"/>
        <v>297947867</v>
      </c>
      <c r="H763" t="str">
        <f t="shared" si="165"/>
        <v>Display</v>
      </c>
      <c r="I763">
        <f t="shared" si="166"/>
        <v>6151</v>
      </c>
      <c r="J763">
        <f t="shared" si="167"/>
        <v>6</v>
      </c>
      <c r="K763" s="4">
        <f t="shared" si="170"/>
        <v>0.04</v>
      </c>
      <c r="L763">
        <f t="shared" si="171"/>
        <v>0.09</v>
      </c>
      <c r="M763" s="4">
        <f t="shared" si="168"/>
        <v>0.24603999999999998</v>
      </c>
      <c r="N763" s="4">
        <f t="shared" si="169"/>
        <v>0.55359000000000003</v>
      </c>
    </row>
    <row r="764" spans="1:14">
      <c r="A764" t="str">
        <f t="shared" si="158"/>
        <v>alp_AlwaysOn_DBM-Estrutura-2015</v>
      </c>
      <c r="B764" t="str">
        <f t="shared" si="159"/>
        <v>Google Brasil</v>
      </c>
      <c r="C764" t="str">
        <f t="shared" si="160"/>
        <v>always-on-Volume|google|dbm|970x90</v>
      </c>
      <c r="D764" t="str">
        <f t="shared" si="161"/>
        <v>125061323</v>
      </c>
      <c r="E764" t="str">
        <f t="shared" si="162"/>
        <v>DCO</v>
      </c>
      <c r="F764" t="str">
        <f t="shared" si="163"/>
        <v>970x90_GerouLead_Concessionarias_VOLUME</v>
      </c>
      <c r="G764" t="str">
        <f t="shared" si="164"/>
        <v>299687990</v>
      </c>
      <c r="H764" t="str">
        <f t="shared" si="165"/>
        <v>Rich Media display banner</v>
      </c>
      <c r="I764">
        <f t="shared" si="166"/>
        <v>1272</v>
      </c>
      <c r="J764">
        <f t="shared" si="167"/>
        <v>5</v>
      </c>
      <c r="K764" s="4">
        <f t="shared" si="170"/>
        <v>0.12</v>
      </c>
      <c r="L764">
        <f t="shared" si="171"/>
        <v>7.0000000000000007E-2</v>
      </c>
      <c r="M764" s="4">
        <f t="shared" si="168"/>
        <v>0.15264</v>
      </c>
      <c r="N764" s="4">
        <f t="shared" si="169"/>
        <v>8.9040000000000008E-2</v>
      </c>
    </row>
    <row r="765" spans="1:14">
      <c r="A765" t="str">
        <f t="shared" si="158"/>
        <v>alp_AlwaysOn_DBM-Estrutura-2015</v>
      </c>
      <c r="B765" t="str">
        <f t="shared" si="159"/>
        <v>Google Brasil</v>
      </c>
      <c r="C765" t="str">
        <f t="shared" si="160"/>
        <v>always-on-Volume|google|dbm|970x90</v>
      </c>
      <c r="D765" t="str">
        <f t="shared" si="161"/>
        <v>125061323</v>
      </c>
      <c r="E765" t="str">
        <f t="shared" si="162"/>
        <v>DCO</v>
      </c>
      <c r="F765" t="str">
        <f t="shared" si="163"/>
        <v>970x90_GerouRadar_Radar_VOLUME</v>
      </c>
      <c r="G765" t="str">
        <f t="shared" si="164"/>
        <v>299687994</v>
      </c>
      <c r="H765" t="str">
        <f t="shared" si="165"/>
        <v>Rich Media display banner</v>
      </c>
      <c r="I765">
        <f t="shared" si="166"/>
        <v>599</v>
      </c>
      <c r="J765">
        <f t="shared" si="167"/>
        <v>1</v>
      </c>
      <c r="K765" s="4">
        <f t="shared" si="170"/>
        <v>0.12</v>
      </c>
      <c r="L765">
        <f t="shared" si="171"/>
        <v>7.0000000000000007E-2</v>
      </c>
      <c r="M765" s="4">
        <f t="shared" si="168"/>
        <v>7.1879999999999999E-2</v>
      </c>
      <c r="N765" s="4">
        <f t="shared" si="169"/>
        <v>4.1930000000000009E-2</v>
      </c>
    </row>
    <row r="766" spans="1:14">
      <c r="A766" t="str">
        <f t="shared" si="158"/>
        <v>alp_AlwaysOn_DBM-Estrutura-2015</v>
      </c>
      <c r="B766" t="str">
        <f t="shared" si="159"/>
        <v>Google Brasil</v>
      </c>
      <c r="C766" t="str">
        <f t="shared" si="160"/>
        <v>always-on-Volume|google|dbm|970x90</v>
      </c>
      <c r="D766" t="str">
        <f t="shared" si="161"/>
        <v>125061323</v>
      </c>
      <c r="E766" t="str">
        <f t="shared" si="162"/>
        <v>DCO</v>
      </c>
      <c r="F766" t="str">
        <f t="shared" si="163"/>
        <v>970x90_Prospeccao_Institucional_Condicoes_Produto_VOLUME</v>
      </c>
      <c r="G766" t="str">
        <f t="shared" si="164"/>
        <v>299687992</v>
      </c>
      <c r="H766" t="str">
        <f t="shared" si="165"/>
        <v>Rich Media display banner</v>
      </c>
      <c r="I766">
        <f t="shared" si="166"/>
        <v>477124</v>
      </c>
      <c r="J766">
        <f t="shared" si="167"/>
        <v>434</v>
      </c>
      <c r="K766" s="4">
        <f t="shared" si="170"/>
        <v>0.12</v>
      </c>
      <c r="L766">
        <f t="shared" si="171"/>
        <v>7.0000000000000007E-2</v>
      </c>
      <c r="M766" s="4">
        <f t="shared" si="168"/>
        <v>57.25488</v>
      </c>
      <c r="N766" s="4">
        <f t="shared" si="169"/>
        <v>33.398679999999999</v>
      </c>
    </row>
    <row r="767" spans="1:14">
      <c r="A767" t="str">
        <f t="shared" si="158"/>
        <v>alp_AlwaysOn_DBM-Estrutura-2015</v>
      </c>
      <c r="B767" t="str">
        <f t="shared" si="159"/>
        <v>Google Brasil</v>
      </c>
      <c r="C767" t="str">
        <f t="shared" si="160"/>
        <v>always-on-Volume|google|dbm|970x90</v>
      </c>
      <c r="D767" t="str">
        <f t="shared" si="161"/>
        <v>125061323</v>
      </c>
      <c r="E767" t="str">
        <f t="shared" si="162"/>
        <v>DCO</v>
      </c>
      <c r="F767" t="str">
        <f t="shared" si="163"/>
        <v>970x90_ViuCarro_Features_Intencao_VOLUME</v>
      </c>
      <c r="G767" t="str">
        <f t="shared" si="164"/>
        <v>302846797</v>
      </c>
      <c r="H767" t="str">
        <f t="shared" si="165"/>
        <v>Rich Media display banner</v>
      </c>
      <c r="I767">
        <f t="shared" si="166"/>
        <v>44012</v>
      </c>
      <c r="J767">
        <f t="shared" si="167"/>
        <v>73</v>
      </c>
      <c r="K767" s="4">
        <f t="shared" si="170"/>
        <v>0.12</v>
      </c>
      <c r="L767">
        <f t="shared" si="171"/>
        <v>7.0000000000000007E-2</v>
      </c>
      <c r="M767" s="4">
        <f t="shared" si="168"/>
        <v>5.2814399999999999</v>
      </c>
      <c r="N767" s="4">
        <f t="shared" si="169"/>
        <v>3.0808400000000002</v>
      </c>
    </row>
    <row r="768" spans="1:14">
      <c r="A768" t="str">
        <f t="shared" si="158"/>
        <v>alp_AlwaysOn_DBM-Estrutura-2015</v>
      </c>
      <c r="B768" t="str">
        <f t="shared" si="159"/>
        <v>Google Brasil</v>
      </c>
      <c r="C768" t="str">
        <f t="shared" si="160"/>
        <v>always-on-Volume|google|dbm|970x90</v>
      </c>
      <c r="D768" t="str">
        <f t="shared" si="161"/>
        <v>125061323</v>
      </c>
      <c r="E768" t="str">
        <f t="shared" si="162"/>
        <v>DCO</v>
      </c>
      <c r="F768" t="str">
        <f t="shared" si="163"/>
        <v>970x90_ViuCarro_Features_VOLUME</v>
      </c>
      <c r="G768" t="str">
        <f t="shared" si="164"/>
        <v>299687986</v>
      </c>
      <c r="H768" t="str">
        <f t="shared" si="165"/>
        <v>Rich Media display banner</v>
      </c>
      <c r="I768">
        <f t="shared" si="166"/>
        <v>235980</v>
      </c>
      <c r="J768">
        <f t="shared" si="167"/>
        <v>177</v>
      </c>
      <c r="K768" s="4">
        <f t="shared" si="170"/>
        <v>0.12</v>
      </c>
      <c r="L768">
        <f t="shared" si="171"/>
        <v>7.0000000000000007E-2</v>
      </c>
      <c r="M768" s="4">
        <f t="shared" si="168"/>
        <v>28.317599999999999</v>
      </c>
      <c r="N768" s="4">
        <f t="shared" si="169"/>
        <v>16.518600000000003</v>
      </c>
    </row>
    <row r="769" spans="1:14">
      <c r="A769" t="str">
        <f t="shared" si="158"/>
        <v>alp_AlwaysOn_DBM-Estrutura-2015</v>
      </c>
      <c r="B769" t="str">
        <f t="shared" si="159"/>
        <v>Google Brasil</v>
      </c>
      <c r="C769" t="str">
        <f t="shared" si="160"/>
        <v>always-on-Volume|google|dbm|half-page-300x600</v>
      </c>
      <c r="D769" t="str">
        <f t="shared" si="161"/>
        <v>125047071</v>
      </c>
      <c r="E769" t="str">
        <f t="shared" si="162"/>
        <v>Default</v>
      </c>
      <c r="F769" t="str">
        <f t="shared" si="163"/>
        <v>300x600 Default Web Ad</v>
      </c>
      <c r="G769" t="str">
        <f t="shared" si="164"/>
        <v>297934556</v>
      </c>
      <c r="H769" t="str">
        <f t="shared" si="165"/>
        <v>Display</v>
      </c>
      <c r="I769">
        <f t="shared" si="166"/>
        <v>28783</v>
      </c>
      <c r="J769">
        <f t="shared" si="167"/>
        <v>25</v>
      </c>
      <c r="K769" s="4">
        <f t="shared" si="170"/>
        <v>0.04</v>
      </c>
      <c r="L769">
        <f t="shared" si="171"/>
        <v>0.09</v>
      </c>
      <c r="M769" s="4">
        <f t="shared" si="168"/>
        <v>1.1513199999999999</v>
      </c>
      <c r="N769" s="4">
        <f t="shared" si="169"/>
        <v>2.5904699999999998</v>
      </c>
    </row>
    <row r="770" spans="1:14">
      <c r="A770" t="str">
        <f t="shared" ref="A770:A833" si="172">bd_campaign</f>
        <v>alp_AlwaysOn_DBM-Estrutura-2015</v>
      </c>
      <c r="B770" t="str">
        <f t="shared" ref="B770:B833" si="173">bd_site</f>
        <v>Google Brasil</v>
      </c>
      <c r="C770" t="str">
        <f t="shared" ref="C770:C833" si="174">bd_placement</f>
        <v>always-on-Volume|google|dbm|half-page-300x600</v>
      </c>
      <c r="D770" t="str">
        <f t="shared" ref="D770:D833" si="175">bd_placementID</f>
        <v>125047071</v>
      </c>
      <c r="E770" t="str">
        <f t="shared" ref="E770:E833" si="176">VLOOKUP(CONCATENATE(bd_adtype,"_",bd_creativetype),tabela,2,FALSE)</f>
        <v>DCO</v>
      </c>
      <c r="F770" t="str">
        <f t="shared" ref="F770:F833" si="177">bd_ad</f>
        <v>300x600_GerouLead_Concessionarias_VOLUME</v>
      </c>
      <c r="G770" t="str">
        <f t="shared" ref="G770:G833" si="178">bd_adid</f>
        <v>299687662</v>
      </c>
      <c r="H770" t="str">
        <f t="shared" ref="H770:H833" si="179">bd_creativetype</f>
        <v>Rich Media display banner</v>
      </c>
      <c r="I770">
        <f t="shared" ref="I770:I833" si="180">bd_impression</f>
        <v>4981</v>
      </c>
      <c r="J770">
        <f t="shared" ref="J770:J833" si="181">bd_clicks</f>
        <v>18</v>
      </c>
      <c r="K770" s="4">
        <f t="shared" si="170"/>
        <v>0.12</v>
      </c>
      <c r="L770">
        <f t="shared" si="171"/>
        <v>7.0000000000000007E-2</v>
      </c>
      <c r="M770" s="4">
        <f t="shared" si="168"/>
        <v>0.59772000000000003</v>
      </c>
      <c r="N770" s="4">
        <f t="shared" si="169"/>
        <v>0.34867000000000004</v>
      </c>
    </row>
    <row r="771" spans="1:14">
      <c r="A771" t="str">
        <f t="shared" si="172"/>
        <v>alp_AlwaysOn_DBM-Estrutura-2015</v>
      </c>
      <c r="B771" t="str">
        <f t="shared" si="173"/>
        <v>Google Brasil</v>
      </c>
      <c r="C771" t="str">
        <f t="shared" si="174"/>
        <v>always-on-Volume|google|dbm|half-page-300x600</v>
      </c>
      <c r="D771" t="str">
        <f t="shared" si="175"/>
        <v>125047071</v>
      </c>
      <c r="E771" t="str">
        <f t="shared" si="176"/>
        <v>DCO</v>
      </c>
      <c r="F771" t="str">
        <f t="shared" si="177"/>
        <v>300x600_GerouRadar_Radar_VOLUME</v>
      </c>
      <c r="G771" t="str">
        <f t="shared" si="178"/>
        <v>299687665</v>
      </c>
      <c r="H771" t="str">
        <f t="shared" si="179"/>
        <v>Rich Media display banner</v>
      </c>
      <c r="I771">
        <f t="shared" si="180"/>
        <v>3122</v>
      </c>
      <c r="J771">
        <f t="shared" si="181"/>
        <v>30</v>
      </c>
      <c r="K771" s="4">
        <f t="shared" si="170"/>
        <v>0.12</v>
      </c>
      <c r="L771">
        <f t="shared" si="171"/>
        <v>7.0000000000000007E-2</v>
      </c>
      <c r="M771" s="4">
        <f t="shared" si="168"/>
        <v>0.37463999999999997</v>
      </c>
      <c r="N771" s="4">
        <f t="shared" si="169"/>
        <v>0.21854000000000001</v>
      </c>
    </row>
    <row r="772" spans="1:14">
      <c r="A772" t="str">
        <f t="shared" si="172"/>
        <v>alp_AlwaysOn_DBM-Estrutura-2015</v>
      </c>
      <c r="B772" t="str">
        <f t="shared" si="173"/>
        <v>Google Brasil</v>
      </c>
      <c r="C772" t="str">
        <f t="shared" si="174"/>
        <v>always-on-Volume|google|dbm|half-page-300x600</v>
      </c>
      <c r="D772" t="str">
        <f t="shared" si="175"/>
        <v>125047071</v>
      </c>
      <c r="E772" t="str">
        <f t="shared" si="176"/>
        <v>DCO</v>
      </c>
      <c r="F772" t="str">
        <f t="shared" si="177"/>
        <v>300x600_Prospeccao_Institucional_Condicoes_Produto_VOLUME</v>
      </c>
      <c r="G772" t="str">
        <f t="shared" si="178"/>
        <v>299687659</v>
      </c>
      <c r="H772" t="str">
        <f t="shared" si="179"/>
        <v>Rich Media display banner</v>
      </c>
      <c r="I772">
        <f t="shared" si="180"/>
        <v>2473492</v>
      </c>
      <c r="J772">
        <f t="shared" si="181"/>
        <v>2799</v>
      </c>
      <c r="K772" s="4">
        <f t="shared" si="170"/>
        <v>0.12</v>
      </c>
      <c r="L772">
        <f t="shared" si="171"/>
        <v>7.0000000000000007E-2</v>
      </c>
      <c r="M772" s="4">
        <f t="shared" si="168"/>
        <v>296.81903999999997</v>
      </c>
      <c r="N772" s="4">
        <f t="shared" si="169"/>
        <v>173.14444</v>
      </c>
    </row>
    <row r="773" spans="1:14">
      <c r="A773" t="str">
        <f t="shared" si="172"/>
        <v>alp_AlwaysOn_DBM-Estrutura-2015</v>
      </c>
      <c r="B773" t="str">
        <f t="shared" si="173"/>
        <v>Google Brasil</v>
      </c>
      <c r="C773" t="str">
        <f t="shared" si="174"/>
        <v>always-on-Volume|google|dbm|half-page-300x600</v>
      </c>
      <c r="D773" t="str">
        <f t="shared" si="175"/>
        <v>125047071</v>
      </c>
      <c r="E773" t="str">
        <f t="shared" si="176"/>
        <v>DCO</v>
      </c>
      <c r="F773" t="str">
        <f t="shared" si="177"/>
        <v>300x600_ViuCarro_Features_Intencao_VOLUME</v>
      </c>
      <c r="G773" t="str">
        <f t="shared" si="178"/>
        <v>302829107</v>
      </c>
      <c r="H773" t="str">
        <f t="shared" si="179"/>
        <v>Rich Media display banner</v>
      </c>
      <c r="I773">
        <f t="shared" si="180"/>
        <v>213964</v>
      </c>
      <c r="J773">
        <f t="shared" si="181"/>
        <v>700</v>
      </c>
      <c r="K773" s="4">
        <f t="shared" si="170"/>
        <v>0.12</v>
      </c>
      <c r="L773">
        <f t="shared" si="171"/>
        <v>7.0000000000000007E-2</v>
      </c>
      <c r="M773" s="4">
        <f t="shared" si="168"/>
        <v>25.67568</v>
      </c>
      <c r="N773" s="4">
        <f t="shared" si="169"/>
        <v>14.977480000000002</v>
      </c>
    </row>
    <row r="774" spans="1:14">
      <c r="A774" t="str">
        <f t="shared" si="172"/>
        <v>alp_AlwaysOn_DBM-Estrutura-2015</v>
      </c>
      <c r="B774" t="str">
        <f t="shared" si="173"/>
        <v>Google Brasil</v>
      </c>
      <c r="C774" t="str">
        <f t="shared" si="174"/>
        <v>always-on-Volume|google|dbm|half-page-300x600</v>
      </c>
      <c r="D774" t="str">
        <f t="shared" si="175"/>
        <v>125047071</v>
      </c>
      <c r="E774" t="str">
        <f t="shared" si="176"/>
        <v>DCO</v>
      </c>
      <c r="F774" t="str">
        <f t="shared" si="177"/>
        <v>300x600_ViuCarro_Features_VOLUME</v>
      </c>
      <c r="G774" t="str">
        <f t="shared" si="178"/>
        <v>299687667</v>
      </c>
      <c r="H774" t="str">
        <f t="shared" si="179"/>
        <v>Rich Media display banner</v>
      </c>
      <c r="I774">
        <f t="shared" si="180"/>
        <v>1002415</v>
      </c>
      <c r="J774">
        <f t="shared" si="181"/>
        <v>1605</v>
      </c>
      <c r="K774" s="4">
        <f t="shared" si="170"/>
        <v>0.12</v>
      </c>
      <c r="L774">
        <f t="shared" si="171"/>
        <v>7.0000000000000007E-2</v>
      </c>
      <c r="M774" s="4">
        <f t="shared" si="168"/>
        <v>120.28979999999999</v>
      </c>
      <c r="N774" s="4">
        <f t="shared" si="169"/>
        <v>70.169049999999999</v>
      </c>
    </row>
    <row r="775" spans="1:14">
      <c r="A775" t="str">
        <f t="shared" si="172"/>
        <v>alp_AlwaysOn_DBM-Estrutura-2015</v>
      </c>
      <c r="B775" t="str">
        <f t="shared" si="173"/>
        <v>Google Brasil</v>
      </c>
      <c r="C775" t="str">
        <f t="shared" si="174"/>
        <v>always-on-Volume|google|dbm|retangulo-medio-300x250</v>
      </c>
      <c r="D775" t="str">
        <f t="shared" si="175"/>
        <v>125044248</v>
      </c>
      <c r="E775" t="str">
        <f t="shared" si="176"/>
        <v>Default</v>
      </c>
      <c r="F775" t="str">
        <f t="shared" si="177"/>
        <v>300x250 Default Web Ad</v>
      </c>
      <c r="G775" t="str">
        <f t="shared" si="178"/>
        <v>297931212</v>
      </c>
      <c r="H775" t="str">
        <f t="shared" si="179"/>
        <v>Display</v>
      </c>
      <c r="I775">
        <f t="shared" si="180"/>
        <v>97912</v>
      </c>
      <c r="J775">
        <f t="shared" si="181"/>
        <v>194</v>
      </c>
      <c r="K775" s="4">
        <f t="shared" si="170"/>
        <v>0.04</v>
      </c>
      <c r="L775">
        <f t="shared" si="171"/>
        <v>0.09</v>
      </c>
      <c r="M775" s="4">
        <f t="shared" si="168"/>
        <v>3.91648</v>
      </c>
      <c r="N775" s="4">
        <f t="shared" si="169"/>
        <v>8.8120799999999999</v>
      </c>
    </row>
    <row r="776" spans="1:14">
      <c r="A776" t="str">
        <f t="shared" si="172"/>
        <v>alp_AlwaysOn_DBM-Estrutura-2015</v>
      </c>
      <c r="B776" t="str">
        <f t="shared" si="173"/>
        <v>Google Brasil</v>
      </c>
      <c r="C776" t="str">
        <f t="shared" si="174"/>
        <v>always-on-Volume|google|dbm|retangulo-medio-300x250</v>
      </c>
      <c r="D776" t="str">
        <f t="shared" si="175"/>
        <v>125044248</v>
      </c>
      <c r="E776" t="str">
        <f t="shared" si="176"/>
        <v>DCO</v>
      </c>
      <c r="F776" t="str">
        <f t="shared" si="177"/>
        <v>300x250_GerouLead_Concessionarias_VOLUME</v>
      </c>
      <c r="G776" t="str">
        <f t="shared" si="178"/>
        <v>299686039</v>
      </c>
      <c r="H776" t="str">
        <f t="shared" si="179"/>
        <v>Rich Media display banner</v>
      </c>
      <c r="I776">
        <f t="shared" si="180"/>
        <v>29949</v>
      </c>
      <c r="J776">
        <f t="shared" si="181"/>
        <v>110</v>
      </c>
      <c r="K776" s="4">
        <f t="shared" si="170"/>
        <v>0.12</v>
      </c>
      <c r="L776">
        <f t="shared" si="171"/>
        <v>7.0000000000000007E-2</v>
      </c>
      <c r="M776" s="4">
        <f t="shared" si="168"/>
        <v>3.5938799999999995</v>
      </c>
      <c r="N776" s="4">
        <f t="shared" si="169"/>
        <v>2.0964300000000002</v>
      </c>
    </row>
    <row r="777" spans="1:14">
      <c r="A777" t="str">
        <f t="shared" si="172"/>
        <v>alp_AlwaysOn_DBM-Estrutura-2015</v>
      </c>
      <c r="B777" t="str">
        <f t="shared" si="173"/>
        <v>Google Brasil</v>
      </c>
      <c r="C777" t="str">
        <f t="shared" si="174"/>
        <v>always-on-Volume|google|dbm|retangulo-medio-300x250</v>
      </c>
      <c r="D777" t="str">
        <f t="shared" si="175"/>
        <v>125044248</v>
      </c>
      <c r="E777" t="str">
        <f t="shared" si="176"/>
        <v>DCO</v>
      </c>
      <c r="F777" t="str">
        <f t="shared" si="177"/>
        <v>300x250_GerouRadar_Radar_VOLUME</v>
      </c>
      <c r="G777" t="str">
        <f t="shared" si="178"/>
        <v>299686041</v>
      </c>
      <c r="H777" t="str">
        <f t="shared" si="179"/>
        <v>Rich Media display banner</v>
      </c>
      <c r="I777">
        <f t="shared" si="180"/>
        <v>10029</v>
      </c>
      <c r="J777">
        <f t="shared" si="181"/>
        <v>50</v>
      </c>
      <c r="K777" s="4">
        <f t="shared" si="170"/>
        <v>0.12</v>
      </c>
      <c r="L777">
        <f t="shared" si="171"/>
        <v>7.0000000000000007E-2</v>
      </c>
      <c r="M777" s="4">
        <f t="shared" si="168"/>
        <v>1.2034800000000001</v>
      </c>
      <c r="N777" s="4">
        <f t="shared" si="169"/>
        <v>0.70203000000000004</v>
      </c>
    </row>
    <row r="778" spans="1:14">
      <c r="A778" t="str">
        <f t="shared" si="172"/>
        <v>alp_AlwaysOn_DBM-Estrutura-2015</v>
      </c>
      <c r="B778" t="str">
        <f t="shared" si="173"/>
        <v>Google Brasil</v>
      </c>
      <c r="C778" t="str">
        <f t="shared" si="174"/>
        <v>always-on-Volume|google|dbm|retangulo-medio-300x250</v>
      </c>
      <c r="D778" t="str">
        <f t="shared" si="175"/>
        <v>125044248</v>
      </c>
      <c r="E778" t="str">
        <f t="shared" si="176"/>
        <v>DCO</v>
      </c>
      <c r="F778" t="str">
        <f t="shared" si="177"/>
        <v>300x250_Prospeccao_Institucional_Condicoes_Produto_VOLUME</v>
      </c>
      <c r="G778" t="str">
        <f t="shared" si="178"/>
        <v>299686046</v>
      </c>
      <c r="H778" t="str">
        <f t="shared" si="179"/>
        <v>Rich Media display banner</v>
      </c>
      <c r="I778">
        <f t="shared" si="180"/>
        <v>12201371</v>
      </c>
      <c r="J778">
        <f t="shared" si="181"/>
        <v>46631</v>
      </c>
      <c r="K778" s="4">
        <f t="shared" si="170"/>
        <v>0.12</v>
      </c>
      <c r="L778">
        <f t="shared" si="171"/>
        <v>7.0000000000000007E-2</v>
      </c>
      <c r="M778" s="4">
        <f t="shared" si="168"/>
        <v>1464.16452</v>
      </c>
      <c r="N778" s="4">
        <f t="shared" si="169"/>
        <v>854.09597000000008</v>
      </c>
    </row>
    <row r="779" spans="1:14">
      <c r="A779" t="str">
        <f t="shared" si="172"/>
        <v>alp_AlwaysOn_DBM-Estrutura-2015</v>
      </c>
      <c r="B779" t="str">
        <f t="shared" si="173"/>
        <v>Google Brasil</v>
      </c>
      <c r="C779" t="str">
        <f t="shared" si="174"/>
        <v>always-on-Volume|google|dbm|retangulo-medio-300x250</v>
      </c>
      <c r="D779" t="str">
        <f t="shared" si="175"/>
        <v>125044248</v>
      </c>
      <c r="E779" t="str">
        <f t="shared" si="176"/>
        <v>DCO</v>
      </c>
      <c r="F779" t="str">
        <f t="shared" si="177"/>
        <v>300x250_ViuCarro_Features_Intencao_VOLUME</v>
      </c>
      <c r="G779" t="str">
        <f t="shared" si="178"/>
        <v>302845419</v>
      </c>
      <c r="H779" t="str">
        <f t="shared" si="179"/>
        <v>Rich Media display banner</v>
      </c>
      <c r="I779">
        <f t="shared" si="180"/>
        <v>451038</v>
      </c>
      <c r="J779">
        <f t="shared" si="181"/>
        <v>1351</v>
      </c>
      <c r="K779" s="4">
        <f t="shared" si="170"/>
        <v>0.12</v>
      </c>
      <c r="L779">
        <f t="shared" si="171"/>
        <v>7.0000000000000007E-2</v>
      </c>
      <c r="M779" s="4">
        <f t="shared" si="168"/>
        <v>54.124559999999995</v>
      </c>
      <c r="N779" s="4">
        <f t="shared" si="169"/>
        <v>31.572660000000003</v>
      </c>
    </row>
    <row r="780" spans="1:14">
      <c r="A780" t="str">
        <f t="shared" si="172"/>
        <v>alp_AlwaysOn_DBM-Estrutura-2015</v>
      </c>
      <c r="B780" t="str">
        <f t="shared" si="173"/>
        <v>Google Brasil</v>
      </c>
      <c r="C780" t="str">
        <f t="shared" si="174"/>
        <v>always-on-Volume|google|dbm|retangulo-medio-300x250</v>
      </c>
      <c r="D780" t="str">
        <f t="shared" si="175"/>
        <v>125044248</v>
      </c>
      <c r="E780" t="str">
        <f t="shared" si="176"/>
        <v>DCO</v>
      </c>
      <c r="F780" t="str">
        <f t="shared" si="177"/>
        <v>300x250_ViuCarro_Features_VOLUME</v>
      </c>
      <c r="G780" t="str">
        <f t="shared" si="178"/>
        <v>299686042</v>
      </c>
      <c r="H780" t="str">
        <f t="shared" si="179"/>
        <v>Rich Media display banner</v>
      </c>
      <c r="I780">
        <f t="shared" si="180"/>
        <v>2398344</v>
      </c>
      <c r="J780">
        <f t="shared" si="181"/>
        <v>4275</v>
      </c>
      <c r="K780" s="4">
        <f t="shared" si="170"/>
        <v>0.12</v>
      </c>
      <c r="L780">
        <f t="shared" si="171"/>
        <v>7.0000000000000007E-2</v>
      </c>
      <c r="M780" s="4">
        <f t="shared" si="168"/>
        <v>287.80127999999996</v>
      </c>
      <c r="N780" s="4">
        <f t="shared" si="169"/>
        <v>167.88408000000001</v>
      </c>
    </row>
    <row r="781" spans="1:14">
      <c r="A781" t="str">
        <f t="shared" si="172"/>
        <v>alp_AlwaysOn_DBM-Estrutura-2015</v>
      </c>
      <c r="B781" t="str">
        <f t="shared" si="173"/>
        <v>Google Brasil</v>
      </c>
      <c r="C781" t="str">
        <f t="shared" si="174"/>
        <v>always-on-Volume|google|dbm|super-banner-728x90</v>
      </c>
      <c r="D781" t="str">
        <f t="shared" si="175"/>
        <v>125047100</v>
      </c>
      <c r="E781" t="str">
        <f t="shared" si="176"/>
        <v>Default</v>
      </c>
      <c r="F781" t="str">
        <f t="shared" si="177"/>
        <v>728x90 Default Web Ad</v>
      </c>
      <c r="G781" t="str">
        <f t="shared" si="178"/>
        <v>297012945</v>
      </c>
      <c r="H781" t="str">
        <f t="shared" si="179"/>
        <v>Display</v>
      </c>
      <c r="I781">
        <f t="shared" si="180"/>
        <v>21574</v>
      </c>
      <c r="J781">
        <f t="shared" si="181"/>
        <v>38</v>
      </c>
      <c r="K781" s="4">
        <f t="shared" si="170"/>
        <v>0.04</v>
      </c>
      <c r="L781">
        <f t="shared" si="171"/>
        <v>0.09</v>
      </c>
      <c r="M781" s="4">
        <f t="shared" si="168"/>
        <v>0.86296000000000006</v>
      </c>
      <c r="N781" s="4">
        <f t="shared" si="169"/>
        <v>1.9416599999999999</v>
      </c>
    </row>
    <row r="782" spans="1:14">
      <c r="A782" t="str">
        <f t="shared" si="172"/>
        <v>alp_AlwaysOn_DBM-Estrutura-2015</v>
      </c>
      <c r="B782" t="str">
        <f t="shared" si="173"/>
        <v>Google Brasil</v>
      </c>
      <c r="C782" t="str">
        <f t="shared" si="174"/>
        <v>always-on-Volume|google|dbm|super-banner-728x90</v>
      </c>
      <c r="D782" t="str">
        <f t="shared" si="175"/>
        <v>125047100</v>
      </c>
      <c r="E782" t="str">
        <f t="shared" si="176"/>
        <v>DCO</v>
      </c>
      <c r="F782" t="str">
        <f t="shared" si="177"/>
        <v>728x90_GerouLead_Concessionarias_VOLUME</v>
      </c>
      <c r="G782" t="str">
        <f t="shared" si="178"/>
        <v>299649326</v>
      </c>
      <c r="H782" t="str">
        <f t="shared" si="179"/>
        <v>Rich Media display banner</v>
      </c>
      <c r="I782">
        <f t="shared" si="180"/>
        <v>6814</v>
      </c>
      <c r="J782">
        <f t="shared" si="181"/>
        <v>12</v>
      </c>
      <c r="K782" s="4">
        <f t="shared" si="170"/>
        <v>0.12</v>
      </c>
      <c r="L782">
        <f t="shared" si="171"/>
        <v>7.0000000000000007E-2</v>
      </c>
      <c r="M782" s="4">
        <f t="shared" si="168"/>
        <v>0.81767999999999996</v>
      </c>
      <c r="N782" s="4">
        <f t="shared" si="169"/>
        <v>0.47698000000000002</v>
      </c>
    </row>
    <row r="783" spans="1:14">
      <c r="A783" t="str">
        <f t="shared" si="172"/>
        <v>alp_AlwaysOn_DBM-Estrutura-2015</v>
      </c>
      <c r="B783" t="str">
        <f t="shared" si="173"/>
        <v>Google Brasil</v>
      </c>
      <c r="C783" t="str">
        <f t="shared" si="174"/>
        <v>always-on-Volume|google|dbm|super-banner-728x90</v>
      </c>
      <c r="D783" t="str">
        <f t="shared" si="175"/>
        <v>125047100</v>
      </c>
      <c r="E783" t="str">
        <f t="shared" si="176"/>
        <v>DCO</v>
      </c>
      <c r="F783" t="str">
        <f t="shared" si="177"/>
        <v>728x90_GerouRadar_Radar_VOLUME</v>
      </c>
      <c r="G783" t="str">
        <f t="shared" si="178"/>
        <v>299649329</v>
      </c>
      <c r="H783" t="str">
        <f t="shared" si="179"/>
        <v>Rich Media display banner</v>
      </c>
      <c r="I783">
        <f t="shared" si="180"/>
        <v>2132</v>
      </c>
      <c r="J783">
        <f t="shared" si="181"/>
        <v>11</v>
      </c>
      <c r="K783" s="4">
        <f t="shared" si="170"/>
        <v>0.12</v>
      </c>
      <c r="L783">
        <f t="shared" si="171"/>
        <v>7.0000000000000007E-2</v>
      </c>
      <c r="M783" s="4">
        <f t="shared" si="168"/>
        <v>0.25584000000000001</v>
      </c>
      <c r="N783" s="4">
        <f t="shared" si="169"/>
        <v>0.14924000000000001</v>
      </c>
    </row>
    <row r="784" spans="1:14">
      <c r="A784" t="str">
        <f t="shared" si="172"/>
        <v>alp_AlwaysOn_DBM-Estrutura-2015</v>
      </c>
      <c r="B784" t="str">
        <f t="shared" si="173"/>
        <v>Google Brasil</v>
      </c>
      <c r="C784" t="str">
        <f t="shared" si="174"/>
        <v>always-on-Volume|google|dbm|super-banner-728x90</v>
      </c>
      <c r="D784" t="str">
        <f t="shared" si="175"/>
        <v>125047100</v>
      </c>
      <c r="E784" t="str">
        <f t="shared" si="176"/>
        <v>DCO</v>
      </c>
      <c r="F784" t="str">
        <f t="shared" si="177"/>
        <v>728x90_Prospeccao_Institucional_Condicoes_Produto_VOLUME</v>
      </c>
      <c r="G784" t="str">
        <f t="shared" si="178"/>
        <v>299649327</v>
      </c>
      <c r="H784" t="str">
        <f t="shared" si="179"/>
        <v>Rich Media display banner</v>
      </c>
      <c r="I784">
        <f t="shared" si="180"/>
        <v>2213927</v>
      </c>
      <c r="J784">
        <f t="shared" si="181"/>
        <v>6818</v>
      </c>
      <c r="K784" s="4">
        <f t="shared" si="170"/>
        <v>0.12</v>
      </c>
      <c r="L784">
        <f t="shared" si="171"/>
        <v>7.0000000000000007E-2</v>
      </c>
      <c r="M784" s="4">
        <f t="shared" si="168"/>
        <v>265.67124000000001</v>
      </c>
      <c r="N784" s="4">
        <f t="shared" si="169"/>
        <v>154.97489000000002</v>
      </c>
    </row>
    <row r="785" spans="1:14">
      <c r="A785" t="str">
        <f t="shared" si="172"/>
        <v>alp_AlwaysOn_DBM-Estrutura-2015</v>
      </c>
      <c r="B785" t="str">
        <f t="shared" si="173"/>
        <v>Google Brasil</v>
      </c>
      <c r="C785" t="str">
        <f t="shared" si="174"/>
        <v>always-on-Volume|google|dbm|super-banner-728x90</v>
      </c>
      <c r="D785" t="str">
        <f t="shared" si="175"/>
        <v>125047100</v>
      </c>
      <c r="E785" t="str">
        <f t="shared" si="176"/>
        <v>DCO</v>
      </c>
      <c r="F785" t="str">
        <f t="shared" si="177"/>
        <v>728x90_ViuCarro_Features_Intencao_VOLUME</v>
      </c>
      <c r="G785" t="str">
        <f t="shared" si="178"/>
        <v>302825096</v>
      </c>
      <c r="H785" t="str">
        <f t="shared" si="179"/>
        <v>Rich Media display banner</v>
      </c>
      <c r="I785">
        <f t="shared" si="180"/>
        <v>149730</v>
      </c>
      <c r="J785">
        <f t="shared" si="181"/>
        <v>263</v>
      </c>
      <c r="K785" s="4">
        <f t="shared" si="170"/>
        <v>0.12</v>
      </c>
      <c r="L785">
        <f t="shared" si="171"/>
        <v>7.0000000000000007E-2</v>
      </c>
      <c r="M785" s="4">
        <f t="shared" si="168"/>
        <v>17.967599999999997</v>
      </c>
      <c r="N785" s="4">
        <f t="shared" si="169"/>
        <v>10.4811</v>
      </c>
    </row>
    <row r="786" spans="1:14">
      <c r="A786" t="str">
        <f t="shared" si="172"/>
        <v>alp_AlwaysOn_DBM-Estrutura-2015</v>
      </c>
      <c r="B786" t="str">
        <f t="shared" si="173"/>
        <v>Google Brasil</v>
      </c>
      <c r="C786" t="str">
        <f t="shared" si="174"/>
        <v>always-on-Volume|google|dbm|super-banner-728x90</v>
      </c>
      <c r="D786" t="str">
        <f t="shared" si="175"/>
        <v>125047100</v>
      </c>
      <c r="E786" t="str">
        <f t="shared" si="176"/>
        <v>DCO</v>
      </c>
      <c r="F786" t="str">
        <f t="shared" si="177"/>
        <v>728x90_ViuCarro_Features_VOLUME</v>
      </c>
      <c r="G786" t="str">
        <f t="shared" si="178"/>
        <v>299649330</v>
      </c>
      <c r="H786" t="str">
        <f t="shared" si="179"/>
        <v>Rich Media display banner</v>
      </c>
      <c r="I786">
        <f t="shared" si="180"/>
        <v>705673</v>
      </c>
      <c r="J786">
        <f t="shared" si="181"/>
        <v>654</v>
      </c>
      <c r="K786" s="4">
        <f t="shared" si="170"/>
        <v>0.12</v>
      </c>
      <c r="L786">
        <f t="shared" si="171"/>
        <v>7.0000000000000007E-2</v>
      </c>
      <c r="M786" s="4">
        <f t="shared" si="168"/>
        <v>84.680759999999992</v>
      </c>
      <c r="N786" s="4">
        <f t="shared" si="169"/>
        <v>49.397110000000005</v>
      </c>
    </row>
    <row r="787" spans="1:14">
      <c r="A787" t="str">
        <f t="shared" si="172"/>
        <v>alp_AlwaysOn_Facebook-DPA</v>
      </c>
      <c r="B787" t="str">
        <f t="shared" si="173"/>
        <v>Facebook</v>
      </c>
      <c r="C787" t="str">
        <f t="shared" si="174"/>
        <v>alp_AlwaysOn_Facebook-DPA_facebook_social_ao_ros_cpm_na_pagepost_DPA-Gol-Add-to-Cart_na</v>
      </c>
      <c r="D787" t="str">
        <f t="shared" si="175"/>
        <v>137583130</v>
      </c>
      <c r="E787" t="str">
        <f t="shared" si="176"/>
        <v>Dynamic Click</v>
      </c>
      <c r="F787" t="str">
        <f t="shared" si="177"/>
        <v>alp_AlwaysOn_Facebook-DPA_facebook_social_ao_ros_cpm_na_pagepost_DPA-Gol-Add-to-Cart_na</v>
      </c>
      <c r="G787" t="str">
        <f t="shared" si="178"/>
        <v>309929519</v>
      </c>
      <c r="H787" t="str">
        <f t="shared" si="179"/>
        <v>(not set)</v>
      </c>
      <c r="I787">
        <f t="shared" si="180"/>
        <v>0</v>
      </c>
      <c r="J787">
        <f t="shared" si="181"/>
        <v>3</v>
      </c>
      <c r="K787" s="4">
        <f t="shared" si="170"/>
        <v>3.5000000000000001E-3</v>
      </c>
      <c r="L787">
        <f t="shared" si="171"/>
        <v>0.02</v>
      </c>
      <c r="M787" s="4">
        <f t="shared" si="168"/>
        <v>1.0500000000000001E-2</v>
      </c>
      <c r="N787" s="4">
        <f t="shared" si="169"/>
        <v>0.06</v>
      </c>
    </row>
    <row r="788" spans="1:14">
      <c r="A788" t="str">
        <f t="shared" si="172"/>
        <v>alp_AlwaysOn_Facebook-DPA</v>
      </c>
      <c r="B788" t="str">
        <f t="shared" si="173"/>
        <v>Facebook</v>
      </c>
      <c r="C788" t="str">
        <f t="shared" si="174"/>
        <v>alp_AlwaysOn_Facebook-DPA_facebook_social_ao_ros_cpm_na_pagepost_DPA-Gol-Track-Add-to-Cart_na</v>
      </c>
      <c r="D788" t="str">
        <f t="shared" si="175"/>
        <v>144911939</v>
      </c>
      <c r="E788" t="str">
        <f t="shared" si="176"/>
        <v>Dynamic Click</v>
      </c>
      <c r="F788" t="str">
        <f t="shared" si="177"/>
        <v>alp_AlwaysOn_Facebook-DPA_facebook_social_ao_ros_cpm_na_pagepost_DPA-Gol-Track-Add-to-Cart_na</v>
      </c>
      <c r="G788" t="str">
        <f t="shared" si="178"/>
        <v>316633428</v>
      </c>
      <c r="H788" t="str">
        <f t="shared" si="179"/>
        <v>(not set)</v>
      </c>
      <c r="I788">
        <f t="shared" si="180"/>
        <v>0</v>
      </c>
      <c r="J788">
        <f t="shared" si="181"/>
        <v>1</v>
      </c>
      <c r="K788" s="4">
        <f t="shared" si="170"/>
        <v>3.5000000000000001E-3</v>
      </c>
      <c r="L788">
        <f t="shared" si="171"/>
        <v>0.02</v>
      </c>
      <c r="M788" s="4">
        <f t="shared" si="168"/>
        <v>3.5000000000000001E-3</v>
      </c>
      <c r="N788" s="4">
        <f t="shared" si="169"/>
        <v>0.02</v>
      </c>
    </row>
    <row r="789" spans="1:14">
      <c r="A789" t="str">
        <f t="shared" si="172"/>
        <v>alp_AlwaysOn_Facebook-DPA</v>
      </c>
      <c r="B789" t="str">
        <f t="shared" si="173"/>
        <v>Facebook</v>
      </c>
      <c r="C789" t="str">
        <f t="shared" si="174"/>
        <v>alp_AlwaysOn_Facebook-DPA_facebook_social_ao_ros_cpm_na_pagepost_DPA-Golf-Variant-Add-to-Cart_na</v>
      </c>
      <c r="D789" t="str">
        <f t="shared" si="175"/>
        <v>137583118</v>
      </c>
      <c r="E789" t="str">
        <f t="shared" si="176"/>
        <v>Dynamic Click</v>
      </c>
      <c r="F789" t="str">
        <f t="shared" si="177"/>
        <v>alp_AlwaysOn_Facebook-DPA_facebook_social_ao_ros_cpm_na_pagepost_DPA-Golf-Variant-Add-to-Cart_na</v>
      </c>
      <c r="G789" t="str">
        <f t="shared" si="178"/>
        <v>309929507</v>
      </c>
      <c r="H789" t="str">
        <f t="shared" si="179"/>
        <v>(not set)</v>
      </c>
      <c r="I789">
        <f t="shared" si="180"/>
        <v>0</v>
      </c>
      <c r="J789">
        <f t="shared" si="181"/>
        <v>1</v>
      </c>
      <c r="K789" s="4">
        <f t="shared" si="170"/>
        <v>3.5000000000000001E-3</v>
      </c>
      <c r="L789">
        <f t="shared" si="171"/>
        <v>0.02</v>
      </c>
      <c r="M789" s="4">
        <f t="shared" si="168"/>
        <v>3.5000000000000001E-3</v>
      </c>
      <c r="N789" s="4">
        <f t="shared" si="169"/>
        <v>0.02</v>
      </c>
    </row>
    <row r="790" spans="1:14">
      <c r="A790" t="str">
        <f t="shared" si="172"/>
        <v>alp_AlwaysOn_Facebook-DPA</v>
      </c>
      <c r="B790" t="str">
        <f t="shared" si="173"/>
        <v>Facebook</v>
      </c>
      <c r="C790" t="str">
        <f t="shared" si="174"/>
        <v>alp_AlwaysOn_Facebook-DPA_facebook_social_ao_ros_cpm_na_pagepost_DPA-Jetta-Add-to-Cart_na</v>
      </c>
      <c r="D790" t="str">
        <f t="shared" si="175"/>
        <v>137583126</v>
      </c>
      <c r="E790" t="str">
        <f t="shared" si="176"/>
        <v>Dynamic Click</v>
      </c>
      <c r="F790" t="str">
        <f t="shared" si="177"/>
        <v>alp_AlwaysOn_Facebook-DPA_facebook_social_ao_ros_cpm_na_pagepost_DPA-Jetta-Add-to-Cart_na</v>
      </c>
      <c r="G790" t="str">
        <f t="shared" si="178"/>
        <v>309929515</v>
      </c>
      <c r="H790" t="str">
        <f t="shared" si="179"/>
        <v>(not set)</v>
      </c>
      <c r="I790">
        <f t="shared" si="180"/>
        <v>0</v>
      </c>
      <c r="J790">
        <f t="shared" si="181"/>
        <v>1</v>
      </c>
      <c r="K790" s="4">
        <f t="shared" si="170"/>
        <v>3.5000000000000001E-3</v>
      </c>
      <c r="L790">
        <f t="shared" si="171"/>
        <v>0.02</v>
      </c>
      <c r="M790" s="4">
        <f t="shared" si="168"/>
        <v>3.5000000000000001E-3</v>
      </c>
      <c r="N790" s="4">
        <f t="shared" si="169"/>
        <v>0.02</v>
      </c>
    </row>
    <row r="791" spans="1:14">
      <c r="A791" t="str">
        <f t="shared" si="172"/>
        <v>alp_AlwaysOn_Facebook-DPA</v>
      </c>
      <c r="B791" t="str">
        <f t="shared" si="173"/>
        <v>Facebook</v>
      </c>
      <c r="C791" t="str">
        <f t="shared" si="174"/>
        <v>alp_AlwaysOn_Facebook-DPA_facebook_social_ao_ros_cpm_na_pagepost_DPA-Jetta-View-Content_na</v>
      </c>
      <c r="D791" t="str">
        <f t="shared" si="175"/>
        <v>137193375</v>
      </c>
      <c r="E791" t="str">
        <f t="shared" si="176"/>
        <v>Dynamic Click</v>
      </c>
      <c r="F791" t="str">
        <f t="shared" si="177"/>
        <v>alp_AlwaysOn_Facebook-DPA_facebook_social_ao_ros_cpm_na_pagepost_DPA-Jetta-View-Content_na</v>
      </c>
      <c r="G791" t="str">
        <f t="shared" si="178"/>
        <v>309577095</v>
      </c>
      <c r="H791" t="str">
        <f t="shared" si="179"/>
        <v>(not set)</v>
      </c>
      <c r="I791">
        <f t="shared" si="180"/>
        <v>0</v>
      </c>
      <c r="J791">
        <f t="shared" si="181"/>
        <v>1</v>
      </c>
      <c r="K791" s="4">
        <f t="shared" si="170"/>
        <v>3.5000000000000001E-3</v>
      </c>
      <c r="L791">
        <f t="shared" si="171"/>
        <v>0.02</v>
      </c>
      <c r="M791" s="4">
        <f t="shared" si="168"/>
        <v>3.5000000000000001E-3</v>
      </c>
      <c r="N791" s="4">
        <f t="shared" si="169"/>
        <v>0.02</v>
      </c>
    </row>
    <row r="792" spans="1:14">
      <c r="A792" t="str">
        <f t="shared" si="172"/>
        <v>alp_AlwaysOn_Facebook-DPA</v>
      </c>
      <c r="B792" t="str">
        <f t="shared" si="173"/>
        <v>Facebook</v>
      </c>
      <c r="C792" t="str">
        <f t="shared" si="174"/>
        <v>alp_AlwaysOn_Facebook-DPA_facebook_social_ao_ros_cpm_na_pagepost_DPA-Spacefox-Add-to-Cart_na</v>
      </c>
      <c r="D792" t="str">
        <f t="shared" si="175"/>
        <v>137583117</v>
      </c>
      <c r="E792" t="str">
        <f t="shared" si="176"/>
        <v>Dynamic Click</v>
      </c>
      <c r="F792" t="str">
        <f t="shared" si="177"/>
        <v>alp_AlwaysOn_Facebook-DPA_facebook_social_ao_ros_cpm_na_pagepost_DPA-Spacefox-Add-to-Cart_na</v>
      </c>
      <c r="G792" t="str">
        <f t="shared" si="178"/>
        <v>309929506</v>
      </c>
      <c r="H792" t="str">
        <f t="shared" si="179"/>
        <v>(not set)</v>
      </c>
      <c r="I792">
        <f t="shared" si="180"/>
        <v>0</v>
      </c>
      <c r="J792">
        <f t="shared" si="181"/>
        <v>1</v>
      </c>
      <c r="K792" s="4">
        <f t="shared" si="170"/>
        <v>3.5000000000000001E-3</v>
      </c>
      <c r="L792">
        <f t="shared" si="171"/>
        <v>0.02</v>
      </c>
      <c r="M792" s="4">
        <f t="shared" si="168"/>
        <v>3.5000000000000001E-3</v>
      </c>
      <c r="N792" s="4">
        <f t="shared" si="169"/>
        <v>0.02</v>
      </c>
    </row>
    <row r="793" spans="1:14">
      <c r="A793" t="str">
        <f t="shared" si="172"/>
        <v>alp_AlwaysOn_Facebook-DPA</v>
      </c>
      <c r="B793" t="str">
        <f t="shared" si="173"/>
        <v>Facebook</v>
      </c>
      <c r="C793" t="str">
        <f t="shared" si="174"/>
        <v>always-on-dpa_facebook_newsfeed_dpa-1x1_fox_add-to-cart_por</v>
      </c>
      <c r="D793" t="str">
        <f t="shared" si="175"/>
        <v>138416199</v>
      </c>
      <c r="E793" t="str">
        <f t="shared" si="176"/>
        <v>Dynamic Click</v>
      </c>
      <c r="F793" t="str">
        <f t="shared" si="177"/>
        <v>always-on-dpa_facebook_newsfeed_dpa-1x1_fox_add-to-cart_por</v>
      </c>
      <c r="G793" t="str">
        <f t="shared" si="178"/>
        <v>310737715</v>
      </c>
      <c r="H793" t="str">
        <f t="shared" si="179"/>
        <v>(not set)</v>
      </c>
      <c r="I793">
        <f t="shared" si="180"/>
        <v>0</v>
      </c>
      <c r="J793">
        <f t="shared" si="181"/>
        <v>1</v>
      </c>
      <c r="K793" s="4">
        <f t="shared" si="170"/>
        <v>3.5000000000000001E-3</v>
      </c>
      <c r="L793">
        <f t="shared" si="171"/>
        <v>0.02</v>
      </c>
      <c r="M793" s="4">
        <f t="shared" si="168"/>
        <v>3.5000000000000001E-3</v>
      </c>
      <c r="N793" s="4">
        <f t="shared" si="169"/>
        <v>0.02</v>
      </c>
    </row>
    <row r="794" spans="1:14">
      <c r="A794" t="str">
        <f t="shared" si="172"/>
        <v>alp_AlwaysOn_Facebook-DPA</v>
      </c>
      <c r="B794" t="str">
        <f t="shared" si="173"/>
        <v>Facebook</v>
      </c>
      <c r="C794" t="str">
        <f t="shared" si="174"/>
        <v>always-on-dpa_facebook_newsfeed_dpa-1x1_fox_view-content_por</v>
      </c>
      <c r="D794" t="str">
        <f t="shared" si="175"/>
        <v>138420209</v>
      </c>
      <c r="E794" t="str">
        <f t="shared" si="176"/>
        <v>Dynamic Click</v>
      </c>
      <c r="F794" t="str">
        <f t="shared" si="177"/>
        <v>always-on-dpa_facebook_newsfeed_dpa-1x1_fox_view-content_por</v>
      </c>
      <c r="G794" t="str">
        <f t="shared" si="178"/>
        <v>310735899</v>
      </c>
      <c r="H794" t="str">
        <f t="shared" si="179"/>
        <v>(not set)</v>
      </c>
      <c r="I794">
        <f t="shared" si="180"/>
        <v>0</v>
      </c>
      <c r="J794">
        <f t="shared" si="181"/>
        <v>2</v>
      </c>
      <c r="K794" s="4">
        <f t="shared" si="170"/>
        <v>3.5000000000000001E-3</v>
      </c>
      <c r="L794">
        <f t="shared" si="171"/>
        <v>0.02</v>
      </c>
      <c r="M794" s="4">
        <f t="shared" si="168"/>
        <v>7.0000000000000001E-3</v>
      </c>
      <c r="N794" s="4">
        <f t="shared" si="169"/>
        <v>0.04</v>
      </c>
    </row>
    <row r="795" spans="1:14">
      <c r="A795" t="str">
        <f t="shared" si="172"/>
        <v>alp_AlwaysOn_Facebook-DPA</v>
      </c>
      <c r="B795" t="str">
        <f t="shared" si="173"/>
        <v>Facebook</v>
      </c>
      <c r="C795" t="str">
        <f t="shared" si="174"/>
        <v>always-on-dpa_facebook_newsfeed_dpa-1x1_up-tsi_view-content_por</v>
      </c>
      <c r="D795" t="str">
        <f t="shared" si="175"/>
        <v>139556862</v>
      </c>
      <c r="E795" t="str">
        <f t="shared" si="176"/>
        <v>Dynamic Click</v>
      </c>
      <c r="F795" t="str">
        <f t="shared" si="177"/>
        <v>always-on-dpa_facebook_newsfeed_dpa-1x1_up-tsi_view-content_por</v>
      </c>
      <c r="G795" t="str">
        <f t="shared" si="178"/>
        <v>311808439</v>
      </c>
      <c r="H795" t="str">
        <f t="shared" si="179"/>
        <v>(not set)</v>
      </c>
      <c r="I795">
        <f t="shared" si="180"/>
        <v>0</v>
      </c>
      <c r="J795">
        <f t="shared" si="181"/>
        <v>1</v>
      </c>
      <c r="K795" s="4">
        <f t="shared" si="170"/>
        <v>3.5000000000000001E-3</v>
      </c>
      <c r="L795">
        <f t="shared" si="171"/>
        <v>0.02</v>
      </c>
      <c r="M795" s="4">
        <f t="shared" si="168"/>
        <v>3.5000000000000001E-3</v>
      </c>
      <c r="N795" s="4">
        <f t="shared" si="169"/>
        <v>0.02</v>
      </c>
    </row>
    <row r="796" spans="1:14">
      <c r="A796" t="str">
        <f t="shared" si="172"/>
        <v>alp_AlwaysOn_Facebook-DPA</v>
      </c>
      <c r="B796" t="str">
        <f t="shared" si="173"/>
        <v>Facebook</v>
      </c>
      <c r="C796" t="str">
        <f t="shared" si="174"/>
        <v>always-on-dpa_facebook_newsfeed_dpa-1x1_up_view-content_por</v>
      </c>
      <c r="D796" t="str">
        <f t="shared" si="175"/>
        <v>139556480</v>
      </c>
      <c r="E796" t="str">
        <f t="shared" si="176"/>
        <v>Dynamic Click</v>
      </c>
      <c r="F796" t="str">
        <f t="shared" si="177"/>
        <v>always-on-dpa_facebook_newsfeed_dpa-1x1_up_view-content_por</v>
      </c>
      <c r="G796" t="str">
        <f t="shared" si="178"/>
        <v>311807950</v>
      </c>
      <c r="H796" t="str">
        <f t="shared" si="179"/>
        <v>(not set)</v>
      </c>
      <c r="I796">
        <f t="shared" si="180"/>
        <v>0</v>
      </c>
      <c r="J796">
        <f t="shared" si="181"/>
        <v>1</v>
      </c>
      <c r="K796" s="4">
        <f t="shared" si="170"/>
        <v>3.5000000000000001E-3</v>
      </c>
      <c r="L796">
        <f t="shared" si="171"/>
        <v>0.02</v>
      </c>
      <c r="M796" s="4">
        <f t="shared" si="168"/>
        <v>3.5000000000000001E-3</v>
      </c>
      <c r="N796" s="4">
        <f t="shared" si="169"/>
        <v>0.02</v>
      </c>
    </row>
    <row r="797" spans="1:14">
      <c r="A797" t="str">
        <f t="shared" si="172"/>
        <v>alp_AlwaysOn_Yahoo-Native</v>
      </c>
      <c r="B797" t="str">
        <f t="shared" si="173"/>
        <v>yahoo.com.br</v>
      </c>
      <c r="C797" t="str">
        <f t="shared" si="174"/>
        <v>alp_AlwaysOn_Yahoo-Native_yahoo_network_always-on_ros_cpc_N/A_nativeads_fox_N/A</v>
      </c>
      <c r="D797" t="str">
        <f t="shared" si="175"/>
        <v>135137335</v>
      </c>
      <c r="E797" t="str">
        <f t="shared" si="176"/>
        <v>Dynamic Click</v>
      </c>
      <c r="F797" t="str">
        <f t="shared" si="177"/>
        <v>alp_AlwaysOn_Yahoo-Native_yahoo_network_always-on_ros_cpc_N/A_nativeads_fox_N/A</v>
      </c>
      <c r="G797" t="str">
        <f t="shared" si="178"/>
        <v>307676952</v>
      </c>
      <c r="H797" t="str">
        <f t="shared" si="179"/>
        <v>(not set)</v>
      </c>
      <c r="I797">
        <f t="shared" si="180"/>
        <v>0</v>
      </c>
      <c r="J797">
        <f t="shared" si="181"/>
        <v>6</v>
      </c>
      <c r="K797" s="4">
        <f t="shared" si="170"/>
        <v>3.5000000000000001E-3</v>
      </c>
      <c r="L797">
        <f t="shared" si="171"/>
        <v>0.02</v>
      </c>
      <c r="M797" s="4">
        <f t="shared" si="168"/>
        <v>2.1000000000000001E-2</v>
      </c>
      <c r="N797" s="4">
        <f t="shared" si="169"/>
        <v>0.12</v>
      </c>
    </row>
    <row r="798" spans="1:14">
      <c r="A798" t="str">
        <f t="shared" si="172"/>
        <v>alp_AlwaysOn_Yahoo-Native</v>
      </c>
      <c r="B798" t="str">
        <f t="shared" si="173"/>
        <v>yahoo.com.br</v>
      </c>
      <c r="C798" t="str">
        <f t="shared" si="174"/>
        <v>alp_AlwaysOn_Yahoo-Native_yahoo_network_always-on_ros_cpc_N/A_nativeads_gol_N/A</v>
      </c>
      <c r="D798" t="str">
        <f t="shared" si="175"/>
        <v>131662158</v>
      </c>
      <c r="E798" t="str">
        <f t="shared" si="176"/>
        <v>Dynamic Click</v>
      </c>
      <c r="F798" t="str">
        <f t="shared" si="177"/>
        <v>alp_AlwaysOn_Yahoo-Native_yahoo_network_always-on_ros_cpc_N/A_nativeads_gol_N/A</v>
      </c>
      <c r="G798" t="str">
        <f t="shared" si="178"/>
        <v>304325047</v>
      </c>
      <c r="H798" t="str">
        <f t="shared" si="179"/>
        <v>(not set)</v>
      </c>
      <c r="I798">
        <f t="shared" si="180"/>
        <v>0</v>
      </c>
      <c r="J798">
        <f t="shared" si="181"/>
        <v>1</v>
      </c>
      <c r="K798" s="4">
        <f t="shared" si="170"/>
        <v>3.5000000000000001E-3</v>
      </c>
      <c r="L798">
        <f t="shared" si="171"/>
        <v>0.02</v>
      </c>
      <c r="M798" s="4">
        <f t="shared" si="168"/>
        <v>3.5000000000000001E-3</v>
      </c>
      <c r="N798" s="4">
        <f t="shared" si="169"/>
        <v>0.02</v>
      </c>
    </row>
    <row r="799" spans="1:14">
      <c r="A799" t="str">
        <f t="shared" si="172"/>
        <v>alp_AlwaysOn_Yahoo-Native</v>
      </c>
      <c r="B799" t="str">
        <f t="shared" si="173"/>
        <v>yahoo.com.br</v>
      </c>
      <c r="C799" t="str">
        <f t="shared" si="174"/>
        <v>alp_AlwaysOn_Yahoo-Native_yahoo_network_always-on_ros_cpc_N/A_nativeads_spacefox_N/A</v>
      </c>
      <c r="D799" t="str">
        <f t="shared" si="175"/>
        <v>140266015</v>
      </c>
      <c r="E799" t="str">
        <f t="shared" si="176"/>
        <v>Dynamic Click</v>
      </c>
      <c r="F799" t="str">
        <f t="shared" si="177"/>
        <v>alp_AlwaysOn_Yahoo-Native_yahoo_network_always-on_ros_cpc_N/A_nativeads_spacefox_N/A</v>
      </c>
      <c r="G799" t="str">
        <f t="shared" si="178"/>
        <v>312479272</v>
      </c>
      <c r="H799" t="str">
        <f t="shared" si="179"/>
        <v>(not set)</v>
      </c>
      <c r="I799">
        <f t="shared" si="180"/>
        <v>0</v>
      </c>
      <c r="J799">
        <f t="shared" si="181"/>
        <v>2</v>
      </c>
      <c r="K799" s="4">
        <f t="shared" si="170"/>
        <v>3.5000000000000001E-3</v>
      </c>
      <c r="L799">
        <f t="shared" si="171"/>
        <v>0.02</v>
      </c>
      <c r="M799" s="4">
        <f t="shared" si="168"/>
        <v>7.0000000000000001E-3</v>
      </c>
      <c r="N799" s="4">
        <f t="shared" si="169"/>
        <v>0.04</v>
      </c>
    </row>
    <row r="800" spans="1:14">
      <c r="A800" t="str">
        <f t="shared" si="172"/>
        <v>alp_AlwaysOn_Yahoo-Native</v>
      </c>
      <c r="B800" t="str">
        <f t="shared" si="173"/>
        <v>yahoo.com.br</v>
      </c>
      <c r="C800" t="str">
        <f t="shared" si="174"/>
        <v>alp_AlwaysOn_Yahoo-Native_yahoo_network_always-on_ros_cpc_N/A_nativeads_voyage_N/A</v>
      </c>
      <c r="D800" t="str">
        <f t="shared" si="175"/>
        <v>135140813</v>
      </c>
      <c r="E800" t="str">
        <f t="shared" si="176"/>
        <v>Dynamic Click</v>
      </c>
      <c r="F800" t="str">
        <f t="shared" si="177"/>
        <v>alp_AlwaysOn_Yahoo-Native_yahoo_network_always-on_ros_cpc_N/A_nativeads_voyage_N/A</v>
      </c>
      <c r="G800" t="str">
        <f t="shared" si="178"/>
        <v>307672365</v>
      </c>
      <c r="H800" t="str">
        <f t="shared" si="179"/>
        <v>(not set)</v>
      </c>
      <c r="I800">
        <f t="shared" si="180"/>
        <v>0</v>
      </c>
      <c r="J800">
        <f t="shared" si="181"/>
        <v>4</v>
      </c>
      <c r="K800" s="4">
        <f t="shared" si="170"/>
        <v>3.5000000000000001E-3</v>
      </c>
      <c r="L800">
        <f t="shared" si="171"/>
        <v>0.02</v>
      </c>
      <c r="M800" s="4">
        <f t="shared" si="168"/>
        <v>1.4E-2</v>
      </c>
      <c r="N800" s="4">
        <f t="shared" si="169"/>
        <v>0.08</v>
      </c>
    </row>
    <row r="801" spans="1:14">
      <c r="A801" t="str">
        <f t="shared" si="172"/>
        <v>alp_AlwaysOn_Yahoo-Native</v>
      </c>
      <c r="B801" t="str">
        <f t="shared" si="173"/>
        <v>yahoo.com.br</v>
      </c>
      <c r="C801" t="str">
        <f t="shared" si="174"/>
        <v>alp_AlwaysOn_Yahoo-Native_yahoo_network_always-on_ros_cpc_prospecting_nativeads_spacefox_N/A</v>
      </c>
      <c r="D801" t="str">
        <f t="shared" si="175"/>
        <v>144133799</v>
      </c>
      <c r="E801" t="str">
        <f>VLOOKUP(CONCATENATE(bd_adtype,"_",bd_creativetype),tabela,2,FALSE)</f>
        <v>Dynamic Click</v>
      </c>
      <c r="F801" t="str">
        <f t="shared" si="177"/>
        <v>alp_AlwaysOn_Yahoo-Native_yahoo_network_always-on_ros_cpc_prospecting_nativeads_spacefox_N/A</v>
      </c>
      <c r="G801" t="str">
        <f t="shared" si="178"/>
        <v>315994379</v>
      </c>
      <c r="H801" t="str">
        <f t="shared" si="179"/>
        <v>(not set)</v>
      </c>
      <c r="I801">
        <f t="shared" si="180"/>
        <v>0</v>
      </c>
      <c r="J801">
        <f t="shared" si="181"/>
        <v>2</v>
      </c>
      <c r="K801" s="4">
        <f t="shared" si="170"/>
        <v>3.5000000000000001E-3</v>
      </c>
      <c r="L801">
        <f t="shared" si="171"/>
        <v>0.02</v>
      </c>
      <c r="M801" s="4">
        <f t="shared" si="168"/>
        <v>7.0000000000000001E-3</v>
      </c>
      <c r="N801" s="4">
        <f t="shared" si="169"/>
        <v>0.04</v>
      </c>
    </row>
    <row r="802" spans="1:14">
      <c r="A802" t="str">
        <f t="shared" si="172"/>
        <v>alp_AlwaysOn_Yahoo-Native</v>
      </c>
      <c r="B802" t="str">
        <f t="shared" si="173"/>
        <v>yahoo.com.br</v>
      </c>
      <c r="C802" t="str">
        <f t="shared" si="174"/>
        <v>alp_AlwaysOn_Yahoo-Native_yahoo_network_always-on_ros_cpc_remarketing_nativeads_fox_N/A</v>
      </c>
      <c r="D802" t="str">
        <f t="shared" si="175"/>
        <v>149160878</v>
      </c>
      <c r="E802" t="str">
        <f t="shared" si="176"/>
        <v>Dynamic Click</v>
      </c>
      <c r="F802" t="str">
        <f t="shared" si="177"/>
        <v>alp_AlwaysOn_Yahoo-Native_yahoo_network_always-on_ros_cpc_remarketing_nativeads_fox_N/A</v>
      </c>
      <c r="G802" t="str">
        <f t="shared" si="178"/>
        <v>320175812</v>
      </c>
      <c r="H802" t="str">
        <f t="shared" si="179"/>
        <v>(not set)</v>
      </c>
      <c r="I802">
        <f t="shared" si="180"/>
        <v>0</v>
      </c>
      <c r="J802">
        <f t="shared" si="181"/>
        <v>2</v>
      </c>
      <c r="K802" s="4">
        <f t="shared" si="170"/>
        <v>3.5000000000000001E-3</v>
      </c>
      <c r="L802">
        <f t="shared" si="171"/>
        <v>0.02</v>
      </c>
      <c r="M802" s="4">
        <f t="shared" ref="M802:M865" si="182">IF(E802="Dynamic Click",J802*K802,K802*$I802/1000)</f>
        <v>7.0000000000000001E-3</v>
      </c>
      <c r="N802" s="4">
        <f t="shared" ref="N802:N865" si="183">IF(E802="Dynamic Click",J802*L802,L802*$I802/1000)</f>
        <v>0.04</v>
      </c>
    </row>
    <row r="803" spans="1:14">
      <c r="A803" t="str">
        <f t="shared" si="172"/>
        <v>alp_AlwaysOn_Yahoo-Native</v>
      </c>
      <c r="B803" t="str">
        <f t="shared" si="173"/>
        <v>yahoo.com.br</v>
      </c>
      <c r="C803" t="str">
        <f t="shared" si="174"/>
        <v>alp_AlwaysOn_Yahoo-Native_yahoo_network_always-on_ros_cpc_remarketing_nativeads_gol_N/A</v>
      </c>
      <c r="D803" t="str">
        <f t="shared" si="175"/>
        <v>149160879</v>
      </c>
      <c r="E803" t="str">
        <f t="shared" si="176"/>
        <v>Dynamic Click</v>
      </c>
      <c r="F803" t="str">
        <f t="shared" si="177"/>
        <v>alp_AlwaysOn_Yahoo-Native_yahoo_network_always-on_ros_cpc_remarketing_nativeads_gol_N/A</v>
      </c>
      <c r="G803" t="str">
        <f t="shared" si="178"/>
        <v>320175813</v>
      </c>
      <c r="H803" t="str">
        <f t="shared" si="179"/>
        <v>(not set)</v>
      </c>
      <c r="I803">
        <f t="shared" si="180"/>
        <v>0</v>
      </c>
      <c r="J803">
        <f t="shared" si="181"/>
        <v>5</v>
      </c>
      <c r="K803" s="4">
        <f t="shared" si="170"/>
        <v>3.5000000000000001E-3</v>
      </c>
      <c r="L803">
        <f t="shared" si="171"/>
        <v>0.02</v>
      </c>
      <c r="M803" s="4">
        <f t="shared" si="182"/>
        <v>1.7500000000000002E-2</v>
      </c>
      <c r="N803" s="4">
        <f t="shared" si="183"/>
        <v>0.1</v>
      </c>
    </row>
    <row r="804" spans="1:14">
      <c r="A804" t="str">
        <f t="shared" si="172"/>
        <v>alp_AlwaysOn_Yahoo-Native</v>
      </c>
      <c r="B804" t="str">
        <f t="shared" si="173"/>
        <v>yahoo.com.br</v>
      </c>
      <c r="C804" t="str">
        <f t="shared" si="174"/>
        <v>alp_AlwaysOn_Yahoo-Native_yahoo_network_always-on_ros_cpc_remarketing_nativeads_golf_N/A</v>
      </c>
      <c r="D804" t="str">
        <f t="shared" si="175"/>
        <v>149160886</v>
      </c>
      <c r="E804" t="str">
        <f t="shared" si="176"/>
        <v>Dynamic Click</v>
      </c>
      <c r="F804" t="str">
        <f t="shared" si="177"/>
        <v>alp_AlwaysOn_Yahoo-Native_yahoo_network_always-on_ros_cpc_remarketing_nativeads_golf_N/A</v>
      </c>
      <c r="G804" t="str">
        <f t="shared" si="178"/>
        <v>320175820</v>
      </c>
      <c r="H804" t="str">
        <f t="shared" si="179"/>
        <v>(not set)</v>
      </c>
      <c r="I804">
        <f t="shared" si="180"/>
        <v>0</v>
      </c>
      <c r="J804">
        <f t="shared" si="181"/>
        <v>1</v>
      </c>
      <c r="K804" s="4">
        <f t="shared" si="170"/>
        <v>3.5000000000000001E-3</v>
      </c>
      <c r="L804">
        <f t="shared" si="171"/>
        <v>0.02</v>
      </c>
      <c r="M804" s="4">
        <f t="shared" si="182"/>
        <v>3.5000000000000001E-3</v>
      </c>
      <c r="N804" s="4">
        <f t="shared" si="183"/>
        <v>0.02</v>
      </c>
    </row>
    <row r="805" spans="1:14">
      <c r="A805" t="str">
        <f t="shared" si="172"/>
        <v>alp_AlwaysOn_Yahoo-Native</v>
      </c>
      <c r="B805" t="str">
        <f t="shared" si="173"/>
        <v>yahoo.com.br</v>
      </c>
      <c r="C805" t="str">
        <f t="shared" si="174"/>
        <v>alp_AlwaysOn_Yahoo-Native_yahoo_network_always-on_ros_cpc_remarketing_nativeads_jetta_N/A</v>
      </c>
      <c r="D805" t="str">
        <f t="shared" si="175"/>
        <v>149160884</v>
      </c>
      <c r="E805" t="str">
        <f t="shared" si="176"/>
        <v>Dynamic Click</v>
      </c>
      <c r="F805" t="str">
        <f t="shared" si="177"/>
        <v>alp_AlwaysOn_Yahoo-Native_yahoo_network_always-on_ros_cpc_remarketing_nativeads_jetta_N/A</v>
      </c>
      <c r="G805" t="str">
        <f t="shared" si="178"/>
        <v>320175818</v>
      </c>
      <c r="H805" t="str">
        <f t="shared" si="179"/>
        <v>(not set)</v>
      </c>
      <c r="I805">
        <f t="shared" si="180"/>
        <v>0</v>
      </c>
      <c r="J805">
        <f t="shared" si="181"/>
        <v>17547</v>
      </c>
      <c r="K805" s="4">
        <f t="shared" si="170"/>
        <v>3.5000000000000001E-3</v>
      </c>
      <c r="L805">
        <f t="shared" si="171"/>
        <v>0.02</v>
      </c>
      <c r="M805" s="4">
        <f t="shared" si="182"/>
        <v>61.414500000000004</v>
      </c>
      <c r="N805" s="4">
        <f t="shared" si="183"/>
        <v>350.94</v>
      </c>
    </row>
    <row r="806" spans="1:14">
      <c r="A806" t="str">
        <f t="shared" si="172"/>
        <v>alp_AlwaysOn_Yahoo-Native</v>
      </c>
      <c r="B806" t="str">
        <f t="shared" si="173"/>
        <v>yahoo.com.br</v>
      </c>
      <c r="C806" t="str">
        <f t="shared" si="174"/>
        <v>alp_AlwaysOn_Yahoo-Native_yahoo_network_always-on_ros_cpc_remarketing_nativeads_passat_N/A</v>
      </c>
      <c r="D806" t="str">
        <f t="shared" si="175"/>
        <v>149160888</v>
      </c>
      <c r="E806" t="str">
        <f t="shared" si="176"/>
        <v>Dynamic Click</v>
      </c>
      <c r="F806" t="str">
        <f t="shared" si="177"/>
        <v>alp_AlwaysOn_Yahoo-Native_yahoo_network_always-on_ros_cpc_remarketing_nativeads_passat_N/A</v>
      </c>
      <c r="G806" t="str">
        <f t="shared" si="178"/>
        <v>320175822</v>
      </c>
      <c r="H806" t="str">
        <f t="shared" si="179"/>
        <v>(not set)</v>
      </c>
      <c r="I806">
        <f t="shared" si="180"/>
        <v>0</v>
      </c>
      <c r="J806">
        <f t="shared" si="181"/>
        <v>4</v>
      </c>
      <c r="K806" s="4">
        <f t="shared" si="170"/>
        <v>3.5000000000000001E-3</v>
      </c>
      <c r="L806">
        <f t="shared" si="171"/>
        <v>0.02</v>
      </c>
      <c r="M806" s="4">
        <f t="shared" si="182"/>
        <v>1.4E-2</v>
      </c>
      <c r="N806" s="4">
        <f t="shared" si="183"/>
        <v>0.08</v>
      </c>
    </row>
    <row r="807" spans="1:14">
      <c r="A807" t="str">
        <f t="shared" si="172"/>
        <v>alp_AlwaysOn_Yahoo-Native</v>
      </c>
      <c r="B807" t="str">
        <f t="shared" si="173"/>
        <v>yahoo.com.br</v>
      </c>
      <c r="C807" t="str">
        <f t="shared" si="174"/>
        <v>alp_AlwaysOn_Yahoo-Native_yahoo_network_always-on_ros_cpc_remarketing_nativeads_saveiro_N/A</v>
      </c>
      <c r="D807" t="str">
        <f t="shared" si="175"/>
        <v>149160877</v>
      </c>
      <c r="E807" t="str">
        <f t="shared" si="176"/>
        <v>Dynamic Click</v>
      </c>
      <c r="F807" t="str">
        <f t="shared" si="177"/>
        <v>alp_AlwaysOn_Yahoo-Native_yahoo_network_always-on_ros_cpc_remarketing_nativeads_saveiro_N/A</v>
      </c>
      <c r="G807" t="str">
        <f t="shared" si="178"/>
        <v>320175811</v>
      </c>
      <c r="H807" t="str">
        <f t="shared" si="179"/>
        <v>(not set)</v>
      </c>
      <c r="I807">
        <f t="shared" si="180"/>
        <v>0</v>
      </c>
      <c r="J807">
        <f t="shared" si="181"/>
        <v>34</v>
      </c>
      <c r="K807" s="4">
        <f t="shared" si="170"/>
        <v>3.5000000000000001E-3</v>
      </c>
      <c r="L807">
        <f t="shared" si="171"/>
        <v>0.02</v>
      </c>
      <c r="M807" s="4">
        <f t="shared" si="182"/>
        <v>0.11900000000000001</v>
      </c>
      <c r="N807" s="4">
        <f t="shared" si="183"/>
        <v>0.68</v>
      </c>
    </row>
    <row r="808" spans="1:14">
      <c r="A808" t="str">
        <f t="shared" si="172"/>
        <v>alp_Amarok-Extreme</v>
      </c>
      <c r="B808" t="str">
        <f t="shared" si="173"/>
        <v>BR UOL.</v>
      </c>
      <c r="C808" t="str">
        <f t="shared" si="174"/>
        <v>alp_Amarok-Extreme_uol_horizontal_lancamento_ROS_cpm_prospecting_300x250_Amarok-Extreme_Vw-lights</v>
      </c>
      <c r="D808" t="str">
        <f t="shared" si="175"/>
        <v>226534280</v>
      </c>
      <c r="E808" t="str">
        <f t="shared" si="176"/>
        <v>Standard</v>
      </c>
      <c r="F808" t="str">
        <f t="shared" si="177"/>
        <v>alp_Amarok-Extreme_uol_horizontal_lancamento_ROS_cpm_prospecting_300x250_Amarok-Extreme_Vw-lights</v>
      </c>
      <c r="G808" t="str">
        <f t="shared" si="178"/>
        <v>424686755</v>
      </c>
      <c r="H808" t="str">
        <f t="shared" si="179"/>
        <v>Tracking</v>
      </c>
      <c r="I808">
        <f t="shared" si="180"/>
        <v>4</v>
      </c>
      <c r="J808">
        <f t="shared" si="181"/>
        <v>0</v>
      </c>
      <c r="K808" s="4">
        <f t="shared" si="170"/>
        <v>0.04</v>
      </c>
      <c r="L808">
        <f t="shared" si="171"/>
        <v>0.09</v>
      </c>
      <c r="M808" s="4">
        <f t="shared" si="182"/>
        <v>1.6000000000000001E-4</v>
      </c>
      <c r="N808" s="4">
        <f t="shared" si="183"/>
        <v>3.5999999999999997E-4</v>
      </c>
    </row>
    <row r="809" spans="1:14">
      <c r="A809" t="str">
        <f t="shared" si="172"/>
        <v>alp_Amarok-Extreme</v>
      </c>
      <c r="B809" t="str">
        <f t="shared" si="173"/>
        <v>BR UOL.</v>
      </c>
      <c r="C809" t="str">
        <f t="shared" si="174"/>
        <v>alp_Amarok-Extreme_uol_horizontal_lancamento_ROS_cpm_prospecting_728x90_Amarok-Extreme_Vw-lights</v>
      </c>
      <c r="D809" t="str">
        <f t="shared" si="175"/>
        <v>226774026</v>
      </c>
      <c r="E809" t="str">
        <f t="shared" si="176"/>
        <v>Standard</v>
      </c>
      <c r="F809" t="str">
        <f t="shared" si="177"/>
        <v>alp_Amarok-Extreme_uol_horizontal_lancamento_ROS_cpm_prospecting_728x90_Amarok-Extreme_Vw-lights</v>
      </c>
      <c r="G809" t="str">
        <f t="shared" si="178"/>
        <v>424686734</v>
      </c>
      <c r="H809" t="str">
        <f t="shared" si="179"/>
        <v>Tracking</v>
      </c>
      <c r="I809">
        <f t="shared" si="180"/>
        <v>1</v>
      </c>
      <c r="J809">
        <f t="shared" si="181"/>
        <v>0</v>
      </c>
      <c r="K809" s="4">
        <f t="shared" si="170"/>
        <v>0.04</v>
      </c>
      <c r="L809">
        <f t="shared" si="171"/>
        <v>0.09</v>
      </c>
      <c r="M809" s="4">
        <f t="shared" si="182"/>
        <v>4.0000000000000003E-5</v>
      </c>
      <c r="N809" s="4">
        <f t="shared" si="183"/>
        <v>8.9999999999999992E-5</v>
      </c>
    </row>
    <row r="810" spans="1:14">
      <c r="A810" t="str">
        <f t="shared" si="172"/>
        <v>alp_Amarok-Extreme</v>
      </c>
      <c r="B810" t="str">
        <f t="shared" si="173"/>
        <v>BR UOL.</v>
      </c>
      <c r="C810" t="str">
        <f t="shared" si="174"/>
        <v>alp_Amarok-Extreme_uol_horizontal_lancamento_ROS_cpm_prospecting_970x90_Amarok-Extreme_Vw-lights</v>
      </c>
      <c r="D810" t="str">
        <f t="shared" si="175"/>
        <v>226534268</v>
      </c>
      <c r="E810" t="str">
        <f t="shared" si="176"/>
        <v>Standard</v>
      </c>
      <c r="F810" t="str">
        <f t="shared" si="177"/>
        <v>alp_Amarok-Extreme_uol_horizontal_lancamento_ROS_cpm_prospecting_970x90_Amarok-Extreme_Vw-lights</v>
      </c>
      <c r="G810" t="str">
        <f t="shared" si="178"/>
        <v>424686743</v>
      </c>
      <c r="H810" t="str">
        <f t="shared" si="179"/>
        <v>Tracking</v>
      </c>
      <c r="I810">
        <f t="shared" si="180"/>
        <v>1</v>
      </c>
      <c r="J810">
        <f t="shared" si="181"/>
        <v>0</v>
      </c>
      <c r="K810" s="4">
        <f t="shared" si="170"/>
        <v>0.04</v>
      </c>
      <c r="L810">
        <f t="shared" si="171"/>
        <v>0.09</v>
      </c>
      <c r="M810" s="4">
        <f t="shared" si="182"/>
        <v>4.0000000000000003E-5</v>
      </c>
      <c r="N810" s="4">
        <f t="shared" si="183"/>
        <v>8.9999999999999992E-5</v>
      </c>
    </row>
    <row r="811" spans="1:14">
      <c r="A811" t="str">
        <f t="shared" si="172"/>
        <v>alp_Amarok-Extreme</v>
      </c>
      <c r="B811" t="str">
        <f t="shared" si="173"/>
        <v>BR Webmotors</v>
      </c>
      <c r="C811" t="str">
        <f t="shared" si="174"/>
        <v>alp_Amarok-Extreme_webmotors_horizontal_lancamento_ROS_cpm_prospecting_728×90_Amarok-Extreme_Vw-lights</v>
      </c>
      <c r="D811" t="str">
        <f t="shared" si="175"/>
        <v>226529846</v>
      </c>
      <c r="E811" t="str">
        <f t="shared" si="176"/>
        <v>Standard</v>
      </c>
      <c r="F811" t="str">
        <f t="shared" si="177"/>
        <v>alp_Amarok-Extreme_webmotors_horizontal_lancamento_ROS_cpm_prospecting_728×90_Amarok-Extreme_Vw-lights</v>
      </c>
      <c r="G811" t="str">
        <f t="shared" si="178"/>
        <v>424654137</v>
      </c>
      <c r="H811" t="str">
        <f t="shared" si="179"/>
        <v>Tracking</v>
      </c>
      <c r="I811">
        <f t="shared" si="180"/>
        <v>1</v>
      </c>
      <c r="J811">
        <f t="shared" si="181"/>
        <v>0</v>
      </c>
      <c r="K811" s="4">
        <f t="shared" si="170"/>
        <v>0.04</v>
      </c>
      <c r="L811">
        <f t="shared" si="171"/>
        <v>0.09</v>
      </c>
      <c r="M811" s="4">
        <f t="shared" si="182"/>
        <v>4.0000000000000003E-5</v>
      </c>
      <c r="N811" s="4">
        <f t="shared" si="183"/>
        <v>8.9999999999999992E-5</v>
      </c>
    </row>
    <row r="812" spans="1:14">
      <c r="A812" t="str">
        <f t="shared" si="172"/>
        <v>alp_Amarok-Extreme</v>
      </c>
      <c r="B812" t="str">
        <f t="shared" si="173"/>
        <v>Facebook</v>
      </c>
      <c r="C812" t="str">
        <f t="shared" si="174"/>
        <v>alp_Amarok-Extreme_facebook_Social_amarok-extreme_facebook_cpm_prospecting_pagepost_Amarok-Extreme-UFC-sabado_amc-open</v>
      </c>
      <c r="D812" t="str">
        <f t="shared" si="175"/>
        <v>229887084</v>
      </c>
      <c r="E812" t="str">
        <f t="shared" si="176"/>
        <v>Dynamic Click</v>
      </c>
      <c r="F812" t="str">
        <f t="shared" si="177"/>
        <v>alp_Amarok-Extreme_facebook_Social_amarok-extreme_facebook_cpm_prospecting_pagepost_Amarok-Extreme-UFC-sabado_amc-open</v>
      </c>
      <c r="G812" t="str">
        <f t="shared" si="178"/>
        <v>427644675</v>
      </c>
      <c r="H812" t="str">
        <f t="shared" si="179"/>
        <v>Tracking</v>
      </c>
      <c r="I812">
        <f t="shared" si="180"/>
        <v>0</v>
      </c>
      <c r="J812">
        <f t="shared" si="181"/>
        <v>3</v>
      </c>
      <c r="K812" s="4">
        <f t="shared" ref="K812:K875" si="184">IF(LEFT(B812,3)="DBM",0,VLOOKUP(E812,tabela,2,FALSE))</f>
        <v>3.5000000000000001E-3</v>
      </c>
      <c r="L812">
        <f t="shared" ref="L812:L875" si="185">VLOOKUP(E812,tabela,3,FALSE)</f>
        <v>0.02</v>
      </c>
      <c r="M812" s="4">
        <f t="shared" si="182"/>
        <v>1.0500000000000001E-2</v>
      </c>
      <c r="N812" s="4">
        <f t="shared" si="183"/>
        <v>0.06</v>
      </c>
    </row>
    <row r="813" spans="1:14">
      <c r="A813" t="str">
        <f t="shared" si="172"/>
        <v>alp_Amarok-Extreme</v>
      </c>
      <c r="B813" t="str">
        <f t="shared" si="173"/>
        <v>Facebook</v>
      </c>
      <c r="C813" t="str">
        <f t="shared" si="174"/>
        <v>alp_Amarok-Extreme_facebook_Social_amarok-extreme_facebook_cpm_prospecting_pagepost_Amarok-Extreme-UFC-sexta_amc-open</v>
      </c>
      <c r="D813" t="str">
        <f t="shared" si="175"/>
        <v>229731898</v>
      </c>
      <c r="E813" t="str">
        <f t="shared" si="176"/>
        <v>Dynamic Click</v>
      </c>
      <c r="F813" t="str">
        <f t="shared" si="177"/>
        <v>alp_Amarok-Extreme_facebook_Social_amarok-extreme_facebook_cpm_prospecting_pagepost_Amarok-Extreme-UFC-sexta_amc-open</v>
      </c>
      <c r="G813" t="str">
        <f t="shared" si="178"/>
        <v>427644150</v>
      </c>
      <c r="H813" t="str">
        <f t="shared" si="179"/>
        <v>Tracking</v>
      </c>
      <c r="I813">
        <f t="shared" si="180"/>
        <v>0</v>
      </c>
      <c r="J813">
        <f t="shared" si="181"/>
        <v>1</v>
      </c>
      <c r="K813" s="4">
        <f t="shared" si="184"/>
        <v>3.5000000000000001E-3</v>
      </c>
      <c r="L813">
        <f t="shared" si="185"/>
        <v>0.02</v>
      </c>
      <c r="M813" s="4">
        <f t="shared" si="182"/>
        <v>3.5000000000000001E-3</v>
      </c>
      <c r="N813" s="4">
        <f t="shared" si="183"/>
        <v>0.02</v>
      </c>
    </row>
    <row r="814" spans="1:14">
      <c r="A814" t="str">
        <f t="shared" si="172"/>
        <v>alp_Amarok-Extreme</v>
      </c>
      <c r="B814" t="str">
        <f t="shared" si="173"/>
        <v>Facebook</v>
      </c>
      <c r="C814" t="str">
        <f t="shared" si="174"/>
        <v>alp_Amarok-Extreme_facebook_social_lancamento_newsfeed_cpc_prospecting_carousel_Amarok-Extreme-Setembro_Vw-lights</v>
      </c>
      <c r="D814" t="str">
        <f t="shared" si="175"/>
        <v>229036484</v>
      </c>
      <c r="E814" t="str">
        <f t="shared" si="176"/>
        <v>Dynamic Click</v>
      </c>
      <c r="F814" t="str">
        <f t="shared" si="177"/>
        <v>alp_Amarok-Extreme_facebook_social_lancamento_newsfeed_cpc_prospecting_carousel_Amarok-Extreme-Setembro_Vw-lights</v>
      </c>
      <c r="G814" t="str">
        <f t="shared" si="178"/>
        <v>427169907</v>
      </c>
      <c r="H814" t="str">
        <f t="shared" si="179"/>
        <v>Tracking</v>
      </c>
      <c r="I814">
        <f t="shared" si="180"/>
        <v>0</v>
      </c>
      <c r="J814">
        <f t="shared" si="181"/>
        <v>2</v>
      </c>
      <c r="K814" s="4">
        <f t="shared" si="184"/>
        <v>3.5000000000000001E-3</v>
      </c>
      <c r="L814">
        <f t="shared" si="185"/>
        <v>0.02</v>
      </c>
      <c r="M814" s="4">
        <f t="shared" si="182"/>
        <v>7.0000000000000001E-3</v>
      </c>
      <c r="N814" s="4">
        <f t="shared" si="183"/>
        <v>0.04</v>
      </c>
    </row>
    <row r="815" spans="1:14">
      <c r="A815" t="str">
        <f t="shared" si="172"/>
        <v>alp_Amarok-Extreme</v>
      </c>
      <c r="B815" t="str">
        <f t="shared" si="173"/>
        <v>Facebook</v>
      </c>
      <c r="C815" t="str">
        <f t="shared" si="174"/>
        <v>alp_Amarok-Extreme_facebook_social_lancamento_newsfeed_cpc_prospecting_pagepost_Amarok-Extreme-Setembro_Vw-lights</v>
      </c>
      <c r="D815" t="str">
        <f t="shared" si="175"/>
        <v>229754114</v>
      </c>
      <c r="E815" t="str">
        <f t="shared" si="176"/>
        <v>Dynamic Click</v>
      </c>
      <c r="F815" t="str">
        <f t="shared" si="177"/>
        <v>alp_Amarok-Extreme_facebook_social_lancamento_newsfeed_cpc_prospecting_pagepost_Amarok-Extreme-Setembro_Vw-lights</v>
      </c>
      <c r="G815" t="str">
        <f t="shared" si="178"/>
        <v>427849429</v>
      </c>
      <c r="H815" t="str">
        <f t="shared" si="179"/>
        <v>Tracking</v>
      </c>
      <c r="I815">
        <f t="shared" si="180"/>
        <v>0</v>
      </c>
      <c r="J815">
        <f t="shared" si="181"/>
        <v>1</v>
      </c>
      <c r="K815" s="4">
        <f t="shared" si="184"/>
        <v>3.5000000000000001E-3</v>
      </c>
      <c r="L815">
        <f t="shared" si="185"/>
        <v>0.02</v>
      </c>
      <c r="M815" s="4">
        <f t="shared" si="182"/>
        <v>3.5000000000000001E-3</v>
      </c>
      <c r="N815" s="4">
        <f t="shared" si="183"/>
        <v>0.02</v>
      </c>
    </row>
    <row r="816" spans="1:14">
      <c r="A816" t="str">
        <f t="shared" si="172"/>
        <v>alp_Amarok-Extreme</v>
      </c>
      <c r="B816" t="str">
        <f t="shared" si="173"/>
        <v>Facebook</v>
      </c>
      <c r="C816" t="str">
        <f t="shared" si="174"/>
        <v>alp_Amarok-Extreme_facebook_social_lancamento_newsfeed_cpc_prospecting_pagepost_Amarok-Extreme_Vw-lights</v>
      </c>
      <c r="D816" t="str">
        <f t="shared" si="175"/>
        <v>226713753</v>
      </c>
      <c r="E816" t="str">
        <f t="shared" si="176"/>
        <v>Dynamic Click</v>
      </c>
      <c r="F816" t="str">
        <f t="shared" si="177"/>
        <v>alp_Amarok-Extreme_facebook_social_lancamento_newsfeed_cpc_prospecting_pagepost_Amarok-Extreme_Vw-lights</v>
      </c>
      <c r="G816" t="str">
        <f t="shared" si="178"/>
        <v>424601922</v>
      </c>
      <c r="H816" t="str">
        <f t="shared" si="179"/>
        <v>Tracking</v>
      </c>
      <c r="I816">
        <f t="shared" si="180"/>
        <v>0</v>
      </c>
      <c r="J816">
        <f t="shared" si="181"/>
        <v>3</v>
      </c>
      <c r="K816" s="4">
        <f t="shared" si="184"/>
        <v>3.5000000000000001E-3</v>
      </c>
      <c r="L816">
        <f t="shared" si="185"/>
        <v>0.02</v>
      </c>
      <c r="M816" s="4">
        <f t="shared" si="182"/>
        <v>1.0500000000000001E-2</v>
      </c>
      <c r="N816" s="4">
        <f t="shared" si="183"/>
        <v>0.06</v>
      </c>
    </row>
    <row r="817" spans="1:14">
      <c r="A817" t="str">
        <f t="shared" si="172"/>
        <v>alp_Amarok-Extreme</v>
      </c>
      <c r="B817" t="str">
        <f t="shared" si="173"/>
        <v>Globo.com</v>
      </c>
      <c r="C817" t="str">
        <f t="shared" si="174"/>
        <v>alp_Amarok-Extreme_ge_horizontal_lancamento_home_cpm_prospecting_300x250_Amarok-Extreme_Vw-lights</v>
      </c>
      <c r="D817" t="str">
        <f t="shared" si="175"/>
        <v>226529912</v>
      </c>
      <c r="E817" t="str">
        <f t="shared" si="176"/>
        <v>Dynamic Click</v>
      </c>
      <c r="F817" t="str">
        <f t="shared" si="177"/>
        <v>alp_Amarok-Extreme_ge_horizontal_lancamento_home_cpm_prospecting_300x250_Amarok-Extreme_Vw-lights</v>
      </c>
      <c r="G817" t="str">
        <f t="shared" si="178"/>
        <v>424654203</v>
      </c>
      <c r="H817" t="str">
        <f t="shared" si="179"/>
        <v>Tracking</v>
      </c>
      <c r="I817">
        <f t="shared" si="180"/>
        <v>0</v>
      </c>
      <c r="J817">
        <f t="shared" si="181"/>
        <v>2</v>
      </c>
      <c r="K817" s="4">
        <f t="shared" si="184"/>
        <v>3.5000000000000001E-3</v>
      </c>
      <c r="L817">
        <f t="shared" si="185"/>
        <v>0.02</v>
      </c>
      <c r="M817" s="4">
        <f t="shared" si="182"/>
        <v>7.0000000000000001E-3</v>
      </c>
      <c r="N817" s="4">
        <f t="shared" si="183"/>
        <v>0.04</v>
      </c>
    </row>
    <row r="818" spans="1:14">
      <c r="A818" t="str">
        <f t="shared" si="172"/>
        <v>alp_Amarok-Extreme</v>
      </c>
      <c r="B818" t="str">
        <f t="shared" si="173"/>
        <v>Oath BR</v>
      </c>
      <c r="C818" t="str">
        <f t="shared" si="174"/>
        <v>alp_Amarok-Extreme_oath_horizontal_lancamento_ROS_cpm_prospecting_627x627_Amarok-Extreme_Vw-lights</v>
      </c>
      <c r="D818" t="str">
        <f t="shared" si="175"/>
        <v>226833526</v>
      </c>
      <c r="E818" t="str">
        <f t="shared" si="176"/>
        <v>Dynamic Click</v>
      </c>
      <c r="F818" t="str">
        <f t="shared" si="177"/>
        <v>alp_Amarok-Extreme_oath_horizontal_lancamento_ROS_cpm_prospecting_627x627_Amarok-Extreme_Vw-lights</v>
      </c>
      <c r="G818" t="str">
        <f t="shared" si="178"/>
        <v>424873193</v>
      </c>
      <c r="H818" t="str">
        <f t="shared" si="179"/>
        <v>Tracking</v>
      </c>
      <c r="I818">
        <f t="shared" si="180"/>
        <v>0</v>
      </c>
      <c r="J818">
        <f t="shared" si="181"/>
        <v>19</v>
      </c>
      <c r="K818" s="4">
        <f t="shared" si="184"/>
        <v>3.5000000000000001E-3</v>
      </c>
      <c r="L818">
        <f t="shared" si="185"/>
        <v>0.02</v>
      </c>
      <c r="M818" s="4">
        <f t="shared" si="182"/>
        <v>6.6500000000000004E-2</v>
      </c>
      <c r="N818" s="4">
        <f t="shared" si="183"/>
        <v>0.38</v>
      </c>
    </row>
    <row r="819" spans="1:14">
      <c r="A819" t="str">
        <f t="shared" si="172"/>
        <v>alp_Amarok-Extreme</v>
      </c>
      <c r="B819" t="str">
        <f t="shared" si="173"/>
        <v>Planeta Offroad BR</v>
      </c>
      <c r="C819" t="str">
        <f t="shared" si="174"/>
        <v>alp_Amarok-Extreme_planeta-off_horizontal_lancamento_ROS_cpm_prospecting_728x90_Amarok-Extreme-Rural_Vw-lights</v>
      </c>
      <c r="D819" t="str">
        <f t="shared" si="175"/>
        <v>227059844</v>
      </c>
      <c r="E819" t="str">
        <f t="shared" si="176"/>
        <v>Standard</v>
      </c>
      <c r="F819" t="str">
        <f t="shared" si="177"/>
        <v>alp_Amarok-Extreme_planeta-off_horizontal_lancamento_ROS_cpm_prospecting_728x90_Amarok-Extreme-Rural_Vw-lights</v>
      </c>
      <c r="G819" t="str">
        <f t="shared" si="178"/>
        <v>425209491</v>
      </c>
      <c r="H819" t="str">
        <f t="shared" si="179"/>
        <v>Tracking</v>
      </c>
      <c r="I819">
        <f t="shared" si="180"/>
        <v>62</v>
      </c>
      <c r="J819">
        <f t="shared" si="181"/>
        <v>17</v>
      </c>
      <c r="K819" s="4">
        <f t="shared" si="184"/>
        <v>0.04</v>
      </c>
      <c r="L819">
        <f t="shared" si="185"/>
        <v>0.09</v>
      </c>
      <c r="M819" s="4">
        <f t="shared" si="182"/>
        <v>2.48E-3</v>
      </c>
      <c r="N819" s="4">
        <f t="shared" si="183"/>
        <v>5.5799999999999999E-3</v>
      </c>
    </row>
    <row r="820" spans="1:14">
      <c r="A820" t="str">
        <f t="shared" si="172"/>
        <v>alp_Amarok-Extreme</v>
      </c>
      <c r="B820" t="str">
        <f t="shared" si="173"/>
        <v>revistapegn.globo.com</v>
      </c>
      <c r="C820" t="str">
        <f t="shared" si="174"/>
        <v>alp_Amarok-Extreme_pegn_horizontal_lancamento_ROS_cpm_prospecting_728x90_Amarok-Extreme_Vw-lights</v>
      </c>
      <c r="D820" t="str">
        <f t="shared" si="175"/>
        <v>226529897</v>
      </c>
      <c r="E820" t="str">
        <f t="shared" si="176"/>
        <v>Standard</v>
      </c>
      <c r="F820" t="str">
        <f t="shared" si="177"/>
        <v>alp_Amarok-Extreme_pegn_horizontal_lancamento_ROS_cpm_prospecting_728x90_Amarok-Extreme_Vw-lights</v>
      </c>
      <c r="G820" t="str">
        <f t="shared" si="178"/>
        <v>424654188</v>
      </c>
      <c r="H820" t="str">
        <f t="shared" si="179"/>
        <v>Tracking</v>
      </c>
      <c r="I820">
        <f t="shared" si="180"/>
        <v>1</v>
      </c>
      <c r="J820">
        <f t="shared" si="181"/>
        <v>0</v>
      </c>
      <c r="K820" s="4">
        <f t="shared" si="184"/>
        <v>0.04</v>
      </c>
      <c r="L820">
        <f t="shared" si="185"/>
        <v>0.09</v>
      </c>
      <c r="M820" s="4">
        <f t="shared" si="182"/>
        <v>4.0000000000000003E-5</v>
      </c>
      <c r="N820" s="4">
        <f t="shared" si="183"/>
        <v>8.9999999999999992E-5</v>
      </c>
    </row>
    <row r="821" spans="1:14">
      <c r="A821" t="str">
        <f t="shared" si="172"/>
        <v>alp_Amarok-Territorio</v>
      </c>
      <c r="B821" t="str">
        <f t="shared" si="173"/>
        <v>4x4 Brasil</v>
      </c>
      <c r="C821" t="str">
        <f t="shared" si="174"/>
        <v>territorio-amarok-_4x4-brasil_usuario_mensagem-privada-(500x700-estatica-com-link)-1x1_setembro_por_compra-direta</v>
      </c>
      <c r="D821" t="str">
        <f t="shared" si="175"/>
        <v>204879460</v>
      </c>
      <c r="E821" t="str">
        <f t="shared" si="176"/>
        <v>Dynamic Click</v>
      </c>
      <c r="F821" t="str">
        <f t="shared" si="177"/>
        <v>territorio-amarok-_4x4-brasil_usuario_mensagem-privada-(500x700-estatica-com-link)-1x1_setembro_por_compra-direta</v>
      </c>
      <c r="G821" t="str">
        <f t="shared" si="178"/>
        <v>404723316</v>
      </c>
      <c r="H821" t="str">
        <f t="shared" si="179"/>
        <v>(not set)</v>
      </c>
      <c r="I821">
        <f t="shared" si="180"/>
        <v>0</v>
      </c>
      <c r="J821">
        <f t="shared" si="181"/>
        <v>1</v>
      </c>
      <c r="K821" s="4">
        <f t="shared" si="184"/>
        <v>3.5000000000000001E-3</v>
      </c>
      <c r="L821">
        <f t="shared" si="185"/>
        <v>0.02</v>
      </c>
      <c r="M821" s="4">
        <f t="shared" si="182"/>
        <v>3.5000000000000001E-3</v>
      </c>
      <c r="N821" s="4">
        <f t="shared" si="183"/>
        <v>0.02</v>
      </c>
    </row>
    <row r="822" spans="1:14">
      <c r="A822" t="str">
        <f t="shared" si="172"/>
        <v>alp_Amarok-Varejo-Fevereiro-2019</v>
      </c>
      <c r="B822" t="str">
        <f t="shared" si="173"/>
        <v>BR OLX</v>
      </c>
      <c r="C822" t="str">
        <f t="shared" si="174"/>
        <v>alp_Amarok-Varejo-Fevereiro-2019_olx_horizontal_hardsell_olx_cpm_prospecting_1200x672_Amarok-Varejo-Fevereiro-Privado_open</v>
      </c>
      <c r="D822" t="str">
        <f t="shared" si="175"/>
        <v>239833533</v>
      </c>
      <c r="E822" t="str">
        <f t="shared" si="176"/>
        <v>Dynamic Click</v>
      </c>
      <c r="F822" t="str">
        <f t="shared" si="177"/>
        <v>alp_Amarok-Varejo-Fevereiro-2019_olx_horizontal_hardsell_olx_cpm_prospecting_1200x672_Amarok-Varejo-Fevereiro-Privado_open</v>
      </c>
      <c r="G822" t="str">
        <f t="shared" si="178"/>
        <v>436700810</v>
      </c>
      <c r="H822" t="str">
        <f t="shared" si="179"/>
        <v>Tracking</v>
      </c>
      <c r="I822">
        <f t="shared" si="180"/>
        <v>0</v>
      </c>
      <c r="J822">
        <f t="shared" si="181"/>
        <v>28</v>
      </c>
      <c r="K822" s="4">
        <f t="shared" si="184"/>
        <v>3.5000000000000001E-3</v>
      </c>
      <c r="L822">
        <f t="shared" si="185"/>
        <v>0.02</v>
      </c>
      <c r="M822" s="4">
        <f t="shared" si="182"/>
        <v>9.8000000000000004E-2</v>
      </c>
      <c r="N822" s="4">
        <f t="shared" si="183"/>
        <v>0.56000000000000005</v>
      </c>
    </row>
    <row r="823" spans="1:14">
      <c r="A823" t="str">
        <f t="shared" si="172"/>
        <v>alp_Amarok-Varejo-Fevereiro-2019</v>
      </c>
      <c r="B823" t="str">
        <f t="shared" si="173"/>
        <v>BR OLX</v>
      </c>
      <c r="C823" t="str">
        <f t="shared" si="174"/>
        <v>alp_Amarok-Varejo-Fevereiro-2019_olx_horizontal_hardsell_olx_cpm_prospecting_300x250_Amarok-Varejo-Fevereiro-Corporativo-Urbano_open</v>
      </c>
      <c r="D823" t="str">
        <f t="shared" si="175"/>
        <v>239833524</v>
      </c>
      <c r="E823" t="str">
        <f t="shared" si="176"/>
        <v>Dynamic Click</v>
      </c>
      <c r="F823" t="str">
        <f t="shared" si="177"/>
        <v>alp_Amarok-Varejo-Fevereiro-2019_olx_horizontal_hardsell_olx_cpm_prospecting_300x250_Amarok-Varejo-Fevereiro-Corporativo-Urbano_open</v>
      </c>
      <c r="G823" t="str">
        <f t="shared" si="178"/>
        <v>436700801</v>
      </c>
      <c r="H823" t="str">
        <f t="shared" si="179"/>
        <v>Tracking</v>
      </c>
      <c r="I823">
        <f t="shared" si="180"/>
        <v>0</v>
      </c>
      <c r="J823">
        <f t="shared" si="181"/>
        <v>17</v>
      </c>
      <c r="K823" s="4">
        <f t="shared" si="184"/>
        <v>3.5000000000000001E-3</v>
      </c>
      <c r="L823">
        <f t="shared" si="185"/>
        <v>0.02</v>
      </c>
      <c r="M823" s="4">
        <f t="shared" si="182"/>
        <v>5.9500000000000004E-2</v>
      </c>
      <c r="N823" s="4">
        <f t="shared" si="183"/>
        <v>0.34</v>
      </c>
    </row>
    <row r="824" spans="1:14">
      <c r="A824" t="str">
        <f t="shared" si="172"/>
        <v>alp_Amarok-Varejo-Fevereiro-2019</v>
      </c>
      <c r="B824" t="str">
        <f t="shared" si="173"/>
        <v>BR OLX</v>
      </c>
      <c r="C824" t="str">
        <f t="shared" si="174"/>
        <v>alp_Amarok-Varejo-Fevereiro-2019_olx_horizontal_hardsell_olx_cpm_prospecting_300x250_Amarok-Varejo-Fevereiro-Privado_open</v>
      </c>
      <c r="D824" t="str">
        <f t="shared" si="175"/>
        <v>239833539</v>
      </c>
      <c r="E824" t="str">
        <f t="shared" si="176"/>
        <v>Dynamic Click</v>
      </c>
      <c r="F824" t="str">
        <f t="shared" si="177"/>
        <v>alp_Amarok-Varejo-Fevereiro-2019_olx_horizontal_hardsell_olx_cpm_prospecting_300x250_Amarok-Varejo-Fevereiro-Privado_open</v>
      </c>
      <c r="G824" t="str">
        <f t="shared" si="178"/>
        <v>436700816</v>
      </c>
      <c r="H824" t="str">
        <f t="shared" si="179"/>
        <v>Tracking</v>
      </c>
      <c r="I824">
        <f t="shared" si="180"/>
        <v>0</v>
      </c>
      <c r="J824">
        <f t="shared" si="181"/>
        <v>10</v>
      </c>
      <c r="K824" s="4">
        <f t="shared" si="184"/>
        <v>3.5000000000000001E-3</v>
      </c>
      <c r="L824">
        <f t="shared" si="185"/>
        <v>0.02</v>
      </c>
      <c r="M824" s="4">
        <f t="shared" si="182"/>
        <v>3.5000000000000003E-2</v>
      </c>
      <c r="N824" s="4">
        <f t="shared" si="183"/>
        <v>0.2</v>
      </c>
    </row>
    <row r="825" spans="1:14">
      <c r="A825" t="str">
        <f t="shared" si="172"/>
        <v>alp_Amarok-Varejo-Fevereiro-2019</v>
      </c>
      <c r="B825" t="str">
        <f t="shared" si="173"/>
        <v>BR OLX</v>
      </c>
      <c r="C825" t="str">
        <f t="shared" si="174"/>
        <v>alp_Amarok-Varejo-Fevereiro-2019_olx_horizontal_hardsell_olx_cpm_prospecting_300x600_Amarok-Varejo-Fevereiro-Corporativo-Urbano_open</v>
      </c>
      <c r="D825" t="str">
        <f t="shared" si="175"/>
        <v>239833527</v>
      </c>
      <c r="E825" t="str">
        <f t="shared" si="176"/>
        <v>Dynamic Click</v>
      </c>
      <c r="F825" t="str">
        <f t="shared" si="177"/>
        <v>alp_Amarok-Varejo-Fevereiro-2019_olx_horizontal_hardsell_olx_cpm_prospecting_300x600_Amarok-Varejo-Fevereiro-Corporativo-Urbano_open</v>
      </c>
      <c r="G825" t="str">
        <f t="shared" si="178"/>
        <v>436700804</v>
      </c>
      <c r="H825" t="str">
        <f t="shared" si="179"/>
        <v>Tracking</v>
      </c>
      <c r="I825">
        <f t="shared" si="180"/>
        <v>0</v>
      </c>
      <c r="J825">
        <f t="shared" si="181"/>
        <v>1</v>
      </c>
      <c r="K825" s="4">
        <f t="shared" si="184"/>
        <v>3.5000000000000001E-3</v>
      </c>
      <c r="L825">
        <f t="shared" si="185"/>
        <v>0.02</v>
      </c>
      <c r="M825" s="4">
        <f t="shared" si="182"/>
        <v>3.5000000000000001E-3</v>
      </c>
      <c r="N825" s="4">
        <f t="shared" si="183"/>
        <v>0.02</v>
      </c>
    </row>
    <row r="826" spans="1:14">
      <c r="A826" t="str">
        <f t="shared" si="172"/>
        <v>alp_Amarok-Varejo-Fevereiro-2019</v>
      </c>
      <c r="B826" t="str">
        <f t="shared" si="173"/>
        <v>BR OLX</v>
      </c>
      <c r="C826" t="str">
        <f t="shared" si="174"/>
        <v>alp_Amarok-Varejo-Fevereiro-2019_olx_horizontal_hardsell_olx_cpm_prospecting_600x600_Amarok-Varejo-Fevereiro-Privado_open</v>
      </c>
      <c r="D826" t="str">
        <f t="shared" si="175"/>
        <v>239833536</v>
      </c>
      <c r="E826" t="str">
        <f t="shared" si="176"/>
        <v>Dynamic Click</v>
      </c>
      <c r="F826" t="str">
        <f t="shared" si="177"/>
        <v>alp_Amarok-Varejo-Fevereiro-2019_olx_horizontal_hardsell_olx_cpm_prospecting_600x600_Amarok-Varejo-Fevereiro-Privado_open</v>
      </c>
      <c r="G826" t="str">
        <f t="shared" si="178"/>
        <v>436700813</v>
      </c>
      <c r="H826" t="str">
        <f t="shared" si="179"/>
        <v>Tracking</v>
      </c>
      <c r="I826">
        <f t="shared" si="180"/>
        <v>19</v>
      </c>
      <c r="J826">
        <f t="shared" si="181"/>
        <v>29</v>
      </c>
      <c r="K826" s="4">
        <f t="shared" si="184"/>
        <v>3.5000000000000001E-3</v>
      </c>
      <c r="L826">
        <f t="shared" si="185"/>
        <v>0.02</v>
      </c>
      <c r="M826" s="4">
        <f t="shared" si="182"/>
        <v>0.10150000000000001</v>
      </c>
      <c r="N826" s="4">
        <f t="shared" si="183"/>
        <v>0.57999999999999996</v>
      </c>
    </row>
    <row r="827" spans="1:14">
      <c r="A827" t="str">
        <f t="shared" si="172"/>
        <v>alp_Amarok-Varejo-Fevereiro-2019</v>
      </c>
      <c r="B827" t="str">
        <f t="shared" si="173"/>
        <v>Facebook</v>
      </c>
      <c r="C827" t="str">
        <f t="shared" si="174"/>
        <v>alp_Amarok-Varejo-Fevereiro-2019_facebook_Social_hardsell_facebook_cpm_prospecting_pagepost_Amarok-Varejo-Fevereiro-Corporativo-Campo_open</v>
      </c>
      <c r="D827" t="str">
        <f t="shared" si="175"/>
        <v>239833644</v>
      </c>
      <c r="E827" t="str">
        <f t="shared" si="176"/>
        <v>Dynamic Click</v>
      </c>
      <c r="F827" t="str">
        <f t="shared" si="177"/>
        <v>alp_Amarok-Varejo-Fevereiro-2019_facebook_Social_hardsell_facebook_cpm_prospecting_pagepost_Amarok-Varejo-Fevereiro-Corporativo-Campo_open</v>
      </c>
      <c r="G827" t="str">
        <f t="shared" si="178"/>
        <v>436700921</v>
      </c>
      <c r="H827" t="str">
        <f t="shared" si="179"/>
        <v>Tracking</v>
      </c>
      <c r="I827">
        <f t="shared" si="180"/>
        <v>0</v>
      </c>
      <c r="J827">
        <f t="shared" si="181"/>
        <v>7</v>
      </c>
      <c r="K827" s="4">
        <f t="shared" si="184"/>
        <v>3.5000000000000001E-3</v>
      </c>
      <c r="L827">
        <f t="shared" si="185"/>
        <v>0.02</v>
      </c>
      <c r="M827" s="4">
        <f t="shared" si="182"/>
        <v>2.4500000000000001E-2</v>
      </c>
      <c r="N827" s="4">
        <f t="shared" si="183"/>
        <v>0.14000000000000001</v>
      </c>
    </row>
    <row r="828" spans="1:14">
      <c r="A828" t="str">
        <f t="shared" si="172"/>
        <v>alp_Amarok-Varejo-Fevereiro-2019</v>
      </c>
      <c r="B828" t="str">
        <f t="shared" si="173"/>
        <v>Facebook</v>
      </c>
      <c r="C828" t="str">
        <f t="shared" si="174"/>
        <v>alp_Amarok-Varejo-Fevereiro-2019_facebook_Social_hardsell_facebook_cpm_prospecting_pagepost_Amarok-Varejo-Fevereiro-Corporativo-Urbano_open</v>
      </c>
      <c r="D828" t="str">
        <f t="shared" si="175"/>
        <v>239833686</v>
      </c>
      <c r="E828" t="str">
        <f t="shared" si="176"/>
        <v>Dynamic Click</v>
      </c>
      <c r="F828" t="str">
        <f t="shared" si="177"/>
        <v>alp_Amarok-Varejo-Fevereiro-2019_facebook_Social_hardsell_facebook_cpm_prospecting_pagepost_Amarok-Varejo-Fevereiro-Corporativo-Urbano_open</v>
      </c>
      <c r="G828" t="str">
        <f t="shared" si="178"/>
        <v>436663077</v>
      </c>
      <c r="H828" t="str">
        <f t="shared" si="179"/>
        <v>Tracking</v>
      </c>
      <c r="I828">
        <f t="shared" si="180"/>
        <v>0</v>
      </c>
      <c r="J828">
        <f t="shared" si="181"/>
        <v>49</v>
      </c>
      <c r="K828" s="4">
        <f t="shared" si="184"/>
        <v>3.5000000000000001E-3</v>
      </c>
      <c r="L828">
        <f t="shared" si="185"/>
        <v>0.02</v>
      </c>
      <c r="M828" s="4">
        <f t="shared" si="182"/>
        <v>0.17150000000000001</v>
      </c>
      <c r="N828" s="4">
        <f t="shared" si="183"/>
        <v>0.98</v>
      </c>
    </row>
    <row r="829" spans="1:14">
      <c r="A829" t="str">
        <f t="shared" si="172"/>
        <v>alp_Amarok-Varejo-Fevereiro-2019</v>
      </c>
      <c r="B829" t="str">
        <f t="shared" si="173"/>
        <v>Facebook</v>
      </c>
      <c r="C829" t="str">
        <f t="shared" si="174"/>
        <v>alp_Amarok-Varejo-Fevereiro-2019_facebook_Social_hardsell_facebook_cpm_prospecting_pagepost_Amarok-Varejo-Fevereiro-Privado_open</v>
      </c>
      <c r="D829" t="str">
        <f t="shared" si="175"/>
        <v>239833710</v>
      </c>
      <c r="E829" t="str">
        <f t="shared" si="176"/>
        <v>Dynamic Click</v>
      </c>
      <c r="F829" t="str">
        <f t="shared" si="177"/>
        <v>alp_Amarok-Varejo-Fevereiro-2019_facebook_Social_hardsell_facebook_cpm_prospecting_pagepost_Amarok-Varejo-Fevereiro-Privado_open</v>
      </c>
      <c r="G829" t="str">
        <f t="shared" si="178"/>
        <v>436663104</v>
      </c>
      <c r="H829" t="str">
        <f t="shared" si="179"/>
        <v>Tracking</v>
      </c>
      <c r="I829">
        <f t="shared" si="180"/>
        <v>0</v>
      </c>
      <c r="J829">
        <f t="shared" si="181"/>
        <v>15</v>
      </c>
      <c r="K829" s="4">
        <f t="shared" si="184"/>
        <v>3.5000000000000001E-3</v>
      </c>
      <c r="L829">
        <f t="shared" si="185"/>
        <v>0.02</v>
      </c>
      <c r="M829" s="4">
        <f t="shared" si="182"/>
        <v>5.2499999999999998E-2</v>
      </c>
      <c r="N829" s="4">
        <f t="shared" si="183"/>
        <v>0.3</v>
      </c>
    </row>
    <row r="830" spans="1:14">
      <c r="A830" t="str">
        <f t="shared" si="172"/>
        <v>alp_Amarok-Varejo-Fevereiro-2019</v>
      </c>
      <c r="B830" t="str">
        <f t="shared" si="173"/>
        <v>Facebook</v>
      </c>
      <c r="C830" t="str">
        <f t="shared" si="174"/>
        <v>alp_Amarok-Varejo-Fevereiro-2019_facebook_Social_hardsell_facebook_cpm_prospecting_video_Amarok-Varejo-Fevereiro-Privado_open</v>
      </c>
      <c r="D830" t="str">
        <f t="shared" si="175"/>
        <v>239833704</v>
      </c>
      <c r="E830" t="str">
        <f t="shared" si="176"/>
        <v>Dynamic Click</v>
      </c>
      <c r="F830" t="str">
        <f t="shared" si="177"/>
        <v>alp_Amarok-Varejo-Fevereiro-2019_facebook_Social_hardsell_facebook_cpm_prospecting_video_Amarok-Varejo-Fevereiro-Privado_open</v>
      </c>
      <c r="G830" t="str">
        <f t="shared" si="178"/>
        <v>436663095</v>
      </c>
      <c r="H830" t="str">
        <f t="shared" si="179"/>
        <v>Tracking</v>
      </c>
      <c r="I830">
        <f t="shared" si="180"/>
        <v>0</v>
      </c>
      <c r="J830">
        <f t="shared" si="181"/>
        <v>47</v>
      </c>
      <c r="K830" s="4">
        <f t="shared" si="184"/>
        <v>3.5000000000000001E-3</v>
      </c>
      <c r="L830">
        <f t="shared" si="185"/>
        <v>0.02</v>
      </c>
      <c r="M830" s="4">
        <f t="shared" si="182"/>
        <v>0.16450000000000001</v>
      </c>
      <c r="N830" s="4">
        <f t="shared" si="183"/>
        <v>0.94000000000000006</v>
      </c>
    </row>
    <row r="831" spans="1:14">
      <c r="A831" t="str">
        <f t="shared" si="172"/>
        <v>alp_Amarok-Varejo-Fevereiro-2019</v>
      </c>
      <c r="B831" t="str">
        <f t="shared" si="173"/>
        <v>Google Brasil</v>
      </c>
      <c r="C831" t="str">
        <f t="shared" si="174"/>
        <v>alp_Amarok-Varejo-Fevereiro-2019_dbm-terra_horizontal_hardsell_terra_cpm_prospecting_1260X400_Amarok-Varejo-Fevereiro-Privado_open</v>
      </c>
      <c r="D831" t="str">
        <f t="shared" si="175"/>
        <v>239741459</v>
      </c>
      <c r="E831" t="str">
        <f t="shared" si="176"/>
        <v>Standard</v>
      </c>
      <c r="F831" t="str">
        <f t="shared" si="177"/>
        <v>alp_Amarok-Varejo-Fevereiro-2019_dbm-terra_horizontal_hardsell_terra_cpm_prospecting_1260X400_Amarok-Varejo-Fevereiro-Privado_open</v>
      </c>
      <c r="G831" t="str">
        <f t="shared" si="178"/>
        <v>436898639</v>
      </c>
      <c r="H831" t="str">
        <f t="shared" si="179"/>
        <v>Display</v>
      </c>
      <c r="I831">
        <f t="shared" si="180"/>
        <v>1</v>
      </c>
      <c r="J831">
        <f t="shared" si="181"/>
        <v>0</v>
      </c>
      <c r="K831" s="4">
        <f t="shared" si="184"/>
        <v>0.04</v>
      </c>
      <c r="L831">
        <f t="shared" si="185"/>
        <v>0.09</v>
      </c>
      <c r="M831" s="4">
        <f t="shared" si="182"/>
        <v>4.0000000000000003E-5</v>
      </c>
      <c r="N831" s="4">
        <f t="shared" si="183"/>
        <v>8.9999999999999992E-5</v>
      </c>
    </row>
    <row r="832" spans="1:14">
      <c r="A832" t="str">
        <f t="shared" si="172"/>
        <v>alp_Amarok-Varejo-Fevereiro-2019</v>
      </c>
      <c r="B832" t="str">
        <f t="shared" si="173"/>
        <v>Google Brasil</v>
      </c>
      <c r="C832" t="str">
        <f t="shared" si="174"/>
        <v>alp_Amarok-Varejo-Fevereiro-2019_dbm-terra_horizontal_hardsell_terra_cpm_prospecting_970x250_Amarok-Varejo-Fevereiro-Corporativo-Urbano_open</v>
      </c>
      <c r="D832" t="str">
        <f t="shared" si="175"/>
        <v>239838018</v>
      </c>
      <c r="E832" t="str">
        <f t="shared" si="176"/>
        <v>Standard</v>
      </c>
      <c r="F832" t="str">
        <f t="shared" si="177"/>
        <v>alp_Amarok-Varejo-Fevereiro-2019_dbm-terra_horizontal_hardsell_terra_cpm_prospecting_970x250_Amarok-Varejo-Fevereiro-Corporativo-Urbano_open</v>
      </c>
      <c r="G832" t="str">
        <f t="shared" si="178"/>
        <v>436784185</v>
      </c>
      <c r="H832" t="str">
        <f t="shared" si="179"/>
        <v>Display</v>
      </c>
      <c r="I832">
        <f t="shared" si="180"/>
        <v>1</v>
      </c>
      <c r="J832">
        <f t="shared" si="181"/>
        <v>0</v>
      </c>
      <c r="K832" s="4">
        <f t="shared" si="184"/>
        <v>0.04</v>
      </c>
      <c r="L832">
        <f t="shared" si="185"/>
        <v>0.09</v>
      </c>
      <c r="M832" s="4">
        <f t="shared" si="182"/>
        <v>4.0000000000000003E-5</v>
      </c>
      <c r="N832" s="4">
        <f t="shared" si="183"/>
        <v>8.9999999999999992E-5</v>
      </c>
    </row>
    <row r="833" spans="1:14">
      <c r="A833" t="str">
        <f t="shared" si="172"/>
        <v>alp_Amarok-Varejo-Fevereiro-2019</v>
      </c>
      <c r="B833" t="str">
        <f t="shared" si="173"/>
        <v>Google Brasil</v>
      </c>
      <c r="C833" t="str">
        <f t="shared" si="174"/>
        <v>alp_Amarok-Varejo-Fevereiro-2019_google-auction-dbm_horizontal_hardsell_google-dbm_cpm_prospecting_300x250_Amarok-Varejo-Fevereiro-Corporativo-Campo_open</v>
      </c>
      <c r="D833" t="str">
        <f t="shared" si="175"/>
        <v>239509172</v>
      </c>
      <c r="E833" t="str">
        <f t="shared" si="176"/>
        <v>Standard</v>
      </c>
      <c r="F833" t="str">
        <f t="shared" si="177"/>
        <v>alp_Amarok-Varejo-Fevereiro-2019_google-auction-dbm_horizontal_hardsell_google-dbm_cpm_prospecting_300x250_Amarok-Varejo-Fevereiro-Corporativo-Campo_open</v>
      </c>
      <c r="G833" t="str">
        <f t="shared" si="178"/>
        <v>436774261</v>
      </c>
      <c r="H833" t="str">
        <f t="shared" si="179"/>
        <v>Display</v>
      </c>
      <c r="I833">
        <f t="shared" si="180"/>
        <v>0</v>
      </c>
      <c r="J833">
        <f t="shared" si="181"/>
        <v>8</v>
      </c>
      <c r="K833" s="4">
        <f t="shared" si="184"/>
        <v>0.04</v>
      </c>
      <c r="L833">
        <f t="shared" si="185"/>
        <v>0.09</v>
      </c>
      <c r="M833" s="4">
        <f t="shared" si="182"/>
        <v>0</v>
      </c>
      <c r="N833" s="4">
        <f t="shared" si="183"/>
        <v>0</v>
      </c>
    </row>
    <row r="834" spans="1:14">
      <c r="A834" t="str">
        <f t="shared" ref="A834:A897" si="186">bd_campaign</f>
        <v>alp_Amarok-Varejo-Fevereiro-2019</v>
      </c>
      <c r="B834" t="str">
        <f t="shared" ref="B834:B897" si="187">bd_site</f>
        <v>Google Brasil</v>
      </c>
      <c r="C834" t="str">
        <f t="shared" ref="C834:C897" si="188">bd_placement</f>
        <v>alp_Amarok-Varejo-Fevereiro-2019_google-auction-dbm_horizontal_hardsell_google-dbm_cpm_prospecting_300x250_Amarok-Varejo-Fevereiro-Corporativo-Urbano_open</v>
      </c>
      <c r="D834" t="str">
        <f t="shared" ref="D834:D897" si="189">bd_placementID</f>
        <v>239553547</v>
      </c>
      <c r="E834" t="str">
        <f t="shared" ref="E834:E897" si="190">VLOOKUP(CONCATENATE(bd_adtype,"_",bd_creativetype),tabela,2,FALSE)</f>
        <v>Standard</v>
      </c>
      <c r="F834" t="str">
        <f t="shared" ref="F834:F897" si="191">bd_ad</f>
        <v>alp_Amarok-Varejo-Fevereiro-2019_google-auction-dbm_horizontal_hardsell_google-dbm_cpm_prospecting_300x250_Amarok-Varejo-Fevereiro-Corporativo-Urbano_open</v>
      </c>
      <c r="G834" t="str">
        <f t="shared" ref="G834:G897" si="192">bd_adid</f>
        <v>436736692</v>
      </c>
      <c r="H834" t="str">
        <f t="shared" ref="H834:H897" si="193">bd_creativetype</f>
        <v>Display</v>
      </c>
      <c r="I834">
        <f t="shared" ref="I834:I897" si="194">bd_impression</f>
        <v>0</v>
      </c>
      <c r="J834">
        <f t="shared" ref="J834:J897" si="195">bd_clicks</f>
        <v>1</v>
      </c>
      <c r="K834" s="4">
        <f t="shared" si="184"/>
        <v>0.04</v>
      </c>
      <c r="L834">
        <f t="shared" si="185"/>
        <v>0.09</v>
      </c>
      <c r="M834" s="4">
        <f t="shared" si="182"/>
        <v>0</v>
      </c>
      <c r="N834" s="4">
        <f t="shared" si="183"/>
        <v>0</v>
      </c>
    </row>
    <row r="835" spans="1:14">
      <c r="A835" t="str">
        <f t="shared" si="186"/>
        <v>alp_Amarok-Varejo-Fevereiro-2019</v>
      </c>
      <c r="B835" t="str">
        <f t="shared" si="187"/>
        <v>Google Brasil</v>
      </c>
      <c r="C835" t="str">
        <f t="shared" si="188"/>
        <v>alp_Amarok-Varejo-Fevereiro-2019_google-auction-dbm_horizontal_hardsell_google-dbm_cpm_prospecting_300x250_Amarok-Varejo-Fevereiro-Privado_open</v>
      </c>
      <c r="D835" t="str">
        <f t="shared" si="189"/>
        <v>239557349</v>
      </c>
      <c r="E835" t="str">
        <f t="shared" si="190"/>
        <v>Standard</v>
      </c>
      <c r="F835" t="str">
        <f t="shared" si="191"/>
        <v>alp_Amarok-Varejo-Fevereiro-2019_google-auction-dbm_horizontal_hardsell_google-dbm_cpm_prospecting_300x250_Amarok-Varejo-Fevereiro-Privado_open</v>
      </c>
      <c r="G835" t="str">
        <f t="shared" si="192"/>
        <v>436690674</v>
      </c>
      <c r="H835" t="str">
        <f t="shared" si="193"/>
        <v>Display</v>
      </c>
      <c r="I835">
        <f t="shared" si="194"/>
        <v>0</v>
      </c>
      <c r="J835">
        <f t="shared" si="195"/>
        <v>2</v>
      </c>
      <c r="K835" s="4">
        <f t="shared" si="184"/>
        <v>0.04</v>
      </c>
      <c r="L835">
        <f t="shared" si="185"/>
        <v>0.09</v>
      </c>
      <c r="M835" s="4">
        <f t="shared" si="182"/>
        <v>0</v>
      </c>
      <c r="N835" s="4">
        <f t="shared" si="183"/>
        <v>0</v>
      </c>
    </row>
    <row r="836" spans="1:14">
      <c r="A836" t="str">
        <f t="shared" si="186"/>
        <v>alp_Amarok-Varejo-Fevereiro-2019</v>
      </c>
      <c r="B836" t="str">
        <f t="shared" si="187"/>
        <v>Google Brasil</v>
      </c>
      <c r="C836" t="str">
        <f t="shared" si="188"/>
        <v>alp_Amarok-Varejo-Fevereiro-2019_google-auction-dbm_horizontal_hardsell_google-dbm_cpm_prospecting_300x600_Amarok-Varejo-Fevereiro-Corporativo-Campo_open</v>
      </c>
      <c r="D836" t="str">
        <f t="shared" si="189"/>
        <v>239509169</v>
      </c>
      <c r="E836" t="str">
        <f t="shared" si="190"/>
        <v>Standard</v>
      </c>
      <c r="F836" t="str">
        <f t="shared" si="191"/>
        <v>alp_Amarok-Varejo-Fevereiro-2019_google-auction-dbm_horizontal_hardsell_google-dbm_cpm_prospecting_300x600_Amarok-Varejo-Fevereiro-Corporativo-Campo_open</v>
      </c>
      <c r="G836" t="str">
        <f t="shared" si="192"/>
        <v>436774258</v>
      </c>
      <c r="H836" t="str">
        <f t="shared" si="193"/>
        <v>Display</v>
      </c>
      <c r="I836">
        <f t="shared" si="194"/>
        <v>0</v>
      </c>
      <c r="J836">
        <f t="shared" si="195"/>
        <v>1</v>
      </c>
      <c r="K836" s="4">
        <f t="shared" si="184"/>
        <v>0.04</v>
      </c>
      <c r="L836">
        <f t="shared" si="185"/>
        <v>0.09</v>
      </c>
      <c r="M836" s="4">
        <f t="shared" si="182"/>
        <v>0</v>
      </c>
      <c r="N836" s="4">
        <f t="shared" si="183"/>
        <v>0</v>
      </c>
    </row>
    <row r="837" spans="1:14">
      <c r="A837" t="str">
        <f t="shared" si="186"/>
        <v>alp_Amarok-Varejo-Fevereiro-2019</v>
      </c>
      <c r="B837" t="str">
        <f t="shared" si="187"/>
        <v>Google Brasil</v>
      </c>
      <c r="C837" t="str">
        <f t="shared" si="188"/>
        <v>alp_Amarok-Varejo-Fevereiro-2019_google-auction-dbm_horizontal_hardsell_google-dbm_cpm_prospecting_300x600_Amarok-Varejo-Fevereiro-Corporativo-Urbano_open</v>
      </c>
      <c r="D837" t="str">
        <f t="shared" si="189"/>
        <v>239553544</v>
      </c>
      <c r="E837" t="str">
        <f t="shared" si="190"/>
        <v>Standard</v>
      </c>
      <c r="F837" t="str">
        <f t="shared" si="191"/>
        <v>alp_Amarok-Varejo-Fevereiro-2019_google-auction-dbm_horizontal_hardsell_google-dbm_cpm_prospecting_300x600_Amarok-Varejo-Fevereiro-Corporativo-Urbano_open</v>
      </c>
      <c r="G837" t="str">
        <f t="shared" si="192"/>
        <v>436736689</v>
      </c>
      <c r="H837" t="str">
        <f t="shared" si="193"/>
        <v>Display</v>
      </c>
      <c r="I837">
        <f t="shared" si="194"/>
        <v>0</v>
      </c>
      <c r="J837">
        <f t="shared" si="195"/>
        <v>8</v>
      </c>
      <c r="K837" s="4">
        <f t="shared" si="184"/>
        <v>0.04</v>
      </c>
      <c r="L837">
        <f t="shared" si="185"/>
        <v>0.09</v>
      </c>
      <c r="M837" s="4">
        <f t="shared" si="182"/>
        <v>0</v>
      </c>
      <c r="N837" s="4">
        <f t="shared" si="183"/>
        <v>0</v>
      </c>
    </row>
    <row r="838" spans="1:14">
      <c r="A838" t="str">
        <f t="shared" si="186"/>
        <v>alp_Amarok-Varejo-Fevereiro-2019</v>
      </c>
      <c r="B838" t="str">
        <f t="shared" si="187"/>
        <v>Google Brasil</v>
      </c>
      <c r="C838" t="str">
        <f t="shared" si="188"/>
        <v>alp_Amarok-Varejo-Fevereiro-2019_google-auction-dbm_horizontal_hardsell_google-dbm_cpm_prospecting_300x600_Amarok-Varejo-Fevereiro-Privado_open</v>
      </c>
      <c r="D838" t="str">
        <f t="shared" si="189"/>
        <v>239557346</v>
      </c>
      <c r="E838" t="str">
        <f t="shared" si="190"/>
        <v>Standard</v>
      </c>
      <c r="F838" t="str">
        <f t="shared" si="191"/>
        <v>alp_Amarok-Varejo-Fevereiro-2019_google-auction-dbm_horizontal_hardsell_google-dbm_cpm_prospecting_300x600_Amarok-Varejo-Fevereiro-Privado_open</v>
      </c>
      <c r="G838" t="str">
        <f t="shared" si="192"/>
        <v>436690671</v>
      </c>
      <c r="H838" t="str">
        <f t="shared" si="193"/>
        <v>Display</v>
      </c>
      <c r="I838">
        <f t="shared" si="194"/>
        <v>0</v>
      </c>
      <c r="J838">
        <f t="shared" si="195"/>
        <v>2</v>
      </c>
      <c r="K838" s="4">
        <f t="shared" si="184"/>
        <v>0.04</v>
      </c>
      <c r="L838">
        <f t="shared" si="185"/>
        <v>0.09</v>
      </c>
      <c r="M838" s="4">
        <f t="shared" si="182"/>
        <v>0</v>
      </c>
      <c r="N838" s="4">
        <f t="shared" si="183"/>
        <v>0</v>
      </c>
    </row>
    <row r="839" spans="1:14">
      <c r="A839" t="str">
        <f t="shared" si="186"/>
        <v>alp_Amarok-Varejo-Fevereiro-2019</v>
      </c>
      <c r="B839" t="str">
        <f t="shared" si="187"/>
        <v>Google Brasil</v>
      </c>
      <c r="C839" t="str">
        <f t="shared" si="188"/>
        <v>alp_Amarok-Varejo-Fevereiro-2019_google-auction-dbm_horizontal_hardsell_google-dbm_cpm_prospecting_320x50_Amarok-Varejo-Fevereiro-Corporativo-Urbano_open</v>
      </c>
      <c r="D839" t="str">
        <f t="shared" si="189"/>
        <v>239553541</v>
      </c>
      <c r="E839" t="str">
        <f t="shared" si="190"/>
        <v>Standard</v>
      </c>
      <c r="F839" t="str">
        <f t="shared" si="191"/>
        <v>alp_Amarok-Varejo-Fevereiro-2019_google-auction-dbm_horizontal_hardsell_google-dbm_cpm_prospecting_320x50_Amarok-Varejo-Fevereiro-Corporativo-Urbano_open</v>
      </c>
      <c r="G839" t="str">
        <f t="shared" si="192"/>
        <v>436736686</v>
      </c>
      <c r="H839" t="str">
        <f t="shared" si="193"/>
        <v>Display</v>
      </c>
      <c r="I839">
        <f t="shared" si="194"/>
        <v>0</v>
      </c>
      <c r="J839">
        <f t="shared" si="195"/>
        <v>6</v>
      </c>
      <c r="K839" s="4">
        <f t="shared" si="184"/>
        <v>0.04</v>
      </c>
      <c r="L839">
        <f t="shared" si="185"/>
        <v>0.09</v>
      </c>
      <c r="M839" s="4">
        <f t="shared" si="182"/>
        <v>0</v>
      </c>
      <c r="N839" s="4">
        <f t="shared" si="183"/>
        <v>0</v>
      </c>
    </row>
    <row r="840" spans="1:14">
      <c r="A840" t="str">
        <f t="shared" si="186"/>
        <v>alp_Amarok-Varejo-Fevereiro-2019</v>
      </c>
      <c r="B840" t="str">
        <f t="shared" si="187"/>
        <v>Google Brasil</v>
      </c>
      <c r="C840" t="str">
        <f t="shared" si="188"/>
        <v>alp_Amarok-Varejo-Fevereiro-2019_google-auction-dbm_horizontal_hardsell_google-dbm_cpm_prospecting_320x50_Amarok-Varejo-Fevereiro-Privado_open</v>
      </c>
      <c r="D840" t="str">
        <f t="shared" si="189"/>
        <v>239867151</v>
      </c>
      <c r="E840" t="str">
        <f t="shared" si="190"/>
        <v>Standard</v>
      </c>
      <c r="F840" t="str">
        <f t="shared" si="191"/>
        <v>alp_Amarok-Varejo-Fevereiro-2019_google-auction-dbm_horizontal_hardsell_google-dbm_cpm_prospecting_320x50_Amarok-Varejo-Fevereiro-Privado_open</v>
      </c>
      <c r="G840" t="str">
        <f t="shared" si="192"/>
        <v>436690668</v>
      </c>
      <c r="H840" t="str">
        <f t="shared" si="193"/>
        <v>Display</v>
      </c>
      <c r="I840">
        <f t="shared" si="194"/>
        <v>0</v>
      </c>
      <c r="J840">
        <f t="shared" si="195"/>
        <v>1</v>
      </c>
      <c r="K840" s="4">
        <f t="shared" si="184"/>
        <v>0.04</v>
      </c>
      <c r="L840">
        <f t="shared" si="185"/>
        <v>0.09</v>
      </c>
      <c r="M840" s="4">
        <f t="shared" si="182"/>
        <v>0</v>
      </c>
      <c r="N840" s="4">
        <f t="shared" si="183"/>
        <v>0</v>
      </c>
    </row>
    <row r="841" spans="1:14">
      <c r="A841" t="str">
        <f t="shared" si="186"/>
        <v>alp_Amarok-Varejo-Fevereiro-2019</v>
      </c>
      <c r="B841" t="str">
        <f t="shared" si="187"/>
        <v>In Loco Media</v>
      </c>
      <c r="C841" t="str">
        <f t="shared" si="188"/>
        <v>alp_Amarok-Varejo-Fevereiro-2019_inloco_horizontal_hardsell_inloco_cpm_prospecting_1200x627_Amarok-Varejo-Fevereiro-Corporativo-Campo_open</v>
      </c>
      <c r="D841" t="str">
        <f t="shared" si="189"/>
        <v>239833560</v>
      </c>
      <c r="E841" t="str">
        <f t="shared" si="190"/>
        <v>Dynamic Click</v>
      </c>
      <c r="F841" t="str">
        <f t="shared" si="191"/>
        <v>alp_Amarok-Varejo-Fevereiro-2019_inloco_horizontal_hardsell_inloco_cpm_prospecting_1200x627_Amarok-Varejo-Fevereiro-Corporativo-Campo_open</v>
      </c>
      <c r="G841" t="str">
        <f t="shared" si="192"/>
        <v>436700837</v>
      </c>
      <c r="H841" t="str">
        <f t="shared" si="193"/>
        <v>Tracking</v>
      </c>
      <c r="I841">
        <f t="shared" si="194"/>
        <v>0</v>
      </c>
      <c r="J841">
        <f t="shared" si="195"/>
        <v>1</v>
      </c>
      <c r="K841" s="4">
        <f t="shared" si="184"/>
        <v>3.5000000000000001E-3</v>
      </c>
      <c r="L841">
        <f t="shared" si="185"/>
        <v>0.02</v>
      </c>
      <c r="M841" s="4">
        <f t="shared" si="182"/>
        <v>3.5000000000000001E-3</v>
      </c>
      <c r="N841" s="4">
        <f t="shared" si="183"/>
        <v>0.02</v>
      </c>
    </row>
    <row r="842" spans="1:14">
      <c r="A842" t="str">
        <f t="shared" si="186"/>
        <v>alp_Amarok-Varejo-Fevereiro-2019</v>
      </c>
      <c r="B842" t="str">
        <f t="shared" si="187"/>
        <v>In Loco Media</v>
      </c>
      <c r="C842" t="str">
        <f t="shared" si="188"/>
        <v>alp_Amarok-Varejo-Fevereiro-2019_inloco_horizontal_hardsell_inloco_cpm_prospecting_1200x627_Amarok-Varejo-Fevereiro-Corporativo-Urbano_open</v>
      </c>
      <c r="D842" t="str">
        <f t="shared" si="189"/>
        <v>239833578</v>
      </c>
      <c r="E842" t="str">
        <f t="shared" si="190"/>
        <v>Dynamic Click</v>
      </c>
      <c r="F842" t="str">
        <f t="shared" si="191"/>
        <v>alp_Amarok-Varejo-Fevereiro-2019_inloco_horizontal_hardsell_inloco_cpm_prospecting_1200x627_Amarok-Varejo-Fevereiro-Corporativo-Urbano_open</v>
      </c>
      <c r="G842" t="str">
        <f t="shared" si="192"/>
        <v>436700855</v>
      </c>
      <c r="H842" t="str">
        <f t="shared" si="193"/>
        <v>Tracking</v>
      </c>
      <c r="I842">
        <f t="shared" si="194"/>
        <v>0</v>
      </c>
      <c r="J842">
        <f t="shared" si="195"/>
        <v>2</v>
      </c>
      <c r="K842" s="4">
        <f t="shared" si="184"/>
        <v>3.5000000000000001E-3</v>
      </c>
      <c r="L842">
        <f t="shared" si="185"/>
        <v>0.02</v>
      </c>
      <c r="M842" s="4">
        <f t="shared" si="182"/>
        <v>7.0000000000000001E-3</v>
      </c>
      <c r="N842" s="4">
        <f t="shared" si="183"/>
        <v>0.04</v>
      </c>
    </row>
    <row r="843" spans="1:14">
      <c r="A843" t="str">
        <f t="shared" si="186"/>
        <v>alp_Amarok-Varejo-Fevereiro-2019</v>
      </c>
      <c r="B843" t="str">
        <f t="shared" si="187"/>
        <v>In Loco Media</v>
      </c>
      <c r="C843" t="str">
        <f t="shared" si="188"/>
        <v>alp_Amarok-Varejo-Fevereiro-2019_inloco_horizontal_hardsell_inloco_cpm_prospecting_1440x960_Amarok-Varejo-Fevereiro-Corporativo-Campo_open</v>
      </c>
      <c r="D843" t="str">
        <f t="shared" si="189"/>
        <v>239833569</v>
      </c>
      <c r="E843" t="str">
        <f t="shared" si="190"/>
        <v>Standard</v>
      </c>
      <c r="F843" t="str">
        <f t="shared" si="191"/>
        <v>alp_Amarok-Varejo-Fevereiro-2019_inloco_horizontal_hardsell_inloco_cpm_prospecting_1440x960_Amarok-Varejo-Fevereiro-Corporativo-Campo_open</v>
      </c>
      <c r="G843" t="str">
        <f t="shared" si="192"/>
        <v>436700846</v>
      </c>
      <c r="H843" t="str">
        <f t="shared" si="193"/>
        <v>Tracking</v>
      </c>
      <c r="I843">
        <f t="shared" si="194"/>
        <v>2</v>
      </c>
      <c r="J843">
        <f t="shared" si="195"/>
        <v>0</v>
      </c>
      <c r="K843" s="4">
        <f t="shared" si="184"/>
        <v>0.04</v>
      </c>
      <c r="L843">
        <f t="shared" si="185"/>
        <v>0.09</v>
      </c>
      <c r="M843" s="4">
        <f t="shared" si="182"/>
        <v>8.0000000000000007E-5</v>
      </c>
      <c r="N843" s="4">
        <f t="shared" si="183"/>
        <v>1.7999999999999998E-4</v>
      </c>
    </row>
    <row r="844" spans="1:14">
      <c r="A844" t="str">
        <f t="shared" si="186"/>
        <v>alp_Amarok-Varejo-Fevereiro-2019</v>
      </c>
      <c r="B844" t="str">
        <f t="shared" si="187"/>
        <v>In Loco Media</v>
      </c>
      <c r="C844" t="str">
        <f t="shared" si="188"/>
        <v>alp_Amarok-Varejo-Fevereiro-2019_inloco_horizontal_hardsell_inloco_cpm_prospecting_1440x960_Amarok-Varejo-Fevereiro-Corporativo-Urbano_open</v>
      </c>
      <c r="D844" t="str">
        <f t="shared" si="189"/>
        <v>239833587</v>
      </c>
      <c r="E844" t="str">
        <f t="shared" si="190"/>
        <v>Standard</v>
      </c>
      <c r="F844" t="str">
        <f t="shared" si="191"/>
        <v>alp_Amarok-Varejo-Fevereiro-2019_inloco_horizontal_hardsell_inloco_cpm_prospecting_1440x960_Amarok-Varejo-Fevereiro-Corporativo-Urbano_open</v>
      </c>
      <c r="G844" t="str">
        <f t="shared" si="192"/>
        <v>436700864</v>
      </c>
      <c r="H844" t="str">
        <f t="shared" si="193"/>
        <v>Tracking</v>
      </c>
      <c r="I844">
        <f t="shared" si="194"/>
        <v>2</v>
      </c>
      <c r="J844">
        <f t="shared" si="195"/>
        <v>0</v>
      </c>
      <c r="K844" s="4">
        <f t="shared" si="184"/>
        <v>0.04</v>
      </c>
      <c r="L844">
        <f t="shared" si="185"/>
        <v>0.09</v>
      </c>
      <c r="M844" s="4">
        <f t="shared" si="182"/>
        <v>8.0000000000000007E-5</v>
      </c>
      <c r="N844" s="4">
        <f t="shared" si="183"/>
        <v>1.7999999999999998E-4</v>
      </c>
    </row>
    <row r="845" spans="1:14">
      <c r="A845" t="str">
        <f t="shared" si="186"/>
        <v>alp_Amarok-Varejo-Fevereiro-2019</v>
      </c>
      <c r="B845" t="str">
        <f t="shared" si="187"/>
        <v>In Loco Media</v>
      </c>
      <c r="C845" t="str">
        <f t="shared" si="188"/>
        <v>alp_Amarok-Varejo-Fevereiro-2019_inloco_horizontal_hardsell_inloco_cpm_prospecting_1440x960_Amarok-Varejo-Fevereiro-Privado_open</v>
      </c>
      <c r="D845" t="str">
        <f t="shared" si="189"/>
        <v>239833605</v>
      </c>
      <c r="E845" t="str">
        <f t="shared" si="190"/>
        <v>Standard</v>
      </c>
      <c r="F845" t="str">
        <f t="shared" si="191"/>
        <v>alp_Amarok-Varejo-Fevereiro-2019_inloco_horizontal_hardsell_inloco_cpm_prospecting_1440x960_Amarok-Varejo-Fevereiro-Privado_open</v>
      </c>
      <c r="G845" t="str">
        <f t="shared" si="192"/>
        <v>436700882</v>
      </c>
      <c r="H845" t="str">
        <f t="shared" si="193"/>
        <v>Tracking</v>
      </c>
      <c r="I845">
        <f t="shared" si="194"/>
        <v>2</v>
      </c>
      <c r="J845">
        <f t="shared" si="195"/>
        <v>0</v>
      </c>
      <c r="K845" s="4">
        <f t="shared" si="184"/>
        <v>0.04</v>
      </c>
      <c r="L845">
        <f t="shared" si="185"/>
        <v>0.09</v>
      </c>
      <c r="M845" s="4">
        <f t="shared" si="182"/>
        <v>8.0000000000000007E-5</v>
      </c>
      <c r="N845" s="4">
        <f t="shared" si="183"/>
        <v>1.7999999999999998E-4</v>
      </c>
    </row>
    <row r="846" spans="1:14">
      <c r="A846" t="str">
        <f t="shared" si="186"/>
        <v>alp_Amarok-Varejo-Fevereiro-2019</v>
      </c>
      <c r="B846" t="str">
        <f t="shared" si="187"/>
        <v>In Loco Media</v>
      </c>
      <c r="C846" t="str">
        <f t="shared" si="188"/>
        <v>alp_Amarok-Varejo-Fevereiro-2019_inloco_horizontal_hardsell_inloco_cpm_prospecting_900x750_Amarok-Varejo-Fevereiro-Corporativo-Campo_open</v>
      </c>
      <c r="D846" t="str">
        <f t="shared" si="189"/>
        <v>239833566</v>
      </c>
      <c r="E846" t="str">
        <f t="shared" si="190"/>
        <v>Standard</v>
      </c>
      <c r="F846" t="str">
        <f t="shared" si="191"/>
        <v>alp_Amarok-Varejo-Fevereiro-2019_inloco_horizontal_hardsell_inloco_cpm_prospecting_900x750_Amarok-Varejo-Fevereiro-Corporativo-Campo_open</v>
      </c>
      <c r="G846" t="str">
        <f t="shared" si="192"/>
        <v>436700843</v>
      </c>
      <c r="H846" t="str">
        <f t="shared" si="193"/>
        <v>Tracking</v>
      </c>
      <c r="I846">
        <f t="shared" si="194"/>
        <v>4</v>
      </c>
      <c r="J846">
        <f t="shared" si="195"/>
        <v>0</v>
      </c>
      <c r="K846" s="4">
        <f t="shared" si="184"/>
        <v>0.04</v>
      </c>
      <c r="L846">
        <f t="shared" si="185"/>
        <v>0.09</v>
      </c>
      <c r="M846" s="4">
        <f t="shared" si="182"/>
        <v>1.6000000000000001E-4</v>
      </c>
      <c r="N846" s="4">
        <f t="shared" si="183"/>
        <v>3.5999999999999997E-4</v>
      </c>
    </row>
    <row r="847" spans="1:14">
      <c r="A847" t="str">
        <f t="shared" si="186"/>
        <v>alp_Amarok-Varejo-Fevereiro-2019</v>
      </c>
      <c r="B847" t="str">
        <f t="shared" si="187"/>
        <v>In Loco Media</v>
      </c>
      <c r="C847" t="str">
        <f t="shared" si="188"/>
        <v>alp_Amarok-Varejo-Fevereiro-2019_inloco_horizontal_hardsell_inloco_cpm_prospecting_900x750_Amarok-Varejo-Fevereiro-Corporativo-Urbano_open</v>
      </c>
      <c r="D847" t="str">
        <f t="shared" si="189"/>
        <v>239833584</v>
      </c>
      <c r="E847" t="str">
        <f t="shared" si="190"/>
        <v>Standard</v>
      </c>
      <c r="F847" t="str">
        <f t="shared" si="191"/>
        <v>alp_Amarok-Varejo-Fevereiro-2019_inloco_horizontal_hardsell_inloco_cpm_prospecting_900x750_Amarok-Varejo-Fevereiro-Corporativo-Urbano_open</v>
      </c>
      <c r="G847" t="str">
        <f t="shared" si="192"/>
        <v>436700861</v>
      </c>
      <c r="H847" t="str">
        <f t="shared" si="193"/>
        <v>Tracking</v>
      </c>
      <c r="I847">
        <f t="shared" si="194"/>
        <v>2</v>
      </c>
      <c r="J847">
        <f t="shared" si="195"/>
        <v>0</v>
      </c>
      <c r="K847" s="4">
        <f t="shared" si="184"/>
        <v>0.04</v>
      </c>
      <c r="L847">
        <f t="shared" si="185"/>
        <v>0.09</v>
      </c>
      <c r="M847" s="4">
        <f t="shared" si="182"/>
        <v>8.0000000000000007E-5</v>
      </c>
      <c r="N847" s="4">
        <f t="shared" si="183"/>
        <v>1.7999999999999998E-4</v>
      </c>
    </row>
    <row r="848" spans="1:14">
      <c r="A848" t="str">
        <f t="shared" si="186"/>
        <v>alp_Amarok-Varejo-Fevereiro-2019</v>
      </c>
      <c r="B848" t="str">
        <f t="shared" si="187"/>
        <v>In Loco Media</v>
      </c>
      <c r="C848" t="str">
        <f t="shared" si="188"/>
        <v>alp_Amarok-Varejo-Fevereiro-2019_inloco_horizontal_hardsell_inloco_cpm_prospecting_900x750_Amarok-Varejo-Fevereiro-Privado_open</v>
      </c>
      <c r="D848" t="str">
        <f t="shared" si="189"/>
        <v>239833602</v>
      </c>
      <c r="E848" t="str">
        <f t="shared" si="190"/>
        <v>Standard</v>
      </c>
      <c r="F848" t="str">
        <f t="shared" si="191"/>
        <v>alp_Amarok-Varejo-Fevereiro-2019_inloco_horizontal_hardsell_inloco_cpm_prospecting_900x750_Amarok-Varejo-Fevereiro-Privado_open</v>
      </c>
      <c r="G848" t="str">
        <f t="shared" si="192"/>
        <v>436700879</v>
      </c>
      <c r="H848" t="str">
        <f t="shared" si="193"/>
        <v>Tracking</v>
      </c>
      <c r="I848">
        <f t="shared" si="194"/>
        <v>2</v>
      </c>
      <c r="J848">
        <f t="shared" si="195"/>
        <v>1</v>
      </c>
      <c r="K848" s="4">
        <f t="shared" si="184"/>
        <v>0.04</v>
      </c>
      <c r="L848">
        <f t="shared" si="185"/>
        <v>0.09</v>
      </c>
      <c r="M848" s="4">
        <f t="shared" si="182"/>
        <v>8.0000000000000007E-5</v>
      </c>
      <c r="N848" s="4">
        <f t="shared" si="183"/>
        <v>1.7999999999999998E-4</v>
      </c>
    </row>
    <row r="849" spans="1:14">
      <c r="A849" t="str">
        <f t="shared" si="186"/>
        <v>alp_Amarok-Varejo-Fevereiro-2019</v>
      </c>
      <c r="B849" t="str">
        <f t="shared" si="187"/>
        <v>In Loco Media</v>
      </c>
      <c r="C849" t="str">
        <f t="shared" si="188"/>
        <v>alp_Amarok-Varejo-Fevereiro-2019_inloco_horizontal_hardsell_inloco_cpm_prospecting_960x1440_Amarok-Varejo-Fevereiro-Corporativo-Campo_open</v>
      </c>
      <c r="D849" t="str">
        <f t="shared" si="189"/>
        <v>239833572</v>
      </c>
      <c r="E849" t="str">
        <f t="shared" si="190"/>
        <v>Dynamic Click</v>
      </c>
      <c r="F849" t="str">
        <f t="shared" si="191"/>
        <v>alp_Amarok-Varejo-Fevereiro-2019_inloco_horizontal_hardsell_inloco_cpm_prospecting_960x1440_Amarok-Varejo-Fevereiro-Corporativo-Campo_open</v>
      </c>
      <c r="G849" t="str">
        <f t="shared" si="192"/>
        <v>436700849</v>
      </c>
      <c r="H849" t="str">
        <f t="shared" si="193"/>
        <v>Tracking</v>
      </c>
      <c r="I849">
        <f t="shared" si="194"/>
        <v>6</v>
      </c>
      <c r="J849">
        <f t="shared" si="195"/>
        <v>11</v>
      </c>
      <c r="K849" s="4">
        <f t="shared" si="184"/>
        <v>3.5000000000000001E-3</v>
      </c>
      <c r="L849">
        <f t="shared" si="185"/>
        <v>0.02</v>
      </c>
      <c r="M849" s="4">
        <f t="shared" si="182"/>
        <v>3.85E-2</v>
      </c>
      <c r="N849" s="4">
        <f t="shared" si="183"/>
        <v>0.22</v>
      </c>
    </row>
    <row r="850" spans="1:14">
      <c r="A850" t="str">
        <f t="shared" si="186"/>
        <v>alp_Amarok-Varejo-Fevereiro-2019</v>
      </c>
      <c r="B850" t="str">
        <f t="shared" si="187"/>
        <v>In Loco Media</v>
      </c>
      <c r="C850" t="str">
        <f t="shared" si="188"/>
        <v>alp_Amarok-Varejo-Fevereiro-2019_inloco_horizontal_hardsell_inloco_cpm_prospecting_960x1440_Amarok-Varejo-Fevereiro-Corporativo-Urbano_open</v>
      </c>
      <c r="D850" t="str">
        <f t="shared" si="189"/>
        <v>239833590</v>
      </c>
      <c r="E850" t="str">
        <f t="shared" si="190"/>
        <v>Standard</v>
      </c>
      <c r="F850" t="str">
        <f t="shared" si="191"/>
        <v>alp_Amarok-Varejo-Fevereiro-2019_inloco_horizontal_hardsell_inloco_cpm_prospecting_960x1440_Amarok-Varejo-Fevereiro-Corporativo-Urbano_open</v>
      </c>
      <c r="G850" t="str">
        <f t="shared" si="192"/>
        <v>436700867</v>
      </c>
      <c r="H850" t="str">
        <f t="shared" si="193"/>
        <v>Tracking</v>
      </c>
      <c r="I850">
        <f t="shared" si="194"/>
        <v>18</v>
      </c>
      <c r="J850">
        <f t="shared" si="195"/>
        <v>3</v>
      </c>
      <c r="K850" s="4">
        <f t="shared" si="184"/>
        <v>0.04</v>
      </c>
      <c r="L850">
        <f t="shared" si="185"/>
        <v>0.09</v>
      </c>
      <c r="M850" s="4">
        <f t="shared" si="182"/>
        <v>7.1999999999999994E-4</v>
      </c>
      <c r="N850" s="4">
        <f t="shared" si="183"/>
        <v>1.6199999999999999E-3</v>
      </c>
    </row>
    <row r="851" spans="1:14">
      <c r="A851" t="str">
        <f t="shared" si="186"/>
        <v>alp_Amarok-Varejo-Fevereiro-2019</v>
      </c>
      <c r="B851" t="str">
        <f t="shared" si="187"/>
        <v>In Loco Media</v>
      </c>
      <c r="C851" t="str">
        <f t="shared" si="188"/>
        <v>alp_Amarok-Varejo-Fevereiro-2019_inloco_horizontal_hardsell_inloco_cpm_prospecting_960x1440_Amarok-Varejo-Fevereiro-Privado_open</v>
      </c>
      <c r="D851" t="str">
        <f t="shared" si="189"/>
        <v>239833608</v>
      </c>
      <c r="E851" t="str">
        <f t="shared" si="190"/>
        <v>Dynamic Click</v>
      </c>
      <c r="F851" t="str">
        <f t="shared" si="191"/>
        <v>alp_Amarok-Varejo-Fevereiro-2019_inloco_horizontal_hardsell_inloco_cpm_prospecting_960x1440_Amarok-Varejo-Fevereiro-Privado_open</v>
      </c>
      <c r="G851" t="str">
        <f t="shared" si="192"/>
        <v>436700885</v>
      </c>
      <c r="H851" t="str">
        <f t="shared" si="193"/>
        <v>Tracking</v>
      </c>
      <c r="I851">
        <f t="shared" si="194"/>
        <v>6</v>
      </c>
      <c r="J851">
        <f t="shared" si="195"/>
        <v>6</v>
      </c>
      <c r="K851" s="4">
        <f t="shared" si="184"/>
        <v>3.5000000000000001E-3</v>
      </c>
      <c r="L851">
        <f t="shared" si="185"/>
        <v>0.02</v>
      </c>
      <c r="M851" s="4">
        <f t="shared" si="182"/>
        <v>2.1000000000000001E-2</v>
      </c>
      <c r="N851" s="4">
        <f t="shared" si="183"/>
        <v>0.12</v>
      </c>
    </row>
    <row r="852" spans="1:14">
      <c r="A852" t="str">
        <f t="shared" si="186"/>
        <v>alp_Amarok-Varejo-Fevereiro-2019</v>
      </c>
      <c r="B852" t="str">
        <f t="shared" si="187"/>
        <v>In Loco Media</v>
      </c>
      <c r="C852" t="str">
        <f t="shared" si="188"/>
        <v>alp_Amarok-Varejo-Fevereiro-2019_inloco_horizontal_hardsell_inloco_cpm_prospecting_960x150_Amarok-Varejo-Fevereiro-Corporativo-Campo_open</v>
      </c>
      <c r="D852" t="str">
        <f t="shared" si="189"/>
        <v>239833575</v>
      </c>
      <c r="E852" t="str">
        <f t="shared" si="190"/>
        <v>Dynamic Click</v>
      </c>
      <c r="F852" t="str">
        <f t="shared" si="191"/>
        <v>alp_Amarok-Varejo-Fevereiro-2019_inloco_horizontal_hardsell_inloco_cpm_prospecting_960x150_Amarok-Varejo-Fevereiro-Corporativo-Campo_open</v>
      </c>
      <c r="G852" t="str">
        <f t="shared" si="192"/>
        <v>436700852</v>
      </c>
      <c r="H852" t="str">
        <f t="shared" si="193"/>
        <v>Tracking</v>
      </c>
      <c r="I852">
        <f t="shared" si="194"/>
        <v>0</v>
      </c>
      <c r="J852">
        <f t="shared" si="195"/>
        <v>1</v>
      </c>
      <c r="K852" s="4">
        <f t="shared" si="184"/>
        <v>3.5000000000000001E-3</v>
      </c>
      <c r="L852">
        <f t="shared" si="185"/>
        <v>0.02</v>
      </c>
      <c r="M852" s="4">
        <f t="shared" si="182"/>
        <v>3.5000000000000001E-3</v>
      </c>
      <c r="N852" s="4">
        <f t="shared" si="183"/>
        <v>0.02</v>
      </c>
    </row>
    <row r="853" spans="1:14">
      <c r="A853" t="str">
        <f t="shared" si="186"/>
        <v>alp_Amarok-Varejo-Fevereiro-2019</v>
      </c>
      <c r="B853" t="str">
        <f t="shared" si="187"/>
        <v>In Loco Media</v>
      </c>
      <c r="C853" t="str">
        <f t="shared" si="188"/>
        <v>alp_Amarok-Varejo-Fevereiro-2019_inloco_horizontal_hardsell_inloco_cpm_prospecting_960x150_Amarok-Varejo-Fevereiro-Privado_open</v>
      </c>
      <c r="D853" t="str">
        <f t="shared" si="189"/>
        <v>239833611</v>
      </c>
      <c r="E853" t="str">
        <f t="shared" si="190"/>
        <v>Dynamic Click</v>
      </c>
      <c r="F853" t="str">
        <f t="shared" si="191"/>
        <v>alp_Amarok-Varejo-Fevereiro-2019_inloco_horizontal_hardsell_inloco_cpm_prospecting_960x150_Amarok-Varejo-Fevereiro-Privado_open</v>
      </c>
      <c r="G853" t="str">
        <f t="shared" si="192"/>
        <v>436700888</v>
      </c>
      <c r="H853" t="str">
        <f t="shared" si="193"/>
        <v>Tracking</v>
      </c>
      <c r="I853">
        <f t="shared" si="194"/>
        <v>0</v>
      </c>
      <c r="J853">
        <f t="shared" si="195"/>
        <v>1</v>
      </c>
      <c r="K853" s="4">
        <f t="shared" si="184"/>
        <v>3.5000000000000001E-3</v>
      </c>
      <c r="L853">
        <f t="shared" si="185"/>
        <v>0.02</v>
      </c>
      <c r="M853" s="4">
        <f t="shared" si="182"/>
        <v>3.5000000000000001E-3</v>
      </c>
      <c r="N853" s="4">
        <f t="shared" si="183"/>
        <v>0.02</v>
      </c>
    </row>
    <row r="854" spans="1:14">
      <c r="A854" t="str">
        <f t="shared" si="186"/>
        <v>alp_Amarok-Varejo-Fevereiro-2019</v>
      </c>
      <c r="B854" t="str">
        <f t="shared" si="187"/>
        <v>Oath BR</v>
      </c>
      <c r="C854" t="str">
        <f t="shared" si="188"/>
        <v>alp_Amarok-Varejo-Fevereiro-2019_OATH_horizontal_hardsell_DSP_cpm_prospecting_160x600_Amarok-Varejo-Fevereiro-Corporativo-Campo_open</v>
      </c>
      <c r="D854" t="str">
        <f t="shared" si="189"/>
        <v>240058397</v>
      </c>
      <c r="E854" t="str">
        <f t="shared" si="190"/>
        <v>Standard</v>
      </c>
      <c r="F854" t="str">
        <f t="shared" si="191"/>
        <v>alp_Amarok-Varejo-Fevereiro-2019_OATH_horizontal_hardsell_DSP_cpm_prospecting_160x600_Amarok-Varejo-Fevereiro-Corporativo-Campo_open</v>
      </c>
      <c r="G854" t="str">
        <f t="shared" si="192"/>
        <v>437290033</v>
      </c>
      <c r="H854" t="str">
        <f t="shared" si="193"/>
        <v>Display</v>
      </c>
      <c r="I854">
        <f t="shared" si="194"/>
        <v>47</v>
      </c>
      <c r="J854">
        <f t="shared" si="195"/>
        <v>0</v>
      </c>
      <c r="K854" s="4">
        <f t="shared" si="184"/>
        <v>0.04</v>
      </c>
      <c r="L854">
        <f t="shared" si="185"/>
        <v>0.09</v>
      </c>
      <c r="M854" s="4">
        <f t="shared" si="182"/>
        <v>1.8800000000000002E-3</v>
      </c>
      <c r="N854" s="4">
        <f t="shared" si="183"/>
        <v>4.2299999999999994E-3</v>
      </c>
    </row>
    <row r="855" spans="1:14">
      <c r="A855" t="str">
        <f t="shared" si="186"/>
        <v>alp_Amarok-Varejo-Fevereiro-2019</v>
      </c>
      <c r="B855" t="str">
        <f t="shared" si="187"/>
        <v>Oath BR</v>
      </c>
      <c r="C855" t="str">
        <f t="shared" si="188"/>
        <v>alp_Amarok-Varejo-Fevereiro-2019_OATH_horizontal_hardsell_DSP_cpm_prospecting_160x600_Amarok-Varejo-Fevereiro-Corporativo-Urbano_open</v>
      </c>
      <c r="D855" t="str">
        <f t="shared" si="189"/>
        <v>240066566</v>
      </c>
      <c r="E855" t="str">
        <f t="shared" si="190"/>
        <v>Standard</v>
      </c>
      <c r="F855" t="str">
        <f t="shared" si="191"/>
        <v>alp_Amarok-Varejo-Fevereiro-2019_OATH_horizontal_hardsell_DSP_cpm_prospecting_160x600_Amarok-Varejo-Fevereiro-Corporativo-Urbano_open</v>
      </c>
      <c r="G855" t="str">
        <f t="shared" si="192"/>
        <v>437202229</v>
      </c>
      <c r="H855" t="str">
        <f t="shared" si="193"/>
        <v>Display</v>
      </c>
      <c r="I855">
        <f t="shared" si="194"/>
        <v>45</v>
      </c>
      <c r="J855">
        <f t="shared" si="195"/>
        <v>0</v>
      </c>
      <c r="K855" s="4">
        <f t="shared" si="184"/>
        <v>0.04</v>
      </c>
      <c r="L855">
        <f t="shared" si="185"/>
        <v>0.09</v>
      </c>
      <c r="M855" s="4">
        <f t="shared" si="182"/>
        <v>1.8E-3</v>
      </c>
      <c r="N855" s="4">
        <f t="shared" si="183"/>
        <v>4.0499999999999998E-3</v>
      </c>
    </row>
    <row r="856" spans="1:14">
      <c r="A856" t="str">
        <f t="shared" si="186"/>
        <v>alp_Amarok-Varejo-Fevereiro-2019</v>
      </c>
      <c r="B856" t="str">
        <f t="shared" si="187"/>
        <v>Oath BR</v>
      </c>
      <c r="C856" t="str">
        <f t="shared" si="188"/>
        <v>alp_Amarok-Varejo-Fevereiro-2019_OATH_horizontal_hardsell_DSP_cpm_prospecting_300x250_Amarok-Varejo-Fevereiro-Corporativo-Campo_open</v>
      </c>
      <c r="D856" t="str">
        <f t="shared" si="189"/>
        <v>240058388</v>
      </c>
      <c r="E856" t="str">
        <f t="shared" si="190"/>
        <v>Standard</v>
      </c>
      <c r="F856" t="str">
        <f t="shared" si="191"/>
        <v>alp_Amarok-Varejo-Fevereiro-2019_OATH_horizontal_hardsell_DSP_cpm_prospecting_300x250_Amarok-Varejo-Fevereiro-Corporativo-Campo_open</v>
      </c>
      <c r="G856" t="str">
        <f t="shared" si="192"/>
        <v>437291398</v>
      </c>
      <c r="H856" t="str">
        <f t="shared" si="193"/>
        <v>Display</v>
      </c>
      <c r="I856">
        <f t="shared" si="194"/>
        <v>376</v>
      </c>
      <c r="J856">
        <f t="shared" si="195"/>
        <v>0</v>
      </c>
      <c r="K856" s="4">
        <f t="shared" si="184"/>
        <v>0.04</v>
      </c>
      <c r="L856">
        <f t="shared" si="185"/>
        <v>0.09</v>
      </c>
      <c r="M856" s="4">
        <f t="shared" si="182"/>
        <v>1.5040000000000001E-2</v>
      </c>
      <c r="N856" s="4">
        <f t="shared" si="183"/>
        <v>3.3839999999999995E-2</v>
      </c>
    </row>
    <row r="857" spans="1:14">
      <c r="A857" t="str">
        <f t="shared" si="186"/>
        <v>alp_Amarok-Varejo-Fevereiro-2019</v>
      </c>
      <c r="B857" t="str">
        <f t="shared" si="187"/>
        <v>Oath BR</v>
      </c>
      <c r="C857" t="str">
        <f t="shared" si="188"/>
        <v>alp_Amarok-Varejo-Fevereiro-2019_OATH_horizontal_hardsell_DSP_cpm_prospecting_300x250_Amarok-Varejo-Fevereiro-Corporativo-Urbano_open</v>
      </c>
      <c r="D857" t="str">
        <f t="shared" si="189"/>
        <v>240058421</v>
      </c>
      <c r="E857" t="str">
        <f t="shared" si="190"/>
        <v>Standard</v>
      </c>
      <c r="F857" t="str">
        <f t="shared" si="191"/>
        <v>alp_Amarok-Varejo-Fevereiro-2019_OATH_horizontal_hardsell_DSP_cpm_prospecting_300x250_Amarok-Varejo-Fevereiro-Corporativo-Urbano_open</v>
      </c>
      <c r="G857" t="str">
        <f t="shared" si="192"/>
        <v>437289961</v>
      </c>
      <c r="H857" t="str">
        <f t="shared" si="193"/>
        <v>Display</v>
      </c>
      <c r="I857">
        <f t="shared" si="194"/>
        <v>355</v>
      </c>
      <c r="J857">
        <f t="shared" si="195"/>
        <v>0</v>
      </c>
      <c r="K857" s="4">
        <f t="shared" si="184"/>
        <v>0.04</v>
      </c>
      <c r="L857">
        <f t="shared" si="185"/>
        <v>0.09</v>
      </c>
      <c r="M857" s="4">
        <f t="shared" si="182"/>
        <v>1.4200000000000001E-2</v>
      </c>
      <c r="N857" s="4">
        <f t="shared" si="183"/>
        <v>3.1949999999999999E-2</v>
      </c>
    </row>
    <row r="858" spans="1:14">
      <c r="A858" t="str">
        <f t="shared" si="186"/>
        <v>alp_Amarok-Varejo-Fevereiro-2019</v>
      </c>
      <c r="B858" t="str">
        <f t="shared" si="187"/>
        <v>Oath BR</v>
      </c>
      <c r="C858" t="str">
        <f t="shared" si="188"/>
        <v>alp_Amarok-Varejo-Fevereiro-2019_OATH_horizontal_hardsell_DSP_cpm_prospecting_300x600_Amarok-Varejo-Fevereiro-Corporativo-Campo_open</v>
      </c>
      <c r="D858" t="str">
        <f t="shared" si="189"/>
        <v>240058394</v>
      </c>
      <c r="E858" t="str">
        <f t="shared" si="190"/>
        <v>Standard</v>
      </c>
      <c r="F858" t="str">
        <f t="shared" si="191"/>
        <v>alp_Amarok-Varejo-Fevereiro-2019_OATH_horizontal_hardsell_DSP_cpm_prospecting_300x600_Amarok-Varejo-Fevereiro-Corporativo-Campo_open</v>
      </c>
      <c r="G858" t="str">
        <f t="shared" si="192"/>
        <v>437230706</v>
      </c>
      <c r="H858" t="str">
        <f t="shared" si="193"/>
        <v>Display</v>
      </c>
      <c r="I858">
        <f t="shared" si="194"/>
        <v>58</v>
      </c>
      <c r="J858">
        <f t="shared" si="195"/>
        <v>0</v>
      </c>
      <c r="K858" s="4">
        <f t="shared" si="184"/>
        <v>0.04</v>
      </c>
      <c r="L858">
        <f t="shared" si="185"/>
        <v>0.09</v>
      </c>
      <c r="M858" s="4">
        <f t="shared" si="182"/>
        <v>2.32E-3</v>
      </c>
      <c r="N858" s="4">
        <f t="shared" si="183"/>
        <v>5.2199999999999998E-3</v>
      </c>
    </row>
    <row r="859" spans="1:14">
      <c r="A859" t="str">
        <f t="shared" si="186"/>
        <v>alp_Amarok-Varejo-Fevereiro-2019</v>
      </c>
      <c r="B859" t="str">
        <f t="shared" si="187"/>
        <v>Oath BR</v>
      </c>
      <c r="C859" t="str">
        <f t="shared" si="188"/>
        <v>alp_Amarok-Varejo-Fevereiro-2019_OATH_horizontal_hardsell_DSP_cpm_prospecting_300x600_Amarok-Varejo-Fevereiro-Corporativo-Urbano_open</v>
      </c>
      <c r="D859" t="str">
        <f t="shared" si="189"/>
        <v>240058433</v>
      </c>
      <c r="E859" t="str">
        <f t="shared" si="190"/>
        <v>Standard</v>
      </c>
      <c r="F859" t="str">
        <f t="shared" si="191"/>
        <v>alp_Amarok-Varejo-Fevereiro-2019_OATH_horizontal_hardsell_DSP_cpm_prospecting_300x600_Amarok-Varejo-Fevereiro-Corporativo-Urbano_open</v>
      </c>
      <c r="G859" t="str">
        <f t="shared" si="192"/>
        <v>437289949</v>
      </c>
      <c r="H859" t="str">
        <f t="shared" si="193"/>
        <v>Display</v>
      </c>
      <c r="I859">
        <f t="shared" si="194"/>
        <v>57</v>
      </c>
      <c r="J859">
        <f t="shared" si="195"/>
        <v>0</v>
      </c>
      <c r="K859" s="4">
        <f t="shared" si="184"/>
        <v>0.04</v>
      </c>
      <c r="L859">
        <f t="shared" si="185"/>
        <v>0.09</v>
      </c>
      <c r="M859" s="4">
        <f t="shared" si="182"/>
        <v>2.2800000000000003E-3</v>
      </c>
      <c r="N859" s="4">
        <f t="shared" si="183"/>
        <v>5.13E-3</v>
      </c>
    </row>
    <row r="860" spans="1:14">
      <c r="A860" t="str">
        <f t="shared" si="186"/>
        <v>alp_Amarok-Varejo-Fevereiro-2019</v>
      </c>
      <c r="B860" t="str">
        <f t="shared" si="187"/>
        <v>Oath BR</v>
      </c>
      <c r="C860" t="str">
        <f t="shared" si="188"/>
        <v>alp_Amarok-Varejo-Fevereiro-2019_OATH_horizontal_hardsell_DSP_cpm_prospecting_320x50_Amarok-Varejo-Fevereiro-Corporativo-Campo_open</v>
      </c>
      <c r="D860" t="str">
        <f t="shared" si="189"/>
        <v>240058385</v>
      </c>
      <c r="E860" t="str">
        <f t="shared" si="190"/>
        <v>Standard</v>
      </c>
      <c r="F860" t="str">
        <f t="shared" si="191"/>
        <v>alp_Amarok-Varejo-Fevereiro-2019_OATH_horizontal_hardsell_DSP_cpm_prospecting_320x50_Amarok-Varejo-Fevereiro-Corporativo-Campo_open</v>
      </c>
      <c r="G860" t="str">
        <f t="shared" si="192"/>
        <v>437185635</v>
      </c>
      <c r="H860" t="str">
        <f t="shared" si="193"/>
        <v>Display</v>
      </c>
      <c r="I860">
        <f t="shared" si="194"/>
        <v>41</v>
      </c>
      <c r="J860">
        <f t="shared" si="195"/>
        <v>0</v>
      </c>
      <c r="K860" s="4">
        <f t="shared" si="184"/>
        <v>0.04</v>
      </c>
      <c r="L860">
        <f t="shared" si="185"/>
        <v>0.09</v>
      </c>
      <c r="M860" s="4">
        <f t="shared" si="182"/>
        <v>1.6400000000000002E-3</v>
      </c>
      <c r="N860" s="4">
        <f t="shared" si="183"/>
        <v>3.6900000000000001E-3</v>
      </c>
    </row>
    <row r="861" spans="1:14">
      <c r="A861" t="str">
        <f t="shared" si="186"/>
        <v>alp_Amarok-Varejo-Fevereiro-2019</v>
      </c>
      <c r="B861" t="str">
        <f t="shared" si="187"/>
        <v>Oath BR</v>
      </c>
      <c r="C861" t="str">
        <f t="shared" si="188"/>
        <v>alp_Amarok-Varejo-Fevereiro-2019_OATH_horizontal_hardsell_DSP_cpm_prospecting_320x50_Amarok-Varejo-Fevereiro-Corporativo-Urbano_open</v>
      </c>
      <c r="D861" t="str">
        <f t="shared" si="189"/>
        <v>240058415</v>
      </c>
      <c r="E861" t="str">
        <f t="shared" si="190"/>
        <v>Standard</v>
      </c>
      <c r="F861" t="str">
        <f t="shared" si="191"/>
        <v>alp_Amarok-Varejo-Fevereiro-2019_OATH_horizontal_hardsell_DSP_cpm_prospecting_320x50_Amarok-Varejo-Fevereiro-Corporativo-Urbano_open</v>
      </c>
      <c r="G861" t="str">
        <f t="shared" si="192"/>
        <v>437289964</v>
      </c>
      <c r="H861" t="str">
        <f t="shared" si="193"/>
        <v>Display</v>
      </c>
      <c r="I861">
        <f t="shared" si="194"/>
        <v>47</v>
      </c>
      <c r="J861">
        <f t="shared" si="195"/>
        <v>0</v>
      </c>
      <c r="K861" s="4">
        <f t="shared" si="184"/>
        <v>0.04</v>
      </c>
      <c r="L861">
        <f t="shared" si="185"/>
        <v>0.09</v>
      </c>
      <c r="M861" s="4">
        <f t="shared" si="182"/>
        <v>1.8800000000000002E-3</v>
      </c>
      <c r="N861" s="4">
        <f t="shared" si="183"/>
        <v>4.2299999999999994E-3</v>
      </c>
    </row>
    <row r="862" spans="1:14">
      <c r="A862" t="str">
        <f t="shared" si="186"/>
        <v>alp_Amarok-Varejo-Fevereiro-2019</v>
      </c>
      <c r="B862" t="str">
        <f t="shared" si="187"/>
        <v>Oath BR</v>
      </c>
      <c r="C862" t="str">
        <f t="shared" si="188"/>
        <v>alp_Amarok-Varejo-Fevereiro-2019_OATH_horizontal_hardsell_DSP_cpm_prospecting_728x90_Amarok-Varejo-Fevereiro-Corporativo-Campo_open</v>
      </c>
      <c r="D862" t="str">
        <f t="shared" si="189"/>
        <v>240058382</v>
      </c>
      <c r="E862" t="str">
        <f t="shared" si="190"/>
        <v>Standard</v>
      </c>
      <c r="F862" t="str">
        <f t="shared" si="191"/>
        <v>alp_Amarok-Varejo-Fevereiro-2019_OATH_horizontal_hardsell_DSP_cpm_prospecting_728x90_Amarok-Varejo-Fevereiro-Corporativo-Campo_open</v>
      </c>
      <c r="G862" t="str">
        <f t="shared" si="192"/>
        <v>437291443</v>
      </c>
      <c r="H862" t="str">
        <f t="shared" si="193"/>
        <v>Display</v>
      </c>
      <c r="I862">
        <f t="shared" si="194"/>
        <v>118</v>
      </c>
      <c r="J862">
        <f t="shared" si="195"/>
        <v>0</v>
      </c>
      <c r="K862" s="4">
        <f t="shared" si="184"/>
        <v>0.04</v>
      </c>
      <c r="L862">
        <f t="shared" si="185"/>
        <v>0.09</v>
      </c>
      <c r="M862" s="4">
        <f t="shared" si="182"/>
        <v>4.7199999999999994E-3</v>
      </c>
      <c r="N862" s="4">
        <f t="shared" si="183"/>
        <v>1.0619999999999999E-2</v>
      </c>
    </row>
    <row r="863" spans="1:14">
      <c r="A863" t="str">
        <f t="shared" si="186"/>
        <v>alp_Amarok-Varejo-Fevereiro-2019</v>
      </c>
      <c r="B863" t="str">
        <f t="shared" si="187"/>
        <v>Oath BR</v>
      </c>
      <c r="C863" t="str">
        <f t="shared" si="188"/>
        <v>alp_Amarok-Varejo-Fevereiro-2019_OATH_horizontal_hardsell_DSP_cpm_prospecting_728x90_Amarok-Varejo-Fevereiro-Corporativo-Urbano_open</v>
      </c>
      <c r="D863" t="str">
        <f t="shared" si="189"/>
        <v>240058409</v>
      </c>
      <c r="E863" t="str">
        <f t="shared" si="190"/>
        <v>Standard</v>
      </c>
      <c r="F863" t="str">
        <f t="shared" si="191"/>
        <v>alp_Amarok-Varejo-Fevereiro-2019_OATH_horizontal_hardsell_DSP_cpm_prospecting_728x90_Amarok-Varejo-Fevereiro-Corporativo-Urbano_open</v>
      </c>
      <c r="G863" t="str">
        <f t="shared" si="192"/>
        <v>437289757</v>
      </c>
      <c r="H863" t="str">
        <f t="shared" si="193"/>
        <v>Display</v>
      </c>
      <c r="I863">
        <f t="shared" si="194"/>
        <v>139</v>
      </c>
      <c r="J863">
        <f t="shared" si="195"/>
        <v>0</v>
      </c>
      <c r="K863" s="4">
        <f t="shared" si="184"/>
        <v>0.04</v>
      </c>
      <c r="L863">
        <f t="shared" si="185"/>
        <v>0.09</v>
      </c>
      <c r="M863" s="4">
        <f t="shared" si="182"/>
        <v>5.5600000000000007E-3</v>
      </c>
      <c r="N863" s="4">
        <f t="shared" si="183"/>
        <v>1.251E-2</v>
      </c>
    </row>
    <row r="864" spans="1:14">
      <c r="A864" t="str">
        <f t="shared" si="186"/>
        <v>alp_Amarok-Varejo-Fevereiro-2019</v>
      </c>
      <c r="B864" t="str">
        <f t="shared" si="187"/>
        <v>Oath BR</v>
      </c>
      <c r="C864" t="str">
        <f t="shared" si="188"/>
        <v>alp_Amarok-Varejo-Fevereiro-2019_OATH_horizontal_hardsell_DSP_cpm_prospecting_970x250_Amarok-Varejo-Fevereiro-Corporativo-Campo_open</v>
      </c>
      <c r="D864" t="str">
        <f t="shared" si="189"/>
        <v>240058391</v>
      </c>
      <c r="E864" t="str">
        <f t="shared" si="190"/>
        <v>Standard</v>
      </c>
      <c r="F864" t="str">
        <f t="shared" si="191"/>
        <v>alp_Amarok-Varejo-Fevereiro-2019_OATH_horizontal_hardsell_DSP_cpm_prospecting_970x250_Amarok-Varejo-Fevereiro-Corporativo-Campo_open</v>
      </c>
      <c r="G864" t="str">
        <f t="shared" si="192"/>
        <v>437290084</v>
      </c>
      <c r="H864" t="str">
        <f t="shared" si="193"/>
        <v>Display</v>
      </c>
      <c r="I864">
        <f t="shared" si="194"/>
        <v>28</v>
      </c>
      <c r="J864">
        <f t="shared" si="195"/>
        <v>0</v>
      </c>
      <c r="K864" s="4">
        <f t="shared" si="184"/>
        <v>0.04</v>
      </c>
      <c r="L864">
        <f t="shared" si="185"/>
        <v>0.09</v>
      </c>
      <c r="M864" s="4">
        <f t="shared" si="182"/>
        <v>1.1200000000000001E-3</v>
      </c>
      <c r="N864" s="4">
        <f t="shared" si="183"/>
        <v>2.5200000000000001E-3</v>
      </c>
    </row>
    <row r="865" spans="1:14">
      <c r="A865" t="str">
        <f t="shared" si="186"/>
        <v>alp_Amarok-Varejo-Fevereiro-2019</v>
      </c>
      <c r="B865" t="str">
        <f t="shared" si="187"/>
        <v>Oath BR</v>
      </c>
      <c r="C865" t="str">
        <f t="shared" si="188"/>
        <v>alp_Amarok-Varejo-Fevereiro-2019_OATH_horizontal_hardsell_DSP_cpm_prospecting_970x250_Amarok-Varejo-Fevereiro-Corporativo-Urbano_open</v>
      </c>
      <c r="D865" t="str">
        <f t="shared" si="189"/>
        <v>240058427</v>
      </c>
      <c r="E865" t="str">
        <f t="shared" si="190"/>
        <v>Standard</v>
      </c>
      <c r="F865" t="str">
        <f t="shared" si="191"/>
        <v>alp_Amarok-Varejo-Fevereiro-2019_OATH_horizontal_hardsell_DSP_cpm_prospecting_970x250_Amarok-Varejo-Fevereiro-Corporativo-Urbano_open</v>
      </c>
      <c r="G865" t="str">
        <f t="shared" si="192"/>
        <v>437289706</v>
      </c>
      <c r="H865" t="str">
        <f t="shared" si="193"/>
        <v>Display</v>
      </c>
      <c r="I865">
        <f t="shared" si="194"/>
        <v>30</v>
      </c>
      <c r="J865">
        <f t="shared" si="195"/>
        <v>0</v>
      </c>
      <c r="K865" s="4">
        <f t="shared" si="184"/>
        <v>0.04</v>
      </c>
      <c r="L865">
        <f t="shared" si="185"/>
        <v>0.09</v>
      </c>
      <c r="M865" s="4">
        <f t="shared" si="182"/>
        <v>1.1999999999999999E-3</v>
      </c>
      <c r="N865" s="4">
        <f t="shared" si="183"/>
        <v>2.6999999999999997E-3</v>
      </c>
    </row>
    <row r="866" spans="1:14">
      <c r="A866" t="str">
        <f t="shared" si="186"/>
        <v>alp_Amarok-Varejo-Fevereiro-2019</v>
      </c>
      <c r="B866" t="str">
        <f t="shared" si="187"/>
        <v>Oath BR</v>
      </c>
      <c r="C866" t="str">
        <f t="shared" si="188"/>
        <v>alp_Amarok-Varejo-Fevereiro-2019_OATH_horizontal_hardsell_Native_cpm_prospecting_1200x627_Amarok-Varejo-Fevereiro-Privado_open</v>
      </c>
      <c r="D866" t="str">
        <f t="shared" si="189"/>
        <v>240058442</v>
      </c>
      <c r="E866" t="str">
        <f t="shared" si="190"/>
        <v>Standard</v>
      </c>
      <c r="F866" t="str">
        <f t="shared" si="191"/>
        <v>alp_Amarok-Varejo-Fevereiro-2019_OATH_horizontal_hardsell_Native_cpm_prospecting_1200x627_Amarok-Varejo-Fevereiro-Privado_open</v>
      </c>
      <c r="G866" t="str">
        <f t="shared" si="192"/>
        <v>437115525</v>
      </c>
      <c r="H866" t="str">
        <f t="shared" si="193"/>
        <v>Tracking</v>
      </c>
      <c r="I866">
        <f t="shared" si="194"/>
        <v>86037</v>
      </c>
      <c r="J866">
        <f t="shared" si="195"/>
        <v>1393</v>
      </c>
      <c r="K866" s="4">
        <f t="shared" si="184"/>
        <v>0.04</v>
      </c>
      <c r="L866">
        <f t="shared" si="185"/>
        <v>0.09</v>
      </c>
      <c r="M866" s="4">
        <f t="shared" ref="M866:M929" si="196">IF(E866="Dynamic Click",J866*K866,K866*$I866/1000)</f>
        <v>3.4414799999999999</v>
      </c>
      <c r="N866" s="4">
        <f t="shared" ref="N866:N929" si="197">IF(E866="Dynamic Click",J866*L866,L866*$I866/1000)</f>
        <v>7.7433300000000003</v>
      </c>
    </row>
    <row r="867" spans="1:14">
      <c r="A867" t="str">
        <f t="shared" si="186"/>
        <v>alp_Amarok-Varejo-Fevereiro-2019</v>
      </c>
      <c r="B867" t="str">
        <f t="shared" si="187"/>
        <v>br.linkedin.com</v>
      </c>
      <c r="C867" t="str">
        <f t="shared" si="188"/>
        <v>alp_Amarok-Varejo-Fevereiro-2019_linkedin_horizontal_hardsell_linkedin_cpm_prospecting_1080x1080_Amarok-Varejo-Fevereiro-Corporativo-Urbano_open</v>
      </c>
      <c r="D867" t="str">
        <f t="shared" si="189"/>
        <v>240532992</v>
      </c>
      <c r="E867" t="str">
        <f t="shared" si="190"/>
        <v>Dynamic Click</v>
      </c>
      <c r="F867" t="str">
        <f t="shared" si="191"/>
        <v>alp_Amarok-Varejo-Fevereiro-2019_linkedin_horizontal_hardsell_linkedin_cpm_prospecting_1080x1080_Amarok-Varejo-Fevereiro-Corporativo-Urbano_open</v>
      </c>
      <c r="G867" t="str">
        <f t="shared" si="192"/>
        <v>437363407</v>
      </c>
      <c r="H867" t="str">
        <f t="shared" si="193"/>
        <v>Tracking</v>
      </c>
      <c r="I867">
        <f t="shared" si="194"/>
        <v>0</v>
      </c>
      <c r="J867">
        <f t="shared" si="195"/>
        <v>2</v>
      </c>
      <c r="K867" s="4">
        <f t="shared" si="184"/>
        <v>3.5000000000000001E-3</v>
      </c>
      <c r="L867">
        <f t="shared" si="185"/>
        <v>0.02</v>
      </c>
      <c r="M867" s="4">
        <f t="shared" si="196"/>
        <v>7.0000000000000001E-3</v>
      </c>
      <c r="N867" s="4">
        <f t="shared" si="197"/>
        <v>0.04</v>
      </c>
    </row>
    <row r="868" spans="1:14">
      <c r="A868" t="str">
        <f t="shared" si="186"/>
        <v>alp_Amarok-Varejo-Fevereiro-2019</v>
      </c>
      <c r="B868" t="str">
        <f t="shared" si="187"/>
        <v>br.linkedin.com</v>
      </c>
      <c r="C868" t="str">
        <f t="shared" si="188"/>
        <v>alp_Amarok-Varejo-Fevereiro-2019_linkedin_horizontal_hardsell_linkedin_cpm_prospecting_1200x672_Amarok-Varejo-Fevereiro-Corporativo-Urbano_open</v>
      </c>
      <c r="D868" t="str">
        <f t="shared" si="189"/>
        <v>240532995</v>
      </c>
      <c r="E868" t="str">
        <f t="shared" si="190"/>
        <v>Dynamic Click</v>
      </c>
      <c r="F868" t="str">
        <f t="shared" si="191"/>
        <v>alp_Amarok-Varejo-Fevereiro-2019_linkedin_horizontal_hardsell_linkedin_cpm_prospecting_1200x672_Amarok-Varejo-Fevereiro-Corporativo-Urbano_open</v>
      </c>
      <c r="G868" t="str">
        <f t="shared" si="192"/>
        <v>437363410</v>
      </c>
      <c r="H868" t="str">
        <f t="shared" si="193"/>
        <v>Tracking</v>
      </c>
      <c r="I868">
        <f t="shared" si="194"/>
        <v>0</v>
      </c>
      <c r="J868">
        <f t="shared" si="195"/>
        <v>1</v>
      </c>
      <c r="K868" s="4">
        <f t="shared" si="184"/>
        <v>3.5000000000000001E-3</v>
      </c>
      <c r="L868">
        <f t="shared" si="185"/>
        <v>0.02</v>
      </c>
      <c r="M868" s="4">
        <f t="shared" si="196"/>
        <v>3.5000000000000001E-3</v>
      </c>
      <c r="N868" s="4">
        <f t="shared" si="197"/>
        <v>0.02</v>
      </c>
    </row>
    <row r="869" spans="1:14">
      <c r="A869" t="str">
        <f t="shared" si="186"/>
        <v>alp_Amarok-Varejo-Fevereiro-2019</v>
      </c>
      <c r="B869" t="str">
        <f t="shared" si="187"/>
        <v>br.linkedin.com</v>
      </c>
      <c r="C869" t="str">
        <f t="shared" si="188"/>
        <v>alp_Amarok-Varejo-Fevereiro-2019_linkedin_horizontal_hardsell_linkedin_cpm_prospecting_300x250_Amarok-Varejo-Fevereiro-Corporativo-Campo_open</v>
      </c>
      <c r="D869" t="str">
        <f t="shared" si="189"/>
        <v>240533004</v>
      </c>
      <c r="E869" t="str">
        <f t="shared" si="190"/>
        <v>Dynamic Click</v>
      </c>
      <c r="F869" t="str">
        <f t="shared" si="191"/>
        <v>alp_Amarok-Varejo-Fevereiro-2019_linkedin_horizontal_hardsell_linkedin_cpm_prospecting_300x250_Amarok-Varejo-Fevereiro-Corporativo-Campo_open</v>
      </c>
      <c r="G869" t="str">
        <f t="shared" si="192"/>
        <v>437363419</v>
      </c>
      <c r="H869" t="str">
        <f t="shared" si="193"/>
        <v>Tracking</v>
      </c>
      <c r="I869">
        <f t="shared" si="194"/>
        <v>0</v>
      </c>
      <c r="J869">
        <f t="shared" si="195"/>
        <v>110</v>
      </c>
      <c r="K869" s="4">
        <f t="shared" si="184"/>
        <v>3.5000000000000001E-3</v>
      </c>
      <c r="L869">
        <f t="shared" si="185"/>
        <v>0.02</v>
      </c>
      <c r="M869" s="4">
        <f t="shared" si="196"/>
        <v>0.38500000000000001</v>
      </c>
      <c r="N869" s="4">
        <f t="shared" si="197"/>
        <v>2.2000000000000002</v>
      </c>
    </row>
    <row r="870" spans="1:14">
      <c r="A870" t="str">
        <f t="shared" si="186"/>
        <v>alp_Amarok-Varejo-Fevereiro-2019</v>
      </c>
      <c r="B870" t="str">
        <f t="shared" si="187"/>
        <v>br.linkedin.com</v>
      </c>
      <c r="C870" t="str">
        <f t="shared" si="188"/>
        <v>alp_Amarok-Varejo-Fevereiro-2019_linkedin_horizontal_hardsell_linkedin_cpm_prospecting_300x250_Amarok-Varejo-Fevereiro-Corporativo-Urbano-InMail_open</v>
      </c>
      <c r="D870" t="str">
        <f t="shared" si="189"/>
        <v>240532998</v>
      </c>
      <c r="E870" t="str">
        <f t="shared" si="190"/>
        <v>Dynamic Click</v>
      </c>
      <c r="F870" t="str">
        <f t="shared" si="191"/>
        <v>alp_Amarok-Varejo-Fevereiro-2019_linkedin_horizontal_hardsell_linkedin_cpm_prospecting_300x250_Amarok-Varejo-Fevereiro-Corporativo-Urbano-InMail_open</v>
      </c>
      <c r="G870" t="str">
        <f t="shared" si="192"/>
        <v>437363413</v>
      </c>
      <c r="H870" t="str">
        <f t="shared" si="193"/>
        <v>Tracking</v>
      </c>
      <c r="I870">
        <f t="shared" si="194"/>
        <v>0</v>
      </c>
      <c r="J870">
        <f t="shared" si="195"/>
        <v>171</v>
      </c>
      <c r="K870" s="4">
        <f t="shared" si="184"/>
        <v>3.5000000000000001E-3</v>
      </c>
      <c r="L870">
        <f t="shared" si="185"/>
        <v>0.02</v>
      </c>
      <c r="M870" s="4">
        <f t="shared" si="196"/>
        <v>0.59850000000000003</v>
      </c>
      <c r="N870" s="4">
        <f t="shared" si="197"/>
        <v>3.42</v>
      </c>
    </row>
    <row r="871" spans="1:14">
      <c r="A871" t="str">
        <f t="shared" si="186"/>
        <v>alp_Amarok-Varejo-Fevereiro-2019</v>
      </c>
      <c r="B871" t="str">
        <f t="shared" si="187"/>
        <v>br.yahoo.com</v>
      </c>
      <c r="C871" t="str">
        <f t="shared" si="188"/>
        <v>alp_Amarok-Varejo-Fevereiro-2019_yahoo_horizontal_hardsell_yahoo_cpm_prospecting_1440x1024_Amarok-Varejo-Fevereiro-Corporativo-Urbano_open</v>
      </c>
      <c r="D871" t="str">
        <f t="shared" si="189"/>
        <v>239602018</v>
      </c>
      <c r="E871" t="str">
        <f t="shared" si="190"/>
        <v>Standard</v>
      </c>
      <c r="F871" t="str">
        <f t="shared" si="191"/>
        <v>alp_Amarok-Varejo-Fevereiro-2019_yahoo_horizontal_hardsell_yahoo_cpm_prospecting_1440x1024_Amarok-Varejo-Fevereiro-Corporativo-Urbano_open</v>
      </c>
      <c r="G871" t="str">
        <f t="shared" si="192"/>
        <v>436700789</v>
      </c>
      <c r="H871" t="str">
        <f t="shared" si="193"/>
        <v>Tracking</v>
      </c>
      <c r="I871">
        <f t="shared" si="194"/>
        <v>578</v>
      </c>
      <c r="J871">
        <f t="shared" si="195"/>
        <v>0</v>
      </c>
      <c r="K871" s="4">
        <f t="shared" si="184"/>
        <v>0.04</v>
      </c>
      <c r="L871">
        <f t="shared" si="185"/>
        <v>0.09</v>
      </c>
      <c r="M871" s="4">
        <f t="shared" si="196"/>
        <v>2.3120000000000002E-2</v>
      </c>
      <c r="N871" s="4">
        <f t="shared" si="197"/>
        <v>5.2019999999999997E-2</v>
      </c>
    </row>
    <row r="872" spans="1:14">
      <c r="A872" t="str">
        <f t="shared" si="186"/>
        <v>alp_Amarok-Varejo-Fevereiro-2019</v>
      </c>
      <c r="B872" t="str">
        <f t="shared" si="187"/>
        <v>br.yahoo.com</v>
      </c>
      <c r="C872" t="str">
        <f t="shared" si="188"/>
        <v>alp_Amarok-Varejo-Fevereiro-2019_yahoo_horizontal_hardsell_yahoo_cpm_prospecting_1440x1024_Amarok-Varejo-Fevereiro-Privado_open</v>
      </c>
      <c r="D872" t="str">
        <f t="shared" si="189"/>
        <v>239602012</v>
      </c>
      <c r="E872" t="str">
        <f t="shared" si="190"/>
        <v>Standard</v>
      </c>
      <c r="F872" t="str">
        <f t="shared" si="191"/>
        <v>alp_Amarok-Varejo-Fevereiro-2019_yahoo_horizontal_hardsell_yahoo_cpm_prospecting_1440x1024_Amarok-Varejo-Fevereiro-Privado_open</v>
      </c>
      <c r="G872" t="str">
        <f t="shared" si="192"/>
        <v>436700783</v>
      </c>
      <c r="H872" t="str">
        <f t="shared" si="193"/>
        <v>Tracking</v>
      </c>
      <c r="I872">
        <f t="shared" si="194"/>
        <v>201</v>
      </c>
      <c r="J872">
        <f t="shared" si="195"/>
        <v>0</v>
      </c>
      <c r="K872" s="4">
        <f t="shared" si="184"/>
        <v>0.04</v>
      </c>
      <c r="L872">
        <f t="shared" si="185"/>
        <v>0.09</v>
      </c>
      <c r="M872" s="4">
        <f t="shared" si="196"/>
        <v>8.0400000000000003E-3</v>
      </c>
      <c r="N872" s="4">
        <f t="shared" si="197"/>
        <v>1.8089999999999998E-2</v>
      </c>
    </row>
    <row r="873" spans="1:14">
      <c r="A873" t="str">
        <f t="shared" si="186"/>
        <v>alp_Amarok-Varejo-Fevereiro-2019</v>
      </c>
      <c r="B873" t="str">
        <f t="shared" si="187"/>
        <v>instagram.com</v>
      </c>
      <c r="C873" t="str">
        <f t="shared" si="188"/>
        <v>alp_Amarok-Varejo-Fevereiro-2019_instagram_Social_hardsell_instagram_cpm_prospecting_pagepost_Amarok-Varejo-Fevereiro-Corporativo-Urbano_open</v>
      </c>
      <c r="D873" t="str">
        <f t="shared" si="189"/>
        <v>239833650</v>
      </c>
      <c r="E873" t="str">
        <f t="shared" si="190"/>
        <v>Dynamic Click</v>
      </c>
      <c r="F873" t="str">
        <f t="shared" si="191"/>
        <v>alp_Amarok-Varejo-Fevereiro-2019_instagram_Social_hardsell_instagram_cpm_prospecting_pagepost_Amarok-Varejo-Fevereiro-Corporativo-Urbano_open</v>
      </c>
      <c r="G873" t="str">
        <f t="shared" si="192"/>
        <v>436700927</v>
      </c>
      <c r="H873" t="str">
        <f t="shared" si="193"/>
        <v>Tracking</v>
      </c>
      <c r="I873">
        <f t="shared" si="194"/>
        <v>0</v>
      </c>
      <c r="J873">
        <f t="shared" si="195"/>
        <v>7</v>
      </c>
      <c r="K873" s="4">
        <f t="shared" si="184"/>
        <v>3.5000000000000001E-3</v>
      </c>
      <c r="L873">
        <f t="shared" si="185"/>
        <v>0.02</v>
      </c>
      <c r="M873" s="4">
        <f t="shared" si="196"/>
        <v>2.4500000000000001E-2</v>
      </c>
      <c r="N873" s="4">
        <f t="shared" si="197"/>
        <v>0.14000000000000001</v>
      </c>
    </row>
    <row r="874" spans="1:14">
      <c r="A874" t="str">
        <f t="shared" si="186"/>
        <v>alp_Amarok-Varejo-Fevereiro-2019</v>
      </c>
      <c r="B874" t="str">
        <f t="shared" si="187"/>
        <v>instagram.com</v>
      </c>
      <c r="C874" t="str">
        <f t="shared" si="188"/>
        <v>alp_Amarok-Varejo-Fevereiro-2019_instagram_Social_hardsell_instagram_cpm_prospecting_pagepost_Amarok-Varejo-Fevereiro-Privado-video_open</v>
      </c>
      <c r="D874" t="str">
        <f t="shared" si="189"/>
        <v>239833617</v>
      </c>
      <c r="E874" t="str">
        <f t="shared" si="190"/>
        <v>Dynamic Click</v>
      </c>
      <c r="F874" t="str">
        <f t="shared" si="191"/>
        <v>alp_Amarok-Varejo-Fevereiro-2019_instagram_Social_hardsell_instagram_cpm_prospecting_pagepost_Amarok-Varejo-Fevereiro-Privado-video_open</v>
      </c>
      <c r="G874" t="str">
        <f t="shared" si="192"/>
        <v>436700894</v>
      </c>
      <c r="H874" t="str">
        <f t="shared" si="193"/>
        <v>Tracking</v>
      </c>
      <c r="I874">
        <f t="shared" si="194"/>
        <v>0</v>
      </c>
      <c r="J874">
        <f t="shared" si="195"/>
        <v>1</v>
      </c>
      <c r="K874" s="4">
        <f t="shared" si="184"/>
        <v>3.5000000000000001E-3</v>
      </c>
      <c r="L874">
        <f t="shared" si="185"/>
        <v>0.02</v>
      </c>
      <c r="M874" s="4">
        <f t="shared" si="196"/>
        <v>3.5000000000000001E-3</v>
      </c>
      <c r="N874" s="4">
        <f t="shared" si="197"/>
        <v>0.02</v>
      </c>
    </row>
    <row r="875" spans="1:14">
      <c r="A875" t="str">
        <f t="shared" si="186"/>
        <v>alp_Amarok-Varejo-Fevereiro-2019</v>
      </c>
      <c r="B875" t="str">
        <f t="shared" si="187"/>
        <v>instagram.com</v>
      </c>
      <c r="C875" t="str">
        <f t="shared" si="188"/>
        <v>alp_Amarok-Varejo-Fevereiro-2019_instagram_Social_hardsell_instagram_cpm_prospecting_pagepost_Amarok-Varejo-Fevereiro-Privado_open</v>
      </c>
      <c r="D875" t="str">
        <f t="shared" si="189"/>
        <v>239833614</v>
      </c>
      <c r="E875" t="str">
        <f t="shared" si="190"/>
        <v>Dynamic Click</v>
      </c>
      <c r="F875" t="str">
        <f t="shared" si="191"/>
        <v>alp_Amarok-Varejo-Fevereiro-2019_instagram_Social_hardsell_instagram_cpm_prospecting_pagepost_Amarok-Varejo-Fevereiro-Privado_open</v>
      </c>
      <c r="G875" t="str">
        <f t="shared" si="192"/>
        <v>436700891</v>
      </c>
      <c r="H875" t="str">
        <f t="shared" si="193"/>
        <v>Tracking</v>
      </c>
      <c r="I875">
        <f t="shared" si="194"/>
        <v>0</v>
      </c>
      <c r="J875">
        <f t="shared" si="195"/>
        <v>1</v>
      </c>
      <c r="K875" s="4">
        <f t="shared" si="184"/>
        <v>3.5000000000000001E-3</v>
      </c>
      <c r="L875">
        <f t="shared" si="185"/>
        <v>0.02</v>
      </c>
      <c r="M875" s="4">
        <f t="shared" si="196"/>
        <v>3.5000000000000001E-3</v>
      </c>
      <c r="N875" s="4">
        <f t="shared" si="197"/>
        <v>0.02</v>
      </c>
    </row>
    <row r="876" spans="1:14">
      <c r="A876" t="str">
        <f t="shared" si="186"/>
        <v>alp_Amarok-Varejo-Fevereiro-2019</v>
      </c>
      <c r="B876" t="str">
        <f t="shared" si="187"/>
        <v>instagram.com</v>
      </c>
      <c r="C876" t="str">
        <f t="shared" si="188"/>
        <v>alp_Amarok-Varejo-Fevereiro-2019_instagram_Social_hardsell_instagram_cpm_prospecting_stories_Amarok-Varejo-Fevereiro-Corporativo-Urbano-estatico_open</v>
      </c>
      <c r="D876" t="str">
        <f t="shared" si="189"/>
        <v>239833662</v>
      </c>
      <c r="E876" t="str">
        <f t="shared" si="190"/>
        <v>Dynamic Click</v>
      </c>
      <c r="F876" t="str">
        <f t="shared" si="191"/>
        <v>alp_Amarok-Varejo-Fevereiro-2019_instagram_Social_hardsell_instagram_cpm_prospecting_stories_Amarok-Varejo-Fevereiro-Corporativo-Urbano-estatico_open</v>
      </c>
      <c r="G876" t="str">
        <f t="shared" si="192"/>
        <v>436663053</v>
      </c>
      <c r="H876" t="str">
        <f t="shared" si="193"/>
        <v>Tracking</v>
      </c>
      <c r="I876">
        <f t="shared" si="194"/>
        <v>0</v>
      </c>
      <c r="J876">
        <f t="shared" si="195"/>
        <v>1</v>
      </c>
      <c r="K876" s="4">
        <f t="shared" ref="K876:K939" si="198">IF(LEFT(B876,3)="DBM",0,VLOOKUP(E876,tabela,2,FALSE))</f>
        <v>3.5000000000000001E-3</v>
      </c>
      <c r="L876">
        <f t="shared" ref="L876:L939" si="199">VLOOKUP(E876,tabela,3,FALSE)</f>
        <v>0.02</v>
      </c>
      <c r="M876" s="4">
        <f t="shared" si="196"/>
        <v>3.5000000000000001E-3</v>
      </c>
      <c r="N876" s="4">
        <f t="shared" si="197"/>
        <v>0.02</v>
      </c>
    </row>
    <row r="877" spans="1:14">
      <c r="A877" t="str">
        <f t="shared" si="186"/>
        <v>alp_Amarok-Varejo-Fevereiro-2019</v>
      </c>
      <c r="B877" t="str">
        <f t="shared" si="187"/>
        <v>instagram.com</v>
      </c>
      <c r="C877" t="str">
        <f t="shared" si="188"/>
        <v>alp_Amarok-Varejo-Fevereiro-2019_instagram_Social_hardsell_instagram_cpm_prospecting_stories_Amarok-Varejo-Fevereiro-Privado-video_open</v>
      </c>
      <c r="D877" t="str">
        <f t="shared" si="189"/>
        <v>239833692</v>
      </c>
      <c r="E877" t="str">
        <f t="shared" si="190"/>
        <v>Dynamic Click</v>
      </c>
      <c r="F877" t="str">
        <f t="shared" si="191"/>
        <v>alp_Amarok-Varejo-Fevereiro-2019_instagram_Social_hardsell_instagram_cpm_prospecting_stories_Amarok-Varejo-Fevereiro-Privado-video_open</v>
      </c>
      <c r="G877" t="str">
        <f t="shared" si="192"/>
        <v>436663083</v>
      </c>
      <c r="H877" t="str">
        <f t="shared" si="193"/>
        <v>Tracking</v>
      </c>
      <c r="I877">
        <f t="shared" si="194"/>
        <v>0</v>
      </c>
      <c r="J877">
        <f t="shared" si="195"/>
        <v>1</v>
      </c>
      <c r="K877" s="4">
        <f t="shared" si="198"/>
        <v>3.5000000000000001E-3</v>
      </c>
      <c r="L877">
        <f t="shared" si="199"/>
        <v>0.02</v>
      </c>
      <c r="M877" s="4">
        <f t="shared" si="196"/>
        <v>3.5000000000000001E-3</v>
      </c>
      <c r="N877" s="4">
        <f t="shared" si="197"/>
        <v>0.02</v>
      </c>
    </row>
    <row r="878" spans="1:14">
      <c r="A878" t="str">
        <f t="shared" si="186"/>
        <v>alp_Amarok-Varejo-Fevereiro-2019</v>
      </c>
      <c r="B878" t="str">
        <f t="shared" si="187"/>
        <v>teads.tv</v>
      </c>
      <c r="C878" t="str">
        <f t="shared" si="188"/>
        <v>alp_Amarok-Varejo-Fevereiro-2019_teads_horizontal_hardsell_teads_visitas_prospecting_carrossel-landscape-_Amarok-Varejo-Fevereiro-Corporativo-Urbano-1_open</v>
      </c>
      <c r="D878" t="str">
        <f t="shared" si="189"/>
        <v>239601997</v>
      </c>
      <c r="E878" t="str">
        <f t="shared" si="190"/>
        <v>Standard</v>
      </c>
      <c r="F878" t="str">
        <f t="shared" si="191"/>
        <v>alp_Amarok-Varejo-Fevereiro-2019_teads_horizontal_hardsell_teads_visitas_prospecting_carrossel-landscape-_Amarok-Varejo-Fevereiro-Corporativo-Urbano-1_open</v>
      </c>
      <c r="G878" t="str">
        <f t="shared" si="192"/>
        <v>436700768</v>
      </c>
      <c r="H878" t="str">
        <f t="shared" si="193"/>
        <v>Tracking</v>
      </c>
      <c r="I878">
        <f t="shared" si="194"/>
        <v>2</v>
      </c>
      <c r="J878">
        <f t="shared" si="195"/>
        <v>0</v>
      </c>
      <c r="K878" s="4">
        <f t="shared" si="198"/>
        <v>0.04</v>
      </c>
      <c r="L878">
        <f t="shared" si="199"/>
        <v>0.09</v>
      </c>
      <c r="M878" s="4">
        <f t="shared" si="196"/>
        <v>8.0000000000000007E-5</v>
      </c>
      <c r="N878" s="4">
        <f t="shared" si="197"/>
        <v>1.7999999999999998E-4</v>
      </c>
    </row>
    <row r="879" spans="1:14">
      <c r="A879" t="str">
        <f t="shared" si="186"/>
        <v>alp_Amarok-Varejo-Fevereiro-2019</v>
      </c>
      <c r="B879" t="str">
        <f t="shared" si="187"/>
        <v>teads.tv</v>
      </c>
      <c r="C879" t="str">
        <f t="shared" si="188"/>
        <v>alp_Amarok-Varejo-Fevereiro-2019_teads_horizontal_hardsell_teads_visitas_prospecting_carrossel-landscape-_Amarok-Varejo-Fevereiro-Privado-1_open</v>
      </c>
      <c r="D879" t="str">
        <f t="shared" si="189"/>
        <v>239836723</v>
      </c>
      <c r="E879" t="str">
        <f t="shared" si="190"/>
        <v>Standard</v>
      </c>
      <c r="F879" t="str">
        <f t="shared" si="191"/>
        <v>alp_Amarok-Varejo-Fevereiro-2019_teads_horizontal_hardsell_teads_visitas_prospecting_carrossel-landscape-_Amarok-Varejo-Fevereiro-Privado-1_open</v>
      </c>
      <c r="G879" t="str">
        <f t="shared" si="192"/>
        <v>436858851</v>
      </c>
      <c r="H879" t="str">
        <f t="shared" si="193"/>
        <v>Tracking</v>
      </c>
      <c r="I879">
        <f t="shared" si="194"/>
        <v>1</v>
      </c>
      <c r="J879">
        <f t="shared" si="195"/>
        <v>0</v>
      </c>
      <c r="K879" s="4">
        <f t="shared" si="198"/>
        <v>0.04</v>
      </c>
      <c r="L879">
        <f t="shared" si="199"/>
        <v>0.09</v>
      </c>
      <c r="M879" s="4">
        <f t="shared" si="196"/>
        <v>4.0000000000000003E-5</v>
      </c>
      <c r="N879" s="4">
        <f t="shared" si="197"/>
        <v>8.9999999999999992E-5</v>
      </c>
    </row>
    <row r="880" spans="1:14">
      <c r="A880" t="str">
        <f t="shared" si="186"/>
        <v>alp_Amarok-Varejo-Fevereiro-2019</v>
      </c>
      <c r="B880" t="str">
        <f t="shared" si="187"/>
        <v>teads.tv</v>
      </c>
      <c r="C880" t="str">
        <f t="shared" si="188"/>
        <v>alp_Amarok-Varejo-Fevereiro-2019_teads_horizontal_hardsell_teads_visitas_prospecting_carrossel-landscape-_Amarok-Varejo-Fevereiro-Privado-2_open</v>
      </c>
      <c r="D880" t="str">
        <f t="shared" si="189"/>
        <v>239836717</v>
      </c>
      <c r="E880" t="str">
        <f t="shared" si="190"/>
        <v>Dynamic Click</v>
      </c>
      <c r="F880" t="str">
        <f t="shared" si="191"/>
        <v>alp_Amarok-Varejo-Fevereiro-2019_teads_horizontal_hardsell_teads_visitas_prospecting_carrossel-landscape-_Amarok-Varejo-Fevereiro-Privado-2_open</v>
      </c>
      <c r="G880" t="str">
        <f t="shared" si="192"/>
        <v>436858845</v>
      </c>
      <c r="H880" t="str">
        <f t="shared" si="193"/>
        <v>Tracking</v>
      </c>
      <c r="I880">
        <f t="shared" si="194"/>
        <v>1</v>
      </c>
      <c r="J880">
        <f t="shared" si="195"/>
        <v>1</v>
      </c>
      <c r="K880" s="4">
        <f t="shared" si="198"/>
        <v>3.5000000000000001E-3</v>
      </c>
      <c r="L880">
        <f t="shared" si="199"/>
        <v>0.02</v>
      </c>
      <c r="M880" s="4">
        <f t="shared" si="196"/>
        <v>3.5000000000000001E-3</v>
      </c>
      <c r="N880" s="4">
        <f t="shared" si="197"/>
        <v>0.02</v>
      </c>
    </row>
    <row r="881" spans="1:14">
      <c r="A881" t="str">
        <f t="shared" si="186"/>
        <v>alp_Amarok-Varejo-Fevereiro-2019</v>
      </c>
      <c r="B881" t="str">
        <f t="shared" si="187"/>
        <v>teads.tv</v>
      </c>
      <c r="C881" t="str">
        <f t="shared" si="188"/>
        <v>alp_Amarok-Varejo-Fevereiro-2019_teads_horizontal_hardsell_teads_visitas_prospecting_scroller-landscape-_Amarok-Varejo-Fevereiro-Corporativo-Urbano-3_open</v>
      </c>
      <c r="D881" t="str">
        <f t="shared" si="189"/>
        <v>239601988</v>
      </c>
      <c r="E881" t="str">
        <f t="shared" si="190"/>
        <v>Standard</v>
      </c>
      <c r="F881" t="str">
        <f t="shared" si="191"/>
        <v>alp_Amarok-Varejo-Fevereiro-2019_teads_horizontal_hardsell_teads_visitas_prospecting_scroller-landscape-_Amarok-Varejo-Fevereiro-Corporativo-Urbano-3_open</v>
      </c>
      <c r="G881" t="str">
        <f t="shared" si="192"/>
        <v>436700759</v>
      </c>
      <c r="H881" t="str">
        <f t="shared" si="193"/>
        <v>Tracking</v>
      </c>
      <c r="I881">
        <f t="shared" si="194"/>
        <v>1</v>
      </c>
      <c r="J881">
        <f t="shared" si="195"/>
        <v>0</v>
      </c>
      <c r="K881" s="4">
        <f t="shared" si="198"/>
        <v>0.04</v>
      </c>
      <c r="L881">
        <f t="shared" si="199"/>
        <v>0.09</v>
      </c>
      <c r="M881" s="4">
        <f t="shared" si="196"/>
        <v>4.0000000000000003E-5</v>
      </c>
      <c r="N881" s="4">
        <f t="shared" si="197"/>
        <v>8.9999999999999992E-5</v>
      </c>
    </row>
    <row r="882" spans="1:14">
      <c r="A882" t="str">
        <f t="shared" si="186"/>
        <v>alp_Amarok-Varejo-Fevereiro-2019</v>
      </c>
      <c r="B882" t="str">
        <f t="shared" si="187"/>
        <v>teads.tv</v>
      </c>
      <c r="C882" t="str">
        <f t="shared" si="188"/>
        <v>alp_Amarok-Varejo-Fevereiro-2019_teads_horizontal_hardsell_teads_visitas_prospecting_scroller-landscape-_Amarok-Varejo-Fevereiro-Privado-2_open</v>
      </c>
      <c r="D882" t="str">
        <f t="shared" si="189"/>
        <v>239836720</v>
      </c>
      <c r="E882" t="str">
        <f t="shared" si="190"/>
        <v>Standard</v>
      </c>
      <c r="F882" t="str">
        <f t="shared" si="191"/>
        <v>alp_Amarok-Varejo-Fevereiro-2019_teads_horizontal_hardsell_teads_visitas_prospecting_scroller-landscape-_Amarok-Varejo-Fevereiro-Privado-2_open</v>
      </c>
      <c r="G882" t="str">
        <f t="shared" si="192"/>
        <v>436858848</v>
      </c>
      <c r="H882" t="str">
        <f t="shared" si="193"/>
        <v>Tracking</v>
      </c>
      <c r="I882">
        <f t="shared" si="194"/>
        <v>66</v>
      </c>
      <c r="J882">
        <f t="shared" si="195"/>
        <v>11</v>
      </c>
      <c r="K882" s="4">
        <f t="shared" si="198"/>
        <v>0.04</v>
      </c>
      <c r="L882">
        <f t="shared" si="199"/>
        <v>0.09</v>
      </c>
      <c r="M882" s="4">
        <f t="shared" si="196"/>
        <v>2.64E-3</v>
      </c>
      <c r="N882" s="4">
        <f t="shared" si="197"/>
        <v>5.9399999999999991E-3</v>
      </c>
    </row>
    <row r="883" spans="1:14">
      <c r="A883" t="str">
        <f t="shared" si="186"/>
        <v>alp_Amarok-Varejo-Fevereiro-2019</v>
      </c>
      <c r="B883" t="str">
        <f t="shared" si="187"/>
        <v>teads.tv</v>
      </c>
      <c r="C883" t="str">
        <f t="shared" si="188"/>
        <v>alp_Amarok-Varejo-Fevereiro-2019_teads_horizontal_hardsell_teads_visitas_prospecting_scroller-landscape-_Amarok-Varejo-Fevereiro-Privado-3_open</v>
      </c>
      <c r="D883" t="str">
        <f t="shared" si="189"/>
        <v>239836714</v>
      </c>
      <c r="E883" t="str">
        <f t="shared" si="190"/>
        <v>Standard</v>
      </c>
      <c r="F883" t="str">
        <f t="shared" si="191"/>
        <v>alp_Amarok-Varejo-Fevereiro-2019_teads_horizontal_hardsell_teads_visitas_prospecting_scroller-landscape-_Amarok-Varejo-Fevereiro-Privado-3_open</v>
      </c>
      <c r="G883" t="str">
        <f t="shared" si="192"/>
        <v>436858842</v>
      </c>
      <c r="H883" t="str">
        <f t="shared" si="193"/>
        <v>Tracking</v>
      </c>
      <c r="I883">
        <f t="shared" si="194"/>
        <v>34</v>
      </c>
      <c r="J883">
        <f t="shared" si="195"/>
        <v>0</v>
      </c>
      <c r="K883" s="4">
        <f t="shared" si="198"/>
        <v>0.04</v>
      </c>
      <c r="L883">
        <f t="shared" si="199"/>
        <v>0.09</v>
      </c>
      <c r="M883" s="4">
        <f t="shared" si="196"/>
        <v>1.3600000000000001E-3</v>
      </c>
      <c r="N883" s="4">
        <f t="shared" si="197"/>
        <v>3.0600000000000002E-3</v>
      </c>
    </row>
    <row r="884" spans="1:14">
      <c r="A884" t="str">
        <f t="shared" si="186"/>
        <v>alp_Amarok-Varejo-Janeiro-2019</v>
      </c>
      <c r="B884" t="str">
        <f t="shared" si="187"/>
        <v>BR OLX</v>
      </c>
      <c r="C884" t="str">
        <f t="shared" si="188"/>
        <v>alp_Amarok-Varejo-Janeiro-2019_olx_horizontal_hardsell_olx_cpm_prospecting_1080x1080_Amarok-Varejo-Janeiro-Corporativo-18_open</v>
      </c>
      <c r="D884" t="str">
        <f t="shared" si="189"/>
        <v>238387478</v>
      </c>
      <c r="E884" t="str">
        <f t="shared" si="190"/>
        <v>Dynamic Click</v>
      </c>
      <c r="F884" t="str">
        <f t="shared" si="191"/>
        <v>alp_Amarok-Varejo-Janeiro-2019_olx_horizontal_hardsell_olx_cpm_prospecting_1080x1080_Amarok-Varejo-Janeiro-Corporativo-18_open</v>
      </c>
      <c r="G884" t="str">
        <f t="shared" si="192"/>
        <v>435641363</v>
      </c>
      <c r="H884" t="str">
        <f t="shared" si="193"/>
        <v>Tracking</v>
      </c>
      <c r="I884">
        <f t="shared" si="194"/>
        <v>0</v>
      </c>
      <c r="J884">
        <f t="shared" si="195"/>
        <v>3</v>
      </c>
      <c r="K884" s="4">
        <f t="shared" si="198"/>
        <v>3.5000000000000001E-3</v>
      </c>
      <c r="L884">
        <f t="shared" si="199"/>
        <v>0.02</v>
      </c>
      <c r="M884" s="4">
        <f t="shared" si="196"/>
        <v>1.0500000000000001E-2</v>
      </c>
      <c r="N884" s="4">
        <f t="shared" si="197"/>
        <v>0.06</v>
      </c>
    </row>
    <row r="885" spans="1:14">
      <c r="A885" t="str">
        <f t="shared" si="186"/>
        <v>alp_Amarok-Varejo-Janeiro-2019</v>
      </c>
      <c r="B885" t="str">
        <f t="shared" si="187"/>
        <v>BR OLX</v>
      </c>
      <c r="C885" t="str">
        <f t="shared" si="188"/>
        <v>alp_Amarok-Varejo-Janeiro-2019_olx_horizontal_hardsell_olx_cpm_prospecting_1200x672_Amarok-Varejo-Janeiro-Corporativo-18_open</v>
      </c>
      <c r="D885" t="str">
        <f t="shared" si="189"/>
        <v>238464799</v>
      </c>
      <c r="E885" t="str">
        <f t="shared" si="190"/>
        <v>Dynamic Click</v>
      </c>
      <c r="F885" t="str">
        <f t="shared" si="191"/>
        <v>alp_Amarok-Varejo-Janeiro-2019_olx_horizontal_hardsell_olx_cpm_prospecting_1200x672_Amarok-Varejo-Janeiro-Corporativo-18_open</v>
      </c>
      <c r="G885" t="str">
        <f t="shared" si="192"/>
        <v>435641285</v>
      </c>
      <c r="H885" t="str">
        <f t="shared" si="193"/>
        <v>Tracking</v>
      </c>
      <c r="I885">
        <f t="shared" si="194"/>
        <v>0</v>
      </c>
      <c r="J885">
        <f t="shared" si="195"/>
        <v>2</v>
      </c>
      <c r="K885" s="4">
        <f t="shared" si="198"/>
        <v>3.5000000000000001E-3</v>
      </c>
      <c r="L885">
        <f t="shared" si="199"/>
        <v>0.02</v>
      </c>
      <c r="M885" s="4">
        <f t="shared" si="196"/>
        <v>7.0000000000000001E-3</v>
      </c>
      <c r="N885" s="4">
        <f t="shared" si="197"/>
        <v>0.04</v>
      </c>
    </row>
    <row r="886" spans="1:14">
      <c r="A886" t="str">
        <f t="shared" si="186"/>
        <v>alp_Amarok-Varejo-Janeiro-2019</v>
      </c>
      <c r="B886" t="str">
        <f t="shared" si="187"/>
        <v>BR OLX</v>
      </c>
      <c r="C886" t="str">
        <f t="shared" si="188"/>
        <v>alp_Amarok-Varejo-Janeiro-2019_olx_horizontal_hardsell_olx_cpm_prospecting_300x600_Amarok-Varejo-Janeiro-Corporativo-18_open</v>
      </c>
      <c r="D886" t="str">
        <f t="shared" si="189"/>
        <v>238387757</v>
      </c>
      <c r="E886" t="str">
        <f t="shared" si="190"/>
        <v>Standard</v>
      </c>
      <c r="F886" t="str">
        <f t="shared" si="191"/>
        <v>alp_Amarok-Varejo-Janeiro-2019_olx_horizontal_hardsell_olx_cpm_prospecting_300x600_Amarok-Varejo-Janeiro-Corporativo-18_open</v>
      </c>
      <c r="G886" t="str">
        <f t="shared" si="192"/>
        <v>435642251</v>
      </c>
      <c r="H886" t="str">
        <f t="shared" si="193"/>
        <v>Tracking</v>
      </c>
      <c r="I886">
        <f t="shared" si="194"/>
        <v>4</v>
      </c>
      <c r="J886">
        <f t="shared" si="195"/>
        <v>0</v>
      </c>
      <c r="K886" s="4">
        <f t="shared" si="198"/>
        <v>0.04</v>
      </c>
      <c r="L886">
        <f t="shared" si="199"/>
        <v>0.09</v>
      </c>
      <c r="M886" s="4">
        <f t="shared" si="196"/>
        <v>1.6000000000000001E-4</v>
      </c>
      <c r="N886" s="4">
        <f t="shared" si="197"/>
        <v>3.5999999999999997E-4</v>
      </c>
    </row>
    <row r="887" spans="1:14">
      <c r="A887" t="str">
        <f t="shared" si="186"/>
        <v>alp_Amarok-Varejo-Janeiro-2019</v>
      </c>
      <c r="B887" t="str">
        <f t="shared" si="187"/>
        <v>BR OLX</v>
      </c>
      <c r="C887" t="str">
        <f t="shared" si="188"/>
        <v>alp_Amarok-Varejo-Janeiro-2019_olx_horizontal_hardsell_olx_cpm_prospecting_300x600_Amarok-Varejo-Janeiro-Privado_open</v>
      </c>
      <c r="D887" t="str">
        <f t="shared" si="189"/>
        <v>238227806</v>
      </c>
      <c r="E887" t="str">
        <f t="shared" si="190"/>
        <v>Dynamic Click</v>
      </c>
      <c r="F887" t="str">
        <f t="shared" si="191"/>
        <v>alp_Amarok-Varejo-Janeiro-2019_olx_horizontal_hardsell_olx_cpm_prospecting_300x600_Amarok-Varejo-Janeiro-Privado_open</v>
      </c>
      <c r="G887" t="str">
        <f t="shared" si="192"/>
        <v>435480308</v>
      </c>
      <c r="H887" t="str">
        <f t="shared" si="193"/>
        <v>Tracking</v>
      </c>
      <c r="I887">
        <f t="shared" si="194"/>
        <v>0</v>
      </c>
      <c r="J887">
        <f t="shared" si="195"/>
        <v>1</v>
      </c>
      <c r="K887" s="4">
        <f t="shared" si="198"/>
        <v>3.5000000000000001E-3</v>
      </c>
      <c r="L887">
        <f t="shared" si="199"/>
        <v>0.02</v>
      </c>
      <c r="M887" s="4">
        <f t="shared" si="196"/>
        <v>3.5000000000000001E-3</v>
      </c>
      <c r="N887" s="4">
        <f t="shared" si="197"/>
        <v>0.02</v>
      </c>
    </row>
    <row r="888" spans="1:14">
      <c r="A888" t="str">
        <f t="shared" si="186"/>
        <v>alp_Amarok-Varejo-Janeiro-2019</v>
      </c>
      <c r="B888" t="str">
        <f t="shared" si="187"/>
        <v>BR OLX</v>
      </c>
      <c r="C888" t="str">
        <f t="shared" si="188"/>
        <v>alp_Amarok-Varejo-Janeiro-2019_olx_horizontal_hardsell_olx_cpm_prospecting_600x600_Amarok-Varejo-Janeiro-Corporativo-18_open</v>
      </c>
      <c r="D888" t="str">
        <f t="shared" si="189"/>
        <v>238387832</v>
      </c>
      <c r="E888" t="str">
        <f t="shared" si="190"/>
        <v>Standard</v>
      </c>
      <c r="F888" t="str">
        <f t="shared" si="191"/>
        <v>alp_Amarok-Varejo-Janeiro-2019_olx_horizontal_hardsell_olx_cpm_prospecting_600x600_Amarok-Varejo-Janeiro-Corporativo-18_open</v>
      </c>
      <c r="G888" t="str">
        <f t="shared" si="192"/>
        <v>435752995</v>
      </c>
      <c r="H888" t="str">
        <f t="shared" si="193"/>
        <v>Tracking</v>
      </c>
      <c r="I888">
        <f t="shared" si="194"/>
        <v>15</v>
      </c>
      <c r="J888">
        <f t="shared" si="195"/>
        <v>0</v>
      </c>
      <c r="K888" s="4">
        <f t="shared" si="198"/>
        <v>0.04</v>
      </c>
      <c r="L888">
        <f t="shared" si="199"/>
        <v>0.09</v>
      </c>
      <c r="M888" s="4">
        <f t="shared" si="196"/>
        <v>5.9999999999999995E-4</v>
      </c>
      <c r="N888" s="4">
        <f t="shared" si="197"/>
        <v>1.3499999999999999E-3</v>
      </c>
    </row>
    <row r="889" spans="1:14">
      <c r="A889" t="str">
        <f t="shared" si="186"/>
        <v>alp_Amarok-Varejo-Janeiro-2019</v>
      </c>
      <c r="B889" t="str">
        <f t="shared" si="187"/>
        <v>Oath BR</v>
      </c>
      <c r="C889" t="str">
        <f t="shared" si="188"/>
        <v>alp_Amarok-Varejo-Janeiro-2019_OATH_horizontal_hardsell_DSP_cpm_prospecting_320x50_Amarok-Varejo-Janeiro-Privado_open-tag</v>
      </c>
      <c r="D889" t="str">
        <f t="shared" si="189"/>
        <v>238773001</v>
      </c>
      <c r="E889" t="str">
        <f t="shared" si="190"/>
        <v>Standard</v>
      </c>
      <c r="F889" t="str">
        <f t="shared" si="191"/>
        <v>alp_Amarok-Varejo-Janeiro-2019_OATH_horizontal_hardsell_DSP_cpm_prospecting_320x50_Amarok-Varejo-Janeiro-Privado_open</v>
      </c>
      <c r="G889" t="str">
        <f t="shared" si="192"/>
        <v>435942894</v>
      </c>
      <c r="H889" t="str">
        <f t="shared" si="193"/>
        <v>Display</v>
      </c>
      <c r="I889">
        <f t="shared" si="194"/>
        <v>1</v>
      </c>
      <c r="J889">
        <f t="shared" si="195"/>
        <v>0</v>
      </c>
      <c r="K889" s="4">
        <f t="shared" si="198"/>
        <v>0.04</v>
      </c>
      <c r="L889">
        <f t="shared" si="199"/>
        <v>0.09</v>
      </c>
      <c r="M889" s="4">
        <f t="shared" si="196"/>
        <v>4.0000000000000003E-5</v>
      </c>
      <c r="N889" s="4">
        <f t="shared" si="197"/>
        <v>8.9999999999999992E-5</v>
      </c>
    </row>
    <row r="890" spans="1:14">
      <c r="A890" t="str">
        <f t="shared" si="186"/>
        <v>alp_Amarok-Varejo-Janeiro-2019</v>
      </c>
      <c r="B890" t="str">
        <f t="shared" si="187"/>
        <v>Oath BR</v>
      </c>
      <c r="C890" t="str">
        <f t="shared" si="188"/>
        <v>alp_Amarok-Varejo-Janeiro-2019_OATH_horizontal_hardsell_Native_cpm_prospecting_627x627_Amarok-Varejo-Janeiro-Privado_open</v>
      </c>
      <c r="D890" t="str">
        <f t="shared" si="189"/>
        <v>238569330</v>
      </c>
      <c r="E890" t="str">
        <f t="shared" si="190"/>
        <v>Standard</v>
      </c>
      <c r="F890" t="str">
        <f t="shared" si="191"/>
        <v>alp_Amarok-Varejo-Janeiro-2019_OATH_horizontal_hardsell_Native_cpm_prospecting_627x627_Amarok-Varejo-Janeiro-Privado_open</v>
      </c>
      <c r="G890" t="str">
        <f t="shared" si="192"/>
        <v>435487040</v>
      </c>
      <c r="H890" t="str">
        <f t="shared" si="193"/>
        <v>Tracking</v>
      </c>
      <c r="I890">
        <f t="shared" si="194"/>
        <v>20</v>
      </c>
      <c r="J890">
        <f t="shared" si="195"/>
        <v>13</v>
      </c>
      <c r="K890" s="4">
        <f t="shared" si="198"/>
        <v>0.04</v>
      </c>
      <c r="L890">
        <f t="shared" si="199"/>
        <v>0.09</v>
      </c>
      <c r="M890" s="4">
        <f t="shared" si="196"/>
        <v>8.0000000000000004E-4</v>
      </c>
      <c r="N890" s="4">
        <f t="shared" si="197"/>
        <v>1.7999999999999997E-3</v>
      </c>
    </row>
    <row r="891" spans="1:14">
      <c r="A891" t="str">
        <f t="shared" si="186"/>
        <v>alp_Amarok-Varejo-Janeiro-2019</v>
      </c>
      <c r="B891" t="str">
        <f t="shared" si="187"/>
        <v>Oath BR</v>
      </c>
      <c r="C891" t="str">
        <f t="shared" si="188"/>
        <v>alp_Amarok-Varejo-Janeiro-2019_OATH_horizontal_hardsell_Outlook_cpm_prospecting_160x600_Amarok-Varejo-Janeiro-Corporativo-18_open</v>
      </c>
      <c r="D891" t="str">
        <f t="shared" si="189"/>
        <v>238594040</v>
      </c>
      <c r="E891" t="str">
        <f t="shared" si="190"/>
        <v>Standard</v>
      </c>
      <c r="F891" t="str">
        <f t="shared" si="191"/>
        <v>alp_Amarok-Varejo-Janeiro-2019_OATH_horizontal_hardsell_Outlook_cpm_prospecting_160x600_Amarok-Varejo-Janeiro-Corporativo-18_open</v>
      </c>
      <c r="G891" t="str">
        <f t="shared" si="192"/>
        <v>435972451</v>
      </c>
      <c r="H891" t="str">
        <f t="shared" si="193"/>
        <v>Tracking</v>
      </c>
      <c r="I891">
        <f t="shared" si="194"/>
        <v>2</v>
      </c>
      <c r="J891">
        <f t="shared" si="195"/>
        <v>0</v>
      </c>
      <c r="K891" s="4">
        <f t="shared" si="198"/>
        <v>0.04</v>
      </c>
      <c r="L891">
        <f t="shared" si="199"/>
        <v>0.09</v>
      </c>
      <c r="M891" s="4">
        <f t="shared" si="196"/>
        <v>8.0000000000000007E-5</v>
      </c>
      <c r="N891" s="4">
        <f t="shared" si="197"/>
        <v>1.7999999999999998E-4</v>
      </c>
    </row>
    <row r="892" spans="1:14">
      <c r="A892" t="str">
        <f t="shared" si="186"/>
        <v>alp_Amarok-Varejo-Janeiro-2019</v>
      </c>
      <c r="B892" t="str">
        <f t="shared" si="187"/>
        <v>teads.tv</v>
      </c>
      <c r="C892" t="str">
        <f t="shared" si="188"/>
        <v>alp_Amarok-Varejo-Janeiro-2019_teads_horizontal_hardsell_teads_visitas_prospecting_scroller-landscape-_Amarok-Varejo-Janeiro-Corporativo-18-1_open</v>
      </c>
      <c r="D892" t="str">
        <f t="shared" si="189"/>
        <v>238222895</v>
      </c>
      <c r="E892" t="str">
        <f t="shared" si="190"/>
        <v>Dynamic Click</v>
      </c>
      <c r="F892" t="str">
        <f t="shared" si="191"/>
        <v>alp_Amarok-Varejo-Janeiro-2019_teads_horizontal_hardsell_teads_visitas_prospecting_scroller-landscape-_Amarok-Varejo-Janeiro-Corporativo-18-1_open</v>
      </c>
      <c r="G892" t="str">
        <f t="shared" si="192"/>
        <v>435571918</v>
      </c>
      <c r="H892" t="str">
        <f t="shared" si="193"/>
        <v>Tracking</v>
      </c>
      <c r="I892">
        <f t="shared" si="194"/>
        <v>0</v>
      </c>
      <c r="J892">
        <f t="shared" si="195"/>
        <v>1</v>
      </c>
      <c r="K892" s="4">
        <f t="shared" si="198"/>
        <v>3.5000000000000001E-3</v>
      </c>
      <c r="L892">
        <f t="shared" si="199"/>
        <v>0.02</v>
      </c>
      <c r="M892" s="4">
        <f t="shared" si="196"/>
        <v>3.5000000000000001E-3</v>
      </c>
      <c r="N892" s="4">
        <f t="shared" si="197"/>
        <v>0.02</v>
      </c>
    </row>
    <row r="893" spans="1:14">
      <c r="A893" t="str">
        <f t="shared" si="186"/>
        <v>alp_Amarok-Varejo-Janeiro-2019</v>
      </c>
      <c r="B893" t="str">
        <f t="shared" si="187"/>
        <v>teads.tv</v>
      </c>
      <c r="C893" t="str">
        <f t="shared" si="188"/>
        <v>alp_Amarok-Varejo-Janeiro-2019_teads_horizontal_hardsell_teads_visitas_prospecting_scroller-landscape-_Amarok-Varejo-Janeiro-Corporativo-18-2_open</v>
      </c>
      <c r="D893" t="str">
        <f t="shared" si="189"/>
        <v>238222883</v>
      </c>
      <c r="E893" t="str">
        <f t="shared" si="190"/>
        <v>Standard</v>
      </c>
      <c r="F893" t="str">
        <f t="shared" si="191"/>
        <v>alp_Amarok-Varejo-Janeiro-2019_teads_horizontal_hardsell_teads_visitas_prospecting_scroller-landscape-_Amarok-Varejo-Janeiro-Corporativo-18-2_open</v>
      </c>
      <c r="G893" t="str">
        <f t="shared" si="192"/>
        <v>435571906</v>
      </c>
      <c r="H893" t="str">
        <f t="shared" si="193"/>
        <v>Tracking</v>
      </c>
      <c r="I893">
        <f t="shared" si="194"/>
        <v>3</v>
      </c>
      <c r="J893">
        <f t="shared" si="195"/>
        <v>0</v>
      </c>
      <c r="K893" s="4">
        <f t="shared" si="198"/>
        <v>0.04</v>
      </c>
      <c r="L893">
        <f t="shared" si="199"/>
        <v>0.09</v>
      </c>
      <c r="M893" s="4">
        <f t="shared" si="196"/>
        <v>1.1999999999999999E-4</v>
      </c>
      <c r="N893" s="4">
        <f t="shared" si="197"/>
        <v>2.7E-4</v>
      </c>
    </row>
    <row r="894" spans="1:14">
      <c r="A894" t="str">
        <f t="shared" si="186"/>
        <v>alp_Amarok-Varejo-Janeiro-2019</v>
      </c>
      <c r="B894" t="str">
        <f t="shared" si="187"/>
        <v>teads.tv</v>
      </c>
      <c r="C894" t="str">
        <f t="shared" si="188"/>
        <v>alp_Amarok-Varejo-Janeiro-2019_teads_horizontal_hardsell_teads_visitas_prospecting_scroller-landscape-_Amarok-Varejo-Janeiro-Privado-1_open</v>
      </c>
      <c r="D894" t="str">
        <f t="shared" si="189"/>
        <v>238222865</v>
      </c>
      <c r="E894" t="str">
        <f t="shared" si="190"/>
        <v>Standard</v>
      </c>
      <c r="F894" t="str">
        <f t="shared" si="191"/>
        <v>alp_Amarok-Varejo-Janeiro-2019_teads_horizontal_hardsell_teads_visitas_prospecting_scroller-landscape-_Amarok-Varejo-Janeiro-Privado-1_open</v>
      </c>
      <c r="G894" t="str">
        <f t="shared" si="192"/>
        <v>435571888</v>
      </c>
      <c r="H894" t="str">
        <f t="shared" si="193"/>
        <v>Tracking</v>
      </c>
      <c r="I894">
        <f t="shared" si="194"/>
        <v>5</v>
      </c>
      <c r="J894">
        <f t="shared" si="195"/>
        <v>0</v>
      </c>
      <c r="K894" s="4">
        <f t="shared" si="198"/>
        <v>0.04</v>
      </c>
      <c r="L894">
        <f t="shared" si="199"/>
        <v>0.09</v>
      </c>
      <c r="M894" s="4">
        <f t="shared" si="196"/>
        <v>2.0000000000000001E-4</v>
      </c>
      <c r="N894" s="4">
        <f t="shared" si="197"/>
        <v>4.4999999999999993E-4</v>
      </c>
    </row>
    <row r="895" spans="1:14">
      <c r="A895" t="str">
        <f t="shared" si="186"/>
        <v>alp_PosVendas2018</v>
      </c>
      <c r="B895" t="str">
        <f t="shared" si="187"/>
        <v>Facebook</v>
      </c>
      <c r="C895" t="str">
        <f t="shared" si="188"/>
        <v>alp_PosVendas2018_facebook_social_pos_vendas_newsfeed_cpm_prospecting_pagepost_Black-Friday_AMC-open</v>
      </c>
      <c r="D895" t="str">
        <f t="shared" si="189"/>
        <v>234202512</v>
      </c>
      <c r="E895" t="str">
        <f t="shared" si="190"/>
        <v>Dynamic Click</v>
      </c>
      <c r="F895" t="str">
        <f t="shared" si="191"/>
        <v>alp_PosVendas2018_facebook_social_pos_vendas_newsfeed_cpm_prospecting_pagepost_Black-Friday_AMC-open</v>
      </c>
      <c r="G895" t="str">
        <f t="shared" si="192"/>
        <v>431590967</v>
      </c>
      <c r="H895" t="str">
        <f t="shared" si="193"/>
        <v>Tracking</v>
      </c>
      <c r="I895">
        <f t="shared" si="194"/>
        <v>0</v>
      </c>
      <c r="J895">
        <f t="shared" si="195"/>
        <v>3</v>
      </c>
      <c r="K895" s="4">
        <f t="shared" si="198"/>
        <v>3.5000000000000001E-3</v>
      </c>
      <c r="L895">
        <f t="shared" si="199"/>
        <v>0.02</v>
      </c>
      <c r="M895" s="4">
        <f t="shared" si="196"/>
        <v>1.0500000000000001E-2</v>
      </c>
      <c r="N895" s="4">
        <f t="shared" si="197"/>
        <v>0.06</v>
      </c>
    </row>
    <row r="896" spans="1:14">
      <c r="A896" t="str">
        <f t="shared" si="186"/>
        <v>alp_PosVendas2018</v>
      </c>
      <c r="B896" t="str">
        <f t="shared" si="187"/>
        <v>Facebook</v>
      </c>
      <c r="C896" t="str">
        <f t="shared" si="188"/>
        <v>alp_PosVendas2018_facebook_social_pos_vendas_newsfeed_cpm_prospecting_pagepost_Promo-R1_AMC-open</v>
      </c>
      <c r="D896" t="str">
        <f t="shared" si="189"/>
        <v>234202617</v>
      </c>
      <c r="E896" t="str">
        <f t="shared" si="190"/>
        <v>Dynamic Click</v>
      </c>
      <c r="F896" t="str">
        <f t="shared" si="191"/>
        <v>alp_PosVendas2018_facebook_social_pos_vendas_newsfeed_cpm_prospecting_pagepost_Promo-R1_AMC-open</v>
      </c>
      <c r="G896" t="str">
        <f t="shared" si="192"/>
        <v>431706397</v>
      </c>
      <c r="H896" t="str">
        <f t="shared" si="193"/>
        <v>Tracking</v>
      </c>
      <c r="I896">
        <f t="shared" si="194"/>
        <v>0</v>
      </c>
      <c r="J896">
        <f t="shared" si="195"/>
        <v>1</v>
      </c>
      <c r="K896" s="4">
        <f t="shared" si="198"/>
        <v>3.5000000000000001E-3</v>
      </c>
      <c r="L896">
        <f t="shared" si="199"/>
        <v>0.02</v>
      </c>
      <c r="M896" s="4">
        <f t="shared" si="196"/>
        <v>3.5000000000000001E-3</v>
      </c>
      <c r="N896" s="4">
        <f t="shared" si="197"/>
        <v>0.02</v>
      </c>
    </row>
    <row r="897" spans="1:14">
      <c r="A897" t="str">
        <f t="shared" si="186"/>
        <v>alp_PosVendas2018</v>
      </c>
      <c r="B897" t="str">
        <f t="shared" si="187"/>
        <v>Facebook</v>
      </c>
      <c r="C897" t="str">
        <f t="shared" si="188"/>
        <v>alp_PosVendas2018_facebook_social_pos_vendas_newsfeed_cpm_prospecting_pagepost_Promo-R3_AMC-open</v>
      </c>
      <c r="D897" t="str">
        <f t="shared" si="189"/>
        <v>234202434</v>
      </c>
      <c r="E897" t="str">
        <f t="shared" si="190"/>
        <v>Dynamic Click</v>
      </c>
      <c r="F897" t="str">
        <f t="shared" si="191"/>
        <v>alp_PosVendas2018_facebook_social_pos_vendas_newsfeed_cpm_prospecting_pagepost_Promo-R3_AMC-open</v>
      </c>
      <c r="G897" t="str">
        <f t="shared" si="192"/>
        <v>431590889</v>
      </c>
      <c r="H897" t="str">
        <f t="shared" si="193"/>
        <v>Tracking</v>
      </c>
      <c r="I897">
        <f t="shared" si="194"/>
        <v>0</v>
      </c>
      <c r="J897">
        <f t="shared" si="195"/>
        <v>49</v>
      </c>
      <c r="K897" s="4">
        <f t="shared" si="198"/>
        <v>3.5000000000000001E-3</v>
      </c>
      <c r="L897">
        <f t="shared" si="199"/>
        <v>0.02</v>
      </c>
      <c r="M897" s="4">
        <f t="shared" si="196"/>
        <v>0.17150000000000001</v>
      </c>
      <c r="N897" s="4">
        <f t="shared" si="197"/>
        <v>0.98</v>
      </c>
    </row>
    <row r="898" spans="1:14">
      <c r="A898" t="str">
        <f t="shared" ref="A898:A961" si="200">bd_campaign</f>
        <v>alp_PosVendas2018</v>
      </c>
      <c r="B898" t="str">
        <f t="shared" ref="B898:B961" si="201">bd_site</f>
        <v>Facebook</v>
      </c>
      <c r="C898" t="str">
        <f t="shared" ref="C898:C961" si="202">bd_placement</f>
        <v>alp_PosVendas2018_facebook_social_pos_vendas_newsfeed_cpm_prospecting_pagepost_Promo-R5_AMC-open</v>
      </c>
      <c r="D898" t="str">
        <f t="shared" ref="D898:D961" si="203">bd_placementID</f>
        <v>234197814</v>
      </c>
      <c r="E898" t="str">
        <f t="shared" ref="E898:E961" si="204">VLOOKUP(CONCATENATE(bd_adtype,"_",bd_creativetype),tabela,2,FALSE)</f>
        <v>Dynamic Click</v>
      </c>
      <c r="F898" t="str">
        <f t="shared" ref="F898:F961" si="205">bd_ad</f>
        <v>alp_PosVendas2018_facebook_social_pos_vendas_newsfeed_cpm_prospecting_pagepost_Promo-R5_AMC-open</v>
      </c>
      <c r="G898" t="str">
        <f t="shared" ref="G898:G961" si="206">bd_adid</f>
        <v>431590769</v>
      </c>
      <c r="H898" t="str">
        <f t="shared" ref="H898:H961" si="207">bd_creativetype</f>
        <v>Tracking</v>
      </c>
      <c r="I898">
        <f t="shared" ref="I898:I961" si="208">bd_impression</f>
        <v>0</v>
      </c>
      <c r="J898">
        <f t="shared" ref="J898:J961" si="209">bd_clicks</f>
        <v>2</v>
      </c>
      <c r="K898" s="4">
        <f t="shared" si="198"/>
        <v>3.5000000000000001E-3</v>
      </c>
      <c r="L898">
        <f t="shared" si="199"/>
        <v>0.02</v>
      </c>
      <c r="M898" s="4">
        <f t="shared" si="196"/>
        <v>7.0000000000000001E-3</v>
      </c>
      <c r="N898" s="4">
        <f t="shared" si="197"/>
        <v>0.04</v>
      </c>
    </row>
    <row r="899" spans="1:14">
      <c r="A899" t="str">
        <f t="shared" si="200"/>
        <v>alp_PosVendas2018</v>
      </c>
      <c r="B899" t="str">
        <f t="shared" si="201"/>
        <v>Facebook</v>
      </c>
      <c r="C899" t="str">
        <f t="shared" si="202"/>
        <v>alp_PosVendas2018_facebook_social_pos_vendas_newsfeed_cpm_prospecting_pagepost_Promo-R6_AMC-open</v>
      </c>
      <c r="D899" t="str">
        <f t="shared" si="203"/>
        <v>234197754</v>
      </c>
      <c r="E899" t="str">
        <f t="shared" si="204"/>
        <v>Dynamic Click</v>
      </c>
      <c r="F899" t="str">
        <f t="shared" si="205"/>
        <v>alp_PosVendas2018_facebook_social_pos_vendas_newsfeed_cpm_prospecting_pagepost_Promo-R6_AMC-open</v>
      </c>
      <c r="G899" t="str">
        <f t="shared" si="206"/>
        <v>431699134</v>
      </c>
      <c r="H899" t="str">
        <f t="shared" si="207"/>
        <v>Tracking</v>
      </c>
      <c r="I899">
        <f t="shared" si="208"/>
        <v>0</v>
      </c>
      <c r="J899">
        <f t="shared" si="209"/>
        <v>1</v>
      </c>
      <c r="K899" s="4">
        <f t="shared" si="198"/>
        <v>3.5000000000000001E-3</v>
      </c>
      <c r="L899">
        <f t="shared" si="199"/>
        <v>0.02</v>
      </c>
      <c r="M899" s="4">
        <f t="shared" si="196"/>
        <v>3.5000000000000001E-3</v>
      </c>
      <c r="N899" s="4">
        <f t="shared" si="197"/>
        <v>0.02</v>
      </c>
    </row>
    <row r="900" spans="1:14">
      <c r="A900" t="str">
        <f t="shared" si="200"/>
        <v>alp_PosVendas2018</v>
      </c>
      <c r="B900" t="str">
        <f t="shared" si="201"/>
        <v>Mercado Livre</v>
      </c>
      <c r="C900" t="str">
        <f t="shared" si="202"/>
        <v>alp_PosVendas2018_Mercado-livre_network_pos-vendas_prospeccao_cpm_prospecting_300x250_Black-Friday_AMC-open</v>
      </c>
      <c r="D900" t="str">
        <f t="shared" si="203"/>
        <v>236414905</v>
      </c>
      <c r="E900" t="str">
        <f t="shared" si="204"/>
        <v>Standard</v>
      </c>
      <c r="F900" t="str">
        <f t="shared" si="205"/>
        <v>alp_PosVendas2018_Mercado-livre_network_pos-vendas_prospeccao_cpm_prospecting_300x250_Black-Friday_AMC-open</v>
      </c>
      <c r="G900" t="str">
        <f t="shared" si="206"/>
        <v>433975693</v>
      </c>
      <c r="H900" t="str">
        <f t="shared" si="207"/>
        <v>Tracking</v>
      </c>
      <c r="I900">
        <f t="shared" si="208"/>
        <v>1</v>
      </c>
      <c r="J900">
        <f t="shared" si="209"/>
        <v>0</v>
      </c>
      <c r="K900" s="4">
        <f t="shared" si="198"/>
        <v>0.04</v>
      </c>
      <c r="L900">
        <f t="shared" si="199"/>
        <v>0.09</v>
      </c>
      <c r="M900" s="4">
        <f t="shared" si="196"/>
        <v>4.0000000000000003E-5</v>
      </c>
      <c r="N900" s="4">
        <f t="shared" si="197"/>
        <v>8.9999999999999992E-5</v>
      </c>
    </row>
    <row r="901" spans="1:14">
      <c r="A901" t="str">
        <f t="shared" si="200"/>
        <v>alp_PosVendas2018</v>
      </c>
      <c r="B901" t="str">
        <f t="shared" si="201"/>
        <v>Mercado Livre</v>
      </c>
      <c r="C901" t="str">
        <f t="shared" si="202"/>
        <v>alp_PosVendas2018_Mercado-livre_network_pos_vendas_prospeccao_cpm_prospecting_300x250_Black-Friday_AMC-open</v>
      </c>
      <c r="D901" t="str">
        <f t="shared" si="203"/>
        <v>234202530</v>
      </c>
      <c r="E901" t="str">
        <f t="shared" si="204"/>
        <v>Standard</v>
      </c>
      <c r="F901" t="str">
        <f t="shared" si="205"/>
        <v>alp_PosVendas2018_Mercado-livre_network_pos_vendas_prospeccao_cpm_prospecting_300x250_Black-Friday_AMC-open</v>
      </c>
      <c r="G901" t="str">
        <f t="shared" si="206"/>
        <v>431590985</v>
      </c>
      <c r="H901" t="str">
        <f t="shared" si="207"/>
        <v>Tracking</v>
      </c>
      <c r="I901">
        <f t="shared" si="208"/>
        <v>2</v>
      </c>
      <c r="J901">
        <f t="shared" si="209"/>
        <v>0</v>
      </c>
      <c r="K901" s="4">
        <f t="shared" si="198"/>
        <v>0.04</v>
      </c>
      <c r="L901">
        <f t="shared" si="199"/>
        <v>0.09</v>
      </c>
      <c r="M901" s="4">
        <f t="shared" si="196"/>
        <v>8.0000000000000007E-5</v>
      </c>
      <c r="N901" s="4">
        <f t="shared" si="197"/>
        <v>1.7999999999999998E-4</v>
      </c>
    </row>
    <row r="902" spans="1:14">
      <c r="A902" t="str">
        <f t="shared" si="200"/>
        <v>alp_PosVendas2019</v>
      </c>
      <c r="B902" t="str">
        <f t="shared" si="201"/>
        <v>Facebook</v>
      </c>
      <c r="C902" t="str">
        <f t="shared" si="202"/>
        <v>alp_PosVendas2019_facebook_social_pos-vendas_newsfeed_cpm_prospecting_1200x628_Lead-NET-1_AMC-open</v>
      </c>
      <c r="D902" t="str">
        <f t="shared" si="203"/>
        <v>238457290</v>
      </c>
      <c r="E902" t="str">
        <f t="shared" si="204"/>
        <v>Dynamic Click</v>
      </c>
      <c r="F902" t="str">
        <f t="shared" si="205"/>
        <v>alp_PosVendas2019_facebook_social_pos-vendas_newsfeed_cpm_prospecting_1200x628_Lead-NET-1_AMC-open</v>
      </c>
      <c r="G902" t="str">
        <f t="shared" si="206"/>
        <v>435626108</v>
      </c>
      <c r="H902" t="str">
        <f t="shared" si="207"/>
        <v>Tracking</v>
      </c>
      <c r="I902">
        <f t="shared" si="208"/>
        <v>0</v>
      </c>
      <c r="J902">
        <f t="shared" si="209"/>
        <v>2</v>
      </c>
      <c r="K902" s="4">
        <f t="shared" si="198"/>
        <v>3.5000000000000001E-3</v>
      </c>
      <c r="L902">
        <f t="shared" si="199"/>
        <v>0.02</v>
      </c>
      <c r="M902" s="4">
        <f t="shared" si="196"/>
        <v>7.0000000000000001E-3</v>
      </c>
      <c r="N902" s="4">
        <f t="shared" si="197"/>
        <v>0.04</v>
      </c>
    </row>
    <row r="903" spans="1:14">
      <c r="A903" t="str">
        <f t="shared" si="200"/>
        <v>alp_PosVendas2019</v>
      </c>
      <c r="B903" t="str">
        <f t="shared" si="201"/>
        <v>Facebook</v>
      </c>
      <c r="C903" t="str">
        <f t="shared" si="202"/>
        <v>alp_PosVendas2019_facebook_social_pos-vendas_newsfeed_cpm_prospecting_600x600_carrossel-NET-1_AMC-open</v>
      </c>
      <c r="D903" t="str">
        <f t="shared" si="203"/>
        <v>238720944</v>
      </c>
      <c r="E903" t="str">
        <f t="shared" si="204"/>
        <v>Dynamic Click</v>
      </c>
      <c r="F903" t="str">
        <f t="shared" si="205"/>
        <v>alp_PosVendas2019_facebook_social_pos-vendas_newsfeed_cpm_prospecting_600x600_carrossel-NET-1_AMC-open</v>
      </c>
      <c r="G903" t="str">
        <f t="shared" si="206"/>
        <v>435654987</v>
      </c>
      <c r="H903" t="str">
        <f t="shared" si="207"/>
        <v>Tracking</v>
      </c>
      <c r="I903">
        <f t="shared" si="208"/>
        <v>0</v>
      </c>
      <c r="J903">
        <f t="shared" si="209"/>
        <v>15</v>
      </c>
      <c r="K903" s="4">
        <f t="shared" si="198"/>
        <v>3.5000000000000001E-3</v>
      </c>
      <c r="L903">
        <f t="shared" si="199"/>
        <v>0.02</v>
      </c>
      <c r="M903" s="4">
        <f t="shared" si="196"/>
        <v>5.2499999999999998E-2</v>
      </c>
      <c r="N903" s="4">
        <f t="shared" si="197"/>
        <v>0.3</v>
      </c>
    </row>
    <row r="904" spans="1:14">
      <c r="A904" t="str">
        <f t="shared" si="200"/>
        <v>alp_PosVendas2019</v>
      </c>
      <c r="B904" t="str">
        <f t="shared" si="201"/>
        <v>Facebook</v>
      </c>
      <c r="C904" t="str">
        <f t="shared" si="202"/>
        <v>alp_PosVendas2019_facebook_social_pos-vendas_newsfeed_cpm_prospecting_600x600_carrossel-NET-2_AMC-open</v>
      </c>
      <c r="D904" t="str">
        <f t="shared" si="203"/>
        <v>238457299</v>
      </c>
      <c r="E904" t="str">
        <f t="shared" si="204"/>
        <v>Dynamic Click</v>
      </c>
      <c r="F904" t="str">
        <f t="shared" si="205"/>
        <v>alp_PosVendas2019_facebook_social_pos-vendas_newsfeed_cpm_prospecting_600x600_carrossel-NET-2_AMC-open</v>
      </c>
      <c r="G904" t="str">
        <f t="shared" si="206"/>
        <v>435626117</v>
      </c>
      <c r="H904" t="str">
        <f t="shared" si="207"/>
        <v>Tracking</v>
      </c>
      <c r="I904">
        <f t="shared" si="208"/>
        <v>0</v>
      </c>
      <c r="J904">
        <f t="shared" si="209"/>
        <v>8</v>
      </c>
      <c r="K904" s="4">
        <f t="shared" si="198"/>
        <v>3.5000000000000001E-3</v>
      </c>
      <c r="L904">
        <f t="shared" si="199"/>
        <v>0.02</v>
      </c>
      <c r="M904" s="4">
        <f t="shared" si="196"/>
        <v>2.8000000000000001E-2</v>
      </c>
      <c r="N904" s="4">
        <f t="shared" si="197"/>
        <v>0.16</v>
      </c>
    </row>
    <row r="905" spans="1:14">
      <c r="A905" t="str">
        <f t="shared" si="200"/>
        <v>alp_PosVendas2019</v>
      </c>
      <c r="B905" t="str">
        <f t="shared" si="201"/>
        <v>Facebook</v>
      </c>
      <c r="C905" t="str">
        <f t="shared" si="202"/>
        <v>alp_PosVendas2019_facebook_social_pos-vendas_newsfeed_cpm_prospecting_600x600_pos-vendas-fevereiro-regional-1_AMC-open</v>
      </c>
      <c r="D905" t="str">
        <f t="shared" si="203"/>
        <v>241195751</v>
      </c>
      <c r="E905" t="str">
        <f t="shared" si="204"/>
        <v>Dynamic Click</v>
      </c>
      <c r="F905" t="str">
        <f t="shared" si="205"/>
        <v>alp_PosVendas2019_facebook_social_pos-vendas_newsfeed_cpm_prospecting_600x600_pos-vendas-fevereiro-regional-1_AMC-open</v>
      </c>
      <c r="G905" t="str">
        <f t="shared" si="206"/>
        <v>438188581</v>
      </c>
      <c r="H905" t="str">
        <f t="shared" si="207"/>
        <v>Tracking</v>
      </c>
      <c r="I905">
        <f t="shared" si="208"/>
        <v>0</v>
      </c>
      <c r="J905">
        <f t="shared" si="209"/>
        <v>1463</v>
      </c>
      <c r="K905" s="4">
        <f t="shared" si="198"/>
        <v>3.5000000000000001E-3</v>
      </c>
      <c r="L905">
        <f t="shared" si="199"/>
        <v>0.02</v>
      </c>
      <c r="M905" s="4">
        <f t="shared" si="196"/>
        <v>5.1204999999999998</v>
      </c>
      <c r="N905" s="4">
        <f t="shared" si="197"/>
        <v>29.26</v>
      </c>
    </row>
    <row r="906" spans="1:14">
      <c r="A906" t="str">
        <f t="shared" si="200"/>
        <v>alp_PosVendas2019</v>
      </c>
      <c r="B906" t="str">
        <f t="shared" si="201"/>
        <v>Facebook</v>
      </c>
      <c r="C906" t="str">
        <f t="shared" si="202"/>
        <v>alp_PosVendas2019_facebook_social_pos-vendas_newsfeed_cpm_prospecting_600x600_pos-vendas-fevereiro-regional-2_AMC-open</v>
      </c>
      <c r="D906" t="str">
        <f t="shared" si="203"/>
        <v>241195748</v>
      </c>
      <c r="E906" t="str">
        <f t="shared" si="204"/>
        <v>Dynamic Click</v>
      </c>
      <c r="F906" t="str">
        <f t="shared" si="205"/>
        <v>alp_PosVendas2019_facebook_social_pos-vendas_newsfeed_cpm_prospecting_600x600_pos-vendas-fevereiro-regional-2_AMC-open</v>
      </c>
      <c r="G906" t="str">
        <f t="shared" si="206"/>
        <v>438188578</v>
      </c>
      <c r="H906" t="str">
        <f t="shared" si="207"/>
        <v>Tracking</v>
      </c>
      <c r="I906">
        <f t="shared" si="208"/>
        <v>0</v>
      </c>
      <c r="J906">
        <f t="shared" si="209"/>
        <v>1774</v>
      </c>
      <c r="K906" s="4">
        <f t="shared" si="198"/>
        <v>3.5000000000000001E-3</v>
      </c>
      <c r="L906">
        <f t="shared" si="199"/>
        <v>0.02</v>
      </c>
      <c r="M906" s="4">
        <f t="shared" si="196"/>
        <v>6.2090000000000005</v>
      </c>
      <c r="N906" s="4">
        <f t="shared" si="197"/>
        <v>35.480000000000004</v>
      </c>
    </row>
    <row r="907" spans="1:14">
      <c r="A907" t="str">
        <f t="shared" si="200"/>
        <v>alp_PosVendas2019</v>
      </c>
      <c r="B907" t="str">
        <f t="shared" si="201"/>
        <v>Facebook</v>
      </c>
      <c r="C907" t="str">
        <f t="shared" si="202"/>
        <v>alp_PosVendas2019_facebook_social_pos-vendas_newsfeed_cpm_prospecting_600x600_pos-vendas-fevereiro-regional-3_AMC-open</v>
      </c>
      <c r="D907" t="str">
        <f t="shared" si="203"/>
        <v>241195745</v>
      </c>
      <c r="E907" t="str">
        <f t="shared" si="204"/>
        <v>Dynamic Click</v>
      </c>
      <c r="F907" t="str">
        <f t="shared" si="205"/>
        <v>alp_PosVendas2019_facebook_social_pos-vendas_newsfeed_cpm_prospecting_600x600_pos-vendas-fevereiro-regional-3_AMC-open</v>
      </c>
      <c r="G907" t="str">
        <f t="shared" si="206"/>
        <v>438188575</v>
      </c>
      <c r="H907" t="str">
        <f t="shared" si="207"/>
        <v>Tracking</v>
      </c>
      <c r="I907">
        <f t="shared" si="208"/>
        <v>0</v>
      </c>
      <c r="J907">
        <f t="shared" si="209"/>
        <v>2208</v>
      </c>
      <c r="K907" s="4">
        <f t="shared" si="198"/>
        <v>3.5000000000000001E-3</v>
      </c>
      <c r="L907">
        <f t="shared" si="199"/>
        <v>0.02</v>
      </c>
      <c r="M907" s="4">
        <f t="shared" si="196"/>
        <v>7.7279999999999998</v>
      </c>
      <c r="N907" s="4">
        <f t="shared" si="197"/>
        <v>44.160000000000004</v>
      </c>
    </row>
    <row r="908" spans="1:14">
      <c r="A908" t="str">
        <f t="shared" si="200"/>
        <v>alp_PosVendas2019</v>
      </c>
      <c r="B908" t="str">
        <f t="shared" si="201"/>
        <v>Facebook</v>
      </c>
      <c r="C908" t="str">
        <f t="shared" si="202"/>
        <v>alp_PosVendas2019_facebook_social_pos-vendas_newsfeed_cpm_prospecting_600x600_pos-vendas-fevereiro-regional-4_AMC-open</v>
      </c>
      <c r="D908" t="str">
        <f t="shared" si="203"/>
        <v>241195742</v>
      </c>
      <c r="E908" t="str">
        <f t="shared" si="204"/>
        <v>Dynamic Click</v>
      </c>
      <c r="F908" t="str">
        <f t="shared" si="205"/>
        <v>alp_PosVendas2019_facebook_social_pos-vendas_newsfeed_cpm_prospecting_600x600_pos-vendas-fevereiro-regional-4_AMC-open</v>
      </c>
      <c r="G908" t="str">
        <f t="shared" si="206"/>
        <v>438188572</v>
      </c>
      <c r="H908" t="str">
        <f t="shared" si="207"/>
        <v>Tracking</v>
      </c>
      <c r="I908">
        <f t="shared" si="208"/>
        <v>0</v>
      </c>
      <c r="J908">
        <f t="shared" si="209"/>
        <v>1652</v>
      </c>
      <c r="K908" s="4">
        <f t="shared" si="198"/>
        <v>3.5000000000000001E-3</v>
      </c>
      <c r="L908">
        <f t="shared" si="199"/>
        <v>0.02</v>
      </c>
      <c r="M908" s="4">
        <f t="shared" si="196"/>
        <v>5.782</v>
      </c>
      <c r="N908" s="4">
        <f t="shared" si="197"/>
        <v>33.04</v>
      </c>
    </row>
    <row r="909" spans="1:14">
      <c r="A909" t="str">
        <f t="shared" si="200"/>
        <v>alp_PosVendas2019</v>
      </c>
      <c r="B909" t="str">
        <f t="shared" si="201"/>
        <v>Facebook</v>
      </c>
      <c r="C909" t="str">
        <f t="shared" si="202"/>
        <v>alp_PosVendas2019_facebook_social_pos-vendas_newsfeed_cpm_prospecting_600x600_pos-vendas-fevereiro-regional-5_AMC-open</v>
      </c>
      <c r="D909" t="str">
        <f t="shared" si="203"/>
        <v>241195739</v>
      </c>
      <c r="E909" t="str">
        <f t="shared" si="204"/>
        <v>Dynamic Click</v>
      </c>
      <c r="F909" t="str">
        <f t="shared" si="205"/>
        <v>alp_PosVendas2019_facebook_social_pos-vendas_newsfeed_cpm_prospecting_600x600_pos-vendas-fevereiro-regional-5_AMC-open</v>
      </c>
      <c r="G909" t="str">
        <f t="shared" si="206"/>
        <v>438188569</v>
      </c>
      <c r="H909" t="str">
        <f t="shared" si="207"/>
        <v>Tracking</v>
      </c>
      <c r="I909">
        <f t="shared" si="208"/>
        <v>0</v>
      </c>
      <c r="J909">
        <f t="shared" si="209"/>
        <v>1600</v>
      </c>
      <c r="K909" s="4">
        <f t="shared" si="198"/>
        <v>3.5000000000000001E-3</v>
      </c>
      <c r="L909">
        <f t="shared" si="199"/>
        <v>0.02</v>
      </c>
      <c r="M909" s="4">
        <f t="shared" si="196"/>
        <v>5.6000000000000005</v>
      </c>
      <c r="N909" s="4">
        <f t="shared" si="197"/>
        <v>32</v>
      </c>
    </row>
    <row r="910" spans="1:14">
      <c r="A910" t="str">
        <f t="shared" si="200"/>
        <v>alp_PosVendas2019</v>
      </c>
      <c r="B910" t="str">
        <f t="shared" si="201"/>
        <v>Facebook</v>
      </c>
      <c r="C910" t="str">
        <f t="shared" si="202"/>
        <v>alp_PosVendas2019_facebook_social_pos-vendas_newsfeed_cpm_prospecting_600x600_pos-vendas-fevereiro-regional-6_AMC-open</v>
      </c>
      <c r="D910" t="str">
        <f t="shared" si="203"/>
        <v>241195736</v>
      </c>
      <c r="E910" t="str">
        <f t="shared" si="204"/>
        <v>Dynamic Click</v>
      </c>
      <c r="F910" t="str">
        <f t="shared" si="205"/>
        <v>alp_PosVendas2019_facebook_social_pos-vendas_newsfeed_cpm_prospecting_600x600_pos-vendas-fevereiro-regional-6_AMC-open</v>
      </c>
      <c r="G910" t="str">
        <f t="shared" si="206"/>
        <v>438188566</v>
      </c>
      <c r="H910" t="str">
        <f t="shared" si="207"/>
        <v>Tracking</v>
      </c>
      <c r="I910">
        <f t="shared" si="208"/>
        <v>0</v>
      </c>
      <c r="J910">
        <f t="shared" si="209"/>
        <v>1956</v>
      </c>
      <c r="K910" s="4">
        <f t="shared" si="198"/>
        <v>3.5000000000000001E-3</v>
      </c>
      <c r="L910">
        <f t="shared" si="199"/>
        <v>0.02</v>
      </c>
      <c r="M910" s="4">
        <f t="shared" si="196"/>
        <v>6.8460000000000001</v>
      </c>
      <c r="N910" s="4">
        <f t="shared" si="197"/>
        <v>39.119999999999997</v>
      </c>
    </row>
    <row r="911" spans="1:14">
      <c r="A911" t="str">
        <f t="shared" si="200"/>
        <v>alp_PosVendas2019</v>
      </c>
      <c r="B911" t="str">
        <f t="shared" si="201"/>
        <v>Facebook</v>
      </c>
      <c r="C911" t="str">
        <f t="shared" si="202"/>
        <v>alp_PosVendas2019_facebook_social_pos-vendas_newsfeed_cpm_prospecting_600x600_pos-vendas-fevereiro-regional-7_AMC-open</v>
      </c>
      <c r="D911" t="str">
        <f t="shared" si="203"/>
        <v>241195733</v>
      </c>
      <c r="E911" t="str">
        <f t="shared" si="204"/>
        <v>Dynamic Click</v>
      </c>
      <c r="F911" t="str">
        <f t="shared" si="205"/>
        <v>alp_PosVendas2019_facebook_social_pos-vendas_newsfeed_cpm_prospecting_600x600_pos-vendas-fevereiro-regional-7_AMC-open</v>
      </c>
      <c r="G911" t="str">
        <f t="shared" si="206"/>
        <v>438188563</v>
      </c>
      <c r="H911" t="str">
        <f t="shared" si="207"/>
        <v>Tracking</v>
      </c>
      <c r="I911">
        <f t="shared" si="208"/>
        <v>0</v>
      </c>
      <c r="J911">
        <f t="shared" si="209"/>
        <v>1981</v>
      </c>
      <c r="K911" s="4">
        <f t="shared" si="198"/>
        <v>3.5000000000000001E-3</v>
      </c>
      <c r="L911">
        <f t="shared" si="199"/>
        <v>0.02</v>
      </c>
      <c r="M911" s="4">
        <f t="shared" si="196"/>
        <v>6.9335000000000004</v>
      </c>
      <c r="N911" s="4">
        <f t="shared" si="197"/>
        <v>39.619999999999997</v>
      </c>
    </row>
    <row r="912" spans="1:14">
      <c r="A912" t="str">
        <f t="shared" si="200"/>
        <v>alp_Premios</v>
      </c>
      <c r="B912" t="str">
        <f t="shared" si="201"/>
        <v>Facebook</v>
      </c>
      <c r="C912" t="str">
        <f t="shared" si="202"/>
        <v>alp_Premios_facebook_social_premios_newsfeed_cpm_prospecting_carrossel_step1_premios_vw_AMC-open</v>
      </c>
      <c r="D912" t="str">
        <f t="shared" si="203"/>
        <v>226364342</v>
      </c>
      <c r="E912" t="str">
        <f t="shared" si="204"/>
        <v>Dynamic Click</v>
      </c>
      <c r="F912" t="str">
        <f t="shared" si="205"/>
        <v>alp_Premios_facebook_social_premios_newsfeed_cpm_prospecting_carrossel_step1_premios_vw_AMC-open</v>
      </c>
      <c r="G912" t="str">
        <f t="shared" si="206"/>
        <v>424618087</v>
      </c>
      <c r="H912" t="str">
        <f t="shared" si="207"/>
        <v>Tracking</v>
      </c>
      <c r="I912">
        <f t="shared" si="208"/>
        <v>0</v>
      </c>
      <c r="J912">
        <f t="shared" si="209"/>
        <v>2</v>
      </c>
      <c r="K912" s="4">
        <f t="shared" si="198"/>
        <v>3.5000000000000001E-3</v>
      </c>
      <c r="L912">
        <f t="shared" si="199"/>
        <v>0.02</v>
      </c>
      <c r="M912" s="4">
        <f t="shared" si="196"/>
        <v>7.0000000000000001E-3</v>
      </c>
      <c r="N912" s="4">
        <f t="shared" si="197"/>
        <v>0.04</v>
      </c>
    </row>
    <row r="913" spans="1:14">
      <c r="A913" t="str">
        <f t="shared" si="200"/>
        <v>alp_Premios</v>
      </c>
      <c r="B913" t="str">
        <f t="shared" si="201"/>
        <v>Facebook</v>
      </c>
      <c r="C913" t="str">
        <f t="shared" si="202"/>
        <v>alp_Premios_facebook_social_premios_newsfeed_cpm_prospecting_carrossel_step3_premios_vw_AMC-open</v>
      </c>
      <c r="D913" t="str">
        <f t="shared" si="203"/>
        <v>226364336</v>
      </c>
      <c r="E913" t="str">
        <f t="shared" si="204"/>
        <v>Dynamic Click</v>
      </c>
      <c r="F913" t="str">
        <f t="shared" si="205"/>
        <v>alp_Premios_facebook_social_premios_newsfeed_cpm_prospecting_carrossel_step3_premios_vw_AMC-open</v>
      </c>
      <c r="G913" t="str">
        <f t="shared" si="206"/>
        <v>424618081</v>
      </c>
      <c r="H913" t="str">
        <f t="shared" si="207"/>
        <v>Tracking</v>
      </c>
      <c r="I913">
        <f t="shared" si="208"/>
        <v>0</v>
      </c>
      <c r="J913">
        <f t="shared" si="209"/>
        <v>1</v>
      </c>
      <c r="K913" s="4">
        <f t="shared" si="198"/>
        <v>3.5000000000000001E-3</v>
      </c>
      <c r="L913">
        <f t="shared" si="199"/>
        <v>0.02</v>
      </c>
      <c r="M913" s="4">
        <f t="shared" si="196"/>
        <v>3.5000000000000001E-3</v>
      </c>
      <c r="N913" s="4">
        <f t="shared" si="197"/>
        <v>0.02</v>
      </c>
    </row>
    <row r="914" spans="1:14">
      <c r="A914" t="str">
        <f t="shared" si="200"/>
        <v>alp_Premios</v>
      </c>
      <c r="B914" t="str">
        <f t="shared" si="201"/>
        <v>Facebook</v>
      </c>
      <c r="C914" t="str">
        <f t="shared" si="202"/>
        <v>alp_Premios_facebook_social_premios_newsfeed_cpm_prospecting_carrossel_step4_premios_vw_AMC-open</v>
      </c>
      <c r="D914" t="str">
        <f t="shared" si="203"/>
        <v>226364333</v>
      </c>
      <c r="E914" t="str">
        <f t="shared" si="204"/>
        <v>Dynamic Click</v>
      </c>
      <c r="F914" t="str">
        <f t="shared" si="205"/>
        <v>alp_Premios_facebook_social_premios_newsfeed_cpm_prospecting_carrossel_step4_premios_vw_AMC-open</v>
      </c>
      <c r="G914" t="str">
        <f t="shared" si="206"/>
        <v>424618078</v>
      </c>
      <c r="H914" t="str">
        <f t="shared" si="207"/>
        <v>Tracking</v>
      </c>
      <c r="I914">
        <f t="shared" si="208"/>
        <v>0</v>
      </c>
      <c r="J914">
        <f t="shared" si="209"/>
        <v>1</v>
      </c>
      <c r="K914" s="4">
        <f t="shared" si="198"/>
        <v>3.5000000000000001E-3</v>
      </c>
      <c r="L914">
        <f t="shared" si="199"/>
        <v>0.02</v>
      </c>
      <c r="M914" s="4">
        <f t="shared" si="196"/>
        <v>3.5000000000000001E-3</v>
      </c>
      <c r="N914" s="4">
        <f t="shared" si="197"/>
        <v>0.02</v>
      </c>
    </row>
    <row r="915" spans="1:14">
      <c r="A915" t="str">
        <f t="shared" si="200"/>
        <v>alp_Premios</v>
      </c>
      <c r="B915" t="str">
        <f t="shared" si="201"/>
        <v>Facebook</v>
      </c>
      <c r="C915" t="str">
        <f t="shared" si="202"/>
        <v>alp_Premios_facebook_social_premios_newsfeed_cpm_prospecting_pagepost_premios_tiguan_AMC-open</v>
      </c>
      <c r="D915" t="str">
        <f t="shared" si="203"/>
        <v>222623911</v>
      </c>
      <c r="E915" t="str">
        <f t="shared" si="204"/>
        <v>Dynamic Click</v>
      </c>
      <c r="F915" t="str">
        <f t="shared" si="205"/>
        <v>alp_Premios_facebook_social_premios_newsfeed_cpm_prospecting_pagepost_premios_tiguan_AMC-open</v>
      </c>
      <c r="G915" t="str">
        <f t="shared" si="206"/>
        <v>420973327</v>
      </c>
      <c r="H915" t="str">
        <f t="shared" si="207"/>
        <v>Tracking</v>
      </c>
      <c r="I915">
        <f t="shared" si="208"/>
        <v>0</v>
      </c>
      <c r="J915">
        <f t="shared" si="209"/>
        <v>1</v>
      </c>
      <c r="K915" s="4">
        <f t="shared" si="198"/>
        <v>3.5000000000000001E-3</v>
      </c>
      <c r="L915">
        <f t="shared" si="199"/>
        <v>0.02</v>
      </c>
      <c r="M915" s="4">
        <f t="shared" si="196"/>
        <v>3.5000000000000001E-3</v>
      </c>
      <c r="N915" s="4">
        <f t="shared" si="197"/>
        <v>0.02</v>
      </c>
    </row>
    <row r="916" spans="1:14">
      <c r="A916" t="str">
        <f t="shared" si="200"/>
        <v>alp_Premios</v>
      </c>
      <c r="B916" t="str">
        <f t="shared" si="201"/>
        <v>Facebook</v>
      </c>
      <c r="C916" t="str">
        <f t="shared" si="202"/>
        <v>alp_Premios_facebook_social_premios_newsfeed_cpm_prospecting_pagepost_premios_vw_AMC-open</v>
      </c>
      <c r="D916" t="str">
        <f t="shared" si="203"/>
        <v>226084738</v>
      </c>
      <c r="E916" t="str">
        <f t="shared" si="204"/>
        <v>Dynamic Click</v>
      </c>
      <c r="F916" t="str">
        <f t="shared" si="205"/>
        <v>alp_Premios_facebook_social_premios_newsfeed_cpm_prospecting_pagepost_premios_vw_AMC-open</v>
      </c>
      <c r="G916" t="str">
        <f t="shared" si="206"/>
        <v>424171929</v>
      </c>
      <c r="H916" t="str">
        <f t="shared" si="207"/>
        <v>Tracking</v>
      </c>
      <c r="I916">
        <f t="shared" si="208"/>
        <v>0</v>
      </c>
      <c r="J916">
        <f t="shared" si="209"/>
        <v>1</v>
      </c>
      <c r="K916" s="4">
        <f t="shared" si="198"/>
        <v>3.5000000000000001E-3</v>
      </c>
      <c r="L916">
        <f t="shared" si="199"/>
        <v>0.02</v>
      </c>
      <c r="M916" s="4">
        <f t="shared" si="196"/>
        <v>3.5000000000000001E-3</v>
      </c>
      <c r="N916" s="4">
        <f t="shared" si="197"/>
        <v>0.02</v>
      </c>
    </row>
    <row r="917" spans="1:14">
      <c r="A917" t="str">
        <f t="shared" si="200"/>
        <v>alp_ShowRoomTraffic</v>
      </c>
      <c r="B917" t="str">
        <f t="shared" si="201"/>
        <v>In Loco Media</v>
      </c>
      <c r="C917" t="str">
        <f t="shared" si="202"/>
        <v>alp_ShowRoomTraffic_inloco_app_trafego_app_cpm_traffic_960x1440_oferta99-agosto_Proximity-VW</v>
      </c>
      <c r="D917" t="str">
        <f t="shared" si="203"/>
        <v>227021797</v>
      </c>
      <c r="E917" t="str">
        <f t="shared" si="204"/>
        <v>Standard</v>
      </c>
      <c r="F917" t="str">
        <f t="shared" si="205"/>
        <v>alp_ShowRoomTraffic_inloco_app_trafego_app_cpm_traffic_960x1440_oferta99-agosto_Proximity-VW</v>
      </c>
      <c r="G917" t="str">
        <f t="shared" si="206"/>
        <v>425073159</v>
      </c>
      <c r="H917" t="str">
        <f t="shared" si="207"/>
        <v>Tracking</v>
      </c>
      <c r="I917">
        <f t="shared" si="208"/>
        <v>1</v>
      </c>
      <c r="J917">
        <f t="shared" si="209"/>
        <v>0</v>
      </c>
      <c r="K917" s="4">
        <f t="shared" si="198"/>
        <v>0.04</v>
      </c>
      <c r="L917">
        <f t="shared" si="199"/>
        <v>0.09</v>
      </c>
      <c r="M917" s="4">
        <f t="shared" si="196"/>
        <v>4.0000000000000003E-5</v>
      </c>
      <c r="N917" s="4">
        <f t="shared" si="197"/>
        <v>8.9999999999999992E-5</v>
      </c>
    </row>
    <row r="918" spans="1:14">
      <c r="A918" t="str">
        <f t="shared" si="200"/>
        <v>alp_ShowRoomTraffic</v>
      </c>
      <c r="B918" t="str">
        <f t="shared" si="201"/>
        <v>In Loco Media</v>
      </c>
      <c r="C918" t="str">
        <f t="shared" si="202"/>
        <v>alp_showroom-traffic_inloco_app_trafego_app_cpm_traffic_960x1440_Showroom-Traffic-Polo_Proximity-VW</v>
      </c>
      <c r="D918" t="str">
        <f t="shared" si="203"/>
        <v>215576099</v>
      </c>
      <c r="E918" t="str">
        <f t="shared" si="204"/>
        <v>Dynamic Click</v>
      </c>
      <c r="F918" t="str">
        <f t="shared" si="205"/>
        <v>alp_showroom-traffic_inloco_app_trafego_app_cpm_traffic_960x1440_Showroom-Traffic-Polo_Proximity-VW</v>
      </c>
      <c r="G918" t="str">
        <f t="shared" si="206"/>
        <v>414568167</v>
      </c>
      <c r="H918" t="str">
        <f t="shared" si="207"/>
        <v>Tracking</v>
      </c>
      <c r="I918">
        <f t="shared" si="208"/>
        <v>0</v>
      </c>
      <c r="J918">
        <f t="shared" si="209"/>
        <v>1</v>
      </c>
      <c r="K918" s="4">
        <f t="shared" si="198"/>
        <v>3.5000000000000001E-3</v>
      </c>
      <c r="L918">
        <f t="shared" si="199"/>
        <v>0.02</v>
      </c>
      <c r="M918" s="4">
        <f t="shared" si="196"/>
        <v>3.5000000000000001E-3</v>
      </c>
      <c r="N918" s="4">
        <f t="shared" si="197"/>
        <v>0.02</v>
      </c>
    </row>
    <row r="919" spans="1:14">
      <c r="A919" t="str">
        <f t="shared" si="200"/>
        <v>alp_ShowRoomTraffic</v>
      </c>
      <c r="B919" t="str">
        <f t="shared" si="201"/>
        <v>In Loco Media</v>
      </c>
      <c r="C919" t="str">
        <f t="shared" si="202"/>
        <v>alp_showroom-traffic_inloco_app_trafego_app_cpm_traffic_960x1440_Showroom-Traffic-Polo_Proximity-competitors</v>
      </c>
      <c r="D919" t="str">
        <f t="shared" si="203"/>
        <v>215576108</v>
      </c>
      <c r="E919" t="str">
        <f t="shared" si="204"/>
        <v>Standard</v>
      </c>
      <c r="F919" t="str">
        <f t="shared" si="205"/>
        <v>alp_showroom-traffic_inloco_app_trafego_app_cpm_traffic_960x1440_Showroom-Traffic-Polo_Proximity-competitors</v>
      </c>
      <c r="G919" t="str">
        <f t="shared" si="206"/>
        <v>414568176</v>
      </c>
      <c r="H919" t="str">
        <f t="shared" si="207"/>
        <v>Tracking</v>
      </c>
      <c r="I919">
        <f t="shared" si="208"/>
        <v>3</v>
      </c>
      <c r="J919">
        <f t="shared" si="209"/>
        <v>1</v>
      </c>
      <c r="K919" s="4">
        <f t="shared" si="198"/>
        <v>0.04</v>
      </c>
      <c r="L919">
        <f t="shared" si="199"/>
        <v>0.09</v>
      </c>
      <c r="M919" s="4">
        <f t="shared" si="196"/>
        <v>1.1999999999999999E-4</v>
      </c>
      <c r="N919" s="4">
        <f t="shared" si="197"/>
        <v>2.7E-4</v>
      </c>
    </row>
    <row r="920" spans="1:14">
      <c r="A920" t="str">
        <f t="shared" si="200"/>
        <v>alp_Tiguan</v>
      </c>
      <c r="B920" t="str">
        <f t="shared" si="201"/>
        <v>BR MSN.</v>
      </c>
      <c r="C920" t="str">
        <f t="shared" si="202"/>
        <v>alp_tiguan_msn_vertical_pre-venda_outlook_cpm_prospecting_300x250_prevenda-generica_demografico</v>
      </c>
      <c r="D920" t="str">
        <f t="shared" si="203"/>
        <v>219327484</v>
      </c>
      <c r="E920" t="str">
        <f t="shared" si="204"/>
        <v>Standard</v>
      </c>
      <c r="F920" t="str">
        <f t="shared" si="205"/>
        <v>alp_tiguan_msn_vertical_pre-venda_outlook_cpm_prospecting_300x250_prevenda-generica_demografico</v>
      </c>
      <c r="G920" t="str">
        <f t="shared" si="206"/>
        <v>417836216</v>
      </c>
      <c r="H920" t="str">
        <f t="shared" si="207"/>
        <v>Tracking</v>
      </c>
      <c r="I920">
        <f t="shared" si="208"/>
        <v>5</v>
      </c>
      <c r="J920">
        <f t="shared" si="209"/>
        <v>0</v>
      </c>
      <c r="K920" s="4">
        <f t="shared" si="198"/>
        <v>0.04</v>
      </c>
      <c r="L920">
        <f t="shared" si="199"/>
        <v>0.09</v>
      </c>
      <c r="M920" s="4">
        <f t="shared" si="196"/>
        <v>2.0000000000000001E-4</v>
      </c>
      <c r="N920" s="4">
        <f t="shared" si="197"/>
        <v>4.4999999999999993E-4</v>
      </c>
    </row>
    <row r="921" spans="1:14">
      <c r="A921" t="str">
        <f t="shared" si="200"/>
        <v>alp_Tiguan</v>
      </c>
      <c r="B921" t="str">
        <f t="shared" si="201"/>
        <v>BR UOL.</v>
      </c>
      <c r="C921" t="str">
        <f t="shared" si="202"/>
        <v>alp_tiguan_uol_network_lancamento_prospeccao_cpm_prospecting_1190x250_lancamento-tiguan_tiguan-AMC</v>
      </c>
      <c r="D921" t="str">
        <f t="shared" si="203"/>
        <v>226760527</v>
      </c>
      <c r="E921" t="str">
        <f t="shared" si="204"/>
        <v>Dynamic Click</v>
      </c>
      <c r="F921" t="str">
        <f t="shared" si="205"/>
        <v>alp_tiguan_uol_network_lancamento_prospeccao_cpm_prospecting_1190x250_lancamento-tiguan_tiguan-AMC</v>
      </c>
      <c r="G921" t="str">
        <f t="shared" si="206"/>
        <v>424803075</v>
      </c>
      <c r="H921" t="str">
        <f t="shared" si="207"/>
        <v>Tracking</v>
      </c>
      <c r="I921">
        <f t="shared" si="208"/>
        <v>0</v>
      </c>
      <c r="J921">
        <f t="shared" si="209"/>
        <v>2</v>
      </c>
      <c r="K921" s="4">
        <f t="shared" si="198"/>
        <v>3.5000000000000001E-3</v>
      </c>
      <c r="L921">
        <f t="shared" si="199"/>
        <v>0.02</v>
      </c>
      <c r="M921" s="4">
        <f t="shared" si="196"/>
        <v>7.0000000000000001E-3</v>
      </c>
      <c r="N921" s="4">
        <f t="shared" si="197"/>
        <v>0.04</v>
      </c>
    </row>
    <row r="922" spans="1:14">
      <c r="A922" t="str">
        <f t="shared" si="200"/>
        <v>alp_Tiguan</v>
      </c>
      <c r="B922" t="str">
        <f t="shared" si="201"/>
        <v>BR UOL.</v>
      </c>
      <c r="C922" t="str">
        <f t="shared" si="202"/>
        <v>alp_tiguan_uol_network_lancamento_prospeccao_cpm_prospecting_cutting_edge_lancamento-tiguan_tiguan-AMC</v>
      </c>
      <c r="D922" t="str">
        <f t="shared" si="203"/>
        <v>225848978</v>
      </c>
      <c r="E922" t="str">
        <f t="shared" si="204"/>
        <v>Standard</v>
      </c>
      <c r="F922" t="str">
        <f t="shared" si="205"/>
        <v>alp_tiguan_uol_network_lancamento_prospeccao_cpm_prospecting_cutting_edge_lancamento-tiguan_tiguan-AMC</v>
      </c>
      <c r="G922" t="str">
        <f t="shared" si="206"/>
        <v>424035797</v>
      </c>
      <c r="H922" t="str">
        <f t="shared" si="207"/>
        <v>Tracking</v>
      </c>
      <c r="I922">
        <f t="shared" si="208"/>
        <v>1</v>
      </c>
      <c r="J922">
        <f t="shared" si="209"/>
        <v>0</v>
      </c>
      <c r="K922" s="4">
        <f t="shared" si="198"/>
        <v>0.04</v>
      </c>
      <c r="L922">
        <f t="shared" si="199"/>
        <v>0.09</v>
      </c>
      <c r="M922" s="4">
        <f t="shared" si="196"/>
        <v>4.0000000000000003E-5</v>
      </c>
      <c r="N922" s="4">
        <f t="shared" si="197"/>
        <v>8.9999999999999992E-5</v>
      </c>
    </row>
    <row r="923" spans="1:14">
      <c r="A923" t="str">
        <f t="shared" si="200"/>
        <v>alp_Tiguan</v>
      </c>
      <c r="B923" t="str">
        <f t="shared" si="201"/>
        <v>Facebook</v>
      </c>
      <c r="C923" t="str">
        <f t="shared" si="202"/>
        <v>alp_tiguan_facebook_social_lancamento_newsfeed_cpm_prospecting_dark_post_lancamento-tiguan-28-08_tiguan-AMC</v>
      </c>
      <c r="D923" t="str">
        <f t="shared" si="203"/>
        <v>227906164</v>
      </c>
      <c r="E923" t="str">
        <f t="shared" si="204"/>
        <v>Dynamic Click</v>
      </c>
      <c r="F923" t="str">
        <f t="shared" si="205"/>
        <v>alp_tiguan_facebook_social_lancamento_newsfeed_cpm_prospecting_dark_post_lancamento-tiguan-28-08_tiguan-AMC</v>
      </c>
      <c r="G923" t="str">
        <f t="shared" si="206"/>
        <v>426003008</v>
      </c>
      <c r="H923" t="str">
        <f t="shared" si="207"/>
        <v>Tracking</v>
      </c>
      <c r="I923">
        <f t="shared" si="208"/>
        <v>0</v>
      </c>
      <c r="J923">
        <f t="shared" si="209"/>
        <v>1</v>
      </c>
      <c r="K923" s="4">
        <f t="shared" si="198"/>
        <v>3.5000000000000001E-3</v>
      </c>
      <c r="L923">
        <f t="shared" si="199"/>
        <v>0.02</v>
      </c>
      <c r="M923" s="4">
        <f t="shared" si="196"/>
        <v>3.5000000000000001E-3</v>
      </c>
      <c r="N923" s="4">
        <f t="shared" si="197"/>
        <v>0.02</v>
      </c>
    </row>
    <row r="924" spans="1:14">
      <c r="A924" t="str">
        <f t="shared" si="200"/>
        <v>alp_Tiguan</v>
      </c>
      <c r="B924" t="str">
        <f t="shared" si="201"/>
        <v>Facebook</v>
      </c>
      <c r="C924" t="str">
        <f t="shared" si="202"/>
        <v>alp_tiguan_facebook_social_lancamento_newsfeed_cpm_prospecting_pagepost_lancamento-tiguan-04-09_tiguan-AMC</v>
      </c>
      <c r="D924" t="str">
        <f t="shared" si="203"/>
        <v>228352039</v>
      </c>
      <c r="E924" t="str">
        <f t="shared" si="204"/>
        <v>Dynamic Click</v>
      </c>
      <c r="F924" t="str">
        <f t="shared" si="205"/>
        <v>alp_tiguan_facebook_social_lancamento_newsfeed_cpm_prospecting_pagepost_lancamento-tiguan-04-09_tiguan-AMC</v>
      </c>
      <c r="G924" t="str">
        <f t="shared" si="206"/>
        <v>426468954</v>
      </c>
      <c r="H924" t="str">
        <f t="shared" si="207"/>
        <v>Tracking</v>
      </c>
      <c r="I924">
        <f t="shared" si="208"/>
        <v>0</v>
      </c>
      <c r="J924">
        <f t="shared" si="209"/>
        <v>10</v>
      </c>
      <c r="K924" s="4">
        <f t="shared" si="198"/>
        <v>3.5000000000000001E-3</v>
      </c>
      <c r="L924">
        <f t="shared" si="199"/>
        <v>0.02</v>
      </c>
      <c r="M924" s="4">
        <f t="shared" si="196"/>
        <v>3.5000000000000003E-2</v>
      </c>
      <c r="N924" s="4">
        <f t="shared" si="197"/>
        <v>0.2</v>
      </c>
    </row>
    <row r="925" spans="1:14">
      <c r="A925" t="str">
        <f t="shared" si="200"/>
        <v>alp_Tiguan</v>
      </c>
      <c r="B925" t="str">
        <f t="shared" si="201"/>
        <v>Facebook</v>
      </c>
      <c r="C925" t="str">
        <f t="shared" si="202"/>
        <v>alp_tiguan_facebook_social_lancamento_newsfeed_cpm_prospecting_pagepost_lancamento-tiguan-18-09_tiguan-AMC</v>
      </c>
      <c r="D925" t="str">
        <f t="shared" si="203"/>
        <v>229565751</v>
      </c>
      <c r="E925" t="str">
        <f t="shared" si="204"/>
        <v>Dynamic Click</v>
      </c>
      <c r="F925" t="str">
        <f t="shared" si="205"/>
        <v>alp_tiguan_facebook_social_lancamento_newsfeed_cpm_prospecting_pagepost_lancamento-tiguan-18-09_tiguan-AMC</v>
      </c>
      <c r="G925" t="str">
        <f t="shared" si="206"/>
        <v>427390197</v>
      </c>
      <c r="H925" t="str">
        <f t="shared" si="207"/>
        <v>Tracking</v>
      </c>
      <c r="I925">
        <f t="shared" si="208"/>
        <v>0</v>
      </c>
      <c r="J925">
        <f t="shared" si="209"/>
        <v>2</v>
      </c>
      <c r="K925" s="4">
        <f t="shared" si="198"/>
        <v>3.5000000000000001E-3</v>
      </c>
      <c r="L925">
        <f t="shared" si="199"/>
        <v>0.02</v>
      </c>
      <c r="M925" s="4">
        <f t="shared" si="196"/>
        <v>7.0000000000000001E-3</v>
      </c>
      <c r="N925" s="4">
        <f t="shared" si="197"/>
        <v>0.04</v>
      </c>
    </row>
    <row r="926" spans="1:14">
      <c r="A926" t="str">
        <f t="shared" si="200"/>
        <v>alp_Tiguan</v>
      </c>
      <c r="B926" t="str">
        <f t="shared" si="201"/>
        <v>Facebook</v>
      </c>
      <c r="C926" t="str">
        <f t="shared" si="202"/>
        <v>alp_tiguan_facebook_social_lancamento_newsfeed_cpm_prospecting_pagepost_lancamento-tiguan-video-360_tiguan-AMC</v>
      </c>
      <c r="D926" t="str">
        <f t="shared" si="203"/>
        <v>226672798</v>
      </c>
      <c r="E926" t="str">
        <f t="shared" si="204"/>
        <v>Dynamic Click</v>
      </c>
      <c r="F926" t="str">
        <f t="shared" si="205"/>
        <v>alp_tiguan_facebook_social_lancamento_newsfeed_cpm_prospecting_pagepost_lancamento-tiguan-video-360_tiguan-AMC</v>
      </c>
      <c r="G926" t="str">
        <f t="shared" si="206"/>
        <v>424734935</v>
      </c>
      <c r="H926" t="str">
        <f t="shared" si="207"/>
        <v>Tracking</v>
      </c>
      <c r="I926">
        <f t="shared" si="208"/>
        <v>0</v>
      </c>
      <c r="J926">
        <f t="shared" si="209"/>
        <v>6</v>
      </c>
      <c r="K926" s="4">
        <f t="shared" si="198"/>
        <v>3.5000000000000001E-3</v>
      </c>
      <c r="L926">
        <f t="shared" si="199"/>
        <v>0.02</v>
      </c>
      <c r="M926" s="4">
        <f t="shared" si="196"/>
        <v>2.1000000000000001E-2</v>
      </c>
      <c r="N926" s="4">
        <f t="shared" si="197"/>
        <v>0.12</v>
      </c>
    </row>
    <row r="927" spans="1:14">
      <c r="A927" t="str">
        <f t="shared" si="200"/>
        <v>alp_Tiguan</v>
      </c>
      <c r="B927" t="str">
        <f t="shared" si="201"/>
        <v>Facebook</v>
      </c>
      <c r="C927" t="str">
        <f t="shared" si="202"/>
        <v>alp_tiguan_facebook_social_lancamento_newsfeed_cpm_prospecting_pagepost_lancamento-tiguan1408_tiguan-AMC</v>
      </c>
      <c r="D927" t="str">
        <f t="shared" si="203"/>
        <v>227005247</v>
      </c>
      <c r="E927" t="str">
        <f t="shared" si="204"/>
        <v>Dynamic Click</v>
      </c>
      <c r="F927" t="str">
        <f t="shared" si="205"/>
        <v>alp_tiguan_facebook_social_lancamento_newsfeed_cpm_prospecting_pagepost_lancamento-tiguan1408_tiguan-AMC</v>
      </c>
      <c r="G927" t="str">
        <f t="shared" si="206"/>
        <v>425304154</v>
      </c>
      <c r="H927" t="str">
        <f t="shared" si="207"/>
        <v>Tracking</v>
      </c>
      <c r="I927">
        <f t="shared" si="208"/>
        <v>0</v>
      </c>
      <c r="J927">
        <f t="shared" si="209"/>
        <v>1</v>
      </c>
      <c r="K927" s="4">
        <f t="shared" si="198"/>
        <v>3.5000000000000001E-3</v>
      </c>
      <c r="L927">
        <f t="shared" si="199"/>
        <v>0.02</v>
      </c>
      <c r="M927" s="4">
        <f t="shared" si="196"/>
        <v>3.5000000000000001E-3</v>
      </c>
      <c r="N927" s="4">
        <f t="shared" si="197"/>
        <v>0.02</v>
      </c>
    </row>
    <row r="928" spans="1:14">
      <c r="A928" t="str">
        <f t="shared" si="200"/>
        <v>alp_Tiguan</v>
      </c>
      <c r="B928" t="str">
        <f t="shared" si="201"/>
        <v>Facebook</v>
      </c>
      <c r="C928" t="str">
        <f t="shared" si="202"/>
        <v>alp_tiguan_facebook_social_lancamento_newsfeed_cpm_prospecting_pagepost_lancamento-tiguan3107_tiguan-AMC</v>
      </c>
      <c r="D928" t="str">
        <f t="shared" si="203"/>
        <v>226234331</v>
      </c>
      <c r="E928" t="str">
        <f t="shared" si="204"/>
        <v>Dynamic Click</v>
      </c>
      <c r="F928" t="str">
        <f t="shared" si="205"/>
        <v>alp_tiguan_facebook_social_lancamento_newsfeed_cpm_prospecting_pagepost_lancamento-tiguan3107_tiguan-AMC</v>
      </c>
      <c r="G928" t="str">
        <f t="shared" si="206"/>
        <v>424401212</v>
      </c>
      <c r="H928" t="str">
        <f t="shared" si="207"/>
        <v>Tracking</v>
      </c>
      <c r="I928">
        <f t="shared" si="208"/>
        <v>0</v>
      </c>
      <c r="J928">
        <f t="shared" si="209"/>
        <v>2</v>
      </c>
      <c r="K928" s="4">
        <f t="shared" si="198"/>
        <v>3.5000000000000001E-3</v>
      </c>
      <c r="L928">
        <f t="shared" si="199"/>
        <v>0.02</v>
      </c>
      <c r="M928" s="4">
        <f t="shared" si="196"/>
        <v>7.0000000000000001E-3</v>
      </c>
      <c r="N928" s="4">
        <f t="shared" si="197"/>
        <v>0.04</v>
      </c>
    </row>
    <row r="929" spans="1:14">
      <c r="A929" t="str">
        <f t="shared" si="200"/>
        <v>alp_Tiguan</v>
      </c>
      <c r="B929" t="str">
        <f t="shared" si="201"/>
        <v>Facebook</v>
      </c>
      <c r="C929" t="str">
        <f t="shared" si="202"/>
        <v>alp_tiguan_facebook_social_pre-venda_newsfeed_cpm_prospecting_carrossel_prevenda_carrossel_tiguan-AMC</v>
      </c>
      <c r="D929" t="str">
        <f t="shared" si="203"/>
        <v>218561660</v>
      </c>
      <c r="E929" t="str">
        <f t="shared" si="204"/>
        <v>Dynamic Click</v>
      </c>
      <c r="F929" t="str">
        <f t="shared" si="205"/>
        <v>alp_tiguan_facebook_social_pre-venda_newsfeed_cpm_prospecting_carrossel_prevenda_carrossel_tiguan-AMC</v>
      </c>
      <c r="G929" t="str">
        <f t="shared" si="206"/>
        <v>417160326</v>
      </c>
      <c r="H929" t="str">
        <f t="shared" si="207"/>
        <v>Tracking</v>
      </c>
      <c r="I929">
        <f t="shared" si="208"/>
        <v>0</v>
      </c>
      <c r="J929">
        <f t="shared" si="209"/>
        <v>1</v>
      </c>
      <c r="K929" s="4">
        <f t="shared" si="198"/>
        <v>3.5000000000000001E-3</v>
      </c>
      <c r="L929">
        <f t="shared" si="199"/>
        <v>0.02</v>
      </c>
      <c r="M929" s="4">
        <f t="shared" si="196"/>
        <v>3.5000000000000001E-3</v>
      </c>
      <c r="N929" s="4">
        <f t="shared" si="197"/>
        <v>0.02</v>
      </c>
    </row>
    <row r="930" spans="1:14">
      <c r="A930" t="str">
        <f t="shared" si="200"/>
        <v>alp_Tiguan</v>
      </c>
      <c r="B930" t="str">
        <f t="shared" si="201"/>
        <v>Facebook</v>
      </c>
      <c r="C930" t="str">
        <f t="shared" si="202"/>
        <v>alp_tiguan_facebook_social_pre-venda_newsfeed_cpm_prospecting_pagepost_prevenda_post1_tiguan-AMC</v>
      </c>
      <c r="D930" t="str">
        <f t="shared" si="203"/>
        <v>218561657</v>
      </c>
      <c r="E930" t="str">
        <f t="shared" si="204"/>
        <v>Dynamic Click</v>
      </c>
      <c r="F930" t="str">
        <f t="shared" si="205"/>
        <v>alp_tiguan_facebook_social_pre-venda_newsfeed_cpm_prospecting_pagepost_prevenda_post1_tiguan-AMC</v>
      </c>
      <c r="G930" t="str">
        <f t="shared" si="206"/>
        <v>417160323</v>
      </c>
      <c r="H930" t="str">
        <f t="shared" si="207"/>
        <v>Tracking</v>
      </c>
      <c r="I930">
        <f t="shared" si="208"/>
        <v>0</v>
      </c>
      <c r="J930">
        <f t="shared" si="209"/>
        <v>1</v>
      </c>
      <c r="K930" s="4">
        <f t="shared" si="198"/>
        <v>3.5000000000000001E-3</v>
      </c>
      <c r="L930">
        <f t="shared" si="199"/>
        <v>0.02</v>
      </c>
      <c r="M930" s="4">
        <f t="shared" ref="M930:M993" si="210">IF(E930="Dynamic Click",J930*K930,K930*$I930/1000)</f>
        <v>3.5000000000000001E-3</v>
      </c>
      <c r="N930" s="4">
        <f t="shared" ref="N930:N993" si="211">IF(E930="Dynamic Click",J930*L930,L930*$I930/1000)</f>
        <v>0.02</v>
      </c>
    </row>
    <row r="931" spans="1:14">
      <c r="A931" t="str">
        <f t="shared" si="200"/>
        <v>alp_Tiguan</v>
      </c>
      <c r="B931" t="str">
        <f t="shared" si="201"/>
        <v>Google Brasil</v>
      </c>
      <c r="C931" t="str">
        <f t="shared" si="202"/>
        <v>alp_tiguan_youtube-dbm_social_lancamento_trueview_cpm_prospecting_video_lancamento-tiguan-video30_tiguan-AMC</v>
      </c>
      <c r="D931" t="str">
        <f t="shared" si="203"/>
        <v>226032213</v>
      </c>
      <c r="E931" t="str">
        <f t="shared" si="204"/>
        <v>Dynamic Click</v>
      </c>
      <c r="F931" t="str">
        <f t="shared" si="205"/>
        <v>alp_tiguan_youtube-dbm_social_lancamento_trueview_cpm_prospecting_video_lancamento-tiguan-video30_tiguan-AMC</v>
      </c>
      <c r="G931" t="str">
        <f t="shared" si="206"/>
        <v>423938912</v>
      </c>
      <c r="H931" t="str">
        <f t="shared" si="207"/>
        <v>Tracking</v>
      </c>
      <c r="I931">
        <f t="shared" si="208"/>
        <v>0</v>
      </c>
      <c r="J931">
        <f t="shared" si="209"/>
        <v>1</v>
      </c>
      <c r="K931" s="4">
        <f t="shared" si="198"/>
        <v>3.5000000000000001E-3</v>
      </c>
      <c r="L931">
        <f t="shared" si="199"/>
        <v>0.02</v>
      </c>
      <c r="M931" s="4">
        <f t="shared" si="210"/>
        <v>3.5000000000000001E-3</v>
      </c>
      <c r="N931" s="4">
        <f t="shared" si="211"/>
        <v>0.02</v>
      </c>
    </row>
    <row r="932" spans="1:14">
      <c r="A932" t="str">
        <f t="shared" si="200"/>
        <v>alp_Tiguan</v>
      </c>
      <c r="B932" t="str">
        <f t="shared" si="201"/>
        <v>Google Brasil</v>
      </c>
      <c r="C932" t="str">
        <f t="shared" si="202"/>
        <v>alp_tiguan_youtube-dbm_social_lancamento_trueview_cpm_prospecting_video_lancamento-tiguan-video60_tiguan-AMC</v>
      </c>
      <c r="D932" t="str">
        <f t="shared" si="203"/>
        <v>226032210</v>
      </c>
      <c r="E932" t="str">
        <f t="shared" si="204"/>
        <v>Dynamic Click</v>
      </c>
      <c r="F932" t="str">
        <f t="shared" si="205"/>
        <v>alp_tiguan_youtube-dbm_social_lancamento_trueview_cpm_prospecting_video_lancamento-tiguan-video60_tiguan-AMC</v>
      </c>
      <c r="G932" t="str">
        <f t="shared" si="206"/>
        <v>423938909</v>
      </c>
      <c r="H932" t="str">
        <f t="shared" si="207"/>
        <v>Tracking</v>
      </c>
      <c r="I932">
        <f t="shared" si="208"/>
        <v>0</v>
      </c>
      <c r="J932">
        <f t="shared" si="209"/>
        <v>1</v>
      </c>
      <c r="K932" s="4">
        <f t="shared" si="198"/>
        <v>3.5000000000000001E-3</v>
      </c>
      <c r="L932">
        <f t="shared" si="199"/>
        <v>0.02</v>
      </c>
      <c r="M932" s="4">
        <f t="shared" si="210"/>
        <v>3.5000000000000001E-3</v>
      </c>
      <c r="N932" s="4">
        <f t="shared" si="211"/>
        <v>0.02</v>
      </c>
    </row>
    <row r="933" spans="1:14">
      <c r="A933" t="str">
        <f t="shared" si="200"/>
        <v>alp_Tiguan</v>
      </c>
      <c r="B933" t="str">
        <f t="shared" si="201"/>
        <v>Google Brasil</v>
      </c>
      <c r="C933" t="str">
        <f t="shared" si="202"/>
        <v>alp_tiguan_youtube-dbm_social_lancamento_trueview_cpm_prospecting_video_lancamento-tiguan-video90_tiguan-AMC</v>
      </c>
      <c r="D933" t="str">
        <f t="shared" si="203"/>
        <v>226032207</v>
      </c>
      <c r="E933" t="str">
        <f t="shared" si="204"/>
        <v>Dynamic Click</v>
      </c>
      <c r="F933" t="str">
        <f t="shared" si="205"/>
        <v>alp_tiguan_youtube-dbm_social_lancamento_trueview_cpm_prospecting_video_lancamento-tiguan-video90_tiguan-AMC</v>
      </c>
      <c r="G933" t="str">
        <f t="shared" si="206"/>
        <v>424039351</v>
      </c>
      <c r="H933" t="str">
        <f t="shared" si="207"/>
        <v>Tracking</v>
      </c>
      <c r="I933">
        <f t="shared" si="208"/>
        <v>0</v>
      </c>
      <c r="J933">
        <f t="shared" si="209"/>
        <v>1</v>
      </c>
      <c r="K933" s="4">
        <f t="shared" si="198"/>
        <v>3.5000000000000001E-3</v>
      </c>
      <c r="L933">
        <f t="shared" si="199"/>
        <v>0.02</v>
      </c>
      <c r="M933" s="4">
        <f t="shared" si="210"/>
        <v>3.5000000000000001E-3</v>
      </c>
      <c r="N933" s="4">
        <f t="shared" si="211"/>
        <v>0.02</v>
      </c>
    </row>
    <row r="934" spans="1:14">
      <c r="A934" t="str">
        <f t="shared" si="200"/>
        <v>alp_Tiguan</v>
      </c>
      <c r="B934" t="str">
        <f t="shared" si="201"/>
        <v>br.linkedin.com</v>
      </c>
      <c r="C934" t="str">
        <f t="shared" si="202"/>
        <v>alp_tiguan_linkedin_network_lancamento_prospeccao_cpc_prospecting_300x250_lancamento-tiguan_tiguan-AMC</v>
      </c>
      <c r="D934" t="str">
        <f t="shared" si="203"/>
        <v>229048294</v>
      </c>
      <c r="E934" t="str">
        <f t="shared" si="204"/>
        <v>Dynamic Click</v>
      </c>
      <c r="F934" t="str">
        <f t="shared" si="205"/>
        <v>alp_tiguan_linkedin_network_lancamento_prospeccao_cpc_prospecting_300x250_lancamento-tiguan_tiguan-AMC</v>
      </c>
      <c r="G934" t="str">
        <f t="shared" si="206"/>
        <v>427143535</v>
      </c>
      <c r="H934" t="str">
        <f t="shared" si="207"/>
        <v>Tracking</v>
      </c>
      <c r="I934">
        <f t="shared" si="208"/>
        <v>0</v>
      </c>
      <c r="J934">
        <f t="shared" si="209"/>
        <v>40</v>
      </c>
      <c r="K934" s="4">
        <f t="shared" si="198"/>
        <v>3.5000000000000001E-3</v>
      </c>
      <c r="L934">
        <f t="shared" si="199"/>
        <v>0.02</v>
      </c>
      <c r="M934" s="4">
        <f t="shared" si="210"/>
        <v>0.14000000000000001</v>
      </c>
      <c r="N934" s="4">
        <f t="shared" si="211"/>
        <v>0.8</v>
      </c>
    </row>
    <row r="935" spans="1:14">
      <c r="A935" t="str">
        <f t="shared" si="200"/>
        <v>alp_Tiguan</v>
      </c>
      <c r="B935" t="str">
        <f t="shared" si="201"/>
        <v>br.yahoo.com</v>
      </c>
      <c r="C935" t="str">
        <f t="shared" si="202"/>
        <v>alp_tiguan_yahoo_network_lancamento_prospeccao_cpm_prospecting_1200x627_lancamento-tiguan_tiguan-AMC</v>
      </c>
      <c r="D935" t="str">
        <f t="shared" si="203"/>
        <v>229497973</v>
      </c>
      <c r="E935" t="str">
        <f t="shared" si="204"/>
        <v>Dynamic Click</v>
      </c>
      <c r="F935" t="str">
        <f t="shared" si="205"/>
        <v>alp_tiguan_yahoo_network_lancamento_prospeccao_cpm_prospecting_1200x627_lancamento-tiguan_tiguan-AMC</v>
      </c>
      <c r="G935" t="str">
        <f t="shared" si="206"/>
        <v>427475043</v>
      </c>
      <c r="H935" t="str">
        <f t="shared" si="207"/>
        <v>Tracking</v>
      </c>
      <c r="I935">
        <f t="shared" si="208"/>
        <v>3</v>
      </c>
      <c r="J935">
        <f t="shared" si="209"/>
        <v>22</v>
      </c>
      <c r="K935" s="4">
        <f t="shared" si="198"/>
        <v>3.5000000000000001E-3</v>
      </c>
      <c r="L935">
        <f t="shared" si="199"/>
        <v>0.02</v>
      </c>
      <c r="M935" s="4">
        <f t="shared" si="210"/>
        <v>7.6999999999999999E-2</v>
      </c>
      <c r="N935" s="4">
        <f t="shared" si="211"/>
        <v>0.44</v>
      </c>
    </row>
    <row r="936" spans="1:14">
      <c r="A936" t="str">
        <f t="shared" si="200"/>
        <v>alp_Tiguan</v>
      </c>
      <c r="B936" t="str">
        <f t="shared" si="201"/>
        <v>instagram.com</v>
      </c>
      <c r="C936" t="str">
        <f t="shared" si="202"/>
        <v>alp_tiguan_instagram_social_lancamento_stories_cpm_prospecting_stories_lancamento-tiguan_tiguan-AMC</v>
      </c>
      <c r="D936" t="str">
        <f t="shared" si="203"/>
        <v>225646568</v>
      </c>
      <c r="E936" t="str">
        <f t="shared" si="204"/>
        <v>Dynamic Click</v>
      </c>
      <c r="F936" t="str">
        <f t="shared" si="205"/>
        <v>alp_tiguan_instagram_social_lancamento_stories_cpm_prospecting_stories_lancamento-tiguan_tiguan-AMC</v>
      </c>
      <c r="G936" t="str">
        <f t="shared" si="206"/>
        <v>423858212</v>
      </c>
      <c r="H936" t="str">
        <f t="shared" si="207"/>
        <v>Tracking</v>
      </c>
      <c r="I936">
        <f t="shared" si="208"/>
        <v>0</v>
      </c>
      <c r="J936">
        <f t="shared" si="209"/>
        <v>1</v>
      </c>
      <c r="K936" s="4">
        <f t="shared" si="198"/>
        <v>3.5000000000000001E-3</v>
      </c>
      <c r="L936">
        <f t="shared" si="199"/>
        <v>0.02</v>
      </c>
      <c r="M936" s="4">
        <f t="shared" si="210"/>
        <v>3.5000000000000001E-3</v>
      </c>
      <c r="N936" s="4">
        <f t="shared" si="211"/>
        <v>0.02</v>
      </c>
    </row>
    <row r="937" spans="1:14">
      <c r="A937" t="str">
        <f t="shared" si="200"/>
        <v>alp_Tiguan</v>
      </c>
      <c r="B937" t="str">
        <f t="shared" si="201"/>
        <v>outlook.com</v>
      </c>
      <c r="C937" t="str">
        <f t="shared" si="202"/>
        <v>alp_tiguan_outlook_network_lancamento_prospeccao_cpm_prospecting_160x600_tiguan-AMC</v>
      </c>
      <c r="D937" t="str">
        <f t="shared" si="203"/>
        <v>227354265</v>
      </c>
      <c r="E937" t="str">
        <f t="shared" si="204"/>
        <v>Standard</v>
      </c>
      <c r="F937" t="str">
        <f t="shared" si="205"/>
        <v>alp_tiguan_outlook_network_lancamento_prospeccao_cpm_prospecting_160x600_lancamento-tiguan-generico3_tiguan-AMC</v>
      </c>
      <c r="G937" t="str">
        <f t="shared" si="206"/>
        <v>425234175</v>
      </c>
      <c r="H937" t="str">
        <f t="shared" si="207"/>
        <v>Display</v>
      </c>
      <c r="I937">
        <f t="shared" si="208"/>
        <v>11</v>
      </c>
      <c r="J937">
        <f t="shared" si="209"/>
        <v>0</v>
      </c>
      <c r="K937" s="4">
        <f t="shared" si="198"/>
        <v>0.04</v>
      </c>
      <c r="L937">
        <f t="shared" si="199"/>
        <v>0.09</v>
      </c>
      <c r="M937" s="4">
        <f t="shared" si="210"/>
        <v>4.4000000000000002E-4</v>
      </c>
      <c r="N937" s="4">
        <f t="shared" si="211"/>
        <v>9.8999999999999999E-4</v>
      </c>
    </row>
    <row r="938" spans="1:14">
      <c r="A938" t="str">
        <f t="shared" si="200"/>
        <v>alp_Varejo-Nacional-Fevereiro-2-2019</v>
      </c>
      <c r="B938" t="str">
        <f t="shared" si="201"/>
        <v>BR OLX</v>
      </c>
      <c r="C938" t="str">
        <f t="shared" si="202"/>
        <v>alp_Varejo-Nacional-Fevereiro-2-2019_olx_horizontal_hardsell_olx_cpm_prospecting_1080x1080_Varejo-Nacional-Fevereiro-2_open</v>
      </c>
      <c r="D938" t="str">
        <f t="shared" si="203"/>
        <v>240462108</v>
      </c>
      <c r="E938" t="str">
        <f t="shared" si="204"/>
        <v>Dynamic Click</v>
      </c>
      <c r="F938" t="str">
        <f t="shared" si="205"/>
        <v>alp_Varejo-Nacional-Fevereiro-2-2019_olx_horizontal_hardsell_olx_cpm_prospecting_1080x1080_Varejo-Nacional-Fevereiro-2_open</v>
      </c>
      <c r="G938" t="str">
        <f t="shared" si="206"/>
        <v>437207946</v>
      </c>
      <c r="H938" t="str">
        <f t="shared" si="207"/>
        <v>Tracking</v>
      </c>
      <c r="I938">
        <f t="shared" si="208"/>
        <v>1</v>
      </c>
      <c r="J938">
        <f t="shared" si="209"/>
        <v>110</v>
      </c>
      <c r="K938" s="4">
        <f t="shared" si="198"/>
        <v>3.5000000000000001E-3</v>
      </c>
      <c r="L938">
        <f t="shared" si="199"/>
        <v>0.02</v>
      </c>
      <c r="M938" s="4">
        <f t="shared" si="210"/>
        <v>0.38500000000000001</v>
      </c>
      <c r="N938" s="4">
        <f t="shared" si="211"/>
        <v>2.2000000000000002</v>
      </c>
    </row>
    <row r="939" spans="1:14">
      <c r="A939" t="str">
        <f t="shared" si="200"/>
        <v>alp_Varejo-Nacional-Fevereiro-2-2019</v>
      </c>
      <c r="B939" t="str">
        <f t="shared" si="201"/>
        <v>BR OLX</v>
      </c>
      <c r="C939" t="str">
        <f t="shared" si="202"/>
        <v>alp_Varejo-Nacional-Fevereiro-2-2019_olx_horizontal_hardsell_olx_cpm_prospecting_1200x672_Varejo-Nacional-Fevereiro-2_open</v>
      </c>
      <c r="D939" t="str">
        <f t="shared" si="203"/>
        <v>240461880</v>
      </c>
      <c r="E939" t="str">
        <f t="shared" si="204"/>
        <v>Dynamic Click</v>
      </c>
      <c r="F939" t="str">
        <f t="shared" si="205"/>
        <v>alp_Varejo-Nacional-Fevereiro-2-2019_olx_horizontal_hardsell_olx_cpm_prospecting_1200x672_Varejo-Nacional-Fevereiro-2_open</v>
      </c>
      <c r="G939" t="str">
        <f t="shared" si="206"/>
        <v>437251931</v>
      </c>
      <c r="H939" t="str">
        <f t="shared" si="207"/>
        <v>Tracking</v>
      </c>
      <c r="I939">
        <f t="shared" si="208"/>
        <v>0</v>
      </c>
      <c r="J939">
        <f t="shared" si="209"/>
        <v>17</v>
      </c>
      <c r="K939" s="4">
        <f t="shared" si="198"/>
        <v>3.5000000000000001E-3</v>
      </c>
      <c r="L939">
        <f t="shared" si="199"/>
        <v>0.02</v>
      </c>
      <c r="M939" s="4">
        <f t="shared" si="210"/>
        <v>5.9500000000000004E-2</v>
      </c>
      <c r="N939" s="4">
        <f t="shared" si="211"/>
        <v>0.34</v>
      </c>
    </row>
    <row r="940" spans="1:14">
      <c r="A940" t="str">
        <f t="shared" si="200"/>
        <v>alp_Varejo-Nacional-Fevereiro-2-2019</v>
      </c>
      <c r="B940" t="str">
        <f t="shared" si="201"/>
        <v>Facebook</v>
      </c>
      <c r="C940" t="str">
        <f t="shared" si="202"/>
        <v>alp_Varejo-Nacional-Fevereiro-2-2019_facebook_Social_hardsell_facebook_cpm_prospecting_pagepost_Varejo-Nacional-Fevereiro-2_open</v>
      </c>
      <c r="D940" t="str">
        <f t="shared" si="203"/>
        <v>240359055</v>
      </c>
      <c r="E940" t="str">
        <f t="shared" si="204"/>
        <v>Dynamic Click</v>
      </c>
      <c r="F940" t="str">
        <f t="shared" si="205"/>
        <v>alp_Varejo-Nacional-Fevereiro-2-2019_facebook_Social_hardsell_facebook_cpm_prospecting_pagepost_Varejo-Nacional-Fevereiro-2_open</v>
      </c>
      <c r="G940" t="str">
        <f t="shared" si="206"/>
        <v>437143289</v>
      </c>
      <c r="H940" t="str">
        <f t="shared" si="207"/>
        <v>Tracking</v>
      </c>
      <c r="I940">
        <f t="shared" si="208"/>
        <v>0</v>
      </c>
      <c r="J940">
        <f t="shared" si="209"/>
        <v>47</v>
      </c>
      <c r="K940" s="4">
        <f t="shared" ref="K940:K1003" si="212">IF(LEFT(B940,3)="DBM",0,VLOOKUP(E940,tabela,2,FALSE))</f>
        <v>3.5000000000000001E-3</v>
      </c>
      <c r="L940">
        <f t="shared" ref="L940:L1003" si="213">VLOOKUP(E940,tabela,3,FALSE)</f>
        <v>0.02</v>
      </c>
      <c r="M940" s="4">
        <f t="shared" si="210"/>
        <v>0.16450000000000001</v>
      </c>
      <c r="N940" s="4">
        <f t="shared" si="211"/>
        <v>0.94000000000000006</v>
      </c>
    </row>
    <row r="941" spans="1:14">
      <c r="A941" t="str">
        <f t="shared" si="200"/>
        <v>alp_Varejo-Nacional-Fevereiro-2-2019</v>
      </c>
      <c r="B941" t="str">
        <f t="shared" si="201"/>
        <v>Facebook</v>
      </c>
      <c r="C941" t="str">
        <f t="shared" si="202"/>
        <v>alp_Varejo-Nacional-Fevereiro-2-2019_facebook_Social_hardsell_facebook_cpm_prospecting_pagepost_Varejo-Nacional-Fevereiro-Jetta_open</v>
      </c>
      <c r="D941" t="str">
        <f t="shared" si="203"/>
        <v>240359034</v>
      </c>
      <c r="E941" t="str">
        <f t="shared" si="204"/>
        <v>Dynamic Click</v>
      </c>
      <c r="F941" t="str">
        <f t="shared" si="205"/>
        <v>alp_Varejo-Nacional-Fevereiro-2-2019_facebook_Social_hardsell_facebook_cpm_prospecting_pagepost_Varejo-Nacional-Fevereiro-Jetta_open</v>
      </c>
      <c r="G941" t="str">
        <f t="shared" si="206"/>
        <v>437143268</v>
      </c>
      <c r="H941" t="str">
        <f t="shared" si="207"/>
        <v>Tracking</v>
      </c>
      <c r="I941">
        <f t="shared" si="208"/>
        <v>0</v>
      </c>
      <c r="J941">
        <f t="shared" si="209"/>
        <v>9</v>
      </c>
      <c r="K941" s="4">
        <f t="shared" si="212"/>
        <v>3.5000000000000001E-3</v>
      </c>
      <c r="L941">
        <f t="shared" si="213"/>
        <v>0.02</v>
      </c>
      <c r="M941" s="4">
        <f t="shared" si="210"/>
        <v>3.15E-2</v>
      </c>
      <c r="N941" s="4">
        <f t="shared" si="211"/>
        <v>0.18</v>
      </c>
    </row>
    <row r="942" spans="1:14">
      <c r="A942" t="str">
        <f t="shared" si="200"/>
        <v>alp_Varejo-Nacional-Fevereiro-2-2019</v>
      </c>
      <c r="B942" t="str">
        <f t="shared" si="201"/>
        <v>Google Brasil</v>
      </c>
      <c r="C942" t="str">
        <f t="shared" si="202"/>
        <v>alp_Varejo-Nacional-Fevereiro-2-2019_dbm-uol_horizontal_hardsell_uol_cpm_prospecting_300x450_Varejo-Nacional-Fevereiro-2_open</v>
      </c>
      <c r="D942" t="str">
        <f t="shared" si="203"/>
        <v>240428821</v>
      </c>
      <c r="E942" t="str">
        <f t="shared" si="204"/>
        <v>Dynamic Click</v>
      </c>
      <c r="F942" t="str">
        <f t="shared" si="205"/>
        <v>alp_Varejo-Nacional-Fevereiro-2-2019_dbm-uol_horizontal_hardsell_uol_cpm_prospecting_300x450_Varejo-Nacional-Fevereiro-2_open</v>
      </c>
      <c r="G942" t="str">
        <f t="shared" si="206"/>
        <v>437406740</v>
      </c>
      <c r="H942" t="str">
        <f t="shared" si="207"/>
        <v>Tracking</v>
      </c>
      <c r="I942">
        <f t="shared" si="208"/>
        <v>0</v>
      </c>
      <c r="J942">
        <f t="shared" si="209"/>
        <v>2</v>
      </c>
      <c r="K942" s="4">
        <f t="shared" si="212"/>
        <v>3.5000000000000001E-3</v>
      </c>
      <c r="L942">
        <f t="shared" si="213"/>
        <v>0.02</v>
      </c>
      <c r="M942" s="4">
        <f t="shared" si="210"/>
        <v>7.0000000000000001E-3</v>
      </c>
      <c r="N942" s="4">
        <f t="shared" si="211"/>
        <v>0.04</v>
      </c>
    </row>
    <row r="943" spans="1:14">
      <c r="A943" t="str">
        <f t="shared" si="200"/>
        <v>alp_Varejo-Nacional-Fevereiro-2-2019</v>
      </c>
      <c r="B943" t="str">
        <f t="shared" si="201"/>
        <v>In Loco Media</v>
      </c>
      <c r="C943" t="str">
        <f t="shared" si="202"/>
        <v>alp_Varejo-Nacional-Fevereiro-2-2019_inloco_horizontal_hardsell_inloco_cpm_prospecting_1200x627_Varejo-Nacional-Fevereiro-2-concorrentes_open</v>
      </c>
      <c r="D943" t="str">
        <f t="shared" si="203"/>
        <v>240235537</v>
      </c>
      <c r="E943" t="str">
        <f t="shared" si="204"/>
        <v>Dynamic Click</v>
      </c>
      <c r="F943" t="str">
        <f t="shared" si="205"/>
        <v>alp_Varejo-Nacional-Fevereiro-2-2019_inloco_horizontal_hardsell_inloco_cpm_prospecting_1200x627_Varejo-Nacional-Fevereiro-2-concorrentes_open</v>
      </c>
      <c r="G943" t="str">
        <f t="shared" si="206"/>
        <v>437248019</v>
      </c>
      <c r="H943" t="str">
        <f t="shared" si="207"/>
        <v>Tracking</v>
      </c>
      <c r="I943">
        <f t="shared" si="208"/>
        <v>0</v>
      </c>
      <c r="J943">
        <f t="shared" si="209"/>
        <v>33</v>
      </c>
      <c r="K943" s="4">
        <f t="shared" si="212"/>
        <v>3.5000000000000001E-3</v>
      </c>
      <c r="L943">
        <f t="shared" si="213"/>
        <v>0.02</v>
      </c>
      <c r="M943" s="4">
        <f t="shared" si="210"/>
        <v>0.11550000000000001</v>
      </c>
      <c r="N943" s="4">
        <f t="shared" si="211"/>
        <v>0.66</v>
      </c>
    </row>
    <row r="944" spans="1:14">
      <c r="A944" t="str">
        <f t="shared" si="200"/>
        <v>alp_Varejo-Nacional-Fevereiro-2-2019</v>
      </c>
      <c r="B944" t="str">
        <f t="shared" si="201"/>
        <v>In Loco Media</v>
      </c>
      <c r="C944" t="str">
        <f t="shared" si="202"/>
        <v>alp_Varejo-Nacional-Fevereiro-2-2019_inloco_horizontal_hardsell_inloco_cpm_prospecting_1200x627_Varejo-Nacional-Fevereiro-2-lojasproprias_open</v>
      </c>
      <c r="D944" t="str">
        <f t="shared" si="203"/>
        <v>240235549</v>
      </c>
      <c r="E944" t="str">
        <f t="shared" si="204"/>
        <v>Dynamic Click</v>
      </c>
      <c r="F944" t="str">
        <f t="shared" si="205"/>
        <v>alp_Varejo-Nacional-Fevereiro-2-2019_inloco_horizontal_hardsell_inloco_cpm_prospecting_1200x627_Varejo-Nacional-Fevereiro-2-lojasproprias_open</v>
      </c>
      <c r="G944" t="str">
        <f t="shared" si="206"/>
        <v>437248031</v>
      </c>
      <c r="H944" t="str">
        <f t="shared" si="207"/>
        <v>Tracking</v>
      </c>
      <c r="I944">
        <f t="shared" si="208"/>
        <v>0</v>
      </c>
      <c r="J944">
        <f t="shared" si="209"/>
        <v>52</v>
      </c>
      <c r="K944" s="4">
        <f t="shared" si="212"/>
        <v>3.5000000000000001E-3</v>
      </c>
      <c r="L944">
        <f t="shared" si="213"/>
        <v>0.02</v>
      </c>
      <c r="M944" s="4">
        <f t="shared" si="210"/>
        <v>0.182</v>
      </c>
      <c r="N944" s="4">
        <f t="shared" si="211"/>
        <v>1.04</v>
      </c>
    </row>
    <row r="945" spans="1:14">
      <c r="A945" t="str">
        <f t="shared" si="200"/>
        <v>alp_Varejo-Nacional-Fevereiro-2-2019</v>
      </c>
      <c r="B945" t="str">
        <f t="shared" si="201"/>
        <v>In Loco Media</v>
      </c>
      <c r="C945" t="str">
        <f t="shared" si="202"/>
        <v>alp_Varejo-Nacional-Fevereiro-2-2019_inloco_horizontal_hardsell_inloco_cpm_prospecting_1200x627_Varejo-Nacional-Fevereiro-2-neutro_open</v>
      </c>
      <c r="D945" t="str">
        <f t="shared" si="203"/>
        <v>240235519</v>
      </c>
      <c r="E945" t="str">
        <f t="shared" si="204"/>
        <v>Dynamic Click</v>
      </c>
      <c r="F945" t="str">
        <f t="shared" si="205"/>
        <v>alp_Varejo-Nacional-Fevereiro-2-2019_inloco_horizontal_hardsell_inloco_cpm_prospecting_1200x627_Varejo-Nacional-Fevereiro-2-neutro_open</v>
      </c>
      <c r="G945" t="str">
        <f t="shared" si="206"/>
        <v>437248001</v>
      </c>
      <c r="H945" t="str">
        <f t="shared" si="207"/>
        <v>Tracking</v>
      </c>
      <c r="I945">
        <f t="shared" si="208"/>
        <v>0</v>
      </c>
      <c r="J945">
        <f t="shared" si="209"/>
        <v>18</v>
      </c>
      <c r="K945" s="4">
        <f t="shared" si="212"/>
        <v>3.5000000000000001E-3</v>
      </c>
      <c r="L945">
        <f t="shared" si="213"/>
        <v>0.02</v>
      </c>
      <c r="M945" s="4">
        <f t="shared" si="210"/>
        <v>6.3E-2</v>
      </c>
      <c r="N945" s="4">
        <f t="shared" si="211"/>
        <v>0.36</v>
      </c>
    </row>
    <row r="946" spans="1:14">
      <c r="A946" t="str">
        <f t="shared" si="200"/>
        <v>alp_Varejo-Nacional-Fevereiro-2-2019</v>
      </c>
      <c r="B946" t="str">
        <f t="shared" si="201"/>
        <v>In Loco Media</v>
      </c>
      <c r="C946" t="str">
        <f t="shared" si="202"/>
        <v>alp_Varejo-Nacional-Fevereiro-2-2019_inloco_horizontal_hardsell_inloco_cpm_prospecting_1440x960_Varejo-Nacional-Fevereiro-2-concorrentes_open</v>
      </c>
      <c r="D946" t="str">
        <f t="shared" si="203"/>
        <v>240235546</v>
      </c>
      <c r="E946" t="str">
        <f t="shared" si="204"/>
        <v>Standard</v>
      </c>
      <c r="F946" t="str">
        <f t="shared" si="205"/>
        <v>alp_Varejo-Nacional-Fevereiro-2-2019_inloco_horizontal_hardsell_inloco_cpm_prospecting_1440x960_Varejo-Nacional-Fevereiro-2-concorrentes_open</v>
      </c>
      <c r="G946" t="str">
        <f t="shared" si="206"/>
        <v>437248028</v>
      </c>
      <c r="H946" t="str">
        <f t="shared" si="207"/>
        <v>Tracking</v>
      </c>
      <c r="I946">
        <f t="shared" si="208"/>
        <v>10</v>
      </c>
      <c r="J946">
        <f t="shared" si="209"/>
        <v>6</v>
      </c>
      <c r="K946" s="4">
        <f t="shared" si="212"/>
        <v>0.04</v>
      </c>
      <c r="L946">
        <f t="shared" si="213"/>
        <v>0.09</v>
      </c>
      <c r="M946" s="4">
        <f t="shared" si="210"/>
        <v>4.0000000000000002E-4</v>
      </c>
      <c r="N946" s="4">
        <f t="shared" si="211"/>
        <v>8.9999999999999987E-4</v>
      </c>
    </row>
    <row r="947" spans="1:14">
      <c r="A947" t="str">
        <f t="shared" si="200"/>
        <v>alp_Varejo-Nacional-Fevereiro-2-2019</v>
      </c>
      <c r="B947" t="str">
        <f t="shared" si="201"/>
        <v>In Loco Media</v>
      </c>
      <c r="C947" t="str">
        <f t="shared" si="202"/>
        <v>alp_Varejo-Nacional-Fevereiro-2-2019_inloco_horizontal_hardsell_inloco_cpm_prospecting_1440x960_Varejo-Nacional-Fevereiro-2-lojasproprias_open</v>
      </c>
      <c r="D947" t="str">
        <f t="shared" si="203"/>
        <v>240235510</v>
      </c>
      <c r="E947" t="str">
        <f t="shared" si="204"/>
        <v>Dynamic Click</v>
      </c>
      <c r="F947" t="str">
        <f t="shared" si="205"/>
        <v>alp_Varejo-Nacional-Fevereiro-2-2019_inloco_horizontal_hardsell_inloco_cpm_prospecting_1440x960_Varejo-Nacional-Fevereiro-2-lojasproprias_open</v>
      </c>
      <c r="G947" t="str">
        <f t="shared" si="206"/>
        <v>437247992</v>
      </c>
      <c r="H947" t="str">
        <f t="shared" si="207"/>
        <v>Tracking</v>
      </c>
      <c r="I947">
        <f t="shared" si="208"/>
        <v>0</v>
      </c>
      <c r="J947">
        <f t="shared" si="209"/>
        <v>3</v>
      </c>
      <c r="K947" s="4">
        <f t="shared" si="212"/>
        <v>3.5000000000000001E-3</v>
      </c>
      <c r="L947">
        <f t="shared" si="213"/>
        <v>0.02</v>
      </c>
      <c r="M947" s="4">
        <f t="shared" si="210"/>
        <v>1.0500000000000001E-2</v>
      </c>
      <c r="N947" s="4">
        <f t="shared" si="211"/>
        <v>0.06</v>
      </c>
    </row>
    <row r="948" spans="1:14">
      <c r="A948" t="str">
        <f t="shared" si="200"/>
        <v>alp_Varejo-Nacional-Fevereiro-2-2019</v>
      </c>
      <c r="B948" t="str">
        <f t="shared" si="201"/>
        <v>In Loco Media</v>
      </c>
      <c r="C948" t="str">
        <f t="shared" si="202"/>
        <v>alp_Varejo-Nacional-Fevereiro-2-2019_inloco_horizontal_hardsell_inloco_cpm_prospecting_900x750_Varejo-Nacional-Fevereiro-2-concorrentes_open</v>
      </c>
      <c r="D948" t="str">
        <f t="shared" si="203"/>
        <v>240235543</v>
      </c>
      <c r="E948" t="str">
        <f t="shared" si="204"/>
        <v>Dynamic Click</v>
      </c>
      <c r="F948" t="str">
        <f t="shared" si="205"/>
        <v>alp_Varejo-Nacional-Fevereiro-2-2019_inloco_horizontal_hardsell_inloco_cpm_prospecting_900x750_Varejo-Nacional-Fevereiro-2-concorrentes_open</v>
      </c>
      <c r="G948" t="str">
        <f t="shared" si="206"/>
        <v>437248025</v>
      </c>
      <c r="H948" t="str">
        <f t="shared" si="207"/>
        <v>Tracking</v>
      </c>
      <c r="I948">
        <f t="shared" si="208"/>
        <v>23</v>
      </c>
      <c r="J948">
        <f t="shared" si="209"/>
        <v>84</v>
      </c>
      <c r="K948" s="4">
        <f t="shared" si="212"/>
        <v>3.5000000000000001E-3</v>
      </c>
      <c r="L948">
        <f t="shared" si="213"/>
        <v>0.02</v>
      </c>
      <c r="M948" s="4">
        <f t="shared" si="210"/>
        <v>0.29399999999999998</v>
      </c>
      <c r="N948" s="4">
        <f t="shared" si="211"/>
        <v>1.68</v>
      </c>
    </row>
    <row r="949" spans="1:14">
      <c r="A949" t="str">
        <f t="shared" si="200"/>
        <v>alp_Varejo-Nacional-Fevereiro-2-2019</v>
      </c>
      <c r="B949" t="str">
        <f t="shared" si="201"/>
        <v>In Loco Media</v>
      </c>
      <c r="C949" t="str">
        <f t="shared" si="202"/>
        <v>alp_Varejo-Nacional-Fevereiro-2-2019_inloco_horizontal_hardsell_inloco_cpm_prospecting_900x750_Varejo-Nacional-Fevereiro-2-lojasproprias_open</v>
      </c>
      <c r="D949" t="str">
        <f t="shared" si="203"/>
        <v>240235507</v>
      </c>
      <c r="E949" t="str">
        <f t="shared" si="204"/>
        <v>Dynamic Click</v>
      </c>
      <c r="F949" t="str">
        <f t="shared" si="205"/>
        <v>alp_Varejo-Nacional-Fevereiro-2-2019_inloco_horizontal_hardsell_inloco_cpm_prospecting_900x750_Varejo-Nacional-Fevereiro-2-lojasproprias_open</v>
      </c>
      <c r="G949" t="str">
        <f t="shared" si="206"/>
        <v>437247989</v>
      </c>
      <c r="H949" t="str">
        <f t="shared" si="207"/>
        <v>Tracking</v>
      </c>
      <c r="I949">
        <f t="shared" si="208"/>
        <v>20</v>
      </c>
      <c r="J949">
        <f t="shared" si="209"/>
        <v>96</v>
      </c>
      <c r="K949" s="4">
        <f t="shared" si="212"/>
        <v>3.5000000000000001E-3</v>
      </c>
      <c r="L949">
        <f t="shared" si="213"/>
        <v>0.02</v>
      </c>
      <c r="M949" s="4">
        <f t="shared" si="210"/>
        <v>0.33600000000000002</v>
      </c>
      <c r="N949" s="4">
        <f t="shared" si="211"/>
        <v>1.92</v>
      </c>
    </row>
    <row r="950" spans="1:14">
      <c r="A950" t="str">
        <f t="shared" si="200"/>
        <v>alp_Varejo-Nacional-Fevereiro-2-2019</v>
      </c>
      <c r="B950" t="str">
        <f t="shared" si="201"/>
        <v>In Loco Media</v>
      </c>
      <c r="C950" t="str">
        <f t="shared" si="202"/>
        <v>alp_Varejo-Nacional-Fevereiro-2-2019_inloco_horizontal_hardsell_inloco_cpm_prospecting_900x750_Varejo-Nacional-Fevereiro-2-neutro_open</v>
      </c>
      <c r="D950" t="str">
        <f t="shared" si="203"/>
        <v>240235525</v>
      </c>
      <c r="E950" t="str">
        <f t="shared" si="204"/>
        <v>Dynamic Click</v>
      </c>
      <c r="F950" t="str">
        <f t="shared" si="205"/>
        <v>alp_Varejo-Nacional-Fevereiro-2-2019_inloco_horizontal_hardsell_inloco_cpm_prospecting_900x750_Varejo-Nacional-Fevereiro-2-neutro_open</v>
      </c>
      <c r="G950" t="str">
        <f t="shared" si="206"/>
        <v>437248007</v>
      </c>
      <c r="H950" t="str">
        <f t="shared" si="207"/>
        <v>Tracking</v>
      </c>
      <c r="I950">
        <f t="shared" si="208"/>
        <v>16</v>
      </c>
      <c r="J950">
        <f t="shared" si="209"/>
        <v>30</v>
      </c>
      <c r="K950" s="4">
        <f t="shared" si="212"/>
        <v>3.5000000000000001E-3</v>
      </c>
      <c r="L950">
        <f t="shared" si="213"/>
        <v>0.02</v>
      </c>
      <c r="M950" s="4">
        <f t="shared" si="210"/>
        <v>0.105</v>
      </c>
      <c r="N950" s="4">
        <f t="shared" si="211"/>
        <v>0.6</v>
      </c>
    </row>
    <row r="951" spans="1:14">
      <c r="A951" t="str">
        <f t="shared" si="200"/>
        <v>alp_Varejo-Nacional-Fevereiro-2-2019</v>
      </c>
      <c r="B951" t="str">
        <f t="shared" si="201"/>
        <v>In Loco Media</v>
      </c>
      <c r="C951" t="str">
        <f t="shared" si="202"/>
        <v>alp_Varejo-Nacional-Fevereiro-2-2019_inloco_horizontal_hardsell_inloco_cpm_prospecting_960x1440_Varejo-Nacional-Fevereiro-2-concorrentes_open</v>
      </c>
      <c r="D951" t="str">
        <f t="shared" si="203"/>
        <v>240235552</v>
      </c>
      <c r="E951" t="str">
        <f t="shared" si="204"/>
        <v>Dynamic Click</v>
      </c>
      <c r="F951" t="str">
        <f t="shared" si="205"/>
        <v>alp_Varejo-Nacional-Fevereiro-2-2019_inloco_horizontal_hardsell_inloco_cpm_prospecting_960x1440_Varejo-Nacional-Fevereiro-2-concorrentes_open</v>
      </c>
      <c r="G951" t="str">
        <f t="shared" si="206"/>
        <v>437248034</v>
      </c>
      <c r="H951" t="str">
        <f t="shared" si="207"/>
        <v>Tracking</v>
      </c>
      <c r="I951">
        <f t="shared" si="208"/>
        <v>106</v>
      </c>
      <c r="J951">
        <f t="shared" si="209"/>
        <v>134</v>
      </c>
      <c r="K951" s="4">
        <f t="shared" si="212"/>
        <v>3.5000000000000001E-3</v>
      </c>
      <c r="L951">
        <f t="shared" si="213"/>
        <v>0.02</v>
      </c>
      <c r="M951" s="4">
        <f t="shared" si="210"/>
        <v>0.46900000000000003</v>
      </c>
      <c r="N951" s="4">
        <f t="shared" si="211"/>
        <v>2.68</v>
      </c>
    </row>
    <row r="952" spans="1:14">
      <c r="A952" t="str">
        <f t="shared" si="200"/>
        <v>alp_Varejo-Nacional-Fevereiro-2-2019</v>
      </c>
      <c r="B952" t="str">
        <f t="shared" si="201"/>
        <v>In Loco Media</v>
      </c>
      <c r="C952" t="str">
        <f t="shared" si="202"/>
        <v>alp_Varejo-Nacional-Fevereiro-2-2019_inloco_horizontal_hardsell_inloco_cpm_prospecting_960x1440_Varejo-Nacional-Fevereiro-2-lojasproprias_open</v>
      </c>
      <c r="D952" t="str">
        <f t="shared" si="203"/>
        <v>240235513</v>
      </c>
      <c r="E952" t="str">
        <f t="shared" si="204"/>
        <v>Dynamic Click</v>
      </c>
      <c r="F952" t="str">
        <f t="shared" si="205"/>
        <v>alp_Varejo-Nacional-Fevereiro-2-2019_inloco_horizontal_hardsell_inloco_cpm_prospecting_960x1440_Varejo-Nacional-Fevereiro-2-lojasproprias_open</v>
      </c>
      <c r="G952" t="str">
        <f t="shared" si="206"/>
        <v>437247995</v>
      </c>
      <c r="H952" t="str">
        <f t="shared" si="207"/>
        <v>Tracking</v>
      </c>
      <c r="I952">
        <f t="shared" si="208"/>
        <v>101</v>
      </c>
      <c r="J952">
        <f t="shared" si="209"/>
        <v>144</v>
      </c>
      <c r="K952" s="4">
        <f t="shared" si="212"/>
        <v>3.5000000000000001E-3</v>
      </c>
      <c r="L952">
        <f t="shared" si="213"/>
        <v>0.02</v>
      </c>
      <c r="M952" s="4">
        <f t="shared" si="210"/>
        <v>0.504</v>
      </c>
      <c r="N952" s="4">
        <f t="shared" si="211"/>
        <v>2.88</v>
      </c>
    </row>
    <row r="953" spans="1:14">
      <c r="A953" t="str">
        <f t="shared" si="200"/>
        <v>alp_Varejo-Nacional-Fevereiro-2-2019</v>
      </c>
      <c r="B953" t="str">
        <f t="shared" si="201"/>
        <v>In Loco Media</v>
      </c>
      <c r="C953" t="str">
        <f t="shared" si="202"/>
        <v>alp_Varejo-Nacional-Fevereiro-2-2019_inloco_horizontal_hardsell_inloco_cpm_prospecting_960x1440_Varejo-Nacional-Fevereiro-2-neutro_open</v>
      </c>
      <c r="D953" t="str">
        <f t="shared" si="203"/>
        <v>240235531</v>
      </c>
      <c r="E953" t="str">
        <f t="shared" si="204"/>
        <v>Standard</v>
      </c>
      <c r="F953" t="str">
        <f t="shared" si="205"/>
        <v>alp_Varejo-Nacional-Fevereiro-2-2019_inloco_horizontal_hardsell_inloco_cpm_prospecting_960x1440_Varejo-Nacional-Fevereiro-2-neutro_open</v>
      </c>
      <c r="G953" t="str">
        <f t="shared" si="206"/>
        <v>437248013</v>
      </c>
      <c r="H953" t="str">
        <f t="shared" si="207"/>
        <v>Tracking</v>
      </c>
      <c r="I953">
        <f t="shared" si="208"/>
        <v>32</v>
      </c>
      <c r="J953">
        <f t="shared" si="209"/>
        <v>11</v>
      </c>
      <c r="K953" s="4">
        <f t="shared" si="212"/>
        <v>0.04</v>
      </c>
      <c r="L953">
        <f t="shared" si="213"/>
        <v>0.09</v>
      </c>
      <c r="M953" s="4">
        <f t="shared" si="210"/>
        <v>1.2800000000000001E-3</v>
      </c>
      <c r="N953" s="4">
        <f t="shared" si="211"/>
        <v>2.8799999999999997E-3</v>
      </c>
    </row>
    <row r="954" spans="1:14">
      <c r="A954" t="str">
        <f t="shared" si="200"/>
        <v>alp_Varejo-Nacional-Fevereiro-2-2019</v>
      </c>
      <c r="B954" t="str">
        <f t="shared" si="201"/>
        <v>In Loco Media</v>
      </c>
      <c r="C954" t="str">
        <f t="shared" si="202"/>
        <v>alp_Varejo-Nacional-Fevereiro-2-2019_inloco_horizontal_hardsell_inloco_cpm_prospecting_960x150_Varejo-Nacional-Fevereiro-2-concorrentes_open</v>
      </c>
      <c r="D954" t="str">
        <f t="shared" si="203"/>
        <v>240235558</v>
      </c>
      <c r="E954" t="str">
        <f t="shared" si="204"/>
        <v>Dynamic Click</v>
      </c>
      <c r="F954" t="str">
        <f t="shared" si="205"/>
        <v>alp_Varejo-Nacional-Fevereiro-2-2019_inloco_horizontal_hardsell_inloco_cpm_prospecting_960x150_Varejo-Nacional-Fevereiro-2-concorrentes_open</v>
      </c>
      <c r="G954" t="str">
        <f t="shared" si="206"/>
        <v>437248040</v>
      </c>
      <c r="H954" t="str">
        <f t="shared" si="207"/>
        <v>Tracking</v>
      </c>
      <c r="I954">
        <f t="shared" si="208"/>
        <v>0</v>
      </c>
      <c r="J954">
        <f t="shared" si="209"/>
        <v>23</v>
      </c>
      <c r="K954" s="4">
        <f t="shared" si="212"/>
        <v>3.5000000000000001E-3</v>
      </c>
      <c r="L954">
        <f t="shared" si="213"/>
        <v>0.02</v>
      </c>
      <c r="M954" s="4">
        <f t="shared" si="210"/>
        <v>8.0500000000000002E-2</v>
      </c>
      <c r="N954" s="4">
        <f t="shared" si="211"/>
        <v>0.46</v>
      </c>
    </row>
    <row r="955" spans="1:14">
      <c r="A955" t="str">
        <f t="shared" si="200"/>
        <v>alp_Varejo-Nacional-Fevereiro-2-2019</v>
      </c>
      <c r="B955" t="str">
        <f t="shared" si="201"/>
        <v>In Loco Media</v>
      </c>
      <c r="C955" t="str">
        <f t="shared" si="202"/>
        <v>alp_Varejo-Nacional-Fevereiro-2-2019_inloco_horizontal_hardsell_inloco_cpm_prospecting_960x150_Varejo-Nacional-Fevereiro-2-lojasproprias_open</v>
      </c>
      <c r="D955" t="str">
        <f t="shared" si="203"/>
        <v>240235516</v>
      </c>
      <c r="E955" t="str">
        <f t="shared" si="204"/>
        <v>Dynamic Click</v>
      </c>
      <c r="F955" t="str">
        <f t="shared" si="205"/>
        <v>alp_Varejo-Nacional-Fevereiro-2-2019_inloco_horizontal_hardsell_inloco_cpm_prospecting_960x150_Varejo-Nacional-Fevereiro-2-lojasproprias_open</v>
      </c>
      <c r="G955" t="str">
        <f t="shared" si="206"/>
        <v>437247998</v>
      </c>
      <c r="H955" t="str">
        <f t="shared" si="207"/>
        <v>Tracking</v>
      </c>
      <c r="I955">
        <f t="shared" si="208"/>
        <v>5</v>
      </c>
      <c r="J955">
        <f t="shared" si="209"/>
        <v>35</v>
      </c>
      <c r="K955" s="4">
        <f t="shared" si="212"/>
        <v>3.5000000000000001E-3</v>
      </c>
      <c r="L955">
        <f t="shared" si="213"/>
        <v>0.02</v>
      </c>
      <c r="M955" s="4">
        <f t="shared" si="210"/>
        <v>0.1225</v>
      </c>
      <c r="N955" s="4">
        <f t="shared" si="211"/>
        <v>0.70000000000000007</v>
      </c>
    </row>
    <row r="956" spans="1:14">
      <c r="A956" t="str">
        <f t="shared" si="200"/>
        <v>alp_Varejo-Nacional-Fevereiro-2-2019</v>
      </c>
      <c r="B956" t="str">
        <f t="shared" si="201"/>
        <v>In Loco Media</v>
      </c>
      <c r="C956" t="str">
        <f t="shared" si="202"/>
        <v>alp_Varejo-Nacional-Fevereiro-2-2019_inloco_horizontal_hardsell_inloco_cpm_prospecting_960x150_Varejo-Nacional-Fevereiro-2-neutro_open</v>
      </c>
      <c r="D956" t="str">
        <f t="shared" si="203"/>
        <v>240235534</v>
      </c>
      <c r="E956" t="str">
        <f t="shared" si="204"/>
        <v>Dynamic Click</v>
      </c>
      <c r="F956" t="str">
        <f t="shared" si="205"/>
        <v>alp_Varejo-Nacional-Fevereiro-2-2019_inloco_horizontal_hardsell_inloco_cpm_prospecting_960x150_Varejo-Nacional-Fevereiro-2-neutro_open</v>
      </c>
      <c r="G956" t="str">
        <f t="shared" si="206"/>
        <v>437248016</v>
      </c>
      <c r="H956" t="str">
        <f t="shared" si="207"/>
        <v>Tracking</v>
      </c>
      <c r="I956">
        <f t="shared" si="208"/>
        <v>0</v>
      </c>
      <c r="J956">
        <f t="shared" si="209"/>
        <v>6</v>
      </c>
      <c r="K956" s="4">
        <f t="shared" si="212"/>
        <v>3.5000000000000001E-3</v>
      </c>
      <c r="L956">
        <f t="shared" si="213"/>
        <v>0.02</v>
      </c>
      <c r="M956" s="4">
        <f t="shared" si="210"/>
        <v>2.1000000000000001E-2</v>
      </c>
      <c r="N956" s="4">
        <f t="shared" si="211"/>
        <v>0.12</v>
      </c>
    </row>
    <row r="957" spans="1:14">
      <c r="A957" t="str">
        <f t="shared" si="200"/>
        <v>alp_Varejo-Nacional-Fevereiro-2-2019</v>
      </c>
      <c r="B957" t="str">
        <f t="shared" si="201"/>
        <v>br.yahoo.com</v>
      </c>
      <c r="C957" t="str">
        <f t="shared" si="202"/>
        <v>alp_Varejo-Nacional-Fevereiro-2-2019_yahoo_horizontal_hardsell_yahoo_cpm_prospecting_1440x1024_Varejo-Nacional-Fevereiro-2_open</v>
      </c>
      <c r="D957" t="str">
        <f t="shared" si="203"/>
        <v>240120472</v>
      </c>
      <c r="E957" t="str">
        <f t="shared" si="204"/>
        <v>Standard</v>
      </c>
      <c r="F957" t="str">
        <f t="shared" si="205"/>
        <v>alp_Varejo-Nacional-Fevereiro-2-2019_yahoo_horizontal_hardsell_yahoo_cpm_prospecting_1440x1024_Varejo-Nacional-Fevereiro-2_open</v>
      </c>
      <c r="G957" t="str">
        <f t="shared" si="206"/>
        <v>437133512</v>
      </c>
      <c r="H957" t="str">
        <f t="shared" si="207"/>
        <v>Tracking</v>
      </c>
      <c r="I957">
        <f t="shared" si="208"/>
        <v>4991</v>
      </c>
      <c r="J957">
        <f t="shared" si="209"/>
        <v>0</v>
      </c>
      <c r="K957" s="4">
        <f t="shared" si="212"/>
        <v>0.04</v>
      </c>
      <c r="L957">
        <f t="shared" si="213"/>
        <v>0.09</v>
      </c>
      <c r="M957" s="4">
        <f t="shared" si="210"/>
        <v>0.19964000000000001</v>
      </c>
      <c r="N957" s="4">
        <f t="shared" si="211"/>
        <v>0.44918999999999998</v>
      </c>
    </row>
    <row r="958" spans="1:14">
      <c r="A958" t="str">
        <f t="shared" si="200"/>
        <v>alp_Varejo-Nacional-Fevereiro-2-2019</v>
      </c>
      <c r="B958" t="str">
        <f t="shared" si="201"/>
        <v>instagram.com</v>
      </c>
      <c r="C958" t="str">
        <f t="shared" si="202"/>
        <v>alp_Varejo-Nacional-Fevereiro-2-2019_instagram_Social_hardsell_instagram_cpm_prospecting_pagepost_Varejo-Nacional-Fevereiro-2_open</v>
      </c>
      <c r="D958" t="str">
        <f t="shared" si="203"/>
        <v>240359031</v>
      </c>
      <c r="E958" t="str">
        <f t="shared" si="204"/>
        <v>Dynamic Click</v>
      </c>
      <c r="F958" t="str">
        <f t="shared" si="205"/>
        <v>alp_Varejo-Nacional-Fevereiro-2-2019_instagram_Social_hardsell_instagram_cpm_prospecting_pagepost_Varejo-Nacional-Fevereiro-2_open</v>
      </c>
      <c r="G958" t="str">
        <f t="shared" si="206"/>
        <v>437143265</v>
      </c>
      <c r="H958" t="str">
        <f t="shared" si="207"/>
        <v>Tracking</v>
      </c>
      <c r="I958">
        <f t="shared" si="208"/>
        <v>0</v>
      </c>
      <c r="J958">
        <f t="shared" si="209"/>
        <v>9</v>
      </c>
      <c r="K958" s="4">
        <f t="shared" si="212"/>
        <v>3.5000000000000001E-3</v>
      </c>
      <c r="L958">
        <f t="shared" si="213"/>
        <v>0.02</v>
      </c>
      <c r="M958" s="4">
        <f t="shared" si="210"/>
        <v>3.15E-2</v>
      </c>
      <c r="N958" s="4">
        <f t="shared" si="211"/>
        <v>0.18</v>
      </c>
    </row>
    <row r="959" spans="1:14">
      <c r="A959" t="str">
        <f t="shared" si="200"/>
        <v>alp_Varejo-Nacional-Fevereiro-2-2019</v>
      </c>
      <c r="B959" t="str">
        <f t="shared" si="201"/>
        <v>instagram.com</v>
      </c>
      <c r="C959" t="str">
        <f t="shared" si="202"/>
        <v>alp_Varejo-Nacional-Fevereiro-2-2019_instagram_Social_hardsell_instagram_cpm_prospecting_stories_Varejo-Nacional-Fevereiro-2_open</v>
      </c>
      <c r="D959" t="str">
        <f t="shared" si="203"/>
        <v>240359046</v>
      </c>
      <c r="E959" t="str">
        <f t="shared" si="204"/>
        <v>Dynamic Click</v>
      </c>
      <c r="F959" t="str">
        <f t="shared" si="205"/>
        <v>alp_Varejo-Nacional-Fevereiro-2-2019_instagram_Social_hardsell_instagram_cpm_prospecting_stories_Varejo-Nacional-Fevereiro-2_open</v>
      </c>
      <c r="G959" t="str">
        <f t="shared" si="206"/>
        <v>437143280</v>
      </c>
      <c r="H959" t="str">
        <f t="shared" si="207"/>
        <v>Tracking</v>
      </c>
      <c r="I959">
        <f t="shared" si="208"/>
        <v>0</v>
      </c>
      <c r="J959">
        <f t="shared" si="209"/>
        <v>2</v>
      </c>
      <c r="K959" s="4">
        <f t="shared" si="212"/>
        <v>3.5000000000000001E-3</v>
      </c>
      <c r="L959">
        <f t="shared" si="213"/>
        <v>0.02</v>
      </c>
      <c r="M959" s="4">
        <f t="shared" si="210"/>
        <v>7.0000000000000001E-3</v>
      </c>
      <c r="N959" s="4">
        <f t="shared" si="211"/>
        <v>0.04</v>
      </c>
    </row>
    <row r="960" spans="1:14">
      <c r="A960" t="str">
        <f t="shared" si="200"/>
        <v>alp_Varejo-Nacional-Fevereiro-2-2019</v>
      </c>
      <c r="B960" t="str">
        <f t="shared" si="201"/>
        <v>teads.tv</v>
      </c>
      <c r="C960" t="str">
        <f t="shared" si="202"/>
        <v>alp_Varejo-Nacional-Fevereiro-2-2019_teads_horizontal_hardsell_teads_visitas_prospecting_carrossel-landscape-_Varejo-Nacional-Carousel-1_open</v>
      </c>
      <c r="D960" t="str">
        <f t="shared" si="203"/>
        <v>240515434</v>
      </c>
      <c r="E960" t="str">
        <f t="shared" si="204"/>
        <v>Standard</v>
      </c>
      <c r="F960" t="str">
        <f t="shared" si="205"/>
        <v>alp_Varejo-Nacional-Fevereiro-2-2019_teads_horizontal_hardsell_teads_visitas_prospecting_carrossel-landscape-_Varejo-Nacional-Carousel-1_open</v>
      </c>
      <c r="G960" t="str">
        <f t="shared" si="206"/>
        <v>437438265</v>
      </c>
      <c r="H960" t="str">
        <f t="shared" si="207"/>
        <v>Tracking</v>
      </c>
      <c r="I960">
        <f t="shared" si="208"/>
        <v>19</v>
      </c>
      <c r="J960">
        <f t="shared" si="209"/>
        <v>2</v>
      </c>
      <c r="K960" s="4">
        <f t="shared" si="212"/>
        <v>0.04</v>
      </c>
      <c r="L960">
        <f t="shared" si="213"/>
        <v>0.09</v>
      </c>
      <c r="M960" s="4">
        <f t="shared" si="210"/>
        <v>7.6000000000000004E-4</v>
      </c>
      <c r="N960" s="4">
        <f t="shared" si="211"/>
        <v>1.7099999999999999E-3</v>
      </c>
    </row>
    <row r="961" spans="1:14">
      <c r="A961" t="str">
        <f t="shared" si="200"/>
        <v>alp_Varejo-Nacional-Fevereiro-2-2019</v>
      </c>
      <c r="B961" t="str">
        <f t="shared" si="201"/>
        <v>teads.tv</v>
      </c>
      <c r="C961" t="str">
        <f t="shared" si="202"/>
        <v>alp_Varejo-Nacional-Fevereiro-2-2019_teads_horizontal_hardsell_teads_visitas_prospecting_carrossel-landscape-_Varejo-Nacional-Carousel-2_open</v>
      </c>
      <c r="D961" t="str">
        <f t="shared" si="203"/>
        <v>240515428</v>
      </c>
      <c r="E961" t="str">
        <f t="shared" si="204"/>
        <v>Standard</v>
      </c>
      <c r="F961" t="str">
        <f t="shared" si="205"/>
        <v>alp_Varejo-Nacional-Fevereiro-2-2019_teads_horizontal_hardsell_teads_visitas_prospecting_carrossel-landscape-_Varejo-Nacional-Carousel-2_open</v>
      </c>
      <c r="G961" t="str">
        <f t="shared" si="206"/>
        <v>437438259</v>
      </c>
      <c r="H961" t="str">
        <f t="shared" si="207"/>
        <v>Tracking</v>
      </c>
      <c r="I961">
        <f t="shared" si="208"/>
        <v>6</v>
      </c>
      <c r="J961">
        <f t="shared" si="209"/>
        <v>1</v>
      </c>
      <c r="K961" s="4">
        <f t="shared" si="212"/>
        <v>0.04</v>
      </c>
      <c r="L961">
        <f t="shared" si="213"/>
        <v>0.09</v>
      </c>
      <c r="M961" s="4">
        <f t="shared" si="210"/>
        <v>2.3999999999999998E-4</v>
      </c>
      <c r="N961" s="4">
        <f t="shared" si="211"/>
        <v>5.4000000000000001E-4</v>
      </c>
    </row>
    <row r="962" spans="1:14">
      <c r="A962" t="str">
        <f t="shared" ref="A962:A1025" si="214">bd_campaign</f>
        <v>alp_Varejo-Nacional-Fevereiro-2-2019</v>
      </c>
      <c r="B962" t="str">
        <f t="shared" ref="B962:B1025" si="215">bd_site</f>
        <v>teads.tv</v>
      </c>
      <c r="C962" t="str">
        <f t="shared" ref="C962:C1025" si="216">bd_placement</f>
        <v>alp_Varejo-Nacional-Fevereiro-2-2019_teads_horizontal_hardsell_teads_visitas_prospecting_carrossel-landscape-_Varejo-Nacional-Carousel-3_open</v>
      </c>
      <c r="D962" t="str">
        <f t="shared" ref="D962:D1025" si="217">bd_placementID</f>
        <v>240515422</v>
      </c>
      <c r="E962" t="str">
        <f t="shared" ref="E962:E1025" si="218">VLOOKUP(CONCATENATE(bd_adtype,"_",bd_creativetype),tabela,2,FALSE)</f>
        <v>Standard</v>
      </c>
      <c r="F962" t="str">
        <f t="shared" ref="F962:F1025" si="219">bd_ad</f>
        <v>alp_Varejo-Nacional-Fevereiro-2-2019_teads_horizontal_hardsell_teads_visitas_prospecting_carrossel-landscape-_Varejo-Nacional-Carousel-3_open</v>
      </c>
      <c r="G962" t="str">
        <f t="shared" ref="G962:G1025" si="220">bd_adid</f>
        <v>437438253</v>
      </c>
      <c r="H962" t="str">
        <f t="shared" ref="H962:H1025" si="221">bd_creativetype</f>
        <v>Tracking</v>
      </c>
      <c r="I962">
        <f t="shared" ref="I962:I1025" si="222">bd_impression</f>
        <v>59</v>
      </c>
      <c r="J962">
        <f t="shared" ref="J962:J1025" si="223">bd_clicks</f>
        <v>4</v>
      </c>
      <c r="K962" s="4">
        <f t="shared" si="212"/>
        <v>0.04</v>
      </c>
      <c r="L962">
        <f t="shared" si="213"/>
        <v>0.09</v>
      </c>
      <c r="M962" s="4">
        <f t="shared" si="210"/>
        <v>2.3599999999999997E-3</v>
      </c>
      <c r="N962" s="4">
        <f t="shared" si="211"/>
        <v>5.3099999999999996E-3</v>
      </c>
    </row>
    <row r="963" spans="1:14">
      <c r="A963" t="str">
        <f t="shared" si="214"/>
        <v>alp_Varejo-Nacional-Fevereiro-2-2019</v>
      </c>
      <c r="B963" t="str">
        <f t="shared" si="215"/>
        <v>teads.tv</v>
      </c>
      <c r="C963" t="str">
        <f t="shared" si="216"/>
        <v>alp_Varejo-Nacional-Fevereiro-2-2019_teads_horizontal_hardsell_teads_visitas_prospecting_scroller-landscape-_Varejo-Nacional-Scroller-1_open</v>
      </c>
      <c r="D963" t="str">
        <f t="shared" si="217"/>
        <v>240515437</v>
      </c>
      <c r="E963" t="str">
        <f t="shared" si="218"/>
        <v>Standard</v>
      </c>
      <c r="F963" t="str">
        <f t="shared" si="219"/>
        <v>alp_Varejo-Nacional-Fevereiro-2-2019_teads_horizontal_hardsell_teads_visitas_prospecting_scroller-landscape-_Varejo-Nacional-Scroller-1_open</v>
      </c>
      <c r="G963" t="str">
        <f t="shared" si="220"/>
        <v>437438268</v>
      </c>
      <c r="H963" t="str">
        <f t="shared" si="221"/>
        <v>Tracking</v>
      </c>
      <c r="I963">
        <f t="shared" si="222"/>
        <v>11</v>
      </c>
      <c r="J963">
        <f t="shared" si="223"/>
        <v>2</v>
      </c>
      <c r="K963" s="4">
        <f t="shared" si="212"/>
        <v>0.04</v>
      </c>
      <c r="L963">
        <f t="shared" si="213"/>
        <v>0.09</v>
      </c>
      <c r="M963" s="4">
        <f t="shared" si="210"/>
        <v>4.4000000000000002E-4</v>
      </c>
      <c r="N963" s="4">
        <f t="shared" si="211"/>
        <v>9.8999999999999999E-4</v>
      </c>
    </row>
    <row r="964" spans="1:14">
      <c r="A964" t="str">
        <f t="shared" si="214"/>
        <v>alp_Varejo-Nacional-Fevereiro-2-2019</v>
      </c>
      <c r="B964" t="str">
        <f t="shared" si="215"/>
        <v>teads.tv</v>
      </c>
      <c r="C964" t="str">
        <f t="shared" si="216"/>
        <v>alp_Varejo-Nacional-Fevereiro-2-2019_teads_horizontal_hardsell_teads_visitas_prospecting_scroller-landscape-_Varejo-Nacional-Scroller-2_open</v>
      </c>
      <c r="D964" t="str">
        <f t="shared" si="217"/>
        <v>240515431</v>
      </c>
      <c r="E964" t="str">
        <f t="shared" si="218"/>
        <v>Dynamic Click</v>
      </c>
      <c r="F964" t="str">
        <f t="shared" si="219"/>
        <v>alp_Varejo-Nacional-Fevereiro-2-2019_teads_horizontal_hardsell_teads_visitas_prospecting_scroller-landscape-_Varejo-Nacional-Scroller-2_open</v>
      </c>
      <c r="G964" t="str">
        <f t="shared" si="220"/>
        <v>437438262</v>
      </c>
      <c r="H964" t="str">
        <f t="shared" si="221"/>
        <v>Tracking</v>
      </c>
      <c r="I964">
        <f t="shared" si="222"/>
        <v>8</v>
      </c>
      <c r="J964">
        <f t="shared" si="223"/>
        <v>13</v>
      </c>
      <c r="K964" s="4">
        <f t="shared" si="212"/>
        <v>3.5000000000000001E-3</v>
      </c>
      <c r="L964">
        <f t="shared" si="213"/>
        <v>0.02</v>
      </c>
      <c r="M964" s="4">
        <f t="shared" si="210"/>
        <v>4.5499999999999999E-2</v>
      </c>
      <c r="N964" s="4">
        <f t="shared" si="211"/>
        <v>0.26</v>
      </c>
    </row>
    <row r="965" spans="1:14">
      <c r="A965" t="str">
        <f t="shared" si="214"/>
        <v>alp_Varejo-Nacional-Fevereiro-2-2019</v>
      </c>
      <c r="B965" t="str">
        <f t="shared" si="215"/>
        <v>teads.tv</v>
      </c>
      <c r="C965" t="str">
        <f t="shared" si="216"/>
        <v>alp_Varejo-Nacional-Fevereiro-2-2019_teads_horizontal_hardsell_teads_visitas_prospecting_scroller-landscape-_Varejo-Nacional-Scroller-3_open</v>
      </c>
      <c r="D965" t="str">
        <f t="shared" si="217"/>
        <v>240515425</v>
      </c>
      <c r="E965" t="str">
        <f t="shared" si="218"/>
        <v>Standard</v>
      </c>
      <c r="F965" t="str">
        <f t="shared" si="219"/>
        <v>alp_Varejo-Nacional-Fevereiro-2-2019_teads_horizontal_hardsell_teads_visitas_prospecting_scroller-landscape-_Varejo-Nacional-Scroller-3_open</v>
      </c>
      <c r="G965" t="str">
        <f t="shared" si="220"/>
        <v>437438256</v>
      </c>
      <c r="H965" t="str">
        <f t="shared" si="221"/>
        <v>Tracking</v>
      </c>
      <c r="I965">
        <f t="shared" si="222"/>
        <v>55</v>
      </c>
      <c r="J965">
        <f t="shared" si="223"/>
        <v>4</v>
      </c>
      <c r="K965" s="4">
        <f t="shared" si="212"/>
        <v>0.04</v>
      </c>
      <c r="L965">
        <f t="shared" si="213"/>
        <v>0.09</v>
      </c>
      <c r="M965" s="4">
        <f t="shared" si="210"/>
        <v>2.2000000000000001E-3</v>
      </c>
      <c r="N965" s="4">
        <f t="shared" si="211"/>
        <v>4.9500000000000004E-3</v>
      </c>
    </row>
    <row r="966" spans="1:14">
      <c r="A966" t="str">
        <f t="shared" si="214"/>
        <v>alp_Varejo-Nacional-Fevereiro-2019</v>
      </c>
      <c r="B966" t="str">
        <f t="shared" si="215"/>
        <v>BR OLX</v>
      </c>
      <c r="C966" t="str">
        <f t="shared" si="216"/>
        <v>alp_Varejo-Nacional-Fevereiro-2019_olx_horizontal_hardsell_olx_cpm_prospecting_1080x1080_Varejo-Nacional-Fevereiro-lojasproprias-anonovo_open</v>
      </c>
      <c r="D966" t="str">
        <f t="shared" si="217"/>
        <v>240225960</v>
      </c>
      <c r="E966" t="str">
        <f t="shared" si="218"/>
        <v>Dynamic Click</v>
      </c>
      <c r="F966" t="str">
        <f t="shared" si="219"/>
        <v>alp_Varejo-Nacional-Fevereiro-2019_olx_horizontal_hardsell_olx_cpm_prospecting_1080x1080_Varejo-Nacional-Fevereiro-lojasproprias-anonovo_open</v>
      </c>
      <c r="G966" t="str">
        <f t="shared" si="220"/>
        <v>437038394</v>
      </c>
      <c r="H966" t="str">
        <f t="shared" si="221"/>
        <v>Tracking</v>
      </c>
      <c r="I966">
        <f t="shared" si="222"/>
        <v>0</v>
      </c>
      <c r="J966">
        <f t="shared" si="223"/>
        <v>5</v>
      </c>
      <c r="K966" s="4">
        <f t="shared" si="212"/>
        <v>3.5000000000000001E-3</v>
      </c>
      <c r="L966">
        <f t="shared" si="213"/>
        <v>0.02</v>
      </c>
      <c r="M966" s="4">
        <f t="shared" si="210"/>
        <v>1.7500000000000002E-2</v>
      </c>
      <c r="N966" s="4">
        <f t="shared" si="211"/>
        <v>0.1</v>
      </c>
    </row>
    <row r="967" spans="1:14">
      <c r="A967" t="str">
        <f t="shared" si="214"/>
        <v>alp_Varejo-Nacional-Fevereiro-2019</v>
      </c>
      <c r="B967" t="str">
        <f t="shared" si="215"/>
        <v>In Loco Media</v>
      </c>
      <c r="C967" t="str">
        <f t="shared" si="216"/>
        <v>alp_Varejo-Nacional-Fevereiro-2019_inloco_horizontal_hardsell_inloco_cpm_prospecting_900x750_Varejo-Nacional-Fevereiro-concorrentes-anonovo_open</v>
      </c>
      <c r="D967" t="str">
        <f t="shared" si="217"/>
        <v>240226005</v>
      </c>
      <c r="E967" t="str">
        <f t="shared" si="218"/>
        <v>Standard</v>
      </c>
      <c r="F967" t="str">
        <f t="shared" si="219"/>
        <v>alp_Varejo-Nacional-Fevereiro-2019_inloco_horizontal_hardsell_inloco_cpm_prospecting_900x750_Varejo-Nacional-Fevereiro-concorrentes-anonovo_open</v>
      </c>
      <c r="G967" t="str">
        <f t="shared" si="220"/>
        <v>437038439</v>
      </c>
      <c r="H967" t="str">
        <f t="shared" si="221"/>
        <v>Tracking</v>
      </c>
      <c r="I967">
        <f t="shared" si="222"/>
        <v>5</v>
      </c>
      <c r="J967">
        <f t="shared" si="223"/>
        <v>3</v>
      </c>
      <c r="K967" s="4">
        <f t="shared" si="212"/>
        <v>0.04</v>
      </c>
      <c r="L967">
        <f t="shared" si="213"/>
        <v>0.09</v>
      </c>
      <c r="M967" s="4">
        <f t="shared" si="210"/>
        <v>2.0000000000000001E-4</v>
      </c>
      <c r="N967" s="4">
        <f t="shared" si="211"/>
        <v>4.4999999999999993E-4</v>
      </c>
    </row>
    <row r="968" spans="1:14">
      <c r="A968" t="str">
        <f t="shared" si="214"/>
        <v>alp_Varejo-Nacional-Fevereiro-2019</v>
      </c>
      <c r="B968" t="str">
        <f t="shared" si="215"/>
        <v>In Loco Media</v>
      </c>
      <c r="C968" t="str">
        <f t="shared" si="216"/>
        <v>alp_Varejo-Nacional-Fevereiro-2019_inloco_horizontal_hardsell_inloco_cpm_prospecting_900x750_Varejo-Nacional-Fevereiro-lojasproprias-anonovo_open</v>
      </c>
      <c r="D968" t="str">
        <f t="shared" si="217"/>
        <v>240225969</v>
      </c>
      <c r="E968" t="str">
        <f t="shared" si="218"/>
        <v>Standard</v>
      </c>
      <c r="F968" t="str">
        <f t="shared" si="219"/>
        <v>alp_Varejo-Nacional-Fevereiro-2019_inloco_horizontal_hardsell_inloco_cpm_prospecting_900x750_Varejo-Nacional-Fevereiro-lojasproprias-anonovo_open</v>
      </c>
      <c r="G968" t="str">
        <f t="shared" si="220"/>
        <v>437038403</v>
      </c>
      <c r="H968" t="str">
        <f t="shared" si="221"/>
        <v>Tracking</v>
      </c>
      <c r="I968">
        <f t="shared" si="222"/>
        <v>10</v>
      </c>
      <c r="J968">
        <f t="shared" si="223"/>
        <v>0</v>
      </c>
      <c r="K968" s="4">
        <f t="shared" si="212"/>
        <v>0.04</v>
      </c>
      <c r="L968">
        <f t="shared" si="213"/>
        <v>0.09</v>
      </c>
      <c r="M968" s="4">
        <f t="shared" si="210"/>
        <v>4.0000000000000002E-4</v>
      </c>
      <c r="N968" s="4">
        <f t="shared" si="211"/>
        <v>8.9999999999999987E-4</v>
      </c>
    </row>
    <row r="969" spans="1:14">
      <c r="A969" t="str">
        <f t="shared" si="214"/>
        <v>alp_Varejo-Nacional-Fevereiro-2019</v>
      </c>
      <c r="B969" t="str">
        <f t="shared" si="215"/>
        <v>In Loco Media</v>
      </c>
      <c r="C969" t="str">
        <f t="shared" si="216"/>
        <v>alp_Varejo-Nacional-Fevereiro-2019_inloco_horizontal_hardsell_inloco_cpm_prospecting_900x750_Varejo-Nacional-Fevereiro-neutro-anonovo_open</v>
      </c>
      <c r="D969" t="str">
        <f t="shared" si="217"/>
        <v>240225987</v>
      </c>
      <c r="E969" t="str">
        <f t="shared" si="218"/>
        <v>Standard</v>
      </c>
      <c r="F969" t="str">
        <f t="shared" si="219"/>
        <v>alp_Varejo-Nacional-Fevereiro-2019_inloco_horizontal_hardsell_inloco_cpm_prospecting_900x750_Varejo-Nacional-Fevereiro-neutro-anonovo_open</v>
      </c>
      <c r="G969" t="str">
        <f t="shared" si="220"/>
        <v>437038421</v>
      </c>
      <c r="H969" t="str">
        <f t="shared" si="221"/>
        <v>Tracking</v>
      </c>
      <c r="I969">
        <f t="shared" si="222"/>
        <v>22</v>
      </c>
      <c r="J969">
        <f t="shared" si="223"/>
        <v>0</v>
      </c>
      <c r="K969" s="4">
        <f t="shared" si="212"/>
        <v>0.04</v>
      </c>
      <c r="L969">
        <f t="shared" si="213"/>
        <v>0.09</v>
      </c>
      <c r="M969" s="4">
        <f t="shared" si="210"/>
        <v>8.8000000000000003E-4</v>
      </c>
      <c r="N969" s="4">
        <f t="shared" si="211"/>
        <v>1.98E-3</v>
      </c>
    </row>
    <row r="970" spans="1:14">
      <c r="A970" t="str">
        <f t="shared" si="214"/>
        <v>alp_Varejo-Nacional-Fevereiro-2019</v>
      </c>
      <c r="B970" t="str">
        <f t="shared" si="215"/>
        <v>In Loco Media</v>
      </c>
      <c r="C970" t="str">
        <f t="shared" si="216"/>
        <v>alp_Varejo-Nacional-Fevereiro-2019_inloco_horizontal_hardsell_inloco_cpm_prospecting_960x1440_Varejo-Nacional-Fevereiro-concorrentes-anonovo_open</v>
      </c>
      <c r="D970" t="str">
        <f t="shared" si="217"/>
        <v>240226011</v>
      </c>
      <c r="E970" t="str">
        <f t="shared" si="218"/>
        <v>Standard</v>
      </c>
      <c r="F970" t="str">
        <f t="shared" si="219"/>
        <v>alp_Varejo-Nacional-Fevereiro-2019_inloco_horizontal_hardsell_inloco_cpm_prospecting_960x1440_Varejo-Nacional-Fevereiro-concorrentes-anonovo_open</v>
      </c>
      <c r="G970" t="str">
        <f t="shared" si="220"/>
        <v>437038445</v>
      </c>
      <c r="H970" t="str">
        <f t="shared" si="221"/>
        <v>Tracking</v>
      </c>
      <c r="I970">
        <f t="shared" si="222"/>
        <v>3</v>
      </c>
      <c r="J970">
        <f t="shared" si="223"/>
        <v>0</v>
      </c>
      <c r="K970" s="4">
        <f t="shared" si="212"/>
        <v>0.04</v>
      </c>
      <c r="L970">
        <f t="shared" si="213"/>
        <v>0.09</v>
      </c>
      <c r="M970" s="4">
        <f t="shared" si="210"/>
        <v>1.1999999999999999E-4</v>
      </c>
      <c r="N970" s="4">
        <f t="shared" si="211"/>
        <v>2.7E-4</v>
      </c>
    </row>
    <row r="971" spans="1:14">
      <c r="A971" t="str">
        <f t="shared" si="214"/>
        <v>alp_Varejo-Nacional-Fevereiro-2019</v>
      </c>
      <c r="B971" t="str">
        <f t="shared" si="215"/>
        <v>In Loco Media</v>
      </c>
      <c r="C971" t="str">
        <f t="shared" si="216"/>
        <v>alp_Varejo-Nacional-Fevereiro-2019_inloco_horizontal_hardsell_inloco_cpm_prospecting_960x1440_Varejo-Nacional-Fevereiro-lojasproprias-anonovo_open</v>
      </c>
      <c r="D971" t="str">
        <f t="shared" si="217"/>
        <v>240225975</v>
      </c>
      <c r="E971" t="str">
        <f t="shared" si="218"/>
        <v>Standard</v>
      </c>
      <c r="F971" t="str">
        <f t="shared" si="219"/>
        <v>alp_Varejo-Nacional-Fevereiro-2019_inloco_horizontal_hardsell_inloco_cpm_prospecting_960x1440_Varejo-Nacional-Fevereiro-lojasproprias-anonovo_open</v>
      </c>
      <c r="G971" t="str">
        <f t="shared" si="220"/>
        <v>437038409</v>
      </c>
      <c r="H971" t="str">
        <f t="shared" si="221"/>
        <v>Tracking</v>
      </c>
      <c r="I971">
        <f t="shared" si="222"/>
        <v>6</v>
      </c>
      <c r="J971">
        <f t="shared" si="223"/>
        <v>0</v>
      </c>
      <c r="K971" s="4">
        <f t="shared" si="212"/>
        <v>0.04</v>
      </c>
      <c r="L971">
        <f t="shared" si="213"/>
        <v>0.09</v>
      </c>
      <c r="M971" s="4">
        <f t="shared" si="210"/>
        <v>2.3999999999999998E-4</v>
      </c>
      <c r="N971" s="4">
        <f t="shared" si="211"/>
        <v>5.4000000000000001E-4</v>
      </c>
    </row>
    <row r="972" spans="1:14">
      <c r="A972" t="str">
        <f t="shared" si="214"/>
        <v>alp_Varejo-Nacional-Fevereiro-2019</v>
      </c>
      <c r="B972" t="str">
        <f t="shared" si="215"/>
        <v>In Loco Media</v>
      </c>
      <c r="C972" t="str">
        <f t="shared" si="216"/>
        <v>alp_Varejo-Nacional-Fevereiro-2019_inloco_horizontal_hardsell_inloco_cpm_prospecting_960x1440_Varejo-Nacional-Fevereiro-neutro-anonovo_open</v>
      </c>
      <c r="D972" t="str">
        <f t="shared" si="217"/>
        <v>240225993</v>
      </c>
      <c r="E972" t="str">
        <f t="shared" si="218"/>
        <v>Standard</v>
      </c>
      <c r="F972" t="str">
        <f t="shared" si="219"/>
        <v>alp_Varejo-Nacional-Fevereiro-2019_inloco_horizontal_hardsell_inloco_cpm_prospecting_960x1440_Varejo-Nacional-Fevereiro-neutro-anonovo_open</v>
      </c>
      <c r="G972" t="str">
        <f t="shared" si="220"/>
        <v>437038427</v>
      </c>
      <c r="H972" t="str">
        <f t="shared" si="221"/>
        <v>Tracking</v>
      </c>
      <c r="I972">
        <f t="shared" si="222"/>
        <v>6</v>
      </c>
      <c r="J972">
        <f t="shared" si="223"/>
        <v>0</v>
      </c>
      <c r="K972" s="4">
        <f t="shared" si="212"/>
        <v>0.04</v>
      </c>
      <c r="L972">
        <f t="shared" si="213"/>
        <v>0.09</v>
      </c>
      <c r="M972" s="4">
        <f t="shared" si="210"/>
        <v>2.3999999999999998E-4</v>
      </c>
      <c r="N972" s="4">
        <f t="shared" si="211"/>
        <v>5.4000000000000001E-4</v>
      </c>
    </row>
    <row r="973" spans="1:14">
      <c r="A973" t="str">
        <f t="shared" si="214"/>
        <v>alp_Varejo-Nacional-janeiro-2019</v>
      </c>
      <c r="B973" t="str">
        <f t="shared" si="215"/>
        <v>Facebook</v>
      </c>
      <c r="C973" t="str">
        <f t="shared" si="216"/>
        <v>alp_Varejo-Nacional-janeiro-2019_facebook_Social_hardsell_facebook_cpm_prospecting_pagepost_Varejo-Nacional-janeiro_open</v>
      </c>
      <c r="D973" t="str">
        <f t="shared" si="217"/>
        <v>238229697</v>
      </c>
      <c r="E973" t="str">
        <f t="shared" si="218"/>
        <v>Dynamic Click</v>
      </c>
      <c r="F973" t="str">
        <f t="shared" si="219"/>
        <v>alp_Varejo-Nacional-janeiro-2019_facebook_Social_hardsell_facebook_cpm_prospecting_pagepost_Varejo-Nacional-janeiro_open</v>
      </c>
      <c r="G973" t="str">
        <f t="shared" si="220"/>
        <v>435261862</v>
      </c>
      <c r="H973" t="str">
        <f t="shared" si="221"/>
        <v>Tracking</v>
      </c>
      <c r="I973">
        <f t="shared" si="222"/>
        <v>0</v>
      </c>
      <c r="J973">
        <f t="shared" si="223"/>
        <v>3</v>
      </c>
      <c r="K973" s="4">
        <f t="shared" si="212"/>
        <v>3.5000000000000001E-3</v>
      </c>
      <c r="L973">
        <f t="shared" si="213"/>
        <v>0.02</v>
      </c>
      <c r="M973" s="4">
        <f t="shared" si="210"/>
        <v>1.0500000000000001E-2</v>
      </c>
      <c r="N973" s="4">
        <f t="shared" si="211"/>
        <v>0.06</v>
      </c>
    </row>
    <row r="974" spans="1:14">
      <c r="A974" t="str">
        <f t="shared" si="214"/>
        <v>alp_Varejo-Nacional-janeiro-2019</v>
      </c>
      <c r="B974" t="str">
        <f t="shared" si="215"/>
        <v>Google Brasil</v>
      </c>
      <c r="C974" t="str">
        <f t="shared" si="216"/>
        <v>alp_Varejo-Nacional-janeiro-2019_dbm-terra_horizontal_hardsell_terra_cpm_prospecting_970x250_Varejo-Nacional-janeiro_open</v>
      </c>
      <c r="D974" t="str">
        <f t="shared" si="217"/>
        <v>238116650</v>
      </c>
      <c r="E974" t="str">
        <f t="shared" si="218"/>
        <v>Standard</v>
      </c>
      <c r="F974" t="str">
        <f t="shared" si="219"/>
        <v>alp_Varejo-Nacional-janeiro-2019_dbm-terra_horizontal_hardsell_terra_cpm_prospecting_970x250_Varejo-Nacional-janeiro_open</v>
      </c>
      <c r="G974" t="str">
        <f t="shared" si="220"/>
        <v>435379815</v>
      </c>
      <c r="H974" t="str">
        <f t="shared" si="221"/>
        <v>Display</v>
      </c>
      <c r="I974">
        <f t="shared" si="222"/>
        <v>5</v>
      </c>
      <c r="J974">
        <f t="shared" si="223"/>
        <v>0</v>
      </c>
      <c r="K974" s="4">
        <f t="shared" si="212"/>
        <v>0.04</v>
      </c>
      <c r="L974">
        <f t="shared" si="213"/>
        <v>0.09</v>
      </c>
      <c r="M974" s="4">
        <f t="shared" si="210"/>
        <v>2.0000000000000001E-4</v>
      </c>
      <c r="N974" s="4">
        <f t="shared" si="211"/>
        <v>4.4999999999999993E-4</v>
      </c>
    </row>
    <row r="975" spans="1:14">
      <c r="A975" t="str">
        <f t="shared" si="214"/>
        <v>alp_Varejo-Nacional-janeiro-2019</v>
      </c>
      <c r="B975" t="str">
        <f t="shared" si="215"/>
        <v>In Loco Media</v>
      </c>
      <c r="C975" t="str">
        <f t="shared" si="216"/>
        <v>alp_Varejo-Nacional-janeiro-2019_inloco_horizontal_hardsell_inloco_cpm_prospecting_1200x627_Varejo-Nacional-janeiro-lojasproprias_open</v>
      </c>
      <c r="D975" t="str">
        <f t="shared" si="217"/>
        <v>237925411</v>
      </c>
      <c r="E975" t="str">
        <f t="shared" si="218"/>
        <v>Dynamic Click</v>
      </c>
      <c r="F975" t="str">
        <f t="shared" si="219"/>
        <v>alp_Varejo-Nacional-janeiro-2019_inloco_horizontal_hardsell_inloco_cpm_prospecting_1200x627_Varejo-Nacional-janeiro-lojasproprias_open</v>
      </c>
      <c r="G975" t="str">
        <f t="shared" si="220"/>
        <v>435153899</v>
      </c>
      <c r="H975" t="str">
        <f t="shared" si="221"/>
        <v>Tracking</v>
      </c>
      <c r="I975">
        <f t="shared" si="222"/>
        <v>0</v>
      </c>
      <c r="J975">
        <f t="shared" si="223"/>
        <v>3</v>
      </c>
      <c r="K975" s="4">
        <f t="shared" si="212"/>
        <v>3.5000000000000001E-3</v>
      </c>
      <c r="L975">
        <f t="shared" si="213"/>
        <v>0.02</v>
      </c>
      <c r="M975" s="4">
        <f t="shared" si="210"/>
        <v>1.0500000000000001E-2</v>
      </c>
      <c r="N975" s="4">
        <f t="shared" si="211"/>
        <v>0.06</v>
      </c>
    </row>
    <row r="976" spans="1:14">
      <c r="A976" t="str">
        <f t="shared" si="214"/>
        <v>alp_Varejo-Nacional-janeiro-2019</v>
      </c>
      <c r="B976" t="str">
        <f t="shared" si="215"/>
        <v>In Loco Media</v>
      </c>
      <c r="C976" t="str">
        <f t="shared" si="216"/>
        <v>alp_Varejo-Nacional-janeiro-2019_inloco_horizontal_hardsell_inloco_cpm_prospecting_432x432_Varejo-Nacional-janeiro-neutro_open</v>
      </c>
      <c r="D976" t="str">
        <f t="shared" si="217"/>
        <v>237925384</v>
      </c>
      <c r="E976" t="str">
        <f t="shared" si="218"/>
        <v>Dynamic Click</v>
      </c>
      <c r="F976" t="str">
        <f t="shared" si="219"/>
        <v>alp_Varejo-Nacional-janeiro-2019_inloco_horizontal_hardsell_inloco_cpm_prospecting_432x432_Varejo-Nacional-janeiro-neutro_open</v>
      </c>
      <c r="G976" t="str">
        <f t="shared" si="220"/>
        <v>435251812</v>
      </c>
      <c r="H976" t="str">
        <f t="shared" si="221"/>
        <v>Tracking</v>
      </c>
      <c r="I976">
        <f t="shared" si="222"/>
        <v>0</v>
      </c>
      <c r="J976">
        <f t="shared" si="223"/>
        <v>5</v>
      </c>
      <c r="K976" s="4">
        <f t="shared" si="212"/>
        <v>3.5000000000000001E-3</v>
      </c>
      <c r="L976">
        <f t="shared" si="213"/>
        <v>0.02</v>
      </c>
      <c r="M976" s="4">
        <f t="shared" si="210"/>
        <v>1.7500000000000002E-2</v>
      </c>
      <c r="N976" s="4">
        <f t="shared" si="211"/>
        <v>0.1</v>
      </c>
    </row>
    <row r="977" spans="1:14">
      <c r="A977" t="str">
        <f t="shared" si="214"/>
        <v>alp_Varejo-Nacional-janeiro-2019</v>
      </c>
      <c r="B977" t="str">
        <f t="shared" si="215"/>
        <v>In Loco Media</v>
      </c>
      <c r="C977" t="str">
        <f t="shared" si="216"/>
        <v>alp_Varejo-Nacional-janeiro-2019_inloco_horizontal_hardsell_inloco_cpm_prospecting_900x750_Varejo-Nacional-janeiro-neutro_open</v>
      </c>
      <c r="D977" t="str">
        <f t="shared" si="217"/>
        <v>237925387</v>
      </c>
      <c r="E977" t="str">
        <f t="shared" si="218"/>
        <v>Dynamic Click</v>
      </c>
      <c r="F977" t="str">
        <f t="shared" si="219"/>
        <v>alp_Varejo-Nacional-janeiro-2019_inloco_horizontal_hardsell_inloco_cpm_prospecting_900x750_Varejo-Nacional-janeiro-neutro_open</v>
      </c>
      <c r="G977" t="str">
        <f t="shared" si="220"/>
        <v>435251815</v>
      </c>
      <c r="H977" t="str">
        <f t="shared" si="221"/>
        <v>Tracking</v>
      </c>
      <c r="I977">
        <f t="shared" si="222"/>
        <v>0</v>
      </c>
      <c r="J977">
        <f t="shared" si="223"/>
        <v>2</v>
      </c>
      <c r="K977" s="4">
        <f t="shared" si="212"/>
        <v>3.5000000000000001E-3</v>
      </c>
      <c r="L977">
        <f t="shared" si="213"/>
        <v>0.02</v>
      </c>
      <c r="M977" s="4">
        <f t="shared" si="210"/>
        <v>7.0000000000000001E-3</v>
      </c>
      <c r="N977" s="4">
        <f t="shared" si="211"/>
        <v>0.04</v>
      </c>
    </row>
    <row r="978" spans="1:14">
      <c r="A978" t="str">
        <f t="shared" si="214"/>
        <v>alp_Varejo-Nacional-janeiro-2019</v>
      </c>
      <c r="B978" t="str">
        <f t="shared" si="215"/>
        <v>In Loco Media</v>
      </c>
      <c r="C978" t="str">
        <f t="shared" si="216"/>
        <v>alp_Varejo-Nacional-janeiro-2019_inloco_horizontal_hardsell_inloco_cpm_prospecting_960x1440_Varejo-Nacional-janeiro-lojasproprias_open</v>
      </c>
      <c r="D978" t="str">
        <f t="shared" si="217"/>
        <v>237925375</v>
      </c>
      <c r="E978" t="str">
        <f t="shared" si="218"/>
        <v>Standard</v>
      </c>
      <c r="F978" t="str">
        <f t="shared" si="219"/>
        <v>alp_Varejo-Nacional-janeiro-2019_inloco_horizontal_hardsell_inloco_cpm_prospecting_960x1440_Varejo-Nacional-janeiro-lojasproprias_open</v>
      </c>
      <c r="G978" t="str">
        <f t="shared" si="220"/>
        <v>435251803</v>
      </c>
      <c r="H978" t="str">
        <f t="shared" si="221"/>
        <v>Tracking</v>
      </c>
      <c r="I978">
        <f t="shared" si="222"/>
        <v>17</v>
      </c>
      <c r="J978">
        <f t="shared" si="223"/>
        <v>7</v>
      </c>
      <c r="K978" s="4">
        <f t="shared" si="212"/>
        <v>0.04</v>
      </c>
      <c r="L978">
        <f t="shared" si="213"/>
        <v>0.09</v>
      </c>
      <c r="M978" s="4">
        <f t="shared" si="210"/>
        <v>6.8000000000000005E-4</v>
      </c>
      <c r="N978" s="4">
        <f t="shared" si="211"/>
        <v>1.5300000000000001E-3</v>
      </c>
    </row>
    <row r="979" spans="1:14">
      <c r="A979" t="str">
        <f t="shared" si="214"/>
        <v>alp_Varejo-Nacional-janeiro-2019</v>
      </c>
      <c r="B979" t="str">
        <f t="shared" si="215"/>
        <v>In Loco Media</v>
      </c>
      <c r="C979" t="str">
        <f t="shared" si="216"/>
        <v>alp_Varejo-Nacional-janeiro-2019_inloco_horizontal_hardsell_inloco_cpm_prospecting_960x1440_Varejo-Nacional-janeiro-neutro_open</v>
      </c>
      <c r="D979" t="str">
        <f t="shared" si="217"/>
        <v>237925393</v>
      </c>
      <c r="E979" t="str">
        <f t="shared" si="218"/>
        <v>Standard</v>
      </c>
      <c r="F979" t="str">
        <f t="shared" si="219"/>
        <v>alp_Varejo-Nacional-janeiro-2019_inloco_horizontal_hardsell_inloco_cpm_prospecting_960x1440_Varejo-Nacional-janeiro-neutro_open</v>
      </c>
      <c r="G979" t="str">
        <f t="shared" si="220"/>
        <v>435251821</v>
      </c>
      <c r="H979" t="str">
        <f t="shared" si="221"/>
        <v>Tracking</v>
      </c>
      <c r="I979">
        <f t="shared" si="222"/>
        <v>98</v>
      </c>
      <c r="J979">
        <f t="shared" si="223"/>
        <v>8</v>
      </c>
      <c r="K979" s="4">
        <f t="shared" si="212"/>
        <v>0.04</v>
      </c>
      <c r="L979">
        <f t="shared" si="213"/>
        <v>0.09</v>
      </c>
      <c r="M979" s="4">
        <f t="shared" si="210"/>
        <v>3.9199999999999999E-3</v>
      </c>
      <c r="N979" s="4">
        <f t="shared" si="211"/>
        <v>8.8199999999999997E-3</v>
      </c>
    </row>
    <row r="980" spans="1:14">
      <c r="A980" t="str">
        <f t="shared" si="214"/>
        <v>alp_Varejo-Nacional-janeiro-2019</v>
      </c>
      <c r="B980" t="str">
        <f t="shared" si="215"/>
        <v>In Loco Media</v>
      </c>
      <c r="C980" t="str">
        <f t="shared" si="216"/>
        <v>alp_Varejo-Nacional-janeiro-2019_inloco_horizontal_hardsell_inloco_cpm_prospecting_960x150_Varejo-Nacional-janeiro-lojasproprias_open</v>
      </c>
      <c r="D980" t="str">
        <f t="shared" si="217"/>
        <v>237925378</v>
      </c>
      <c r="E980" t="str">
        <f t="shared" si="218"/>
        <v>Dynamic Click</v>
      </c>
      <c r="F980" t="str">
        <f t="shared" si="219"/>
        <v>alp_Varejo-Nacional-janeiro-2019_inloco_horizontal_hardsell_inloco_cpm_prospecting_960x150_Varejo-Nacional-janeiro-lojasproprias_open</v>
      </c>
      <c r="G980" t="str">
        <f t="shared" si="220"/>
        <v>435251806</v>
      </c>
      <c r="H980" t="str">
        <f t="shared" si="221"/>
        <v>Tracking</v>
      </c>
      <c r="I980">
        <f t="shared" si="222"/>
        <v>0</v>
      </c>
      <c r="J980">
        <f t="shared" si="223"/>
        <v>3</v>
      </c>
      <c r="K980" s="4">
        <f t="shared" si="212"/>
        <v>3.5000000000000001E-3</v>
      </c>
      <c r="L980">
        <f t="shared" si="213"/>
        <v>0.02</v>
      </c>
      <c r="M980" s="4">
        <f t="shared" si="210"/>
        <v>1.0500000000000001E-2</v>
      </c>
      <c r="N980" s="4">
        <f t="shared" si="211"/>
        <v>0.06</v>
      </c>
    </row>
    <row r="981" spans="1:14">
      <c r="A981" t="str">
        <f t="shared" si="214"/>
        <v>alp_Varejo-Nacional-janeiro-2019</v>
      </c>
      <c r="B981" t="str">
        <f t="shared" si="215"/>
        <v>In Loco Media</v>
      </c>
      <c r="C981" t="str">
        <f t="shared" si="216"/>
        <v>alp_Varejo-Nacional-janeiro-2019_inloco_horizontal_hardsell_inloco_cpm_prospecting_960x150_Varejo-Nacional-janeiro-neutro_open</v>
      </c>
      <c r="D981" t="str">
        <f t="shared" si="217"/>
        <v>237925396</v>
      </c>
      <c r="E981" t="str">
        <f t="shared" si="218"/>
        <v>Dynamic Click</v>
      </c>
      <c r="F981" t="str">
        <f t="shared" si="219"/>
        <v>alp_Varejo-Nacional-janeiro-2019_inloco_horizontal_hardsell_inloco_cpm_prospecting_960x150_Varejo-Nacional-janeiro-neutro_open</v>
      </c>
      <c r="G981" t="str">
        <f t="shared" si="220"/>
        <v>435251824</v>
      </c>
      <c r="H981" t="str">
        <f t="shared" si="221"/>
        <v>Tracking</v>
      </c>
      <c r="I981">
        <f t="shared" si="222"/>
        <v>0</v>
      </c>
      <c r="J981">
        <f t="shared" si="223"/>
        <v>7</v>
      </c>
      <c r="K981" s="4">
        <f t="shared" si="212"/>
        <v>3.5000000000000001E-3</v>
      </c>
      <c r="L981">
        <f t="shared" si="213"/>
        <v>0.02</v>
      </c>
      <c r="M981" s="4">
        <f t="shared" si="210"/>
        <v>2.4500000000000001E-2</v>
      </c>
      <c r="N981" s="4">
        <f t="shared" si="211"/>
        <v>0.14000000000000001</v>
      </c>
    </row>
    <row r="982" spans="1:14">
      <c r="A982" t="str">
        <f t="shared" si="214"/>
        <v>alp_Varejo-Nacional-janeiro-2019</v>
      </c>
      <c r="B982" t="str">
        <f t="shared" si="215"/>
        <v>TEADS</v>
      </c>
      <c r="C982" t="str">
        <f t="shared" si="216"/>
        <v>alp_Varejo-Nacional-janeiro-2019_teads_horizontal_hardsell_teads_visitas_prospecting_carrossel-landscape-_Varejo-Nacional-Carousel-1_open</v>
      </c>
      <c r="D982" t="str">
        <f t="shared" si="217"/>
        <v>239191584</v>
      </c>
      <c r="E982" t="str">
        <f t="shared" si="218"/>
        <v>Dynamic Click</v>
      </c>
      <c r="F982" t="str">
        <f t="shared" si="219"/>
        <v>alp_Varejo-Nacional-janeiro-2019_teads_horizontal_hardsell_teads_visitas_prospecting_carrossel-landscape-_Varejo-Nacional-Carousel-1_open</v>
      </c>
      <c r="G982" t="str">
        <f t="shared" si="220"/>
        <v>436216339</v>
      </c>
      <c r="H982" t="str">
        <f t="shared" si="221"/>
        <v>Tracking</v>
      </c>
      <c r="I982">
        <f t="shared" si="222"/>
        <v>2</v>
      </c>
      <c r="J982">
        <f t="shared" si="223"/>
        <v>2</v>
      </c>
      <c r="K982" s="4">
        <f t="shared" si="212"/>
        <v>3.5000000000000001E-3</v>
      </c>
      <c r="L982">
        <f t="shared" si="213"/>
        <v>0.02</v>
      </c>
      <c r="M982" s="4">
        <f t="shared" si="210"/>
        <v>7.0000000000000001E-3</v>
      </c>
      <c r="N982" s="4">
        <f t="shared" si="211"/>
        <v>0.04</v>
      </c>
    </row>
    <row r="983" spans="1:14">
      <c r="A983" t="str">
        <f t="shared" si="214"/>
        <v>alp_Varejo-Nacional-janeiro-2019</v>
      </c>
      <c r="B983" t="str">
        <f t="shared" si="215"/>
        <v>TEADS</v>
      </c>
      <c r="C983" t="str">
        <f t="shared" si="216"/>
        <v>alp_Varejo-Nacional-janeiro-2019_teads_horizontal_hardsell_teads_visitas_prospecting_scroller-landscape-_Varejo-Nacional-Scroller-1_open</v>
      </c>
      <c r="D983" t="str">
        <f t="shared" si="217"/>
        <v>238961830</v>
      </c>
      <c r="E983" t="str">
        <f t="shared" si="218"/>
        <v>Standard</v>
      </c>
      <c r="F983" t="str">
        <f t="shared" si="219"/>
        <v>alp_Varejo-Nacional-janeiro-2019_teads_horizontal_hardsell_teads_visitas_prospecting_scroller-landscape-_Varejo-Nacional-Scroller-1_open</v>
      </c>
      <c r="G983" t="str">
        <f t="shared" si="220"/>
        <v>436123148</v>
      </c>
      <c r="H983" t="str">
        <f t="shared" si="221"/>
        <v>Tracking</v>
      </c>
      <c r="I983">
        <f t="shared" si="222"/>
        <v>1</v>
      </c>
      <c r="J983">
        <f t="shared" si="223"/>
        <v>0</v>
      </c>
      <c r="K983" s="4">
        <f t="shared" si="212"/>
        <v>0.04</v>
      </c>
      <c r="L983">
        <f t="shared" si="213"/>
        <v>0.09</v>
      </c>
      <c r="M983" s="4">
        <f t="shared" si="210"/>
        <v>4.0000000000000003E-5</v>
      </c>
      <c r="N983" s="4">
        <f t="shared" si="211"/>
        <v>8.9999999999999992E-5</v>
      </c>
    </row>
    <row r="984" spans="1:14">
      <c r="A984" t="str">
        <f t="shared" si="214"/>
        <v>alp_Varejo-Nacional-janeiro-2019</v>
      </c>
      <c r="B984" t="str">
        <f t="shared" si="215"/>
        <v>TEADS</v>
      </c>
      <c r="C984" t="str">
        <f t="shared" si="216"/>
        <v>alp_Varejo-Nacional-janeiro-2019_teads_horizontal_hardsell_teads_visitas_prospecting_scroller-landscape-_Varejo-Nacional-Scroller-3_open</v>
      </c>
      <c r="D984" t="str">
        <f t="shared" si="217"/>
        <v>239191575</v>
      </c>
      <c r="E984" t="str">
        <f t="shared" si="218"/>
        <v>Standard</v>
      </c>
      <c r="F984" t="str">
        <f t="shared" si="219"/>
        <v>alp_Varejo-Nacional-janeiro-2019_teads_horizontal_hardsell_teads_visitas_prospecting_scroller-landscape-_Varejo-Nacional-Scroller-3_open</v>
      </c>
      <c r="G984" t="str">
        <f t="shared" si="220"/>
        <v>436216330</v>
      </c>
      <c r="H984" t="str">
        <f t="shared" si="221"/>
        <v>Tracking</v>
      </c>
      <c r="I984">
        <f t="shared" si="222"/>
        <v>4</v>
      </c>
      <c r="J984">
        <f t="shared" si="223"/>
        <v>0</v>
      </c>
      <c r="K984" s="4">
        <f t="shared" si="212"/>
        <v>0.04</v>
      </c>
      <c r="L984">
        <f t="shared" si="213"/>
        <v>0.09</v>
      </c>
      <c r="M984" s="4">
        <f t="shared" si="210"/>
        <v>1.6000000000000001E-4</v>
      </c>
      <c r="N984" s="4">
        <f t="shared" si="211"/>
        <v>3.5999999999999997E-4</v>
      </c>
    </row>
    <row r="985" spans="1:14">
      <c r="A985" t="str">
        <f t="shared" si="214"/>
        <v>alp_Varejo-Nacional-janeiro-2019</v>
      </c>
      <c r="B985" t="str">
        <f t="shared" si="215"/>
        <v>br.yahoo.com</v>
      </c>
      <c r="C985" t="str">
        <f t="shared" si="216"/>
        <v>alp_Varejo-Nacional-janeiro-2019_yahoo_horizontal_hardsell_yahoo_cpm_prospecting_1440x1024_Varejo-Nacional-Dezembro_open</v>
      </c>
      <c r="D985" t="str">
        <f t="shared" si="217"/>
        <v>237780302</v>
      </c>
      <c r="E985" t="str">
        <f t="shared" si="218"/>
        <v>Standard</v>
      </c>
      <c r="F985" t="str">
        <f t="shared" si="219"/>
        <v>alp_Varejo-Nacional-janeiro-2019_yahoo_horizontal_hardsell_yahoo_cpm_prospecting_1440x1024_Varejo-Nacional-Dezembro_open</v>
      </c>
      <c r="G985" t="str">
        <f t="shared" si="220"/>
        <v>435079433</v>
      </c>
      <c r="H985" t="str">
        <f t="shared" si="221"/>
        <v>Tracking</v>
      </c>
      <c r="I985">
        <f t="shared" si="222"/>
        <v>109</v>
      </c>
      <c r="J985">
        <f t="shared" si="223"/>
        <v>0</v>
      </c>
      <c r="K985" s="4">
        <f t="shared" si="212"/>
        <v>0.04</v>
      </c>
      <c r="L985">
        <f t="shared" si="213"/>
        <v>0.09</v>
      </c>
      <c r="M985" s="4">
        <f t="shared" si="210"/>
        <v>4.3600000000000002E-3</v>
      </c>
      <c r="N985" s="4">
        <f t="shared" si="211"/>
        <v>9.810000000000001E-3</v>
      </c>
    </row>
    <row r="986" spans="1:14">
      <c r="A986" t="str">
        <f t="shared" si="214"/>
        <v>alp_Varejo-Nacional-janeiro-2019</v>
      </c>
      <c r="B986" t="str">
        <f t="shared" si="215"/>
        <v>instagram.com</v>
      </c>
      <c r="C986" t="str">
        <f t="shared" si="216"/>
        <v>alp_Varejo-Nacional-janeiro-2019_instagram_Social_hardsell_instagram_cpm_prospecting_pagepost_Varejo-Nacional-janeiro_open</v>
      </c>
      <c r="D986" t="str">
        <f t="shared" si="217"/>
        <v>238229769</v>
      </c>
      <c r="E986" t="str">
        <f t="shared" si="218"/>
        <v>Dynamic Click</v>
      </c>
      <c r="F986" t="str">
        <f t="shared" si="219"/>
        <v>alp_Varejo-Nacional-janeiro-2019_instagram_Social_hardsell_instagram_cpm_prospecting_pagepost_Varejo-Nacional-janeiro_open</v>
      </c>
      <c r="G986" t="str">
        <f t="shared" si="220"/>
        <v>435152621</v>
      </c>
      <c r="H986" t="str">
        <f t="shared" si="221"/>
        <v>Tracking</v>
      </c>
      <c r="I986">
        <f t="shared" si="222"/>
        <v>0</v>
      </c>
      <c r="J986">
        <f t="shared" si="223"/>
        <v>1</v>
      </c>
      <c r="K986" s="4">
        <f t="shared" si="212"/>
        <v>3.5000000000000001E-3</v>
      </c>
      <c r="L986">
        <f t="shared" si="213"/>
        <v>0.02</v>
      </c>
      <c r="M986" s="4">
        <f t="shared" si="210"/>
        <v>3.5000000000000001E-3</v>
      </c>
      <c r="N986" s="4">
        <f t="shared" si="211"/>
        <v>0.02</v>
      </c>
    </row>
    <row r="987" spans="1:14">
      <c r="A987" t="str">
        <f t="shared" si="214"/>
        <v>alp_Varejo_Amarok</v>
      </c>
      <c r="B987" t="str">
        <f t="shared" si="215"/>
        <v>BR OLX</v>
      </c>
      <c r="C987" t="str">
        <f t="shared" si="216"/>
        <v>alp_Varejo_Amarok_olx_horizontal_hardsell_buscadores_cpm_prospecting_300x250_Varejo-Amarok-Junho_open</v>
      </c>
      <c r="D987" t="str">
        <f t="shared" si="217"/>
        <v>223600550</v>
      </c>
      <c r="E987" t="str">
        <f t="shared" si="218"/>
        <v>Dynamic Click</v>
      </c>
      <c r="F987" t="str">
        <f t="shared" si="219"/>
        <v>alp_Varejo_Amarok_olx_horizontal_hardsell_buscadores_cpm_prospecting_300x250_Varejo-Amarok-Junho_open</v>
      </c>
      <c r="G987" t="str">
        <f t="shared" si="220"/>
        <v>421787111</v>
      </c>
      <c r="H987" t="str">
        <f t="shared" si="221"/>
        <v>Tracking</v>
      </c>
      <c r="I987">
        <f t="shared" si="222"/>
        <v>0</v>
      </c>
      <c r="J987">
        <f t="shared" si="223"/>
        <v>1</v>
      </c>
      <c r="K987" s="4">
        <f t="shared" si="212"/>
        <v>3.5000000000000001E-3</v>
      </c>
      <c r="L987">
        <f t="shared" si="213"/>
        <v>0.02</v>
      </c>
      <c r="M987" s="4">
        <f t="shared" si="210"/>
        <v>3.5000000000000001E-3</v>
      </c>
      <c r="N987" s="4">
        <f t="shared" si="211"/>
        <v>0.02</v>
      </c>
    </row>
    <row r="988" spans="1:14">
      <c r="A988" t="str">
        <f t="shared" si="214"/>
        <v>alp_jetta</v>
      </c>
      <c r="B988" t="str">
        <f t="shared" si="215"/>
        <v>Autopapo</v>
      </c>
      <c r="C988" t="str">
        <f t="shared" si="216"/>
        <v>alp_jetta_autopapo_network_lancamento_prospeccao_cpm_prospecting_300x600_AMC-Jetta_jetta</v>
      </c>
      <c r="D988" t="str">
        <f t="shared" si="217"/>
        <v>234629313</v>
      </c>
      <c r="E988" t="str">
        <f t="shared" si="218"/>
        <v>Standard</v>
      </c>
      <c r="F988" t="str">
        <f t="shared" si="219"/>
        <v>alp_jetta_autopapo_network_lancamento_prospeccao_cpm_prospecting_300x600_AMC-Jetta_jetta</v>
      </c>
      <c r="G988" t="str">
        <f t="shared" si="220"/>
        <v>432020714</v>
      </c>
      <c r="H988" t="str">
        <f t="shared" si="221"/>
        <v>Display</v>
      </c>
      <c r="I988">
        <f t="shared" si="222"/>
        <v>2</v>
      </c>
      <c r="J988">
        <f t="shared" si="223"/>
        <v>0</v>
      </c>
      <c r="K988" s="4">
        <f t="shared" si="212"/>
        <v>0.04</v>
      </c>
      <c r="L988">
        <f t="shared" si="213"/>
        <v>0.09</v>
      </c>
      <c r="M988" s="4">
        <f t="shared" si="210"/>
        <v>8.0000000000000007E-5</v>
      </c>
      <c r="N988" s="4">
        <f t="shared" si="211"/>
        <v>1.7999999999999998E-4</v>
      </c>
    </row>
    <row r="989" spans="1:14">
      <c r="A989" t="str">
        <f t="shared" si="214"/>
        <v>alp_jetta</v>
      </c>
      <c r="B989" t="str">
        <f t="shared" si="215"/>
        <v>Autopapo</v>
      </c>
      <c r="C989" t="str">
        <f t="shared" si="216"/>
        <v>alp_jetta_autopapo_network_lancamento_prospeccao_cpm_prospecting_320x100_AMC-Jetta-design_jetta</v>
      </c>
      <c r="D989" t="str">
        <f t="shared" si="217"/>
        <v>235467777</v>
      </c>
      <c r="E989" t="str">
        <f t="shared" si="218"/>
        <v>Standard</v>
      </c>
      <c r="F989" t="str">
        <f t="shared" si="219"/>
        <v>alp_jetta_autopapo_network_lancamento_prospeccao_cpm_prospecting_320x100_AMC-Jetta-design_jetta</v>
      </c>
      <c r="G989" t="str">
        <f t="shared" si="220"/>
        <v>432885483</v>
      </c>
      <c r="H989" t="str">
        <f t="shared" si="221"/>
        <v>Display</v>
      </c>
      <c r="I989">
        <f t="shared" si="222"/>
        <v>3</v>
      </c>
      <c r="J989">
        <f t="shared" si="223"/>
        <v>0</v>
      </c>
      <c r="K989" s="4">
        <f t="shared" si="212"/>
        <v>0.04</v>
      </c>
      <c r="L989">
        <f t="shared" si="213"/>
        <v>0.09</v>
      </c>
      <c r="M989" s="4">
        <f t="shared" si="210"/>
        <v>1.1999999999999999E-4</v>
      </c>
      <c r="N989" s="4">
        <f t="shared" si="211"/>
        <v>2.7E-4</v>
      </c>
    </row>
    <row r="990" spans="1:14">
      <c r="A990" t="str">
        <f t="shared" si="214"/>
        <v>alp_jetta</v>
      </c>
      <c r="B990" t="str">
        <f t="shared" si="215"/>
        <v>Facebook</v>
      </c>
      <c r="C990" t="str">
        <f t="shared" si="216"/>
        <v>alp_jetta_facebook_network_lancamento_prospeccao_cpm_prospecting_carrossel_AMC-Jetta_jetta</v>
      </c>
      <c r="D990" t="str">
        <f t="shared" si="217"/>
        <v>234715843</v>
      </c>
      <c r="E990" t="str">
        <f t="shared" si="218"/>
        <v>Dynamic Click</v>
      </c>
      <c r="F990" t="str">
        <f t="shared" si="219"/>
        <v>alp_jetta_facebook_network_lancamento_prospeccao_cpm_prospecting_carrossel_AMC-Jetta_jetta</v>
      </c>
      <c r="G990" t="str">
        <f t="shared" si="220"/>
        <v>432397772</v>
      </c>
      <c r="H990" t="str">
        <f t="shared" si="221"/>
        <v>Tracking</v>
      </c>
      <c r="I990">
        <f t="shared" si="222"/>
        <v>0</v>
      </c>
      <c r="J990">
        <f t="shared" si="223"/>
        <v>11</v>
      </c>
      <c r="K990" s="4">
        <f t="shared" si="212"/>
        <v>3.5000000000000001E-3</v>
      </c>
      <c r="L990">
        <f t="shared" si="213"/>
        <v>0.02</v>
      </c>
      <c r="M990" s="4">
        <f t="shared" si="210"/>
        <v>3.85E-2</v>
      </c>
      <c r="N990" s="4">
        <f t="shared" si="211"/>
        <v>0.22</v>
      </c>
    </row>
    <row r="991" spans="1:14">
      <c r="A991" t="str">
        <f t="shared" si="214"/>
        <v>alp_jetta</v>
      </c>
      <c r="B991" t="str">
        <f t="shared" si="215"/>
        <v>Facebook</v>
      </c>
      <c r="C991" t="str">
        <f t="shared" si="216"/>
        <v>alp_jetta_facebook_network_lancamento_prospeccao_cpm_prospecting_linkad_AMC-Jetta-cores_jetta</v>
      </c>
      <c r="D991" t="str">
        <f t="shared" si="217"/>
        <v>236326935</v>
      </c>
      <c r="E991" t="str">
        <f t="shared" si="218"/>
        <v>Dynamic Click</v>
      </c>
      <c r="F991" t="str">
        <f t="shared" si="219"/>
        <v>alp_jetta_facebook_network_lancamento_prospeccao_cpm_prospecting_linkad_AMC-Jetta-cores_jetta</v>
      </c>
      <c r="G991" t="str">
        <f t="shared" si="220"/>
        <v>433561682</v>
      </c>
      <c r="H991" t="str">
        <f t="shared" si="221"/>
        <v>Tracking</v>
      </c>
      <c r="I991">
        <f t="shared" si="222"/>
        <v>0</v>
      </c>
      <c r="J991">
        <f t="shared" si="223"/>
        <v>8</v>
      </c>
      <c r="K991" s="4">
        <f t="shared" si="212"/>
        <v>3.5000000000000001E-3</v>
      </c>
      <c r="L991">
        <f t="shared" si="213"/>
        <v>0.02</v>
      </c>
      <c r="M991" s="4">
        <f t="shared" si="210"/>
        <v>2.8000000000000001E-2</v>
      </c>
      <c r="N991" s="4">
        <f t="shared" si="211"/>
        <v>0.16</v>
      </c>
    </row>
    <row r="992" spans="1:14">
      <c r="A992" t="str">
        <f t="shared" si="214"/>
        <v>alp_jetta</v>
      </c>
      <c r="B992" t="str">
        <f t="shared" si="215"/>
        <v>Facebook</v>
      </c>
      <c r="C992" t="str">
        <f t="shared" si="216"/>
        <v>alp_jetta_facebook_network_lancamento_prospeccao_cpm_prospecting_linkad_AMC-Jetta_jetta</v>
      </c>
      <c r="D992" t="str">
        <f t="shared" si="217"/>
        <v>231765855</v>
      </c>
      <c r="E992" t="str">
        <f t="shared" si="218"/>
        <v>Dynamic Click</v>
      </c>
      <c r="F992" t="str">
        <f t="shared" si="219"/>
        <v>alp_jetta_facebook_network_lancamento_prospeccao_cpm_prospecting_linkad_AMC-Jetta_jetta</v>
      </c>
      <c r="G992" t="str">
        <f t="shared" si="220"/>
        <v>429250292</v>
      </c>
      <c r="H992" t="str">
        <f t="shared" si="221"/>
        <v>Tracking</v>
      </c>
      <c r="I992">
        <f t="shared" si="222"/>
        <v>0</v>
      </c>
      <c r="J992">
        <f t="shared" si="223"/>
        <v>3</v>
      </c>
      <c r="K992" s="4">
        <f t="shared" si="212"/>
        <v>3.5000000000000001E-3</v>
      </c>
      <c r="L992">
        <f t="shared" si="213"/>
        <v>0.02</v>
      </c>
      <c r="M992" s="4">
        <f t="shared" si="210"/>
        <v>1.0500000000000001E-2</v>
      </c>
      <c r="N992" s="4">
        <f t="shared" si="211"/>
        <v>0.06</v>
      </c>
    </row>
    <row r="993" spans="1:14">
      <c r="A993" t="str">
        <f t="shared" si="214"/>
        <v>alp_jetta</v>
      </c>
      <c r="B993" t="str">
        <f t="shared" si="215"/>
        <v>Facebook</v>
      </c>
      <c r="C993" t="str">
        <f t="shared" si="216"/>
        <v>alp_jetta_facebook_network_lancamento_prospeccao_cpm_prospecting_linkad_AMC-Jetta_linkad_jetta</v>
      </c>
      <c r="D993" t="str">
        <f t="shared" si="217"/>
        <v>234069999</v>
      </c>
      <c r="E993" t="str">
        <f t="shared" si="218"/>
        <v>Dynamic Click</v>
      </c>
      <c r="F993" t="str">
        <f t="shared" si="219"/>
        <v>alp_jetta_facebook_network_lancamento_prospeccao_cpm_prospecting_linkad_AMC-Jetta_linkad_jetta</v>
      </c>
      <c r="G993" t="str">
        <f t="shared" si="220"/>
        <v>431577871</v>
      </c>
      <c r="H993" t="str">
        <f t="shared" si="221"/>
        <v>Tracking</v>
      </c>
      <c r="I993">
        <f t="shared" si="222"/>
        <v>0</v>
      </c>
      <c r="J993">
        <f t="shared" si="223"/>
        <v>23</v>
      </c>
      <c r="K993" s="4">
        <f t="shared" si="212"/>
        <v>3.5000000000000001E-3</v>
      </c>
      <c r="L993">
        <f t="shared" si="213"/>
        <v>0.02</v>
      </c>
      <c r="M993" s="4">
        <f t="shared" si="210"/>
        <v>8.0500000000000002E-2</v>
      </c>
      <c r="N993" s="4">
        <f t="shared" si="211"/>
        <v>0.46</v>
      </c>
    </row>
    <row r="994" spans="1:14">
      <c r="A994" t="str">
        <f t="shared" si="214"/>
        <v>alp_jetta</v>
      </c>
      <c r="B994" t="str">
        <f t="shared" si="215"/>
        <v>Google Brasil</v>
      </c>
      <c r="C994" t="str">
        <f t="shared" si="216"/>
        <v>alp_jetta_dbm-uol_network_lancamento_prospeccao_cpm_prospecting_1190x250-1190x460_AMC-Jetta_jetta-05-11</v>
      </c>
      <c r="D994" t="str">
        <f t="shared" si="217"/>
        <v>231895991</v>
      </c>
      <c r="E994" t="str">
        <f t="shared" si="218"/>
        <v>Standard</v>
      </c>
      <c r="F994" t="str">
        <f t="shared" si="219"/>
        <v>alp_jetta_dbm-uol_network_lancamento_prospeccao_cpm_prospecting_1190x250-1190x460_AMC-Jetta_jetta-05-11</v>
      </c>
      <c r="G994" t="str">
        <f t="shared" si="220"/>
        <v>429694812</v>
      </c>
      <c r="H994" t="str">
        <f t="shared" si="221"/>
        <v>Tracking</v>
      </c>
      <c r="I994">
        <f t="shared" si="222"/>
        <v>1</v>
      </c>
      <c r="J994">
        <f t="shared" si="223"/>
        <v>0</v>
      </c>
      <c r="K994" s="4">
        <f t="shared" si="212"/>
        <v>0.04</v>
      </c>
      <c r="L994">
        <f t="shared" si="213"/>
        <v>0.09</v>
      </c>
      <c r="M994" s="4">
        <f t="shared" ref="M994:M1056" si="224">IF(E994="Dynamic Click",J994*K994,K994*$I994/1000)</f>
        <v>4.0000000000000003E-5</v>
      </c>
      <c r="N994" s="4">
        <f t="shared" ref="N994:N1056" si="225">IF(E994="Dynamic Click",J994*L994,L994*$I994/1000)</f>
        <v>8.9999999999999992E-5</v>
      </c>
    </row>
    <row r="995" spans="1:14">
      <c r="A995" t="str">
        <f t="shared" si="214"/>
        <v>alp_jetta</v>
      </c>
      <c r="B995" t="str">
        <f t="shared" si="215"/>
        <v>Google Brasil</v>
      </c>
      <c r="C995" t="str">
        <f t="shared" si="216"/>
        <v>alp_jetta_gsp_network_lancamento_prospeccao_cpm_prospecting_1200x1200_AMC-Jetta_jetta</v>
      </c>
      <c r="D995" t="str">
        <f t="shared" si="217"/>
        <v>234645751</v>
      </c>
      <c r="E995" t="str">
        <f t="shared" si="218"/>
        <v>Dynamic Click</v>
      </c>
      <c r="F995" t="str">
        <f t="shared" si="219"/>
        <v>alp_jetta_gsp_network_lancamento_prospeccao_cpm_prospecting_1200x1200_AMC-Jetta_jetta</v>
      </c>
      <c r="G995" t="str">
        <f t="shared" si="220"/>
        <v>432431857</v>
      </c>
      <c r="H995" t="str">
        <f t="shared" si="221"/>
        <v>Tracking</v>
      </c>
      <c r="I995">
        <f t="shared" si="222"/>
        <v>0</v>
      </c>
      <c r="J995">
        <f t="shared" si="223"/>
        <v>1</v>
      </c>
      <c r="K995" s="4">
        <f t="shared" si="212"/>
        <v>3.5000000000000001E-3</v>
      </c>
      <c r="L995">
        <f t="shared" si="213"/>
        <v>0.02</v>
      </c>
      <c r="M995" s="4">
        <f t="shared" si="224"/>
        <v>3.5000000000000001E-3</v>
      </c>
      <c r="N995" s="4">
        <f t="shared" si="225"/>
        <v>0.02</v>
      </c>
    </row>
    <row r="996" spans="1:14">
      <c r="A996" t="str">
        <f t="shared" si="214"/>
        <v>alp_jetta</v>
      </c>
      <c r="B996" t="str">
        <f t="shared" si="215"/>
        <v>Google Brasil</v>
      </c>
      <c r="C996" t="str">
        <f t="shared" si="216"/>
        <v>alp_jetta_gsp_network_lancamento_prospeccao_cpm_prospecting_1200x628_AMC-Jetta_jetta</v>
      </c>
      <c r="D996" t="str">
        <f t="shared" si="217"/>
        <v>234594605</v>
      </c>
      <c r="E996" t="str">
        <f t="shared" si="218"/>
        <v>Dynamic Click</v>
      </c>
      <c r="F996" t="str">
        <f t="shared" si="219"/>
        <v>alp_jetta_gsp_network_lancamento_prospeccao_cpm_prospecting_1200x628_AMC-Jetta_jetta</v>
      </c>
      <c r="G996" t="str">
        <f t="shared" si="220"/>
        <v>432351930</v>
      </c>
      <c r="H996" t="str">
        <f t="shared" si="221"/>
        <v>Tracking</v>
      </c>
      <c r="I996">
        <f t="shared" si="222"/>
        <v>0</v>
      </c>
      <c r="J996">
        <f t="shared" si="223"/>
        <v>1</v>
      </c>
      <c r="K996" s="4">
        <f t="shared" si="212"/>
        <v>3.5000000000000001E-3</v>
      </c>
      <c r="L996">
        <f t="shared" si="213"/>
        <v>0.02</v>
      </c>
      <c r="M996" s="4">
        <f t="shared" si="224"/>
        <v>3.5000000000000001E-3</v>
      </c>
      <c r="N996" s="4">
        <f t="shared" si="225"/>
        <v>0.02</v>
      </c>
    </row>
    <row r="997" spans="1:14">
      <c r="A997" t="str">
        <f t="shared" si="214"/>
        <v>alp_jetta</v>
      </c>
      <c r="B997" t="str">
        <f t="shared" si="215"/>
        <v>Oath BR</v>
      </c>
      <c r="C997" t="str">
        <f t="shared" si="216"/>
        <v>alp_jetta_oath_network_lancamento_prospeccao_cpm_prospecting_627x627_AMC-Jetta_interesse-negocios</v>
      </c>
      <c r="D997" t="str">
        <f t="shared" si="217"/>
        <v>231895961</v>
      </c>
      <c r="E997" t="str">
        <f t="shared" si="218"/>
        <v>Standard</v>
      </c>
      <c r="F997" t="str">
        <f t="shared" si="219"/>
        <v>alp_jetta_oath_network_lancamento_prospeccao_cpm_prospecting_627x627_AMC-Jetta_interesse-negocios</v>
      </c>
      <c r="G997" t="str">
        <f t="shared" si="220"/>
        <v>429694782</v>
      </c>
      <c r="H997" t="str">
        <f t="shared" si="221"/>
        <v>Tracking</v>
      </c>
      <c r="I997">
        <f t="shared" si="222"/>
        <v>15</v>
      </c>
      <c r="J997">
        <f t="shared" si="223"/>
        <v>10</v>
      </c>
      <c r="K997" s="4">
        <f t="shared" si="212"/>
        <v>0.04</v>
      </c>
      <c r="L997">
        <f t="shared" si="213"/>
        <v>0.09</v>
      </c>
      <c r="M997" s="4">
        <f t="shared" si="224"/>
        <v>5.9999999999999995E-4</v>
      </c>
      <c r="N997" s="4">
        <f t="shared" si="225"/>
        <v>1.3499999999999999E-3</v>
      </c>
    </row>
    <row r="998" spans="1:14">
      <c r="A998" t="str">
        <f t="shared" si="214"/>
        <v>alp_jetta</v>
      </c>
      <c r="B998" t="str">
        <f t="shared" si="215"/>
        <v>Oath BR</v>
      </c>
      <c r="C998" t="str">
        <f t="shared" si="216"/>
        <v>alp_jetta_oath_network_lancamento_prospeccao_cpm_prospecting_627x627_AMC-Jetta_interesse-tecnologia</v>
      </c>
      <c r="D998" t="str">
        <f t="shared" si="217"/>
        <v>231895967</v>
      </c>
      <c r="E998" t="str">
        <f t="shared" si="218"/>
        <v>Dynamic Click</v>
      </c>
      <c r="F998" t="str">
        <f t="shared" si="219"/>
        <v>alp_jetta_oath_network_lancamento_prospeccao_cpm_prospecting_627x627_AMC-Jetta_interesse-tecnologia</v>
      </c>
      <c r="G998" t="str">
        <f t="shared" si="220"/>
        <v>429694788</v>
      </c>
      <c r="H998" t="str">
        <f t="shared" si="221"/>
        <v>Tracking</v>
      </c>
      <c r="I998">
        <f t="shared" si="222"/>
        <v>0</v>
      </c>
      <c r="J998">
        <f t="shared" si="223"/>
        <v>1</v>
      </c>
      <c r="K998" s="4">
        <f t="shared" si="212"/>
        <v>3.5000000000000001E-3</v>
      </c>
      <c r="L998">
        <f t="shared" si="213"/>
        <v>0.02</v>
      </c>
      <c r="M998" s="4">
        <f t="shared" si="224"/>
        <v>3.5000000000000001E-3</v>
      </c>
      <c r="N998" s="4">
        <f t="shared" si="225"/>
        <v>0.02</v>
      </c>
    </row>
    <row r="999" spans="1:14">
      <c r="A999" t="str">
        <f t="shared" si="214"/>
        <v>alp_jetta</v>
      </c>
      <c r="B999" t="str">
        <f t="shared" si="215"/>
        <v>br.linkedin.com</v>
      </c>
      <c r="C999" t="str">
        <f t="shared" si="216"/>
        <v>alp_jetta_linkedin_network_lancamento_prospeccao_cpm_prospecting_300x250_AMC-Jetta_jetta</v>
      </c>
      <c r="D999" t="str">
        <f t="shared" si="217"/>
        <v>233132487</v>
      </c>
      <c r="E999" t="str">
        <f t="shared" si="218"/>
        <v>Dynamic Click</v>
      </c>
      <c r="F999" t="str">
        <f t="shared" si="219"/>
        <v>alp_jetta_linkedin_network_lancamento_prospeccao_cpm_prospecting_300x250_AMC-Jetta_jetta</v>
      </c>
      <c r="G999" t="str">
        <f t="shared" si="220"/>
        <v>430633123</v>
      </c>
      <c r="H999" t="str">
        <f t="shared" si="221"/>
        <v>Tracking</v>
      </c>
      <c r="I999">
        <f t="shared" si="222"/>
        <v>0</v>
      </c>
      <c r="J999">
        <f t="shared" si="223"/>
        <v>20</v>
      </c>
      <c r="K999" s="4">
        <f t="shared" si="212"/>
        <v>3.5000000000000001E-3</v>
      </c>
      <c r="L999">
        <f t="shared" si="213"/>
        <v>0.02</v>
      </c>
      <c r="M999" s="4">
        <f t="shared" si="224"/>
        <v>7.0000000000000007E-2</v>
      </c>
      <c r="N999" s="4">
        <f t="shared" si="225"/>
        <v>0.4</v>
      </c>
    </row>
    <row r="1000" spans="1:14">
      <c r="A1000" t="str">
        <f t="shared" si="214"/>
        <v>alp_jetta</v>
      </c>
      <c r="B1000" t="str">
        <f t="shared" si="215"/>
        <v>br.linkedin.com</v>
      </c>
      <c r="C1000" t="str">
        <f t="shared" si="216"/>
        <v>alp_jetta_linkedin_network_lancamento_prospeccao_cpm_prospecting_leadad_AMC-Jetta_jetta</v>
      </c>
      <c r="D1000" t="str">
        <f t="shared" si="217"/>
        <v>232915675</v>
      </c>
      <c r="E1000" t="str">
        <f t="shared" si="218"/>
        <v>Dynamic Click</v>
      </c>
      <c r="F1000" t="str">
        <f t="shared" si="219"/>
        <v>alp_jetta_linkedin_network_lancamento_prospeccao_cpm_prospecting_leadad_AMC-Jetta_jetta</v>
      </c>
      <c r="G1000" t="str">
        <f t="shared" si="220"/>
        <v>430635163</v>
      </c>
      <c r="H1000" t="str">
        <f t="shared" si="221"/>
        <v>Tracking</v>
      </c>
      <c r="I1000">
        <f t="shared" si="222"/>
        <v>0</v>
      </c>
      <c r="J1000">
        <f t="shared" si="223"/>
        <v>4</v>
      </c>
      <c r="K1000" s="4">
        <f t="shared" si="212"/>
        <v>3.5000000000000001E-3</v>
      </c>
      <c r="L1000">
        <f t="shared" si="213"/>
        <v>0.02</v>
      </c>
      <c r="M1000" s="4">
        <f t="shared" si="224"/>
        <v>1.4E-2</v>
      </c>
      <c r="N1000" s="4">
        <f t="shared" si="225"/>
        <v>0.08</v>
      </c>
    </row>
    <row r="1001" spans="1:14">
      <c r="A1001" t="str">
        <f t="shared" si="214"/>
        <v>alp_jetta</v>
      </c>
      <c r="B1001" t="str">
        <f t="shared" si="215"/>
        <v>outlook.com</v>
      </c>
      <c r="C1001" t="str">
        <f t="shared" si="216"/>
        <v>alp_jetta_outlook_network_lancamento_prospeccao_cpm_prospecting_160x600_AMC-Jetta_interesse-negocios</v>
      </c>
      <c r="D1001" t="str">
        <f t="shared" si="217"/>
        <v>231895925</v>
      </c>
      <c r="E1001" t="str">
        <f t="shared" si="218"/>
        <v>Standard</v>
      </c>
      <c r="F1001" t="str">
        <f t="shared" si="219"/>
        <v>alp_jetta_outlook_network_lancamento_prospeccao_cpm_prospecting_160x600_AMC-Jetta_interesse-negocios</v>
      </c>
      <c r="G1001" t="str">
        <f t="shared" si="220"/>
        <v>429694746</v>
      </c>
      <c r="H1001" t="str">
        <f t="shared" si="221"/>
        <v>Tracking</v>
      </c>
      <c r="I1001">
        <f t="shared" si="222"/>
        <v>4</v>
      </c>
      <c r="J1001">
        <f t="shared" si="223"/>
        <v>0</v>
      </c>
      <c r="K1001" s="4">
        <f t="shared" si="212"/>
        <v>0.04</v>
      </c>
      <c r="L1001">
        <f t="shared" si="213"/>
        <v>0.09</v>
      </c>
      <c r="M1001" s="4">
        <f t="shared" si="224"/>
        <v>1.6000000000000001E-4</v>
      </c>
      <c r="N1001" s="4">
        <f t="shared" si="225"/>
        <v>3.5999999999999997E-4</v>
      </c>
    </row>
    <row r="1002" spans="1:14">
      <c r="A1002" t="str">
        <f t="shared" si="214"/>
        <v>alp_jetta</v>
      </c>
      <c r="B1002" t="str">
        <f t="shared" si="215"/>
        <v>outlook.com</v>
      </c>
      <c r="C1002" t="str">
        <f t="shared" si="216"/>
        <v>alp_jetta_outlook_network_lancamento_prospeccao_cpm_prospecting_160x600_AMC-Jetta_interesse-tecnologia</v>
      </c>
      <c r="D1002" t="str">
        <f t="shared" si="217"/>
        <v>231895943</v>
      </c>
      <c r="E1002" t="str">
        <f t="shared" si="218"/>
        <v>Standard</v>
      </c>
      <c r="F1002" t="str">
        <f t="shared" si="219"/>
        <v>alp_jetta_outlook_network_lancamento_prospeccao_cpm_prospecting_160x600_AMC-Jetta_interesse-tecnologia</v>
      </c>
      <c r="G1002" t="str">
        <f t="shared" si="220"/>
        <v>429694764</v>
      </c>
      <c r="H1002" t="str">
        <f t="shared" si="221"/>
        <v>Tracking</v>
      </c>
      <c r="I1002">
        <f t="shared" si="222"/>
        <v>1</v>
      </c>
      <c r="J1002">
        <f t="shared" si="223"/>
        <v>0</v>
      </c>
      <c r="K1002" s="4">
        <f t="shared" si="212"/>
        <v>0.04</v>
      </c>
      <c r="L1002">
        <f t="shared" si="213"/>
        <v>0.09</v>
      </c>
      <c r="M1002" s="4">
        <f t="shared" si="224"/>
        <v>4.0000000000000003E-5</v>
      </c>
      <c r="N1002" s="4">
        <f t="shared" si="225"/>
        <v>8.9999999999999992E-5</v>
      </c>
    </row>
    <row r="1003" spans="1:14">
      <c r="A1003" t="str">
        <f t="shared" si="214"/>
        <v>alp_jetta</v>
      </c>
      <c r="B1003" t="str">
        <f t="shared" si="215"/>
        <v>outlook.com</v>
      </c>
      <c r="C1003" t="str">
        <f t="shared" si="216"/>
        <v>alp_jetta_outlook_network_lancamento_prospeccao_cpm_prospecting_300x600_AMC-Jetta_interesse-negocios</v>
      </c>
      <c r="D1003" t="str">
        <f t="shared" si="217"/>
        <v>231895928</v>
      </c>
      <c r="E1003" t="str">
        <f t="shared" si="218"/>
        <v>Standard</v>
      </c>
      <c r="F1003" t="str">
        <f t="shared" si="219"/>
        <v>alp_jetta_outlook_network_lancamento_prospeccao_cpm_prospecting_300x600_AMC-Jetta_interesse-negocios</v>
      </c>
      <c r="G1003" t="str">
        <f t="shared" si="220"/>
        <v>429694749</v>
      </c>
      <c r="H1003" t="str">
        <f t="shared" si="221"/>
        <v>Tracking</v>
      </c>
      <c r="I1003">
        <f t="shared" si="222"/>
        <v>1</v>
      </c>
      <c r="J1003">
        <f t="shared" si="223"/>
        <v>0</v>
      </c>
      <c r="K1003" s="4">
        <f t="shared" si="212"/>
        <v>0.04</v>
      </c>
      <c r="L1003">
        <f t="shared" si="213"/>
        <v>0.09</v>
      </c>
      <c r="M1003" s="4">
        <f t="shared" si="224"/>
        <v>4.0000000000000003E-5</v>
      </c>
      <c r="N1003" s="4">
        <f t="shared" si="225"/>
        <v>8.9999999999999992E-5</v>
      </c>
    </row>
    <row r="1004" spans="1:14">
      <c r="A1004" t="str">
        <f t="shared" si="214"/>
        <v>alp_jetta</v>
      </c>
      <c r="B1004" t="str">
        <f t="shared" si="215"/>
        <v>teads.tv</v>
      </c>
      <c r="C1004" t="str">
        <f t="shared" si="216"/>
        <v>alp_jetta_teads_network_lancamento_prospeccao_cpm_prospecting_405x405_AMC-Jetta_interesse-autos</v>
      </c>
      <c r="D1004" t="str">
        <f t="shared" si="217"/>
        <v>231895895</v>
      </c>
      <c r="E1004" t="str">
        <f t="shared" si="218"/>
        <v>Standard</v>
      </c>
      <c r="F1004" t="str">
        <f t="shared" si="219"/>
        <v>alp_jetta_teads_network_lancamento_prospeccao_cpm_prospecting_405x405_AMC-Jetta_interesse-autos</v>
      </c>
      <c r="G1004" t="str">
        <f t="shared" si="220"/>
        <v>429694716</v>
      </c>
      <c r="H1004" t="str">
        <f t="shared" si="221"/>
        <v>Tracking</v>
      </c>
      <c r="I1004">
        <f t="shared" si="222"/>
        <v>1</v>
      </c>
      <c r="J1004">
        <f t="shared" si="223"/>
        <v>0</v>
      </c>
      <c r="K1004" s="4">
        <f t="shared" ref="K1004:K1067" si="226">IF(LEFT(B1004,3)="DBM",0,VLOOKUP(E1004,tabela,2,FALSE))</f>
        <v>0.04</v>
      </c>
      <c r="L1004">
        <f t="shared" ref="L1004:L1067" si="227">VLOOKUP(E1004,tabela,3,FALSE)</f>
        <v>0.09</v>
      </c>
      <c r="M1004" s="4">
        <f t="shared" si="224"/>
        <v>4.0000000000000003E-5</v>
      </c>
      <c r="N1004" s="4">
        <f t="shared" si="225"/>
        <v>8.9999999999999992E-5</v>
      </c>
    </row>
    <row r="1005" spans="1:14">
      <c r="A1005" t="str">
        <f t="shared" si="214"/>
        <v>alp_jetta</v>
      </c>
      <c r="B1005" t="str">
        <f t="shared" si="215"/>
        <v>teads.tv</v>
      </c>
      <c r="C1005" t="str">
        <f t="shared" si="216"/>
        <v>alp_jetta_teads_network_lancamento_prospeccao_cpm_prospecting_405x405_AMC-Jetta_interesse-negocios</v>
      </c>
      <c r="D1005" t="str">
        <f t="shared" si="217"/>
        <v>231895886</v>
      </c>
      <c r="E1005" t="str">
        <f t="shared" si="218"/>
        <v>Standard</v>
      </c>
      <c r="F1005" t="str">
        <f t="shared" si="219"/>
        <v>alp_jetta_teads_network_lancamento_prospeccao_cpm_prospecting_405x405_AMC-Jetta_interesse-negocios</v>
      </c>
      <c r="G1005" t="str">
        <f t="shared" si="220"/>
        <v>429694707</v>
      </c>
      <c r="H1005" t="str">
        <f t="shared" si="221"/>
        <v>Tracking</v>
      </c>
      <c r="I1005">
        <f t="shared" si="222"/>
        <v>3</v>
      </c>
      <c r="J1005">
        <f t="shared" si="223"/>
        <v>0</v>
      </c>
      <c r="K1005" s="4">
        <f t="shared" si="226"/>
        <v>0.04</v>
      </c>
      <c r="L1005">
        <f t="shared" si="227"/>
        <v>0.09</v>
      </c>
      <c r="M1005" s="4">
        <f t="shared" si="224"/>
        <v>1.1999999999999999E-4</v>
      </c>
      <c r="N1005" s="4">
        <f t="shared" si="225"/>
        <v>2.7E-4</v>
      </c>
    </row>
    <row r="1006" spans="1:14">
      <c r="A1006" t="str">
        <f t="shared" si="214"/>
        <v>alp_polobeats</v>
      </c>
      <c r="B1006" t="str">
        <f t="shared" si="215"/>
        <v>Deezer</v>
      </c>
      <c r="C1006" t="str">
        <f t="shared" si="216"/>
        <v>alp_polobeats_deezer_network_lancamento_prospeccao_cpm_prospecting_1200x628_AMC-Polo-Beats_polo-beats</v>
      </c>
      <c r="D1006" t="str">
        <f t="shared" si="217"/>
        <v>232638107</v>
      </c>
      <c r="E1006" t="str">
        <f t="shared" si="218"/>
        <v>Standard</v>
      </c>
      <c r="F1006" t="str">
        <f t="shared" si="219"/>
        <v>alp_polobeats_deezer_network_lancamento_prospeccao_cpm_prospecting_1200x628_AMC-Polo-Beats_polo-beats</v>
      </c>
      <c r="G1006" t="str">
        <f t="shared" si="220"/>
        <v>430365269</v>
      </c>
      <c r="H1006" t="str">
        <f t="shared" si="221"/>
        <v>Tracking</v>
      </c>
      <c r="I1006">
        <f t="shared" si="222"/>
        <v>8</v>
      </c>
      <c r="J1006">
        <f t="shared" si="223"/>
        <v>0</v>
      </c>
      <c r="K1006" s="4">
        <f t="shared" si="226"/>
        <v>0.04</v>
      </c>
      <c r="L1006">
        <f t="shared" si="227"/>
        <v>0.09</v>
      </c>
      <c r="M1006" s="4">
        <f t="shared" si="224"/>
        <v>3.2000000000000003E-4</v>
      </c>
      <c r="N1006" s="4">
        <f t="shared" si="225"/>
        <v>7.1999999999999994E-4</v>
      </c>
    </row>
    <row r="1007" spans="1:14">
      <c r="A1007" t="str">
        <f t="shared" si="214"/>
        <v>alp_polobeats</v>
      </c>
      <c r="B1007" t="str">
        <f t="shared" si="215"/>
        <v>Deezer</v>
      </c>
      <c r="C1007" t="str">
        <f t="shared" si="216"/>
        <v>alp_polobeats_deezer_network_lancamento_prospeccao_cpm_prospecting_640x960_AMC-Polo-Beats_polo-beats</v>
      </c>
      <c r="D1007" t="str">
        <f t="shared" si="217"/>
        <v>232714288</v>
      </c>
      <c r="E1007" t="str">
        <f t="shared" si="218"/>
        <v>Standard</v>
      </c>
      <c r="F1007" t="str">
        <f t="shared" si="219"/>
        <v>alp_polobeats_deezer_network_lancamento_prospeccao_cpm_prospecting_640x960_AMC-Polo-Beats_polo-beats</v>
      </c>
      <c r="G1007" t="str">
        <f t="shared" si="220"/>
        <v>430367801</v>
      </c>
      <c r="H1007" t="str">
        <f t="shared" si="221"/>
        <v>Tracking</v>
      </c>
      <c r="I1007">
        <f t="shared" si="222"/>
        <v>4</v>
      </c>
      <c r="J1007">
        <f t="shared" si="223"/>
        <v>1</v>
      </c>
      <c r="K1007" s="4">
        <f t="shared" si="226"/>
        <v>0.04</v>
      </c>
      <c r="L1007">
        <f t="shared" si="227"/>
        <v>0.09</v>
      </c>
      <c r="M1007" s="4">
        <f t="shared" si="224"/>
        <v>1.6000000000000001E-4</v>
      </c>
      <c r="N1007" s="4">
        <f t="shared" si="225"/>
        <v>3.5999999999999997E-4</v>
      </c>
    </row>
    <row r="1008" spans="1:14">
      <c r="A1008" t="str">
        <f t="shared" si="214"/>
        <v>alp_polobeats</v>
      </c>
      <c r="B1008" t="str">
        <f t="shared" si="215"/>
        <v>Facebook</v>
      </c>
      <c r="C1008" t="str">
        <f t="shared" si="216"/>
        <v>alp_polobeats_facebook_network_lancamento_prospeccao_cpm_prospecting_1200x628_AMC-Polo-Beats_polo-beats</v>
      </c>
      <c r="D1008" t="str">
        <f t="shared" si="217"/>
        <v>230236327</v>
      </c>
      <c r="E1008" t="str">
        <f t="shared" si="218"/>
        <v>Dynamic Click</v>
      </c>
      <c r="F1008" t="str">
        <f t="shared" si="219"/>
        <v>alp_polobeats_facebook_network_lancamento_prospeccao_cpm_prospecting_1200x628_AMC-Polo-Beats_polo-beats</v>
      </c>
      <c r="G1008" t="str">
        <f t="shared" si="220"/>
        <v>428075790</v>
      </c>
      <c r="H1008" t="str">
        <f t="shared" si="221"/>
        <v>Tracking</v>
      </c>
      <c r="I1008">
        <f t="shared" si="222"/>
        <v>0</v>
      </c>
      <c r="J1008">
        <f t="shared" si="223"/>
        <v>1</v>
      </c>
      <c r="K1008" s="4">
        <f t="shared" si="226"/>
        <v>3.5000000000000001E-3</v>
      </c>
      <c r="L1008">
        <f t="shared" si="227"/>
        <v>0.02</v>
      </c>
      <c r="M1008" s="4">
        <f t="shared" si="224"/>
        <v>3.5000000000000001E-3</v>
      </c>
      <c r="N1008" s="4">
        <f t="shared" si="225"/>
        <v>0.02</v>
      </c>
    </row>
    <row r="1009" spans="1:14">
      <c r="A1009" t="str">
        <f t="shared" si="214"/>
        <v>alp_polobeats</v>
      </c>
      <c r="B1009" t="str">
        <f t="shared" si="215"/>
        <v>Facebook</v>
      </c>
      <c r="C1009" t="str">
        <f t="shared" si="216"/>
        <v>alp_polobeats_facebook_network_lancamento_prospeccao_cpm_prospecting_carrossel_AMC-Polo-Beats-28-08_polo-beats</v>
      </c>
      <c r="D1009" t="str">
        <f t="shared" si="217"/>
        <v>232106406</v>
      </c>
      <c r="E1009" t="str">
        <f t="shared" si="218"/>
        <v>Dynamic Click</v>
      </c>
      <c r="F1009" t="str">
        <f t="shared" si="219"/>
        <v>alp_polobeats_facebook_network_lancamento_prospeccao_cpm_prospecting_carrossel_AMC-Polo-Beats-28-08_polo-beats</v>
      </c>
      <c r="G1009" t="str">
        <f t="shared" si="220"/>
        <v>429665041</v>
      </c>
      <c r="H1009" t="str">
        <f t="shared" si="221"/>
        <v>Tracking</v>
      </c>
      <c r="I1009">
        <f t="shared" si="222"/>
        <v>0</v>
      </c>
      <c r="J1009">
        <f t="shared" si="223"/>
        <v>14</v>
      </c>
      <c r="K1009" s="4">
        <f t="shared" si="226"/>
        <v>3.5000000000000001E-3</v>
      </c>
      <c r="L1009">
        <f t="shared" si="227"/>
        <v>0.02</v>
      </c>
      <c r="M1009" s="4">
        <f t="shared" si="224"/>
        <v>4.9000000000000002E-2</v>
      </c>
      <c r="N1009" s="4">
        <f t="shared" si="225"/>
        <v>0.28000000000000003</v>
      </c>
    </row>
    <row r="1010" spans="1:14">
      <c r="A1010" t="str">
        <f t="shared" si="214"/>
        <v>alp_polobeats</v>
      </c>
      <c r="B1010" t="str">
        <f t="shared" si="215"/>
        <v>Facebook</v>
      </c>
      <c r="C1010" t="str">
        <f t="shared" si="216"/>
        <v>alp_polobeats_facebook_network_lancamento_prospeccao_cpm_prospecting_carrossel_AMC-Polo-Beats_polo-beats</v>
      </c>
      <c r="D1010" t="str">
        <f t="shared" si="217"/>
        <v>230774986</v>
      </c>
      <c r="E1010" t="str">
        <f t="shared" si="218"/>
        <v>Dynamic Click</v>
      </c>
      <c r="F1010" t="str">
        <f t="shared" si="219"/>
        <v>alp_polobeats_facebook_network_lancamento_prospeccao_cpm_prospecting_carrossel_AMC-Polo-Beats_polo-beats</v>
      </c>
      <c r="G1010" t="str">
        <f t="shared" si="220"/>
        <v>428508734</v>
      </c>
      <c r="H1010" t="str">
        <f t="shared" si="221"/>
        <v>Tracking</v>
      </c>
      <c r="I1010">
        <f t="shared" si="222"/>
        <v>0</v>
      </c>
      <c r="J1010">
        <f t="shared" si="223"/>
        <v>5</v>
      </c>
      <c r="K1010" s="4">
        <f t="shared" si="226"/>
        <v>3.5000000000000001E-3</v>
      </c>
      <c r="L1010">
        <f t="shared" si="227"/>
        <v>0.02</v>
      </c>
      <c r="M1010" s="4">
        <f t="shared" si="224"/>
        <v>1.7500000000000002E-2</v>
      </c>
      <c r="N1010" s="4">
        <f t="shared" si="225"/>
        <v>0.1</v>
      </c>
    </row>
    <row r="1011" spans="1:14">
      <c r="A1011" t="str">
        <f t="shared" si="214"/>
        <v>alp_polobeats</v>
      </c>
      <c r="B1011" t="str">
        <f t="shared" si="215"/>
        <v>Facebook</v>
      </c>
      <c r="C1011" t="str">
        <f t="shared" si="216"/>
        <v>alp_polobeats_facebook_network_lancamento_prospeccao_cpm_prospecting_video-90_AMC-Polo-Beats_polo-beats</v>
      </c>
      <c r="D1011" t="str">
        <f t="shared" si="217"/>
        <v>230236333</v>
      </c>
      <c r="E1011" t="str">
        <f t="shared" si="218"/>
        <v>Dynamic Click</v>
      </c>
      <c r="F1011" t="str">
        <f t="shared" si="219"/>
        <v>alp_polobeats_facebook_network_lancamento_prospeccao_cpm_prospecting_video-90_AMC-Polo-Beats_polo-beats</v>
      </c>
      <c r="G1011" t="str">
        <f t="shared" si="220"/>
        <v>428075796</v>
      </c>
      <c r="H1011" t="str">
        <f t="shared" si="221"/>
        <v>Tracking</v>
      </c>
      <c r="I1011">
        <f t="shared" si="222"/>
        <v>0</v>
      </c>
      <c r="J1011">
        <f t="shared" si="223"/>
        <v>1</v>
      </c>
      <c r="K1011" s="4">
        <f t="shared" si="226"/>
        <v>3.5000000000000001E-3</v>
      </c>
      <c r="L1011">
        <f t="shared" si="227"/>
        <v>0.02</v>
      </c>
      <c r="M1011" s="4">
        <f t="shared" si="224"/>
        <v>3.5000000000000001E-3</v>
      </c>
      <c r="N1011" s="4">
        <f t="shared" si="225"/>
        <v>0.02</v>
      </c>
    </row>
    <row r="1012" spans="1:14">
      <c r="A1012" t="str">
        <f t="shared" si="214"/>
        <v>alp_polobeats</v>
      </c>
      <c r="B1012" t="str">
        <f t="shared" si="215"/>
        <v>Oath BR</v>
      </c>
      <c r="C1012" t="str">
        <f t="shared" si="216"/>
        <v>alp_polobeats_oath-brightroll_network_lancamento_prospeccao_cpm_prospecting_300x250_AMC-Polo-Beats_interesse-musica</v>
      </c>
      <c r="D1012" t="str">
        <f t="shared" si="217"/>
        <v>230878955</v>
      </c>
      <c r="E1012" t="str">
        <f t="shared" si="218"/>
        <v>Standard</v>
      </c>
      <c r="F1012" t="str">
        <f t="shared" si="219"/>
        <v>alp_polobeats_oath-brightroll_network_lancamento_prospeccao_cpm_prospecting_300x250_AMC-Polo-Beats_interesse-musica</v>
      </c>
      <c r="G1012" t="str">
        <f t="shared" si="220"/>
        <v>428813257</v>
      </c>
      <c r="H1012" t="str">
        <f t="shared" si="221"/>
        <v>Display</v>
      </c>
      <c r="I1012">
        <f t="shared" si="222"/>
        <v>1</v>
      </c>
      <c r="J1012">
        <f t="shared" si="223"/>
        <v>0</v>
      </c>
      <c r="K1012" s="4">
        <f t="shared" si="226"/>
        <v>0.04</v>
      </c>
      <c r="L1012">
        <f t="shared" si="227"/>
        <v>0.09</v>
      </c>
      <c r="M1012" s="4">
        <f t="shared" si="224"/>
        <v>4.0000000000000003E-5</v>
      </c>
      <c r="N1012" s="4">
        <f t="shared" si="225"/>
        <v>8.9999999999999992E-5</v>
      </c>
    </row>
    <row r="1013" spans="1:14">
      <c r="A1013" t="str">
        <f t="shared" si="214"/>
        <v>alp_polobeats</v>
      </c>
      <c r="B1013" t="str">
        <f t="shared" si="215"/>
        <v>Oath BR</v>
      </c>
      <c r="C1013" t="str">
        <f t="shared" si="216"/>
        <v>alp_polobeats_oath-brightroll_network_lancamento_prospeccao_cpm_prospecting_300x250_AMC-Polo-Beats_interesse-viagem</v>
      </c>
      <c r="D1013" t="str">
        <f t="shared" si="217"/>
        <v>230878937</v>
      </c>
      <c r="E1013" t="str">
        <f t="shared" si="218"/>
        <v>Standard</v>
      </c>
      <c r="F1013" t="str">
        <f t="shared" si="219"/>
        <v>alp_polobeats_oath-brightroll_network_lancamento_prospeccao_cpm_prospecting_300x250_AMC-Polo-Beats_interesse-viagem</v>
      </c>
      <c r="G1013" t="str">
        <f t="shared" si="220"/>
        <v>428813239</v>
      </c>
      <c r="H1013" t="str">
        <f t="shared" si="221"/>
        <v>Display</v>
      </c>
      <c r="I1013">
        <f t="shared" si="222"/>
        <v>1</v>
      </c>
      <c r="J1013">
        <f t="shared" si="223"/>
        <v>0</v>
      </c>
      <c r="K1013" s="4">
        <f t="shared" si="226"/>
        <v>0.04</v>
      </c>
      <c r="L1013">
        <f t="shared" si="227"/>
        <v>0.09</v>
      </c>
      <c r="M1013" s="4">
        <f t="shared" si="224"/>
        <v>4.0000000000000003E-5</v>
      </c>
      <c r="N1013" s="4">
        <f t="shared" si="225"/>
        <v>8.9999999999999992E-5</v>
      </c>
    </row>
    <row r="1014" spans="1:14">
      <c r="A1014" t="str">
        <f t="shared" si="214"/>
        <v>alp_polobeats</v>
      </c>
      <c r="B1014" t="str">
        <f t="shared" si="215"/>
        <v>Oath BR</v>
      </c>
      <c r="C1014" t="str">
        <f t="shared" si="216"/>
        <v>alp_polobeats_oath-outlook_network_lancamento_prospeccao_cpm_prospecting_300x600_AMC-Polo-Beats_interesse-musica</v>
      </c>
      <c r="D1014" t="str">
        <f t="shared" si="217"/>
        <v>230878925</v>
      </c>
      <c r="E1014" t="str">
        <f t="shared" si="218"/>
        <v>Standard</v>
      </c>
      <c r="F1014" t="str">
        <f t="shared" si="219"/>
        <v>alp_polobeats_oath-outlook_network_lancamento_prospeccao_cpm_prospecting_300x600_AMC-Polo-Beats_interesse-musica</v>
      </c>
      <c r="G1014" t="str">
        <f t="shared" si="220"/>
        <v>428813227</v>
      </c>
      <c r="H1014" t="str">
        <f t="shared" si="221"/>
        <v>Display</v>
      </c>
      <c r="I1014">
        <f t="shared" si="222"/>
        <v>1</v>
      </c>
      <c r="J1014">
        <f t="shared" si="223"/>
        <v>0</v>
      </c>
      <c r="K1014" s="4">
        <f t="shared" si="226"/>
        <v>0.04</v>
      </c>
      <c r="L1014">
        <f t="shared" si="227"/>
        <v>0.09</v>
      </c>
      <c r="M1014" s="4">
        <f t="shared" si="224"/>
        <v>4.0000000000000003E-5</v>
      </c>
      <c r="N1014" s="4">
        <f t="shared" si="225"/>
        <v>8.9999999999999992E-5</v>
      </c>
    </row>
    <row r="1015" spans="1:14">
      <c r="A1015" t="str">
        <f t="shared" si="214"/>
        <v>alp_polobeats</v>
      </c>
      <c r="B1015" t="str">
        <f t="shared" si="215"/>
        <v>Oath BR</v>
      </c>
      <c r="C1015" t="str">
        <f t="shared" si="216"/>
        <v>alp_polobeats_oath_network_lancamento_prospeccao_cpm_prospecting_1200x627_AMC-Polo-Beats_polo-beats-opcao-1</v>
      </c>
      <c r="D1015" t="str">
        <f t="shared" si="217"/>
        <v>231615110</v>
      </c>
      <c r="E1015" t="str">
        <f t="shared" si="218"/>
        <v>Dynamic Click</v>
      </c>
      <c r="F1015" t="str">
        <f t="shared" si="219"/>
        <v>alp_polobeats_oath_network_lancamento_prospeccao_cpm_prospecting_1200x627_AMC-Polo-Beats_polo-beats-opcao-1</v>
      </c>
      <c r="G1015" t="str">
        <f t="shared" si="220"/>
        <v>429384503</v>
      </c>
      <c r="H1015" t="str">
        <f t="shared" si="221"/>
        <v>Tracking</v>
      </c>
      <c r="I1015">
        <f t="shared" si="222"/>
        <v>2</v>
      </c>
      <c r="J1015">
        <f t="shared" si="223"/>
        <v>3</v>
      </c>
      <c r="K1015" s="4">
        <f t="shared" si="226"/>
        <v>3.5000000000000001E-3</v>
      </c>
      <c r="L1015">
        <f t="shared" si="227"/>
        <v>0.02</v>
      </c>
      <c r="M1015" s="4">
        <f t="shared" si="224"/>
        <v>1.0500000000000001E-2</v>
      </c>
      <c r="N1015" s="4">
        <f t="shared" si="225"/>
        <v>0.06</v>
      </c>
    </row>
    <row r="1016" spans="1:14">
      <c r="A1016" t="str">
        <f t="shared" si="214"/>
        <v>alp_polobeats</v>
      </c>
      <c r="B1016" t="str">
        <f t="shared" si="215"/>
        <v>Oath BR</v>
      </c>
      <c r="C1016" t="str">
        <f t="shared" si="216"/>
        <v>alp_polobeats_oath_network_lancamento_prospeccao_cpm_prospecting_1200x627_AMC-Polo-Beats_polo-beats-opcao-3</v>
      </c>
      <c r="D1016" t="str">
        <f t="shared" si="217"/>
        <v>231700105</v>
      </c>
      <c r="E1016" t="str">
        <f t="shared" si="218"/>
        <v>Dynamic Click</v>
      </c>
      <c r="F1016" t="str">
        <f t="shared" si="219"/>
        <v>alp_polobeats_oath_network_lancamento_prospeccao_cpm_prospecting_1200x627_AMC-Polo-Beats_polo-beats-opcao-3</v>
      </c>
      <c r="G1016" t="str">
        <f t="shared" si="220"/>
        <v>429384488</v>
      </c>
      <c r="H1016" t="str">
        <f t="shared" si="221"/>
        <v>Tracking</v>
      </c>
      <c r="I1016">
        <f t="shared" si="222"/>
        <v>1</v>
      </c>
      <c r="J1016">
        <f t="shared" si="223"/>
        <v>2</v>
      </c>
      <c r="K1016" s="4">
        <f t="shared" si="226"/>
        <v>3.5000000000000001E-3</v>
      </c>
      <c r="L1016">
        <f t="shared" si="227"/>
        <v>0.02</v>
      </c>
      <c r="M1016" s="4">
        <f t="shared" si="224"/>
        <v>7.0000000000000001E-3</v>
      </c>
      <c r="N1016" s="4">
        <f t="shared" si="225"/>
        <v>0.04</v>
      </c>
    </row>
    <row r="1017" spans="1:14">
      <c r="A1017" t="str">
        <f t="shared" si="214"/>
        <v>alp_polobeats</v>
      </c>
      <c r="B1017" t="str">
        <f t="shared" si="215"/>
        <v>Spotify</v>
      </c>
      <c r="C1017" t="str">
        <f t="shared" si="216"/>
        <v>alp_polobeats_spotify_network_lancamento_prospeccao_cpm_prospecting_640x640_AMC-Polo-Beats_polo-beats</v>
      </c>
      <c r="D1017" t="str">
        <f t="shared" si="217"/>
        <v>231179838</v>
      </c>
      <c r="E1017" t="str">
        <f t="shared" si="218"/>
        <v>Dynamic Click</v>
      </c>
      <c r="F1017" t="str">
        <f t="shared" si="219"/>
        <v>alp_polobeats_spotify_network_lancamento_prospeccao_cpm_prospecting_640x640_AMC-Polo-Beats_polo-beats</v>
      </c>
      <c r="G1017" t="str">
        <f t="shared" si="220"/>
        <v>428743526</v>
      </c>
      <c r="H1017" t="str">
        <f t="shared" si="221"/>
        <v>Tracking</v>
      </c>
      <c r="I1017">
        <f t="shared" si="222"/>
        <v>0</v>
      </c>
      <c r="J1017">
        <f t="shared" si="223"/>
        <v>1</v>
      </c>
      <c r="K1017" s="4">
        <f t="shared" si="226"/>
        <v>3.5000000000000001E-3</v>
      </c>
      <c r="L1017">
        <f t="shared" si="227"/>
        <v>0.02</v>
      </c>
      <c r="M1017" s="4">
        <f t="shared" si="224"/>
        <v>3.5000000000000001E-3</v>
      </c>
      <c r="N1017" s="4">
        <f t="shared" si="225"/>
        <v>0.02</v>
      </c>
    </row>
    <row r="1018" spans="1:14">
      <c r="A1018" t="str">
        <f t="shared" si="214"/>
        <v>alp_polobeats</v>
      </c>
      <c r="B1018" t="str">
        <f t="shared" si="215"/>
        <v>Spotify</v>
      </c>
      <c r="C1018" t="str">
        <f t="shared" si="216"/>
        <v>alp_polobeats_spotify_network_lancamento_prospeccao_cpm_prospecting_video-30_AMC-Polo-Beats_polo-beats</v>
      </c>
      <c r="D1018" t="str">
        <f t="shared" si="217"/>
        <v>231171231</v>
      </c>
      <c r="E1018" t="str">
        <f t="shared" si="218"/>
        <v>Dynamic Click</v>
      </c>
      <c r="F1018" t="str">
        <f t="shared" si="219"/>
        <v>alp_polobeats_spotify_network_lancamento_prospeccao_cpm_prospecting_video-30_AMC-Polo-Beats_polo-beats</v>
      </c>
      <c r="G1018" t="str">
        <f t="shared" si="220"/>
        <v>428743565</v>
      </c>
      <c r="H1018" t="str">
        <f t="shared" si="221"/>
        <v>Tracking</v>
      </c>
      <c r="I1018">
        <f t="shared" si="222"/>
        <v>0</v>
      </c>
      <c r="J1018">
        <f t="shared" si="223"/>
        <v>3</v>
      </c>
      <c r="K1018" s="4">
        <f t="shared" si="226"/>
        <v>3.5000000000000001E-3</v>
      </c>
      <c r="L1018">
        <f t="shared" si="227"/>
        <v>0.02</v>
      </c>
      <c r="M1018" s="4">
        <f t="shared" si="224"/>
        <v>1.0500000000000001E-2</v>
      </c>
      <c r="N1018" s="4">
        <f t="shared" si="225"/>
        <v>0.06</v>
      </c>
    </row>
    <row r="1019" spans="1:14">
      <c r="A1019" t="str">
        <f t="shared" si="214"/>
        <v>alp_polobeats</v>
      </c>
      <c r="B1019" t="str">
        <f t="shared" si="215"/>
        <v>Twitter</v>
      </c>
      <c r="C1019" t="str">
        <f t="shared" si="216"/>
        <v>alp_polobeats_twitter_network_lancamento_prospeccao_cpm_prospecting_pagepost_AMC-Polo-Beats_polo-beats</v>
      </c>
      <c r="D1019" t="str">
        <f t="shared" si="217"/>
        <v>237181089</v>
      </c>
      <c r="E1019" t="str">
        <f t="shared" si="218"/>
        <v>Dynamic Click</v>
      </c>
      <c r="F1019" t="str">
        <f t="shared" si="219"/>
        <v>alp_polobeats_twitter_network_lancamento_prospeccao_cpm_prospecting_pagepost_AMC-Polo-Beats_polo-beats</v>
      </c>
      <c r="G1019" t="str">
        <f t="shared" si="220"/>
        <v>434250411</v>
      </c>
      <c r="H1019" t="str">
        <f t="shared" si="221"/>
        <v>Tracking</v>
      </c>
      <c r="I1019">
        <f t="shared" si="222"/>
        <v>0</v>
      </c>
      <c r="J1019">
        <f t="shared" si="223"/>
        <v>5</v>
      </c>
      <c r="K1019" s="4">
        <f t="shared" si="226"/>
        <v>3.5000000000000001E-3</v>
      </c>
      <c r="L1019">
        <f t="shared" si="227"/>
        <v>0.02</v>
      </c>
      <c r="M1019" s="4">
        <f t="shared" si="224"/>
        <v>1.7500000000000002E-2</v>
      </c>
      <c r="N1019" s="4">
        <f t="shared" si="225"/>
        <v>0.1</v>
      </c>
    </row>
    <row r="1020" spans="1:14">
      <c r="A1020" t="str">
        <f t="shared" si="214"/>
        <v>alp_polobeats</v>
      </c>
      <c r="B1020" t="str">
        <f t="shared" si="215"/>
        <v>faceinsta</v>
      </c>
      <c r="C1020" t="str">
        <f t="shared" si="216"/>
        <v>alp_polobeats_faceinsta_network_lancamento_prospeccao_cpm_prospecting_carrossel_AMC-Polo-Beats_polo-beats</v>
      </c>
      <c r="D1020" t="str">
        <f t="shared" si="217"/>
        <v>230791582</v>
      </c>
      <c r="E1020" t="str">
        <f t="shared" si="218"/>
        <v>Dynamic Click</v>
      </c>
      <c r="F1020" t="str">
        <f t="shared" si="219"/>
        <v>alp_polobeats_faceinsta_network_lancamento_prospeccao_cpm_prospecting_carrossel_AMC-Polo-Beats_polo-beats</v>
      </c>
      <c r="G1020" t="str">
        <f t="shared" si="220"/>
        <v>428577016</v>
      </c>
      <c r="H1020" t="str">
        <f t="shared" si="221"/>
        <v>Tracking</v>
      </c>
      <c r="I1020">
        <f t="shared" si="222"/>
        <v>0</v>
      </c>
      <c r="J1020">
        <f t="shared" si="223"/>
        <v>2</v>
      </c>
      <c r="K1020" s="4">
        <f t="shared" si="226"/>
        <v>3.5000000000000001E-3</v>
      </c>
      <c r="L1020">
        <f t="shared" si="227"/>
        <v>0.02</v>
      </c>
      <c r="M1020" s="4">
        <f t="shared" si="224"/>
        <v>7.0000000000000001E-3</v>
      </c>
      <c r="N1020" s="4">
        <f t="shared" si="225"/>
        <v>0.04</v>
      </c>
    </row>
    <row r="1021" spans="1:14">
      <c r="A1021" t="str">
        <f t="shared" si="214"/>
        <v>alp_polobeats</v>
      </c>
      <c r="B1021" t="str">
        <f t="shared" si="215"/>
        <v>instagram.com</v>
      </c>
      <c r="C1021" t="str">
        <f t="shared" si="216"/>
        <v>alp_polobeats_instagram_network_lancamento_prospeccao_cpm_prospecting_carrossel_AMC-Polo-Beats_polo-beats</v>
      </c>
      <c r="D1021" t="str">
        <f t="shared" si="217"/>
        <v>230776738</v>
      </c>
      <c r="E1021" t="str">
        <f t="shared" si="218"/>
        <v>Dynamic Click</v>
      </c>
      <c r="F1021" t="str">
        <f t="shared" si="219"/>
        <v>alp_polobeats_instagram_network_lancamento_prospeccao_cpm_prospecting_carrossel_AMC-Polo-Beats_polo-beats</v>
      </c>
      <c r="G1021" t="str">
        <f t="shared" si="220"/>
        <v>428509604</v>
      </c>
      <c r="H1021" t="str">
        <f t="shared" si="221"/>
        <v>Tracking</v>
      </c>
      <c r="I1021">
        <f t="shared" si="222"/>
        <v>0</v>
      </c>
      <c r="J1021">
        <f t="shared" si="223"/>
        <v>5</v>
      </c>
      <c r="K1021" s="4">
        <f t="shared" si="226"/>
        <v>3.5000000000000001E-3</v>
      </c>
      <c r="L1021">
        <f t="shared" si="227"/>
        <v>0.02</v>
      </c>
      <c r="M1021" s="4">
        <f t="shared" si="224"/>
        <v>1.7500000000000002E-2</v>
      </c>
      <c r="N1021" s="4">
        <f t="shared" si="225"/>
        <v>0.1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FDDF-6924-479F-99E9-6DEAD4049F95}">
  <dimension ref="A3:D10"/>
  <sheetViews>
    <sheetView workbookViewId="0">
      <selection activeCell="D4" sqref="D4:D9"/>
    </sheetView>
  </sheetViews>
  <sheetFormatPr defaultRowHeight="15"/>
  <cols>
    <col min="1" max="1" width="24.5703125" bestFit="1" customWidth="1"/>
    <col min="2" max="2" width="20" bestFit="1" customWidth="1"/>
    <col min="3" max="3" width="18" bestFit="1" customWidth="1"/>
    <col min="4" max="4" width="13.85546875" bestFit="1" customWidth="1"/>
  </cols>
  <sheetData>
    <row r="3" spans="1:4">
      <c r="A3" s="27" t="s">
        <v>1746</v>
      </c>
      <c r="B3" t="s">
        <v>1748</v>
      </c>
    </row>
    <row r="4" spans="1:4">
      <c r="A4" s="28" t="s">
        <v>29</v>
      </c>
      <c r="B4" s="29">
        <v>117803960</v>
      </c>
      <c r="C4">
        <v>117803960</v>
      </c>
      <c r="D4" s="30">
        <f>C4*0.09/1000</f>
        <v>10602.356400000001</v>
      </c>
    </row>
    <row r="5" spans="1:4">
      <c r="A5" s="28" t="s">
        <v>11</v>
      </c>
      <c r="B5" s="29">
        <v>699314</v>
      </c>
      <c r="C5">
        <v>699314</v>
      </c>
      <c r="D5" s="30">
        <f>C5*0.09/1000</f>
        <v>62.938259999999993</v>
      </c>
    </row>
    <row r="6" spans="1:4">
      <c r="A6" s="28" t="s">
        <v>10</v>
      </c>
      <c r="B6" s="29">
        <v>30</v>
      </c>
      <c r="C6">
        <v>30</v>
      </c>
    </row>
    <row r="7" spans="1:4">
      <c r="A7" s="28" t="s">
        <v>25</v>
      </c>
      <c r="B7" s="29">
        <v>28148355</v>
      </c>
      <c r="C7" s="31">
        <v>28148355</v>
      </c>
      <c r="D7" s="30">
        <f>C7*0.35/1000</f>
        <v>9851.92425</v>
      </c>
    </row>
    <row r="8" spans="1:4">
      <c r="A8" s="28" t="s">
        <v>30</v>
      </c>
      <c r="B8" s="29">
        <v>2045050</v>
      </c>
      <c r="C8" s="31">
        <v>2045050</v>
      </c>
      <c r="D8" s="30">
        <f>C8*0.35/1000</f>
        <v>715.76750000000004</v>
      </c>
    </row>
    <row r="9" spans="1:4">
      <c r="A9" s="28" t="s">
        <v>12</v>
      </c>
      <c r="B9" s="29">
        <v>374717062</v>
      </c>
      <c r="C9" s="31">
        <v>374717062</v>
      </c>
      <c r="D9" s="30">
        <f>(C9*0.04)/1000</f>
        <v>14988.682480000001</v>
      </c>
    </row>
    <row r="10" spans="1:4">
      <c r="A10" s="28" t="s">
        <v>1747</v>
      </c>
      <c r="B10" s="29">
        <v>523413771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2772"/>
  <sheetViews>
    <sheetView showGridLines="0" tabSelected="1" topLeftCell="B1" workbookViewId="0">
      <selection activeCell="D6" sqref="D6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2" spans="1:8">
      <c r="G2" s="25" t="s">
        <v>48</v>
      </c>
      <c r="H2" s="25"/>
    </row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3" t="s">
        <v>1022</v>
      </c>
      <c r="H3" s="23" t="s">
        <v>1023</v>
      </c>
    </row>
    <row r="4" spans="1:8">
      <c r="B4" s="13" t="s">
        <v>12</v>
      </c>
      <c r="C4" s="2">
        <v>0.09</v>
      </c>
      <c r="D4" s="2">
        <f>SUMIF(adtype_filtrada,$B4,impressoes_filtrada)</f>
        <v>228606912</v>
      </c>
      <c r="E4" s="14">
        <f>C4*D4/1000</f>
        <v>20574.622079999997</v>
      </c>
      <c r="G4" s="14">
        <f>SUM(total_adops_filtrada)</f>
        <v>92230.15184999998</v>
      </c>
      <c r="H4" s="14">
        <f>SUM(total_ferramenta_filtrada)</f>
        <v>42738.812319999823</v>
      </c>
    </row>
    <row r="5" spans="1:8">
      <c r="B5" s="13" t="s">
        <v>11</v>
      </c>
      <c r="C5" s="2">
        <v>0.09</v>
      </c>
      <c r="D5" s="2">
        <f>SUMIF(adtype_filtrada,$B5,impressoes_filtrada)</f>
        <v>14060379</v>
      </c>
      <c r="E5" s="14">
        <f>C5*D5/1000</f>
        <v>1265.4341099999999</v>
      </c>
    </row>
    <row r="6" spans="1:8">
      <c r="B6" s="13" t="s">
        <v>10</v>
      </c>
      <c r="C6" s="2">
        <v>0.02</v>
      </c>
      <c r="D6" s="2">
        <f>SUMIF(adtype_filtrada,$B6,clicks_filtrada)</f>
        <v>2846665</v>
      </c>
      <c r="E6" s="14">
        <f>C6*D6</f>
        <v>56933.3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170703903</v>
      </c>
      <c r="E7" s="14">
        <f>C7*D7/1000</f>
        <v>11949.273210000001</v>
      </c>
    </row>
    <row r="8" spans="1:8">
      <c r="B8" s="13" t="s">
        <v>980</v>
      </c>
      <c r="C8" s="2">
        <v>0.35</v>
      </c>
      <c r="D8" s="2">
        <f>SUMIF(adtype_filtrada,$B8,impressoes_filtrada)</f>
        <v>4307205</v>
      </c>
      <c r="E8" s="14">
        <f>C8*D8/1000</f>
        <v>1507.5217500000001</v>
      </c>
    </row>
    <row r="9" spans="1:8">
      <c r="B9" s="13" t="s">
        <v>25</v>
      </c>
      <c r="C9" s="2">
        <v>0.35</v>
      </c>
      <c r="D9" s="2">
        <f>SUMIF(adtype_filtrada,$B9,impressoes_filtrada)</f>
        <v>2</v>
      </c>
      <c r="E9" s="14">
        <f>C9*D9/1000</f>
        <v>6.9999999999999999E-4</v>
      </c>
    </row>
    <row r="10" spans="1:8">
      <c r="B10" s="12" t="s">
        <v>23</v>
      </c>
      <c r="C10" s="12"/>
      <c r="D10" s="12"/>
      <c r="E10" s="15">
        <f>SUM(E4:E9)</f>
        <v>92230.151849999995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1024</v>
      </c>
      <c r="C20" t="s">
        <v>50</v>
      </c>
      <c r="D20" t="s">
        <v>1749</v>
      </c>
      <c r="E20" t="s">
        <v>1750</v>
      </c>
      <c r="F20" t="s">
        <v>12</v>
      </c>
      <c r="G20" t="s">
        <v>1749</v>
      </c>
      <c r="H20" t="s">
        <v>1751</v>
      </c>
      <c r="I20" t="s">
        <v>31</v>
      </c>
      <c r="J20">
        <v>185277</v>
      </c>
      <c r="K20">
        <v>61</v>
      </c>
      <c r="L20" s="4">
        <v>0.04</v>
      </c>
      <c r="M20">
        <v>0.09</v>
      </c>
      <c r="N20" s="4">
        <v>7.4110800000000001</v>
      </c>
      <c r="O20" s="4">
        <v>16.67493</v>
      </c>
    </row>
    <row r="21" spans="1:15">
      <c r="B21" t="s">
        <v>1024</v>
      </c>
      <c r="C21" t="s">
        <v>50</v>
      </c>
      <c r="D21" t="s">
        <v>1752</v>
      </c>
      <c r="E21" t="s">
        <v>1753</v>
      </c>
      <c r="F21" t="s">
        <v>12</v>
      </c>
      <c r="G21" t="s">
        <v>1752</v>
      </c>
      <c r="H21" t="s">
        <v>1754</v>
      </c>
      <c r="I21" t="s">
        <v>31</v>
      </c>
      <c r="J21">
        <v>13998</v>
      </c>
      <c r="K21">
        <v>3</v>
      </c>
      <c r="L21" s="4">
        <v>0.04</v>
      </c>
      <c r="M21">
        <v>0.09</v>
      </c>
      <c r="N21" s="4">
        <v>0.55991999999999997</v>
      </c>
      <c r="O21" s="4">
        <v>1.2598199999999999</v>
      </c>
    </row>
    <row r="22" spans="1:15">
      <c r="B22" t="s">
        <v>1024</v>
      </c>
      <c r="C22" t="s">
        <v>50</v>
      </c>
      <c r="D22" t="s">
        <v>1755</v>
      </c>
      <c r="E22" t="s">
        <v>1756</v>
      </c>
      <c r="F22" t="s">
        <v>12</v>
      </c>
      <c r="G22" t="s">
        <v>1755</v>
      </c>
      <c r="H22" t="s">
        <v>1757</v>
      </c>
      <c r="I22" t="s">
        <v>31</v>
      </c>
      <c r="J22">
        <v>16962</v>
      </c>
      <c r="K22">
        <v>8</v>
      </c>
      <c r="L22" s="4">
        <v>0.04</v>
      </c>
      <c r="M22">
        <v>0.09</v>
      </c>
      <c r="N22" s="4">
        <v>0.67847999999999997</v>
      </c>
      <c r="O22" s="4">
        <v>1.5265799999999998</v>
      </c>
    </row>
    <row r="23" spans="1:15">
      <c r="B23" t="s">
        <v>1024</v>
      </c>
      <c r="C23" t="s">
        <v>50</v>
      </c>
      <c r="D23" t="s">
        <v>1758</v>
      </c>
      <c r="E23" t="s">
        <v>1759</v>
      </c>
      <c r="F23" t="s">
        <v>12</v>
      </c>
      <c r="G23" t="s">
        <v>1758</v>
      </c>
      <c r="H23" t="s">
        <v>1760</v>
      </c>
      <c r="I23" t="s">
        <v>31</v>
      </c>
      <c r="J23">
        <v>1665508</v>
      </c>
      <c r="K23">
        <v>1937</v>
      </c>
      <c r="L23" s="4">
        <v>0.04</v>
      </c>
      <c r="M23">
        <v>0.09</v>
      </c>
      <c r="N23" s="4">
        <v>66.620320000000007</v>
      </c>
      <c r="O23" s="4">
        <v>149.89572000000001</v>
      </c>
    </row>
    <row r="24" spans="1:15">
      <c r="B24" t="s">
        <v>1024</v>
      </c>
      <c r="C24" t="s">
        <v>50</v>
      </c>
      <c r="D24" t="s">
        <v>1761</v>
      </c>
      <c r="E24" t="s">
        <v>1762</v>
      </c>
      <c r="F24" t="s">
        <v>12</v>
      </c>
      <c r="G24" t="s">
        <v>1761</v>
      </c>
      <c r="H24" t="s">
        <v>1763</v>
      </c>
      <c r="I24" t="s">
        <v>31</v>
      </c>
      <c r="J24">
        <v>446</v>
      </c>
      <c r="K24">
        <v>4</v>
      </c>
      <c r="L24" s="4">
        <v>0.04</v>
      </c>
      <c r="M24">
        <v>0.09</v>
      </c>
      <c r="N24" s="4">
        <v>1.7839999999999998E-2</v>
      </c>
      <c r="O24" s="4">
        <v>4.0140000000000002E-2</v>
      </c>
    </row>
    <row r="25" spans="1:15">
      <c r="B25" t="s">
        <v>1024</v>
      </c>
      <c r="C25" t="s">
        <v>50</v>
      </c>
      <c r="D25" t="s">
        <v>1764</v>
      </c>
      <c r="E25" t="s">
        <v>1765</v>
      </c>
      <c r="F25" t="s">
        <v>12</v>
      </c>
      <c r="G25" t="s">
        <v>1764</v>
      </c>
      <c r="H25" t="s">
        <v>1766</v>
      </c>
      <c r="I25" t="s">
        <v>31</v>
      </c>
      <c r="J25">
        <v>183290</v>
      </c>
      <c r="K25">
        <v>412</v>
      </c>
      <c r="L25" s="4">
        <v>0.04</v>
      </c>
      <c r="M25">
        <v>0.09</v>
      </c>
      <c r="N25" s="4">
        <v>7.3316000000000008</v>
      </c>
      <c r="O25" s="4">
        <v>16.496099999999998</v>
      </c>
    </row>
    <row r="26" spans="1:15">
      <c r="B26" t="s">
        <v>1024</v>
      </c>
      <c r="C26" t="s">
        <v>50</v>
      </c>
      <c r="D26" t="s">
        <v>1767</v>
      </c>
      <c r="E26" t="s">
        <v>1768</v>
      </c>
      <c r="F26" t="s">
        <v>12</v>
      </c>
      <c r="G26" t="s">
        <v>1767</v>
      </c>
      <c r="H26" t="s">
        <v>1769</v>
      </c>
      <c r="I26" t="s">
        <v>31</v>
      </c>
      <c r="J26">
        <v>4160</v>
      </c>
      <c r="K26">
        <v>2</v>
      </c>
      <c r="L26" s="4">
        <v>0.04</v>
      </c>
      <c r="M26">
        <v>0.09</v>
      </c>
      <c r="N26" s="4">
        <v>0.16639999999999999</v>
      </c>
      <c r="O26" s="4">
        <v>0.37439999999999996</v>
      </c>
    </row>
    <row r="27" spans="1:15">
      <c r="B27" t="s">
        <v>1024</v>
      </c>
      <c r="C27" t="s">
        <v>50</v>
      </c>
      <c r="D27" t="s">
        <v>1770</v>
      </c>
      <c r="E27" t="s">
        <v>1771</v>
      </c>
      <c r="F27" t="s">
        <v>12</v>
      </c>
      <c r="G27" t="s">
        <v>1770</v>
      </c>
      <c r="H27" t="s">
        <v>1772</v>
      </c>
      <c r="I27" t="s">
        <v>31</v>
      </c>
      <c r="J27">
        <v>87595</v>
      </c>
      <c r="K27">
        <v>64</v>
      </c>
      <c r="L27" s="4">
        <v>0.04</v>
      </c>
      <c r="M27">
        <v>0.09</v>
      </c>
      <c r="N27" s="4">
        <v>3.5038</v>
      </c>
      <c r="O27" s="4">
        <v>7.8835499999999996</v>
      </c>
    </row>
    <row r="28" spans="1:15">
      <c r="B28" t="s">
        <v>1024</v>
      </c>
      <c r="C28" t="s">
        <v>50</v>
      </c>
      <c r="D28" t="s">
        <v>1773</v>
      </c>
      <c r="E28" t="s">
        <v>1774</v>
      </c>
      <c r="F28" t="s">
        <v>12</v>
      </c>
      <c r="G28" t="s">
        <v>1773</v>
      </c>
      <c r="H28" t="s">
        <v>1775</v>
      </c>
      <c r="I28" t="s">
        <v>31</v>
      </c>
      <c r="J28">
        <v>32286</v>
      </c>
      <c r="K28">
        <v>26</v>
      </c>
      <c r="L28" s="4">
        <v>0.04</v>
      </c>
      <c r="M28">
        <v>0.09</v>
      </c>
      <c r="N28" s="4">
        <v>1.2914400000000001</v>
      </c>
      <c r="O28" s="4">
        <v>2.9057399999999998</v>
      </c>
    </row>
    <row r="29" spans="1:15">
      <c r="B29" t="s">
        <v>1024</v>
      </c>
      <c r="C29" t="s">
        <v>50</v>
      </c>
      <c r="D29" t="s">
        <v>1776</v>
      </c>
      <c r="E29" t="s">
        <v>1777</v>
      </c>
      <c r="F29" t="s">
        <v>12</v>
      </c>
      <c r="G29" t="s">
        <v>1776</v>
      </c>
      <c r="H29" t="s">
        <v>1778</v>
      </c>
      <c r="I29" t="s">
        <v>31</v>
      </c>
      <c r="J29">
        <v>341697</v>
      </c>
      <c r="K29">
        <v>122</v>
      </c>
      <c r="L29" s="4">
        <v>0.04</v>
      </c>
      <c r="M29">
        <v>0.09</v>
      </c>
      <c r="N29" s="4">
        <v>13.66788</v>
      </c>
      <c r="O29" s="4">
        <v>30.75273</v>
      </c>
    </row>
    <row r="30" spans="1:15">
      <c r="B30" t="s">
        <v>1024</v>
      </c>
      <c r="C30" t="s">
        <v>50</v>
      </c>
      <c r="D30" t="s">
        <v>1779</v>
      </c>
      <c r="E30" t="s">
        <v>1780</v>
      </c>
      <c r="F30" t="s">
        <v>12</v>
      </c>
      <c r="G30" t="s">
        <v>1779</v>
      </c>
      <c r="H30" t="s">
        <v>1781</v>
      </c>
      <c r="I30" t="s">
        <v>31</v>
      </c>
      <c r="J30">
        <v>26269</v>
      </c>
      <c r="K30">
        <v>18</v>
      </c>
      <c r="L30" s="4">
        <v>0.04</v>
      </c>
      <c r="M30">
        <v>0.09</v>
      </c>
      <c r="N30" s="4">
        <v>1.0507599999999999</v>
      </c>
      <c r="O30" s="4">
        <v>2.3642099999999999</v>
      </c>
    </row>
    <row r="31" spans="1:15">
      <c r="B31" t="s">
        <v>1024</v>
      </c>
      <c r="C31" t="s">
        <v>50</v>
      </c>
      <c r="D31" t="s">
        <v>1782</v>
      </c>
      <c r="E31" t="s">
        <v>1783</v>
      </c>
      <c r="F31" t="s">
        <v>12</v>
      </c>
      <c r="G31" t="s">
        <v>1782</v>
      </c>
      <c r="H31" t="s">
        <v>1784</v>
      </c>
      <c r="I31" t="s">
        <v>31</v>
      </c>
      <c r="J31">
        <v>37076</v>
      </c>
      <c r="K31">
        <v>15</v>
      </c>
      <c r="L31" s="4">
        <v>0.04</v>
      </c>
      <c r="M31">
        <v>0.09</v>
      </c>
      <c r="N31" s="4">
        <v>1.4830399999999999</v>
      </c>
      <c r="O31" s="4">
        <v>3.3368399999999996</v>
      </c>
    </row>
    <row r="32" spans="1:15">
      <c r="B32" t="s">
        <v>1024</v>
      </c>
      <c r="C32" t="s">
        <v>50</v>
      </c>
      <c r="D32" t="s">
        <v>1785</v>
      </c>
      <c r="E32" t="s">
        <v>1786</v>
      </c>
      <c r="F32" t="s">
        <v>12</v>
      </c>
      <c r="G32" t="s">
        <v>1785</v>
      </c>
      <c r="H32" t="s">
        <v>1787</v>
      </c>
      <c r="I32" t="s">
        <v>31</v>
      </c>
      <c r="J32">
        <v>1733405</v>
      </c>
      <c r="K32">
        <v>1816</v>
      </c>
      <c r="L32" s="4">
        <v>0.04</v>
      </c>
      <c r="M32">
        <v>0.09</v>
      </c>
      <c r="N32" s="4">
        <v>69.336199999999991</v>
      </c>
      <c r="O32" s="4">
        <v>156.00644999999997</v>
      </c>
    </row>
    <row r="33" spans="2:15">
      <c r="B33" t="s">
        <v>1024</v>
      </c>
      <c r="C33" t="s">
        <v>50</v>
      </c>
      <c r="D33" t="s">
        <v>1788</v>
      </c>
      <c r="E33" t="s">
        <v>1789</v>
      </c>
      <c r="F33" t="s">
        <v>12</v>
      </c>
      <c r="G33" t="s">
        <v>1788</v>
      </c>
      <c r="H33" t="s">
        <v>1790</v>
      </c>
      <c r="I33" t="s">
        <v>31</v>
      </c>
      <c r="J33">
        <v>875</v>
      </c>
      <c r="K33">
        <v>5</v>
      </c>
      <c r="L33" s="4">
        <v>0.04</v>
      </c>
      <c r="M33">
        <v>0.09</v>
      </c>
      <c r="N33" s="4">
        <v>3.5000000000000003E-2</v>
      </c>
      <c r="O33" s="4">
        <v>7.8750000000000001E-2</v>
      </c>
    </row>
    <row r="34" spans="2:15">
      <c r="B34" t="s">
        <v>1024</v>
      </c>
      <c r="C34" t="s">
        <v>50</v>
      </c>
      <c r="D34" t="s">
        <v>1791</v>
      </c>
      <c r="E34" t="s">
        <v>1792</v>
      </c>
      <c r="F34" t="s">
        <v>11</v>
      </c>
      <c r="G34" t="s">
        <v>117</v>
      </c>
      <c r="H34" t="s">
        <v>1793</v>
      </c>
      <c r="I34" t="s">
        <v>31</v>
      </c>
      <c r="J34">
        <v>1</v>
      </c>
      <c r="K34">
        <v>0</v>
      </c>
      <c r="L34" s="4">
        <v>0.04</v>
      </c>
      <c r="M34">
        <v>0.09</v>
      </c>
      <c r="N34" s="4">
        <v>4.0000000000000003E-5</v>
      </c>
      <c r="O34" s="4">
        <v>8.9999999999999992E-5</v>
      </c>
    </row>
    <row r="35" spans="2:15">
      <c r="B35" t="s">
        <v>1024</v>
      </c>
      <c r="C35" t="s">
        <v>50</v>
      </c>
      <c r="D35" t="s">
        <v>1791</v>
      </c>
      <c r="E35" t="s">
        <v>1792</v>
      </c>
      <c r="F35" t="s">
        <v>12</v>
      </c>
      <c r="G35" t="s">
        <v>1791</v>
      </c>
      <c r="H35" t="s">
        <v>1794</v>
      </c>
      <c r="I35" t="s">
        <v>31</v>
      </c>
      <c r="J35">
        <v>393957</v>
      </c>
      <c r="K35">
        <v>849</v>
      </c>
      <c r="L35" s="4">
        <v>0.04</v>
      </c>
      <c r="M35">
        <v>0.09</v>
      </c>
      <c r="N35" s="4">
        <v>15.758280000000001</v>
      </c>
      <c r="O35" s="4">
        <v>35.456129999999995</v>
      </c>
    </row>
    <row r="36" spans="2:15">
      <c r="B36" t="s">
        <v>1024</v>
      </c>
      <c r="C36" t="s">
        <v>50</v>
      </c>
      <c r="D36" t="s">
        <v>1795</v>
      </c>
      <c r="E36" t="s">
        <v>1796</v>
      </c>
      <c r="F36" t="s">
        <v>12</v>
      </c>
      <c r="G36" t="s">
        <v>1795</v>
      </c>
      <c r="H36" t="s">
        <v>1797</v>
      </c>
      <c r="I36" t="s">
        <v>31</v>
      </c>
      <c r="J36">
        <v>8804</v>
      </c>
      <c r="K36">
        <v>5</v>
      </c>
      <c r="L36" s="4">
        <v>0.04</v>
      </c>
      <c r="M36">
        <v>0.09</v>
      </c>
      <c r="N36" s="4">
        <v>0.35216000000000003</v>
      </c>
      <c r="O36" s="4">
        <v>0.79236000000000006</v>
      </c>
    </row>
    <row r="37" spans="2:15">
      <c r="B37" t="s">
        <v>1024</v>
      </c>
      <c r="C37" t="s">
        <v>50</v>
      </c>
      <c r="D37" t="s">
        <v>1798</v>
      </c>
      <c r="E37" t="s">
        <v>1799</v>
      </c>
      <c r="F37" t="s">
        <v>12</v>
      </c>
      <c r="G37" t="s">
        <v>1798</v>
      </c>
      <c r="H37" t="s">
        <v>1800</v>
      </c>
      <c r="I37" t="s">
        <v>31</v>
      </c>
      <c r="J37">
        <v>192213</v>
      </c>
      <c r="K37">
        <v>150</v>
      </c>
      <c r="L37" s="4">
        <v>0.04</v>
      </c>
      <c r="M37">
        <v>0.09</v>
      </c>
      <c r="N37" s="4">
        <v>7.6885200000000005</v>
      </c>
      <c r="O37" s="4">
        <v>17.299169999999997</v>
      </c>
    </row>
    <row r="38" spans="2:15">
      <c r="B38" t="s">
        <v>1024</v>
      </c>
      <c r="C38" t="s">
        <v>50</v>
      </c>
      <c r="D38" t="s">
        <v>1801</v>
      </c>
      <c r="E38" t="s">
        <v>1802</v>
      </c>
      <c r="F38" t="s">
        <v>12</v>
      </c>
      <c r="G38" t="s">
        <v>1801</v>
      </c>
      <c r="H38" t="s">
        <v>1803</v>
      </c>
      <c r="I38" t="s">
        <v>31</v>
      </c>
      <c r="J38">
        <v>59933</v>
      </c>
      <c r="K38">
        <v>35</v>
      </c>
      <c r="L38" s="4">
        <v>0.04</v>
      </c>
      <c r="M38">
        <v>0.09</v>
      </c>
      <c r="N38" s="4">
        <v>2.3973200000000001</v>
      </c>
      <c r="O38" s="4">
        <v>5.3939700000000004</v>
      </c>
    </row>
    <row r="39" spans="2:15">
      <c r="B39" t="s">
        <v>1024</v>
      </c>
      <c r="C39" t="s">
        <v>50</v>
      </c>
      <c r="D39" t="s">
        <v>1804</v>
      </c>
      <c r="E39" t="s">
        <v>1805</v>
      </c>
      <c r="F39" t="s">
        <v>980</v>
      </c>
      <c r="G39" t="s">
        <v>1804</v>
      </c>
      <c r="H39" t="s">
        <v>1806</v>
      </c>
      <c r="I39" t="s">
        <v>980</v>
      </c>
      <c r="J39">
        <v>3</v>
      </c>
      <c r="K39">
        <v>1</v>
      </c>
      <c r="L39" s="4">
        <v>0.6</v>
      </c>
      <c r="M39">
        <v>0.35</v>
      </c>
      <c r="N39" s="4">
        <v>1.7999999999999997E-3</v>
      </c>
      <c r="O39" s="4">
        <v>1.0499999999999997E-3</v>
      </c>
    </row>
    <row r="40" spans="2:15">
      <c r="B40" t="s">
        <v>1024</v>
      </c>
      <c r="C40" t="s">
        <v>50</v>
      </c>
      <c r="D40" t="s">
        <v>1807</v>
      </c>
      <c r="E40" t="s">
        <v>1808</v>
      </c>
      <c r="F40" t="s">
        <v>980</v>
      </c>
      <c r="G40" t="s">
        <v>1807</v>
      </c>
      <c r="H40" t="s">
        <v>1809</v>
      </c>
      <c r="I40" t="s">
        <v>980</v>
      </c>
      <c r="J40">
        <v>1</v>
      </c>
      <c r="K40">
        <v>1</v>
      </c>
      <c r="L40" s="4">
        <v>0.6</v>
      </c>
      <c r="M40">
        <v>0.35</v>
      </c>
      <c r="N40" s="4">
        <v>5.9999999999999995E-4</v>
      </c>
      <c r="O40" s="4">
        <v>3.5E-4</v>
      </c>
    </row>
    <row r="41" spans="2:15">
      <c r="B41" t="s">
        <v>1024</v>
      </c>
      <c r="C41" t="s">
        <v>50</v>
      </c>
      <c r="D41" t="s">
        <v>1810</v>
      </c>
      <c r="E41" t="s">
        <v>1811</v>
      </c>
      <c r="F41" t="s">
        <v>980</v>
      </c>
      <c r="G41" t="s">
        <v>1810</v>
      </c>
      <c r="H41" t="s">
        <v>1812</v>
      </c>
      <c r="I41" t="s">
        <v>980</v>
      </c>
      <c r="J41">
        <v>2</v>
      </c>
      <c r="K41">
        <v>1</v>
      </c>
      <c r="L41" s="4">
        <v>0.6</v>
      </c>
      <c r="M41">
        <v>0.35</v>
      </c>
      <c r="N41" s="4">
        <v>1.1999999999999999E-3</v>
      </c>
      <c r="O41" s="4">
        <v>6.9999999999999999E-4</v>
      </c>
    </row>
    <row r="42" spans="2:15">
      <c r="B42" t="s">
        <v>1024</v>
      </c>
      <c r="C42" t="s">
        <v>50</v>
      </c>
      <c r="D42" t="s">
        <v>1813</v>
      </c>
      <c r="E42" t="s">
        <v>1814</v>
      </c>
      <c r="F42" t="s">
        <v>980</v>
      </c>
      <c r="G42" t="s">
        <v>1813</v>
      </c>
      <c r="H42" t="s">
        <v>1815</v>
      </c>
      <c r="I42" t="s">
        <v>980</v>
      </c>
      <c r="J42">
        <v>1</v>
      </c>
      <c r="K42">
        <v>1</v>
      </c>
      <c r="L42" s="4">
        <v>0.6</v>
      </c>
      <c r="M42">
        <v>0.35</v>
      </c>
      <c r="N42" s="4">
        <v>5.9999999999999995E-4</v>
      </c>
      <c r="O42" s="4">
        <v>3.5E-4</v>
      </c>
    </row>
    <row r="43" spans="2:15">
      <c r="B43" t="s">
        <v>1024</v>
      </c>
      <c r="C43" t="s">
        <v>50</v>
      </c>
      <c r="D43" t="s">
        <v>1025</v>
      </c>
      <c r="E43" t="s">
        <v>1026</v>
      </c>
      <c r="F43" t="s">
        <v>980</v>
      </c>
      <c r="G43" t="s">
        <v>1025</v>
      </c>
      <c r="H43" t="s">
        <v>1027</v>
      </c>
      <c r="I43" t="s">
        <v>980</v>
      </c>
      <c r="J43">
        <v>4307197</v>
      </c>
      <c r="K43">
        <v>12139</v>
      </c>
      <c r="L43" s="4">
        <v>0.6</v>
      </c>
      <c r="M43">
        <v>0.35</v>
      </c>
      <c r="N43" s="4">
        <v>2584.3181999999997</v>
      </c>
      <c r="O43" s="4">
        <v>1507.5189499999999</v>
      </c>
    </row>
    <row r="44" spans="2:15">
      <c r="B44" t="s">
        <v>1024</v>
      </c>
      <c r="C44" t="s">
        <v>50</v>
      </c>
      <c r="D44" t="s">
        <v>1816</v>
      </c>
      <c r="E44" t="s">
        <v>1817</v>
      </c>
      <c r="F44" t="s">
        <v>980</v>
      </c>
      <c r="G44" t="s">
        <v>1816</v>
      </c>
      <c r="H44" t="s">
        <v>1818</v>
      </c>
      <c r="I44" t="s">
        <v>980</v>
      </c>
      <c r="J44">
        <v>1</v>
      </c>
      <c r="K44">
        <v>1</v>
      </c>
      <c r="L44" s="4">
        <v>0.6</v>
      </c>
      <c r="M44">
        <v>0.35</v>
      </c>
      <c r="N44" s="4">
        <v>5.9999999999999995E-4</v>
      </c>
      <c r="O44" s="4">
        <v>3.5E-4</v>
      </c>
    </row>
    <row r="45" spans="2:15">
      <c r="B45" t="s">
        <v>1028</v>
      </c>
      <c r="C45" t="s">
        <v>136</v>
      </c>
      <c r="D45" t="s">
        <v>1029</v>
      </c>
      <c r="E45" t="s">
        <v>1030</v>
      </c>
      <c r="F45" t="s">
        <v>10</v>
      </c>
      <c r="G45" t="s">
        <v>1029</v>
      </c>
      <c r="H45" t="s">
        <v>1031</v>
      </c>
      <c r="I45" t="s">
        <v>32</v>
      </c>
      <c r="J45">
        <v>0</v>
      </c>
      <c r="K45">
        <v>812</v>
      </c>
      <c r="L45" s="4">
        <v>3.5000000000000001E-3</v>
      </c>
      <c r="M45">
        <v>0.02</v>
      </c>
      <c r="N45" s="4">
        <v>2.8420000000000001</v>
      </c>
      <c r="O45" s="4">
        <v>16.240000000000002</v>
      </c>
    </row>
    <row r="46" spans="2:15">
      <c r="B46" t="s">
        <v>1028</v>
      </c>
      <c r="C46" t="s">
        <v>50</v>
      </c>
      <c r="D46" t="s">
        <v>1819</v>
      </c>
      <c r="E46" t="s">
        <v>1820</v>
      </c>
      <c r="F46" t="s">
        <v>11</v>
      </c>
      <c r="G46" t="s">
        <v>786</v>
      </c>
      <c r="H46" t="s">
        <v>1821</v>
      </c>
      <c r="I46" t="s">
        <v>31</v>
      </c>
      <c r="J46">
        <v>1</v>
      </c>
      <c r="K46">
        <v>0</v>
      </c>
      <c r="L46" s="4">
        <v>0.04</v>
      </c>
      <c r="M46">
        <v>0.09</v>
      </c>
      <c r="N46" s="4">
        <v>4.0000000000000003E-5</v>
      </c>
      <c r="O46" s="4">
        <v>8.9999999999999992E-5</v>
      </c>
    </row>
    <row r="47" spans="2:15">
      <c r="B47" t="s">
        <v>1028</v>
      </c>
      <c r="C47" t="s">
        <v>50</v>
      </c>
      <c r="D47" t="s">
        <v>1819</v>
      </c>
      <c r="E47" t="s">
        <v>1820</v>
      </c>
      <c r="F47" t="s">
        <v>12</v>
      </c>
      <c r="G47" t="s">
        <v>1819</v>
      </c>
      <c r="H47" t="s">
        <v>1822</v>
      </c>
      <c r="I47" t="s">
        <v>32</v>
      </c>
      <c r="J47">
        <v>4047244</v>
      </c>
      <c r="K47">
        <v>5865</v>
      </c>
      <c r="L47" s="4">
        <v>0.04</v>
      </c>
      <c r="M47">
        <v>0.09</v>
      </c>
      <c r="N47" s="4">
        <v>161.88976</v>
      </c>
      <c r="O47" s="4">
        <v>364.25195999999994</v>
      </c>
    </row>
    <row r="48" spans="2:15">
      <c r="B48" t="s">
        <v>1028</v>
      </c>
      <c r="C48" t="s">
        <v>50</v>
      </c>
      <c r="D48" t="s">
        <v>1033</v>
      </c>
      <c r="E48" t="s">
        <v>1034</v>
      </c>
      <c r="F48" t="s">
        <v>25</v>
      </c>
      <c r="G48" t="s">
        <v>1033</v>
      </c>
      <c r="H48" t="s">
        <v>1035</v>
      </c>
      <c r="I48" t="s">
        <v>30</v>
      </c>
      <c r="J48">
        <v>1</v>
      </c>
      <c r="K48">
        <v>0</v>
      </c>
      <c r="L48" s="4">
        <v>0.91</v>
      </c>
      <c r="M48">
        <v>0.35</v>
      </c>
      <c r="N48" s="4">
        <v>9.1E-4</v>
      </c>
      <c r="O48" s="4">
        <v>3.5E-4</v>
      </c>
    </row>
    <row r="49" spans="2:15">
      <c r="B49" t="s">
        <v>1028</v>
      </c>
      <c r="C49" t="s">
        <v>118</v>
      </c>
      <c r="D49" t="s">
        <v>1036</v>
      </c>
      <c r="E49" t="s">
        <v>1037</v>
      </c>
      <c r="F49" t="s">
        <v>10</v>
      </c>
      <c r="G49" t="s">
        <v>1036</v>
      </c>
      <c r="H49" t="s">
        <v>1038</v>
      </c>
      <c r="I49" t="s">
        <v>32</v>
      </c>
      <c r="J49">
        <v>0</v>
      </c>
      <c r="K49">
        <v>79</v>
      </c>
      <c r="L49" s="4">
        <v>3.5000000000000001E-3</v>
      </c>
      <c r="M49">
        <v>0.02</v>
      </c>
      <c r="N49" s="4">
        <v>0.27650000000000002</v>
      </c>
      <c r="O49" s="4">
        <v>1.58</v>
      </c>
    </row>
    <row r="50" spans="2:15">
      <c r="B50" t="s">
        <v>1028</v>
      </c>
      <c r="C50" t="s">
        <v>118</v>
      </c>
      <c r="D50" t="s">
        <v>1039</v>
      </c>
      <c r="E50" t="s">
        <v>1040</v>
      </c>
      <c r="F50" t="s">
        <v>10</v>
      </c>
      <c r="G50" t="s">
        <v>1039</v>
      </c>
      <c r="H50" t="s">
        <v>1041</v>
      </c>
      <c r="I50" t="s">
        <v>32</v>
      </c>
      <c r="J50">
        <v>0</v>
      </c>
      <c r="K50">
        <v>15294</v>
      </c>
      <c r="L50" s="4">
        <v>3.5000000000000001E-3</v>
      </c>
      <c r="M50">
        <v>0.02</v>
      </c>
      <c r="N50" s="4">
        <v>53.529000000000003</v>
      </c>
      <c r="O50" s="4">
        <v>305.88</v>
      </c>
    </row>
    <row r="51" spans="2:15">
      <c r="B51" t="s">
        <v>1028</v>
      </c>
      <c r="C51" t="s">
        <v>118</v>
      </c>
      <c r="D51" t="s">
        <v>1042</v>
      </c>
      <c r="E51" t="s">
        <v>1043</v>
      </c>
      <c r="F51" t="s">
        <v>10</v>
      </c>
      <c r="G51" t="s">
        <v>1042</v>
      </c>
      <c r="H51" t="s">
        <v>1044</v>
      </c>
      <c r="I51" t="s">
        <v>32</v>
      </c>
      <c r="J51">
        <v>0</v>
      </c>
      <c r="K51">
        <v>6737</v>
      </c>
      <c r="L51" s="4">
        <v>3.5000000000000001E-3</v>
      </c>
      <c r="M51">
        <v>0.02</v>
      </c>
      <c r="N51" s="4">
        <v>23.579499999999999</v>
      </c>
      <c r="O51" s="4">
        <v>134.74</v>
      </c>
    </row>
    <row r="52" spans="2:15">
      <c r="B52" t="s">
        <v>1028</v>
      </c>
      <c r="C52" t="s">
        <v>118</v>
      </c>
      <c r="D52" t="s">
        <v>1045</v>
      </c>
      <c r="E52" t="s">
        <v>1046</v>
      </c>
      <c r="F52" t="s">
        <v>10</v>
      </c>
      <c r="G52" t="s">
        <v>1045</v>
      </c>
      <c r="H52" t="s">
        <v>1047</v>
      </c>
      <c r="I52" t="s">
        <v>32</v>
      </c>
      <c r="J52">
        <v>0</v>
      </c>
      <c r="K52">
        <v>718</v>
      </c>
      <c r="L52" s="4">
        <v>3.5000000000000001E-3</v>
      </c>
      <c r="M52">
        <v>0.02</v>
      </c>
      <c r="N52" s="4">
        <v>2.5129999999999999</v>
      </c>
      <c r="O52" s="4">
        <v>14.36</v>
      </c>
    </row>
    <row r="53" spans="2:15">
      <c r="B53" t="s">
        <v>1028</v>
      </c>
      <c r="C53" t="s">
        <v>118</v>
      </c>
      <c r="D53" t="s">
        <v>1048</v>
      </c>
      <c r="E53" t="s">
        <v>1049</v>
      </c>
      <c r="F53" t="s">
        <v>10</v>
      </c>
      <c r="G53" t="s">
        <v>1048</v>
      </c>
      <c r="H53" t="s">
        <v>1050</v>
      </c>
      <c r="I53" t="s">
        <v>32</v>
      </c>
      <c r="J53">
        <v>0</v>
      </c>
      <c r="K53">
        <v>10035</v>
      </c>
      <c r="L53" s="4">
        <v>3.5000000000000001E-3</v>
      </c>
      <c r="M53">
        <v>0.02</v>
      </c>
      <c r="N53" s="4">
        <v>35.122500000000002</v>
      </c>
      <c r="O53" s="4">
        <v>200.70000000000002</v>
      </c>
    </row>
    <row r="54" spans="2:15">
      <c r="B54" t="s">
        <v>1028</v>
      </c>
      <c r="C54" t="s">
        <v>118</v>
      </c>
      <c r="D54" t="s">
        <v>1051</v>
      </c>
      <c r="E54" t="s">
        <v>1052</v>
      </c>
      <c r="F54" t="s">
        <v>10</v>
      </c>
      <c r="G54" t="s">
        <v>1051</v>
      </c>
      <c r="H54" t="s">
        <v>1053</v>
      </c>
      <c r="I54" t="s">
        <v>32</v>
      </c>
      <c r="J54">
        <v>0</v>
      </c>
      <c r="K54">
        <v>281</v>
      </c>
      <c r="L54" s="4">
        <v>3.5000000000000001E-3</v>
      </c>
      <c r="M54">
        <v>0.02</v>
      </c>
      <c r="N54" s="4">
        <v>0.98350000000000004</v>
      </c>
      <c r="O54" s="4">
        <v>5.62</v>
      </c>
    </row>
    <row r="55" spans="2:15">
      <c r="B55" t="s">
        <v>1028</v>
      </c>
      <c r="C55" t="s">
        <v>118</v>
      </c>
      <c r="D55" t="s">
        <v>1054</v>
      </c>
      <c r="E55" t="s">
        <v>1055</v>
      </c>
      <c r="F55" t="s">
        <v>10</v>
      </c>
      <c r="G55" t="s">
        <v>1054</v>
      </c>
      <c r="H55" t="s">
        <v>1056</v>
      </c>
      <c r="I55" t="s">
        <v>32</v>
      </c>
      <c r="J55">
        <v>0</v>
      </c>
      <c r="K55">
        <v>2644</v>
      </c>
      <c r="L55" s="4">
        <v>3.5000000000000001E-3</v>
      </c>
      <c r="M55">
        <v>0.02</v>
      </c>
      <c r="N55" s="4">
        <v>9.2539999999999996</v>
      </c>
      <c r="O55" s="4">
        <v>52.88</v>
      </c>
    </row>
    <row r="56" spans="2:15">
      <c r="B56" t="s">
        <v>1028</v>
      </c>
      <c r="C56" t="s">
        <v>118</v>
      </c>
      <c r="D56" t="s">
        <v>1057</v>
      </c>
      <c r="E56" t="s">
        <v>1058</v>
      </c>
      <c r="F56" t="s">
        <v>10</v>
      </c>
      <c r="G56" t="s">
        <v>1057</v>
      </c>
      <c r="H56" t="s">
        <v>1059</v>
      </c>
      <c r="I56" t="s">
        <v>32</v>
      </c>
      <c r="J56">
        <v>0</v>
      </c>
      <c r="K56">
        <v>1125</v>
      </c>
      <c r="L56" s="4">
        <v>3.5000000000000001E-3</v>
      </c>
      <c r="M56">
        <v>0.02</v>
      </c>
      <c r="N56" s="4">
        <v>3.9375</v>
      </c>
      <c r="O56" s="4">
        <v>22.5</v>
      </c>
    </row>
    <row r="57" spans="2:15">
      <c r="B57" t="s">
        <v>1028</v>
      </c>
      <c r="C57" t="s">
        <v>118</v>
      </c>
      <c r="D57" t="s">
        <v>1060</v>
      </c>
      <c r="E57" t="s">
        <v>1061</v>
      </c>
      <c r="F57" t="s">
        <v>10</v>
      </c>
      <c r="G57" t="s">
        <v>1060</v>
      </c>
      <c r="H57" t="s">
        <v>1062</v>
      </c>
      <c r="I57" t="s">
        <v>32</v>
      </c>
      <c r="J57">
        <v>0</v>
      </c>
      <c r="K57">
        <v>35201</v>
      </c>
      <c r="L57" s="4">
        <v>3.5000000000000001E-3</v>
      </c>
      <c r="M57">
        <v>0.02</v>
      </c>
      <c r="N57" s="4">
        <v>123.20350000000001</v>
      </c>
      <c r="O57" s="4">
        <v>704.02</v>
      </c>
    </row>
    <row r="58" spans="2:15">
      <c r="B58" t="s">
        <v>1028</v>
      </c>
      <c r="C58" t="s">
        <v>118</v>
      </c>
      <c r="D58" t="s">
        <v>1063</v>
      </c>
      <c r="E58" t="s">
        <v>1064</v>
      </c>
      <c r="F58" t="s">
        <v>10</v>
      </c>
      <c r="G58" t="s">
        <v>1063</v>
      </c>
      <c r="H58" t="s">
        <v>1065</v>
      </c>
      <c r="I58" t="s">
        <v>32</v>
      </c>
      <c r="J58">
        <v>0</v>
      </c>
      <c r="K58">
        <v>974</v>
      </c>
      <c r="L58" s="4">
        <v>3.5000000000000001E-3</v>
      </c>
      <c r="M58">
        <v>0.02</v>
      </c>
      <c r="N58" s="4">
        <v>3.4090000000000003</v>
      </c>
      <c r="O58" s="4">
        <v>19.48</v>
      </c>
    </row>
    <row r="59" spans="2:15">
      <c r="B59" t="s">
        <v>1028</v>
      </c>
      <c r="C59" t="s">
        <v>118</v>
      </c>
      <c r="D59" t="s">
        <v>1066</v>
      </c>
      <c r="E59" t="s">
        <v>1067</v>
      </c>
      <c r="F59" t="s">
        <v>10</v>
      </c>
      <c r="G59" t="s">
        <v>1066</v>
      </c>
      <c r="H59" t="s">
        <v>1068</v>
      </c>
      <c r="I59" t="s">
        <v>32</v>
      </c>
      <c r="J59">
        <v>0</v>
      </c>
      <c r="K59">
        <v>1010</v>
      </c>
      <c r="L59" s="4">
        <v>3.5000000000000001E-3</v>
      </c>
      <c r="M59">
        <v>0.02</v>
      </c>
      <c r="N59" s="4">
        <v>3.5350000000000001</v>
      </c>
      <c r="O59" s="4">
        <v>20.2</v>
      </c>
    </row>
    <row r="60" spans="2:15">
      <c r="B60" t="s">
        <v>1028</v>
      </c>
      <c r="C60" t="s">
        <v>118</v>
      </c>
      <c r="D60" t="s">
        <v>1069</v>
      </c>
      <c r="E60" t="s">
        <v>1070</v>
      </c>
      <c r="F60" t="s">
        <v>10</v>
      </c>
      <c r="G60" t="s">
        <v>1069</v>
      </c>
      <c r="H60" t="s">
        <v>1071</v>
      </c>
      <c r="I60" t="s">
        <v>32</v>
      </c>
      <c r="J60">
        <v>0</v>
      </c>
      <c r="K60">
        <v>9103</v>
      </c>
      <c r="L60" s="4">
        <v>3.5000000000000001E-3</v>
      </c>
      <c r="M60">
        <v>0.02</v>
      </c>
      <c r="N60" s="4">
        <v>31.860500000000002</v>
      </c>
      <c r="O60" s="4">
        <v>182.06</v>
      </c>
    </row>
    <row r="61" spans="2:15">
      <c r="B61" t="s">
        <v>1028</v>
      </c>
      <c r="C61" t="s">
        <v>118</v>
      </c>
      <c r="D61" t="s">
        <v>1072</v>
      </c>
      <c r="E61" t="s">
        <v>1073</v>
      </c>
      <c r="F61" t="s">
        <v>10</v>
      </c>
      <c r="G61" t="s">
        <v>1072</v>
      </c>
      <c r="H61" t="s">
        <v>1074</v>
      </c>
      <c r="I61" t="s">
        <v>32</v>
      </c>
      <c r="J61">
        <v>0</v>
      </c>
      <c r="K61">
        <v>881</v>
      </c>
      <c r="L61" s="4">
        <v>3.5000000000000001E-3</v>
      </c>
      <c r="M61">
        <v>0.02</v>
      </c>
      <c r="N61" s="4">
        <v>3.0834999999999999</v>
      </c>
      <c r="O61" s="4">
        <v>17.62</v>
      </c>
    </row>
    <row r="62" spans="2:15">
      <c r="B62" t="s">
        <v>1028</v>
      </c>
      <c r="C62" t="s">
        <v>95</v>
      </c>
      <c r="D62" t="s">
        <v>1075</v>
      </c>
      <c r="E62" t="s">
        <v>1076</v>
      </c>
      <c r="F62" t="s">
        <v>10</v>
      </c>
      <c r="G62" t="s">
        <v>1075</v>
      </c>
      <c r="H62" t="s">
        <v>1077</v>
      </c>
      <c r="I62" t="s">
        <v>32</v>
      </c>
      <c r="J62">
        <v>0</v>
      </c>
      <c r="K62">
        <v>304</v>
      </c>
      <c r="L62" s="4">
        <v>3.5000000000000001E-3</v>
      </c>
      <c r="M62">
        <v>0.02</v>
      </c>
      <c r="N62" s="4">
        <v>1.0640000000000001</v>
      </c>
      <c r="O62" s="4">
        <v>6.08</v>
      </c>
    </row>
    <row r="63" spans="2:15">
      <c r="B63" t="s">
        <v>1028</v>
      </c>
      <c r="C63" t="s">
        <v>95</v>
      </c>
      <c r="D63" t="s">
        <v>1078</v>
      </c>
      <c r="E63" t="s">
        <v>1079</v>
      </c>
      <c r="F63" t="s">
        <v>10</v>
      </c>
      <c r="G63" t="s">
        <v>1078</v>
      </c>
      <c r="H63" t="s">
        <v>1080</v>
      </c>
      <c r="I63" t="s">
        <v>32</v>
      </c>
      <c r="J63">
        <v>0</v>
      </c>
      <c r="K63">
        <v>613</v>
      </c>
      <c r="L63" s="4">
        <v>3.5000000000000001E-3</v>
      </c>
      <c r="M63">
        <v>0.02</v>
      </c>
      <c r="N63" s="4">
        <v>2.1455000000000002</v>
      </c>
      <c r="O63" s="4">
        <v>12.26</v>
      </c>
    </row>
    <row r="64" spans="2:15">
      <c r="B64" t="s">
        <v>1028</v>
      </c>
      <c r="C64" t="s">
        <v>95</v>
      </c>
      <c r="D64" t="s">
        <v>1081</v>
      </c>
      <c r="E64" t="s">
        <v>1082</v>
      </c>
      <c r="F64" t="s">
        <v>10</v>
      </c>
      <c r="G64" t="s">
        <v>1081</v>
      </c>
      <c r="H64" t="s">
        <v>1083</v>
      </c>
      <c r="I64" t="s">
        <v>32</v>
      </c>
      <c r="J64">
        <v>0</v>
      </c>
      <c r="K64">
        <v>242</v>
      </c>
      <c r="L64" s="4">
        <v>3.5000000000000001E-3</v>
      </c>
      <c r="M64">
        <v>0.02</v>
      </c>
      <c r="N64" s="4">
        <v>0.84699999999999998</v>
      </c>
      <c r="O64" s="4">
        <v>4.84</v>
      </c>
    </row>
    <row r="65" spans="2:15">
      <c r="B65" t="s">
        <v>1028</v>
      </c>
      <c r="C65" t="s">
        <v>95</v>
      </c>
      <c r="D65" t="s">
        <v>1084</v>
      </c>
      <c r="E65" t="s">
        <v>1085</v>
      </c>
      <c r="F65" t="s">
        <v>10</v>
      </c>
      <c r="G65" t="s">
        <v>1084</v>
      </c>
      <c r="H65" t="s">
        <v>1086</v>
      </c>
      <c r="I65" t="s">
        <v>32</v>
      </c>
      <c r="J65">
        <v>0</v>
      </c>
      <c r="K65">
        <v>10898</v>
      </c>
      <c r="L65" s="4">
        <v>3.5000000000000001E-3</v>
      </c>
      <c r="M65">
        <v>0.02</v>
      </c>
      <c r="N65" s="4">
        <v>38.143000000000001</v>
      </c>
      <c r="O65" s="4">
        <v>217.96</v>
      </c>
    </row>
    <row r="66" spans="2:15">
      <c r="B66" t="s">
        <v>1028</v>
      </c>
      <c r="C66" t="s">
        <v>95</v>
      </c>
      <c r="D66" t="s">
        <v>1087</v>
      </c>
      <c r="E66" t="s">
        <v>1088</v>
      </c>
      <c r="F66" t="s">
        <v>10</v>
      </c>
      <c r="G66" t="s">
        <v>1087</v>
      </c>
      <c r="H66" t="s">
        <v>1089</v>
      </c>
      <c r="I66" t="s">
        <v>32</v>
      </c>
      <c r="J66">
        <v>0</v>
      </c>
      <c r="K66">
        <v>770</v>
      </c>
      <c r="L66" s="4">
        <v>3.5000000000000001E-3</v>
      </c>
      <c r="M66">
        <v>0.02</v>
      </c>
      <c r="N66" s="4">
        <v>2.6949999999999998</v>
      </c>
      <c r="O66" s="4">
        <v>15.4</v>
      </c>
    </row>
    <row r="67" spans="2:15">
      <c r="B67" t="s">
        <v>1028</v>
      </c>
      <c r="C67" t="s">
        <v>95</v>
      </c>
      <c r="D67" t="s">
        <v>1090</v>
      </c>
      <c r="E67" t="s">
        <v>1091</v>
      </c>
      <c r="F67" t="s">
        <v>10</v>
      </c>
      <c r="G67" t="s">
        <v>1090</v>
      </c>
      <c r="H67" t="s">
        <v>1092</v>
      </c>
      <c r="I67" t="s">
        <v>32</v>
      </c>
      <c r="J67">
        <v>0</v>
      </c>
      <c r="K67">
        <v>3182</v>
      </c>
      <c r="L67" s="4">
        <v>3.5000000000000001E-3</v>
      </c>
      <c r="M67">
        <v>0.02</v>
      </c>
      <c r="N67" s="4">
        <v>11.137</v>
      </c>
      <c r="O67" s="4">
        <v>63.64</v>
      </c>
    </row>
    <row r="68" spans="2:15">
      <c r="B68" t="s">
        <v>1028</v>
      </c>
      <c r="C68" t="s">
        <v>95</v>
      </c>
      <c r="D68" t="s">
        <v>1093</v>
      </c>
      <c r="E68" t="s">
        <v>1094</v>
      </c>
      <c r="F68" t="s">
        <v>10</v>
      </c>
      <c r="G68" t="s">
        <v>1093</v>
      </c>
      <c r="H68" t="s">
        <v>1095</v>
      </c>
      <c r="I68" t="s">
        <v>32</v>
      </c>
      <c r="J68">
        <v>0</v>
      </c>
      <c r="K68">
        <v>6684</v>
      </c>
      <c r="L68" s="4">
        <v>3.5000000000000001E-3</v>
      </c>
      <c r="M68">
        <v>0.02</v>
      </c>
      <c r="N68" s="4">
        <v>23.394000000000002</v>
      </c>
      <c r="O68" s="4">
        <v>133.68</v>
      </c>
    </row>
    <row r="69" spans="2:15">
      <c r="B69" t="s">
        <v>1028</v>
      </c>
      <c r="C69" t="s">
        <v>95</v>
      </c>
      <c r="D69" t="s">
        <v>1096</v>
      </c>
      <c r="E69" t="s">
        <v>1097</v>
      </c>
      <c r="F69" t="s">
        <v>10</v>
      </c>
      <c r="G69" t="s">
        <v>1096</v>
      </c>
      <c r="H69" t="s">
        <v>1098</v>
      </c>
      <c r="I69" t="s">
        <v>32</v>
      </c>
      <c r="J69">
        <v>0</v>
      </c>
      <c r="K69">
        <v>253</v>
      </c>
      <c r="L69" s="4">
        <v>3.5000000000000001E-3</v>
      </c>
      <c r="M69">
        <v>0.02</v>
      </c>
      <c r="N69" s="4">
        <v>0.88550000000000006</v>
      </c>
      <c r="O69" s="4">
        <v>5.0600000000000005</v>
      </c>
    </row>
    <row r="70" spans="2:15">
      <c r="B70" t="s">
        <v>1028</v>
      </c>
      <c r="C70" t="s">
        <v>95</v>
      </c>
      <c r="D70" t="s">
        <v>1099</v>
      </c>
      <c r="E70" t="s">
        <v>1100</v>
      </c>
      <c r="F70" t="s">
        <v>10</v>
      </c>
      <c r="G70" t="s">
        <v>1099</v>
      </c>
      <c r="H70" t="s">
        <v>1101</v>
      </c>
      <c r="I70" t="s">
        <v>32</v>
      </c>
      <c r="J70">
        <v>0</v>
      </c>
      <c r="K70">
        <v>143</v>
      </c>
      <c r="L70" s="4">
        <v>3.5000000000000001E-3</v>
      </c>
      <c r="M70">
        <v>0.02</v>
      </c>
      <c r="N70" s="4">
        <v>0.50050000000000006</v>
      </c>
      <c r="O70" s="4">
        <v>2.86</v>
      </c>
    </row>
    <row r="71" spans="2:15">
      <c r="B71" t="s">
        <v>1028</v>
      </c>
      <c r="C71" t="s">
        <v>95</v>
      </c>
      <c r="D71" t="s">
        <v>1102</v>
      </c>
      <c r="E71" t="s">
        <v>1103</v>
      </c>
      <c r="F71" t="s">
        <v>10</v>
      </c>
      <c r="G71" t="s">
        <v>1102</v>
      </c>
      <c r="H71" t="s">
        <v>1104</v>
      </c>
      <c r="I71" t="s">
        <v>32</v>
      </c>
      <c r="J71">
        <v>0</v>
      </c>
      <c r="K71">
        <v>10182</v>
      </c>
      <c r="L71" s="4">
        <v>3.5000000000000001E-3</v>
      </c>
      <c r="M71">
        <v>0.02</v>
      </c>
      <c r="N71" s="4">
        <v>35.637</v>
      </c>
      <c r="O71" s="4">
        <v>203.64000000000001</v>
      </c>
    </row>
    <row r="72" spans="2:15">
      <c r="B72" t="s">
        <v>49</v>
      </c>
      <c r="C72" t="s">
        <v>760</v>
      </c>
      <c r="D72" t="s">
        <v>1105</v>
      </c>
      <c r="E72" t="s">
        <v>1106</v>
      </c>
      <c r="F72" t="s">
        <v>10</v>
      </c>
      <c r="G72" t="s">
        <v>1105</v>
      </c>
      <c r="H72" t="s">
        <v>1107</v>
      </c>
      <c r="I72" t="s">
        <v>32</v>
      </c>
      <c r="J72">
        <v>0</v>
      </c>
      <c r="K72">
        <v>9</v>
      </c>
      <c r="L72" s="4">
        <v>3.5000000000000001E-3</v>
      </c>
      <c r="M72">
        <v>0.02</v>
      </c>
      <c r="N72" s="4">
        <v>3.15E-2</v>
      </c>
      <c r="O72" s="4">
        <v>0.18</v>
      </c>
    </row>
    <row r="73" spans="2:15">
      <c r="B73" t="s">
        <v>49</v>
      </c>
      <c r="C73" t="s">
        <v>1823</v>
      </c>
      <c r="D73" t="s">
        <v>1824</v>
      </c>
      <c r="E73" t="s">
        <v>1825</v>
      </c>
      <c r="F73" t="s">
        <v>10</v>
      </c>
      <c r="G73" t="s">
        <v>1824</v>
      </c>
      <c r="H73" t="s">
        <v>1826</v>
      </c>
      <c r="I73" t="s">
        <v>32</v>
      </c>
      <c r="J73">
        <v>0</v>
      </c>
      <c r="K73">
        <v>2</v>
      </c>
      <c r="L73" s="4">
        <v>3.5000000000000001E-3</v>
      </c>
      <c r="M73">
        <v>0.02</v>
      </c>
      <c r="N73" s="4">
        <v>7.0000000000000001E-3</v>
      </c>
      <c r="O73" s="4">
        <v>0.04</v>
      </c>
    </row>
    <row r="74" spans="2:15">
      <c r="B74" t="s">
        <v>1108</v>
      </c>
      <c r="C74" t="s">
        <v>50</v>
      </c>
      <c r="D74" t="s">
        <v>1827</v>
      </c>
      <c r="E74" t="s">
        <v>1828</v>
      </c>
      <c r="F74" t="s">
        <v>12</v>
      </c>
      <c r="G74" t="s">
        <v>1827</v>
      </c>
      <c r="H74" t="s">
        <v>1829</v>
      </c>
      <c r="I74" t="s">
        <v>31</v>
      </c>
      <c r="J74">
        <v>25590</v>
      </c>
      <c r="K74">
        <v>35</v>
      </c>
      <c r="L74" s="4">
        <v>0.04</v>
      </c>
      <c r="M74">
        <v>0.09</v>
      </c>
      <c r="N74" s="4">
        <v>1.0236000000000001</v>
      </c>
      <c r="O74" s="4">
        <v>2.3030999999999997</v>
      </c>
    </row>
    <row r="75" spans="2:15">
      <c r="B75" t="s">
        <v>1108</v>
      </c>
      <c r="C75" t="s">
        <v>50</v>
      </c>
      <c r="D75" t="s">
        <v>1830</v>
      </c>
      <c r="E75" t="s">
        <v>1831</v>
      </c>
      <c r="F75" t="s">
        <v>12</v>
      </c>
      <c r="G75" t="s">
        <v>1830</v>
      </c>
      <c r="H75" t="s">
        <v>1832</v>
      </c>
      <c r="I75" t="s">
        <v>31</v>
      </c>
      <c r="J75">
        <v>5417</v>
      </c>
      <c r="K75">
        <v>34</v>
      </c>
      <c r="L75" s="4">
        <v>0.04</v>
      </c>
      <c r="M75">
        <v>0.09</v>
      </c>
      <c r="N75" s="4">
        <v>0.21668000000000001</v>
      </c>
      <c r="O75" s="4">
        <v>0.48752999999999996</v>
      </c>
    </row>
    <row r="76" spans="2:15">
      <c r="B76" t="s">
        <v>1108</v>
      </c>
      <c r="C76" t="s">
        <v>50</v>
      </c>
      <c r="D76" t="s">
        <v>1833</v>
      </c>
      <c r="E76" t="s">
        <v>1834</v>
      </c>
      <c r="F76" t="s">
        <v>12</v>
      </c>
      <c r="G76" t="s">
        <v>1833</v>
      </c>
      <c r="H76" t="s">
        <v>1835</v>
      </c>
      <c r="I76" t="s">
        <v>31</v>
      </c>
      <c r="J76">
        <v>3584</v>
      </c>
      <c r="K76">
        <v>2</v>
      </c>
      <c r="L76" s="4">
        <v>0.04</v>
      </c>
      <c r="M76">
        <v>0.09</v>
      </c>
      <c r="N76" s="4">
        <v>0.14336000000000002</v>
      </c>
      <c r="O76" s="4">
        <v>0.32256000000000001</v>
      </c>
    </row>
    <row r="77" spans="2:15">
      <c r="B77" t="s">
        <v>1108</v>
      </c>
      <c r="C77" t="s">
        <v>50</v>
      </c>
      <c r="D77" t="s">
        <v>1836</v>
      </c>
      <c r="E77" t="s">
        <v>1837</v>
      </c>
      <c r="F77" t="s">
        <v>12</v>
      </c>
      <c r="G77" t="s">
        <v>1836</v>
      </c>
      <c r="H77" t="s">
        <v>1838</v>
      </c>
      <c r="I77" t="s">
        <v>31</v>
      </c>
      <c r="J77">
        <v>11871</v>
      </c>
      <c r="K77">
        <v>10</v>
      </c>
      <c r="L77" s="4">
        <v>0.04</v>
      </c>
      <c r="M77">
        <v>0.09</v>
      </c>
      <c r="N77" s="4">
        <v>0.47484000000000004</v>
      </c>
      <c r="O77" s="4">
        <v>1.06839</v>
      </c>
    </row>
    <row r="78" spans="2:15">
      <c r="B78" t="s">
        <v>1108</v>
      </c>
      <c r="C78" t="s">
        <v>50</v>
      </c>
      <c r="D78" t="s">
        <v>1839</v>
      </c>
      <c r="E78" t="s">
        <v>1840</v>
      </c>
      <c r="F78" t="s">
        <v>12</v>
      </c>
      <c r="G78" t="s">
        <v>1839</v>
      </c>
      <c r="H78" t="s">
        <v>1841</v>
      </c>
      <c r="I78" t="s">
        <v>31</v>
      </c>
      <c r="J78">
        <v>4183</v>
      </c>
      <c r="K78">
        <v>19</v>
      </c>
      <c r="L78" s="4">
        <v>0.04</v>
      </c>
      <c r="M78">
        <v>0.09</v>
      </c>
      <c r="N78" s="4">
        <v>0.16732</v>
      </c>
      <c r="O78" s="4">
        <v>0.37646999999999997</v>
      </c>
    </row>
    <row r="79" spans="2:15">
      <c r="B79" t="s">
        <v>1108</v>
      </c>
      <c r="C79" t="s">
        <v>50</v>
      </c>
      <c r="D79" t="s">
        <v>1842</v>
      </c>
      <c r="E79" t="s">
        <v>1843</v>
      </c>
      <c r="F79" t="s">
        <v>12</v>
      </c>
      <c r="G79" t="s">
        <v>1842</v>
      </c>
      <c r="H79" t="s">
        <v>1844</v>
      </c>
      <c r="I79" t="s">
        <v>31</v>
      </c>
      <c r="J79">
        <v>1978</v>
      </c>
      <c r="K79">
        <v>1</v>
      </c>
      <c r="L79" s="4">
        <v>0.04</v>
      </c>
      <c r="M79">
        <v>0.09</v>
      </c>
      <c r="N79" s="4">
        <v>7.912000000000001E-2</v>
      </c>
      <c r="O79" s="4">
        <v>0.17801999999999998</v>
      </c>
    </row>
    <row r="80" spans="2:15">
      <c r="B80" t="s">
        <v>1108</v>
      </c>
      <c r="C80" t="s">
        <v>50</v>
      </c>
      <c r="D80" t="s">
        <v>1845</v>
      </c>
      <c r="E80" t="s">
        <v>1846</v>
      </c>
      <c r="F80" t="s">
        <v>12</v>
      </c>
      <c r="G80" t="s">
        <v>1845</v>
      </c>
      <c r="H80" t="s">
        <v>1847</v>
      </c>
      <c r="I80" t="s">
        <v>31</v>
      </c>
      <c r="J80">
        <v>54027</v>
      </c>
      <c r="K80">
        <v>146</v>
      </c>
      <c r="L80" s="4">
        <v>0.04</v>
      </c>
      <c r="M80">
        <v>0.09</v>
      </c>
      <c r="N80" s="4">
        <v>2.1610800000000001</v>
      </c>
      <c r="O80" s="4">
        <v>4.8624299999999998</v>
      </c>
    </row>
    <row r="81" spans="2:15">
      <c r="B81" t="s">
        <v>1108</v>
      </c>
      <c r="C81" t="s">
        <v>50</v>
      </c>
      <c r="D81" t="s">
        <v>1848</v>
      </c>
      <c r="E81" t="s">
        <v>1849</v>
      </c>
      <c r="F81" t="s">
        <v>12</v>
      </c>
      <c r="G81" t="s">
        <v>1848</v>
      </c>
      <c r="H81" t="s">
        <v>1850</v>
      </c>
      <c r="I81" t="s">
        <v>31</v>
      </c>
      <c r="J81">
        <v>14793</v>
      </c>
      <c r="K81">
        <v>103</v>
      </c>
      <c r="L81" s="4">
        <v>0.04</v>
      </c>
      <c r="M81">
        <v>0.09</v>
      </c>
      <c r="N81" s="4">
        <v>0.59172000000000002</v>
      </c>
      <c r="O81" s="4">
        <v>1.3313699999999999</v>
      </c>
    </row>
    <row r="82" spans="2:15">
      <c r="B82" t="s">
        <v>1108</v>
      </c>
      <c r="C82" t="s">
        <v>50</v>
      </c>
      <c r="D82" t="s">
        <v>1851</v>
      </c>
      <c r="E82" t="s">
        <v>1852</v>
      </c>
      <c r="F82" t="s">
        <v>12</v>
      </c>
      <c r="G82" t="s">
        <v>1851</v>
      </c>
      <c r="H82" t="s">
        <v>1853</v>
      </c>
      <c r="I82" t="s">
        <v>31</v>
      </c>
      <c r="J82">
        <v>7788</v>
      </c>
      <c r="K82">
        <v>1</v>
      </c>
      <c r="L82" s="4">
        <v>0.04</v>
      </c>
      <c r="M82">
        <v>0.09</v>
      </c>
      <c r="N82" s="4">
        <v>0.31151999999999996</v>
      </c>
      <c r="O82" s="4">
        <v>0.70091999999999999</v>
      </c>
    </row>
    <row r="83" spans="2:15">
      <c r="B83" t="s">
        <v>1108</v>
      </c>
      <c r="C83" t="s">
        <v>50</v>
      </c>
      <c r="D83" t="s">
        <v>1109</v>
      </c>
      <c r="E83" t="s">
        <v>1110</v>
      </c>
      <c r="F83" t="s">
        <v>12</v>
      </c>
      <c r="G83" t="s">
        <v>1109</v>
      </c>
      <c r="H83" t="s">
        <v>1111</v>
      </c>
      <c r="I83" t="s">
        <v>31</v>
      </c>
      <c r="J83">
        <v>82348</v>
      </c>
      <c r="K83">
        <v>171</v>
      </c>
      <c r="L83" s="4">
        <v>0.04</v>
      </c>
      <c r="M83">
        <v>0.09</v>
      </c>
      <c r="N83" s="4">
        <v>3.29392</v>
      </c>
      <c r="O83" s="4">
        <v>7.4113199999999999</v>
      </c>
    </row>
    <row r="84" spans="2:15">
      <c r="B84" t="s">
        <v>1108</v>
      </c>
      <c r="C84" t="s">
        <v>50</v>
      </c>
      <c r="D84" t="s">
        <v>1854</v>
      </c>
      <c r="E84" t="s">
        <v>1855</v>
      </c>
      <c r="F84" t="s">
        <v>12</v>
      </c>
      <c r="G84" t="s">
        <v>1854</v>
      </c>
      <c r="H84" t="s">
        <v>1856</v>
      </c>
      <c r="I84" t="s">
        <v>31</v>
      </c>
      <c r="J84">
        <v>27377</v>
      </c>
      <c r="K84">
        <v>187</v>
      </c>
      <c r="L84" s="4">
        <v>0.04</v>
      </c>
      <c r="M84">
        <v>0.09</v>
      </c>
      <c r="N84" s="4">
        <v>1.0950799999999998</v>
      </c>
      <c r="O84" s="4">
        <v>2.46393</v>
      </c>
    </row>
    <row r="85" spans="2:15">
      <c r="B85" t="s">
        <v>1108</v>
      </c>
      <c r="C85" t="s">
        <v>50</v>
      </c>
      <c r="D85" t="s">
        <v>1857</v>
      </c>
      <c r="E85" t="s">
        <v>1858</v>
      </c>
      <c r="F85" t="s">
        <v>12</v>
      </c>
      <c r="G85" t="s">
        <v>1857</v>
      </c>
      <c r="H85" t="s">
        <v>1859</v>
      </c>
      <c r="I85" t="s">
        <v>31</v>
      </c>
      <c r="J85">
        <v>14174</v>
      </c>
      <c r="K85">
        <v>4</v>
      </c>
      <c r="L85" s="4">
        <v>0.04</v>
      </c>
      <c r="M85">
        <v>0.09</v>
      </c>
      <c r="N85" s="4">
        <v>0.56696000000000002</v>
      </c>
      <c r="O85" s="4">
        <v>1.2756599999999998</v>
      </c>
    </row>
    <row r="86" spans="2:15">
      <c r="B86" t="s">
        <v>1108</v>
      </c>
      <c r="C86" t="s">
        <v>50</v>
      </c>
      <c r="D86" t="s">
        <v>1112</v>
      </c>
      <c r="E86" t="s">
        <v>1113</v>
      </c>
      <c r="F86" t="s">
        <v>12</v>
      </c>
      <c r="G86" t="s">
        <v>1112</v>
      </c>
      <c r="H86" t="s">
        <v>1114</v>
      </c>
      <c r="I86" t="s">
        <v>31</v>
      </c>
      <c r="J86">
        <v>22332</v>
      </c>
      <c r="K86">
        <v>39</v>
      </c>
      <c r="L86" s="4">
        <v>0.04</v>
      </c>
      <c r="M86">
        <v>0.09</v>
      </c>
      <c r="N86" s="4">
        <v>0.89327999999999996</v>
      </c>
      <c r="O86" s="4">
        <v>2.0098799999999999</v>
      </c>
    </row>
    <row r="87" spans="2:15">
      <c r="B87" t="s">
        <v>1108</v>
      </c>
      <c r="C87" t="s">
        <v>50</v>
      </c>
      <c r="D87" t="s">
        <v>1860</v>
      </c>
      <c r="E87" t="s">
        <v>1861</v>
      </c>
      <c r="F87" t="s">
        <v>12</v>
      </c>
      <c r="G87" t="s">
        <v>1860</v>
      </c>
      <c r="H87" t="s">
        <v>1862</v>
      </c>
      <c r="I87" t="s">
        <v>31</v>
      </c>
      <c r="J87">
        <v>5395</v>
      </c>
      <c r="K87">
        <v>19</v>
      </c>
      <c r="L87" s="4">
        <v>0.04</v>
      </c>
      <c r="M87">
        <v>0.09</v>
      </c>
      <c r="N87" s="4">
        <v>0.21580000000000002</v>
      </c>
      <c r="O87" s="4">
        <v>0.48554999999999998</v>
      </c>
    </row>
    <row r="88" spans="2:15">
      <c r="B88" t="s">
        <v>1108</v>
      </c>
      <c r="C88" t="s">
        <v>50</v>
      </c>
      <c r="D88" t="s">
        <v>1863</v>
      </c>
      <c r="E88" t="s">
        <v>1864</v>
      </c>
      <c r="F88" t="s">
        <v>12</v>
      </c>
      <c r="G88" t="s">
        <v>1863</v>
      </c>
      <c r="H88" t="s">
        <v>1865</v>
      </c>
      <c r="I88" t="s">
        <v>31</v>
      </c>
      <c r="J88">
        <v>3989</v>
      </c>
      <c r="K88">
        <v>2</v>
      </c>
      <c r="L88" s="4">
        <v>0.04</v>
      </c>
      <c r="M88">
        <v>0.09</v>
      </c>
      <c r="N88" s="4">
        <v>0.15956000000000001</v>
      </c>
      <c r="O88" s="4">
        <v>0.35901</v>
      </c>
    </row>
    <row r="89" spans="2:15">
      <c r="B89" t="s">
        <v>1108</v>
      </c>
      <c r="C89" t="s">
        <v>50</v>
      </c>
      <c r="D89" t="s">
        <v>1866</v>
      </c>
      <c r="E89" t="s">
        <v>1867</v>
      </c>
      <c r="F89" t="s">
        <v>12</v>
      </c>
      <c r="G89" t="s">
        <v>1866</v>
      </c>
      <c r="H89" t="s">
        <v>1868</v>
      </c>
      <c r="I89" t="s">
        <v>31</v>
      </c>
      <c r="J89">
        <v>1265</v>
      </c>
      <c r="K89">
        <v>1</v>
      </c>
      <c r="L89" s="4">
        <v>0.04</v>
      </c>
      <c r="M89">
        <v>0.09</v>
      </c>
      <c r="N89" s="4">
        <v>5.0599999999999999E-2</v>
      </c>
      <c r="O89" s="4">
        <v>0.11384999999999999</v>
      </c>
    </row>
    <row r="90" spans="2:15">
      <c r="B90" t="s">
        <v>1108</v>
      </c>
      <c r="C90" t="s">
        <v>50</v>
      </c>
      <c r="D90" t="s">
        <v>1115</v>
      </c>
      <c r="E90" t="s">
        <v>1116</v>
      </c>
      <c r="F90" t="s">
        <v>12</v>
      </c>
      <c r="G90" t="s">
        <v>1115</v>
      </c>
      <c r="H90" t="s">
        <v>1117</v>
      </c>
      <c r="I90" t="s">
        <v>31</v>
      </c>
      <c r="J90">
        <v>228906</v>
      </c>
      <c r="K90">
        <v>1935</v>
      </c>
      <c r="L90" s="4">
        <v>0.04</v>
      </c>
      <c r="M90">
        <v>0.09</v>
      </c>
      <c r="N90" s="4">
        <v>9.1562400000000004</v>
      </c>
      <c r="O90" s="4">
        <v>20.60154</v>
      </c>
    </row>
    <row r="91" spans="2:15">
      <c r="B91" t="s">
        <v>1108</v>
      </c>
      <c r="C91" t="s">
        <v>50</v>
      </c>
      <c r="D91" t="s">
        <v>1869</v>
      </c>
      <c r="E91" t="s">
        <v>1870</v>
      </c>
      <c r="F91" t="s">
        <v>12</v>
      </c>
      <c r="G91" t="s">
        <v>1869</v>
      </c>
      <c r="H91" t="s">
        <v>1871</v>
      </c>
      <c r="I91" t="s">
        <v>31</v>
      </c>
      <c r="J91">
        <v>15316</v>
      </c>
      <c r="K91">
        <v>48</v>
      </c>
      <c r="L91" s="4">
        <v>0.04</v>
      </c>
      <c r="M91">
        <v>0.09</v>
      </c>
      <c r="N91" s="4">
        <v>0.61263999999999996</v>
      </c>
      <c r="O91" s="4">
        <v>1.3784400000000001</v>
      </c>
    </row>
    <row r="92" spans="2:15">
      <c r="B92" t="s">
        <v>1108</v>
      </c>
      <c r="C92" t="s">
        <v>50</v>
      </c>
      <c r="D92" t="s">
        <v>1118</v>
      </c>
      <c r="E92" t="s">
        <v>1119</v>
      </c>
      <c r="F92" t="s">
        <v>12</v>
      </c>
      <c r="G92" t="s">
        <v>1118</v>
      </c>
      <c r="H92" t="s">
        <v>1120</v>
      </c>
      <c r="I92" t="s">
        <v>31</v>
      </c>
      <c r="J92">
        <v>203565</v>
      </c>
      <c r="K92">
        <v>1160</v>
      </c>
      <c r="L92" s="4">
        <v>0.04</v>
      </c>
      <c r="M92">
        <v>0.09</v>
      </c>
      <c r="N92" s="4">
        <v>8.1425999999999998</v>
      </c>
      <c r="O92" s="4">
        <v>18.32085</v>
      </c>
    </row>
    <row r="93" spans="2:15">
      <c r="B93" t="s">
        <v>1108</v>
      </c>
      <c r="C93" t="s">
        <v>50</v>
      </c>
      <c r="D93" t="s">
        <v>1872</v>
      </c>
      <c r="E93" t="s">
        <v>1873</v>
      </c>
      <c r="F93" t="s">
        <v>12</v>
      </c>
      <c r="G93" t="s">
        <v>1872</v>
      </c>
      <c r="H93" t="s">
        <v>1874</v>
      </c>
      <c r="I93" t="s">
        <v>31</v>
      </c>
      <c r="J93">
        <v>844</v>
      </c>
      <c r="K93">
        <v>2</v>
      </c>
      <c r="L93" s="4">
        <v>0.04</v>
      </c>
      <c r="M93">
        <v>0.09</v>
      </c>
      <c r="N93" s="4">
        <v>3.3759999999999998E-2</v>
      </c>
      <c r="O93" s="4">
        <v>7.596E-2</v>
      </c>
    </row>
    <row r="94" spans="2:15">
      <c r="B94" t="s">
        <v>1108</v>
      </c>
      <c r="C94" t="s">
        <v>50</v>
      </c>
      <c r="D94" t="s">
        <v>1121</v>
      </c>
      <c r="E94" t="s">
        <v>1122</v>
      </c>
      <c r="F94" t="s">
        <v>12</v>
      </c>
      <c r="G94" t="s">
        <v>1121</v>
      </c>
      <c r="H94" t="s">
        <v>1123</v>
      </c>
      <c r="I94" t="s">
        <v>31</v>
      </c>
      <c r="J94">
        <v>172403</v>
      </c>
      <c r="K94">
        <v>1380</v>
      </c>
      <c r="L94" s="4">
        <v>0.04</v>
      </c>
      <c r="M94">
        <v>0.09</v>
      </c>
      <c r="N94" s="4">
        <v>6.8961199999999998</v>
      </c>
      <c r="O94" s="4">
        <v>15.516269999999999</v>
      </c>
    </row>
    <row r="95" spans="2:15">
      <c r="B95" t="s">
        <v>1108</v>
      </c>
      <c r="C95" t="s">
        <v>50</v>
      </c>
      <c r="D95" t="s">
        <v>1875</v>
      </c>
      <c r="E95" t="s">
        <v>1876</v>
      </c>
      <c r="F95" t="s">
        <v>12</v>
      </c>
      <c r="G95" t="s">
        <v>1875</v>
      </c>
      <c r="H95" t="s">
        <v>1877</v>
      </c>
      <c r="I95" t="s">
        <v>31</v>
      </c>
      <c r="J95">
        <v>11629</v>
      </c>
      <c r="K95">
        <v>33</v>
      </c>
      <c r="L95" s="4">
        <v>0.04</v>
      </c>
      <c r="M95">
        <v>0.09</v>
      </c>
      <c r="N95" s="4">
        <v>0.46516000000000002</v>
      </c>
      <c r="O95" s="4">
        <v>1.0466099999999998</v>
      </c>
    </row>
    <row r="96" spans="2:15">
      <c r="B96" t="s">
        <v>1108</v>
      </c>
      <c r="C96" t="s">
        <v>50</v>
      </c>
      <c r="D96" t="s">
        <v>1124</v>
      </c>
      <c r="E96" t="s">
        <v>1125</v>
      </c>
      <c r="F96" t="s">
        <v>12</v>
      </c>
      <c r="G96" t="s">
        <v>1124</v>
      </c>
      <c r="H96" t="s">
        <v>1126</v>
      </c>
      <c r="I96" t="s">
        <v>31</v>
      </c>
      <c r="J96">
        <v>149052</v>
      </c>
      <c r="K96">
        <v>796</v>
      </c>
      <c r="L96" s="4">
        <v>0.04</v>
      </c>
      <c r="M96">
        <v>0.09</v>
      </c>
      <c r="N96" s="4">
        <v>5.9620800000000003</v>
      </c>
      <c r="O96" s="4">
        <v>13.414680000000001</v>
      </c>
    </row>
    <row r="97" spans="2:15">
      <c r="B97" t="s">
        <v>1108</v>
      </c>
      <c r="C97" t="s">
        <v>50</v>
      </c>
      <c r="D97" t="s">
        <v>1878</v>
      </c>
      <c r="E97" t="s">
        <v>1879</v>
      </c>
      <c r="F97" t="s">
        <v>12</v>
      </c>
      <c r="G97" t="s">
        <v>1878</v>
      </c>
      <c r="H97" t="s">
        <v>1880</v>
      </c>
      <c r="I97" t="s">
        <v>31</v>
      </c>
      <c r="J97">
        <v>4717</v>
      </c>
      <c r="K97">
        <v>3</v>
      </c>
      <c r="L97" s="4">
        <v>0.04</v>
      </c>
      <c r="M97">
        <v>0.09</v>
      </c>
      <c r="N97" s="4">
        <v>0.18868000000000001</v>
      </c>
      <c r="O97" s="4">
        <v>0.42452999999999996</v>
      </c>
    </row>
    <row r="98" spans="2:15">
      <c r="B98" t="s">
        <v>1108</v>
      </c>
      <c r="C98" t="s">
        <v>50</v>
      </c>
      <c r="D98" t="s">
        <v>1127</v>
      </c>
      <c r="E98" t="s">
        <v>1128</v>
      </c>
      <c r="F98" t="s">
        <v>12</v>
      </c>
      <c r="G98" t="s">
        <v>1127</v>
      </c>
      <c r="H98" t="s">
        <v>1129</v>
      </c>
      <c r="I98" t="s">
        <v>31</v>
      </c>
      <c r="J98">
        <v>1073873</v>
      </c>
      <c r="K98">
        <v>9143</v>
      </c>
      <c r="L98" s="4">
        <v>0.04</v>
      </c>
      <c r="M98">
        <v>0.09</v>
      </c>
      <c r="N98" s="4">
        <v>42.954920000000001</v>
      </c>
      <c r="O98" s="4">
        <v>96.648569999999992</v>
      </c>
    </row>
    <row r="99" spans="2:15">
      <c r="B99" t="s">
        <v>1108</v>
      </c>
      <c r="C99" t="s">
        <v>50</v>
      </c>
      <c r="D99" t="s">
        <v>1130</v>
      </c>
      <c r="E99" t="s">
        <v>1131</v>
      </c>
      <c r="F99" t="s">
        <v>12</v>
      </c>
      <c r="G99" t="s">
        <v>1130</v>
      </c>
      <c r="H99" t="s">
        <v>1132</v>
      </c>
      <c r="I99" t="s">
        <v>31</v>
      </c>
      <c r="J99">
        <v>45843</v>
      </c>
      <c r="K99">
        <v>170</v>
      </c>
      <c r="L99" s="4">
        <v>0.04</v>
      </c>
      <c r="M99">
        <v>0.09</v>
      </c>
      <c r="N99" s="4">
        <v>1.83372</v>
      </c>
      <c r="O99" s="4">
        <v>4.1258699999999999</v>
      </c>
    </row>
    <row r="100" spans="2:15">
      <c r="B100" t="s">
        <v>1108</v>
      </c>
      <c r="C100" t="s">
        <v>50</v>
      </c>
      <c r="D100" t="s">
        <v>1881</v>
      </c>
      <c r="E100" t="s">
        <v>1882</v>
      </c>
      <c r="F100" t="s">
        <v>12</v>
      </c>
      <c r="G100" t="s">
        <v>1881</v>
      </c>
      <c r="H100" t="s">
        <v>1883</v>
      </c>
      <c r="I100" t="s">
        <v>31</v>
      </c>
      <c r="J100">
        <v>1290878</v>
      </c>
      <c r="K100">
        <v>8057</v>
      </c>
      <c r="L100" s="4">
        <v>0.04</v>
      </c>
      <c r="M100">
        <v>0.09</v>
      </c>
      <c r="N100" s="4">
        <v>51.635120000000001</v>
      </c>
      <c r="O100" s="4">
        <v>116.17901999999999</v>
      </c>
    </row>
    <row r="101" spans="2:15">
      <c r="B101" t="s">
        <v>1108</v>
      </c>
      <c r="C101" t="s">
        <v>50</v>
      </c>
      <c r="D101" t="s">
        <v>1884</v>
      </c>
      <c r="E101" t="s">
        <v>1885</v>
      </c>
      <c r="F101" t="s">
        <v>12</v>
      </c>
      <c r="G101" t="s">
        <v>1884</v>
      </c>
      <c r="H101" t="s">
        <v>1886</v>
      </c>
      <c r="I101" t="s">
        <v>31</v>
      </c>
      <c r="J101">
        <v>3703</v>
      </c>
      <c r="K101">
        <v>1</v>
      </c>
      <c r="L101" s="4">
        <v>0.04</v>
      </c>
      <c r="M101">
        <v>0.09</v>
      </c>
      <c r="N101" s="4">
        <v>0.14812</v>
      </c>
      <c r="O101" s="4">
        <v>0.33326999999999996</v>
      </c>
    </row>
    <row r="102" spans="2:15">
      <c r="B102" t="s">
        <v>1108</v>
      </c>
      <c r="C102" t="s">
        <v>50</v>
      </c>
      <c r="D102" t="s">
        <v>1887</v>
      </c>
      <c r="E102" t="s">
        <v>1888</v>
      </c>
      <c r="F102" t="s">
        <v>12</v>
      </c>
      <c r="G102" t="s">
        <v>1887</v>
      </c>
      <c r="H102" t="s">
        <v>1889</v>
      </c>
      <c r="I102" t="s">
        <v>31</v>
      </c>
      <c r="J102">
        <v>1278146</v>
      </c>
      <c r="K102">
        <v>11540</v>
      </c>
      <c r="L102" s="4">
        <v>0.04</v>
      </c>
      <c r="M102">
        <v>0.09</v>
      </c>
      <c r="N102" s="4">
        <v>51.125840000000004</v>
      </c>
      <c r="O102" s="4">
        <v>115.03314</v>
      </c>
    </row>
    <row r="103" spans="2:15">
      <c r="B103" t="s">
        <v>1108</v>
      </c>
      <c r="C103" t="s">
        <v>50</v>
      </c>
      <c r="D103" t="s">
        <v>1133</v>
      </c>
      <c r="E103" t="s">
        <v>1134</v>
      </c>
      <c r="F103" t="s">
        <v>12</v>
      </c>
      <c r="G103" t="s">
        <v>1133</v>
      </c>
      <c r="H103" t="s">
        <v>1135</v>
      </c>
      <c r="I103" t="s">
        <v>31</v>
      </c>
      <c r="J103">
        <v>106364</v>
      </c>
      <c r="K103">
        <v>403</v>
      </c>
      <c r="L103" s="4">
        <v>0.04</v>
      </c>
      <c r="M103">
        <v>0.09</v>
      </c>
      <c r="N103" s="4">
        <v>4.2545600000000006</v>
      </c>
      <c r="O103" s="4">
        <v>9.5727600000000006</v>
      </c>
    </row>
    <row r="104" spans="2:15">
      <c r="B104" t="s">
        <v>1108</v>
      </c>
      <c r="C104" t="s">
        <v>50</v>
      </c>
      <c r="D104" t="s">
        <v>1890</v>
      </c>
      <c r="E104" t="s">
        <v>1891</v>
      </c>
      <c r="F104" t="s">
        <v>12</v>
      </c>
      <c r="G104" t="s">
        <v>1890</v>
      </c>
      <c r="H104" t="s">
        <v>1892</v>
      </c>
      <c r="I104" t="s">
        <v>31</v>
      </c>
      <c r="J104">
        <v>636433</v>
      </c>
      <c r="K104">
        <v>3709</v>
      </c>
      <c r="L104" s="4">
        <v>0.04</v>
      </c>
      <c r="M104">
        <v>0.09</v>
      </c>
      <c r="N104" s="4">
        <v>25.457319999999999</v>
      </c>
      <c r="O104" s="4">
        <v>57.278970000000001</v>
      </c>
    </row>
    <row r="105" spans="2:15">
      <c r="B105" t="s">
        <v>1108</v>
      </c>
      <c r="C105" t="s">
        <v>50</v>
      </c>
      <c r="D105" t="s">
        <v>1893</v>
      </c>
      <c r="E105" t="s">
        <v>1894</v>
      </c>
      <c r="F105" t="s">
        <v>12</v>
      </c>
      <c r="G105" t="s">
        <v>1893</v>
      </c>
      <c r="H105" t="s">
        <v>1895</v>
      </c>
      <c r="I105" t="s">
        <v>31</v>
      </c>
      <c r="J105">
        <v>4846</v>
      </c>
      <c r="K105">
        <v>12</v>
      </c>
      <c r="L105" s="4">
        <v>0.04</v>
      </c>
      <c r="M105">
        <v>0.09</v>
      </c>
      <c r="N105" s="4">
        <v>0.19384000000000001</v>
      </c>
      <c r="O105" s="4">
        <v>0.43613999999999997</v>
      </c>
    </row>
    <row r="106" spans="2:15">
      <c r="B106" t="s">
        <v>1108</v>
      </c>
      <c r="C106" t="s">
        <v>50</v>
      </c>
      <c r="D106" t="s">
        <v>1136</v>
      </c>
      <c r="E106" t="s">
        <v>1137</v>
      </c>
      <c r="F106" t="s">
        <v>12</v>
      </c>
      <c r="G106" t="s">
        <v>1136</v>
      </c>
      <c r="H106" t="s">
        <v>1138</v>
      </c>
      <c r="I106" t="s">
        <v>31</v>
      </c>
      <c r="J106">
        <v>378166</v>
      </c>
      <c r="K106">
        <v>2641</v>
      </c>
      <c r="L106" s="4">
        <v>0.04</v>
      </c>
      <c r="M106">
        <v>0.09</v>
      </c>
      <c r="N106" s="4">
        <v>15.12664</v>
      </c>
      <c r="O106" s="4">
        <v>34.034939999999999</v>
      </c>
    </row>
    <row r="107" spans="2:15">
      <c r="B107" t="s">
        <v>1108</v>
      </c>
      <c r="C107" t="s">
        <v>50</v>
      </c>
      <c r="D107" t="s">
        <v>1896</v>
      </c>
      <c r="E107" t="s">
        <v>1897</v>
      </c>
      <c r="F107" t="s">
        <v>12</v>
      </c>
      <c r="G107" t="s">
        <v>1896</v>
      </c>
      <c r="H107" t="s">
        <v>1898</v>
      </c>
      <c r="I107" t="s">
        <v>31</v>
      </c>
      <c r="J107">
        <v>16738</v>
      </c>
      <c r="K107">
        <v>48</v>
      </c>
      <c r="L107" s="4">
        <v>0.04</v>
      </c>
      <c r="M107">
        <v>0.09</v>
      </c>
      <c r="N107" s="4">
        <v>0.66952</v>
      </c>
      <c r="O107" s="4">
        <v>1.5064199999999999</v>
      </c>
    </row>
    <row r="108" spans="2:15">
      <c r="B108" t="s">
        <v>1108</v>
      </c>
      <c r="C108" t="s">
        <v>50</v>
      </c>
      <c r="D108" t="s">
        <v>1139</v>
      </c>
      <c r="E108" t="s">
        <v>1140</v>
      </c>
      <c r="F108" t="s">
        <v>12</v>
      </c>
      <c r="G108" t="s">
        <v>1139</v>
      </c>
      <c r="H108" t="s">
        <v>1141</v>
      </c>
      <c r="I108" t="s">
        <v>31</v>
      </c>
      <c r="J108">
        <v>174851</v>
      </c>
      <c r="K108">
        <v>1124</v>
      </c>
      <c r="L108" s="4">
        <v>0.04</v>
      </c>
      <c r="M108">
        <v>0.09</v>
      </c>
      <c r="N108" s="4">
        <v>6.99404</v>
      </c>
      <c r="O108" s="4">
        <v>15.73659</v>
      </c>
    </row>
    <row r="109" spans="2:15">
      <c r="B109" t="s">
        <v>1108</v>
      </c>
      <c r="C109" t="s">
        <v>50</v>
      </c>
      <c r="D109" t="s">
        <v>1899</v>
      </c>
      <c r="E109" t="s">
        <v>1900</v>
      </c>
      <c r="F109" t="s">
        <v>12</v>
      </c>
      <c r="G109" t="s">
        <v>1899</v>
      </c>
      <c r="H109" t="s">
        <v>1901</v>
      </c>
      <c r="I109" t="s">
        <v>31</v>
      </c>
      <c r="J109">
        <v>1524</v>
      </c>
      <c r="K109">
        <v>3</v>
      </c>
      <c r="L109" s="4">
        <v>0.04</v>
      </c>
      <c r="M109">
        <v>0.09</v>
      </c>
      <c r="N109" s="4">
        <v>6.096E-2</v>
      </c>
      <c r="O109" s="4">
        <v>0.13716</v>
      </c>
    </row>
    <row r="110" spans="2:15">
      <c r="B110" t="s">
        <v>1108</v>
      </c>
      <c r="C110" t="s">
        <v>50</v>
      </c>
      <c r="D110" t="s">
        <v>1902</v>
      </c>
      <c r="E110" t="s">
        <v>1903</v>
      </c>
      <c r="F110" t="s">
        <v>12</v>
      </c>
      <c r="G110" t="s">
        <v>1902</v>
      </c>
      <c r="H110" t="s">
        <v>1904</v>
      </c>
      <c r="I110" t="s">
        <v>31</v>
      </c>
      <c r="J110">
        <v>5677</v>
      </c>
      <c r="K110">
        <v>2</v>
      </c>
      <c r="L110" s="4">
        <v>0.04</v>
      </c>
      <c r="M110">
        <v>0.09</v>
      </c>
      <c r="N110" s="4">
        <v>0.22708</v>
      </c>
      <c r="O110" s="4">
        <v>0.51093</v>
      </c>
    </row>
    <row r="111" spans="2:15">
      <c r="B111" t="s">
        <v>1108</v>
      </c>
      <c r="C111" t="s">
        <v>50</v>
      </c>
      <c r="D111" t="s">
        <v>1142</v>
      </c>
      <c r="E111" t="s">
        <v>1143</v>
      </c>
      <c r="F111" t="s">
        <v>12</v>
      </c>
      <c r="G111" t="s">
        <v>1142</v>
      </c>
      <c r="H111" t="s">
        <v>1144</v>
      </c>
      <c r="I111" t="s">
        <v>31</v>
      </c>
      <c r="J111">
        <v>94625</v>
      </c>
      <c r="K111">
        <v>3077</v>
      </c>
      <c r="L111" s="4">
        <v>0.04</v>
      </c>
      <c r="M111">
        <v>0.09</v>
      </c>
      <c r="N111" s="4">
        <v>3.7850000000000001</v>
      </c>
      <c r="O111" s="4">
        <v>8.5162499999999994</v>
      </c>
    </row>
    <row r="112" spans="2:15">
      <c r="B112" t="s">
        <v>1108</v>
      </c>
      <c r="C112" t="s">
        <v>50</v>
      </c>
      <c r="D112" t="s">
        <v>1905</v>
      </c>
      <c r="E112" t="s">
        <v>1906</v>
      </c>
      <c r="F112" t="s">
        <v>12</v>
      </c>
      <c r="G112" t="s">
        <v>1905</v>
      </c>
      <c r="H112" t="s">
        <v>1907</v>
      </c>
      <c r="I112" t="s">
        <v>31</v>
      </c>
      <c r="J112">
        <v>1113</v>
      </c>
      <c r="K112">
        <v>2</v>
      </c>
      <c r="L112" s="4">
        <v>0.04</v>
      </c>
      <c r="M112">
        <v>0.09</v>
      </c>
      <c r="N112" s="4">
        <v>4.4520000000000004E-2</v>
      </c>
      <c r="O112" s="4">
        <v>0.10017</v>
      </c>
    </row>
    <row r="113" spans="2:15">
      <c r="B113" t="s">
        <v>1108</v>
      </c>
      <c r="C113" t="s">
        <v>50</v>
      </c>
      <c r="D113" t="s">
        <v>1908</v>
      </c>
      <c r="E113" t="s">
        <v>1909</v>
      </c>
      <c r="F113" t="s">
        <v>12</v>
      </c>
      <c r="G113" t="s">
        <v>1908</v>
      </c>
      <c r="H113" t="s">
        <v>1910</v>
      </c>
      <c r="I113" t="s">
        <v>31</v>
      </c>
      <c r="J113">
        <v>4464</v>
      </c>
      <c r="K113">
        <v>1</v>
      </c>
      <c r="L113" s="4">
        <v>0.04</v>
      </c>
      <c r="M113">
        <v>0.09</v>
      </c>
      <c r="N113" s="4">
        <v>0.17856</v>
      </c>
      <c r="O113" s="4">
        <v>0.40176000000000001</v>
      </c>
    </row>
    <row r="114" spans="2:15">
      <c r="B114" t="s">
        <v>1108</v>
      </c>
      <c r="C114" t="s">
        <v>50</v>
      </c>
      <c r="D114" t="s">
        <v>1145</v>
      </c>
      <c r="E114" t="s">
        <v>1146</v>
      </c>
      <c r="F114" t="s">
        <v>12</v>
      </c>
      <c r="G114" t="s">
        <v>1145</v>
      </c>
      <c r="H114" t="s">
        <v>1147</v>
      </c>
      <c r="I114" t="s">
        <v>31</v>
      </c>
      <c r="J114">
        <v>60470</v>
      </c>
      <c r="K114">
        <v>1961</v>
      </c>
      <c r="L114" s="4">
        <v>0.04</v>
      </c>
      <c r="M114">
        <v>0.09</v>
      </c>
      <c r="N114" s="4">
        <v>2.4188000000000001</v>
      </c>
      <c r="O114" s="4">
        <v>5.4423000000000004</v>
      </c>
    </row>
    <row r="115" spans="2:15">
      <c r="B115" t="s">
        <v>1108</v>
      </c>
      <c r="C115" t="s">
        <v>50</v>
      </c>
      <c r="D115" t="s">
        <v>1911</v>
      </c>
      <c r="E115" t="s">
        <v>1912</v>
      </c>
      <c r="F115" t="s">
        <v>12</v>
      </c>
      <c r="G115" t="s">
        <v>1911</v>
      </c>
      <c r="H115" t="s">
        <v>1913</v>
      </c>
      <c r="I115" t="s">
        <v>31</v>
      </c>
      <c r="J115">
        <v>4320</v>
      </c>
      <c r="K115">
        <v>0</v>
      </c>
      <c r="L115" s="4">
        <v>0.04</v>
      </c>
      <c r="M115">
        <v>0.09</v>
      </c>
      <c r="N115" s="4">
        <v>0.17280000000000001</v>
      </c>
      <c r="O115" s="4">
        <v>0.38880000000000003</v>
      </c>
    </row>
    <row r="116" spans="2:15">
      <c r="B116" t="s">
        <v>1108</v>
      </c>
      <c r="C116" t="s">
        <v>50</v>
      </c>
      <c r="D116" t="s">
        <v>1914</v>
      </c>
      <c r="E116" t="s">
        <v>1915</v>
      </c>
      <c r="F116" t="s">
        <v>12</v>
      </c>
      <c r="G116" t="s">
        <v>1914</v>
      </c>
      <c r="H116" t="s">
        <v>1916</v>
      </c>
      <c r="I116" t="s">
        <v>31</v>
      </c>
      <c r="J116">
        <v>21433</v>
      </c>
      <c r="K116">
        <v>6</v>
      </c>
      <c r="L116" s="4">
        <v>0.04</v>
      </c>
      <c r="M116">
        <v>0.09</v>
      </c>
      <c r="N116" s="4">
        <v>0.85732000000000008</v>
      </c>
      <c r="O116" s="4">
        <v>1.9289700000000001</v>
      </c>
    </row>
    <row r="117" spans="2:15">
      <c r="B117" t="s">
        <v>1108</v>
      </c>
      <c r="C117" t="s">
        <v>50</v>
      </c>
      <c r="D117" t="s">
        <v>1917</v>
      </c>
      <c r="E117" t="s">
        <v>1918</v>
      </c>
      <c r="F117" t="s">
        <v>12</v>
      </c>
      <c r="G117" t="s">
        <v>1917</v>
      </c>
      <c r="H117" t="s">
        <v>1919</v>
      </c>
      <c r="I117" t="s">
        <v>31</v>
      </c>
      <c r="J117">
        <v>486963</v>
      </c>
      <c r="K117">
        <v>15833</v>
      </c>
      <c r="L117" s="4">
        <v>0.04</v>
      </c>
      <c r="M117">
        <v>0.09</v>
      </c>
      <c r="N117" s="4">
        <v>19.47852</v>
      </c>
      <c r="O117" s="4">
        <v>43.82667</v>
      </c>
    </row>
    <row r="118" spans="2:15">
      <c r="B118" t="s">
        <v>1108</v>
      </c>
      <c r="C118" t="s">
        <v>50</v>
      </c>
      <c r="D118" t="s">
        <v>1920</v>
      </c>
      <c r="E118" t="s">
        <v>1921</v>
      </c>
      <c r="F118" t="s">
        <v>12</v>
      </c>
      <c r="G118" t="s">
        <v>1920</v>
      </c>
      <c r="H118" t="s">
        <v>1922</v>
      </c>
      <c r="I118" t="s">
        <v>31</v>
      </c>
      <c r="J118">
        <v>4519</v>
      </c>
      <c r="K118">
        <v>2</v>
      </c>
      <c r="L118" s="4">
        <v>0.04</v>
      </c>
      <c r="M118">
        <v>0.09</v>
      </c>
      <c r="N118" s="4">
        <v>0.18076</v>
      </c>
      <c r="O118" s="4">
        <v>0.40670999999999996</v>
      </c>
    </row>
    <row r="119" spans="2:15">
      <c r="B119" t="s">
        <v>1108</v>
      </c>
      <c r="C119" t="s">
        <v>50</v>
      </c>
      <c r="D119" t="s">
        <v>1923</v>
      </c>
      <c r="E119" t="s">
        <v>1924</v>
      </c>
      <c r="F119" t="s">
        <v>12</v>
      </c>
      <c r="G119" t="s">
        <v>1923</v>
      </c>
      <c r="H119" t="s">
        <v>1925</v>
      </c>
      <c r="I119" t="s">
        <v>31</v>
      </c>
      <c r="J119">
        <v>18273</v>
      </c>
      <c r="K119">
        <v>3</v>
      </c>
      <c r="L119" s="4">
        <v>0.04</v>
      </c>
      <c r="M119">
        <v>0.09</v>
      </c>
      <c r="N119" s="4">
        <v>0.73092000000000001</v>
      </c>
      <c r="O119" s="4">
        <v>1.6445699999999999</v>
      </c>
    </row>
    <row r="120" spans="2:15">
      <c r="B120" t="s">
        <v>1108</v>
      </c>
      <c r="C120" t="s">
        <v>50</v>
      </c>
      <c r="D120" t="s">
        <v>1148</v>
      </c>
      <c r="E120" t="s">
        <v>1149</v>
      </c>
      <c r="F120" t="s">
        <v>12</v>
      </c>
      <c r="G120" t="s">
        <v>1148</v>
      </c>
      <c r="H120" t="s">
        <v>1150</v>
      </c>
      <c r="I120" t="s">
        <v>31</v>
      </c>
      <c r="J120">
        <v>326065</v>
      </c>
      <c r="K120">
        <v>10802</v>
      </c>
      <c r="L120" s="4">
        <v>0.04</v>
      </c>
      <c r="M120">
        <v>0.09</v>
      </c>
      <c r="N120" s="4">
        <v>13.0426</v>
      </c>
      <c r="O120" s="4">
        <v>29.345849999999999</v>
      </c>
    </row>
    <row r="121" spans="2:15">
      <c r="B121" t="s">
        <v>1108</v>
      </c>
      <c r="C121" t="s">
        <v>50</v>
      </c>
      <c r="D121" t="s">
        <v>1926</v>
      </c>
      <c r="E121" t="s">
        <v>1927</v>
      </c>
      <c r="F121" t="s">
        <v>12</v>
      </c>
      <c r="G121" t="s">
        <v>1926</v>
      </c>
      <c r="H121" t="s">
        <v>1928</v>
      </c>
      <c r="I121" t="s">
        <v>31</v>
      </c>
      <c r="J121">
        <v>1649</v>
      </c>
      <c r="K121">
        <v>1</v>
      </c>
      <c r="L121" s="4">
        <v>0.04</v>
      </c>
      <c r="M121">
        <v>0.09</v>
      </c>
      <c r="N121" s="4">
        <v>6.5960000000000005E-2</v>
      </c>
      <c r="O121" s="4">
        <v>0.14840999999999999</v>
      </c>
    </row>
    <row r="122" spans="2:15">
      <c r="B122" t="s">
        <v>1108</v>
      </c>
      <c r="C122" t="s">
        <v>50</v>
      </c>
      <c r="D122" t="s">
        <v>1929</v>
      </c>
      <c r="E122" t="s">
        <v>1930</v>
      </c>
      <c r="F122" t="s">
        <v>12</v>
      </c>
      <c r="G122" t="s">
        <v>1929</v>
      </c>
      <c r="H122" t="s">
        <v>1931</v>
      </c>
      <c r="I122" t="s">
        <v>31</v>
      </c>
      <c r="J122">
        <v>13909</v>
      </c>
      <c r="K122">
        <v>21</v>
      </c>
      <c r="L122" s="4">
        <v>0.04</v>
      </c>
      <c r="M122">
        <v>0.09</v>
      </c>
      <c r="N122" s="4">
        <v>0.55635999999999997</v>
      </c>
      <c r="O122" s="4">
        <v>1.2518099999999999</v>
      </c>
    </row>
    <row r="123" spans="2:15">
      <c r="B123" t="s">
        <v>1108</v>
      </c>
      <c r="C123" t="s">
        <v>50</v>
      </c>
      <c r="D123" t="s">
        <v>1151</v>
      </c>
      <c r="E123" t="s">
        <v>1152</v>
      </c>
      <c r="F123" t="s">
        <v>12</v>
      </c>
      <c r="G123" t="s">
        <v>1151</v>
      </c>
      <c r="H123" t="s">
        <v>1153</v>
      </c>
      <c r="I123" t="s">
        <v>31</v>
      </c>
      <c r="J123">
        <v>100416</v>
      </c>
      <c r="K123">
        <v>3058</v>
      </c>
      <c r="L123" s="4">
        <v>0.04</v>
      </c>
      <c r="M123">
        <v>0.09</v>
      </c>
      <c r="N123" s="4">
        <v>4.0166399999999998</v>
      </c>
      <c r="O123" s="4">
        <v>9.0374400000000001</v>
      </c>
    </row>
    <row r="124" spans="2:15">
      <c r="B124" t="s">
        <v>1108</v>
      </c>
      <c r="C124" t="s">
        <v>761</v>
      </c>
      <c r="D124" t="s">
        <v>1154</v>
      </c>
      <c r="E124" t="s">
        <v>1155</v>
      </c>
      <c r="F124" t="s">
        <v>12</v>
      </c>
      <c r="G124" t="s">
        <v>1154</v>
      </c>
      <c r="H124" t="s">
        <v>1156</v>
      </c>
      <c r="I124" t="s">
        <v>32</v>
      </c>
      <c r="J124">
        <v>59769</v>
      </c>
      <c r="K124">
        <v>113</v>
      </c>
      <c r="L124" s="4">
        <v>0.04</v>
      </c>
      <c r="M124">
        <v>0.09</v>
      </c>
      <c r="N124" s="4">
        <v>2.3907600000000002</v>
      </c>
      <c r="O124" s="4">
        <v>5.3792099999999996</v>
      </c>
    </row>
    <row r="125" spans="2:15">
      <c r="B125" t="s">
        <v>1108</v>
      </c>
      <c r="C125" t="s">
        <v>761</v>
      </c>
      <c r="D125" t="s">
        <v>1157</v>
      </c>
      <c r="E125" t="s">
        <v>1158</v>
      </c>
      <c r="F125" t="s">
        <v>12</v>
      </c>
      <c r="G125" t="s">
        <v>1157</v>
      </c>
      <c r="H125" t="s">
        <v>1159</v>
      </c>
      <c r="I125" t="s">
        <v>32</v>
      </c>
      <c r="J125">
        <v>25263</v>
      </c>
      <c r="K125">
        <v>127</v>
      </c>
      <c r="L125" s="4">
        <v>0.04</v>
      </c>
      <c r="M125">
        <v>0.09</v>
      </c>
      <c r="N125" s="4">
        <v>1.0105200000000001</v>
      </c>
      <c r="O125" s="4">
        <v>2.2736700000000001</v>
      </c>
    </row>
    <row r="126" spans="2:15">
      <c r="B126" t="s">
        <v>1108</v>
      </c>
      <c r="C126" t="s">
        <v>761</v>
      </c>
      <c r="D126" t="s">
        <v>1932</v>
      </c>
      <c r="E126" t="s">
        <v>1933</v>
      </c>
      <c r="F126" t="s">
        <v>12</v>
      </c>
      <c r="G126" t="s">
        <v>1932</v>
      </c>
      <c r="H126" t="s">
        <v>1934</v>
      </c>
      <c r="I126" t="s">
        <v>32</v>
      </c>
      <c r="J126">
        <v>60635</v>
      </c>
      <c r="K126">
        <v>185</v>
      </c>
      <c r="L126" s="4">
        <v>0.04</v>
      </c>
      <c r="M126">
        <v>0.09</v>
      </c>
      <c r="N126" s="4">
        <v>2.4254000000000002</v>
      </c>
      <c r="O126" s="4">
        <v>5.4571499999999995</v>
      </c>
    </row>
    <row r="127" spans="2:15">
      <c r="B127" t="s">
        <v>1108</v>
      </c>
      <c r="C127" t="s">
        <v>761</v>
      </c>
      <c r="D127" t="s">
        <v>1160</v>
      </c>
      <c r="E127" t="s">
        <v>1161</v>
      </c>
      <c r="F127" t="s">
        <v>12</v>
      </c>
      <c r="G127" t="s">
        <v>1160</v>
      </c>
      <c r="H127" t="s">
        <v>1162</v>
      </c>
      <c r="I127" t="s">
        <v>32</v>
      </c>
      <c r="J127">
        <v>59407</v>
      </c>
      <c r="K127">
        <v>104</v>
      </c>
      <c r="L127" s="4">
        <v>0.04</v>
      </c>
      <c r="M127">
        <v>0.09</v>
      </c>
      <c r="N127" s="4">
        <v>2.3762800000000004</v>
      </c>
      <c r="O127" s="4">
        <v>5.3466300000000002</v>
      </c>
    </row>
    <row r="128" spans="2:15">
      <c r="B128" t="s">
        <v>1108</v>
      </c>
      <c r="C128" t="s">
        <v>761</v>
      </c>
      <c r="D128" t="s">
        <v>1163</v>
      </c>
      <c r="E128" t="s">
        <v>1164</v>
      </c>
      <c r="F128" t="s">
        <v>12</v>
      </c>
      <c r="G128" t="s">
        <v>1163</v>
      </c>
      <c r="H128" t="s">
        <v>1165</v>
      </c>
      <c r="I128" t="s">
        <v>32</v>
      </c>
      <c r="J128">
        <v>25316</v>
      </c>
      <c r="K128">
        <v>145</v>
      </c>
      <c r="L128" s="4">
        <v>0.04</v>
      </c>
      <c r="M128">
        <v>0.09</v>
      </c>
      <c r="N128" s="4">
        <v>1.01264</v>
      </c>
      <c r="O128" s="4">
        <v>2.2784400000000002</v>
      </c>
    </row>
    <row r="129" spans="2:15">
      <c r="B129" t="s">
        <v>1108</v>
      </c>
      <c r="C129" t="s">
        <v>761</v>
      </c>
      <c r="D129" t="s">
        <v>1935</v>
      </c>
      <c r="E129" t="s">
        <v>1936</v>
      </c>
      <c r="F129" t="s">
        <v>12</v>
      </c>
      <c r="G129" t="s">
        <v>1935</v>
      </c>
      <c r="H129" t="s">
        <v>1937</v>
      </c>
      <c r="I129" t="s">
        <v>32</v>
      </c>
      <c r="J129">
        <v>60594</v>
      </c>
      <c r="K129">
        <v>202</v>
      </c>
      <c r="L129" s="4">
        <v>0.04</v>
      </c>
      <c r="M129">
        <v>0.09</v>
      </c>
      <c r="N129" s="4">
        <v>2.4237600000000001</v>
      </c>
      <c r="O129" s="4">
        <v>5.4534599999999998</v>
      </c>
    </row>
    <row r="130" spans="2:15">
      <c r="B130" t="s">
        <v>1108</v>
      </c>
      <c r="C130" t="s">
        <v>761</v>
      </c>
      <c r="D130" t="s">
        <v>1166</v>
      </c>
      <c r="E130" t="s">
        <v>1167</v>
      </c>
      <c r="F130" t="s">
        <v>12</v>
      </c>
      <c r="G130" t="s">
        <v>1166</v>
      </c>
      <c r="H130" t="s">
        <v>1168</v>
      </c>
      <c r="I130" t="s">
        <v>32</v>
      </c>
      <c r="J130">
        <v>232569</v>
      </c>
      <c r="K130">
        <v>1234</v>
      </c>
      <c r="L130" s="4">
        <v>0.04</v>
      </c>
      <c r="M130">
        <v>0.09</v>
      </c>
      <c r="N130" s="4">
        <v>9.302760000000001</v>
      </c>
      <c r="O130" s="4">
        <v>20.93121</v>
      </c>
    </row>
    <row r="131" spans="2:15">
      <c r="B131" t="s">
        <v>1108</v>
      </c>
      <c r="C131" t="s">
        <v>761</v>
      </c>
      <c r="D131" t="s">
        <v>1169</v>
      </c>
      <c r="E131" t="s">
        <v>1170</v>
      </c>
      <c r="F131" t="s">
        <v>12</v>
      </c>
      <c r="G131" t="s">
        <v>1169</v>
      </c>
      <c r="H131" t="s">
        <v>1171</v>
      </c>
      <c r="I131" t="s">
        <v>32</v>
      </c>
      <c r="J131">
        <v>122738</v>
      </c>
      <c r="K131">
        <v>3633</v>
      </c>
      <c r="L131" s="4">
        <v>0.04</v>
      </c>
      <c r="M131">
        <v>0.09</v>
      </c>
      <c r="N131" s="4">
        <v>4.9095200000000006</v>
      </c>
      <c r="O131" s="4">
        <v>11.046419999999999</v>
      </c>
    </row>
    <row r="132" spans="2:15">
      <c r="B132" t="s">
        <v>1108</v>
      </c>
      <c r="C132" t="s">
        <v>761</v>
      </c>
      <c r="D132" t="s">
        <v>1938</v>
      </c>
      <c r="E132" t="s">
        <v>1939</v>
      </c>
      <c r="F132" t="s">
        <v>12</v>
      </c>
      <c r="G132" t="s">
        <v>1938</v>
      </c>
      <c r="H132" t="s">
        <v>1940</v>
      </c>
      <c r="I132" t="s">
        <v>32</v>
      </c>
      <c r="J132">
        <v>338104</v>
      </c>
      <c r="K132">
        <v>819</v>
      </c>
      <c r="L132" s="4">
        <v>0.04</v>
      </c>
      <c r="M132">
        <v>0.09</v>
      </c>
      <c r="N132" s="4">
        <v>13.52416</v>
      </c>
      <c r="O132" s="4">
        <v>30.429359999999999</v>
      </c>
    </row>
    <row r="133" spans="2:15">
      <c r="B133" t="s">
        <v>1108</v>
      </c>
      <c r="C133" t="s">
        <v>761</v>
      </c>
      <c r="D133" t="s">
        <v>1172</v>
      </c>
      <c r="E133" t="s">
        <v>1173</v>
      </c>
      <c r="F133" t="s">
        <v>12</v>
      </c>
      <c r="G133" t="s">
        <v>1172</v>
      </c>
      <c r="H133" t="s">
        <v>1174</v>
      </c>
      <c r="I133" t="s">
        <v>32</v>
      </c>
      <c r="J133">
        <v>231814</v>
      </c>
      <c r="K133">
        <v>1282</v>
      </c>
      <c r="L133" s="4">
        <v>0.04</v>
      </c>
      <c r="M133">
        <v>0.09</v>
      </c>
      <c r="N133" s="4">
        <v>9.2725600000000004</v>
      </c>
      <c r="O133" s="4">
        <v>20.863259999999997</v>
      </c>
    </row>
    <row r="134" spans="2:15">
      <c r="B134" t="s">
        <v>1108</v>
      </c>
      <c r="C134" t="s">
        <v>761</v>
      </c>
      <c r="D134" t="s">
        <v>1175</v>
      </c>
      <c r="E134" t="s">
        <v>1176</v>
      </c>
      <c r="F134" t="s">
        <v>12</v>
      </c>
      <c r="G134" t="s">
        <v>1175</v>
      </c>
      <c r="H134" t="s">
        <v>1177</v>
      </c>
      <c r="I134" t="s">
        <v>32</v>
      </c>
      <c r="J134">
        <v>123246</v>
      </c>
      <c r="K134">
        <v>3732</v>
      </c>
      <c r="L134" s="4">
        <v>0.04</v>
      </c>
      <c r="M134">
        <v>0.09</v>
      </c>
      <c r="N134" s="4">
        <v>4.9298400000000004</v>
      </c>
      <c r="O134" s="4">
        <v>11.092139999999999</v>
      </c>
    </row>
    <row r="135" spans="2:15">
      <c r="B135" t="s">
        <v>1108</v>
      </c>
      <c r="C135" t="s">
        <v>761</v>
      </c>
      <c r="D135" t="s">
        <v>1941</v>
      </c>
      <c r="E135" t="s">
        <v>1942</v>
      </c>
      <c r="F135" t="s">
        <v>12</v>
      </c>
      <c r="G135" t="s">
        <v>1941</v>
      </c>
      <c r="H135" t="s">
        <v>1943</v>
      </c>
      <c r="I135" t="s">
        <v>32</v>
      </c>
      <c r="J135">
        <v>337459</v>
      </c>
      <c r="K135">
        <v>830</v>
      </c>
      <c r="L135" s="4">
        <v>0.04</v>
      </c>
      <c r="M135">
        <v>0.09</v>
      </c>
      <c r="N135" s="4">
        <v>13.49836</v>
      </c>
      <c r="O135" s="4">
        <v>30.371309999999998</v>
      </c>
    </row>
    <row r="136" spans="2:15">
      <c r="B136" t="s">
        <v>1108</v>
      </c>
      <c r="C136" t="s">
        <v>761</v>
      </c>
      <c r="D136" t="s">
        <v>1178</v>
      </c>
      <c r="E136" t="s">
        <v>1179</v>
      </c>
      <c r="F136" t="s">
        <v>12</v>
      </c>
      <c r="G136" t="s">
        <v>1178</v>
      </c>
      <c r="H136" t="s">
        <v>1180</v>
      </c>
      <c r="I136" t="s">
        <v>32</v>
      </c>
      <c r="J136">
        <v>95586</v>
      </c>
      <c r="K136">
        <v>279</v>
      </c>
      <c r="L136" s="4">
        <v>0.04</v>
      </c>
      <c r="M136">
        <v>0.09</v>
      </c>
      <c r="N136" s="4">
        <v>3.8234400000000002</v>
      </c>
      <c r="O136" s="4">
        <v>8.6027399999999989</v>
      </c>
    </row>
    <row r="137" spans="2:15">
      <c r="B137" t="s">
        <v>1108</v>
      </c>
      <c r="C137" t="s">
        <v>761</v>
      </c>
      <c r="D137" t="s">
        <v>1181</v>
      </c>
      <c r="E137" t="s">
        <v>1182</v>
      </c>
      <c r="F137" t="s">
        <v>12</v>
      </c>
      <c r="G137" t="s">
        <v>1181</v>
      </c>
      <c r="H137" t="s">
        <v>1183</v>
      </c>
      <c r="I137" t="s">
        <v>32</v>
      </c>
      <c r="J137">
        <v>47508</v>
      </c>
      <c r="K137">
        <v>578</v>
      </c>
      <c r="L137" s="4">
        <v>0.04</v>
      </c>
      <c r="M137">
        <v>0.09</v>
      </c>
      <c r="N137" s="4">
        <v>1.90032</v>
      </c>
      <c r="O137" s="4">
        <v>4.2757200000000006</v>
      </c>
    </row>
    <row r="138" spans="2:15">
      <c r="B138" t="s">
        <v>1108</v>
      </c>
      <c r="C138" t="s">
        <v>761</v>
      </c>
      <c r="D138" t="s">
        <v>1184</v>
      </c>
      <c r="E138" t="s">
        <v>1185</v>
      </c>
      <c r="F138" t="s">
        <v>12</v>
      </c>
      <c r="G138" t="s">
        <v>1184</v>
      </c>
      <c r="H138" t="s">
        <v>1186</v>
      </c>
      <c r="I138" t="s">
        <v>32</v>
      </c>
      <c r="J138">
        <v>109243</v>
      </c>
      <c r="K138">
        <v>315</v>
      </c>
      <c r="L138" s="4">
        <v>0.04</v>
      </c>
      <c r="M138">
        <v>0.09</v>
      </c>
      <c r="N138" s="4">
        <v>4.36972</v>
      </c>
      <c r="O138" s="4">
        <v>9.8318699999999986</v>
      </c>
    </row>
    <row r="139" spans="2:15">
      <c r="B139" t="s">
        <v>1108</v>
      </c>
      <c r="C139" t="s">
        <v>761</v>
      </c>
      <c r="D139" t="s">
        <v>1944</v>
      </c>
      <c r="E139" t="s">
        <v>1945</v>
      </c>
      <c r="F139" t="s">
        <v>10</v>
      </c>
      <c r="G139" t="s">
        <v>1944</v>
      </c>
      <c r="H139" t="s">
        <v>1946</v>
      </c>
      <c r="I139" t="s">
        <v>32</v>
      </c>
      <c r="J139">
        <v>0</v>
      </c>
      <c r="K139">
        <v>1</v>
      </c>
      <c r="L139" s="4">
        <v>3.5000000000000001E-3</v>
      </c>
      <c r="M139">
        <v>0.02</v>
      </c>
      <c r="N139" s="4">
        <v>3.5000000000000001E-3</v>
      </c>
      <c r="O139" s="4">
        <v>0.02</v>
      </c>
    </row>
    <row r="140" spans="2:15">
      <c r="B140" t="s">
        <v>1108</v>
      </c>
      <c r="C140" t="s">
        <v>761</v>
      </c>
      <c r="D140" t="s">
        <v>1947</v>
      </c>
      <c r="E140" t="s">
        <v>1948</v>
      </c>
      <c r="F140" t="s">
        <v>10</v>
      </c>
      <c r="G140" t="s">
        <v>1947</v>
      </c>
      <c r="H140" t="s">
        <v>1949</v>
      </c>
      <c r="I140" t="s">
        <v>32</v>
      </c>
      <c r="J140">
        <v>0</v>
      </c>
      <c r="K140">
        <v>1</v>
      </c>
      <c r="L140" s="4">
        <v>3.5000000000000001E-3</v>
      </c>
      <c r="M140">
        <v>0.02</v>
      </c>
      <c r="N140" s="4">
        <v>3.5000000000000001E-3</v>
      </c>
      <c r="O140" s="4">
        <v>0.02</v>
      </c>
    </row>
    <row r="141" spans="2:15">
      <c r="B141" t="s">
        <v>1108</v>
      </c>
      <c r="C141" t="s">
        <v>761</v>
      </c>
      <c r="D141" t="s">
        <v>1187</v>
      </c>
      <c r="E141" t="s">
        <v>1188</v>
      </c>
      <c r="F141" t="s">
        <v>10</v>
      </c>
      <c r="G141" t="s">
        <v>1187</v>
      </c>
      <c r="H141" t="s">
        <v>1189</v>
      </c>
      <c r="I141" t="s">
        <v>32</v>
      </c>
      <c r="J141">
        <v>0</v>
      </c>
      <c r="K141">
        <v>310</v>
      </c>
      <c r="L141" s="4">
        <v>3.5000000000000001E-3</v>
      </c>
      <c r="M141">
        <v>0.02</v>
      </c>
      <c r="N141" s="4">
        <v>1.085</v>
      </c>
      <c r="O141" s="4">
        <v>6.2</v>
      </c>
    </row>
    <row r="142" spans="2:15">
      <c r="B142" t="s">
        <v>1108</v>
      </c>
      <c r="C142" t="s">
        <v>761</v>
      </c>
      <c r="D142" t="s">
        <v>1190</v>
      </c>
      <c r="E142" t="s">
        <v>1191</v>
      </c>
      <c r="F142" t="s">
        <v>12</v>
      </c>
      <c r="G142" t="s">
        <v>1190</v>
      </c>
      <c r="H142" t="s">
        <v>1192</v>
      </c>
      <c r="I142" t="s">
        <v>32</v>
      </c>
      <c r="J142">
        <v>3255</v>
      </c>
      <c r="K142">
        <v>13</v>
      </c>
      <c r="L142" s="4">
        <v>0.04</v>
      </c>
      <c r="M142">
        <v>0.09</v>
      </c>
      <c r="N142" s="4">
        <v>0.13019999999999998</v>
      </c>
      <c r="O142" s="4">
        <v>0.29294999999999999</v>
      </c>
    </row>
    <row r="143" spans="2:15">
      <c r="B143" t="s">
        <v>1108</v>
      </c>
      <c r="C143" t="s">
        <v>761</v>
      </c>
      <c r="D143" t="s">
        <v>1193</v>
      </c>
      <c r="E143" t="s">
        <v>1194</v>
      </c>
      <c r="F143" t="s">
        <v>10</v>
      </c>
      <c r="G143" t="s">
        <v>1193</v>
      </c>
      <c r="H143" t="s">
        <v>1195</v>
      </c>
      <c r="I143" t="s">
        <v>32</v>
      </c>
      <c r="J143">
        <v>0</v>
      </c>
      <c r="K143">
        <v>264</v>
      </c>
      <c r="L143" s="4">
        <v>3.5000000000000001E-3</v>
      </c>
      <c r="M143">
        <v>0.02</v>
      </c>
      <c r="N143" s="4">
        <v>0.92400000000000004</v>
      </c>
      <c r="O143" s="4">
        <v>5.28</v>
      </c>
    </row>
    <row r="144" spans="2:15">
      <c r="B144" t="s">
        <v>1108</v>
      </c>
      <c r="C144" t="s">
        <v>761</v>
      </c>
      <c r="D144" t="s">
        <v>1950</v>
      </c>
      <c r="E144" t="s">
        <v>1951</v>
      </c>
      <c r="F144" t="s">
        <v>12</v>
      </c>
      <c r="G144" t="s">
        <v>1950</v>
      </c>
      <c r="H144" t="s">
        <v>1952</v>
      </c>
      <c r="I144" t="s">
        <v>32</v>
      </c>
      <c r="J144">
        <v>3356</v>
      </c>
      <c r="K144">
        <v>18</v>
      </c>
      <c r="L144" s="4">
        <v>0.04</v>
      </c>
      <c r="M144">
        <v>0.09</v>
      </c>
      <c r="N144" s="4">
        <v>0.13424</v>
      </c>
      <c r="O144" s="4">
        <v>0.30203999999999998</v>
      </c>
    </row>
    <row r="145" spans="2:15">
      <c r="B145" t="s">
        <v>1108</v>
      </c>
      <c r="C145" t="s">
        <v>761</v>
      </c>
      <c r="D145" t="s">
        <v>1953</v>
      </c>
      <c r="E145" t="s">
        <v>1954</v>
      </c>
      <c r="F145" t="s">
        <v>10</v>
      </c>
      <c r="G145" t="s">
        <v>1953</v>
      </c>
      <c r="H145" t="s">
        <v>1955</v>
      </c>
      <c r="I145" t="s">
        <v>32</v>
      </c>
      <c r="J145">
        <v>0</v>
      </c>
      <c r="K145">
        <v>2467</v>
      </c>
      <c r="L145" s="4">
        <v>3.5000000000000001E-3</v>
      </c>
      <c r="M145">
        <v>0.02</v>
      </c>
      <c r="N145" s="4">
        <v>8.634500000000001</v>
      </c>
      <c r="O145" s="4">
        <v>49.34</v>
      </c>
    </row>
    <row r="146" spans="2:15">
      <c r="B146" t="s">
        <v>1108</v>
      </c>
      <c r="C146" t="s">
        <v>761</v>
      </c>
      <c r="D146" t="s">
        <v>1956</v>
      </c>
      <c r="E146" t="s">
        <v>1957</v>
      </c>
      <c r="F146" t="s">
        <v>12</v>
      </c>
      <c r="G146" t="s">
        <v>1956</v>
      </c>
      <c r="H146" t="s">
        <v>1958</v>
      </c>
      <c r="I146" t="s">
        <v>32</v>
      </c>
      <c r="J146">
        <v>29502</v>
      </c>
      <c r="K146">
        <v>1246</v>
      </c>
      <c r="L146" s="4">
        <v>0.04</v>
      </c>
      <c r="M146">
        <v>0.09</v>
      </c>
      <c r="N146" s="4">
        <v>1.18008</v>
      </c>
      <c r="O146" s="4">
        <v>2.6551799999999997</v>
      </c>
    </row>
    <row r="147" spans="2:15">
      <c r="B147" t="s">
        <v>1108</v>
      </c>
      <c r="C147" t="s">
        <v>761</v>
      </c>
      <c r="D147" t="s">
        <v>1959</v>
      </c>
      <c r="E147" t="s">
        <v>1960</v>
      </c>
      <c r="F147" t="s">
        <v>10</v>
      </c>
      <c r="G147" t="s">
        <v>1959</v>
      </c>
      <c r="H147" t="s">
        <v>1961</v>
      </c>
      <c r="I147" t="s">
        <v>32</v>
      </c>
      <c r="J147">
        <v>0</v>
      </c>
      <c r="K147">
        <v>2594</v>
      </c>
      <c r="L147" s="4">
        <v>3.5000000000000001E-3</v>
      </c>
      <c r="M147">
        <v>0.02</v>
      </c>
      <c r="N147" s="4">
        <v>9.0790000000000006</v>
      </c>
      <c r="O147" s="4">
        <v>51.88</v>
      </c>
    </row>
    <row r="148" spans="2:15">
      <c r="B148" t="s">
        <v>1108</v>
      </c>
      <c r="C148" t="s">
        <v>761</v>
      </c>
      <c r="D148" t="s">
        <v>1962</v>
      </c>
      <c r="E148" t="s">
        <v>1963</v>
      </c>
      <c r="F148" t="s">
        <v>12</v>
      </c>
      <c r="G148" t="s">
        <v>1962</v>
      </c>
      <c r="H148" t="s">
        <v>1964</v>
      </c>
      <c r="I148" t="s">
        <v>32</v>
      </c>
      <c r="J148">
        <v>29447</v>
      </c>
      <c r="K148">
        <v>1238</v>
      </c>
      <c r="L148" s="4">
        <v>0.04</v>
      </c>
      <c r="M148">
        <v>0.09</v>
      </c>
      <c r="N148" s="4">
        <v>1.17788</v>
      </c>
      <c r="O148" s="4">
        <v>2.6502300000000001</v>
      </c>
    </row>
    <row r="149" spans="2:15">
      <c r="B149" t="s">
        <v>1108</v>
      </c>
      <c r="C149" t="s">
        <v>761</v>
      </c>
      <c r="D149" t="s">
        <v>1965</v>
      </c>
      <c r="E149" t="s">
        <v>1966</v>
      </c>
      <c r="F149" t="s">
        <v>10</v>
      </c>
      <c r="G149" t="s">
        <v>1965</v>
      </c>
      <c r="H149" t="s">
        <v>1967</v>
      </c>
      <c r="I149" t="s">
        <v>32</v>
      </c>
      <c r="J149">
        <v>0</v>
      </c>
      <c r="K149">
        <v>1111</v>
      </c>
      <c r="L149" s="4">
        <v>3.5000000000000001E-3</v>
      </c>
      <c r="M149">
        <v>0.02</v>
      </c>
      <c r="N149" s="4">
        <v>3.8885000000000001</v>
      </c>
      <c r="O149" s="4">
        <v>22.22</v>
      </c>
    </row>
    <row r="150" spans="2:15">
      <c r="B150" t="s">
        <v>1108</v>
      </c>
      <c r="C150" t="s">
        <v>761</v>
      </c>
      <c r="D150" t="s">
        <v>1196</v>
      </c>
      <c r="E150" t="s">
        <v>1197</v>
      </c>
      <c r="F150" t="s">
        <v>12</v>
      </c>
      <c r="G150" t="s">
        <v>1196</v>
      </c>
      <c r="H150" t="s">
        <v>1198</v>
      </c>
      <c r="I150" t="s">
        <v>32</v>
      </c>
      <c r="J150">
        <v>7462</v>
      </c>
      <c r="K150">
        <v>109</v>
      </c>
      <c r="L150" s="4">
        <v>0.04</v>
      </c>
      <c r="M150">
        <v>0.09</v>
      </c>
      <c r="N150" s="4">
        <v>0.29848000000000002</v>
      </c>
      <c r="O150" s="4">
        <v>0.67157999999999995</v>
      </c>
    </row>
    <row r="151" spans="2:15">
      <c r="B151" t="s">
        <v>1108</v>
      </c>
      <c r="C151" t="s">
        <v>118</v>
      </c>
      <c r="D151" t="s">
        <v>1199</v>
      </c>
      <c r="E151" t="s">
        <v>1200</v>
      </c>
      <c r="F151" t="s">
        <v>12</v>
      </c>
      <c r="G151" t="s">
        <v>1199</v>
      </c>
      <c r="H151" t="s">
        <v>1201</v>
      </c>
      <c r="I151" t="s">
        <v>31</v>
      </c>
      <c r="J151">
        <v>4027</v>
      </c>
      <c r="K151">
        <v>43</v>
      </c>
      <c r="L151" s="4">
        <v>0.04</v>
      </c>
      <c r="M151">
        <v>0.09</v>
      </c>
      <c r="N151" s="4">
        <v>0.16108</v>
      </c>
      <c r="O151" s="4">
        <v>0.36243000000000003</v>
      </c>
    </row>
    <row r="152" spans="2:15">
      <c r="B152" t="s">
        <v>1108</v>
      </c>
      <c r="C152" t="s">
        <v>118</v>
      </c>
      <c r="D152" t="s">
        <v>1968</v>
      </c>
      <c r="E152" t="s">
        <v>1969</v>
      </c>
      <c r="F152" t="s">
        <v>12</v>
      </c>
      <c r="G152" t="s">
        <v>1968</v>
      </c>
      <c r="H152" t="s">
        <v>1970</v>
      </c>
      <c r="I152" t="s">
        <v>31</v>
      </c>
      <c r="J152">
        <v>1049</v>
      </c>
      <c r="K152">
        <v>14</v>
      </c>
      <c r="L152" s="4">
        <v>0.04</v>
      </c>
      <c r="M152">
        <v>0.09</v>
      </c>
      <c r="N152" s="4">
        <v>4.1960000000000004E-2</v>
      </c>
      <c r="O152" s="4">
        <v>9.4409999999999994E-2</v>
      </c>
    </row>
    <row r="153" spans="2:15">
      <c r="B153" t="s">
        <v>1108</v>
      </c>
      <c r="C153" t="s">
        <v>118</v>
      </c>
      <c r="D153" t="s">
        <v>1202</v>
      </c>
      <c r="E153" t="s">
        <v>1203</v>
      </c>
      <c r="F153" t="s">
        <v>12</v>
      </c>
      <c r="G153" t="s">
        <v>1202</v>
      </c>
      <c r="H153" t="s">
        <v>1204</v>
      </c>
      <c r="I153" t="s">
        <v>31</v>
      </c>
      <c r="J153">
        <v>4050</v>
      </c>
      <c r="K153">
        <v>38</v>
      </c>
      <c r="L153" s="4">
        <v>0.04</v>
      </c>
      <c r="M153">
        <v>0.09</v>
      </c>
      <c r="N153" s="4">
        <v>0.16200000000000001</v>
      </c>
      <c r="O153" s="4">
        <v>0.36449999999999999</v>
      </c>
    </row>
    <row r="154" spans="2:15">
      <c r="B154" t="s">
        <v>1108</v>
      </c>
      <c r="C154" t="s">
        <v>118</v>
      </c>
      <c r="D154" t="s">
        <v>1971</v>
      </c>
      <c r="E154" t="s">
        <v>1972</v>
      </c>
      <c r="F154" t="s">
        <v>12</v>
      </c>
      <c r="G154" t="s">
        <v>1971</v>
      </c>
      <c r="H154" t="s">
        <v>1973</v>
      </c>
      <c r="I154" t="s">
        <v>31</v>
      </c>
      <c r="J154">
        <v>1064</v>
      </c>
      <c r="K154">
        <v>11</v>
      </c>
      <c r="L154" s="4">
        <v>0.04</v>
      </c>
      <c r="M154">
        <v>0.09</v>
      </c>
      <c r="N154" s="4">
        <v>4.2560000000000001E-2</v>
      </c>
      <c r="O154" s="4">
        <v>9.5759999999999984E-2</v>
      </c>
    </row>
    <row r="155" spans="2:15">
      <c r="B155" t="s">
        <v>1108</v>
      </c>
      <c r="C155" t="s">
        <v>118</v>
      </c>
      <c r="D155" t="s">
        <v>1205</v>
      </c>
      <c r="E155" t="s">
        <v>1206</v>
      </c>
      <c r="F155" t="s">
        <v>12</v>
      </c>
      <c r="G155" t="s">
        <v>1205</v>
      </c>
      <c r="H155" t="s">
        <v>1207</v>
      </c>
      <c r="I155" t="s">
        <v>31</v>
      </c>
      <c r="J155">
        <v>77743</v>
      </c>
      <c r="K155">
        <v>92</v>
      </c>
      <c r="L155" s="4">
        <v>0.04</v>
      </c>
      <c r="M155">
        <v>0.09</v>
      </c>
      <c r="N155" s="4">
        <v>3.1097200000000003</v>
      </c>
      <c r="O155" s="4">
        <v>6.9968699999999995</v>
      </c>
    </row>
    <row r="156" spans="2:15">
      <c r="B156" t="s">
        <v>1108</v>
      </c>
      <c r="C156" t="s">
        <v>118</v>
      </c>
      <c r="D156" t="s">
        <v>1974</v>
      </c>
      <c r="E156" t="s">
        <v>1975</v>
      </c>
      <c r="F156" t="s">
        <v>12</v>
      </c>
      <c r="G156" t="s">
        <v>1974</v>
      </c>
      <c r="H156" t="s">
        <v>1976</v>
      </c>
      <c r="I156" t="s">
        <v>31</v>
      </c>
      <c r="J156">
        <v>31243</v>
      </c>
      <c r="K156">
        <v>62</v>
      </c>
      <c r="L156" s="4">
        <v>0.04</v>
      </c>
      <c r="M156">
        <v>0.09</v>
      </c>
      <c r="N156" s="4">
        <v>1.2497199999999999</v>
      </c>
      <c r="O156" s="4">
        <v>2.8118699999999999</v>
      </c>
    </row>
    <row r="157" spans="2:15">
      <c r="B157" t="s">
        <v>1108</v>
      </c>
      <c r="C157" t="s">
        <v>118</v>
      </c>
      <c r="D157" t="s">
        <v>1208</v>
      </c>
      <c r="E157" t="s">
        <v>1209</v>
      </c>
      <c r="F157" t="s">
        <v>12</v>
      </c>
      <c r="G157" t="s">
        <v>1208</v>
      </c>
      <c r="H157" t="s">
        <v>1210</v>
      </c>
      <c r="I157" t="s">
        <v>31</v>
      </c>
      <c r="J157">
        <v>77711</v>
      </c>
      <c r="K157">
        <v>91</v>
      </c>
      <c r="L157" s="4">
        <v>0.04</v>
      </c>
      <c r="M157">
        <v>0.09</v>
      </c>
      <c r="N157" s="4">
        <v>3.1084399999999999</v>
      </c>
      <c r="O157" s="4">
        <v>6.9939900000000002</v>
      </c>
    </row>
    <row r="158" spans="2:15">
      <c r="B158" t="s">
        <v>1108</v>
      </c>
      <c r="C158" t="s">
        <v>118</v>
      </c>
      <c r="D158" t="s">
        <v>1977</v>
      </c>
      <c r="E158" t="s">
        <v>1978</v>
      </c>
      <c r="F158" t="s">
        <v>12</v>
      </c>
      <c r="G158" t="s">
        <v>1977</v>
      </c>
      <c r="H158" t="s">
        <v>1979</v>
      </c>
      <c r="I158" t="s">
        <v>31</v>
      </c>
      <c r="J158">
        <v>30889</v>
      </c>
      <c r="K158">
        <v>66</v>
      </c>
      <c r="L158" s="4">
        <v>0.04</v>
      </c>
      <c r="M158">
        <v>0.09</v>
      </c>
      <c r="N158" s="4">
        <v>1.23556</v>
      </c>
      <c r="O158" s="4">
        <v>2.7800099999999999</v>
      </c>
    </row>
    <row r="159" spans="2:15">
      <c r="B159" t="s">
        <v>1108</v>
      </c>
      <c r="C159" t="s">
        <v>118</v>
      </c>
      <c r="D159" t="s">
        <v>1980</v>
      </c>
      <c r="E159" t="s">
        <v>1981</v>
      </c>
      <c r="F159" t="s">
        <v>12</v>
      </c>
      <c r="G159" t="s">
        <v>1980</v>
      </c>
      <c r="H159" t="s">
        <v>1982</v>
      </c>
      <c r="I159" t="s">
        <v>31</v>
      </c>
      <c r="J159">
        <v>5494</v>
      </c>
      <c r="K159">
        <v>68</v>
      </c>
      <c r="L159" s="4">
        <v>0.04</v>
      </c>
      <c r="M159">
        <v>0.09</v>
      </c>
      <c r="N159" s="4">
        <v>0.21975999999999998</v>
      </c>
      <c r="O159" s="4">
        <v>0.49445999999999996</v>
      </c>
    </row>
    <row r="160" spans="2:15">
      <c r="B160" t="s">
        <v>1108</v>
      </c>
      <c r="C160" t="s">
        <v>118</v>
      </c>
      <c r="D160" t="s">
        <v>1211</v>
      </c>
      <c r="E160" t="s">
        <v>1212</v>
      </c>
      <c r="F160" t="s">
        <v>12</v>
      </c>
      <c r="G160" t="s">
        <v>1211</v>
      </c>
      <c r="H160" t="s">
        <v>1213</v>
      </c>
      <c r="I160" t="s">
        <v>31</v>
      </c>
      <c r="J160">
        <v>1642</v>
      </c>
      <c r="K160">
        <v>12</v>
      </c>
      <c r="L160" s="4">
        <v>0.04</v>
      </c>
      <c r="M160">
        <v>0.09</v>
      </c>
      <c r="N160" s="4">
        <v>6.5680000000000002E-2</v>
      </c>
      <c r="O160" s="4">
        <v>0.14777999999999999</v>
      </c>
    </row>
    <row r="161" spans="2:15">
      <c r="B161" t="s">
        <v>1108</v>
      </c>
      <c r="C161" t="s">
        <v>118</v>
      </c>
      <c r="D161" t="s">
        <v>1214</v>
      </c>
      <c r="E161" t="s">
        <v>1215</v>
      </c>
      <c r="F161" t="s">
        <v>12</v>
      </c>
      <c r="G161" t="s">
        <v>1214</v>
      </c>
      <c r="H161" t="s">
        <v>1216</v>
      </c>
      <c r="I161" t="s">
        <v>31</v>
      </c>
      <c r="J161">
        <v>284549</v>
      </c>
      <c r="K161">
        <v>2040</v>
      </c>
      <c r="L161" s="4">
        <v>0.04</v>
      </c>
      <c r="M161">
        <v>0.09</v>
      </c>
      <c r="N161" s="4">
        <v>11.381960000000001</v>
      </c>
      <c r="O161" s="4">
        <v>25.60941</v>
      </c>
    </row>
    <row r="162" spans="2:15">
      <c r="B162" t="s">
        <v>1108</v>
      </c>
      <c r="C162" t="s">
        <v>118</v>
      </c>
      <c r="D162" t="s">
        <v>1217</v>
      </c>
      <c r="E162" t="s">
        <v>1218</v>
      </c>
      <c r="F162" t="s">
        <v>12</v>
      </c>
      <c r="G162" t="s">
        <v>1217</v>
      </c>
      <c r="H162" t="s">
        <v>1219</v>
      </c>
      <c r="I162" t="s">
        <v>31</v>
      </c>
      <c r="J162">
        <v>284115</v>
      </c>
      <c r="K162">
        <v>2006</v>
      </c>
      <c r="L162" s="4">
        <v>0.04</v>
      </c>
      <c r="M162">
        <v>0.09</v>
      </c>
      <c r="N162" s="4">
        <v>11.364600000000001</v>
      </c>
      <c r="O162" s="4">
        <v>25.570349999999998</v>
      </c>
    </row>
    <row r="163" spans="2:15">
      <c r="B163" t="s">
        <v>1108</v>
      </c>
      <c r="C163" t="s">
        <v>118</v>
      </c>
      <c r="D163" t="s">
        <v>1220</v>
      </c>
      <c r="E163" t="s">
        <v>1221</v>
      </c>
      <c r="F163" t="s">
        <v>12</v>
      </c>
      <c r="G163" t="s">
        <v>1220</v>
      </c>
      <c r="H163" t="s">
        <v>1222</v>
      </c>
      <c r="I163" t="s">
        <v>31</v>
      </c>
      <c r="J163">
        <v>793259</v>
      </c>
      <c r="K163">
        <v>1826</v>
      </c>
      <c r="L163" s="4">
        <v>0.04</v>
      </c>
      <c r="M163">
        <v>0.09</v>
      </c>
      <c r="N163" s="4">
        <v>31.730360000000001</v>
      </c>
      <c r="O163" s="4">
        <v>71.39331</v>
      </c>
    </row>
    <row r="164" spans="2:15">
      <c r="B164" t="s">
        <v>1108</v>
      </c>
      <c r="C164" t="s">
        <v>118</v>
      </c>
      <c r="D164" t="s">
        <v>1223</v>
      </c>
      <c r="E164" t="s">
        <v>1224</v>
      </c>
      <c r="F164" t="s">
        <v>12</v>
      </c>
      <c r="G164" t="s">
        <v>1223</v>
      </c>
      <c r="H164" t="s">
        <v>1225</v>
      </c>
      <c r="I164" t="s">
        <v>31</v>
      </c>
      <c r="J164">
        <v>794153</v>
      </c>
      <c r="K164">
        <v>1950</v>
      </c>
      <c r="L164" s="4">
        <v>0.04</v>
      </c>
      <c r="M164">
        <v>0.09</v>
      </c>
      <c r="N164" s="4">
        <v>31.766119999999997</v>
      </c>
      <c r="O164" s="4">
        <v>71.473770000000002</v>
      </c>
    </row>
    <row r="165" spans="2:15">
      <c r="B165" t="s">
        <v>1108</v>
      </c>
      <c r="C165" t="s">
        <v>118</v>
      </c>
      <c r="D165" t="s">
        <v>1226</v>
      </c>
      <c r="E165" t="s">
        <v>1227</v>
      </c>
      <c r="F165" t="s">
        <v>12</v>
      </c>
      <c r="G165" t="s">
        <v>1226</v>
      </c>
      <c r="H165" t="s">
        <v>1228</v>
      </c>
      <c r="I165" t="s">
        <v>31</v>
      </c>
      <c r="J165">
        <v>473304</v>
      </c>
      <c r="K165">
        <v>2562</v>
      </c>
      <c r="L165" s="4">
        <v>0.04</v>
      </c>
      <c r="M165">
        <v>0.09</v>
      </c>
      <c r="N165" s="4">
        <v>18.93216</v>
      </c>
      <c r="O165" s="4">
        <v>42.597360000000002</v>
      </c>
    </row>
    <row r="166" spans="2:15">
      <c r="B166" t="s">
        <v>1108</v>
      </c>
      <c r="C166" t="s">
        <v>118</v>
      </c>
      <c r="D166" t="s">
        <v>1229</v>
      </c>
      <c r="E166" t="s">
        <v>1230</v>
      </c>
      <c r="F166" t="s">
        <v>12</v>
      </c>
      <c r="G166" t="s">
        <v>1229</v>
      </c>
      <c r="H166" t="s">
        <v>1231</v>
      </c>
      <c r="I166" t="s">
        <v>31</v>
      </c>
      <c r="J166">
        <v>6456</v>
      </c>
      <c r="K166">
        <v>37</v>
      </c>
      <c r="L166" s="4">
        <v>0.04</v>
      </c>
      <c r="M166">
        <v>0.09</v>
      </c>
      <c r="N166" s="4">
        <v>0.25824000000000003</v>
      </c>
      <c r="O166" s="4">
        <v>0.58104</v>
      </c>
    </row>
    <row r="167" spans="2:15">
      <c r="B167" t="s">
        <v>1108</v>
      </c>
      <c r="C167" t="s">
        <v>118</v>
      </c>
      <c r="D167" t="s">
        <v>1232</v>
      </c>
      <c r="E167" t="s">
        <v>1233</v>
      </c>
      <c r="F167" t="s">
        <v>12</v>
      </c>
      <c r="G167" t="s">
        <v>1232</v>
      </c>
      <c r="H167" t="s">
        <v>1234</v>
      </c>
      <c r="I167" t="s">
        <v>31</v>
      </c>
      <c r="J167">
        <v>6328</v>
      </c>
      <c r="K167">
        <v>27</v>
      </c>
      <c r="L167" s="4">
        <v>0.04</v>
      </c>
      <c r="M167">
        <v>0.09</v>
      </c>
      <c r="N167" s="4">
        <v>0.25312000000000001</v>
      </c>
      <c r="O167" s="4">
        <v>0.56952000000000003</v>
      </c>
    </row>
    <row r="168" spans="2:15">
      <c r="B168" t="s">
        <v>1108</v>
      </c>
      <c r="C168" t="s">
        <v>118</v>
      </c>
      <c r="D168" t="s">
        <v>1983</v>
      </c>
      <c r="E168" t="s">
        <v>1984</v>
      </c>
      <c r="F168" t="s">
        <v>12</v>
      </c>
      <c r="G168" t="s">
        <v>1983</v>
      </c>
      <c r="H168" t="s">
        <v>1985</v>
      </c>
      <c r="I168" t="s">
        <v>31</v>
      </c>
      <c r="J168">
        <v>64534</v>
      </c>
      <c r="K168">
        <v>80</v>
      </c>
      <c r="L168" s="4">
        <v>0.04</v>
      </c>
      <c r="M168">
        <v>0.09</v>
      </c>
      <c r="N168" s="4">
        <v>2.5813600000000001</v>
      </c>
      <c r="O168" s="4">
        <v>5.8080599999999993</v>
      </c>
    </row>
    <row r="169" spans="2:15">
      <c r="B169" t="s">
        <v>1108</v>
      </c>
      <c r="C169" t="s">
        <v>118</v>
      </c>
      <c r="D169" t="s">
        <v>1986</v>
      </c>
      <c r="E169" t="s">
        <v>1987</v>
      </c>
      <c r="F169" t="s">
        <v>12</v>
      </c>
      <c r="G169" t="s">
        <v>1986</v>
      </c>
      <c r="H169" t="s">
        <v>1988</v>
      </c>
      <c r="I169" t="s">
        <v>31</v>
      </c>
      <c r="J169">
        <v>62998</v>
      </c>
      <c r="K169">
        <v>61</v>
      </c>
      <c r="L169" s="4">
        <v>0.04</v>
      </c>
      <c r="M169">
        <v>0.09</v>
      </c>
      <c r="N169" s="4">
        <v>2.5199199999999999</v>
      </c>
      <c r="O169" s="4">
        <v>5.6698199999999996</v>
      </c>
    </row>
    <row r="170" spans="2:15">
      <c r="B170" t="s">
        <v>1108</v>
      </c>
      <c r="C170" t="s">
        <v>118</v>
      </c>
      <c r="D170" t="s">
        <v>1235</v>
      </c>
      <c r="E170" t="s">
        <v>1236</v>
      </c>
      <c r="F170" t="s">
        <v>12</v>
      </c>
      <c r="G170" t="s">
        <v>1235</v>
      </c>
      <c r="H170" t="s">
        <v>1237</v>
      </c>
      <c r="I170" t="s">
        <v>31</v>
      </c>
      <c r="J170">
        <v>10330</v>
      </c>
      <c r="K170">
        <v>40</v>
      </c>
      <c r="L170" s="4">
        <v>0.04</v>
      </c>
      <c r="M170">
        <v>0.09</v>
      </c>
      <c r="N170" s="4">
        <v>0.41320000000000001</v>
      </c>
      <c r="O170" s="4">
        <v>0.92969999999999997</v>
      </c>
    </row>
    <row r="171" spans="2:15">
      <c r="B171" t="s">
        <v>1108</v>
      </c>
      <c r="C171" t="s">
        <v>118</v>
      </c>
      <c r="D171" t="s">
        <v>1238</v>
      </c>
      <c r="E171" t="s">
        <v>1239</v>
      </c>
      <c r="F171" t="s">
        <v>12</v>
      </c>
      <c r="G171" t="s">
        <v>1238</v>
      </c>
      <c r="H171" t="s">
        <v>1240</v>
      </c>
      <c r="I171" t="s">
        <v>32</v>
      </c>
      <c r="J171">
        <v>240758</v>
      </c>
      <c r="K171">
        <v>3900</v>
      </c>
      <c r="L171" s="4">
        <v>0.04</v>
      </c>
      <c r="M171">
        <v>0.09</v>
      </c>
      <c r="N171" s="4">
        <v>9.6303199999999993</v>
      </c>
      <c r="O171" s="4">
        <v>21.668219999999998</v>
      </c>
    </row>
    <row r="172" spans="2:15">
      <c r="B172" t="s">
        <v>1108</v>
      </c>
      <c r="C172" t="s">
        <v>118</v>
      </c>
      <c r="D172" t="s">
        <v>1241</v>
      </c>
      <c r="E172" t="s">
        <v>1242</v>
      </c>
      <c r="F172" t="s">
        <v>12</v>
      </c>
      <c r="G172" t="s">
        <v>1241</v>
      </c>
      <c r="H172" t="s">
        <v>1243</v>
      </c>
      <c r="I172" t="s">
        <v>32</v>
      </c>
      <c r="J172">
        <v>65129</v>
      </c>
      <c r="K172">
        <v>634</v>
      </c>
      <c r="L172" s="4">
        <v>0.04</v>
      </c>
      <c r="M172">
        <v>0.09</v>
      </c>
      <c r="N172" s="4">
        <v>2.6051599999999997</v>
      </c>
      <c r="O172" s="4">
        <v>5.8616099999999998</v>
      </c>
    </row>
    <row r="173" spans="2:15">
      <c r="B173" t="s">
        <v>1108</v>
      </c>
      <c r="C173" t="s">
        <v>118</v>
      </c>
      <c r="D173" t="s">
        <v>1244</v>
      </c>
      <c r="E173" t="s">
        <v>1245</v>
      </c>
      <c r="F173" t="s">
        <v>11</v>
      </c>
      <c r="G173" t="s">
        <v>786</v>
      </c>
      <c r="H173" t="s">
        <v>1989</v>
      </c>
      <c r="I173" t="s">
        <v>31</v>
      </c>
      <c r="J173">
        <v>2</v>
      </c>
      <c r="K173">
        <v>0</v>
      </c>
      <c r="L173" s="4">
        <v>0.04</v>
      </c>
      <c r="M173">
        <v>0.09</v>
      </c>
      <c r="N173" s="4">
        <v>8.0000000000000007E-5</v>
      </c>
      <c r="O173" s="4">
        <v>1.7999999999999998E-4</v>
      </c>
    </row>
    <row r="174" spans="2:15">
      <c r="B174" t="s">
        <v>1108</v>
      </c>
      <c r="C174" t="s">
        <v>118</v>
      </c>
      <c r="D174" t="s">
        <v>1244</v>
      </c>
      <c r="E174" t="s">
        <v>1245</v>
      </c>
      <c r="F174" t="s">
        <v>12</v>
      </c>
      <c r="G174" t="s">
        <v>1244</v>
      </c>
      <c r="H174" t="s">
        <v>1246</v>
      </c>
      <c r="I174" t="s">
        <v>32</v>
      </c>
      <c r="J174">
        <v>5237500</v>
      </c>
      <c r="K174">
        <v>74891</v>
      </c>
      <c r="L174" s="4">
        <v>0.04</v>
      </c>
      <c r="M174">
        <v>0.09</v>
      </c>
      <c r="N174" s="4">
        <v>209.5</v>
      </c>
      <c r="O174" s="4">
        <v>471.375</v>
      </c>
    </row>
    <row r="175" spans="2:15">
      <c r="B175" t="s">
        <v>1108</v>
      </c>
      <c r="C175" t="s">
        <v>118</v>
      </c>
      <c r="D175" t="s">
        <v>1990</v>
      </c>
      <c r="E175" t="s">
        <v>1991</v>
      </c>
      <c r="F175" t="s">
        <v>10</v>
      </c>
      <c r="G175" t="s">
        <v>1990</v>
      </c>
      <c r="H175" t="s">
        <v>1992</v>
      </c>
      <c r="I175" t="s">
        <v>32</v>
      </c>
      <c r="J175">
        <v>0</v>
      </c>
      <c r="K175">
        <v>2</v>
      </c>
      <c r="L175" s="4">
        <v>3.5000000000000001E-3</v>
      </c>
      <c r="M175">
        <v>0.02</v>
      </c>
      <c r="N175" s="4">
        <v>7.0000000000000001E-3</v>
      </c>
      <c r="O175" s="4">
        <v>0.04</v>
      </c>
    </row>
    <row r="176" spans="2:15">
      <c r="B176" t="s">
        <v>1108</v>
      </c>
      <c r="C176" t="s">
        <v>118</v>
      </c>
      <c r="D176" t="s">
        <v>1993</v>
      </c>
      <c r="E176" t="s">
        <v>1994</v>
      </c>
      <c r="F176" t="s">
        <v>10</v>
      </c>
      <c r="G176" t="s">
        <v>1993</v>
      </c>
      <c r="H176" t="s">
        <v>1995</v>
      </c>
      <c r="I176" t="s">
        <v>32</v>
      </c>
      <c r="J176">
        <v>0</v>
      </c>
      <c r="K176">
        <v>1</v>
      </c>
      <c r="L176" s="4">
        <v>3.5000000000000001E-3</v>
      </c>
      <c r="M176">
        <v>0.02</v>
      </c>
      <c r="N176" s="4">
        <v>3.5000000000000001E-3</v>
      </c>
      <c r="O176" s="4">
        <v>0.02</v>
      </c>
    </row>
    <row r="177" spans="2:15">
      <c r="B177" t="s">
        <v>1108</v>
      </c>
      <c r="C177" t="s">
        <v>118</v>
      </c>
      <c r="D177" t="s">
        <v>1996</v>
      </c>
      <c r="E177" t="s">
        <v>1997</v>
      </c>
      <c r="F177" t="s">
        <v>10</v>
      </c>
      <c r="G177" t="s">
        <v>1996</v>
      </c>
      <c r="H177" t="s">
        <v>1998</v>
      </c>
      <c r="I177" t="s">
        <v>32</v>
      </c>
      <c r="J177">
        <v>0</v>
      </c>
      <c r="K177">
        <v>2</v>
      </c>
      <c r="L177" s="4">
        <v>3.5000000000000001E-3</v>
      </c>
      <c r="M177">
        <v>0.02</v>
      </c>
      <c r="N177" s="4">
        <v>7.0000000000000001E-3</v>
      </c>
      <c r="O177" s="4">
        <v>0.04</v>
      </c>
    </row>
    <row r="178" spans="2:15">
      <c r="B178" t="s">
        <v>1108</v>
      </c>
      <c r="C178" t="s">
        <v>118</v>
      </c>
      <c r="D178" t="s">
        <v>1999</v>
      </c>
      <c r="E178" t="s">
        <v>2000</v>
      </c>
      <c r="F178" t="s">
        <v>11</v>
      </c>
      <c r="G178" t="s">
        <v>786</v>
      </c>
      <c r="H178" t="s">
        <v>1989</v>
      </c>
      <c r="I178" t="s">
        <v>31</v>
      </c>
      <c r="J178">
        <v>4</v>
      </c>
      <c r="K178">
        <v>0</v>
      </c>
      <c r="L178" s="4">
        <v>0.04</v>
      </c>
      <c r="M178">
        <v>0.09</v>
      </c>
      <c r="N178" s="4">
        <v>1.6000000000000001E-4</v>
      </c>
      <c r="O178" s="4">
        <v>3.5999999999999997E-4</v>
      </c>
    </row>
    <row r="179" spans="2:15">
      <c r="B179" t="s">
        <v>1108</v>
      </c>
      <c r="C179" t="s">
        <v>118</v>
      </c>
      <c r="D179" t="s">
        <v>2001</v>
      </c>
      <c r="E179" t="s">
        <v>2002</v>
      </c>
      <c r="F179" t="s">
        <v>10</v>
      </c>
      <c r="G179" t="s">
        <v>2001</v>
      </c>
      <c r="H179" t="s">
        <v>2003</v>
      </c>
      <c r="I179" t="s">
        <v>32</v>
      </c>
      <c r="J179">
        <v>0</v>
      </c>
      <c r="K179">
        <v>1</v>
      </c>
      <c r="L179" s="4">
        <v>3.5000000000000001E-3</v>
      </c>
      <c r="M179">
        <v>0.02</v>
      </c>
      <c r="N179" s="4">
        <v>3.5000000000000001E-3</v>
      </c>
      <c r="O179" s="4">
        <v>0.02</v>
      </c>
    </row>
    <row r="180" spans="2:15">
      <c r="B180" t="s">
        <v>1108</v>
      </c>
      <c r="C180" t="s">
        <v>118</v>
      </c>
      <c r="D180" t="s">
        <v>1247</v>
      </c>
      <c r="E180" t="s">
        <v>1248</v>
      </c>
      <c r="F180" t="s">
        <v>10</v>
      </c>
      <c r="G180" t="s">
        <v>1247</v>
      </c>
      <c r="H180" t="s">
        <v>1249</v>
      </c>
      <c r="I180" t="s">
        <v>32</v>
      </c>
      <c r="J180">
        <v>0</v>
      </c>
      <c r="K180">
        <v>7395</v>
      </c>
      <c r="L180" s="4">
        <v>3.5000000000000001E-3</v>
      </c>
      <c r="M180">
        <v>0.02</v>
      </c>
      <c r="N180" s="4">
        <v>25.8825</v>
      </c>
      <c r="O180" s="4">
        <v>147.9</v>
      </c>
    </row>
    <row r="181" spans="2:15">
      <c r="B181" t="s">
        <v>1108</v>
      </c>
      <c r="C181" t="s">
        <v>763</v>
      </c>
      <c r="D181" t="s">
        <v>2004</v>
      </c>
      <c r="E181" t="s">
        <v>2005</v>
      </c>
      <c r="F181" t="s">
        <v>10</v>
      </c>
      <c r="G181" t="s">
        <v>2004</v>
      </c>
      <c r="H181" t="s">
        <v>2006</v>
      </c>
      <c r="I181" t="s">
        <v>32</v>
      </c>
      <c r="J181">
        <v>0</v>
      </c>
      <c r="K181">
        <v>2</v>
      </c>
      <c r="L181" s="4">
        <v>3.5000000000000001E-3</v>
      </c>
      <c r="M181">
        <v>0.02</v>
      </c>
      <c r="N181" s="4">
        <v>7.0000000000000001E-3</v>
      </c>
      <c r="O181" s="4">
        <v>0.04</v>
      </c>
    </row>
    <row r="182" spans="2:15">
      <c r="B182" t="s">
        <v>1108</v>
      </c>
      <c r="C182" t="s">
        <v>763</v>
      </c>
      <c r="D182" t="s">
        <v>2007</v>
      </c>
      <c r="E182" t="s">
        <v>2008</v>
      </c>
      <c r="F182" t="s">
        <v>10</v>
      </c>
      <c r="G182" t="s">
        <v>2007</v>
      </c>
      <c r="H182" t="s">
        <v>2009</v>
      </c>
      <c r="I182" t="s">
        <v>32</v>
      </c>
      <c r="J182">
        <v>0</v>
      </c>
      <c r="K182">
        <v>1</v>
      </c>
      <c r="L182" s="4">
        <v>3.5000000000000001E-3</v>
      </c>
      <c r="M182">
        <v>0.02</v>
      </c>
      <c r="N182" s="4">
        <v>3.5000000000000001E-3</v>
      </c>
      <c r="O182" s="4">
        <v>0.02</v>
      </c>
    </row>
    <row r="183" spans="2:15">
      <c r="B183" t="s">
        <v>1108</v>
      </c>
      <c r="C183" t="s">
        <v>763</v>
      </c>
      <c r="D183" t="s">
        <v>1250</v>
      </c>
      <c r="E183" t="s">
        <v>1251</v>
      </c>
      <c r="F183" t="s">
        <v>12</v>
      </c>
      <c r="G183" t="s">
        <v>1250</v>
      </c>
      <c r="H183" t="s">
        <v>1252</v>
      </c>
      <c r="I183" t="s">
        <v>32</v>
      </c>
      <c r="J183">
        <v>1712519</v>
      </c>
      <c r="K183">
        <v>8872</v>
      </c>
      <c r="L183" s="4">
        <v>0.04</v>
      </c>
      <c r="M183">
        <v>0.09</v>
      </c>
      <c r="N183" s="4">
        <v>68.50076</v>
      </c>
      <c r="O183" s="4">
        <v>154.12671</v>
      </c>
    </row>
    <row r="184" spans="2:15">
      <c r="B184" t="s">
        <v>1108</v>
      </c>
      <c r="C184" t="s">
        <v>763</v>
      </c>
      <c r="D184" t="s">
        <v>1253</v>
      </c>
      <c r="E184" t="s">
        <v>1254</v>
      </c>
      <c r="F184" t="s">
        <v>12</v>
      </c>
      <c r="G184" t="s">
        <v>1253</v>
      </c>
      <c r="H184" t="s">
        <v>1255</v>
      </c>
      <c r="I184" t="s">
        <v>32</v>
      </c>
      <c r="J184">
        <v>1753099</v>
      </c>
      <c r="K184">
        <v>22469</v>
      </c>
      <c r="L184" s="4">
        <v>0.04</v>
      </c>
      <c r="M184">
        <v>0.09</v>
      </c>
      <c r="N184" s="4">
        <v>70.123960000000011</v>
      </c>
      <c r="O184" s="4">
        <v>157.77891</v>
      </c>
    </row>
    <row r="185" spans="2:15">
      <c r="B185" t="s">
        <v>1108</v>
      </c>
      <c r="C185" t="s">
        <v>763</v>
      </c>
      <c r="D185" t="s">
        <v>1256</v>
      </c>
      <c r="E185" t="s">
        <v>1257</v>
      </c>
      <c r="F185" t="s">
        <v>12</v>
      </c>
      <c r="G185" t="s">
        <v>1256</v>
      </c>
      <c r="H185" t="s">
        <v>1258</v>
      </c>
      <c r="I185" t="s">
        <v>32</v>
      </c>
      <c r="J185">
        <v>321891</v>
      </c>
      <c r="K185">
        <v>1768</v>
      </c>
      <c r="L185" s="4">
        <v>0.04</v>
      </c>
      <c r="M185">
        <v>0.09</v>
      </c>
      <c r="N185" s="4">
        <v>12.875639999999999</v>
      </c>
      <c r="O185" s="4">
        <v>28.970189999999999</v>
      </c>
    </row>
    <row r="186" spans="2:15">
      <c r="B186" t="s">
        <v>1108</v>
      </c>
      <c r="C186" t="s">
        <v>763</v>
      </c>
      <c r="D186" t="s">
        <v>2010</v>
      </c>
      <c r="E186" t="s">
        <v>2011</v>
      </c>
      <c r="F186" t="s">
        <v>12</v>
      </c>
      <c r="G186" t="s">
        <v>2010</v>
      </c>
      <c r="H186" t="s">
        <v>2012</v>
      </c>
      <c r="I186" t="s">
        <v>32</v>
      </c>
      <c r="J186">
        <v>215481</v>
      </c>
      <c r="K186">
        <v>1556</v>
      </c>
      <c r="L186" s="4">
        <v>0.04</v>
      </c>
      <c r="M186">
        <v>0.09</v>
      </c>
      <c r="N186" s="4">
        <v>8.6192399999999996</v>
      </c>
      <c r="O186" s="4">
        <v>19.39329</v>
      </c>
    </row>
    <row r="187" spans="2:15">
      <c r="B187" t="s">
        <v>1108</v>
      </c>
      <c r="C187" t="s">
        <v>763</v>
      </c>
      <c r="D187" t="s">
        <v>1259</v>
      </c>
      <c r="E187" t="s">
        <v>1260</v>
      </c>
      <c r="F187" t="s">
        <v>12</v>
      </c>
      <c r="G187" t="s">
        <v>1259</v>
      </c>
      <c r="H187" t="s">
        <v>1261</v>
      </c>
      <c r="I187" t="s">
        <v>32</v>
      </c>
      <c r="J187">
        <v>1533867</v>
      </c>
      <c r="K187">
        <v>1</v>
      </c>
      <c r="L187" s="4">
        <v>0.04</v>
      </c>
      <c r="M187">
        <v>0.09</v>
      </c>
      <c r="N187" s="4">
        <v>61.354680000000002</v>
      </c>
      <c r="O187" s="4">
        <v>138.04803000000001</v>
      </c>
    </row>
    <row r="188" spans="2:15">
      <c r="B188" t="s">
        <v>1108</v>
      </c>
      <c r="C188" t="s">
        <v>763</v>
      </c>
      <c r="D188" t="s">
        <v>2013</v>
      </c>
      <c r="E188" t="s">
        <v>2014</v>
      </c>
      <c r="F188" t="s">
        <v>12</v>
      </c>
      <c r="G188" t="s">
        <v>2013</v>
      </c>
      <c r="H188" t="s">
        <v>2015</v>
      </c>
      <c r="I188" t="s">
        <v>32</v>
      </c>
      <c r="J188">
        <v>3485</v>
      </c>
      <c r="K188">
        <v>17</v>
      </c>
      <c r="L188" s="4">
        <v>0.04</v>
      </c>
      <c r="M188">
        <v>0.09</v>
      </c>
      <c r="N188" s="4">
        <v>0.1394</v>
      </c>
      <c r="O188" s="4">
        <v>0.31364999999999998</v>
      </c>
    </row>
    <row r="189" spans="2:15">
      <c r="B189" t="s">
        <v>1108</v>
      </c>
      <c r="C189" t="s">
        <v>763</v>
      </c>
      <c r="D189" t="s">
        <v>2016</v>
      </c>
      <c r="E189" t="s">
        <v>2017</v>
      </c>
      <c r="F189" t="s">
        <v>12</v>
      </c>
      <c r="G189" t="s">
        <v>2016</v>
      </c>
      <c r="H189" t="s">
        <v>2018</v>
      </c>
      <c r="I189" t="s">
        <v>32</v>
      </c>
      <c r="J189">
        <v>3279</v>
      </c>
      <c r="K189">
        <v>7</v>
      </c>
      <c r="L189" s="4">
        <v>0.04</v>
      </c>
      <c r="M189">
        <v>0.09</v>
      </c>
      <c r="N189" s="4">
        <v>0.13116</v>
      </c>
      <c r="O189" s="4">
        <v>0.29511000000000004</v>
      </c>
    </row>
    <row r="190" spans="2:15">
      <c r="B190" t="s">
        <v>1108</v>
      </c>
      <c r="C190" t="s">
        <v>763</v>
      </c>
      <c r="D190" t="s">
        <v>2019</v>
      </c>
      <c r="E190" t="s">
        <v>2020</v>
      </c>
      <c r="F190" t="s">
        <v>12</v>
      </c>
      <c r="G190" t="s">
        <v>2019</v>
      </c>
      <c r="H190" t="s">
        <v>2021</v>
      </c>
      <c r="I190" t="s">
        <v>32</v>
      </c>
      <c r="J190">
        <v>4512</v>
      </c>
      <c r="K190">
        <v>26</v>
      </c>
      <c r="L190" s="4">
        <v>0.04</v>
      </c>
      <c r="M190">
        <v>0.09</v>
      </c>
      <c r="N190" s="4">
        <v>0.18048</v>
      </c>
      <c r="O190" s="4">
        <v>0.40608</v>
      </c>
    </row>
    <row r="191" spans="2:15">
      <c r="B191" t="s">
        <v>1108</v>
      </c>
      <c r="C191" t="s">
        <v>763</v>
      </c>
      <c r="D191" t="s">
        <v>2022</v>
      </c>
      <c r="E191" t="s">
        <v>2023</v>
      </c>
      <c r="F191" t="s">
        <v>12</v>
      </c>
      <c r="G191" t="s">
        <v>2022</v>
      </c>
      <c r="H191" t="s">
        <v>2024</v>
      </c>
      <c r="I191" t="s">
        <v>32</v>
      </c>
      <c r="J191">
        <v>3930</v>
      </c>
      <c r="K191">
        <v>15</v>
      </c>
      <c r="L191" s="4">
        <v>0.04</v>
      </c>
      <c r="M191">
        <v>0.09</v>
      </c>
      <c r="N191" s="4">
        <v>0.15720000000000001</v>
      </c>
      <c r="O191" s="4">
        <v>0.35370000000000001</v>
      </c>
    </row>
    <row r="192" spans="2:15">
      <c r="B192" t="s">
        <v>1108</v>
      </c>
      <c r="C192" t="s">
        <v>763</v>
      </c>
      <c r="D192" t="s">
        <v>2025</v>
      </c>
      <c r="E192" t="s">
        <v>2026</v>
      </c>
      <c r="F192" t="s">
        <v>12</v>
      </c>
      <c r="G192" t="s">
        <v>2025</v>
      </c>
      <c r="H192" t="s">
        <v>2027</v>
      </c>
      <c r="I192" t="s">
        <v>32</v>
      </c>
      <c r="J192">
        <v>3232</v>
      </c>
      <c r="K192">
        <v>11</v>
      </c>
      <c r="L192" s="4">
        <v>0.04</v>
      </c>
      <c r="M192">
        <v>0.09</v>
      </c>
      <c r="N192" s="4">
        <v>0.12928000000000001</v>
      </c>
      <c r="O192" s="4">
        <v>0.29087999999999997</v>
      </c>
    </row>
    <row r="193" spans="2:15">
      <c r="B193" t="s">
        <v>1108</v>
      </c>
      <c r="C193" t="s">
        <v>763</v>
      </c>
      <c r="D193" t="s">
        <v>2028</v>
      </c>
      <c r="E193" t="s">
        <v>2029</v>
      </c>
      <c r="F193" t="s">
        <v>12</v>
      </c>
      <c r="G193" t="s">
        <v>2028</v>
      </c>
      <c r="H193" t="s">
        <v>2030</v>
      </c>
      <c r="I193" t="s">
        <v>32</v>
      </c>
      <c r="J193">
        <v>3441</v>
      </c>
      <c r="K193">
        <v>18</v>
      </c>
      <c r="L193" s="4">
        <v>0.04</v>
      </c>
      <c r="M193">
        <v>0.09</v>
      </c>
      <c r="N193" s="4">
        <v>0.13764000000000001</v>
      </c>
      <c r="O193" s="4">
        <v>0.30969000000000002</v>
      </c>
    </row>
    <row r="194" spans="2:15">
      <c r="B194" t="s">
        <v>1108</v>
      </c>
      <c r="C194" t="s">
        <v>763</v>
      </c>
      <c r="D194" t="s">
        <v>2031</v>
      </c>
      <c r="E194" t="s">
        <v>2032</v>
      </c>
      <c r="F194" t="s">
        <v>12</v>
      </c>
      <c r="G194" t="s">
        <v>2031</v>
      </c>
      <c r="H194" t="s">
        <v>2033</v>
      </c>
      <c r="I194" t="s">
        <v>32</v>
      </c>
      <c r="J194">
        <v>265732</v>
      </c>
      <c r="K194">
        <v>1196</v>
      </c>
      <c r="L194" s="4">
        <v>0.04</v>
      </c>
      <c r="M194">
        <v>0.09</v>
      </c>
      <c r="N194" s="4">
        <v>10.629280000000001</v>
      </c>
      <c r="O194" s="4">
        <v>23.915879999999998</v>
      </c>
    </row>
    <row r="195" spans="2:15">
      <c r="B195" t="s">
        <v>1262</v>
      </c>
      <c r="C195" t="s">
        <v>52</v>
      </c>
      <c r="D195" t="s">
        <v>2034</v>
      </c>
      <c r="E195" t="s">
        <v>2035</v>
      </c>
      <c r="F195" t="s">
        <v>10</v>
      </c>
      <c r="G195" t="s">
        <v>2034</v>
      </c>
      <c r="H195" t="s">
        <v>2036</v>
      </c>
      <c r="I195" t="s">
        <v>32</v>
      </c>
      <c r="J195">
        <v>0</v>
      </c>
      <c r="K195">
        <v>1</v>
      </c>
      <c r="L195" s="4">
        <v>3.5000000000000001E-3</v>
      </c>
      <c r="M195">
        <v>0.02</v>
      </c>
      <c r="N195" s="4">
        <v>3.5000000000000001E-3</v>
      </c>
      <c r="O195" s="4">
        <v>0.02</v>
      </c>
    </row>
    <row r="196" spans="2:15">
      <c r="B196" t="s">
        <v>1262</v>
      </c>
      <c r="C196" t="s">
        <v>52</v>
      </c>
      <c r="D196" t="s">
        <v>2037</v>
      </c>
      <c r="E196" t="s">
        <v>2038</v>
      </c>
      <c r="F196" t="s">
        <v>10</v>
      </c>
      <c r="G196" t="s">
        <v>2037</v>
      </c>
      <c r="H196" t="s">
        <v>2039</v>
      </c>
      <c r="I196" t="s">
        <v>32</v>
      </c>
      <c r="J196">
        <v>0</v>
      </c>
      <c r="K196">
        <v>1</v>
      </c>
      <c r="L196" s="4">
        <v>3.5000000000000001E-3</v>
      </c>
      <c r="M196">
        <v>0.02</v>
      </c>
      <c r="N196" s="4">
        <v>3.5000000000000001E-3</v>
      </c>
      <c r="O196" s="4">
        <v>0.02</v>
      </c>
    </row>
    <row r="197" spans="2:15">
      <c r="B197" t="s">
        <v>1262</v>
      </c>
      <c r="C197" t="s">
        <v>50</v>
      </c>
      <c r="D197" t="s">
        <v>1263</v>
      </c>
      <c r="E197" t="s">
        <v>1264</v>
      </c>
      <c r="F197" t="s">
        <v>10</v>
      </c>
      <c r="G197" t="s">
        <v>1263</v>
      </c>
      <c r="H197" t="s">
        <v>1265</v>
      </c>
      <c r="I197" t="s">
        <v>32</v>
      </c>
      <c r="J197">
        <v>0</v>
      </c>
      <c r="K197">
        <v>102173</v>
      </c>
      <c r="L197" s="4">
        <v>3.5000000000000001E-3</v>
      </c>
      <c r="M197">
        <v>0.02</v>
      </c>
      <c r="N197" s="4">
        <v>357.60550000000001</v>
      </c>
      <c r="O197" s="4">
        <v>2043.46</v>
      </c>
    </row>
    <row r="198" spans="2:15">
      <c r="B198" t="s">
        <v>1262</v>
      </c>
      <c r="C198" t="s">
        <v>50</v>
      </c>
      <c r="D198" t="s">
        <v>1266</v>
      </c>
      <c r="E198" t="s">
        <v>1267</v>
      </c>
      <c r="F198" t="s">
        <v>10</v>
      </c>
      <c r="G198" t="s">
        <v>1266</v>
      </c>
      <c r="H198" t="s">
        <v>1268</v>
      </c>
      <c r="I198" t="s">
        <v>32</v>
      </c>
      <c r="J198">
        <v>0</v>
      </c>
      <c r="K198">
        <v>6582</v>
      </c>
      <c r="L198" s="4">
        <v>3.5000000000000001E-3</v>
      </c>
      <c r="M198">
        <v>0.02</v>
      </c>
      <c r="N198" s="4">
        <v>23.036999999999999</v>
      </c>
      <c r="O198" s="4">
        <v>131.64000000000001</v>
      </c>
    </row>
    <row r="199" spans="2:15">
      <c r="B199" t="s">
        <v>1262</v>
      </c>
      <c r="C199" t="s">
        <v>50</v>
      </c>
      <c r="D199" t="s">
        <v>1269</v>
      </c>
      <c r="E199" t="s">
        <v>1270</v>
      </c>
      <c r="F199" t="s">
        <v>10</v>
      </c>
      <c r="G199" t="s">
        <v>1269</v>
      </c>
      <c r="H199" t="s">
        <v>1271</v>
      </c>
      <c r="I199" t="s">
        <v>32</v>
      </c>
      <c r="J199">
        <v>0</v>
      </c>
      <c r="K199">
        <v>1640</v>
      </c>
      <c r="L199" s="4">
        <v>3.5000000000000001E-3</v>
      </c>
      <c r="M199">
        <v>0.02</v>
      </c>
      <c r="N199" s="4">
        <v>5.74</v>
      </c>
      <c r="O199" s="4">
        <v>32.799999999999997</v>
      </c>
    </row>
    <row r="200" spans="2:15">
      <c r="B200" t="s">
        <v>1262</v>
      </c>
      <c r="C200" t="s">
        <v>50</v>
      </c>
      <c r="D200" t="s">
        <v>1272</v>
      </c>
      <c r="E200" t="s">
        <v>1273</v>
      </c>
      <c r="F200" t="s">
        <v>10</v>
      </c>
      <c r="G200" t="s">
        <v>1272</v>
      </c>
      <c r="H200" t="s">
        <v>1274</v>
      </c>
      <c r="I200" t="s">
        <v>32</v>
      </c>
      <c r="J200">
        <v>0</v>
      </c>
      <c r="K200">
        <v>19159</v>
      </c>
      <c r="L200" s="4">
        <v>3.5000000000000001E-3</v>
      </c>
      <c r="M200">
        <v>0.02</v>
      </c>
      <c r="N200" s="4">
        <v>67.0565</v>
      </c>
      <c r="O200" s="4">
        <v>383.18</v>
      </c>
    </row>
    <row r="201" spans="2:15">
      <c r="B201" t="s">
        <v>1262</v>
      </c>
      <c r="C201" t="s">
        <v>50</v>
      </c>
      <c r="D201" t="s">
        <v>1275</v>
      </c>
      <c r="E201" t="s">
        <v>1276</v>
      </c>
      <c r="F201" t="s">
        <v>10</v>
      </c>
      <c r="G201" t="s">
        <v>1275</v>
      </c>
      <c r="H201" t="s">
        <v>1277</v>
      </c>
      <c r="I201" t="s">
        <v>32</v>
      </c>
      <c r="J201">
        <v>0</v>
      </c>
      <c r="K201">
        <v>10078</v>
      </c>
      <c r="L201" s="4">
        <v>3.5000000000000001E-3</v>
      </c>
      <c r="M201">
        <v>0.02</v>
      </c>
      <c r="N201" s="4">
        <v>35.273000000000003</v>
      </c>
      <c r="O201" s="4">
        <v>201.56</v>
      </c>
    </row>
    <row r="202" spans="2:15">
      <c r="B202" t="s">
        <v>1262</v>
      </c>
      <c r="C202" t="s">
        <v>50</v>
      </c>
      <c r="D202" t="s">
        <v>1278</v>
      </c>
      <c r="E202" t="s">
        <v>1279</v>
      </c>
      <c r="F202" t="s">
        <v>10</v>
      </c>
      <c r="G202" t="s">
        <v>1278</v>
      </c>
      <c r="H202" t="s">
        <v>1280</v>
      </c>
      <c r="I202" t="s">
        <v>32</v>
      </c>
      <c r="J202">
        <v>0</v>
      </c>
      <c r="K202">
        <v>3363</v>
      </c>
      <c r="L202" s="4">
        <v>3.5000000000000001E-3</v>
      </c>
      <c r="M202">
        <v>0.02</v>
      </c>
      <c r="N202" s="4">
        <v>11.7705</v>
      </c>
      <c r="O202" s="4">
        <v>67.260000000000005</v>
      </c>
    </row>
    <row r="203" spans="2:15">
      <c r="B203" t="s">
        <v>1262</v>
      </c>
      <c r="C203" t="s">
        <v>50</v>
      </c>
      <c r="D203" t="s">
        <v>1281</v>
      </c>
      <c r="E203" t="s">
        <v>1282</v>
      </c>
      <c r="F203" t="s">
        <v>10</v>
      </c>
      <c r="G203" t="s">
        <v>1281</v>
      </c>
      <c r="H203" t="s">
        <v>1283</v>
      </c>
      <c r="I203" t="s">
        <v>32</v>
      </c>
      <c r="J203">
        <v>0</v>
      </c>
      <c r="K203">
        <v>1</v>
      </c>
      <c r="L203" s="4">
        <v>3.5000000000000001E-3</v>
      </c>
      <c r="M203">
        <v>0.02</v>
      </c>
      <c r="N203" s="4">
        <v>3.5000000000000001E-3</v>
      </c>
      <c r="O203" s="4">
        <v>0.02</v>
      </c>
    </row>
    <row r="204" spans="2:15">
      <c r="B204" t="s">
        <v>1262</v>
      </c>
      <c r="C204" t="s">
        <v>50</v>
      </c>
      <c r="D204" t="s">
        <v>1284</v>
      </c>
      <c r="E204" t="s">
        <v>1285</v>
      </c>
      <c r="F204" t="s">
        <v>10</v>
      </c>
      <c r="G204" t="s">
        <v>1284</v>
      </c>
      <c r="H204" t="s">
        <v>1286</v>
      </c>
      <c r="I204" t="s">
        <v>32</v>
      </c>
      <c r="J204">
        <v>0</v>
      </c>
      <c r="K204">
        <v>1</v>
      </c>
      <c r="L204" s="4">
        <v>3.5000000000000001E-3</v>
      </c>
      <c r="M204">
        <v>0.02</v>
      </c>
      <c r="N204" s="4">
        <v>3.5000000000000001E-3</v>
      </c>
      <c r="O204" s="4">
        <v>0.02</v>
      </c>
    </row>
    <row r="205" spans="2:15">
      <c r="B205" t="s">
        <v>1262</v>
      </c>
      <c r="C205" t="s">
        <v>50</v>
      </c>
      <c r="D205" t="s">
        <v>2040</v>
      </c>
      <c r="E205" t="s">
        <v>2041</v>
      </c>
      <c r="F205" t="s">
        <v>10</v>
      </c>
      <c r="G205" t="s">
        <v>2040</v>
      </c>
      <c r="H205" t="s">
        <v>2042</v>
      </c>
      <c r="I205" t="s">
        <v>32</v>
      </c>
      <c r="J205">
        <v>0</v>
      </c>
      <c r="K205">
        <v>14208</v>
      </c>
      <c r="L205" s="4">
        <v>3.5000000000000001E-3</v>
      </c>
      <c r="M205">
        <v>0.02</v>
      </c>
      <c r="N205" s="4">
        <v>49.728000000000002</v>
      </c>
      <c r="O205" s="4">
        <v>284.16000000000003</v>
      </c>
    </row>
    <row r="206" spans="2:15">
      <c r="B206" t="s">
        <v>1262</v>
      </c>
      <c r="C206" t="s">
        <v>95</v>
      </c>
      <c r="D206" t="s">
        <v>2043</v>
      </c>
      <c r="E206" t="s">
        <v>2044</v>
      </c>
      <c r="F206" t="s">
        <v>10</v>
      </c>
      <c r="G206" t="s">
        <v>2043</v>
      </c>
      <c r="H206" t="s">
        <v>2045</v>
      </c>
      <c r="I206" t="s">
        <v>32</v>
      </c>
      <c r="J206">
        <v>0</v>
      </c>
      <c r="K206">
        <v>1</v>
      </c>
      <c r="L206" s="4">
        <v>3.5000000000000001E-3</v>
      </c>
      <c r="M206">
        <v>0.02</v>
      </c>
      <c r="N206" s="4">
        <v>3.5000000000000001E-3</v>
      </c>
      <c r="O206" s="4">
        <v>0.02</v>
      </c>
    </row>
    <row r="207" spans="2:15">
      <c r="B207" t="s">
        <v>1262</v>
      </c>
      <c r="C207" t="s">
        <v>95</v>
      </c>
      <c r="D207" t="s">
        <v>2046</v>
      </c>
      <c r="E207" t="s">
        <v>2047</v>
      </c>
      <c r="F207" t="s">
        <v>10</v>
      </c>
      <c r="G207" t="s">
        <v>2046</v>
      </c>
      <c r="H207" t="s">
        <v>2048</v>
      </c>
      <c r="I207" t="s">
        <v>32</v>
      </c>
      <c r="J207">
        <v>0</v>
      </c>
      <c r="K207">
        <v>2820</v>
      </c>
      <c r="L207" s="4">
        <v>3.5000000000000001E-3</v>
      </c>
      <c r="M207">
        <v>0.02</v>
      </c>
      <c r="N207" s="4">
        <v>9.870000000000001</v>
      </c>
      <c r="O207" s="4">
        <v>56.4</v>
      </c>
    </row>
    <row r="208" spans="2:15">
      <c r="B208" t="s">
        <v>1262</v>
      </c>
      <c r="C208" t="s">
        <v>95</v>
      </c>
      <c r="D208" t="s">
        <v>1287</v>
      </c>
      <c r="E208" t="s">
        <v>1288</v>
      </c>
      <c r="F208" t="s">
        <v>10</v>
      </c>
      <c r="G208" t="s">
        <v>1287</v>
      </c>
      <c r="H208" t="s">
        <v>1289</v>
      </c>
      <c r="I208" t="s">
        <v>32</v>
      </c>
      <c r="J208">
        <v>0</v>
      </c>
      <c r="K208">
        <v>1321</v>
      </c>
      <c r="L208" s="4">
        <v>3.5000000000000001E-3</v>
      </c>
      <c r="M208">
        <v>0.02</v>
      </c>
      <c r="N208" s="4">
        <v>4.6234999999999999</v>
      </c>
      <c r="O208" s="4">
        <v>26.42</v>
      </c>
    </row>
    <row r="209" spans="2:15">
      <c r="B209" t="s">
        <v>1262</v>
      </c>
      <c r="C209" t="s">
        <v>95</v>
      </c>
      <c r="D209" t="s">
        <v>2049</v>
      </c>
      <c r="E209" t="s">
        <v>2050</v>
      </c>
      <c r="F209" t="s">
        <v>10</v>
      </c>
      <c r="G209" t="s">
        <v>2049</v>
      </c>
      <c r="H209" t="s">
        <v>2051</v>
      </c>
      <c r="I209" t="s">
        <v>32</v>
      </c>
      <c r="J209">
        <v>0</v>
      </c>
      <c r="K209">
        <v>879</v>
      </c>
      <c r="L209" s="4">
        <v>3.5000000000000001E-3</v>
      </c>
      <c r="M209">
        <v>0.02</v>
      </c>
      <c r="N209" s="4">
        <v>3.0765000000000002</v>
      </c>
      <c r="O209" s="4">
        <v>17.580000000000002</v>
      </c>
    </row>
    <row r="210" spans="2:15">
      <c r="B210" t="s">
        <v>1262</v>
      </c>
      <c r="C210" t="s">
        <v>95</v>
      </c>
      <c r="D210" t="s">
        <v>1290</v>
      </c>
      <c r="E210" t="s">
        <v>1291</v>
      </c>
      <c r="F210" t="s">
        <v>10</v>
      </c>
      <c r="G210" t="s">
        <v>1290</v>
      </c>
      <c r="H210" t="s">
        <v>1292</v>
      </c>
      <c r="I210" t="s">
        <v>32</v>
      </c>
      <c r="J210">
        <v>0</v>
      </c>
      <c r="K210">
        <v>361</v>
      </c>
      <c r="L210" s="4">
        <v>3.5000000000000001E-3</v>
      </c>
      <c r="M210">
        <v>0.02</v>
      </c>
      <c r="N210" s="4">
        <v>1.2635000000000001</v>
      </c>
      <c r="O210" s="4">
        <v>7.22</v>
      </c>
    </row>
    <row r="211" spans="2:15">
      <c r="B211" t="s">
        <v>1262</v>
      </c>
      <c r="C211" t="s">
        <v>99</v>
      </c>
      <c r="D211" t="s">
        <v>2052</v>
      </c>
      <c r="E211" t="s">
        <v>2053</v>
      </c>
      <c r="F211" t="s">
        <v>10</v>
      </c>
      <c r="G211" t="s">
        <v>2052</v>
      </c>
      <c r="H211" t="s">
        <v>2054</v>
      </c>
      <c r="I211" t="s">
        <v>32</v>
      </c>
      <c r="J211">
        <v>0</v>
      </c>
      <c r="K211">
        <v>1</v>
      </c>
      <c r="L211" s="4">
        <v>3.5000000000000001E-3</v>
      </c>
      <c r="M211">
        <v>0.02</v>
      </c>
      <c r="N211" s="4">
        <v>3.5000000000000001E-3</v>
      </c>
      <c r="O211" s="4">
        <v>0.02</v>
      </c>
    </row>
    <row r="212" spans="2:15">
      <c r="B212" t="s">
        <v>1262</v>
      </c>
      <c r="C212" t="s">
        <v>99</v>
      </c>
      <c r="D212" t="s">
        <v>2055</v>
      </c>
      <c r="E212" t="s">
        <v>2056</v>
      </c>
      <c r="F212" t="s">
        <v>10</v>
      </c>
      <c r="G212" t="s">
        <v>2055</v>
      </c>
      <c r="H212" t="s">
        <v>2057</v>
      </c>
      <c r="I212" t="s">
        <v>32</v>
      </c>
      <c r="J212">
        <v>0</v>
      </c>
      <c r="K212">
        <v>1</v>
      </c>
      <c r="L212" s="4">
        <v>3.5000000000000001E-3</v>
      </c>
      <c r="M212">
        <v>0.02</v>
      </c>
      <c r="N212" s="4">
        <v>3.5000000000000001E-3</v>
      </c>
      <c r="O212" s="4">
        <v>0.02</v>
      </c>
    </row>
    <row r="213" spans="2:15">
      <c r="B213" t="s">
        <v>1262</v>
      </c>
      <c r="C213" t="s">
        <v>99</v>
      </c>
      <c r="D213" t="s">
        <v>2058</v>
      </c>
      <c r="E213" t="s">
        <v>2059</v>
      </c>
      <c r="F213" t="s">
        <v>10</v>
      </c>
      <c r="G213" t="s">
        <v>2058</v>
      </c>
      <c r="H213" t="s">
        <v>2060</v>
      </c>
      <c r="I213" t="s">
        <v>32</v>
      </c>
      <c r="J213">
        <v>0</v>
      </c>
      <c r="K213">
        <v>5848</v>
      </c>
      <c r="L213" s="4">
        <v>3.5000000000000001E-3</v>
      </c>
      <c r="M213">
        <v>0.02</v>
      </c>
      <c r="N213" s="4">
        <v>20.468</v>
      </c>
      <c r="O213" s="4">
        <v>116.96000000000001</v>
      </c>
    </row>
    <row r="214" spans="2:15">
      <c r="B214" t="s">
        <v>1262</v>
      </c>
      <c r="C214" t="s">
        <v>99</v>
      </c>
      <c r="D214" t="s">
        <v>2061</v>
      </c>
      <c r="E214" t="s">
        <v>2062</v>
      </c>
      <c r="F214" t="s">
        <v>10</v>
      </c>
      <c r="G214" t="s">
        <v>2061</v>
      </c>
      <c r="H214" t="s">
        <v>2063</v>
      </c>
      <c r="I214" t="s">
        <v>32</v>
      </c>
      <c r="J214">
        <v>0</v>
      </c>
      <c r="K214">
        <v>1683</v>
      </c>
      <c r="L214" s="4">
        <v>3.5000000000000001E-3</v>
      </c>
      <c r="M214">
        <v>0.02</v>
      </c>
      <c r="N214" s="4">
        <v>5.8905000000000003</v>
      </c>
      <c r="O214" s="4">
        <v>33.660000000000004</v>
      </c>
    </row>
    <row r="215" spans="2:15">
      <c r="B215" t="s">
        <v>1262</v>
      </c>
      <c r="C215" t="s">
        <v>99</v>
      </c>
      <c r="D215" t="s">
        <v>2064</v>
      </c>
      <c r="E215" t="s">
        <v>2065</v>
      </c>
      <c r="F215" t="s">
        <v>10</v>
      </c>
      <c r="G215" t="s">
        <v>2064</v>
      </c>
      <c r="H215" t="s">
        <v>2066</v>
      </c>
      <c r="I215" t="s">
        <v>32</v>
      </c>
      <c r="J215">
        <v>0</v>
      </c>
      <c r="K215">
        <v>3157</v>
      </c>
      <c r="L215" s="4">
        <v>3.5000000000000001E-3</v>
      </c>
      <c r="M215">
        <v>0.02</v>
      </c>
      <c r="N215" s="4">
        <v>11.0495</v>
      </c>
      <c r="O215" s="4">
        <v>63.14</v>
      </c>
    </row>
    <row r="216" spans="2:15">
      <c r="B216" t="s">
        <v>1262</v>
      </c>
      <c r="C216" t="s">
        <v>99</v>
      </c>
      <c r="D216" t="s">
        <v>2067</v>
      </c>
      <c r="E216" t="s">
        <v>2068</v>
      </c>
      <c r="F216" t="s">
        <v>10</v>
      </c>
      <c r="G216" t="s">
        <v>2067</v>
      </c>
      <c r="H216" t="s">
        <v>2069</v>
      </c>
      <c r="I216" t="s">
        <v>32</v>
      </c>
      <c r="J216">
        <v>0</v>
      </c>
      <c r="K216">
        <v>4122</v>
      </c>
      <c r="L216" s="4">
        <v>3.5000000000000001E-3</v>
      </c>
      <c r="M216">
        <v>0.02</v>
      </c>
      <c r="N216" s="4">
        <v>14.427</v>
      </c>
      <c r="O216" s="4">
        <v>82.44</v>
      </c>
    </row>
    <row r="217" spans="2:15">
      <c r="B217" t="s">
        <v>1262</v>
      </c>
      <c r="C217" t="s">
        <v>99</v>
      </c>
      <c r="D217" t="s">
        <v>2070</v>
      </c>
      <c r="E217" t="s">
        <v>2071</v>
      </c>
      <c r="F217" t="s">
        <v>10</v>
      </c>
      <c r="G217" t="s">
        <v>2070</v>
      </c>
      <c r="H217" t="s">
        <v>2072</v>
      </c>
      <c r="I217" t="s">
        <v>32</v>
      </c>
      <c r="J217">
        <v>0</v>
      </c>
      <c r="K217">
        <v>1</v>
      </c>
      <c r="L217" s="4">
        <v>3.5000000000000001E-3</v>
      </c>
      <c r="M217">
        <v>0.02</v>
      </c>
      <c r="N217" s="4">
        <v>3.5000000000000001E-3</v>
      </c>
      <c r="O217" s="4">
        <v>0.02</v>
      </c>
    </row>
    <row r="218" spans="2:15">
      <c r="B218" t="s">
        <v>1262</v>
      </c>
      <c r="C218" t="s">
        <v>99</v>
      </c>
      <c r="D218" t="s">
        <v>1293</v>
      </c>
      <c r="E218" t="s">
        <v>1294</v>
      </c>
      <c r="F218" t="s">
        <v>10</v>
      </c>
      <c r="G218" t="s">
        <v>1293</v>
      </c>
      <c r="H218" t="s">
        <v>1295</v>
      </c>
      <c r="I218" t="s">
        <v>32</v>
      </c>
      <c r="J218">
        <v>0</v>
      </c>
      <c r="K218">
        <v>4296</v>
      </c>
      <c r="L218" s="4">
        <v>3.5000000000000001E-3</v>
      </c>
      <c r="M218">
        <v>0.02</v>
      </c>
      <c r="N218" s="4">
        <v>15.036</v>
      </c>
      <c r="O218" s="4">
        <v>85.92</v>
      </c>
    </row>
    <row r="219" spans="2:15">
      <c r="B219" t="s">
        <v>1262</v>
      </c>
      <c r="C219" t="s">
        <v>99</v>
      </c>
      <c r="D219" t="s">
        <v>2073</v>
      </c>
      <c r="E219" t="s">
        <v>2074</v>
      </c>
      <c r="F219" t="s">
        <v>10</v>
      </c>
      <c r="G219" t="s">
        <v>2073</v>
      </c>
      <c r="H219" t="s">
        <v>2075</v>
      </c>
      <c r="I219" t="s">
        <v>32</v>
      </c>
      <c r="J219">
        <v>0</v>
      </c>
      <c r="K219">
        <v>62</v>
      </c>
      <c r="L219" s="4">
        <v>3.5000000000000001E-3</v>
      </c>
      <c r="M219">
        <v>0.02</v>
      </c>
      <c r="N219" s="4">
        <v>0.217</v>
      </c>
      <c r="O219" s="4">
        <v>1.24</v>
      </c>
    </row>
    <row r="220" spans="2:15">
      <c r="B220" t="s">
        <v>1262</v>
      </c>
      <c r="C220" t="s">
        <v>99</v>
      </c>
      <c r="D220" t="s">
        <v>1296</v>
      </c>
      <c r="E220" t="s">
        <v>1297</v>
      </c>
      <c r="F220" t="s">
        <v>10</v>
      </c>
      <c r="G220" t="s">
        <v>1296</v>
      </c>
      <c r="H220" t="s">
        <v>1298</v>
      </c>
      <c r="I220" t="s">
        <v>32</v>
      </c>
      <c r="J220">
        <v>0</v>
      </c>
      <c r="K220">
        <v>577</v>
      </c>
      <c r="L220" s="4">
        <v>3.5000000000000001E-3</v>
      </c>
      <c r="M220">
        <v>0.02</v>
      </c>
      <c r="N220" s="4">
        <v>2.0194999999999999</v>
      </c>
      <c r="O220" s="4">
        <v>11.540000000000001</v>
      </c>
    </row>
    <row r="221" spans="2:15">
      <c r="B221" t="s">
        <v>1262</v>
      </c>
      <c r="C221" t="s">
        <v>99</v>
      </c>
      <c r="D221" t="s">
        <v>1299</v>
      </c>
      <c r="E221" t="s">
        <v>1300</v>
      </c>
      <c r="F221" t="s">
        <v>10</v>
      </c>
      <c r="G221" t="s">
        <v>1299</v>
      </c>
      <c r="H221" t="s">
        <v>1301</v>
      </c>
      <c r="I221" t="s">
        <v>32</v>
      </c>
      <c r="J221">
        <v>0</v>
      </c>
      <c r="K221">
        <v>1373</v>
      </c>
      <c r="L221" s="4">
        <v>3.5000000000000001E-3</v>
      </c>
      <c r="M221">
        <v>0.02</v>
      </c>
      <c r="N221" s="4">
        <v>4.8055000000000003</v>
      </c>
      <c r="O221" s="4">
        <v>27.46</v>
      </c>
    </row>
    <row r="222" spans="2:15">
      <c r="B222" t="s">
        <v>1262</v>
      </c>
      <c r="C222" t="s">
        <v>99</v>
      </c>
      <c r="D222" t="s">
        <v>1302</v>
      </c>
      <c r="E222" t="s">
        <v>1303</v>
      </c>
      <c r="F222" t="s">
        <v>10</v>
      </c>
      <c r="G222" t="s">
        <v>1302</v>
      </c>
      <c r="H222" t="s">
        <v>1304</v>
      </c>
      <c r="I222" t="s">
        <v>32</v>
      </c>
      <c r="J222">
        <v>0</v>
      </c>
      <c r="K222">
        <v>582</v>
      </c>
      <c r="L222" s="4">
        <v>3.5000000000000001E-3</v>
      </c>
      <c r="M222">
        <v>0.02</v>
      </c>
      <c r="N222" s="4">
        <v>2.0369999999999999</v>
      </c>
      <c r="O222" s="4">
        <v>11.64</v>
      </c>
    </row>
    <row r="223" spans="2:15">
      <c r="B223" t="s">
        <v>1262</v>
      </c>
      <c r="C223" t="s">
        <v>99</v>
      </c>
      <c r="D223" t="s">
        <v>2076</v>
      </c>
      <c r="E223" t="s">
        <v>2077</v>
      </c>
      <c r="F223" t="s">
        <v>10</v>
      </c>
      <c r="G223" t="s">
        <v>2076</v>
      </c>
      <c r="H223" t="s">
        <v>2078</v>
      </c>
      <c r="I223" t="s">
        <v>32</v>
      </c>
      <c r="J223">
        <v>0</v>
      </c>
      <c r="K223">
        <v>740</v>
      </c>
      <c r="L223" s="4">
        <v>3.5000000000000001E-3</v>
      </c>
      <c r="M223">
        <v>0.02</v>
      </c>
      <c r="N223" s="4">
        <v>2.59</v>
      </c>
      <c r="O223" s="4">
        <v>14.8</v>
      </c>
    </row>
    <row r="224" spans="2:15">
      <c r="B224" t="s">
        <v>1262</v>
      </c>
      <c r="C224" t="s">
        <v>99</v>
      </c>
      <c r="D224" t="s">
        <v>2079</v>
      </c>
      <c r="E224" t="s">
        <v>2080</v>
      </c>
      <c r="F224" t="s">
        <v>10</v>
      </c>
      <c r="G224" t="s">
        <v>2079</v>
      </c>
      <c r="H224" t="s">
        <v>2081</v>
      </c>
      <c r="I224" t="s">
        <v>32</v>
      </c>
      <c r="J224">
        <v>0</v>
      </c>
      <c r="K224">
        <v>1</v>
      </c>
      <c r="L224" s="4">
        <v>3.5000000000000001E-3</v>
      </c>
      <c r="M224">
        <v>0.02</v>
      </c>
      <c r="N224" s="4">
        <v>3.5000000000000001E-3</v>
      </c>
      <c r="O224" s="4">
        <v>0.02</v>
      </c>
    </row>
    <row r="225" spans="2:15">
      <c r="B225" t="s">
        <v>51</v>
      </c>
      <c r="C225" t="s">
        <v>52</v>
      </c>
      <c r="D225" t="s">
        <v>2082</v>
      </c>
      <c r="E225" t="s">
        <v>2083</v>
      </c>
      <c r="F225" t="s">
        <v>10</v>
      </c>
      <c r="G225" t="s">
        <v>2082</v>
      </c>
      <c r="H225" t="s">
        <v>2084</v>
      </c>
      <c r="I225" t="s">
        <v>32</v>
      </c>
      <c r="J225">
        <v>0</v>
      </c>
      <c r="K225">
        <v>2</v>
      </c>
      <c r="L225" s="4">
        <v>3.5000000000000001E-3</v>
      </c>
      <c r="M225">
        <v>0.02</v>
      </c>
      <c r="N225" s="4">
        <v>7.0000000000000001E-3</v>
      </c>
      <c r="O225" s="4">
        <v>0.04</v>
      </c>
    </row>
    <row r="226" spans="2:15">
      <c r="B226" t="s">
        <v>51</v>
      </c>
      <c r="C226" t="s">
        <v>52</v>
      </c>
      <c r="D226" t="s">
        <v>53</v>
      </c>
      <c r="E226" t="s">
        <v>54</v>
      </c>
      <c r="F226" t="s">
        <v>10</v>
      </c>
      <c r="G226" t="s">
        <v>53</v>
      </c>
      <c r="H226" t="s">
        <v>55</v>
      </c>
      <c r="I226" t="s">
        <v>32</v>
      </c>
      <c r="J226">
        <v>0</v>
      </c>
      <c r="K226">
        <v>11</v>
      </c>
      <c r="L226" s="4">
        <v>3.5000000000000001E-3</v>
      </c>
      <c r="M226">
        <v>0.02</v>
      </c>
      <c r="N226" s="4">
        <v>3.85E-2</v>
      </c>
      <c r="O226" s="4">
        <v>0.22</v>
      </c>
    </row>
    <row r="227" spans="2:15">
      <c r="B227" t="s">
        <v>51</v>
      </c>
      <c r="C227" t="s">
        <v>52</v>
      </c>
      <c r="D227" t="s">
        <v>56</v>
      </c>
      <c r="E227" t="s">
        <v>57</v>
      </c>
      <c r="F227" t="s">
        <v>10</v>
      </c>
      <c r="G227" t="s">
        <v>56</v>
      </c>
      <c r="H227" t="s">
        <v>58</v>
      </c>
      <c r="I227" t="s">
        <v>32</v>
      </c>
      <c r="J227">
        <v>0</v>
      </c>
      <c r="K227">
        <v>5</v>
      </c>
      <c r="L227" s="4">
        <v>3.5000000000000001E-3</v>
      </c>
      <c r="M227">
        <v>0.02</v>
      </c>
      <c r="N227" s="4">
        <v>1.7500000000000002E-2</v>
      </c>
      <c r="O227" s="4">
        <v>0.1</v>
      </c>
    </row>
    <row r="228" spans="2:15">
      <c r="B228" t="s">
        <v>51</v>
      </c>
      <c r="C228" t="s">
        <v>52</v>
      </c>
      <c r="D228" t="s">
        <v>2085</v>
      </c>
      <c r="E228" t="s">
        <v>2086</v>
      </c>
      <c r="F228" t="s">
        <v>10</v>
      </c>
      <c r="G228" t="s">
        <v>2085</v>
      </c>
      <c r="H228" t="s">
        <v>2087</v>
      </c>
      <c r="I228" t="s">
        <v>32</v>
      </c>
      <c r="J228">
        <v>0</v>
      </c>
      <c r="K228">
        <v>1</v>
      </c>
      <c r="L228" s="4">
        <v>3.5000000000000001E-3</v>
      </c>
      <c r="M228">
        <v>0.02</v>
      </c>
      <c r="N228" s="4">
        <v>3.5000000000000001E-3</v>
      </c>
      <c r="O228" s="4">
        <v>0.02</v>
      </c>
    </row>
    <row r="229" spans="2:15">
      <c r="B229" t="s">
        <v>51</v>
      </c>
      <c r="C229" t="s">
        <v>52</v>
      </c>
      <c r="D229" t="s">
        <v>2088</v>
      </c>
      <c r="E229" t="s">
        <v>2089</v>
      </c>
      <c r="F229" t="s">
        <v>10</v>
      </c>
      <c r="G229" t="s">
        <v>2088</v>
      </c>
      <c r="H229" t="s">
        <v>2090</v>
      </c>
      <c r="I229" t="s">
        <v>32</v>
      </c>
      <c r="J229">
        <v>0</v>
      </c>
      <c r="K229">
        <v>1</v>
      </c>
      <c r="L229" s="4">
        <v>3.5000000000000001E-3</v>
      </c>
      <c r="M229">
        <v>0.02</v>
      </c>
      <c r="N229" s="4">
        <v>3.5000000000000001E-3</v>
      </c>
      <c r="O229" s="4">
        <v>0.02</v>
      </c>
    </row>
    <row r="230" spans="2:15">
      <c r="B230" t="s">
        <v>51</v>
      </c>
      <c r="C230" t="s">
        <v>52</v>
      </c>
      <c r="D230" t="s">
        <v>2091</v>
      </c>
      <c r="E230" t="s">
        <v>2092</v>
      </c>
      <c r="F230" t="s">
        <v>10</v>
      </c>
      <c r="G230" t="s">
        <v>2091</v>
      </c>
      <c r="H230" t="s">
        <v>2093</v>
      </c>
      <c r="I230" t="s">
        <v>32</v>
      </c>
      <c r="J230">
        <v>0</v>
      </c>
      <c r="K230">
        <v>1</v>
      </c>
      <c r="L230" s="4">
        <v>3.5000000000000001E-3</v>
      </c>
      <c r="M230">
        <v>0.02</v>
      </c>
      <c r="N230" s="4">
        <v>3.5000000000000001E-3</v>
      </c>
      <c r="O230" s="4">
        <v>0.02</v>
      </c>
    </row>
    <row r="231" spans="2:15">
      <c r="B231" t="s">
        <v>51</v>
      </c>
      <c r="C231" t="s">
        <v>52</v>
      </c>
      <c r="D231" t="s">
        <v>59</v>
      </c>
      <c r="E231" t="s">
        <v>60</v>
      </c>
      <c r="F231" t="s">
        <v>10</v>
      </c>
      <c r="G231" t="s">
        <v>59</v>
      </c>
      <c r="H231" t="s">
        <v>61</v>
      </c>
      <c r="I231" t="s">
        <v>32</v>
      </c>
      <c r="J231">
        <v>0</v>
      </c>
      <c r="K231">
        <v>1</v>
      </c>
      <c r="L231" s="4">
        <v>3.5000000000000001E-3</v>
      </c>
      <c r="M231">
        <v>0.02</v>
      </c>
      <c r="N231" s="4">
        <v>3.5000000000000001E-3</v>
      </c>
      <c r="O231" s="4">
        <v>0.02</v>
      </c>
    </row>
    <row r="232" spans="2:15">
      <c r="B232" t="s">
        <v>51</v>
      </c>
      <c r="C232" t="s">
        <v>52</v>
      </c>
      <c r="D232" t="s">
        <v>62</v>
      </c>
      <c r="E232" t="s">
        <v>63</v>
      </c>
      <c r="F232" t="s">
        <v>10</v>
      </c>
      <c r="G232" t="s">
        <v>62</v>
      </c>
      <c r="H232" t="s">
        <v>64</v>
      </c>
      <c r="I232" t="s">
        <v>32</v>
      </c>
      <c r="J232">
        <v>0</v>
      </c>
      <c r="K232">
        <v>1</v>
      </c>
      <c r="L232" s="4">
        <v>3.5000000000000001E-3</v>
      </c>
      <c r="M232">
        <v>0.02</v>
      </c>
      <c r="N232" s="4">
        <v>3.5000000000000001E-3</v>
      </c>
      <c r="O232" s="4">
        <v>0.02</v>
      </c>
    </row>
    <row r="233" spans="2:15">
      <c r="B233" t="s">
        <v>51</v>
      </c>
      <c r="C233" t="s">
        <v>52</v>
      </c>
      <c r="D233" t="s">
        <v>65</v>
      </c>
      <c r="E233" t="s">
        <v>66</v>
      </c>
      <c r="F233" t="s">
        <v>10</v>
      </c>
      <c r="G233" t="s">
        <v>65</v>
      </c>
      <c r="H233" t="s">
        <v>67</v>
      </c>
      <c r="I233" t="s">
        <v>32</v>
      </c>
      <c r="J233">
        <v>0</v>
      </c>
      <c r="K233">
        <v>8</v>
      </c>
      <c r="L233" s="4">
        <v>3.5000000000000001E-3</v>
      </c>
      <c r="M233">
        <v>0.02</v>
      </c>
      <c r="N233" s="4">
        <v>2.8000000000000001E-2</v>
      </c>
      <c r="O233" s="4">
        <v>0.16</v>
      </c>
    </row>
    <row r="234" spans="2:15">
      <c r="B234" t="s">
        <v>51</v>
      </c>
      <c r="C234" t="s">
        <v>52</v>
      </c>
      <c r="D234" t="s">
        <v>2094</v>
      </c>
      <c r="E234" t="s">
        <v>2095</v>
      </c>
      <c r="F234" t="s">
        <v>10</v>
      </c>
      <c r="G234" t="s">
        <v>2094</v>
      </c>
      <c r="H234" t="s">
        <v>2096</v>
      </c>
      <c r="I234" t="s">
        <v>32</v>
      </c>
      <c r="J234">
        <v>0</v>
      </c>
      <c r="K234">
        <v>2</v>
      </c>
      <c r="L234" s="4">
        <v>3.5000000000000001E-3</v>
      </c>
      <c r="M234">
        <v>0.02</v>
      </c>
      <c r="N234" s="4">
        <v>7.0000000000000001E-3</v>
      </c>
      <c r="O234" s="4">
        <v>0.04</v>
      </c>
    </row>
    <row r="235" spans="2:15">
      <c r="B235" t="s">
        <v>51</v>
      </c>
      <c r="C235" t="s">
        <v>52</v>
      </c>
      <c r="D235" t="s">
        <v>69</v>
      </c>
      <c r="E235" t="s">
        <v>70</v>
      </c>
      <c r="F235" t="s">
        <v>10</v>
      </c>
      <c r="G235" t="s">
        <v>69</v>
      </c>
      <c r="H235" t="s">
        <v>71</v>
      </c>
      <c r="I235" t="s">
        <v>32</v>
      </c>
      <c r="J235">
        <v>0</v>
      </c>
      <c r="K235">
        <v>23</v>
      </c>
      <c r="L235" s="4">
        <v>3.5000000000000001E-3</v>
      </c>
      <c r="M235">
        <v>0.02</v>
      </c>
      <c r="N235" s="4">
        <v>8.0500000000000002E-2</v>
      </c>
      <c r="O235" s="4">
        <v>0.46</v>
      </c>
    </row>
    <row r="236" spans="2:15">
      <c r="B236" t="s">
        <v>51</v>
      </c>
      <c r="C236" t="s">
        <v>52</v>
      </c>
      <c r="D236" t="s">
        <v>72</v>
      </c>
      <c r="E236" t="s">
        <v>73</v>
      </c>
      <c r="F236" t="s">
        <v>10</v>
      </c>
      <c r="G236" t="s">
        <v>72</v>
      </c>
      <c r="H236" t="s">
        <v>74</v>
      </c>
      <c r="I236" t="s">
        <v>68</v>
      </c>
      <c r="J236">
        <v>0</v>
      </c>
      <c r="K236">
        <v>5</v>
      </c>
      <c r="L236" s="4">
        <v>3.5000000000000001E-3</v>
      </c>
      <c r="M236">
        <v>0.02</v>
      </c>
      <c r="N236" s="4">
        <v>1.7500000000000002E-2</v>
      </c>
      <c r="O236" s="4">
        <v>0.1</v>
      </c>
    </row>
    <row r="237" spans="2:15">
      <c r="B237" t="s">
        <v>51</v>
      </c>
      <c r="C237" t="s">
        <v>52</v>
      </c>
      <c r="D237" t="s">
        <v>75</v>
      </c>
      <c r="E237" t="s">
        <v>76</v>
      </c>
      <c r="F237" t="s">
        <v>10</v>
      </c>
      <c r="G237" t="s">
        <v>75</v>
      </c>
      <c r="H237" t="s">
        <v>77</v>
      </c>
      <c r="I237" t="s">
        <v>68</v>
      </c>
      <c r="J237">
        <v>0</v>
      </c>
      <c r="K237">
        <v>1</v>
      </c>
      <c r="L237" s="4">
        <v>3.5000000000000001E-3</v>
      </c>
      <c r="M237">
        <v>0.02</v>
      </c>
      <c r="N237" s="4">
        <v>3.5000000000000001E-3</v>
      </c>
      <c r="O237" s="4">
        <v>0.02</v>
      </c>
    </row>
    <row r="238" spans="2:15">
      <c r="B238" t="s">
        <v>51</v>
      </c>
      <c r="C238" t="s">
        <v>52</v>
      </c>
      <c r="D238" t="s">
        <v>2097</v>
      </c>
      <c r="E238" t="s">
        <v>2098</v>
      </c>
      <c r="F238" t="s">
        <v>10</v>
      </c>
      <c r="G238" t="s">
        <v>2097</v>
      </c>
      <c r="H238" t="s">
        <v>2099</v>
      </c>
      <c r="I238" t="s">
        <v>68</v>
      </c>
      <c r="J238">
        <v>0</v>
      </c>
      <c r="K238">
        <v>1</v>
      </c>
      <c r="L238" s="4">
        <v>3.5000000000000001E-3</v>
      </c>
      <c r="M238">
        <v>0.02</v>
      </c>
      <c r="N238" s="4">
        <v>3.5000000000000001E-3</v>
      </c>
      <c r="O238" s="4">
        <v>0.02</v>
      </c>
    </row>
    <row r="239" spans="2:15">
      <c r="B239" t="s">
        <v>51</v>
      </c>
      <c r="C239" t="s">
        <v>52</v>
      </c>
      <c r="D239" t="s">
        <v>2100</v>
      </c>
      <c r="E239" t="s">
        <v>2101</v>
      </c>
      <c r="F239" t="s">
        <v>10</v>
      </c>
      <c r="G239" t="s">
        <v>2100</v>
      </c>
      <c r="H239" t="s">
        <v>2102</v>
      </c>
      <c r="I239" t="s">
        <v>68</v>
      </c>
      <c r="J239">
        <v>0</v>
      </c>
      <c r="K239">
        <v>2</v>
      </c>
      <c r="L239" s="4">
        <v>3.5000000000000001E-3</v>
      </c>
      <c r="M239">
        <v>0.02</v>
      </c>
      <c r="N239" s="4">
        <v>7.0000000000000001E-3</v>
      </c>
      <c r="O239" s="4">
        <v>0.04</v>
      </c>
    </row>
    <row r="240" spans="2:15">
      <c r="B240" t="s">
        <v>51</v>
      </c>
      <c r="C240" t="s">
        <v>52</v>
      </c>
      <c r="D240" t="s">
        <v>2103</v>
      </c>
      <c r="E240" t="s">
        <v>2104</v>
      </c>
      <c r="F240" t="s">
        <v>10</v>
      </c>
      <c r="G240" t="s">
        <v>2103</v>
      </c>
      <c r="H240" t="s">
        <v>2105</v>
      </c>
      <c r="I240" t="s">
        <v>32</v>
      </c>
      <c r="J240">
        <v>0</v>
      </c>
      <c r="K240">
        <v>2</v>
      </c>
      <c r="L240" s="4">
        <v>3.5000000000000001E-3</v>
      </c>
      <c r="M240">
        <v>0.02</v>
      </c>
      <c r="N240" s="4">
        <v>7.0000000000000001E-3</v>
      </c>
      <c r="O240" s="4">
        <v>0.04</v>
      </c>
    </row>
    <row r="241" spans="2:15">
      <c r="B241" t="s">
        <v>51</v>
      </c>
      <c r="C241" t="s">
        <v>52</v>
      </c>
      <c r="D241" t="s">
        <v>2106</v>
      </c>
      <c r="E241" t="s">
        <v>2107</v>
      </c>
      <c r="F241" t="s">
        <v>10</v>
      </c>
      <c r="G241" t="s">
        <v>2106</v>
      </c>
      <c r="H241" t="s">
        <v>2108</v>
      </c>
      <c r="I241" t="s">
        <v>32</v>
      </c>
      <c r="J241">
        <v>0</v>
      </c>
      <c r="K241">
        <v>1</v>
      </c>
      <c r="L241" s="4">
        <v>3.5000000000000001E-3</v>
      </c>
      <c r="M241">
        <v>0.02</v>
      </c>
      <c r="N241" s="4">
        <v>3.5000000000000001E-3</v>
      </c>
      <c r="O241" s="4">
        <v>0.02</v>
      </c>
    </row>
    <row r="242" spans="2:15">
      <c r="B242" t="s">
        <v>51</v>
      </c>
      <c r="C242" t="s">
        <v>52</v>
      </c>
      <c r="D242" t="s">
        <v>2109</v>
      </c>
      <c r="E242" t="s">
        <v>2110</v>
      </c>
      <c r="F242" t="s">
        <v>10</v>
      </c>
      <c r="G242" t="s">
        <v>2109</v>
      </c>
      <c r="H242" t="s">
        <v>2111</v>
      </c>
      <c r="I242" t="s">
        <v>32</v>
      </c>
      <c r="J242">
        <v>0</v>
      </c>
      <c r="K242">
        <v>1</v>
      </c>
      <c r="L242" s="4">
        <v>3.5000000000000001E-3</v>
      </c>
      <c r="M242">
        <v>0.02</v>
      </c>
      <c r="N242" s="4">
        <v>3.5000000000000001E-3</v>
      </c>
      <c r="O242" s="4">
        <v>0.02</v>
      </c>
    </row>
    <row r="243" spans="2:15">
      <c r="B243" t="s">
        <v>51</v>
      </c>
      <c r="C243" t="s">
        <v>52</v>
      </c>
      <c r="D243" t="s">
        <v>2112</v>
      </c>
      <c r="E243" t="s">
        <v>2113</v>
      </c>
      <c r="F243" t="s">
        <v>10</v>
      </c>
      <c r="G243" t="s">
        <v>2112</v>
      </c>
      <c r="H243" t="s">
        <v>2114</v>
      </c>
      <c r="I243" t="s">
        <v>32</v>
      </c>
      <c r="J243">
        <v>0</v>
      </c>
      <c r="K243">
        <v>1</v>
      </c>
      <c r="L243" s="4">
        <v>3.5000000000000001E-3</v>
      </c>
      <c r="M243">
        <v>0.02</v>
      </c>
      <c r="N243" s="4">
        <v>3.5000000000000001E-3</v>
      </c>
      <c r="O243" s="4">
        <v>0.02</v>
      </c>
    </row>
    <row r="244" spans="2:15">
      <c r="B244" t="s">
        <v>51</v>
      </c>
      <c r="C244" t="s">
        <v>52</v>
      </c>
      <c r="D244" t="s">
        <v>78</v>
      </c>
      <c r="E244" t="s">
        <v>79</v>
      </c>
      <c r="F244" t="s">
        <v>10</v>
      </c>
      <c r="G244" t="s">
        <v>78</v>
      </c>
      <c r="H244" t="s">
        <v>80</v>
      </c>
      <c r="I244" t="s">
        <v>32</v>
      </c>
      <c r="J244">
        <v>0</v>
      </c>
      <c r="K244">
        <v>1</v>
      </c>
      <c r="L244" s="4">
        <v>3.5000000000000001E-3</v>
      </c>
      <c r="M244">
        <v>0.02</v>
      </c>
      <c r="N244" s="4">
        <v>3.5000000000000001E-3</v>
      </c>
      <c r="O244" s="4">
        <v>0.02</v>
      </c>
    </row>
    <row r="245" spans="2:15">
      <c r="B245" t="s">
        <v>51</v>
      </c>
      <c r="C245" t="s">
        <v>52</v>
      </c>
      <c r="D245" t="s">
        <v>81</v>
      </c>
      <c r="E245" t="s">
        <v>82</v>
      </c>
      <c r="F245" t="s">
        <v>10</v>
      </c>
      <c r="G245" t="s">
        <v>81</v>
      </c>
      <c r="H245" t="s">
        <v>83</v>
      </c>
      <c r="I245" t="s">
        <v>32</v>
      </c>
      <c r="J245">
        <v>0</v>
      </c>
      <c r="K245">
        <v>2</v>
      </c>
      <c r="L245" s="4">
        <v>3.5000000000000001E-3</v>
      </c>
      <c r="M245">
        <v>0.02</v>
      </c>
      <c r="N245" s="4">
        <v>7.0000000000000001E-3</v>
      </c>
      <c r="O245" s="4">
        <v>0.04</v>
      </c>
    </row>
    <row r="246" spans="2:15">
      <c r="B246" t="s">
        <v>51</v>
      </c>
      <c r="C246" t="s">
        <v>52</v>
      </c>
      <c r="D246" t="s">
        <v>2115</v>
      </c>
      <c r="E246" t="s">
        <v>2116</v>
      </c>
      <c r="F246" t="s">
        <v>10</v>
      </c>
      <c r="G246" t="s">
        <v>2115</v>
      </c>
      <c r="H246" t="s">
        <v>2117</v>
      </c>
      <c r="I246" t="s">
        <v>32</v>
      </c>
      <c r="J246">
        <v>0</v>
      </c>
      <c r="K246">
        <v>1</v>
      </c>
      <c r="L246" s="4">
        <v>3.5000000000000001E-3</v>
      </c>
      <c r="M246">
        <v>0.02</v>
      </c>
      <c r="N246" s="4">
        <v>3.5000000000000001E-3</v>
      </c>
      <c r="O246" s="4">
        <v>0.02</v>
      </c>
    </row>
    <row r="247" spans="2:15">
      <c r="B247" t="s">
        <v>51</v>
      </c>
      <c r="C247" t="s">
        <v>52</v>
      </c>
      <c r="D247" t="s">
        <v>84</v>
      </c>
      <c r="E247" t="s">
        <v>85</v>
      </c>
      <c r="F247" t="s">
        <v>10</v>
      </c>
      <c r="G247" t="s">
        <v>84</v>
      </c>
      <c r="H247" t="s">
        <v>86</v>
      </c>
      <c r="I247" t="s">
        <v>32</v>
      </c>
      <c r="J247">
        <v>0</v>
      </c>
      <c r="K247">
        <v>3</v>
      </c>
      <c r="L247" s="4">
        <v>3.5000000000000001E-3</v>
      </c>
      <c r="M247">
        <v>0.02</v>
      </c>
      <c r="N247" s="4">
        <v>1.0500000000000001E-2</v>
      </c>
      <c r="O247" s="4">
        <v>0.06</v>
      </c>
    </row>
    <row r="248" spans="2:15">
      <c r="B248" t="s">
        <v>51</v>
      </c>
      <c r="C248" t="s">
        <v>52</v>
      </c>
      <c r="D248" t="s">
        <v>2118</v>
      </c>
      <c r="E248" t="s">
        <v>2119</v>
      </c>
      <c r="F248" t="s">
        <v>10</v>
      </c>
      <c r="G248" t="s">
        <v>2118</v>
      </c>
      <c r="H248" t="s">
        <v>2120</v>
      </c>
      <c r="I248" t="s">
        <v>32</v>
      </c>
      <c r="J248">
        <v>0</v>
      </c>
      <c r="K248">
        <v>2</v>
      </c>
      <c r="L248" s="4">
        <v>3.5000000000000001E-3</v>
      </c>
      <c r="M248">
        <v>0.02</v>
      </c>
      <c r="N248" s="4">
        <v>7.0000000000000001E-3</v>
      </c>
      <c r="O248" s="4">
        <v>0.04</v>
      </c>
    </row>
    <row r="249" spans="2:15">
      <c r="B249" t="s">
        <v>51</v>
      </c>
      <c r="C249" t="s">
        <v>87</v>
      </c>
      <c r="D249" t="s">
        <v>2121</v>
      </c>
      <c r="E249" t="s">
        <v>2122</v>
      </c>
      <c r="F249" t="s">
        <v>12</v>
      </c>
      <c r="G249" t="s">
        <v>2121</v>
      </c>
      <c r="H249" t="s">
        <v>2123</v>
      </c>
      <c r="I249" t="s">
        <v>32</v>
      </c>
      <c r="J249">
        <v>1</v>
      </c>
      <c r="K249">
        <v>0</v>
      </c>
      <c r="L249" s="4">
        <v>0.04</v>
      </c>
      <c r="M249">
        <v>0.09</v>
      </c>
      <c r="N249" s="4">
        <v>4.0000000000000003E-5</v>
      </c>
      <c r="O249" s="4">
        <v>8.9999999999999992E-5</v>
      </c>
    </row>
    <row r="250" spans="2:15">
      <c r="B250" t="s">
        <v>51</v>
      </c>
      <c r="C250" t="s">
        <v>87</v>
      </c>
      <c r="D250" t="s">
        <v>2124</v>
      </c>
      <c r="E250" t="s">
        <v>2125</v>
      </c>
      <c r="F250" t="s">
        <v>12</v>
      </c>
      <c r="G250" t="s">
        <v>2124</v>
      </c>
      <c r="H250" t="s">
        <v>2126</v>
      </c>
      <c r="I250" t="s">
        <v>32</v>
      </c>
      <c r="J250">
        <v>4</v>
      </c>
      <c r="K250">
        <v>0</v>
      </c>
      <c r="L250" s="4">
        <v>0.04</v>
      </c>
      <c r="M250">
        <v>0.09</v>
      </c>
      <c r="N250" s="4">
        <v>1.6000000000000001E-4</v>
      </c>
      <c r="O250" s="4">
        <v>3.5999999999999997E-4</v>
      </c>
    </row>
    <row r="251" spans="2:15">
      <c r="B251" t="s">
        <v>51</v>
      </c>
      <c r="C251" t="s">
        <v>87</v>
      </c>
      <c r="D251" t="s">
        <v>2127</v>
      </c>
      <c r="E251" t="s">
        <v>2128</v>
      </c>
      <c r="F251" t="s">
        <v>12</v>
      </c>
      <c r="G251" t="s">
        <v>2127</v>
      </c>
      <c r="H251" t="s">
        <v>2129</v>
      </c>
      <c r="I251" t="s">
        <v>32</v>
      </c>
      <c r="J251">
        <v>2</v>
      </c>
      <c r="K251">
        <v>0</v>
      </c>
      <c r="L251" s="4">
        <v>0.04</v>
      </c>
      <c r="M251">
        <v>0.09</v>
      </c>
      <c r="N251" s="4">
        <v>8.0000000000000007E-5</v>
      </c>
      <c r="O251" s="4">
        <v>1.7999999999999998E-4</v>
      </c>
    </row>
    <row r="252" spans="2:15">
      <c r="B252" t="s">
        <v>51</v>
      </c>
      <c r="C252" t="s">
        <v>87</v>
      </c>
      <c r="D252" t="s">
        <v>2130</v>
      </c>
      <c r="E252" t="s">
        <v>2131</v>
      </c>
      <c r="F252" t="s">
        <v>12</v>
      </c>
      <c r="G252" t="s">
        <v>2130</v>
      </c>
      <c r="H252" t="s">
        <v>2132</v>
      </c>
      <c r="I252" t="s">
        <v>32</v>
      </c>
      <c r="J252">
        <v>4</v>
      </c>
      <c r="K252">
        <v>0</v>
      </c>
      <c r="L252" s="4">
        <v>0.04</v>
      </c>
      <c r="M252">
        <v>0.09</v>
      </c>
      <c r="N252" s="4">
        <v>1.6000000000000001E-4</v>
      </c>
      <c r="O252" s="4">
        <v>3.5999999999999997E-4</v>
      </c>
    </row>
    <row r="253" spans="2:15">
      <c r="B253" t="s">
        <v>51</v>
      </c>
      <c r="C253" t="s">
        <v>87</v>
      </c>
      <c r="D253" t="s">
        <v>2133</v>
      </c>
      <c r="E253" t="s">
        <v>2134</v>
      </c>
      <c r="F253" t="s">
        <v>12</v>
      </c>
      <c r="G253" t="s">
        <v>2133</v>
      </c>
      <c r="H253" t="s">
        <v>2135</v>
      </c>
      <c r="I253" t="s">
        <v>32</v>
      </c>
      <c r="J253">
        <v>2200528</v>
      </c>
      <c r="K253">
        <v>0</v>
      </c>
      <c r="L253" s="4">
        <v>0.04</v>
      </c>
      <c r="M253">
        <v>0.09</v>
      </c>
      <c r="N253" s="4">
        <v>88.021119999999996</v>
      </c>
      <c r="O253" s="4">
        <v>198.04751999999999</v>
      </c>
    </row>
    <row r="254" spans="2:15">
      <c r="B254" t="s">
        <v>51</v>
      </c>
      <c r="C254" t="s">
        <v>87</v>
      </c>
      <c r="D254" t="s">
        <v>2136</v>
      </c>
      <c r="E254" t="s">
        <v>2137</v>
      </c>
      <c r="F254" t="s">
        <v>12</v>
      </c>
      <c r="G254" t="s">
        <v>2136</v>
      </c>
      <c r="H254" t="s">
        <v>2138</v>
      </c>
      <c r="I254" t="s">
        <v>32</v>
      </c>
      <c r="J254">
        <v>2503239</v>
      </c>
      <c r="K254">
        <v>0</v>
      </c>
      <c r="L254" s="4">
        <v>0.04</v>
      </c>
      <c r="M254">
        <v>0.09</v>
      </c>
      <c r="N254" s="4">
        <v>100.12956</v>
      </c>
      <c r="O254" s="4">
        <v>225.29150999999999</v>
      </c>
    </row>
    <row r="255" spans="2:15">
      <c r="B255" t="s">
        <v>51</v>
      </c>
      <c r="C255" t="s">
        <v>88</v>
      </c>
      <c r="D255" t="s">
        <v>2139</v>
      </c>
      <c r="E255" t="s">
        <v>2140</v>
      </c>
      <c r="F255" t="s">
        <v>10</v>
      </c>
      <c r="G255" t="s">
        <v>2139</v>
      </c>
      <c r="H255" t="s">
        <v>2141</v>
      </c>
      <c r="I255" t="s">
        <v>32</v>
      </c>
      <c r="J255">
        <v>4</v>
      </c>
      <c r="K255">
        <v>5</v>
      </c>
      <c r="L255" s="4">
        <v>3.5000000000000001E-3</v>
      </c>
      <c r="M255">
        <v>0.02</v>
      </c>
      <c r="N255" s="4">
        <v>1.7500000000000002E-2</v>
      </c>
      <c r="O255" s="4">
        <v>0.1</v>
      </c>
    </row>
    <row r="256" spans="2:15">
      <c r="B256" t="s">
        <v>51</v>
      </c>
      <c r="C256" t="s">
        <v>88</v>
      </c>
      <c r="D256" t="s">
        <v>89</v>
      </c>
      <c r="E256" t="s">
        <v>90</v>
      </c>
      <c r="F256" t="s">
        <v>12</v>
      </c>
      <c r="G256" t="s">
        <v>89</v>
      </c>
      <c r="H256" t="s">
        <v>91</v>
      </c>
      <c r="I256" t="s">
        <v>32</v>
      </c>
      <c r="J256">
        <v>57</v>
      </c>
      <c r="K256">
        <v>1</v>
      </c>
      <c r="L256" s="4">
        <v>0.04</v>
      </c>
      <c r="M256">
        <v>0.09</v>
      </c>
      <c r="N256" s="4">
        <v>2.2800000000000003E-3</v>
      </c>
      <c r="O256" s="4">
        <v>5.13E-3</v>
      </c>
    </row>
    <row r="257" spans="2:15">
      <c r="B257" t="s">
        <v>51</v>
      </c>
      <c r="C257" t="s">
        <v>88</v>
      </c>
      <c r="D257" t="s">
        <v>92</v>
      </c>
      <c r="E257" t="s">
        <v>93</v>
      </c>
      <c r="F257" t="s">
        <v>12</v>
      </c>
      <c r="G257" t="s">
        <v>92</v>
      </c>
      <c r="H257" t="s">
        <v>94</v>
      </c>
      <c r="I257" t="s">
        <v>32</v>
      </c>
      <c r="J257">
        <v>684630</v>
      </c>
      <c r="K257">
        <v>2585</v>
      </c>
      <c r="L257" s="4">
        <v>0.04</v>
      </c>
      <c r="M257">
        <v>0.09</v>
      </c>
      <c r="N257" s="4">
        <v>27.385200000000001</v>
      </c>
      <c r="O257" s="4">
        <v>61.616699999999994</v>
      </c>
    </row>
    <row r="258" spans="2:15">
      <c r="B258" t="s">
        <v>51</v>
      </c>
      <c r="C258" t="s">
        <v>95</v>
      </c>
      <c r="D258" t="s">
        <v>96</v>
      </c>
      <c r="E258" t="s">
        <v>97</v>
      </c>
      <c r="F258" t="s">
        <v>10</v>
      </c>
      <c r="G258" t="s">
        <v>96</v>
      </c>
      <c r="H258" t="s">
        <v>98</v>
      </c>
      <c r="I258" t="s">
        <v>68</v>
      </c>
      <c r="J258">
        <v>0</v>
      </c>
      <c r="K258">
        <v>1</v>
      </c>
      <c r="L258" s="4">
        <v>3.5000000000000001E-3</v>
      </c>
      <c r="M258">
        <v>0.02</v>
      </c>
      <c r="N258" s="4">
        <v>3.5000000000000001E-3</v>
      </c>
      <c r="O258" s="4">
        <v>0.02</v>
      </c>
    </row>
    <row r="259" spans="2:15">
      <c r="B259" t="s">
        <v>51</v>
      </c>
      <c r="C259" t="s">
        <v>99</v>
      </c>
      <c r="D259" t="s">
        <v>1305</v>
      </c>
      <c r="E259" t="s">
        <v>1306</v>
      </c>
      <c r="F259" t="s">
        <v>10</v>
      </c>
      <c r="G259" t="s">
        <v>1305</v>
      </c>
      <c r="H259" t="s">
        <v>1307</v>
      </c>
      <c r="I259" t="s">
        <v>32</v>
      </c>
      <c r="J259">
        <v>0</v>
      </c>
      <c r="K259">
        <v>17950</v>
      </c>
      <c r="L259" s="4">
        <v>3.5000000000000001E-3</v>
      </c>
      <c r="M259">
        <v>0.02</v>
      </c>
      <c r="N259" s="4">
        <v>62.825000000000003</v>
      </c>
      <c r="O259" s="4">
        <v>359</v>
      </c>
    </row>
    <row r="260" spans="2:15">
      <c r="B260" t="s">
        <v>51</v>
      </c>
      <c r="C260" t="s">
        <v>99</v>
      </c>
      <c r="D260" t="s">
        <v>2142</v>
      </c>
      <c r="E260" t="s">
        <v>2143</v>
      </c>
      <c r="F260" t="s">
        <v>10</v>
      </c>
      <c r="G260" t="s">
        <v>2142</v>
      </c>
      <c r="H260" t="s">
        <v>2144</v>
      </c>
      <c r="I260" t="s">
        <v>32</v>
      </c>
      <c r="J260">
        <v>0</v>
      </c>
      <c r="K260">
        <v>1</v>
      </c>
      <c r="L260" s="4">
        <v>3.5000000000000001E-3</v>
      </c>
      <c r="M260">
        <v>0.02</v>
      </c>
      <c r="N260" s="4">
        <v>3.5000000000000001E-3</v>
      </c>
      <c r="O260" s="4">
        <v>0.02</v>
      </c>
    </row>
    <row r="261" spans="2:15">
      <c r="B261" t="s">
        <v>51</v>
      </c>
      <c r="C261" t="s">
        <v>99</v>
      </c>
      <c r="D261" t="s">
        <v>2145</v>
      </c>
      <c r="E261" t="s">
        <v>2146</v>
      </c>
      <c r="F261" t="s">
        <v>10</v>
      </c>
      <c r="G261" t="s">
        <v>2145</v>
      </c>
      <c r="H261" t="s">
        <v>2147</v>
      </c>
      <c r="I261" t="s">
        <v>32</v>
      </c>
      <c r="J261">
        <v>0</v>
      </c>
      <c r="K261">
        <v>1</v>
      </c>
      <c r="L261" s="4">
        <v>3.5000000000000001E-3</v>
      </c>
      <c r="M261">
        <v>0.02</v>
      </c>
      <c r="N261" s="4">
        <v>3.5000000000000001E-3</v>
      </c>
      <c r="O261" s="4">
        <v>0.02</v>
      </c>
    </row>
    <row r="262" spans="2:15">
      <c r="B262" t="s">
        <v>51</v>
      </c>
      <c r="C262" t="s">
        <v>99</v>
      </c>
      <c r="D262" t="s">
        <v>100</v>
      </c>
      <c r="E262" t="s">
        <v>101</v>
      </c>
      <c r="F262" t="s">
        <v>10</v>
      </c>
      <c r="G262" t="s">
        <v>100</v>
      </c>
      <c r="H262" t="s">
        <v>102</v>
      </c>
      <c r="I262" t="s">
        <v>32</v>
      </c>
      <c r="J262">
        <v>0</v>
      </c>
      <c r="K262">
        <v>1</v>
      </c>
      <c r="L262" s="4">
        <v>3.5000000000000001E-3</v>
      </c>
      <c r="M262">
        <v>0.02</v>
      </c>
      <c r="N262" s="4">
        <v>3.5000000000000001E-3</v>
      </c>
      <c r="O262" s="4">
        <v>0.02</v>
      </c>
    </row>
    <row r="263" spans="2:15">
      <c r="B263" t="s">
        <v>51</v>
      </c>
      <c r="C263" t="s">
        <v>99</v>
      </c>
      <c r="D263" t="s">
        <v>2148</v>
      </c>
      <c r="E263" t="s">
        <v>2149</v>
      </c>
      <c r="F263" t="s">
        <v>10</v>
      </c>
      <c r="G263" t="s">
        <v>2148</v>
      </c>
      <c r="H263" t="s">
        <v>2150</v>
      </c>
      <c r="I263" t="s">
        <v>32</v>
      </c>
      <c r="J263">
        <v>0</v>
      </c>
      <c r="K263">
        <v>5765</v>
      </c>
      <c r="L263" s="4">
        <v>3.5000000000000001E-3</v>
      </c>
      <c r="M263">
        <v>0.02</v>
      </c>
      <c r="N263" s="4">
        <v>20.177500000000002</v>
      </c>
      <c r="O263" s="4">
        <v>115.3</v>
      </c>
    </row>
    <row r="264" spans="2:15">
      <c r="B264" t="s">
        <v>51</v>
      </c>
      <c r="C264" t="s">
        <v>99</v>
      </c>
      <c r="D264" t="s">
        <v>2151</v>
      </c>
      <c r="E264" t="s">
        <v>2152</v>
      </c>
      <c r="F264" t="s">
        <v>10</v>
      </c>
      <c r="G264" t="s">
        <v>2151</v>
      </c>
      <c r="H264" t="s">
        <v>2153</v>
      </c>
      <c r="I264" t="s">
        <v>32</v>
      </c>
      <c r="J264">
        <v>0</v>
      </c>
      <c r="K264">
        <v>1</v>
      </c>
      <c r="L264" s="4">
        <v>3.5000000000000001E-3</v>
      </c>
      <c r="M264">
        <v>0.02</v>
      </c>
      <c r="N264" s="4">
        <v>3.5000000000000001E-3</v>
      </c>
      <c r="O264" s="4">
        <v>0.02</v>
      </c>
    </row>
    <row r="265" spans="2:15">
      <c r="B265" t="s">
        <v>51</v>
      </c>
      <c r="C265" t="s">
        <v>99</v>
      </c>
      <c r="D265" t="s">
        <v>2154</v>
      </c>
      <c r="E265" t="s">
        <v>2155</v>
      </c>
      <c r="F265" t="s">
        <v>10</v>
      </c>
      <c r="G265" t="s">
        <v>2154</v>
      </c>
      <c r="H265" t="s">
        <v>2156</v>
      </c>
      <c r="I265" t="s">
        <v>32</v>
      </c>
      <c r="J265">
        <v>0</v>
      </c>
      <c r="K265">
        <v>1</v>
      </c>
      <c r="L265" s="4">
        <v>3.5000000000000001E-3</v>
      </c>
      <c r="M265">
        <v>0.02</v>
      </c>
      <c r="N265" s="4">
        <v>3.5000000000000001E-3</v>
      </c>
      <c r="O265" s="4">
        <v>0.02</v>
      </c>
    </row>
    <row r="266" spans="2:15">
      <c r="B266" t="s">
        <v>51</v>
      </c>
      <c r="C266" t="s">
        <v>99</v>
      </c>
      <c r="D266" t="s">
        <v>2157</v>
      </c>
      <c r="E266" t="s">
        <v>2158</v>
      </c>
      <c r="F266" t="s">
        <v>10</v>
      </c>
      <c r="G266" t="s">
        <v>2157</v>
      </c>
      <c r="H266" t="s">
        <v>2159</v>
      </c>
      <c r="I266" t="s">
        <v>32</v>
      </c>
      <c r="J266">
        <v>0</v>
      </c>
      <c r="K266">
        <v>6</v>
      </c>
      <c r="L266" s="4">
        <v>3.5000000000000001E-3</v>
      </c>
      <c r="M266">
        <v>0.02</v>
      </c>
      <c r="N266" s="4">
        <v>2.1000000000000001E-2</v>
      </c>
      <c r="O266" s="4">
        <v>0.12</v>
      </c>
    </row>
    <row r="267" spans="2:15">
      <c r="B267" t="s">
        <v>51</v>
      </c>
      <c r="C267" t="s">
        <v>99</v>
      </c>
      <c r="D267" t="s">
        <v>2160</v>
      </c>
      <c r="E267" t="s">
        <v>2161</v>
      </c>
      <c r="F267" t="s">
        <v>10</v>
      </c>
      <c r="G267" t="s">
        <v>2160</v>
      </c>
      <c r="H267" t="s">
        <v>2162</v>
      </c>
      <c r="I267" t="s">
        <v>32</v>
      </c>
      <c r="J267">
        <v>0</v>
      </c>
      <c r="K267">
        <v>5</v>
      </c>
      <c r="L267" s="4">
        <v>3.5000000000000001E-3</v>
      </c>
      <c r="M267">
        <v>0.02</v>
      </c>
      <c r="N267" s="4">
        <v>1.7500000000000002E-2</v>
      </c>
      <c r="O267" s="4">
        <v>0.1</v>
      </c>
    </row>
    <row r="268" spans="2:15">
      <c r="B268" t="s">
        <v>51</v>
      </c>
      <c r="C268" t="s">
        <v>99</v>
      </c>
      <c r="D268" t="s">
        <v>103</v>
      </c>
      <c r="E268" t="s">
        <v>104</v>
      </c>
      <c r="F268" t="s">
        <v>10</v>
      </c>
      <c r="G268" t="s">
        <v>103</v>
      </c>
      <c r="H268" t="s">
        <v>105</v>
      </c>
      <c r="I268" t="s">
        <v>32</v>
      </c>
      <c r="J268">
        <v>0</v>
      </c>
      <c r="K268">
        <v>9207</v>
      </c>
      <c r="L268" s="4">
        <v>3.5000000000000001E-3</v>
      </c>
      <c r="M268">
        <v>0.02</v>
      </c>
      <c r="N268" s="4">
        <v>32.224499999999999</v>
      </c>
      <c r="O268" s="4">
        <v>184.14000000000001</v>
      </c>
    </row>
    <row r="269" spans="2:15">
      <c r="B269" t="s">
        <v>51</v>
      </c>
      <c r="C269" t="s">
        <v>99</v>
      </c>
      <c r="D269" t="s">
        <v>106</v>
      </c>
      <c r="E269" t="s">
        <v>107</v>
      </c>
      <c r="F269" t="s">
        <v>10</v>
      </c>
      <c r="G269" t="s">
        <v>106</v>
      </c>
      <c r="H269" t="s">
        <v>108</v>
      </c>
      <c r="I269" t="s">
        <v>32</v>
      </c>
      <c r="J269">
        <v>0</v>
      </c>
      <c r="K269">
        <v>2</v>
      </c>
      <c r="L269" s="4">
        <v>3.5000000000000001E-3</v>
      </c>
      <c r="M269">
        <v>0.02</v>
      </c>
      <c r="N269" s="4">
        <v>7.0000000000000001E-3</v>
      </c>
      <c r="O269" s="4">
        <v>0.04</v>
      </c>
    </row>
    <row r="270" spans="2:15">
      <c r="B270" t="s">
        <v>51</v>
      </c>
      <c r="C270" t="s">
        <v>99</v>
      </c>
      <c r="D270" t="s">
        <v>2163</v>
      </c>
      <c r="E270" t="s">
        <v>2164</v>
      </c>
      <c r="F270" t="s">
        <v>10</v>
      </c>
      <c r="G270" t="s">
        <v>2163</v>
      </c>
      <c r="H270" t="s">
        <v>2165</v>
      </c>
      <c r="I270" t="s">
        <v>32</v>
      </c>
      <c r="J270">
        <v>0</v>
      </c>
      <c r="K270">
        <v>3</v>
      </c>
      <c r="L270" s="4">
        <v>3.5000000000000001E-3</v>
      </c>
      <c r="M270">
        <v>0.02</v>
      </c>
      <c r="N270" s="4">
        <v>1.0500000000000001E-2</v>
      </c>
      <c r="O270" s="4">
        <v>0.06</v>
      </c>
    </row>
    <row r="271" spans="2:15">
      <c r="B271" t="s">
        <v>51</v>
      </c>
      <c r="C271" t="s">
        <v>99</v>
      </c>
      <c r="D271" t="s">
        <v>2166</v>
      </c>
      <c r="E271" t="s">
        <v>2167</v>
      </c>
      <c r="F271" t="s">
        <v>10</v>
      </c>
      <c r="G271" t="s">
        <v>2166</v>
      </c>
      <c r="H271" t="s">
        <v>2168</v>
      </c>
      <c r="I271" t="s">
        <v>32</v>
      </c>
      <c r="J271">
        <v>0</v>
      </c>
      <c r="K271">
        <v>4</v>
      </c>
      <c r="L271" s="4">
        <v>3.5000000000000001E-3</v>
      </c>
      <c r="M271">
        <v>0.02</v>
      </c>
      <c r="N271" s="4">
        <v>1.4E-2</v>
      </c>
      <c r="O271" s="4">
        <v>0.08</v>
      </c>
    </row>
    <row r="272" spans="2:15">
      <c r="B272" t="s">
        <v>51</v>
      </c>
      <c r="C272" t="s">
        <v>99</v>
      </c>
      <c r="D272" t="s">
        <v>2169</v>
      </c>
      <c r="E272" t="s">
        <v>2170</v>
      </c>
      <c r="F272" t="s">
        <v>10</v>
      </c>
      <c r="G272" t="s">
        <v>2169</v>
      </c>
      <c r="H272" t="s">
        <v>2171</v>
      </c>
      <c r="I272" t="s">
        <v>32</v>
      </c>
      <c r="J272">
        <v>0</v>
      </c>
      <c r="K272">
        <v>2</v>
      </c>
      <c r="L272" s="4">
        <v>3.5000000000000001E-3</v>
      </c>
      <c r="M272">
        <v>0.02</v>
      </c>
      <c r="N272" s="4">
        <v>7.0000000000000001E-3</v>
      </c>
      <c r="O272" s="4">
        <v>0.04</v>
      </c>
    </row>
    <row r="273" spans="2:15">
      <c r="B273" t="s">
        <v>51</v>
      </c>
      <c r="C273" t="s">
        <v>99</v>
      </c>
      <c r="D273" t="s">
        <v>2172</v>
      </c>
      <c r="E273" t="s">
        <v>2173</v>
      </c>
      <c r="F273" t="s">
        <v>10</v>
      </c>
      <c r="G273" t="s">
        <v>2172</v>
      </c>
      <c r="H273" t="s">
        <v>2174</v>
      </c>
      <c r="I273" t="s">
        <v>68</v>
      </c>
      <c r="J273">
        <v>0</v>
      </c>
      <c r="K273">
        <v>5</v>
      </c>
      <c r="L273" s="4">
        <v>3.5000000000000001E-3</v>
      </c>
      <c r="M273">
        <v>0.02</v>
      </c>
      <c r="N273" s="4">
        <v>1.7500000000000002E-2</v>
      </c>
      <c r="O273" s="4">
        <v>0.1</v>
      </c>
    </row>
    <row r="274" spans="2:15">
      <c r="B274" t="s">
        <v>51</v>
      </c>
      <c r="C274" t="s">
        <v>99</v>
      </c>
      <c r="D274" t="s">
        <v>2175</v>
      </c>
      <c r="E274" t="s">
        <v>2176</v>
      </c>
      <c r="F274" t="s">
        <v>10</v>
      </c>
      <c r="G274" t="s">
        <v>2175</v>
      </c>
      <c r="H274" t="s">
        <v>2177</v>
      </c>
      <c r="I274" t="s">
        <v>68</v>
      </c>
      <c r="J274">
        <v>0</v>
      </c>
      <c r="K274">
        <v>1</v>
      </c>
      <c r="L274" s="4">
        <v>3.5000000000000001E-3</v>
      </c>
      <c r="M274">
        <v>0.02</v>
      </c>
      <c r="N274" s="4">
        <v>3.5000000000000001E-3</v>
      </c>
      <c r="O274" s="4">
        <v>0.02</v>
      </c>
    </row>
    <row r="275" spans="2:15">
      <c r="B275" t="s">
        <v>51</v>
      </c>
      <c r="C275" t="s">
        <v>99</v>
      </c>
      <c r="D275" t="s">
        <v>2178</v>
      </c>
      <c r="E275" t="s">
        <v>2179</v>
      </c>
      <c r="F275" t="s">
        <v>10</v>
      </c>
      <c r="G275" t="s">
        <v>2178</v>
      </c>
      <c r="H275" t="s">
        <v>2180</v>
      </c>
      <c r="I275" t="s">
        <v>32</v>
      </c>
      <c r="J275">
        <v>0</v>
      </c>
      <c r="K275">
        <v>1</v>
      </c>
      <c r="L275" s="4">
        <v>3.5000000000000001E-3</v>
      </c>
      <c r="M275">
        <v>0.02</v>
      </c>
      <c r="N275" s="4">
        <v>3.5000000000000001E-3</v>
      </c>
      <c r="O275" s="4">
        <v>0.02</v>
      </c>
    </row>
    <row r="276" spans="2:15">
      <c r="B276" t="s">
        <v>1308</v>
      </c>
      <c r="C276" t="s">
        <v>52</v>
      </c>
      <c r="D276" t="s">
        <v>1309</v>
      </c>
      <c r="E276" t="s">
        <v>1310</v>
      </c>
      <c r="F276" t="s">
        <v>10</v>
      </c>
      <c r="G276" t="s">
        <v>1309</v>
      </c>
      <c r="H276" t="s">
        <v>1311</v>
      </c>
      <c r="I276" t="s">
        <v>32</v>
      </c>
      <c r="J276">
        <v>0</v>
      </c>
      <c r="K276">
        <v>5669</v>
      </c>
      <c r="L276" s="4">
        <v>3.5000000000000001E-3</v>
      </c>
      <c r="M276">
        <v>0.02</v>
      </c>
      <c r="N276" s="4">
        <v>19.8415</v>
      </c>
      <c r="O276" s="4">
        <v>113.38</v>
      </c>
    </row>
    <row r="277" spans="2:15">
      <c r="B277" t="s">
        <v>1308</v>
      </c>
      <c r="C277" t="s">
        <v>52</v>
      </c>
      <c r="D277" t="s">
        <v>1312</v>
      </c>
      <c r="E277" t="s">
        <v>1313</v>
      </c>
      <c r="F277" t="s">
        <v>10</v>
      </c>
      <c r="G277" t="s">
        <v>1312</v>
      </c>
      <c r="H277" t="s">
        <v>1314</v>
      </c>
      <c r="I277" t="s">
        <v>32</v>
      </c>
      <c r="J277">
        <v>0</v>
      </c>
      <c r="K277">
        <v>9541</v>
      </c>
      <c r="L277" s="4">
        <v>3.5000000000000001E-3</v>
      </c>
      <c r="M277">
        <v>0.02</v>
      </c>
      <c r="N277" s="4">
        <v>33.393500000000003</v>
      </c>
      <c r="O277" s="4">
        <v>190.82</v>
      </c>
    </row>
    <row r="278" spans="2:15">
      <c r="B278" t="s">
        <v>1308</v>
      </c>
      <c r="C278" t="s">
        <v>52</v>
      </c>
      <c r="D278" t="s">
        <v>1315</v>
      </c>
      <c r="E278" t="s">
        <v>1316</v>
      </c>
      <c r="F278" t="s">
        <v>10</v>
      </c>
      <c r="G278" t="s">
        <v>1315</v>
      </c>
      <c r="H278" t="s">
        <v>1317</v>
      </c>
      <c r="I278" t="s">
        <v>32</v>
      </c>
      <c r="J278">
        <v>0</v>
      </c>
      <c r="K278">
        <v>15441</v>
      </c>
      <c r="L278" s="4">
        <v>3.5000000000000001E-3</v>
      </c>
      <c r="M278">
        <v>0.02</v>
      </c>
      <c r="N278" s="4">
        <v>54.043500000000002</v>
      </c>
      <c r="O278" s="4">
        <v>308.82</v>
      </c>
    </row>
    <row r="279" spans="2:15">
      <c r="B279" t="s">
        <v>1308</v>
      </c>
      <c r="C279" t="s">
        <v>52</v>
      </c>
      <c r="D279" t="s">
        <v>1318</v>
      </c>
      <c r="E279" t="s">
        <v>1319</v>
      </c>
      <c r="F279" t="s">
        <v>10</v>
      </c>
      <c r="G279" t="s">
        <v>1318</v>
      </c>
      <c r="H279" t="s">
        <v>1320</v>
      </c>
      <c r="I279" t="s">
        <v>32</v>
      </c>
      <c r="J279">
        <v>0</v>
      </c>
      <c r="K279">
        <v>24154</v>
      </c>
      <c r="L279" s="4">
        <v>3.5000000000000001E-3</v>
      </c>
      <c r="M279">
        <v>0.02</v>
      </c>
      <c r="N279" s="4">
        <v>84.539000000000001</v>
      </c>
      <c r="O279" s="4">
        <v>483.08</v>
      </c>
    </row>
    <row r="280" spans="2:15">
      <c r="B280" t="s">
        <v>1308</v>
      </c>
      <c r="C280" t="s">
        <v>52</v>
      </c>
      <c r="D280" t="s">
        <v>1321</v>
      </c>
      <c r="E280" t="s">
        <v>1322</v>
      </c>
      <c r="F280" t="s">
        <v>10</v>
      </c>
      <c r="G280" t="s">
        <v>1321</v>
      </c>
      <c r="H280" t="s">
        <v>1323</v>
      </c>
      <c r="I280" t="s">
        <v>32</v>
      </c>
      <c r="J280">
        <v>0</v>
      </c>
      <c r="K280">
        <v>59992</v>
      </c>
      <c r="L280" s="4">
        <v>3.5000000000000001E-3</v>
      </c>
      <c r="M280">
        <v>0.02</v>
      </c>
      <c r="N280" s="4">
        <v>209.97200000000001</v>
      </c>
      <c r="O280" s="4">
        <v>1199.8399999999999</v>
      </c>
    </row>
    <row r="281" spans="2:15">
      <c r="B281" t="s">
        <v>1308</v>
      </c>
      <c r="C281" t="s">
        <v>99</v>
      </c>
      <c r="D281" t="s">
        <v>2181</v>
      </c>
      <c r="E281" t="s">
        <v>2182</v>
      </c>
      <c r="F281" t="s">
        <v>10</v>
      </c>
      <c r="G281" t="s">
        <v>2181</v>
      </c>
      <c r="H281" t="s">
        <v>2183</v>
      </c>
      <c r="I281" t="s">
        <v>32</v>
      </c>
      <c r="J281">
        <v>0</v>
      </c>
      <c r="K281">
        <v>10268</v>
      </c>
      <c r="L281" s="4">
        <v>3.5000000000000001E-3</v>
      </c>
      <c r="M281">
        <v>0.02</v>
      </c>
      <c r="N281" s="4">
        <v>35.938000000000002</v>
      </c>
      <c r="O281" s="4">
        <v>205.36</v>
      </c>
    </row>
    <row r="282" spans="2:15">
      <c r="B282" t="s">
        <v>1308</v>
      </c>
      <c r="C282" t="s">
        <v>99</v>
      </c>
      <c r="D282" t="s">
        <v>1324</v>
      </c>
      <c r="E282" t="s">
        <v>1325</v>
      </c>
      <c r="F282" t="s">
        <v>10</v>
      </c>
      <c r="G282" t="s">
        <v>1324</v>
      </c>
      <c r="H282" t="s">
        <v>1326</v>
      </c>
      <c r="I282" t="s">
        <v>32</v>
      </c>
      <c r="J282">
        <v>0</v>
      </c>
      <c r="K282">
        <v>10884</v>
      </c>
      <c r="L282" s="4">
        <v>3.5000000000000001E-3</v>
      </c>
      <c r="M282">
        <v>0.02</v>
      </c>
      <c r="N282" s="4">
        <v>38.094000000000001</v>
      </c>
      <c r="O282" s="4">
        <v>217.68</v>
      </c>
    </row>
    <row r="283" spans="2:15">
      <c r="B283" t="s">
        <v>1308</v>
      </c>
      <c r="C283" t="s">
        <v>99</v>
      </c>
      <c r="D283" t="s">
        <v>1327</v>
      </c>
      <c r="E283" t="s">
        <v>1328</v>
      </c>
      <c r="F283" t="s">
        <v>10</v>
      </c>
      <c r="G283" t="s">
        <v>1327</v>
      </c>
      <c r="H283" t="s">
        <v>1329</v>
      </c>
      <c r="I283" t="s">
        <v>32</v>
      </c>
      <c r="J283">
        <v>0</v>
      </c>
      <c r="K283">
        <v>1604</v>
      </c>
      <c r="L283" s="4">
        <v>3.5000000000000001E-3</v>
      </c>
      <c r="M283">
        <v>0.02</v>
      </c>
      <c r="N283" s="4">
        <v>5.6139999999999999</v>
      </c>
      <c r="O283" s="4">
        <v>32.08</v>
      </c>
    </row>
    <row r="284" spans="2:15">
      <c r="B284" t="s">
        <v>1308</v>
      </c>
      <c r="C284" t="s">
        <v>99</v>
      </c>
      <c r="D284" t="s">
        <v>1330</v>
      </c>
      <c r="E284" t="s">
        <v>1331</v>
      </c>
      <c r="F284" t="s">
        <v>10</v>
      </c>
      <c r="G284" t="s">
        <v>1330</v>
      </c>
      <c r="H284" t="s">
        <v>1332</v>
      </c>
      <c r="I284" t="s">
        <v>32</v>
      </c>
      <c r="J284">
        <v>0</v>
      </c>
      <c r="K284">
        <v>2586</v>
      </c>
      <c r="L284" s="4">
        <v>3.5000000000000001E-3</v>
      </c>
      <c r="M284">
        <v>0.02</v>
      </c>
      <c r="N284" s="4">
        <v>9.0510000000000002</v>
      </c>
      <c r="O284" s="4">
        <v>51.72</v>
      </c>
    </row>
    <row r="285" spans="2:15">
      <c r="B285" t="s">
        <v>1308</v>
      </c>
      <c r="C285" t="s">
        <v>99</v>
      </c>
      <c r="D285" t="s">
        <v>2184</v>
      </c>
      <c r="E285" t="s">
        <v>2185</v>
      </c>
      <c r="F285" t="s">
        <v>10</v>
      </c>
      <c r="G285" t="s">
        <v>2184</v>
      </c>
      <c r="H285" t="s">
        <v>2186</v>
      </c>
      <c r="I285" t="s">
        <v>32</v>
      </c>
      <c r="J285">
        <v>0</v>
      </c>
      <c r="K285">
        <v>554</v>
      </c>
      <c r="L285" s="4">
        <v>3.5000000000000001E-3</v>
      </c>
      <c r="M285">
        <v>0.02</v>
      </c>
      <c r="N285" s="4">
        <v>1.9390000000000001</v>
      </c>
      <c r="O285" s="4">
        <v>11.08</v>
      </c>
    </row>
    <row r="286" spans="2:15">
      <c r="B286" t="s">
        <v>1308</v>
      </c>
      <c r="C286" t="s">
        <v>99</v>
      </c>
      <c r="D286" t="s">
        <v>1333</v>
      </c>
      <c r="E286" t="s">
        <v>1334</v>
      </c>
      <c r="F286" t="s">
        <v>10</v>
      </c>
      <c r="G286" t="s">
        <v>1333</v>
      </c>
      <c r="H286" t="s">
        <v>1335</v>
      </c>
      <c r="I286" t="s">
        <v>32</v>
      </c>
      <c r="J286">
        <v>0</v>
      </c>
      <c r="K286">
        <v>2109</v>
      </c>
      <c r="L286" s="4">
        <v>3.5000000000000001E-3</v>
      </c>
      <c r="M286">
        <v>0.02</v>
      </c>
      <c r="N286" s="4">
        <v>7.3815</v>
      </c>
      <c r="O286" s="4">
        <v>42.18</v>
      </c>
    </row>
    <row r="287" spans="2:15">
      <c r="B287" t="s">
        <v>1336</v>
      </c>
      <c r="C287" t="s">
        <v>135</v>
      </c>
      <c r="D287" t="s">
        <v>2187</v>
      </c>
      <c r="E287" t="s">
        <v>2188</v>
      </c>
      <c r="F287" t="s">
        <v>12</v>
      </c>
      <c r="G287" t="s">
        <v>2187</v>
      </c>
      <c r="H287" t="s">
        <v>2189</v>
      </c>
      <c r="I287" t="s">
        <v>31</v>
      </c>
      <c r="J287">
        <v>240973</v>
      </c>
      <c r="K287">
        <v>500</v>
      </c>
      <c r="L287" s="4">
        <v>0.04</v>
      </c>
      <c r="M287">
        <v>0.09</v>
      </c>
      <c r="N287" s="4">
        <v>9.6389200000000006</v>
      </c>
      <c r="O287" s="4">
        <v>21.687570000000001</v>
      </c>
    </row>
    <row r="288" spans="2:15">
      <c r="B288" t="s">
        <v>1336</v>
      </c>
      <c r="C288" t="s">
        <v>135</v>
      </c>
      <c r="D288" t="s">
        <v>2190</v>
      </c>
      <c r="E288" t="s">
        <v>2191</v>
      </c>
      <c r="F288" t="s">
        <v>12</v>
      </c>
      <c r="G288" t="s">
        <v>2190</v>
      </c>
      <c r="H288" t="s">
        <v>2192</v>
      </c>
      <c r="I288" t="s">
        <v>31</v>
      </c>
      <c r="J288">
        <v>1231194</v>
      </c>
      <c r="K288">
        <v>436</v>
      </c>
      <c r="L288" s="4">
        <v>0.04</v>
      </c>
      <c r="M288">
        <v>0.09</v>
      </c>
      <c r="N288" s="4">
        <v>49.24776</v>
      </c>
      <c r="O288" s="4">
        <v>110.80745999999999</v>
      </c>
    </row>
    <row r="289" spans="2:15">
      <c r="B289" t="s">
        <v>1336</v>
      </c>
      <c r="C289" t="s">
        <v>135</v>
      </c>
      <c r="D289" t="s">
        <v>2193</v>
      </c>
      <c r="E289" t="s">
        <v>2194</v>
      </c>
      <c r="F289" t="s">
        <v>10</v>
      </c>
      <c r="G289" t="s">
        <v>2193</v>
      </c>
      <c r="H289" t="s">
        <v>2195</v>
      </c>
      <c r="I289" t="s">
        <v>32</v>
      </c>
      <c r="J289">
        <v>0</v>
      </c>
      <c r="K289">
        <v>3127</v>
      </c>
      <c r="L289" s="4">
        <v>3.5000000000000001E-3</v>
      </c>
      <c r="M289">
        <v>0.02</v>
      </c>
      <c r="N289" s="4">
        <v>10.9445</v>
      </c>
      <c r="O289" s="4">
        <v>62.54</v>
      </c>
    </row>
    <row r="290" spans="2:15">
      <c r="B290" t="s">
        <v>1336</v>
      </c>
      <c r="C290" t="s">
        <v>135</v>
      </c>
      <c r="D290" t="s">
        <v>1337</v>
      </c>
      <c r="E290" t="s">
        <v>1338</v>
      </c>
      <c r="F290" t="s">
        <v>12</v>
      </c>
      <c r="G290" t="s">
        <v>1337</v>
      </c>
      <c r="H290" t="s">
        <v>1339</v>
      </c>
      <c r="I290" t="s">
        <v>31</v>
      </c>
      <c r="J290">
        <v>30885668</v>
      </c>
      <c r="K290">
        <v>23943</v>
      </c>
      <c r="L290" s="4">
        <v>0.04</v>
      </c>
      <c r="M290">
        <v>0.09</v>
      </c>
      <c r="N290" s="4">
        <v>1235.4267199999999</v>
      </c>
      <c r="O290" s="4">
        <v>2779.7101200000002</v>
      </c>
    </row>
    <row r="291" spans="2:15">
      <c r="B291" t="s">
        <v>1336</v>
      </c>
      <c r="C291" t="s">
        <v>135</v>
      </c>
      <c r="D291" t="s">
        <v>2196</v>
      </c>
      <c r="E291" t="s">
        <v>2197</v>
      </c>
      <c r="F291" t="s">
        <v>12</v>
      </c>
      <c r="G291" t="s">
        <v>2196</v>
      </c>
      <c r="H291" t="s">
        <v>2198</v>
      </c>
      <c r="I291" t="s">
        <v>31</v>
      </c>
      <c r="J291">
        <v>1230671</v>
      </c>
      <c r="K291">
        <v>821</v>
      </c>
      <c r="L291" s="4">
        <v>0.04</v>
      </c>
      <c r="M291">
        <v>0.09</v>
      </c>
      <c r="N291" s="4">
        <v>49.226840000000003</v>
      </c>
      <c r="O291" s="4">
        <v>110.76039</v>
      </c>
    </row>
    <row r="292" spans="2:15">
      <c r="B292" t="s">
        <v>1336</v>
      </c>
      <c r="C292" t="s">
        <v>735</v>
      </c>
      <c r="D292" t="s">
        <v>2199</v>
      </c>
      <c r="E292" t="s">
        <v>2200</v>
      </c>
      <c r="F292" t="s">
        <v>12</v>
      </c>
      <c r="G292" t="s">
        <v>2199</v>
      </c>
      <c r="H292" t="s">
        <v>2201</v>
      </c>
      <c r="I292" t="s">
        <v>31</v>
      </c>
      <c r="J292">
        <v>2374989</v>
      </c>
      <c r="K292">
        <v>1496</v>
      </c>
      <c r="L292" s="4">
        <v>0.04</v>
      </c>
      <c r="M292">
        <v>0.09</v>
      </c>
      <c r="N292" s="4">
        <v>94.999560000000002</v>
      </c>
      <c r="O292" s="4">
        <v>213.74900999999997</v>
      </c>
    </row>
    <row r="293" spans="2:15">
      <c r="B293" t="s">
        <v>1336</v>
      </c>
      <c r="C293" t="s">
        <v>735</v>
      </c>
      <c r="D293" t="s">
        <v>2202</v>
      </c>
      <c r="E293" t="s">
        <v>2203</v>
      </c>
      <c r="F293" t="s">
        <v>12</v>
      </c>
      <c r="G293" t="s">
        <v>2202</v>
      </c>
      <c r="H293" t="s">
        <v>2204</v>
      </c>
      <c r="I293" t="s">
        <v>31</v>
      </c>
      <c r="J293">
        <v>1070854</v>
      </c>
      <c r="K293">
        <v>1140</v>
      </c>
      <c r="L293" s="4">
        <v>0.04</v>
      </c>
      <c r="M293">
        <v>0.09</v>
      </c>
      <c r="N293" s="4">
        <v>42.834160000000004</v>
      </c>
      <c r="O293" s="4">
        <v>96.376859999999994</v>
      </c>
    </row>
    <row r="294" spans="2:15">
      <c r="B294" t="s">
        <v>1336</v>
      </c>
      <c r="C294" t="s">
        <v>735</v>
      </c>
      <c r="D294" t="s">
        <v>2205</v>
      </c>
      <c r="E294" t="s">
        <v>2206</v>
      </c>
      <c r="F294" t="s">
        <v>12</v>
      </c>
      <c r="G294" t="s">
        <v>2205</v>
      </c>
      <c r="H294" t="s">
        <v>2207</v>
      </c>
      <c r="I294" t="s">
        <v>31</v>
      </c>
      <c r="J294">
        <v>560411</v>
      </c>
      <c r="K294">
        <v>274</v>
      </c>
      <c r="L294" s="4">
        <v>0.04</v>
      </c>
      <c r="M294">
        <v>0.09</v>
      </c>
      <c r="N294" s="4">
        <v>22.416439999999998</v>
      </c>
      <c r="O294" s="4">
        <v>50.436989999999994</v>
      </c>
    </row>
    <row r="295" spans="2:15">
      <c r="B295" t="s">
        <v>1336</v>
      </c>
      <c r="C295" t="s">
        <v>735</v>
      </c>
      <c r="D295" t="s">
        <v>1340</v>
      </c>
      <c r="E295" t="s">
        <v>1341</v>
      </c>
      <c r="F295" t="s">
        <v>11</v>
      </c>
      <c r="G295" t="s">
        <v>116</v>
      </c>
      <c r="H295" t="s">
        <v>2208</v>
      </c>
      <c r="I295" t="s">
        <v>31</v>
      </c>
      <c r="J295">
        <v>2</v>
      </c>
      <c r="K295">
        <v>0</v>
      </c>
      <c r="L295" s="4">
        <v>0.04</v>
      </c>
      <c r="M295">
        <v>0.09</v>
      </c>
      <c r="N295" s="4">
        <v>8.0000000000000007E-5</v>
      </c>
      <c r="O295" s="4">
        <v>1.7999999999999998E-4</v>
      </c>
    </row>
    <row r="296" spans="2:15">
      <c r="B296" t="s">
        <v>1336</v>
      </c>
      <c r="C296" t="s">
        <v>735</v>
      </c>
      <c r="D296" t="s">
        <v>1340</v>
      </c>
      <c r="E296" t="s">
        <v>1341</v>
      </c>
      <c r="F296" t="s">
        <v>12</v>
      </c>
      <c r="G296" t="s">
        <v>1340</v>
      </c>
      <c r="H296" t="s">
        <v>1342</v>
      </c>
      <c r="I296" t="s">
        <v>31</v>
      </c>
      <c r="J296">
        <v>17655949</v>
      </c>
      <c r="K296">
        <v>26231</v>
      </c>
      <c r="L296" s="4">
        <v>0.04</v>
      </c>
      <c r="M296">
        <v>0.09</v>
      </c>
      <c r="N296" s="4">
        <v>706.23795999999993</v>
      </c>
      <c r="O296" s="4">
        <v>1589.03541</v>
      </c>
    </row>
    <row r="297" spans="2:15">
      <c r="B297" t="s">
        <v>1336</v>
      </c>
      <c r="C297" t="s">
        <v>735</v>
      </c>
      <c r="D297" t="s">
        <v>2209</v>
      </c>
      <c r="E297" t="s">
        <v>2210</v>
      </c>
      <c r="F297" t="s">
        <v>12</v>
      </c>
      <c r="G297" t="s">
        <v>2209</v>
      </c>
      <c r="H297" t="s">
        <v>2211</v>
      </c>
      <c r="I297" t="s">
        <v>31</v>
      </c>
      <c r="J297">
        <v>13214</v>
      </c>
      <c r="K297">
        <v>0</v>
      </c>
      <c r="L297" s="4">
        <v>0.04</v>
      </c>
      <c r="M297">
        <v>0.09</v>
      </c>
      <c r="N297" s="4">
        <v>0.52856000000000003</v>
      </c>
      <c r="O297" s="4">
        <v>1.18926</v>
      </c>
    </row>
    <row r="298" spans="2:15">
      <c r="B298" t="s">
        <v>1336</v>
      </c>
      <c r="C298" t="s">
        <v>735</v>
      </c>
      <c r="D298" t="s">
        <v>2212</v>
      </c>
      <c r="E298" t="s">
        <v>2213</v>
      </c>
      <c r="F298" t="s">
        <v>12</v>
      </c>
      <c r="G298" t="s">
        <v>2212</v>
      </c>
      <c r="H298" t="s">
        <v>2214</v>
      </c>
      <c r="I298" t="s">
        <v>31</v>
      </c>
      <c r="J298">
        <v>1226843</v>
      </c>
      <c r="K298">
        <v>702</v>
      </c>
      <c r="L298" s="4">
        <v>0.04</v>
      </c>
      <c r="M298">
        <v>0.09</v>
      </c>
      <c r="N298" s="4">
        <v>49.073720000000002</v>
      </c>
      <c r="O298" s="4">
        <v>110.41587</v>
      </c>
    </row>
    <row r="299" spans="2:15">
      <c r="B299" t="s">
        <v>1336</v>
      </c>
      <c r="C299" t="s">
        <v>735</v>
      </c>
      <c r="D299" t="s">
        <v>2215</v>
      </c>
      <c r="E299" t="s">
        <v>2216</v>
      </c>
      <c r="F299" t="s">
        <v>11</v>
      </c>
      <c r="G299" t="s">
        <v>432</v>
      </c>
      <c r="H299" t="s">
        <v>2217</v>
      </c>
      <c r="I299" t="s">
        <v>31</v>
      </c>
      <c r="J299">
        <v>1</v>
      </c>
      <c r="K299">
        <v>0</v>
      </c>
      <c r="L299" s="4">
        <v>0.04</v>
      </c>
      <c r="M299">
        <v>0.09</v>
      </c>
      <c r="N299" s="4">
        <v>4.0000000000000003E-5</v>
      </c>
      <c r="O299" s="4">
        <v>8.9999999999999992E-5</v>
      </c>
    </row>
    <row r="300" spans="2:15">
      <c r="B300" t="s">
        <v>1336</v>
      </c>
      <c r="C300" t="s">
        <v>735</v>
      </c>
      <c r="D300" t="s">
        <v>2215</v>
      </c>
      <c r="E300" t="s">
        <v>2216</v>
      </c>
      <c r="F300" t="s">
        <v>12</v>
      </c>
      <c r="G300" t="s">
        <v>2215</v>
      </c>
      <c r="H300" t="s">
        <v>2218</v>
      </c>
      <c r="I300" t="s">
        <v>31</v>
      </c>
      <c r="J300">
        <v>4539744</v>
      </c>
      <c r="K300">
        <v>5060</v>
      </c>
      <c r="L300" s="4">
        <v>0.04</v>
      </c>
      <c r="M300">
        <v>0.09</v>
      </c>
      <c r="N300" s="4">
        <v>181.58976000000001</v>
      </c>
      <c r="O300" s="4">
        <v>408.57695999999999</v>
      </c>
    </row>
    <row r="301" spans="2:15">
      <c r="B301" t="s">
        <v>1336</v>
      </c>
      <c r="C301" t="s">
        <v>52</v>
      </c>
      <c r="D301" t="s">
        <v>1343</v>
      </c>
      <c r="E301" t="s">
        <v>1344</v>
      </c>
      <c r="F301" t="s">
        <v>10</v>
      </c>
      <c r="G301" t="s">
        <v>1343</v>
      </c>
      <c r="H301" t="s">
        <v>1345</v>
      </c>
      <c r="I301" t="s">
        <v>32</v>
      </c>
      <c r="J301">
        <v>0</v>
      </c>
      <c r="K301">
        <v>10000</v>
      </c>
      <c r="L301" s="4">
        <v>3.5000000000000001E-3</v>
      </c>
      <c r="M301">
        <v>0.02</v>
      </c>
      <c r="N301" s="4">
        <v>35</v>
      </c>
      <c r="O301" s="4">
        <v>200</v>
      </c>
    </row>
    <row r="302" spans="2:15">
      <c r="B302" t="s">
        <v>1336</v>
      </c>
      <c r="C302" t="s">
        <v>52</v>
      </c>
      <c r="D302" t="s">
        <v>1346</v>
      </c>
      <c r="E302" t="s">
        <v>1347</v>
      </c>
      <c r="F302" t="s">
        <v>10</v>
      </c>
      <c r="G302" t="s">
        <v>1346</v>
      </c>
      <c r="H302" t="s">
        <v>1348</v>
      </c>
      <c r="I302" t="s">
        <v>32</v>
      </c>
      <c r="J302">
        <v>0</v>
      </c>
      <c r="K302">
        <v>35479</v>
      </c>
      <c r="L302" s="4">
        <v>3.5000000000000001E-3</v>
      </c>
      <c r="M302">
        <v>0.02</v>
      </c>
      <c r="N302" s="4">
        <v>124.1765</v>
      </c>
      <c r="O302" s="4">
        <v>709.58</v>
      </c>
    </row>
    <row r="303" spans="2:15">
      <c r="B303" t="s">
        <v>1336</v>
      </c>
      <c r="C303" t="s">
        <v>52</v>
      </c>
      <c r="D303" t="s">
        <v>1349</v>
      </c>
      <c r="E303" t="s">
        <v>1350</v>
      </c>
      <c r="F303" t="s">
        <v>10</v>
      </c>
      <c r="G303" t="s">
        <v>1349</v>
      </c>
      <c r="H303" t="s">
        <v>1351</v>
      </c>
      <c r="I303" t="s">
        <v>32</v>
      </c>
      <c r="J303">
        <v>0</v>
      </c>
      <c r="K303">
        <v>20126</v>
      </c>
      <c r="L303" s="4">
        <v>3.5000000000000001E-3</v>
      </c>
      <c r="M303">
        <v>0.02</v>
      </c>
      <c r="N303" s="4">
        <v>70.441000000000003</v>
      </c>
      <c r="O303" s="4">
        <v>402.52</v>
      </c>
    </row>
    <row r="304" spans="2:15">
      <c r="B304" t="s">
        <v>1336</v>
      </c>
      <c r="C304" t="s">
        <v>52</v>
      </c>
      <c r="D304" t="s">
        <v>1352</v>
      </c>
      <c r="E304" t="s">
        <v>1353</v>
      </c>
      <c r="F304" t="s">
        <v>10</v>
      </c>
      <c r="G304" t="s">
        <v>1352</v>
      </c>
      <c r="H304" t="s">
        <v>1354</v>
      </c>
      <c r="I304" t="s">
        <v>32</v>
      </c>
      <c r="J304">
        <v>0</v>
      </c>
      <c r="K304">
        <v>41638</v>
      </c>
      <c r="L304" s="4">
        <v>3.5000000000000001E-3</v>
      </c>
      <c r="M304">
        <v>0.02</v>
      </c>
      <c r="N304" s="4">
        <v>145.733</v>
      </c>
      <c r="O304" s="4">
        <v>832.76</v>
      </c>
    </row>
    <row r="305" spans="2:15">
      <c r="B305" t="s">
        <v>1336</v>
      </c>
      <c r="C305" t="s">
        <v>52</v>
      </c>
      <c r="D305" t="s">
        <v>2219</v>
      </c>
      <c r="E305" t="s">
        <v>2220</v>
      </c>
      <c r="F305" t="s">
        <v>10</v>
      </c>
      <c r="G305" t="s">
        <v>2219</v>
      </c>
      <c r="H305" t="s">
        <v>2221</v>
      </c>
      <c r="I305" t="s">
        <v>32</v>
      </c>
      <c r="J305">
        <v>0</v>
      </c>
      <c r="K305">
        <v>18075</v>
      </c>
      <c r="L305" s="4">
        <v>3.5000000000000001E-3</v>
      </c>
      <c r="M305">
        <v>0.02</v>
      </c>
      <c r="N305" s="4">
        <v>63.262500000000003</v>
      </c>
      <c r="O305" s="4">
        <v>361.5</v>
      </c>
    </row>
    <row r="306" spans="2:15">
      <c r="B306" t="s">
        <v>1336</v>
      </c>
      <c r="C306" t="s">
        <v>52</v>
      </c>
      <c r="D306" t="s">
        <v>1355</v>
      </c>
      <c r="E306" t="s">
        <v>1356</v>
      </c>
      <c r="F306" t="s">
        <v>10</v>
      </c>
      <c r="G306" t="s">
        <v>1355</v>
      </c>
      <c r="H306" t="s">
        <v>1357</v>
      </c>
      <c r="I306" t="s">
        <v>32</v>
      </c>
      <c r="J306">
        <v>0</v>
      </c>
      <c r="K306">
        <v>34492</v>
      </c>
      <c r="L306" s="4">
        <v>3.5000000000000001E-3</v>
      </c>
      <c r="M306">
        <v>0.02</v>
      </c>
      <c r="N306" s="4">
        <v>120.72200000000001</v>
      </c>
      <c r="O306" s="4">
        <v>689.84</v>
      </c>
    </row>
    <row r="307" spans="2:15">
      <c r="B307" t="s">
        <v>1336</v>
      </c>
      <c r="C307" t="s">
        <v>52</v>
      </c>
      <c r="D307" t="s">
        <v>1358</v>
      </c>
      <c r="E307" t="s">
        <v>1359</v>
      </c>
      <c r="F307" t="s">
        <v>10</v>
      </c>
      <c r="G307" t="s">
        <v>1358</v>
      </c>
      <c r="H307" t="s">
        <v>1360</v>
      </c>
      <c r="I307" t="s">
        <v>32</v>
      </c>
      <c r="J307">
        <v>0</v>
      </c>
      <c r="K307">
        <v>24157</v>
      </c>
      <c r="L307" s="4">
        <v>3.5000000000000001E-3</v>
      </c>
      <c r="M307">
        <v>0.02</v>
      </c>
      <c r="N307" s="4">
        <v>84.549499999999995</v>
      </c>
      <c r="O307" s="4">
        <v>483.14</v>
      </c>
    </row>
    <row r="308" spans="2:15">
      <c r="B308" t="s">
        <v>1336</v>
      </c>
      <c r="C308" t="s">
        <v>52</v>
      </c>
      <c r="D308" t="s">
        <v>1361</v>
      </c>
      <c r="E308" t="s">
        <v>1362</v>
      </c>
      <c r="F308" t="s">
        <v>10</v>
      </c>
      <c r="G308" t="s">
        <v>1361</v>
      </c>
      <c r="H308" t="s">
        <v>1363</v>
      </c>
      <c r="I308" t="s">
        <v>32</v>
      </c>
      <c r="J308">
        <v>0</v>
      </c>
      <c r="K308">
        <v>33059</v>
      </c>
      <c r="L308" s="4">
        <v>3.5000000000000001E-3</v>
      </c>
      <c r="M308">
        <v>0.02</v>
      </c>
      <c r="N308" s="4">
        <v>115.70650000000001</v>
      </c>
      <c r="O308" s="4">
        <v>661.18000000000006</v>
      </c>
    </row>
    <row r="309" spans="2:15">
      <c r="B309" t="s">
        <v>1336</v>
      </c>
      <c r="C309" t="s">
        <v>52</v>
      </c>
      <c r="D309" t="s">
        <v>1364</v>
      </c>
      <c r="E309" t="s">
        <v>1365</v>
      </c>
      <c r="F309" t="s">
        <v>10</v>
      </c>
      <c r="G309" t="s">
        <v>1364</v>
      </c>
      <c r="H309" t="s">
        <v>1366</v>
      </c>
      <c r="I309" t="s">
        <v>32</v>
      </c>
      <c r="J309">
        <v>0</v>
      </c>
      <c r="K309">
        <v>16124</v>
      </c>
      <c r="L309" s="4">
        <v>3.5000000000000001E-3</v>
      </c>
      <c r="M309">
        <v>0.02</v>
      </c>
      <c r="N309" s="4">
        <v>56.434000000000005</v>
      </c>
      <c r="O309" s="4">
        <v>322.48</v>
      </c>
    </row>
    <row r="310" spans="2:15">
      <c r="B310" t="s">
        <v>1336</v>
      </c>
      <c r="C310" t="s">
        <v>52</v>
      </c>
      <c r="D310" t="s">
        <v>1367</v>
      </c>
      <c r="E310" t="s">
        <v>1368</v>
      </c>
      <c r="F310" t="s">
        <v>10</v>
      </c>
      <c r="G310" t="s">
        <v>1367</v>
      </c>
      <c r="H310" t="s">
        <v>1369</v>
      </c>
      <c r="I310" t="s">
        <v>32</v>
      </c>
      <c r="J310">
        <v>0</v>
      </c>
      <c r="K310">
        <v>491227</v>
      </c>
      <c r="L310" s="4">
        <v>3.5000000000000001E-3</v>
      </c>
      <c r="M310">
        <v>0.02</v>
      </c>
      <c r="N310" s="4">
        <v>1719.2945</v>
      </c>
      <c r="O310" s="4">
        <v>9824.5400000000009</v>
      </c>
    </row>
    <row r="311" spans="2:15">
      <c r="B311" t="s">
        <v>1336</v>
      </c>
      <c r="C311" t="s">
        <v>87</v>
      </c>
      <c r="D311" t="s">
        <v>1370</v>
      </c>
      <c r="E311" t="s">
        <v>1371</v>
      </c>
      <c r="F311" t="s">
        <v>12</v>
      </c>
      <c r="G311" t="s">
        <v>1370</v>
      </c>
      <c r="H311" t="s">
        <v>1372</v>
      </c>
      <c r="I311" t="s">
        <v>32</v>
      </c>
      <c r="J311">
        <v>7793267</v>
      </c>
      <c r="K311">
        <v>39737</v>
      </c>
      <c r="L311" s="4">
        <v>0.04</v>
      </c>
      <c r="M311">
        <v>0.09</v>
      </c>
      <c r="N311" s="4">
        <v>311.73068000000001</v>
      </c>
      <c r="O311" s="4">
        <v>701.39403000000004</v>
      </c>
    </row>
    <row r="312" spans="2:15">
      <c r="B312" t="s">
        <v>1336</v>
      </c>
      <c r="C312" t="s">
        <v>87</v>
      </c>
      <c r="D312" t="s">
        <v>1373</v>
      </c>
      <c r="E312" t="s">
        <v>1374</v>
      </c>
      <c r="F312" t="s">
        <v>12</v>
      </c>
      <c r="G312" t="s">
        <v>1373</v>
      </c>
      <c r="H312" t="s">
        <v>1375</v>
      </c>
      <c r="I312" t="s">
        <v>32</v>
      </c>
      <c r="J312">
        <v>20262675</v>
      </c>
      <c r="K312">
        <v>23638</v>
      </c>
      <c r="L312" s="4">
        <v>0.04</v>
      </c>
      <c r="M312">
        <v>0.09</v>
      </c>
      <c r="N312" s="4">
        <v>810.50699999999995</v>
      </c>
      <c r="O312" s="4">
        <v>1823.64075</v>
      </c>
    </row>
    <row r="313" spans="2:15">
      <c r="B313" t="s">
        <v>1336</v>
      </c>
      <c r="C313" t="s">
        <v>50</v>
      </c>
      <c r="D313" t="s">
        <v>2222</v>
      </c>
      <c r="E313" t="s">
        <v>2223</v>
      </c>
      <c r="F313" t="s">
        <v>12</v>
      </c>
      <c r="G313" t="s">
        <v>2222</v>
      </c>
      <c r="H313" t="s">
        <v>2224</v>
      </c>
      <c r="I313" t="s">
        <v>31</v>
      </c>
      <c r="J313">
        <v>15</v>
      </c>
      <c r="K313">
        <v>0</v>
      </c>
      <c r="L313" s="4">
        <v>0.04</v>
      </c>
      <c r="M313">
        <v>0.09</v>
      </c>
      <c r="N313" s="4">
        <v>5.9999999999999995E-4</v>
      </c>
      <c r="O313" s="4">
        <v>1.3499999999999999E-3</v>
      </c>
    </row>
    <row r="314" spans="2:15">
      <c r="B314" t="s">
        <v>1336</v>
      </c>
      <c r="C314" t="s">
        <v>50</v>
      </c>
      <c r="D314" t="s">
        <v>1376</v>
      </c>
      <c r="E314" t="s">
        <v>1377</v>
      </c>
      <c r="F314" t="s">
        <v>12</v>
      </c>
      <c r="G314" t="s">
        <v>1376</v>
      </c>
      <c r="H314" t="s">
        <v>1378</v>
      </c>
      <c r="I314" t="s">
        <v>31</v>
      </c>
      <c r="J314">
        <v>26121</v>
      </c>
      <c r="K314">
        <v>153</v>
      </c>
      <c r="L314" s="4">
        <v>0.04</v>
      </c>
      <c r="M314">
        <v>0.09</v>
      </c>
      <c r="N314" s="4">
        <v>1.04484</v>
      </c>
      <c r="O314" s="4">
        <v>2.3508899999999997</v>
      </c>
    </row>
    <row r="315" spans="2:15">
      <c r="B315" t="s">
        <v>1336</v>
      </c>
      <c r="C315" t="s">
        <v>50</v>
      </c>
      <c r="D315" t="s">
        <v>2225</v>
      </c>
      <c r="E315" t="s">
        <v>2226</v>
      </c>
      <c r="F315" t="s">
        <v>12</v>
      </c>
      <c r="G315" t="s">
        <v>2225</v>
      </c>
      <c r="H315" t="s">
        <v>2227</v>
      </c>
      <c r="I315" t="s">
        <v>31</v>
      </c>
      <c r="J315">
        <v>3526</v>
      </c>
      <c r="K315">
        <v>88</v>
      </c>
      <c r="L315" s="4">
        <v>0.04</v>
      </c>
      <c r="M315">
        <v>0.09</v>
      </c>
      <c r="N315" s="4">
        <v>0.14104</v>
      </c>
      <c r="O315" s="4">
        <v>0.31733999999999996</v>
      </c>
    </row>
    <row r="316" spans="2:15">
      <c r="B316" t="s">
        <v>1336</v>
      </c>
      <c r="C316" t="s">
        <v>50</v>
      </c>
      <c r="D316" t="s">
        <v>2228</v>
      </c>
      <c r="E316" t="s">
        <v>2229</v>
      </c>
      <c r="F316" t="s">
        <v>12</v>
      </c>
      <c r="G316" t="s">
        <v>2228</v>
      </c>
      <c r="H316" t="s">
        <v>2230</v>
      </c>
      <c r="I316" t="s">
        <v>31</v>
      </c>
      <c r="J316">
        <v>1801</v>
      </c>
      <c r="K316">
        <v>2</v>
      </c>
      <c r="L316" s="4">
        <v>0.04</v>
      </c>
      <c r="M316">
        <v>0.09</v>
      </c>
      <c r="N316" s="4">
        <v>7.2040000000000007E-2</v>
      </c>
      <c r="O316" s="4">
        <v>0.16209000000000001</v>
      </c>
    </row>
    <row r="317" spans="2:15">
      <c r="B317" t="s">
        <v>1336</v>
      </c>
      <c r="C317" t="s">
        <v>50</v>
      </c>
      <c r="D317" t="s">
        <v>1379</v>
      </c>
      <c r="E317" t="s">
        <v>1380</v>
      </c>
      <c r="F317" t="s">
        <v>11</v>
      </c>
      <c r="G317" t="s">
        <v>459</v>
      </c>
      <c r="H317" t="s">
        <v>1381</v>
      </c>
      <c r="I317" t="s">
        <v>31</v>
      </c>
      <c r="J317">
        <v>824580</v>
      </c>
      <c r="K317">
        <v>18448</v>
      </c>
      <c r="L317" s="4">
        <v>0.04</v>
      </c>
      <c r="M317">
        <v>0.09</v>
      </c>
      <c r="N317" s="4">
        <v>32.983199999999997</v>
      </c>
      <c r="O317" s="4">
        <v>74.212199999999996</v>
      </c>
    </row>
    <row r="318" spans="2:15">
      <c r="B318" t="s">
        <v>1336</v>
      </c>
      <c r="C318" t="s">
        <v>50</v>
      </c>
      <c r="D318" t="s">
        <v>1379</v>
      </c>
      <c r="E318" t="s">
        <v>1380</v>
      </c>
      <c r="F318" t="s">
        <v>12</v>
      </c>
      <c r="G318" t="s">
        <v>1379</v>
      </c>
      <c r="H318" t="s">
        <v>2231</v>
      </c>
      <c r="I318" t="s">
        <v>31</v>
      </c>
      <c r="J318">
        <v>55653</v>
      </c>
      <c r="K318">
        <v>713</v>
      </c>
      <c r="L318" s="4">
        <v>0.04</v>
      </c>
      <c r="M318">
        <v>0.09</v>
      </c>
      <c r="N318" s="4">
        <v>2.2261199999999999</v>
      </c>
      <c r="O318" s="4">
        <v>5.0087699999999993</v>
      </c>
    </row>
    <row r="319" spans="2:15">
      <c r="B319" t="s">
        <v>1336</v>
      </c>
      <c r="C319" t="s">
        <v>50</v>
      </c>
      <c r="D319" t="s">
        <v>2232</v>
      </c>
      <c r="E319" t="s">
        <v>2233</v>
      </c>
      <c r="F319" t="s">
        <v>11</v>
      </c>
      <c r="G319" t="s">
        <v>404</v>
      </c>
      <c r="H319" t="s">
        <v>2234</v>
      </c>
      <c r="I319" t="s">
        <v>31</v>
      </c>
      <c r="J319">
        <v>7933</v>
      </c>
      <c r="K319">
        <v>122</v>
      </c>
      <c r="L319" s="4">
        <v>0.04</v>
      </c>
      <c r="M319">
        <v>0.09</v>
      </c>
      <c r="N319" s="4">
        <v>0.31731999999999999</v>
      </c>
      <c r="O319" s="4">
        <v>0.71396999999999999</v>
      </c>
    </row>
    <row r="320" spans="2:15">
      <c r="B320" t="s">
        <v>1336</v>
      </c>
      <c r="C320" t="s">
        <v>50</v>
      </c>
      <c r="D320" t="s">
        <v>2232</v>
      </c>
      <c r="E320" t="s">
        <v>2233</v>
      </c>
      <c r="F320" t="s">
        <v>12</v>
      </c>
      <c r="G320" t="s">
        <v>2232</v>
      </c>
      <c r="H320" t="s">
        <v>2235</v>
      </c>
      <c r="I320" t="s">
        <v>31</v>
      </c>
      <c r="J320">
        <v>2786</v>
      </c>
      <c r="K320">
        <v>14</v>
      </c>
      <c r="L320" s="4">
        <v>0.04</v>
      </c>
      <c r="M320">
        <v>0.09</v>
      </c>
      <c r="N320" s="4">
        <v>0.11144</v>
      </c>
      <c r="O320" s="4">
        <v>0.25073999999999996</v>
      </c>
    </row>
    <row r="321" spans="2:15">
      <c r="B321" t="s">
        <v>1336</v>
      </c>
      <c r="C321" t="s">
        <v>50</v>
      </c>
      <c r="D321" t="s">
        <v>2236</v>
      </c>
      <c r="E321" t="s">
        <v>2237</v>
      </c>
      <c r="F321" t="s">
        <v>11</v>
      </c>
      <c r="G321" t="s">
        <v>418</v>
      </c>
      <c r="H321" t="s">
        <v>2238</v>
      </c>
      <c r="I321" t="s">
        <v>31</v>
      </c>
      <c r="J321">
        <v>11149</v>
      </c>
      <c r="K321">
        <v>22</v>
      </c>
      <c r="L321" s="4">
        <v>0.04</v>
      </c>
      <c r="M321">
        <v>0.09</v>
      </c>
      <c r="N321" s="4">
        <v>0.44596000000000002</v>
      </c>
      <c r="O321" s="4">
        <v>1.0034099999999999</v>
      </c>
    </row>
    <row r="322" spans="2:15">
      <c r="B322" t="s">
        <v>1336</v>
      </c>
      <c r="C322" t="s">
        <v>50</v>
      </c>
      <c r="D322" t="s">
        <v>2236</v>
      </c>
      <c r="E322" t="s">
        <v>2237</v>
      </c>
      <c r="F322" t="s">
        <v>12</v>
      </c>
      <c r="G322" t="s">
        <v>2236</v>
      </c>
      <c r="H322" t="s">
        <v>2239</v>
      </c>
      <c r="I322" t="s">
        <v>31</v>
      </c>
      <c r="J322">
        <v>2511</v>
      </c>
      <c r="K322">
        <v>1</v>
      </c>
      <c r="L322" s="4">
        <v>0.04</v>
      </c>
      <c r="M322">
        <v>0.09</v>
      </c>
      <c r="N322" s="4">
        <v>0.10044</v>
      </c>
      <c r="O322" s="4">
        <v>0.22598999999999997</v>
      </c>
    </row>
    <row r="323" spans="2:15">
      <c r="B323" t="s">
        <v>1336</v>
      </c>
      <c r="C323" t="s">
        <v>50</v>
      </c>
      <c r="D323" t="s">
        <v>2240</v>
      </c>
      <c r="E323" t="s">
        <v>2241</v>
      </c>
      <c r="F323" t="s">
        <v>12</v>
      </c>
      <c r="G323" t="s">
        <v>2240</v>
      </c>
      <c r="H323" t="s">
        <v>2242</v>
      </c>
      <c r="I323" t="s">
        <v>31</v>
      </c>
      <c r="J323">
        <v>718199</v>
      </c>
      <c r="K323">
        <v>12223</v>
      </c>
      <c r="L323" s="4">
        <v>0.04</v>
      </c>
      <c r="M323">
        <v>0.09</v>
      </c>
      <c r="N323" s="4">
        <v>28.727959999999999</v>
      </c>
      <c r="O323" s="4">
        <v>64.637909999999991</v>
      </c>
    </row>
    <row r="324" spans="2:15">
      <c r="B324" t="s">
        <v>1336</v>
      </c>
      <c r="C324" t="s">
        <v>50</v>
      </c>
      <c r="D324" t="s">
        <v>2243</v>
      </c>
      <c r="E324" t="s">
        <v>2244</v>
      </c>
      <c r="F324" t="s">
        <v>12</v>
      </c>
      <c r="G324" t="s">
        <v>2243</v>
      </c>
      <c r="H324" t="s">
        <v>2245</v>
      </c>
      <c r="I324" t="s">
        <v>31</v>
      </c>
      <c r="J324">
        <v>61075</v>
      </c>
      <c r="K324">
        <v>367</v>
      </c>
      <c r="L324" s="4">
        <v>0.04</v>
      </c>
      <c r="M324">
        <v>0.09</v>
      </c>
      <c r="N324" s="4">
        <v>2.4430000000000001</v>
      </c>
      <c r="O324" s="4">
        <v>5.4967499999999996</v>
      </c>
    </row>
    <row r="325" spans="2:15">
      <c r="B325" t="s">
        <v>1336</v>
      </c>
      <c r="C325" t="s">
        <v>50</v>
      </c>
      <c r="D325" t="s">
        <v>1382</v>
      </c>
      <c r="E325" t="s">
        <v>1383</v>
      </c>
      <c r="F325" t="s">
        <v>12</v>
      </c>
      <c r="G325" t="s">
        <v>1382</v>
      </c>
      <c r="H325" t="s">
        <v>1384</v>
      </c>
      <c r="I325" t="s">
        <v>31</v>
      </c>
      <c r="J325">
        <v>63358</v>
      </c>
      <c r="K325">
        <v>73</v>
      </c>
      <c r="L325" s="4">
        <v>0.04</v>
      </c>
      <c r="M325">
        <v>0.09</v>
      </c>
      <c r="N325" s="4">
        <v>2.5343200000000001</v>
      </c>
      <c r="O325" s="4">
        <v>5.7022199999999996</v>
      </c>
    </row>
    <row r="326" spans="2:15">
      <c r="B326" t="s">
        <v>1336</v>
      </c>
      <c r="C326" t="s">
        <v>50</v>
      </c>
      <c r="D326" t="s">
        <v>2246</v>
      </c>
      <c r="E326" t="s">
        <v>2247</v>
      </c>
      <c r="F326" t="s">
        <v>12</v>
      </c>
      <c r="G326" t="s">
        <v>2248</v>
      </c>
      <c r="H326" t="s">
        <v>2249</v>
      </c>
      <c r="I326" t="s">
        <v>31</v>
      </c>
      <c r="J326">
        <v>261</v>
      </c>
      <c r="K326">
        <v>0</v>
      </c>
      <c r="L326" s="4">
        <v>0.04</v>
      </c>
      <c r="M326">
        <v>0.09</v>
      </c>
      <c r="N326" s="4">
        <v>1.044E-2</v>
      </c>
      <c r="O326" s="4">
        <v>2.3489999999999997E-2</v>
      </c>
    </row>
    <row r="327" spans="2:15">
      <c r="B327" t="s">
        <v>1336</v>
      </c>
      <c r="C327" t="s">
        <v>50</v>
      </c>
      <c r="D327" t="s">
        <v>2246</v>
      </c>
      <c r="E327" t="s">
        <v>2247</v>
      </c>
      <c r="F327" t="s">
        <v>12</v>
      </c>
      <c r="G327" t="s">
        <v>2250</v>
      </c>
      <c r="H327" t="s">
        <v>2251</v>
      </c>
      <c r="I327" t="s">
        <v>31</v>
      </c>
      <c r="J327">
        <v>16390</v>
      </c>
      <c r="K327">
        <v>19</v>
      </c>
      <c r="L327" s="4">
        <v>0.04</v>
      </c>
      <c r="M327">
        <v>0.09</v>
      </c>
      <c r="N327" s="4">
        <v>0.65560000000000007</v>
      </c>
      <c r="O327" s="4">
        <v>1.4750999999999999</v>
      </c>
    </row>
    <row r="328" spans="2:15">
      <c r="B328" t="s">
        <v>1336</v>
      </c>
      <c r="C328" t="s">
        <v>50</v>
      </c>
      <c r="D328" t="s">
        <v>2246</v>
      </c>
      <c r="E328" t="s">
        <v>2247</v>
      </c>
      <c r="F328" t="s">
        <v>12</v>
      </c>
      <c r="G328" t="s">
        <v>2252</v>
      </c>
      <c r="H328" t="s">
        <v>2253</v>
      </c>
      <c r="I328" t="s">
        <v>31</v>
      </c>
      <c r="J328">
        <v>268</v>
      </c>
      <c r="K328">
        <v>1</v>
      </c>
      <c r="L328" s="4">
        <v>0.04</v>
      </c>
      <c r="M328">
        <v>0.09</v>
      </c>
      <c r="N328" s="4">
        <v>1.072E-2</v>
      </c>
      <c r="O328" s="4">
        <v>2.4119999999999999E-2</v>
      </c>
    </row>
    <row r="329" spans="2:15">
      <c r="B329" t="s">
        <v>1336</v>
      </c>
      <c r="C329" t="s">
        <v>50</v>
      </c>
      <c r="D329" t="s">
        <v>2254</v>
      </c>
      <c r="E329" t="s">
        <v>2255</v>
      </c>
      <c r="F329" t="s">
        <v>12</v>
      </c>
      <c r="G329" t="s">
        <v>2256</v>
      </c>
      <c r="H329" t="s">
        <v>2257</v>
      </c>
      <c r="I329" t="s">
        <v>31</v>
      </c>
      <c r="J329">
        <v>29162</v>
      </c>
      <c r="K329">
        <v>82</v>
      </c>
      <c r="L329" s="4">
        <v>0.04</v>
      </c>
      <c r="M329">
        <v>0.09</v>
      </c>
      <c r="N329" s="4">
        <v>1.16648</v>
      </c>
      <c r="O329" s="4">
        <v>2.6245799999999999</v>
      </c>
    </row>
    <row r="330" spans="2:15">
      <c r="B330" t="s">
        <v>1336</v>
      </c>
      <c r="C330" t="s">
        <v>50</v>
      </c>
      <c r="D330" t="s">
        <v>2254</v>
      </c>
      <c r="E330" t="s">
        <v>2255</v>
      </c>
      <c r="F330" t="s">
        <v>12</v>
      </c>
      <c r="G330" t="s">
        <v>2258</v>
      </c>
      <c r="H330" t="s">
        <v>2259</v>
      </c>
      <c r="I330" t="s">
        <v>31</v>
      </c>
      <c r="J330">
        <v>2681652</v>
      </c>
      <c r="K330">
        <v>22942</v>
      </c>
      <c r="L330" s="4">
        <v>0.04</v>
      </c>
      <c r="M330">
        <v>0.09</v>
      </c>
      <c r="N330" s="4">
        <v>107.26608</v>
      </c>
      <c r="O330" s="4">
        <v>241.34868</v>
      </c>
    </row>
    <row r="331" spans="2:15">
      <c r="B331" t="s">
        <v>1336</v>
      </c>
      <c r="C331" t="s">
        <v>50</v>
      </c>
      <c r="D331" t="s">
        <v>2254</v>
      </c>
      <c r="E331" t="s">
        <v>2255</v>
      </c>
      <c r="F331" t="s">
        <v>12</v>
      </c>
      <c r="G331" t="s">
        <v>2260</v>
      </c>
      <c r="H331" t="s">
        <v>2261</v>
      </c>
      <c r="I331" t="s">
        <v>31</v>
      </c>
      <c r="J331">
        <v>29266</v>
      </c>
      <c r="K331">
        <v>91</v>
      </c>
      <c r="L331" s="4">
        <v>0.04</v>
      </c>
      <c r="M331">
        <v>0.09</v>
      </c>
      <c r="N331" s="4">
        <v>1.1706400000000001</v>
      </c>
      <c r="O331" s="4">
        <v>2.6339399999999999</v>
      </c>
    </row>
    <row r="332" spans="2:15">
      <c r="B332" t="s">
        <v>1336</v>
      </c>
      <c r="C332" t="s">
        <v>50</v>
      </c>
      <c r="D332" t="s">
        <v>1385</v>
      </c>
      <c r="E332" t="s">
        <v>1386</v>
      </c>
      <c r="F332" t="s">
        <v>11</v>
      </c>
      <c r="G332" t="s">
        <v>117</v>
      </c>
      <c r="H332" t="s">
        <v>2262</v>
      </c>
      <c r="I332" t="s">
        <v>31</v>
      </c>
      <c r="J332">
        <v>5</v>
      </c>
      <c r="K332">
        <v>0</v>
      </c>
      <c r="L332" s="4">
        <v>0.04</v>
      </c>
      <c r="M332">
        <v>0.09</v>
      </c>
      <c r="N332" s="4">
        <v>2.0000000000000001E-4</v>
      </c>
      <c r="O332" s="4">
        <v>4.4999999999999993E-4</v>
      </c>
    </row>
    <row r="333" spans="2:15">
      <c r="B333" t="s">
        <v>1336</v>
      </c>
      <c r="C333" t="s">
        <v>50</v>
      </c>
      <c r="D333" t="s">
        <v>1385</v>
      </c>
      <c r="E333" t="s">
        <v>1386</v>
      </c>
      <c r="F333" t="s">
        <v>12</v>
      </c>
      <c r="G333" t="s">
        <v>2263</v>
      </c>
      <c r="H333" t="s">
        <v>2264</v>
      </c>
      <c r="I333" t="s">
        <v>31</v>
      </c>
      <c r="J333">
        <v>515566</v>
      </c>
      <c r="K333">
        <v>2274</v>
      </c>
      <c r="L333" s="4">
        <v>0.04</v>
      </c>
      <c r="M333">
        <v>0.09</v>
      </c>
      <c r="N333" s="4">
        <v>20.622640000000001</v>
      </c>
      <c r="O333" s="4">
        <v>46.400939999999999</v>
      </c>
    </row>
    <row r="334" spans="2:15">
      <c r="B334" t="s">
        <v>1336</v>
      </c>
      <c r="C334" t="s">
        <v>50</v>
      </c>
      <c r="D334" t="s">
        <v>1385</v>
      </c>
      <c r="E334" t="s">
        <v>1386</v>
      </c>
      <c r="F334" t="s">
        <v>12</v>
      </c>
      <c r="G334" t="s">
        <v>1387</v>
      </c>
      <c r="H334" t="s">
        <v>1388</v>
      </c>
      <c r="I334" t="s">
        <v>31</v>
      </c>
      <c r="J334">
        <v>62675217</v>
      </c>
      <c r="K334">
        <v>432517</v>
      </c>
      <c r="L334" s="4">
        <v>0.04</v>
      </c>
      <c r="M334">
        <v>0.09</v>
      </c>
      <c r="N334" s="4">
        <v>2507.0086800000004</v>
      </c>
      <c r="O334" s="4">
        <v>5640.7695299999996</v>
      </c>
    </row>
    <row r="335" spans="2:15">
      <c r="B335" t="s">
        <v>1336</v>
      </c>
      <c r="C335" t="s">
        <v>50</v>
      </c>
      <c r="D335" t="s">
        <v>1385</v>
      </c>
      <c r="E335" t="s">
        <v>1386</v>
      </c>
      <c r="F335" t="s">
        <v>12</v>
      </c>
      <c r="G335" t="s">
        <v>2265</v>
      </c>
      <c r="H335" t="s">
        <v>2266</v>
      </c>
      <c r="I335" t="s">
        <v>31</v>
      </c>
      <c r="J335">
        <v>515852</v>
      </c>
      <c r="K335">
        <v>2139</v>
      </c>
      <c r="L335" s="4">
        <v>0.04</v>
      </c>
      <c r="M335">
        <v>0.09</v>
      </c>
      <c r="N335" s="4">
        <v>20.634080000000001</v>
      </c>
      <c r="O335" s="4">
        <v>46.426679999999998</v>
      </c>
    </row>
    <row r="336" spans="2:15">
      <c r="B336" t="s">
        <v>1336</v>
      </c>
      <c r="C336" t="s">
        <v>50</v>
      </c>
      <c r="D336" t="s">
        <v>2267</v>
      </c>
      <c r="E336" t="s">
        <v>2268</v>
      </c>
      <c r="F336" t="s">
        <v>12</v>
      </c>
      <c r="G336" t="s">
        <v>2267</v>
      </c>
      <c r="H336" t="s">
        <v>2269</v>
      </c>
      <c r="I336" t="s">
        <v>31</v>
      </c>
      <c r="J336">
        <v>3045</v>
      </c>
      <c r="K336">
        <v>1</v>
      </c>
      <c r="L336" s="4">
        <v>0.04</v>
      </c>
      <c r="M336">
        <v>0.09</v>
      </c>
      <c r="N336" s="4">
        <v>0.12179999999999999</v>
      </c>
      <c r="O336" s="4">
        <v>0.27405000000000002</v>
      </c>
    </row>
    <row r="337" spans="2:15">
      <c r="B337" t="s">
        <v>1336</v>
      </c>
      <c r="C337" t="s">
        <v>50</v>
      </c>
      <c r="D337" t="s">
        <v>2270</v>
      </c>
      <c r="E337" t="s">
        <v>2271</v>
      </c>
      <c r="F337" t="s">
        <v>12</v>
      </c>
      <c r="G337" t="s">
        <v>2270</v>
      </c>
      <c r="H337" t="s">
        <v>2272</v>
      </c>
      <c r="I337" t="s">
        <v>31</v>
      </c>
      <c r="J337">
        <v>1400305</v>
      </c>
      <c r="K337">
        <v>40036</v>
      </c>
      <c r="L337" s="4">
        <v>0.04</v>
      </c>
      <c r="M337">
        <v>0.09</v>
      </c>
      <c r="N337" s="4">
        <v>56.012200000000007</v>
      </c>
      <c r="O337" s="4">
        <v>126.02745</v>
      </c>
    </row>
    <row r="338" spans="2:15">
      <c r="B338" t="s">
        <v>1336</v>
      </c>
      <c r="C338" t="s">
        <v>50</v>
      </c>
      <c r="D338" t="s">
        <v>2273</v>
      </c>
      <c r="E338" t="s">
        <v>2274</v>
      </c>
      <c r="F338" t="s">
        <v>12</v>
      </c>
      <c r="G338" t="s">
        <v>2273</v>
      </c>
      <c r="H338" t="s">
        <v>2275</v>
      </c>
      <c r="I338" t="s">
        <v>31</v>
      </c>
      <c r="J338">
        <v>2995</v>
      </c>
      <c r="K338">
        <v>1</v>
      </c>
      <c r="L338" s="4">
        <v>0.04</v>
      </c>
      <c r="M338">
        <v>0.09</v>
      </c>
      <c r="N338" s="4">
        <v>0.1198</v>
      </c>
      <c r="O338" s="4">
        <v>0.26955000000000001</v>
      </c>
    </row>
    <row r="339" spans="2:15">
      <c r="B339" t="s">
        <v>1336</v>
      </c>
      <c r="C339" t="s">
        <v>50</v>
      </c>
      <c r="D339" t="s">
        <v>1389</v>
      </c>
      <c r="E339" t="s">
        <v>1390</v>
      </c>
      <c r="F339" t="s">
        <v>12</v>
      </c>
      <c r="G339" t="s">
        <v>1389</v>
      </c>
      <c r="H339" t="s">
        <v>1391</v>
      </c>
      <c r="I339" t="s">
        <v>31</v>
      </c>
      <c r="J339">
        <v>102221</v>
      </c>
      <c r="K339">
        <v>960</v>
      </c>
      <c r="L339" s="4">
        <v>0.04</v>
      </c>
      <c r="M339">
        <v>0.09</v>
      </c>
      <c r="N339" s="4">
        <v>4.0888400000000003</v>
      </c>
      <c r="O339" s="4">
        <v>9.1998899999999999</v>
      </c>
    </row>
    <row r="340" spans="2:15">
      <c r="B340" t="s">
        <v>1336</v>
      </c>
      <c r="C340" t="s">
        <v>50</v>
      </c>
      <c r="D340" t="s">
        <v>1392</v>
      </c>
      <c r="E340" t="s">
        <v>1393</v>
      </c>
      <c r="F340" t="s">
        <v>12</v>
      </c>
      <c r="G340" t="s">
        <v>1392</v>
      </c>
      <c r="H340" t="s">
        <v>1394</v>
      </c>
      <c r="I340" t="s">
        <v>31</v>
      </c>
      <c r="J340">
        <v>1947475</v>
      </c>
      <c r="K340">
        <v>25459</v>
      </c>
      <c r="L340" s="4">
        <v>0.04</v>
      </c>
      <c r="M340">
        <v>0.09</v>
      </c>
      <c r="N340" s="4">
        <v>77.899000000000001</v>
      </c>
      <c r="O340" s="4">
        <v>175.27275</v>
      </c>
    </row>
    <row r="341" spans="2:15">
      <c r="B341" t="s">
        <v>1336</v>
      </c>
      <c r="C341" t="s">
        <v>50</v>
      </c>
      <c r="D341" t="s">
        <v>2276</v>
      </c>
      <c r="E341" t="s">
        <v>2277</v>
      </c>
      <c r="F341" t="s">
        <v>11</v>
      </c>
      <c r="G341" t="s">
        <v>116</v>
      </c>
      <c r="H341" t="s">
        <v>2208</v>
      </c>
      <c r="I341" t="s">
        <v>31</v>
      </c>
      <c r="J341">
        <v>4345182</v>
      </c>
      <c r="K341">
        <v>114700</v>
      </c>
      <c r="L341" s="4">
        <v>0.04</v>
      </c>
      <c r="M341">
        <v>0.09</v>
      </c>
      <c r="N341" s="4">
        <v>173.80727999999999</v>
      </c>
      <c r="O341" s="4">
        <v>391.06637999999998</v>
      </c>
    </row>
    <row r="342" spans="2:15">
      <c r="B342" t="s">
        <v>1336</v>
      </c>
      <c r="C342" t="s">
        <v>50</v>
      </c>
      <c r="D342" t="s">
        <v>2276</v>
      </c>
      <c r="E342" t="s">
        <v>2277</v>
      </c>
      <c r="F342" t="s">
        <v>12</v>
      </c>
      <c r="G342" t="s">
        <v>2276</v>
      </c>
      <c r="H342" t="s">
        <v>2278</v>
      </c>
      <c r="I342" t="s">
        <v>31</v>
      </c>
      <c r="J342">
        <v>679158</v>
      </c>
      <c r="K342">
        <v>7380</v>
      </c>
      <c r="L342" s="4">
        <v>0.04</v>
      </c>
      <c r="M342">
        <v>0.09</v>
      </c>
      <c r="N342" s="4">
        <v>27.166319999999999</v>
      </c>
      <c r="O342" s="4">
        <v>61.124220000000001</v>
      </c>
    </row>
    <row r="343" spans="2:15">
      <c r="B343" t="s">
        <v>1336</v>
      </c>
      <c r="C343" t="s">
        <v>50</v>
      </c>
      <c r="D343" t="s">
        <v>1395</v>
      </c>
      <c r="E343" t="s">
        <v>1396</v>
      </c>
      <c r="F343" t="s">
        <v>12</v>
      </c>
      <c r="G343" t="s">
        <v>1395</v>
      </c>
      <c r="H343" t="s">
        <v>1397</v>
      </c>
      <c r="I343" t="s">
        <v>31</v>
      </c>
      <c r="J343">
        <v>8373319</v>
      </c>
      <c r="K343">
        <v>135139</v>
      </c>
      <c r="L343" s="4">
        <v>0.04</v>
      </c>
      <c r="M343">
        <v>0.09</v>
      </c>
      <c r="N343" s="4">
        <v>334.93276000000003</v>
      </c>
      <c r="O343" s="4">
        <v>753.59870999999998</v>
      </c>
    </row>
    <row r="344" spans="2:15">
      <c r="B344" t="s">
        <v>1336</v>
      </c>
      <c r="C344" t="s">
        <v>50</v>
      </c>
      <c r="D344" t="s">
        <v>1398</v>
      </c>
      <c r="E344" t="s">
        <v>1399</v>
      </c>
      <c r="F344" t="s">
        <v>12</v>
      </c>
      <c r="G344" t="s">
        <v>1398</v>
      </c>
      <c r="H344" t="s">
        <v>1400</v>
      </c>
      <c r="I344" t="s">
        <v>31</v>
      </c>
      <c r="J344">
        <v>1602</v>
      </c>
      <c r="K344">
        <v>1</v>
      </c>
      <c r="L344" s="4">
        <v>0.04</v>
      </c>
      <c r="M344">
        <v>0.09</v>
      </c>
      <c r="N344" s="4">
        <v>6.4079999999999998E-2</v>
      </c>
      <c r="O344" s="4">
        <v>0.14418</v>
      </c>
    </row>
    <row r="345" spans="2:15">
      <c r="B345" t="s">
        <v>1336</v>
      </c>
      <c r="C345" t="s">
        <v>50</v>
      </c>
      <c r="D345" t="s">
        <v>1401</v>
      </c>
      <c r="E345" t="s">
        <v>1402</v>
      </c>
      <c r="F345" t="s">
        <v>12</v>
      </c>
      <c r="G345" t="s">
        <v>1401</v>
      </c>
      <c r="H345" t="s">
        <v>1403</v>
      </c>
      <c r="I345" t="s">
        <v>31</v>
      </c>
      <c r="J345">
        <v>6112</v>
      </c>
      <c r="K345">
        <v>2</v>
      </c>
      <c r="L345" s="4">
        <v>0.04</v>
      </c>
      <c r="M345">
        <v>0.09</v>
      </c>
      <c r="N345" s="4">
        <v>0.24448000000000003</v>
      </c>
      <c r="O345" s="4">
        <v>0.5500799999999999</v>
      </c>
    </row>
    <row r="346" spans="2:15">
      <c r="B346" t="s">
        <v>1336</v>
      </c>
      <c r="C346" t="s">
        <v>50</v>
      </c>
      <c r="D346" t="s">
        <v>1404</v>
      </c>
      <c r="E346" t="s">
        <v>1405</v>
      </c>
      <c r="F346" t="s">
        <v>12</v>
      </c>
      <c r="G346" t="s">
        <v>1404</v>
      </c>
      <c r="H346" t="s">
        <v>1406</v>
      </c>
      <c r="I346" t="s">
        <v>31</v>
      </c>
      <c r="J346">
        <v>1534187</v>
      </c>
      <c r="K346">
        <v>115769</v>
      </c>
      <c r="L346" s="4">
        <v>0.04</v>
      </c>
      <c r="M346">
        <v>0.09</v>
      </c>
      <c r="N346" s="4">
        <v>61.36748</v>
      </c>
      <c r="O346" s="4">
        <v>138.07683</v>
      </c>
    </row>
    <row r="347" spans="2:15">
      <c r="B347" t="s">
        <v>1336</v>
      </c>
      <c r="C347" t="s">
        <v>50</v>
      </c>
      <c r="D347" t="s">
        <v>2279</v>
      </c>
      <c r="E347" t="s">
        <v>2280</v>
      </c>
      <c r="F347" t="s">
        <v>11</v>
      </c>
      <c r="G347" t="s">
        <v>333</v>
      </c>
      <c r="H347" t="s">
        <v>2281</v>
      </c>
      <c r="I347" t="s">
        <v>31</v>
      </c>
      <c r="J347">
        <v>2158</v>
      </c>
      <c r="K347">
        <v>0</v>
      </c>
      <c r="L347" s="4">
        <v>0.04</v>
      </c>
      <c r="M347">
        <v>0.09</v>
      </c>
      <c r="N347" s="4">
        <v>8.6320000000000008E-2</v>
      </c>
      <c r="O347" s="4">
        <v>0.19422</v>
      </c>
    </row>
    <row r="348" spans="2:15">
      <c r="B348" t="s">
        <v>1336</v>
      </c>
      <c r="C348" t="s">
        <v>50</v>
      </c>
      <c r="D348" t="s">
        <v>2279</v>
      </c>
      <c r="E348" t="s">
        <v>2280</v>
      </c>
      <c r="F348" t="s">
        <v>12</v>
      </c>
      <c r="G348" t="s">
        <v>2279</v>
      </c>
      <c r="H348" t="s">
        <v>2282</v>
      </c>
      <c r="I348" t="s">
        <v>31</v>
      </c>
      <c r="J348">
        <v>2010</v>
      </c>
      <c r="K348">
        <v>0</v>
      </c>
      <c r="L348" s="4">
        <v>0.04</v>
      </c>
      <c r="M348">
        <v>0.09</v>
      </c>
      <c r="N348" s="4">
        <v>8.0399999999999999E-2</v>
      </c>
      <c r="O348" s="4">
        <v>0.18090000000000001</v>
      </c>
    </row>
    <row r="349" spans="2:15">
      <c r="B349" t="s">
        <v>1336</v>
      </c>
      <c r="C349" t="s">
        <v>50</v>
      </c>
      <c r="D349" t="s">
        <v>1407</v>
      </c>
      <c r="E349" t="s">
        <v>1408</v>
      </c>
      <c r="F349" t="s">
        <v>11</v>
      </c>
      <c r="G349" t="s">
        <v>349</v>
      </c>
      <c r="H349" t="s">
        <v>1409</v>
      </c>
      <c r="I349" t="s">
        <v>31</v>
      </c>
      <c r="J349">
        <v>7256</v>
      </c>
      <c r="K349">
        <v>4</v>
      </c>
      <c r="L349" s="4">
        <v>0.04</v>
      </c>
      <c r="M349">
        <v>0.09</v>
      </c>
      <c r="N349" s="4">
        <v>0.29024</v>
      </c>
      <c r="O349" s="4">
        <v>0.65303999999999995</v>
      </c>
    </row>
    <row r="350" spans="2:15">
      <c r="B350" t="s">
        <v>1336</v>
      </c>
      <c r="C350" t="s">
        <v>50</v>
      </c>
      <c r="D350" t="s">
        <v>1407</v>
      </c>
      <c r="E350" t="s">
        <v>1408</v>
      </c>
      <c r="F350" t="s">
        <v>12</v>
      </c>
      <c r="G350" t="s">
        <v>1407</v>
      </c>
      <c r="H350" t="s">
        <v>2283</v>
      </c>
      <c r="I350" t="s">
        <v>31</v>
      </c>
      <c r="J350">
        <v>4151</v>
      </c>
      <c r="K350">
        <v>4</v>
      </c>
      <c r="L350" s="4">
        <v>0.04</v>
      </c>
      <c r="M350">
        <v>0.09</v>
      </c>
      <c r="N350" s="4">
        <v>0.16603999999999999</v>
      </c>
      <c r="O350" s="4">
        <v>0.37358999999999998</v>
      </c>
    </row>
    <row r="351" spans="2:15">
      <c r="B351" t="s">
        <v>1336</v>
      </c>
      <c r="C351" t="s">
        <v>50</v>
      </c>
      <c r="D351" t="s">
        <v>2284</v>
      </c>
      <c r="E351" t="s">
        <v>2285</v>
      </c>
      <c r="F351" t="s">
        <v>11</v>
      </c>
      <c r="G351" t="s">
        <v>432</v>
      </c>
      <c r="H351" t="s">
        <v>2217</v>
      </c>
      <c r="I351" t="s">
        <v>31</v>
      </c>
      <c r="J351">
        <v>8098935</v>
      </c>
      <c r="K351">
        <v>509819</v>
      </c>
      <c r="L351" s="4">
        <v>0.04</v>
      </c>
      <c r="M351">
        <v>0.09</v>
      </c>
      <c r="N351" s="4">
        <v>323.95740000000001</v>
      </c>
      <c r="O351" s="4">
        <v>728.90415000000007</v>
      </c>
    </row>
    <row r="352" spans="2:15">
      <c r="B352" t="s">
        <v>1336</v>
      </c>
      <c r="C352" t="s">
        <v>50</v>
      </c>
      <c r="D352" t="s">
        <v>2284</v>
      </c>
      <c r="E352" t="s">
        <v>2285</v>
      </c>
      <c r="F352" t="s">
        <v>12</v>
      </c>
      <c r="G352" t="s">
        <v>2284</v>
      </c>
      <c r="H352" t="s">
        <v>2286</v>
      </c>
      <c r="I352" t="s">
        <v>31</v>
      </c>
      <c r="J352">
        <v>315416</v>
      </c>
      <c r="K352">
        <v>14219</v>
      </c>
      <c r="L352" s="4">
        <v>0.04</v>
      </c>
      <c r="M352">
        <v>0.09</v>
      </c>
      <c r="N352" s="4">
        <v>12.61664</v>
      </c>
      <c r="O352" s="4">
        <v>28.387439999999998</v>
      </c>
    </row>
    <row r="353" spans="2:15">
      <c r="B353" t="s">
        <v>1336</v>
      </c>
      <c r="C353" t="s">
        <v>50</v>
      </c>
      <c r="D353" t="s">
        <v>1410</v>
      </c>
      <c r="E353" t="s">
        <v>1411</v>
      </c>
      <c r="F353" t="s">
        <v>12</v>
      </c>
      <c r="G353" t="s">
        <v>1410</v>
      </c>
      <c r="H353" t="s">
        <v>1412</v>
      </c>
      <c r="I353" t="s">
        <v>31</v>
      </c>
      <c r="J353">
        <v>13868</v>
      </c>
      <c r="K353">
        <v>13</v>
      </c>
      <c r="L353" s="4">
        <v>0.04</v>
      </c>
      <c r="M353">
        <v>0.09</v>
      </c>
      <c r="N353" s="4">
        <v>0.55471999999999999</v>
      </c>
      <c r="O353" s="4">
        <v>1.2481199999999999</v>
      </c>
    </row>
    <row r="354" spans="2:15">
      <c r="B354" t="s">
        <v>1336</v>
      </c>
      <c r="C354" t="s">
        <v>50</v>
      </c>
      <c r="D354" t="s">
        <v>1413</v>
      </c>
      <c r="E354" t="s">
        <v>1414</v>
      </c>
      <c r="F354" t="s">
        <v>12</v>
      </c>
      <c r="G354" t="s">
        <v>1413</v>
      </c>
      <c r="H354" t="s">
        <v>1415</v>
      </c>
      <c r="I354" t="s">
        <v>31</v>
      </c>
      <c r="J354">
        <v>63670</v>
      </c>
      <c r="K354">
        <v>70</v>
      </c>
      <c r="L354" s="4">
        <v>0.04</v>
      </c>
      <c r="M354">
        <v>0.09</v>
      </c>
      <c r="N354" s="4">
        <v>2.5468000000000002</v>
      </c>
      <c r="O354" s="4">
        <v>5.7303000000000006</v>
      </c>
    </row>
    <row r="355" spans="2:15">
      <c r="B355" t="s">
        <v>1336</v>
      </c>
      <c r="C355" t="s">
        <v>50</v>
      </c>
      <c r="D355" t="s">
        <v>1416</v>
      </c>
      <c r="E355" t="s">
        <v>1417</v>
      </c>
      <c r="F355" t="s">
        <v>12</v>
      </c>
      <c r="G355" t="s">
        <v>1416</v>
      </c>
      <c r="H355" t="s">
        <v>1418</v>
      </c>
      <c r="I355" t="s">
        <v>31</v>
      </c>
      <c r="J355">
        <v>2696341</v>
      </c>
      <c r="K355">
        <v>122375</v>
      </c>
      <c r="L355" s="4">
        <v>0.04</v>
      </c>
      <c r="M355">
        <v>0.09</v>
      </c>
      <c r="N355" s="4">
        <v>107.85364</v>
      </c>
      <c r="O355" s="4">
        <v>242.67069000000001</v>
      </c>
    </row>
    <row r="356" spans="2:15">
      <c r="B356" t="s">
        <v>1336</v>
      </c>
      <c r="C356" t="s">
        <v>99</v>
      </c>
      <c r="D356" t="s">
        <v>2287</v>
      </c>
      <c r="E356" t="s">
        <v>2288</v>
      </c>
      <c r="F356" t="s">
        <v>10</v>
      </c>
      <c r="G356" t="s">
        <v>2287</v>
      </c>
      <c r="H356" t="s">
        <v>2289</v>
      </c>
      <c r="I356" t="s">
        <v>32</v>
      </c>
      <c r="J356">
        <v>0</v>
      </c>
      <c r="K356">
        <v>4769</v>
      </c>
      <c r="L356" s="4">
        <v>3.5000000000000001E-3</v>
      </c>
      <c r="M356">
        <v>0.02</v>
      </c>
      <c r="N356" s="4">
        <v>16.691500000000001</v>
      </c>
      <c r="O356" s="4">
        <v>95.38</v>
      </c>
    </row>
    <row r="357" spans="2:15">
      <c r="B357" t="s">
        <v>1336</v>
      </c>
      <c r="C357" t="s">
        <v>99</v>
      </c>
      <c r="D357" t="s">
        <v>2290</v>
      </c>
      <c r="E357" t="s">
        <v>2291</v>
      </c>
      <c r="F357" t="s">
        <v>10</v>
      </c>
      <c r="G357" t="s">
        <v>2290</v>
      </c>
      <c r="H357" t="s">
        <v>2292</v>
      </c>
      <c r="I357" t="s">
        <v>32</v>
      </c>
      <c r="J357">
        <v>0</v>
      </c>
      <c r="K357">
        <v>16451</v>
      </c>
      <c r="L357" s="4">
        <v>3.5000000000000001E-3</v>
      </c>
      <c r="M357">
        <v>0.02</v>
      </c>
      <c r="N357" s="4">
        <v>57.578499999999998</v>
      </c>
      <c r="O357" s="4">
        <v>329.02</v>
      </c>
    </row>
    <row r="358" spans="2:15">
      <c r="B358" t="s">
        <v>1336</v>
      </c>
      <c r="C358" t="s">
        <v>763</v>
      </c>
      <c r="D358" t="s">
        <v>2293</v>
      </c>
      <c r="E358" t="s">
        <v>2294</v>
      </c>
      <c r="F358" t="s">
        <v>12</v>
      </c>
      <c r="G358" t="s">
        <v>2293</v>
      </c>
      <c r="H358" t="s">
        <v>2295</v>
      </c>
      <c r="I358" t="s">
        <v>32</v>
      </c>
      <c r="J358">
        <v>319023</v>
      </c>
      <c r="K358">
        <v>1202</v>
      </c>
      <c r="L358" s="4">
        <v>0.04</v>
      </c>
      <c r="M358">
        <v>0.09</v>
      </c>
      <c r="N358" s="4">
        <v>12.76092</v>
      </c>
      <c r="O358" s="4">
        <v>28.712070000000001</v>
      </c>
    </row>
    <row r="359" spans="2:15">
      <c r="B359" t="s">
        <v>1336</v>
      </c>
      <c r="C359" t="s">
        <v>763</v>
      </c>
      <c r="D359" t="s">
        <v>1419</v>
      </c>
      <c r="E359" t="s">
        <v>1420</v>
      </c>
      <c r="F359" t="s">
        <v>12</v>
      </c>
      <c r="G359" t="s">
        <v>1419</v>
      </c>
      <c r="H359" t="s">
        <v>1421</v>
      </c>
      <c r="I359" t="s">
        <v>32</v>
      </c>
      <c r="J359">
        <v>1951159</v>
      </c>
      <c r="K359">
        <v>9074</v>
      </c>
      <c r="L359" s="4">
        <v>0.04</v>
      </c>
      <c r="M359">
        <v>0.09</v>
      </c>
      <c r="N359" s="4">
        <v>78.046360000000007</v>
      </c>
      <c r="O359" s="4">
        <v>175.60431</v>
      </c>
    </row>
    <row r="360" spans="2:15">
      <c r="B360" t="s">
        <v>1336</v>
      </c>
      <c r="C360" t="s">
        <v>763</v>
      </c>
      <c r="D360" t="s">
        <v>1422</v>
      </c>
      <c r="E360" t="s">
        <v>1423</v>
      </c>
      <c r="F360" t="s">
        <v>12</v>
      </c>
      <c r="G360" t="s">
        <v>1422</v>
      </c>
      <c r="H360" t="s">
        <v>1424</v>
      </c>
      <c r="I360" t="s">
        <v>32</v>
      </c>
      <c r="J360">
        <v>1988075</v>
      </c>
      <c r="K360">
        <v>8870</v>
      </c>
      <c r="L360" s="4">
        <v>0.04</v>
      </c>
      <c r="M360">
        <v>0.09</v>
      </c>
      <c r="N360" s="4">
        <v>79.522999999999996</v>
      </c>
      <c r="O360" s="4">
        <v>178.92675</v>
      </c>
    </row>
    <row r="361" spans="2:15">
      <c r="B361" t="s">
        <v>1336</v>
      </c>
      <c r="C361" t="s">
        <v>763</v>
      </c>
      <c r="D361" t="s">
        <v>2296</v>
      </c>
      <c r="E361" t="s">
        <v>2297</v>
      </c>
      <c r="F361" t="s">
        <v>12</v>
      </c>
      <c r="G361" t="s">
        <v>2296</v>
      </c>
      <c r="H361" t="s">
        <v>2298</v>
      </c>
      <c r="I361" t="s">
        <v>32</v>
      </c>
      <c r="J361">
        <v>438982</v>
      </c>
      <c r="K361">
        <v>1902</v>
      </c>
      <c r="L361" s="4">
        <v>0.04</v>
      </c>
      <c r="M361">
        <v>0.09</v>
      </c>
      <c r="N361" s="4">
        <v>17.559279999999998</v>
      </c>
      <c r="O361" s="4">
        <v>39.508379999999995</v>
      </c>
    </row>
    <row r="362" spans="2:15">
      <c r="B362" t="s">
        <v>1336</v>
      </c>
      <c r="C362" t="s">
        <v>763</v>
      </c>
      <c r="D362" t="s">
        <v>1425</v>
      </c>
      <c r="E362" t="s">
        <v>1426</v>
      </c>
      <c r="F362" t="s">
        <v>12</v>
      </c>
      <c r="G362" t="s">
        <v>1425</v>
      </c>
      <c r="H362" t="s">
        <v>1427</v>
      </c>
      <c r="I362" t="s">
        <v>32</v>
      </c>
      <c r="J362">
        <v>594702</v>
      </c>
      <c r="K362">
        <v>2696</v>
      </c>
      <c r="L362" s="4">
        <v>0.04</v>
      </c>
      <c r="M362">
        <v>0.09</v>
      </c>
      <c r="N362" s="4">
        <v>23.788080000000001</v>
      </c>
      <c r="O362" s="4">
        <v>53.523180000000004</v>
      </c>
    </row>
    <row r="363" spans="2:15">
      <c r="B363" t="s">
        <v>1336</v>
      </c>
      <c r="C363" t="s">
        <v>763</v>
      </c>
      <c r="D363" t="s">
        <v>2299</v>
      </c>
      <c r="E363" t="s">
        <v>2300</v>
      </c>
      <c r="F363" t="s">
        <v>12</v>
      </c>
      <c r="G363" t="s">
        <v>2299</v>
      </c>
      <c r="H363" t="s">
        <v>2301</v>
      </c>
      <c r="I363" t="s">
        <v>32</v>
      </c>
      <c r="J363">
        <v>1037172</v>
      </c>
      <c r="K363">
        <v>4511</v>
      </c>
      <c r="L363" s="4">
        <v>0.04</v>
      </c>
      <c r="M363">
        <v>0.09</v>
      </c>
      <c r="N363" s="4">
        <v>41.486879999999999</v>
      </c>
      <c r="O363" s="4">
        <v>93.345479999999995</v>
      </c>
    </row>
    <row r="364" spans="2:15">
      <c r="B364" t="s">
        <v>1428</v>
      </c>
      <c r="C364" t="s">
        <v>52</v>
      </c>
      <c r="D364" t="s">
        <v>2302</v>
      </c>
      <c r="E364" t="s">
        <v>2303</v>
      </c>
      <c r="F364" t="s">
        <v>10</v>
      </c>
      <c r="G364" t="s">
        <v>2302</v>
      </c>
      <c r="H364" t="s">
        <v>2304</v>
      </c>
      <c r="I364" t="s">
        <v>32</v>
      </c>
      <c r="J364">
        <v>0</v>
      </c>
      <c r="K364">
        <v>2087</v>
      </c>
      <c r="L364" s="4">
        <v>3.5000000000000001E-3</v>
      </c>
      <c r="M364">
        <v>0.02</v>
      </c>
      <c r="N364" s="4">
        <v>7.3045</v>
      </c>
      <c r="O364" s="4">
        <v>41.74</v>
      </c>
    </row>
    <row r="365" spans="2:15">
      <c r="B365" t="s">
        <v>1428</v>
      </c>
      <c r="C365" t="s">
        <v>52</v>
      </c>
      <c r="D365" t="s">
        <v>2305</v>
      </c>
      <c r="E365" t="s">
        <v>2306</v>
      </c>
      <c r="F365" t="s">
        <v>10</v>
      </c>
      <c r="G365" t="s">
        <v>2305</v>
      </c>
      <c r="H365" t="s">
        <v>2307</v>
      </c>
      <c r="I365" t="s">
        <v>32</v>
      </c>
      <c r="J365">
        <v>0</v>
      </c>
      <c r="K365">
        <v>1608</v>
      </c>
      <c r="L365" s="4">
        <v>3.5000000000000001E-3</v>
      </c>
      <c r="M365">
        <v>0.02</v>
      </c>
      <c r="N365" s="4">
        <v>5.6280000000000001</v>
      </c>
      <c r="O365" s="4">
        <v>32.160000000000004</v>
      </c>
    </row>
    <row r="366" spans="2:15">
      <c r="B366" t="s">
        <v>1428</v>
      </c>
      <c r="C366" t="s">
        <v>52</v>
      </c>
      <c r="D366" t="s">
        <v>1429</v>
      </c>
      <c r="E366" t="s">
        <v>1430</v>
      </c>
      <c r="F366" t="s">
        <v>10</v>
      </c>
      <c r="G366" t="s">
        <v>1429</v>
      </c>
      <c r="H366" t="s">
        <v>1431</v>
      </c>
      <c r="I366" t="s">
        <v>32</v>
      </c>
      <c r="J366">
        <v>0</v>
      </c>
      <c r="K366">
        <v>2250</v>
      </c>
      <c r="L366" s="4">
        <v>3.5000000000000001E-3</v>
      </c>
      <c r="M366">
        <v>0.02</v>
      </c>
      <c r="N366" s="4">
        <v>7.875</v>
      </c>
      <c r="O366" s="4">
        <v>45</v>
      </c>
    </row>
    <row r="367" spans="2:15">
      <c r="B367" t="s">
        <v>1428</v>
      </c>
      <c r="C367" t="s">
        <v>52</v>
      </c>
      <c r="D367" t="s">
        <v>2308</v>
      </c>
      <c r="E367" t="s">
        <v>2309</v>
      </c>
      <c r="F367" t="s">
        <v>10</v>
      </c>
      <c r="G367" t="s">
        <v>2308</v>
      </c>
      <c r="H367" t="s">
        <v>2310</v>
      </c>
      <c r="I367" t="s">
        <v>32</v>
      </c>
      <c r="J367">
        <v>0</v>
      </c>
      <c r="K367">
        <v>1730</v>
      </c>
      <c r="L367" s="4">
        <v>3.5000000000000001E-3</v>
      </c>
      <c r="M367">
        <v>0.02</v>
      </c>
      <c r="N367" s="4">
        <v>6.0549999999999997</v>
      </c>
      <c r="O367" s="4">
        <v>34.6</v>
      </c>
    </row>
    <row r="368" spans="2:15">
      <c r="B368" t="s">
        <v>1428</v>
      </c>
      <c r="C368" t="s">
        <v>761</v>
      </c>
      <c r="D368" t="s">
        <v>2311</v>
      </c>
      <c r="E368" t="s">
        <v>2312</v>
      </c>
      <c r="F368" t="s">
        <v>12</v>
      </c>
      <c r="G368" t="s">
        <v>2311</v>
      </c>
      <c r="H368" t="s">
        <v>2313</v>
      </c>
      <c r="I368" t="s">
        <v>32</v>
      </c>
      <c r="J368">
        <v>3800</v>
      </c>
      <c r="K368">
        <v>50</v>
      </c>
      <c r="L368" s="4">
        <v>0.04</v>
      </c>
      <c r="M368">
        <v>0.09</v>
      </c>
      <c r="N368" s="4">
        <v>0.152</v>
      </c>
      <c r="O368" s="4">
        <v>0.34200000000000003</v>
      </c>
    </row>
    <row r="369" spans="2:15">
      <c r="B369" t="s">
        <v>1428</v>
      </c>
      <c r="C369" t="s">
        <v>761</v>
      </c>
      <c r="D369" t="s">
        <v>2314</v>
      </c>
      <c r="E369" t="s">
        <v>2315</v>
      </c>
      <c r="F369" t="s">
        <v>12</v>
      </c>
      <c r="G369" t="s">
        <v>2314</v>
      </c>
      <c r="H369" t="s">
        <v>2316</v>
      </c>
      <c r="I369" t="s">
        <v>32</v>
      </c>
      <c r="J369">
        <v>51286</v>
      </c>
      <c r="K369">
        <v>120</v>
      </c>
      <c r="L369" s="4">
        <v>0.04</v>
      </c>
      <c r="M369">
        <v>0.09</v>
      </c>
      <c r="N369" s="4">
        <v>2.0514399999999999</v>
      </c>
      <c r="O369" s="4">
        <v>4.6157399999999997</v>
      </c>
    </row>
    <row r="370" spans="2:15">
      <c r="B370" t="s">
        <v>1428</v>
      </c>
      <c r="C370" t="s">
        <v>761</v>
      </c>
      <c r="D370" t="s">
        <v>2317</v>
      </c>
      <c r="E370" t="s">
        <v>2318</v>
      </c>
      <c r="F370" t="s">
        <v>12</v>
      </c>
      <c r="G370" t="s">
        <v>2317</v>
      </c>
      <c r="H370" t="s">
        <v>2319</v>
      </c>
      <c r="I370" t="s">
        <v>32</v>
      </c>
      <c r="J370">
        <v>48496</v>
      </c>
      <c r="K370">
        <v>122</v>
      </c>
      <c r="L370" s="4">
        <v>0.04</v>
      </c>
      <c r="M370">
        <v>0.09</v>
      </c>
      <c r="N370" s="4">
        <v>1.9398400000000002</v>
      </c>
      <c r="O370" s="4">
        <v>4.3646399999999996</v>
      </c>
    </row>
    <row r="371" spans="2:15">
      <c r="B371" t="s">
        <v>1428</v>
      </c>
      <c r="C371" t="s">
        <v>761</v>
      </c>
      <c r="D371" t="s">
        <v>2320</v>
      </c>
      <c r="E371" t="s">
        <v>2321</v>
      </c>
      <c r="F371" t="s">
        <v>12</v>
      </c>
      <c r="G371" t="s">
        <v>2320</v>
      </c>
      <c r="H371" t="s">
        <v>2322</v>
      </c>
      <c r="I371" t="s">
        <v>32</v>
      </c>
      <c r="J371">
        <v>3962</v>
      </c>
      <c r="K371">
        <v>61</v>
      </c>
      <c r="L371" s="4">
        <v>0.04</v>
      </c>
      <c r="M371">
        <v>0.09</v>
      </c>
      <c r="N371" s="4">
        <v>0.15847999999999998</v>
      </c>
      <c r="O371" s="4">
        <v>0.35658000000000001</v>
      </c>
    </row>
    <row r="372" spans="2:15">
      <c r="B372" t="s">
        <v>1428</v>
      </c>
      <c r="C372" t="s">
        <v>761</v>
      </c>
      <c r="D372" t="s">
        <v>2323</v>
      </c>
      <c r="E372" t="s">
        <v>2324</v>
      </c>
      <c r="F372" t="s">
        <v>12</v>
      </c>
      <c r="G372" t="s">
        <v>2323</v>
      </c>
      <c r="H372" t="s">
        <v>2325</v>
      </c>
      <c r="I372" t="s">
        <v>32</v>
      </c>
      <c r="J372">
        <v>51121</v>
      </c>
      <c r="K372">
        <v>136</v>
      </c>
      <c r="L372" s="4">
        <v>0.04</v>
      </c>
      <c r="M372">
        <v>0.09</v>
      </c>
      <c r="N372" s="4">
        <v>2.0448400000000002</v>
      </c>
      <c r="O372" s="4">
        <v>4.6008899999999997</v>
      </c>
    </row>
    <row r="373" spans="2:15">
      <c r="B373" t="s">
        <v>1428</v>
      </c>
      <c r="C373" t="s">
        <v>761</v>
      </c>
      <c r="D373" t="s">
        <v>2326</v>
      </c>
      <c r="E373" t="s">
        <v>2327</v>
      </c>
      <c r="F373" t="s">
        <v>12</v>
      </c>
      <c r="G373" t="s">
        <v>2326</v>
      </c>
      <c r="H373" t="s">
        <v>2328</v>
      </c>
      <c r="I373" t="s">
        <v>32</v>
      </c>
      <c r="J373">
        <v>48427</v>
      </c>
      <c r="K373">
        <v>99</v>
      </c>
      <c r="L373" s="4">
        <v>0.04</v>
      </c>
      <c r="M373">
        <v>0.09</v>
      </c>
      <c r="N373" s="4">
        <v>1.9370799999999999</v>
      </c>
      <c r="O373" s="4">
        <v>4.3584300000000002</v>
      </c>
    </row>
    <row r="374" spans="2:15">
      <c r="B374" t="s">
        <v>1428</v>
      </c>
      <c r="C374" t="s">
        <v>761</v>
      </c>
      <c r="D374" t="s">
        <v>2329</v>
      </c>
      <c r="E374" t="s">
        <v>2330</v>
      </c>
      <c r="F374" t="s">
        <v>12</v>
      </c>
      <c r="G374" t="s">
        <v>2329</v>
      </c>
      <c r="H374" t="s">
        <v>2331</v>
      </c>
      <c r="I374" t="s">
        <v>32</v>
      </c>
      <c r="J374">
        <v>3913</v>
      </c>
      <c r="K374">
        <v>42</v>
      </c>
      <c r="L374" s="4">
        <v>0.04</v>
      </c>
      <c r="M374">
        <v>0.09</v>
      </c>
      <c r="N374" s="4">
        <v>0.15652000000000002</v>
      </c>
      <c r="O374" s="4">
        <v>0.35216999999999998</v>
      </c>
    </row>
    <row r="375" spans="2:15">
      <c r="B375" t="s">
        <v>1428</v>
      </c>
      <c r="C375" t="s">
        <v>761</v>
      </c>
      <c r="D375" t="s">
        <v>2332</v>
      </c>
      <c r="E375" t="s">
        <v>2333</v>
      </c>
      <c r="F375" t="s">
        <v>12</v>
      </c>
      <c r="G375" t="s">
        <v>2332</v>
      </c>
      <c r="H375" t="s">
        <v>2334</v>
      </c>
      <c r="I375" t="s">
        <v>32</v>
      </c>
      <c r="J375">
        <v>51813</v>
      </c>
      <c r="K375">
        <v>125</v>
      </c>
      <c r="L375" s="4">
        <v>0.04</v>
      </c>
      <c r="M375">
        <v>0.09</v>
      </c>
      <c r="N375" s="4">
        <v>2.0725199999999999</v>
      </c>
      <c r="O375" s="4">
        <v>4.66317</v>
      </c>
    </row>
    <row r="376" spans="2:15">
      <c r="B376" t="s">
        <v>1428</v>
      </c>
      <c r="C376" t="s">
        <v>761</v>
      </c>
      <c r="D376" t="s">
        <v>2335</v>
      </c>
      <c r="E376" t="s">
        <v>2336</v>
      </c>
      <c r="F376" t="s">
        <v>12</v>
      </c>
      <c r="G376" t="s">
        <v>2335</v>
      </c>
      <c r="H376" t="s">
        <v>2337</v>
      </c>
      <c r="I376" t="s">
        <v>32</v>
      </c>
      <c r="J376">
        <v>49051</v>
      </c>
      <c r="K376">
        <v>127</v>
      </c>
      <c r="L376" s="4">
        <v>0.04</v>
      </c>
      <c r="M376">
        <v>0.09</v>
      </c>
      <c r="N376" s="4">
        <v>1.96204</v>
      </c>
      <c r="O376" s="4">
        <v>4.4145900000000005</v>
      </c>
    </row>
    <row r="377" spans="2:15">
      <c r="B377" t="s">
        <v>1428</v>
      </c>
      <c r="C377" t="s">
        <v>761</v>
      </c>
      <c r="D377" t="s">
        <v>2338</v>
      </c>
      <c r="E377" t="s">
        <v>2339</v>
      </c>
      <c r="F377" t="s">
        <v>12</v>
      </c>
      <c r="G377" t="s">
        <v>2338</v>
      </c>
      <c r="H377" t="s">
        <v>2340</v>
      </c>
      <c r="I377" t="s">
        <v>32</v>
      </c>
      <c r="J377">
        <v>4090</v>
      </c>
      <c r="K377">
        <v>55</v>
      </c>
      <c r="L377" s="4">
        <v>0.04</v>
      </c>
      <c r="M377">
        <v>0.09</v>
      </c>
      <c r="N377" s="4">
        <v>0.1636</v>
      </c>
      <c r="O377" s="4">
        <v>0.36809999999999998</v>
      </c>
    </row>
    <row r="378" spans="2:15">
      <c r="B378" t="s">
        <v>1428</v>
      </c>
      <c r="C378" t="s">
        <v>761</v>
      </c>
      <c r="D378" t="s">
        <v>2341</v>
      </c>
      <c r="E378" t="s">
        <v>2342</v>
      </c>
      <c r="F378" t="s">
        <v>12</v>
      </c>
      <c r="G378" t="s">
        <v>2341</v>
      </c>
      <c r="H378" t="s">
        <v>2343</v>
      </c>
      <c r="I378" t="s">
        <v>32</v>
      </c>
      <c r="J378">
        <v>51545</v>
      </c>
      <c r="K378">
        <v>144</v>
      </c>
      <c r="L378" s="4">
        <v>0.04</v>
      </c>
      <c r="M378">
        <v>0.09</v>
      </c>
      <c r="N378" s="4">
        <v>2.0618000000000003</v>
      </c>
      <c r="O378" s="4">
        <v>4.6390500000000001</v>
      </c>
    </row>
    <row r="379" spans="2:15">
      <c r="B379" t="s">
        <v>1428</v>
      </c>
      <c r="C379" t="s">
        <v>761</v>
      </c>
      <c r="D379" t="s">
        <v>2344</v>
      </c>
      <c r="E379" t="s">
        <v>2345</v>
      </c>
      <c r="F379" t="s">
        <v>12</v>
      </c>
      <c r="G379" t="s">
        <v>2344</v>
      </c>
      <c r="H379" t="s">
        <v>2346</v>
      </c>
      <c r="I379" t="s">
        <v>32</v>
      </c>
      <c r="J379">
        <v>49048</v>
      </c>
      <c r="K379">
        <v>119</v>
      </c>
      <c r="L379" s="4">
        <v>0.04</v>
      </c>
      <c r="M379">
        <v>0.09</v>
      </c>
      <c r="N379" s="4">
        <v>1.9619200000000001</v>
      </c>
      <c r="O379" s="4">
        <v>4.41432</v>
      </c>
    </row>
    <row r="380" spans="2:15">
      <c r="B380" t="s">
        <v>1428</v>
      </c>
      <c r="C380" t="s">
        <v>761</v>
      </c>
      <c r="D380" t="s">
        <v>2347</v>
      </c>
      <c r="E380" t="s">
        <v>2348</v>
      </c>
      <c r="F380" t="s">
        <v>10</v>
      </c>
      <c r="G380" t="s">
        <v>2347</v>
      </c>
      <c r="H380" t="s">
        <v>2349</v>
      </c>
      <c r="I380" t="s">
        <v>32</v>
      </c>
      <c r="J380">
        <v>0</v>
      </c>
      <c r="K380">
        <v>10</v>
      </c>
      <c r="L380" s="4">
        <v>3.5000000000000001E-3</v>
      </c>
      <c r="M380">
        <v>0.02</v>
      </c>
      <c r="N380" s="4">
        <v>3.5000000000000003E-2</v>
      </c>
      <c r="O380" s="4">
        <v>0.2</v>
      </c>
    </row>
    <row r="381" spans="2:15">
      <c r="B381" t="s">
        <v>1428</v>
      </c>
      <c r="C381" t="s">
        <v>761</v>
      </c>
      <c r="D381" t="s">
        <v>2350</v>
      </c>
      <c r="E381" t="s">
        <v>2351</v>
      </c>
      <c r="F381" t="s">
        <v>10</v>
      </c>
      <c r="G381" t="s">
        <v>2350</v>
      </c>
      <c r="H381" t="s">
        <v>2352</v>
      </c>
      <c r="I381" t="s">
        <v>32</v>
      </c>
      <c r="J381">
        <v>0</v>
      </c>
      <c r="K381">
        <v>4</v>
      </c>
      <c r="L381" s="4">
        <v>3.5000000000000001E-3</v>
      </c>
      <c r="M381">
        <v>0.02</v>
      </c>
      <c r="N381" s="4">
        <v>1.4E-2</v>
      </c>
      <c r="O381" s="4">
        <v>0.08</v>
      </c>
    </row>
    <row r="382" spans="2:15">
      <c r="B382" t="s">
        <v>1428</v>
      </c>
      <c r="C382" t="s">
        <v>761</v>
      </c>
      <c r="D382" t="s">
        <v>2353</v>
      </c>
      <c r="E382" t="s">
        <v>2354</v>
      </c>
      <c r="F382" t="s">
        <v>10</v>
      </c>
      <c r="G382" t="s">
        <v>2353</v>
      </c>
      <c r="H382" t="s">
        <v>2355</v>
      </c>
      <c r="I382" t="s">
        <v>32</v>
      </c>
      <c r="J382">
        <v>0</v>
      </c>
      <c r="K382">
        <v>7</v>
      </c>
      <c r="L382" s="4">
        <v>3.5000000000000001E-3</v>
      </c>
      <c r="M382">
        <v>0.02</v>
      </c>
      <c r="N382" s="4">
        <v>2.4500000000000001E-2</v>
      </c>
      <c r="O382" s="4">
        <v>0.14000000000000001</v>
      </c>
    </row>
    <row r="383" spans="2:15">
      <c r="B383" t="s">
        <v>1428</v>
      </c>
      <c r="C383" t="s">
        <v>761</v>
      </c>
      <c r="D383" t="s">
        <v>2356</v>
      </c>
      <c r="E383" t="s">
        <v>2357</v>
      </c>
      <c r="F383" t="s">
        <v>10</v>
      </c>
      <c r="G383" t="s">
        <v>2356</v>
      </c>
      <c r="H383" t="s">
        <v>2358</v>
      </c>
      <c r="I383" t="s">
        <v>32</v>
      </c>
      <c r="J383">
        <v>0</v>
      </c>
      <c r="K383">
        <v>5</v>
      </c>
      <c r="L383" s="4">
        <v>3.5000000000000001E-3</v>
      </c>
      <c r="M383">
        <v>0.02</v>
      </c>
      <c r="N383" s="4">
        <v>1.7500000000000002E-2</v>
      </c>
      <c r="O383" s="4">
        <v>0.1</v>
      </c>
    </row>
    <row r="384" spans="2:15">
      <c r="B384" t="s">
        <v>1428</v>
      </c>
      <c r="C384" t="s">
        <v>761</v>
      </c>
      <c r="D384" t="s">
        <v>2359</v>
      </c>
      <c r="E384" t="s">
        <v>2360</v>
      </c>
      <c r="F384" t="s">
        <v>12</v>
      </c>
      <c r="G384" t="s">
        <v>2359</v>
      </c>
      <c r="H384" t="s">
        <v>2361</v>
      </c>
      <c r="I384" t="s">
        <v>32</v>
      </c>
      <c r="J384">
        <v>30428</v>
      </c>
      <c r="K384">
        <v>251</v>
      </c>
      <c r="L384" s="4">
        <v>0.04</v>
      </c>
      <c r="M384">
        <v>0.09</v>
      </c>
      <c r="N384" s="4">
        <v>1.2171200000000002</v>
      </c>
      <c r="O384" s="4">
        <v>2.7385199999999998</v>
      </c>
    </row>
    <row r="385" spans="2:15">
      <c r="B385" t="s">
        <v>1428</v>
      </c>
      <c r="C385" t="s">
        <v>761</v>
      </c>
      <c r="D385" t="s">
        <v>1432</v>
      </c>
      <c r="E385" t="s">
        <v>1433</v>
      </c>
      <c r="F385" t="s">
        <v>12</v>
      </c>
      <c r="G385" t="s">
        <v>1432</v>
      </c>
      <c r="H385" t="s">
        <v>1434</v>
      </c>
      <c r="I385" t="s">
        <v>32</v>
      </c>
      <c r="J385">
        <v>31552</v>
      </c>
      <c r="K385">
        <v>217</v>
      </c>
      <c r="L385" s="4">
        <v>0.04</v>
      </c>
      <c r="M385">
        <v>0.09</v>
      </c>
      <c r="N385" s="4">
        <v>1.2620799999999999</v>
      </c>
      <c r="O385" s="4">
        <v>2.83968</v>
      </c>
    </row>
    <row r="386" spans="2:15">
      <c r="B386" t="s">
        <v>1428</v>
      </c>
      <c r="C386" t="s">
        <v>761</v>
      </c>
      <c r="D386" t="s">
        <v>2362</v>
      </c>
      <c r="E386" t="s">
        <v>2363</v>
      </c>
      <c r="F386" t="s">
        <v>12</v>
      </c>
      <c r="G386" t="s">
        <v>2362</v>
      </c>
      <c r="H386" t="s">
        <v>2364</v>
      </c>
      <c r="I386" t="s">
        <v>32</v>
      </c>
      <c r="J386">
        <v>31628</v>
      </c>
      <c r="K386">
        <v>232</v>
      </c>
      <c r="L386" s="4">
        <v>0.04</v>
      </c>
      <c r="M386">
        <v>0.09</v>
      </c>
      <c r="N386" s="4">
        <v>1.26512</v>
      </c>
      <c r="O386" s="4">
        <v>2.8465199999999999</v>
      </c>
    </row>
    <row r="387" spans="2:15">
      <c r="B387" t="s">
        <v>1428</v>
      </c>
      <c r="C387" t="s">
        <v>761</v>
      </c>
      <c r="D387" t="s">
        <v>2365</v>
      </c>
      <c r="E387" t="s">
        <v>2366</v>
      </c>
      <c r="F387" t="s">
        <v>12</v>
      </c>
      <c r="G387" t="s">
        <v>2365</v>
      </c>
      <c r="H387" t="s">
        <v>2367</v>
      </c>
      <c r="I387" t="s">
        <v>32</v>
      </c>
      <c r="J387">
        <v>31649</v>
      </c>
      <c r="K387">
        <v>225</v>
      </c>
      <c r="L387" s="4">
        <v>0.04</v>
      </c>
      <c r="M387">
        <v>0.09</v>
      </c>
      <c r="N387" s="4">
        <v>1.26596</v>
      </c>
      <c r="O387" s="4">
        <v>2.8484099999999999</v>
      </c>
    </row>
    <row r="388" spans="2:15">
      <c r="B388" t="s">
        <v>1428</v>
      </c>
      <c r="C388" t="s">
        <v>761</v>
      </c>
      <c r="D388" t="s">
        <v>2368</v>
      </c>
      <c r="E388" t="s">
        <v>2369</v>
      </c>
      <c r="F388" t="s">
        <v>12</v>
      </c>
      <c r="G388" t="s">
        <v>2368</v>
      </c>
      <c r="H388" t="s">
        <v>2370</v>
      </c>
      <c r="I388" t="s">
        <v>32</v>
      </c>
      <c r="J388">
        <v>77259</v>
      </c>
      <c r="K388">
        <v>366</v>
      </c>
      <c r="L388" s="4">
        <v>0.04</v>
      </c>
      <c r="M388">
        <v>0.09</v>
      </c>
      <c r="N388" s="4">
        <v>3.09036</v>
      </c>
      <c r="O388" s="4">
        <v>6.9533099999999992</v>
      </c>
    </row>
    <row r="389" spans="2:15">
      <c r="B389" t="s">
        <v>1428</v>
      </c>
      <c r="C389" t="s">
        <v>761</v>
      </c>
      <c r="D389" t="s">
        <v>2371</v>
      </c>
      <c r="E389" t="s">
        <v>2372</v>
      </c>
      <c r="F389" t="s">
        <v>12</v>
      </c>
      <c r="G389" t="s">
        <v>2371</v>
      </c>
      <c r="H389" t="s">
        <v>2373</v>
      </c>
      <c r="I389" t="s">
        <v>32</v>
      </c>
      <c r="J389">
        <v>77344</v>
      </c>
      <c r="K389">
        <v>318</v>
      </c>
      <c r="L389" s="4">
        <v>0.04</v>
      </c>
      <c r="M389">
        <v>0.09</v>
      </c>
      <c r="N389" s="4">
        <v>3.0937600000000001</v>
      </c>
      <c r="O389" s="4">
        <v>6.96096</v>
      </c>
    </row>
    <row r="390" spans="2:15">
      <c r="B390" t="s">
        <v>1428</v>
      </c>
      <c r="C390" t="s">
        <v>761</v>
      </c>
      <c r="D390" t="s">
        <v>2374</v>
      </c>
      <c r="E390" t="s">
        <v>2375</v>
      </c>
      <c r="F390" t="s">
        <v>12</v>
      </c>
      <c r="G390" t="s">
        <v>2374</v>
      </c>
      <c r="H390" t="s">
        <v>2376</v>
      </c>
      <c r="I390" t="s">
        <v>32</v>
      </c>
      <c r="J390">
        <v>77180</v>
      </c>
      <c r="K390">
        <v>315</v>
      </c>
      <c r="L390" s="4">
        <v>0.04</v>
      </c>
      <c r="M390">
        <v>0.09</v>
      </c>
      <c r="N390" s="4">
        <v>3.0872000000000002</v>
      </c>
      <c r="O390" s="4">
        <v>6.9462000000000002</v>
      </c>
    </row>
    <row r="391" spans="2:15">
      <c r="B391" t="s">
        <v>1428</v>
      </c>
      <c r="C391" t="s">
        <v>761</v>
      </c>
      <c r="D391" t="s">
        <v>2377</v>
      </c>
      <c r="E391" t="s">
        <v>2378</v>
      </c>
      <c r="F391" t="s">
        <v>12</v>
      </c>
      <c r="G391" t="s">
        <v>2377</v>
      </c>
      <c r="H391" t="s">
        <v>2379</v>
      </c>
      <c r="I391" t="s">
        <v>32</v>
      </c>
      <c r="J391">
        <v>77393</v>
      </c>
      <c r="K391">
        <v>330</v>
      </c>
      <c r="L391" s="4">
        <v>0.04</v>
      </c>
      <c r="M391">
        <v>0.09</v>
      </c>
      <c r="N391" s="4">
        <v>3.0957200000000005</v>
      </c>
      <c r="O391" s="4">
        <v>6.9653700000000001</v>
      </c>
    </row>
    <row r="392" spans="2:15">
      <c r="B392" t="s">
        <v>109</v>
      </c>
      <c r="C392" t="s">
        <v>50</v>
      </c>
      <c r="D392" t="s">
        <v>110</v>
      </c>
      <c r="E392" t="s">
        <v>111</v>
      </c>
      <c r="F392" t="s">
        <v>12</v>
      </c>
      <c r="G392" t="s">
        <v>110</v>
      </c>
      <c r="H392" t="s">
        <v>112</v>
      </c>
      <c r="I392" t="s">
        <v>32</v>
      </c>
      <c r="J392">
        <v>8</v>
      </c>
      <c r="K392">
        <v>0</v>
      </c>
      <c r="L392" s="4">
        <v>0.04</v>
      </c>
      <c r="M392">
        <v>0.09</v>
      </c>
      <c r="N392" s="4">
        <v>3.2000000000000003E-4</v>
      </c>
      <c r="O392" s="4">
        <v>7.1999999999999994E-4</v>
      </c>
    </row>
    <row r="393" spans="2:15">
      <c r="B393" t="s">
        <v>109</v>
      </c>
      <c r="C393" t="s">
        <v>50</v>
      </c>
      <c r="D393" t="s">
        <v>113</v>
      </c>
      <c r="E393" t="s">
        <v>114</v>
      </c>
      <c r="F393" t="s">
        <v>10</v>
      </c>
      <c r="G393" t="s">
        <v>113</v>
      </c>
      <c r="H393" t="s">
        <v>115</v>
      </c>
      <c r="I393" t="s">
        <v>32</v>
      </c>
      <c r="J393">
        <v>0</v>
      </c>
      <c r="K393">
        <v>25</v>
      </c>
      <c r="L393" s="4">
        <v>3.5000000000000001E-3</v>
      </c>
      <c r="M393">
        <v>0.02</v>
      </c>
      <c r="N393" s="4">
        <v>8.7500000000000008E-2</v>
      </c>
      <c r="O393" s="4">
        <v>0.5</v>
      </c>
    </row>
    <row r="394" spans="2:15">
      <c r="B394" t="s">
        <v>109</v>
      </c>
      <c r="C394" t="s">
        <v>118</v>
      </c>
      <c r="D394" t="s">
        <v>119</v>
      </c>
      <c r="E394" t="s">
        <v>120</v>
      </c>
      <c r="F394" t="s">
        <v>10</v>
      </c>
      <c r="G394" t="s">
        <v>119</v>
      </c>
      <c r="H394" t="s">
        <v>121</v>
      </c>
      <c r="I394" t="s">
        <v>32</v>
      </c>
      <c r="J394">
        <v>155</v>
      </c>
      <c r="K394">
        <v>274</v>
      </c>
      <c r="L394" s="4">
        <v>3.5000000000000001E-3</v>
      </c>
      <c r="M394">
        <v>0.02</v>
      </c>
      <c r="N394" s="4">
        <v>0.95900000000000007</v>
      </c>
      <c r="O394" s="4">
        <v>5.48</v>
      </c>
    </row>
    <row r="395" spans="2:15">
      <c r="B395" t="s">
        <v>109</v>
      </c>
      <c r="C395" t="s">
        <v>118</v>
      </c>
      <c r="D395" t="s">
        <v>122</v>
      </c>
      <c r="E395" t="s">
        <v>123</v>
      </c>
      <c r="F395" t="s">
        <v>12</v>
      </c>
      <c r="G395" t="s">
        <v>122</v>
      </c>
      <c r="H395" t="s">
        <v>124</v>
      </c>
      <c r="I395" t="s">
        <v>32</v>
      </c>
      <c r="J395">
        <v>85</v>
      </c>
      <c r="K395">
        <v>82</v>
      </c>
      <c r="L395" s="4">
        <v>0.04</v>
      </c>
      <c r="M395">
        <v>0.09</v>
      </c>
      <c r="N395" s="4">
        <v>3.3999999999999998E-3</v>
      </c>
      <c r="O395" s="4">
        <v>7.6499999999999997E-3</v>
      </c>
    </row>
    <row r="396" spans="2:15">
      <c r="B396" t="s">
        <v>1435</v>
      </c>
      <c r="C396" t="s">
        <v>762</v>
      </c>
      <c r="D396" t="s">
        <v>1436</v>
      </c>
      <c r="E396" t="s">
        <v>1437</v>
      </c>
      <c r="F396" t="s">
        <v>10</v>
      </c>
      <c r="G396" t="s">
        <v>1436</v>
      </c>
      <c r="H396" t="s">
        <v>1438</v>
      </c>
      <c r="I396" t="s">
        <v>32</v>
      </c>
      <c r="J396">
        <v>0</v>
      </c>
      <c r="K396">
        <v>9</v>
      </c>
      <c r="L396" s="4">
        <v>3.5000000000000001E-3</v>
      </c>
      <c r="M396">
        <v>0.02</v>
      </c>
      <c r="N396" s="4">
        <v>3.15E-2</v>
      </c>
      <c r="O396" s="4">
        <v>0.18</v>
      </c>
    </row>
    <row r="397" spans="2:15">
      <c r="B397" t="s">
        <v>1435</v>
      </c>
      <c r="C397" t="s">
        <v>762</v>
      </c>
      <c r="D397" t="s">
        <v>1439</v>
      </c>
      <c r="E397" t="s">
        <v>1440</v>
      </c>
      <c r="F397" t="s">
        <v>10</v>
      </c>
      <c r="G397" t="s">
        <v>1439</v>
      </c>
      <c r="H397" t="s">
        <v>1441</v>
      </c>
      <c r="I397" t="s">
        <v>32</v>
      </c>
      <c r="J397">
        <v>0</v>
      </c>
      <c r="K397">
        <v>768</v>
      </c>
      <c r="L397" s="4">
        <v>3.5000000000000001E-3</v>
      </c>
      <c r="M397">
        <v>0.02</v>
      </c>
      <c r="N397" s="4">
        <v>2.6880000000000002</v>
      </c>
      <c r="O397" s="4">
        <v>15.36</v>
      </c>
    </row>
    <row r="398" spans="2:15">
      <c r="B398" t="s">
        <v>1435</v>
      </c>
      <c r="C398" t="s">
        <v>762</v>
      </c>
      <c r="D398" t="s">
        <v>1442</v>
      </c>
      <c r="E398" t="s">
        <v>1443</v>
      </c>
      <c r="F398" t="s">
        <v>10</v>
      </c>
      <c r="G398" t="s">
        <v>1442</v>
      </c>
      <c r="H398" t="s">
        <v>1444</v>
      </c>
      <c r="I398" t="s">
        <v>32</v>
      </c>
      <c r="J398">
        <v>0</v>
      </c>
      <c r="K398">
        <v>17</v>
      </c>
      <c r="L398" s="4">
        <v>3.5000000000000001E-3</v>
      </c>
      <c r="M398">
        <v>0.02</v>
      </c>
      <c r="N398" s="4">
        <v>5.9500000000000004E-2</v>
      </c>
      <c r="O398" s="4">
        <v>0.34</v>
      </c>
    </row>
    <row r="399" spans="2:15">
      <c r="B399" t="s">
        <v>1435</v>
      </c>
      <c r="C399" t="s">
        <v>762</v>
      </c>
      <c r="D399" t="s">
        <v>2380</v>
      </c>
      <c r="E399" t="s">
        <v>2381</v>
      </c>
      <c r="F399" t="s">
        <v>10</v>
      </c>
      <c r="G399" t="s">
        <v>2380</v>
      </c>
      <c r="H399" t="s">
        <v>2382</v>
      </c>
      <c r="I399" t="s">
        <v>32</v>
      </c>
      <c r="J399">
        <v>0</v>
      </c>
      <c r="K399">
        <v>2</v>
      </c>
      <c r="L399" s="4">
        <v>3.5000000000000001E-3</v>
      </c>
      <c r="M399">
        <v>0.02</v>
      </c>
      <c r="N399" s="4">
        <v>7.0000000000000001E-3</v>
      </c>
      <c r="O399" s="4">
        <v>0.04</v>
      </c>
    </row>
    <row r="400" spans="2:15">
      <c r="B400" t="s">
        <v>1435</v>
      </c>
      <c r="C400" t="s">
        <v>762</v>
      </c>
      <c r="D400" t="s">
        <v>2383</v>
      </c>
      <c r="E400" t="s">
        <v>2384</v>
      </c>
      <c r="F400" t="s">
        <v>10</v>
      </c>
      <c r="G400" t="s">
        <v>2383</v>
      </c>
      <c r="H400" t="s">
        <v>2385</v>
      </c>
      <c r="I400" t="s">
        <v>32</v>
      </c>
      <c r="J400">
        <v>0</v>
      </c>
      <c r="K400">
        <v>1075</v>
      </c>
      <c r="L400" s="4">
        <v>3.5000000000000001E-3</v>
      </c>
      <c r="M400">
        <v>0.02</v>
      </c>
      <c r="N400" s="4">
        <v>3.7625000000000002</v>
      </c>
      <c r="O400" s="4">
        <v>21.5</v>
      </c>
    </row>
    <row r="401" spans="2:15">
      <c r="B401" t="s">
        <v>1435</v>
      </c>
      <c r="C401" t="s">
        <v>762</v>
      </c>
      <c r="D401" t="s">
        <v>2386</v>
      </c>
      <c r="E401" t="s">
        <v>2387</v>
      </c>
      <c r="F401" t="s">
        <v>10</v>
      </c>
      <c r="G401" t="s">
        <v>2386</v>
      </c>
      <c r="H401" t="s">
        <v>2388</v>
      </c>
      <c r="I401" t="s">
        <v>32</v>
      </c>
      <c r="J401">
        <v>0</v>
      </c>
      <c r="K401">
        <v>1</v>
      </c>
      <c r="L401" s="4">
        <v>3.5000000000000001E-3</v>
      </c>
      <c r="M401">
        <v>0.02</v>
      </c>
      <c r="N401" s="4">
        <v>3.5000000000000001E-3</v>
      </c>
      <c r="O401" s="4">
        <v>0.02</v>
      </c>
    </row>
    <row r="402" spans="2:15">
      <c r="B402" t="s">
        <v>1435</v>
      </c>
      <c r="C402" t="s">
        <v>762</v>
      </c>
      <c r="D402" t="s">
        <v>2389</v>
      </c>
      <c r="E402" t="s">
        <v>2390</v>
      </c>
      <c r="F402" t="s">
        <v>10</v>
      </c>
      <c r="G402" t="s">
        <v>2389</v>
      </c>
      <c r="H402" t="s">
        <v>2391</v>
      </c>
      <c r="I402" t="s">
        <v>32</v>
      </c>
      <c r="J402">
        <v>0</v>
      </c>
      <c r="K402">
        <v>2</v>
      </c>
      <c r="L402" s="4">
        <v>3.5000000000000001E-3</v>
      </c>
      <c r="M402">
        <v>0.02</v>
      </c>
      <c r="N402" s="4">
        <v>7.0000000000000001E-3</v>
      </c>
      <c r="O402" s="4">
        <v>0.04</v>
      </c>
    </row>
    <row r="403" spans="2:15">
      <c r="B403" t="s">
        <v>1435</v>
      </c>
      <c r="C403" t="s">
        <v>762</v>
      </c>
      <c r="D403" t="s">
        <v>2392</v>
      </c>
      <c r="E403" t="s">
        <v>2393</v>
      </c>
      <c r="F403" t="s">
        <v>10</v>
      </c>
      <c r="G403" t="s">
        <v>2392</v>
      </c>
      <c r="H403" t="s">
        <v>2394</v>
      </c>
      <c r="I403" t="s">
        <v>32</v>
      </c>
      <c r="J403">
        <v>0</v>
      </c>
      <c r="K403">
        <v>1</v>
      </c>
      <c r="L403" s="4">
        <v>3.5000000000000001E-3</v>
      </c>
      <c r="M403">
        <v>0.02</v>
      </c>
      <c r="N403" s="4">
        <v>3.5000000000000001E-3</v>
      </c>
      <c r="O403" s="4">
        <v>0.02</v>
      </c>
    </row>
    <row r="404" spans="2:15">
      <c r="B404" t="s">
        <v>1435</v>
      </c>
      <c r="C404" t="s">
        <v>762</v>
      </c>
      <c r="D404" t="s">
        <v>2395</v>
      </c>
      <c r="E404" t="s">
        <v>2396</v>
      </c>
      <c r="F404" t="s">
        <v>10</v>
      </c>
      <c r="G404" t="s">
        <v>2395</v>
      </c>
      <c r="H404" t="s">
        <v>2397</v>
      </c>
      <c r="I404" t="s">
        <v>32</v>
      </c>
      <c r="J404">
        <v>0</v>
      </c>
      <c r="K404">
        <v>1</v>
      </c>
      <c r="L404" s="4">
        <v>3.5000000000000001E-3</v>
      </c>
      <c r="M404">
        <v>0.02</v>
      </c>
      <c r="N404" s="4">
        <v>3.5000000000000001E-3</v>
      </c>
      <c r="O404" s="4">
        <v>0.02</v>
      </c>
    </row>
    <row r="405" spans="2:15">
      <c r="B405" t="s">
        <v>1435</v>
      </c>
      <c r="C405" t="s">
        <v>762</v>
      </c>
      <c r="D405" t="s">
        <v>2398</v>
      </c>
      <c r="E405" t="s">
        <v>2399</v>
      </c>
      <c r="F405" t="s">
        <v>10</v>
      </c>
      <c r="G405" t="s">
        <v>2398</v>
      </c>
      <c r="H405" t="s">
        <v>2400</v>
      </c>
      <c r="I405" t="s">
        <v>32</v>
      </c>
      <c r="J405">
        <v>0</v>
      </c>
      <c r="K405">
        <v>11</v>
      </c>
      <c r="L405" s="4">
        <v>3.5000000000000001E-3</v>
      </c>
      <c r="M405">
        <v>0.02</v>
      </c>
      <c r="N405" s="4">
        <v>3.85E-2</v>
      </c>
      <c r="O405" s="4">
        <v>0.22</v>
      </c>
    </row>
    <row r="406" spans="2:15">
      <c r="B406" t="s">
        <v>1435</v>
      </c>
      <c r="C406" t="s">
        <v>762</v>
      </c>
      <c r="D406" t="s">
        <v>2401</v>
      </c>
      <c r="E406" t="s">
        <v>2402</v>
      </c>
      <c r="F406" t="s">
        <v>10</v>
      </c>
      <c r="G406" t="s">
        <v>2401</v>
      </c>
      <c r="H406" t="s">
        <v>2403</v>
      </c>
      <c r="I406" t="s">
        <v>32</v>
      </c>
      <c r="J406">
        <v>0</v>
      </c>
      <c r="K406">
        <v>6</v>
      </c>
      <c r="L406" s="4">
        <v>3.5000000000000001E-3</v>
      </c>
      <c r="M406">
        <v>0.02</v>
      </c>
      <c r="N406" s="4">
        <v>2.1000000000000001E-2</v>
      </c>
      <c r="O406" s="4">
        <v>0.12</v>
      </c>
    </row>
    <row r="407" spans="2:15">
      <c r="B407" t="s">
        <v>1435</v>
      </c>
      <c r="C407" t="s">
        <v>762</v>
      </c>
      <c r="D407" t="s">
        <v>2404</v>
      </c>
      <c r="E407" t="s">
        <v>2405</v>
      </c>
      <c r="F407" t="s">
        <v>10</v>
      </c>
      <c r="G407" t="s">
        <v>2404</v>
      </c>
      <c r="H407" t="s">
        <v>2406</v>
      </c>
      <c r="I407" t="s">
        <v>32</v>
      </c>
      <c r="J407">
        <v>0</v>
      </c>
      <c r="K407">
        <v>6</v>
      </c>
      <c r="L407" s="4">
        <v>3.5000000000000001E-3</v>
      </c>
      <c r="M407">
        <v>0.02</v>
      </c>
      <c r="N407" s="4">
        <v>2.1000000000000001E-2</v>
      </c>
      <c r="O407" s="4">
        <v>0.12</v>
      </c>
    </row>
    <row r="408" spans="2:15">
      <c r="B408" t="s">
        <v>1445</v>
      </c>
      <c r="C408" t="s">
        <v>52</v>
      </c>
      <c r="D408" t="s">
        <v>1446</v>
      </c>
      <c r="E408" t="s">
        <v>1447</v>
      </c>
      <c r="F408" t="s">
        <v>10</v>
      </c>
      <c r="G408" t="s">
        <v>1446</v>
      </c>
      <c r="H408" t="s">
        <v>1448</v>
      </c>
      <c r="I408" t="s">
        <v>32</v>
      </c>
      <c r="J408">
        <v>0</v>
      </c>
      <c r="K408">
        <v>2523</v>
      </c>
      <c r="L408" s="4">
        <v>3.5000000000000001E-3</v>
      </c>
      <c r="M408">
        <v>0.02</v>
      </c>
      <c r="N408" s="4">
        <v>8.8305000000000007</v>
      </c>
      <c r="O408" s="4">
        <v>50.46</v>
      </c>
    </row>
    <row r="409" spans="2:15">
      <c r="B409" t="s">
        <v>1445</v>
      </c>
      <c r="C409" t="s">
        <v>52</v>
      </c>
      <c r="D409" t="s">
        <v>1449</v>
      </c>
      <c r="E409" t="s">
        <v>1450</v>
      </c>
      <c r="F409" t="s">
        <v>10</v>
      </c>
      <c r="G409" t="s">
        <v>1449</v>
      </c>
      <c r="H409" t="s">
        <v>1451</v>
      </c>
      <c r="I409" t="s">
        <v>32</v>
      </c>
      <c r="J409">
        <v>0</v>
      </c>
      <c r="K409">
        <v>3544</v>
      </c>
      <c r="L409" s="4">
        <v>3.5000000000000001E-3</v>
      </c>
      <c r="M409">
        <v>0.02</v>
      </c>
      <c r="N409" s="4">
        <v>12.404</v>
      </c>
      <c r="O409" s="4">
        <v>70.88</v>
      </c>
    </row>
    <row r="410" spans="2:15">
      <c r="B410" t="s">
        <v>1445</v>
      </c>
      <c r="C410" t="s">
        <v>52</v>
      </c>
      <c r="D410" t="s">
        <v>1452</v>
      </c>
      <c r="E410" t="s">
        <v>1453</v>
      </c>
      <c r="F410" t="s">
        <v>10</v>
      </c>
      <c r="G410" t="s">
        <v>1452</v>
      </c>
      <c r="H410" t="s">
        <v>1454</v>
      </c>
      <c r="I410" t="s">
        <v>32</v>
      </c>
      <c r="J410">
        <v>0</v>
      </c>
      <c r="K410">
        <v>3802</v>
      </c>
      <c r="L410" s="4">
        <v>3.5000000000000001E-3</v>
      </c>
      <c r="M410">
        <v>0.02</v>
      </c>
      <c r="N410" s="4">
        <v>13.307</v>
      </c>
      <c r="O410" s="4">
        <v>76.040000000000006</v>
      </c>
    </row>
    <row r="411" spans="2:15">
      <c r="B411" t="s">
        <v>1445</v>
      </c>
      <c r="C411" t="s">
        <v>52</v>
      </c>
      <c r="D411" t="s">
        <v>1455</v>
      </c>
      <c r="E411" t="s">
        <v>1456</v>
      </c>
      <c r="F411" t="s">
        <v>10</v>
      </c>
      <c r="G411" t="s">
        <v>1455</v>
      </c>
      <c r="H411" t="s">
        <v>1457</v>
      </c>
      <c r="I411" t="s">
        <v>32</v>
      </c>
      <c r="J411">
        <v>0</v>
      </c>
      <c r="K411">
        <v>3717</v>
      </c>
      <c r="L411" s="4">
        <v>3.5000000000000001E-3</v>
      </c>
      <c r="M411">
        <v>0.02</v>
      </c>
      <c r="N411" s="4">
        <v>13.009500000000001</v>
      </c>
      <c r="O411" s="4">
        <v>74.34</v>
      </c>
    </row>
    <row r="412" spans="2:15">
      <c r="B412" t="s">
        <v>1445</v>
      </c>
      <c r="C412" t="s">
        <v>52</v>
      </c>
      <c r="D412" t="s">
        <v>1458</v>
      </c>
      <c r="E412" t="s">
        <v>1459</v>
      </c>
      <c r="F412" t="s">
        <v>10</v>
      </c>
      <c r="G412" t="s">
        <v>1458</v>
      </c>
      <c r="H412" t="s">
        <v>1460</v>
      </c>
      <c r="I412" t="s">
        <v>32</v>
      </c>
      <c r="J412">
        <v>0</v>
      </c>
      <c r="K412">
        <v>3662</v>
      </c>
      <c r="L412" s="4">
        <v>3.5000000000000001E-3</v>
      </c>
      <c r="M412">
        <v>0.02</v>
      </c>
      <c r="N412" s="4">
        <v>12.817</v>
      </c>
      <c r="O412" s="4">
        <v>73.239999999999995</v>
      </c>
    </row>
    <row r="413" spans="2:15">
      <c r="B413" t="s">
        <v>1445</v>
      </c>
      <c r="C413" t="s">
        <v>52</v>
      </c>
      <c r="D413" t="s">
        <v>1461</v>
      </c>
      <c r="E413" t="s">
        <v>1462</v>
      </c>
      <c r="F413" t="s">
        <v>10</v>
      </c>
      <c r="G413" t="s">
        <v>1461</v>
      </c>
      <c r="H413" t="s">
        <v>1463</v>
      </c>
      <c r="I413" t="s">
        <v>32</v>
      </c>
      <c r="J413">
        <v>0</v>
      </c>
      <c r="K413">
        <v>3590</v>
      </c>
      <c r="L413" s="4">
        <v>3.5000000000000001E-3</v>
      </c>
      <c r="M413">
        <v>0.02</v>
      </c>
      <c r="N413" s="4">
        <v>12.565</v>
      </c>
      <c r="O413" s="4">
        <v>71.8</v>
      </c>
    </row>
    <row r="414" spans="2:15">
      <c r="B414" t="s">
        <v>1445</v>
      </c>
      <c r="C414" t="s">
        <v>52</v>
      </c>
      <c r="D414" t="s">
        <v>1464</v>
      </c>
      <c r="E414" t="s">
        <v>1465</v>
      </c>
      <c r="F414" t="s">
        <v>10</v>
      </c>
      <c r="G414" t="s">
        <v>1464</v>
      </c>
      <c r="H414" t="s">
        <v>1466</v>
      </c>
      <c r="I414" t="s">
        <v>32</v>
      </c>
      <c r="J414">
        <v>0</v>
      </c>
      <c r="K414">
        <v>3704</v>
      </c>
      <c r="L414" s="4">
        <v>3.5000000000000001E-3</v>
      </c>
      <c r="M414">
        <v>0.02</v>
      </c>
      <c r="N414" s="4">
        <v>12.964</v>
      </c>
      <c r="O414" s="4">
        <v>74.08</v>
      </c>
    </row>
    <row r="415" spans="2:15">
      <c r="B415" t="s">
        <v>1445</v>
      </c>
      <c r="C415" t="s">
        <v>52</v>
      </c>
      <c r="D415" t="s">
        <v>1467</v>
      </c>
      <c r="E415" t="s">
        <v>1468</v>
      </c>
      <c r="F415" t="s">
        <v>10</v>
      </c>
      <c r="G415" t="s">
        <v>1467</v>
      </c>
      <c r="H415" t="s">
        <v>1469</v>
      </c>
      <c r="I415" t="s">
        <v>32</v>
      </c>
      <c r="J415">
        <v>0</v>
      </c>
      <c r="K415">
        <v>61929</v>
      </c>
      <c r="L415" s="4">
        <v>3.5000000000000001E-3</v>
      </c>
      <c r="M415">
        <v>0.02</v>
      </c>
      <c r="N415" s="4">
        <v>216.75149999999999</v>
      </c>
      <c r="O415" s="4">
        <v>1238.58</v>
      </c>
    </row>
    <row r="416" spans="2:15">
      <c r="B416" t="s">
        <v>125</v>
      </c>
      <c r="C416" t="s">
        <v>95</v>
      </c>
      <c r="D416" t="s">
        <v>2407</v>
      </c>
      <c r="E416" t="s">
        <v>2408</v>
      </c>
      <c r="F416" t="s">
        <v>10</v>
      </c>
      <c r="G416" t="s">
        <v>2407</v>
      </c>
      <c r="H416" t="s">
        <v>2409</v>
      </c>
      <c r="I416" t="s">
        <v>32</v>
      </c>
      <c r="J416">
        <v>0</v>
      </c>
      <c r="K416">
        <v>1</v>
      </c>
      <c r="L416" s="4">
        <v>3.5000000000000001E-3</v>
      </c>
      <c r="M416">
        <v>0.02</v>
      </c>
      <c r="N416" s="4">
        <v>3.5000000000000001E-3</v>
      </c>
      <c r="O416" s="4">
        <v>0.02</v>
      </c>
    </row>
    <row r="417" spans="2:15">
      <c r="B417" t="s">
        <v>125</v>
      </c>
      <c r="C417" t="s">
        <v>95</v>
      </c>
      <c r="D417" t="s">
        <v>126</v>
      </c>
      <c r="E417" t="s">
        <v>127</v>
      </c>
      <c r="F417" t="s">
        <v>10</v>
      </c>
      <c r="G417" t="s">
        <v>126</v>
      </c>
      <c r="H417" t="s">
        <v>128</v>
      </c>
      <c r="I417" t="s">
        <v>32</v>
      </c>
      <c r="J417">
        <v>0</v>
      </c>
      <c r="K417">
        <v>297</v>
      </c>
      <c r="L417" s="4">
        <v>3.5000000000000001E-3</v>
      </c>
      <c r="M417">
        <v>0.02</v>
      </c>
      <c r="N417" s="4">
        <v>1.0395000000000001</v>
      </c>
      <c r="O417" s="4">
        <v>5.94</v>
      </c>
    </row>
    <row r="418" spans="2:15">
      <c r="B418" t="s">
        <v>129</v>
      </c>
      <c r="C418" t="s">
        <v>1032</v>
      </c>
      <c r="D418" t="s">
        <v>1470</v>
      </c>
      <c r="E418" t="s">
        <v>1471</v>
      </c>
      <c r="F418" t="s">
        <v>10</v>
      </c>
      <c r="G418" t="s">
        <v>1470</v>
      </c>
      <c r="H418" t="s">
        <v>1472</v>
      </c>
      <c r="I418" t="s">
        <v>32</v>
      </c>
      <c r="J418">
        <v>0</v>
      </c>
      <c r="K418">
        <v>1197</v>
      </c>
      <c r="L418" s="4">
        <v>3.5000000000000001E-3</v>
      </c>
      <c r="M418">
        <v>0.02</v>
      </c>
      <c r="N418" s="4">
        <v>4.1894999999999998</v>
      </c>
      <c r="O418" s="4">
        <v>23.94</v>
      </c>
    </row>
    <row r="419" spans="2:15">
      <c r="B419" t="s">
        <v>129</v>
      </c>
      <c r="C419" t="s">
        <v>1032</v>
      </c>
      <c r="D419" t="s">
        <v>1473</v>
      </c>
      <c r="E419" t="s">
        <v>1474</v>
      </c>
      <c r="F419" t="s">
        <v>10</v>
      </c>
      <c r="G419" t="s">
        <v>1473</v>
      </c>
      <c r="H419" t="s">
        <v>1475</v>
      </c>
      <c r="I419" t="s">
        <v>32</v>
      </c>
      <c r="J419">
        <v>0</v>
      </c>
      <c r="K419">
        <v>872</v>
      </c>
      <c r="L419" s="4">
        <v>3.5000000000000001E-3</v>
      </c>
      <c r="M419">
        <v>0.02</v>
      </c>
      <c r="N419" s="4">
        <v>3.052</v>
      </c>
      <c r="O419" s="4">
        <v>17.440000000000001</v>
      </c>
    </row>
    <row r="420" spans="2:15">
      <c r="B420" t="s">
        <v>129</v>
      </c>
      <c r="C420" t="s">
        <v>1032</v>
      </c>
      <c r="D420" t="s">
        <v>1476</v>
      </c>
      <c r="E420" t="s">
        <v>1477</v>
      </c>
      <c r="F420" t="s">
        <v>10</v>
      </c>
      <c r="G420" t="s">
        <v>1476</v>
      </c>
      <c r="H420" t="s">
        <v>1478</v>
      </c>
      <c r="I420" t="s">
        <v>32</v>
      </c>
      <c r="J420">
        <v>0</v>
      </c>
      <c r="K420">
        <v>1016</v>
      </c>
      <c r="L420" s="4">
        <v>3.5000000000000001E-3</v>
      </c>
      <c r="M420">
        <v>0.02</v>
      </c>
      <c r="N420" s="4">
        <v>3.556</v>
      </c>
      <c r="O420" s="4">
        <v>20.32</v>
      </c>
    </row>
    <row r="421" spans="2:15">
      <c r="B421" t="s">
        <v>129</v>
      </c>
      <c r="C421" t="s">
        <v>1032</v>
      </c>
      <c r="D421" t="s">
        <v>1479</v>
      </c>
      <c r="E421" t="s">
        <v>1480</v>
      </c>
      <c r="F421" t="s">
        <v>10</v>
      </c>
      <c r="G421" t="s">
        <v>1479</v>
      </c>
      <c r="H421" t="s">
        <v>1481</v>
      </c>
      <c r="I421" t="s">
        <v>32</v>
      </c>
      <c r="J421">
        <v>0</v>
      </c>
      <c r="K421">
        <v>418</v>
      </c>
      <c r="L421" s="4">
        <v>3.5000000000000001E-3</v>
      </c>
      <c r="M421">
        <v>0.02</v>
      </c>
      <c r="N421" s="4">
        <v>1.4630000000000001</v>
      </c>
      <c r="O421" s="4">
        <v>8.36</v>
      </c>
    </row>
    <row r="422" spans="2:15">
      <c r="B422" t="s">
        <v>129</v>
      </c>
      <c r="C422" t="s">
        <v>1032</v>
      </c>
      <c r="D422" t="s">
        <v>1482</v>
      </c>
      <c r="E422" t="s">
        <v>1483</v>
      </c>
      <c r="F422" t="s">
        <v>10</v>
      </c>
      <c r="G422" t="s">
        <v>1482</v>
      </c>
      <c r="H422" t="s">
        <v>1484</v>
      </c>
      <c r="I422" t="s">
        <v>32</v>
      </c>
      <c r="J422">
        <v>0</v>
      </c>
      <c r="K422">
        <v>1576</v>
      </c>
      <c r="L422" s="4">
        <v>3.5000000000000001E-3</v>
      </c>
      <c r="M422">
        <v>0.02</v>
      </c>
      <c r="N422" s="4">
        <v>5.516</v>
      </c>
      <c r="O422" s="4">
        <v>31.52</v>
      </c>
    </row>
    <row r="423" spans="2:15">
      <c r="B423" t="s">
        <v>129</v>
      </c>
      <c r="C423" t="s">
        <v>1032</v>
      </c>
      <c r="D423" t="s">
        <v>1485</v>
      </c>
      <c r="E423" t="s">
        <v>1486</v>
      </c>
      <c r="F423" t="s">
        <v>10</v>
      </c>
      <c r="G423" t="s">
        <v>1485</v>
      </c>
      <c r="H423" t="s">
        <v>1487</v>
      </c>
      <c r="I423" t="s">
        <v>32</v>
      </c>
      <c r="J423">
        <v>0</v>
      </c>
      <c r="K423">
        <v>96</v>
      </c>
      <c r="L423" s="4">
        <v>3.5000000000000001E-3</v>
      </c>
      <c r="M423">
        <v>0.02</v>
      </c>
      <c r="N423" s="4">
        <v>0.33600000000000002</v>
      </c>
      <c r="O423" s="4">
        <v>1.92</v>
      </c>
    </row>
    <row r="424" spans="2:15">
      <c r="B424" t="s">
        <v>129</v>
      </c>
      <c r="C424" t="s">
        <v>1032</v>
      </c>
      <c r="D424" t="s">
        <v>1488</v>
      </c>
      <c r="E424" t="s">
        <v>1489</v>
      </c>
      <c r="F424" t="s">
        <v>10</v>
      </c>
      <c r="G424" t="s">
        <v>1488</v>
      </c>
      <c r="H424" t="s">
        <v>1490</v>
      </c>
      <c r="I424" t="s">
        <v>32</v>
      </c>
      <c r="J424">
        <v>0</v>
      </c>
      <c r="K424">
        <v>178</v>
      </c>
      <c r="L424" s="4">
        <v>3.5000000000000001E-3</v>
      </c>
      <c r="M424">
        <v>0.02</v>
      </c>
      <c r="N424" s="4">
        <v>0.623</v>
      </c>
      <c r="O424" s="4">
        <v>3.56</v>
      </c>
    </row>
    <row r="425" spans="2:15">
      <c r="B425" t="s">
        <v>129</v>
      </c>
      <c r="C425" t="s">
        <v>1032</v>
      </c>
      <c r="D425" t="s">
        <v>1491</v>
      </c>
      <c r="E425" t="s">
        <v>1492</v>
      </c>
      <c r="F425" t="s">
        <v>10</v>
      </c>
      <c r="G425" t="s">
        <v>1491</v>
      </c>
      <c r="H425" t="s">
        <v>1493</v>
      </c>
      <c r="I425" t="s">
        <v>32</v>
      </c>
      <c r="J425">
        <v>0</v>
      </c>
      <c r="K425">
        <v>311</v>
      </c>
      <c r="L425" s="4">
        <v>3.5000000000000001E-3</v>
      </c>
      <c r="M425">
        <v>0.02</v>
      </c>
      <c r="N425" s="4">
        <v>1.0885</v>
      </c>
      <c r="O425" s="4">
        <v>6.22</v>
      </c>
    </row>
    <row r="426" spans="2:15">
      <c r="B426" t="s">
        <v>129</v>
      </c>
      <c r="C426" t="s">
        <v>1032</v>
      </c>
      <c r="D426" t="s">
        <v>1494</v>
      </c>
      <c r="E426" t="s">
        <v>1495</v>
      </c>
      <c r="F426" t="s">
        <v>10</v>
      </c>
      <c r="G426" t="s">
        <v>1494</v>
      </c>
      <c r="H426" t="s">
        <v>1496</v>
      </c>
      <c r="I426" t="s">
        <v>32</v>
      </c>
      <c r="J426">
        <v>0</v>
      </c>
      <c r="K426">
        <v>333</v>
      </c>
      <c r="L426" s="4">
        <v>3.5000000000000001E-3</v>
      </c>
      <c r="M426">
        <v>0.02</v>
      </c>
      <c r="N426" s="4">
        <v>1.1655</v>
      </c>
      <c r="O426" s="4">
        <v>6.66</v>
      </c>
    </row>
    <row r="427" spans="2:15">
      <c r="B427" t="s">
        <v>129</v>
      </c>
      <c r="C427" t="s">
        <v>1032</v>
      </c>
      <c r="D427" t="s">
        <v>1497</v>
      </c>
      <c r="E427" t="s">
        <v>1498</v>
      </c>
      <c r="F427" t="s">
        <v>10</v>
      </c>
      <c r="G427" t="s">
        <v>1497</v>
      </c>
      <c r="H427" t="s">
        <v>1499</v>
      </c>
      <c r="I427" t="s">
        <v>32</v>
      </c>
      <c r="J427">
        <v>0</v>
      </c>
      <c r="K427">
        <v>2336</v>
      </c>
      <c r="L427" s="4">
        <v>3.5000000000000001E-3</v>
      </c>
      <c r="M427">
        <v>0.02</v>
      </c>
      <c r="N427" s="4">
        <v>8.1760000000000002</v>
      </c>
      <c r="O427" s="4">
        <v>46.72</v>
      </c>
    </row>
    <row r="428" spans="2:15">
      <c r="B428" t="s">
        <v>129</v>
      </c>
      <c r="C428" t="s">
        <v>50</v>
      </c>
      <c r="D428" t="s">
        <v>1500</v>
      </c>
      <c r="E428" t="s">
        <v>1501</v>
      </c>
      <c r="F428" t="s">
        <v>12</v>
      </c>
      <c r="G428" t="s">
        <v>1500</v>
      </c>
      <c r="H428" t="s">
        <v>1502</v>
      </c>
      <c r="I428" t="s">
        <v>32</v>
      </c>
      <c r="J428">
        <v>1934120</v>
      </c>
      <c r="K428">
        <v>14102</v>
      </c>
      <c r="L428" s="4">
        <v>0.04</v>
      </c>
      <c r="M428">
        <v>0.09</v>
      </c>
      <c r="N428" s="4">
        <v>77.364800000000002</v>
      </c>
      <c r="O428" s="4">
        <v>174.07079999999999</v>
      </c>
    </row>
    <row r="429" spans="2:15">
      <c r="B429" t="s">
        <v>129</v>
      </c>
      <c r="C429" t="s">
        <v>50</v>
      </c>
      <c r="D429" t="s">
        <v>1503</v>
      </c>
      <c r="E429" t="s">
        <v>1504</v>
      </c>
      <c r="F429" t="s">
        <v>12</v>
      </c>
      <c r="G429" t="s">
        <v>1505</v>
      </c>
      <c r="H429" t="s">
        <v>1506</v>
      </c>
      <c r="I429" t="s">
        <v>31</v>
      </c>
      <c r="J429">
        <v>5924</v>
      </c>
      <c r="K429">
        <v>19</v>
      </c>
      <c r="L429" s="4">
        <v>0.04</v>
      </c>
      <c r="M429">
        <v>0.09</v>
      </c>
      <c r="N429" s="4">
        <v>0.23696</v>
      </c>
      <c r="O429" s="4">
        <v>0.53315999999999997</v>
      </c>
    </row>
    <row r="430" spans="2:15">
      <c r="B430" t="s">
        <v>129</v>
      </c>
      <c r="C430" t="s">
        <v>50</v>
      </c>
      <c r="D430" t="s">
        <v>1507</v>
      </c>
      <c r="E430" t="s">
        <v>1508</v>
      </c>
      <c r="F430" t="s">
        <v>12</v>
      </c>
      <c r="G430" t="s">
        <v>1509</v>
      </c>
      <c r="H430" t="s">
        <v>1510</v>
      </c>
      <c r="I430" t="s">
        <v>31</v>
      </c>
      <c r="J430">
        <v>15678</v>
      </c>
      <c r="K430">
        <v>35</v>
      </c>
      <c r="L430" s="4">
        <v>0.04</v>
      </c>
      <c r="M430">
        <v>0.09</v>
      </c>
      <c r="N430" s="4">
        <v>0.62712000000000001</v>
      </c>
      <c r="O430" s="4">
        <v>1.4110199999999999</v>
      </c>
    </row>
    <row r="431" spans="2:15">
      <c r="B431" t="s">
        <v>129</v>
      </c>
      <c r="C431" t="s">
        <v>50</v>
      </c>
      <c r="D431" t="s">
        <v>2410</v>
      </c>
      <c r="E431" t="s">
        <v>2411</v>
      </c>
      <c r="F431" t="s">
        <v>12</v>
      </c>
      <c r="G431" t="s">
        <v>2412</v>
      </c>
      <c r="H431" t="s">
        <v>2413</v>
      </c>
      <c r="I431" t="s">
        <v>31</v>
      </c>
      <c r="J431">
        <v>8375</v>
      </c>
      <c r="K431">
        <v>35</v>
      </c>
      <c r="L431" s="4">
        <v>0.04</v>
      </c>
      <c r="M431">
        <v>0.09</v>
      </c>
      <c r="N431" s="4">
        <v>0.33500000000000002</v>
      </c>
      <c r="O431" s="4">
        <v>0.75375000000000003</v>
      </c>
    </row>
    <row r="432" spans="2:15">
      <c r="B432" t="s">
        <v>129</v>
      </c>
      <c r="C432" t="s">
        <v>50</v>
      </c>
      <c r="D432" t="s">
        <v>1511</v>
      </c>
      <c r="E432" t="s">
        <v>1512</v>
      </c>
      <c r="F432" t="s">
        <v>12</v>
      </c>
      <c r="G432" t="s">
        <v>2414</v>
      </c>
      <c r="H432" t="s">
        <v>2415</v>
      </c>
      <c r="I432" t="s">
        <v>31</v>
      </c>
      <c r="J432">
        <v>2480</v>
      </c>
      <c r="K432">
        <v>8</v>
      </c>
      <c r="L432" s="4">
        <v>0.04</v>
      </c>
      <c r="M432">
        <v>0.09</v>
      </c>
      <c r="N432" s="4">
        <v>9.9199999999999997E-2</v>
      </c>
      <c r="O432" s="4">
        <v>0.22319999999999998</v>
      </c>
    </row>
    <row r="433" spans="2:15">
      <c r="B433" t="s">
        <v>129</v>
      </c>
      <c r="C433" t="s">
        <v>50</v>
      </c>
      <c r="D433" t="s">
        <v>1513</v>
      </c>
      <c r="E433" t="s">
        <v>1514</v>
      </c>
      <c r="F433" t="s">
        <v>12</v>
      </c>
      <c r="G433" t="s">
        <v>1515</v>
      </c>
      <c r="H433" t="s">
        <v>1516</v>
      </c>
      <c r="I433" t="s">
        <v>31</v>
      </c>
      <c r="J433">
        <v>7897</v>
      </c>
      <c r="K433">
        <v>18</v>
      </c>
      <c r="L433" s="4">
        <v>0.04</v>
      </c>
      <c r="M433">
        <v>0.09</v>
      </c>
      <c r="N433" s="4">
        <v>0.31587999999999999</v>
      </c>
      <c r="O433" s="4">
        <v>0.71072999999999997</v>
      </c>
    </row>
    <row r="434" spans="2:15">
      <c r="B434" t="s">
        <v>129</v>
      </c>
      <c r="C434" t="s">
        <v>50</v>
      </c>
      <c r="D434" t="s">
        <v>2416</v>
      </c>
      <c r="E434" t="s">
        <v>2417</v>
      </c>
      <c r="F434" t="s">
        <v>12</v>
      </c>
      <c r="G434" t="s">
        <v>2418</v>
      </c>
      <c r="H434" t="s">
        <v>2419</v>
      </c>
      <c r="I434" t="s">
        <v>31</v>
      </c>
      <c r="J434">
        <v>6749</v>
      </c>
      <c r="K434">
        <v>40</v>
      </c>
      <c r="L434" s="4">
        <v>0.04</v>
      </c>
      <c r="M434">
        <v>0.09</v>
      </c>
      <c r="N434" s="4">
        <v>0.26995999999999998</v>
      </c>
      <c r="O434" s="4">
        <v>0.60741000000000001</v>
      </c>
    </row>
    <row r="435" spans="2:15">
      <c r="B435" t="s">
        <v>129</v>
      </c>
      <c r="C435" t="s">
        <v>50</v>
      </c>
      <c r="D435" t="s">
        <v>1517</v>
      </c>
      <c r="E435" t="s">
        <v>1518</v>
      </c>
      <c r="F435" t="s">
        <v>12</v>
      </c>
      <c r="G435" t="s">
        <v>2420</v>
      </c>
      <c r="H435" t="s">
        <v>2421</v>
      </c>
      <c r="I435" t="s">
        <v>31</v>
      </c>
      <c r="J435">
        <v>12694</v>
      </c>
      <c r="K435">
        <v>49</v>
      </c>
      <c r="L435" s="4">
        <v>0.04</v>
      </c>
      <c r="M435">
        <v>0.09</v>
      </c>
      <c r="N435" s="4">
        <v>0.50775999999999999</v>
      </c>
      <c r="O435" s="4">
        <v>1.14246</v>
      </c>
    </row>
    <row r="436" spans="2:15">
      <c r="B436" t="s">
        <v>129</v>
      </c>
      <c r="C436" t="s">
        <v>50</v>
      </c>
      <c r="D436" t="s">
        <v>1519</v>
      </c>
      <c r="E436" t="s">
        <v>1520</v>
      </c>
      <c r="F436" t="s">
        <v>12</v>
      </c>
      <c r="G436" t="s">
        <v>1521</v>
      </c>
      <c r="H436" t="s">
        <v>1522</v>
      </c>
      <c r="I436" t="s">
        <v>31</v>
      </c>
      <c r="J436">
        <v>11753</v>
      </c>
      <c r="K436">
        <v>36</v>
      </c>
      <c r="L436" s="4">
        <v>0.04</v>
      </c>
      <c r="M436">
        <v>0.09</v>
      </c>
      <c r="N436" s="4">
        <v>0.47011999999999998</v>
      </c>
      <c r="O436" s="4">
        <v>1.0577699999999999</v>
      </c>
    </row>
    <row r="437" spans="2:15">
      <c r="B437" t="s">
        <v>129</v>
      </c>
      <c r="C437" t="s">
        <v>50</v>
      </c>
      <c r="D437" t="s">
        <v>2422</v>
      </c>
      <c r="E437" t="s">
        <v>2423</v>
      </c>
      <c r="F437" t="s">
        <v>12</v>
      </c>
      <c r="G437" t="s">
        <v>2424</v>
      </c>
      <c r="H437" t="s">
        <v>2425</v>
      </c>
      <c r="I437" t="s">
        <v>31</v>
      </c>
      <c r="J437">
        <v>34976</v>
      </c>
      <c r="K437">
        <v>156</v>
      </c>
      <c r="L437" s="4">
        <v>0.04</v>
      </c>
      <c r="M437">
        <v>0.09</v>
      </c>
      <c r="N437" s="4">
        <v>1.3990400000000001</v>
      </c>
      <c r="O437" s="4">
        <v>3.1478399999999995</v>
      </c>
    </row>
    <row r="438" spans="2:15">
      <c r="B438" t="s">
        <v>129</v>
      </c>
      <c r="C438" t="s">
        <v>50</v>
      </c>
      <c r="D438" t="s">
        <v>2426</v>
      </c>
      <c r="E438" t="s">
        <v>2427</v>
      </c>
      <c r="F438" t="s">
        <v>12</v>
      </c>
      <c r="G438" t="s">
        <v>2428</v>
      </c>
      <c r="H438" t="s">
        <v>2429</v>
      </c>
      <c r="I438" t="s">
        <v>31</v>
      </c>
      <c r="J438">
        <v>20269</v>
      </c>
      <c r="K438">
        <v>138</v>
      </c>
      <c r="L438" s="4">
        <v>0.04</v>
      </c>
      <c r="M438">
        <v>0.09</v>
      </c>
      <c r="N438" s="4">
        <v>0.81076000000000004</v>
      </c>
      <c r="O438" s="4">
        <v>1.8242100000000001</v>
      </c>
    </row>
    <row r="439" spans="2:15">
      <c r="B439" t="s">
        <v>129</v>
      </c>
      <c r="C439" t="s">
        <v>50</v>
      </c>
      <c r="D439" t="s">
        <v>1523</v>
      </c>
      <c r="E439" t="s">
        <v>1524</v>
      </c>
      <c r="F439" t="s">
        <v>12</v>
      </c>
      <c r="G439" t="s">
        <v>2430</v>
      </c>
      <c r="H439" t="s">
        <v>2431</v>
      </c>
      <c r="I439" t="s">
        <v>31</v>
      </c>
      <c r="J439">
        <v>7281</v>
      </c>
      <c r="K439">
        <v>29</v>
      </c>
      <c r="L439" s="4">
        <v>0.04</v>
      </c>
      <c r="M439">
        <v>0.09</v>
      </c>
      <c r="N439" s="4">
        <v>0.29124</v>
      </c>
      <c r="O439" s="4">
        <v>0.65528999999999993</v>
      </c>
    </row>
    <row r="440" spans="2:15">
      <c r="B440" t="s">
        <v>129</v>
      </c>
      <c r="C440" t="s">
        <v>50</v>
      </c>
      <c r="D440" t="s">
        <v>1525</v>
      </c>
      <c r="E440" t="s">
        <v>1526</v>
      </c>
      <c r="F440" t="s">
        <v>12</v>
      </c>
      <c r="G440" t="s">
        <v>1527</v>
      </c>
      <c r="H440" t="s">
        <v>1528</v>
      </c>
      <c r="I440" t="s">
        <v>31</v>
      </c>
      <c r="J440">
        <v>23290</v>
      </c>
      <c r="K440">
        <v>114</v>
      </c>
      <c r="L440" s="4">
        <v>0.04</v>
      </c>
      <c r="M440">
        <v>0.09</v>
      </c>
      <c r="N440" s="4">
        <v>0.93159999999999998</v>
      </c>
      <c r="O440" s="4">
        <v>2.0960999999999999</v>
      </c>
    </row>
    <row r="441" spans="2:15">
      <c r="B441" t="s">
        <v>129</v>
      </c>
      <c r="C441" t="s">
        <v>50</v>
      </c>
      <c r="D441" t="s">
        <v>2432</v>
      </c>
      <c r="E441" t="s">
        <v>2433</v>
      </c>
      <c r="F441" t="s">
        <v>12</v>
      </c>
      <c r="G441" t="s">
        <v>2434</v>
      </c>
      <c r="H441" t="s">
        <v>2435</v>
      </c>
      <c r="I441" t="s">
        <v>31</v>
      </c>
      <c r="J441">
        <v>19598</v>
      </c>
      <c r="K441">
        <v>118</v>
      </c>
      <c r="L441" s="4">
        <v>0.04</v>
      </c>
      <c r="M441">
        <v>0.09</v>
      </c>
      <c r="N441" s="4">
        <v>0.78392000000000006</v>
      </c>
      <c r="O441" s="4">
        <v>1.7638199999999999</v>
      </c>
    </row>
    <row r="442" spans="2:15">
      <c r="B442" t="s">
        <v>129</v>
      </c>
      <c r="C442" t="s">
        <v>50</v>
      </c>
      <c r="D442" t="s">
        <v>1529</v>
      </c>
      <c r="E442" t="s">
        <v>1530</v>
      </c>
      <c r="F442" t="s">
        <v>12</v>
      </c>
      <c r="G442" t="s">
        <v>2436</v>
      </c>
      <c r="H442" t="s">
        <v>2437</v>
      </c>
      <c r="I442" t="s">
        <v>31</v>
      </c>
      <c r="J442">
        <v>28322</v>
      </c>
      <c r="K442">
        <v>133</v>
      </c>
      <c r="L442" s="4">
        <v>0.04</v>
      </c>
      <c r="M442">
        <v>0.09</v>
      </c>
      <c r="N442" s="4">
        <v>1.1328800000000001</v>
      </c>
      <c r="O442" s="4">
        <v>2.5489799999999998</v>
      </c>
    </row>
    <row r="443" spans="2:15">
      <c r="B443" t="s">
        <v>129</v>
      </c>
      <c r="C443" t="s">
        <v>50</v>
      </c>
      <c r="D443" t="s">
        <v>130</v>
      </c>
      <c r="E443" t="s">
        <v>131</v>
      </c>
      <c r="F443" t="s">
        <v>25</v>
      </c>
      <c r="G443" t="s">
        <v>130</v>
      </c>
      <c r="H443" t="s">
        <v>132</v>
      </c>
      <c r="I443" t="s">
        <v>30</v>
      </c>
      <c r="J443">
        <v>1</v>
      </c>
      <c r="K443">
        <v>1</v>
      </c>
      <c r="L443" s="4">
        <v>0.91</v>
      </c>
      <c r="M443">
        <v>0.35</v>
      </c>
      <c r="N443" s="4">
        <v>9.1E-4</v>
      </c>
      <c r="O443" s="4">
        <v>3.5E-4</v>
      </c>
    </row>
    <row r="444" spans="2:15">
      <c r="B444" t="s">
        <v>129</v>
      </c>
      <c r="C444" t="s">
        <v>50</v>
      </c>
      <c r="D444" t="s">
        <v>1531</v>
      </c>
      <c r="E444" t="s">
        <v>1532</v>
      </c>
      <c r="F444" t="s">
        <v>12</v>
      </c>
      <c r="G444" t="s">
        <v>2438</v>
      </c>
      <c r="H444" t="s">
        <v>2439</v>
      </c>
      <c r="I444" t="s">
        <v>31</v>
      </c>
      <c r="J444">
        <v>1691</v>
      </c>
      <c r="K444">
        <v>4</v>
      </c>
      <c r="L444" s="4">
        <v>0.04</v>
      </c>
      <c r="M444">
        <v>0.09</v>
      </c>
      <c r="N444" s="4">
        <v>6.7640000000000006E-2</v>
      </c>
      <c r="O444" s="4">
        <v>0.15218999999999999</v>
      </c>
    </row>
    <row r="445" spans="2:15">
      <c r="B445" t="s">
        <v>129</v>
      </c>
      <c r="C445" t="s">
        <v>50</v>
      </c>
      <c r="D445" t="s">
        <v>1533</v>
      </c>
      <c r="E445" t="s">
        <v>1534</v>
      </c>
      <c r="F445" t="s">
        <v>12</v>
      </c>
      <c r="G445" t="s">
        <v>2440</v>
      </c>
      <c r="H445" t="s">
        <v>2441</v>
      </c>
      <c r="I445" t="s">
        <v>31</v>
      </c>
      <c r="J445">
        <v>2949</v>
      </c>
      <c r="K445">
        <v>9</v>
      </c>
      <c r="L445" s="4">
        <v>0.04</v>
      </c>
      <c r="M445">
        <v>0.09</v>
      </c>
      <c r="N445" s="4">
        <v>0.11796000000000001</v>
      </c>
      <c r="O445" s="4">
        <v>0.26540999999999998</v>
      </c>
    </row>
    <row r="446" spans="2:15">
      <c r="B446" t="s">
        <v>129</v>
      </c>
      <c r="C446" t="s">
        <v>50</v>
      </c>
      <c r="D446" t="s">
        <v>2442</v>
      </c>
      <c r="E446" t="s">
        <v>2443</v>
      </c>
      <c r="F446" t="s">
        <v>12</v>
      </c>
      <c r="G446" t="s">
        <v>2444</v>
      </c>
      <c r="H446" t="s">
        <v>2445</v>
      </c>
      <c r="I446" t="s">
        <v>31</v>
      </c>
      <c r="J446">
        <v>4755</v>
      </c>
      <c r="K446">
        <v>13</v>
      </c>
      <c r="L446" s="4">
        <v>0.04</v>
      </c>
      <c r="M446">
        <v>0.09</v>
      </c>
      <c r="N446" s="4">
        <v>0.19020000000000001</v>
      </c>
      <c r="O446" s="4">
        <v>0.42795</v>
      </c>
    </row>
    <row r="447" spans="2:15">
      <c r="B447" t="s">
        <v>129</v>
      </c>
      <c r="C447" t="s">
        <v>50</v>
      </c>
      <c r="D447" t="s">
        <v>2446</v>
      </c>
      <c r="E447" t="s">
        <v>2447</v>
      </c>
      <c r="F447" t="s">
        <v>12</v>
      </c>
      <c r="G447" t="s">
        <v>2448</v>
      </c>
      <c r="H447" t="s">
        <v>2449</v>
      </c>
      <c r="I447" t="s">
        <v>31</v>
      </c>
      <c r="J447">
        <v>7421</v>
      </c>
      <c r="K447">
        <v>52</v>
      </c>
      <c r="L447" s="4">
        <v>0.04</v>
      </c>
      <c r="M447">
        <v>0.09</v>
      </c>
      <c r="N447" s="4">
        <v>0.29684000000000005</v>
      </c>
      <c r="O447" s="4">
        <v>0.66788999999999998</v>
      </c>
    </row>
    <row r="448" spans="2:15">
      <c r="B448" t="s">
        <v>129</v>
      </c>
      <c r="C448" t="s">
        <v>50</v>
      </c>
      <c r="D448" t="s">
        <v>2450</v>
      </c>
      <c r="E448" t="s">
        <v>2451</v>
      </c>
      <c r="F448" t="s">
        <v>12</v>
      </c>
      <c r="G448" t="s">
        <v>2452</v>
      </c>
      <c r="H448" t="s">
        <v>2453</v>
      </c>
      <c r="I448" t="s">
        <v>31</v>
      </c>
      <c r="J448">
        <v>2550</v>
      </c>
      <c r="K448">
        <v>17</v>
      </c>
      <c r="L448" s="4">
        <v>0.04</v>
      </c>
      <c r="M448">
        <v>0.09</v>
      </c>
      <c r="N448" s="4">
        <v>0.10199999999999999</v>
      </c>
      <c r="O448" s="4">
        <v>0.22950000000000001</v>
      </c>
    </row>
    <row r="449" spans="2:15">
      <c r="B449" t="s">
        <v>129</v>
      </c>
      <c r="C449" t="s">
        <v>50</v>
      </c>
      <c r="D449" t="s">
        <v>1535</v>
      </c>
      <c r="E449" t="s">
        <v>1536</v>
      </c>
      <c r="F449" t="s">
        <v>12</v>
      </c>
      <c r="G449" t="s">
        <v>1537</v>
      </c>
      <c r="H449" t="s">
        <v>1538</v>
      </c>
      <c r="I449" t="s">
        <v>31</v>
      </c>
      <c r="J449">
        <v>3822</v>
      </c>
      <c r="K449">
        <v>21</v>
      </c>
      <c r="L449" s="4">
        <v>0.04</v>
      </c>
      <c r="M449">
        <v>0.09</v>
      </c>
      <c r="N449" s="4">
        <v>0.15287999999999999</v>
      </c>
      <c r="O449" s="4">
        <v>0.34397999999999995</v>
      </c>
    </row>
    <row r="450" spans="2:15">
      <c r="B450" t="s">
        <v>129</v>
      </c>
      <c r="C450" t="s">
        <v>50</v>
      </c>
      <c r="D450" t="s">
        <v>1539</v>
      </c>
      <c r="E450" t="s">
        <v>1540</v>
      </c>
      <c r="F450" t="s">
        <v>12</v>
      </c>
      <c r="G450" t="s">
        <v>2454</v>
      </c>
      <c r="H450" t="s">
        <v>2455</v>
      </c>
      <c r="I450" t="s">
        <v>31</v>
      </c>
      <c r="J450">
        <v>718</v>
      </c>
      <c r="K450">
        <v>1</v>
      </c>
      <c r="L450" s="4">
        <v>0.04</v>
      </c>
      <c r="M450">
        <v>0.09</v>
      </c>
      <c r="N450" s="4">
        <v>2.8719999999999999E-2</v>
      </c>
      <c r="O450" s="4">
        <v>6.4620000000000011E-2</v>
      </c>
    </row>
    <row r="451" spans="2:15">
      <c r="B451" t="s">
        <v>129</v>
      </c>
      <c r="C451" t="s">
        <v>50</v>
      </c>
      <c r="D451" t="s">
        <v>1541</v>
      </c>
      <c r="E451" t="s">
        <v>1542</v>
      </c>
      <c r="F451" t="s">
        <v>12</v>
      </c>
      <c r="G451" t="s">
        <v>1543</v>
      </c>
      <c r="H451" t="s">
        <v>1544</v>
      </c>
      <c r="I451" t="s">
        <v>31</v>
      </c>
      <c r="J451">
        <v>1240</v>
      </c>
      <c r="K451">
        <v>9</v>
      </c>
      <c r="L451" s="4">
        <v>0.04</v>
      </c>
      <c r="M451">
        <v>0.09</v>
      </c>
      <c r="N451" s="4">
        <v>4.9599999999999998E-2</v>
      </c>
      <c r="O451" s="4">
        <v>0.11159999999999999</v>
      </c>
    </row>
    <row r="452" spans="2:15">
      <c r="B452" t="s">
        <v>129</v>
      </c>
      <c r="C452" t="s">
        <v>50</v>
      </c>
      <c r="D452" t="s">
        <v>1545</v>
      </c>
      <c r="E452" t="s">
        <v>1546</v>
      </c>
      <c r="F452" t="s">
        <v>12</v>
      </c>
      <c r="G452" t="s">
        <v>2456</v>
      </c>
      <c r="H452" t="s">
        <v>2457</v>
      </c>
      <c r="I452" t="s">
        <v>31</v>
      </c>
      <c r="J452">
        <v>2908</v>
      </c>
      <c r="K452">
        <v>10</v>
      </c>
      <c r="L452" s="4">
        <v>0.04</v>
      </c>
      <c r="M452">
        <v>0.09</v>
      </c>
      <c r="N452" s="4">
        <v>0.11632000000000001</v>
      </c>
      <c r="O452" s="4">
        <v>0.26171999999999995</v>
      </c>
    </row>
    <row r="453" spans="2:15">
      <c r="B453" t="s">
        <v>129</v>
      </c>
      <c r="C453" t="s">
        <v>50</v>
      </c>
      <c r="D453" t="s">
        <v>1547</v>
      </c>
      <c r="E453" t="s">
        <v>1548</v>
      </c>
      <c r="F453" t="s">
        <v>12</v>
      </c>
      <c r="G453" t="s">
        <v>2458</v>
      </c>
      <c r="H453" t="s">
        <v>2459</v>
      </c>
      <c r="I453" t="s">
        <v>31</v>
      </c>
      <c r="J453">
        <v>4356</v>
      </c>
      <c r="K453">
        <v>24</v>
      </c>
      <c r="L453" s="4">
        <v>0.04</v>
      </c>
      <c r="M453">
        <v>0.09</v>
      </c>
      <c r="N453" s="4">
        <v>0.17424000000000001</v>
      </c>
      <c r="O453" s="4">
        <v>0.39203999999999994</v>
      </c>
    </row>
    <row r="454" spans="2:15">
      <c r="B454" t="s">
        <v>129</v>
      </c>
      <c r="C454" t="s">
        <v>50</v>
      </c>
      <c r="D454" t="s">
        <v>2460</v>
      </c>
      <c r="E454" t="s">
        <v>2461</v>
      </c>
      <c r="F454" t="s">
        <v>12</v>
      </c>
      <c r="G454" t="s">
        <v>2462</v>
      </c>
      <c r="H454" t="s">
        <v>2463</v>
      </c>
      <c r="I454" t="s">
        <v>31</v>
      </c>
      <c r="J454">
        <v>2501</v>
      </c>
      <c r="K454">
        <v>13</v>
      </c>
      <c r="L454" s="4">
        <v>0.04</v>
      </c>
      <c r="M454">
        <v>0.09</v>
      </c>
      <c r="N454" s="4">
        <v>0.10004</v>
      </c>
      <c r="O454" s="4">
        <v>0.22509000000000001</v>
      </c>
    </row>
    <row r="455" spans="2:15">
      <c r="B455" t="s">
        <v>129</v>
      </c>
      <c r="C455" t="s">
        <v>50</v>
      </c>
      <c r="D455" t="s">
        <v>2464</v>
      </c>
      <c r="E455" t="s">
        <v>2465</v>
      </c>
      <c r="F455" t="s">
        <v>12</v>
      </c>
      <c r="G455" t="s">
        <v>2466</v>
      </c>
      <c r="H455" t="s">
        <v>2467</v>
      </c>
      <c r="I455" t="s">
        <v>31</v>
      </c>
      <c r="J455">
        <v>3654</v>
      </c>
      <c r="K455">
        <v>42</v>
      </c>
      <c r="L455" s="4">
        <v>0.04</v>
      </c>
      <c r="M455">
        <v>0.09</v>
      </c>
      <c r="N455" s="4">
        <v>0.14615999999999998</v>
      </c>
      <c r="O455" s="4">
        <v>0.32886000000000004</v>
      </c>
    </row>
    <row r="456" spans="2:15">
      <c r="B456" t="s">
        <v>129</v>
      </c>
      <c r="C456" t="s">
        <v>50</v>
      </c>
      <c r="D456" t="s">
        <v>1549</v>
      </c>
      <c r="E456" t="s">
        <v>1550</v>
      </c>
      <c r="F456" t="s">
        <v>12</v>
      </c>
      <c r="G456" t="s">
        <v>1551</v>
      </c>
      <c r="H456" t="s">
        <v>1552</v>
      </c>
      <c r="I456" t="s">
        <v>31</v>
      </c>
      <c r="J456">
        <v>3499</v>
      </c>
      <c r="K456">
        <v>6</v>
      </c>
      <c r="L456" s="4">
        <v>0.04</v>
      </c>
      <c r="M456">
        <v>0.09</v>
      </c>
      <c r="N456" s="4">
        <v>0.13996</v>
      </c>
      <c r="O456" s="4">
        <v>0.31490999999999997</v>
      </c>
    </row>
    <row r="457" spans="2:15">
      <c r="B457" t="s">
        <v>129</v>
      </c>
      <c r="C457" t="s">
        <v>50</v>
      </c>
      <c r="D457" t="s">
        <v>1553</v>
      </c>
      <c r="E457" t="s">
        <v>1554</v>
      </c>
      <c r="F457" t="s">
        <v>12</v>
      </c>
      <c r="G457" t="s">
        <v>1555</v>
      </c>
      <c r="H457" t="s">
        <v>1556</v>
      </c>
      <c r="I457" t="s">
        <v>31</v>
      </c>
      <c r="J457">
        <v>6623</v>
      </c>
      <c r="K457">
        <v>42</v>
      </c>
      <c r="L457" s="4">
        <v>0.04</v>
      </c>
      <c r="M457">
        <v>0.09</v>
      </c>
      <c r="N457" s="4">
        <v>0.26491999999999999</v>
      </c>
      <c r="O457" s="4">
        <v>0.59606999999999999</v>
      </c>
    </row>
    <row r="458" spans="2:15">
      <c r="B458" t="s">
        <v>129</v>
      </c>
      <c r="C458" t="s">
        <v>1557</v>
      </c>
      <c r="D458" t="s">
        <v>1558</v>
      </c>
      <c r="E458" t="s">
        <v>1559</v>
      </c>
      <c r="F458" t="s">
        <v>10</v>
      </c>
      <c r="G458" t="s">
        <v>1558</v>
      </c>
      <c r="H458" t="s">
        <v>1560</v>
      </c>
      <c r="I458" t="s">
        <v>32</v>
      </c>
      <c r="J458">
        <v>0</v>
      </c>
      <c r="K458">
        <v>43</v>
      </c>
      <c r="L458" s="4">
        <v>3.5000000000000001E-3</v>
      </c>
      <c r="M458">
        <v>0.02</v>
      </c>
      <c r="N458" s="4">
        <v>0.15049999999999999</v>
      </c>
      <c r="O458" s="4">
        <v>0.86</v>
      </c>
    </row>
    <row r="459" spans="2:15">
      <c r="B459" t="s">
        <v>129</v>
      </c>
      <c r="C459" t="s">
        <v>1557</v>
      </c>
      <c r="D459" t="s">
        <v>1561</v>
      </c>
      <c r="E459" t="s">
        <v>1562</v>
      </c>
      <c r="F459" t="s">
        <v>10</v>
      </c>
      <c r="G459" t="s">
        <v>1561</v>
      </c>
      <c r="H459" t="s">
        <v>1563</v>
      </c>
      <c r="I459" t="s">
        <v>32</v>
      </c>
      <c r="J459">
        <v>0</v>
      </c>
      <c r="K459">
        <v>696</v>
      </c>
      <c r="L459" s="4">
        <v>3.5000000000000001E-3</v>
      </c>
      <c r="M459">
        <v>0.02</v>
      </c>
      <c r="N459" s="4">
        <v>2.4359999999999999</v>
      </c>
      <c r="O459" s="4">
        <v>13.92</v>
      </c>
    </row>
    <row r="460" spans="2:15">
      <c r="B460" t="s">
        <v>129</v>
      </c>
      <c r="C460" t="s">
        <v>1557</v>
      </c>
      <c r="D460" t="s">
        <v>1564</v>
      </c>
      <c r="E460" t="s">
        <v>1565</v>
      </c>
      <c r="F460" t="s">
        <v>10</v>
      </c>
      <c r="G460" t="s">
        <v>1564</v>
      </c>
      <c r="H460" t="s">
        <v>1566</v>
      </c>
      <c r="I460" t="s">
        <v>32</v>
      </c>
      <c r="J460">
        <v>0</v>
      </c>
      <c r="K460">
        <v>590</v>
      </c>
      <c r="L460" s="4">
        <v>3.5000000000000001E-3</v>
      </c>
      <c r="M460">
        <v>0.02</v>
      </c>
      <c r="N460" s="4">
        <v>2.0649999999999999</v>
      </c>
      <c r="O460" s="4">
        <v>11.8</v>
      </c>
    </row>
    <row r="461" spans="2:15">
      <c r="B461" t="s">
        <v>129</v>
      </c>
      <c r="C461" t="s">
        <v>1557</v>
      </c>
      <c r="D461" t="s">
        <v>1567</v>
      </c>
      <c r="E461" t="s">
        <v>1568</v>
      </c>
      <c r="F461" t="s">
        <v>10</v>
      </c>
      <c r="G461" t="s">
        <v>1567</v>
      </c>
      <c r="H461" t="s">
        <v>1569</v>
      </c>
      <c r="I461" t="s">
        <v>32</v>
      </c>
      <c r="J461">
        <v>0</v>
      </c>
      <c r="K461">
        <v>28689</v>
      </c>
      <c r="L461" s="4">
        <v>3.5000000000000001E-3</v>
      </c>
      <c r="M461">
        <v>0.02</v>
      </c>
      <c r="N461" s="4">
        <v>100.4115</v>
      </c>
      <c r="O461" s="4">
        <v>573.78</v>
      </c>
    </row>
    <row r="462" spans="2:15">
      <c r="B462" t="s">
        <v>129</v>
      </c>
      <c r="C462" t="s">
        <v>1557</v>
      </c>
      <c r="D462" t="s">
        <v>1570</v>
      </c>
      <c r="E462" t="s">
        <v>1571</v>
      </c>
      <c r="F462" t="s">
        <v>10</v>
      </c>
      <c r="G462" t="s">
        <v>1570</v>
      </c>
      <c r="H462" t="s">
        <v>1572</v>
      </c>
      <c r="I462" t="s">
        <v>32</v>
      </c>
      <c r="J462">
        <v>0</v>
      </c>
      <c r="K462">
        <v>772</v>
      </c>
      <c r="L462" s="4">
        <v>3.5000000000000001E-3</v>
      </c>
      <c r="M462">
        <v>0.02</v>
      </c>
      <c r="N462" s="4">
        <v>2.702</v>
      </c>
      <c r="O462" s="4">
        <v>15.44</v>
      </c>
    </row>
    <row r="463" spans="2:15">
      <c r="B463" t="s">
        <v>129</v>
      </c>
      <c r="C463" t="s">
        <v>1557</v>
      </c>
      <c r="D463" t="s">
        <v>1573</v>
      </c>
      <c r="E463" t="s">
        <v>1574</v>
      </c>
      <c r="F463" t="s">
        <v>10</v>
      </c>
      <c r="G463" t="s">
        <v>1573</v>
      </c>
      <c r="H463" t="s">
        <v>1575</v>
      </c>
      <c r="I463" t="s">
        <v>32</v>
      </c>
      <c r="J463">
        <v>0</v>
      </c>
      <c r="K463">
        <v>401</v>
      </c>
      <c r="L463" s="4">
        <v>3.5000000000000001E-3</v>
      </c>
      <c r="M463">
        <v>0.02</v>
      </c>
      <c r="N463" s="4">
        <v>1.4035</v>
      </c>
      <c r="O463" s="4">
        <v>8.02</v>
      </c>
    </row>
    <row r="464" spans="2:15">
      <c r="B464" t="s">
        <v>129</v>
      </c>
      <c r="C464" t="s">
        <v>1557</v>
      </c>
      <c r="D464" t="s">
        <v>1576</v>
      </c>
      <c r="E464" t="s">
        <v>1577</v>
      </c>
      <c r="F464" t="s">
        <v>10</v>
      </c>
      <c r="G464" t="s">
        <v>1576</v>
      </c>
      <c r="H464" t="s">
        <v>1578</v>
      </c>
      <c r="I464" t="s">
        <v>32</v>
      </c>
      <c r="J464">
        <v>0</v>
      </c>
      <c r="K464">
        <v>192</v>
      </c>
      <c r="L464" s="4">
        <v>3.5000000000000001E-3</v>
      </c>
      <c r="M464">
        <v>0.02</v>
      </c>
      <c r="N464" s="4">
        <v>0.67200000000000004</v>
      </c>
      <c r="O464" s="4">
        <v>3.84</v>
      </c>
    </row>
    <row r="465" spans="2:15">
      <c r="B465" t="s">
        <v>129</v>
      </c>
      <c r="C465" t="s">
        <v>1557</v>
      </c>
      <c r="D465" t="s">
        <v>1579</v>
      </c>
      <c r="E465" t="s">
        <v>1580</v>
      </c>
      <c r="F465" t="s">
        <v>10</v>
      </c>
      <c r="G465" t="s">
        <v>1579</v>
      </c>
      <c r="H465" t="s">
        <v>1581</v>
      </c>
      <c r="I465" t="s">
        <v>32</v>
      </c>
      <c r="J465">
        <v>0</v>
      </c>
      <c r="K465">
        <v>526</v>
      </c>
      <c r="L465" s="4">
        <v>3.5000000000000001E-3</v>
      </c>
      <c r="M465">
        <v>0.02</v>
      </c>
      <c r="N465" s="4">
        <v>1.841</v>
      </c>
      <c r="O465" s="4">
        <v>10.52</v>
      </c>
    </row>
    <row r="466" spans="2:15">
      <c r="B466" t="s">
        <v>129</v>
      </c>
      <c r="C466" t="s">
        <v>1557</v>
      </c>
      <c r="D466" t="s">
        <v>1582</v>
      </c>
      <c r="E466" t="s">
        <v>1583</v>
      </c>
      <c r="F466" t="s">
        <v>10</v>
      </c>
      <c r="G466" t="s">
        <v>1582</v>
      </c>
      <c r="H466" t="s">
        <v>1584</v>
      </c>
      <c r="I466" t="s">
        <v>32</v>
      </c>
      <c r="J466">
        <v>0</v>
      </c>
      <c r="K466">
        <v>498</v>
      </c>
      <c r="L466" s="4">
        <v>3.5000000000000001E-3</v>
      </c>
      <c r="M466">
        <v>0.02</v>
      </c>
      <c r="N466" s="4">
        <v>1.7430000000000001</v>
      </c>
      <c r="O466" s="4">
        <v>9.9600000000000009</v>
      </c>
    </row>
    <row r="467" spans="2:15">
      <c r="B467" t="s">
        <v>129</v>
      </c>
      <c r="C467" t="s">
        <v>1557</v>
      </c>
      <c r="D467" t="s">
        <v>1585</v>
      </c>
      <c r="E467" t="s">
        <v>1586</v>
      </c>
      <c r="F467" t="s">
        <v>10</v>
      </c>
      <c r="G467" t="s">
        <v>1585</v>
      </c>
      <c r="H467" t="s">
        <v>1587</v>
      </c>
      <c r="I467" t="s">
        <v>32</v>
      </c>
      <c r="J467">
        <v>0</v>
      </c>
      <c r="K467">
        <v>461</v>
      </c>
      <c r="L467" s="4">
        <v>3.5000000000000001E-3</v>
      </c>
      <c r="M467">
        <v>0.02</v>
      </c>
      <c r="N467" s="4">
        <v>1.6134999999999999</v>
      </c>
      <c r="O467" s="4">
        <v>9.2200000000000006</v>
      </c>
    </row>
    <row r="468" spans="2:15">
      <c r="B468" t="s">
        <v>129</v>
      </c>
      <c r="C468" t="s">
        <v>118</v>
      </c>
      <c r="D468" t="s">
        <v>1588</v>
      </c>
      <c r="E468" t="s">
        <v>1589</v>
      </c>
      <c r="F468" t="s">
        <v>10</v>
      </c>
      <c r="G468" t="s">
        <v>1588</v>
      </c>
      <c r="H468" t="s">
        <v>1590</v>
      </c>
      <c r="I468" t="s">
        <v>32</v>
      </c>
      <c r="J468">
        <v>0</v>
      </c>
      <c r="K468">
        <v>76</v>
      </c>
      <c r="L468" s="4">
        <v>3.5000000000000001E-3</v>
      </c>
      <c r="M468">
        <v>0.02</v>
      </c>
      <c r="N468" s="4">
        <v>0.26600000000000001</v>
      </c>
      <c r="O468" s="4">
        <v>1.52</v>
      </c>
    </row>
    <row r="469" spans="2:15">
      <c r="B469" t="s">
        <v>129</v>
      </c>
      <c r="C469" t="s">
        <v>118</v>
      </c>
      <c r="D469" t="s">
        <v>1591</v>
      </c>
      <c r="E469" t="s">
        <v>1592</v>
      </c>
      <c r="F469" t="s">
        <v>10</v>
      </c>
      <c r="G469" t="s">
        <v>1591</v>
      </c>
      <c r="H469" t="s">
        <v>1593</v>
      </c>
      <c r="I469" t="s">
        <v>32</v>
      </c>
      <c r="J469">
        <v>0</v>
      </c>
      <c r="K469">
        <v>141</v>
      </c>
      <c r="L469" s="4">
        <v>3.5000000000000001E-3</v>
      </c>
      <c r="M469">
        <v>0.02</v>
      </c>
      <c r="N469" s="4">
        <v>0.49349999999999999</v>
      </c>
      <c r="O469" s="4">
        <v>2.82</v>
      </c>
    </row>
    <row r="470" spans="2:15">
      <c r="B470" t="s">
        <v>129</v>
      </c>
      <c r="C470" t="s">
        <v>118</v>
      </c>
      <c r="D470" t="s">
        <v>1594</v>
      </c>
      <c r="E470" t="s">
        <v>1595</v>
      </c>
      <c r="F470" t="s">
        <v>10</v>
      </c>
      <c r="G470" t="s">
        <v>1594</v>
      </c>
      <c r="H470" t="s">
        <v>1596</v>
      </c>
      <c r="I470" t="s">
        <v>32</v>
      </c>
      <c r="J470">
        <v>0</v>
      </c>
      <c r="K470">
        <v>286</v>
      </c>
      <c r="L470" s="4">
        <v>3.5000000000000001E-3</v>
      </c>
      <c r="M470">
        <v>0.02</v>
      </c>
      <c r="N470" s="4">
        <v>1.0010000000000001</v>
      </c>
      <c r="O470" s="4">
        <v>5.72</v>
      </c>
    </row>
    <row r="471" spans="2:15">
      <c r="B471" t="s">
        <v>129</v>
      </c>
      <c r="C471" t="s">
        <v>118</v>
      </c>
      <c r="D471" t="s">
        <v>1597</v>
      </c>
      <c r="E471" t="s">
        <v>1598</v>
      </c>
      <c r="F471" t="s">
        <v>10</v>
      </c>
      <c r="G471" t="s">
        <v>1597</v>
      </c>
      <c r="H471" t="s">
        <v>1599</v>
      </c>
      <c r="I471" t="s">
        <v>32</v>
      </c>
      <c r="J471">
        <v>0</v>
      </c>
      <c r="K471">
        <v>1</v>
      </c>
      <c r="L471" s="4">
        <v>3.5000000000000001E-3</v>
      </c>
      <c r="M471">
        <v>0.02</v>
      </c>
      <c r="N471" s="4">
        <v>3.5000000000000001E-3</v>
      </c>
      <c r="O471" s="4">
        <v>0.02</v>
      </c>
    </row>
    <row r="472" spans="2:15">
      <c r="B472" t="s">
        <v>129</v>
      </c>
      <c r="C472" t="s">
        <v>118</v>
      </c>
      <c r="D472" t="s">
        <v>1600</v>
      </c>
      <c r="E472" t="s">
        <v>1601</v>
      </c>
      <c r="F472" t="s">
        <v>10</v>
      </c>
      <c r="G472" t="s">
        <v>1600</v>
      </c>
      <c r="H472" t="s">
        <v>1602</v>
      </c>
      <c r="I472" t="s">
        <v>32</v>
      </c>
      <c r="J472">
        <v>0</v>
      </c>
      <c r="K472">
        <v>321</v>
      </c>
      <c r="L472" s="4">
        <v>3.5000000000000001E-3</v>
      </c>
      <c r="M472">
        <v>0.02</v>
      </c>
      <c r="N472" s="4">
        <v>1.1234999999999999</v>
      </c>
      <c r="O472" s="4">
        <v>6.42</v>
      </c>
    </row>
    <row r="473" spans="2:15">
      <c r="B473" t="s">
        <v>129</v>
      </c>
      <c r="C473" t="s">
        <v>118</v>
      </c>
      <c r="D473" t="s">
        <v>1603</v>
      </c>
      <c r="E473" t="s">
        <v>1604</v>
      </c>
      <c r="F473" t="s">
        <v>10</v>
      </c>
      <c r="G473" t="s">
        <v>1603</v>
      </c>
      <c r="H473" t="s">
        <v>1605</v>
      </c>
      <c r="I473" t="s">
        <v>32</v>
      </c>
      <c r="J473">
        <v>0</v>
      </c>
      <c r="K473">
        <v>1</v>
      </c>
      <c r="L473" s="4">
        <v>3.5000000000000001E-3</v>
      </c>
      <c r="M473">
        <v>0.02</v>
      </c>
      <c r="N473" s="4">
        <v>3.5000000000000001E-3</v>
      </c>
      <c r="O473" s="4">
        <v>0.02</v>
      </c>
    </row>
    <row r="474" spans="2:15">
      <c r="B474" t="s">
        <v>129</v>
      </c>
      <c r="C474" t="s">
        <v>118</v>
      </c>
      <c r="D474" t="s">
        <v>1606</v>
      </c>
      <c r="E474" t="s">
        <v>1607</v>
      </c>
      <c r="F474" t="s">
        <v>10</v>
      </c>
      <c r="G474" t="s">
        <v>1606</v>
      </c>
      <c r="H474" t="s">
        <v>1608</v>
      </c>
      <c r="I474" t="s">
        <v>32</v>
      </c>
      <c r="J474">
        <v>0</v>
      </c>
      <c r="K474">
        <v>120</v>
      </c>
      <c r="L474" s="4">
        <v>3.5000000000000001E-3</v>
      </c>
      <c r="M474">
        <v>0.02</v>
      </c>
      <c r="N474" s="4">
        <v>0.42</v>
      </c>
      <c r="O474" s="4">
        <v>2.4</v>
      </c>
    </row>
    <row r="475" spans="2:15">
      <c r="B475" t="s">
        <v>129</v>
      </c>
      <c r="C475" t="s">
        <v>118</v>
      </c>
      <c r="D475" t="s">
        <v>1609</v>
      </c>
      <c r="E475" t="s">
        <v>1610</v>
      </c>
      <c r="F475" t="s">
        <v>10</v>
      </c>
      <c r="G475" t="s">
        <v>1609</v>
      </c>
      <c r="H475" t="s">
        <v>1611</v>
      </c>
      <c r="I475" t="s">
        <v>32</v>
      </c>
      <c r="J475">
        <v>0</v>
      </c>
      <c r="K475">
        <v>176</v>
      </c>
      <c r="L475" s="4">
        <v>3.5000000000000001E-3</v>
      </c>
      <c r="M475">
        <v>0.02</v>
      </c>
      <c r="N475" s="4">
        <v>0.61599999999999999</v>
      </c>
      <c r="O475" s="4">
        <v>3.52</v>
      </c>
    </row>
    <row r="476" spans="2:15">
      <c r="B476" t="s">
        <v>129</v>
      </c>
      <c r="C476" t="s">
        <v>118</v>
      </c>
      <c r="D476" t="s">
        <v>1612</v>
      </c>
      <c r="E476" t="s">
        <v>1613</v>
      </c>
      <c r="F476" t="s">
        <v>10</v>
      </c>
      <c r="G476" t="s">
        <v>1612</v>
      </c>
      <c r="H476" t="s">
        <v>1614</v>
      </c>
      <c r="I476" t="s">
        <v>32</v>
      </c>
      <c r="J476">
        <v>0</v>
      </c>
      <c r="K476">
        <v>310</v>
      </c>
      <c r="L476" s="4">
        <v>3.5000000000000001E-3</v>
      </c>
      <c r="M476">
        <v>0.02</v>
      </c>
      <c r="N476" s="4">
        <v>1.085</v>
      </c>
      <c r="O476" s="4">
        <v>6.2</v>
      </c>
    </row>
    <row r="477" spans="2:15">
      <c r="B477" t="s">
        <v>129</v>
      </c>
      <c r="C477" t="s">
        <v>118</v>
      </c>
      <c r="D477" t="s">
        <v>1615</v>
      </c>
      <c r="E477" t="s">
        <v>1616</v>
      </c>
      <c r="F477" t="s">
        <v>10</v>
      </c>
      <c r="G477" t="s">
        <v>1615</v>
      </c>
      <c r="H477" t="s">
        <v>1617</v>
      </c>
      <c r="I477" t="s">
        <v>32</v>
      </c>
      <c r="J477">
        <v>0</v>
      </c>
      <c r="K477">
        <v>269</v>
      </c>
      <c r="L477" s="4">
        <v>3.5000000000000001E-3</v>
      </c>
      <c r="M477">
        <v>0.02</v>
      </c>
      <c r="N477" s="4">
        <v>0.9415</v>
      </c>
      <c r="O477" s="4">
        <v>5.38</v>
      </c>
    </row>
    <row r="478" spans="2:15">
      <c r="B478" t="s">
        <v>129</v>
      </c>
      <c r="C478" t="s">
        <v>118</v>
      </c>
      <c r="D478" t="s">
        <v>1618</v>
      </c>
      <c r="E478" t="s">
        <v>1619</v>
      </c>
      <c r="F478" t="s">
        <v>10</v>
      </c>
      <c r="G478" t="s">
        <v>1618</v>
      </c>
      <c r="H478" t="s">
        <v>1620</v>
      </c>
      <c r="I478" t="s">
        <v>32</v>
      </c>
      <c r="J478">
        <v>0</v>
      </c>
      <c r="K478">
        <v>344</v>
      </c>
      <c r="L478" s="4">
        <v>3.5000000000000001E-3</v>
      </c>
      <c r="M478">
        <v>0.02</v>
      </c>
      <c r="N478" s="4">
        <v>1.204</v>
      </c>
      <c r="O478" s="4">
        <v>6.88</v>
      </c>
    </row>
    <row r="479" spans="2:15">
      <c r="B479" t="s">
        <v>129</v>
      </c>
      <c r="C479" t="s">
        <v>118</v>
      </c>
      <c r="D479" t="s">
        <v>1621</v>
      </c>
      <c r="E479" t="s">
        <v>1622</v>
      </c>
      <c r="F479" t="s">
        <v>10</v>
      </c>
      <c r="G479" t="s">
        <v>1621</v>
      </c>
      <c r="H479" t="s">
        <v>1623</v>
      </c>
      <c r="I479" t="s">
        <v>32</v>
      </c>
      <c r="J479">
        <v>0</v>
      </c>
      <c r="K479">
        <v>192</v>
      </c>
      <c r="L479" s="4">
        <v>3.5000000000000001E-3</v>
      </c>
      <c r="M479">
        <v>0.02</v>
      </c>
      <c r="N479" s="4">
        <v>0.67200000000000004</v>
      </c>
      <c r="O479" s="4">
        <v>3.84</v>
      </c>
    </row>
    <row r="480" spans="2:15">
      <c r="B480" t="s">
        <v>129</v>
      </c>
      <c r="C480" t="s">
        <v>118</v>
      </c>
      <c r="D480" t="s">
        <v>1624</v>
      </c>
      <c r="E480" t="s">
        <v>1625</v>
      </c>
      <c r="F480" t="s">
        <v>10</v>
      </c>
      <c r="G480" t="s">
        <v>1624</v>
      </c>
      <c r="H480" t="s">
        <v>1626</v>
      </c>
      <c r="I480" t="s">
        <v>32</v>
      </c>
      <c r="J480">
        <v>0</v>
      </c>
      <c r="K480">
        <v>300</v>
      </c>
      <c r="L480" s="4">
        <v>3.5000000000000001E-3</v>
      </c>
      <c r="M480">
        <v>0.02</v>
      </c>
      <c r="N480" s="4">
        <v>1.05</v>
      </c>
      <c r="O480" s="4">
        <v>6</v>
      </c>
    </row>
    <row r="481" spans="2:15">
      <c r="B481" t="s">
        <v>129</v>
      </c>
      <c r="C481" t="s">
        <v>118</v>
      </c>
      <c r="D481" t="s">
        <v>1627</v>
      </c>
      <c r="E481" t="s">
        <v>1628</v>
      </c>
      <c r="F481" t="s">
        <v>10</v>
      </c>
      <c r="G481" t="s">
        <v>1627</v>
      </c>
      <c r="H481" t="s">
        <v>1629</v>
      </c>
      <c r="I481" t="s">
        <v>32</v>
      </c>
      <c r="J481">
        <v>0</v>
      </c>
      <c r="K481">
        <v>6562</v>
      </c>
      <c r="L481" s="4">
        <v>3.5000000000000001E-3</v>
      </c>
      <c r="M481">
        <v>0.02</v>
      </c>
      <c r="N481" s="4">
        <v>22.966999999999999</v>
      </c>
      <c r="O481" s="4">
        <v>131.24</v>
      </c>
    </row>
    <row r="482" spans="2:15">
      <c r="B482" t="s">
        <v>129</v>
      </c>
      <c r="C482" t="s">
        <v>118</v>
      </c>
      <c r="D482" t="s">
        <v>1630</v>
      </c>
      <c r="E482" t="s">
        <v>1631</v>
      </c>
      <c r="F482" t="s">
        <v>10</v>
      </c>
      <c r="G482" t="s">
        <v>1630</v>
      </c>
      <c r="H482" t="s">
        <v>1632</v>
      </c>
      <c r="I482" t="s">
        <v>32</v>
      </c>
      <c r="J482">
        <v>0</v>
      </c>
      <c r="K482">
        <v>1</v>
      </c>
      <c r="L482" s="4">
        <v>3.5000000000000001E-3</v>
      </c>
      <c r="M482">
        <v>0.02</v>
      </c>
      <c r="N482" s="4">
        <v>3.5000000000000001E-3</v>
      </c>
      <c r="O482" s="4">
        <v>0.02</v>
      </c>
    </row>
    <row r="483" spans="2:15">
      <c r="B483" t="s">
        <v>129</v>
      </c>
      <c r="C483" t="s">
        <v>118</v>
      </c>
      <c r="D483" t="s">
        <v>1633</v>
      </c>
      <c r="E483" t="s">
        <v>1634</v>
      </c>
      <c r="F483" t="s">
        <v>10</v>
      </c>
      <c r="G483" t="s">
        <v>1633</v>
      </c>
      <c r="H483" t="s">
        <v>1635</v>
      </c>
      <c r="I483" t="s">
        <v>32</v>
      </c>
      <c r="J483">
        <v>0</v>
      </c>
      <c r="K483">
        <v>320</v>
      </c>
      <c r="L483" s="4">
        <v>3.5000000000000001E-3</v>
      </c>
      <c r="M483">
        <v>0.02</v>
      </c>
      <c r="N483" s="4">
        <v>1.1200000000000001</v>
      </c>
      <c r="O483" s="4">
        <v>6.4</v>
      </c>
    </row>
    <row r="484" spans="2:15">
      <c r="B484" t="s">
        <v>129</v>
      </c>
      <c r="C484" t="s">
        <v>118</v>
      </c>
      <c r="D484" t="s">
        <v>1636</v>
      </c>
      <c r="E484" t="s">
        <v>1637</v>
      </c>
      <c r="F484" t="s">
        <v>10</v>
      </c>
      <c r="G484" t="s">
        <v>1636</v>
      </c>
      <c r="H484" t="s">
        <v>1638</v>
      </c>
      <c r="I484" t="s">
        <v>32</v>
      </c>
      <c r="J484">
        <v>0</v>
      </c>
      <c r="K484">
        <v>1</v>
      </c>
      <c r="L484" s="4">
        <v>3.5000000000000001E-3</v>
      </c>
      <c r="M484">
        <v>0.02</v>
      </c>
      <c r="N484" s="4">
        <v>3.5000000000000001E-3</v>
      </c>
      <c r="O484" s="4">
        <v>0.02</v>
      </c>
    </row>
    <row r="485" spans="2:15">
      <c r="B485" t="s">
        <v>129</v>
      </c>
      <c r="C485" t="s">
        <v>118</v>
      </c>
      <c r="D485" t="s">
        <v>1639</v>
      </c>
      <c r="E485" t="s">
        <v>1640</v>
      </c>
      <c r="F485" t="s">
        <v>10</v>
      </c>
      <c r="G485" t="s">
        <v>1639</v>
      </c>
      <c r="H485" t="s">
        <v>1641</v>
      </c>
      <c r="I485" t="s">
        <v>32</v>
      </c>
      <c r="J485">
        <v>0</v>
      </c>
      <c r="K485">
        <v>451</v>
      </c>
      <c r="L485" s="4">
        <v>3.5000000000000001E-3</v>
      </c>
      <c r="M485">
        <v>0.02</v>
      </c>
      <c r="N485" s="4">
        <v>1.5785</v>
      </c>
      <c r="O485" s="4">
        <v>9.02</v>
      </c>
    </row>
    <row r="486" spans="2:15">
      <c r="B486" t="s">
        <v>129</v>
      </c>
      <c r="C486" t="s">
        <v>95</v>
      </c>
      <c r="D486" t="s">
        <v>1642</v>
      </c>
      <c r="E486" t="s">
        <v>1643</v>
      </c>
      <c r="F486" t="s">
        <v>10</v>
      </c>
      <c r="G486" t="s">
        <v>1642</v>
      </c>
      <c r="H486" t="s">
        <v>1644</v>
      </c>
      <c r="I486" t="s">
        <v>32</v>
      </c>
      <c r="J486">
        <v>0</v>
      </c>
      <c r="K486">
        <v>2817</v>
      </c>
      <c r="L486" s="4">
        <v>3.5000000000000001E-3</v>
      </c>
      <c r="M486">
        <v>0.02</v>
      </c>
      <c r="N486" s="4">
        <v>9.8595000000000006</v>
      </c>
      <c r="O486" s="4">
        <v>56.34</v>
      </c>
    </row>
    <row r="487" spans="2:15">
      <c r="B487" t="s">
        <v>129</v>
      </c>
      <c r="C487" t="s">
        <v>95</v>
      </c>
      <c r="D487" t="s">
        <v>1645</v>
      </c>
      <c r="E487" t="s">
        <v>1646</v>
      </c>
      <c r="F487" t="s">
        <v>10</v>
      </c>
      <c r="G487" t="s">
        <v>1645</v>
      </c>
      <c r="H487" t="s">
        <v>1647</v>
      </c>
      <c r="I487" t="s">
        <v>32</v>
      </c>
      <c r="J487">
        <v>0</v>
      </c>
      <c r="K487">
        <v>672</v>
      </c>
      <c r="L487" s="4">
        <v>3.5000000000000001E-3</v>
      </c>
      <c r="M487">
        <v>0.02</v>
      </c>
      <c r="N487" s="4">
        <v>2.3519999999999999</v>
      </c>
      <c r="O487" s="4">
        <v>13.44</v>
      </c>
    </row>
    <row r="488" spans="2:15">
      <c r="B488" t="s">
        <v>129</v>
      </c>
      <c r="C488" t="s">
        <v>95</v>
      </c>
      <c r="D488" t="s">
        <v>1648</v>
      </c>
      <c r="E488" t="s">
        <v>1649</v>
      </c>
      <c r="F488" t="s">
        <v>10</v>
      </c>
      <c r="G488" t="s">
        <v>1648</v>
      </c>
      <c r="H488" t="s">
        <v>1650</v>
      </c>
      <c r="I488" t="s">
        <v>32</v>
      </c>
      <c r="J488">
        <v>0</v>
      </c>
      <c r="K488">
        <v>2764</v>
      </c>
      <c r="L488" s="4">
        <v>3.5000000000000001E-3</v>
      </c>
      <c r="M488">
        <v>0.02</v>
      </c>
      <c r="N488" s="4">
        <v>9.6739999999999995</v>
      </c>
      <c r="O488" s="4">
        <v>55.28</v>
      </c>
    </row>
    <row r="489" spans="2:15">
      <c r="B489" t="s">
        <v>129</v>
      </c>
      <c r="C489" t="s">
        <v>95</v>
      </c>
      <c r="D489" t="s">
        <v>1651</v>
      </c>
      <c r="E489" t="s">
        <v>1652</v>
      </c>
      <c r="F489" t="s">
        <v>10</v>
      </c>
      <c r="G489" t="s">
        <v>1651</v>
      </c>
      <c r="H489" t="s">
        <v>1653</v>
      </c>
      <c r="I489" t="s">
        <v>32</v>
      </c>
      <c r="J489">
        <v>0</v>
      </c>
      <c r="K489">
        <v>2126</v>
      </c>
      <c r="L489" s="4">
        <v>3.5000000000000001E-3</v>
      </c>
      <c r="M489">
        <v>0.02</v>
      </c>
      <c r="N489" s="4">
        <v>7.4409999999999998</v>
      </c>
      <c r="O489" s="4">
        <v>42.52</v>
      </c>
    </row>
    <row r="490" spans="2:15">
      <c r="B490" t="s">
        <v>129</v>
      </c>
      <c r="C490" t="s">
        <v>95</v>
      </c>
      <c r="D490" t="s">
        <v>1654</v>
      </c>
      <c r="E490" t="s">
        <v>1655</v>
      </c>
      <c r="F490" t="s">
        <v>10</v>
      </c>
      <c r="G490" t="s">
        <v>1654</v>
      </c>
      <c r="H490" t="s">
        <v>1656</v>
      </c>
      <c r="I490" t="s">
        <v>32</v>
      </c>
      <c r="J490">
        <v>0</v>
      </c>
      <c r="K490">
        <v>12693</v>
      </c>
      <c r="L490" s="4">
        <v>3.5000000000000001E-3</v>
      </c>
      <c r="M490">
        <v>0.02</v>
      </c>
      <c r="N490" s="4">
        <v>44.4255</v>
      </c>
      <c r="O490" s="4">
        <v>253.86</v>
      </c>
    </row>
    <row r="491" spans="2:15">
      <c r="B491" t="s">
        <v>129</v>
      </c>
      <c r="C491" t="s">
        <v>95</v>
      </c>
      <c r="D491" t="s">
        <v>1657</v>
      </c>
      <c r="E491" t="s">
        <v>1658</v>
      </c>
      <c r="F491" t="s">
        <v>10</v>
      </c>
      <c r="G491" t="s">
        <v>1657</v>
      </c>
      <c r="H491" t="s">
        <v>1659</v>
      </c>
      <c r="I491" t="s">
        <v>32</v>
      </c>
      <c r="J491">
        <v>0</v>
      </c>
      <c r="K491">
        <v>984</v>
      </c>
      <c r="L491" s="4">
        <v>3.5000000000000001E-3</v>
      </c>
      <c r="M491">
        <v>0.02</v>
      </c>
      <c r="N491" s="4">
        <v>3.444</v>
      </c>
      <c r="O491" s="4">
        <v>19.68</v>
      </c>
    </row>
    <row r="492" spans="2:15">
      <c r="B492" t="s">
        <v>129</v>
      </c>
      <c r="C492" t="s">
        <v>95</v>
      </c>
      <c r="D492" t="s">
        <v>1660</v>
      </c>
      <c r="E492" t="s">
        <v>1661</v>
      </c>
      <c r="F492" t="s">
        <v>10</v>
      </c>
      <c r="G492" t="s">
        <v>1660</v>
      </c>
      <c r="H492" t="s">
        <v>1662</v>
      </c>
      <c r="I492" t="s">
        <v>32</v>
      </c>
      <c r="J492">
        <v>0</v>
      </c>
      <c r="K492">
        <v>19687</v>
      </c>
      <c r="L492" s="4">
        <v>3.5000000000000001E-3</v>
      </c>
      <c r="M492">
        <v>0.02</v>
      </c>
      <c r="N492" s="4">
        <v>68.904499999999999</v>
      </c>
      <c r="O492" s="4">
        <v>393.74</v>
      </c>
    </row>
    <row r="493" spans="2:15">
      <c r="B493" t="s">
        <v>129</v>
      </c>
      <c r="C493" t="s">
        <v>95</v>
      </c>
      <c r="D493" t="s">
        <v>1663</v>
      </c>
      <c r="E493" t="s">
        <v>1664</v>
      </c>
      <c r="F493" t="s">
        <v>10</v>
      </c>
      <c r="G493" t="s">
        <v>1663</v>
      </c>
      <c r="H493" t="s">
        <v>1665</v>
      </c>
      <c r="I493" t="s">
        <v>32</v>
      </c>
      <c r="J493">
        <v>0</v>
      </c>
      <c r="K493">
        <v>5102</v>
      </c>
      <c r="L493" s="4">
        <v>3.5000000000000001E-3</v>
      </c>
      <c r="M493">
        <v>0.02</v>
      </c>
      <c r="N493" s="4">
        <v>17.856999999999999</v>
      </c>
      <c r="O493" s="4">
        <v>102.04</v>
      </c>
    </row>
    <row r="494" spans="2:15">
      <c r="B494" t="s">
        <v>129</v>
      </c>
      <c r="C494" t="s">
        <v>95</v>
      </c>
      <c r="D494" t="s">
        <v>1666</v>
      </c>
      <c r="E494" t="s">
        <v>1667</v>
      </c>
      <c r="F494" t="s">
        <v>10</v>
      </c>
      <c r="G494" t="s">
        <v>1666</v>
      </c>
      <c r="H494" t="s">
        <v>1668</v>
      </c>
      <c r="I494" t="s">
        <v>32</v>
      </c>
      <c r="J494">
        <v>0</v>
      </c>
      <c r="K494">
        <v>2088</v>
      </c>
      <c r="L494" s="4">
        <v>3.5000000000000001E-3</v>
      </c>
      <c r="M494">
        <v>0.02</v>
      </c>
      <c r="N494" s="4">
        <v>7.3079999999999998</v>
      </c>
      <c r="O494" s="4">
        <v>41.76</v>
      </c>
    </row>
    <row r="495" spans="2:15">
      <c r="B495" t="s">
        <v>129</v>
      </c>
      <c r="C495" t="s">
        <v>95</v>
      </c>
      <c r="D495" t="s">
        <v>1669</v>
      </c>
      <c r="E495" t="s">
        <v>1670</v>
      </c>
      <c r="F495" t="s">
        <v>10</v>
      </c>
      <c r="G495" t="s">
        <v>1669</v>
      </c>
      <c r="H495" t="s">
        <v>1671</v>
      </c>
      <c r="I495" t="s">
        <v>32</v>
      </c>
      <c r="J495">
        <v>0</v>
      </c>
      <c r="K495">
        <v>3995</v>
      </c>
      <c r="L495" s="4">
        <v>3.5000000000000001E-3</v>
      </c>
      <c r="M495">
        <v>0.02</v>
      </c>
      <c r="N495" s="4">
        <v>13.9825</v>
      </c>
      <c r="O495" s="4">
        <v>79.900000000000006</v>
      </c>
    </row>
    <row r="496" spans="2:15">
      <c r="B496" t="s">
        <v>129</v>
      </c>
      <c r="C496" t="s">
        <v>95</v>
      </c>
      <c r="D496" t="s">
        <v>1672</v>
      </c>
      <c r="E496" t="s">
        <v>1673</v>
      </c>
      <c r="F496" t="s">
        <v>10</v>
      </c>
      <c r="G496" t="s">
        <v>1672</v>
      </c>
      <c r="H496" t="s">
        <v>1674</v>
      </c>
      <c r="I496" t="s">
        <v>32</v>
      </c>
      <c r="J496">
        <v>0</v>
      </c>
      <c r="K496">
        <v>1776</v>
      </c>
      <c r="L496" s="4">
        <v>3.5000000000000001E-3</v>
      </c>
      <c r="M496">
        <v>0.02</v>
      </c>
      <c r="N496" s="4">
        <v>6.2160000000000002</v>
      </c>
      <c r="O496" s="4">
        <v>35.520000000000003</v>
      </c>
    </row>
    <row r="497" spans="2:15">
      <c r="B497" t="s">
        <v>129</v>
      </c>
      <c r="C497" t="s">
        <v>95</v>
      </c>
      <c r="D497" t="s">
        <v>1675</v>
      </c>
      <c r="E497" t="s">
        <v>1676</v>
      </c>
      <c r="F497" t="s">
        <v>10</v>
      </c>
      <c r="G497" t="s">
        <v>1675</v>
      </c>
      <c r="H497" t="s">
        <v>1677</v>
      </c>
      <c r="I497" t="s">
        <v>32</v>
      </c>
      <c r="J497">
        <v>0</v>
      </c>
      <c r="K497">
        <v>762</v>
      </c>
      <c r="L497" s="4">
        <v>3.5000000000000001E-3</v>
      </c>
      <c r="M497">
        <v>0.02</v>
      </c>
      <c r="N497" s="4">
        <v>2.6670000000000003</v>
      </c>
      <c r="O497" s="4">
        <v>15.24</v>
      </c>
    </row>
    <row r="498" spans="2:15">
      <c r="B498" t="s">
        <v>129</v>
      </c>
      <c r="C498" t="s">
        <v>95</v>
      </c>
      <c r="D498" t="s">
        <v>1678</v>
      </c>
      <c r="E498" t="s">
        <v>1679</v>
      </c>
      <c r="F498" t="s">
        <v>10</v>
      </c>
      <c r="G498" t="s">
        <v>1678</v>
      </c>
      <c r="H498" t="s">
        <v>1680</v>
      </c>
      <c r="I498" t="s">
        <v>32</v>
      </c>
      <c r="J498">
        <v>0</v>
      </c>
      <c r="K498">
        <v>1192</v>
      </c>
      <c r="L498" s="4">
        <v>3.5000000000000001E-3</v>
      </c>
      <c r="M498">
        <v>0.02</v>
      </c>
      <c r="N498" s="4">
        <v>4.1719999999999997</v>
      </c>
      <c r="O498" s="4">
        <v>23.84</v>
      </c>
    </row>
    <row r="499" spans="2:15">
      <c r="B499" t="s">
        <v>129</v>
      </c>
      <c r="C499" t="s">
        <v>95</v>
      </c>
      <c r="D499" t="s">
        <v>1681</v>
      </c>
      <c r="E499" t="s">
        <v>1682</v>
      </c>
      <c r="F499" t="s">
        <v>10</v>
      </c>
      <c r="G499" t="s">
        <v>1681</v>
      </c>
      <c r="H499" t="s">
        <v>1683</v>
      </c>
      <c r="I499" t="s">
        <v>32</v>
      </c>
      <c r="J499">
        <v>0</v>
      </c>
      <c r="K499">
        <v>1625</v>
      </c>
      <c r="L499" s="4">
        <v>3.5000000000000001E-3</v>
      </c>
      <c r="M499">
        <v>0.02</v>
      </c>
      <c r="N499" s="4">
        <v>5.6875</v>
      </c>
      <c r="O499" s="4">
        <v>32.5</v>
      </c>
    </row>
    <row r="500" spans="2:15">
      <c r="B500" t="s">
        <v>129</v>
      </c>
      <c r="C500" t="s">
        <v>95</v>
      </c>
      <c r="D500" t="s">
        <v>1684</v>
      </c>
      <c r="E500" t="s">
        <v>1685</v>
      </c>
      <c r="F500" t="s">
        <v>10</v>
      </c>
      <c r="G500" t="s">
        <v>1684</v>
      </c>
      <c r="H500" t="s">
        <v>1686</v>
      </c>
      <c r="I500" t="s">
        <v>32</v>
      </c>
      <c r="J500">
        <v>0</v>
      </c>
      <c r="K500">
        <v>1503</v>
      </c>
      <c r="L500" s="4">
        <v>3.5000000000000001E-3</v>
      </c>
      <c r="M500">
        <v>0.02</v>
      </c>
      <c r="N500" s="4">
        <v>5.2605000000000004</v>
      </c>
      <c r="O500" s="4">
        <v>30.060000000000002</v>
      </c>
    </row>
    <row r="501" spans="2:15">
      <c r="B501" t="s">
        <v>129</v>
      </c>
      <c r="C501" t="s">
        <v>95</v>
      </c>
      <c r="D501" t="s">
        <v>1687</v>
      </c>
      <c r="E501" t="s">
        <v>1688</v>
      </c>
      <c r="F501" t="s">
        <v>10</v>
      </c>
      <c r="G501" t="s">
        <v>1687</v>
      </c>
      <c r="H501" t="s">
        <v>1689</v>
      </c>
      <c r="I501" t="s">
        <v>32</v>
      </c>
      <c r="J501">
        <v>0</v>
      </c>
      <c r="K501">
        <v>1077</v>
      </c>
      <c r="L501" s="4">
        <v>3.5000000000000001E-3</v>
      </c>
      <c r="M501">
        <v>0.02</v>
      </c>
      <c r="N501" s="4">
        <v>3.7695000000000003</v>
      </c>
      <c r="O501" s="4">
        <v>21.54</v>
      </c>
    </row>
    <row r="502" spans="2:15">
      <c r="B502" t="s">
        <v>129</v>
      </c>
      <c r="C502" t="s">
        <v>95</v>
      </c>
      <c r="D502" t="s">
        <v>1690</v>
      </c>
      <c r="E502" t="s">
        <v>1691</v>
      </c>
      <c r="F502" t="s">
        <v>10</v>
      </c>
      <c r="G502" t="s">
        <v>1690</v>
      </c>
      <c r="H502" t="s">
        <v>1692</v>
      </c>
      <c r="I502" t="s">
        <v>32</v>
      </c>
      <c r="J502">
        <v>0</v>
      </c>
      <c r="K502">
        <v>4317</v>
      </c>
      <c r="L502" s="4">
        <v>3.5000000000000001E-3</v>
      </c>
      <c r="M502">
        <v>0.02</v>
      </c>
      <c r="N502" s="4">
        <v>15.109500000000001</v>
      </c>
      <c r="O502" s="4">
        <v>86.34</v>
      </c>
    </row>
    <row r="503" spans="2:15">
      <c r="B503" t="s">
        <v>129</v>
      </c>
      <c r="C503" t="s">
        <v>95</v>
      </c>
      <c r="D503" t="s">
        <v>1693</v>
      </c>
      <c r="E503" t="s">
        <v>1694</v>
      </c>
      <c r="F503" t="s">
        <v>10</v>
      </c>
      <c r="G503" t="s">
        <v>1693</v>
      </c>
      <c r="H503" t="s">
        <v>1695</v>
      </c>
      <c r="I503" t="s">
        <v>32</v>
      </c>
      <c r="J503">
        <v>0</v>
      </c>
      <c r="K503">
        <v>698</v>
      </c>
      <c r="L503" s="4">
        <v>3.5000000000000001E-3</v>
      </c>
      <c r="M503">
        <v>0.02</v>
      </c>
      <c r="N503" s="4">
        <v>2.4430000000000001</v>
      </c>
      <c r="O503" s="4">
        <v>13.96</v>
      </c>
    </row>
    <row r="504" spans="2:15">
      <c r="B504" t="s">
        <v>129</v>
      </c>
      <c r="C504" t="s">
        <v>95</v>
      </c>
      <c r="D504" t="s">
        <v>1696</v>
      </c>
      <c r="E504" t="s">
        <v>1697</v>
      </c>
      <c r="F504" t="s">
        <v>10</v>
      </c>
      <c r="G504" t="s">
        <v>1696</v>
      </c>
      <c r="H504" t="s">
        <v>1698</v>
      </c>
      <c r="I504" t="s">
        <v>32</v>
      </c>
      <c r="J504">
        <v>0</v>
      </c>
      <c r="K504">
        <v>34734</v>
      </c>
      <c r="L504" s="4">
        <v>3.5000000000000001E-3</v>
      </c>
      <c r="M504">
        <v>0.02</v>
      </c>
      <c r="N504" s="4">
        <v>121.569</v>
      </c>
      <c r="O504" s="4">
        <v>694.68000000000006</v>
      </c>
    </row>
    <row r="505" spans="2:15">
      <c r="B505" t="s">
        <v>129</v>
      </c>
      <c r="C505" t="s">
        <v>95</v>
      </c>
      <c r="D505" t="s">
        <v>1699</v>
      </c>
      <c r="E505" t="s">
        <v>1700</v>
      </c>
      <c r="F505" t="s">
        <v>10</v>
      </c>
      <c r="G505" t="s">
        <v>1699</v>
      </c>
      <c r="H505" t="s">
        <v>1701</v>
      </c>
      <c r="I505" t="s">
        <v>32</v>
      </c>
      <c r="J505">
        <v>0</v>
      </c>
      <c r="K505">
        <v>6407</v>
      </c>
      <c r="L505" s="4">
        <v>3.5000000000000001E-3</v>
      </c>
      <c r="M505">
        <v>0.02</v>
      </c>
      <c r="N505" s="4">
        <v>22.424500000000002</v>
      </c>
      <c r="O505" s="4">
        <v>128.14000000000001</v>
      </c>
    </row>
    <row r="506" spans="2:15">
      <c r="B506" t="s">
        <v>129</v>
      </c>
      <c r="C506" t="s">
        <v>95</v>
      </c>
      <c r="D506" t="s">
        <v>1702</v>
      </c>
      <c r="E506" t="s">
        <v>1703</v>
      </c>
      <c r="F506" t="s">
        <v>10</v>
      </c>
      <c r="G506" t="s">
        <v>1702</v>
      </c>
      <c r="H506" t="s">
        <v>1704</v>
      </c>
      <c r="I506" t="s">
        <v>32</v>
      </c>
      <c r="J506">
        <v>0</v>
      </c>
      <c r="K506">
        <v>24743</v>
      </c>
      <c r="L506" s="4">
        <v>3.5000000000000001E-3</v>
      </c>
      <c r="M506">
        <v>0.02</v>
      </c>
      <c r="N506" s="4">
        <v>86.600499999999997</v>
      </c>
      <c r="O506" s="4">
        <v>494.86</v>
      </c>
    </row>
    <row r="507" spans="2:15">
      <c r="B507" t="s">
        <v>134</v>
      </c>
      <c r="C507" t="s">
        <v>135</v>
      </c>
      <c r="D507" t="s">
        <v>2468</v>
      </c>
      <c r="E507" t="s">
        <v>2469</v>
      </c>
      <c r="F507" t="s">
        <v>10</v>
      </c>
      <c r="G507" t="s">
        <v>2468</v>
      </c>
      <c r="H507" t="s">
        <v>2470</v>
      </c>
      <c r="I507" t="s">
        <v>32</v>
      </c>
      <c r="J507">
        <v>0</v>
      </c>
      <c r="K507">
        <v>353</v>
      </c>
      <c r="L507" s="4">
        <v>3.5000000000000001E-3</v>
      </c>
      <c r="M507">
        <v>0.02</v>
      </c>
      <c r="N507" s="4">
        <v>1.2355</v>
      </c>
      <c r="O507" s="4">
        <v>7.0600000000000005</v>
      </c>
    </row>
    <row r="508" spans="2:15">
      <c r="B508" t="s">
        <v>134</v>
      </c>
      <c r="C508" t="s">
        <v>135</v>
      </c>
      <c r="D508" t="s">
        <v>2471</v>
      </c>
      <c r="E508" t="s">
        <v>2472</v>
      </c>
      <c r="F508" t="s">
        <v>10</v>
      </c>
      <c r="G508" t="s">
        <v>2471</v>
      </c>
      <c r="H508" t="s">
        <v>2473</v>
      </c>
      <c r="I508" t="s">
        <v>32</v>
      </c>
      <c r="J508">
        <v>0</v>
      </c>
      <c r="K508">
        <v>713</v>
      </c>
      <c r="L508" s="4">
        <v>3.5000000000000001E-3</v>
      </c>
      <c r="M508">
        <v>0.02</v>
      </c>
      <c r="N508" s="4">
        <v>2.4955000000000003</v>
      </c>
      <c r="O508" s="4">
        <v>14.26</v>
      </c>
    </row>
    <row r="509" spans="2:15">
      <c r="B509" t="s">
        <v>134</v>
      </c>
      <c r="C509" t="s">
        <v>135</v>
      </c>
      <c r="D509" t="s">
        <v>2474</v>
      </c>
      <c r="E509" t="s">
        <v>2475</v>
      </c>
      <c r="F509" t="s">
        <v>10</v>
      </c>
      <c r="G509" t="s">
        <v>2474</v>
      </c>
      <c r="H509" t="s">
        <v>2476</v>
      </c>
      <c r="I509" t="s">
        <v>32</v>
      </c>
      <c r="J509">
        <v>0</v>
      </c>
      <c r="K509">
        <v>1396</v>
      </c>
      <c r="L509" s="4">
        <v>3.5000000000000001E-3</v>
      </c>
      <c r="M509">
        <v>0.02</v>
      </c>
      <c r="N509" s="4">
        <v>4.8860000000000001</v>
      </c>
      <c r="O509" s="4">
        <v>27.92</v>
      </c>
    </row>
    <row r="510" spans="2:15">
      <c r="B510" t="s">
        <v>134</v>
      </c>
      <c r="C510" t="s">
        <v>135</v>
      </c>
      <c r="D510" t="s">
        <v>2477</v>
      </c>
      <c r="E510" t="s">
        <v>2478</v>
      </c>
      <c r="F510" t="s">
        <v>10</v>
      </c>
      <c r="G510" t="s">
        <v>2477</v>
      </c>
      <c r="H510" t="s">
        <v>2479</v>
      </c>
      <c r="I510" t="s">
        <v>32</v>
      </c>
      <c r="J510">
        <v>0</v>
      </c>
      <c r="K510">
        <v>712</v>
      </c>
      <c r="L510" s="4">
        <v>3.5000000000000001E-3</v>
      </c>
      <c r="M510">
        <v>0.02</v>
      </c>
      <c r="N510" s="4">
        <v>2.492</v>
      </c>
      <c r="O510" s="4">
        <v>14.24</v>
      </c>
    </row>
    <row r="511" spans="2:15">
      <c r="B511" t="s">
        <v>134</v>
      </c>
      <c r="C511" t="s">
        <v>135</v>
      </c>
      <c r="D511" t="s">
        <v>2480</v>
      </c>
      <c r="E511" t="s">
        <v>2481</v>
      </c>
      <c r="F511" t="s">
        <v>10</v>
      </c>
      <c r="G511" t="s">
        <v>2480</v>
      </c>
      <c r="H511" t="s">
        <v>2482</v>
      </c>
      <c r="I511" t="s">
        <v>32</v>
      </c>
      <c r="J511">
        <v>0</v>
      </c>
      <c r="K511">
        <v>1224</v>
      </c>
      <c r="L511" s="4">
        <v>3.5000000000000001E-3</v>
      </c>
      <c r="M511">
        <v>0.02</v>
      </c>
      <c r="N511" s="4">
        <v>4.2839999999999998</v>
      </c>
      <c r="O511" s="4">
        <v>24.48</v>
      </c>
    </row>
    <row r="512" spans="2:15">
      <c r="B512" t="s">
        <v>134</v>
      </c>
      <c r="C512" t="s">
        <v>135</v>
      </c>
      <c r="D512" t="s">
        <v>2483</v>
      </c>
      <c r="E512" t="s">
        <v>2484</v>
      </c>
      <c r="F512" t="s">
        <v>10</v>
      </c>
      <c r="G512" t="s">
        <v>2483</v>
      </c>
      <c r="H512" t="s">
        <v>2485</v>
      </c>
      <c r="I512" t="s">
        <v>32</v>
      </c>
      <c r="J512">
        <v>0</v>
      </c>
      <c r="K512">
        <v>886</v>
      </c>
      <c r="L512" s="4">
        <v>3.5000000000000001E-3</v>
      </c>
      <c r="M512">
        <v>0.02</v>
      </c>
      <c r="N512" s="4">
        <v>3.101</v>
      </c>
      <c r="O512" s="4">
        <v>17.72</v>
      </c>
    </row>
    <row r="513" spans="2:15">
      <c r="B513" t="s">
        <v>134</v>
      </c>
      <c r="C513" t="s">
        <v>135</v>
      </c>
      <c r="D513" t="s">
        <v>2486</v>
      </c>
      <c r="E513" t="s">
        <v>2487</v>
      </c>
      <c r="F513" t="s">
        <v>10</v>
      </c>
      <c r="G513" t="s">
        <v>2486</v>
      </c>
      <c r="H513" t="s">
        <v>2488</v>
      </c>
      <c r="I513" t="s">
        <v>32</v>
      </c>
      <c r="J513">
        <v>0</v>
      </c>
      <c r="K513">
        <v>1215</v>
      </c>
      <c r="L513" s="4">
        <v>3.5000000000000001E-3</v>
      </c>
      <c r="M513">
        <v>0.02</v>
      </c>
      <c r="N513" s="4">
        <v>4.2525000000000004</v>
      </c>
      <c r="O513" s="4">
        <v>24.3</v>
      </c>
    </row>
    <row r="514" spans="2:15">
      <c r="B514" t="s">
        <v>134</v>
      </c>
      <c r="C514" t="s">
        <v>135</v>
      </c>
      <c r="D514" t="s">
        <v>2489</v>
      </c>
      <c r="E514" t="s">
        <v>2490</v>
      </c>
      <c r="F514" t="s">
        <v>10</v>
      </c>
      <c r="G514" t="s">
        <v>2489</v>
      </c>
      <c r="H514" t="s">
        <v>2491</v>
      </c>
      <c r="I514" t="s">
        <v>32</v>
      </c>
      <c r="J514">
        <v>0</v>
      </c>
      <c r="K514">
        <v>637</v>
      </c>
      <c r="L514" s="4">
        <v>3.5000000000000001E-3</v>
      </c>
      <c r="M514">
        <v>0.02</v>
      </c>
      <c r="N514" s="4">
        <v>2.2295000000000003</v>
      </c>
      <c r="O514" s="4">
        <v>12.74</v>
      </c>
    </row>
    <row r="515" spans="2:15">
      <c r="B515" t="s">
        <v>134</v>
      </c>
      <c r="C515" t="s">
        <v>135</v>
      </c>
      <c r="D515" t="s">
        <v>2492</v>
      </c>
      <c r="E515" t="s">
        <v>2493</v>
      </c>
      <c r="F515" t="s">
        <v>10</v>
      </c>
      <c r="G515" t="s">
        <v>2492</v>
      </c>
      <c r="H515" t="s">
        <v>2494</v>
      </c>
      <c r="I515" t="s">
        <v>32</v>
      </c>
      <c r="J515">
        <v>0</v>
      </c>
      <c r="K515">
        <v>5</v>
      </c>
      <c r="L515" s="4">
        <v>3.5000000000000001E-3</v>
      </c>
      <c r="M515">
        <v>0.02</v>
      </c>
      <c r="N515" s="4">
        <v>1.7500000000000002E-2</v>
      </c>
      <c r="O515" s="4">
        <v>0.1</v>
      </c>
    </row>
    <row r="516" spans="2:15">
      <c r="B516" t="s">
        <v>134</v>
      </c>
      <c r="C516" t="s">
        <v>135</v>
      </c>
      <c r="D516" t="s">
        <v>2495</v>
      </c>
      <c r="E516" t="s">
        <v>2496</v>
      </c>
      <c r="F516" t="s">
        <v>10</v>
      </c>
      <c r="G516" t="s">
        <v>2495</v>
      </c>
      <c r="H516" t="s">
        <v>2497</v>
      </c>
      <c r="I516" t="s">
        <v>32</v>
      </c>
      <c r="J516">
        <v>0</v>
      </c>
      <c r="K516">
        <v>1304</v>
      </c>
      <c r="L516" s="4">
        <v>3.5000000000000001E-3</v>
      </c>
      <c r="M516">
        <v>0.02</v>
      </c>
      <c r="N516" s="4">
        <v>4.5640000000000001</v>
      </c>
      <c r="O516" s="4">
        <v>26.080000000000002</v>
      </c>
    </row>
    <row r="517" spans="2:15">
      <c r="B517" t="s">
        <v>134</v>
      </c>
      <c r="C517" t="s">
        <v>135</v>
      </c>
      <c r="D517" t="s">
        <v>2498</v>
      </c>
      <c r="E517" t="s">
        <v>2499</v>
      </c>
      <c r="F517" t="s">
        <v>10</v>
      </c>
      <c r="G517" t="s">
        <v>2498</v>
      </c>
      <c r="H517" t="s">
        <v>2500</v>
      </c>
      <c r="I517" t="s">
        <v>32</v>
      </c>
      <c r="J517">
        <v>0</v>
      </c>
      <c r="K517">
        <v>1334</v>
      </c>
      <c r="L517" s="4">
        <v>3.5000000000000001E-3</v>
      </c>
      <c r="M517">
        <v>0.02</v>
      </c>
      <c r="N517" s="4">
        <v>4.6690000000000005</v>
      </c>
      <c r="O517" s="4">
        <v>26.68</v>
      </c>
    </row>
    <row r="518" spans="2:15">
      <c r="B518" t="s">
        <v>134</v>
      </c>
      <c r="C518" t="s">
        <v>135</v>
      </c>
      <c r="D518" t="s">
        <v>2501</v>
      </c>
      <c r="E518" t="s">
        <v>2502</v>
      </c>
      <c r="F518" t="s">
        <v>10</v>
      </c>
      <c r="G518" t="s">
        <v>2501</v>
      </c>
      <c r="H518" t="s">
        <v>2503</v>
      </c>
      <c r="I518" t="s">
        <v>32</v>
      </c>
      <c r="J518">
        <v>0</v>
      </c>
      <c r="K518">
        <v>1929</v>
      </c>
      <c r="L518" s="4">
        <v>3.5000000000000001E-3</v>
      </c>
      <c r="M518">
        <v>0.02</v>
      </c>
      <c r="N518" s="4">
        <v>6.7515000000000001</v>
      </c>
      <c r="O518" s="4">
        <v>38.58</v>
      </c>
    </row>
    <row r="519" spans="2:15">
      <c r="B519" t="s">
        <v>134</v>
      </c>
      <c r="C519" t="s">
        <v>135</v>
      </c>
      <c r="D519" t="s">
        <v>2504</v>
      </c>
      <c r="E519" t="s">
        <v>2505</v>
      </c>
      <c r="F519" t="s">
        <v>10</v>
      </c>
      <c r="G519" t="s">
        <v>2504</v>
      </c>
      <c r="H519" t="s">
        <v>2506</v>
      </c>
      <c r="I519" t="s">
        <v>32</v>
      </c>
      <c r="J519">
        <v>0</v>
      </c>
      <c r="K519">
        <v>1719</v>
      </c>
      <c r="L519" s="4">
        <v>3.5000000000000001E-3</v>
      </c>
      <c r="M519">
        <v>0.02</v>
      </c>
      <c r="N519" s="4">
        <v>6.0164999999999997</v>
      </c>
      <c r="O519" s="4">
        <v>34.380000000000003</v>
      </c>
    </row>
    <row r="520" spans="2:15">
      <c r="B520" t="s">
        <v>134</v>
      </c>
      <c r="C520" t="s">
        <v>136</v>
      </c>
      <c r="D520" t="s">
        <v>137</v>
      </c>
      <c r="E520" t="s">
        <v>138</v>
      </c>
      <c r="F520" t="s">
        <v>10</v>
      </c>
      <c r="G520" t="s">
        <v>137</v>
      </c>
      <c r="H520" t="s">
        <v>139</v>
      </c>
      <c r="I520" t="s">
        <v>32</v>
      </c>
      <c r="J520">
        <v>0</v>
      </c>
      <c r="K520">
        <v>4</v>
      </c>
      <c r="L520" s="4">
        <v>3.5000000000000001E-3</v>
      </c>
      <c r="M520">
        <v>0.02</v>
      </c>
      <c r="N520" s="4">
        <v>1.4E-2</v>
      </c>
      <c r="O520" s="4">
        <v>0.08</v>
      </c>
    </row>
    <row r="521" spans="2:15">
      <c r="B521" t="s">
        <v>134</v>
      </c>
      <c r="C521" t="s">
        <v>136</v>
      </c>
      <c r="D521" t="s">
        <v>140</v>
      </c>
      <c r="E521" t="s">
        <v>141</v>
      </c>
      <c r="F521" t="s">
        <v>10</v>
      </c>
      <c r="G521" t="s">
        <v>140</v>
      </c>
      <c r="H521" t="s">
        <v>142</v>
      </c>
      <c r="I521" t="s">
        <v>32</v>
      </c>
      <c r="J521">
        <v>0</v>
      </c>
      <c r="K521">
        <v>3229</v>
      </c>
      <c r="L521" s="4">
        <v>3.5000000000000001E-3</v>
      </c>
      <c r="M521">
        <v>0.02</v>
      </c>
      <c r="N521" s="4">
        <v>11.301500000000001</v>
      </c>
      <c r="O521" s="4">
        <v>64.58</v>
      </c>
    </row>
    <row r="522" spans="2:15">
      <c r="B522" t="s">
        <v>134</v>
      </c>
      <c r="C522" t="s">
        <v>136</v>
      </c>
      <c r="D522" t="s">
        <v>143</v>
      </c>
      <c r="E522" t="s">
        <v>144</v>
      </c>
      <c r="F522" t="s">
        <v>10</v>
      </c>
      <c r="G522" t="s">
        <v>143</v>
      </c>
      <c r="H522" t="s">
        <v>145</v>
      </c>
      <c r="I522" t="s">
        <v>32</v>
      </c>
      <c r="J522">
        <v>0</v>
      </c>
      <c r="K522">
        <v>3032</v>
      </c>
      <c r="L522" s="4">
        <v>3.5000000000000001E-3</v>
      </c>
      <c r="M522">
        <v>0.02</v>
      </c>
      <c r="N522" s="4">
        <v>10.612</v>
      </c>
      <c r="O522" s="4">
        <v>60.64</v>
      </c>
    </row>
    <row r="523" spans="2:15">
      <c r="B523" t="s">
        <v>134</v>
      </c>
      <c r="C523" t="s">
        <v>136</v>
      </c>
      <c r="D523" t="s">
        <v>2507</v>
      </c>
      <c r="E523" t="s">
        <v>2508</v>
      </c>
      <c r="F523" t="s">
        <v>10</v>
      </c>
      <c r="G523" t="s">
        <v>2507</v>
      </c>
      <c r="H523" t="s">
        <v>2509</v>
      </c>
      <c r="I523" t="s">
        <v>32</v>
      </c>
      <c r="J523">
        <v>0</v>
      </c>
      <c r="K523">
        <v>4</v>
      </c>
      <c r="L523" s="4">
        <v>3.5000000000000001E-3</v>
      </c>
      <c r="M523">
        <v>0.02</v>
      </c>
      <c r="N523" s="4">
        <v>1.4E-2</v>
      </c>
      <c r="O523" s="4">
        <v>0.08</v>
      </c>
    </row>
    <row r="524" spans="2:15">
      <c r="B524" t="s">
        <v>134</v>
      </c>
      <c r="C524" t="s">
        <v>136</v>
      </c>
      <c r="D524" t="s">
        <v>146</v>
      </c>
      <c r="E524" t="s">
        <v>147</v>
      </c>
      <c r="F524" t="s">
        <v>10</v>
      </c>
      <c r="G524" t="s">
        <v>146</v>
      </c>
      <c r="H524" t="s">
        <v>148</v>
      </c>
      <c r="I524" t="s">
        <v>32</v>
      </c>
      <c r="J524">
        <v>0</v>
      </c>
      <c r="K524">
        <v>4345</v>
      </c>
      <c r="L524" s="4">
        <v>3.5000000000000001E-3</v>
      </c>
      <c r="M524">
        <v>0.02</v>
      </c>
      <c r="N524" s="4">
        <v>15.2075</v>
      </c>
      <c r="O524" s="4">
        <v>86.9</v>
      </c>
    </row>
    <row r="525" spans="2:15">
      <c r="B525" t="s">
        <v>134</v>
      </c>
      <c r="C525" t="s">
        <v>136</v>
      </c>
      <c r="D525" t="s">
        <v>149</v>
      </c>
      <c r="E525" t="s">
        <v>150</v>
      </c>
      <c r="F525" t="s">
        <v>10</v>
      </c>
      <c r="G525" t="s">
        <v>149</v>
      </c>
      <c r="H525" t="s">
        <v>151</v>
      </c>
      <c r="I525" t="s">
        <v>32</v>
      </c>
      <c r="J525">
        <v>0</v>
      </c>
      <c r="K525">
        <v>1950</v>
      </c>
      <c r="L525" s="4">
        <v>3.5000000000000001E-3</v>
      </c>
      <c r="M525">
        <v>0.02</v>
      </c>
      <c r="N525" s="4">
        <v>6.8250000000000002</v>
      </c>
      <c r="O525" s="4">
        <v>39</v>
      </c>
    </row>
    <row r="526" spans="2:15">
      <c r="B526" t="s">
        <v>134</v>
      </c>
      <c r="C526" t="s">
        <v>136</v>
      </c>
      <c r="D526" t="s">
        <v>2510</v>
      </c>
      <c r="E526" t="s">
        <v>2511</v>
      </c>
      <c r="F526" t="s">
        <v>10</v>
      </c>
      <c r="G526" t="s">
        <v>2510</v>
      </c>
      <c r="H526" t="s">
        <v>2512</v>
      </c>
      <c r="I526" t="s">
        <v>32</v>
      </c>
      <c r="J526">
        <v>0</v>
      </c>
      <c r="K526">
        <v>255</v>
      </c>
      <c r="L526" s="4">
        <v>3.5000000000000001E-3</v>
      </c>
      <c r="M526">
        <v>0.02</v>
      </c>
      <c r="N526" s="4">
        <v>0.89250000000000007</v>
      </c>
      <c r="O526" s="4">
        <v>5.1000000000000005</v>
      </c>
    </row>
    <row r="527" spans="2:15">
      <c r="B527" t="s">
        <v>134</v>
      </c>
      <c r="C527" t="s">
        <v>136</v>
      </c>
      <c r="D527" t="s">
        <v>2513</v>
      </c>
      <c r="E527" t="s">
        <v>2514</v>
      </c>
      <c r="F527" t="s">
        <v>10</v>
      </c>
      <c r="G527" t="s">
        <v>2513</v>
      </c>
      <c r="H527" t="s">
        <v>2515</v>
      </c>
      <c r="I527" t="s">
        <v>32</v>
      </c>
      <c r="J527">
        <v>0</v>
      </c>
      <c r="K527">
        <v>434</v>
      </c>
      <c r="L527" s="4">
        <v>3.5000000000000001E-3</v>
      </c>
      <c r="M527">
        <v>0.02</v>
      </c>
      <c r="N527" s="4">
        <v>1.5190000000000001</v>
      </c>
      <c r="O527" s="4">
        <v>8.68</v>
      </c>
    </row>
    <row r="528" spans="2:15">
      <c r="B528" t="s">
        <v>134</v>
      </c>
      <c r="C528" t="s">
        <v>136</v>
      </c>
      <c r="D528" t="s">
        <v>2516</v>
      </c>
      <c r="E528" t="s">
        <v>2517</v>
      </c>
      <c r="F528" t="s">
        <v>10</v>
      </c>
      <c r="G528" t="s">
        <v>2516</v>
      </c>
      <c r="H528" t="s">
        <v>2518</v>
      </c>
      <c r="I528" t="s">
        <v>32</v>
      </c>
      <c r="J528">
        <v>0</v>
      </c>
      <c r="K528">
        <v>375</v>
      </c>
      <c r="L528" s="4">
        <v>3.5000000000000001E-3</v>
      </c>
      <c r="M528">
        <v>0.02</v>
      </c>
      <c r="N528" s="4">
        <v>1.3125</v>
      </c>
      <c r="O528" s="4">
        <v>7.5</v>
      </c>
    </row>
    <row r="529" spans="2:15">
      <c r="B529" t="s">
        <v>134</v>
      </c>
      <c r="C529" t="s">
        <v>136</v>
      </c>
      <c r="D529" t="s">
        <v>2519</v>
      </c>
      <c r="E529" t="s">
        <v>2520</v>
      </c>
      <c r="F529" t="s">
        <v>10</v>
      </c>
      <c r="G529" t="s">
        <v>2519</v>
      </c>
      <c r="H529" t="s">
        <v>2521</v>
      </c>
      <c r="I529" t="s">
        <v>32</v>
      </c>
      <c r="J529">
        <v>0</v>
      </c>
      <c r="K529">
        <v>324</v>
      </c>
      <c r="L529" s="4">
        <v>3.5000000000000001E-3</v>
      </c>
      <c r="M529">
        <v>0.02</v>
      </c>
      <c r="N529" s="4">
        <v>1.1340000000000001</v>
      </c>
      <c r="O529" s="4">
        <v>6.48</v>
      </c>
    </row>
    <row r="530" spans="2:15">
      <c r="B530" t="s">
        <v>134</v>
      </c>
      <c r="C530" t="s">
        <v>136</v>
      </c>
      <c r="D530" t="s">
        <v>2522</v>
      </c>
      <c r="E530" t="s">
        <v>2523</v>
      </c>
      <c r="F530" t="s">
        <v>10</v>
      </c>
      <c r="G530" t="s">
        <v>2522</v>
      </c>
      <c r="H530" t="s">
        <v>2524</v>
      </c>
      <c r="I530" t="s">
        <v>32</v>
      </c>
      <c r="J530">
        <v>0</v>
      </c>
      <c r="K530">
        <v>838</v>
      </c>
      <c r="L530" s="4">
        <v>3.5000000000000001E-3</v>
      </c>
      <c r="M530">
        <v>0.02</v>
      </c>
      <c r="N530" s="4">
        <v>2.9330000000000003</v>
      </c>
      <c r="O530" s="4">
        <v>16.760000000000002</v>
      </c>
    </row>
    <row r="531" spans="2:15">
      <c r="B531" t="s">
        <v>134</v>
      </c>
      <c r="C531" t="s">
        <v>136</v>
      </c>
      <c r="D531" t="s">
        <v>2525</v>
      </c>
      <c r="E531" t="s">
        <v>2526</v>
      </c>
      <c r="F531" t="s">
        <v>10</v>
      </c>
      <c r="G531" t="s">
        <v>2525</v>
      </c>
      <c r="H531" t="s">
        <v>2527</v>
      </c>
      <c r="I531" t="s">
        <v>32</v>
      </c>
      <c r="J531">
        <v>0</v>
      </c>
      <c r="K531">
        <v>985</v>
      </c>
      <c r="L531" s="4">
        <v>3.5000000000000001E-3</v>
      </c>
      <c r="M531">
        <v>0.02</v>
      </c>
      <c r="N531" s="4">
        <v>3.4475000000000002</v>
      </c>
      <c r="O531" s="4">
        <v>19.7</v>
      </c>
    </row>
    <row r="532" spans="2:15">
      <c r="B532" t="s">
        <v>134</v>
      </c>
      <c r="C532" t="s">
        <v>136</v>
      </c>
      <c r="D532" t="s">
        <v>152</v>
      </c>
      <c r="E532" t="s">
        <v>153</v>
      </c>
      <c r="F532" t="s">
        <v>10</v>
      </c>
      <c r="G532" t="s">
        <v>152</v>
      </c>
      <c r="H532" t="s">
        <v>154</v>
      </c>
      <c r="I532" t="s">
        <v>32</v>
      </c>
      <c r="J532">
        <v>0</v>
      </c>
      <c r="K532">
        <v>4580</v>
      </c>
      <c r="L532" s="4">
        <v>3.5000000000000001E-3</v>
      </c>
      <c r="M532">
        <v>0.02</v>
      </c>
      <c r="N532" s="4">
        <v>16.03</v>
      </c>
      <c r="O532" s="4">
        <v>91.600000000000009</v>
      </c>
    </row>
    <row r="533" spans="2:15">
      <c r="B533" t="s">
        <v>134</v>
      </c>
      <c r="C533" t="s">
        <v>136</v>
      </c>
      <c r="D533" t="s">
        <v>155</v>
      </c>
      <c r="E533" t="s">
        <v>156</v>
      </c>
      <c r="F533" t="s">
        <v>10</v>
      </c>
      <c r="G533" t="s">
        <v>155</v>
      </c>
      <c r="H533" t="s">
        <v>157</v>
      </c>
      <c r="I533" t="s">
        <v>32</v>
      </c>
      <c r="J533">
        <v>0</v>
      </c>
      <c r="K533">
        <v>815</v>
      </c>
      <c r="L533" s="4">
        <v>3.5000000000000001E-3</v>
      </c>
      <c r="M533">
        <v>0.02</v>
      </c>
      <c r="N533" s="4">
        <v>2.8525</v>
      </c>
      <c r="O533" s="4">
        <v>16.3</v>
      </c>
    </row>
    <row r="534" spans="2:15">
      <c r="B534" t="s">
        <v>134</v>
      </c>
      <c r="C534" t="s">
        <v>136</v>
      </c>
      <c r="D534" t="s">
        <v>158</v>
      </c>
      <c r="E534" t="s">
        <v>159</v>
      </c>
      <c r="F534" t="s">
        <v>10</v>
      </c>
      <c r="G534" t="s">
        <v>158</v>
      </c>
      <c r="H534" t="s">
        <v>160</v>
      </c>
      <c r="I534" t="s">
        <v>32</v>
      </c>
      <c r="J534">
        <v>0</v>
      </c>
      <c r="K534">
        <v>2</v>
      </c>
      <c r="L534" s="4">
        <v>3.5000000000000001E-3</v>
      </c>
      <c r="M534">
        <v>0.02</v>
      </c>
      <c r="N534" s="4">
        <v>7.0000000000000001E-3</v>
      </c>
      <c r="O534" s="4">
        <v>0.04</v>
      </c>
    </row>
    <row r="535" spans="2:15">
      <c r="B535" t="s">
        <v>134</v>
      </c>
      <c r="C535" t="s">
        <v>136</v>
      </c>
      <c r="D535" t="s">
        <v>2528</v>
      </c>
      <c r="E535" t="s">
        <v>2529</v>
      </c>
      <c r="F535" t="s">
        <v>10</v>
      </c>
      <c r="G535" t="s">
        <v>2528</v>
      </c>
      <c r="H535" t="s">
        <v>2530</v>
      </c>
      <c r="I535" t="s">
        <v>32</v>
      </c>
      <c r="J535">
        <v>0</v>
      </c>
      <c r="K535">
        <v>1</v>
      </c>
      <c r="L535" s="4">
        <v>3.5000000000000001E-3</v>
      </c>
      <c r="M535">
        <v>0.02</v>
      </c>
      <c r="N535" s="4">
        <v>3.5000000000000001E-3</v>
      </c>
      <c r="O535" s="4">
        <v>0.02</v>
      </c>
    </row>
    <row r="536" spans="2:15">
      <c r="B536" t="s">
        <v>134</v>
      </c>
      <c r="C536" t="s">
        <v>136</v>
      </c>
      <c r="D536" t="s">
        <v>2531</v>
      </c>
      <c r="E536" t="s">
        <v>2532</v>
      </c>
      <c r="F536" t="s">
        <v>10</v>
      </c>
      <c r="G536" t="s">
        <v>2531</v>
      </c>
      <c r="H536" t="s">
        <v>2533</v>
      </c>
      <c r="I536" t="s">
        <v>32</v>
      </c>
      <c r="J536">
        <v>0</v>
      </c>
      <c r="K536">
        <v>2</v>
      </c>
      <c r="L536" s="4">
        <v>3.5000000000000001E-3</v>
      </c>
      <c r="M536">
        <v>0.02</v>
      </c>
      <c r="N536" s="4">
        <v>7.0000000000000001E-3</v>
      </c>
      <c r="O536" s="4">
        <v>0.04</v>
      </c>
    </row>
    <row r="537" spans="2:15">
      <c r="B537" t="s">
        <v>134</v>
      </c>
      <c r="C537" t="s">
        <v>161</v>
      </c>
      <c r="D537" t="s">
        <v>162</v>
      </c>
      <c r="E537" t="s">
        <v>163</v>
      </c>
      <c r="F537" t="s">
        <v>10</v>
      </c>
      <c r="G537" t="s">
        <v>162</v>
      </c>
      <c r="H537" t="s">
        <v>164</v>
      </c>
      <c r="I537" t="s">
        <v>32</v>
      </c>
      <c r="J537">
        <v>0</v>
      </c>
      <c r="K537">
        <v>253095</v>
      </c>
      <c r="L537" s="4">
        <v>3.5000000000000001E-3</v>
      </c>
      <c r="M537">
        <v>0.02</v>
      </c>
      <c r="N537" s="4">
        <v>885.83249999999998</v>
      </c>
      <c r="O537" s="4">
        <v>5061.9000000000005</v>
      </c>
    </row>
    <row r="538" spans="2:15">
      <c r="B538" t="s">
        <v>134</v>
      </c>
      <c r="C538" t="s">
        <v>50</v>
      </c>
      <c r="D538" t="s">
        <v>165</v>
      </c>
      <c r="E538" t="s">
        <v>166</v>
      </c>
      <c r="F538" t="s">
        <v>12</v>
      </c>
      <c r="G538" t="s">
        <v>165</v>
      </c>
      <c r="H538" t="s">
        <v>167</v>
      </c>
      <c r="I538" t="s">
        <v>32</v>
      </c>
      <c r="J538">
        <v>243840</v>
      </c>
      <c r="K538">
        <v>937</v>
      </c>
      <c r="L538" s="4">
        <v>0.04</v>
      </c>
      <c r="M538">
        <v>0.09</v>
      </c>
      <c r="N538" s="4">
        <v>9.7536000000000005</v>
      </c>
      <c r="O538" s="4">
        <v>21.945599999999999</v>
      </c>
    </row>
    <row r="539" spans="2:15">
      <c r="B539" t="s">
        <v>134</v>
      </c>
      <c r="C539" t="s">
        <v>50</v>
      </c>
      <c r="D539" t="s">
        <v>168</v>
      </c>
      <c r="E539" t="s">
        <v>169</v>
      </c>
      <c r="F539" t="s">
        <v>12</v>
      </c>
      <c r="G539" t="s">
        <v>168</v>
      </c>
      <c r="H539" t="s">
        <v>170</v>
      </c>
      <c r="I539" t="s">
        <v>32</v>
      </c>
      <c r="J539">
        <v>247732</v>
      </c>
      <c r="K539">
        <v>815</v>
      </c>
      <c r="L539" s="4">
        <v>0.04</v>
      </c>
      <c r="M539">
        <v>0.09</v>
      </c>
      <c r="N539" s="4">
        <v>9.9092800000000008</v>
      </c>
      <c r="O539" s="4">
        <v>22.295879999999997</v>
      </c>
    </row>
    <row r="540" spans="2:15">
      <c r="B540" t="s">
        <v>134</v>
      </c>
      <c r="C540" t="s">
        <v>50</v>
      </c>
      <c r="D540" t="s">
        <v>171</v>
      </c>
      <c r="E540" t="s">
        <v>172</v>
      </c>
      <c r="F540" t="s">
        <v>12</v>
      </c>
      <c r="G540" t="s">
        <v>171</v>
      </c>
      <c r="H540" t="s">
        <v>173</v>
      </c>
      <c r="I540" t="s">
        <v>32</v>
      </c>
      <c r="J540">
        <v>254166</v>
      </c>
      <c r="K540">
        <v>966</v>
      </c>
      <c r="L540" s="4">
        <v>0.04</v>
      </c>
      <c r="M540">
        <v>0.09</v>
      </c>
      <c r="N540" s="4">
        <v>10.166639999999999</v>
      </c>
      <c r="O540" s="4">
        <v>22.874939999999999</v>
      </c>
    </row>
    <row r="541" spans="2:15">
      <c r="B541" t="s">
        <v>134</v>
      </c>
      <c r="C541" t="s">
        <v>50</v>
      </c>
      <c r="D541" t="s">
        <v>174</v>
      </c>
      <c r="E541" t="s">
        <v>175</v>
      </c>
      <c r="F541" t="s">
        <v>12</v>
      </c>
      <c r="G541" t="s">
        <v>174</v>
      </c>
      <c r="H541" t="s">
        <v>176</v>
      </c>
      <c r="I541" t="s">
        <v>32</v>
      </c>
      <c r="J541">
        <v>252531</v>
      </c>
      <c r="K541">
        <v>747</v>
      </c>
      <c r="L541" s="4">
        <v>0.04</v>
      </c>
      <c r="M541">
        <v>0.09</v>
      </c>
      <c r="N541" s="4">
        <v>10.101240000000001</v>
      </c>
      <c r="O541" s="4">
        <v>22.727790000000002</v>
      </c>
    </row>
    <row r="542" spans="2:15">
      <c r="B542" t="s">
        <v>134</v>
      </c>
      <c r="C542" t="s">
        <v>50</v>
      </c>
      <c r="D542" t="s">
        <v>177</v>
      </c>
      <c r="E542" t="s">
        <v>178</v>
      </c>
      <c r="F542" t="s">
        <v>12</v>
      </c>
      <c r="G542" t="s">
        <v>177</v>
      </c>
      <c r="H542" t="s">
        <v>179</v>
      </c>
      <c r="I542" t="s">
        <v>32</v>
      </c>
      <c r="J542">
        <v>313441</v>
      </c>
      <c r="K542">
        <v>791</v>
      </c>
      <c r="L542" s="4">
        <v>0.04</v>
      </c>
      <c r="M542">
        <v>0.09</v>
      </c>
      <c r="N542" s="4">
        <v>12.53764</v>
      </c>
      <c r="O542" s="4">
        <v>28.209689999999998</v>
      </c>
    </row>
    <row r="543" spans="2:15">
      <c r="B543" t="s">
        <v>134</v>
      </c>
      <c r="C543" t="s">
        <v>50</v>
      </c>
      <c r="D543" t="s">
        <v>180</v>
      </c>
      <c r="E543" t="s">
        <v>181</v>
      </c>
      <c r="F543" t="s">
        <v>12</v>
      </c>
      <c r="G543" t="s">
        <v>180</v>
      </c>
      <c r="H543" t="s">
        <v>182</v>
      </c>
      <c r="I543" t="s">
        <v>32</v>
      </c>
      <c r="J543">
        <v>649101</v>
      </c>
      <c r="K543">
        <v>2486</v>
      </c>
      <c r="L543" s="4">
        <v>0.04</v>
      </c>
      <c r="M543">
        <v>0.09</v>
      </c>
      <c r="N543" s="4">
        <v>25.964040000000001</v>
      </c>
      <c r="O543" s="4">
        <v>58.419089999999997</v>
      </c>
    </row>
    <row r="544" spans="2:15">
      <c r="B544" t="s">
        <v>134</v>
      </c>
      <c r="C544" t="s">
        <v>50</v>
      </c>
      <c r="D544" t="s">
        <v>183</v>
      </c>
      <c r="E544" t="s">
        <v>184</v>
      </c>
      <c r="F544" t="s">
        <v>11</v>
      </c>
      <c r="G544" t="s">
        <v>786</v>
      </c>
      <c r="H544" t="s">
        <v>1705</v>
      </c>
      <c r="I544" t="s">
        <v>31</v>
      </c>
      <c r="J544">
        <v>1577</v>
      </c>
      <c r="K544">
        <v>0</v>
      </c>
      <c r="L544" s="4">
        <v>0.04</v>
      </c>
      <c r="M544">
        <v>0.09</v>
      </c>
      <c r="N544" s="4">
        <v>6.3079999999999997E-2</v>
      </c>
      <c r="O544" s="4">
        <v>0.14193</v>
      </c>
    </row>
    <row r="545" spans="2:15">
      <c r="B545" t="s">
        <v>134</v>
      </c>
      <c r="C545" t="s">
        <v>50</v>
      </c>
      <c r="D545" t="s">
        <v>183</v>
      </c>
      <c r="E545" t="s">
        <v>184</v>
      </c>
      <c r="F545" t="s">
        <v>12</v>
      </c>
      <c r="G545" t="s">
        <v>183</v>
      </c>
      <c r="H545" t="s">
        <v>185</v>
      </c>
      <c r="I545" t="s">
        <v>32</v>
      </c>
      <c r="J545">
        <v>204633</v>
      </c>
      <c r="K545">
        <v>662</v>
      </c>
      <c r="L545" s="4">
        <v>0.04</v>
      </c>
      <c r="M545">
        <v>0.09</v>
      </c>
      <c r="N545" s="4">
        <v>8.1853200000000008</v>
      </c>
      <c r="O545" s="4">
        <v>18.416969999999999</v>
      </c>
    </row>
    <row r="546" spans="2:15">
      <c r="B546" t="s">
        <v>134</v>
      </c>
      <c r="C546" t="s">
        <v>50</v>
      </c>
      <c r="D546" t="s">
        <v>186</v>
      </c>
      <c r="E546" t="s">
        <v>187</v>
      </c>
      <c r="F546" t="s">
        <v>11</v>
      </c>
      <c r="G546" t="s">
        <v>786</v>
      </c>
      <c r="H546" t="s">
        <v>1705</v>
      </c>
      <c r="I546" t="s">
        <v>31</v>
      </c>
      <c r="J546">
        <v>1602</v>
      </c>
      <c r="K546">
        <v>0</v>
      </c>
      <c r="L546" s="4">
        <v>0.04</v>
      </c>
      <c r="M546">
        <v>0.09</v>
      </c>
      <c r="N546" s="4">
        <v>6.4079999999999998E-2</v>
      </c>
      <c r="O546" s="4">
        <v>0.14418</v>
      </c>
    </row>
    <row r="547" spans="2:15">
      <c r="B547" t="s">
        <v>134</v>
      </c>
      <c r="C547" t="s">
        <v>50</v>
      </c>
      <c r="D547" t="s">
        <v>186</v>
      </c>
      <c r="E547" t="s">
        <v>187</v>
      </c>
      <c r="F547" t="s">
        <v>12</v>
      </c>
      <c r="G547" t="s">
        <v>186</v>
      </c>
      <c r="H547" t="s">
        <v>188</v>
      </c>
      <c r="I547" t="s">
        <v>32</v>
      </c>
      <c r="J547">
        <v>258159</v>
      </c>
      <c r="K547">
        <v>970</v>
      </c>
      <c r="L547" s="4">
        <v>0.04</v>
      </c>
      <c r="M547">
        <v>0.09</v>
      </c>
      <c r="N547" s="4">
        <v>10.326360000000001</v>
      </c>
      <c r="O547" s="4">
        <v>23.234309999999997</v>
      </c>
    </row>
    <row r="548" spans="2:15">
      <c r="B548" t="s">
        <v>134</v>
      </c>
      <c r="C548" t="s">
        <v>50</v>
      </c>
      <c r="D548" t="s">
        <v>189</v>
      </c>
      <c r="E548" t="s">
        <v>190</v>
      </c>
      <c r="F548" t="s">
        <v>11</v>
      </c>
      <c r="G548" t="s">
        <v>786</v>
      </c>
      <c r="H548" t="s">
        <v>1705</v>
      </c>
      <c r="I548" t="s">
        <v>31</v>
      </c>
      <c r="J548">
        <v>1599</v>
      </c>
      <c r="K548">
        <v>0</v>
      </c>
      <c r="L548" s="4">
        <v>0.04</v>
      </c>
      <c r="M548">
        <v>0.09</v>
      </c>
      <c r="N548" s="4">
        <v>6.3960000000000003E-2</v>
      </c>
      <c r="O548" s="4">
        <v>0.14391000000000001</v>
      </c>
    </row>
    <row r="549" spans="2:15">
      <c r="B549" t="s">
        <v>134</v>
      </c>
      <c r="C549" t="s">
        <v>50</v>
      </c>
      <c r="D549" t="s">
        <v>189</v>
      </c>
      <c r="E549" t="s">
        <v>190</v>
      </c>
      <c r="F549" t="s">
        <v>12</v>
      </c>
      <c r="G549" t="s">
        <v>189</v>
      </c>
      <c r="H549" t="s">
        <v>191</v>
      </c>
      <c r="I549" t="s">
        <v>32</v>
      </c>
      <c r="J549">
        <v>242730</v>
      </c>
      <c r="K549">
        <v>766</v>
      </c>
      <c r="L549" s="4">
        <v>0.04</v>
      </c>
      <c r="M549">
        <v>0.09</v>
      </c>
      <c r="N549" s="4">
        <v>9.7092000000000009</v>
      </c>
      <c r="O549" s="4">
        <v>21.845700000000001</v>
      </c>
    </row>
    <row r="550" spans="2:15">
      <c r="B550" t="s">
        <v>134</v>
      </c>
      <c r="C550" t="s">
        <v>50</v>
      </c>
      <c r="D550" t="s">
        <v>192</v>
      </c>
      <c r="E550" t="s">
        <v>193</v>
      </c>
      <c r="F550" t="s">
        <v>11</v>
      </c>
      <c r="G550" t="s">
        <v>786</v>
      </c>
      <c r="H550" t="s">
        <v>1705</v>
      </c>
      <c r="I550" t="s">
        <v>31</v>
      </c>
      <c r="J550">
        <v>1536</v>
      </c>
      <c r="K550">
        <v>0</v>
      </c>
      <c r="L550" s="4">
        <v>0.04</v>
      </c>
      <c r="M550">
        <v>0.09</v>
      </c>
      <c r="N550" s="4">
        <v>6.1439999999999995E-2</v>
      </c>
      <c r="O550" s="4">
        <v>0.13824</v>
      </c>
    </row>
    <row r="551" spans="2:15">
      <c r="B551" t="s">
        <v>134</v>
      </c>
      <c r="C551" t="s">
        <v>50</v>
      </c>
      <c r="D551" t="s">
        <v>192</v>
      </c>
      <c r="E551" t="s">
        <v>193</v>
      </c>
      <c r="F551" t="s">
        <v>12</v>
      </c>
      <c r="G551" t="s">
        <v>192</v>
      </c>
      <c r="H551" t="s">
        <v>194</v>
      </c>
      <c r="I551" t="s">
        <v>32</v>
      </c>
      <c r="J551">
        <v>291282</v>
      </c>
      <c r="K551">
        <v>908</v>
      </c>
      <c r="L551" s="4">
        <v>0.04</v>
      </c>
      <c r="M551">
        <v>0.09</v>
      </c>
      <c r="N551" s="4">
        <v>11.65128</v>
      </c>
      <c r="O551" s="4">
        <v>26.215379999999996</v>
      </c>
    </row>
    <row r="552" spans="2:15">
      <c r="B552" t="s">
        <v>134</v>
      </c>
      <c r="C552" t="s">
        <v>50</v>
      </c>
      <c r="D552" t="s">
        <v>195</v>
      </c>
      <c r="E552" t="s">
        <v>196</v>
      </c>
      <c r="F552" t="s">
        <v>11</v>
      </c>
      <c r="G552" t="s">
        <v>786</v>
      </c>
      <c r="H552" t="s">
        <v>1705</v>
      </c>
      <c r="I552" t="s">
        <v>31</v>
      </c>
      <c r="J552">
        <v>1680</v>
      </c>
      <c r="K552">
        <v>0</v>
      </c>
      <c r="L552" s="4">
        <v>0.04</v>
      </c>
      <c r="M552">
        <v>0.09</v>
      </c>
      <c r="N552" s="4">
        <v>6.720000000000001E-2</v>
      </c>
      <c r="O552" s="4">
        <v>0.1512</v>
      </c>
    </row>
    <row r="553" spans="2:15">
      <c r="B553" t="s">
        <v>134</v>
      </c>
      <c r="C553" t="s">
        <v>50</v>
      </c>
      <c r="D553" t="s">
        <v>195</v>
      </c>
      <c r="E553" t="s">
        <v>196</v>
      </c>
      <c r="F553" t="s">
        <v>12</v>
      </c>
      <c r="G553" t="s">
        <v>197</v>
      </c>
      <c r="H553" t="s">
        <v>198</v>
      </c>
      <c r="I553" t="s">
        <v>32</v>
      </c>
      <c r="J553">
        <v>225810</v>
      </c>
      <c r="K553">
        <v>750</v>
      </c>
      <c r="L553" s="4">
        <v>0.04</v>
      </c>
      <c r="M553">
        <v>0.09</v>
      </c>
      <c r="N553" s="4">
        <v>9.0323999999999991</v>
      </c>
      <c r="O553" s="4">
        <v>20.322899999999997</v>
      </c>
    </row>
    <row r="554" spans="2:15">
      <c r="B554" t="s">
        <v>134</v>
      </c>
      <c r="C554" t="s">
        <v>50</v>
      </c>
      <c r="D554" t="s">
        <v>199</v>
      </c>
      <c r="E554" t="s">
        <v>200</v>
      </c>
      <c r="F554" t="s">
        <v>11</v>
      </c>
      <c r="G554" t="s">
        <v>786</v>
      </c>
      <c r="H554" t="s">
        <v>1705</v>
      </c>
      <c r="I554" t="s">
        <v>31</v>
      </c>
      <c r="J554">
        <v>1625</v>
      </c>
      <c r="K554">
        <v>0</v>
      </c>
      <c r="L554" s="4">
        <v>0.04</v>
      </c>
      <c r="M554">
        <v>0.09</v>
      </c>
      <c r="N554" s="4">
        <v>6.5000000000000002E-2</v>
      </c>
      <c r="O554" s="4">
        <v>0.14624999999999999</v>
      </c>
    </row>
    <row r="555" spans="2:15">
      <c r="B555" t="s">
        <v>134</v>
      </c>
      <c r="C555" t="s">
        <v>50</v>
      </c>
      <c r="D555" t="s">
        <v>199</v>
      </c>
      <c r="E555" t="s">
        <v>200</v>
      </c>
      <c r="F555" t="s">
        <v>12</v>
      </c>
      <c r="G555" t="s">
        <v>199</v>
      </c>
      <c r="H555" t="s">
        <v>201</v>
      </c>
      <c r="I555" t="s">
        <v>32</v>
      </c>
      <c r="J555">
        <v>204381</v>
      </c>
      <c r="K555">
        <v>578</v>
      </c>
      <c r="L555" s="4">
        <v>0.04</v>
      </c>
      <c r="M555">
        <v>0.09</v>
      </c>
      <c r="N555" s="4">
        <v>8.1752400000000005</v>
      </c>
      <c r="O555" s="4">
        <v>18.394290000000002</v>
      </c>
    </row>
    <row r="556" spans="2:15">
      <c r="B556" t="s">
        <v>134</v>
      </c>
      <c r="C556" t="s">
        <v>50</v>
      </c>
      <c r="D556" t="s">
        <v>202</v>
      </c>
      <c r="E556" t="s">
        <v>203</v>
      </c>
      <c r="F556" t="s">
        <v>11</v>
      </c>
      <c r="G556" t="s">
        <v>786</v>
      </c>
      <c r="H556" t="s">
        <v>1705</v>
      </c>
      <c r="I556" t="s">
        <v>31</v>
      </c>
      <c r="J556">
        <v>1722</v>
      </c>
      <c r="K556">
        <v>0</v>
      </c>
      <c r="L556" s="4">
        <v>0.04</v>
      </c>
      <c r="M556">
        <v>0.09</v>
      </c>
      <c r="N556" s="4">
        <v>6.8879999999999997E-2</v>
      </c>
      <c r="O556" s="4">
        <v>0.15497999999999998</v>
      </c>
    </row>
    <row r="557" spans="2:15">
      <c r="B557" t="s">
        <v>134</v>
      </c>
      <c r="C557" t="s">
        <v>50</v>
      </c>
      <c r="D557" t="s">
        <v>202</v>
      </c>
      <c r="E557" t="s">
        <v>203</v>
      </c>
      <c r="F557" t="s">
        <v>12</v>
      </c>
      <c r="G557" t="s">
        <v>202</v>
      </c>
      <c r="H557" t="s">
        <v>204</v>
      </c>
      <c r="I557" t="s">
        <v>32</v>
      </c>
      <c r="J557">
        <v>184432</v>
      </c>
      <c r="K557">
        <v>506</v>
      </c>
      <c r="L557" s="4">
        <v>0.04</v>
      </c>
      <c r="M557">
        <v>0.09</v>
      </c>
      <c r="N557" s="4">
        <v>7.3772799999999998</v>
      </c>
      <c r="O557" s="4">
        <v>16.598880000000001</v>
      </c>
    </row>
    <row r="558" spans="2:15">
      <c r="B558" t="s">
        <v>134</v>
      </c>
      <c r="C558" t="s">
        <v>50</v>
      </c>
      <c r="D558" t="s">
        <v>205</v>
      </c>
      <c r="E558" t="s">
        <v>206</v>
      </c>
      <c r="F558" t="s">
        <v>11</v>
      </c>
      <c r="G558" t="s">
        <v>786</v>
      </c>
      <c r="H558" t="s">
        <v>1705</v>
      </c>
      <c r="I558" t="s">
        <v>31</v>
      </c>
      <c r="J558">
        <v>1558</v>
      </c>
      <c r="K558">
        <v>0</v>
      </c>
      <c r="L558" s="4">
        <v>0.04</v>
      </c>
      <c r="M558">
        <v>0.09</v>
      </c>
      <c r="N558" s="4">
        <v>6.232E-2</v>
      </c>
      <c r="O558" s="4">
        <v>0.14022000000000001</v>
      </c>
    </row>
    <row r="559" spans="2:15">
      <c r="B559" t="s">
        <v>134</v>
      </c>
      <c r="C559" t="s">
        <v>50</v>
      </c>
      <c r="D559" t="s">
        <v>205</v>
      </c>
      <c r="E559" t="s">
        <v>206</v>
      </c>
      <c r="F559" t="s">
        <v>12</v>
      </c>
      <c r="G559" t="s">
        <v>205</v>
      </c>
      <c r="H559" t="s">
        <v>207</v>
      </c>
      <c r="I559" t="s">
        <v>32</v>
      </c>
      <c r="J559">
        <v>189270</v>
      </c>
      <c r="K559">
        <v>522</v>
      </c>
      <c r="L559" s="4">
        <v>0.04</v>
      </c>
      <c r="M559">
        <v>0.09</v>
      </c>
      <c r="N559" s="4">
        <v>7.5708000000000002</v>
      </c>
      <c r="O559" s="4">
        <v>17.034299999999998</v>
      </c>
    </row>
    <row r="560" spans="2:15">
      <c r="B560" t="s">
        <v>134</v>
      </c>
      <c r="C560" t="s">
        <v>50</v>
      </c>
      <c r="D560" t="s">
        <v>208</v>
      </c>
      <c r="E560" t="s">
        <v>209</v>
      </c>
      <c r="F560" t="s">
        <v>12</v>
      </c>
      <c r="G560" t="s">
        <v>208</v>
      </c>
      <c r="H560" t="s">
        <v>210</v>
      </c>
      <c r="I560" t="s">
        <v>32</v>
      </c>
      <c r="J560">
        <v>1156320</v>
      </c>
      <c r="K560">
        <v>7170</v>
      </c>
      <c r="L560" s="4">
        <v>0.04</v>
      </c>
      <c r="M560">
        <v>0.09</v>
      </c>
      <c r="N560" s="4">
        <v>46.252800000000001</v>
      </c>
      <c r="O560" s="4">
        <v>104.0688</v>
      </c>
    </row>
    <row r="561" spans="2:15">
      <c r="B561" t="s">
        <v>134</v>
      </c>
      <c r="C561" t="s">
        <v>50</v>
      </c>
      <c r="D561" t="s">
        <v>211</v>
      </c>
      <c r="E561" t="s">
        <v>212</v>
      </c>
      <c r="F561" t="s">
        <v>12</v>
      </c>
      <c r="G561" t="s">
        <v>211</v>
      </c>
      <c r="H561" t="s">
        <v>213</v>
      </c>
      <c r="I561" t="s">
        <v>32</v>
      </c>
      <c r="J561">
        <v>113083</v>
      </c>
      <c r="K561">
        <v>449</v>
      </c>
      <c r="L561" s="4">
        <v>0.04</v>
      </c>
      <c r="M561">
        <v>0.09</v>
      </c>
      <c r="N561" s="4">
        <v>4.52332</v>
      </c>
      <c r="O561" s="4">
        <v>10.17747</v>
      </c>
    </row>
    <row r="562" spans="2:15">
      <c r="B562" t="s">
        <v>134</v>
      </c>
      <c r="C562" t="s">
        <v>50</v>
      </c>
      <c r="D562" t="s">
        <v>214</v>
      </c>
      <c r="E562" t="s">
        <v>215</v>
      </c>
      <c r="F562" t="s">
        <v>12</v>
      </c>
      <c r="G562" t="s">
        <v>214</v>
      </c>
      <c r="H562" t="s">
        <v>216</v>
      </c>
      <c r="I562" t="s">
        <v>32</v>
      </c>
      <c r="J562">
        <v>112997</v>
      </c>
      <c r="K562">
        <v>455</v>
      </c>
      <c r="L562" s="4">
        <v>0.04</v>
      </c>
      <c r="M562">
        <v>0.09</v>
      </c>
      <c r="N562" s="4">
        <v>4.5198799999999997</v>
      </c>
      <c r="O562" s="4">
        <v>10.169729999999999</v>
      </c>
    </row>
    <row r="563" spans="2:15">
      <c r="B563" t="s">
        <v>134</v>
      </c>
      <c r="C563" t="s">
        <v>50</v>
      </c>
      <c r="D563" t="s">
        <v>217</v>
      </c>
      <c r="E563" t="s">
        <v>218</v>
      </c>
      <c r="F563" t="s">
        <v>12</v>
      </c>
      <c r="G563" t="s">
        <v>217</v>
      </c>
      <c r="H563" t="s">
        <v>219</v>
      </c>
      <c r="I563" t="s">
        <v>32</v>
      </c>
      <c r="J563">
        <v>13669</v>
      </c>
      <c r="K563">
        <v>12</v>
      </c>
      <c r="L563" s="4">
        <v>0.04</v>
      </c>
      <c r="M563">
        <v>0.09</v>
      </c>
      <c r="N563" s="4">
        <v>0.54676000000000002</v>
      </c>
      <c r="O563" s="4">
        <v>1.23021</v>
      </c>
    </row>
    <row r="564" spans="2:15">
      <c r="B564" t="s">
        <v>134</v>
      </c>
      <c r="C564" t="s">
        <v>50</v>
      </c>
      <c r="D564" t="s">
        <v>220</v>
      </c>
      <c r="E564" t="s">
        <v>221</v>
      </c>
      <c r="F564" t="s">
        <v>12</v>
      </c>
      <c r="G564" t="s">
        <v>220</v>
      </c>
      <c r="H564" t="s">
        <v>222</v>
      </c>
      <c r="I564" t="s">
        <v>32</v>
      </c>
      <c r="J564">
        <v>248781</v>
      </c>
      <c r="K564">
        <v>590</v>
      </c>
      <c r="L564" s="4">
        <v>0.04</v>
      </c>
      <c r="M564">
        <v>0.09</v>
      </c>
      <c r="N564" s="4">
        <v>9.9512400000000003</v>
      </c>
      <c r="O564" s="4">
        <v>22.39029</v>
      </c>
    </row>
    <row r="565" spans="2:15">
      <c r="B565" t="s">
        <v>134</v>
      </c>
      <c r="C565" t="s">
        <v>50</v>
      </c>
      <c r="D565" t="s">
        <v>223</v>
      </c>
      <c r="E565" t="s">
        <v>224</v>
      </c>
      <c r="F565" t="s">
        <v>12</v>
      </c>
      <c r="G565" t="s">
        <v>223</v>
      </c>
      <c r="H565" t="s">
        <v>225</v>
      </c>
      <c r="I565" t="s">
        <v>32</v>
      </c>
      <c r="J565">
        <v>31164</v>
      </c>
      <c r="K565">
        <v>130</v>
      </c>
      <c r="L565" s="4">
        <v>0.04</v>
      </c>
      <c r="M565">
        <v>0.09</v>
      </c>
      <c r="N565" s="4">
        <v>1.2465599999999999</v>
      </c>
      <c r="O565" s="4">
        <v>2.8047599999999999</v>
      </c>
    </row>
    <row r="566" spans="2:15">
      <c r="B566" t="s">
        <v>134</v>
      </c>
      <c r="C566" t="s">
        <v>50</v>
      </c>
      <c r="D566" t="s">
        <v>1706</v>
      </c>
      <c r="E566" t="s">
        <v>1707</v>
      </c>
      <c r="F566" t="s">
        <v>12</v>
      </c>
      <c r="G566" t="s">
        <v>1706</v>
      </c>
      <c r="H566" t="s">
        <v>1708</v>
      </c>
      <c r="I566" t="s">
        <v>32</v>
      </c>
      <c r="J566">
        <v>90637</v>
      </c>
      <c r="K566">
        <v>553</v>
      </c>
      <c r="L566" s="4">
        <v>0.04</v>
      </c>
      <c r="M566">
        <v>0.09</v>
      </c>
      <c r="N566" s="4">
        <v>3.62548</v>
      </c>
      <c r="O566" s="4">
        <v>8.15733</v>
      </c>
    </row>
    <row r="567" spans="2:15">
      <c r="B567" t="s">
        <v>134</v>
      </c>
      <c r="C567" t="s">
        <v>50</v>
      </c>
      <c r="D567" t="s">
        <v>226</v>
      </c>
      <c r="E567" t="s">
        <v>227</v>
      </c>
      <c r="F567" t="s">
        <v>12</v>
      </c>
      <c r="G567" t="s">
        <v>226</v>
      </c>
      <c r="H567" t="s">
        <v>228</v>
      </c>
      <c r="I567" t="s">
        <v>32</v>
      </c>
      <c r="J567">
        <v>148359</v>
      </c>
      <c r="K567">
        <v>299</v>
      </c>
      <c r="L567" s="4">
        <v>0.04</v>
      </c>
      <c r="M567">
        <v>0.09</v>
      </c>
      <c r="N567" s="4">
        <v>5.9343599999999999</v>
      </c>
      <c r="O567" s="4">
        <v>13.352309999999999</v>
      </c>
    </row>
    <row r="568" spans="2:15">
      <c r="B568" t="s">
        <v>134</v>
      </c>
      <c r="C568" t="s">
        <v>50</v>
      </c>
      <c r="D568" t="s">
        <v>229</v>
      </c>
      <c r="E568" t="s">
        <v>230</v>
      </c>
      <c r="F568" t="s">
        <v>12</v>
      </c>
      <c r="G568" t="s">
        <v>229</v>
      </c>
      <c r="H568" t="s">
        <v>231</v>
      </c>
      <c r="I568" t="s">
        <v>32</v>
      </c>
      <c r="J568">
        <v>285984</v>
      </c>
      <c r="K568">
        <v>1239</v>
      </c>
      <c r="L568" s="4">
        <v>0.04</v>
      </c>
      <c r="M568">
        <v>0.09</v>
      </c>
      <c r="N568" s="4">
        <v>11.439360000000001</v>
      </c>
      <c r="O568" s="4">
        <v>25.738559999999996</v>
      </c>
    </row>
    <row r="569" spans="2:15">
      <c r="B569" t="s">
        <v>134</v>
      </c>
      <c r="C569" t="s">
        <v>50</v>
      </c>
      <c r="D569" t="s">
        <v>232</v>
      </c>
      <c r="E569" t="s">
        <v>233</v>
      </c>
      <c r="F569" t="s">
        <v>12</v>
      </c>
      <c r="G569" t="s">
        <v>232</v>
      </c>
      <c r="H569" t="s">
        <v>234</v>
      </c>
      <c r="I569" t="s">
        <v>32</v>
      </c>
      <c r="J569">
        <v>284048</v>
      </c>
      <c r="K569">
        <v>1581</v>
      </c>
      <c r="L569" s="4">
        <v>0.04</v>
      </c>
      <c r="M569">
        <v>0.09</v>
      </c>
      <c r="N569" s="4">
        <v>11.36192</v>
      </c>
      <c r="O569" s="4">
        <v>25.564319999999999</v>
      </c>
    </row>
    <row r="570" spans="2:15">
      <c r="B570" t="s">
        <v>134</v>
      </c>
      <c r="C570" t="s">
        <v>50</v>
      </c>
      <c r="D570" t="s">
        <v>235</v>
      </c>
      <c r="E570" t="s">
        <v>236</v>
      </c>
      <c r="F570" t="s">
        <v>12</v>
      </c>
      <c r="G570" t="s">
        <v>235</v>
      </c>
      <c r="H570" t="s">
        <v>237</v>
      </c>
      <c r="I570" t="s">
        <v>32</v>
      </c>
      <c r="J570">
        <v>119589</v>
      </c>
      <c r="K570">
        <v>611</v>
      </c>
      <c r="L570" s="4">
        <v>0.04</v>
      </c>
      <c r="M570">
        <v>0.09</v>
      </c>
      <c r="N570" s="4">
        <v>4.7835600000000005</v>
      </c>
      <c r="O570" s="4">
        <v>10.76301</v>
      </c>
    </row>
    <row r="571" spans="2:15">
      <c r="B571" t="s">
        <v>134</v>
      </c>
      <c r="C571" t="s">
        <v>50</v>
      </c>
      <c r="D571" t="s">
        <v>238</v>
      </c>
      <c r="E571" t="s">
        <v>239</v>
      </c>
      <c r="F571" t="s">
        <v>12</v>
      </c>
      <c r="G571" t="s">
        <v>235</v>
      </c>
      <c r="H571" t="s">
        <v>240</v>
      </c>
      <c r="I571" t="s">
        <v>32</v>
      </c>
      <c r="J571">
        <v>225330</v>
      </c>
      <c r="K571">
        <v>1069</v>
      </c>
      <c r="L571" s="4">
        <v>0.04</v>
      </c>
      <c r="M571">
        <v>0.09</v>
      </c>
      <c r="N571" s="4">
        <v>9.0132000000000012</v>
      </c>
      <c r="O571" s="4">
        <v>20.279700000000002</v>
      </c>
    </row>
    <row r="572" spans="2:15">
      <c r="B572" t="s">
        <v>134</v>
      </c>
      <c r="C572" t="s">
        <v>50</v>
      </c>
      <c r="D572" t="s">
        <v>241</v>
      </c>
      <c r="E572" t="s">
        <v>242</v>
      </c>
      <c r="F572" t="s">
        <v>12</v>
      </c>
      <c r="G572" t="s">
        <v>241</v>
      </c>
      <c r="H572" t="s">
        <v>243</v>
      </c>
      <c r="I572" t="s">
        <v>32</v>
      </c>
      <c r="J572">
        <v>225272</v>
      </c>
      <c r="K572">
        <v>1061</v>
      </c>
      <c r="L572" s="4">
        <v>0.04</v>
      </c>
      <c r="M572">
        <v>0.09</v>
      </c>
      <c r="N572" s="4">
        <v>9.0108800000000002</v>
      </c>
      <c r="O572" s="4">
        <v>20.274480000000001</v>
      </c>
    </row>
    <row r="573" spans="2:15">
      <c r="B573" t="s">
        <v>134</v>
      </c>
      <c r="C573" t="s">
        <v>50</v>
      </c>
      <c r="D573" t="s">
        <v>244</v>
      </c>
      <c r="E573" t="s">
        <v>245</v>
      </c>
      <c r="F573" t="s">
        <v>12</v>
      </c>
      <c r="G573" t="s">
        <v>244</v>
      </c>
      <c r="H573" t="s">
        <v>246</v>
      </c>
      <c r="I573" t="s">
        <v>32</v>
      </c>
      <c r="J573">
        <v>555373</v>
      </c>
      <c r="K573">
        <v>1417</v>
      </c>
      <c r="L573" s="4">
        <v>0.04</v>
      </c>
      <c r="M573">
        <v>0.09</v>
      </c>
      <c r="N573" s="4">
        <v>22.214920000000003</v>
      </c>
      <c r="O573" s="4">
        <v>49.98357</v>
      </c>
    </row>
    <row r="574" spans="2:15">
      <c r="B574" t="s">
        <v>134</v>
      </c>
      <c r="C574" t="s">
        <v>50</v>
      </c>
      <c r="D574" t="s">
        <v>247</v>
      </c>
      <c r="E574" t="s">
        <v>248</v>
      </c>
      <c r="F574" t="s">
        <v>12</v>
      </c>
      <c r="G574" t="s">
        <v>247</v>
      </c>
      <c r="H574" t="s">
        <v>249</v>
      </c>
      <c r="I574" t="s">
        <v>32</v>
      </c>
      <c r="J574">
        <v>109188</v>
      </c>
      <c r="K574">
        <v>480</v>
      </c>
      <c r="L574" s="4">
        <v>0.04</v>
      </c>
      <c r="M574">
        <v>0.09</v>
      </c>
      <c r="N574" s="4">
        <v>4.3675200000000007</v>
      </c>
      <c r="O574" s="4">
        <v>9.8269199999999994</v>
      </c>
    </row>
    <row r="575" spans="2:15">
      <c r="B575" t="s">
        <v>134</v>
      </c>
      <c r="C575" t="s">
        <v>50</v>
      </c>
      <c r="D575" t="s">
        <v>2534</v>
      </c>
      <c r="E575" t="s">
        <v>2535</v>
      </c>
      <c r="F575" t="s">
        <v>12</v>
      </c>
      <c r="G575" t="s">
        <v>2536</v>
      </c>
      <c r="H575" t="s">
        <v>2537</v>
      </c>
      <c r="I575" t="s">
        <v>31</v>
      </c>
      <c r="J575">
        <v>1</v>
      </c>
      <c r="K575">
        <v>0</v>
      </c>
      <c r="L575" s="4">
        <v>0.04</v>
      </c>
      <c r="M575">
        <v>0.09</v>
      </c>
      <c r="N575" s="4">
        <v>4.0000000000000003E-5</v>
      </c>
      <c r="O575" s="4">
        <v>8.9999999999999992E-5</v>
      </c>
    </row>
    <row r="576" spans="2:15">
      <c r="B576" t="s">
        <v>134</v>
      </c>
      <c r="C576" t="s">
        <v>50</v>
      </c>
      <c r="D576" t="s">
        <v>2538</v>
      </c>
      <c r="E576" t="s">
        <v>2539</v>
      </c>
      <c r="F576" t="s">
        <v>12</v>
      </c>
      <c r="G576" t="s">
        <v>2538</v>
      </c>
      <c r="H576" t="s">
        <v>2540</v>
      </c>
      <c r="I576" t="s">
        <v>32</v>
      </c>
      <c r="J576">
        <v>17</v>
      </c>
      <c r="K576">
        <v>3</v>
      </c>
      <c r="L576" s="4">
        <v>0.04</v>
      </c>
      <c r="M576">
        <v>0.09</v>
      </c>
      <c r="N576" s="4">
        <v>6.8000000000000005E-4</v>
      </c>
      <c r="O576" s="4">
        <v>1.5300000000000001E-3</v>
      </c>
    </row>
    <row r="577" spans="2:15">
      <c r="B577" t="s">
        <v>134</v>
      </c>
      <c r="C577" t="s">
        <v>50</v>
      </c>
      <c r="D577" t="s">
        <v>2541</v>
      </c>
      <c r="E577" t="s">
        <v>2542</v>
      </c>
      <c r="F577" t="s">
        <v>10</v>
      </c>
      <c r="G577" t="s">
        <v>2541</v>
      </c>
      <c r="H577" t="s">
        <v>2543</v>
      </c>
      <c r="I577" t="s">
        <v>32</v>
      </c>
      <c r="J577">
        <v>0</v>
      </c>
      <c r="K577">
        <v>1</v>
      </c>
      <c r="L577" s="4">
        <v>3.5000000000000001E-3</v>
      </c>
      <c r="M577">
        <v>0.02</v>
      </c>
      <c r="N577" s="4">
        <v>3.5000000000000001E-3</v>
      </c>
      <c r="O577" s="4">
        <v>0.02</v>
      </c>
    </row>
    <row r="578" spans="2:15">
      <c r="B578" t="s">
        <v>134</v>
      </c>
      <c r="C578" t="s">
        <v>50</v>
      </c>
      <c r="D578" t="s">
        <v>2544</v>
      </c>
      <c r="E578" t="s">
        <v>2545</v>
      </c>
      <c r="F578" t="s">
        <v>12</v>
      </c>
      <c r="G578" t="s">
        <v>2544</v>
      </c>
      <c r="H578" t="s">
        <v>2546</v>
      </c>
      <c r="I578" t="s">
        <v>32</v>
      </c>
      <c r="J578">
        <v>18</v>
      </c>
      <c r="K578">
        <v>4</v>
      </c>
      <c r="L578" s="4">
        <v>0.04</v>
      </c>
      <c r="M578">
        <v>0.09</v>
      </c>
      <c r="N578" s="4">
        <v>7.1999999999999994E-4</v>
      </c>
      <c r="O578" s="4">
        <v>1.6199999999999999E-3</v>
      </c>
    </row>
    <row r="579" spans="2:15">
      <c r="B579" t="s">
        <v>134</v>
      </c>
      <c r="C579" t="s">
        <v>50</v>
      </c>
      <c r="D579" t="s">
        <v>250</v>
      </c>
      <c r="E579" t="s">
        <v>251</v>
      </c>
      <c r="F579" t="s">
        <v>10</v>
      </c>
      <c r="G579" t="s">
        <v>250</v>
      </c>
      <c r="H579" t="s">
        <v>252</v>
      </c>
      <c r="I579" t="s">
        <v>32</v>
      </c>
      <c r="J579">
        <v>0</v>
      </c>
      <c r="K579">
        <v>2</v>
      </c>
      <c r="L579" s="4">
        <v>3.5000000000000001E-3</v>
      </c>
      <c r="M579">
        <v>0.02</v>
      </c>
      <c r="N579" s="4">
        <v>7.0000000000000001E-3</v>
      </c>
      <c r="O579" s="4">
        <v>0.04</v>
      </c>
    </row>
    <row r="580" spans="2:15">
      <c r="B580" t="s">
        <v>134</v>
      </c>
      <c r="C580" t="s">
        <v>253</v>
      </c>
      <c r="D580" t="s">
        <v>254</v>
      </c>
      <c r="E580" t="s">
        <v>255</v>
      </c>
      <c r="F580" t="s">
        <v>10</v>
      </c>
      <c r="G580" t="s">
        <v>254</v>
      </c>
      <c r="H580" t="s">
        <v>256</v>
      </c>
      <c r="I580" t="s">
        <v>32</v>
      </c>
      <c r="J580">
        <v>0</v>
      </c>
      <c r="K580">
        <v>4789</v>
      </c>
      <c r="L580" s="4">
        <v>3.5000000000000001E-3</v>
      </c>
      <c r="M580">
        <v>0.02</v>
      </c>
      <c r="N580" s="4">
        <v>16.761500000000002</v>
      </c>
      <c r="O580" s="4">
        <v>95.78</v>
      </c>
    </row>
    <row r="581" spans="2:15">
      <c r="B581" t="s">
        <v>134</v>
      </c>
      <c r="C581" t="s">
        <v>253</v>
      </c>
      <c r="D581" t="s">
        <v>257</v>
      </c>
      <c r="E581" t="s">
        <v>258</v>
      </c>
      <c r="F581" t="s">
        <v>10</v>
      </c>
      <c r="G581" t="s">
        <v>257</v>
      </c>
      <c r="H581" t="s">
        <v>259</v>
      </c>
      <c r="I581" t="s">
        <v>32</v>
      </c>
      <c r="J581">
        <v>0</v>
      </c>
      <c r="K581">
        <v>25378</v>
      </c>
      <c r="L581" s="4">
        <v>3.5000000000000001E-3</v>
      </c>
      <c r="M581">
        <v>0.02</v>
      </c>
      <c r="N581" s="4">
        <v>88.823000000000008</v>
      </c>
      <c r="O581" s="4">
        <v>507.56</v>
      </c>
    </row>
    <row r="582" spans="2:15">
      <c r="B582" t="s">
        <v>134</v>
      </c>
      <c r="C582" t="s">
        <v>253</v>
      </c>
      <c r="D582" t="s">
        <v>260</v>
      </c>
      <c r="E582" t="s">
        <v>261</v>
      </c>
      <c r="F582" t="s">
        <v>10</v>
      </c>
      <c r="G582" t="s">
        <v>260</v>
      </c>
      <c r="H582" t="s">
        <v>262</v>
      </c>
      <c r="I582" t="s">
        <v>32</v>
      </c>
      <c r="J582">
        <v>0</v>
      </c>
      <c r="K582">
        <v>2790</v>
      </c>
      <c r="L582" s="4">
        <v>3.5000000000000001E-3</v>
      </c>
      <c r="M582">
        <v>0.02</v>
      </c>
      <c r="N582" s="4">
        <v>9.7650000000000006</v>
      </c>
      <c r="O582" s="4">
        <v>55.800000000000004</v>
      </c>
    </row>
    <row r="583" spans="2:15">
      <c r="B583" t="s">
        <v>134</v>
      </c>
      <c r="C583" t="s">
        <v>253</v>
      </c>
      <c r="D583" t="s">
        <v>263</v>
      </c>
      <c r="E583" t="s">
        <v>264</v>
      </c>
      <c r="F583" t="s">
        <v>10</v>
      </c>
      <c r="G583" t="s">
        <v>263</v>
      </c>
      <c r="H583" t="s">
        <v>265</v>
      </c>
      <c r="I583" t="s">
        <v>32</v>
      </c>
      <c r="J583">
        <v>0</v>
      </c>
      <c r="K583">
        <v>1014</v>
      </c>
      <c r="L583" s="4">
        <v>3.5000000000000001E-3</v>
      </c>
      <c r="M583">
        <v>0.02</v>
      </c>
      <c r="N583" s="4">
        <v>3.5489999999999999</v>
      </c>
      <c r="O583" s="4">
        <v>20.28</v>
      </c>
    </row>
    <row r="584" spans="2:15">
      <c r="B584" t="s">
        <v>134</v>
      </c>
      <c r="C584" t="s">
        <v>253</v>
      </c>
      <c r="D584" t="s">
        <v>266</v>
      </c>
      <c r="E584" t="s">
        <v>267</v>
      </c>
      <c r="F584" t="s">
        <v>10</v>
      </c>
      <c r="G584" t="s">
        <v>266</v>
      </c>
      <c r="H584" t="s">
        <v>268</v>
      </c>
      <c r="I584" t="s">
        <v>32</v>
      </c>
      <c r="J584">
        <v>0</v>
      </c>
      <c r="K584">
        <v>6488</v>
      </c>
      <c r="L584" s="4">
        <v>3.5000000000000001E-3</v>
      </c>
      <c r="M584">
        <v>0.02</v>
      </c>
      <c r="N584" s="4">
        <v>22.708000000000002</v>
      </c>
      <c r="O584" s="4">
        <v>129.76</v>
      </c>
    </row>
    <row r="585" spans="2:15">
      <c r="B585" t="s">
        <v>134</v>
      </c>
      <c r="C585" t="s">
        <v>253</v>
      </c>
      <c r="D585" t="s">
        <v>269</v>
      </c>
      <c r="E585" t="s">
        <v>270</v>
      </c>
      <c r="F585" t="s">
        <v>10</v>
      </c>
      <c r="G585" t="s">
        <v>269</v>
      </c>
      <c r="H585" t="s">
        <v>271</v>
      </c>
      <c r="I585" t="s">
        <v>32</v>
      </c>
      <c r="J585">
        <v>0</v>
      </c>
      <c r="K585">
        <v>15213</v>
      </c>
      <c r="L585" s="4">
        <v>3.5000000000000001E-3</v>
      </c>
      <c r="M585">
        <v>0.02</v>
      </c>
      <c r="N585" s="4">
        <v>53.2455</v>
      </c>
      <c r="O585" s="4">
        <v>304.26</v>
      </c>
    </row>
    <row r="586" spans="2:15">
      <c r="B586" t="s">
        <v>134</v>
      </c>
      <c r="C586" t="s">
        <v>253</v>
      </c>
      <c r="D586" t="s">
        <v>272</v>
      </c>
      <c r="E586" t="s">
        <v>2547</v>
      </c>
      <c r="F586" t="s">
        <v>10</v>
      </c>
      <c r="G586" t="s">
        <v>272</v>
      </c>
      <c r="H586" t="s">
        <v>2548</v>
      </c>
      <c r="I586" t="s">
        <v>32</v>
      </c>
      <c r="J586">
        <v>0</v>
      </c>
      <c r="K586">
        <v>61</v>
      </c>
      <c r="L586" s="4">
        <v>3.5000000000000001E-3</v>
      </c>
      <c r="M586">
        <v>0.02</v>
      </c>
      <c r="N586" s="4">
        <v>0.2135</v>
      </c>
      <c r="O586" s="4">
        <v>1.22</v>
      </c>
    </row>
    <row r="587" spans="2:15">
      <c r="B587" t="s">
        <v>134</v>
      </c>
      <c r="C587" t="s">
        <v>253</v>
      </c>
      <c r="D587" t="s">
        <v>273</v>
      </c>
      <c r="E587" t="s">
        <v>274</v>
      </c>
      <c r="F587" t="s">
        <v>10</v>
      </c>
      <c r="G587" t="s">
        <v>272</v>
      </c>
      <c r="H587" t="s">
        <v>275</v>
      </c>
      <c r="I587" t="s">
        <v>32</v>
      </c>
      <c r="J587">
        <v>0</v>
      </c>
      <c r="K587">
        <v>1788</v>
      </c>
      <c r="L587" s="4">
        <v>3.5000000000000001E-3</v>
      </c>
      <c r="M587">
        <v>0.02</v>
      </c>
      <c r="N587" s="4">
        <v>6.258</v>
      </c>
      <c r="O587" s="4">
        <v>35.76</v>
      </c>
    </row>
    <row r="588" spans="2:15">
      <c r="B588" t="s">
        <v>134</v>
      </c>
      <c r="C588" t="s">
        <v>253</v>
      </c>
      <c r="D588" t="s">
        <v>276</v>
      </c>
      <c r="E588" t="s">
        <v>277</v>
      </c>
      <c r="F588" t="s">
        <v>10</v>
      </c>
      <c r="G588" t="s">
        <v>276</v>
      </c>
      <c r="H588" t="s">
        <v>278</v>
      </c>
      <c r="I588" t="s">
        <v>32</v>
      </c>
      <c r="J588">
        <v>0</v>
      </c>
      <c r="K588">
        <v>5472</v>
      </c>
      <c r="L588" s="4">
        <v>3.5000000000000001E-3</v>
      </c>
      <c r="M588">
        <v>0.02</v>
      </c>
      <c r="N588" s="4">
        <v>19.152000000000001</v>
      </c>
      <c r="O588" s="4">
        <v>109.44</v>
      </c>
    </row>
    <row r="589" spans="2:15">
      <c r="B589" t="s">
        <v>134</v>
      </c>
      <c r="C589" t="s">
        <v>253</v>
      </c>
      <c r="D589" t="s">
        <v>279</v>
      </c>
      <c r="E589" t="s">
        <v>280</v>
      </c>
      <c r="F589" t="s">
        <v>10</v>
      </c>
      <c r="G589" t="s">
        <v>279</v>
      </c>
      <c r="H589" t="s">
        <v>281</v>
      </c>
      <c r="I589" t="s">
        <v>32</v>
      </c>
      <c r="J589">
        <v>0</v>
      </c>
      <c r="K589">
        <v>5441</v>
      </c>
      <c r="L589" s="4">
        <v>3.5000000000000001E-3</v>
      </c>
      <c r="M589">
        <v>0.02</v>
      </c>
      <c r="N589" s="4">
        <v>19.043500000000002</v>
      </c>
      <c r="O589" s="4">
        <v>108.82000000000001</v>
      </c>
    </row>
    <row r="590" spans="2:15">
      <c r="B590" t="s">
        <v>134</v>
      </c>
      <c r="C590" t="s">
        <v>253</v>
      </c>
      <c r="D590" t="s">
        <v>282</v>
      </c>
      <c r="E590" t="s">
        <v>283</v>
      </c>
      <c r="F590" t="s">
        <v>10</v>
      </c>
      <c r="G590" t="s">
        <v>282</v>
      </c>
      <c r="H590" t="s">
        <v>284</v>
      </c>
      <c r="I590" t="s">
        <v>32</v>
      </c>
      <c r="J590">
        <v>0</v>
      </c>
      <c r="K590">
        <v>2816</v>
      </c>
      <c r="L590" s="4">
        <v>3.5000000000000001E-3</v>
      </c>
      <c r="M590">
        <v>0.02</v>
      </c>
      <c r="N590" s="4">
        <v>9.8559999999999999</v>
      </c>
      <c r="O590" s="4">
        <v>56.32</v>
      </c>
    </row>
    <row r="591" spans="2:15">
      <c r="B591" t="s">
        <v>134</v>
      </c>
      <c r="C591" t="s">
        <v>253</v>
      </c>
      <c r="D591" t="s">
        <v>285</v>
      </c>
      <c r="E591" t="s">
        <v>286</v>
      </c>
      <c r="F591" t="s">
        <v>10</v>
      </c>
      <c r="G591" t="s">
        <v>285</v>
      </c>
      <c r="H591" t="s">
        <v>287</v>
      </c>
      <c r="I591" t="s">
        <v>32</v>
      </c>
      <c r="J591">
        <v>0</v>
      </c>
      <c r="K591">
        <v>149278</v>
      </c>
      <c r="L591" s="4">
        <v>3.5000000000000001E-3</v>
      </c>
      <c r="M591">
        <v>0.02</v>
      </c>
      <c r="N591" s="4">
        <v>522.47299999999996</v>
      </c>
      <c r="O591" s="4">
        <v>2985.56</v>
      </c>
    </row>
    <row r="592" spans="2:15">
      <c r="B592" t="s">
        <v>134</v>
      </c>
      <c r="C592" t="s">
        <v>253</v>
      </c>
      <c r="D592" t="s">
        <v>288</v>
      </c>
      <c r="E592" t="s">
        <v>289</v>
      </c>
      <c r="F592" t="s">
        <v>10</v>
      </c>
      <c r="G592" t="s">
        <v>288</v>
      </c>
      <c r="H592" t="s">
        <v>290</v>
      </c>
      <c r="I592" t="s">
        <v>32</v>
      </c>
      <c r="J592">
        <v>0</v>
      </c>
      <c r="K592">
        <v>71096</v>
      </c>
      <c r="L592" s="4">
        <v>3.5000000000000001E-3</v>
      </c>
      <c r="M592">
        <v>0.02</v>
      </c>
      <c r="N592" s="4">
        <v>248.83600000000001</v>
      </c>
      <c r="O592" s="4">
        <v>1421.92</v>
      </c>
    </row>
    <row r="593" spans="2:15">
      <c r="B593" t="s">
        <v>134</v>
      </c>
      <c r="C593" t="s">
        <v>253</v>
      </c>
      <c r="D593" t="s">
        <v>291</v>
      </c>
      <c r="E593" t="s">
        <v>292</v>
      </c>
      <c r="F593" t="s">
        <v>10</v>
      </c>
      <c r="G593" t="s">
        <v>291</v>
      </c>
      <c r="H593" t="s">
        <v>293</v>
      </c>
      <c r="I593" t="s">
        <v>32</v>
      </c>
      <c r="J593">
        <v>0</v>
      </c>
      <c r="K593">
        <v>21</v>
      </c>
      <c r="L593" s="4">
        <v>3.5000000000000001E-3</v>
      </c>
      <c r="M593">
        <v>0.02</v>
      </c>
      <c r="N593" s="4">
        <v>7.3499999999999996E-2</v>
      </c>
      <c r="O593" s="4">
        <v>0.42</v>
      </c>
    </row>
    <row r="594" spans="2:15">
      <c r="B594" t="s">
        <v>134</v>
      </c>
      <c r="C594" t="s">
        <v>253</v>
      </c>
      <c r="D594" t="s">
        <v>294</v>
      </c>
      <c r="E594" t="s">
        <v>295</v>
      </c>
      <c r="F594" t="s">
        <v>10</v>
      </c>
      <c r="G594" t="s">
        <v>294</v>
      </c>
      <c r="H594" t="s">
        <v>296</v>
      </c>
      <c r="I594" t="s">
        <v>32</v>
      </c>
      <c r="J594">
        <v>0</v>
      </c>
      <c r="K594">
        <v>129099</v>
      </c>
      <c r="L594" s="4">
        <v>3.5000000000000001E-3</v>
      </c>
      <c r="M594">
        <v>0.02</v>
      </c>
      <c r="N594" s="4">
        <v>451.84649999999999</v>
      </c>
      <c r="O594" s="4">
        <v>2581.98</v>
      </c>
    </row>
    <row r="595" spans="2:15">
      <c r="B595" t="s">
        <v>134</v>
      </c>
      <c r="C595" t="s">
        <v>253</v>
      </c>
      <c r="D595" t="s">
        <v>297</v>
      </c>
      <c r="E595" t="s">
        <v>298</v>
      </c>
      <c r="F595" t="s">
        <v>10</v>
      </c>
      <c r="G595" t="s">
        <v>297</v>
      </c>
      <c r="H595" t="s">
        <v>299</v>
      </c>
      <c r="I595" t="s">
        <v>32</v>
      </c>
      <c r="J595">
        <v>0</v>
      </c>
      <c r="K595">
        <v>7990</v>
      </c>
      <c r="L595" s="4">
        <v>3.5000000000000001E-3</v>
      </c>
      <c r="M595">
        <v>0.02</v>
      </c>
      <c r="N595" s="4">
        <v>27.965</v>
      </c>
      <c r="O595" s="4">
        <v>159.80000000000001</v>
      </c>
    </row>
    <row r="596" spans="2:15">
      <c r="B596" t="s">
        <v>134</v>
      </c>
      <c r="C596" t="s">
        <v>253</v>
      </c>
      <c r="D596" t="s">
        <v>300</v>
      </c>
      <c r="E596" t="s">
        <v>301</v>
      </c>
      <c r="F596" t="s">
        <v>10</v>
      </c>
      <c r="G596" t="s">
        <v>300</v>
      </c>
      <c r="H596" t="s">
        <v>302</v>
      </c>
      <c r="I596" t="s">
        <v>32</v>
      </c>
      <c r="J596">
        <v>0</v>
      </c>
      <c r="K596">
        <v>258602</v>
      </c>
      <c r="L596" s="4">
        <v>3.5000000000000001E-3</v>
      </c>
      <c r="M596">
        <v>0.02</v>
      </c>
      <c r="N596" s="4">
        <v>905.10699999999997</v>
      </c>
      <c r="O596" s="4">
        <v>5172.04</v>
      </c>
    </row>
    <row r="597" spans="2:15">
      <c r="B597" t="s">
        <v>134</v>
      </c>
      <c r="C597" t="s">
        <v>253</v>
      </c>
      <c r="D597" t="s">
        <v>2549</v>
      </c>
      <c r="E597" t="s">
        <v>2550</v>
      </c>
      <c r="F597" t="s">
        <v>10</v>
      </c>
      <c r="G597" t="s">
        <v>2549</v>
      </c>
      <c r="H597" t="s">
        <v>2551</v>
      </c>
      <c r="I597" t="s">
        <v>32</v>
      </c>
      <c r="J597">
        <v>0</v>
      </c>
      <c r="K597">
        <v>16388</v>
      </c>
      <c r="L597" s="4">
        <v>3.5000000000000001E-3</v>
      </c>
      <c r="M597">
        <v>0.02</v>
      </c>
      <c r="N597" s="4">
        <v>57.358000000000004</v>
      </c>
      <c r="O597" s="4">
        <v>327.76</v>
      </c>
    </row>
    <row r="598" spans="2:15">
      <c r="B598" t="s">
        <v>134</v>
      </c>
      <c r="C598" t="s">
        <v>253</v>
      </c>
      <c r="D598" t="s">
        <v>303</v>
      </c>
      <c r="E598" t="s">
        <v>304</v>
      </c>
      <c r="F598" t="s">
        <v>10</v>
      </c>
      <c r="G598" t="s">
        <v>303</v>
      </c>
      <c r="H598" t="s">
        <v>305</v>
      </c>
      <c r="I598" t="s">
        <v>32</v>
      </c>
      <c r="J598">
        <v>0</v>
      </c>
      <c r="K598">
        <v>30</v>
      </c>
      <c r="L598" s="4">
        <v>3.5000000000000001E-3</v>
      </c>
      <c r="M598">
        <v>0.02</v>
      </c>
      <c r="N598" s="4">
        <v>0.105</v>
      </c>
      <c r="O598" s="4">
        <v>0.6</v>
      </c>
    </row>
    <row r="599" spans="2:15">
      <c r="B599" t="s">
        <v>134</v>
      </c>
      <c r="C599" t="s">
        <v>253</v>
      </c>
      <c r="D599" t="s">
        <v>197</v>
      </c>
      <c r="E599" t="s">
        <v>306</v>
      </c>
      <c r="F599" t="s">
        <v>10</v>
      </c>
      <c r="G599" t="s">
        <v>197</v>
      </c>
      <c r="H599" t="s">
        <v>307</v>
      </c>
      <c r="I599" t="s">
        <v>32</v>
      </c>
      <c r="J599">
        <v>0</v>
      </c>
      <c r="K599">
        <v>208726</v>
      </c>
      <c r="L599" s="4">
        <v>3.5000000000000001E-3</v>
      </c>
      <c r="M599">
        <v>0.02</v>
      </c>
      <c r="N599" s="4">
        <v>730.54100000000005</v>
      </c>
      <c r="O599" s="4">
        <v>4174.5200000000004</v>
      </c>
    </row>
    <row r="600" spans="2:15">
      <c r="B600" t="s">
        <v>134</v>
      </c>
      <c r="C600" t="s">
        <v>253</v>
      </c>
      <c r="D600" t="s">
        <v>308</v>
      </c>
      <c r="E600" t="s">
        <v>309</v>
      </c>
      <c r="F600" t="s">
        <v>10</v>
      </c>
      <c r="G600" t="s">
        <v>310</v>
      </c>
      <c r="H600" t="s">
        <v>311</v>
      </c>
      <c r="I600" t="s">
        <v>32</v>
      </c>
      <c r="J600">
        <v>0</v>
      </c>
      <c r="K600">
        <v>17133</v>
      </c>
      <c r="L600" s="4">
        <v>3.5000000000000001E-3</v>
      </c>
      <c r="M600">
        <v>0.02</v>
      </c>
      <c r="N600" s="4">
        <v>59.965499999999999</v>
      </c>
      <c r="O600" s="4">
        <v>342.66</v>
      </c>
    </row>
    <row r="601" spans="2:15">
      <c r="B601" t="s">
        <v>134</v>
      </c>
      <c r="C601" t="s">
        <v>253</v>
      </c>
      <c r="D601" t="s">
        <v>312</v>
      </c>
      <c r="E601" t="s">
        <v>313</v>
      </c>
      <c r="F601" t="s">
        <v>10</v>
      </c>
      <c r="G601" t="s">
        <v>312</v>
      </c>
      <c r="H601" t="s">
        <v>314</v>
      </c>
      <c r="I601" t="s">
        <v>32</v>
      </c>
      <c r="J601">
        <v>0</v>
      </c>
      <c r="K601">
        <v>17380</v>
      </c>
      <c r="L601" s="4">
        <v>3.5000000000000001E-3</v>
      </c>
      <c r="M601">
        <v>0.02</v>
      </c>
      <c r="N601" s="4">
        <v>60.83</v>
      </c>
      <c r="O601" s="4">
        <v>347.6</v>
      </c>
    </row>
    <row r="602" spans="2:15">
      <c r="B602" t="s">
        <v>134</v>
      </c>
      <c r="C602" t="s">
        <v>253</v>
      </c>
      <c r="D602" t="s">
        <v>315</v>
      </c>
      <c r="E602" t="s">
        <v>316</v>
      </c>
      <c r="F602" t="s">
        <v>10</v>
      </c>
      <c r="G602" t="s">
        <v>315</v>
      </c>
      <c r="H602" t="s">
        <v>317</v>
      </c>
      <c r="I602" t="s">
        <v>32</v>
      </c>
      <c r="J602">
        <v>0</v>
      </c>
      <c r="K602">
        <v>16791</v>
      </c>
      <c r="L602" s="4">
        <v>3.5000000000000001E-3</v>
      </c>
      <c r="M602">
        <v>0.02</v>
      </c>
      <c r="N602" s="4">
        <v>58.768500000000003</v>
      </c>
      <c r="O602" s="4">
        <v>335.82</v>
      </c>
    </row>
    <row r="603" spans="2:15">
      <c r="B603" t="s">
        <v>134</v>
      </c>
      <c r="C603" t="s">
        <v>253</v>
      </c>
      <c r="D603" t="s">
        <v>318</v>
      </c>
      <c r="E603" t="s">
        <v>319</v>
      </c>
      <c r="F603" t="s">
        <v>10</v>
      </c>
      <c r="G603" t="s">
        <v>318</v>
      </c>
      <c r="H603" t="s">
        <v>320</v>
      </c>
      <c r="I603" t="s">
        <v>32</v>
      </c>
      <c r="J603">
        <v>0</v>
      </c>
      <c r="K603">
        <v>909</v>
      </c>
      <c r="L603" s="4">
        <v>3.5000000000000001E-3</v>
      </c>
      <c r="M603">
        <v>0.02</v>
      </c>
      <c r="N603" s="4">
        <v>3.1815000000000002</v>
      </c>
      <c r="O603" s="4">
        <v>18.18</v>
      </c>
    </row>
    <row r="604" spans="2:15">
      <c r="B604" t="s">
        <v>134</v>
      </c>
      <c r="C604" t="s">
        <v>253</v>
      </c>
      <c r="D604" t="s">
        <v>321</v>
      </c>
      <c r="E604" t="s">
        <v>322</v>
      </c>
      <c r="F604" t="s">
        <v>10</v>
      </c>
      <c r="G604" t="s">
        <v>321</v>
      </c>
      <c r="H604" t="s">
        <v>323</v>
      </c>
      <c r="I604" t="s">
        <v>32</v>
      </c>
      <c r="J604">
        <v>0</v>
      </c>
      <c r="K604">
        <v>4349</v>
      </c>
      <c r="L604" s="4">
        <v>3.5000000000000001E-3</v>
      </c>
      <c r="M604">
        <v>0.02</v>
      </c>
      <c r="N604" s="4">
        <v>15.221500000000001</v>
      </c>
      <c r="O604" s="4">
        <v>86.98</v>
      </c>
    </row>
    <row r="605" spans="2:15">
      <c r="B605" t="s">
        <v>134</v>
      </c>
      <c r="C605" t="s">
        <v>253</v>
      </c>
      <c r="D605" t="s">
        <v>2552</v>
      </c>
      <c r="E605" t="s">
        <v>2553</v>
      </c>
      <c r="F605" t="s">
        <v>10</v>
      </c>
      <c r="G605" t="s">
        <v>2552</v>
      </c>
      <c r="H605" t="s">
        <v>2554</v>
      </c>
      <c r="I605" t="s">
        <v>32</v>
      </c>
      <c r="J605">
        <v>0</v>
      </c>
      <c r="K605">
        <v>3083</v>
      </c>
      <c r="L605" s="4">
        <v>3.5000000000000001E-3</v>
      </c>
      <c r="M605">
        <v>0.02</v>
      </c>
      <c r="N605" s="4">
        <v>10.7905</v>
      </c>
      <c r="O605" s="4">
        <v>61.660000000000004</v>
      </c>
    </row>
    <row r="606" spans="2:15">
      <c r="B606" t="s">
        <v>134</v>
      </c>
      <c r="C606" t="s">
        <v>253</v>
      </c>
      <c r="D606" t="s">
        <v>2555</v>
      </c>
      <c r="E606" t="s">
        <v>2556</v>
      </c>
      <c r="F606" t="s">
        <v>10</v>
      </c>
      <c r="G606" t="s">
        <v>2555</v>
      </c>
      <c r="H606" t="s">
        <v>2557</v>
      </c>
      <c r="I606" t="s">
        <v>32</v>
      </c>
      <c r="J606">
        <v>0</v>
      </c>
      <c r="K606">
        <v>1</v>
      </c>
      <c r="L606" s="4">
        <v>3.5000000000000001E-3</v>
      </c>
      <c r="M606">
        <v>0.02</v>
      </c>
      <c r="N606" s="4">
        <v>3.5000000000000001E-3</v>
      </c>
      <c r="O606" s="4">
        <v>0.02</v>
      </c>
    </row>
    <row r="607" spans="2:15">
      <c r="B607" t="s">
        <v>134</v>
      </c>
      <c r="C607" t="s">
        <v>253</v>
      </c>
      <c r="D607" t="s">
        <v>2558</v>
      </c>
      <c r="E607" t="s">
        <v>2559</v>
      </c>
      <c r="F607" t="s">
        <v>10</v>
      </c>
      <c r="G607" t="s">
        <v>2558</v>
      </c>
      <c r="H607" t="s">
        <v>2560</v>
      </c>
      <c r="I607" t="s">
        <v>32</v>
      </c>
      <c r="J607">
        <v>0</v>
      </c>
      <c r="K607">
        <v>3135</v>
      </c>
      <c r="L607" s="4">
        <v>3.5000000000000001E-3</v>
      </c>
      <c r="M607">
        <v>0.02</v>
      </c>
      <c r="N607" s="4">
        <v>10.9725</v>
      </c>
      <c r="O607" s="4">
        <v>62.7</v>
      </c>
    </row>
    <row r="608" spans="2:15">
      <c r="B608" t="s">
        <v>134</v>
      </c>
      <c r="C608" t="s">
        <v>253</v>
      </c>
      <c r="D608" t="s">
        <v>2561</v>
      </c>
      <c r="E608" t="s">
        <v>2562</v>
      </c>
      <c r="F608" t="s">
        <v>10</v>
      </c>
      <c r="G608" t="s">
        <v>2561</v>
      </c>
      <c r="H608" t="s">
        <v>2563</v>
      </c>
      <c r="I608" t="s">
        <v>32</v>
      </c>
      <c r="J608">
        <v>0</v>
      </c>
      <c r="K608">
        <v>2210</v>
      </c>
      <c r="L608" s="4">
        <v>3.5000000000000001E-3</v>
      </c>
      <c r="M608">
        <v>0.02</v>
      </c>
      <c r="N608" s="4">
        <v>7.7350000000000003</v>
      </c>
      <c r="O608" s="4">
        <v>44.2</v>
      </c>
    </row>
    <row r="609" spans="2:15">
      <c r="B609" t="s">
        <v>134</v>
      </c>
      <c r="C609" t="s">
        <v>253</v>
      </c>
      <c r="D609" t="s">
        <v>2564</v>
      </c>
      <c r="E609" t="s">
        <v>2565</v>
      </c>
      <c r="F609" t="s">
        <v>10</v>
      </c>
      <c r="G609" t="s">
        <v>2564</v>
      </c>
      <c r="H609" t="s">
        <v>2566</v>
      </c>
      <c r="I609" t="s">
        <v>32</v>
      </c>
      <c r="J609">
        <v>0</v>
      </c>
      <c r="K609">
        <v>2171</v>
      </c>
      <c r="L609" s="4">
        <v>3.5000000000000001E-3</v>
      </c>
      <c r="M609">
        <v>0.02</v>
      </c>
      <c r="N609" s="4">
        <v>7.5985000000000005</v>
      </c>
      <c r="O609" s="4">
        <v>43.42</v>
      </c>
    </row>
    <row r="610" spans="2:15">
      <c r="B610" t="s">
        <v>134</v>
      </c>
      <c r="C610" t="s">
        <v>253</v>
      </c>
      <c r="D610" t="s">
        <v>2567</v>
      </c>
      <c r="E610" t="s">
        <v>2568</v>
      </c>
      <c r="F610" t="s">
        <v>10</v>
      </c>
      <c r="G610" t="s">
        <v>2567</v>
      </c>
      <c r="H610" t="s">
        <v>2569</v>
      </c>
      <c r="I610" t="s">
        <v>32</v>
      </c>
      <c r="J610">
        <v>0</v>
      </c>
      <c r="K610">
        <v>3878</v>
      </c>
      <c r="L610" s="4">
        <v>3.5000000000000001E-3</v>
      </c>
      <c r="M610">
        <v>0.02</v>
      </c>
      <c r="N610" s="4">
        <v>13.573</v>
      </c>
      <c r="O610" s="4">
        <v>77.56</v>
      </c>
    </row>
    <row r="611" spans="2:15">
      <c r="B611" t="s">
        <v>134</v>
      </c>
      <c r="C611" t="s">
        <v>253</v>
      </c>
      <c r="D611" t="s">
        <v>2570</v>
      </c>
      <c r="E611" t="s">
        <v>2571</v>
      </c>
      <c r="F611" t="s">
        <v>10</v>
      </c>
      <c r="G611" t="s">
        <v>2570</v>
      </c>
      <c r="H611" t="s">
        <v>2572</v>
      </c>
      <c r="I611" t="s">
        <v>32</v>
      </c>
      <c r="J611">
        <v>0</v>
      </c>
      <c r="K611">
        <v>4131</v>
      </c>
      <c r="L611" s="4">
        <v>3.5000000000000001E-3</v>
      </c>
      <c r="M611">
        <v>0.02</v>
      </c>
      <c r="N611" s="4">
        <v>14.458500000000001</v>
      </c>
      <c r="O611" s="4">
        <v>82.62</v>
      </c>
    </row>
    <row r="612" spans="2:15">
      <c r="B612" t="s">
        <v>134</v>
      </c>
      <c r="C612" t="s">
        <v>253</v>
      </c>
      <c r="D612" t="s">
        <v>310</v>
      </c>
      <c r="E612" t="s">
        <v>2573</v>
      </c>
      <c r="F612" t="s">
        <v>10</v>
      </c>
      <c r="G612" t="s">
        <v>310</v>
      </c>
      <c r="H612" t="s">
        <v>311</v>
      </c>
      <c r="I612" t="s">
        <v>32</v>
      </c>
      <c r="J612">
        <v>0</v>
      </c>
      <c r="K612">
        <v>3394</v>
      </c>
      <c r="L612" s="4">
        <v>3.5000000000000001E-3</v>
      </c>
      <c r="M612">
        <v>0.02</v>
      </c>
      <c r="N612" s="4">
        <v>11.879</v>
      </c>
      <c r="O612" s="4">
        <v>67.88</v>
      </c>
    </row>
    <row r="613" spans="2:15">
      <c r="B613" t="s">
        <v>134</v>
      </c>
      <c r="C613" t="s">
        <v>253</v>
      </c>
      <c r="D613" t="s">
        <v>324</v>
      </c>
      <c r="E613" t="s">
        <v>325</v>
      </c>
      <c r="F613" t="s">
        <v>10</v>
      </c>
      <c r="G613" t="s">
        <v>324</v>
      </c>
      <c r="H613" t="s">
        <v>326</v>
      </c>
      <c r="I613" t="s">
        <v>32</v>
      </c>
      <c r="J613">
        <v>0</v>
      </c>
      <c r="K613">
        <v>1336</v>
      </c>
      <c r="L613" s="4">
        <v>3.5000000000000001E-3</v>
      </c>
      <c r="M613">
        <v>0.02</v>
      </c>
      <c r="N613" s="4">
        <v>4.6760000000000002</v>
      </c>
      <c r="O613" s="4">
        <v>26.72</v>
      </c>
    </row>
    <row r="614" spans="2:15">
      <c r="B614" t="s">
        <v>134</v>
      </c>
      <c r="C614" t="s">
        <v>253</v>
      </c>
      <c r="D614" t="s">
        <v>2574</v>
      </c>
      <c r="E614" t="s">
        <v>2575</v>
      </c>
      <c r="F614" t="s">
        <v>10</v>
      </c>
      <c r="G614" t="s">
        <v>2574</v>
      </c>
      <c r="H614" t="s">
        <v>2576</v>
      </c>
      <c r="I614" t="s">
        <v>32</v>
      </c>
      <c r="J614">
        <v>0</v>
      </c>
      <c r="K614">
        <v>2896</v>
      </c>
      <c r="L614" s="4">
        <v>3.5000000000000001E-3</v>
      </c>
      <c r="M614">
        <v>0.02</v>
      </c>
      <c r="N614" s="4">
        <v>10.136000000000001</v>
      </c>
      <c r="O614" s="4">
        <v>57.92</v>
      </c>
    </row>
    <row r="615" spans="2:15">
      <c r="B615" t="s">
        <v>134</v>
      </c>
      <c r="C615" t="s">
        <v>253</v>
      </c>
      <c r="D615" t="s">
        <v>2577</v>
      </c>
      <c r="E615" t="s">
        <v>2578</v>
      </c>
      <c r="F615" t="s">
        <v>10</v>
      </c>
      <c r="G615" t="s">
        <v>2577</v>
      </c>
      <c r="H615" t="s">
        <v>2579</v>
      </c>
      <c r="I615" t="s">
        <v>32</v>
      </c>
      <c r="J615">
        <v>0</v>
      </c>
      <c r="K615">
        <v>3891</v>
      </c>
      <c r="L615" s="4">
        <v>3.5000000000000001E-3</v>
      </c>
      <c r="M615">
        <v>0.02</v>
      </c>
      <c r="N615" s="4">
        <v>13.618500000000001</v>
      </c>
      <c r="O615" s="4">
        <v>77.820000000000007</v>
      </c>
    </row>
    <row r="616" spans="2:15">
      <c r="B616" t="s">
        <v>134</v>
      </c>
      <c r="C616" t="s">
        <v>253</v>
      </c>
      <c r="D616" t="s">
        <v>327</v>
      </c>
      <c r="E616" t="s">
        <v>328</v>
      </c>
      <c r="F616" t="s">
        <v>10</v>
      </c>
      <c r="G616" t="s">
        <v>327</v>
      </c>
      <c r="H616" t="s">
        <v>329</v>
      </c>
      <c r="I616" t="s">
        <v>32</v>
      </c>
      <c r="J616">
        <v>0</v>
      </c>
      <c r="K616">
        <v>6351</v>
      </c>
      <c r="L616" s="4">
        <v>3.5000000000000001E-3</v>
      </c>
      <c r="M616">
        <v>0.02</v>
      </c>
      <c r="N616" s="4">
        <v>22.2285</v>
      </c>
      <c r="O616" s="4">
        <v>127.02</v>
      </c>
    </row>
    <row r="617" spans="2:15">
      <c r="B617" t="s">
        <v>134</v>
      </c>
      <c r="C617" t="s">
        <v>253</v>
      </c>
      <c r="D617" t="s">
        <v>2580</v>
      </c>
      <c r="E617" t="s">
        <v>2581</v>
      </c>
      <c r="F617" t="s">
        <v>10</v>
      </c>
      <c r="G617" t="s">
        <v>2580</v>
      </c>
      <c r="H617" t="s">
        <v>2582</v>
      </c>
      <c r="I617" t="s">
        <v>32</v>
      </c>
      <c r="J617">
        <v>0</v>
      </c>
      <c r="K617">
        <v>1</v>
      </c>
      <c r="L617" s="4">
        <v>3.5000000000000001E-3</v>
      </c>
      <c r="M617">
        <v>0.02</v>
      </c>
      <c r="N617" s="4">
        <v>3.5000000000000001E-3</v>
      </c>
      <c r="O617" s="4">
        <v>0.02</v>
      </c>
    </row>
    <row r="618" spans="2:15">
      <c r="B618" t="s">
        <v>134</v>
      </c>
      <c r="C618" t="s">
        <v>253</v>
      </c>
      <c r="D618" t="s">
        <v>2583</v>
      </c>
      <c r="E618" t="s">
        <v>2584</v>
      </c>
      <c r="F618" t="s">
        <v>10</v>
      </c>
      <c r="G618" t="s">
        <v>2583</v>
      </c>
      <c r="H618" t="s">
        <v>2585</v>
      </c>
      <c r="I618" t="s">
        <v>32</v>
      </c>
      <c r="J618">
        <v>0</v>
      </c>
      <c r="K618">
        <v>5</v>
      </c>
      <c r="L618" s="4">
        <v>3.5000000000000001E-3</v>
      </c>
      <c r="M618">
        <v>0.02</v>
      </c>
      <c r="N618" s="4">
        <v>1.7500000000000002E-2</v>
      </c>
      <c r="O618" s="4">
        <v>0.1</v>
      </c>
    </row>
    <row r="619" spans="2:15">
      <c r="B619" t="s">
        <v>2586</v>
      </c>
      <c r="C619" t="s">
        <v>52</v>
      </c>
      <c r="D619" t="s">
        <v>2587</v>
      </c>
      <c r="E619" t="s">
        <v>2588</v>
      </c>
      <c r="F619" t="s">
        <v>10</v>
      </c>
      <c r="G619" t="s">
        <v>2587</v>
      </c>
      <c r="H619" t="s">
        <v>2589</v>
      </c>
      <c r="I619" t="s">
        <v>68</v>
      </c>
      <c r="J619">
        <v>0</v>
      </c>
      <c r="K619">
        <v>1</v>
      </c>
      <c r="L619" s="4">
        <v>3.5000000000000001E-3</v>
      </c>
      <c r="M619">
        <v>0.02</v>
      </c>
      <c r="N619" s="4">
        <v>3.5000000000000001E-3</v>
      </c>
      <c r="O619" s="4">
        <v>0.02</v>
      </c>
    </row>
    <row r="620" spans="2:15">
      <c r="B620" t="s">
        <v>330</v>
      </c>
      <c r="C620" t="s">
        <v>50</v>
      </c>
      <c r="D620" t="s">
        <v>331</v>
      </c>
      <c r="E620" t="s">
        <v>332</v>
      </c>
      <c r="F620" t="s">
        <v>11</v>
      </c>
      <c r="G620" t="s">
        <v>333</v>
      </c>
      <c r="H620" t="s">
        <v>334</v>
      </c>
      <c r="I620" t="s">
        <v>31</v>
      </c>
      <c r="J620">
        <v>6598</v>
      </c>
      <c r="K620">
        <v>4</v>
      </c>
      <c r="L620" s="4">
        <v>0.04</v>
      </c>
      <c r="M620">
        <v>0.09</v>
      </c>
      <c r="N620" s="4">
        <v>0.26392000000000004</v>
      </c>
      <c r="O620" s="4">
        <v>0.5938199999999999</v>
      </c>
    </row>
    <row r="621" spans="2:15">
      <c r="B621" t="s">
        <v>330</v>
      </c>
      <c r="C621" t="s">
        <v>50</v>
      </c>
      <c r="D621" t="s">
        <v>331</v>
      </c>
      <c r="E621" t="s">
        <v>332</v>
      </c>
      <c r="F621" t="s">
        <v>29</v>
      </c>
      <c r="G621" t="s">
        <v>335</v>
      </c>
      <c r="H621" t="s">
        <v>336</v>
      </c>
      <c r="I621" t="s">
        <v>30</v>
      </c>
      <c r="J621">
        <v>1680</v>
      </c>
      <c r="K621">
        <v>0</v>
      </c>
      <c r="L621" s="4">
        <v>0.12</v>
      </c>
      <c r="M621">
        <v>7.0000000000000007E-2</v>
      </c>
      <c r="N621" s="4">
        <v>0.2016</v>
      </c>
      <c r="O621" s="4">
        <v>0.11760000000000001</v>
      </c>
    </row>
    <row r="622" spans="2:15">
      <c r="B622" t="s">
        <v>330</v>
      </c>
      <c r="C622" t="s">
        <v>50</v>
      </c>
      <c r="D622" t="s">
        <v>331</v>
      </c>
      <c r="E622" t="s">
        <v>332</v>
      </c>
      <c r="F622" t="s">
        <v>29</v>
      </c>
      <c r="G622" t="s">
        <v>337</v>
      </c>
      <c r="H622" t="s">
        <v>338</v>
      </c>
      <c r="I622" t="s">
        <v>30</v>
      </c>
      <c r="J622">
        <v>646</v>
      </c>
      <c r="K622">
        <v>3</v>
      </c>
      <c r="L622" s="4">
        <v>0.12</v>
      </c>
      <c r="M622">
        <v>7.0000000000000007E-2</v>
      </c>
      <c r="N622" s="4">
        <v>7.7519999999999992E-2</v>
      </c>
      <c r="O622" s="4">
        <v>4.5220000000000003E-2</v>
      </c>
    </row>
    <row r="623" spans="2:15">
      <c r="B623" t="s">
        <v>330</v>
      </c>
      <c r="C623" t="s">
        <v>50</v>
      </c>
      <c r="D623" t="s">
        <v>331</v>
      </c>
      <c r="E623" t="s">
        <v>332</v>
      </c>
      <c r="F623" t="s">
        <v>29</v>
      </c>
      <c r="G623" t="s">
        <v>339</v>
      </c>
      <c r="H623" t="s">
        <v>340</v>
      </c>
      <c r="I623" t="s">
        <v>30</v>
      </c>
      <c r="J623">
        <v>437774</v>
      </c>
      <c r="K623">
        <v>378</v>
      </c>
      <c r="L623" s="4">
        <v>0.12</v>
      </c>
      <c r="M623">
        <v>7.0000000000000007E-2</v>
      </c>
      <c r="N623" s="4">
        <v>52.532879999999999</v>
      </c>
      <c r="O623" s="4">
        <v>30.644180000000002</v>
      </c>
    </row>
    <row r="624" spans="2:15">
      <c r="B624" t="s">
        <v>330</v>
      </c>
      <c r="C624" t="s">
        <v>50</v>
      </c>
      <c r="D624" t="s">
        <v>331</v>
      </c>
      <c r="E624" t="s">
        <v>332</v>
      </c>
      <c r="F624" t="s">
        <v>29</v>
      </c>
      <c r="G624" t="s">
        <v>341</v>
      </c>
      <c r="H624" t="s">
        <v>342</v>
      </c>
      <c r="I624" t="s">
        <v>30</v>
      </c>
      <c r="J624">
        <v>61174</v>
      </c>
      <c r="K624">
        <v>92</v>
      </c>
      <c r="L624" s="4">
        <v>0.12</v>
      </c>
      <c r="M624">
        <v>7.0000000000000007E-2</v>
      </c>
      <c r="N624" s="4">
        <v>7.3408800000000003</v>
      </c>
      <c r="O624" s="4">
        <v>4.2821800000000003</v>
      </c>
    </row>
    <row r="625" spans="2:15">
      <c r="B625" t="s">
        <v>330</v>
      </c>
      <c r="C625" t="s">
        <v>50</v>
      </c>
      <c r="D625" t="s">
        <v>331</v>
      </c>
      <c r="E625" t="s">
        <v>332</v>
      </c>
      <c r="F625" t="s">
        <v>29</v>
      </c>
      <c r="G625" t="s">
        <v>343</v>
      </c>
      <c r="H625" t="s">
        <v>344</v>
      </c>
      <c r="I625" t="s">
        <v>30</v>
      </c>
      <c r="J625">
        <v>297797</v>
      </c>
      <c r="K625">
        <v>210</v>
      </c>
      <c r="L625" s="4">
        <v>0.12</v>
      </c>
      <c r="M625">
        <v>7.0000000000000007E-2</v>
      </c>
      <c r="N625" s="4">
        <v>35.735639999999997</v>
      </c>
      <c r="O625" s="4">
        <v>20.845790000000001</v>
      </c>
    </row>
    <row r="626" spans="2:15">
      <c r="B626" t="s">
        <v>330</v>
      </c>
      <c r="C626" t="s">
        <v>50</v>
      </c>
      <c r="D626" t="s">
        <v>345</v>
      </c>
      <c r="E626" t="s">
        <v>346</v>
      </c>
      <c r="F626" t="s">
        <v>11</v>
      </c>
      <c r="G626" t="s">
        <v>333</v>
      </c>
      <c r="H626" t="s">
        <v>334</v>
      </c>
      <c r="I626" t="s">
        <v>31</v>
      </c>
      <c r="J626">
        <v>108</v>
      </c>
      <c r="K626">
        <v>0</v>
      </c>
      <c r="L626" s="4">
        <v>0.04</v>
      </c>
      <c r="M626">
        <v>0.09</v>
      </c>
      <c r="N626" s="4">
        <v>4.3200000000000001E-3</v>
      </c>
      <c r="O626" s="4">
        <v>9.7199999999999995E-3</v>
      </c>
    </row>
    <row r="627" spans="2:15">
      <c r="B627" t="s">
        <v>330</v>
      </c>
      <c r="C627" t="s">
        <v>50</v>
      </c>
      <c r="D627" t="s">
        <v>345</v>
      </c>
      <c r="E627" t="s">
        <v>346</v>
      </c>
      <c r="F627" t="s">
        <v>29</v>
      </c>
      <c r="G627" t="s">
        <v>337</v>
      </c>
      <c r="H627" t="s">
        <v>338</v>
      </c>
      <c r="I627" t="s">
        <v>30</v>
      </c>
      <c r="J627">
        <v>1</v>
      </c>
      <c r="K627">
        <v>0</v>
      </c>
      <c r="L627" s="4">
        <v>0.12</v>
      </c>
      <c r="M627">
        <v>7.0000000000000007E-2</v>
      </c>
      <c r="N627" s="4">
        <v>1.1999999999999999E-4</v>
      </c>
      <c r="O627" s="4">
        <v>7.0000000000000007E-5</v>
      </c>
    </row>
    <row r="628" spans="2:15">
      <c r="B628" t="s">
        <v>330</v>
      </c>
      <c r="C628" t="s">
        <v>50</v>
      </c>
      <c r="D628" t="s">
        <v>345</v>
      </c>
      <c r="E628" t="s">
        <v>346</v>
      </c>
      <c r="F628" t="s">
        <v>29</v>
      </c>
      <c r="G628" t="s">
        <v>339</v>
      </c>
      <c r="H628" t="s">
        <v>340</v>
      </c>
      <c r="I628" t="s">
        <v>30</v>
      </c>
      <c r="J628">
        <v>15941</v>
      </c>
      <c r="K628">
        <v>7</v>
      </c>
      <c r="L628" s="4">
        <v>0.12</v>
      </c>
      <c r="M628">
        <v>7.0000000000000007E-2</v>
      </c>
      <c r="N628" s="4">
        <v>1.91292</v>
      </c>
      <c r="O628" s="4">
        <v>1.1158700000000001</v>
      </c>
    </row>
    <row r="629" spans="2:15">
      <c r="B629" t="s">
        <v>330</v>
      </c>
      <c r="C629" t="s">
        <v>50</v>
      </c>
      <c r="D629" t="s">
        <v>345</v>
      </c>
      <c r="E629" t="s">
        <v>346</v>
      </c>
      <c r="F629" t="s">
        <v>29</v>
      </c>
      <c r="G629" t="s">
        <v>341</v>
      </c>
      <c r="H629" t="s">
        <v>342</v>
      </c>
      <c r="I629" t="s">
        <v>30</v>
      </c>
      <c r="J629">
        <v>21</v>
      </c>
      <c r="K629">
        <v>0</v>
      </c>
      <c r="L629" s="4">
        <v>0.12</v>
      </c>
      <c r="M629">
        <v>7.0000000000000007E-2</v>
      </c>
      <c r="N629" s="4">
        <v>2.5200000000000001E-3</v>
      </c>
      <c r="O629" s="4">
        <v>1.4700000000000002E-3</v>
      </c>
    </row>
    <row r="630" spans="2:15">
      <c r="B630" t="s">
        <v>330</v>
      </c>
      <c r="C630" t="s">
        <v>50</v>
      </c>
      <c r="D630" t="s">
        <v>345</v>
      </c>
      <c r="E630" t="s">
        <v>346</v>
      </c>
      <c r="F630" t="s">
        <v>29</v>
      </c>
      <c r="G630" t="s">
        <v>343</v>
      </c>
      <c r="H630" t="s">
        <v>344</v>
      </c>
      <c r="I630" t="s">
        <v>30</v>
      </c>
      <c r="J630">
        <v>14</v>
      </c>
      <c r="K630">
        <v>0</v>
      </c>
      <c r="L630" s="4">
        <v>0.12</v>
      </c>
      <c r="M630">
        <v>7.0000000000000007E-2</v>
      </c>
      <c r="N630" s="4">
        <v>1.6799999999999999E-3</v>
      </c>
      <c r="O630" s="4">
        <v>9.8000000000000019E-4</v>
      </c>
    </row>
    <row r="631" spans="2:15">
      <c r="B631" t="s">
        <v>330</v>
      </c>
      <c r="C631" t="s">
        <v>50</v>
      </c>
      <c r="D631" t="s">
        <v>347</v>
      </c>
      <c r="E631" t="s">
        <v>348</v>
      </c>
      <c r="F631" t="s">
        <v>11</v>
      </c>
      <c r="G631" t="s">
        <v>349</v>
      </c>
      <c r="H631" t="s">
        <v>350</v>
      </c>
      <c r="I631" t="s">
        <v>31</v>
      </c>
      <c r="J631">
        <v>7349</v>
      </c>
      <c r="K631">
        <v>7</v>
      </c>
      <c r="L631" s="4">
        <v>0.04</v>
      </c>
      <c r="M631">
        <v>0.09</v>
      </c>
      <c r="N631" s="4">
        <v>0.29396</v>
      </c>
      <c r="O631" s="4">
        <v>0.66140999999999994</v>
      </c>
    </row>
    <row r="632" spans="2:15">
      <c r="B632" t="s">
        <v>330</v>
      </c>
      <c r="C632" t="s">
        <v>50</v>
      </c>
      <c r="D632" t="s">
        <v>347</v>
      </c>
      <c r="E632" t="s">
        <v>348</v>
      </c>
      <c r="F632" t="s">
        <v>29</v>
      </c>
      <c r="G632" t="s">
        <v>351</v>
      </c>
      <c r="H632" t="s">
        <v>352</v>
      </c>
      <c r="I632" t="s">
        <v>30</v>
      </c>
      <c r="J632">
        <v>2706</v>
      </c>
      <c r="K632">
        <v>5</v>
      </c>
      <c r="L632" s="4">
        <v>0.12</v>
      </c>
      <c r="M632">
        <v>7.0000000000000007E-2</v>
      </c>
      <c r="N632" s="4">
        <v>0.32471999999999995</v>
      </c>
      <c r="O632" s="4">
        <v>0.18942000000000001</v>
      </c>
    </row>
    <row r="633" spans="2:15">
      <c r="B633" t="s">
        <v>330</v>
      </c>
      <c r="C633" t="s">
        <v>50</v>
      </c>
      <c r="D633" t="s">
        <v>347</v>
      </c>
      <c r="E633" t="s">
        <v>348</v>
      </c>
      <c r="F633" t="s">
        <v>29</v>
      </c>
      <c r="G633" t="s">
        <v>353</v>
      </c>
      <c r="H633" t="s">
        <v>354</v>
      </c>
      <c r="I633" t="s">
        <v>30</v>
      </c>
      <c r="J633">
        <v>1715</v>
      </c>
      <c r="K633">
        <v>13</v>
      </c>
      <c r="L633" s="4">
        <v>0.12</v>
      </c>
      <c r="M633">
        <v>7.0000000000000007E-2</v>
      </c>
      <c r="N633" s="4">
        <v>0.20579999999999998</v>
      </c>
      <c r="O633" s="4">
        <v>0.12005000000000002</v>
      </c>
    </row>
    <row r="634" spans="2:15">
      <c r="B634" t="s">
        <v>330</v>
      </c>
      <c r="C634" t="s">
        <v>50</v>
      </c>
      <c r="D634" t="s">
        <v>347</v>
      </c>
      <c r="E634" t="s">
        <v>348</v>
      </c>
      <c r="F634" t="s">
        <v>29</v>
      </c>
      <c r="G634" t="s">
        <v>355</v>
      </c>
      <c r="H634" t="s">
        <v>356</v>
      </c>
      <c r="I634" t="s">
        <v>30</v>
      </c>
      <c r="J634">
        <v>900563</v>
      </c>
      <c r="K634">
        <v>1466</v>
      </c>
      <c r="L634" s="4">
        <v>0.12</v>
      </c>
      <c r="M634">
        <v>7.0000000000000007E-2</v>
      </c>
      <c r="N634" s="4">
        <v>108.06756</v>
      </c>
      <c r="O634" s="4">
        <v>63.039410000000004</v>
      </c>
    </row>
    <row r="635" spans="2:15">
      <c r="B635" t="s">
        <v>330</v>
      </c>
      <c r="C635" t="s">
        <v>50</v>
      </c>
      <c r="D635" t="s">
        <v>347</v>
      </c>
      <c r="E635" t="s">
        <v>348</v>
      </c>
      <c r="F635" t="s">
        <v>29</v>
      </c>
      <c r="G635" t="s">
        <v>357</v>
      </c>
      <c r="H635" t="s">
        <v>358</v>
      </c>
      <c r="I635" t="s">
        <v>30</v>
      </c>
      <c r="J635">
        <v>70247</v>
      </c>
      <c r="K635">
        <v>154</v>
      </c>
      <c r="L635" s="4">
        <v>0.12</v>
      </c>
      <c r="M635">
        <v>7.0000000000000007E-2</v>
      </c>
      <c r="N635" s="4">
        <v>8.4296399999999991</v>
      </c>
      <c r="O635" s="4">
        <v>4.9172900000000013</v>
      </c>
    </row>
    <row r="636" spans="2:15">
      <c r="B636" t="s">
        <v>330</v>
      </c>
      <c r="C636" t="s">
        <v>50</v>
      </c>
      <c r="D636" t="s">
        <v>347</v>
      </c>
      <c r="E636" t="s">
        <v>348</v>
      </c>
      <c r="F636" t="s">
        <v>29</v>
      </c>
      <c r="G636" t="s">
        <v>359</v>
      </c>
      <c r="H636" t="s">
        <v>360</v>
      </c>
      <c r="I636" t="s">
        <v>30</v>
      </c>
      <c r="J636">
        <v>265750</v>
      </c>
      <c r="K636">
        <v>349</v>
      </c>
      <c r="L636" s="4">
        <v>0.12</v>
      </c>
      <c r="M636">
        <v>7.0000000000000007E-2</v>
      </c>
      <c r="N636" s="4">
        <v>31.89</v>
      </c>
      <c r="O636" s="4">
        <v>18.602499999999999</v>
      </c>
    </row>
    <row r="637" spans="2:15">
      <c r="B637" t="s">
        <v>330</v>
      </c>
      <c r="C637" t="s">
        <v>50</v>
      </c>
      <c r="D637" t="s">
        <v>361</v>
      </c>
      <c r="E637" t="s">
        <v>362</v>
      </c>
      <c r="F637" t="s">
        <v>11</v>
      </c>
      <c r="G637" t="s">
        <v>363</v>
      </c>
      <c r="H637" t="s">
        <v>364</v>
      </c>
      <c r="I637" t="s">
        <v>31</v>
      </c>
      <c r="J637">
        <v>12113</v>
      </c>
      <c r="K637">
        <v>11</v>
      </c>
      <c r="L637" s="4">
        <v>0.04</v>
      </c>
      <c r="M637">
        <v>0.09</v>
      </c>
      <c r="N637" s="4">
        <v>0.48452000000000001</v>
      </c>
      <c r="O637" s="4">
        <v>1.0901700000000001</v>
      </c>
    </row>
    <row r="638" spans="2:15">
      <c r="B638" t="s">
        <v>330</v>
      </c>
      <c r="C638" t="s">
        <v>50</v>
      </c>
      <c r="D638" t="s">
        <v>361</v>
      </c>
      <c r="E638" t="s">
        <v>362</v>
      </c>
      <c r="F638" t="s">
        <v>29</v>
      </c>
      <c r="G638" t="s">
        <v>365</v>
      </c>
      <c r="H638" t="s">
        <v>366</v>
      </c>
      <c r="I638" t="s">
        <v>30</v>
      </c>
      <c r="J638">
        <v>3844</v>
      </c>
      <c r="K638">
        <v>8</v>
      </c>
      <c r="L638" s="4">
        <v>0.12</v>
      </c>
      <c r="M638">
        <v>7.0000000000000007E-2</v>
      </c>
      <c r="N638" s="4">
        <v>0.46127999999999997</v>
      </c>
      <c r="O638" s="4">
        <v>0.26908000000000004</v>
      </c>
    </row>
    <row r="639" spans="2:15">
      <c r="B639" t="s">
        <v>330</v>
      </c>
      <c r="C639" t="s">
        <v>50</v>
      </c>
      <c r="D639" t="s">
        <v>361</v>
      </c>
      <c r="E639" t="s">
        <v>362</v>
      </c>
      <c r="F639" t="s">
        <v>29</v>
      </c>
      <c r="G639" t="s">
        <v>367</v>
      </c>
      <c r="H639" t="s">
        <v>368</v>
      </c>
      <c r="I639" t="s">
        <v>30</v>
      </c>
      <c r="J639">
        <v>2847</v>
      </c>
      <c r="K639">
        <v>7</v>
      </c>
      <c r="L639" s="4">
        <v>0.12</v>
      </c>
      <c r="M639">
        <v>7.0000000000000007E-2</v>
      </c>
      <c r="N639" s="4">
        <v>0.34164</v>
      </c>
      <c r="O639" s="4">
        <v>0.19929000000000002</v>
      </c>
    </row>
    <row r="640" spans="2:15">
      <c r="B640" t="s">
        <v>330</v>
      </c>
      <c r="C640" t="s">
        <v>50</v>
      </c>
      <c r="D640" t="s">
        <v>361</v>
      </c>
      <c r="E640" t="s">
        <v>362</v>
      </c>
      <c r="F640" t="s">
        <v>29</v>
      </c>
      <c r="G640" t="s">
        <v>369</v>
      </c>
      <c r="H640" t="s">
        <v>370</v>
      </c>
      <c r="I640" t="s">
        <v>30</v>
      </c>
      <c r="J640">
        <v>4042146</v>
      </c>
      <c r="K640">
        <v>2911</v>
      </c>
      <c r="L640" s="4">
        <v>0.12</v>
      </c>
      <c r="M640">
        <v>7.0000000000000007E-2</v>
      </c>
      <c r="N640" s="4">
        <v>485.05751999999995</v>
      </c>
      <c r="O640" s="4">
        <v>282.95022000000006</v>
      </c>
    </row>
    <row r="641" spans="2:15">
      <c r="B641" t="s">
        <v>330</v>
      </c>
      <c r="C641" t="s">
        <v>50</v>
      </c>
      <c r="D641" t="s">
        <v>361</v>
      </c>
      <c r="E641" t="s">
        <v>362</v>
      </c>
      <c r="F641" t="s">
        <v>29</v>
      </c>
      <c r="G641" t="s">
        <v>371</v>
      </c>
      <c r="H641" t="s">
        <v>372</v>
      </c>
      <c r="I641" t="s">
        <v>30</v>
      </c>
      <c r="J641">
        <v>66013</v>
      </c>
      <c r="K641">
        <v>209</v>
      </c>
      <c r="L641" s="4">
        <v>0.12</v>
      </c>
      <c r="M641">
        <v>7.0000000000000007E-2</v>
      </c>
      <c r="N641" s="4">
        <v>7.9215599999999995</v>
      </c>
      <c r="O641" s="4">
        <v>4.6209100000000012</v>
      </c>
    </row>
    <row r="642" spans="2:15">
      <c r="B642" t="s">
        <v>330</v>
      </c>
      <c r="C642" t="s">
        <v>50</v>
      </c>
      <c r="D642" t="s">
        <v>361</v>
      </c>
      <c r="E642" t="s">
        <v>362</v>
      </c>
      <c r="F642" t="s">
        <v>29</v>
      </c>
      <c r="G642" t="s">
        <v>373</v>
      </c>
      <c r="H642" t="s">
        <v>374</v>
      </c>
      <c r="I642" t="s">
        <v>30</v>
      </c>
      <c r="J642">
        <v>429549</v>
      </c>
      <c r="K642">
        <v>741</v>
      </c>
      <c r="L642" s="4">
        <v>0.12</v>
      </c>
      <c r="M642">
        <v>7.0000000000000007E-2</v>
      </c>
      <c r="N642" s="4">
        <v>51.545879999999997</v>
      </c>
      <c r="O642" s="4">
        <v>30.068430000000003</v>
      </c>
    </row>
    <row r="643" spans="2:15">
      <c r="B643" t="s">
        <v>330</v>
      </c>
      <c r="C643" t="s">
        <v>50</v>
      </c>
      <c r="D643" t="s">
        <v>375</v>
      </c>
      <c r="E643" t="s">
        <v>376</v>
      </c>
      <c r="F643" t="s">
        <v>11</v>
      </c>
      <c r="G643" t="s">
        <v>117</v>
      </c>
      <c r="H643" t="s">
        <v>377</v>
      </c>
      <c r="I643" t="s">
        <v>31</v>
      </c>
      <c r="J643">
        <v>56983</v>
      </c>
      <c r="K643">
        <v>66</v>
      </c>
      <c r="L643" s="4">
        <v>0.04</v>
      </c>
      <c r="M643">
        <v>0.09</v>
      </c>
      <c r="N643" s="4">
        <v>2.2793200000000002</v>
      </c>
      <c r="O643" s="4">
        <v>5.1284700000000001</v>
      </c>
    </row>
    <row r="644" spans="2:15">
      <c r="B644" t="s">
        <v>330</v>
      </c>
      <c r="C644" t="s">
        <v>50</v>
      </c>
      <c r="D644" t="s">
        <v>375</v>
      </c>
      <c r="E644" t="s">
        <v>376</v>
      </c>
      <c r="F644" t="s">
        <v>29</v>
      </c>
      <c r="G644" t="s">
        <v>378</v>
      </c>
      <c r="H644" t="s">
        <v>379</v>
      </c>
      <c r="I644" t="s">
        <v>30</v>
      </c>
      <c r="J644">
        <v>18074</v>
      </c>
      <c r="K644">
        <v>47</v>
      </c>
      <c r="L644" s="4">
        <v>0.12</v>
      </c>
      <c r="M644">
        <v>7.0000000000000007E-2</v>
      </c>
      <c r="N644" s="4">
        <v>2.1688800000000001</v>
      </c>
      <c r="O644" s="4">
        <v>1.26518</v>
      </c>
    </row>
    <row r="645" spans="2:15">
      <c r="B645" t="s">
        <v>330</v>
      </c>
      <c r="C645" t="s">
        <v>50</v>
      </c>
      <c r="D645" t="s">
        <v>375</v>
      </c>
      <c r="E645" t="s">
        <v>376</v>
      </c>
      <c r="F645" t="s">
        <v>29</v>
      </c>
      <c r="G645" t="s">
        <v>380</v>
      </c>
      <c r="H645" t="s">
        <v>381</v>
      </c>
      <c r="I645" t="s">
        <v>30</v>
      </c>
      <c r="J645">
        <v>14407</v>
      </c>
      <c r="K645">
        <v>51</v>
      </c>
      <c r="L645" s="4">
        <v>0.12</v>
      </c>
      <c r="M645">
        <v>7.0000000000000007E-2</v>
      </c>
      <c r="N645" s="4">
        <v>1.7288399999999999</v>
      </c>
      <c r="O645" s="4">
        <v>1.0084900000000001</v>
      </c>
    </row>
    <row r="646" spans="2:15">
      <c r="B646" t="s">
        <v>330</v>
      </c>
      <c r="C646" t="s">
        <v>50</v>
      </c>
      <c r="D646" t="s">
        <v>375</v>
      </c>
      <c r="E646" t="s">
        <v>376</v>
      </c>
      <c r="F646" t="s">
        <v>29</v>
      </c>
      <c r="G646" t="s">
        <v>382</v>
      </c>
      <c r="H646" t="s">
        <v>383</v>
      </c>
      <c r="I646" t="s">
        <v>30</v>
      </c>
      <c r="J646">
        <v>21101859</v>
      </c>
      <c r="K646">
        <v>28035</v>
      </c>
      <c r="L646" s="4">
        <v>0.12</v>
      </c>
      <c r="M646">
        <v>7.0000000000000007E-2</v>
      </c>
      <c r="N646" s="4">
        <v>2532.2230800000002</v>
      </c>
      <c r="O646" s="4">
        <v>1477.13013</v>
      </c>
    </row>
    <row r="647" spans="2:15">
      <c r="B647" t="s">
        <v>330</v>
      </c>
      <c r="C647" t="s">
        <v>50</v>
      </c>
      <c r="D647" t="s">
        <v>375</v>
      </c>
      <c r="E647" t="s">
        <v>376</v>
      </c>
      <c r="F647" t="s">
        <v>29</v>
      </c>
      <c r="G647" t="s">
        <v>384</v>
      </c>
      <c r="H647" t="s">
        <v>385</v>
      </c>
      <c r="I647" t="s">
        <v>30</v>
      </c>
      <c r="J647">
        <v>272430</v>
      </c>
      <c r="K647">
        <v>858</v>
      </c>
      <c r="L647" s="4">
        <v>0.12</v>
      </c>
      <c r="M647">
        <v>7.0000000000000007E-2</v>
      </c>
      <c r="N647" s="4">
        <v>32.691600000000001</v>
      </c>
      <c r="O647" s="4">
        <v>19.070100000000004</v>
      </c>
    </row>
    <row r="648" spans="2:15">
      <c r="B648" t="s">
        <v>330</v>
      </c>
      <c r="C648" t="s">
        <v>50</v>
      </c>
      <c r="D648" t="s">
        <v>375</v>
      </c>
      <c r="E648" t="s">
        <v>376</v>
      </c>
      <c r="F648" t="s">
        <v>29</v>
      </c>
      <c r="G648" t="s">
        <v>386</v>
      </c>
      <c r="H648" t="s">
        <v>387</v>
      </c>
      <c r="I648" t="s">
        <v>30</v>
      </c>
      <c r="J648">
        <v>1648252</v>
      </c>
      <c r="K648">
        <v>3149</v>
      </c>
      <c r="L648" s="4">
        <v>0.12</v>
      </c>
      <c r="M648">
        <v>7.0000000000000007E-2</v>
      </c>
      <c r="N648" s="4">
        <v>197.79023999999998</v>
      </c>
      <c r="O648" s="4">
        <v>115.37764000000001</v>
      </c>
    </row>
    <row r="649" spans="2:15">
      <c r="B649" t="s">
        <v>330</v>
      </c>
      <c r="C649" t="s">
        <v>50</v>
      </c>
      <c r="D649" t="s">
        <v>388</v>
      </c>
      <c r="E649" t="s">
        <v>389</v>
      </c>
      <c r="F649" t="s">
        <v>11</v>
      </c>
      <c r="G649" t="s">
        <v>390</v>
      </c>
      <c r="H649" t="s">
        <v>391</v>
      </c>
      <c r="I649" t="s">
        <v>31</v>
      </c>
      <c r="J649">
        <v>3120</v>
      </c>
      <c r="K649">
        <v>38</v>
      </c>
      <c r="L649" s="4">
        <v>0.04</v>
      </c>
      <c r="M649">
        <v>0.09</v>
      </c>
      <c r="N649" s="4">
        <v>0.12479999999999999</v>
      </c>
      <c r="O649" s="4">
        <v>0.28079999999999999</v>
      </c>
    </row>
    <row r="650" spans="2:15">
      <c r="B650" t="s">
        <v>330</v>
      </c>
      <c r="C650" t="s">
        <v>50</v>
      </c>
      <c r="D650" t="s">
        <v>388</v>
      </c>
      <c r="E650" t="s">
        <v>389</v>
      </c>
      <c r="F650" t="s">
        <v>29</v>
      </c>
      <c r="G650" t="s">
        <v>392</v>
      </c>
      <c r="H650" t="s">
        <v>393</v>
      </c>
      <c r="I650" t="s">
        <v>30</v>
      </c>
      <c r="J650">
        <v>336</v>
      </c>
      <c r="K650">
        <v>0</v>
      </c>
      <c r="L650" s="4">
        <v>0.12</v>
      </c>
      <c r="M650">
        <v>7.0000000000000007E-2</v>
      </c>
      <c r="N650" s="4">
        <v>4.0320000000000002E-2</v>
      </c>
      <c r="O650" s="4">
        <v>2.3520000000000003E-2</v>
      </c>
    </row>
    <row r="651" spans="2:15">
      <c r="B651" t="s">
        <v>330</v>
      </c>
      <c r="C651" t="s">
        <v>50</v>
      </c>
      <c r="D651" t="s">
        <v>388</v>
      </c>
      <c r="E651" t="s">
        <v>389</v>
      </c>
      <c r="F651" t="s">
        <v>29</v>
      </c>
      <c r="G651" t="s">
        <v>394</v>
      </c>
      <c r="H651" t="s">
        <v>395</v>
      </c>
      <c r="I651" t="s">
        <v>30</v>
      </c>
      <c r="J651">
        <v>187</v>
      </c>
      <c r="K651">
        <v>0</v>
      </c>
      <c r="L651" s="4">
        <v>0.12</v>
      </c>
      <c r="M651">
        <v>7.0000000000000007E-2</v>
      </c>
      <c r="N651" s="4">
        <v>2.2439999999999998E-2</v>
      </c>
      <c r="O651" s="4">
        <v>1.3090000000000001E-2</v>
      </c>
    </row>
    <row r="652" spans="2:15">
      <c r="B652" t="s">
        <v>330</v>
      </c>
      <c r="C652" t="s">
        <v>50</v>
      </c>
      <c r="D652" t="s">
        <v>388</v>
      </c>
      <c r="E652" t="s">
        <v>389</v>
      </c>
      <c r="F652" t="s">
        <v>29</v>
      </c>
      <c r="G652" t="s">
        <v>396</v>
      </c>
      <c r="H652" t="s">
        <v>397</v>
      </c>
      <c r="I652" t="s">
        <v>30</v>
      </c>
      <c r="J652">
        <v>360629</v>
      </c>
      <c r="K652">
        <v>5787</v>
      </c>
      <c r="L652" s="4">
        <v>0.12</v>
      </c>
      <c r="M652">
        <v>7.0000000000000007E-2</v>
      </c>
      <c r="N652" s="4">
        <v>43.275479999999995</v>
      </c>
      <c r="O652" s="4">
        <v>25.244030000000002</v>
      </c>
    </row>
    <row r="653" spans="2:15">
      <c r="B653" t="s">
        <v>330</v>
      </c>
      <c r="C653" t="s">
        <v>50</v>
      </c>
      <c r="D653" t="s">
        <v>388</v>
      </c>
      <c r="E653" t="s">
        <v>389</v>
      </c>
      <c r="F653" t="s">
        <v>29</v>
      </c>
      <c r="G653" t="s">
        <v>398</v>
      </c>
      <c r="H653" t="s">
        <v>399</v>
      </c>
      <c r="I653" t="s">
        <v>30</v>
      </c>
      <c r="J653">
        <v>12963</v>
      </c>
      <c r="K653">
        <v>76</v>
      </c>
      <c r="L653" s="4">
        <v>0.12</v>
      </c>
      <c r="M653">
        <v>7.0000000000000007E-2</v>
      </c>
      <c r="N653" s="4">
        <v>1.5555600000000001</v>
      </c>
      <c r="O653" s="4">
        <v>0.90741000000000005</v>
      </c>
    </row>
    <row r="654" spans="2:15">
      <c r="B654" t="s">
        <v>330</v>
      </c>
      <c r="C654" t="s">
        <v>50</v>
      </c>
      <c r="D654" t="s">
        <v>388</v>
      </c>
      <c r="E654" t="s">
        <v>389</v>
      </c>
      <c r="F654" t="s">
        <v>29</v>
      </c>
      <c r="G654" t="s">
        <v>400</v>
      </c>
      <c r="H654" t="s">
        <v>401</v>
      </c>
      <c r="I654" t="s">
        <v>30</v>
      </c>
      <c r="J654">
        <v>70023</v>
      </c>
      <c r="K654">
        <v>259</v>
      </c>
      <c r="L654" s="4">
        <v>0.12</v>
      </c>
      <c r="M654">
        <v>7.0000000000000007E-2</v>
      </c>
      <c r="N654" s="4">
        <v>8.4027600000000007</v>
      </c>
      <c r="O654" s="4">
        <v>4.9016100000000007</v>
      </c>
    </row>
    <row r="655" spans="2:15">
      <c r="B655" t="s">
        <v>330</v>
      </c>
      <c r="C655" t="s">
        <v>50</v>
      </c>
      <c r="D655" t="s">
        <v>402</v>
      </c>
      <c r="E655" t="s">
        <v>403</v>
      </c>
      <c r="F655" t="s">
        <v>11</v>
      </c>
      <c r="G655" t="s">
        <v>404</v>
      </c>
      <c r="H655" t="s">
        <v>405</v>
      </c>
      <c r="I655" t="s">
        <v>31</v>
      </c>
      <c r="J655">
        <v>11668</v>
      </c>
      <c r="K655">
        <v>27</v>
      </c>
      <c r="L655" s="4">
        <v>0.04</v>
      </c>
      <c r="M655">
        <v>0.09</v>
      </c>
      <c r="N655" s="4">
        <v>0.46672000000000002</v>
      </c>
      <c r="O655" s="4">
        <v>1.0501199999999999</v>
      </c>
    </row>
    <row r="656" spans="2:15">
      <c r="B656" t="s">
        <v>330</v>
      </c>
      <c r="C656" t="s">
        <v>50</v>
      </c>
      <c r="D656" t="s">
        <v>402</v>
      </c>
      <c r="E656" t="s">
        <v>403</v>
      </c>
      <c r="F656" t="s">
        <v>29</v>
      </c>
      <c r="G656" t="s">
        <v>406</v>
      </c>
      <c r="H656" t="s">
        <v>407</v>
      </c>
      <c r="I656" t="s">
        <v>30</v>
      </c>
      <c r="J656">
        <v>2066</v>
      </c>
      <c r="K656">
        <v>13</v>
      </c>
      <c r="L656" s="4">
        <v>0.12</v>
      </c>
      <c r="M656">
        <v>7.0000000000000007E-2</v>
      </c>
      <c r="N656" s="4">
        <v>0.24791999999999997</v>
      </c>
      <c r="O656" s="4">
        <v>0.14462</v>
      </c>
    </row>
    <row r="657" spans="2:15">
      <c r="B657" t="s">
        <v>330</v>
      </c>
      <c r="C657" t="s">
        <v>50</v>
      </c>
      <c r="D657" t="s">
        <v>402</v>
      </c>
      <c r="E657" t="s">
        <v>403</v>
      </c>
      <c r="F657" t="s">
        <v>29</v>
      </c>
      <c r="G657" t="s">
        <v>408</v>
      </c>
      <c r="H657" t="s">
        <v>409</v>
      </c>
      <c r="I657" t="s">
        <v>30</v>
      </c>
      <c r="J657">
        <v>1180</v>
      </c>
      <c r="K657">
        <v>18</v>
      </c>
      <c r="L657" s="4">
        <v>0.12</v>
      </c>
      <c r="M657">
        <v>7.0000000000000007E-2</v>
      </c>
      <c r="N657" s="4">
        <v>0.1416</v>
      </c>
      <c r="O657" s="4">
        <v>8.2600000000000007E-2</v>
      </c>
    </row>
    <row r="658" spans="2:15">
      <c r="B658" t="s">
        <v>330</v>
      </c>
      <c r="C658" t="s">
        <v>50</v>
      </c>
      <c r="D658" t="s">
        <v>402</v>
      </c>
      <c r="E658" t="s">
        <v>403</v>
      </c>
      <c r="F658" t="s">
        <v>29</v>
      </c>
      <c r="G658" t="s">
        <v>410</v>
      </c>
      <c r="H658" t="s">
        <v>411</v>
      </c>
      <c r="I658" t="s">
        <v>30</v>
      </c>
      <c r="J658">
        <v>965976</v>
      </c>
      <c r="K658">
        <v>2374</v>
      </c>
      <c r="L658" s="4">
        <v>0.12</v>
      </c>
      <c r="M658">
        <v>7.0000000000000007E-2</v>
      </c>
      <c r="N658" s="4">
        <v>115.91712</v>
      </c>
      <c r="O658" s="4">
        <v>67.618320000000011</v>
      </c>
    </row>
    <row r="659" spans="2:15">
      <c r="B659" t="s">
        <v>330</v>
      </c>
      <c r="C659" t="s">
        <v>50</v>
      </c>
      <c r="D659" t="s">
        <v>402</v>
      </c>
      <c r="E659" t="s">
        <v>403</v>
      </c>
      <c r="F659" t="s">
        <v>29</v>
      </c>
      <c r="G659" t="s">
        <v>412</v>
      </c>
      <c r="H659" t="s">
        <v>413</v>
      </c>
      <c r="I659" t="s">
        <v>30</v>
      </c>
      <c r="J659">
        <v>76304</v>
      </c>
      <c r="K659">
        <v>398</v>
      </c>
      <c r="L659" s="4">
        <v>0.12</v>
      </c>
      <c r="M659">
        <v>7.0000000000000007E-2</v>
      </c>
      <c r="N659" s="4">
        <v>9.1564800000000002</v>
      </c>
      <c r="O659" s="4">
        <v>5.3412800000000002</v>
      </c>
    </row>
    <row r="660" spans="2:15">
      <c r="B660" t="s">
        <v>330</v>
      </c>
      <c r="C660" t="s">
        <v>50</v>
      </c>
      <c r="D660" t="s">
        <v>402</v>
      </c>
      <c r="E660" t="s">
        <v>403</v>
      </c>
      <c r="F660" t="s">
        <v>29</v>
      </c>
      <c r="G660" t="s">
        <v>414</v>
      </c>
      <c r="H660" t="s">
        <v>415</v>
      </c>
      <c r="I660" t="s">
        <v>30</v>
      </c>
      <c r="J660">
        <v>420831</v>
      </c>
      <c r="K660">
        <v>962</v>
      </c>
      <c r="L660" s="4">
        <v>0.12</v>
      </c>
      <c r="M660">
        <v>7.0000000000000007E-2</v>
      </c>
      <c r="N660" s="4">
        <v>50.499720000000003</v>
      </c>
      <c r="O660" s="4">
        <v>29.458170000000003</v>
      </c>
    </row>
    <row r="661" spans="2:15">
      <c r="B661" t="s">
        <v>330</v>
      </c>
      <c r="C661" t="s">
        <v>50</v>
      </c>
      <c r="D661" t="s">
        <v>416</v>
      </c>
      <c r="E661" t="s">
        <v>417</v>
      </c>
      <c r="F661" t="s">
        <v>11</v>
      </c>
      <c r="G661" t="s">
        <v>418</v>
      </c>
      <c r="H661" t="s">
        <v>419</v>
      </c>
      <c r="I661" t="s">
        <v>31</v>
      </c>
      <c r="J661">
        <v>9666</v>
      </c>
      <c r="K661">
        <v>13</v>
      </c>
      <c r="L661" s="4">
        <v>0.04</v>
      </c>
      <c r="M661">
        <v>0.09</v>
      </c>
      <c r="N661" s="4">
        <v>0.38663999999999998</v>
      </c>
      <c r="O661" s="4">
        <v>0.86993999999999994</v>
      </c>
    </row>
    <row r="662" spans="2:15">
      <c r="B662" t="s">
        <v>330</v>
      </c>
      <c r="C662" t="s">
        <v>50</v>
      </c>
      <c r="D662" t="s">
        <v>416</v>
      </c>
      <c r="E662" t="s">
        <v>417</v>
      </c>
      <c r="F662" t="s">
        <v>29</v>
      </c>
      <c r="G662" t="s">
        <v>420</v>
      </c>
      <c r="H662" t="s">
        <v>421</v>
      </c>
      <c r="I662" t="s">
        <v>30</v>
      </c>
      <c r="J662">
        <v>1512</v>
      </c>
      <c r="K662">
        <v>3</v>
      </c>
      <c r="L662" s="4">
        <v>0.12</v>
      </c>
      <c r="M662">
        <v>7.0000000000000007E-2</v>
      </c>
      <c r="N662" s="4">
        <v>0.18143999999999999</v>
      </c>
      <c r="O662" s="4">
        <v>0.10584</v>
      </c>
    </row>
    <row r="663" spans="2:15">
      <c r="B663" t="s">
        <v>330</v>
      </c>
      <c r="C663" t="s">
        <v>50</v>
      </c>
      <c r="D663" t="s">
        <v>416</v>
      </c>
      <c r="E663" t="s">
        <v>417</v>
      </c>
      <c r="F663" t="s">
        <v>29</v>
      </c>
      <c r="G663" t="s">
        <v>422</v>
      </c>
      <c r="H663" t="s">
        <v>423</v>
      </c>
      <c r="I663" t="s">
        <v>30</v>
      </c>
      <c r="J663">
        <v>1019</v>
      </c>
      <c r="K663">
        <v>6</v>
      </c>
      <c r="L663" s="4">
        <v>0.12</v>
      </c>
      <c r="M663">
        <v>7.0000000000000007E-2</v>
      </c>
      <c r="N663" s="4">
        <v>0.12228</v>
      </c>
      <c r="O663" s="4">
        <v>7.1330000000000018E-2</v>
      </c>
    </row>
    <row r="664" spans="2:15">
      <c r="B664" t="s">
        <v>330</v>
      </c>
      <c r="C664" t="s">
        <v>50</v>
      </c>
      <c r="D664" t="s">
        <v>416</v>
      </c>
      <c r="E664" t="s">
        <v>417</v>
      </c>
      <c r="F664" t="s">
        <v>29</v>
      </c>
      <c r="G664" t="s">
        <v>424</v>
      </c>
      <c r="H664" t="s">
        <v>425</v>
      </c>
      <c r="I664" t="s">
        <v>30</v>
      </c>
      <c r="J664">
        <v>654850</v>
      </c>
      <c r="K664">
        <v>585</v>
      </c>
      <c r="L664" s="4">
        <v>0.12</v>
      </c>
      <c r="M664">
        <v>7.0000000000000007E-2</v>
      </c>
      <c r="N664" s="4">
        <v>78.581999999999994</v>
      </c>
      <c r="O664" s="4">
        <v>45.839500000000008</v>
      </c>
    </row>
    <row r="665" spans="2:15">
      <c r="B665" t="s">
        <v>330</v>
      </c>
      <c r="C665" t="s">
        <v>50</v>
      </c>
      <c r="D665" t="s">
        <v>416</v>
      </c>
      <c r="E665" t="s">
        <v>417</v>
      </c>
      <c r="F665" t="s">
        <v>29</v>
      </c>
      <c r="G665" t="s">
        <v>426</v>
      </c>
      <c r="H665" t="s">
        <v>427</v>
      </c>
      <c r="I665" t="s">
        <v>30</v>
      </c>
      <c r="J665">
        <v>85819</v>
      </c>
      <c r="K665">
        <v>145</v>
      </c>
      <c r="L665" s="4">
        <v>0.12</v>
      </c>
      <c r="M665">
        <v>7.0000000000000007E-2</v>
      </c>
      <c r="N665" s="4">
        <v>10.298279999999998</v>
      </c>
      <c r="O665" s="4">
        <v>6.0073300000000005</v>
      </c>
    </row>
    <row r="666" spans="2:15">
      <c r="B666" t="s">
        <v>330</v>
      </c>
      <c r="C666" t="s">
        <v>50</v>
      </c>
      <c r="D666" t="s">
        <v>416</v>
      </c>
      <c r="E666" t="s">
        <v>417</v>
      </c>
      <c r="F666" t="s">
        <v>29</v>
      </c>
      <c r="G666" t="s">
        <v>428</v>
      </c>
      <c r="H666" t="s">
        <v>429</v>
      </c>
      <c r="I666" t="s">
        <v>30</v>
      </c>
      <c r="J666">
        <v>432200</v>
      </c>
      <c r="K666">
        <v>311</v>
      </c>
      <c r="L666" s="4">
        <v>0.12</v>
      </c>
      <c r="M666">
        <v>7.0000000000000007E-2</v>
      </c>
      <c r="N666" s="4">
        <v>51.863999999999997</v>
      </c>
      <c r="O666" s="4">
        <v>30.254000000000005</v>
      </c>
    </row>
    <row r="667" spans="2:15">
      <c r="B667" t="s">
        <v>330</v>
      </c>
      <c r="C667" t="s">
        <v>50</v>
      </c>
      <c r="D667" t="s">
        <v>430</v>
      </c>
      <c r="E667" t="s">
        <v>431</v>
      </c>
      <c r="F667" t="s">
        <v>11</v>
      </c>
      <c r="G667" t="s">
        <v>432</v>
      </c>
      <c r="H667" t="s">
        <v>433</v>
      </c>
      <c r="I667" t="s">
        <v>31</v>
      </c>
      <c r="J667">
        <v>21465</v>
      </c>
      <c r="K667">
        <v>17</v>
      </c>
      <c r="L667" s="4">
        <v>0.04</v>
      </c>
      <c r="M667">
        <v>0.09</v>
      </c>
      <c r="N667" s="4">
        <v>0.85860000000000003</v>
      </c>
      <c r="O667" s="4">
        <v>1.9318499999999998</v>
      </c>
    </row>
    <row r="668" spans="2:15">
      <c r="B668" t="s">
        <v>330</v>
      </c>
      <c r="C668" t="s">
        <v>50</v>
      </c>
      <c r="D668" t="s">
        <v>430</v>
      </c>
      <c r="E668" t="s">
        <v>431</v>
      </c>
      <c r="F668" t="s">
        <v>29</v>
      </c>
      <c r="G668" t="s">
        <v>434</v>
      </c>
      <c r="H668" t="s">
        <v>435</v>
      </c>
      <c r="I668" t="s">
        <v>30</v>
      </c>
      <c r="J668">
        <v>4661</v>
      </c>
      <c r="K668">
        <v>13</v>
      </c>
      <c r="L668" s="4">
        <v>0.12</v>
      </c>
      <c r="M668">
        <v>7.0000000000000007E-2</v>
      </c>
      <c r="N668" s="4">
        <v>0.55931999999999993</v>
      </c>
      <c r="O668" s="4">
        <v>0.32627000000000006</v>
      </c>
    </row>
    <row r="669" spans="2:15">
      <c r="B669" t="s">
        <v>330</v>
      </c>
      <c r="C669" t="s">
        <v>50</v>
      </c>
      <c r="D669" t="s">
        <v>430</v>
      </c>
      <c r="E669" t="s">
        <v>431</v>
      </c>
      <c r="F669" t="s">
        <v>29</v>
      </c>
      <c r="G669" t="s">
        <v>436</v>
      </c>
      <c r="H669" t="s">
        <v>437</v>
      </c>
      <c r="I669" t="s">
        <v>30</v>
      </c>
      <c r="J669">
        <v>2392</v>
      </c>
      <c r="K669">
        <v>17</v>
      </c>
      <c r="L669" s="4">
        <v>0.12</v>
      </c>
      <c r="M669">
        <v>7.0000000000000007E-2</v>
      </c>
      <c r="N669" s="4">
        <v>0.28703999999999996</v>
      </c>
      <c r="O669" s="4">
        <v>0.16744000000000003</v>
      </c>
    </row>
    <row r="670" spans="2:15">
      <c r="B670" t="s">
        <v>330</v>
      </c>
      <c r="C670" t="s">
        <v>50</v>
      </c>
      <c r="D670" t="s">
        <v>430</v>
      </c>
      <c r="E670" t="s">
        <v>431</v>
      </c>
      <c r="F670" t="s">
        <v>29</v>
      </c>
      <c r="G670" t="s">
        <v>438</v>
      </c>
      <c r="H670" t="s">
        <v>439</v>
      </c>
      <c r="I670" t="s">
        <v>30</v>
      </c>
      <c r="J670">
        <v>2204402</v>
      </c>
      <c r="K670">
        <v>3080</v>
      </c>
      <c r="L670" s="4">
        <v>0.12</v>
      </c>
      <c r="M670">
        <v>7.0000000000000007E-2</v>
      </c>
      <c r="N670" s="4">
        <v>264.52823999999998</v>
      </c>
      <c r="O670" s="4">
        <v>154.30814000000001</v>
      </c>
    </row>
    <row r="671" spans="2:15">
      <c r="B671" t="s">
        <v>330</v>
      </c>
      <c r="C671" t="s">
        <v>50</v>
      </c>
      <c r="D671" t="s">
        <v>430</v>
      </c>
      <c r="E671" t="s">
        <v>431</v>
      </c>
      <c r="F671" t="s">
        <v>29</v>
      </c>
      <c r="G671" t="s">
        <v>440</v>
      </c>
      <c r="H671" t="s">
        <v>441</v>
      </c>
      <c r="I671" t="s">
        <v>30</v>
      </c>
      <c r="J671">
        <v>143865</v>
      </c>
      <c r="K671">
        <v>463</v>
      </c>
      <c r="L671" s="4">
        <v>0.12</v>
      </c>
      <c r="M671">
        <v>7.0000000000000007E-2</v>
      </c>
      <c r="N671" s="4">
        <v>17.2638</v>
      </c>
      <c r="O671" s="4">
        <v>10.070550000000001</v>
      </c>
    </row>
    <row r="672" spans="2:15">
      <c r="B672" t="s">
        <v>330</v>
      </c>
      <c r="C672" t="s">
        <v>50</v>
      </c>
      <c r="D672" t="s">
        <v>430</v>
      </c>
      <c r="E672" t="s">
        <v>431</v>
      </c>
      <c r="F672" t="s">
        <v>29</v>
      </c>
      <c r="G672" t="s">
        <v>442</v>
      </c>
      <c r="H672" t="s">
        <v>443</v>
      </c>
      <c r="I672" t="s">
        <v>30</v>
      </c>
      <c r="J672">
        <v>668443</v>
      </c>
      <c r="K672">
        <v>1179</v>
      </c>
      <c r="L672" s="4">
        <v>0.12</v>
      </c>
      <c r="M672">
        <v>7.0000000000000007E-2</v>
      </c>
      <c r="N672" s="4">
        <v>80.213160000000002</v>
      </c>
      <c r="O672" s="4">
        <v>46.79101</v>
      </c>
    </row>
    <row r="673" spans="2:15">
      <c r="B673" t="s">
        <v>330</v>
      </c>
      <c r="C673" t="s">
        <v>50</v>
      </c>
      <c r="D673" t="s">
        <v>444</v>
      </c>
      <c r="E673" t="s">
        <v>445</v>
      </c>
      <c r="F673" t="s">
        <v>11</v>
      </c>
      <c r="G673" t="s">
        <v>116</v>
      </c>
      <c r="H673" t="s">
        <v>446</v>
      </c>
      <c r="I673" t="s">
        <v>31</v>
      </c>
      <c r="J673">
        <v>56069</v>
      </c>
      <c r="K673">
        <v>106</v>
      </c>
      <c r="L673" s="4">
        <v>0.04</v>
      </c>
      <c r="M673">
        <v>0.09</v>
      </c>
      <c r="N673" s="4">
        <v>2.2427600000000001</v>
      </c>
      <c r="O673" s="4">
        <v>5.0462100000000003</v>
      </c>
    </row>
    <row r="674" spans="2:15">
      <c r="B674" t="s">
        <v>330</v>
      </c>
      <c r="C674" t="s">
        <v>50</v>
      </c>
      <c r="D674" t="s">
        <v>444</v>
      </c>
      <c r="E674" t="s">
        <v>445</v>
      </c>
      <c r="F674" t="s">
        <v>29</v>
      </c>
      <c r="G674" t="s">
        <v>447</v>
      </c>
      <c r="H674" t="s">
        <v>448</v>
      </c>
      <c r="I674" t="s">
        <v>30</v>
      </c>
      <c r="J674">
        <v>34578</v>
      </c>
      <c r="K674">
        <v>133</v>
      </c>
      <c r="L674" s="4">
        <v>0.12</v>
      </c>
      <c r="M674">
        <v>7.0000000000000007E-2</v>
      </c>
      <c r="N674" s="4">
        <v>4.1493599999999997</v>
      </c>
      <c r="O674" s="4">
        <v>2.4204599999999998</v>
      </c>
    </row>
    <row r="675" spans="2:15">
      <c r="B675" t="s">
        <v>330</v>
      </c>
      <c r="C675" t="s">
        <v>50</v>
      </c>
      <c r="D675" t="s">
        <v>444</v>
      </c>
      <c r="E675" t="s">
        <v>445</v>
      </c>
      <c r="F675" t="s">
        <v>29</v>
      </c>
      <c r="G675" t="s">
        <v>449</v>
      </c>
      <c r="H675" t="s">
        <v>450</v>
      </c>
      <c r="I675" t="s">
        <v>30</v>
      </c>
      <c r="J675">
        <v>8638</v>
      </c>
      <c r="K675">
        <v>74</v>
      </c>
      <c r="L675" s="4">
        <v>0.12</v>
      </c>
      <c r="M675">
        <v>7.0000000000000007E-2</v>
      </c>
      <c r="N675" s="4">
        <v>1.0365599999999999</v>
      </c>
      <c r="O675" s="4">
        <v>0.60466000000000009</v>
      </c>
    </row>
    <row r="676" spans="2:15">
      <c r="B676" t="s">
        <v>330</v>
      </c>
      <c r="C676" t="s">
        <v>50</v>
      </c>
      <c r="D676" t="s">
        <v>444</v>
      </c>
      <c r="E676" t="s">
        <v>445</v>
      </c>
      <c r="F676" t="s">
        <v>29</v>
      </c>
      <c r="G676" t="s">
        <v>451</v>
      </c>
      <c r="H676" t="s">
        <v>452</v>
      </c>
      <c r="I676" t="s">
        <v>30</v>
      </c>
      <c r="J676">
        <v>8129715</v>
      </c>
      <c r="K676">
        <v>37648</v>
      </c>
      <c r="L676" s="4">
        <v>0.12</v>
      </c>
      <c r="M676">
        <v>7.0000000000000007E-2</v>
      </c>
      <c r="N676" s="4">
        <v>975.56579999999997</v>
      </c>
      <c r="O676" s="4">
        <v>569.08005000000003</v>
      </c>
    </row>
    <row r="677" spans="2:15">
      <c r="B677" t="s">
        <v>330</v>
      </c>
      <c r="C677" t="s">
        <v>50</v>
      </c>
      <c r="D677" t="s">
        <v>444</v>
      </c>
      <c r="E677" t="s">
        <v>445</v>
      </c>
      <c r="F677" t="s">
        <v>29</v>
      </c>
      <c r="G677" t="s">
        <v>453</v>
      </c>
      <c r="H677" t="s">
        <v>454</v>
      </c>
      <c r="I677" t="s">
        <v>30</v>
      </c>
      <c r="J677">
        <v>356207</v>
      </c>
      <c r="K677">
        <v>1252</v>
      </c>
      <c r="L677" s="4">
        <v>0.12</v>
      </c>
      <c r="M677">
        <v>7.0000000000000007E-2</v>
      </c>
      <c r="N677" s="4">
        <v>42.744839999999996</v>
      </c>
      <c r="O677" s="4">
        <v>24.93449</v>
      </c>
    </row>
    <row r="678" spans="2:15">
      <c r="B678" t="s">
        <v>330</v>
      </c>
      <c r="C678" t="s">
        <v>50</v>
      </c>
      <c r="D678" t="s">
        <v>444</v>
      </c>
      <c r="E678" t="s">
        <v>445</v>
      </c>
      <c r="F678" t="s">
        <v>29</v>
      </c>
      <c r="G678" t="s">
        <v>455</v>
      </c>
      <c r="H678" t="s">
        <v>456</v>
      </c>
      <c r="I678" t="s">
        <v>30</v>
      </c>
      <c r="J678">
        <v>1987341</v>
      </c>
      <c r="K678">
        <v>3914</v>
      </c>
      <c r="L678" s="4">
        <v>0.12</v>
      </c>
      <c r="M678">
        <v>7.0000000000000007E-2</v>
      </c>
      <c r="N678" s="4">
        <v>238.48092</v>
      </c>
      <c r="O678" s="4">
        <v>139.11387000000002</v>
      </c>
    </row>
    <row r="679" spans="2:15">
      <c r="B679" t="s">
        <v>330</v>
      </c>
      <c r="C679" t="s">
        <v>50</v>
      </c>
      <c r="D679" t="s">
        <v>457</v>
      </c>
      <c r="E679" t="s">
        <v>458</v>
      </c>
      <c r="F679" t="s">
        <v>11</v>
      </c>
      <c r="G679" t="s">
        <v>459</v>
      </c>
      <c r="H679" t="s">
        <v>460</v>
      </c>
      <c r="I679" t="s">
        <v>31</v>
      </c>
      <c r="J679">
        <v>33869</v>
      </c>
      <c r="K679">
        <v>87</v>
      </c>
      <c r="L679" s="4">
        <v>0.04</v>
      </c>
      <c r="M679">
        <v>0.09</v>
      </c>
      <c r="N679" s="4">
        <v>1.35476</v>
      </c>
      <c r="O679" s="4">
        <v>3.0482100000000001</v>
      </c>
    </row>
    <row r="680" spans="2:15">
      <c r="B680" t="s">
        <v>330</v>
      </c>
      <c r="C680" t="s">
        <v>50</v>
      </c>
      <c r="D680" t="s">
        <v>457</v>
      </c>
      <c r="E680" t="s">
        <v>458</v>
      </c>
      <c r="F680" t="s">
        <v>29</v>
      </c>
      <c r="G680" t="s">
        <v>461</v>
      </c>
      <c r="H680" t="s">
        <v>462</v>
      </c>
      <c r="I680" t="s">
        <v>30</v>
      </c>
      <c r="J680">
        <v>7677</v>
      </c>
      <c r="K680">
        <v>12</v>
      </c>
      <c r="L680" s="4">
        <v>0.12</v>
      </c>
      <c r="M680">
        <v>7.0000000000000007E-2</v>
      </c>
      <c r="N680" s="4">
        <v>0.92124000000000006</v>
      </c>
      <c r="O680" s="4">
        <v>0.53739000000000015</v>
      </c>
    </row>
    <row r="681" spans="2:15">
      <c r="B681" t="s">
        <v>330</v>
      </c>
      <c r="C681" t="s">
        <v>50</v>
      </c>
      <c r="D681" t="s">
        <v>457</v>
      </c>
      <c r="E681" t="s">
        <v>458</v>
      </c>
      <c r="F681" t="s">
        <v>29</v>
      </c>
      <c r="G681" t="s">
        <v>463</v>
      </c>
      <c r="H681" t="s">
        <v>464</v>
      </c>
      <c r="I681" t="s">
        <v>30</v>
      </c>
      <c r="J681">
        <v>2684</v>
      </c>
      <c r="K681">
        <v>9</v>
      </c>
      <c r="L681" s="4">
        <v>0.12</v>
      </c>
      <c r="M681">
        <v>7.0000000000000007E-2</v>
      </c>
      <c r="N681" s="4">
        <v>0.32207999999999998</v>
      </c>
      <c r="O681" s="4">
        <v>0.18788000000000002</v>
      </c>
    </row>
    <row r="682" spans="2:15">
      <c r="B682" t="s">
        <v>330</v>
      </c>
      <c r="C682" t="s">
        <v>50</v>
      </c>
      <c r="D682" t="s">
        <v>457</v>
      </c>
      <c r="E682" t="s">
        <v>458</v>
      </c>
      <c r="F682" t="s">
        <v>29</v>
      </c>
      <c r="G682" t="s">
        <v>465</v>
      </c>
      <c r="H682" t="s">
        <v>466</v>
      </c>
      <c r="I682" t="s">
        <v>30</v>
      </c>
      <c r="J682">
        <v>3721313</v>
      </c>
      <c r="K682">
        <v>15372</v>
      </c>
      <c r="L682" s="4">
        <v>0.12</v>
      </c>
      <c r="M682">
        <v>7.0000000000000007E-2</v>
      </c>
      <c r="N682" s="4">
        <v>446.55756000000002</v>
      </c>
      <c r="O682" s="4">
        <v>260.49191000000002</v>
      </c>
    </row>
    <row r="683" spans="2:15">
      <c r="B683" t="s">
        <v>330</v>
      </c>
      <c r="C683" t="s">
        <v>50</v>
      </c>
      <c r="D683" t="s">
        <v>457</v>
      </c>
      <c r="E683" t="s">
        <v>458</v>
      </c>
      <c r="F683" t="s">
        <v>29</v>
      </c>
      <c r="G683" t="s">
        <v>467</v>
      </c>
      <c r="H683" t="s">
        <v>468</v>
      </c>
      <c r="I683" t="s">
        <v>30</v>
      </c>
      <c r="J683">
        <v>201112</v>
      </c>
      <c r="K683">
        <v>397</v>
      </c>
      <c r="L683" s="4">
        <v>0.12</v>
      </c>
      <c r="M683">
        <v>7.0000000000000007E-2</v>
      </c>
      <c r="N683" s="4">
        <v>24.13344</v>
      </c>
      <c r="O683" s="4">
        <v>14.077840000000002</v>
      </c>
    </row>
    <row r="684" spans="2:15">
      <c r="B684" t="s">
        <v>330</v>
      </c>
      <c r="C684" t="s">
        <v>50</v>
      </c>
      <c r="D684" t="s">
        <v>457</v>
      </c>
      <c r="E684" t="s">
        <v>458</v>
      </c>
      <c r="F684" t="s">
        <v>29</v>
      </c>
      <c r="G684" t="s">
        <v>469</v>
      </c>
      <c r="H684" t="s">
        <v>470</v>
      </c>
      <c r="I684" t="s">
        <v>30</v>
      </c>
      <c r="J684">
        <v>927817</v>
      </c>
      <c r="K684">
        <v>1125</v>
      </c>
      <c r="L684" s="4">
        <v>0.12</v>
      </c>
      <c r="M684">
        <v>7.0000000000000007E-2</v>
      </c>
      <c r="N684" s="4">
        <v>111.33803999999999</v>
      </c>
      <c r="O684" s="4">
        <v>64.947190000000006</v>
      </c>
    </row>
    <row r="685" spans="2:15">
      <c r="B685" t="s">
        <v>330</v>
      </c>
      <c r="C685" t="s">
        <v>50</v>
      </c>
      <c r="D685" t="s">
        <v>471</v>
      </c>
      <c r="E685" t="s">
        <v>472</v>
      </c>
      <c r="F685" t="s">
        <v>11</v>
      </c>
      <c r="G685" t="s">
        <v>333</v>
      </c>
      <c r="H685" t="s">
        <v>334</v>
      </c>
      <c r="I685" t="s">
        <v>31</v>
      </c>
      <c r="J685">
        <v>7397</v>
      </c>
      <c r="K685">
        <v>12</v>
      </c>
      <c r="L685" s="4">
        <v>0.04</v>
      </c>
      <c r="M685">
        <v>0.09</v>
      </c>
      <c r="N685" s="4">
        <v>0.29587999999999998</v>
      </c>
      <c r="O685" s="4">
        <v>0.66573000000000004</v>
      </c>
    </row>
    <row r="686" spans="2:15">
      <c r="B686" t="s">
        <v>330</v>
      </c>
      <c r="C686" t="s">
        <v>50</v>
      </c>
      <c r="D686" t="s">
        <v>471</v>
      </c>
      <c r="E686" t="s">
        <v>472</v>
      </c>
      <c r="F686" t="s">
        <v>29</v>
      </c>
      <c r="G686" t="s">
        <v>473</v>
      </c>
      <c r="H686" t="s">
        <v>474</v>
      </c>
      <c r="I686" t="s">
        <v>30</v>
      </c>
      <c r="J686">
        <v>1332</v>
      </c>
      <c r="K686">
        <v>2</v>
      </c>
      <c r="L686" s="4">
        <v>0.12</v>
      </c>
      <c r="M686">
        <v>7.0000000000000007E-2</v>
      </c>
      <c r="N686" s="4">
        <v>0.15984000000000001</v>
      </c>
      <c r="O686" s="4">
        <v>9.3240000000000003E-2</v>
      </c>
    </row>
    <row r="687" spans="2:15">
      <c r="B687" t="s">
        <v>330</v>
      </c>
      <c r="C687" t="s">
        <v>50</v>
      </c>
      <c r="D687" t="s">
        <v>471</v>
      </c>
      <c r="E687" t="s">
        <v>472</v>
      </c>
      <c r="F687" t="s">
        <v>29</v>
      </c>
      <c r="G687" t="s">
        <v>475</v>
      </c>
      <c r="H687" t="s">
        <v>476</v>
      </c>
      <c r="I687" t="s">
        <v>30</v>
      </c>
      <c r="J687">
        <v>432</v>
      </c>
      <c r="K687">
        <v>1</v>
      </c>
      <c r="L687" s="4">
        <v>0.12</v>
      </c>
      <c r="M687">
        <v>7.0000000000000007E-2</v>
      </c>
      <c r="N687" s="4">
        <v>5.1839999999999997E-2</v>
      </c>
      <c r="O687" s="4">
        <v>3.0240000000000003E-2</v>
      </c>
    </row>
    <row r="688" spans="2:15">
      <c r="B688" t="s">
        <v>330</v>
      </c>
      <c r="C688" t="s">
        <v>50</v>
      </c>
      <c r="D688" t="s">
        <v>471</v>
      </c>
      <c r="E688" t="s">
        <v>472</v>
      </c>
      <c r="F688" t="s">
        <v>29</v>
      </c>
      <c r="G688" t="s">
        <v>477</v>
      </c>
      <c r="H688" t="s">
        <v>478</v>
      </c>
      <c r="I688" t="s">
        <v>30</v>
      </c>
      <c r="J688">
        <v>877630</v>
      </c>
      <c r="K688">
        <v>1009</v>
      </c>
      <c r="L688" s="4">
        <v>0.12</v>
      </c>
      <c r="M688">
        <v>7.0000000000000007E-2</v>
      </c>
      <c r="N688" s="4">
        <v>105.31559999999999</v>
      </c>
      <c r="O688" s="4">
        <v>61.434100000000008</v>
      </c>
    </row>
    <row r="689" spans="2:15">
      <c r="B689" t="s">
        <v>330</v>
      </c>
      <c r="C689" t="s">
        <v>50</v>
      </c>
      <c r="D689" t="s">
        <v>471</v>
      </c>
      <c r="E689" t="s">
        <v>472</v>
      </c>
      <c r="F689" t="s">
        <v>29</v>
      </c>
      <c r="G689" t="s">
        <v>479</v>
      </c>
      <c r="H689" t="s">
        <v>480</v>
      </c>
      <c r="I689" t="s">
        <v>30</v>
      </c>
      <c r="J689">
        <v>42287</v>
      </c>
      <c r="K689">
        <v>64</v>
      </c>
      <c r="L689" s="4">
        <v>0.12</v>
      </c>
      <c r="M689">
        <v>7.0000000000000007E-2</v>
      </c>
      <c r="N689" s="4">
        <v>5.0744399999999992</v>
      </c>
      <c r="O689" s="4">
        <v>2.9600900000000001</v>
      </c>
    </row>
    <row r="690" spans="2:15">
      <c r="B690" t="s">
        <v>330</v>
      </c>
      <c r="C690" t="s">
        <v>50</v>
      </c>
      <c r="D690" t="s">
        <v>471</v>
      </c>
      <c r="E690" t="s">
        <v>472</v>
      </c>
      <c r="F690" t="s">
        <v>29</v>
      </c>
      <c r="G690" t="s">
        <v>481</v>
      </c>
      <c r="H690" t="s">
        <v>482</v>
      </c>
      <c r="I690" t="s">
        <v>30</v>
      </c>
      <c r="J690">
        <v>193691</v>
      </c>
      <c r="K690">
        <v>163</v>
      </c>
      <c r="L690" s="4">
        <v>0.12</v>
      </c>
      <c r="M690">
        <v>7.0000000000000007E-2</v>
      </c>
      <c r="N690" s="4">
        <v>23.242919999999998</v>
      </c>
      <c r="O690" s="4">
        <v>13.55837</v>
      </c>
    </row>
    <row r="691" spans="2:15">
      <c r="B691" t="s">
        <v>330</v>
      </c>
      <c r="C691" t="s">
        <v>50</v>
      </c>
      <c r="D691" t="s">
        <v>483</v>
      </c>
      <c r="E691" t="s">
        <v>484</v>
      </c>
      <c r="F691" t="s">
        <v>11</v>
      </c>
      <c r="G691" t="s">
        <v>349</v>
      </c>
      <c r="H691" t="s">
        <v>350</v>
      </c>
      <c r="I691" t="s">
        <v>31</v>
      </c>
      <c r="J691">
        <v>7253</v>
      </c>
      <c r="K691">
        <v>4</v>
      </c>
      <c r="L691" s="4">
        <v>0.04</v>
      </c>
      <c r="M691">
        <v>0.09</v>
      </c>
      <c r="N691" s="4">
        <v>0.29011999999999999</v>
      </c>
      <c r="O691" s="4">
        <v>0.65276999999999996</v>
      </c>
    </row>
    <row r="692" spans="2:15">
      <c r="B692" t="s">
        <v>330</v>
      </c>
      <c r="C692" t="s">
        <v>50</v>
      </c>
      <c r="D692" t="s">
        <v>483</v>
      </c>
      <c r="E692" t="s">
        <v>484</v>
      </c>
      <c r="F692" t="s">
        <v>29</v>
      </c>
      <c r="G692" t="s">
        <v>485</v>
      </c>
      <c r="H692" t="s">
        <v>486</v>
      </c>
      <c r="I692" t="s">
        <v>30</v>
      </c>
      <c r="J692">
        <v>3644</v>
      </c>
      <c r="K692">
        <v>7</v>
      </c>
      <c r="L692" s="4">
        <v>0.12</v>
      </c>
      <c r="M692">
        <v>7.0000000000000007E-2</v>
      </c>
      <c r="N692" s="4">
        <v>0.43727999999999995</v>
      </c>
      <c r="O692" s="4">
        <v>0.25508000000000003</v>
      </c>
    </row>
    <row r="693" spans="2:15">
      <c r="B693" t="s">
        <v>330</v>
      </c>
      <c r="C693" t="s">
        <v>50</v>
      </c>
      <c r="D693" t="s">
        <v>483</v>
      </c>
      <c r="E693" t="s">
        <v>484</v>
      </c>
      <c r="F693" t="s">
        <v>29</v>
      </c>
      <c r="G693" t="s">
        <v>487</v>
      </c>
      <c r="H693" t="s">
        <v>488</v>
      </c>
      <c r="I693" t="s">
        <v>30</v>
      </c>
      <c r="J693">
        <v>1785</v>
      </c>
      <c r="K693">
        <v>9</v>
      </c>
      <c r="L693" s="4">
        <v>0.12</v>
      </c>
      <c r="M693">
        <v>7.0000000000000007E-2</v>
      </c>
      <c r="N693" s="4">
        <v>0.2142</v>
      </c>
      <c r="O693" s="4">
        <v>0.12495000000000002</v>
      </c>
    </row>
    <row r="694" spans="2:15">
      <c r="B694" t="s">
        <v>330</v>
      </c>
      <c r="C694" t="s">
        <v>50</v>
      </c>
      <c r="D694" t="s">
        <v>483</v>
      </c>
      <c r="E694" t="s">
        <v>484</v>
      </c>
      <c r="F694" t="s">
        <v>29</v>
      </c>
      <c r="G694" t="s">
        <v>489</v>
      </c>
      <c r="H694" t="s">
        <v>490</v>
      </c>
      <c r="I694" t="s">
        <v>30</v>
      </c>
      <c r="J694">
        <v>873995</v>
      </c>
      <c r="K694">
        <v>1221</v>
      </c>
      <c r="L694" s="4">
        <v>0.12</v>
      </c>
      <c r="M694">
        <v>7.0000000000000007E-2</v>
      </c>
      <c r="N694" s="4">
        <v>104.87939999999999</v>
      </c>
      <c r="O694" s="4">
        <v>61.179650000000009</v>
      </c>
    </row>
    <row r="695" spans="2:15">
      <c r="B695" t="s">
        <v>330</v>
      </c>
      <c r="C695" t="s">
        <v>50</v>
      </c>
      <c r="D695" t="s">
        <v>483</v>
      </c>
      <c r="E695" t="s">
        <v>484</v>
      </c>
      <c r="F695" t="s">
        <v>29</v>
      </c>
      <c r="G695" t="s">
        <v>491</v>
      </c>
      <c r="H695" t="s">
        <v>492</v>
      </c>
      <c r="I695" t="s">
        <v>30</v>
      </c>
      <c r="J695">
        <v>70858</v>
      </c>
      <c r="K695">
        <v>181</v>
      </c>
      <c r="L695" s="4">
        <v>0.12</v>
      </c>
      <c r="M695">
        <v>7.0000000000000007E-2</v>
      </c>
      <c r="N695" s="4">
        <v>8.5029599999999999</v>
      </c>
      <c r="O695" s="4">
        <v>4.9600600000000004</v>
      </c>
    </row>
    <row r="696" spans="2:15">
      <c r="B696" t="s">
        <v>330</v>
      </c>
      <c r="C696" t="s">
        <v>50</v>
      </c>
      <c r="D696" t="s">
        <v>483</v>
      </c>
      <c r="E696" t="s">
        <v>484</v>
      </c>
      <c r="F696" t="s">
        <v>29</v>
      </c>
      <c r="G696" t="s">
        <v>493</v>
      </c>
      <c r="H696" t="s">
        <v>494</v>
      </c>
      <c r="I696" t="s">
        <v>30</v>
      </c>
      <c r="J696">
        <v>267698</v>
      </c>
      <c r="K696">
        <v>418</v>
      </c>
      <c r="L696" s="4">
        <v>0.12</v>
      </c>
      <c r="M696">
        <v>7.0000000000000007E-2</v>
      </c>
      <c r="N696" s="4">
        <v>32.123759999999997</v>
      </c>
      <c r="O696" s="4">
        <v>18.738859999999999</v>
      </c>
    </row>
    <row r="697" spans="2:15">
      <c r="B697" t="s">
        <v>330</v>
      </c>
      <c r="C697" t="s">
        <v>50</v>
      </c>
      <c r="D697" t="s">
        <v>495</v>
      </c>
      <c r="E697" t="s">
        <v>496</v>
      </c>
      <c r="F697" t="s">
        <v>11</v>
      </c>
      <c r="G697" t="s">
        <v>363</v>
      </c>
      <c r="H697" t="s">
        <v>364</v>
      </c>
      <c r="I697" t="s">
        <v>31</v>
      </c>
      <c r="J697">
        <v>22466</v>
      </c>
      <c r="K697">
        <v>13</v>
      </c>
      <c r="L697" s="4">
        <v>0.04</v>
      </c>
      <c r="M697">
        <v>0.09</v>
      </c>
      <c r="N697" s="4">
        <v>0.89863999999999999</v>
      </c>
      <c r="O697" s="4">
        <v>2.0219399999999998</v>
      </c>
    </row>
    <row r="698" spans="2:15">
      <c r="B698" t="s">
        <v>330</v>
      </c>
      <c r="C698" t="s">
        <v>50</v>
      </c>
      <c r="D698" t="s">
        <v>495</v>
      </c>
      <c r="E698" t="s">
        <v>496</v>
      </c>
      <c r="F698" t="s">
        <v>29</v>
      </c>
      <c r="G698" t="s">
        <v>497</v>
      </c>
      <c r="H698" t="s">
        <v>498</v>
      </c>
      <c r="I698" t="s">
        <v>30</v>
      </c>
      <c r="J698">
        <v>2640</v>
      </c>
      <c r="K698">
        <v>2</v>
      </c>
      <c r="L698" s="4">
        <v>0.12</v>
      </c>
      <c r="M698">
        <v>7.0000000000000007E-2</v>
      </c>
      <c r="N698" s="4">
        <v>0.31680000000000003</v>
      </c>
      <c r="O698" s="4">
        <v>0.18480000000000002</v>
      </c>
    </row>
    <row r="699" spans="2:15">
      <c r="B699" t="s">
        <v>330</v>
      </c>
      <c r="C699" t="s">
        <v>50</v>
      </c>
      <c r="D699" t="s">
        <v>495</v>
      </c>
      <c r="E699" t="s">
        <v>496</v>
      </c>
      <c r="F699" t="s">
        <v>29</v>
      </c>
      <c r="G699" t="s">
        <v>499</v>
      </c>
      <c r="H699" t="s">
        <v>500</v>
      </c>
      <c r="I699" t="s">
        <v>30</v>
      </c>
      <c r="J699">
        <v>1847</v>
      </c>
      <c r="K699">
        <v>7</v>
      </c>
      <c r="L699" s="4">
        <v>0.12</v>
      </c>
      <c r="M699">
        <v>7.0000000000000007E-2</v>
      </c>
      <c r="N699" s="4">
        <v>0.22163999999999998</v>
      </c>
      <c r="O699" s="4">
        <v>0.12929000000000002</v>
      </c>
    </row>
    <row r="700" spans="2:15">
      <c r="B700" t="s">
        <v>330</v>
      </c>
      <c r="C700" t="s">
        <v>50</v>
      </c>
      <c r="D700" t="s">
        <v>495</v>
      </c>
      <c r="E700" t="s">
        <v>496</v>
      </c>
      <c r="F700" t="s">
        <v>29</v>
      </c>
      <c r="G700" t="s">
        <v>501</v>
      </c>
      <c r="H700" t="s">
        <v>502</v>
      </c>
      <c r="I700" t="s">
        <v>30</v>
      </c>
      <c r="J700">
        <v>7505683</v>
      </c>
      <c r="K700">
        <v>5236</v>
      </c>
      <c r="L700" s="4">
        <v>0.12</v>
      </c>
      <c r="M700">
        <v>7.0000000000000007E-2</v>
      </c>
      <c r="N700" s="4">
        <v>900.68196</v>
      </c>
      <c r="O700" s="4">
        <v>525.39781000000005</v>
      </c>
    </row>
    <row r="701" spans="2:15">
      <c r="B701" t="s">
        <v>330</v>
      </c>
      <c r="C701" t="s">
        <v>50</v>
      </c>
      <c r="D701" t="s">
        <v>495</v>
      </c>
      <c r="E701" t="s">
        <v>496</v>
      </c>
      <c r="F701" t="s">
        <v>29</v>
      </c>
      <c r="G701" t="s">
        <v>503</v>
      </c>
      <c r="H701" t="s">
        <v>504</v>
      </c>
      <c r="I701" t="s">
        <v>30</v>
      </c>
      <c r="J701">
        <v>39375</v>
      </c>
      <c r="K701">
        <v>110</v>
      </c>
      <c r="L701" s="4">
        <v>0.12</v>
      </c>
      <c r="M701">
        <v>7.0000000000000007E-2</v>
      </c>
      <c r="N701" s="4">
        <v>4.7249999999999996</v>
      </c>
      <c r="O701" s="4">
        <v>2.7562500000000005</v>
      </c>
    </row>
    <row r="702" spans="2:15">
      <c r="B702" t="s">
        <v>330</v>
      </c>
      <c r="C702" t="s">
        <v>50</v>
      </c>
      <c r="D702" t="s">
        <v>495</v>
      </c>
      <c r="E702" t="s">
        <v>496</v>
      </c>
      <c r="F702" t="s">
        <v>29</v>
      </c>
      <c r="G702" t="s">
        <v>505</v>
      </c>
      <c r="H702" t="s">
        <v>506</v>
      </c>
      <c r="I702" t="s">
        <v>30</v>
      </c>
      <c r="J702">
        <v>241357</v>
      </c>
      <c r="K702">
        <v>384</v>
      </c>
      <c r="L702" s="4">
        <v>0.12</v>
      </c>
      <c r="M702">
        <v>7.0000000000000007E-2</v>
      </c>
      <c r="N702" s="4">
        <v>28.96284</v>
      </c>
      <c r="O702" s="4">
        <v>16.89499</v>
      </c>
    </row>
    <row r="703" spans="2:15">
      <c r="B703" t="s">
        <v>330</v>
      </c>
      <c r="C703" t="s">
        <v>50</v>
      </c>
      <c r="D703" t="s">
        <v>507</v>
      </c>
      <c r="E703" t="s">
        <v>508</v>
      </c>
      <c r="F703" t="s">
        <v>11</v>
      </c>
      <c r="G703" t="s">
        <v>117</v>
      </c>
      <c r="H703" t="s">
        <v>377</v>
      </c>
      <c r="I703" t="s">
        <v>31</v>
      </c>
      <c r="J703">
        <v>50802</v>
      </c>
      <c r="K703">
        <v>45</v>
      </c>
      <c r="L703" s="4">
        <v>0.04</v>
      </c>
      <c r="M703">
        <v>0.09</v>
      </c>
      <c r="N703" s="4">
        <v>2.0320800000000001</v>
      </c>
      <c r="O703" s="4">
        <v>4.5721799999999995</v>
      </c>
    </row>
    <row r="704" spans="2:15">
      <c r="B704" t="s">
        <v>330</v>
      </c>
      <c r="C704" t="s">
        <v>50</v>
      </c>
      <c r="D704" t="s">
        <v>507</v>
      </c>
      <c r="E704" t="s">
        <v>508</v>
      </c>
      <c r="F704" t="s">
        <v>29</v>
      </c>
      <c r="G704" t="s">
        <v>509</v>
      </c>
      <c r="H704" t="s">
        <v>510</v>
      </c>
      <c r="I704" t="s">
        <v>30</v>
      </c>
      <c r="J704">
        <v>21857</v>
      </c>
      <c r="K704">
        <v>50</v>
      </c>
      <c r="L704" s="4">
        <v>0.12</v>
      </c>
      <c r="M704">
        <v>7.0000000000000007E-2</v>
      </c>
      <c r="N704" s="4">
        <v>2.6228399999999996</v>
      </c>
      <c r="O704" s="4">
        <v>1.5299900000000002</v>
      </c>
    </row>
    <row r="705" spans="2:15">
      <c r="B705" t="s">
        <v>330</v>
      </c>
      <c r="C705" t="s">
        <v>50</v>
      </c>
      <c r="D705" t="s">
        <v>507</v>
      </c>
      <c r="E705" t="s">
        <v>508</v>
      </c>
      <c r="F705" t="s">
        <v>29</v>
      </c>
      <c r="G705" t="s">
        <v>511</v>
      </c>
      <c r="H705" t="s">
        <v>512</v>
      </c>
      <c r="I705" t="s">
        <v>30</v>
      </c>
      <c r="J705">
        <v>10424</v>
      </c>
      <c r="K705">
        <v>30</v>
      </c>
      <c r="L705" s="4">
        <v>0.12</v>
      </c>
      <c r="M705">
        <v>7.0000000000000007E-2</v>
      </c>
      <c r="N705" s="4">
        <v>1.25088</v>
      </c>
      <c r="O705" s="4">
        <v>0.72968000000000011</v>
      </c>
    </row>
    <row r="706" spans="2:15">
      <c r="B706" t="s">
        <v>330</v>
      </c>
      <c r="C706" t="s">
        <v>50</v>
      </c>
      <c r="D706" t="s">
        <v>507</v>
      </c>
      <c r="E706" t="s">
        <v>508</v>
      </c>
      <c r="F706" t="s">
        <v>29</v>
      </c>
      <c r="G706" t="s">
        <v>513</v>
      </c>
      <c r="H706" t="s">
        <v>514</v>
      </c>
      <c r="I706" t="s">
        <v>30</v>
      </c>
      <c r="J706">
        <v>14994994</v>
      </c>
      <c r="K706">
        <v>25444</v>
      </c>
      <c r="L706" s="4">
        <v>0.12</v>
      </c>
      <c r="M706">
        <v>7.0000000000000007E-2</v>
      </c>
      <c r="N706" s="4">
        <v>1799.3992800000001</v>
      </c>
      <c r="O706" s="4">
        <v>1049.64958</v>
      </c>
    </row>
    <row r="707" spans="2:15">
      <c r="B707" t="s">
        <v>330</v>
      </c>
      <c r="C707" t="s">
        <v>50</v>
      </c>
      <c r="D707" t="s">
        <v>507</v>
      </c>
      <c r="E707" t="s">
        <v>508</v>
      </c>
      <c r="F707" t="s">
        <v>29</v>
      </c>
      <c r="G707" t="s">
        <v>515</v>
      </c>
      <c r="H707" t="s">
        <v>516</v>
      </c>
      <c r="I707" t="s">
        <v>30</v>
      </c>
      <c r="J707">
        <v>193297</v>
      </c>
      <c r="K707">
        <v>593</v>
      </c>
      <c r="L707" s="4">
        <v>0.12</v>
      </c>
      <c r="M707">
        <v>7.0000000000000007E-2</v>
      </c>
      <c r="N707" s="4">
        <v>23.195640000000001</v>
      </c>
      <c r="O707" s="4">
        <v>13.530790000000001</v>
      </c>
    </row>
    <row r="708" spans="2:15">
      <c r="B708" t="s">
        <v>330</v>
      </c>
      <c r="C708" t="s">
        <v>50</v>
      </c>
      <c r="D708" t="s">
        <v>507</v>
      </c>
      <c r="E708" t="s">
        <v>508</v>
      </c>
      <c r="F708" t="s">
        <v>29</v>
      </c>
      <c r="G708" t="s">
        <v>517</v>
      </c>
      <c r="H708" t="s">
        <v>518</v>
      </c>
      <c r="I708" t="s">
        <v>30</v>
      </c>
      <c r="J708">
        <v>1237430</v>
      </c>
      <c r="K708">
        <v>2436</v>
      </c>
      <c r="L708" s="4">
        <v>0.12</v>
      </c>
      <c r="M708">
        <v>7.0000000000000007E-2</v>
      </c>
      <c r="N708" s="4">
        <v>148.49160000000001</v>
      </c>
      <c r="O708" s="4">
        <v>86.620100000000008</v>
      </c>
    </row>
    <row r="709" spans="2:15">
      <c r="B709" t="s">
        <v>330</v>
      </c>
      <c r="C709" t="s">
        <v>50</v>
      </c>
      <c r="D709" t="s">
        <v>519</v>
      </c>
      <c r="E709" t="s">
        <v>520</v>
      </c>
      <c r="F709" t="s">
        <v>11</v>
      </c>
      <c r="G709" t="s">
        <v>390</v>
      </c>
      <c r="H709" t="s">
        <v>391</v>
      </c>
      <c r="I709" t="s">
        <v>31</v>
      </c>
      <c r="J709">
        <v>2279</v>
      </c>
      <c r="K709">
        <v>6</v>
      </c>
      <c r="L709" s="4">
        <v>0.04</v>
      </c>
      <c r="M709">
        <v>0.09</v>
      </c>
      <c r="N709" s="4">
        <v>9.1159999999999991E-2</v>
      </c>
      <c r="O709" s="4">
        <v>0.20510999999999999</v>
      </c>
    </row>
    <row r="710" spans="2:15">
      <c r="B710" t="s">
        <v>330</v>
      </c>
      <c r="C710" t="s">
        <v>50</v>
      </c>
      <c r="D710" t="s">
        <v>519</v>
      </c>
      <c r="E710" t="s">
        <v>520</v>
      </c>
      <c r="F710" t="s">
        <v>29</v>
      </c>
      <c r="G710" t="s">
        <v>521</v>
      </c>
      <c r="H710" t="s">
        <v>522</v>
      </c>
      <c r="I710" t="s">
        <v>30</v>
      </c>
      <c r="J710">
        <v>316</v>
      </c>
      <c r="K710">
        <v>0</v>
      </c>
      <c r="L710" s="4">
        <v>0.12</v>
      </c>
      <c r="M710">
        <v>7.0000000000000007E-2</v>
      </c>
      <c r="N710" s="4">
        <v>3.7920000000000002E-2</v>
      </c>
      <c r="O710" s="4">
        <v>2.2120000000000001E-2</v>
      </c>
    </row>
    <row r="711" spans="2:15">
      <c r="B711" t="s">
        <v>330</v>
      </c>
      <c r="C711" t="s">
        <v>50</v>
      </c>
      <c r="D711" t="s">
        <v>519</v>
      </c>
      <c r="E711" t="s">
        <v>520</v>
      </c>
      <c r="F711" t="s">
        <v>29</v>
      </c>
      <c r="G711" t="s">
        <v>523</v>
      </c>
      <c r="H711" t="s">
        <v>524</v>
      </c>
      <c r="I711" t="s">
        <v>30</v>
      </c>
      <c r="J711">
        <v>199</v>
      </c>
      <c r="K711">
        <v>0</v>
      </c>
      <c r="L711" s="4">
        <v>0.12</v>
      </c>
      <c r="M711">
        <v>7.0000000000000007E-2</v>
      </c>
      <c r="N711" s="4">
        <v>2.3879999999999998E-2</v>
      </c>
      <c r="O711" s="4">
        <v>1.3930000000000001E-2</v>
      </c>
    </row>
    <row r="712" spans="2:15">
      <c r="B712" t="s">
        <v>330</v>
      </c>
      <c r="C712" t="s">
        <v>50</v>
      </c>
      <c r="D712" t="s">
        <v>519</v>
      </c>
      <c r="E712" t="s">
        <v>520</v>
      </c>
      <c r="F712" t="s">
        <v>29</v>
      </c>
      <c r="G712" t="s">
        <v>525</v>
      </c>
      <c r="H712" t="s">
        <v>526</v>
      </c>
      <c r="I712" t="s">
        <v>30</v>
      </c>
      <c r="J712">
        <v>160100</v>
      </c>
      <c r="K712">
        <v>1212</v>
      </c>
      <c r="L712" s="4">
        <v>0.12</v>
      </c>
      <c r="M712">
        <v>7.0000000000000007E-2</v>
      </c>
      <c r="N712" s="4">
        <v>19.212</v>
      </c>
      <c r="O712" s="4">
        <v>11.207000000000003</v>
      </c>
    </row>
    <row r="713" spans="2:15">
      <c r="B713" t="s">
        <v>330</v>
      </c>
      <c r="C713" t="s">
        <v>50</v>
      </c>
      <c r="D713" t="s">
        <v>519</v>
      </c>
      <c r="E713" t="s">
        <v>520</v>
      </c>
      <c r="F713" t="s">
        <v>29</v>
      </c>
      <c r="G713" t="s">
        <v>527</v>
      </c>
      <c r="H713" t="s">
        <v>528</v>
      </c>
      <c r="I713" t="s">
        <v>30</v>
      </c>
      <c r="J713">
        <v>13392</v>
      </c>
      <c r="K713">
        <v>51</v>
      </c>
      <c r="L713" s="4">
        <v>0.12</v>
      </c>
      <c r="M713">
        <v>7.0000000000000007E-2</v>
      </c>
      <c r="N713" s="4">
        <v>1.60704</v>
      </c>
      <c r="O713" s="4">
        <v>0.93744000000000005</v>
      </c>
    </row>
    <row r="714" spans="2:15">
      <c r="B714" t="s">
        <v>330</v>
      </c>
      <c r="C714" t="s">
        <v>50</v>
      </c>
      <c r="D714" t="s">
        <v>519</v>
      </c>
      <c r="E714" t="s">
        <v>520</v>
      </c>
      <c r="F714" t="s">
        <v>29</v>
      </c>
      <c r="G714" t="s">
        <v>529</v>
      </c>
      <c r="H714" t="s">
        <v>530</v>
      </c>
      <c r="I714" t="s">
        <v>30</v>
      </c>
      <c r="J714">
        <v>72215</v>
      </c>
      <c r="K714">
        <v>186</v>
      </c>
      <c r="L714" s="4">
        <v>0.12</v>
      </c>
      <c r="M714">
        <v>7.0000000000000007E-2</v>
      </c>
      <c r="N714" s="4">
        <v>8.6657999999999991</v>
      </c>
      <c r="O714" s="4">
        <v>5.0550500000000005</v>
      </c>
    </row>
    <row r="715" spans="2:15">
      <c r="B715" t="s">
        <v>330</v>
      </c>
      <c r="C715" t="s">
        <v>50</v>
      </c>
      <c r="D715" t="s">
        <v>531</v>
      </c>
      <c r="E715" t="s">
        <v>532</v>
      </c>
      <c r="F715" t="s">
        <v>11</v>
      </c>
      <c r="G715" t="s">
        <v>404</v>
      </c>
      <c r="H715" t="s">
        <v>405</v>
      </c>
      <c r="I715" t="s">
        <v>31</v>
      </c>
      <c r="J715">
        <v>45633</v>
      </c>
      <c r="K715">
        <v>87</v>
      </c>
      <c r="L715" s="4">
        <v>0.04</v>
      </c>
      <c r="M715">
        <v>0.09</v>
      </c>
      <c r="N715" s="4">
        <v>1.8253199999999998</v>
      </c>
      <c r="O715" s="4">
        <v>4.1069700000000005</v>
      </c>
    </row>
    <row r="716" spans="2:15">
      <c r="B716" t="s">
        <v>330</v>
      </c>
      <c r="C716" t="s">
        <v>50</v>
      </c>
      <c r="D716" t="s">
        <v>531</v>
      </c>
      <c r="E716" t="s">
        <v>532</v>
      </c>
      <c r="F716" t="s">
        <v>29</v>
      </c>
      <c r="G716" t="s">
        <v>533</v>
      </c>
      <c r="H716" t="s">
        <v>534</v>
      </c>
      <c r="I716" t="s">
        <v>30</v>
      </c>
      <c r="J716">
        <v>2651</v>
      </c>
      <c r="K716">
        <v>17</v>
      </c>
      <c r="L716" s="4">
        <v>0.12</v>
      </c>
      <c r="M716">
        <v>7.0000000000000007E-2</v>
      </c>
      <c r="N716" s="4">
        <v>0.31812000000000001</v>
      </c>
      <c r="O716" s="4">
        <v>0.18557000000000001</v>
      </c>
    </row>
    <row r="717" spans="2:15">
      <c r="B717" t="s">
        <v>330</v>
      </c>
      <c r="C717" t="s">
        <v>50</v>
      </c>
      <c r="D717" t="s">
        <v>531</v>
      </c>
      <c r="E717" t="s">
        <v>532</v>
      </c>
      <c r="F717" t="s">
        <v>29</v>
      </c>
      <c r="G717" t="s">
        <v>535</v>
      </c>
      <c r="H717" t="s">
        <v>536</v>
      </c>
      <c r="I717" t="s">
        <v>30</v>
      </c>
      <c r="J717">
        <v>3481</v>
      </c>
      <c r="K717">
        <v>23</v>
      </c>
      <c r="L717" s="4">
        <v>0.12</v>
      </c>
      <c r="M717">
        <v>7.0000000000000007E-2</v>
      </c>
      <c r="N717" s="4">
        <v>0.41771999999999998</v>
      </c>
      <c r="O717" s="4">
        <v>0.24367000000000003</v>
      </c>
    </row>
    <row r="718" spans="2:15">
      <c r="B718" t="s">
        <v>330</v>
      </c>
      <c r="C718" t="s">
        <v>50</v>
      </c>
      <c r="D718" t="s">
        <v>531</v>
      </c>
      <c r="E718" t="s">
        <v>532</v>
      </c>
      <c r="F718" t="s">
        <v>29</v>
      </c>
      <c r="G718" t="s">
        <v>537</v>
      </c>
      <c r="H718" t="s">
        <v>538</v>
      </c>
      <c r="I718" t="s">
        <v>30</v>
      </c>
      <c r="J718">
        <v>4429326</v>
      </c>
      <c r="K718">
        <v>8761</v>
      </c>
      <c r="L718" s="4">
        <v>0.12</v>
      </c>
      <c r="M718">
        <v>7.0000000000000007E-2</v>
      </c>
      <c r="N718" s="4">
        <v>531.51912000000004</v>
      </c>
      <c r="O718" s="4">
        <v>310.05282</v>
      </c>
    </row>
    <row r="719" spans="2:15">
      <c r="B719" t="s">
        <v>330</v>
      </c>
      <c r="C719" t="s">
        <v>50</v>
      </c>
      <c r="D719" t="s">
        <v>531</v>
      </c>
      <c r="E719" t="s">
        <v>532</v>
      </c>
      <c r="F719" t="s">
        <v>29</v>
      </c>
      <c r="G719" t="s">
        <v>539</v>
      </c>
      <c r="H719" t="s">
        <v>540</v>
      </c>
      <c r="I719" t="s">
        <v>30</v>
      </c>
      <c r="J719">
        <v>211007</v>
      </c>
      <c r="K719">
        <v>1009</v>
      </c>
      <c r="L719" s="4">
        <v>0.12</v>
      </c>
      <c r="M719">
        <v>7.0000000000000007E-2</v>
      </c>
      <c r="N719" s="4">
        <v>25.32084</v>
      </c>
      <c r="O719" s="4">
        <v>14.770490000000002</v>
      </c>
    </row>
    <row r="720" spans="2:15">
      <c r="B720" t="s">
        <v>330</v>
      </c>
      <c r="C720" t="s">
        <v>50</v>
      </c>
      <c r="D720" t="s">
        <v>531</v>
      </c>
      <c r="E720" t="s">
        <v>532</v>
      </c>
      <c r="F720" t="s">
        <v>29</v>
      </c>
      <c r="G720" t="s">
        <v>541</v>
      </c>
      <c r="H720" t="s">
        <v>542</v>
      </c>
      <c r="I720" t="s">
        <v>30</v>
      </c>
      <c r="J720">
        <v>1068847</v>
      </c>
      <c r="K720">
        <v>2955</v>
      </c>
      <c r="L720" s="4">
        <v>0.12</v>
      </c>
      <c r="M720">
        <v>7.0000000000000007E-2</v>
      </c>
      <c r="N720" s="4">
        <v>128.26164</v>
      </c>
      <c r="O720" s="4">
        <v>74.819290000000009</v>
      </c>
    </row>
    <row r="721" spans="2:15">
      <c r="B721" t="s">
        <v>330</v>
      </c>
      <c r="C721" t="s">
        <v>50</v>
      </c>
      <c r="D721" t="s">
        <v>543</v>
      </c>
      <c r="E721" t="s">
        <v>544</v>
      </c>
      <c r="F721" t="s">
        <v>11</v>
      </c>
      <c r="G721" t="s">
        <v>418</v>
      </c>
      <c r="H721" t="s">
        <v>419</v>
      </c>
      <c r="I721" t="s">
        <v>31</v>
      </c>
      <c r="J721">
        <v>6720</v>
      </c>
      <c r="K721">
        <v>4</v>
      </c>
      <c r="L721" s="4">
        <v>0.04</v>
      </c>
      <c r="M721">
        <v>0.09</v>
      </c>
      <c r="N721" s="4">
        <v>0.26880000000000004</v>
      </c>
      <c r="O721" s="4">
        <v>0.6048</v>
      </c>
    </row>
    <row r="722" spans="2:15">
      <c r="B722" t="s">
        <v>330</v>
      </c>
      <c r="C722" t="s">
        <v>50</v>
      </c>
      <c r="D722" t="s">
        <v>543</v>
      </c>
      <c r="E722" t="s">
        <v>544</v>
      </c>
      <c r="F722" t="s">
        <v>29</v>
      </c>
      <c r="G722" t="s">
        <v>545</v>
      </c>
      <c r="H722" t="s">
        <v>546</v>
      </c>
      <c r="I722" t="s">
        <v>30</v>
      </c>
      <c r="J722">
        <v>1173</v>
      </c>
      <c r="K722">
        <v>1</v>
      </c>
      <c r="L722" s="4">
        <v>0.12</v>
      </c>
      <c r="M722">
        <v>7.0000000000000007E-2</v>
      </c>
      <c r="N722" s="4">
        <v>0.14076</v>
      </c>
      <c r="O722" s="4">
        <v>8.2110000000000016E-2</v>
      </c>
    </row>
    <row r="723" spans="2:15">
      <c r="B723" t="s">
        <v>330</v>
      </c>
      <c r="C723" t="s">
        <v>50</v>
      </c>
      <c r="D723" t="s">
        <v>543</v>
      </c>
      <c r="E723" t="s">
        <v>544</v>
      </c>
      <c r="F723" t="s">
        <v>29</v>
      </c>
      <c r="G723" t="s">
        <v>547</v>
      </c>
      <c r="H723" t="s">
        <v>548</v>
      </c>
      <c r="I723" t="s">
        <v>30</v>
      </c>
      <c r="J723">
        <v>615</v>
      </c>
      <c r="K723">
        <v>1</v>
      </c>
      <c r="L723" s="4">
        <v>0.12</v>
      </c>
      <c r="M723">
        <v>7.0000000000000007E-2</v>
      </c>
      <c r="N723" s="4">
        <v>7.3799999999999991E-2</v>
      </c>
      <c r="O723" s="4">
        <v>4.3050000000000005E-2</v>
      </c>
    </row>
    <row r="724" spans="2:15">
      <c r="B724" t="s">
        <v>330</v>
      </c>
      <c r="C724" t="s">
        <v>50</v>
      </c>
      <c r="D724" t="s">
        <v>543</v>
      </c>
      <c r="E724" t="s">
        <v>544</v>
      </c>
      <c r="F724" t="s">
        <v>29</v>
      </c>
      <c r="G724" t="s">
        <v>549</v>
      </c>
      <c r="H724" t="s">
        <v>550</v>
      </c>
      <c r="I724" t="s">
        <v>30</v>
      </c>
      <c r="J724">
        <v>541175</v>
      </c>
      <c r="K724">
        <v>489</v>
      </c>
      <c r="L724" s="4">
        <v>0.12</v>
      </c>
      <c r="M724">
        <v>7.0000000000000007E-2</v>
      </c>
      <c r="N724" s="4">
        <v>64.941000000000003</v>
      </c>
      <c r="O724" s="4">
        <v>37.882249999999999</v>
      </c>
    </row>
    <row r="725" spans="2:15">
      <c r="B725" t="s">
        <v>330</v>
      </c>
      <c r="C725" t="s">
        <v>50</v>
      </c>
      <c r="D725" t="s">
        <v>543</v>
      </c>
      <c r="E725" t="s">
        <v>544</v>
      </c>
      <c r="F725" t="s">
        <v>29</v>
      </c>
      <c r="G725" t="s">
        <v>551</v>
      </c>
      <c r="H725" t="s">
        <v>552</v>
      </c>
      <c r="I725" t="s">
        <v>30</v>
      </c>
      <c r="J725">
        <v>43097</v>
      </c>
      <c r="K725">
        <v>59</v>
      </c>
      <c r="L725" s="4">
        <v>0.12</v>
      </c>
      <c r="M725">
        <v>7.0000000000000007E-2</v>
      </c>
      <c r="N725" s="4">
        <v>5.1716399999999991</v>
      </c>
      <c r="O725" s="4">
        <v>3.0167900000000003</v>
      </c>
    </row>
    <row r="726" spans="2:15">
      <c r="B726" t="s">
        <v>330</v>
      </c>
      <c r="C726" t="s">
        <v>50</v>
      </c>
      <c r="D726" t="s">
        <v>543</v>
      </c>
      <c r="E726" t="s">
        <v>544</v>
      </c>
      <c r="F726" t="s">
        <v>29</v>
      </c>
      <c r="G726" t="s">
        <v>553</v>
      </c>
      <c r="H726" t="s">
        <v>554</v>
      </c>
      <c r="I726" t="s">
        <v>30</v>
      </c>
      <c r="J726">
        <v>214462</v>
      </c>
      <c r="K726">
        <v>156</v>
      </c>
      <c r="L726" s="4">
        <v>0.12</v>
      </c>
      <c r="M726">
        <v>7.0000000000000007E-2</v>
      </c>
      <c r="N726" s="4">
        <v>25.735439999999997</v>
      </c>
      <c r="O726" s="4">
        <v>15.012340000000002</v>
      </c>
    </row>
    <row r="727" spans="2:15">
      <c r="B727" t="s">
        <v>330</v>
      </c>
      <c r="C727" t="s">
        <v>50</v>
      </c>
      <c r="D727" t="s">
        <v>555</v>
      </c>
      <c r="E727" t="s">
        <v>556</v>
      </c>
      <c r="F727" t="s">
        <v>11</v>
      </c>
      <c r="G727" t="s">
        <v>432</v>
      </c>
      <c r="H727" t="s">
        <v>433</v>
      </c>
      <c r="I727" t="s">
        <v>31</v>
      </c>
      <c r="J727">
        <v>36947</v>
      </c>
      <c r="K727">
        <v>27</v>
      </c>
      <c r="L727" s="4">
        <v>0.04</v>
      </c>
      <c r="M727">
        <v>0.09</v>
      </c>
      <c r="N727" s="4">
        <v>1.4778800000000001</v>
      </c>
      <c r="O727" s="4">
        <v>3.3252299999999999</v>
      </c>
    </row>
    <row r="728" spans="2:15">
      <c r="B728" t="s">
        <v>330</v>
      </c>
      <c r="C728" t="s">
        <v>50</v>
      </c>
      <c r="D728" t="s">
        <v>555</v>
      </c>
      <c r="E728" t="s">
        <v>556</v>
      </c>
      <c r="F728" t="s">
        <v>29</v>
      </c>
      <c r="G728" t="s">
        <v>557</v>
      </c>
      <c r="H728" t="s">
        <v>558</v>
      </c>
      <c r="I728" t="s">
        <v>30</v>
      </c>
      <c r="J728">
        <v>4971</v>
      </c>
      <c r="K728">
        <v>10</v>
      </c>
      <c r="L728" s="4">
        <v>0.12</v>
      </c>
      <c r="M728">
        <v>7.0000000000000007E-2</v>
      </c>
      <c r="N728" s="4">
        <v>0.59651999999999994</v>
      </c>
      <c r="O728" s="4">
        <v>0.34797</v>
      </c>
    </row>
    <row r="729" spans="2:15">
      <c r="B729" t="s">
        <v>330</v>
      </c>
      <c r="C729" t="s">
        <v>50</v>
      </c>
      <c r="D729" t="s">
        <v>555</v>
      </c>
      <c r="E729" t="s">
        <v>556</v>
      </c>
      <c r="F729" t="s">
        <v>29</v>
      </c>
      <c r="G729" t="s">
        <v>559</v>
      </c>
      <c r="H729" t="s">
        <v>560</v>
      </c>
      <c r="I729" t="s">
        <v>30</v>
      </c>
      <c r="J729">
        <v>3247</v>
      </c>
      <c r="K729">
        <v>13</v>
      </c>
      <c r="L729" s="4">
        <v>0.12</v>
      </c>
      <c r="M729">
        <v>7.0000000000000007E-2</v>
      </c>
      <c r="N729" s="4">
        <v>0.38963999999999999</v>
      </c>
      <c r="O729" s="4">
        <v>0.22729000000000002</v>
      </c>
    </row>
    <row r="730" spans="2:15">
      <c r="B730" t="s">
        <v>330</v>
      </c>
      <c r="C730" t="s">
        <v>50</v>
      </c>
      <c r="D730" t="s">
        <v>555</v>
      </c>
      <c r="E730" t="s">
        <v>556</v>
      </c>
      <c r="F730" t="s">
        <v>29</v>
      </c>
      <c r="G730" t="s">
        <v>561</v>
      </c>
      <c r="H730" t="s">
        <v>562</v>
      </c>
      <c r="I730" t="s">
        <v>30</v>
      </c>
      <c r="J730">
        <v>3560668</v>
      </c>
      <c r="K730">
        <v>4254</v>
      </c>
      <c r="L730" s="4">
        <v>0.12</v>
      </c>
      <c r="M730">
        <v>7.0000000000000007E-2</v>
      </c>
      <c r="N730" s="4">
        <v>427.28015999999997</v>
      </c>
      <c r="O730" s="4">
        <v>249.24676000000002</v>
      </c>
    </row>
    <row r="731" spans="2:15">
      <c r="B731" t="s">
        <v>330</v>
      </c>
      <c r="C731" t="s">
        <v>50</v>
      </c>
      <c r="D731" t="s">
        <v>555</v>
      </c>
      <c r="E731" t="s">
        <v>556</v>
      </c>
      <c r="F731" t="s">
        <v>29</v>
      </c>
      <c r="G731" t="s">
        <v>563</v>
      </c>
      <c r="H731" t="s">
        <v>564</v>
      </c>
      <c r="I731" t="s">
        <v>30</v>
      </c>
      <c r="J731">
        <v>219674</v>
      </c>
      <c r="K731">
        <v>707</v>
      </c>
      <c r="L731" s="4">
        <v>0.12</v>
      </c>
      <c r="M731">
        <v>7.0000000000000007E-2</v>
      </c>
      <c r="N731" s="4">
        <v>26.360879999999998</v>
      </c>
      <c r="O731" s="4">
        <v>15.377180000000003</v>
      </c>
    </row>
    <row r="732" spans="2:15">
      <c r="B732" t="s">
        <v>330</v>
      </c>
      <c r="C732" t="s">
        <v>50</v>
      </c>
      <c r="D732" t="s">
        <v>555</v>
      </c>
      <c r="E732" t="s">
        <v>556</v>
      </c>
      <c r="F732" t="s">
        <v>29</v>
      </c>
      <c r="G732" t="s">
        <v>565</v>
      </c>
      <c r="H732" t="s">
        <v>566</v>
      </c>
      <c r="I732" t="s">
        <v>30</v>
      </c>
      <c r="J732">
        <v>974923</v>
      </c>
      <c r="K732">
        <v>1566</v>
      </c>
      <c r="L732" s="4">
        <v>0.12</v>
      </c>
      <c r="M732">
        <v>7.0000000000000007E-2</v>
      </c>
      <c r="N732" s="4">
        <v>116.99075999999999</v>
      </c>
      <c r="O732" s="4">
        <v>68.244609999999994</v>
      </c>
    </row>
    <row r="733" spans="2:15">
      <c r="B733" t="s">
        <v>330</v>
      </c>
      <c r="C733" t="s">
        <v>50</v>
      </c>
      <c r="D733" t="s">
        <v>567</v>
      </c>
      <c r="E733" t="s">
        <v>568</v>
      </c>
      <c r="F733" t="s">
        <v>11</v>
      </c>
      <c r="G733" t="s">
        <v>116</v>
      </c>
      <c r="H733" t="s">
        <v>446</v>
      </c>
      <c r="I733" t="s">
        <v>31</v>
      </c>
      <c r="J733">
        <v>56084</v>
      </c>
      <c r="K733">
        <v>187</v>
      </c>
      <c r="L733" s="4">
        <v>0.04</v>
      </c>
      <c r="M733">
        <v>0.09</v>
      </c>
      <c r="N733" s="4">
        <v>2.24336</v>
      </c>
      <c r="O733" s="4">
        <v>5.0475599999999998</v>
      </c>
    </row>
    <row r="734" spans="2:15">
      <c r="B734" t="s">
        <v>330</v>
      </c>
      <c r="C734" t="s">
        <v>50</v>
      </c>
      <c r="D734" t="s">
        <v>567</v>
      </c>
      <c r="E734" t="s">
        <v>568</v>
      </c>
      <c r="F734" t="s">
        <v>29</v>
      </c>
      <c r="G734" t="s">
        <v>569</v>
      </c>
      <c r="H734" t="s">
        <v>570</v>
      </c>
      <c r="I734" t="s">
        <v>30</v>
      </c>
      <c r="J734">
        <v>28919</v>
      </c>
      <c r="K734">
        <v>89</v>
      </c>
      <c r="L734" s="4">
        <v>0.12</v>
      </c>
      <c r="M734">
        <v>7.0000000000000007E-2</v>
      </c>
      <c r="N734" s="4">
        <v>3.4702799999999998</v>
      </c>
      <c r="O734" s="4">
        <v>2.02433</v>
      </c>
    </row>
    <row r="735" spans="2:15">
      <c r="B735" t="s">
        <v>330</v>
      </c>
      <c r="C735" t="s">
        <v>50</v>
      </c>
      <c r="D735" t="s">
        <v>567</v>
      </c>
      <c r="E735" t="s">
        <v>568</v>
      </c>
      <c r="F735" t="s">
        <v>29</v>
      </c>
      <c r="G735" t="s">
        <v>571</v>
      </c>
      <c r="H735" t="s">
        <v>572</v>
      </c>
      <c r="I735" t="s">
        <v>30</v>
      </c>
      <c r="J735">
        <v>7698</v>
      </c>
      <c r="K735">
        <v>48</v>
      </c>
      <c r="L735" s="4">
        <v>0.12</v>
      </c>
      <c r="M735">
        <v>7.0000000000000007E-2</v>
      </c>
      <c r="N735" s="4">
        <v>0.92376000000000003</v>
      </c>
      <c r="O735" s="4">
        <v>0.53886000000000001</v>
      </c>
    </row>
    <row r="736" spans="2:15">
      <c r="B736" t="s">
        <v>330</v>
      </c>
      <c r="C736" t="s">
        <v>50</v>
      </c>
      <c r="D736" t="s">
        <v>567</v>
      </c>
      <c r="E736" t="s">
        <v>568</v>
      </c>
      <c r="F736" t="s">
        <v>29</v>
      </c>
      <c r="G736" t="s">
        <v>573</v>
      </c>
      <c r="H736" t="s">
        <v>574</v>
      </c>
      <c r="I736" t="s">
        <v>30</v>
      </c>
      <c r="J736">
        <v>9921249</v>
      </c>
      <c r="K736">
        <v>80088</v>
      </c>
      <c r="L736" s="4">
        <v>0.12</v>
      </c>
      <c r="M736">
        <v>7.0000000000000007E-2</v>
      </c>
      <c r="N736" s="4">
        <v>1190.5498799999998</v>
      </c>
      <c r="O736" s="4">
        <v>694.48743000000002</v>
      </c>
    </row>
    <row r="737" spans="2:15">
      <c r="B737" t="s">
        <v>330</v>
      </c>
      <c r="C737" t="s">
        <v>50</v>
      </c>
      <c r="D737" t="s">
        <v>567</v>
      </c>
      <c r="E737" t="s">
        <v>568</v>
      </c>
      <c r="F737" t="s">
        <v>29</v>
      </c>
      <c r="G737" t="s">
        <v>575</v>
      </c>
      <c r="H737" t="s">
        <v>576</v>
      </c>
      <c r="I737" t="s">
        <v>30</v>
      </c>
      <c r="J737">
        <v>343425</v>
      </c>
      <c r="K737">
        <v>1230</v>
      </c>
      <c r="L737" s="4">
        <v>0.12</v>
      </c>
      <c r="M737">
        <v>7.0000000000000007E-2</v>
      </c>
      <c r="N737" s="4">
        <v>41.210999999999999</v>
      </c>
      <c r="O737" s="4">
        <v>24.039750000000005</v>
      </c>
    </row>
    <row r="738" spans="2:15">
      <c r="B738" t="s">
        <v>330</v>
      </c>
      <c r="C738" t="s">
        <v>50</v>
      </c>
      <c r="D738" t="s">
        <v>567</v>
      </c>
      <c r="E738" t="s">
        <v>568</v>
      </c>
      <c r="F738" t="s">
        <v>29</v>
      </c>
      <c r="G738" t="s">
        <v>577</v>
      </c>
      <c r="H738" t="s">
        <v>578</v>
      </c>
      <c r="I738" t="s">
        <v>30</v>
      </c>
      <c r="J738">
        <v>1763498</v>
      </c>
      <c r="K738">
        <v>3768</v>
      </c>
      <c r="L738" s="4">
        <v>0.12</v>
      </c>
      <c r="M738">
        <v>7.0000000000000007E-2</v>
      </c>
      <c r="N738" s="4">
        <v>211.61975999999999</v>
      </c>
      <c r="O738" s="4">
        <v>123.44486000000002</v>
      </c>
    </row>
    <row r="739" spans="2:15">
      <c r="B739" t="s">
        <v>330</v>
      </c>
      <c r="C739" t="s">
        <v>50</v>
      </c>
      <c r="D739" t="s">
        <v>579</v>
      </c>
      <c r="E739" t="s">
        <v>580</v>
      </c>
      <c r="F739" t="s">
        <v>11</v>
      </c>
      <c r="G739" t="s">
        <v>459</v>
      </c>
      <c r="H739" t="s">
        <v>460</v>
      </c>
      <c r="I739" t="s">
        <v>31</v>
      </c>
      <c r="J739">
        <v>23406</v>
      </c>
      <c r="K739">
        <v>49</v>
      </c>
      <c r="L739" s="4">
        <v>0.04</v>
      </c>
      <c r="M739">
        <v>0.09</v>
      </c>
      <c r="N739" s="4">
        <v>0.93623999999999996</v>
      </c>
      <c r="O739" s="4">
        <v>2.1065399999999999</v>
      </c>
    </row>
    <row r="740" spans="2:15">
      <c r="B740" t="s">
        <v>330</v>
      </c>
      <c r="C740" t="s">
        <v>50</v>
      </c>
      <c r="D740" t="s">
        <v>579</v>
      </c>
      <c r="E740" t="s">
        <v>580</v>
      </c>
      <c r="F740" t="s">
        <v>29</v>
      </c>
      <c r="G740" t="s">
        <v>581</v>
      </c>
      <c r="H740" t="s">
        <v>582</v>
      </c>
      <c r="I740" t="s">
        <v>30</v>
      </c>
      <c r="J740">
        <v>8664</v>
      </c>
      <c r="K740">
        <v>11</v>
      </c>
      <c r="L740" s="4">
        <v>0.12</v>
      </c>
      <c r="M740">
        <v>7.0000000000000007E-2</v>
      </c>
      <c r="N740" s="4">
        <v>1.0396800000000002</v>
      </c>
      <c r="O740" s="4">
        <v>0.60648000000000002</v>
      </c>
    </row>
    <row r="741" spans="2:15">
      <c r="B741" t="s">
        <v>330</v>
      </c>
      <c r="C741" t="s">
        <v>50</v>
      </c>
      <c r="D741" t="s">
        <v>579</v>
      </c>
      <c r="E741" t="s">
        <v>580</v>
      </c>
      <c r="F741" t="s">
        <v>29</v>
      </c>
      <c r="G741" t="s">
        <v>583</v>
      </c>
      <c r="H741" t="s">
        <v>584</v>
      </c>
      <c r="I741" t="s">
        <v>30</v>
      </c>
      <c r="J741">
        <v>2604</v>
      </c>
      <c r="K741">
        <v>4</v>
      </c>
      <c r="L741" s="4">
        <v>0.12</v>
      </c>
      <c r="M741">
        <v>7.0000000000000007E-2</v>
      </c>
      <c r="N741" s="4">
        <v>0.31247999999999998</v>
      </c>
      <c r="O741" s="4">
        <v>0.18228000000000003</v>
      </c>
    </row>
    <row r="742" spans="2:15">
      <c r="B742" t="s">
        <v>330</v>
      </c>
      <c r="C742" t="s">
        <v>50</v>
      </c>
      <c r="D742" t="s">
        <v>579</v>
      </c>
      <c r="E742" t="s">
        <v>580</v>
      </c>
      <c r="F742" t="s">
        <v>29</v>
      </c>
      <c r="G742" t="s">
        <v>585</v>
      </c>
      <c r="H742" t="s">
        <v>586</v>
      </c>
      <c r="I742" t="s">
        <v>30</v>
      </c>
      <c r="J742">
        <v>1967406</v>
      </c>
      <c r="K742">
        <v>5459</v>
      </c>
      <c r="L742" s="4">
        <v>0.12</v>
      </c>
      <c r="M742">
        <v>7.0000000000000007E-2</v>
      </c>
      <c r="N742" s="4">
        <v>236.08872</v>
      </c>
      <c r="O742" s="4">
        <v>137.71842000000001</v>
      </c>
    </row>
    <row r="743" spans="2:15">
      <c r="B743" t="s">
        <v>330</v>
      </c>
      <c r="C743" t="s">
        <v>50</v>
      </c>
      <c r="D743" t="s">
        <v>579</v>
      </c>
      <c r="E743" t="s">
        <v>580</v>
      </c>
      <c r="F743" t="s">
        <v>29</v>
      </c>
      <c r="G743" t="s">
        <v>587</v>
      </c>
      <c r="H743" t="s">
        <v>588</v>
      </c>
      <c r="I743" t="s">
        <v>30</v>
      </c>
      <c r="J743">
        <v>176730</v>
      </c>
      <c r="K743">
        <v>342</v>
      </c>
      <c r="L743" s="4">
        <v>0.12</v>
      </c>
      <c r="M743">
        <v>7.0000000000000007E-2</v>
      </c>
      <c r="N743" s="4">
        <v>21.207599999999999</v>
      </c>
      <c r="O743" s="4">
        <v>12.3711</v>
      </c>
    </row>
    <row r="744" spans="2:15">
      <c r="B744" t="s">
        <v>330</v>
      </c>
      <c r="C744" t="s">
        <v>50</v>
      </c>
      <c r="D744" t="s">
        <v>579</v>
      </c>
      <c r="E744" t="s">
        <v>580</v>
      </c>
      <c r="F744" t="s">
        <v>29</v>
      </c>
      <c r="G744" t="s">
        <v>589</v>
      </c>
      <c r="H744" t="s">
        <v>590</v>
      </c>
      <c r="I744" t="s">
        <v>30</v>
      </c>
      <c r="J744">
        <v>840710</v>
      </c>
      <c r="K744">
        <v>897</v>
      </c>
      <c r="L744" s="4">
        <v>0.12</v>
      </c>
      <c r="M744">
        <v>7.0000000000000007E-2</v>
      </c>
      <c r="N744" s="4">
        <v>100.8852</v>
      </c>
      <c r="O744" s="4">
        <v>58.849700000000006</v>
      </c>
    </row>
    <row r="745" spans="2:15">
      <c r="B745" t="s">
        <v>330</v>
      </c>
      <c r="C745" t="s">
        <v>50</v>
      </c>
      <c r="D745" t="s">
        <v>591</v>
      </c>
      <c r="E745" t="s">
        <v>592</v>
      </c>
      <c r="F745" t="s">
        <v>11</v>
      </c>
      <c r="G745" t="s">
        <v>333</v>
      </c>
      <c r="H745" t="s">
        <v>334</v>
      </c>
      <c r="I745" t="s">
        <v>31</v>
      </c>
      <c r="J745">
        <v>6761</v>
      </c>
      <c r="K745">
        <v>6</v>
      </c>
      <c r="L745" s="4">
        <v>0.04</v>
      </c>
      <c r="M745">
        <v>0.09</v>
      </c>
      <c r="N745" s="4">
        <v>0.27044000000000001</v>
      </c>
      <c r="O745" s="4">
        <v>0.60848999999999998</v>
      </c>
    </row>
    <row r="746" spans="2:15">
      <c r="B746" t="s">
        <v>330</v>
      </c>
      <c r="C746" t="s">
        <v>50</v>
      </c>
      <c r="D746" t="s">
        <v>591</v>
      </c>
      <c r="E746" t="s">
        <v>592</v>
      </c>
      <c r="F746" t="s">
        <v>29</v>
      </c>
      <c r="G746" t="s">
        <v>593</v>
      </c>
      <c r="H746" t="s">
        <v>594</v>
      </c>
      <c r="I746" t="s">
        <v>30</v>
      </c>
      <c r="J746">
        <v>1332</v>
      </c>
      <c r="K746">
        <v>3</v>
      </c>
      <c r="L746" s="4">
        <v>0.12</v>
      </c>
      <c r="M746">
        <v>7.0000000000000007E-2</v>
      </c>
      <c r="N746" s="4">
        <v>0.15984000000000001</v>
      </c>
      <c r="O746" s="4">
        <v>9.3240000000000003E-2</v>
      </c>
    </row>
    <row r="747" spans="2:15">
      <c r="B747" t="s">
        <v>330</v>
      </c>
      <c r="C747" t="s">
        <v>50</v>
      </c>
      <c r="D747" t="s">
        <v>591</v>
      </c>
      <c r="E747" t="s">
        <v>592</v>
      </c>
      <c r="F747" t="s">
        <v>29</v>
      </c>
      <c r="G747" t="s">
        <v>595</v>
      </c>
      <c r="H747" t="s">
        <v>596</v>
      </c>
      <c r="I747" t="s">
        <v>30</v>
      </c>
      <c r="J747">
        <v>454</v>
      </c>
      <c r="K747">
        <v>0</v>
      </c>
      <c r="L747" s="4">
        <v>0.12</v>
      </c>
      <c r="M747">
        <v>7.0000000000000007E-2</v>
      </c>
      <c r="N747" s="4">
        <v>5.4479999999999994E-2</v>
      </c>
      <c r="O747" s="4">
        <v>3.1780000000000003E-2</v>
      </c>
    </row>
    <row r="748" spans="2:15">
      <c r="B748" t="s">
        <v>330</v>
      </c>
      <c r="C748" t="s">
        <v>50</v>
      </c>
      <c r="D748" t="s">
        <v>591</v>
      </c>
      <c r="E748" t="s">
        <v>592</v>
      </c>
      <c r="F748" t="s">
        <v>29</v>
      </c>
      <c r="G748" t="s">
        <v>597</v>
      </c>
      <c r="H748" t="s">
        <v>598</v>
      </c>
      <c r="I748" t="s">
        <v>30</v>
      </c>
      <c r="J748">
        <v>803148</v>
      </c>
      <c r="K748">
        <v>824</v>
      </c>
      <c r="L748" s="4">
        <v>0.12</v>
      </c>
      <c r="M748">
        <v>7.0000000000000007E-2</v>
      </c>
      <c r="N748" s="4">
        <v>96.377759999999995</v>
      </c>
      <c r="O748" s="4">
        <v>56.220360000000007</v>
      </c>
    </row>
    <row r="749" spans="2:15">
      <c r="B749" t="s">
        <v>330</v>
      </c>
      <c r="C749" t="s">
        <v>50</v>
      </c>
      <c r="D749" t="s">
        <v>591</v>
      </c>
      <c r="E749" t="s">
        <v>592</v>
      </c>
      <c r="F749" t="s">
        <v>29</v>
      </c>
      <c r="G749" t="s">
        <v>599</v>
      </c>
      <c r="H749" t="s">
        <v>600</v>
      </c>
      <c r="I749" t="s">
        <v>30</v>
      </c>
      <c r="J749">
        <v>33842</v>
      </c>
      <c r="K749">
        <v>39</v>
      </c>
      <c r="L749" s="4">
        <v>0.12</v>
      </c>
      <c r="M749">
        <v>7.0000000000000007E-2</v>
      </c>
      <c r="N749" s="4">
        <v>4.0610400000000002</v>
      </c>
      <c r="O749" s="4">
        <v>2.3689400000000003</v>
      </c>
    </row>
    <row r="750" spans="2:15">
      <c r="B750" t="s">
        <v>330</v>
      </c>
      <c r="C750" t="s">
        <v>50</v>
      </c>
      <c r="D750" t="s">
        <v>591</v>
      </c>
      <c r="E750" t="s">
        <v>592</v>
      </c>
      <c r="F750" t="s">
        <v>29</v>
      </c>
      <c r="G750" t="s">
        <v>601</v>
      </c>
      <c r="H750" t="s">
        <v>602</v>
      </c>
      <c r="I750" t="s">
        <v>30</v>
      </c>
      <c r="J750">
        <v>164775</v>
      </c>
      <c r="K750">
        <v>110</v>
      </c>
      <c r="L750" s="4">
        <v>0.12</v>
      </c>
      <c r="M750">
        <v>7.0000000000000007E-2</v>
      </c>
      <c r="N750" s="4">
        <v>19.773</v>
      </c>
      <c r="O750" s="4">
        <v>11.534250000000002</v>
      </c>
    </row>
    <row r="751" spans="2:15">
      <c r="B751" t="s">
        <v>330</v>
      </c>
      <c r="C751" t="s">
        <v>50</v>
      </c>
      <c r="D751" t="s">
        <v>603</v>
      </c>
      <c r="E751" t="s">
        <v>604</v>
      </c>
      <c r="F751" t="s">
        <v>11</v>
      </c>
      <c r="G751" t="s">
        <v>349</v>
      </c>
      <c r="H751" t="s">
        <v>350</v>
      </c>
      <c r="I751" t="s">
        <v>31</v>
      </c>
      <c r="J751">
        <v>7740</v>
      </c>
      <c r="K751">
        <v>15</v>
      </c>
      <c r="L751" s="4">
        <v>0.04</v>
      </c>
      <c r="M751">
        <v>0.09</v>
      </c>
      <c r="N751" s="4">
        <v>0.30960000000000004</v>
      </c>
      <c r="O751" s="4">
        <v>0.6966</v>
      </c>
    </row>
    <row r="752" spans="2:15">
      <c r="B752" t="s">
        <v>330</v>
      </c>
      <c r="C752" t="s">
        <v>50</v>
      </c>
      <c r="D752" t="s">
        <v>603</v>
      </c>
      <c r="E752" t="s">
        <v>604</v>
      </c>
      <c r="F752" t="s">
        <v>29</v>
      </c>
      <c r="G752" t="s">
        <v>605</v>
      </c>
      <c r="H752" t="s">
        <v>606</v>
      </c>
      <c r="I752" t="s">
        <v>30</v>
      </c>
      <c r="J752">
        <v>6316</v>
      </c>
      <c r="K752">
        <v>13</v>
      </c>
      <c r="L752" s="4">
        <v>0.12</v>
      </c>
      <c r="M752">
        <v>7.0000000000000007E-2</v>
      </c>
      <c r="N752" s="4">
        <v>0.75791999999999993</v>
      </c>
      <c r="O752" s="4">
        <v>0.44212000000000007</v>
      </c>
    </row>
    <row r="753" spans="2:15">
      <c r="B753" t="s">
        <v>330</v>
      </c>
      <c r="C753" t="s">
        <v>50</v>
      </c>
      <c r="D753" t="s">
        <v>603</v>
      </c>
      <c r="E753" t="s">
        <v>604</v>
      </c>
      <c r="F753" t="s">
        <v>29</v>
      </c>
      <c r="G753" t="s">
        <v>607</v>
      </c>
      <c r="H753" t="s">
        <v>608</v>
      </c>
      <c r="I753" t="s">
        <v>30</v>
      </c>
      <c r="J753">
        <v>1695</v>
      </c>
      <c r="K753">
        <v>13</v>
      </c>
      <c r="L753" s="4">
        <v>0.12</v>
      </c>
      <c r="M753">
        <v>7.0000000000000007E-2</v>
      </c>
      <c r="N753" s="4">
        <v>0.2034</v>
      </c>
      <c r="O753" s="4">
        <v>0.11865000000000001</v>
      </c>
    </row>
    <row r="754" spans="2:15">
      <c r="B754" t="s">
        <v>330</v>
      </c>
      <c r="C754" t="s">
        <v>50</v>
      </c>
      <c r="D754" t="s">
        <v>603</v>
      </c>
      <c r="E754" t="s">
        <v>604</v>
      </c>
      <c r="F754" t="s">
        <v>29</v>
      </c>
      <c r="G754" t="s">
        <v>609</v>
      </c>
      <c r="H754" t="s">
        <v>610</v>
      </c>
      <c r="I754" t="s">
        <v>30</v>
      </c>
      <c r="J754">
        <v>1024035</v>
      </c>
      <c r="K754">
        <v>1649</v>
      </c>
      <c r="L754" s="4">
        <v>0.12</v>
      </c>
      <c r="M754">
        <v>7.0000000000000007E-2</v>
      </c>
      <c r="N754" s="4">
        <v>122.88419999999999</v>
      </c>
      <c r="O754" s="4">
        <v>71.682450000000017</v>
      </c>
    </row>
    <row r="755" spans="2:15">
      <c r="B755" t="s">
        <v>330</v>
      </c>
      <c r="C755" t="s">
        <v>50</v>
      </c>
      <c r="D755" t="s">
        <v>603</v>
      </c>
      <c r="E755" t="s">
        <v>604</v>
      </c>
      <c r="F755" t="s">
        <v>29</v>
      </c>
      <c r="G755" t="s">
        <v>611</v>
      </c>
      <c r="H755" t="s">
        <v>612</v>
      </c>
      <c r="I755" t="s">
        <v>30</v>
      </c>
      <c r="J755">
        <v>71242</v>
      </c>
      <c r="K755">
        <v>157</v>
      </c>
      <c r="L755" s="4">
        <v>0.12</v>
      </c>
      <c r="M755">
        <v>7.0000000000000007E-2</v>
      </c>
      <c r="N755" s="4">
        <v>8.5490399999999998</v>
      </c>
      <c r="O755" s="4">
        <v>4.9869400000000006</v>
      </c>
    </row>
    <row r="756" spans="2:15">
      <c r="B756" t="s">
        <v>330</v>
      </c>
      <c r="C756" t="s">
        <v>50</v>
      </c>
      <c r="D756" t="s">
        <v>603</v>
      </c>
      <c r="E756" t="s">
        <v>604</v>
      </c>
      <c r="F756" t="s">
        <v>29</v>
      </c>
      <c r="G756" t="s">
        <v>613</v>
      </c>
      <c r="H756" t="s">
        <v>614</v>
      </c>
      <c r="I756" t="s">
        <v>30</v>
      </c>
      <c r="J756">
        <v>268361</v>
      </c>
      <c r="K756">
        <v>376</v>
      </c>
      <c r="L756" s="4">
        <v>0.12</v>
      </c>
      <c r="M756">
        <v>7.0000000000000007E-2</v>
      </c>
      <c r="N756" s="4">
        <v>32.203319999999998</v>
      </c>
      <c r="O756" s="4">
        <v>18.785270000000001</v>
      </c>
    </row>
    <row r="757" spans="2:15">
      <c r="B757" t="s">
        <v>330</v>
      </c>
      <c r="C757" t="s">
        <v>50</v>
      </c>
      <c r="D757" t="s">
        <v>615</v>
      </c>
      <c r="E757" t="s">
        <v>616</v>
      </c>
      <c r="F757" t="s">
        <v>11</v>
      </c>
      <c r="G757" t="s">
        <v>363</v>
      </c>
      <c r="H757" t="s">
        <v>364</v>
      </c>
      <c r="I757" t="s">
        <v>31</v>
      </c>
      <c r="J757">
        <v>20497</v>
      </c>
      <c r="K757">
        <v>11</v>
      </c>
      <c r="L757" s="4">
        <v>0.04</v>
      </c>
      <c r="M757">
        <v>0.09</v>
      </c>
      <c r="N757" s="4">
        <v>0.81987999999999994</v>
      </c>
      <c r="O757" s="4">
        <v>1.84473</v>
      </c>
    </row>
    <row r="758" spans="2:15">
      <c r="B758" t="s">
        <v>330</v>
      </c>
      <c r="C758" t="s">
        <v>50</v>
      </c>
      <c r="D758" t="s">
        <v>615</v>
      </c>
      <c r="E758" t="s">
        <v>616</v>
      </c>
      <c r="F758" t="s">
        <v>29</v>
      </c>
      <c r="G758" t="s">
        <v>617</v>
      </c>
      <c r="H758" t="s">
        <v>618</v>
      </c>
      <c r="I758" t="s">
        <v>30</v>
      </c>
      <c r="J758">
        <v>3399</v>
      </c>
      <c r="K758">
        <v>8</v>
      </c>
      <c r="L758" s="4">
        <v>0.12</v>
      </c>
      <c r="M758">
        <v>7.0000000000000007E-2</v>
      </c>
      <c r="N758" s="4">
        <v>0.40788000000000002</v>
      </c>
      <c r="O758" s="4">
        <v>0.23793000000000003</v>
      </c>
    </row>
    <row r="759" spans="2:15">
      <c r="B759" t="s">
        <v>330</v>
      </c>
      <c r="C759" t="s">
        <v>50</v>
      </c>
      <c r="D759" t="s">
        <v>615</v>
      </c>
      <c r="E759" t="s">
        <v>616</v>
      </c>
      <c r="F759" t="s">
        <v>29</v>
      </c>
      <c r="G759" t="s">
        <v>619</v>
      </c>
      <c r="H759" t="s">
        <v>620</v>
      </c>
      <c r="I759" t="s">
        <v>30</v>
      </c>
      <c r="J759">
        <v>2896</v>
      </c>
      <c r="K759">
        <v>9</v>
      </c>
      <c r="L759" s="4">
        <v>0.12</v>
      </c>
      <c r="M759">
        <v>7.0000000000000007E-2</v>
      </c>
      <c r="N759" s="4">
        <v>0.34752</v>
      </c>
      <c r="O759" s="4">
        <v>0.20272000000000004</v>
      </c>
    </row>
    <row r="760" spans="2:15">
      <c r="B760" t="s">
        <v>330</v>
      </c>
      <c r="C760" t="s">
        <v>50</v>
      </c>
      <c r="D760" t="s">
        <v>615</v>
      </c>
      <c r="E760" t="s">
        <v>616</v>
      </c>
      <c r="F760" t="s">
        <v>29</v>
      </c>
      <c r="G760" t="s">
        <v>621</v>
      </c>
      <c r="H760" t="s">
        <v>622</v>
      </c>
      <c r="I760" t="s">
        <v>30</v>
      </c>
      <c r="J760">
        <v>7275666</v>
      </c>
      <c r="K760">
        <v>5551</v>
      </c>
      <c r="L760" s="4">
        <v>0.12</v>
      </c>
      <c r="M760">
        <v>7.0000000000000007E-2</v>
      </c>
      <c r="N760" s="4">
        <v>873.0799199999999</v>
      </c>
      <c r="O760" s="4">
        <v>509.29662000000008</v>
      </c>
    </row>
    <row r="761" spans="2:15">
      <c r="B761" t="s">
        <v>330</v>
      </c>
      <c r="C761" t="s">
        <v>50</v>
      </c>
      <c r="D761" t="s">
        <v>615</v>
      </c>
      <c r="E761" t="s">
        <v>616</v>
      </c>
      <c r="F761" t="s">
        <v>29</v>
      </c>
      <c r="G761" t="s">
        <v>623</v>
      </c>
      <c r="H761" t="s">
        <v>624</v>
      </c>
      <c r="I761" t="s">
        <v>30</v>
      </c>
      <c r="J761">
        <v>60191</v>
      </c>
      <c r="K761">
        <v>219</v>
      </c>
      <c r="L761" s="4">
        <v>0.12</v>
      </c>
      <c r="M761">
        <v>7.0000000000000007E-2</v>
      </c>
      <c r="N761" s="4">
        <v>7.2229200000000002</v>
      </c>
      <c r="O761" s="4">
        <v>4.2133700000000012</v>
      </c>
    </row>
    <row r="762" spans="2:15">
      <c r="B762" t="s">
        <v>330</v>
      </c>
      <c r="C762" t="s">
        <v>50</v>
      </c>
      <c r="D762" t="s">
        <v>615</v>
      </c>
      <c r="E762" t="s">
        <v>616</v>
      </c>
      <c r="F762" t="s">
        <v>29</v>
      </c>
      <c r="G762" t="s">
        <v>625</v>
      </c>
      <c r="H762" t="s">
        <v>626</v>
      </c>
      <c r="I762" t="s">
        <v>30</v>
      </c>
      <c r="J762">
        <v>376954</v>
      </c>
      <c r="K762">
        <v>641</v>
      </c>
      <c r="L762" s="4">
        <v>0.12</v>
      </c>
      <c r="M762">
        <v>7.0000000000000007E-2</v>
      </c>
      <c r="N762" s="4">
        <v>45.234479999999998</v>
      </c>
      <c r="O762" s="4">
        <v>26.386780000000002</v>
      </c>
    </row>
    <row r="763" spans="2:15">
      <c r="B763" t="s">
        <v>330</v>
      </c>
      <c r="C763" t="s">
        <v>50</v>
      </c>
      <c r="D763" t="s">
        <v>627</v>
      </c>
      <c r="E763" t="s">
        <v>628</v>
      </c>
      <c r="F763" t="s">
        <v>11</v>
      </c>
      <c r="G763" t="s">
        <v>117</v>
      </c>
      <c r="H763" t="s">
        <v>377</v>
      </c>
      <c r="I763" t="s">
        <v>31</v>
      </c>
      <c r="J763">
        <v>51753</v>
      </c>
      <c r="K763">
        <v>130</v>
      </c>
      <c r="L763" s="4">
        <v>0.04</v>
      </c>
      <c r="M763">
        <v>0.09</v>
      </c>
      <c r="N763" s="4">
        <v>2.0701199999999997</v>
      </c>
      <c r="O763" s="4">
        <v>4.6577699999999993</v>
      </c>
    </row>
    <row r="764" spans="2:15">
      <c r="B764" t="s">
        <v>330</v>
      </c>
      <c r="C764" t="s">
        <v>50</v>
      </c>
      <c r="D764" t="s">
        <v>627</v>
      </c>
      <c r="E764" t="s">
        <v>628</v>
      </c>
      <c r="F764" t="s">
        <v>29</v>
      </c>
      <c r="G764" t="s">
        <v>629</v>
      </c>
      <c r="H764" t="s">
        <v>630</v>
      </c>
      <c r="I764" t="s">
        <v>30</v>
      </c>
      <c r="J764">
        <v>11781</v>
      </c>
      <c r="K764">
        <v>26</v>
      </c>
      <c r="L764" s="4">
        <v>0.12</v>
      </c>
      <c r="M764">
        <v>7.0000000000000007E-2</v>
      </c>
      <c r="N764" s="4">
        <v>1.4137200000000001</v>
      </c>
      <c r="O764" s="4">
        <v>0.82467000000000013</v>
      </c>
    </row>
    <row r="765" spans="2:15">
      <c r="B765" t="s">
        <v>330</v>
      </c>
      <c r="C765" t="s">
        <v>50</v>
      </c>
      <c r="D765" t="s">
        <v>627</v>
      </c>
      <c r="E765" t="s">
        <v>628</v>
      </c>
      <c r="F765" t="s">
        <v>29</v>
      </c>
      <c r="G765" t="s">
        <v>631</v>
      </c>
      <c r="H765" t="s">
        <v>632</v>
      </c>
      <c r="I765" t="s">
        <v>30</v>
      </c>
      <c r="J765">
        <v>8916</v>
      </c>
      <c r="K765">
        <v>30</v>
      </c>
      <c r="L765" s="4">
        <v>0.12</v>
      </c>
      <c r="M765">
        <v>7.0000000000000007E-2</v>
      </c>
      <c r="N765" s="4">
        <v>1.06992</v>
      </c>
      <c r="O765" s="4">
        <v>0.62412000000000001</v>
      </c>
    </row>
    <row r="766" spans="2:15">
      <c r="B766" t="s">
        <v>330</v>
      </c>
      <c r="C766" t="s">
        <v>50</v>
      </c>
      <c r="D766" t="s">
        <v>627</v>
      </c>
      <c r="E766" t="s">
        <v>628</v>
      </c>
      <c r="F766" t="s">
        <v>29</v>
      </c>
      <c r="G766" t="s">
        <v>633</v>
      </c>
      <c r="H766" t="s">
        <v>634</v>
      </c>
      <c r="I766" t="s">
        <v>30</v>
      </c>
      <c r="J766">
        <v>29119253</v>
      </c>
      <c r="K766">
        <v>163276</v>
      </c>
      <c r="L766" s="4">
        <v>0.12</v>
      </c>
      <c r="M766">
        <v>7.0000000000000007E-2</v>
      </c>
      <c r="N766" s="4">
        <v>3494.3103599999999</v>
      </c>
      <c r="O766" s="4">
        <v>2038.3477100000002</v>
      </c>
    </row>
    <row r="767" spans="2:15">
      <c r="B767" t="s">
        <v>330</v>
      </c>
      <c r="C767" t="s">
        <v>50</v>
      </c>
      <c r="D767" t="s">
        <v>627</v>
      </c>
      <c r="E767" t="s">
        <v>628</v>
      </c>
      <c r="F767" t="s">
        <v>29</v>
      </c>
      <c r="G767" t="s">
        <v>635</v>
      </c>
      <c r="H767" t="s">
        <v>636</v>
      </c>
      <c r="I767" t="s">
        <v>30</v>
      </c>
      <c r="J767">
        <v>125589</v>
      </c>
      <c r="K767">
        <v>440</v>
      </c>
      <c r="L767" s="4">
        <v>0.12</v>
      </c>
      <c r="M767">
        <v>7.0000000000000007E-2</v>
      </c>
      <c r="N767" s="4">
        <v>15.070679999999999</v>
      </c>
      <c r="O767" s="4">
        <v>8.7912300000000005</v>
      </c>
    </row>
    <row r="768" spans="2:15">
      <c r="B768" t="s">
        <v>330</v>
      </c>
      <c r="C768" t="s">
        <v>50</v>
      </c>
      <c r="D768" t="s">
        <v>627</v>
      </c>
      <c r="E768" t="s">
        <v>628</v>
      </c>
      <c r="F768" t="s">
        <v>29</v>
      </c>
      <c r="G768" t="s">
        <v>637</v>
      </c>
      <c r="H768" t="s">
        <v>638</v>
      </c>
      <c r="I768" t="s">
        <v>30</v>
      </c>
      <c r="J768">
        <v>776985</v>
      </c>
      <c r="K768">
        <v>1569</v>
      </c>
      <c r="L768" s="4">
        <v>0.12</v>
      </c>
      <c r="M768">
        <v>7.0000000000000007E-2</v>
      </c>
      <c r="N768" s="4">
        <v>93.238199999999992</v>
      </c>
      <c r="O768" s="4">
        <v>54.388950000000001</v>
      </c>
    </row>
    <row r="769" spans="2:15">
      <c r="B769" t="s">
        <v>330</v>
      </c>
      <c r="C769" t="s">
        <v>50</v>
      </c>
      <c r="D769" t="s">
        <v>639</v>
      </c>
      <c r="E769" t="s">
        <v>640</v>
      </c>
      <c r="F769" t="s">
        <v>11</v>
      </c>
      <c r="G769" t="s">
        <v>390</v>
      </c>
      <c r="H769" t="s">
        <v>391</v>
      </c>
      <c r="I769" t="s">
        <v>31</v>
      </c>
      <c r="J769">
        <v>1988</v>
      </c>
      <c r="K769">
        <v>10</v>
      </c>
      <c r="L769" s="4">
        <v>0.04</v>
      </c>
      <c r="M769">
        <v>0.09</v>
      </c>
      <c r="N769" s="4">
        <v>7.9519999999999993E-2</v>
      </c>
      <c r="O769" s="4">
        <v>0.17892</v>
      </c>
    </row>
    <row r="770" spans="2:15">
      <c r="B770" t="s">
        <v>330</v>
      </c>
      <c r="C770" t="s">
        <v>50</v>
      </c>
      <c r="D770" t="s">
        <v>639</v>
      </c>
      <c r="E770" t="s">
        <v>640</v>
      </c>
      <c r="F770" t="s">
        <v>29</v>
      </c>
      <c r="G770" t="s">
        <v>641</v>
      </c>
      <c r="H770" t="s">
        <v>642</v>
      </c>
      <c r="I770" t="s">
        <v>30</v>
      </c>
      <c r="J770">
        <v>315</v>
      </c>
      <c r="K770">
        <v>0</v>
      </c>
      <c r="L770" s="4">
        <v>0.12</v>
      </c>
      <c r="M770">
        <v>7.0000000000000007E-2</v>
      </c>
      <c r="N770" s="4">
        <v>3.78E-2</v>
      </c>
      <c r="O770" s="4">
        <v>2.205E-2</v>
      </c>
    </row>
    <row r="771" spans="2:15">
      <c r="B771" t="s">
        <v>330</v>
      </c>
      <c r="C771" t="s">
        <v>50</v>
      </c>
      <c r="D771" t="s">
        <v>639</v>
      </c>
      <c r="E771" t="s">
        <v>640</v>
      </c>
      <c r="F771" t="s">
        <v>29</v>
      </c>
      <c r="G771" t="s">
        <v>643</v>
      </c>
      <c r="H771" t="s">
        <v>644</v>
      </c>
      <c r="I771" t="s">
        <v>30</v>
      </c>
      <c r="J771">
        <v>207</v>
      </c>
      <c r="K771">
        <v>1</v>
      </c>
      <c r="L771" s="4">
        <v>0.12</v>
      </c>
      <c r="M771">
        <v>7.0000000000000007E-2</v>
      </c>
      <c r="N771" s="4">
        <v>2.4840000000000001E-2</v>
      </c>
      <c r="O771" s="4">
        <v>1.4490000000000001E-2</v>
      </c>
    </row>
    <row r="772" spans="2:15">
      <c r="B772" t="s">
        <v>330</v>
      </c>
      <c r="C772" t="s">
        <v>50</v>
      </c>
      <c r="D772" t="s">
        <v>639</v>
      </c>
      <c r="E772" t="s">
        <v>640</v>
      </c>
      <c r="F772" t="s">
        <v>29</v>
      </c>
      <c r="G772" t="s">
        <v>645</v>
      </c>
      <c r="H772" t="s">
        <v>646</v>
      </c>
      <c r="I772" t="s">
        <v>30</v>
      </c>
      <c r="J772">
        <v>155778</v>
      </c>
      <c r="K772">
        <v>1240</v>
      </c>
      <c r="L772" s="4">
        <v>0.12</v>
      </c>
      <c r="M772">
        <v>7.0000000000000007E-2</v>
      </c>
      <c r="N772" s="4">
        <v>18.693360000000002</v>
      </c>
      <c r="O772" s="4">
        <v>10.90446</v>
      </c>
    </row>
    <row r="773" spans="2:15">
      <c r="B773" t="s">
        <v>330</v>
      </c>
      <c r="C773" t="s">
        <v>50</v>
      </c>
      <c r="D773" t="s">
        <v>639</v>
      </c>
      <c r="E773" t="s">
        <v>640</v>
      </c>
      <c r="F773" t="s">
        <v>29</v>
      </c>
      <c r="G773" t="s">
        <v>647</v>
      </c>
      <c r="H773" t="s">
        <v>648</v>
      </c>
      <c r="I773" t="s">
        <v>30</v>
      </c>
      <c r="J773">
        <v>11847</v>
      </c>
      <c r="K773">
        <v>24</v>
      </c>
      <c r="L773" s="4">
        <v>0.12</v>
      </c>
      <c r="M773">
        <v>7.0000000000000007E-2</v>
      </c>
      <c r="N773" s="4">
        <v>1.4216399999999998</v>
      </c>
      <c r="O773" s="4">
        <v>0.82929000000000008</v>
      </c>
    </row>
    <row r="774" spans="2:15">
      <c r="B774" t="s">
        <v>330</v>
      </c>
      <c r="C774" t="s">
        <v>50</v>
      </c>
      <c r="D774" t="s">
        <v>639</v>
      </c>
      <c r="E774" t="s">
        <v>640</v>
      </c>
      <c r="F774" t="s">
        <v>29</v>
      </c>
      <c r="G774" t="s">
        <v>649</v>
      </c>
      <c r="H774" t="s">
        <v>650</v>
      </c>
      <c r="I774" t="s">
        <v>30</v>
      </c>
      <c r="J774">
        <v>64484</v>
      </c>
      <c r="K774">
        <v>173</v>
      </c>
      <c r="L774" s="4">
        <v>0.12</v>
      </c>
      <c r="M774">
        <v>7.0000000000000007E-2</v>
      </c>
      <c r="N774" s="4">
        <v>7.7380800000000001</v>
      </c>
      <c r="O774" s="4">
        <v>4.5138800000000003</v>
      </c>
    </row>
    <row r="775" spans="2:15">
      <c r="B775" t="s">
        <v>330</v>
      </c>
      <c r="C775" t="s">
        <v>50</v>
      </c>
      <c r="D775" t="s">
        <v>651</v>
      </c>
      <c r="E775" t="s">
        <v>652</v>
      </c>
      <c r="F775" t="s">
        <v>11</v>
      </c>
      <c r="G775" t="s">
        <v>404</v>
      </c>
      <c r="H775" t="s">
        <v>405</v>
      </c>
      <c r="I775" t="s">
        <v>31</v>
      </c>
      <c r="J775">
        <v>29117</v>
      </c>
      <c r="K775">
        <v>82</v>
      </c>
      <c r="L775" s="4">
        <v>0.04</v>
      </c>
      <c r="M775">
        <v>0.09</v>
      </c>
      <c r="N775" s="4">
        <v>1.1646800000000002</v>
      </c>
      <c r="O775" s="4">
        <v>2.6205299999999996</v>
      </c>
    </row>
    <row r="776" spans="2:15">
      <c r="B776" t="s">
        <v>330</v>
      </c>
      <c r="C776" t="s">
        <v>50</v>
      </c>
      <c r="D776" t="s">
        <v>651</v>
      </c>
      <c r="E776" t="s">
        <v>652</v>
      </c>
      <c r="F776" t="s">
        <v>29</v>
      </c>
      <c r="G776" t="s">
        <v>653</v>
      </c>
      <c r="H776" t="s">
        <v>654</v>
      </c>
      <c r="I776" t="s">
        <v>30</v>
      </c>
      <c r="J776">
        <v>3350</v>
      </c>
      <c r="K776">
        <v>9</v>
      </c>
      <c r="L776" s="4">
        <v>0.12</v>
      </c>
      <c r="M776">
        <v>7.0000000000000007E-2</v>
      </c>
      <c r="N776" s="4">
        <v>0.40200000000000002</v>
      </c>
      <c r="O776" s="4">
        <v>0.23450000000000004</v>
      </c>
    </row>
    <row r="777" spans="2:15">
      <c r="B777" t="s">
        <v>330</v>
      </c>
      <c r="C777" t="s">
        <v>50</v>
      </c>
      <c r="D777" t="s">
        <v>651</v>
      </c>
      <c r="E777" t="s">
        <v>652</v>
      </c>
      <c r="F777" t="s">
        <v>29</v>
      </c>
      <c r="G777" t="s">
        <v>655</v>
      </c>
      <c r="H777" t="s">
        <v>656</v>
      </c>
      <c r="I777" t="s">
        <v>30</v>
      </c>
      <c r="J777">
        <v>4052</v>
      </c>
      <c r="K777">
        <v>31</v>
      </c>
      <c r="L777" s="4">
        <v>0.12</v>
      </c>
      <c r="M777">
        <v>7.0000000000000007E-2</v>
      </c>
      <c r="N777" s="4">
        <v>0.48624000000000001</v>
      </c>
      <c r="O777" s="4">
        <v>0.28364000000000006</v>
      </c>
    </row>
    <row r="778" spans="2:15">
      <c r="B778" t="s">
        <v>330</v>
      </c>
      <c r="C778" t="s">
        <v>50</v>
      </c>
      <c r="D778" t="s">
        <v>651</v>
      </c>
      <c r="E778" t="s">
        <v>652</v>
      </c>
      <c r="F778" t="s">
        <v>29</v>
      </c>
      <c r="G778" t="s">
        <v>657</v>
      </c>
      <c r="H778" t="s">
        <v>658</v>
      </c>
      <c r="I778" t="s">
        <v>30</v>
      </c>
      <c r="J778">
        <v>1774903</v>
      </c>
      <c r="K778">
        <v>3702</v>
      </c>
      <c r="L778" s="4">
        <v>0.12</v>
      </c>
      <c r="M778">
        <v>7.0000000000000007E-2</v>
      </c>
      <c r="N778" s="4">
        <v>212.98836</v>
      </c>
      <c r="O778" s="4">
        <v>124.24321</v>
      </c>
    </row>
    <row r="779" spans="2:15">
      <c r="B779" t="s">
        <v>330</v>
      </c>
      <c r="C779" t="s">
        <v>50</v>
      </c>
      <c r="D779" t="s">
        <v>651</v>
      </c>
      <c r="E779" t="s">
        <v>652</v>
      </c>
      <c r="F779" t="s">
        <v>29</v>
      </c>
      <c r="G779" t="s">
        <v>659</v>
      </c>
      <c r="H779" t="s">
        <v>660</v>
      </c>
      <c r="I779" t="s">
        <v>30</v>
      </c>
      <c r="J779">
        <v>241734</v>
      </c>
      <c r="K779">
        <v>1411</v>
      </c>
      <c r="L779" s="4">
        <v>0.12</v>
      </c>
      <c r="M779">
        <v>7.0000000000000007E-2</v>
      </c>
      <c r="N779" s="4">
        <v>29.00808</v>
      </c>
      <c r="O779" s="4">
        <v>16.921380000000003</v>
      </c>
    </row>
    <row r="780" spans="2:15">
      <c r="B780" t="s">
        <v>330</v>
      </c>
      <c r="C780" t="s">
        <v>50</v>
      </c>
      <c r="D780" t="s">
        <v>651</v>
      </c>
      <c r="E780" t="s">
        <v>652</v>
      </c>
      <c r="F780" t="s">
        <v>29</v>
      </c>
      <c r="G780" t="s">
        <v>661</v>
      </c>
      <c r="H780" t="s">
        <v>662</v>
      </c>
      <c r="I780" t="s">
        <v>30</v>
      </c>
      <c r="J780">
        <v>1373547</v>
      </c>
      <c r="K780">
        <v>4053</v>
      </c>
      <c r="L780" s="4">
        <v>0.12</v>
      </c>
      <c r="M780">
        <v>7.0000000000000007E-2</v>
      </c>
      <c r="N780" s="4">
        <v>164.82563999999999</v>
      </c>
      <c r="O780" s="4">
        <v>96.148290000000003</v>
      </c>
    </row>
    <row r="781" spans="2:15">
      <c r="B781" t="s">
        <v>330</v>
      </c>
      <c r="C781" t="s">
        <v>50</v>
      </c>
      <c r="D781" t="s">
        <v>663</v>
      </c>
      <c r="E781" t="s">
        <v>664</v>
      </c>
      <c r="F781" t="s">
        <v>11</v>
      </c>
      <c r="G781" t="s">
        <v>418</v>
      </c>
      <c r="H781" t="s">
        <v>419</v>
      </c>
      <c r="I781" t="s">
        <v>31</v>
      </c>
      <c r="J781">
        <v>6151</v>
      </c>
      <c r="K781">
        <v>6</v>
      </c>
      <c r="L781" s="4">
        <v>0.04</v>
      </c>
      <c r="M781">
        <v>0.09</v>
      </c>
      <c r="N781" s="4">
        <v>0.24603999999999998</v>
      </c>
      <c r="O781" s="4">
        <v>0.55359000000000003</v>
      </c>
    </row>
    <row r="782" spans="2:15">
      <c r="B782" t="s">
        <v>330</v>
      </c>
      <c r="C782" t="s">
        <v>50</v>
      </c>
      <c r="D782" t="s">
        <v>663</v>
      </c>
      <c r="E782" t="s">
        <v>664</v>
      </c>
      <c r="F782" t="s">
        <v>29</v>
      </c>
      <c r="G782" t="s">
        <v>665</v>
      </c>
      <c r="H782" t="s">
        <v>666</v>
      </c>
      <c r="I782" t="s">
        <v>30</v>
      </c>
      <c r="J782">
        <v>1272</v>
      </c>
      <c r="K782">
        <v>5</v>
      </c>
      <c r="L782" s="4">
        <v>0.12</v>
      </c>
      <c r="M782">
        <v>7.0000000000000007E-2</v>
      </c>
      <c r="N782" s="4">
        <v>0.15264</v>
      </c>
      <c r="O782" s="4">
        <v>8.9040000000000008E-2</v>
      </c>
    </row>
    <row r="783" spans="2:15">
      <c r="B783" t="s">
        <v>330</v>
      </c>
      <c r="C783" t="s">
        <v>50</v>
      </c>
      <c r="D783" t="s">
        <v>663</v>
      </c>
      <c r="E783" t="s">
        <v>664</v>
      </c>
      <c r="F783" t="s">
        <v>29</v>
      </c>
      <c r="G783" t="s">
        <v>667</v>
      </c>
      <c r="H783" t="s">
        <v>668</v>
      </c>
      <c r="I783" t="s">
        <v>30</v>
      </c>
      <c r="J783">
        <v>599</v>
      </c>
      <c r="K783">
        <v>1</v>
      </c>
      <c r="L783" s="4">
        <v>0.12</v>
      </c>
      <c r="M783">
        <v>7.0000000000000007E-2</v>
      </c>
      <c r="N783" s="4">
        <v>7.1879999999999999E-2</v>
      </c>
      <c r="O783" s="4">
        <v>4.1930000000000009E-2</v>
      </c>
    </row>
    <row r="784" spans="2:15">
      <c r="B784" t="s">
        <v>330</v>
      </c>
      <c r="C784" t="s">
        <v>50</v>
      </c>
      <c r="D784" t="s">
        <v>663</v>
      </c>
      <c r="E784" t="s">
        <v>664</v>
      </c>
      <c r="F784" t="s">
        <v>29</v>
      </c>
      <c r="G784" t="s">
        <v>669</v>
      </c>
      <c r="H784" t="s">
        <v>670</v>
      </c>
      <c r="I784" t="s">
        <v>30</v>
      </c>
      <c r="J784">
        <v>477124</v>
      </c>
      <c r="K784">
        <v>434</v>
      </c>
      <c r="L784" s="4">
        <v>0.12</v>
      </c>
      <c r="M784">
        <v>7.0000000000000007E-2</v>
      </c>
      <c r="N784" s="4">
        <v>57.25488</v>
      </c>
      <c r="O784" s="4">
        <v>33.398679999999999</v>
      </c>
    </row>
    <row r="785" spans="2:15">
      <c r="B785" t="s">
        <v>330</v>
      </c>
      <c r="C785" t="s">
        <v>50</v>
      </c>
      <c r="D785" t="s">
        <v>663</v>
      </c>
      <c r="E785" t="s">
        <v>664</v>
      </c>
      <c r="F785" t="s">
        <v>29</v>
      </c>
      <c r="G785" t="s">
        <v>671</v>
      </c>
      <c r="H785" t="s">
        <v>672</v>
      </c>
      <c r="I785" t="s">
        <v>30</v>
      </c>
      <c r="J785">
        <v>44012</v>
      </c>
      <c r="K785">
        <v>73</v>
      </c>
      <c r="L785" s="4">
        <v>0.12</v>
      </c>
      <c r="M785">
        <v>7.0000000000000007E-2</v>
      </c>
      <c r="N785" s="4">
        <v>5.2814399999999999</v>
      </c>
      <c r="O785" s="4">
        <v>3.0808400000000002</v>
      </c>
    </row>
    <row r="786" spans="2:15">
      <c r="B786" t="s">
        <v>330</v>
      </c>
      <c r="C786" t="s">
        <v>50</v>
      </c>
      <c r="D786" t="s">
        <v>663</v>
      </c>
      <c r="E786" t="s">
        <v>664</v>
      </c>
      <c r="F786" t="s">
        <v>29</v>
      </c>
      <c r="G786" t="s">
        <v>673</v>
      </c>
      <c r="H786" t="s">
        <v>674</v>
      </c>
      <c r="I786" t="s">
        <v>30</v>
      </c>
      <c r="J786">
        <v>235980</v>
      </c>
      <c r="K786">
        <v>177</v>
      </c>
      <c r="L786" s="4">
        <v>0.12</v>
      </c>
      <c r="M786">
        <v>7.0000000000000007E-2</v>
      </c>
      <c r="N786" s="4">
        <v>28.317599999999999</v>
      </c>
      <c r="O786" s="4">
        <v>16.518600000000003</v>
      </c>
    </row>
    <row r="787" spans="2:15">
      <c r="B787" t="s">
        <v>330</v>
      </c>
      <c r="C787" t="s">
        <v>50</v>
      </c>
      <c r="D787" t="s">
        <v>675</v>
      </c>
      <c r="E787" t="s">
        <v>676</v>
      </c>
      <c r="F787" t="s">
        <v>11</v>
      </c>
      <c r="G787" t="s">
        <v>432</v>
      </c>
      <c r="H787" t="s">
        <v>433</v>
      </c>
      <c r="I787" t="s">
        <v>31</v>
      </c>
      <c r="J787">
        <v>28783</v>
      </c>
      <c r="K787">
        <v>25</v>
      </c>
      <c r="L787" s="4">
        <v>0.04</v>
      </c>
      <c r="M787">
        <v>0.09</v>
      </c>
      <c r="N787" s="4">
        <v>1.1513199999999999</v>
      </c>
      <c r="O787" s="4">
        <v>2.5904699999999998</v>
      </c>
    </row>
    <row r="788" spans="2:15">
      <c r="B788" t="s">
        <v>330</v>
      </c>
      <c r="C788" t="s">
        <v>50</v>
      </c>
      <c r="D788" t="s">
        <v>675</v>
      </c>
      <c r="E788" t="s">
        <v>676</v>
      </c>
      <c r="F788" t="s">
        <v>29</v>
      </c>
      <c r="G788" t="s">
        <v>677</v>
      </c>
      <c r="H788" t="s">
        <v>678</v>
      </c>
      <c r="I788" t="s">
        <v>30</v>
      </c>
      <c r="J788">
        <v>4981</v>
      </c>
      <c r="K788">
        <v>18</v>
      </c>
      <c r="L788" s="4">
        <v>0.12</v>
      </c>
      <c r="M788">
        <v>7.0000000000000007E-2</v>
      </c>
      <c r="N788" s="4">
        <v>0.59772000000000003</v>
      </c>
      <c r="O788" s="4">
        <v>0.34867000000000004</v>
      </c>
    </row>
    <row r="789" spans="2:15">
      <c r="B789" t="s">
        <v>330</v>
      </c>
      <c r="C789" t="s">
        <v>50</v>
      </c>
      <c r="D789" t="s">
        <v>675</v>
      </c>
      <c r="E789" t="s">
        <v>676</v>
      </c>
      <c r="F789" t="s">
        <v>29</v>
      </c>
      <c r="G789" t="s">
        <v>679</v>
      </c>
      <c r="H789" t="s">
        <v>680</v>
      </c>
      <c r="I789" t="s">
        <v>30</v>
      </c>
      <c r="J789">
        <v>3122</v>
      </c>
      <c r="K789">
        <v>30</v>
      </c>
      <c r="L789" s="4">
        <v>0.12</v>
      </c>
      <c r="M789">
        <v>7.0000000000000007E-2</v>
      </c>
      <c r="N789" s="4">
        <v>0.37463999999999997</v>
      </c>
      <c r="O789" s="4">
        <v>0.21854000000000001</v>
      </c>
    </row>
    <row r="790" spans="2:15">
      <c r="B790" t="s">
        <v>330</v>
      </c>
      <c r="C790" t="s">
        <v>50</v>
      </c>
      <c r="D790" t="s">
        <v>675</v>
      </c>
      <c r="E790" t="s">
        <v>676</v>
      </c>
      <c r="F790" t="s">
        <v>29</v>
      </c>
      <c r="G790" t="s">
        <v>681</v>
      </c>
      <c r="H790" t="s">
        <v>682</v>
      </c>
      <c r="I790" t="s">
        <v>30</v>
      </c>
      <c r="J790">
        <v>2473492</v>
      </c>
      <c r="K790">
        <v>2799</v>
      </c>
      <c r="L790" s="4">
        <v>0.12</v>
      </c>
      <c r="M790">
        <v>7.0000000000000007E-2</v>
      </c>
      <c r="N790" s="4">
        <v>296.81903999999997</v>
      </c>
      <c r="O790" s="4">
        <v>173.14444</v>
      </c>
    </row>
    <row r="791" spans="2:15">
      <c r="B791" t="s">
        <v>330</v>
      </c>
      <c r="C791" t="s">
        <v>50</v>
      </c>
      <c r="D791" t="s">
        <v>675</v>
      </c>
      <c r="E791" t="s">
        <v>676</v>
      </c>
      <c r="F791" t="s">
        <v>29</v>
      </c>
      <c r="G791" t="s">
        <v>683</v>
      </c>
      <c r="H791" t="s">
        <v>684</v>
      </c>
      <c r="I791" t="s">
        <v>30</v>
      </c>
      <c r="J791">
        <v>213964</v>
      </c>
      <c r="K791">
        <v>700</v>
      </c>
      <c r="L791" s="4">
        <v>0.12</v>
      </c>
      <c r="M791">
        <v>7.0000000000000007E-2</v>
      </c>
      <c r="N791" s="4">
        <v>25.67568</v>
      </c>
      <c r="O791" s="4">
        <v>14.977480000000002</v>
      </c>
    </row>
    <row r="792" spans="2:15">
      <c r="B792" t="s">
        <v>330</v>
      </c>
      <c r="C792" t="s">
        <v>50</v>
      </c>
      <c r="D792" t="s">
        <v>675</v>
      </c>
      <c r="E792" t="s">
        <v>676</v>
      </c>
      <c r="F792" t="s">
        <v>29</v>
      </c>
      <c r="G792" t="s">
        <v>685</v>
      </c>
      <c r="H792" t="s">
        <v>686</v>
      </c>
      <c r="I792" t="s">
        <v>30</v>
      </c>
      <c r="J792">
        <v>1002415</v>
      </c>
      <c r="K792">
        <v>1605</v>
      </c>
      <c r="L792" s="4">
        <v>0.12</v>
      </c>
      <c r="M792">
        <v>7.0000000000000007E-2</v>
      </c>
      <c r="N792" s="4">
        <v>120.28979999999999</v>
      </c>
      <c r="O792" s="4">
        <v>70.169049999999999</v>
      </c>
    </row>
    <row r="793" spans="2:15">
      <c r="B793" t="s">
        <v>330</v>
      </c>
      <c r="C793" t="s">
        <v>50</v>
      </c>
      <c r="D793" t="s">
        <v>687</v>
      </c>
      <c r="E793" t="s">
        <v>688</v>
      </c>
      <c r="F793" t="s">
        <v>11</v>
      </c>
      <c r="G793" t="s">
        <v>116</v>
      </c>
      <c r="H793" t="s">
        <v>446</v>
      </c>
      <c r="I793" t="s">
        <v>31</v>
      </c>
      <c r="J793">
        <v>97912</v>
      </c>
      <c r="K793">
        <v>194</v>
      </c>
      <c r="L793" s="4">
        <v>0.04</v>
      </c>
      <c r="M793">
        <v>0.09</v>
      </c>
      <c r="N793" s="4">
        <v>3.91648</v>
      </c>
      <c r="O793" s="4">
        <v>8.8120799999999999</v>
      </c>
    </row>
    <row r="794" spans="2:15">
      <c r="B794" t="s">
        <v>330</v>
      </c>
      <c r="C794" t="s">
        <v>50</v>
      </c>
      <c r="D794" t="s">
        <v>687</v>
      </c>
      <c r="E794" t="s">
        <v>688</v>
      </c>
      <c r="F794" t="s">
        <v>29</v>
      </c>
      <c r="G794" t="s">
        <v>689</v>
      </c>
      <c r="H794" t="s">
        <v>690</v>
      </c>
      <c r="I794" t="s">
        <v>30</v>
      </c>
      <c r="J794">
        <v>29949</v>
      </c>
      <c r="K794">
        <v>110</v>
      </c>
      <c r="L794" s="4">
        <v>0.12</v>
      </c>
      <c r="M794">
        <v>7.0000000000000007E-2</v>
      </c>
      <c r="N794" s="4">
        <v>3.5938799999999995</v>
      </c>
      <c r="O794" s="4">
        <v>2.0964300000000002</v>
      </c>
    </row>
    <row r="795" spans="2:15">
      <c r="B795" t="s">
        <v>330</v>
      </c>
      <c r="C795" t="s">
        <v>50</v>
      </c>
      <c r="D795" t="s">
        <v>687</v>
      </c>
      <c r="E795" t="s">
        <v>688</v>
      </c>
      <c r="F795" t="s">
        <v>29</v>
      </c>
      <c r="G795" t="s">
        <v>691</v>
      </c>
      <c r="H795" t="s">
        <v>692</v>
      </c>
      <c r="I795" t="s">
        <v>30</v>
      </c>
      <c r="J795">
        <v>10029</v>
      </c>
      <c r="K795">
        <v>50</v>
      </c>
      <c r="L795" s="4">
        <v>0.12</v>
      </c>
      <c r="M795">
        <v>7.0000000000000007E-2</v>
      </c>
      <c r="N795" s="4">
        <v>1.2034800000000001</v>
      </c>
      <c r="O795" s="4">
        <v>0.70203000000000004</v>
      </c>
    </row>
    <row r="796" spans="2:15">
      <c r="B796" t="s">
        <v>330</v>
      </c>
      <c r="C796" t="s">
        <v>50</v>
      </c>
      <c r="D796" t="s">
        <v>687</v>
      </c>
      <c r="E796" t="s">
        <v>688</v>
      </c>
      <c r="F796" t="s">
        <v>29</v>
      </c>
      <c r="G796" t="s">
        <v>693</v>
      </c>
      <c r="H796" t="s">
        <v>694</v>
      </c>
      <c r="I796" t="s">
        <v>30</v>
      </c>
      <c r="J796">
        <v>12201371</v>
      </c>
      <c r="K796">
        <v>46631</v>
      </c>
      <c r="L796" s="4">
        <v>0.12</v>
      </c>
      <c r="M796">
        <v>7.0000000000000007E-2</v>
      </c>
      <c r="N796" s="4">
        <v>1464.16452</v>
      </c>
      <c r="O796" s="4">
        <v>854.09597000000008</v>
      </c>
    </row>
    <row r="797" spans="2:15">
      <c r="B797" t="s">
        <v>330</v>
      </c>
      <c r="C797" t="s">
        <v>50</v>
      </c>
      <c r="D797" t="s">
        <v>687</v>
      </c>
      <c r="E797" t="s">
        <v>688</v>
      </c>
      <c r="F797" t="s">
        <v>29</v>
      </c>
      <c r="G797" t="s">
        <v>695</v>
      </c>
      <c r="H797" t="s">
        <v>696</v>
      </c>
      <c r="I797" t="s">
        <v>30</v>
      </c>
      <c r="J797">
        <v>451038</v>
      </c>
      <c r="K797">
        <v>1351</v>
      </c>
      <c r="L797" s="4">
        <v>0.12</v>
      </c>
      <c r="M797">
        <v>7.0000000000000007E-2</v>
      </c>
      <c r="N797" s="4">
        <v>54.124559999999995</v>
      </c>
      <c r="O797" s="4">
        <v>31.572660000000003</v>
      </c>
    </row>
    <row r="798" spans="2:15">
      <c r="B798" t="s">
        <v>330</v>
      </c>
      <c r="C798" t="s">
        <v>50</v>
      </c>
      <c r="D798" t="s">
        <v>687</v>
      </c>
      <c r="E798" t="s">
        <v>688</v>
      </c>
      <c r="F798" t="s">
        <v>29</v>
      </c>
      <c r="G798" t="s">
        <v>697</v>
      </c>
      <c r="H798" t="s">
        <v>698</v>
      </c>
      <c r="I798" t="s">
        <v>30</v>
      </c>
      <c r="J798">
        <v>2398344</v>
      </c>
      <c r="K798">
        <v>4275</v>
      </c>
      <c r="L798" s="4">
        <v>0.12</v>
      </c>
      <c r="M798">
        <v>7.0000000000000007E-2</v>
      </c>
      <c r="N798" s="4">
        <v>287.80127999999996</v>
      </c>
      <c r="O798" s="4">
        <v>167.88408000000001</v>
      </c>
    </row>
    <row r="799" spans="2:15">
      <c r="B799" t="s">
        <v>330</v>
      </c>
      <c r="C799" t="s">
        <v>50</v>
      </c>
      <c r="D799" t="s">
        <v>699</v>
      </c>
      <c r="E799" t="s">
        <v>700</v>
      </c>
      <c r="F799" t="s">
        <v>11</v>
      </c>
      <c r="G799" t="s">
        <v>459</v>
      </c>
      <c r="H799" t="s">
        <v>460</v>
      </c>
      <c r="I799" t="s">
        <v>31</v>
      </c>
      <c r="J799">
        <v>21574</v>
      </c>
      <c r="K799">
        <v>38</v>
      </c>
      <c r="L799" s="4">
        <v>0.04</v>
      </c>
      <c r="M799">
        <v>0.09</v>
      </c>
      <c r="N799" s="4">
        <v>0.86296000000000006</v>
      </c>
      <c r="O799" s="4">
        <v>1.9416599999999999</v>
      </c>
    </row>
    <row r="800" spans="2:15">
      <c r="B800" t="s">
        <v>330</v>
      </c>
      <c r="C800" t="s">
        <v>50</v>
      </c>
      <c r="D800" t="s">
        <v>699</v>
      </c>
      <c r="E800" t="s">
        <v>700</v>
      </c>
      <c r="F800" t="s">
        <v>29</v>
      </c>
      <c r="G800" t="s">
        <v>701</v>
      </c>
      <c r="H800" t="s">
        <v>702</v>
      </c>
      <c r="I800" t="s">
        <v>30</v>
      </c>
      <c r="J800">
        <v>6814</v>
      </c>
      <c r="K800">
        <v>12</v>
      </c>
      <c r="L800" s="4">
        <v>0.12</v>
      </c>
      <c r="M800">
        <v>7.0000000000000007E-2</v>
      </c>
      <c r="N800" s="4">
        <v>0.81767999999999996</v>
      </c>
      <c r="O800" s="4">
        <v>0.47698000000000002</v>
      </c>
    </row>
    <row r="801" spans="2:15">
      <c r="B801" t="s">
        <v>330</v>
      </c>
      <c r="C801" t="s">
        <v>50</v>
      </c>
      <c r="D801" t="s">
        <v>699</v>
      </c>
      <c r="E801" t="s">
        <v>700</v>
      </c>
      <c r="F801" t="s">
        <v>29</v>
      </c>
      <c r="G801" t="s">
        <v>703</v>
      </c>
      <c r="H801" t="s">
        <v>704</v>
      </c>
      <c r="I801" t="s">
        <v>30</v>
      </c>
      <c r="J801">
        <v>2132</v>
      </c>
      <c r="K801">
        <v>11</v>
      </c>
      <c r="L801" s="4">
        <v>0.12</v>
      </c>
      <c r="M801">
        <v>7.0000000000000007E-2</v>
      </c>
      <c r="N801" s="4">
        <v>0.25584000000000001</v>
      </c>
      <c r="O801" s="4">
        <v>0.14924000000000001</v>
      </c>
    </row>
    <row r="802" spans="2:15">
      <c r="B802" t="s">
        <v>330</v>
      </c>
      <c r="C802" t="s">
        <v>50</v>
      </c>
      <c r="D802" t="s">
        <v>699</v>
      </c>
      <c r="E802" t="s">
        <v>700</v>
      </c>
      <c r="F802" t="s">
        <v>29</v>
      </c>
      <c r="G802" t="s">
        <v>705</v>
      </c>
      <c r="H802" t="s">
        <v>706</v>
      </c>
      <c r="I802" t="s">
        <v>30</v>
      </c>
      <c r="J802">
        <v>2213927</v>
      </c>
      <c r="K802">
        <v>6818</v>
      </c>
      <c r="L802" s="4">
        <v>0.12</v>
      </c>
      <c r="M802">
        <v>7.0000000000000007E-2</v>
      </c>
      <c r="N802" s="4">
        <v>265.67124000000001</v>
      </c>
      <c r="O802" s="4">
        <v>154.97489000000002</v>
      </c>
    </row>
    <row r="803" spans="2:15">
      <c r="B803" t="s">
        <v>330</v>
      </c>
      <c r="C803" t="s">
        <v>50</v>
      </c>
      <c r="D803" t="s">
        <v>699</v>
      </c>
      <c r="E803" t="s">
        <v>700</v>
      </c>
      <c r="F803" t="s">
        <v>29</v>
      </c>
      <c r="G803" t="s">
        <v>707</v>
      </c>
      <c r="H803" t="s">
        <v>708</v>
      </c>
      <c r="I803" t="s">
        <v>30</v>
      </c>
      <c r="J803">
        <v>149730</v>
      </c>
      <c r="K803">
        <v>263</v>
      </c>
      <c r="L803" s="4">
        <v>0.12</v>
      </c>
      <c r="M803">
        <v>7.0000000000000007E-2</v>
      </c>
      <c r="N803" s="4">
        <v>17.967599999999997</v>
      </c>
      <c r="O803" s="4">
        <v>10.4811</v>
      </c>
    </row>
    <row r="804" spans="2:15">
      <c r="B804" t="s">
        <v>330</v>
      </c>
      <c r="C804" t="s">
        <v>50</v>
      </c>
      <c r="D804" t="s">
        <v>699</v>
      </c>
      <c r="E804" t="s">
        <v>700</v>
      </c>
      <c r="F804" t="s">
        <v>29</v>
      </c>
      <c r="G804" t="s">
        <v>709</v>
      </c>
      <c r="H804" t="s">
        <v>710</v>
      </c>
      <c r="I804" t="s">
        <v>30</v>
      </c>
      <c r="J804">
        <v>705673</v>
      </c>
      <c r="K804">
        <v>654</v>
      </c>
      <c r="L804" s="4">
        <v>0.12</v>
      </c>
      <c r="M804">
        <v>7.0000000000000007E-2</v>
      </c>
      <c r="N804" s="4">
        <v>84.680759999999992</v>
      </c>
      <c r="O804" s="4">
        <v>49.397110000000005</v>
      </c>
    </row>
    <row r="805" spans="2:15">
      <c r="B805" t="s">
        <v>711</v>
      </c>
      <c r="C805" t="s">
        <v>52</v>
      </c>
      <c r="D805" t="s">
        <v>2590</v>
      </c>
      <c r="E805" t="s">
        <v>2591</v>
      </c>
      <c r="F805" t="s">
        <v>10</v>
      </c>
      <c r="G805" t="s">
        <v>2590</v>
      </c>
      <c r="H805" t="s">
        <v>2592</v>
      </c>
      <c r="I805" t="s">
        <v>68</v>
      </c>
      <c r="J805">
        <v>0</v>
      </c>
      <c r="K805">
        <v>3</v>
      </c>
      <c r="L805" s="4">
        <v>3.5000000000000001E-3</v>
      </c>
      <c r="M805">
        <v>0.02</v>
      </c>
      <c r="N805" s="4">
        <v>1.0500000000000001E-2</v>
      </c>
      <c r="O805" s="4">
        <v>0.06</v>
      </c>
    </row>
    <row r="806" spans="2:15">
      <c r="B806" t="s">
        <v>711</v>
      </c>
      <c r="C806" t="s">
        <v>52</v>
      </c>
      <c r="D806" t="s">
        <v>2593</v>
      </c>
      <c r="E806" t="s">
        <v>2594</v>
      </c>
      <c r="F806" t="s">
        <v>10</v>
      </c>
      <c r="G806" t="s">
        <v>2593</v>
      </c>
      <c r="H806" t="s">
        <v>2595</v>
      </c>
      <c r="I806" t="s">
        <v>68</v>
      </c>
      <c r="J806">
        <v>0</v>
      </c>
      <c r="K806">
        <v>1</v>
      </c>
      <c r="L806" s="4">
        <v>3.5000000000000001E-3</v>
      </c>
      <c r="M806">
        <v>0.02</v>
      </c>
      <c r="N806" s="4">
        <v>3.5000000000000001E-3</v>
      </c>
      <c r="O806" s="4">
        <v>0.02</v>
      </c>
    </row>
    <row r="807" spans="2:15">
      <c r="B807" t="s">
        <v>711</v>
      </c>
      <c r="C807" t="s">
        <v>52</v>
      </c>
      <c r="D807" t="s">
        <v>2596</v>
      </c>
      <c r="E807" t="s">
        <v>2597</v>
      </c>
      <c r="F807" t="s">
        <v>10</v>
      </c>
      <c r="G807" t="s">
        <v>2596</v>
      </c>
      <c r="H807" t="s">
        <v>2598</v>
      </c>
      <c r="I807" t="s">
        <v>68</v>
      </c>
      <c r="J807">
        <v>0</v>
      </c>
      <c r="K807">
        <v>1</v>
      </c>
      <c r="L807" s="4">
        <v>3.5000000000000001E-3</v>
      </c>
      <c r="M807">
        <v>0.02</v>
      </c>
      <c r="N807" s="4">
        <v>3.5000000000000001E-3</v>
      </c>
      <c r="O807" s="4">
        <v>0.02</v>
      </c>
    </row>
    <row r="808" spans="2:15">
      <c r="B808" t="s">
        <v>711</v>
      </c>
      <c r="C808" t="s">
        <v>52</v>
      </c>
      <c r="D808" t="s">
        <v>2599</v>
      </c>
      <c r="E808" t="s">
        <v>2600</v>
      </c>
      <c r="F808" t="s">
        <v>10</v>
      </c>
      <c r="G808" t="s">
        <v>2599</v>
      </c>
      <c r="H808" t="s">
        <v>2601</v>
      </c>
      <c r="I808" t="s">
        <v>68</v>
      </c>
      <c r="J808">
        <v>0</v>
      </c>
      <c r="K808">
        <v>1</v>
      </c>
      <c r="L808" s="4">
        <v>3.5000000000000001E-3</v>
      </c>
      <c r="M808">
        <v>0.02</v>
      </c>
      <c r="N808" s="4">
        <v>3.5000000000000001E-3</v>
      </c>
      <c r="O808" s="4">
        <v>0.02</v>
      </c>
    </row>
    <row r="809" spans="2:15">
      <c r="B809" t="s">
        <v>711</v>
      </c>
      <c r="C809" t="s">
        <v>52</v>
      </c>
      <c r="D809" t="s">
        <v>2602</v>
      </c>
      <c r="E809" t="s">
        <v>2603</v>
      </c>
      <c r="F809" t="s">
        <v>10</v>
      </c>
      <c r="G809" t="s">
        <v>2602</v>
      </c>
      <c r="H809" t="s">
        <v>2604</v>
      </c>
      <c r="I809" t="s">
        <v>68</v>
      </c>
      <c r="J809">
        <v>0</v>
      </c>
      <c r="K809">
        <v>1</v>
      </c>
      <c r="L809" s="4">
        <v>3.5000000000000001E-3</v>
      </c>
      <c r="M809">
        <v>0.02</v>
      </c>
      <c r="N809" s="4">
        <v>3.5000000000000001E-3</v>
      </c>
      <c r="O809" s="4">
        <v>0.02</v>
      </c>
    </row>
    <row r="810" spans="2:15">
      <c r="B810" t="s">
        <v>711</v>
      </c>
      <c r="C810" t="s">
        <v>52</v>
      </c>
      <c r="D810" t="s">
        <v>712</v>
      </c>
      <c r="E810" t="s">
        <v>713</v>
      </c>
      <c r="F810" t="s">
        <v>10</v>
      </c>
      <c r="G810" t="s">
        <v>712</v>
      </c>
      <c r="H810" t="s">
        <v>714</v>
      </c>
      <c r="I810" t="s">
        <v>68</v>
      </c>
      <c r="J810">
        <v>0</v>
      </c>
      <c r="K810">
        <v>1</v>
      </c>
      <c r="L810" s="4">
        <v>3.5000000000000001E-3</v>
      </c>
      <c r="M810">
        <v>0.02</v>
      </c>
      <c r="N810" s="4">
        <v>3.5000000000000001E-3</v>
      </c>
      <c r="O810" s="4">
        <v>0.02</v>
      </c>
    </row>
    <row r="811" spans="2:15">
      <c r="B811" t="s">
        <v>711</v>
      </c>
      <c r="C811" t="s">
        <v>52</v>
      </c>
      <c r="D811" t="s">
        <v>2605</v>
      </c>
      <c r="E811" t="s">
        <v>2606</v>
      </c>
      <c r="F811" t="s">
        <v>10</v>
      </c>
      <c r="G811" t="s">
        <v>2605</v>
      </c>
      <c r="H811" t="s">
        <v>2607</v>
      </c>
      <c r="I811" t="s">
        <v>68</v>
      </c>
      <c r="J811">
        <v>0</v>
      </c>
      <c r="K811">
        <v>1</v>
      </c>
      <c r="L811" s="4">
        <v>3.5000000000000001E-3</v>
      </c>
      <c r="M811">
        <v>0.02</v>
      </c>
      <c r="N811" s="4">
        <v>3.5000000000000001E-3</v>
      </c>
      <c r="O811" s="4">
        <v>0.02</v>
      </c>
    </row>
    <row r="812" spans="2:15">
      <c r="B812" t="s">
        <v>711</v>
      </c>
      <c r="C812" t="s">
        <v>52</v>
      </c>
      <c r="D812" t="s">
        <v>2608</v>
      </c>
      <c r="E812" t="s">
        <v>2609</v>
      </c>
      <c r="F812" t="s">
        <v>10</v>
      </c>
      <c r="G812" t="s">
        <v>2608</v>
      </c>
      <c r="H812" t="s">
        <v>2610</v>
      </c>
      <c r="I812" t="s">
        <v>68</v>
      </c>
      <c r="J812">
        <v>0</v>
      </c>
      <c r="K812">
        <v>2</v>
      </c>
      <c r="L812" s="4">
        <v>3.5000000000000001E-3</v>
      </c>
      <c r="M812">
        <v>0.02</v>
      </c>
      <c r="N812" s="4">
        <v>7.0000000000000001E-3</v>
      </c>
      <c r="O812" s="4">
        <v>0.04</v>
      </c>
    </row>
    <row r="813" spans="2:15">
      <c r="B813" t="s">
        <v>711</v>
      </c>
      <c r="C813" t="s">
        <v>52</v>
      </c>
      <c r="D813" t="s">
        <v>2611</v>
      </c>
      <c r="E813" t="s">
        <v>2612</v>
      </c>
      <c r="F813" t="s">
        <v>10</v>
      </c>
      <c r="G813" t="s">
        <v>2611</v>
      </c>
      <c r="H813" t="s">
        <v>2613</v>
      </c>
      <c r="I813" t="s">
        <v>68</v>
      </c>
      <c r="J813">
        <v>0</v>
      </c>
      <c r="K813">
        <v>1</v>
      </c>
      <c r="L813" s="4">
        <v>3.5000000000000001E-3</v>
      </c>
      <c r="M813">
        <v>0.02</v>
      </c>
      <c r="N813" s="4">
        <v>3.5000000000000001E-3</v>
      </c>
      <c r="O813" s="4">
        <v>0.02</v>
      </c>
    </row>
    <row r="814" spans="2:15">
      <c r="B814" t="s">
        <v>711</v>
      </c>
      <c r="C814" t="s">
        <v>52</v>
      </c>
      <c r="D814" t="s">
        <v>1709</v>
      </c>
      <c r="E814" t="s">
        <v>1710</v>
      </c>
      <c r="F814" t="s">
        <v>10</v>
      </c>
      <c r="G814" t="s">
        <v>1709</v>
      </c>
      <c r="H814" t="s">
        <v>1711</v>
      </c>
      <c r="I814" t="s">
        <v>68</v>
      </c>
      <c r="J814">
        <v>0</v>
      </c>
      <c r="K814">
        <v>1</v>
      </c>
      <c r="L814" s="4">
        <v>3.5000000000000001E-3</v>
      </c>
      <c r="M814">
        <v>0.02</v>
      </c>
      <c r="N814" s="4">
        <v>3.5000000000000001E-3</v>
      </c>
      <c r="O814" s="4">
        <v>0.02</v>
      </c>
    </row>
    <row r="815" spans="2:15">
      <c r="B815" t="s">
        <v>715</v>
      </c>
      <c r="C815" t="s">
        <v>133</v>
      </c>
      <c r="D815" t="s">
        <v>716</v>
      </c>
      <c r="E815" t="s">
        <v>717</v>
      </c>
      <c r="F815" t="s">
        <v>10</v>
      </c>
      <c r="G815" t="s">
        <v>716</v>
      </c>
      <c r="H815" t="s">
        <v>718</v>
      </c>
      <c r="I815" t="s">
        <v>68</v>
      </c>
      <c r="J815">
        <v>0</v>
      </c>
      <c r="K815">
        <v>6</v>
      </c>
      <c r="L815" s="4">
        <v>3.5000000000000001E-3</v>
      </c>
      <c r="M815">
        <v>0.02</v>
      </c>
      <c r="N815" s="4">
        <v>2.1000000000000001E-2</v>
      </c>
      <c r="O815" s="4">
        <v>0.12</v>
      </c>
    </row>
    <row r="816" spans="2:15">
      <c r="B816" t="s">
        <v>715</v>
      </c>
      <c r="C816" t="s">
        <v>133</v>
      </c>
      <c r="D816" t="s">
        <v>2614</v>
      </c>
      <c r="E816" t="s">
        <v>2615</v>
      </c>
      <c r="F816" t="s">
        <v>10</v>
      </c>
      <c r="G816" t="s">
        <v>2614</v>
      </c>
      <c r="H816" t="s">
        <v>2616</v>
      </c>
      <c r="I816" t="s">
        <v>68</v>
      </c>
      <c r="J816">
        <v>0</v>
      </c>
      <c r="K816">
        <v>1</v>
      </c>
      <c r="L816" s="4">
        <v>3.5000000000000001E-3</v>
      </c>
      <c r="M816">
        <v>0.02</v>
      </c>
      <c r="N816" s="4">
        <v>3.5000000000000001E-3</v>
      </c>
      <c r="O816" s="4">
        <v>0.02</v>
      </c>
    </row>
    <row r="817" spans="2:15">
      <c r="B817" t="s">
        <v>715</v>
      </c>
      <c r="C817" t="s">
        <v>133</v>
      </c>
      <c r="D817" t="s">
        <v>1712</v>
      </c>
      <c r="E817" t="s">
        <v>1713</v>
      </c>
      <c r="F817" t="s">
        <v>10</v>
      </c>
      <c r="G817" t="s">
        <v>1712</v>
      </c>
      <c r="H817" t="s">
        <v>1714</v>
      </c>
      <c r="I817" t="s">
        <v>68</v>
      </c>
      <c r="J817">
        <v>0</v>
      </c>
      <c r="K817">
        <v>2</v>
      </c>
      <c r="L817" s="4">
        <v>3.5000000000000001E-3</v>
      </c>
      <c r="M817">
        <v>0.02</v>
      </c>
      <c r="N817" s="4">
        <v>7.0000000000000001E-3</v>
      </c>
      <c r="O817" s="4">
        <v>0.04</v>
      </c>
    </row>
    <row r="818" spans="2:15">
      <c r="B818" t="s">
        <v>715</v>
      </c>
      <c r="C818" t="s">
        <v>133</v>
      </c>
      <c r="D818" t="s">
        <v>2617</v>
      </c>
      <c r="E818" t="s">
        <v>2618</v>
      </c>
      <c r="F818" t="s">
        <v>10</v>
      </c>
      <c r="G818" t="s">
        <v>2617</v>
      </c>
      <c r="H818" t="s">
        <v>2619</v>
      </c>
      <c r="I818" t="s">
        <v>68</v>
      </c>
      <c r="J818">
        <v>0</v>
      </c>
      <c r="K818">
        <v>4</v>
      </c>
      <c r="L818" s="4">
        <v>3.5000000000000001E-3</v>
      </c>
      <c r="M818">
        <v>0.02</v>
      </c>
      <c r="N818" s="4">
        <v>1.4E-2</v>
      </c>
      <c r="O818" s="4">
        <v>0.08</v>
      </c>
    </row>
    <row r="819" spans="2:15">
      <c r="B819" t="s">
        <v>715</v>
      </c>
      <c r="C819" t="s">
        <v>133</v>
      </c>
      <c r="D819" t="s">
        <v>719</v>
      </c>
      <c r="E819" t="s">
        <v>720</v>
      </c>
      <c r="F819" t="s">
        <v>10</v>
      </c>
      <c r="G819" t="s">
        <v>719</v>
      </c>
      <c r="H819" t="s">
        <v>721</v>
      </c>
      <c r="I819" t="s">
        <v>68</v>
      </c>
      <c r="J819">
        <v>0</v>
      </c>
      <c r="K819">
        <v>2</v>
      </c>
      <c r="L819" s="4">
        <v>3.5000000000000001E-3</v>
      </c>
      <c r="M819">
        <v>0.02</v>
      </c>
      <c r="N819" s="4">
        <v>7.0000000000000001E-3</v>
      </c>
      <c r="O819" s="4">
        <v>0.04</v>
      </c>
    </row>
    <row r="820" spans="2:15">
      <c r="B820" t="s">
        <v>715</v>
      </c>
      <c r="C820" t="s">
        <v>133</v>
      </c>
      <c r="D820" t="s">
        <v>722</v>
      </c>
      <c r="E820" t="s">
        <v>723</v>
      </c>
      <c r="F820" t="s">
        <v>10</v>
      </c>
      <c r="G820" t="s">
        <v>722</v>
      </c>
      <c r="H820" t="s">
        <v>724</v>
      </c>
      <c r="I820" t="s">
        <v>68</v>
      </c>
      <c r="J820">
        <v>0</v>
      </c>
      <c r="K820">
        <v>2</v>
      </c>
      <c r="L820" s="4">
        <v>3.5000000000000001E-3</v>
      </c>
      <c r="M820">
        <v>0.02</v>
      </c>
      <c r="N820" s="4">
        <v>7.0000000000000001E-3</v>
      </c>
      <c r="O820" s="4">
        <v>0.04</v>
      </c>
    </row>
    <row r="821" spans="2:15">
      <c r="B821" t="s">
        <v>715</v>
      </c>
      <c r="C821" t="s">
        <v>133</v>
      </c>
      <c r="D821" t="s">
        <v>725</v>
      </c>
      <c r="E821" t="s">
        <v>726</v>
      </c>
      <c r="F821" t="s">
        <v>10</v>
      </c>
      <c r="G821" t="s">
        <v>725</v>
      </c>
      <c r="H821" t="s">
        <v>727</v>
      </c>
      <c r="I821" t="s">
        <v>68</v>
      </c>
      <c r="J821">
        <v>0</v>
      </c>
      <c r="K821">
        <v>5</v>
      </c>
      <c r="L821" s="4">
        <v>3.5000000000000001E-3</v>
      </c>
      <c r="M821">
        <v>0.02</v>
      </c>
      <c r="N821" s="4">
        <v>1.7500000000000002E-2</v>
      </c>
      <c r="O821" s="4">
        <v>0.1</v>
      </c>
    </row>
    <row r="822" spans="2:15">
      <c r="B822" t="s">
        <v>715</v>
      </c>
      <c r="C822" t="s">
        <v>133</v>
      </c>
      <c r="D822" t="s">
        <v>2620</v>
      </c>
      <c r="E822" t="s">
        <v>2621</v>
      </c>
      <c r="F822" t="s">
        <v>10</v>
      </c>
      <c r="G822" t="s">
        <v>2620</v>
      </c>
      <c r="H822" t="s">
        <v>2622</v>
      </c>
      <c r="I822" t="s">
        <v>68</v>
      </c>
      <c r="J822">
        <v>0</v>
      </c>
      <c r="K822">
        <v>1</v>
      </c>
      <c r="L822" s="4">
        <v>3.5000000000000001E-3</v>
      </c>
      <c r="M822">
        <v>0.02</v>
      </c>
      <c r="N822" s="4">
        <v>3.5000000000000001E-3</v>
      </c>
      <c r="O822" s="4">
        <v>0.02</v>
      </c>
    </row>
    <row r="823" spans="2:15">
      <c r="B823" t="s">
        <v>715</v>
      </c>
      <c r="C823" t="s">
        <v>133</v>
      </c>
      <c r="D823" t="s">
        <v>1715</v>
      </c>
      <c r="E823" t="s">
        <v>1716</v>
      </c>
      <c r="F823" t="s">
        <v>10</v>
      </c>
      <c r="G823" t="s">
        <v>1715</v>
      </c>
      <c r="H823" t="s">
        <v>1717</v>
      </c>
      <c r="I823" t="s">
        <v>68</v>
      </c>
      <c r="J823">
        <v>0</v>
      </c>
      <c r="K823">
        <v>17547</v>
      </c>
      <c r="L823" s="4">
        <v>3.5000000000000001E-3</v>
      </c>
      <c r="M823">
        <v>0.02</v>
      </c>
      <c r="N823" s="4">
        <v>61.414500000000004</v>
      </c>
      <c r="O823" s="4">
        <v>350.94</v>
      </c>
    </row>
    <row r="824" spans="2:15">
      <c r="B824" t="s">
        <v>715</v>
      </c>
      <c r="C824" t="s">
        <v>133</v>
      </c>
      <c r="D824" t="s">
        <v>728</v>
      </c>
      <c r="E824" t="s">
        <v>729</v>
      </c>
      <c r="F824" t="s">
        <v>10</v>
      </c>
      <c r="G824" t="s">
        <v>728</v>
      </c>
      <c r="H824" t="s">
        <v>730</v>
      </c>
      <c r="I824" t="s">
        <v>68</v>
      </c>
      <c r="J824">
        <v>0</v>
      </c>
      <c r="K824">
        <v>4</v>
      </c>
      <c r="L824" s="4">
        <v>3.5000000000000001E-3</v>
      </c>
      <c r="M824">
        <v>0.02</v>
      </c>
      <c r="N824" s="4">
        <v>1.4E-2</v>
      </c>
      <c r="O824" s="4">
        <v>0.08</v>
      </c>
    </row>
    <row r="825" spans="2:15">
      <c r="B825" t="s">
        <v>715</v>
      </c>
      <c r="C825" t="s">
        <v>133</v>
      </c>
      <c r="D825" t="s">
        <v>731</v>
      </c>
      <c r="E825" t="s">
        <v>732</v>
      </c>
      <c r="F825" t="s">
        <v>10</v>
      </c>
      <c r="G825" t="s">
        <v>731</v>
      </c>
      <c r="H825" t="s">
        <v>733</v>
      </c>
      <c r="I825" t="s">
        <v>68</v>
      </c>
      <c r="J825">
        <v>0</v>
      </c>
      <c r="K825">
        <v>34</v>
      </c>
      <c r="L825" s="4">
        <v>3.5000000000000001E-3</v>
      </c>
      <c r="M825">
        <v>0.02</v>
      </c>
      <c r="N825" s="4">
        <v>0.11900000000000001</v>
      </c>
      <c r="O825" s="4">
        <v>0.68</v>
      </c>
    </row>
    <row r="826" spans="2:15">
      <c r="B826" t="s">
        <v>734</v>
      </c>
      <c r="C826" t="s">
        <v>735</v>
      </c>
      <c r="D826" t="s">
        <v>2623</v>
      </c>
      <c r="E826" t="s">
        <v>2624</v>
      </c>
      <c r="F826" t="s">
        <v>12</v>
      </c>
      <c r="G826" t="s">
        <v>2623</v>
      </c>
      <c r="H826" t="s">
        <v>2625</v>
      </c>
      <c r="I826" t="s">
        <v>32</v>
      </c>
      <c r="J826">
        <v>4</v>
      </c>
      <c r="K826">
        <v>0</v>
      </c>
      <c r="L826" s="4">
        <v>0.04</v>
      </c>
      <c r="M826">
        <v>0.09</v>
      </c>
      <c r="N826" s="4">
        <v>1.6000000000000001E-4</v>
      </c>
      <c r="O826" s="4">
        <v>3.5999999999999997E-4</v>
      </c>
    </row>
    <row r="827" spans="2:15">
      <c r="B827" t="s">
        <v>734</v>
      </c>
      <c r="C827" t="s">
        <v>735</v>
      </c>
      <c r="D827" t="s">
        <v>1718</v>
      </c>
      <c r="E827" t="s">
        <v>1719</v>
      </c>
      <c r="F827" t="s">
        <v>12</v>
      </c>
      <c r="G827" t="s">
        <v>1718</v>
      </c>
      <c r="H827" t="s">
        <v>1720</v>
      </c>
      <c r="I827" t="s">
        <v>32</v>
      </c>
      <c r="J827">
        <v>1</v>
      </c>
      <c r="K827">
        <v>0</v>
      </c>
      <c r="L827" s="4">
        <v>0.04</v>
      </c>
      <c r="M827">
        <v>0.09</v>
      </c>
      <c r="N827" s="4">
        <v>4.0000000000000003E-5</v>
      </c>
      <c r="O827" s="4">
        <v>8.9999999999999992E-5</v>
      </c>
    </row>
    <row r="828" spans="2:15">
      <c r="B828" t="s">
        <v>734</v>
      </c>
      <c r="C828" t="s">
        <v>735</v>
      </c>
      <c r="D828" t="s">
        <v>2626</v>
      </c>
      <c r="E828" t="s">
        <v>2627</v>
      </c>
      <c r="F828" t="s">
        <v>12</v>
      </c>
      <c r="G828" t="s">
        <v>2626</v>
      </c>
      <c r="H828" t="s">
        <v>2628</v>
      </c>
      <c r="I828" t="s">
        <v>32</v>
      </c>
      <c r="J828">
        <v>1</v>
      </c>
      <c r="K828">
        <v>0</v>
      </c>
      <c r="L828" s="4">
        <v>0.04</v>
      </c>
      <c r="M828">
        <v>0.09</v>
      </c>
      <c r="N828" s="4">
        <v>4.0000000000000003E-5</v>
      </c>
      <c r="O828" s="4">
        <v>8.9999999999999992E-5</v>
      </c>
    </row>
    <row r="829" spans="2:15">
      <c r="B829" t="s">
        <v>734</v>
      </c>
      <c r="C829" t="s">
        <v>736</v>
      </c>
      <c r="D829" t="s">
        <v>1721</v>
      </c>
      <c r="E829" t="s">
        <v>1722</v>
      </c>
      <c r="F829" t="s">
        <v>12</v>
      </c>
      <c r="G829" t="s">
        <v>1721</v>
      </c>
      <c r="H829" t="s">
        <v>1723</v>
      </c>
      <c r="I829" t="s">
        <v>32</v>
      </c>
      <c r="J829">
        <v>1</v>
      </c>
      <c r="K829">
        <v>0</v>
      </c>
      <c r="L829" s="4">
        <v>0.04</v>
      </c>
      <c r="M829">
        <v>0.09</v>
      </c>
      <c r="N829" s="4">
        <v>4.0000000000000003E-5</v>
      </c>
      <c r="O829" s="4">
        <v>8.9999999999999992E-5</v>
      </c>
    </row>
    <row r="830" spans="2:15">
      <c r="B830" t="s">
        <v>734</v>
      </c>
      <c r="C830" t="s">
        <v>52</v>
      </c>
      <c r="D830" t="s">
        <v>737</v>
      </c>
      <c r="E830" t="s">
        <v>738</v>
      </c>
      <c r="F830" t="s">
        <v>10</v>
      </c>
      <c r="G830" t="s">
        <v>737</v>
      </c>
      <c r="H830" t="s">
        <v>739</v>
      </c>
      <c r="I830" t="s">
        <v>32</v>
      </c>
      <c r="J830">
        <v>0</v>
      </c>
      <c r="K830">
        <v>3</v>
      </c>
      <c r="L830" s="4">
        <v>3.5000000000000001E-3</v>
      </c>
      <c r="M830">
        <v>0.02</v>
      </c>
      <c r="N830" s="4">
        <v>1.0500000000000001E-2</v>
      </c>
      <c r="O830" s="4">
        <v>0.06</v>
      </c>
    </row>
    <row r="831" spans="2:15">
      <c r="B831" t="s">
        <v>734</v>
      </c>
      <c r="C831" t="s">
        <v>52</v>
      </c>
      <c r="D831" t="s">
        <v>740</v>
      </c>
      <c r="E831" t="s">
        <v>741</v>
      </c>
      <c r="F831" t="s">
        <v>10</v>
      </c>
      <c r="G831" t="s">
        <v>740</v>
      </c>
      <c r="H831" t="s">
        <v>742</v>
      </c>
      <c r="I831" t="s">
        <v>32</v>
      </c>
      <c r="J831">
        <v>0</v>
      </c>
      <c r="K831">
        <v>1</v>
      </c>
      <c r="L831" s="4">
        <v>3.5000000000000001E-3</v>
      </c>
      <c r="M831">
        <v>0.02</v>
      </c>
      <c r="N831" s="4">
        <v>3.5000000000000001E-3</v>
      </c>
      <c r="O831" s="4">
        <v>0.02</v>
      </c>
    </row>
    <row r="832" spans="2:15">
      <c r="B832" t="s">
        <v>734</v>
      </c>
      <c r="C832" t="s">
        <v>52</v>
      </c>
      <c r="D832" t="s">
        <v>743</v>
      </c>
      <c r="E832" t="s">
        <v>744</v>
      </c>
      <c r="F832" t="s">
        <v>10</v>
      </c>
      <c r="G832" t="s">
        <v>743</v>
      </c>
      <c r="H832" t="s">
        <v>745</v>
      </c>
      <c r="I832" t="s">
        <v>32</v>
      </c>
      <c r="J832">
        <v>0</v>
      </c>
      <c r="K832">
        <v>2</v>
      </c>
      <c r="L832" s="4">
        <v>3.5000000000000001E-3</v>
      </c>
      <c r="M832">
        <v>0.02</v>
      </c>
      <c r="N832" s="4">
        <v>7.0000000000000001E-3</v>
      </c>
      <c r="O832" s="4">
        <v>0.04</v>
      </c>
    </row>
    <row r="833" spans="2:15">
      <c r="B833" t="s">
        <v>734</v>
      </c>
      <c r="C833" t="s">
        <v>52</v>
      </c>
      <c r="D833" t="s">
        <v>746</v>
      </c>
      <c r="E833" t="s">
        <v>747</v>
      </c>
      <c r="F833" t="s">
        <v>10</v>
      </c>
      <c r="G833" t="s">
        <v>746</v>
      </c>
      <c r="H833" t="s">
        <v>748</v>
      </c>
      <c r="I833" t="s">
        <v>32</v>
      </c>
      <c r="J833">
        <v>0</v>
      </c>
      <c r="K833">
        <v>1</v>
      </c>
      <c r="L833" s="4">
        <v>3.5000000000000001E-3</v>
      </c>
      <c r="M833">
        <v>0.02</v>
      </c>
      <c r="N833" s="4">
        <v>3.5000000000000001E-3</v>
      </c>
      <c r="O833" s="4">
        <v>0.02</v>
      </c>
    </row>
    <row r="834" spans="2:15">
      <c r="B834" t="s">
        <v>734</v>
      </c>
      <c r="C834" t="s">
        <v>52</v>
      </c>
      <c r="D834" t="s">
        <v>749</v>
      </c>
      <c r="E834" t="s">
        <v>750</v>
      </c>
      <c r="F834" t="s">
        <v>10</v>
      </c>
      <c r="G834" t="s">
        <v>749</v>
      </c>
      <c r="H834" t="s">
        <v>751</v>
      </c>
      <c r="I834" t="s">
        <v>32</v>
      </c>
      <c r="J834">
        <v>0</v>
      </c>
      <c r="K834">
        <v>3</v>
      </c>
      <c r="L834" s="4">
        <v>3.5000000000000001E-3</v>
      </c>
      <c r="M834">
        <v>0.02</v>
      </c>
      <c r="N834" s="4">
        <v>1.0500000000000001E-2</v>
      </c>
      <c r="O834" s="4">
        <v>0.06</v>
      </c>
    </row>
    <row r="835" spans="2:15">
      <c r="B835" t="s">
        <v>734</v>
      </c>
      <c r="C835" t="s">
        <v>2629</v>
      </c>
      <c r="D835" t="s">
        <v>2630</v>
      </c>
      <c r="E835" t="s">
        <v>2631</v>
      </c>
      <c r="F835" t="s">
        <v>10</v>
      </c>
      <c r="G835" t="s">
        <v>2630</v>
      </c>
      <c r="H835" t="s">
        <v>2632</v>
      </c>
      <c r="I835" t="s">
        <v>32</v>
      </c>
      <c r="J835">
        <v>0</v>
      </c>
      <c r="K835">
        <v>2</v>
      </c>
      <c r="L835" s="4">
        <v>3.5000000000000001E-3</v>
      </c>
      <c r="M835">
        <v>0.02</v>
      </c>
      <c r="N835" s="4">
        <v>7.0000000000000001E-3</v>
      </c>
      <c r="O835" s="4">
        <v>0.04</v>
      </c>
    </row>
    <row r="836" spans="2:15">
      <c r="B836" t="s">
        <v>734</v>
      </c>
      <c r="C836" t="s">
        <v>118</v>
      </c>
      <c r="D836" t="s">
        <v>752</v>
      </c>
      <c r="E836" t="s">
        <v>753</v>
      </c>
      <c r="F836" t="s">
        <v>10</v>
      </c>
      <c r="G836" t="s">
        <v>752</v>
      </c>
      <c r="H836" t="s">
        <v>754</v>
      </c>
      <c r="I836" t="s">
        <v>32</v>
      </c>
      <c r="J836">
        <v>0</v>
      </c>
      <c r="K836">
        <v>19</v>
      </c>
      <c r="L836" s="4">
        <v>3.5000000000000001E-3</v>
      </c>
      <c r="M836">
        <v>0.02</v>
      </c>
      <c r="N836" s="4">
        <v>6.6500000000000004E-2</v>
      </c>
      <c r="O836" s="4">
        <v>0.38</v>
      </c>
    </row>
    <row r="837" spans="2:15">
      <c r="B837" t="s">
        <v>734</v>
      </c>
      <c r="C837" t="s">
        <v>755</v>
      </c>
      <c r="D837" t="s">
        <v>756</v>
      </c>
      <c r="E837" t="s">
        <v>757</v>
      </c>
      <c r="F837" t="s">
        <v>12</v>
      </c>
      <c r="G837" t="s">
        <v>756</v>
      </c>
      <c r="H837" t="s">
        <v>758</v>
      </c>
      <c r="I837" t="s">
        <v>32</v>
      </c>
      <c r="J837">
        <v>62</v>
      </c>
      <c r="K837">
        <v>17</v>
      </c>
      <c r="L837" s="4">
        <v>0.04</v>
      </c>
      <c r="M837">
        <v>0.09</v>
      </c>
      <c r="N837" s="4">
        <v>2.48E-3</v>
      </c>
      <c r="O837" s="4">
        <v>5.5799999999999999E-3</v>
      </c>
    </row>
    <row r="838" spans="2:15">
      <c r="B838" t="s">
        <v>734</v>
      </c>
      <c r="C838" t="s">
        <v>759</v>
      </c>
      <c r="D838" t="s">
        <v>1724</v>
      </c>
      <c r="E838" t="s">
        <v>1725</v>
      </c>
      <c r="F838" t="s">
        <v>12</v>
      </c>
      <c r="G838" t="s">
        <v>1724</v>
      </c>
      <c r="H838" t="s">
        <v>1726</v>
      </c>
      <c r="I838" t="s">
        <v>32</v>
      </c>
      <c r="J838">
        <v>1</v>
      </c>
      <c r="K838">
        <v>0</v>
      </c>
      <c r="L838" s="4">
        <v>0.04</v>
      </c>
      <c r="M838">
        <v>0.09</v>
      </c>
      <c r="N838" s="4">
        <v>4.0000000000000003E-5</v>
      </c>
      <c r="O838" s="4">
        <v>8.9999999999999992E-5</v>
      </c>
    </row>
    <row r="839" spans="2:15">
      <c r="B839" t="s">
        <v>2633</v>
      </c>
      <c r="C839" t="s">
        <v>2634</v>
      </c>
      <c r="D839" t="s">
        <v>2635</v>
      </c>
      <c r="E839" t="s">
        <v>2636</v>
      </c>
      <c r="F839" t="s">
        <v>10</v>
      </c>
      <c r="G839" t="s">
        <v>2635</v>
      </c>
      <c r="H839" t="s">
        <v>2637</v>
      </c>
      <c r="I839" t="s">
        <v>68</v>
      </c>
      <c r="J839">
        <v>0</v>
      </c>
      <c r="K839">
        <v>1</v>
      </c>
      <c r="L839" s="4">
        <v>3.5000000000000001E-3</v>
      </c>
      <c r="M839">
        <v>0.02</v>
      </c>
      <c r="N839" s="4">
        <v>3.5000000000000001E-3</v>
      </c>
      <c r="O839" s="4">
        <v>0.02</v>
      </c>
    </row>
    <row r="840" spans="2:15">
      <c r="B840" t="s">
        <v>764</v>
      </c>
      <c r="C840" t="s">
        <v>760</v>
      </c>
      <c r="D840" t="s">
        <v>765</v>
      </c>
      <c r="E840" t="s">
        <v>766</v>
      </c>
      <c r="F840" t="s">
        <v>10</v>
      </c>
      <c r="G840" t="s">
        <v>765</v>
      </c>
      <c r="H840" t="s">
        <v>767</v>
      </c>
      <c r="I840" t="s">
        <v>32</v>
      </c>
      <c r="J840">
        <v>0</v>
      </c>
      <c r="K840">
        <v>28</v>
      </c>
      <c r="L840" s="4">
        <v>3.5000000000000001E-3</v>
      </c>
      <c r="M840">
        <v>0.02</v>
      </c>
      <c r="N840" s="4">
        <v>9.8000000000000004E-2</v>
      </c>
      <c r="O840" s="4">
        <v>0.56000000000000005</v>
      </c>
    </row>
    <row r="841" spans="2:15">
      <c r="B841" t="s">
        <v>764</v>
      </c>
      <c r="C841" t="s">
        <v>760</v>
      </c>
      <c r="D841" t="s">
        <v>768</v>
      </c>
      <c r="E841" t="s">
        <v>769</v>
      </c>
      <c r="F841" t="s">
        <v>10</v>
      </c>
      <c r="G841" t="s">
        <v>768</v>
      </c>
      <c r="H841" t="s">
        <v>770</v>
      </c>
      <c r="I841" t="s">
        <v>32</v>
      </c>
      <c r="J841">
        <v>0</v>
      </c>
      <c r="K841">
        <v>17</v>
      </c>
      <c r="L841" s="4">
        <v>3.5000000000000001E-3</v>
      </c>
      <c r="M841">
        <v>0.02</v>
      </c>
      <c r="N841" s="4">
        <v>5.9500000000000004E-2</v>
      </c>
      <c r="O841" s="4">
        <v>0.34</v>
      </c>
    </row>
    <row r="842" spans="2:15">
      <c r="B842" t="s">
        <v>764</v>
      </c>
      <c r="C842" t="s">
        <v>760</v>
      </c>
      <c r="D842" t="s">
        <v>2638</v>
      </c>
      <c r="E842" t="s">
        <v>2639</v>
      </c>
      <c r="F842" t="s">
        <v>10</v>
      </c>
      <c r="G842" t="s">
        <v>2638</v>
      </c>
      <c r="H842" t="s">
        <v>2640</v>
      </c>
      <c r="I842" t="s">
        <v>32</v>
      </c>
      <c r="J842">
        <v>0</v>
      </c>
      <c r="K842">
        <v>10</v>
      </c>
      <c r="L842" s="4">
        <v>3.5000000000000001E-3</v>
      </c>
      <c r="M842">
        <v>0.02</v>
      </c>
      <c r="N842" s="4">
        <v>3.5000000000000003E-2</v>
      </c>
      <c r="O842" s="4">
        <v>0.2</v>
      </c>
    </row>
    <row r="843" spans="2:15">
      <c r="B843" t="s">
        <v>764</v>
      </c>
      <c r="C843" t="s">
        <v>760</v>
      </c>
      <c r="D843" t="s">
        <v>2641</v>
      </c>
      <c r="E843" t="s">
        <v>2642</v>
      </c>
      <c r="F843" t="s">
        <v>10</v>
      </c>
      <c r="G843" t="s">
        <v>2641</v>
      </c>
      <c r="H843" t="s">
        <v>2643</v>
      </c>
      <c r="I843" t="s">
        <v>32</v>
      </c>
      <c r="J843">
        <v>0</v>
      </c>
      <c r="K843">
        <v>1</v>
      </c>
      <c r="L843" s="4">
        <v>3.5000000000000001E-3</v>
      </c>
      <c r="M843">
        <v>0.02</v>
      </c>
      <c r="N843" s="4">
        <v>3.5000000000000001E-3</v>
      </c>
      <c r="O843" s="4">
        <v>0.02</v>
      </c>
    </row>
    <row r="844" spans="2:15">
      <c r="B844" t="s">
        <v>764</v>
      </c>
      <c r="C844" t="s">
        <v>760</v>
      </c>
      <c r="D844" t="s">
        <v>771</v>
      </c>
      <c r="E844" t="s">
        <v>772</v>
      </c>
      <c r="F844" t="s">
        <v>10</v>
      </c>
      <c r="G844" t="s">
        <v>771</v>
      </c>
      <c r="H844" t="s">
        <v>773</v>
      </c>
      <c r="I844" t="s">
        <v>32</v>
      </c>
      <c r="J844">
        <v>19</v>
      </c>
      <c r="K844">
        <v>29</v>
      </c>
      <c r="L844" s="4">
        <v>3.5000000000000001E-3</v>
      </c>
      <c r="M844">
        <v>0.02</v>
      </c>
      <c r="N844" s="4">
        <v>0.10150000000000001</v>
      </c>
      <c r="O844" s="4">
        <v>0.57999999999999996</v>
      </c>
    </row>
    <row r="845" spans="2:15">
      <c r="B845" t="s">
        <v>764</v>
      </c>
      <c r="C845" t="s">
        <v>52</v>
      </c>
      <c r="D845" t="s">
        <v>2644</v>
      </c>
      <c r="E845" t="s">
        <v>2645</v>
      </c>
      <c r="F845" t="s">
        <v>10</v>
      </c>
      <c r="G845" t="s">
        <v>2644</v>
      </c>
      <c r="H845" t="s">
        <v>2646</v>
      </c>
      <c r="I845" t="s">
        <v>32</v>
      </c>
      <c r="J845">
        <v>0</v>
      </c>
      <c r="K845">
        <v>7</v>
      </c>
      <c r="L845" s="4">
        <v>3.5000000000000001E-3</v>
      </c>
      <c r="M845">
        <v>0.02</v>
      </c>
      <c r="N845" s="4">
        <v>2.4500000000000001E-2</v>
      </c>
      <c r="O845" s="4">
        <v>0.14000000000000001</v>
      </c>
    </row>
    <row r="846" spans="2:15">
      <c r="B846" t="s">
        <v>764</v>
      </c>
      <c r="C846" t="s">
        <v>52</v>
      </c>
      <c r="D846" t="s">
        <v>774</v>
      </c>
      <c r="E846" t="s">
        <v>775</v>
      </c>
      <c r="F846" t="s">
        <v>10</v>
      </c>
      <c r="G846" t="s">
        <v>774</v>
      </c>
      <c r="H846" t="s">
        <v>776</v>
      </c>
      <c r="I846" t="s">
        <v>32</v>
      </c>
      <c r="J846">
        <v>0</v>
      </c>
      <c r="K846">
        <v>49</v>
      </c>
      <c r="L846" s="4">
        <v>3.5000000000000001E-3</v>
      </c>
      <c r="M846">
        <v>0.02</v>
      </c>
      <c r="N846" s="4">
        <v>0.17150000000000001</v>
      </c>
      <c r="O846" s="4">
        <v>0.98</v>
      </c>
    </row>
    <row r="847" spans="2:15">
      <c r="B847" t="s">
        <v>764</v>
      </c>
      <c r="C847" t="s">
        <v>52</v>
      </c>
      <c r="D847" t="s">
        <v>777</v>
      </c>
      <c r="E847" t="s">
        <v>778</v>
      </c>
      <c r="F847" t="s">
        <v>10</v>
      </c>
      <c r="G847" t="s">
        <v>777</v>
      </c>
      <c r="H847" t="s">
        <v>779</v>
      </c>
      <c r="I847" t="s">
        <v>32</v>
      </c>
      <c r="J847">
        <v>0</v>
      </c>
      <c r="K847">
        <v>15</v>
      </c>
      <c r="L847" s="4">
        <v>3.5000000000000001E-3</v>
      </c>
      <c r="M847">
        <v>0.02</v>
      </c>
      <c r="N847" s="4">
        <v>5.2499999999999998E-2</v>
      </c>
      <c r="O847" s="4">
        <v>0.3</v>
      </c>
    </row>
    <row r="848" spans="2:15">
      <c r="B848" t="s">
        <v>764</v>
      </c>
      <c r="C848" t="s">
        <v>52</v>
      </c>
      <c r="D848" t="s">
        <v>780</v>
      </c>
      <c r="E848" t="s">
        <v>781</v>
      </c>
      <c r="F848" t="s">
        <v>10</v>
      </c>
      <c r="G848" t="s">
        <v>780</v>
      </c>
      <c r="H848" t="s">
        <v>782</v>
      </c>
      <c r="I848" t="s">
        <v>32</v>
      </c>
      <c r="J848">
        <v>0</v>
      </c>
      <c r="K848">
        <v>47</v>
      </c>
      <c r="L848" s="4">
        <v>3.5000000000000001E-3</v>
      </c>
      <c r="M848">
        <v>0.02</v>
      </c>
      <c r="N848" s="4">
        <v>0.16450000000000001</v>
      </c>
      <c r="O848" s="4">
        <v>0.94000000000000006</v>
      </c>
    </row>
    <row r="849" spans="2:15">
      <c r="B849" t="s">
        <v>764</v>
      </c>
      <c r="C849" t="s">
        <v>50</v>
      </c>
      <c r="D849" t="s">
        <v>2647</v>
      </c>
      <c r="E849" t="s">
        <v>2648</v>
      </c>
      <c r="F849" t="s">
        <v>12</v>
      </c>
      <c r="G849" t="s">
        <v>2647</v>
      </c>
      <c r="H849" t="s">
        <v>2649</v>
      </c>
      <c r="I849" t="s">
        <v>31</v>
      </c>
      <c r="J849">
        <v>1</v>
      </c>
      <c r="K849">
        <v>0</v>
      </c>
      <c r="L849" s="4">
        <v>0.04</v>
      </c>
      <c r="M849">
        <v>0.09</v>
      </c>
      <c r="N849" s="4">
        <v>4.0000000000000003E-5</v>
      </c>
      <c r="O849" s="4">
        <v>8.9999999999999992E-5</v>
      </c>
    </row>
    <row r="850" spans="2:15">
      <c r="B850" t="s">
        <v>764</v>
      </c>
      <c r="C850" t="s">
        <v>50</v>
      </c>
      <c r="D850" t="s">
        <v>2650</v>
      </c>
      <c r="E850" t="s">
        <v>2651</v>
      </c>
      <c r="F850" t="s">
        <v>12</v>
      </c>
      <c r="G850" t="s">
        <v>2650</v>
      </c>
      <c r="H850" t="s">
        <v>2652</v>
      </c>
      <c r="I850" t="s">
        <v>31</v>
      </c>
      <c r="J850">
        <v>1</v>
      </c>
      <c r="K850">
        <v>0</v>
      </c>
      <c r="L850" s="4">
        <v>0.04</v>
      </c>
      <c r="M850">
        <v>0.09</v>
      </c>
      <c r="N850" s="4">
        <v>4.0000000000000003E-5</v>
      </c>
      <c r="O850" s="4">
        <v>8.9999999999999992E-5</v>
      </c>
    </row>
    <row r="851" spans="2:15">
      <c r="B851" t="s">
        <v>764</v>
      </c>
      <c r="C851" t="s">
        <v>50</v>
      </c>
      <c r="D851" t="s">
        <v>2653</v>
      </c>
      <c r="E851" t="s">
        <v>2654</v>
      </c>
      <c r="F851" t="s">
        <v>12</v>
      </c>
      <c r="G851" t="s">
        <v>2653</v>
      </c>
      <c r="H851" t="s">
        <v>2655</v>
      </c>
      <c r="I851" t="s">
        <v>31</v>
      </c>
      <c r="J851">
        <v>0</v>
      </c>
      <c r="K851">
        <v>8</v>
      </c>
      <c r="L851" s="4">
        <v>0.04</v>
      </c>
      <c r="M851">
        <v>0.09</v>
      </c>
      <c r="N851" s="4">
        <v>0</v>
      </c>
      <c r="O851" s="4">
        <v>0</v>
      </c>
    </row>
    <row r="852" spans="2:15">
      <c r="B852" t="s">
        <v>764</v>
      </c>
      <c r="C852" t="s">
        <v>50</v>
      </c>
      <c r="D852" t="s">
        <v>2656</v>
      </c>
      <c r="E852" t="s">
        <v>2657</v>
      </c>
      <c r="F852" t="s">
        <v>12</v>
      </c>
      <c r="G852" t="s">
        <v>2656</v>
      </c>
      <c r="H852" t="s">
        <v>2658</v>
      </c>
      <c r="I852" t="s">
        <v>31</v>
      </c>
      <c r="J852">
        <v>0</v>
      </c>
      <c r="K852">
        <v>1</v>
      </c>
      <c r="L852" s="4">
        <v>0.04</v>
      </c>
      <c r="M852">
        <v>0.09</v>
      </c>
      <c r="N852" s="4">
        <v>0</v>
      </c>
      <c r="O852" s="4">
        <v>0</v>
      </c>
    </row>
    <row r="853" spans="2:15">
      <c r="B853" t="s">
        <v>764</v>
      </c>
      <c r="C853" t="s">
        <v>50</v>
      </c>
      <c r="D853" t="s">
        <v>2659</v>
      </c>
      <c r="E853" t="s">
        <v>2660</v>
      </c>
      <c r="F853" t="s">
        <v>12</v>
      </c>
      <c r="G853" t="s">
        <v>2659</v>
      </c>
      <c r="H853" t="s">
        <v>2661</v>
      </c>
      <c r="I853" t="s">
        <v>31</v>
      </c>
      <c r="J853">
        <v>0</v>
      </c>
      <c r="K853">
        <v>2</v>
      </c>
      <c r="L853" s="4">
        <v>0.04</v>
      </c>
      <c r="M853">
        <v>0.09</v>
      </c>
      <c r="N853" s="4">
        <v>0</v>
      </c>
      <c r="O853" s="4">
        <v>0</v>
      </c>
    </row>
    <row r="854" spans="2:15">
      <c r="B854" t="s">
        <v>764</v>
      </c>
      <c r="C854" t="s">
        <v>50</v>
      </c>
      <c r="D854" t="s">
        <v>2662</v>
      </c>
      <c r="E854" t="s">
        <v>2663</v>
      </c>
      <c r="F854" t="s">
        <v>12</v>
      </c>
      <c r="G854" t="s">
        <v>2662</v>
      </c>
      <c r="H854" t="s">
        <v>2664</v>
      </c>
      <c r="I854" t="s">
        <v>31</v>
      </c>
      <c r="J854">
        <v>0</v>
      </c>
      <c r="K854">
        <v>1</v>
      </c>
      <c r="L854" s="4">
        <v>0.04</v>
      </c>
      <c r="M854">
        <v>0.09</v>
      </c>
      <c r="N854" s="4">
        <v>0</v>
      </c>
      <c r="O854" s="4">
        <v>0</v>
      </c>
    </row>
    <row r="855" spans="2:15">
      <c r="B855" t="s">
        <v>764</v>
      </c>
      <c r="C855" t="s">
        <v>50</v>
      </c>
      <c r="D855" t="s">
        <v>2665</v>
      </c>
      <c r="E855" t="s">
        <v>2666</v>
      </c>
      <c r="F855" t="s">
        <v>12</v>
      </c>
      <c r="G855" t="s">
        <v>2665</v>
      </c>
      <c r="H855" t="s">
        <v>2667</v>
      </c>
      <c r="I855" t="s">
        <v>31</v>
      </c>
      <c r="J855">
        <v>0</v>
      </c>
      <c r="K855">
        <v>8</v>
      </c>
      <c r="L855" s="4">
        <v>0.04</v>
      </c>
      <c r="M855">
        <v>0.09</v>
      </c>
      <c r="N855" s="4">
        <v>0</v>
      </c>
      <c r="O855" s="4">
        <v>0</v>
      </c>
    </row>
    <row r="856" spans="2:15">
      <c r="B856" t="s">
        <v>764</v>
      </c>
      <c r="C856" t="s">
        <v>50</v>
      </c>
      <c r="D856" t="s">
        <v>2668</v>
      </c>
      <c r="E856" t="s">
        <v>2669</v>
      </c>
      <c r="F856" t="s">
        <v>12</v>
      </c>
      <c r="G856" t="s">
        <v>2668</v>
      </c>
      <c r="H856" t="s">
        <v>2670</v>
      </c>
      <c r="I856" t="s">
        <v>31</v>
      </c>
      <c r="J856">
        <v>0</v>
      </c>
      <c r="K856">
        <v>2</v>
      </c>
      <c r="L856" s="4">
        <v>0.04</v>
      </c>
      <c r="M856">
        <v>0.09</v>
      </c>
      <c r="N856" s="4">
        <v>0</v>
      </c>
      <c r="O856" s="4">
        <v>0</v>
      </c>
    </row>
    <row r="857" spans="2:15">
      <c r="B857" t="s">
        <v>764</v>
      </c>
      <c r="C857" t="s">
        <v>50</v>
      </c>
      <c r="D857" t="s">
        <v>2671</v>
      </c>
      <c r="E857" t="s">
        <v>2672</v>
      </c>
      <c r="F857" t="s">
        <v>12</v>
      </c>
      <c r="G857" t="s">
        <v>2671</v>
      </c>
      <c r="H857" t="s">
        <v>2673</v>
      </c>
      <c r="I857" t="s">
        <v>31</v>
      </c>
      <c r="J857">
        <v>0</v>
      </c>
      <c r="K857">
        <v>6</v>
      </c>
      <c r="L857" s="4">
        <v>0.04</v>
      </c>
      <c r="M857">
        <v>0.09</v>
      </c>
      <c r="N857" s="4">
        <v>0</v>
      </c>
      <c r="O857" s="4">
        <v>0</v>
      </c>
    </row>
    <row r="858" spans="2:15">
      <c r="B858" t="s">
        <v>764</v>
      </c>
      <c r="C858" t="s">
        <v>50</v>
      </c>
      <c r="D858" t="s">
        <v>2674</v>
      </c>
      <c r="E858" t="s">
        <v>2675</v>
      </c>
      <c r="F858" t="s">
        <v>12</v>
      </c>
      <c r="G858" t="s">
        <v>2674</v>
      </c>
      <c r="H858" t="s">
        <v>2676</v>
      </c>
      <c r="I858" t="s">
        <v>31</v>
      </c>
      <c r="J858">
        <v>0</v>
      </c>
      <c r="K858">
        <v>1</v>
      </c>
      <c r="L858" s="4">
        <v>0.04</v>
      </c>
      <c r="M858">
        <v>0.09</v>
      </c>
      <c r="N858" s="4">
        <v>0</v>
      </c>
      <c r="O858" s="4">
        <v>0</v>
      </c>
    </row>
    <row r="859" spans="2:15">
      <c r="B859" t="s">
        <v>764</v>
      </c>
      <c r="C859" t="s">
        <v>761</v>
      </c>
      <c r="D859" t="s">
        <v>2677</v>
      </c>
      <c r="E859" t="s">
        <v>2678</v>
      </c>
      <c r="F859" t="s">
        <v>10</v>
      </c>
      <c r="G859" t="s">
        <v>2677</v>
      </c>
      <c r="H859" t="s">
        <v>2679</v>
      </c>
      <c r="I859" t="s">
        <v>32</v>
      </c>
      <c r="J859">
        <v>0</v>
      </c>
      <c r="K859">
        <v>1</v>
      </c>
      <c r="L859" s="4">
        <v>3.5000000000000001E-3</v>
      </c>
      <c r="M859">
        <v>0.02</v>
      </c>
      <c r="N859" s="4">
        <v>3.5000000000000001E-3</v>
      </c>
      <c r="O859" s="4">
        <v>0.02</v>
      </c>
    </row>
    <row r="860" spans="2:15">
      <c r="B860" t="s">
        <v>764</v>
      </c>
      <c r="C860" t="s">
        <v>761</v>
      </c>
      <c r="D860" t="s">
        <v>2680</v>
      </c>
      <c r="E860" t="s">
        <v>2681</v>
      </c>
      <c r="F860" t="s">
        <v>10</v>
      </c>
      <c r="G860" t="s">
        <v>2680</v>
      </c>
      <c r="H860" t="s">
        <v>2682</v>
      </c>
      <c r="I860" t="s">
        <v>32</v>
      </c>
      <c r="J860">
        <v>0</v>
      </c>
      <c r="K860">
        <v>2</v>
      </c>
      <c r="L860" s="4">
        <v>3.5000000000000001E-3</v>
      </c>
      <c r="M860">
        <v>0.02</v>
      </c>
      <c r="N860" s="4">
        <v>7.0000000000000001E-3</v>
      </c>
      <c r="O860" s="4">
        <v>0.04</v>
      </c>
    </row>
    <row r="861" spans="2:15">
      <c r="B861" t="s">
        <v>764</v>
      </c>
      <c r="C861" t="s">
        <v>761</v>
      </c>
      <c r="D861" t="s">
        <v>2683</v>
      </c>
      <c r="E861" t="s">
        <v>2684</v>
      </c>
      <c r="F861" t="s">
        <v>12</v>
      </c>
      <c r="G861" t="s">
        <v>2683</v>
      </c>
      <c r="H861" t="s">
        <v>2685</v>
      </c>
      <c r="I861" t="s">
        <v>32</v>
      </c>
      <c r="J861">
        <v>2</v>
      </c>
      <c r="K861">
        <v>0</v>
      </c>
      <c r="L861" s="4">
        <v>0.04</v>
      </c>
      <c r="M861">
        <v>0.09</v>
      </c>
      <c r="N861" s="4">
        <v>8.0000000000000007E-5</v>
      </c>
      <c r="O861" s="4">
        <v>1.7999999999999998E-4</v>
      </c>
    </row>
    <row r="862" spans="2:15">
      <c r="B862" t="s">
        <v>764</v>
      </c>
      <c r="C862" t="s">
        <v>761</v>
      </c>
      <c r="D862" t="s">
        <v>2686</v>
      </c>
      <c r="E862" t="s">
        <v>2687</v>
      </c>
      <c r="F862" t="s">
        <v>12</v>
      </c>
      <c r="G862" t="s">
        <v>2686</v>
      </c>
      <c r="H862" t="s">
        <v>2688</v>
      </c>
      <c r="I862" t="s">
        <v>32</v>
      </c>
      <c r="J862">
        <v>2</v>
      </c>
      <c r="K862">
        <v>0</v>
      </c>
      <c r="L862" s="4">
        <v>0.04</v>
      </c>
      <c r="M862">
        <v>0.09</v>
      </c>
      <c r="N862" s="4">
        <v>8.0000000000000007E-5</v>
      </c>
      <c r="O862" s="4">
        <v>1.7999999999999998E-4</v>
      </c>
    </row>
    <row r="863" spans="2:15">
      <c r="B863" t="s">
        <v>764</v>
      </c>
      <c r="C863" t="s">
        <v>761</v>
      </c>
      <c r="D863" t="s">
        <v>2689</v>
      </c>
      <c r="E863" t="s">
        <v>2690</v>
      </c>
      <c r="F863" t="s">
        <v>12</v>
      </c>
      <c r="G863" t="s">
        <v>2689</v>
      </c>
      <c r="H863" t="s">
        <v>2691</v>
      </c>
      <c r="I863" t="s">
        <v>32</v>
      </c>
      <c r="J863">
        <v>2</v>
      </c>
      <c r="K863">
        <v>0</v>
      </c>
      <c r="L863" s="4">
        <v>0.04</v>
      </c>
      <c r="M863">
        <v>0.09</v>
      </c>
      <c r="N863" s="4">
        <v>8.0000000000000007E-5</v>
      </c>
      <c r="O863" s="4">
        <v>1.7999999999999998E-4</v>
      </c>
    </row>
    <row r="864" spans="2:15">
      <c r="B864" t="s">
        <v>764</v>
      </c>
      <c r="C864" t="s">
        <v>761</v>
      </c>
      <c r="D864" t="s">
        <v>2692</v>
      </c>
      <c r="E864" t="s">
        <v>2693</v>
      </c>
      <c r="F864" t="s">
        <v>12</v>
      </c>
      <c r="G864" t="s">
        <v>2692</v>
      </c>
      <c r="H864" t="s">
        <v>2694</v>
      </c>
      <c r="I864" t="s">
        <v>32</v>
      </c>
      <c r="J864">
        <v>4</v>
      </c>
      <c r="K864">
        <v>0</v>
      </c>
      <c r="L864" s="4">
        <v>0.04</v>
      </c>
      <c r="M864">
        <v>0.09</v>
      </c>
      <c r="N864" s="4">
        <v>1.6000000000000001E-4</v>
      </c>
      <c r="O864" s="4">
        <v>3.5999999999999997E-4</v>
      </c>
    </row>
    <row r="865" spans="2:15">
      <c r="B865" t="s">
        <v>764</v>
      </c>
      <c r="C865" t="s">
        <v>761</v>
      </c>
      <c r="D865" t="s">
        <v>2695</v>
      </c>
      <c r="E865" t="s">
        <v>2696</v>
      </c>
      <c r="F865" t="s">
        <v>12</v>
      </c>
      <c r="G865" t="s">
        <v>2695</v>
      </c>
      <c r="H865" t="s">
        <v>2697</v>
      </c>
      <c r="I865" t="s">
        <v>32</v>
      </c>
      <c r="J865">
        <v>2</v>
      </c>
      <c r="K865">
        <v>0</v>
      </c>
      <c r="L865" s="4">
        <v>0.04</v>
      </c>
      <c r="M865">
        <v>0.09</v>
      </c>
      <c r="N865" s="4">
        <v>8.0000000000000007E-5</v>
      </c>
      <c r="O865" s="4">
        <v>1.7999999999999998E-4</v>
      </c>
    </row>
    <row r="866" spans="2:15">
      <c r="B866" t="s">
        <v>764</v>
      </c>
      <c r="C866" t="s">
        <v>761</v>
      </c>
      <c r="D866" t="s">
        <v>2698</v>
      </c>
      <c r="E866" t="s">
        <v>2699</v>
      </c>
      <c r="F866" t="s">
        <v>12</v>
      </c>
      <c r="G866" t="s">
        <v>2698</v>
      </c>
      <c r="H866" t="s">
        <v>2700</v>
      </c>
      <c r="I866" t="s">
        <v>32</v>
      </c>
      <c r="J866">
        <v>2</v>
      </c>
      <c r="K866">
        <v>1</v>
      </c>
      <c r="L866" s="4">
        <v>0.04</v>
      </c>
      <c r="M866">
        <v>0.09</v>
      </c>
      <c r="N866" s="4">
        <v>8.0000000000000007E-5</v>
      </c>
      <c r="O866" s="4">
        <v>1.7999999999999998E-4</v>
      </c>
    </row>
    <row r="867" spans="2:15">
      <c r="B867" t="s">
        <v>764</v>
      </c>
      <c r="C867" t="s">
        <v>761</v>
      </c>
      <c r="D867" t="s">
        <v>2701</v>
      </c>
      <c r="E867" t="s">
        <v>2702</v>
      </c>
      <c r="F867" t="s">
        <v>10</v>
      </c>
      <c r="G867" t="s">
        <v>2701</v>
      </c>
      <c r="H867" t="s">
        <v>2703</v>
      </c>
      <c r="I867" t="s">
        <v>32</v>
      </c>
      <c r="J867">
        <v>6</v>
      </c>
      <c r="K867">
        <v>11</v>
      </c>
      <c r="L867" s="4">
        <v>3.5000000000000001E-3</v>
      </c>
      <c r="M867">
        <v>0.02</v>
      </c>
      <c r="N867" s="4">
        <v>3.85E-2</v>
      </c>
      <c r="O867" s="4">
        <v>0.22</v>
      </c>
    </row>
    <row r="868" spans="2:15">
      <c r="B868" t="s">
        <v>764</v>
      </c>
      <c r="C868" t="s">
        <v>761</v>
      </c>
      <c r="D868" t="s">
        <v>2704</v>
      </c>
      <c r="E868" t="s">
        <v>2705</v>
      </c>
      <c r="F868" t="s">
        <v>12</v>
      </c>
      <c r="G868" t="s">
        <v>2704</v>
      </c>
      <c r="H868" t="s">
        <v>2706</v>
      </c>
      <c r="I868" t="s">
        <v>32</v>
      </c>
      <c r="J868">
        <v>18</v>
      </c>
      <c r="K868">
        <v>3</v>
      </c>
      <c r="L868" s="4">
        <v>0.04</v>
      </c>
      <c r="M868">
        <v>0.09</v>
      </c>
      <c r="N868" s="4">
        <v>7.1999999999999994E-4</v>
      </c>
      <c r="O868" s="4">
        <v>1.6199999999999999E-3</v>
      </c>
    </row>
    <row r="869" spans="2:15">
      <c r="B869" t="s">
        <v>764</v>
      </c>
      <c r="C869" t="s">
        <v>761</v>
      </c>
      <c r="D869" t="s">
        <v>2707</v>
      </c>
      <c r="E869" t="s">
        <v>2708</v>
      </c>
      <c r="F869" t="s">
        <v>10</v>
      </c>
      <c r="G869" t="s">
        <v>2707</v>
      </c>
      <c r="H869" t="s">
        <v>2709</v>
      </c>
      <c r="I869" t="s">
        <v>32</v>
      </c>
      <c r="J869">
        <v>6</v>
      </c>
      <c r="K869">
        <v>6</v>
      </c>
      <c r="L869" s="4">
        <v>3.5000000000000001E-3</v>
      </c>
      <c r="M869">
        <v>0.02</v>
      </c>
      <c r="N869" s="4">
        <v>2.1000000000000001E-2</v>
      </c>
      <c r="O869" s="4">
        <v>0.12</v>
      </c>
    </row>
    <row r="870" spans="2:15">
      <c r="B870" t="s">
        <v>764</v>
      </c>
      <c r="C870" t="s">
        <v>761</v>
      </c>
      <c r="D870" t="s">
        <v>2710</v>
      </c>
      <c r="E870" t="s">
        <v>2711</v>
      </c>
      <c r="F870" t="s">
        <v>10</v>
      </c>
      <c r="G870" t="s">
        <v>2710</v>
      </c>
      <c r="H870" t="s">
        <v>2712</v>
      </c>
      <c r="I870" t="s">
        <v>32</v>
      </c>
      <c r="J870">
        <v>0</v>
      </c>
      <c r="K870">
        <v>1</v>
      </c>
      <c r="L870" s="4">
        <v>3.5000000000000001E-3</v>
      </c>
      <c r="M870">
        <v>0.02</v>
      </c>
      <c r="N870" s="4">
        <v>3.5000000000000001E-3</v>
      </c>
      <c r="O870" s="4">
        <v>0.02</v>
      </c>
    </row>
    <row r="871" spans="2:15">
      <c r="B871" t="s">
        <v>764</v>
      </c>
      <c r="C871" t="s">
        <v>761</v>
      </c>
      <c r="D871" t="s">
        <v>2713</v>
      </c>
      <c r="E871" t="s">
        <v>2714</v>
      </c>
      <c r="F871" t="s">
        <v>10</v>
      </c>
      <c r="G871" t="s">
        <v>2713</v>
      </c>
      <c r="H871" t="s">
        <v>2715</v>
      </c>
      <c r="I871" t="s">
        <v>32</v>
      </c>
      <c r="J871">
        <v>0</v>
      </c>
      <c r="K871">
        <v>1</v>
      </c>
      <c r="L871" s="4">
        <v>3.5000000000000001E-3</v>
      </c>
      <c r="M871">
        <v>0.02</v>
      </c>
      <c r="N871" s="4">
        <v>3.5000000000000001E-3</v>
      </c>
      <c r="O871" s="4">
        <v>0.02</v>
      </c>
    </row>
    <row r="872" spans="2:15">
      <c r="B872" t="s">
        <v>764</v>
      </c>
      <c r="C872" t="s">
        <v>118</v>
      </c>
      <c r="D872" t="s">
        <v>2716</v>
      </c>
      <c r="E872" t="s">
        <v>2717</v>
      </c>
      <c r="F872" t="s">
        <v>12</v>
      </c>
      <c r="G872" t="s">
        <v>2716</v>
      </c>
      <c r="H872" t="s">
        <v>2718</v>
      </c>
      <c r="I872" t="s">
        <v>31</v>
      </c>
      <c r="J872">
        <v>47</v>
      </c>
      <c r="K872">
        <v>0</v>
      </c>
      <c r="L872" s="4">
        <v>0.04</v>
      </c>
      <c r="M872">
        <v>0.09</v>
      </c>
      <c r="N872" s="4">
        <v>1.8800000000000002E-3</v>
      </c>
      <c r="O872" s="4">
        <v>4.2299999999999994E-3</v>
      </c>
    </row>
    <row r="873" spans="2:15">
      <c r="B873" t="s">
        <v>764</v>
      </c>
      <c r="C873" t="s">
        <v>118</v>
      </c>
      <c r="D873" t="s">
        <v>2719</v>
      </c>
      <c r="E873" t="s">
        <v>2720</v>
      </c>
      <c r="F873" t="s">
        <v>12</v>
      </c>
      <c r="G873" t="s">
        <v>2719</v>
      </c>
      <c r="H873" t="s">
        <v>2721</v>
      </c>
      <c r="I873" t="s">
        <v>31</v>
      </c>
      <c r="J873">
        <v>45</v>
      </c>
      <c r="K873">
        <v>0</v>
      </c>
      <c r="L873" s="4">
        <v>0.04</v>
      </c>
      <c r="M873">
        <v>0.09</v>
      </c>
      <c r="N873" s="4">
        <v>1.8E-3</v>
      </c>
      <c r="O873" s="4">
        <v>4.0499999999999998E-3</v>
      </c>
    </row>
    <row r="874" spans="2:15">
      <c r="B874" t="s">
        <v>764</v>
      </c>
      <c r="C874" t="s">
        <v>118</v>
      </c>
      <c r="D874" t="s">
        <v>2722</v>
      </c>
      <c r="E874" t="s">
        <v>2723</v>
      </c>
      <c r="F874" t="s">
        <v>12</v>
      </c>
      <c r="G874" t="s">
        <v>2722</v>
      </c>
      <c r="H874" t="s">
        <v>2724</v>
      </c>
      <c r="I874" t="s">
        <v>31</v>
      </c>
      <c r="J874">
        <v>376</v>
      </c>
      <c r="K874">
        <v>0</v>
      </c>
      <c r="L874" s="4">
        <v>0.04</v>
      </c>
      <c r="M874">
        <v>0.09</v>
      </c>
      <c r="N874" s="4">
        <v>1.5040000000000001E-2</v>
      </c>
      <c r="O874" s="4">
        <v>3.3839999999999995E-2</v>
      </c>
    </row>
    <row r="875" spans="2:15">
      <c r="B875" t="s">
        <v>764</v>
      </c>
      <c r="C875" t="s">
        <v>118</v>
      </c>
      <c r="D875" t="s">
        <v>783</v>
      </c>
      <c r="E875" t="s">
        <v>784</v>
      </c>
      <c r="F875" t="s">
        <v>12</v>
      </c>
      <c r="G875" t="s">
        <v>783</v>
      </c>
      <c r="H875" t="s">
        <v>785</v>
      </c>
      <c r="I875" t="s">
        <v>31</v>
      </c>
      <c r="J875">
        <v>355</v>
      </c>
      <c r="K875">
        <v>0</v>
      </c>
      <c r="L875" s="4">
        <v>0.04</v>
      </c>
      <c r="M875">
        <v>0.09</v>
      </c>
      <c r="N875" s="4">
        <v>1.4200000000000001E-2</v>
      </c>
      <c r="O875" s="4">
        <v>3.1949999999999999E-2</v>
      </c>
    </row>
    <row r="876" spans="2:15">
      <c r="B876" t="s">
        <v>764</v>
      </c>
      <c r="C876" t="s">
        <v>118</v>
      </c>
      <c r="D876" t="s">
        <v>2725</v>
      </c>
      <c r="E876" t="s">
        <v>2726</v>
      </c>
      <c r="F876" t="s">
        <v>12</v>
      </c>
      <c r="G876" t="s">
        <v>2725</v>
      </c>
      <c r="H876" t="s">
        <v>2727</v>
      </c>
      <c r="I876" t="s">
        <v>31</v>
      </c>
      <c r="J876">
        <v>58</v>
      </c>
      <c r="K876">
        <v>0</v>
      </c>
      <c r="L876" s="4">
        <v>0.04</v>
      </c>
      <c r="M876">
        <v>0.09</v>
      </c>
      <c r="N876" s="4">
        <v>2.32E-3</v>
      </c>
      <c r="O876" s="4">
        <v>5.2199999999999998E-3</v>
      </c>
    </row>
    <row r="877" spans="2:15">
      <c r="B877" t="s">
        <v>764</v>
      </c>
      <c r="C877" t="s">
        <v>118</v>
      </c>
      <c r="D877" t="s">
        <v>2728</v>
      </c>
      <c r="E877" t="s">
        <v>2729</v>
      </c>
      <c r="F877" t="s">
        <v>12</v>
      </c>
      <c r="G877" t="s">
        <v>2728</v>
      </c>
      <c r="H877" t="s">
        <v>2730</v>
      </c>
      <c r="I877" t="s">
        <v>31</v>
      </c>
      <c r="J877">
        <v>57</v>
      </c>
      <c r="K877">
        <v>0</v>
      </c>
      <c r="L877" s="4">
        <v>0.04</v>
      </c>
      <c r="M877">
        <v>0.09</v>
      </c>
      <c r="N877" s="4">
        <v>2.2800000000000003E-3</v>
      </c>
      <c r="O877" s="4">
        <v>5.13E-3</v>
      </c>
    </row>
    <row r="878" spans="2:15">
      <c r="B878" t="s">
        <v>764</v>
      </c>
      <c r="C878" t="s">
        <v>118</v>
      </c>
      <c r="D878" t="s">
        <v>2731</v>
      </c>
      <c r="E878" t="s">
        <v>2732</v>
      </c>
      <c r="F878" t="s">
        <v>12</v>
      </c>
      <c r="G878" t="s">
        <v>2731</v>
      </c>
      <c r="H878" t="s">
        <v>2733</v>
      </c>
      <c r="I878" t="s">
        <v>31</v>
      </c>
      <c r="J878">
        <v>41</v>
      </c>
      <c r="K878">
        <v>0</v>
      </c>
      <c r="L878" s="4">
        <v>0.04</v>
      </c>
      <c r="M878">
        <v>0.09</v>
      </c>
      <c r="N878" s="4">
        <v>1.6400000000000002E-3</v>
      </c>
      <c r="O878" s="4">
        <v>3.6900000000000001E-3</v>
      </c>
    </row>
    <row r="879" spans="2:15">
      <c r="B879" t="s">
        <v>764</v>
      </c>
      <c r="C879" t="s">
        <v>118</v>
      </c>
      <c r="D879" t="s">
        <v>2734</v>
      </c>
      <c r="E879" t="s">
        <v>2735</v>
      </c>
      <c r="F879" t="s">
        <v>12</v>
      </c>
      <c r="G879" t="s">
        <v>2734</v>
      </c>
      <c r="H879" t="s">
        <v>2736</v>
      </c>
      <c r="I879" t="s">
        <v>31</v>
      </c>
      <c r="J879">
        <v>47</v>
      </c>
      <c r="K879">
        <v>0</v>
      </c>
      <c r="L879" s="4">
        <v>0.04</v>
      </c>
      <c r="M879">
        <v>0.09</v>
      </c>
      <c r="N879" s="4">
        <v>1.8800000000000002E-3</v>
      </c>
      <c r="O879" s="4">
        <v>4.2299999999999994E-3</v>
      </c>
    </row>
    <row r="880" spans="2:15">
      <c r="B880" t="s">
        <v>764</v>
      </c>
      <c r="C880" t="s">
        <v>118</v>
      </c>
      <c r="D880" t="s">
        <v>2737</v>
      </c>
      <c r="E880" t="s">
        <v>2738</v>
      </c>
      <c r="F880" t="s">
        <v>12</v>
      </c>
      <c r="G880" t="s">
        <v>2737</v>
      </c>
      <c r="H880" t="s">
        <v>2739</v>
      </c>
      <c r="I880" t="s">
        <v>31</v>
      </c>
      <c r="J880">
        <v>118</v>
      </c>
      <c r="K880">
        <v>0</v>
      </c>
      <c r="L880" s="4">
        <v>0.04</v>
      </c>
      <c r="M880">
        <v>0.09</v>
      </c>
      <c r="N880" s="4">
        <v>4.7199999999999994E-3</v>
      </c>
      <c r="O880" s="4">
        <v>1.0619999999999999E-2</v>
      </c>
    </row>
    <row r="881" spans="2:15">
      <c r="B881" t="s">
        <v>764</v>
      </c>
      <c r="C881" t="s">
        <v>118</v>
      </c>
      <c r="D881" t="s">
        <v>2740</v>
      </c>
      <c r="E881" t="s">
        <v>2741</v>
      </c>
      <c r="F881" t="s">
        <v>12</v>
      </c>
      <c r="G881" t="s">
        <v>2740</v>
      </c>
      <c r="H881" t="s">
        <v>2742</v>
      </c>
      <c r="I881" t="s">
        <v>31</v>
      </c>
      <c r="J881">
        <v>139</v>
      </c>
      <c r="K881">
        <v>0</v>
      </c>
      <c r="L881" s="4">
        <v>0.04</v>
      </c>
      <c r="M881">
        <v>0.09</v>
      </c>
      <c r="N881" s="4">
        <v>5.5600000000000007E-3</v>
      </c>
      <c r="O881" s="4">
        <v>1.251E-2</v>
      </c>
    </row>
    <row r="882" spans="2:15">
      <c r="B882" t="s">
        <v>764</v>
      </c>
      <c r="C882" t="s">
        <v>118</v>
      </c>
      <c r="D882" t="s">
        <v>2743</v>
      </c>
      <c r="E882" t="s">
        <v>2744</v>
      </c>
      <c r="F882" t="s">
        <v>12</v>
      </c>
      <c r="G882" t="s">
        <v>2743</v>
      </c>
      <c r="H882" t="s">
        <v>2745</v>
      </c>
      <c r="I882" t="s">
        <v>31</v>
      </c>
      <c r="J882">
        <v>28</v>
      </c>
      <c r="K882">
        <v>0</v>
      </c>
      <c r="L882" s="4">
        <v>0.04</v>
      </c>
      <c r="M882">
        <v>0.09</v>
      </c>
      <c r="N882" s="4">
        <v>1.1200000000000001E-3</v>
      </c>
      <c r="O882" s="4">
        <v>2.5200000000000001E-3</v>
      </c>
    </row>
    <row r="883" spans="2:15">
      <c r="B883" t="s">
        <v>764</v>
      </c>
      <c r="C883" t="s">
        <v>118</v>
      </c>
      <c r="D883" t="s">
        <v>2746</v>
      </c>
      <c r="E883" t="s">
        <v>2747</v>
      </c>
      <c r="F883" t="s">
        <v>12</v>
      </c>
      <c r="G883" t="s">
        <v>2746</v>
      </c>
      <c r="H883" t="s">
        <v>2748</v>
      </c>
      <c r="I883" t="s">
        <v>31</v>
      </c>
      <c r="J883">
        <v>30</v>
      </c>
      <c r="K883">
        <v>0</v>
      </c>
      <c r="L883" s="4">
        <v>0.04</v>
      </c>
      <c r="M883">
        <v>0.09</v>
      </c>
      <c r="N883" s="4">
        <v>1.1999999999999999E-3</v>
      </c>
      <c r="O883" s="4">
        <v>2.6999999999999997E-3</v>
      </c>
    </row>
    <row r="884" spans="2:15">
      <c r="B884" t="s">
        <v>764</v>
      </c>
      <c r="C884" t="s">
        <v>118</v>
      </c>
      <c r="D884" t="s">
        <v>787</v>
      </c>
      <c r="E884" t="s">
        <v>788</v>
      </c>
      <c r="F884" t="s">
        <v>12</v>
      </c>
      <c r="G884" t="s">
        <v>787</v>
      </c>
      <c r="H884" t="s">
        <v>789</v>
      </c>
      <c r="I884" t="s">
        <v>32</v>
      </c>
      <c r="J884">
        <v>86037</v>
      </c>
      <c r="K884">
        <v>1393</v>
      </c>
      <c r="L884" s="4">
        <v>0.04</v>
      </c>
      <c r="M884">
        <v>0.09</v>
      </c>
      <c r="N884" s="4">
        <v>3.4414799999999999</v>
      </c>
      <c r="O884" s="4">
        <v>7.7433300000000003</v>
      </c>
    </row>
    <row r="885" spans="2:15">
      <c r="B885" t="s">
        <v>764</v>
      </c>
      <c r="C885" t="s">
        <v>762</v>
      </c>
      <c r="D885" t="s">
        <v>2749</v>
      </c>
      <c r="E885" t="s">
        <v>2750</v>
      </c>
      <c r="F885" t="s">
        <v>10</v>
      </c>
      <c r="G885" t="s">
        <v>2749</v>
      </c>
      <c r="H885" t="s">
        <v>2751</v>
      </c>
      <c r="I885" t="s">
        <v>32</v>
      </c>
      <c r="J885">
        <v>0</v>
      </c>
      <c r="K885">
        <v>2</v>
      </c>
      <c r="L885" s="4">
        <v>3.5000000000000001E-3</v>
      </c>
      <c r="M885">
        <v>0.02</v>
      </c>
      <c r="N885" s="4">
        <v>7.0000000000000001E-3</v>
      </c>
      <c r="O885" s="4">
        <v>0.04</v>
      </c>
    </row>
    <row r="886" spans="2:15">
      <c r="B886" t="s">
        <v>764</v>
      </c>
      <c r="C886" t="s">
        <v>762</v>
      </c>
      <c r="D886" t="s">
        <v>2752</v>
      </c>
      <c r="E886" t="s">
        <v>2753</v>
      </c>
      <c r="F886" t="s">
        <v>10</v>
      </c>
      <c r="G886" t="s">
        <v>2752</v>
      </c>
      <c r="H886" t="s">
        <v>2754</v>
      </c>
      <c r="I886" t="s">
        <v>32</v>
      </c>
      <c r="J886">
        <v>0</v>
      </c>
      <c r="K886">
        <v>1</v>
      </c>
      <c r="L886" s="4">
        <v>3.5000000000000001E-3</v>
      </c>
      <c r="M886">
        <v>0.02</v>
      </c>
      <c r="N886" s="4">
        <v>3.5000000000000001E-3</v>
      </c>
      <c r="O886" s="4">
        <v>0.02</v>
      </c>
    </row>
    <row r="887" spans="2:15">
      <c r="B887" t="s">
        <v>764</v>
      </c>
      <c r="C887" t="s">
        <v>762</v>
      </c>
      <c r="D887" t="s">
        <v>790</v>
      </c>
      <c r="E887" t="s">
        <v>791</v>
      </c>
      <c r="F887" t="s">
        <v>10</v>
      </c>
      <c r="G887" t="s">
        <v>790</v>
      </c>
      <c r="H887" t="s">
        <v>792</v>
      </c>
      <c r="I887" t="s">
        <v>32</v>
      </c>
      <c r="J887">
        <v>0</v>
      </c>
      <c r="K887">
        <v>110</v>
      </c>
      <c r="L887" s="4">
        <v>3.5000000000000001E-3</v>
      </c>
      <c r="M887">
        <v>0.02</v>
      </c>
      <c r="N887" s="4">
        <v>0.38500000000000001</v>
      </c>
      <c r="O887" s="4">
        <v>2.2000000000000002</v>
      </c>
    </row>
    <row r="888" spans="2:15">
      <c r="B888" t="s">
        <v>764</v>
      </c>
      <c r="C888" t="s">
        <v>762</v>
      </c>
      <c r="D888" t="s">
        <v>793</v>
      </c>
      <c r="E888" t="s">
        <v>794</v>
      </c>
      <c r="F888" t="s">
        <v>10</v>
      </c>
      <c r="G888" t="s">
        <v>793</v>
      </c>
      <c r="H888" t="s">
        <v>795</v>
      </c>
      <c r="I888" t="s">
        <v>32</v>
      </c>
      <c r="J888">
        <v>0</v>
      </c>
      <c r="K888">
        <v>171</v>
      </c>
      <c r="L888" s="4">
        <v>3.5000000000000001E-3</v>
      </c>
      <c r="M888">
        <v>0.02</v>
      </c>
      <c r="N888" s="4">
        <v>0.59850000000000003</v>
      </c>
      <c r="O888" s="4">
        <v>3.42</v>
      </c>
    </row>
    <row r="889" spans="2:15">
      <c r="B889" t="s">
        <v>764</v>
      </c>
      <c r="C889" t="s">
        <v>253</v>
      </c>
      <c r="D889" t="s">
        <v>796</v>
      </c>
      <c r="E889" t="s">
        <v>797</v>
      </c>
      <c r="F889" t="s">
        <v>12</v>
      </c>
      <c r="G889" t="s">
        <v>796</v>
      </c>
      <c r="H889" t="s">
        <v>798</v>
      </c>
      <c r="I889" t="s">
        <v>32</v>
      </c>
      <c r="J889">
        <v>578</v>
      </c>
      <c r="K889">
        <v>0</v>
      </c>
      <c r="L889" s="4">
        <v>0.04</v>
      </c>
      <c r="M889">
        <v>0.09</v>
      </c>
      <c r="N889" s="4">
        <v>2.3120000000000002E-2</v>
      </c>
      <c r="O889" s="4">
        <v>5.2019999999999997E-2</v>
      </c>
    </row>
    <row r="890" spans="2:15">
      <c r="B890" t="s">
        <v>764</v>
      </c>
      <c r="C890" t="s">
        <v>253</v>
      </c>
      <c r="D890" t="s">
        <v>799</v>
      </c>
      <c r="E890" t="s">
        <v>800</v>
      </c>
      <c r="F890" t="s">
        <v>12</v>
      </c>
      <c r="G890" t="s">
        <v>799</v>
      </c>
      <c r="H890" t="s">
        <v>801</v>
      </c>
      <c r="I890" t="s">
        <v>32</v>
      </c>
      <c r="J890">
        <v>201</v>
      </c>
      <c r="K890">
        <v>0</v>
      </c>
      <c r="L890" s="4">
        <v>0.04</v>
      </c>
      <c r="M890">
        <v>0.09</v>
      </c>
      <c r="N890" s="4">
        <v>8.0400000000000003E-3</v>
      </c>
      <c r="O890" s="4">
        <v>1.8089999999999998E-2</v>
      </c>
    </row>
    <row r="891" spans="2:15">
      <c r="B891" t="s">
        <v>764</v>
      </c>
      <c r="C891" t="s">
        <v>99</v>
      </c>
      <c r="D891" t="s">
        <v>802</v>
      </c>
      <c r="E891" t="s">
        <v>803</v>
      </c>
      <c r="F891" t="s">
        <v>10</v>
      </c>
      <c r="G891" t="s">
        <v>802</v>
      </c>
      <c r="H891" t="s">
        <v>804</v>
      </c>
      <c r="I891" t="s">
        <v>32</v>
      </c>
      <c r="J891">
        <v>0</v>
      </c>
      <c r="K891">
        <v>7</v>
      </c>
      <c r="L891" s="4">
        <v>3.5000000000000001E-3</v>
      </c>
      <c r="M891">
        <v>0.02</v>
      </c>
      <c r="N891" s="4">
        <v>2.4500000000000001E-2</v>
      </c>
      <c r="O891" s="4">
        <v>0.14000000000000001</v>
      </c>
    </row>
    <row r="892" spans="2:15">
      <c r="B892" t="s">
        <v>764</v>
      </c>
      <c r="C892" t="s">
        <v>99</v>
      </c>
      <c r="D892" t="s">
        <v>2755</v>
      </c>
      <c r="E892" t="s">
        <v>2756</v>
      </c>
      <c r="F892" t="s">
        <v>10</v>
      </c>
      <c r="G892" t="s">
        <v>2755</v>
      </c>
      <c r="H892" t="s">
        <v>2757</v>
      </c>
      <c r="I892" t="s">
        <v>32</v>
      </c>
      <c r="J892">
        <v>0</v>
      </c>
      <c r="K892">
        <v>1</v>
      </c>
      <c r="L892" s="4">
        <v>3.5000000000000001E-3</v>
      </c>
      <c r="M892">
        <v>0.02</v>
      </c>
      <c r="N892" s="4">
        <v>3.5000000000000001E-3</v>
      </c>
      <c r="O892" s="4">
        <v>0.02</v>
      </c>
    </row>
    <row r="893" spans="2:15">
      <c r="B893" t="s">
        <v>764</v>
      </c>
      <c r="C893" t="s">
        <v>99</v>
      </c>
      <c r="D893" t="s">
        <v>2758</v>
      </c>
      <c r="E893" t="s">
        <v>2759</v>
      </c>
      <c r="F893" t="s">
        <v>10</v>
      </c>
      <c r="G893" t="s">
        <v>2758</v>
      </c>
      <c r="H893" t="s">
        <v>2760</v>
      </c>
      <c r="I893" t="s">
        <v>32</v>
      </c>
      <c r="J893">
        <v>0</v>
      </c>
      <c r="K893">
        <v>1</v>
      </c>
      <c r="L893" s="4">
        <v>3.5000000000000001E-3</v>
      </c>
      <c r="M893">
        <v>0.02</v>
      </c>
      <c r="N893" s="4">
        <v>3.5000000000000001E-3</v>
      </c>
      <c r="O893" s="4">
        <v>0.02</v>
      </c>
    </row>
    <row r="894" spans="2:15">
      <c r="B894" t="s">
        <v>764</v>
      </c>
      <c r="C894" t="s">
        <v>99</v>
      </c>
      <c r="D894" t="s">
        <v>2761</v>
      </c>
      <c r="E894" t="s">
        <v>2762</v>
      </c>
      <c r="F894" t="s">
        <v>10</v>
      </c>
      <c r="G894" t="s">
        <v>2761</v>
      </c>
      <c r="H894" t="s">
        <v>2763</v>
      </c>
      <c r="I894" t="s">
        <v>32</v>
      </c>
      <c r="J894">
        <v>0</v>
      </c>
      <c r="K894">
        <v>1</v>
      </c>
      <c r="L894" s="4">
        <v>3.5000000000000001E-3</v>
      </c>
      <c r="M894">
        <v>0.02</v>
      </c>
      <c r="N894" s="4">
        <v>3.5000000000000001E-3</v>
      </c>
      <c r="O894" s="4">
        <v>0.02</v>
      </c>
    </row>
    <row r="895" spans="2:15">
      <c r="B895" t="s">
        <v>764</v>
      </c>
      <c r="C895" t="s">
        <v>99</v>
      </c>
      <c r="D895" t="s">
        <v>2764</v>
      </c>
      <c r="E895" t="s">
        <v>2765</v>
      </c>
      <c r="F895" t="s">
        <v>10</v>
      </c>
      <c r="G895" t="s">
        <v>2764</v>
      </c>
      <c r="H895" t="s">
        <v>2766</v>
      </c>
      <c r="I895" t="s">
        <v>32</v>
      </c>
      <c r="J895">
        <v>0</v>
      </c>
      <c r="K895">
        <v>1</v>
      </c>
      <c r="L895" s="4">
        <v>3.5000000000000001E-3</v>
      </c>
      <c r="M895">
        <v>0.02</v>
      </c>
      <c r="N895" s="4">
        <v>3.5000000000000001E-3</v>
      </c>
      <c r="O895" s="4">
        <v>0.02</v>
      </c>
    </row>
    <row r="896" spans="2:15">
      <c r="B896" t="s">
        <v>764</v>
      </c>
      <c r="C896" t="s">
        <v>763</v>
      </c>
      <c r="D896" t="s">
        <v>2767</v>
      </c>
      <c r="E896" t="s">
        <v>2768</v>
      </c>
      <c r="F896" t="s">
        <v>12</v>
      </c>
      <c r="G896" t="s">
        <v>2767</v>
      </c>
      <c r="H896" t="s">
        <v>2769</v>
      </c>
      <c r="I896" t="s">
        <v>32</v>
      </c>
      <c r="J896">
        <v>2</v>
      </c>
      <c r="K896">
        <v>0</v>
      </c>
      <c r="L896" s="4">
        <v>0.04</v>
      </c>
      <c r="M896">
        <v>0.09</v>
      </c>
      <c r="N896" s="4">
        <v>8.0000000000000007E-5</v>
      </c>
      <c r="O896" s="4">
        <v>1.7999999999999998E-4</v>
      </c>
    </row>
    <row r="897" spans="2:15">
      <c r="B897" t="s">
        <v>764</v>
      </c>
      <c r="C897" t="s">
        <v>763</v>
      </c>
      <c r="D897" t="s">
        <v>2770</v>
      </c>
      <c r="E897" t="s">
        <v>2771</v>
      </c>
      <c r="F897" t="s">
        <v>12</v>
      </c>
      <c r="G897" t="s">
        <v>2770</v>
      </c>
      <c r="H897" t="s">
        <v>2772</v>
      </c>
      <c r="I897" t="s">
        <v>32</v>
      </c>
      <c r="J897">
        <v>1</v>
      </c>
      <c r="K897">
        <v>0</v>
      </c>
      <c r="L897" s="4">
        <v>0.04</v>
      </c>
      <c r="M897">
        <v>0.09</v>
      </c>
      <c r="N897" s="4">
        <v>4.0000000000000003E-5</v>
      </c>
      <c r="O897" s="4">
        <v>8.9999999999999992E-5</v>
      </c>
    </row>
    <row r="898" spans="2:15">
      <c r="B898" t="s">
        <v>764</v>
      </c>
      <c r="C898" t="s">
        <v>763</v>
      </c>
      <c r="D898" t="s">
        <v>2773</v>
      </c>
      <c r="E898" t="s">
        <v>2774</v>
      </c>
      <c r="F898" t="s">
        <v>10</v>
      </c>
      <c r="G898" t="s">
        <v>2773</v>
      </c>
      <c r="H898" t="s">
        <v>2775</v>
      </c>
      <c r="I898" t="s">
        <v>32</v>
      </c>
      <c r="J898">
        <v>1</v>
      </c>
      <c r="K898">
        <v>1</v>
      </c>
      <c r="L898" s="4">
        <v>3.5000000000000001E-3</v>
      </c>
      <c r="M898">
        <v>0.02</v>
      </c>
      <c r="N898" s="4">
        <v>3.5000000000000001E-3</v>
      </c>
      <c r="O898" s="4">
        <v>0.02</v>
      </c>
    </row>
    <row r="899" spans="2:15">
      <c r="B899" t="s">
        <v>764</v>
      </c>
      <c r="C899" t="s">
        <v>763</v>
      </c>
      <c r="D899" t="s">
        <v>2776</v>
      </c>
      <c r="E899" t="s">
        <v>2777</v>
      </c>
      <c r="F899" t="s">
        <v>12</v>
      </c>
      <c r="G899" t="s">
        <v>2776</v>
      </c>
      <c r="H899" t="s">
        <v>2778</v>
      </c>
      <c r="I899" t="s">
        <v>32</v>
      </c>
      <c r="J899">
        <v>1</v>
      </c>
      <c r="K899">
        <v>0</v>
      </c>
      <c r="L899" s="4">
        <v>0.04</v>
      </c>
      <c r="M899">
        <v>0.09</v>
      </c>
      <c r="N899" s="4">
        <v>4.0000000000000003E-5</v>
      </c>
      <c r="O899" s="4">
        <v>8.9999999999999992E-5</v>
      </c>
    </row>
    <row r="900" spans="2:15">
      <c r="B900" t="s">
        <v>764</v>
      </c>
      <c r="C900" t="s">
        <v>763</v>
      </c>
      <c r="D900" t="s">
        <v>2779</v>
      </c>
      <c r="E900" t="s">
        <v>2780</v>
      </c>
      <c r="F900" t="s">
        <v>12</v>
      </c>
      <c r="G900" t="s">
        <v>2779</v>
      </c>
      <c r="H900" t="s">
        <v>2781</v>
      </c>
      <c r="I900" t="s">
        <v>32</v>
      </c>
      <c r="J900">
        <v>66</v>
      </c>
      <c r="K900">
        <v>11</v>
      </c>
      <c r="L900" s="4">
        <v>0.04</v>
      </c>
      <c r="M900">
        <v>0.09</v>
      </c>
      <c r="N900" s="4">
        <v>2.64E-3</v>
      </c>
      <c r="O900" s="4">
        <v>5.9399999999999991E-3</v>
      </c>
    </row>
    <row r="901" spans="2:15">
      <c r="B901" t="s">
        <v>764</v>
      </c>
      <c r="C901" t="s">
        <v>763</v>
      </c>
      <c r="D901" t="s">
        <v>2782</v>
      </c>
      <c r="E901" t="s">
        <v>2783</v>
      </c>
      <c r="F901" t="s">
        <v>12</v>
      </c>
      <c r="G901" t="s">
        <v>2782</v>
      </c>
      <c r="H901" t="s">
        <v>2784</v>
      </c>
      <c r="I901" t="s">
        <v>32</v>
      </c>
      <c r="J901">
        <v>34</v>
      </c>
      <c r="K901">
        <v>0</v>
      </c>
      <c r="L901" s="4">
        <v>0.04</v>
      </c>
      <c r="M901">
        <v>0.09</v>
      </c>
      <c r="N901" s="4">
        <v>1.3600000000000001E-3</v>
      </c>
      <c r="O901" s="4">
        <v>3.0600000000000002E-3</v>
      </c>
    </row>
    <row r="902" spans="2:15">
      <c r="B902" t="s">
        <v>805</v>
      </c>
      <c r="C902" t="s">
        <v>760</v>
      </c>
      <c r="D902" t="s">
        <v>2785</v>
      </c>
      <c r="E902" t="s">
        <v>2786</v>
      </c>
      <c r="F902" t="s">
        <v>10</v>
      </c>
      <c r="G902" t="s">
        <v>2785</v>
      </c>
      <c r="H902" t="s">
        <v>2787</v>
      </c>
      <c r="I902" t="s">
        <v>32</v>
      </c>
      <c r="J902">
        <v>0</v>
      </c>
      <c r="K902">
        <v>3</v>
      </c>
      <c r="L902" s="4">
        <v>3.5000000000000001E-3</v>
      </c>
      <c r="M902">
        <v>0.02</v>
      </c>
      <c r="N902" s="4">
        <v>1.0500000000000001E-2</v>
      </c>
      <c r="O902" s="4">
        <v>0.06</v>
      </c>
    </row>
    <row r="903" spans="2:15">
      <c r="B903" t="s">
        <v>805</v>
      </c>
      <c r="C903" t="s">
        <v>760</v>
      </c>
      <c r="D903" t="s">
        <v>2788</v>
      </c>
      <c r="E903" t="s">
        <v>2789</v>
      </c>
      <c r="F903" t="s">
        <v>10</v>
      </c>
      <c r="G903" t="s">
        <v>2788</v>
      </c>
      <c r="H903" t="s">
        <v>2790</v>
      </c>
      <c r="I903" t="s">
        <v>32</v>
      </c>
      <c r="J903">
        <v>0</v>
      </c>
      <c r="K903">
        <v>2</v>
      </c>
      <c r="L903" s="4">
        <v>3.5000000000000001E-3</v>
      </c>
      <c r="M903">
        <v>0.02</v>
      </c>
      <c r="N903" s="4">
        <v>7.0000000000000001E-3</v>
      </c>
      <c r="O903" s="4">
        <v>0.04</v>
      </c>
    </row>
    <row r="904" spans="2:15">
      <c r="B904" t="s">
        <v>805</v>
      </c>
      <c r="C904" t="s">
        <v>760</v>
      </c>
      <c r="D904" t="s">
        <v>2791</v>
      </c>
      <c r="E904" t="s">
        <v>2792</v>
      </c>
      <c r="F904" t="s">
        <v>12</v>
      </c>
      <c r="G904" t="s">
        <v>2791</v>
      </c>
      <c r="H904" t="s">
        <v>2793</v>
      </c>
      <c r="I904" t="s">
        <v>32</v>
      </c>
      <c r="J904">
        <v>4</v>
      </c>
      <c r="K904">
        <v>0</v>
      </c>
      <c r="L904" s="4">
        <v>0.04</v>
      </c>
      <c r="M904">
        <v>0.09</v>
      </c>
      <c r="N904" s="4">
        <v>1.6000000000000001E-4</v>
      </c>
      <c r="O904" s="4">
        <v>3.5999999999999997E-4</v>
      </c>
    </row>
    <row r="905" spans="2:15">
      <c r="B905" t="s">
        <v>805</v>
      </c>
      <c r="C905" t="s">
        <v>760</v>
      </c>
      <c r="D905" t="s">
        <v>2794</v>
      </c>
      <c r="E905" t="s">
        <v>2795</v>
      </c>
      <c r="F905" t="s">
        <v>10</v>
      </c>
      <c r="G905" t="s">
        <v>2794</v>
      </c>
      <c r="H905" t="s">
        <v>2796</v>
      </c>
      <c r="I905" t="s">
        <v>32</v>
      </c>
      <c r="J905">
        <v>0</v>
      </c>
      <c r="K905">
        <v>1</v>
      </c>
      <c r="L905" s="4">
        <v>3.5000000000000001E-3</v>
      </c>
      <c r="M905">
        <v>0.02</v>
      </c>
      <c r="N905" s="4">
        <v>3.5000000000000001E-3</v>
      </c>
      <c r="O905" s="4">
        <v>0.02</v>
      </c>
    </row>
    <row r="906" spans="2:15">
      <c r="B906" t="s">
        <v>805</v>
      </c>
      <c r="C906" t="s">
        <v>760</v>
      </c>
      <c r="D906" t="s">
        <v>806</v>
      </c>
      <c r="E906" t="s">
        <v>807</v>
      </c>
      <c r="F906" t="s">
        <v>12</v>
      </c>
      <c r="G906" t="s">
        <v>806</v>
      </c>
      <c r="H906" t="s">
        <v>808</v>
      </c>
      <c r="I906" t="s">
        <v>32</v>
      </c>
      <c r="J906">
        <v>15</v>
      </c>
      <c r="K906">
        <v>0</v>
      </c>
      <c r="L906" s="4">
        <v>0.04</v>
      </c>
      <c r="M906">
        <v>0.09</v>
      </c>
      <c r="N906" s="4">
        <v>5.9999999999999995E-4</v>
      </c>
      <c r="O906" s="4">
        <v>1.3499999999999999E-3</v>
      </c>
    </row>
    <row r="907" spans="2:15">
      <c r="B907" t="s">
        <v>805</v>
      </c>
      <c r="C907" t="s">
        <v>118</v>
      </c>
      <c r="D907" t="s">
        <v>2797</v>
      </c>
      <c r="E907" t="s">
        <v>2798</v>
      </c>
      <c r="F907" t="s">
        <v>12</v>
      </c>
      <c r="G907" t="s">
        <v>2799</v>
      </c>
      <c r="H907" t="s">
        <v>2800</v>
      </c>
      <c r="I907" t="s">
        <v>31</v>
      </c>
      <c r="J907">
        <v>1</v>
      </c>
      <c r="K907">
        <v>0</v>
      </c>
      <c r="L907" s="4">
        <v>0.04</v>
      </c>
      <c r="M907">
        <v>0.09</v>
      </c>
      <c r="N907" s="4">
        <v>4.0000000000000003E-5</v>
      </c>
      <c r="O907" s="4">
        <v>8.9999999999999992E-5</v>
      </c>
    </row>
    <row r="908" spans="2:15">
      <c r="B908" t="s">
        <v>805</v>
      </c>
      <c r="C908" t="s">
        <v>118</v>
      </c>
      <c r="D908" t="s">
        <v>809</v>
      </c>
      <c r="E908" t="s">
        <v>810</v>
      </c>
      <c r="F908" t="s">
        <v>12</v>
      </c>
      <c r="G908" t="s">
        <v>809</v>
      </c>
      <c r="H908" t="s">
        <v>811</v>
      </c>
      <c r="I908" t="s">
        <v>32</v>
      </c>
      <c r="J908">
        <v>20</v>
      </c>
      <c r="K908">
        <v>13</v>
      </c>
      <c r="L908" s="4">
        <v>0.04</v>
      </c>
      <c r="M908">
        <v>0.09</v>
      </c>
      <c r="N908" s="4">
        <v>8.0000000000000004E-4</v>
      </c>
      <c r="O908" s="4">
        <v>1.7999999999999997E-3</v>
      </c>
    </row>
    <row r="909" spans="2:15">
      <c r="B909" t="s">
        <v>805</v>
      </c>
      <c r="C909" t="s">
        <v>118</v>
      </c>
      <c r="D909" t="s">
        <v>2801</v>
      </c>
      <c r="E909" t="s">
        <v>2802</v>
      </c>
      <c r="F909" t="s">
        <v>12</v>
      </c>
      <c r="G909" t="s">
        <v>2801</v>
      </c>
      <c r="H909" t="s">
        <v>2803</v>
      </c>
      <c r="I909" t="s">
        <v>32</v>
      </c>
      <c r="J909">
        <v>2</v>
      </c>
      <c r="K909">
        <v>0</v>
      </c>
      <c r="L909" s="4">
        <v>0.04</v>
      </c>
      <c r="M909">
        <v>0.09</v>
      </c>
      <c r="N909" s="4">
        <v>8.0000000000000007E-5</v>
      </c>
      <c r="O909" s="4">
        <v>1.7999999999999998E-4</v>
      </c>
    </row>
    <row r="910" spans="2:15">
      <c r="B910" t="s">
        <v>805</v>
      </c>
      <c r="C910" t="s">
        <v>763</v>
      </c>
      <c r="D910" t="s">
        <v>2804</v>
      </c>
      <c r="E910" t="s">
        <v>2805</v>
      </c>
      <c r="F910" t="s">
        <v>10</v>
      </c>
      <c r="G910" t="s">
        <v>2804</v>
      </c>
      <c r="H910" t="s">
        <v>2806</v>
      </c>
      <c r="I910" t="s">
        <v>32</v>
      </c>
      <c r="J910">
        <v>0</v>
      </c>
      <c r="K910">
        <v>1</v>
      </c>
      <c r="L910" s="4">
        <v>3.5000000000000001E-3</v>
      </c>
      <c r="M910">
        <v>0.02</v>
      </c>
      <c r="N910" s="4">
        <v>3.5000000000000001E-3</v>
      </c>
      <c r="O910" s="4">
        <v>0.02</v>
      </c>
    </row>
    <row r="911" spans="2:15">
      <c r="B911" t="s">
        <v>805</v>
      </c>
      <c r="C911" t="s">
        <v>763</v>
      </c>
      <c r="D911" t="s">
        <v>812</v>
      </c>
      <c r="E911" t="s">
        <v>813</v>
      </c>
      <c r="F911" t="s">
        <v>12</v>
      </c>
      <c r="G911" t="s">
        <v>812</v>
      </c>
      <c r="H911" t="s">
        <v>814</v>
      </c>
      <c r="I911" t="s">
        <v>32</v>
      </c>
      <c r="J911">
        <v>3</v>
      </c>
      <c r="K911">
        <v>0</v>
      </c>
      <c r="L911" s="4">
        <v>0.04</v>
      </c>
      <c r="M911">
        <v>0.09</v>
      </c>
      <c r="N911" s="4">
        <v>1.1999999999999999E-4</v>
      </c>
      <c r="O911" s="4">
        <v>2.7E-4</v>
      </c>
    </row>
    <row r="912" spans="2:15">
      <c r="B912" t="s">
        <v>805</v>
      </c>
      <c r="C912" t="s">
        <v>763</v>
      </c>
      <c r="D912" t="s">
        <v>2807</v>
      </c>
      <c r="E912" t="s">
        <v>2808</v>
      </c>
      <c r="F912" t="s">
        <v>12</v>
      </c>
      <c r="G912" t="s">
        <v>2807</v>
      </c>
      <c r="H912" t="s">
        <v>2809</v>
      </c>
      <c r="I912" t="s">
        <v>32</v>
      </c>
      <c r="J912">
        <v>5</v>
      </c>
      <c r="K912">
        <v>0</v>
      </c>
      <c r="L912" s="4">
        <v>0.04</v>
      </c>
      <c r="M912">
        <v>0.09</v>
      </c>
      <c r="N912" s="4">
        <v>2.0000000000000001E-4</v>
      </c>
      <c r="O912" s="4">
        <v>4.4999999999999993E-4</v>
      </c>
    </row>
    <row r="913" spans="2:15">
      <c r="B913" t="s">
        <v>815</v>
      </c>
      <c r="C913" t="s">
        <v>52</v>
      </c>
      <c r="D913" t="s">
        <v>816</v>
      </c>
      <c r="E913" t="s">
        <v>817</v>
      </c>
      <c r="F913" t="s">
        <v>10</v>
      </c>
      <c r="G913" t="s">
        <v>816</v>
      </c>
      <c r="H913" t="s">
        <v>818</v>
      </c>
      <c r="I913" t="s">
        <v>32</v>
      </c>
      <c r="J913">
        <v>0</v>
      </c>
      <c r="K913">
        <v>3</v>
      </c>
      <c r="L913" s="4">
        <v>3.5000000000000001E-3</v>
      </c>
      <c r="M913">
        <v>0.02</v>
      </c>
      <c r="N913" s="4">
        <v>1.0500000000000001E-2</v>
      </c>
      <c r="O913" s="4">
        <v>0.06</v>
      </c>
    </row>
    <row r="914" spans="2:15">
      <c r="B914" t="s">
        <v>815</v>
      </c>
      <c r="C914" t="s">
        <v>52</v>
      </c>
      <c r="D914" t="s">
        <v>2810</v>
      </c>
      <c r="E914" t="s">
        <v>2811</v>
      </c>
      <c r="F914" t="s">
        <v>10</v>
      </c>
      <c r="G914" t="s">
        <v>2810</v>
      </c>
      <c r="H914" t="s">
        <v>2812</v>
      </c>
      <c r="I914" t="s">
        <v>32</v>
      </c>
      <c r="J914">
        <v>0</v>
      </c>
      <c r="K914">
        <v>1</v>
      </c>
      <c r="L914" s="4">
        <v>3.5000000000000001E-3</v>
      </c>
      <c r="M914">
        <v>0.02</v>
      </c>
      <c r="N914" s="4">
        <v>3.5000000000000001E-3</v>
      </c>
      <c r="O914" s="4">
        <v>0.02</v>
      </c>
    </row>
    <row r="915" spans="2:15">
      <c r="B915" t="s">
        <v>815</v>
      </c>
      <c r="C915" t="s">
        <v>52</v>
      </c>
      <c r="D915" t="s">
        <v>2813</v>
      </c>
      <c r="E915" t="s">
        <v>2814</v>
      </c>
      <c r="F915" t="s">
        <v>10</v>
      </c>
      <c r="G915" t="s">
        <v>2813</v>
      </c>
      <c r="H915" t="s">
        <v>2815</v>
      </c>
      <c r="I915" t="s">
        <v>32</v>
      </c>
      <c r="J915">
        <v>0</v>
      </c>
      <c r="K915">
        <v>49</v>
      </c>
      <c r="L915" s="4">
        <v>3.5000000000000001E-3</v>
      </c>
      <c r="M915">
        <v>0.02</v>
      </c>
      <c r="N915" s="4">
        <v>0.17150000000000001</v>
      </c>
      <c r="O915" s="4">
        <v>0.98</v>
      </c>
    </row>
    <row r="916" spans="2:15">
      <c r="B916" t="s">
        <v>815</v>
      </c>
      <c r="C916" t="s">
        <v>52</v>
      </c>
      <c r="D916" t="s">
        <v>819</v>
      </c>
      <c r="E916" t="s">
        <v>820</v>
      </c>
      <c r="F916" t="s">
        <v>10</v>
      </c>
      <c r="G916" t="s">
        <v>819</v>
      </c>
      <c r="H916" t="s">
        <v>821</v>
      </c>
      <c r="I916" t="s">
        <v>32</v>
      </c>
      <c r="J916">
        <v>0</v>
      </c>
      <c r="K916">
        <v>2</v>
      </c>
      <c r="L916" s="4">
        <v>3.5000000000000001E-3</v>
      </c>
      <c r="M916">
        <v>0.02</v>
      </c>
      <c r="N916" s="4">
        <v>7.0000000000000001E-3</v>
      </c>
      <c r="O916" s="4">
        <v>0.04</v>
      </c>
    </row>
    <row r="917" spans="2:15">
      <c r="B917" t="s">
        <v>815</v>
      </c>
      <c r="C917" t="s">
        <v>52</v>
      </c>
      <c r="D917" t="s">
        <v>2816</v>
      </c>
      <c r="E917" t="s">
        <v>2817</v>
      </c>
      <c r="F917" t="s">
        <v>10</v>
      </c>
      <c r="G917" t="s">
        <v>2816</v>
      </c>
      <c r="H917" t="s">
        <v>2818</v>
      </c>
      <c r="I917" t="s">
        <v>32</v>
      </c>
      <c r="J917">
        <v>0</v>
      </c>
      <c r="K917">
        <v>1</v>
      </c>
      <c r="L917" s="4">
        <v>3.5000000000000001E-3</v>
      </c>
      <c r="M917">
        <v>0.02</v>
      </c>
      <c r="N917" s="4">
        <v>3.5000000000000001E-3</v>
      </c>
      <c r="O917" s="4">
        <v>0.02</v>
      </c>
    </row>
    <row r="918" spans="2:15">
      <c r="B918" t="s">
        <v>815</v>
      </c>
      <c r="C918" t="s">
        <v>822</v>
      </c>
      <c r="D918" t="s">
        <v>823</v>
      </c>
      <c r="E918" t="s">
        <v>824</v>
      </c>
      <c r="F918" t="s">
        <v>12</v>
      </c>
      <c r="G918" t="s">
        <v>823</v>
      </c>
      <c r="H918" t="s">
        <v>825</v>
      </c>
      <c r="I918" t="s">
        <v>32</v>
      </c>
      <c r="J918">
        <v>1</v>
      </c>
      <c r="K918">
        <v>0</v>
      </c>
      <c r="L918" s="4">
        <v>0.04</v>
      </c>
      <c r="M918">
        <v>0.09</v>
      </c>
      <c r="N918" s="4">
        <v>4.0000000000000003E-5</v>
      </c>
      <c r="O918" s="4">
        <v>8.9999999999999992E-5</v>
      </c>
    </row>
    <row r="919" spans="2:15">
      <c r="B919" t="s">
        <v>815</v>
      </c>
      <c r="C919" t="s">
        <v>822</v>
      </c>
      <c r="D919" t="s">
        <v>2819</v>
      </c>
      <c r="E919" t="s">
        <v>2820</v>
      </c>
      <c r="F919" t="s">
        <v>12</v>
      </c>
      <c r="G919" t="s">
        <v>2819</v>
      </c>
      <c r="H919" t="s">
        <v>2821</v>
      </c>
      <c r="I919" t="s">
        <v>32</v>
      </c>
      <c r="J919">
        <v>2</v>
      </c>
      <c r="K919">
        <v>0</v>
      </c>
      <c r="L919" s="4">
        <v>0.04</v>
      </c>
      <c r="M919">
        <v>0.09</v>
      </c>
      <c r="N919" s="4">
        <v>8.0000000000000007E-5</v>
      </c>
      <c r="O919" s="4">
        <v>1.7999999999999998E-4</v>
      </c>
    </row>
    <row r="920" spans="2:15">
      <c r="B920" t="s">
        <v>826</v>
      </c>
      <c r="C920" t="s">
        <v>52</v>
      </c>
      <c r="D920" t="s">
        <v>827</v>
      </c>
      <c r="E920" t="s">
        <v>828</v>
      </c>
      <c r="F920" t="s">
        <v>10</v>
      </c>
      <c r="G920" t="s">
        <v>827</v>
      </c>
      <c r="H920" t="s">
        <v>829</v>
      </c>
      <c r="I920" t="s">
        <v>32</v>
      </c>
      <c r="J920">
        <v>0</v>
      </c>
      <c r="K920">
        <v>2</v>
      </c>
      <c r="L920" s="4">
        <v>3.5000000000000001E-3</v>
      </c>
      <c r="M920">
        <v>0.02</v>
      </c>
      <c r="N920" s="4">
        <v>7.0000000000000001E-3</v>
      </c>
      <c r="O920" s="4">
        <v>0.04</v>
      </c>
    </row>
    <row r="921" spans="2:15">
      <c r="B921" t="s">
        <v>826</v>
      </c>
      <c r="C921" t="s">
        <v>52</v>
      </c>
      <c r="D921" t="s">
        <v>2822</v>
      </c>
      <c r="E921" t="s">
        <v>2823</v>
      </c>
      <c r="F921" t="s">
        <v>10</v>
      </c>
      <c r="G921" t="s">
        <v>2822</v>
      </c>
      <c r="H921" t="s">
        <v>2824</v>
      </c>
      <c r="I921" t="s">
        <v>32</v>
      </c>
      <c r="J921">
        <v>0</v>
      </c>
      <c r="K921">
        <v>15</v>
      </c>
      <c r="L921" s="4">
        <v>3.5000000000000001E-3</v>
      </c>
      <c r="M921">
        <v>0.02</v>
      </c>
      <c r="N921" s="4">
        <v>5.2499999999999998E-2</v>
      </c>
      <c r="O921" s="4">
        <v>0.3</v>
      </c>
    </row>
    <row r="922" spans="2:15">
      <c r="B922" t="s">
        <v>826</v>
      </c>
      <c r="C922" t="s">
        <v>52</v>
      </c>
      <c r="D922" t="s">
        <v>830</v>
      </c>
      <c r="E922" t="s">
        <v>831</v>
      </c>
      <c r="F922" t="s">
        <v>10</v>
      </c>
      <c r="G922" t="s">
        <v>830</v>
      </c>
      <c r="H922" t="s">
        <v>832</v>
      </c>
      <c r="I922" t="s">
        <v>32</v>
      </c>
      <c r="J922">
        <v>0</v>
      </c>
      <c r="K922">
        <v>8</v>
      </c>
      <c r="L922" s="4">
        <v>3.5000000000000001E-3</v>
      </c>
      <c r="M922">
        <v>0.02</v>
      </c>
      <c r="N922" s="4">
        <v>2.8000000000000001E-2</v>
      </c>
      <c r="O922" s="4">
        <v>0.16</v>
      </c>
    </row>
    <row r="923" spans="2:15">
      <c r="B923" t="s">
        <v>826</v>
      </c>
      <c r="C923" t="s">
        <v>52</v>
      </c>
      <c r="D923" t="s">
        <v>2825</v>
      </c>
      <c r="E923" t="s">
        <v>2826</v>
      </c>
      <c r="F923" t="s">
        <v>10</v>
      </c>
      <c r="G923" t="s">
        <v>2825</v>
      </c>
      <c r="H923" t="s">
        <v>2827</v>
      </c>
      <c r="I923" t="s">
        <v>32</v>
      </c>
      <c r="J923">
        <v>0</v>
      </c>
      <c r="K923">
        <v>1463</v>
      </c>
      <c r="L923" s="4">
        <v>3.5000000000000001E-3</v>
      </c>
      <c r="M923">
        <v>0.02</v>
      </c>
      <c r="N923" s="4">
        <v>5.1204999999999998</v>
      </c>
      <c r="O923" s="4">
        <v>29.26</v>
      </c>
    </row>
    <row r="924" spans="2:15">
      <c r="B924" t="s">
        <v>826</v>
      </c>
      <c r="C924" t="s">
        <v>52</v>
      </c>
      <c r="D924" t="s">
        <v>833</v>
      </c>
      <c r="E924" t="s">
        <v>834</v>
      </c>
      <c r="F924" t="s">
        <v>10</v>
      </c>
      <c r="G924" t="s">
        <v>833</v>
      </c>
      <c r="H924" t="s">
        <v>835</v>
      </c>
      <c r="I924" t="s">
        <v>32</v>
      </c>
      <c r="J924">
        <v>0</v>
      </c>
      <c r="K924">
        <v>1774</v>
      </c>
      <c r="L924" s="4">
        <v>3.5000000000000001E-3</v>
      </c>
      <c r="M924">
        <v>0.02</v>
      </c>
      <c r="N924" s="4">
        <v>6.2090000000000005</v>
      </c>
      <c r="O924" s="4">
        <v>35.480000000000004</v>
      </c>
    </row>
    <row r="925" spans="2:15">
      <c r="B925" t="s">
        <v>826</v>
      </c>
      <c r="C925" t="s">
        <v>52</v>
      </c>
      <c r="D925" t="s">
        <v>836</v>
      </c>
      <c r="E925" t="s">
        <v>837</v>
      </c>
      <c r="F925" t="s">
        <v>10</v>
      </c>
      <c r="G925" t="s">
        <v>836</v>
      </c>
      <c r="H925" t="s">
        <v>838</v>
      </c>
      <c r="I925" t="s">
        <v>32</v>
      </c>
      <c r="J925">
        <v>0</v>
      </c>
      <c r="K925">
        <v>2208</v>
      </c>
      <c r="L925" s="4">
        <v>3.5000000000000001E-3</v>
      </c>
      <c r="M925">
        <v>0.02</v>
      </c>
      <c r="N925" s="4">
        <v>7.7279999999999998</v>
      </c>
      <c r="O925" s="4">
        <v>44.160000000000004</v>
      </c>
    </row>
    <row r="926" spans="2:15">
      <c r="B926" t="s">
        <v>826</v>
      </c>
      <c r="C926" t="s">
        <v>52</v>
      </c>
      <c r="D926" t="s">
        <v>839</v>
      </c>
      <c r="E926" t="s">
        <v>840</v>
      </c>
      <c r="F926" t="s">
        <v>10</v>
      </c>
      <c r="G926" t="s">
        <v>839</v>
      </c>
      <c r="H926" t="s">
        <v>841</v>
      </c>
      <c r="I926" t="s">
        <v>32</v>
      </c>
      <c r="J926">
        <v>0</v>
      </c>
      <c r="K926">
        <v>1652</v>
      </c>
      <c r="L926" s="4">
        <v>3.5000000000000001E-3</v>
      </c>
      <c r="M926">
        <v>0.02</v>
      </c>
      <c r="N926" s="4">
        <v>5.782</v>
      </c>
      <c r="O926" s="4">
        <v>33.04</v>
      </c>
    </row>
    <row r="927" spans="2:15">
      <c r="B927" t="s">
        <v>826</v>
      </c>
      <c r="C927" t="s">
        <v>52</v>
      </c>
      <c r="D927" t="s">
        <v>2828</v>
      </c>
      <c r="E927" t="s">
        <v>2829</v>
      </c>
      <c r="F927" t="s">
        <v>10</v>
      </c>
      <c r="G927" t="s">
        <v>2828</v>
      </c>
      <c r="H927" t="s">
        <v>2830</v>
      </c>
      <c r="I927" t="s">
        <v>32</v>
      </c>
      <c r="J927">
        <v>0</v>
      </c>
      <c r="K927">
        <v>1600</v>
      </c>
      <c r="L927" s="4">
        <v>3.5000000000000001E-3</v>
      </c>
      <c r="M927">
        <v>0.02</v>
      </c>
      <c r="N927" s="4">
        <v>5.6000000000000005</v>
      </c>
      <c r="O927" s="4">
        <v>32</v>
      </c>
    </row>
    <row r="928" spans="2:15">
      <c r="B928" t="s">
        <v>826</v>
      </c>
      <c r="C928" t="s">
        <v>52</v>
      </c>
      <c r="D928" t="s">
        <v>842</v>
      </c>
      <c r="E928" t="s">
        <v>843</v>
      </c>
      <c r="F928" t="s">
        <v>10</v>
      </c>
      <c r="G928" t="s">
        <v>842</v>
      </c>
      <c r="H928" t="s">
        <v>844</v>
      </c>
      <c r="I928" t="s">
        <v>32</v>
      </c>
      <c r="J928">
        <v>0</v>
      </c>
      <c r="K928">
        <v>1956</v>
      </c>
      <c r="L928" s="4">
        <v>3.5000000000000001E-3</v>
      </c>
      <c r="M928">
        <v>0.02</v>
      </c>
      <c r="N928" s="4">
        <v>6.8460000000000001</v>
      </c>
      <c r="O928" s="4">
        <v>39.119999999999997</v>
      </c>
    </row>
    <row r="929" spans="2:15">
      <c r="B929" t="s">
        <v>826</v>
      </c>
      <c r="C929" t="s">
        <v>52</v>
      </c>
      <c r="D929" t="s">
        <v>845</v>
      </c>
      <c r="E929" t="s">
        <v>846</v>
      </c>
      <c r="F929" t="s">
        <v>10</v>
      </c>
      <c r="G929" t="s">
        <v>845</v>
      </c>
      <c r="H929" t="s">
        <v>847</v>
      </c>
      <c r="I929" t="s">
        <v>32</v>
      </c>
      <c r="J929">
        <v>0</v>
      </c>
      <c r="K929">
        <v>1981</v>
      </c>
      <c r="L929" s="4">
        <v>3.5000000000000001E-3</v>
      </c>
      <c r="M929">
        <v>0.02</v>
      </c>
      <c r="N929" s="4">
        <v>6.9335000000000004</v>
      </c>
      <c r="O929" s="4">
        <v>39.619999999999997</v>
      </c>
    </row>
    <row r="930" spans="2:15">
      <c r="B930" t="s">
        <v>848</v>
      </c>
      <c r="C930" t="s">
        <v>52</v>
      </c>
      <c r="D930" t="s">
        <v>849</v>
      </c>
      <c r="E930" t="s">
        <v>850</v>
      </c>
      <c r="F930" t="s">
        <v>10</v>
      </c>
      <c r="G930" t="s">
        <v>849</v>
      </c>
      <c r="H930" t="s">
        <v>851</v>
      </c>
      <c r="I930" t="s">
        <v>32</v>
      </c>
      <c r="J930">
        <v>0</v>
      </c>
      <c r="K930">
        <v>2</v>
      </c>
      <c r="L930" s="4">
        <v>3.5000000000000001E-3</v>
      </c>
      <c r="M930">
        <v>0.02</v>
      </c>
      <c r="N930" s="4">
        <v>7.0000000000000001E-3</v>
      </c>
      <c r="O930" s="4">
        <v>0.04</v>
      </c>
    </row>
    <row r="931" spans="2:15">
      <c r="B931" t="s">
        <v>848</v>
      </c>
      <c r="C931" t="s">
        <v>52</v>
      </c>
      <c r="D931" t="s">
        <v>852</v>
      </c>
      <c r="E931" t="s">
        <v>853</v>
      </c>
      <c r="F931" t="s">
        <v>10</v>
      </c>
      <c r="G931" t="s">
        <v>852</v>
      </c>
      <c r="H931" t="s">
        <v>854</v>
      </c>
      <c r="I931" t="s">
        <v>32</v>
      </c>
      <c r="J931">
        <v>0</v>
      </c>
      <c r="K931">
        <v>1</v>
      </c>
      <c r="L931" s="4">
        <v>3.5000000000000001E-3</v>
      </c>
      <c r="M931">
        <v>0.02</v>
      </c>
      <c r="N931" s="4">
        <v>3.5000000000000001E-3</v>
      </c>
      <c r="O931" s="4">
        <v>0.02</v>
      </c>
    </row>
    <row r="932" spans="2:15">
      <c r="B932" t="s">
        <v>848</v>
      </c>
      <c r="C932" t="s">
        <v>52</v>
      </c>
      <c r="D932" t="s">
        <v>2831</v>
      </c>
      <c r="E932" t="s">
        <v>2832</v>
      </c>
      <c r="F932" t="s">
        <v>10</v>
      </c>
      <c r="G932" t="s">
        <v>2831</v>
      </c>
      <c r="H932" t="s">
        <v>2833</v>
      </c>
      <c r="I932" t="s">
        <v>32</v>
      </c>
      <c r="J932">
        <v>0</v>
      </c>
      <c r="K932">
        <v>1</v>
      </c>
      <c r="L932" s="4">
        <v>3.5000000000000001E-3</v>
      </c>
      <c r="M932">
        <v>0.02</v>
      </c>
      <c r="N932" s="4">
        <v>3.5000000000000001E-3</v>
      </c>
      <c r="O932" s="4">
        <v>0.02</v>
      </c>
    </row>
    <row r="933" spans="2:15">
      <c r="B933" t="s">
        <v>848</v>
      </c>
      <c r="C933" t="s">
        <v>52</v>
      </c>
      <c r="D933" t="s">
        <v>855</v>
      </c>
      <c r="E933" t="s">
        <v>856</v>
      </c>
      <c r="F933" t="s">
        <v>10</v>
      </c>
      <c r="G933" t="s">
        <v>855</v>
      </c>
      <c r="H933" t="s">
        <v>857</v>
      </c>
      <c r="I933" t="s">
        <v>32</v>
      </c>
      <c r="J933">
        <v>0</v>
      </c>
      <c r="K933">
        <v>1</v>
      </c>
      <c r="L933" s="4">
        <v>3.5000000000000001E-3</v>
      </c>
      <c r="M933">
        <v>0.02</v>
      </c>
      <c r="N933" s="4">
        <v>3.5000000000000001E-3</v>
      </c>
      <c r="O933" s="4">
        <v>0.02</v>
      </c>
    </row>
    <row r="934" spans="2:15">
      <c r="B934" t="s">
        <v>848</v>
      </c>
      <c r="C934" t="s">
        <v>52</v>
      </c>
      <c r="D934" t="s">
        <v>858</v>
      </c>
      <c r="E934" t="s">
        <v>859</v>
      </c>
      <c r="F934" t="s">
        <v>10</v>
      </c>
      <c r="G934" t="s">
        <v>858</v>
      </c>
      <c r="H934" t="s">
        <v>860</v>
      </c>
      <c r="I934" t="s">
        <v>32</v>
      </c>
      <c r="J934">
        <v>0</v>
      </c>
      <c r="K934">
        <v>1</v>
      </c>
      <c r="L934" s="4">
        <v>3.5000000000000001E-3</v>
      </c>
      <c r="M934">
        <v>0.02</v>
      </c>
      <c r="N934" s="4">
        <v>3.5000000000000001E-3</v>
      </c>
      <c r="O934" s="4">
        <v>0.02</v>
      </c>
    </row>
    <row r="935" spans="2:15">
      <c r="B935" t="s">
        <v>861</v>
      </c>
      <c r="C935" t="s">
        <v>761</v>
      </c>
      <c r="D935" t="s">
        <v>2834</v>
      </c>
      <c r="E935" t="s">
        <v>2835</v>
      </c>
      <c r="F935" t="s">
        <v>12</v>
      </c>
      <c r="G935" t="s">
        <v>2834</v>
      </c>
      <c r="H935" t="s">
        <v>2836</v>
      </c>
      <c r="I935" t="s">
        <v>32</v>
      </c>
      <c r="J935">
        <v>1</v>
      </c>
      <c r="K935">
        <v>0</v>
      </c>
      <c r="L935" s="4">
        <v>0.04</v>
      </c>
      <c r="M935">
        <v>0.09</v>
      </c>
      <c r="N935" s="4">
        <v>4.0000000000000003E-5</v>
      </c>
      <c r="O935" s="4">
        <v>8.9999999999999992E-5</v>
      </c>
    </row>
    <row r="936" spans="2:15">
      <c r="B936" t="s">
        <v>861</v>
      </c>
      <c r="C936" t="s">
        <v>761</v>
      </c>
      <c r="D936" t="s">
        <v>2837</v>
      </c>
      <c r="E936" t="s">
        <v>2838</v>
      </c>
      <c r="F936" t="s">
        <v>10</v>
      </c>
      <c r="G936" t="s">
        <v>2837</v>
      </c>
      <c r="H936" t="s">
        <v>2839</v>
      </c>
      <c r="I936" t="s">
        <v>32</v>
      </c>
      <c r="J936">
        <v>0</v>
      </c>
      <c r="K936">
        <v>1</v>
      </c>
      <c r="L936" s="4">
        <v>3.5000000000000001E-3</v>
      </c>
      <c r="M936">
        <v>0.02</v>
      </c>
      <c r="N936" s="4">
        <v>3.5000000000000001E-3</v>
      </c>
      <c r="O936" s="4">
        <v>0.02</v>
      </c>
    </row>
    <row r="937" spans="2:15">
      <c r="B937" t="s">
        <v>861</v>
      </c>
      <c r="C937" t="s">
        <v>761</v>
      </c>
      <c r="D937" t="s">
        <v>2840</v>
      </c>
      <c r="E937" t="s">
        <v>2841</v>
      </c>
      <c r="F937" t="s">
        <v>12</v>
      </c>
      <c r="G937" t="s">
        <v>2840</v>
      </c>
      <c r="H937" t="s">
        <v>2842</v>
      </c>
      <c r="I937" t="s">
        <v>32</v>
      </c>
      <c r="J937">
        <v>3</v>
      </c>
      <c r="K937">
        <v>1</v>
      </c>
      <c r="L937" s="4">
        <v>0.04</v>
      </c>
      <c r="M937">
        <v>0.09</v>
      </c>
      <c r="N937" s="4">
        <v>1.1999999999999999E-4</v>
      </c>
      <c r="O937" s="4">
        <v>2.7E-4</v>
      </c>
    </row>
    <row r="938" spans="2:15">
      <c r="B938" t="s">
        <v>862</v>
      </c>
      <c r="C938" t="s">
        <v>135</v>
      </c>
      <c r="D938" t="s">
        <v>1727</v>
      </c>
      <c r="E938" t="s">
        <v>1728</v>
      </c>
      <c r="F938" t="s">
        <v>12</v>
      </c>
      <c r="G938" t="s">
        <v>1727</v>
      </c>
      <c r="H938" t="s">
        <v>1729</v>
      </c>
      <c r="I938" t="s">
        <v>32</v>
      </c>
      <c r="J938">
        <v>5</v>
      </c>
      <c r="K938">
        <v>0</v>
      </c>
      <c r="L938" s="4">
        <v>0.04</v>
      </c>
      <c r="M938">
        <v>0.09</v>
      </c>
      <c r="N938" s="4">
        <v>2.0000000000000001E-4</v>
      </c>
      <c r="O938" s="4">
        <v>4.4999999999999993E-4</v>
      </c>
    </row>
    <row r="939" spans="2:15">
      <c r="B939" t="s">
        <v>862</v>
      </c>
      <c r="C939" t="s">
        <v>735</v>
      </c>
      <c r="D939" t="s">
        <v>863</v>
      </c>
      <c r="E939" t="s">
        <v>864</v>
      </c>
      <c r="F939" t="s">
        <v>10</v>
      </c>
      <c r="G939" t="s">
        <v>863</v>
      </c>
      <c r="H939" t="s">
        <v>865</v>
      </c>
      <c r="I939" t="s">
        <v>32</v>
      </c>
      <c r="J939">
        <v>0</v>
      </c>
      <c r="K939">
        <v>2</v>
      </c>
      <c r="L939" s="4">
        <v>3.5000000000000001E-3</v>
      </c>
      <c r="M939">
        <v>0.02</v>
      </c>
      <c r="N939" s="4">
        <v>7.0000000000000001E-3</v>
      </c>
      <c r="O939" s="4">
        <v>0.04</v>
      </c>
    </row>
    <row r="940" spans="2:15">
      <c r="B940" t="s">
        <v>862</v>
      </c>
      <c r="C940" t="s">
        <v>735</v>
      </c>
      <c r="D940" t="s">
        <v>2843</v>
      </c>
      <c r="E940" t="s">
        <v>2844</v>
      </c>
      <c r="F940" t="s">
        <v>12</v>
      </c>
      <c r="G940" t="s">
        <v>2843</v>
      </c>
      <c r="H940" t="s">
        <v>2845</v>
      </c>
      <c r="I940" t="s">
        <v>32</v>
      </c>
      <c r="J940">
        <v>1</v>
      </c>
      <c r="K940">
        <v>0</v>
      </c>
      <c r="L940" s="4">
        <v>0.04</v>
      </c>
      <c r="M940">
        <v>0.09</v>
      </c>
      <c r="N940" s="4">
        <v>4.0000000000000003E-5</v>
      </c>
      <c r="O940" s="4">
        <v>8.9999999999999992E-5</v>
      </c>
    </row>
    <row r="941" spans="2:15">
      <c r="B941" t="s">
        <v>862</v>
      </c>
      <c r="C941" t="s">
        <v>52</v>
      </c>
      <c r="D941" t="s">
        <v>2846</v>
      </c>
      <c r="E941" t="s">
        <v>2847</v>
      </c>
      <c r="F941" t="s">
        <v>10</v>
      </c>
      <c r="G941" t="s">
        <v>2846</v>
      </c>
      <c r="H941" t="s">
        <v>2848</v>
      </c>
      <c r="I941" t="s">
        <v>32</v>
      </c>
      <c r="J941">
        <v>0</v>
      </c>
      <c r="K941">
        <v>1</v>
      </c>
      <c r="L941" s="4">
        <v>3.5000000000000001E-3</v>
      </c>
      <c r="M941">
        <v>0.02</v>
      </c>
      <c r="N941" s="4">
        <v>3.5000000000000001E-3</v>
      </c>
      <c r="O941" s="4">
        <v>0.02</v>
      </c>
    </row>
    <row r="942" spans="2:15">
      <c r="B942" t="s">
        <v>862</v>
      </c>
      <c r="C942" t="s">
        <v>52</v>
      </c>
      <c r="D942" t="s">
        <v>866</v>
      </c>
      <c r="E942" t="s">
        <v>867</v>
      </c>
      <c r="F942" t="s">
        <v>10</v>
      </c>
      <c r="G942" t="s">
        <v>866</v>
      </c>
      <c r="H942" t="s">
        <v>868</v>
      </c>
      <c r="I942" t="s">
        <v>32</v>
      </c>
      <c r="J942">
        <v>0</v>
      </c>
      <c r="K942">
        <v>10</v>
      </c>
      <c r="L942" s="4">
        <v>3.5000000000000001E-3</v>
      </c>
      <c r="M942">
        <v>0.02</v>
      </c>
      <c r="N942" s="4">
        <v>3.5000000000000003E-2</v>
      </c>
      <c r="O942" s="4">
        <v>0.2</v>
      </c>
    </row>
    <row r="943" spans="2:15">
      <c r="B943" t="s">
        <v>862</v>
      </c>
      <c r="C943" t="s">
        <v>52</v>
      </c>
      <c r="D943" t="s">
        <v>869</v>
      </c>
      <c r="E943" t="s">
        <v>870</v>
      </c>
      <c r="F943" t="s">
        <v>10</v>
      </c>
      <c r="G943" t="s">
        <v>869</v>
      </c>
      <c r="H943" t="s">
        <v>871</v>
      </c>
      <c r="I943" t="s">
        <v>32</v>
      </c>
      <c r="J943">
        <v>0</v>
      </c>
      <c r="K943">
        <v>2</v>
      </c>
      <c r="L943" s="4">
        <v>3.5000000000000001E-3</v>
      </c>
      <c r="M943">
        <v>0.02</v>
      </c>
      <c r="N943" s="4">
        <v>7.0000000000000001E-3</v>
      </c>
      <c r="O943" s="4">
        <v>0.04</v>
      </c>
    </row>
    <row r="944" spans="2:15">
      <c r="B944" t="s">
        <v>862</v>
      </c>
      <c r="C944" t="s">
        <v>52</v>
      </c>
      <c r="D944" t="s">
        <v>872</v>
      </c>
      <c r="E944" t="s">
        <v>873</v>
      </c>
      <c r="F944" t="s">
        <v>10</v>
      </c>
      <c r="G944" t="s">
        <v>872</v>
      </c>
      <c r="H944" t="s">
        <v>874</v>
      </c>
      <c r="I944" t="s">
        <v>32</v>
      </c>
      <c r="J944">
        <v>0</v>
      </c>
      <c r="K944">
        <v>6</v>
      </c>
      <c r="L944" s="4">
        <v>3.5000000000000001E-3</v>
      </c>
      <c r="M944">
        <v>0.02</v>
      </c>
      <c r="N944" s="4">
        <v>2.1000000000000001E-2</v>
      </c>
      <c r="O944" s="4">
        <v>0.12</v>
      </c>
    </row>
    <row r="945" spans="2:15">
      <c r="B945" t="s">
        <v>862</v>
      </c>
      <c r="C945" t="s">
        <v>52</v>
      </c>
      <c r="D945" t="s">
        <v>2849</v>
      </c>
      <c r="E945" t="s">
        <v>2850</v>
      </c>
      <c r="F945" t="s">
        <v>10</v>
      </c>
      <c r="G945" t="s">
        <v>2849</v>
      </c>
      <c r="H945" t="s">
        <v>2851</v>
      </c>
      <c r="I945" t="s">
        <v>32</v>
      </c>
      <c r="J945">
        <v>0</v>
      </c>
      <c r="K945">
        <v>1</v>
      </c>
      <c r="L945" s="4">
        <v>3.5000000000000001E-3</v>
      </c>
      <c r="M945">
        <v>0.02</v>
      </c>
      <c r="N945" s="4">
        <v>3.5000000000000001E-3</v>
      </c>
      <c r="O945" s="4">
        <v>0.02</v>
      </c>
    </row>
    <row r="946" spans="2:15">
      <c r="B946" t="s">
        <v>862</v>
      </c>
      <c r="C946" t="s">
        <v>52</v>
      </c>
      <c r="D946" t="s">
        <v>2852</v>
      </c>
      <c r="E946" t="s">
        <v>2853</v>
      </c>
      <c r="F946" t="s">
        <v>10</v>
      </c>
      <c r="G946" t="s">
        <v>2852</v>
      </c>
      <c r="H946" t="s">
        <v>2854</v>
      </c>
      <c r="I946" t="s">
        <v>32</v>
      </c>
      <c r="J946">
        <v>0</v>
      </c>
      <c r="K946">
        <v>2</v>
      </c>
      <c r="L946" s="4">
        <v>3.5000000000000001E-3</v>
      </c>
      <c r="M946">
        <v>0.02</v>
      </c>
      <c r="N946" s="4">
        <v>7.0000000000000001E-3</v>
      </c>
      <c r="O946" s="4">
        <v>0.04</v>
      </c>
    </row>
    <row r="947" spans="2:15">
      <c r="B947" t="s">
        <v>862</v>
      </c>
      <c r="C947" t="s">
        <v>52</v>
      </c>
      <c r="D947" t="s">
        <v>875</v>
      </c>
      <c r="E947" t="s">
        <v>876</v>
      </c>
      <c r="F947" t="s">
        <v>10</v>
      </c>
      <c r="G947" t="s">
        <v>875</v>
      </c>
      <c r="H947" t="s">
        <v>877</v>
      </c>
      <c r="I947" t="s">
        <v>32</v>
      </c>
      <c r="J947">
        <v>0</v>
      </c>
      <c r="K947">
        <v>1</v>
      </c>
      <c r="L947" s="4">
        <v>3.5000000000000001E-3</v>
      </c>
      <c r="M947">
        <v>0.02</v>
      </c>
      <c r="N947" s="4">
        <v>3.5000000000000001E-3</v>
      </c>
      <c r="O947" s="4">
        <v>0.02</v>
      </c>
    </row>
    <row r="948" spans="2:15">
      <c r="B948" t="s">
        <v>862</v>
      </c>
      <c r="C948" t="s">
        <v>52</v>
      </c>
      <c r="D948" t="s">
        <v>878</v>
      </c>
      <c r="E948" t="s">
        <v>879</v>
      </c>
      <c r="F948" t="s">
        <v>10</v>
      </c>
      <c r="G948" t="s">
        <v>878</v>
      </c>
      <c r="H948" t="s">
        <v>880</v>
      </c>
      <c r="I948" t="s">
        <v>32</v>
      </c>
      <c r="J948">
        <v>0</v>
      </c>
      <c r="K948">
        <v>1</v>
      </c>
      <c r="L948" s="4">
        <v>3.5000000000000001E-3</v>
      </c>
      <c r="M948">
        <v>0.02</v>
      </c>
      <c r="N948" s="4">
        <v>3.5000000000000001E-3</v>
      </c>
      <c r="O948" s="4">
        <v>0.02</v>
      </c>
    </row>
    <row r="949" spans="2:15">
      <c r="B949" t="s">
        <v>862</v>
      </c>
      <c r="C949" t="s">
        <v>50</v>
      </c>
      <c r="D949" t="s">
        <v>2855</v>
      </c>
      <c r="E949" t="s">
        <v>2856</v>
      </c>
      <c r="F949" t="s">
        <v>10</v>
      </c>
      <c r="G949" t="s">
        <v>2855</v>
      </c>
      <c r="H949" t="s">
        <v>2857</v>
      </c>
      <c r="I949" t="s">
        <v>32</v>
      </c>
      <c r="J949">
        <v>0</v>
      </c>
      <c r="K949">
        <v>1</v>
      </c>
      <c r="L949" s="4">
        <v>3.5000000000000001E-3</v>
      </c>
      <c r="M949">
        <v>0.02</v>
      </c>
      <c r="N949" s="4">
        <v>3.5000000000000001E-3</v>
      </c>
      <c r="O949" s="4">
        <v>0.02</v>
      </c>
    </row>
    <row r="950" spans="2:15">
      <c r="B950" t="s">
        <v>862</v>
      </c>
      <c r="C950" t="s">
        <v>50</v>
      </c>
      <c r="D950" t="s">
        <v>2858</v>
      </c>
      <c r="E950" t="s">
        <v>2859</v>
      </c>
      <c r="F950" t="s">
        <v>10</v>
      </c>
      <c r="G950" t="s">
        <v>2858</v>
      </c>
      <c r="H950" t="s">
        <v>2860</v>
      </c>
      <c r="I950" t="s">
        <v>32</v>
      </c>
      <c r="J950">
        <v>0</v>
      </c>
      <c r="K950">
        <v>1</v>
      </c>
      <c r="L950" s="4">
        <v>3.5000000000000001E-3</v>
      </c>
      <c r="M950">
        <v>0.02</v>
      </c>
      <c r="N950" s="4">
        <v>3.5000000000000001E-3</v>
      </c>
      <c r="O950" s="4">
        <v>0.02</v>
      </c>
    </row>
    <row r="951" spans="2:15">
      <c r="B951" t="s">
        <v>862</v>
      </c>
      <c r="C951" t="s">
        <v>50</v>
      </c>
      <c r="D951" t="s">
        <v>1730</v>
      </c>
      <c r="E951" t="s">
        <v>1731</v>
      </c>
      <c r="F951" t="s">
        <v>10</v>
      </c>
      <c r="G951" t="s">
        <v>1730</v>
      </c>
      <c r="H951" t="s">
        <v>1732</v>
      </c>
      <c r="I951" t="s">
        <v>32</v>
      </c>
      <c r="J951">
        <v>0</v>
      </c>
      <c r="K951">
        <v>1</v>
      </c>
      <c r="L951" s="4">
        <v>3.5000000000000001E-3</v>
      </c>
      <c r="M951">
        <v>0.02</v>
      </c>
      <c r="N951" s="4">
        <v>3.5000000000000001E-3</v>
      </c>
      <c r="O951" s="4">
        <v>0.02</v>
      </c>
    </row>
    <row r="952" spans="2:15">
      <c r="B952" t="s">
        <v>862</v>
      </c>
      <c r="C952" t="s">
        <v>762</v>
      </c>
      <c r="D952" t="s">
        <v>881</v>
      </c>
      <c r="E952" t="s">
        <v>882</v>
      </c>
      <c r="F952" t="s">
        <v>10</v>
      </c>
      <c r="G952" t="s">
        <v>881</v>
      </c>
      <c r="H952" t="s">
        <v>883</v>
      </c>
      <c r="I952" t="s">
        <v>32</v>
      </c>
      <c r="J952">
        <v>0</v>
      </c>
      <c r="K952">
        <v>40</v>
      </c>
      <c r="L952" s="4">
        <v>3.5000000000000001E-3</v>
      </c>
      <c r="M952">
        <v>0.02</v>
      </c>
      <c r="N952" s="4">
        <v>0.14000000000000001</v>
      </c>
      <c r="O952" s="4">
        <v>0.8</v>
      </c>
    </row>
    <row r="953" spans="2:15">
      <c r="B953" t="s">
        <v>862</v>
      </c>
      <c r="C953" t="s">
        <v>253</v>
      </c>
      <c r="D953" t="s">
        <v>884</v>
      </c>
      <c r="E953" t="s">
        <v>885</v>
      </c>
      <c r="F953" t="s">
        <v>10</v>
      </c>
      <c r="G953" t="s">
        <v>884</v>
      </c>
      <c r="H953" t="s">
        <v>886</v>
      </c>
      <c r="I953" t="s">
        <v>32</v>
      </c>
      <c r="J953">
        <v>3</v>
      </c>
      <c r="K953">
        <v>22</v>
      </c>
      <c r="L953" s="4">
        <v>3.5000000000000001E-3</v>
      </c>
      <c r="M953">
        <v>0.02</v>
      </c>
      <c r="N953" s="4">
        <v>7.6999999999999999E-2</v>
      </c>
      <c r="O953" s="4">
        <v>0.44</v>
      </c>
    </row>
    <row r="954" spans="2:15">
      <c r="B954" t="s">
        <v>862</v>
      </c>
      <c r="C954" t="s">
        <v>99</v>
      </c>
      <c r="D954" t="s">
        <v>1733</v>
      </c>
      <c r="E954" t="s">
        <v>1734</v>
      </c>
      <c r="F954" t="s">
        <v>10</v>
      </c>
      <c r="G954" t="s">
        <v>1733</v>
      </c>
      <c r="H954" t="s">
        <v>1735</v>
      </c>
      <c r="I954" t="s">
        <v>32</v>
      </c>
      <c r="J954">
        <v>0</v>
      </c>
      <c r="K954">
        <v>1</v>
      </c>
      <c r="L954" s="4">
        <v>3.5000000000000001E-3</v>
      </c>
      <c r="M954">
        <v>0.02</v>
      </c>
      <c r="N954" s="4">
        <v>3.5000000000000001E-3</v>
      </c>
      <c r="O954" s="4">
        <v>0.02</v>
      </c>
    </row>
    <row r="955" spans="2:15">
      <c r="B955" t="s">
        <v>862</v>
      </c>
      <c r="C955" t="s">
        <v>887</v>
      </c>
      <c r="D955" t="s">
        <v>888</v>
      </c>
      <c r="E955" t="s">
        <v>889</v>
      </c>
      <c r="F955" t="s">
        <v>12</v>
      </c>
      <c r="G955" t="s">
        <v>890</v>
      </c>
      <c r="H955" t="s">
        <v>891</v>
      </c>
      <c r="I955" t="s">
        <v>31</v>
      </c>
      <c r="J955">
        <v>11</v>
      </c>
      <c r="K955">
        <v>0</v>
      </c>
      <c r="L955" s="4">
        <v>0.04</v>
      </c>
      <c r="M955">
        <v>0.09</v>
      </c>
      <c r="N955" s="4">
        <v>4.4000000000000002E-4</v>
      </c>
      <c r="O955" s="4">
        <v>9.8999999999999999E-4</v>
      </c>
    </row>
    <row r="956" spans="2:15">
      <c r="B956" t="s">
        <v>892</v>
      </c>
      <c r="C956" t="s">
        <v>760</v>
      </c>
      <c r="D956" t="s">
        <v>893</v>
      </c>
      <c r="E956" t="s">
        <v>894</v>
      </c>
      <c r="F956" t="s">
        <v>10</v>
      </c>
      <c r="G956" t="s">
        <v>893</v>
      </c>
      <c r="H956" t="s">
        <v>895</v>
      </c>
      <c r="I956" t="s">
        <v>32</v>
      </c>
      <c r="J956">
        <v>1</v>
      </c>
      <c r="K956">
        <v>110</v>
      </c>
      <c r="L956" s="4">
        <v>3.5000000000000001E-3</v>
      </c>
      <c r="M956">
        <v>0.02</v>
      </c>
      <c r="N956" s="4">
        <v>0.38500000000000001</v>
      </c>
      <c r="O956" s="4">
        <v>2.2000000000000002</v>
      </c>
    </row>
    <row r="957" spans="2:15">
      <c r="B957" t="s">
        <v>892</v>
      </c>
      <c r="C957" t="s">
        <v>760</v>
      </c>
      <c r="D957" t="s">
        <v>2861</v>
      </c>
      <c r="E957" t="s">
        <v>2862</v>
      </c>
      <c r="F957" t="s">
        <v>10</v>
      </c>
      <c r="G957" t="s">
        <v>2861</v>
      </c>
      <c r="H957" t="s">
        <v>2863</v>
      </c>
      <c r="I957" t="s">
        <v>32</v>
      </c>
      <c r="J957">
        <v>0</v>
      </c>
      <c r="K957">
        <v>17</v>
      </c>
      <c r="L957" s="4">
        <v>3.5000000000000001E-3</v>
      </c>
      <c r="M957">
        <v>0.02</v>
      </c>
      <c r="N957" s="4">
        <v>5.9500000000000004E-2</v>
      </c>
      <c r="O957" s="4">
        <v>0.34</v>
      </c>
    </row>
    <row r="958" spans="2:15">
      <c r="B958" t="s">
        <v>892</v>
      </c>
      <c r="C958" t="s">
        <v>52</v>
      </c>
      <c r="D958" t="s">
        <v>896</v>
      </c>
      <c r="E958" t="s">
        <v>897</v>
      </c>
      <c r="F958" t="s">
        <v>10</v>
      </c>
      <c r="G958" t="s">
        <v>896</v>
      </c>
      <c r="H958" t="s">
        <v>898</v>
      </c>
      <c r="I958" t="s">
        <v>32</v>
      </c>
      <c r="J958">
        <v>0</v>
      </c>
      <c r="K958">
        <v>47</v>
      </c>
      <c r="L958" s="4">
        <v>3.5000000000000001E-3</v>
      </c>
      <c r="M958">
        <v>0.02</v>
      </c>
      <c r="N958" s="4">
        <v>0.16450000000000001</v>
      </c>
      <c r="O958" s="4">
        <v>0.94000000000000006</v>
      </c>
    </row>
    <row r="959" spans="2:15">
      <c r="B959" t="s">
        <v>892</v>
      </c>
      <c r="C959" t="s">
        <v>52</v>
      </c>
      <c r="D959" t="s">
        <v>2864</v>
      </c>
      <c r="E959" t="s">
        <v>2865</v>
      </c>
      <c r="F959" t="s">
        <v>10</v>
      </c>
      <c r="G959" t="s">
        <v>2864</v>
      </c>
      <c r="H959" t="s">
        <v>2866</v>
      </c>
      <c r="I959" t="s">
        <v>32</v>
      </c>
      <c r="J959">
        <v>0</v>
      </c>
      <c r="K959">
        <v>9</v>
      </c>
      <c r="L959" s="4">
        <v>3.5000000000000001E-3</v>
      </c>
      <c r="M959">
        <v>0.02</v>
      </c>
      <c r="N959" s="4">
        <v>3.15E-2</v>
      </c>
      <c r="O959" s="4">
        <v>0.18</v>
      </c>
    </row>
    <row r="960" spans="2:15">
      <c r="B960" t="s">
        <v>892</v>
      </c>
      <c r="C960" t="s">
        <v>50</v>
      </c>
      <c r="D960" t="s">
        <v>2867</v>
      </c>
      <c r="E960" t="s">
        <v>2868</v>
      </c>
      <c r="F960" t="s">
        <v>10</v>
      </c>
      <c r="G960" t="s">
        <v>2867</v>
      </c>
      <c r="H960" t="s">
        <v>2869</v>
      </c>
      <c r="I960" t="s">
        <v>32</v>
      </c>
      <c r="J960">
        <v>0</v>
      </c>
      <c r="K960">
        <v>2</v>
      </c>
      <c r="L960" s="4">
        <v>3.5000000000000001E-3</v>
      </c>
      <c r="M960">
        <v>0.02</v>
      </c>
      <c r="N960" s="4">
        <v>7.0000000000000001E-3</v>
      </c>
      <c r="O960" s="4">
        <v>0.04</v>
      </c>
    </row>
    <row r="961" spans="2:15">
      <c r="B961" t="s">
        <v>892</v>
      </c>
      <c r="C961" t="s">
        <v>761</v>
      </c>
      <c r="D961" t="s">
        <v>899</v>
      </c>
      <c r="E961" t="s">
        <v>900</v>
      </c>
      <c r="F961" t="s">
        <v>10</v>
      </c>
      <c r="G961" t="s">
        <v>899</v>
      </c>
      <c r="H961" t="s">
        <v>901</v>
      </c>
      <c r="I961" t="s">
        <v>32</v>
      </c>
      <c r="J961">
        <v>0</v>
      </c>
      <c r="K961">
        <v>33</v>
      </c>
      <c r="L961" s="4">
        <v>3.5000000000000001E-3</v>
      </c>
      <c r="M961">
        <v>0.02</v>
      </c>
      <c r="N961" s="4">
        <v>0.11550000000000001</v>
      </c>
      <c r="O961" s="4">
        <v>0.66</v>
      </c>
    </row>
    <row r="962" spans="2:15">
      <c r="B962" t="s">
        <v>892</v>
      </c>
      <c r="C962" t="s">
        <v>761</v>
      </c>
      <c r="D962" t="s">
        <v>902</v>
      </c>
      <c r="E962" t="s">
        <v>903</v>
      </c>
      <c r="F962" t="s">
        <v>10</v>
      </c>
      <c r="G962" t="s">
        <v>902</v>
      </c>
      <c r="H962" t="s">
        <v>904</v>
      </c>
      <c r="I962" t="s">
        <v>32</v>
      </c>
      <c r="J962">
        <v>0</v>
      </c>
      <c r="K962">
        <v>52</v>
      </c>
      <c r="L962" s="4">
        <v>3.5000000000000001E-3</v>
      </c>
      <c r="M962">
        <v>0.02</v>
      </c>
      <c r="N962" s="4">
        <v>0.182</v>
      </c>
      <c r="O962" s="4">
        <v>1.04</v>
      </c>
    </row>
    <row r="963" spans="2:15">
      <c r="B963" t="s">
        <v>892</v>
      </c>
      <c r="C963" t="s">
        <v>761</v>
      </c>
      <c r="D963" t="s">
        <v>2870</v>
      </c>
      <c r="E963" t="s">
        <v>2871</v>
      </c>
      <c r="F963" t="s">
        <v>10</v>
      </c>
      <c r="G963" t="s">
        <v>2870</v>
      </c>
      <c r="H963" t="s">
        <v>2872</v>
      </c>
      <c r="I963" t="s">
        <v>32</v>
      </c>
      <c r="J963">
        <v>0</v>
      </c>
      <c r="K963">
        <v>18</v>
      </c>
      <c r="L963" s="4">
        <v>3.5000000000000001E-3</v>
      </c>
      <c r="M963">
        <v>0.02</v>
      </c>
      <c r="N963" s="4">
        <v>6.3E-2</v>
      </c>
      <c r="O963" s="4">
        <v>0.36</v>
      </c>
    </row>
    <row r="964" spans="2:15">
      <c r="B964" t="s">
        <v>892</v>
      </c>
      <c r="C964" t="s">
        <v>761</v>
      </c>
      <c r="D964" t="s">
        <v>2873</v>
      </c>
      <c r="E964" t="s">
        <v>2874</v>
      </c>
      <c r="F964" t="s">
        <v>12</v>
      </c>
      <c r="G964" t="s">
        <v>2873</v>
      </c>
      <c r="H964" t="s">
        <v>2875</v>
      </c>
      <c r="I964" t="s">
        <v>32</v>
      </c>
      <c r="J964">
        <v>10</v>
      </c>
      <c r="K964">
        <v>6</v>
      </c>
      <c r="L964" s="4">
        <v>0.04</v>
      </c>
      <c r="M964">
        <v>0.09</v>
      </c>
      <c r="N964" s="4">
        <v>4.0000000000000002E-4</v>
      </c>
      <c r="O964" s="4">
        <v>8.9999999999999987E-4</v>
      </c>
    </row>
    <row r="965" spans="2:15">
      <c r="B965" t="s">
        <v>892</v>
      </c>
      <c r="C965" t="s">
        <v>761</v>
      </c>
      <c r="D965" t="s">
        <v>2876</v>
      </c>
      <c r="E965" t="s">
        <v>2877</v>
      </c>
      <c r="F965" t="s">
        <v>10</v>
      </c>
      <c r="G965" t="s">
        <v>2876</v>
      </c>
      <c r="H965" t="s">
        <v>2878</v>
      </c>
      <c r="I965" t="s">
        <v>32</v>
      </c>
      <c r="J965">
        <v>0</v>
      </c>
      <c r="K965">
        <v>3</v>
      </c>
      <c r="L965" s="4">
        <v>3.5000000000000001E-3</v>
      </c>
      <c r="M965">
        <v>0.02</v>
      </c>
      <c r="N965" s="4">
        <v>1.0500000000000001E-2</v>
      </c>
      <c r="O965" s="4">
        <v>0.06</v>
      </c>
    </row>
    <row r="966" spans="2:15">
      <c r="B966" t="s">
        <v>892</v>
      </c>
      <c r="C966" t="s">
        <v>761</v>
      </c>
      <c r="D966" t="s">
        <v>905</v>
      </c>
      <c r="E966" t="s">
        <v>906</v>
      </c>
      <c r="F966" t="s">
        <v>10</v>
      </c>
      <c r="G966" t="s">
        <v>905</v>
      </c>
      <c r="H966" t="s">
        <v>907</v>
      </c>
      <c r="I966" t="s">
        <v>32</v>
      </c>
      <c r="J966">
        <v>23</v>
      </c>
      <c r="K966">
        <v>84</v>
      </c>
      <c r="L966" s="4">
        <v>3.5000000000000001E-3</v>
      </c>
      <c r="M966">
        <v>0.02</v>
      </c>
      <c r="N966" s="4">
        <v>0.29399999999999998</v>
      </c>
      <c r="O966" s="4">
        <v>1.68</v>
      </c>
    </row>
    <row r="967" spans="2:15">
      <c r="B967" t="s">
        <v>892</v>
      </c>
      <c r="C967" t="s">
        <v>761</v>
      </c>
      <c r="D967" t="s">
        <v>908</v>
      </c>
      <c r="E967" t="s">
        <v>909</v>
      </c>
      <c r="F967" t="s">
        <v>10</v>
      </c>
      <c r="G967" t="s">
        <v>908</v>
      </c>
      <c r="H967" t="s">
        <v>910</v>
      </c>
      <c r="I967" t="s">
        <v>32</v>
      </c>
      <c r="J967">
        <v>20</v>
      </c>
      <c r="K967">
        <v>96</v>
      </c>
      <c r="L967" s="4">
        <v>3.5000000000000001E-3</v>
      </c>
      <c r="M967">
        <v>0.02</v>
      </c>
      <c r="N967" s="4">
        <v>0.33600000000000002</v>
      </c>
      <c r="O967" s="4">
        <v>1.92</v>
      </c>
    </row>
    <row r="968" spans="2:15">
      <c r="B968" t="s">
        <v>892</v>
      </c>
      <c r="C968" t="s">
        <v>761</v>
      </c>
      <c r="D968" t="s">
        <v>911</v>
      </c>
      <c r="E968" t="s">
        <v>912</v>
      </c>
      <c r="F968" t="s">
        <v>10</v>
      </c>
      <c r="G968" t="s">
        <v>911</v>
      </c>
      <c r="H968" t="s">
        <v>913</v>
      </c>
      <c r="I968" t="s">
        <v>32</v>
      </c>
      <c r="J968">
        <v>16</v>
      </c>
      <c r="K968">
        <v>30</v>
      </c>
      <c r="L968" s="4">
        <v>3.5000000000000001E-3</v>
      </c>
      <c r="M968">
        <v>0.02</v>
      </c>
      <c r="N968" s="4">
        <v>0.105</v>
      </c>
      <c r="O968" s="4">
        <v>0.6</v>
      </c>
    </row>
    <row r="969" spans="2:15">
      <c r="B969" t="s">
        <v>892</v>
      </c>
      <c r="C969" t="s">
        <v>761</v>
      </c>
      <c r="D969" t="s">
        <v>914</v>
      </c>
      <c r="E969" t="s">
        <v>915</v>
      </c>
      <c r="F969" t="s">
        <v>10</v>
      </c>
      <c r="G969" t="s">
        <v>914</v>
      </c>
      <c r="H969" t="s">
        <v>916</v>
      </c>
      <c r="I969" t="s">
        <v>32</v>
      </c>
      <c r="J969">
        <v>106</v>
      </c>
      <c r="K969">
        <v>134</v>
      </c>
      <c r="L969" s="4">
        <v>3.5000000000000001E-3</v>
      </c>
      <c r="M969">
        <v>0.02</v>
      </c>
      <c r="N969" s="4">
        <v>0.46900000000000003</v>
      </c>
      <c r="O969" s="4">
        <v>2.68</v>
      </c>
    </row>
    <row r="970" spans="2:15">
      <c r="B970" t="s">
        <v>892</v>
      </c>
      <c r="C970" t="s">
        <v>761</v>
      </c>
      <c r="D970" t="s">
        <v>917</v>
      </c>
      <c r="E970" t="s">
        <v>918</v>
      </c>
      <c r="F970" t="s">
        <v>10</v>
      </c>
      <c r="G970" t="s">
        <v>917</v>
      </c>
      <c r="H970" t="s">
        <v>919</v>
      </c>
      <c r="I970" t="s">
        <v>32</v>
      </c>
      <c r="J970">
        <v>101</v>
      </c>
      <c r="K970">
        <v>144</v>
      </c>
      <c r="L970" s="4">
        <v>3.5000000000000001E-3</v>
      </c>
      <c r="M970">
        <v>0.02</v>
      </c>
      <c r="N970" s="4">
        <v>0.504</v>
      </c>
      <c r="O970" s="4">
        <v>2.88</v>
      </c>
    </row>
    <row r="971" spans="2:15">
      <c r="B971" t="s">
        <v>892</v>
      </c>
      <c r="C971" t="s">
        <v>761</v>
      </c>
      <c r="D971" t="s">
        <v>920</v>
      </c>
      <c r="E971" t="s">
        <v>921</v>
      </c>
      <c r="F971" t="s">
        <v>12</v>
      </c>
      <c r="G971" t="s">
        <v>920</v>
      </c>
      <c r="H971" t="s">
        <v>922</v>
      </c>
      <c r="I971" t="s">
        <v>32</v>
      </c>
      <c r="J971">
        <v>32</v>
      </c>
      <c r="K971">
        <v>11</v>
      </c>
      <c r="L971" s="4">
        <v>0.04</v>
      </c>
      <c r="M971">
        <v>0.09</v>
      </c>
      <c r="N971" s="4">
        <v>1.2800000000000001E-3</v>
      </c>
      <c r="O971" s="4">
        <v>2.8799999999999997E-3</v>
      </c>
    </row>
    <row r="972" spans="2:15">
      <c r="B972" t="s">
        <v>892</v>
      </c>
      <c r="C972" t="s">
        <v>761</v>
      </c>
      <c r="D972" t="s">
        <v>2879</v>
      </c>
      <c r="E972" t="s">
        <v>2880</v>
      </c>
      <c r="F972" t="s">
        <v>10</v>
      </c>
      <c r="G972" t="s">
        <v>2879</v>
      </c>
      <c r="H972" t="s">
        <v>2881</v>
      </c>
      <c r="I972" t="s">
        <v>32</v>
      </c>
      <c r="J972">
        <v>0</v>
      </c>
      <c r="K972">
        <v>23</v>
      </c>
      <c r="L972" s="4">
        <v>3.5000000000000001E-3</v>
      </c>
      <c r="M972">
        <v>0.02</v>
      </c>
      <c r="N972" s="4">
        <v>8.0500000000000002E-2</v>
      </c>
      <c r="O972" s="4">
        <v>0.46</v>
      </c>
    </row>
    <row r="973" spans="2:15">
      <c r="B973" t="s">
        <v>892</v>
      </c>
      <c r="C973" t="s">
        <v>761</v>
      </c>
      <c r="D973" t="s">
        <v>923</v>
      </c>
      <c r="E973" t="s">
        <v>924</v>
      </c>
      <c r="F973" t="s">
        <v>10</v>
      </c>
      <c r="G973" t="s">
        <v>923</v>
      </c>
      <c r="H973" t="s">
        <v>925</v>
      </c>
      <c r="I973" t="s">
        <v>32</v>
      </c>
      <c r="J973">
        <v>5</v>
      </c>
      <c r="K973">
        <v>35</v>
      </c>
      <c r="L973" s="4">
        <v>3.5000000000000001E-3</v>
      </c>
      <c r="M973">
        <v>0.02</v>
      </c>
      <c r="N973" s="4">
        <v>0.1225</v>
      </c>
      <c r="O973" s="4">
        <v>0.70000000000000007</v>
      </c>
    </row>
    <row r="974" spans="2:15">
      <c r="B974" t="s">
        <v>892</v>
      </c>
      <c r="C974" t="s">
        <v>761</v>
      </c>
      <c r="D974" t="s">
        <v>2882</v>
      </c>
      <c r="E974" t="s">
        <v>2883</v>
      </c>
      <c r="F974" t="s">
        <v>10</v>
      </c>
      <c r="G974" t="s">
        <v>2882</v>
      </c>
      <c r="H974" t="s">
        <v>2884</v>
      </c>
      <c r="I974" t="s">
        <v>32</v>
      </c>
      <c r="J974">
        <v>0</v>
      </c>
      <c r="K974">
        <v>6</v>
      </c>
      <c r="L974" s="4">
        <v>3.5000000000000001E-3</v>
      </c>
      <c r="M974">
        <v>0.02</v>
      </c>
      <c r="N974" s="4">
        <v>2.1000000000000001E-2</v>
      </c>
      <c r="O974" s="4">
        <v>0.12</v>
      </c>
    </row>
    <row r="975" spans="2:15">
      <c r="B975" t="s">
        <v>892</v>
      </c>
      <c r="C975" t="s">
        <v>253</v>
      </c>
      <c r="D975" t="s">
        <v>926</v>
      </c>
      <c r="E975" t="s">
        <v>927</v>
      </c>
      <c r="F975" t="s">
        <v>12</v>
      </c>
      <c r="G975" t="s">
        <v>926</v>
      </c>
      <c r="H975" t="s">
        <v>928</v>
      </c>
      <c r="I975" t="s">
        <v>32</v>
      </c>
      <c r="J975">
        <v>4991</v>
      </c>
      <c r="K975">
        <v>0</v>
      </c>
      <c r="L975" s="4">
        <v>0.04</v>
      </c>
      <c r="M975">
        <v>0.09</v>
      </c>
      <c r="N975" s="4">
        <v>0.19964000000000001</v>
      </c>
      <c r="O975" s="4">
        <v>0.44918999999999998</v>
      </c>
    </row>
    <row r="976" spans="2:15">
      <c r="B976" t="s">
        <v>892</v>
      </c>
      <c r="C976" t="s">
        <v>99</v>
      </c>
      <c r="D976" t="s">
        <v>929</v>
      </c>
      <c r="E976" t="s">
        <v>930</v>
      </c>
      <c r="F976" t="s">
        <v>10</v>
      </c>
      <c r="G976" t="s">
        <v>929</v>
      </c>
      <c r="H976" t="s">
        <v>931</v>
      </c>
      <c r="I976" t="s">
        <v>32</v>
      </c>
      <c r="J976">
        <v>0</v>
      </c>
      <c r="K976">
        <v>9</v>
      </c>
      <c r="L976" s="4">
        <v>3.5000000000000001E-3</v>
      </c>
      <c r="M976">
        <v>0.02</v>
      </c>
      <c r="N976" s="4">
        <v>3.15E-2</v>
      </c>
      <c r="O976" s="4">
        <v>0.18</v>
      </c>
    </row>
    <row r="977" spans="2:15">
      <c r="B977" t="s">
        <v>892</v>
      </c>
      <c r="C977" t="s">
        <v>99</v>
      </c>
      <c r="D977" t="s">
        <v>932</v>
      </c>
      <c r="E977" t="s">
        <v>933</v>
      </c>
      <c r="F977" t="s">
        <v>10</v>
      </c>
      <c r="G977" t="s">
        <v>932</v>
      </c>
      <c r="H977" t="s">
        <v>934</v>
      </c>
      <c r="I977" t="s">
        <v>32</v>
      </c>
      <c r="J977">
        <v>0</v>
      </c>
      <c r="K977">
        <v>2</v>
      </c>
      <c r="L977" s="4">
        <v>3.5000000000000001E-3</v>
      </c>
      <c r="M977">
        <v>0.02</v>
      </c>
      <c r="N977" s="4">
        <v>7.0000000000000001E-3</v>
      </c>
      <c r="O977" s="4">
        <v>0.04</v>
      </c>
    </row>
    <row r="978" spans="2:15">
      <c r="B978" t="s">
        <v>892</v>
      </c>
      <c r="C978" t="s">
        <v>763</v>
      </c>
      <c r="D978" t="s">
        <v>2885</v>
      </c>
      <c r="E978" t="s">
        <v>2886</v>
      </c>
      <c r="F978" t="s">
        <v>12</v>
      </c>
      <c r="G978" t="s">
        <v>2885</v>
      </c>
      <c r="H978" t="s">
        <v>2887</v>
      </c>
      <c r="I978" t="s">
        <v>32</v>
      </c>
      <c r="J978">
        <v>19</v>
      </c>
      <c r="K978">
        <v>2</v>
      </c>
      <c r="L978" s="4">
        <v>0.04</v>
      </c>
      <c r="M978">
        <v>0.09</v>
      </c>
      <c r="N978" s="4">
        <v>7.6000000000000004E-4</v>
      </c>
      <c r="O978" s="4">
        <v>1.7099999999999999E-3</v>
      </c>
    </row>
    <row r="979" spans="2:15">
      <c r="B979" t="s">
        <v>892</v>
      </c>
      <c r="C979" t="s">
        <v>763</v>
      </c>
      <c r="D979" t="s">
        <v>2888</v>
      </c>
      <c r="E979" t="s">
        <v>2889</v>
      </c>
      <c r="F979" t="s">
        <v>12</v>
      </c>
      <c r="G979" t="s">
        <v>2888</v>
      </c>
      <c r="H979" t="s">
        <v>2890</v>
      </c>
      <c r="I979" t="s">
        <v>32</v>
      </c>
      <c r="J979">
        <v>6</v>
      </c>
      <c r="K979">
        <v>1</v>
      </c>
      <c r="L979" s="4">
        <v>0.04</v>
      </c>
      <c r="M979">
        <v>0.09</v>
      </c>
      <c r="N979" s="4">
        <v>2.3999999999999998E-4</v>
      </c>
      <c r="O979" s="4">
        <v>5.4000000000000001E-4</v>
      </c>
    </row>
    <row r="980" spans="2:15">
      <c r="B980" t="s">
        <v>892</v>
      </c>
      <c r="C980" t="s">
        <v>763</v>
      </c>
      <c r="D980" t="s">
        <v>2891</v>
      </c>
      <c r="E980" t="s">
        <v>2892</v>
      </c>
      <c r="F980" t="s">
        <v>12</v>
      </c>
      <c r="G980" t="s">
        <v>2891</v>
      </c>
      <c r="H980" t="s">
        <v>2893</v>
      </c>
      <c r="I980" t="s">
        <v>32</v>
      </c>
      <c r="J980">
        <v>59</v>
      </c>
      <c r="K980">
        <v>4</v>
      </c>
      <c r="L980" s="4">
        <v>0.04</v>
      </c>
      <c r="M980">
        <v>0.09</v>
      </c>
      <c r="N980" s="4">
        <v>2.3599999999999997E-3</v>
      </c>
      <c r="O980" s="4">
        <v>5.3099999999999996E-3</v>
      </c>
    </row>
    <row r="981" spans="2:15">
      <c r="B981" t="s">
        <v>892</v>
      </c>
      <c r="C981" t="s">
        <v>763</v>
      </c>
      <c r="D981" t="s">
        <v>935</v>
      </c>
      <c r="E981" t="s">
        <v>936</v>
      </c>
      <c r="F981" t="s">
        <v>12</v>
      </c>
      <c r="G981" t="s">
        <v>935</v>
      </c>
      <c r="H981" t="s">
        <v>937</v>
      </c>
      <c r="I981" t="s">
        <v>32</v>
      </c>
      <c r="J981">
        <v>11</v>
      </c>
      <c r="K981">
        <v>2</v>
      </c>
      <c r="L981" s="4">
        <v>0.04</v>
      </c>
      <c r="M981">
        <v>0.09</v>
      </c>
      <c r="N981" s="4">
        <v>4.4000000000000002E-4</v>
      </c>
      <c r="O981" s="4">
        <v>9.8999999999999999E-4</v>
      </c>
    </row>
    <row r="982" spans="2:15">
      <c r="B982" t="s">
        <v>892</v>
      </c>
      <c r="C982" t="s">
        <v>763</v>
      </c>
      <c r="D982" t="s">
        <v>2894</v>
      </c>
      <c r="E982" t="s">
        <v>2895</v>
      </c>
      <c r="F982" t="s">
        <v>10</v>
      </c>
      <c r="G982" t="s">
        <v>2894</v>
      </c>
      <c r="H982" t="s">
        <v>2896</v>
      </c>
      <c r="I982" t="s">
        <v>32</v>
      </c>
      <c r="J982">
        <v>8</v>
      </c>
      <c r="K982">
        <v>13</v>
      </c>
      <c r="L982" s="4">
        <v>3.5000000000000001E-3</v>
      </c>
      <c r="M982">
        <v>0.02</v>
      </c>
      <c r="N982" s="4">
        <v>4.5499999999999999E-2</v>
      </c>
      <c r="O982" s="4">
        <v>0.26</v>
      </c>
    </row>
    <row r="983" spans="2:15">
      <c r="B983" t="s">
        <v>892</v>
      </c>
      <c r="C983" t="s">
        <v>763</v>
      </c>
      <c r="D983" t="s">
        <v>2897</v>
      </c>
      <c r="E983" t="s">
        <v>2898</v>
      </c>
      <c r="F983" t="s">
        <v>12</v>
      </c>
      <c r="G983" t="s">
        <v>2897</v>
      </c>
      <c r="H983" t="s">
        <v>2899</v>
      </c>
      <c r="I983" t="s">
        <v>32</v>
      </c>
      <c r="J983">
        <v>55</v>
      </c>
      <c r="K983">
        <v>4</v>
      </c>
      <c r="L983" s="4">
        <v>0.04</v>
      </c>
      <c r="M983">
        <v>0.09</v>
      </c>
      <c r="N983" s="4">
        <v>2.2000000000000001E-3</v>
      </c>
      <c r="O983" s="4">
        <v>4.9500000000000004E-3</v>
      </c>
    </row>
    <row r="984" spans="2:15">
      <c r="B984" t="s">
        <v>2900</v>
      </c>
      <c r="C984" t="s">
        <v>760</v>
      </c>
      <c r="D984" t="s">
        <v>2901</v>
      </c>
      <c r="E984" t="s">
        <v>2902</v>
      </c>
      <c r="F984" t="s">
        <v>10</v>
      </c>
      <c r="G984" t="s">
        <v>2901</v>
      </c>
      <c r="H984" t="s">
        <v>2903</v>
      </c>
      <c r="I984" t="s">
        <v>32</v>
      </c>
      <c r="J984">
        <v>0</v>
      </c>
      <c r="K984">
        <v>5</v>
      </c>
      <c r="L984" s="4">
        <v>3.5000000000000001E-3</v>
      </c>
      <c r="M984">
        <v>0.02</v>
      </c>
      <c r="N984" s="4">
        <v>1.7500000000000002E-2</v>
      </c>
      <c r="O984" s="4">
        <v>0.1</v>
      </c>
    </row>
    <row r="985" spans="2:15">
      <c r="B985" t="s">
        <v>2900</v>
      </c>
      <c r="C985" t="s">
        <v>761</v>
      </c>
      <c r="D985" t="s">
        <v>2904</v>
      </c>
      <c r="E985" t="s">
        <v>2905</v>
      </c>
      <c r="F985" t="s">
        <v>12</v>
      </c>
      <c r="G985" t="s">
        <v>2904</v>
      </c>
      <c r="H985" t="s">
        <v>2906</v>
      </c>
      <c r="I985" t="s">
        <v>32</v>
      </c>
      <c r="J985">
        <v>5</v>
      </c>
      <c r="K985">
        <v>3</v>
      </c>
      <c r="L985" s="4">
        <v>0.04</v>
      </c>
      <c r="M985">
        <v>0.09</v>
      </c>
      <c r="N985" s="4">
        <v>2.0000000000000001E-4</v>
      </c>
      <c r="O985" s="4">
        <v>4.4999999999999993E-4</v>
      </c>
    </row>
    <row r="986" spans="2:15">
      <c r="B986" t="s">
        <v>2900</v>
      </c>
      <c r="C986" t="s">
        <v>761</v>
      </c>
      <c r="D986" t="s">
        <v>2907</v>
      </c>
      <c r="E986" t="s">
        <v>2908</v>
      </c>
      <c r="F986" t="s">
        <v>12</v>
      </c>
      <c r="G986" t="s">
        <v>2907</v>
      </c>
      <c r="H986" t="s">
        <v>2909</v>
      </c>
      <c r="I986" t="s">
        <v>32</v>
      </c>
      <c r="J986">
        <v>10</v>
      </c>
      <c r="K986">
        <v>0</v>
      </c>
      <c r="L986" s="4">
        <v>0.04</v>
      </c>
      <c r="M986">
        <v>0.09</v>
      </c>
      <c r="N986" s="4">
        <v>4.0000000000000002E-4</v>
      </c>
      <c r="O986" s="4">
        <v>8.9999999999999987E-4</v>
      </c>
    </row>
    <row r="987" spans="2:15">
      <c r="B987" t="s">
        <v>2900</v>
      </c>
      <c r="C987" t="s">
        <v>761</v>
      </c>
      <c r="D987" t="s">
        <v>2910</v>
      </c>
      <c r="E987" t="s">
        <v>2911</v>
      </c>
      <c r="F987" t="s">
        <v>12</v>
      </c>
      <c r="G987" t="s">
        <v>2910</v>
      </c>
      <c r="H987" t="s">
        <v>2912</v>
      </c>
      <c r="I987" t="s">
        <v>32</v>
      </c>
      <c r="J987">
        <v>22</v>
      </c>
      <c r="K987">
        <v>0</v>
      </c>
      <c r="L987" s="4">
        <v>0.04</v>
      </c>
      <c r="M987">
        <v>0.09</v>
      </c>
      <c r="N987" s="4">
        <v>8.8000000000000003E-4</v>
      </c>
      <c r="O987" s="4">
        <v>1.98E-3</v>
      </c>
    </row>
    <row r="988" spans="2:15">
      <c r="B988" t="s">
        <v>2900</v>
      </c>
      <c r="C988" t="s">
        <v>761</v>
      </c>
      <c r="D988" t="s">
        <v>2913</v>
      </c>
      <c r="E988" t="s">
        <v>2914</v>
      </c>
      <c r="F988" t="s">
        <v>12</v>
      </c>
      <c r="G988" t="s">
        <v>2913</v>
      </c>
      <c r="H988" t="s">
        <v>2915</v>
      </c>
      <c r="I988" t="s">
        <v>32</v>
      </c>
      <c r="J988">
        <v>3</v>
      </c>
      <c r="K988">
        <v>0</v>
      </c>
      <c r="L988" s="4">
        <v>0.04</v>
      </c>
      <c r="M988">
        <v>0.09</v>
      </c>
      <c r="N988" s="4">
        <v>1.1999999999999999E-4</v>
      </c>
      <c r="O988" s="4">
        <v>2.7E-4</v>
      </c>
    </row>
    <row r="989" spans="2:15">
      <c r="B989" t="s">
        <v>2900</v>
      </c>
      <c r="C989" t="s">
        <v>761</v>
      </c>
      <c r="D989" t="s">
        <v>2916</v>
      </c>
      <c r="E989" t="s">
        <v>2917</v>
      </c>
      <c r="F989" t="s">
        <v>12</v>
      </c>
      <c r="G989" t="s">
        <v>2916</v>
      </c>
      <c r="H989" t="s">
        <v>2918</v>
      </c>
      <c r="I989" t="s">
        <v>32</v>
      </c>
      <c r="J989">
        <v>6</v>
      </c>
      <c r="K989">
        <v>0</v>
      </c>
      <c r="L989" s="4">
        <v>0.04</v>
      </c>
      <c r="M989">
        <v>0.09</v>
      </c>
      <c r="N989" s="4">
        <v>2.3999999999999998E-4</v>
      </c>
      <c r="O989" s="4">
        <v>5.4000000000000001E-4</v>
      </c>
    </row>
    <row r="990" spans="2:15">
      <c r="B990" t="s">
        <v>2900</v>
      </c>
      <c r="C990" t="s">
        <v>761</v>
      </c>
      <c r="D990" t="s">
        <v>2919</v>
      </c>
      <c r="E990" t="s">
        <v>2920</v>
      </c>
      <c r="F990" t="s">
        <v>12</v>
      </c>
      <c r="G990" t="s">
        <v>2919</v>
      </c>
      <c r="H990" t="s">
        <v>2921</v>
      </c>
      <c r="I990" t="s">
        <v>32</v>
      </c>
      <c r="J990">
        <v>6</v>
      </c>
      <c r="K990">
        <v>0</v>
      </c>
      <c r="L990" s="4">
        <v>0.04</v>
      </c>
      <c r="M990">
        <v>0.09</v>
      </c>
      <c r="N990" s="4">
        <v>2.3999999999999998E-4</v>
      </c>
      <c r="O990" s="4">
        <v>5.4000000000000001E-4</v>
      </c>
    </row>
    <row r="991" spans="2:15">
      <c r="B991" t="s">
        <v>938</v>
      </c>
      <c r="C991" t="s">
        <v>52</v>
      </c>
      <c r="D991" t="s">
        <v>939</v>
      </c>
      <c r="E991" t="s">
        <v>940</v>
      </c>
      <c r="F991" t="s">
        <v>10</v>
      </c>
      <c r="G991" t="s">
        <v>939</v>
      </c>
      <c r="H991" t="s">
        <v>941</v>
      </c>
      <c r="I991" t="s">
        <v>32</v>
      </c>
      <c r="J991">
        <v>0</v>
      </c>
      <c r="K991">
        <v>3</v>
      </c>
      <c r="L991" s="4">
        <v>3.5000000000000001E-3</v>
      </c>
      <c r="M991">
        <v>0.02</v>
      </c>
      <c r="N991" s="4">
        <v>1.0500000000000001E-2</v>
      </c>
      <c r="O991" s="4">
        <v>0.06</v>
      </c>
    </row>
    <row r="992" spans="2:15">
      <c r="B992" t="s">
        <v>938</v>
      </c>
      <c r="C992" t="s">
        <v>50</v>
      </c>
      <c r="D992" t="s">
        <v>942</v>
      </c>
      <c r="E992" t="s">
        <v>943</v>
      </c>
      <c r="F992" t="s">
        <v>12</v>
      </c>
      <c r="G992" t="s">
        <v>942</v>
      </c>
      <c r="H992" t="s">
        <v>944</v>
      </c>
      <c r="I992" t="s">
        <v>31</v>
      </c>
      <c r="J992">
        <v>5</v>
      </c>
      <c r="K992">
        <v>0</v>
      </c>
      <c r="L992" s="4">
        <v>0.04</v>
      </c>
      <c r="M992">
        <v>0.09</v>
      </c>
      <c r="N992" s="4">
        <v>2.0000000000000001E-4</v>
      </c>
      <c r="O992" s="4">
        <v>4.4999999999999993E-4</v>
      </c>
    </row>
    <row r="993" spans="2:15">
      <c r="B993" t="s">
        <v>938</v>
      </c>
      <c r="C993" t="s">
        <v>761</v>
      </c>
      <c r="D993" t="s">
        <v>2922</v>
      </c>
      <c r="E993" t="s">
        <v>2923</v>
      </c>
      <c r="F993" t="s">
        <v>10</v>
      </c>
      <c r="G993" t="s">
        <v>2922</v>
      </c>
      <c r="H993" t="s">
        <v>2924</v>
      </c>
      <c r="I993" t="s">
        <v>32</v>
      </c>
      <c r="J993">
        <v>0</v>
      </c>
      <c r="K993">
        <v>3</v>
      </c>
      <c r="L993" s="4">
        <v>3.5000000000000001E-3</v>
      </c>
      <c r="M993">
        <v>0.02</v>
      </c>
      <c r="N993" s="4">
        <v>1.0500000000000001E-2</v>
      </c>
      <c r="O993" s="4">
        <v>0.06</v>
      </c>
    </row>
    <row r="994" spans="2:15">
      <c r="B994" t="s">
        <v>938</v>
      </c>
      <c r="C994" t="s">
        <v>761</v>
      </c>
      <c r="D994" t="s">
        <v>2925</v>
      </c>
      <c r="E994" t="s">
        <v>2926</v>
      </c>
      <c r="F994" t="s">
        <v>10</v>
      </c>
      <c r="G994" t="s">
        <v>2925</v>
      </c>
      <c r="H994" t="s">
        <v>2927</v>
      </c>
      <c r="I994" t="s">
        <v>32</v>
      </c>
      <c r="J994">
        <v>0</v>
      </c>
      <c r="K994">
        <v>5</v>
      </c>
      <c r="L994" s="4">
        <v>3.5000000000000001E-3</v>
      </c>
      <c r="M994">
        <v>0.02</v>
      </c>
      <c r="N994" s="4">
        <v>1.7500000000000002E-2</v>
      </c>
      <c r="O994" s="4">
        <v>0.1</v>
      </c>
    </row>
    <row r="995" spans="2:15">
      <c r="B995" t="s">
        <v>938</v>
      </c>
      <c r="C995" t="s">
        <v>761</v>
      </c>
      <c r="D995" t="s">
        <v>2928</v>
      </c>
      <c r="E995" t="s">
        <v>2929</v>
      </c>
      <c r="F995" t="s">
        <v>10</v>
      </c>
      <c r="G995" t="s">
        <v>2928</v>
      </c>
      <c r="H995" t="s">
        <v>2930</v>
      </c>
      <c r="I995" t="s">
        <v>32</v>
      </c>
      <c r="J995">
        <v>0</v>
      </c>
      <c r="K995">
        <v>2</v>
      </c>
      <c r="L995" s="4">
        <v>3.5000000000000001E-3</v>
      </c>
      <c r="M995">
        <v>0.02</v>
      </c>
      <c r="N995" s="4">
        <v>7.0000000000000001E-3</v>
      </c>
      <c r="O995" s="4">
        <v>0.04</v>
      </c>
    </row>
    <row r="996" spans="2:15">
      <c r="B996" t="s">
        <v>938</v>
      </c>
      <c r="C996" t="s">
        <v>761</v>
      </c>
      <c r="D996" t="s">
        <v>945</v>
      </c>
      <c r="E996" t="s">
        <v>946</v>
      </c>
      <c r="F996" t="s">
        <v>12</v>
      </c>
      <c r="G996" t="s">
        <v>945</v>
      </c>
      <c r="H996" t="s">
        <v>947</v>
      </c>
      <c r="I996" t="s">
        <v>32</v>
      </c>
      <c r="J996">
        <v>17</v>
      </c>
      <c r="K996">
        <v>7</v>
      </c>
      <c r="L996" s="4">
        <v>0.04</v>
      </c>
      <c r="M996">
        <v>0.09</v>
      </c>
      <c r="N996" s="4">
        <v>6.8000000000000005E-4</v>
      </c>
      <c r="O996" s="4">
        <v>1.5300000000000001E-3</v>
      </c>
    </row>
    <row r="997" spans="2:15">
      <c r="B997" t="s">
        <v>938</v>
      </c>
      <c r="C997" t="s">
        <v>761</v>
      </c>
      <c r="D997" t="s">
        <v>948</v>
      </c>
      <c r="E997" t="s">
        <v>949</v>
      </c>
      <c r="F997" t="s">
        <v>12</v>
      </c>
      <c r="G997" t="s">
        <v>948</v>
      </c>
      <c r="H997" t="s">
        <v>950</v>
      </c>
      <c r="I997" t="s">
        <v>32</v>
      </c>
      <c r="J997">
        <v>98</v>
      </c>
      <c r="K997">
        <v>8</v>
      </c>
      <c r="L997" s="4">
        <v>0.04</v>
      </c>
      <c r="M997">
        <v>0.09</v>
      </c>
      <c r="N997" s="4">
        <v>3.9199999999999999E-3</v>
      </c>
      <c r="O997" s="4">
        <v>8.8199999999999997E-3</v>
      </c>
    </row>
    <row r="998" spans="2:15">
      <c r="B998" t="s">
        <v>938</v>
      </c>
      <c r="C998" t="s">
        <v>761</v>
      </c>
      <c r="D998" t="s">
        <v>951</v>
      </c>
      <c r="E998" t="s">
        <v>952</v>
      </c>
      <c r="F998" t="s">
        <v>10</v>
      </c>
      <c r="G998" t="s">
        <v>951</v>
      </c>
      <c r="H998" t="s">
        <v>953</v>
      </c>
      <c r="I998" t="s">
        <v>32</v>
      </c>
      <c r="J998">
        <v>0</v>
      </c>
      <c r="K998">
        <v>3</v>
      </c>
      <c r="L998" s="4">
        <v>3.5000000000000001E-3</v>
      </c>
      <c r="M998">
        <v>0.02</v>
      </c>
      <c r="N998" s="4">
        <v>1.0500000000000001E-2</v>
      </c>
      <c r="O998" s="4">
        <v>0.06</v>
      </c>
    </row>
    <row r="999" spans="2:15">
      <c r="B999" t="s">
        <v>938</v>
      </c>
      <c r="C999" t="s">
        <v>761</v>
      </c>
      <c r="D999" t="s">
        <v>954</v>
      </c>
      <c r="E999" t="s">
        <v>955</v>
      </c>
      <c r="F999" t="s">
        <v>10</v>
      </c>
      <c r="G999" t="s">
        <v>954</v>
      </c>
      <c r="H999" t="s">
        <v>956</v>
      </c>
      <c r="I999" t="s">
        <v>32</v>
      </c>
      <c r="J999">
        <v>0</v>
      </c>
      <c r="K999">
        <v>7</v>
      </c>
      <c r="L999" s="4">
        <v>3.5000000000000001E-3</v>
      </c>
      <c r="M999">
        <v>0.02</v>
      </c>
      <c r="N999" s="4">
        <v>2.4500000000000001E-2</v>
      </c>
      <c r="O999" s="4">
        <v>0.14000000000000001</v>
      </c>
    </row>
    <row r="1000" spans="2:15">
      <c r="B1000" t="s">
        <v>938</v>
      </c>
      <c r="C1000" t="s">
        <v>88</v>
      </c>
      <c r="D1000" t="s">
        <v>957</v>
      </c>
      <c r="E1000" t="s">
        <v>958</v>
      </c>
      <c r="F1000" t="s">
        <v>10</v>
      </c>
      <c r="G1000" t="s">
        <v>957</v>
      </c>
      <c r="H1000" t="s">
        <v>959</v>
      </c>
      <c r="I1000" t="s">
        <v>32</v>
      </c>
      <c r="J1000">
        <v>2</v>
      </c>
      <c r="K1000">
        <v>2</v>
      </c>
      <c r="L1000" s="4">
        <v>3.5000000000000001E-3</v>
      </c>
      <c r="M1000">
        <v>0.02</v>
      </c>
      <c r="N1000" s="4">
        <v>7.0000000000000001E-3</v>
      </c>
      <c r="O1000" s="4">
        <v>0.04</v>
      </c>
    </row>
    <row r="1001" spans="2:15">
      <c r="B1001" t="s">
        <v>938</v>
      </c>
      <c r="C1001" t="s">
        <v>88</v>
      </c>
      <c r="D1001" t="s">
        <v>2931</v>
      </c>
      <c r="E1001" t="s">
        <v>2932</v>
      </c>
      <c r="F1001" t="s">
        <v>12</v>
      </c>
      <c r="G1001" t="s">
        <v>2931</v>
      </c>
      <c r="H1001" t="s">
        <v>2933</v>
      </c>
      <c r="I1001" t="s">
        <v>32</v>
      </c>
      <c r="J1001">
        <v>1</v>
      </c>
      <c r="K1001">
        <v>0</v>
      </c>
      <c r="L1001" s="4">
        <v>0.04</v>
      </c>
      <c r="M1001">
        <v>0.09</v>
      </c>
      <c r="N1001" s="4">
        <v>4.0000000000000003E-5</v>
      </c>
      <c r="O1001" s="4">
        <v>8.9999999999999992E-5</v>
      </c>
    </row>
    <row r="1002" spans="2:15">
      <c r="B1002" t="s">
        <v>938</v>
      </c>
      <c r="C1002" t="s">
        <v>88</v>
      </c>
      <c r="D1002" t="s">
        <v>2934</v>
      </c>
      <c r="E1002" t="s">
        <v>2935</v>
      </c>
      <c r="F1002" t="s">
        <v>12</v>
      </c>
      <c r="G1002" t="s">
        <v>2934</v>
      </c>
      <c r="H1002" t="s">
        <v>2936</v>
      </c>
      <c r="I1002" t="s">
        <v>32</v>
      </c>
      <c r="J1002">
        <v>4</v>
      </c>
      <c r="K1002">
        <v>0</v>
      </c>
      <c r="L1002" s="4">
        <v>0.04</v>
      </c>
      <c r="M1002">
        <v>0.09</v>
      </c>
      <c r="N1002" s="4">
        <v>1.6000000000000001E-4</v>
      </c>
      <c r="O1002" s="4">
        <v>3.5999999999999997E-4</v>
      </c>
    </row>
    <row r="1003" spans="2:15">
      <c r="B1003" t="s">
        <v>938</v>
      </c>
      <c r="C1003" t="s">
        <v>253</v>
      </c>
      <c r="D1003" t="s">
        <v>960</v>
      </c>
      <c r="E1003" t="s">
        <v>961</v>
      </c>
      <c r="F1003" t="s">
        <v>12</v>
      </c>
      <c r="G1003" t="s">
        <v>960</v>
      </c>
      <c r="H1003" t="s">
        <v>962</v>
      </c>
      <c r="I1003" t="s">
        <v>32</v>
      </c>
      <c r="J1003">
        <v>109</v>
      </c>
      <c r="K1003">
        <v>0</v>
      </c>
      <c r="L1003" s="4">
        <v>0.04</v>
      </c>
      <c r="M1003">
        <v>0.09</v>
      </c>
      <c r="N1003" s="4">
        <v>4.3600000000000002E-3</v>
      </c>
      <c r="O1003" s="4">
        <v>9.810000000000001E-3</v>
      </c>
    </row>
    <row r="1004" spans="2:15">
      <c r="B1004" t="s">
        <v>938</v>
      </c>
      <c r="C1004" t="s">
        <v>99</v>
      </c>
      <c r="D1004" t="s">
        <v>2937</v>
      </c>
      <c r="E1004" t="s">
        <v>2938</v>
      </c>
      <c r="F1004" t="s">
        <v>10</v>
      </c>
      <c r="G1004" t="s">
        <v>2937</v>
      </c>
      <c r="H1004" t="s">
        <v>2939</v>
      </c>
      <c r="I1004" t="s">
        <v>32</v>
      </c>
      <c r="J1004">
        <v>0</v>
      </c>
      <c r="K1004">
        <v>1</v>
      </c>
      <c r="L1004" s="4">
        <v>3.5000000000000001E-3</v>
      </c>
      <c r="M1004">
        <v>0.02</v>
      </c>
      <c r="N1004" s="4">
        <v>3.5000000000000001E-3</v>
      </c>
      <c r="O1004" s="4">
        <v>0.02</v>
      </c>
    </row>
    <row r="1005" spans="2:15">
      <c r="B1005" t="s">
        <v>963</v>
      </c>
      <c r="C1005" t="s">
        <v>760</v>
      </c>
      <c r="D1005" t="s">
        <v>1736</v>
      </c>
      <c r="E1005" t="s">
        <v>1737</v>
      </c>
      <c r="F1005" t="s">
        <v>10</v>
      </c>
      <c r="G1005" t="s">
        <v>1736</v>
      </c>
      <c r="H1005" t="s">
        <v>1738</v>
      </c>
      <c r="I1005" t="s">
        <v>32</v>
      </c>
      <c r="J1005">
        <v>0</v>
      </c>
      <c r="K1005">
        <v>1</v>
      </c>
      <c r="L1005" s="4">
        <v>3.5000000000000001E-3</v>
      </c>
      <c r="M1005">
        <v>0.02</v>
      </c>
      <c r="N1005" s="4">
        <v>3.5000000000000001E-3</v>
      </c>
      <c r="O1005" s="4">
        <v>0.02</v>
      </c>
    </row>
    <row r="1006" spans="2:15">
      <c r="B1006" t="s">
        <v>964</v>
      </c>
      <c r="C1006" t="s">
        <v>2940</v>
      </c>
      <c r="D1006" t="s">
        <v>2941</v>
      </c>
      <c r="E1006" t="s">
        <v>2942</v>
      </c>
      <c r="F1006" t="s">
        <v>12</v>
      </c>
      <c r="G1006" t="s">
        <v>2941</v>
      </c>
      <c r="H1006" t="s">
        <v>2943</v>
      </c>
      <c r="I1006" t="s">
        <v>31</v>
      </c>
      <c r="J1006">
        <v>2</v>
      </c>
      <c r="K1006">
        <v>0</v>
      </c>
      <c r="L1006" s="4">
        <v>0.04</v>
      </c>
      <c r="M1006">
        <v>0.09</v>
      </c>
      <c r="N1006" s="4">
        <v>8.0000000000000007E-5</v>
      </c>
      <c r="O1006" s="4">
        <v>1.7999999999999998E-4</v>
      </c>
    </row>
    <row r="1007" spans="2:15">
      <c r="B1007" t="s">
        <v>964</v>
      </c>
      <c r="C1007" t="s">
        <v>2940</v>
      </c>
      <c r="D1007" t="s">
        <v>2944</v>
      </c>
      <c r="E1007" t="s">
        <v>2945</v>
      </c>
      <c r="F1007" t="s">
        <v>12</v>
      </c>
      <c r="G1007" t="s">
        <v>2944</v>
      </c>
      <c r="H1007" t="s">
        <v>2946</v>
      </c>
      <c r="I1007" t="s">
        <v>31</v>
      </c>
      <c r="J1007">
        <v>3</v>
      </c>
      <c r="K1007">
        <v>0</v>
      </c>
      <c r="L1007" s="4">
        <v>0.04</v>
      </c>
      <c r="M1007">
        <v>0.09</v>
      </c>
      <c r="N1007" s="4">
        <v>1.1999999999999999E-4</v>
      </c>
      <c r="O1007" s="4">
        <v>2.7E-4</v>
      </c>
    </row>
    <row r="1008" spans="2:15">
      <c r="B1008" t="s">
        <v>964</v>
      </c>
      <c r="C1008" t="s">
        <v>52</v>
      </c>
      <c r="D1008" t="s">
        <v>965</v>
      </c>
      <c r="E1008" t="s">
        <v>966</v>
      </c>
      <c r="F1008" t="s">
        <v>10</v>
      </c>
      <c r="G1008" t="s">
        <v>965</v>
      </c>
      <c r="H1008" t="s">
        <v>967</v>
      </c>
      <c r="I1008" t="s">
        <v>32</v>
      </c>
      <c r="J1008">
        <v>0</v>
      </c>
      <c r="K1008">
        <v>11</v>
      </c>
      <c r="L1008" s="4">
        <v>3.5000000000000001E-3</v>
      </c>
      <c r="M1008">
        <v>0.02</v>
      </c>
      <c r="N1008" s="4">
        <v>3.85E-2</v>
      </c>
      <c r="O1008" s="4">
        <v>0.22</v>
      </c>
    </row>
    <row r="1009" spans="2:15">
      <c r="B1009" t="s">
        <v>964</v>
      </c>
      <c r="C1009" t="s">
        <v>52</v>
      </c>
      <c r="D1009" t="s">
        <v>968</v>
      </c>
      <c r="E1009" t="s">
        <v>969</v>
      </c>
      <c r="F1009" t="s">
        <v>10</v>
      </c>
      <c r="G1009" t="s">
        <v>968</v>
      </c>
      <c r="H1009" t="s">
        <v>970</v>
      </c>
      <c r="I1009" t="s">
        <v>32</v>
      </c>
      <c r="J1009">
        <v>0</v>
      </c>
      <c r="K1009">
        <v>8</v>
      </c>
      <c r="L1009" s="4">
        <v>3.5000000000000001E-3</v>
      </c>
      <c r="M1009">
        <v>0.02</v>
      </c>
      <c r="N1009" s="4">
        <v>2.8000000000000001E-2</v>
      </c>
      <c r="O1009" s="4">
        <v>0.16</v>
      </c>
    </row>
    <row r="1010" spans="2:15">
      <c r="B1010" t="s">
        <v>964</v>
      </c>
      <c r="C1010" t="s">
        <v>52</v>
      </c>
      <c r="D1010" t="s">
        <v>971</v>
      </c>
      <c r="E1010" t="s">
        <v>972</v>
      </c>
      <c r="F1010" t="s">
        <v>10</v>
      </c>
      <c r="G1010" t="s">
        <v>971</v>
      </c>
      <c r="H1010" t="s">
        <v>973</v>
      </c>
      <c r="I1010" t="s">
        <v>32</v>
      </c>
      <c r="J1010">
        <v>0</v>
      </c>
      <c r="K1010">
        <v>3</v>
      </c>
      <c r="L1010" s="4">
        <v>3.5000000000000001E-3</v>
      </c>
      <c r="M1010">
        <v>0.02</v>
      </c>
      <c r="N1010" s="4">
        <v>1.0500000000000001E-2</v>
      </c>
      <c r="O1010" s="4">
        <v>0.06</v>
      </c>
    </row>
    <row r="1011" spans="2:15">
      <c r="B1011" t="s">
        <v>964</v>
      </c>
      <c r="C1011" t="s">
        <v>52</v>
      </c>
      <c r="D1011" t="s">
        <v>974</v>
      </c>
      <c r="E1011" t="s">
        <v>975</v>
      </c>
      <c r="F1011" t="s">
        <v>10</v>
      </c>
      <c r="G1011" t="s">
        <v>974</v>
      </c>
      <c r="H1011" t="s">
        <v>976</v>
      </c>
      <c r="I1011" t="s">
        <v>32</v>
      </c>
      <c r="J1011">
        <v>0</v>
      </c>
      <c r="K1011">
        <v>23</v>
      </c>
      <c r="L1011" s="4">
        <v>3.5000000000000001E-3</v>
      </c>
      <c r="M1011">
        <v>0.02</v>
      </c>
      <c r="N1011" s="4">
        <v>8.0500000000000002E-2</v>
      </c>
      <c r="O1011" s="4">
        <v>0.46</v>
      </c>
    </row>
    <row r="1012" spans="2:15">
      <c r="B1012" t="s">
        <v>964</v>
      </c>
      <c r="C1012" t="s">
        <v>50</v>
      </c>
      <c r="D1012" t="s">
        <v>1739</v>
      </c>
      <c r="E1012" t="s">
        <v>1740</v>
      </c>
      <c r="F1012" t="s">
        <v>12</v>
      </c>
      <c r="G1012" t="s">
        <v>1739</v>
      </c>
      <c r="H1012" t="s">
        <v>1741</v>
      </c>
      <c r="I1012" t="s">
        <v>32</v>
      </c>
      <c r="J1012">
        <v>1</v>
      </c>
      <c r="K1012">
        <v>0</v>
      </c>
      <c r="L1012" s="4">
        <v>0.04</v>
      </c>
      <c r="M1012">
        <v>0.09</v>
      </c>
      <c r="N1012" s="4">
        <v>4.0000000000000003E-5</v>
      </c>
      <c r="O1012" s="4">
        <v>8.9999999999999992E-5</v>
      </c>
    </row>
    <row r="1013" spans="2:15">
      <c r="B1013" t="s">
        <v>964</v>
      </c>
      <c r="C1013" t="s">
        <v>50</v>
      </c>
      <c r="D1013" t="s">
        <v>2947</v>
      </c>
      <c r="E1013" t="s">
        <v>2948</v>
      </c>
      <c r="F1013" t="s">
        <v>10</v>
      </c>
      <c r="G1013" t="s">
        <v>2947</v>
      </c>
      <c r="H1013" t="s">
        <v>2949</v>
      </c>
      <c r="I1013" t="s">
        <v>32</v>
      </c>
      <c r="J1013">
        <v>0</v>
      </c>
      <c r="K1013">
        <v>1</v>
      </c>
      <c r="L1013" s="4">
        <v>3.5000000000000001E-3</v>
      </c>
      <c r="M1013">
        <v>0.02</v>
      </c>
      <c r="N1013" s="4">
        <v>3.5000000000000001E-3</v>
      </c>
      <c r="O1013" s="4">
        <v>0.02</v>
      </c>
    </row>
    <row r="1014" spans="2:15">
      <c r="B1014" t="s">
        <v>964</v>
      </c>
      <c r="C1014" t="s">
        <v>50</v>
      </c>
      <c r="D1014" t="s">
        <v>2950</v>
      </c>
      <c r="E1014" t="s">
        <v>2951</v>
      </c>
      <c r="F1014" t="s">
        <v>10</v>
      </c>
      <c r="G1014" t="s">
        <v>2950</v>
      </c>
      <c r="H1014" t="s">
        <v>2952</v>
      </c>
      <c r="I1014" t="s">
        <v>32</v>
      </c>
      <c r="J1014">
        <v>0</v>
      </c>
      <c r="K1014">
        <v>1</v>
      </c>
      <c r="L1014" s="4">
        <v>3.5000000000000001E-3</v>
      </c>
      <c r="M1014">
        <v>0.02</v>
      </c>
      <c r="N1014" s="4">
        <v>3.5000000000000001E-3</v>
      </c>
      <c r="O1014" s="4">
        <v>0.02</v>
      </c>
    </row>
    <row r="1015" spans="2:15">
      <c r="B1015" t="s">
        <v>964</v>
      </c>
      <c r="C1015" t="s">
        <v>118</v>
      </c>
      <c r="D1015" t="s">
        <v>977</v>
      </c>
      <c r="E1015" t="s">
        <v>978</v>
      </c>
      <c r="F1015" t="s">
        <v>12</v>
      </c>
      <c r="G1015" t="s">
        <v>977</v>
      </c>
      <c r="H1015" t="s">
        <v>979</v>
      </c>
      <c r="I1015" t="s">
        <v>32</v>
      </c>
      <c r="J1015">
        <v>15</v>
      </c>
      <c r="K1015">
        <v>10</v>
      </c>
      <c r="L1015" s="4">
        <v>0.04</v>
      </c>
      <c r="M1015">
        <v>0.09</v>
      </c>
      <c r="N1015" s="4">
        <v>5.9999999999999995E-4</v>
      </c>
      <c r="O1015" s="4">
        <v>1.3499999999999999E-3</v>
      </c>
    </row>
    <row r="1016" spans="2:15">
      <c r="B1016" t="s">
        <v>964</v>
      </c>
      <c r="C1016" t="s">
        <v>118</v>
      </c>
      <c r="D1016" t="s">
        <v>2953</v>
      </c>
      <c r="E1016" t="s">
        <v>2954</v>
      </c>
      <c r="F1016" t="s">
        <v>10</v>
      </c>
      <c r="G1016" t="s">
        <v>2953</v>
      </c>
      <c r="H1016" t="s">
        <v>2955</v>
      </c>
      <c r="I1016" t="s">
        <v>32</v>
      </c>
      <c r="J1016">
        <v>0</v>
      </c>
      <c r="K1016">
        <v>1</v>
      </c>
      <c r="L1016" s="4">
        <v>3.5000000000000001E-3</v>
      </c>
      <c r="M1016">
        <v>0.02</v>
      </c>
      <c r="N1016" s="4">
        <v>3.5000000000000001E-3</v>
      </c>
      <c r="O1016" s="4">
        <v>0.02</v>
      </c>
    </row>
    <row r="1017" spans="2:15">
      <c r="B1017" t="s">
        <v>964</v>
      </c>
      <c r="C1017" t="s">
        <v>762</v>
      </c>
      <c r="D1017" t="s">
        <v>981</v>
      </c>
      <c r="E1017" t="s">
        <v>982</v>
      </c>
      <c r="F1017" t="s">
        <v>10</v>
      </c>
      <c r="G1017" t="s">
        <v>981</v>
      </c>
      <c r="H1017" t="s">
        <v>983</v>
      </c>
      <c r="I1017" t="s">
        <v>32</v>
      </c>
      <c r="J1017">
        <v>0</v>
      </c>
      <c r="K1017">
        <v>20</v>
      </c>
      <c r="L1017" s="4">
        <v>3.5000000000000001E-3</v>
      </c>
      <c r="M1017">
        <v>0.02</v>
      </c>
      <c r="N1017" s="4">
        <v>7.0000000000000007E-2</v>
      </c>
      <c r="O1017" s="4">
        <v>0.4</v>
      </c>
    </row>
    <row r="1018" spans="2:15">
      <c r="B1018" t="s">
        <v>964</v>
      </c>
      <c r="C1018" t="s">
        <v>762</v>
      </c>
      <c r="D1018" t="s">
        <v>2956</v>
      </c>
      <c r="E1018" t="s">
        <v>2957</v>
      </c>
      <c r="F1018" t="s">
        <v>10</v>
      </c>
      <c r="G1018" t="s">
        <v>2956</v>
      </c>
      <c r="H1018" t="s">
        <v>2958</v>
      </c>
      <c r="I1018" t="s">
        <v>32</v>
      </c>
      <c r="J1018">
        <v>0</v>
      </c>
      <c r="K1018">
        <v>4</v>
      </c>
      <c r="L1018" s="4">
        <v>3.5000000000000001E-3</v>
      </c>
      <c r="M1018">
        <v>0.02</v>
      </c>
      <c r="N1018" s="4">
        <v>1.4E-2</v>
      </c>
      <c r="O1018" s="4">
        <v>0.08</v>
      </c>
    </row>
    <row r="1019" spans="2:15">
      <c r="B1019" t="s">
        <v>964</v>
      </c>
      <c r="C1019" t="s">
        <v>887</v>
      </c>
      <c r="D1019" t="s">
        <v>2959</v>
      </c>
      <c r="E1019" t="s">
        <v>2960</v>
      </c>
      <c r="F1019" t="s">
        <v>12</v>
      </c>
      <c r="G1019" t="s">
        <v>2959</v>
      </c>
      <c r="H1019" t="s">
        <v>2961</v>
      </c>
      <c r="I1019" t="s">
        <v>32</v>
      </c>
      <c r="J1019">
        <v>4</v>
      </c>
      <c r="K1019">
        <v>0</v>
      </c>
      <c r="L1019" s="4">
        <v>0.04</v>
      </c>
      <c r="M1019">
        <v>0.09</v>
      </c>
      <c r="N1019" s="4">
        <v>1.6000000000000001E-4</v>
      </c>
      <c r="O1019" s="4">
        <v>3.5999999999999997E-4</v>
      </c>
    </row>
    <row r="1020" spans="2:15">
      <c r="B1020" t="s">
        <v>964</v>
      </c>
      <c r="C1020" t="s">
        <v>887</v>
      </c>
      <c r="D1020" t="s">
        <v>984</v>
      </c>
      <c r="E1020" t="s">
        <v>2962</v>
      </c>
      <c r="F1020" t="s">
        <v>12</v>
      </c>
      <c r="G1020" t="s">
        <v>984</v>
      </c>
      <c r="H1020" t="s">
        <v>2963</v>
      </c>
      <c r="I1020" t="s">
        <v>32</v>
      </c>
      <c r="J1020">
        <v>1</v>
      </c>
      <c r="K1020">
        <v>0</v>
      </c>
      <c r="L1020" s="4">
        <v>0.04</v>
      </c>
      <c r="M1020">
        <v>0.09</v>
      </c>
      <c r="N1020" s="4">
        <v>4.0000000000000003E-5</v>
      </c>
      <c r="O1020" s="4">
        <v>8.9999999999999992E-5</v>
      </c>
    </row>
    <row r="1021" spans="2:15">
      <c r="B1021" t="s">
        <v>964</v>
      </c>
      <c r="C1021" t="s">
        <v>887</v>
      </c>
      <c r="D1021" t="s">
        <v>2964</v>
      </c>
      <c r="E1021" t="s">
        <v>2965</v>
      </c>
      <c r="F1021" t="s">
        <v>12</v>
      </c>
      <c r="G1021" t="s">
        <v>2964</v>
      </c>
      <c r="H1021" t="s">
        <v>2966</v>
      </c>
      <c r="I1021" t="s">
        <v>32</v>
      </c>
      <c r="J1021">
        <v>1</v>
      </c>
      <c r="K1021">
        <v>0</v>
      </c>
      <c r="L1021" s="4">
        <v>0.04</v>
      </c>
      <c r="M1021">
        <v>0.09</v>
      </c>
      <c r="N1021" s="4">
        <v>4.0000000000000003E-5</v>
      </c>
      <c r="O1021" s="4">
        <v>8.9999999999999992E-5</v>
      </c>
    </row>
    <row r="1022" spans="2:15">
      <c r="B1022" t="s">
        <v>964</v>
      </c>
      <c r="C1022" t="s">
        <v>763</v>
      </c>
      <c r="D1022" t="s">
        <v>2967</v>
      </c>
      <c r="E1022" t="s">
        <v>2968</v>
      </c>
      <c r="F1022" t="s">
        <v>12</v>
      </c>
      <c r="G1022" t="s">
        <v>2967</v>
      </c>
      <c r="H1022" t="s">
        <v>2969</v>
      </c>
      <c r="I1022" t="s">
        <v>32</v>
      </c>
      <c r="J1022">
        <v>1</v>
      </c>
      <c r="K1022">
        <v>0</v>
      </c>
      <c r="L1022" s="4">
        <v>0.04</v>
      </c>
      <c r="M1022">
        <v>0.09</v>
      </c>
      <c r="N1022" s="4">
        <v>4.0000000000000003E-5</v>
      </c>
      <c r="O1022" s="4">
        <v>8.9999999999999992E-5</v>
      </c>
    </row>
    <row r="1023" spans="2:15">
      <c r="B1023" t="s">
        <v>964</v>
      </c>
      <c r="C1023" t="s">
        <v>763</v>
      </c>
      <c r="D1023" t="s">
        <v>2970</v>
      </c>
      <c r="E1023" t="s">
        <v>2971</v>
      </c>
      <c r="F1023" t="s">
        <v>12</v>
      </c>
      <c r="G1023" t="s">
        <v>2970</v>
      </c>
      <c r="H1023" t="s">
        <v>2972</v>
      </c>
      <c r="I1023" t="s">
        <v>32</v>
      </c>
      <c r="J1023">
        <v>3</v>
      </c>
      <c r="K1023">
        <v>0</v>
      </c>
      <c r="L1023" s="4">
        <v>0.04</v>
      </c>
      <c r="M1023">
        <v>0.09</v>
      </c>
      <c r="N1023" s="4">
        <v>1.1999999999999999E-4</v>
      </c>
      <c r="O1023" s="4">
        <v>2.7E-4</v>
      </c>
    </row>
    <row r="1024" spans="2:15">
      <c r="B1024" t="s">
        <v>985</v>
      </c>
      <c r="C1024" t="s">
        <v>986</v>
      </c>
      <c r="D1024" t="s">
        <v>2973</v>
      </c>
      <c r="E1024" t="s">
        <v>2974</v>
      </c>
      <c r="F1024" t="s">
        <v>12</v>
      </c>
      <c r="G1024" t="s">
        <v>2973</v>
      </c>
      <c r="H1024" t="s">
        <v>2975</v>
      </c>
      <c r="I1024" t="s">
        <v>32</v>
      </c>
      <c r="J1024">
        <v>8</v>
      </c>
      <c r="K1024">
        <v>0</v>
      </c>
      <c r="L1024" s="4">
        <v>0.04</v>
      </c>
      <c r="M1024">
        <v>0.09</v>
      </c>
      <c r="N1024" s="4">
        <v>3.2000000000000003E-4</v>
      </c>
      <c r="O1024" s="4">
        <v>7.1999999999999994E-4</v>
      </c>
    </row>
    <row r="1025" spans="2:15">
      <c r="B1025" t="s">
        <v>985</v>
      </c>
      <c r="C1025" t="s">
        <v>986</v>
      </c>
      <c r="D1025" t="s">
        <v>987</v>
      </c>
      <c r="E1025" t="s">
        <v>988</v>
      </c>
      <c r="F1025" t="s">
        <v>12</v>
      </c>
      <c r="G1025" t="s">
        <v>987</v>
      </c>
      <c r="H1025" t="s">
        <v>989</v>
      </c>
      <c r="I1025" t="s">
        <v>32</v>
      </c>
      <c r="J1025">
        <v>4</v>
      </c>
      <c r="K1025">
        <v>1</v>
      </c>
      <c r="L1025" s="4">
        <v>0.04</v>
      </c>
      <c r="M1025">
        <v>0.09</v>
      </c>
      <c r="N1025" s="4">
        <v>1.6000000000000001E-4</v>
      </c>
      <c r="O1025" s="4">
        <v>3.5999999999999997E-4</v>
      </c>
    </row>
    <row r="1026" spans="2:15">
      <c r="B1026" t="s">
        <v>985</v>
      </c>
      <c r="C1026" t="s">
        <v>52</v>
      </c>
      <c r="D1026" t="s">
        <v>2976</v>
      </c>
      <c r="E1026" t="s">
        <v>2977</v>
      </c>
      <c r="F1026" t="s">
        <v>10</v>
      </c>
      <c r="G1026" t="s">
        <v>2976</v>
      </c>
      <c r="H1026" t="s">
        <v>2978</v>
      </c>
      <c r="I1026" t="s">
        <v>32</v>
      </c>
      <c r="J1026">
        <v>0</v>
      </c>
      <c r="K1026">
        <v>1</v>
      </c>
      <c r="L1026" s="4">
        <v>3.5000000000000001E-3</v>
      </c>
      <c r="M1026">
        <v>0.02</v>
      </c>
      <c r="N1026" s="4">
        <v>3.5000000000000001E-3</v>
      </c>
      <c r="O1026" s="4">
        <v>0.02</v>
      </c>
    </row>
    <row r="1027" spans="2:15">
      <c r="B1027" t="s">
        <v>985</v>
      </c>
      <c r="C1027" t="s">
        <v>52</v>
      </c>
      <c r="D1027" t="s">
        <v>990</v>
      </c>
      <c r="E1027" t="s">
        <v>991</v>
      </c>
      <c r="F1027" t="s">
        <v>10</v>
      </c>
      <c r="G1027" t="s">
        <v>990</v>
      </c>
      <c r="H1027" t="s">
        <v>992</v>
      </c>
      <c r="I1027" t="s">
        <v>32</v>
      </c>
      <c r="J1027">
        <v>0</v>
      </c>
      <c r="K1027">
        <v>14</v>
      </c>
      <c r="L1027" s="4">
        <v>3.5000000000000001E-3</v>
      </c>
      <c r="M1027">
        <v>0.02</v>
      </c>
      <c r="N1027" s="4">
        <v>4.9000000000000002E-2</v>
      </c>
      <c r="O1027" s="4">
        <v>0.28000000000000003</v>
      </c>
    </row>
    <row r="1028" spans="2:15">
      <c r="B1028" t="s">
        <v>985</v>
      </c>
      <c r="C1028" t="s">
        <v>52</v>
      </c>
      <c r="D1028" t="s">
        <v>993</v>
      </c>
      <c r="E1028" t="s">
        <v>994</v>
      </c>
      <c r="F1028" t="s">
        <v>10</v>
      </c>
      <c r="G1028" t="s">
        <v>993</v>
      </c>
      <c r="H1028" t="s">
        <v>995</v>
      </c>
      <c r="I1028" t="s">
        <v>32</v>
      </c>
      <c r="J1028">
        <v>0</v>
      </c>
      <c r="K1028">
        <v>5</v>
      </c>
      <c r="L1028" s="4">
        <v>3.5000000000000001E-3</v>
      </c>
      <c r="M1028">
        <v>0.02</v>
      </c>
      <c r="N1028" s="4">
        <v>1.7500000000000002E-2</v>
      </c>
      <c r="O1028" s="4">
        <v>0.1</v>
      </c>
    </row>
    <row r="1029" spans="2:15">
      <c r="B1029" t="s">
        <v>985</v>
      </c>
      <c r="C1029" t="s">
        <v>52</v>
      </c>
      <c r="D1029" t="s">
        <v>996</v>
      </c>
      <c r="E1029" t="s">
        <v>997</v>
      </c>
      <c r="F1029" t="s">
        <v>10</v>
      </c>
      <c r="G1029" t="s">
        <v>996</v>
      </c>
      <c r="H1029" t="s">
        <v>998</v>
      </c>
      <c r="I1029" t="s">
        <v>32</v>
      </c>
      <c r="J1029">
        <v>0</v>
      </c>
      <c r="K1029">
        <v>1</v>
      </c>
      <c r="L1029" s="4">
        <v>3.5000000000000001E-3</v>
      </c>
      <c r="M1029">
        <v>0.02</v>
      </c>
      <c r="N1029" s="4">
        <v>3.5000000000000001E-3</v>
      </c>
      <c r="O1029" s="4">
        <v>0.02</v>
      </c>
    </row>
    <row r="1030" spans="2:15">
      <c r="B1030" t="s">
        <v>985</v>
      </c>
      <c r="C1030" t="s">
        <v>118</v>
      </c>
      <c r="D1030" t="s">
        <v>2979</v>
      </c>
      <c r="E1030" t="s">
        <v>2980</v>
      </c>
      <c r="F1030" t="s">
        <v>12</v>
      </c>
      <c r="G1030" t="s">
        <v>2979</v>
      </c>
      <c r="H1030" t="s">
        <v>2981</v>
      </c>
      <c r="I1030" t="s">
        <v>31</v>
      </c>
      <c r="J1030">
        <v>1</v>
      </c>
      <c r="K1030">
        <v>0</v>
      </c>
      <c r="L1030" s="4">
        <v>0.04</v>
      </c>
      <c r="M1030">
        <v>0.09</v>
      </c>
      <c r="N1030" s="4">
        <v>4.0000000000000003E-5</v>
      </c>
      <c r="O1030" s="4">
        <v>8.9999999999999992E-5</v>
      </c>
    </row>
    <row r="1031" spans="2:15">
      <c r="B1031" t="s">
        <v>985</v>
      </c>
      <c r="C1031" t="s">
        <v>118</v>
      </c>
      <c r="D1031" t="s">
        <v>2982</v>
      </c>
      <c r="E1031" t="s">
        <v>2983</v>
      </c>
      <c r="F1031" t="s">
        <v>12</v>
      </c>
      <c r="G1031" t="s">
        <v>2982</v>
      </c>
      <c r="H1031" t="s">
        <v>2984</v>
      </c>
      <c r="I1031" t="s">
        <v>31</v>
      </c>
      <c r="J1031">
        <v>1</v>
      </c>
      <c r="K1031">
        <v>0</v>
      </c>
      <c r="L1031" s="4">
        <v>0.04</v>
      </c>
      <c r="M1031">
        <v>0.09</v>
      </c>
      <c r="N1031" s="4">
        <v>4.0000000000000003E-5</v>
      </c>
      <c r="O1031" s="4">
        <v>8.9999999999999992E-5</v>
      </c>
    </row>
    <row r="1032" spans="2:15">
      <c r="B1032" t="s">
        <v>985</v>
      </c>
      <c r="C1032" t="s">
        <v>118</v>
      </c>
      <c r="D1032" t="s">
        <v>1742</v>
      </c>
      <c r="E1032" t="s">
        <v>1743</v>
      </c>
      <c r="F1032" t="s">
        <v>12</v>
      </c>
      <c r="G1032" t="s">
        <v>1742</v>
      </c>
      <c r="H1032" t="s">
        <v>1744</v>
      </c>
      <c r="I1032" t="s">
        <v>31</v>
      </c>
      <c r="J1032">
        <v>1</v>
      </c>
      <c r="K1032">
        <v>0</v>
      </c>
      <c r="L1032" s="4">
        <v>0.04</v>
      </c>
      <c r="M1032">
        <v>0.09</v>
      </c>
      <c r="N1032" s="4">
        <v>4.0000000000000003E-5</v>
      </c>
      <c r="O1032" s="4">
        <v>8.9999999999999992E-5</v>
      </c>
    </row>
    <row r="1033" spans="2:15">
      <c r="B1033" t="s">
        <v>985</v>
      </c>
      <c r="C1033" t="s">
        <v>118</v>
      </c>
      <c r="D1033" t="s">
        <v>999</v>
      </c>
      <c r="E1033" t="s">
        <v>1000</v>
      </c>
      <c r="F1033" t="s">
        <v>10</v>
      </c>
      <c r="G1033" t="s">
        <v>999</v>
      </c>
      <c r="H1033" t="s">
        <v>1001</v>
      </c>
      <c r="I1033" t="s">
        <v>32</v>
      </c>
      <c r="J1033">
        <v>2</v>
      </c>
      <c r="K1033">
        <v>3</v>
      </c>
      <c r="L1033" s="4">
        <v>3.5000000000000001E-3</v>
      </c>
      <c r="M1033">
        <v>0.02</v>
      </c>
      <c r="N1033" s="4">
        <v>1.0500000000000001E-2</v>
      </c>
      <c r="O1033" s="4">
        <v>0.06</v>
      </c>
    </row>
    <row r="1034" spans="2:15">
      <c r="B1034" t="s">
        <v>985</v>
      </c>
      <c r="C1034" t="s">
        <v>118</v>
      </c>
      <c r="D1034" t="s">
        <v>1002</v>
      </c>
      <c r="E1034" t="s">
        <v>1003</v>
      </c>
      <c r="F1034" t="s">
        <v>10</v>
      </c>
      <c r="G1034" t="s">
        <v>1002</v>
      </c>
      <c r="H1034" t="s">
        <v>1004</v>
      </c>
      <c r="I1034" t="s">
        <v>32</v>
      </c>
      <c r="J1034">
        <v>1</v>
      </c>
      <c r="K1034">
        <v>2</v>
      </c>
      <c r="L1034" s="4">
        <v>3.5000000000000001E-3</v>
      </c>
      <c r="M1034">
        <v>0.02</v>
      </c>
      <c r="N1034" s="4">
        <v>7.0000000000000001E-3</v>
      </c>
      <c r="O1034" s="4">
        <v>0.04</v>
      </c>
    </row>
    <row r="1035" spans="2:15">
      <c r="B1035" t="s">
        <v>985</v>
      </c>
      <c r="C1035" t="s">
        <v>1005</v>
      </c>
      <c r="D1035" t="s">
        <v>2985</v>
      </c>
      <c r="E1035" t="s">
        <v>2986</v>
      </c>
      <c r="F1035" t="s">
        <v>10</v>
      </c>
      <c r="G1035" t="s">
        <v>2985</v>
      </c>
      <c r="H1035" t="s">
        <v>2987</v>
      </c>
      <c r="I1035" t="s">
        <v>32</v>
      </c>
      <c r="J1035">
        <v>0</v>
      </c>
      <c r="K1035">
        <v>1</v>
      </c>
      <c r="L1035" s="4">
        <v>3.5000000000000001E-3</v>
      </c>
      <c r="M1035">
        <v>0.02</v>
      </c>
      <c r="N1035" s="4">
        <v>3.5000000000000001E-3</v>
      </c>
      <c r="O1035" s="4">
        <v>0.02</v>
      </c>
    </row>
    <row r="1036" spans="2:15">
      <c r="B1036" t="s">
        <v>985</v>
      </c>
      <c r="C1036" t="s">
        <v>1005</v>
      </c>
      <c r="D1036" t="s">
        <v>1006</v>
      </c>
      <c r="E1036" t="s">
        <v>1007</v>
      </c>
      <c r="F1036" t="s">
        <v>10</v>
      </c>
      <c r="G1036" t="s">
        <v>1006</v>
      </c>
      <c r="H1036" t="s">
        <v>1008</v>
      </c>
      <c r="I1036" t="s">
        <v>32</v>
      </c>
      <c r="J1036">
        <v>0</v>
      </c>
      <c r="K1036">
        <v>3</v>
      </c>
      <c r="L1036" s="4">
        <v>3.5000000000000001E-3</v>
      </c>
      <c r="M1036">
        <v>0.02</v>
      </c>
      <c r="N1036" s="4">
        <v>1.0500000000000001E-2</v>
      </c>
      <c r="O1036" s="4">
        <v>0.06</v>
      </c>
    </row>
    <row r="1037" spans="2:15">
      <c r="B1037" t="s">
        <v>985</v>
      </c>
      <c r="C1037" t="s">
        <v>1009</v>
      </c>
      <c r="D1037" t="s">
        <v>1010</v>
      </c>
      <c r="E1037" t="s">
        <v>1011</v>
      </c>
      <c r="F1037" t="s">
        <v>10</v>
      </c>
      <c r="G1037" t="s">
        <v>1010</v>
      </c>
      <c r="H1037" t="s">
        <v>1012</v>
      </c>
      <c r="I1037" t="s">
        <v>32</v>
      </c>
      <c r="J1037">
        <v>0</v>
      </c>
      <c r="K1037">
        <v>5</v>
      </c>
      <c r="L1037" s="4">
        <v>3.5000000000000001E-3</v>
      </c>
      <c r="M1037">
        <v>0.02</v>
      </c>
      <c r="N1037" s="4">
        <v>1.7500000000000002E-2</v>
      </c>
      <c r="O1037" s="4">
        <v>0.1</v>
      </c>
    </row>
    <row r="1038" spans="2:15">
      <c r="B1038" t="s">
        <v>985</v>
      </c>
      <c r="C1038" t="s">
        <v>95</v>
      </c>
      <c r="D1038" t="s">
        <v>1013</v>
      </c>
      <c r="E1038" t="s">
        <v>1014</v>
      </c>
      <c r="F1038" t="s">
        <v>10</v>
      </c>
      <c r="G1038" t="s">
        <v>1013</v>
      </c>
      <c r="H1038" t="s">
        <v>1015</v>
      </c>
      <c r="I1038" t="s">
        <v>32</v>
      </c>
      <c r="J1038">
        <v>0</v>
      </c>
      <c r="K1038">
        <v>2</v>
      </c>
      <c r="L1038" s="4">
        <v>3.5000000000000001E-3</v>
      </c>
      <c r="M1038">
        <v>0.02</v>
      </c>
      <c r="N1038" s="4">
        <v>7.0000000000000001E-3</v>
      </c>
      <c r="O1038" s="4">
        <v>0.04</v>
      </c>
    </row>
    <row r="1039" spans="2:15">
      <c r="B1039" t="s">
        <v>985</v>
      </c>
      <c r="C1039" t="s">
        <v>99</v>
      </c>
      <c r="D1039" t="s">
        <v>1016</v>
      </c>
      <c r="E1039" t="s">
        <v>1017</v>
      </c>
      <c r="F1039" t="s">
        <v>10</v>
      </c>
      <c r="G1039" t="s">
        <v>1016</v>
      </c>
      <c r="H1039" t="s">
        <v>1018</v>
      </c>
      <c r="I1039" t="s">
        <v>32</v>
      </c>
      <c r="J1039">
        <v>0</v>
      </c>
      <c r="K1039">
        <v>5</v>
      </c>
      <c r="L1039" s="4">
        <v>3.5000000000000001E-3</v>
      </c>
      <c r="M1039">
        <v>0.02</v>
      </c>
      <c r="N1039" s="4">
        <v>1.7500000000000002E-2</v>
      </c>
      <c r="O1039" s="4">
        <v>0.1</v>
      </c>
    </row>
    <row r="1040" spans="2:15">
      <c r="N1040" s="5"/>
      <c r="O1040" s="5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N1080" s="5"/>
      <c r="O1080" s="5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N1842" s="5"/>
      <c r="O1842" s="5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</sheetData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Planilha1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2019-05-10T20:33:31Z</dcterms:modified>
</cp:coreProperties>
</file>