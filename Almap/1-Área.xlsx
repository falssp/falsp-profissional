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328"/>
  <workbookPr filterPrivacy="1"/>
  <xr:revisionPtr revIDLastSave="0" documentId="13_ncr:1_{81FB23A2-0490-42AB-AF2C-AC144E81CBB6}" xr6:coauthVersionLast="41" xr6:coauthVersionMax="41" xr10:uidLastSave="{00000000-0000-0000-0000-000000000000}"/>
  <bookViews>
    <workbookView xWindow="-120" yWindow="-120" windowWidth="29040" windowHeight="15840" tabRatio="661" xr2:uid="{00000000-000D-0000-FFFF-FFFF00000000}"/>
  </bookViews>
  <sheets>
    <sheet name="Células - Aula" sheetId="1" r:id="rId1"/>
    <sheet name="Células - Final" sheetId="3" r:id="rId2"/>
    <sheet name="Áreas - Aula" sheetId="7" r:id="rId3"/>
    <sheet name="Áreas - Final" sheetId="4" r:id="rId4"/>
    <sheet name="Nomeada - Aula" sheetId="8" r:id="rId5"/>
    <sheet name="Nomeada - Final" sheetId="5" r:id="rId6"/>
    <sheet name="Tabela - Aula" sheetId="9" r:id="rId7"/>
    <sheet name="Tabela - Final" sheetId="6" r:id="rId8"/>
    <sheet name="Leitura das Fórmulas" sheetId="2" r:id="rId9"/>
  </sheets>
  <definedNames>
    <definedName name="Exemplos_Cliente">'Leitura das Fórmulas'!$A$11:$A$13</definedName>
    <definedName name="Exemplos_Clientes">'Leitura das Fórmulas'!$A$11:$A$13</definedName>
    <definedName name="Exemplos_FiltroCliente">'Leitura das Fórmulas'!$H$11</definedName>
    <definedName name="Exemplos_TotalClientes">'Leitura das Fórmulas'!$E$11:$E$13</definedName>
    <definedName name="Final_MatrizBase">'Nomeada - Final'!$A$2:$C$10</definedName>
    <definedName name="Final_MatrizBase_Col1">'Nomeada - Final'!$A$2:$A$10</definedName>
    <definedName name="Final_MatrizBase_Col2">'Nomeada - Final'!$B$2:$B$10</definedName>
    <definedName name="Final_MatrizBase_Col3">'Nomeada - Final'!$C$2:$C$10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9" i="2" l="1"/>
  <c r="H12" i="2"/>
  <c r="E20" i="2"/>
  <c r="E19" i="2"/>
  <c r="E18" i="2"/>
  <c r="E13" i="2"/>
  <c r="E12" i="2"/>
  <c r="E11" i="2"/>
  <c r="H5" i="2"/>
  <c r="E6" i="2"/>
  <c r="E5" i="2"/>
  <c r="E4" i="2"/>
  <c r="S7" i="9"/>
  <c r="O7" i="9"/>
  <c r="K7" i="9"/>
  <c r="G7" i="9"/>
  <c r="Q4" i="9"/>
  <c r="M4" i="9"/>
  <c r="I4" i="9"/>
  <c r="E4" i="9"/>
  <c r="S7" i="6"/>
  <c r="Q4" i="6"/>
  <c r="O7" i="6"/>
  <c r="K7" i="6"/>
  <c r="I4" i="6"/>
  <c r="G7" i="6"/>
  <c r="E4" i="6"/>
  <c r="M4" i="6"/>
  <c r="S6" i="5"/>
  <c r="Q3" i="5"/>
  <c r="O6" i="5"/>
  <c r="M3" i="5"/>
  <c r="K6" i="5"/>
  <c r="I3" i="5"/>
  <c r="G6" i="5"/>
  <c r="E3" i="5"/>
  <c r="W3" i="4"/>
  <c r="U6" i="4"/>
  <c r="S3" i="4"/>
  <c r="O3" i="4"/>
  <c r="M6" i="4"/>
  <c r="K3" i="4"/>
  <c r="I6" i="4"/>
  <c r="G3" i="4"/>
  <c r="Y6" i="4" s="1"/>
  <c r="T10" i="3"/>
  <c r="S10" i="3"/>
  <c r="R10" i="3"/>
  <c r="P10" i="3"/>
  <c r="O10" i="3"/>
  <c r="N10" i="3"/>
  <c r="L10" i="3"/>
  <c r="K10" i="3"/>
  <c r="J10" i="3"/>
  <c r="H10" i="3"/>
  <c r="G10" i="3"/>
  <c r="F10" i="3"/>
  <c r="T9" i="3"/>
  <c r="S9" i="3"/>
  <c r="R9" i="3"/>
  <c r="P9" i="3"/>
  <c r="O9" i="3"/>
  <c r="N9" i="3"/>
  <c r="L9" i="3"/>
  <c r="K9" i="3"/>
  <c r="J9" i="3"/>
  <c r="H9" i="3"/>
  <c r="G9" i="3"/>
  <c r="F9" i="3"/>
  <c r="T8" i="3"/>
  <c r="S8" i="3"/>
  <c r="R8" i="3"/>
  <c r="P8" i="3"/>
  <c r="O8" i="3"/>
  <c r="N8" i="3"/>
  <c r="L8" i="3"/>
  <c r="K8" i="3"/>
  <c r="J8" i="3"/>
  <c r="H8" i="3"/>
  <c r="G8" i="3"/>
  <c r="F8" i="3"/>
  <c r="T7" i="3"/>
  <c r="S7" i="3"/>
  <c r="R7" i="3"/>
  <c r="P7" i="3"/>
  <c r="O7" i="3"/>
  <c r="N7" i="3"/>
  <c r="L7" i="3"/>
  <c r="K7" i="3"/>
  <c r="J7" i="3"/>
  <c r="H7" i="3"/>
  <c r="G7" i="3"/>
  <c r="F7" i="3"/>
  <c r="T6" i="3"/>
  <c r="S6" i="3"/>
  <c r="R6" i="3"/>
  <c r="P6" i="3"/>
  <c r="O6" i="3"/>
  <c r="N6" i="3"/>
  <c r="L6" i="3"/>
  <c r="K6" i="3"/>
  <c r="J6" i="3"/>
  <c r="H6" i="3"/>
  <c r="G6" i="3"/>
  <c r="F6" i="3"/>
  <c r="T5" i="3"/>
  <c r="S5" i="3"/>
  <c r="R5" i="3"/>
  <c r="P5" i="3"/>
  <c r="O5" i="3"/>
  <c r="N5" i="3"/>
  <c r="L5" i="3"/>
  <c r="K5" i="3"/>
  <c r="J5" i="3"/>
  <c r="H5" i="3"/>
  <c r="G5" i="3"/>
  <c r="F5" i="3"/>
  <c r="T4" i="3"/>
  <c r="S4" i="3"/>
  <c r="R4" i="3"/>
  <c r="P4" i="3"/>
  <c r="O4" i="3"/>
  <c r="N4" i="3"/>
  <c r="L4" i="3"/>
  <c r="K4" i="3"/>
  <c r="J4" i="3"/>
  <c r="H4" i="3"/>
  <c r="G4" i="3"/>
  <c r="F4" i="3"/>
  <c r="T3" i="3"/>
  <c r="S3" i="3"/>
  <c r="R3" i="3"/>
  <c r="P3" i="3"/>
  <c r="O3" i="3"/>
  <c r="N3" i="3"/>
  <c r="L3" i="3"/>
  <c r="K3" i="3"/>
  <c r="J3" i="3"/>
  <c r="H3" i="3"/>
  <c r="G3" i="3"/>
  <c r="F3" i="3"/>
  <c r="T2" i="3"/>
  <c r="S2" i="3"/>
  <c r="R2" i="3"/>
  <c r="P2" i="3"/>
  <c r="O2" i="3"/>
  <c r="N2" i="3"/>
  <c r="L2" i="3"/>
  <c r="K2" i="3"/>
  <c r="J2" i="3"/>
  <c r="H2" i="3"/>
  <c r="G2" i="3"/>
  <c r="F2" i="3"/>
  <c r="Q6" i="4" l="1"/>
</calcChain>
</file>

<file path=xl/sharedStrings.xml><?xml version="1.0" encoding="utf-8"?>
<sst xmlns="http://schemas.openxmlformats.org/spreadsheetml/2006/main" count="165" uniqueCount="61">
  <si>
    <t>Cliente</t>
  </si>
  <si>
    <t>VW</t>
  </si>
  <si>
    <t>Boticário</t>
  </si>
  <si>
    <t>GOL</t>
  </si>
  <si>
    <t>A2</t>
  </si>
  <si>
    <t>A3</t>
  </si>
  <si>
    <t>A4</t>
  </si>
  <si>
    <t>A5</t>
  </si>
  <si>
    <t>A6</t>
  </si>
  <si>
    <t>A7</t>
  </si>
  <si>
    <t>A8</t>
  </si>
  <si>
    <t>A9</t>
  </si>
  <si>
    <t>C2</t>
  </si>
  <si>
    <t>C3</t>
  </si>
  <si>
    <t>C4</t>
  </si>
  <si>
    <t>C5</t>
  </si>
  <si>
    <t>C6</t>
  </si>
  <si>
    <t>C7</t>
  </si>
  <si>
    <t>C8</t>
  </si>
  <si>
    <t>C9</t>
  </si>
  <si>
    <t>B2</t>
  </si>
  <si>
    <t>B3</t>
  </si>
  <si>
    <t>B4</t>
  </si>
  <si>
    <t>B5</t>
  </si>
  <si>
    <t>B6</t>
  </si>
  <si>
    <t>B7</t>
  </si>
  <si>
    <t>B8</t>
  </si>
  <si>
    <t>B9</t>
  </si>
  <si>
    <t>A10</t>
  </si>
  <si>
    <t>B10</t>
  </si>
  <si>
    <t>C10</t>
  </si>
  <si>
    <t>MATRIZ BASE</t>
  </si>
  <si>
    <t>FÓRMULA SEM TRAVA</t>
  </si>
  <si>
    <t>TRAVA NA LINHA E COLUNA</t>
  </si>
  <si>
    <t>TRAVA NA LINHA</t>
  </si>
  <si>
    <t>TRAVA NA COLUNA</t>
  </si>
  <si>
    <t>Observe que ao arrastar ou copiar e colar a célula, a referência permecene a mesma, pois a linha e coluna estão travadas (com o sinal de $ antes do número da linha ou letra da coluna).</t>
  </si>
  <si>
    <t>Observe que ao arrastar ou copiar e colar a célula, a referência se move igual considerando o mesmo intervalo.</t>
  </si>
  <si>
    <t>Observe que ao arrastar ou copiar e colar a célula, a referência da coluna permance a mesma e a linha se move conforme o intervalo da ação.</t>
  </si>
  <si>
    <t>Observe que ao arrastar ou copiar e colar a célula, a referência da linha permance a mesma e a coluna se move conforme o intervalo da ação.</t>
  </si>
  <si>
    <t>Copiar a célula amarela e colar formula na célula verde</t>
  </si>
  <si>
    <t>TRAVA NA LINHA E COLUNA 1ª CÉLULA</t>
  </si>
  <si>
    <t>SOMA COLUNA 1</t>
  </si>
  <si>
    <t>SOMA TOTAL</t>
  </si>
  <si>
    <t>SOMA COLUNA 2</t>
  </si>
  <si>
    <t>SOMA COLUNA 3</t>
  </si>
  <si>
    <t>Col1</t>
  </si>
  <si>
    <t>Col2</t>
  </si>
  <si>
    <t>Col3</t>
  </si>
  <si>
    <t>Filtro Cliente</t>
  </si>
  <si>
    <t>Valor da soma</t>
  </si>
  <si>
    <t>Total</t>
  </si>
  <si>
    <t>EXEMPLO UTILIZANDO ÁREA POR RANGE</t>
  </si>
  <si>
    <t>EXEMPLO UTILIZANDO ÁREA NOMEADA</t>
  </si>
  <si>
    <t>nov/19</t>
  </si>
  <si>
    <t>dez/19</t>
  </si>
  <si>
    <t>jan/20</t>
  </si>
  <si>
    <t>EXEMPLO UTILIZANDO TABELA</t>
  </si>
  <si>
    <t>=SOMASE(A4:A6;H4; E4:E6)</t>
  </si>
  <si>
    <t>=SOMASE(Exemplos_Clientes;Exemplos_FiltroCliente; Exemplos_TotalClientes)</t>
  </si>
  <si>
    <t>=SOMASE(tblExemplos[Cliente];H18;tblExemplos[Total])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</si>
</sst>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43" fontId="0" fillId="0" borderId="0" xfId="1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2" xfId="0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3" borderId="0" xfId="0" applyFill="1"/>
    <xf numFmtId="0" fontId="0" fillId="4" borderId="0" xfId="0" applyFill="1"/>
    <xf numFmtId="0" fontId="0" fillId="2" borderId="0" xfId="0" applyFill="1" applyBorder="1" applyAlignment="1">
      <alignment horizontal="center"/>
    </xf>
    <xf numFmtId="0" fontId="0" fillId="0" borderId="5" xfId="0" applyBorder="1"/>
    <xf numFmtId="17" fontId="2" fillId="2" borderId="0" xfId="0" applyNumberFormat="1" applyFont="1" applyFill="1" applyAlignment="1">
      <alignment horizontal="center"/>
    </xf>
    <xf numFmtId="43" fontId="0" fillId="0" borderId="0" xfId="0" applyNumberFormat="1"/>
    <xf numFmtId="0" fontId="2" fillId="0" borderId="0" xfId="0" applyFont="1" applyFill="1" applyAlignment="1">
      <alignment horizontal="center"/>
    </xf>
    <xf numFmtId="17" fontId="2" fillId="0" borderId="0" xfId="0" applyNumberFormat="1" applyFont="1" applyFill="1" applyAlignment="1">
      <alignment horizontal="center"/>
    </xf>
    <xf numFmtId="0" fontId="0" fillId="0" borderId="0" xfId="0" applyFill="1"/>
    <xf numFmtId="43" fontId="0" fillId="0" borderId="0" xfId="1" applyFont="1" applyFill="1"/>
    <xf numFmtId="43" fontId="0" fillId="0" borderId="0" xfId="0" applyNumberFormat="1" applyFill="1"/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5" borderId="3" xfId="0" applyFill="1" applyBorder="1" applyAlignment="1">
      <alignment horizontal="center"/>
    </xf>
    <xf numFmtId="0" fontId="0" fillId="0" borderId="0" xfId="0" quotePrefix="1"/>
  </cellXfs>
  <cellStyles count="2">
    <cellStyle name="Normal" xfId="0" builtinId="0"/>
    <cellStyle name="Vírgula" xfId="1" builtinId="3"/>
  </cellStyles>
  <dxfs count="19">
    <dxf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right style="thin">
          <color indexed="64"/>
        </right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right style="thin">
          <color rgb="FF000000"/>
        </right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4A103C-C176-4427-B3E6-D829C9DA3F04}" name="tblMatrizBase3" displayName="tblMatrizBase3" ref="A2:C11" totalsRowShown="0" headerRowDxfId="18" dataDxfId="17" tableBorderDxfId="16">
  <autoFilter ref="A2:C11" xr:uid="{881A72AC-0A2D-400C-A342-AC528F466D5C}"/>
  <tableColumns count="3">
    <tableColumn id="1" xr3:uid="{14AB51BE-CD74-417F-9532-AE54D4E702C6}" name="Col1" dataDxfId="15"/>
    <tableColumn id="2" xr3:uid="{3C7CA012-3C7B-40A9-8586-640036187824}" name="Col2" dataDxfId="14"/>
    <tableColumn id="3" xr3:uid="{96A68803-62A7-499D-B37B-D631742834B5}" name="Col3" dataDxfId="1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6DF5AD-E743-47B6-891C-1A5C3D3FC0F0}" name="tblFinal_MatrizBase" displayName="tblFinal_MatrizBase" ref="A2:C11" totalsRowShown="0" headerRowDxfId="12" dataDxfId="11" tableBorderDxfId="10">
  <autoFilter ref="A2:C11" xr:uid="{881A72AC-0A2D-400C-A342-AC528F466D5C}"/>
  <tableColumns count="3">
    <tableColumn id="1" xr3:uid="{2E5AD221-FF53-4869-9959-91351A4811DE}" name="Col1" dataDxfId="9"/>
    <tableColumn id="2" xr3:uid="{E5622466-2C48-4566-935B-907C58B6258A}" name="Col2" dataDxfId="8"/>
    <tableColumn id="3" xr3:uid="{C406A989-7C33-47CF-8F76-0EE176D27BB9}" name="Col3" dataDxfId="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55B457-6C6B-46EF-88C7-D5CFF52994C7}" name="tblExemplos" displayName="tblExemplos" ref="A17:E20" totalsRowShown="0" headerRowDxfId="6" dataDxfId="5" dataCellStyle="Vírgula">
  <autoFilter ref="A17:E20" xr:uid="{BB14C2E2-50A1-4A58-8BB0-E646DB5E30FE}"/>
  <tableColumns count="5">
    <tableColumn id="1" xr3:uid="{75CB8CF4-6A18-4C80-8DD3-1D7AB1DE670E}" name="Cliente" dataDxfId="4"/>
    <tableColumn id="2" xr3:uid="{9FFE4DE7-4B76-47FD-8419-A2FCC3148535}" name="nov/19" dataDxfId="3" dataCellStyle="Vírgula"/>
    <tableColumn id="3" xr3:uid="{C5FB10D1-549F-4540-99DE-2E305672D0AB}" name="dez/19" dataDxfId="2" dataCellStyle="Vírgula"/>
    <tableColumn id="4" xr3:uid="{6DD0BDCA-4233-4959-956F-CEA8960C1D29}" name="jan/20" dataDxfId="1" dataCellStyle="Vírgula"/>
    <tableColumn id="5" xr3:uid="{6837761D-17C5-4892-8A6D-ABBB452D9972}" name="Total" dataDxfId="0">
      <calculatedColumnFormula>SUM(B18:D18)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"/>
  <sheetViews>
    <sheetView showGridLines="0" tabSelected="1" workbookViewId="0">
      <selection activeCell="E2" sqref="E2"/>
    </sheetView>
  </sheetViews>
  <sheetFormatPr defaultRowHeight="15" x14ac:dyDescent="0.25"/>
  <cols>
    <col min="1" max="3" width="9.140625" style="2"/>
    <col min="4" max="4" width="0.7109375" customWidth="1"/>
    <col min="5" max="7" width="9.140625" style="2"/>
    <col min="8" max="8" width="0.7109375" customWidth="1"/>
    <col min="9" max="11" width="9.140625" style="2"/>
    <col min="12" max="12" width="0.7109375" customWidth="1"/>
    <col min="13" max="15" width="9.140625" style="2"/>
    <col min="16" max="16" width="0.7109375" customWidth="1"/>
    <col min="17" max="19" width="9.140625" style="2"/>
    <col min="20" max="20" width="0.7109375" customWidth="1"/>
  </cols>
  <sheetData>
    <row r="1" spans="1:20" x14ac:dyDescent="0.25">
      <c r="A1" s="5"/>
      <c r="B1" s="5" t="s">
        <v>31</v>
      </c>
      <c r="C1" s="5"/>
      <c r="D1" s="6"/>
      <c r="E1" s="5"/>
      <c r="F1" s="5" t="s">
        <v>32</v>
      </c>
      <c r="G1" s="5"/>
      <c r="H1" s="6"/>
      <c r="I1" s="5"/>
      <c r="J1" s="5" t="s">
        <v>33</v>
      </c>
      <c r="K1" s="5"/>
      <c r="L1" s="6"/>
      <c r="M1" s="5"/>
      <c r="N1" s="5" t="s">
        <v>34</v>
      </c>
      <c r="O1" s="5"/>
      <c r="P1" s="6"/>
      <c r="Q1" s="5"/>
      <c r="R1" s="5" t="s">
        <v>35</v>
      </c>
      <c r="S1" s="5"/>
      <c r="T1" s="6"/>
    </row>
    <row r="2" spans="1:20" x14ac:dyDescent="0.25">
      <c r="A2" s="2" t="s">
        <v>4</v>
      </c>
      <c r="B2" s="2" t="s">
        <v>20</v>
      </c>
      <c r="C2" s="2" t="s">
        <v>12</v>
      </c>
      <c r="D2" s="4"/>
      <c r="H2" s="4"/>
      <c r="L2" s="4"/>
      <c r="P2" s="4"/>
      <c r="T2" s="4"/>
    </row>
    <row r="3" spans="1:20" x14ac:dyDescent="0.25">
      <c r="A3" s="2" t="s">
        <v>5</v>
      </c>
      <c r="B3" s="2" t="s">
        <v>21</v>
      </c>
      <c r="C3" s="2" t="s">
        <v>13</v>
      </c>
      <c r="D3" s="4"/>
      <c r="H3" s="4"/>
      <c r="L3" s="4"/>
      <c r="P3" s="4"/>
      <c r="T3" s="4"/>
    </row>
    <row r="4" spans="1:20" x14ac:dyDescent="0.25">
      <c r="A4" s="2" t="s">
        <v>6</v>
      </c>
      <c r="B4" s="2" t="s">
        <v>22</v>
      </c>
      <c r="C4" s="2" t="s">
        <v>14</v>
      </c>
      <c r="D4" s="4"/>
      <c r="H4" s="4"/>
      <c r="L4" s="4"/>
      <c r="P4" s="4"/>
      <c r="T4" s="4"/>
    </row>
    <row r="5" spans="1:20" x14ac:dyDescent="0.25">
      <c r="A5" s="2" t="s">
        <v>7</v>
      </c>
      <c r="B5" s="2" t="s">
        <v>23</v>
      </c>
      <c r="C5" s="2" t="s">
        <v>15</v>
      </c>
      <c r="D5" s="4"/>
      <c r="H5" s="4"/>
      <c r="L5" s="4"/>
      <c r="P5" s="4"/>
      <c r="T5" s="4"/>
    </row>
    <row r="6" spans="1:20" x14ac:dyDescent="0.25">
      <c r="A6" s="2" t="s">
        <v>8</v>
      </c>
      <c r="B6" s="2" t="s">
        <v>24</v>
      </c>
      <c r="C6" s="2" t="s">
        <v>16</v>
      </c>
      <c r="D6" s="4"/>
      <c r="H6" s="4"/>
      <c r="L6" s="4"/>
      <c r="P6" s="4"/>
      <c r="T6" s="4"/>
    </row>
    <row r="7" spans="1:20" x14ac:dyDescent="0.25">
      <c r="A7" s="2" t="s">
        <v>9</v>
      </c>
      <c r="B7" s="2" t="s">
        <v>25</v>
      </c>
      <c r="C7" s="2" t="s">
        <v>17</v>
      </c>
      <c r="D7" s="4"/>
      <c r="H7" s="4"/>
      <c r="L7" s="4"/>
      <c r="P7" s="4"/>
      <c r="T7" s="4"/>
    </row>
    <row r="8" spans="1:20" x14ac:dyDescent="0.25">
      <c r="A8" s="2" t="s">
        <v>10</v>
      </c>
      <c r="B8" s="2" t="s">
        <v>26</v>
      </c>
      <c r="C8" s="2" t="s">
        <v>18</v>
      </c>
      <c r="D8" s="4"/>
      <c r="H8" s="4"/>
      <c r="L8" s="4"/>
      <c r="P8" s="4"/>
      <c r="T8" s="4"/>
    </row>
    <row r="9" spans="1:20" x14ac:dyDescent="0.25">
      <c r="A9" s="2" t="s">
        <v>11</v>
      </c>
      <c r="B9" s="2" t="s">
        <v>27</v>
      </c>
      <c r="C9" s="2" t="s">
        <v>19</v>
      </c>
      <c r="D9" s="4"/>
      <c r="H9" s="4"/>
      <c r="L9" s="4"/>
      <c r="P9" s="4"/>
      <c r="T9" s="4"/>
    </row>
    <row r="10" spans="1:20" x14ac:dyDescent="0.25">
      <c r="A10" s="2" t="s">
        <v>28</v>
      </c>
      <c r="B10" s="2" t="s">
        <v>29</v>
      </c>
      <c r="C10" s="2" t="s">
        <v>30</v>
      </c>
      <c r="D10" s="4"/>
      <c r="H10" s="4"/>
      <c r="L10" s="4"/>
      <c r="P10" s="4"/>
      <c r="T10" s="4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E6B5-7C8F-45C8-8979-AC0F7DB64916}">
  <dimension ref="A1:U20"/>
  <sheetViews>
    <sheetView showGridLines="0" workbookViewId="0">
      <selection activeCell="L2" sqref="L2"/>
    </sheetView>
  </sheetViews>
  <sheetFormatPr defaultRowHeight="15" x14ac:dyDescent="0.25"/>
  <cols>
    <col min="1" max="4" width="9.140625" style="2"/>
    <col min="5" max="5" width="0.7109375" customWidth="1"/>
    <col min="6" max="8" width="9.140625" style="2"/>
    <col min="9" max="9" width="0.7109375" customWidth="1"/>
    <col min="10" max="12" width="9.140625" style="2"/>
    <col min="13" max="13" width="0.7109375" customWidth="1"/>
    <col min="14" max="16" width="9.140625" style="2"/>
    <col min="17" max="17" width="0.7109375" customWidth="1"/>
    <col min="18" max="20" width="9.140625" style="2"/>
    <col min="21" max="21" width="0.7109375" customWidth="1"/>
  </cols>
  <sheetData>
    <row r="1" spans="1:21" x14ac:dyDescent="0.25">
      <c r="A1" s="5"/>
      <c r="B1" s="5" t="s">
        <v>31</v>
      </c>
      <c r="C1" s="5"/>
      <c r="D1" s="5"/>
      <c r="E1" s="6"/>
      <c r="F1" s="5"/>
      <c r="G1" s="5" t="s">
        <v>32</v>
      </c>
      <c r="H1" s="5"/>
      <c r="I1" s="6"/>
      <c r="J1" s="5"/>
      <c r="K1" s="5" t="s">
        <v>33</v>
      </c>
      <c r="L1" s="5"/>
      <c r="M1" s="6"/>
      <c r="N1" s="5"/>
      <c r="O1" s="5" t="s">
        <v>34</v>
      </c>
      <c r="P1" s="5"/>
      <c r="Q1" s="6"/>
      <c r="R1" s="5"/>
      <c r="S1" s="5" t="s">
        <v>35</v>
      </c>
      <c r="T1" s="5"/>
      <c r="U1" s="6"/>
    </row>
    <row r="2" spans="1:21" x14ac:dyDescent="0.25">
      <c r="A2" s="2" t="s">
        <v>4</v>
      </c>
      <c r="B2" s="2" t="s">
        <v>20</v>
      </c>
      <c r="D2" s="2" t="s">
        <v>12</v>
      </c>
      <c r="E2" s="4"/>
      <c r="F2" s="2" t="str">
        <f t="shared" ref="F2:F10" si="0">A2</f>
        <v>A2</v>
      </c>
      <c r="G2" s="2" t="str">
        <f t="shared" ref="G2:G10" si="1">B2</f>
        <v>B2</v>
      </c>
      <c r="H2" s="2" t="str">
        <f t="shared" ref="H2:H10" si="2">D2</f>
        <v>C2</v>
      </c>
      <c r="I2" s="4"/>
      <c r="J2" s="2" t="str">
        <f t="shared" ref="J2:J10" si="3">$A$2</f>
        <v>A2</v>
      </c>
      <c r="K2" s="2" t="str">
        <f t="shared" ref="K2:L2" si="4">$A$2</f>
        <v>A2</v>
      </c>
      <c r="L2" s="2" t="str">
        <f t="shared" si="4"/>
        <v>A2</v>
      </c>
      <c r="M2" s="4"/>
      <c r="N2" s="2" t="str">
        <f t="shared" ref="N2:N10" si="5">A$2</f>
        <v>A2</v>
      </c>
      <c r="O2" s="2" t="str">
        <f t="shared" ref="O2:O10" si="6">B$2</f>
        <v>B2</v>
      </c>
      <c r="P2" s="2" t="str">
        <f t="shared" ref="P2:P10" si="7">D$2</f>
        <v>C2</v>
      </c>
      <c r="Q2" s="4"/>
      <c r="R2" s="2" t="str">
        <f>$A2</f>
        <v>A2</v>
      </c>
      <c r="S2" s="2" t="str">
        <f t="shared" ref="S2:T10" si="8">$A2</f>
        <v>A2</v>
      </c>
      <c r="T2" s="2" t="str">
        <f t="shared" si="8"/>
        <v>A2</v>
      </c>
      <c r="U2" s="4"/>
    </row>
    <row r="3" spans="1:21" x14ac:dyDescent="0.25">
      <c r="A3" s="2" t="s">
        <v>5</v>
      </c>
      <c r="B3" s="2" t="s">
        <v>21</v>
      </c>
      <c r="D3" s="2" t="s">
        <v>13</v>
      </c>
      <c r="E3" s="4"/>
      <c r="F3" s="2" t="str">
        <f t="shared" si="0"/>
        <v>A3</v>
      </c>
      <c r="G3" s="2" t="str">
        <f t="shared" si="1"/>
        <v>B3</v>
      </c>
      <c r="H3" s="2" t="str">
        <f t="shared" si="2"/>
        <v>C3</v>
      </c>
      <c r="I3" s="4"/>
      <c r="J3" s="2" t="str">
        <f t="shared" si="3"/>
        <v>A2</v>
      </c>
      <c r="K3" s="2" t="str">
        <f t="shared" ref="K3:L10" si="9">$A$2</f>
        <v>A2</v>
      </c>
      <c r="L3" s="2" t="str">
        <f t="shared" si="9"/>
        <v>A2</v>
      </c>
      <c r="M3" s="4"/>
      <c r="N3" s="2" t="str">
        <f t="shared" si="5"/>
        <v>A2</v>
      </c>
      <c r="O3" s="2" t="str">
        <f t="shared" si="6"/>
        <v>B2</v>
      </c>
      <c r="P3" s="2" t="str">
        <f t="shared" si="7"/>
        <v>C2</v>
      </c>
      <c r="Q3" s="4"/>
      <c r="R3" s="2" t="str">
        <f t="shared" ref="R3:R10" si="10">$A3</f>
        <v>A3</v>
      </c>
      <c r="S3" s="2" t="str">
        <f t="shared" si="8"/>
        <v>A3</v>
      </c>
      <c r="T3" s="2" t="str">
        <f t="shared" si="8"/>
        <v>A3</v>
      </c>
      <c r="U3" s="4"/>
    </row>
    <row r="4" spans="1:21" x14ac:dyDescent="0.25">
      <c r="A4" s="2" t="s">
        <v>6</v>
      </c>
      <c r="B4" s="2" t="s">
        <v>22</v>
      </c>
      <c r="D4" s="2" t="s">
        <v>14</v>
      </c>
      <c r="E4" s="4"/>
      <c r="F4" s="2" t="str">
        <f t="shared" si="0"/>
        <v>A4</v>
      </c>
      <c r="G4" s="2" t="str">
        <f t="shared" si="1"/>
        <v>B4</v>
      </c>
      <c r="H4" s="2" t="str">
        <f t="shared" si="2"/>
        <v>C4</v>
      </c>
      <c r="I4" s="4"/>
      <c r="J4" s="2" t="str">
        <f t="shared" si="3"/>
        <v>A2</v>
      </c>
      <c r="K4" s="2" t="str">
        <f t="shared" si="9"/>
        <v>A2</v>
      </c>
      <c r="L4" s="2" t="str">
        <f t="shared" si="9"/>
        <v>A2</v>
      </c>
      <c r="M4" s="4"/>
      <c r="N4" s="2" t="str">
        <f t="shared" si="5"/>
        <v>A2</v>
      </c>
      <c r="O4" s="2" t="str">
        <f t="shared" si="6"/>
        <v>B2</v>
      </c>
      <c r="P4" s="2" t="str">
        <f t="shared" si="7"/>
        <v>C2</v>
      </c>
      <c r="Q4" s="4"/>
      <c r="R4" s="2" t="str">
        <f t="shared" si="10"/>
        <v>A4</v>
      </c>
      <c r="S4" s="2" t="str">
        <f t="shared" si="8"/>
        <v>A4</v>
      </c>
      <c r="T4" s="2" t="str">
        <f t="shared" si="8"/>
        <v>A4</v>
      </c>
      <c r="U4" s="4"/>
    </row>
    <row r="5" spans="1:21" x14ac:dyDescent="0.25">
      <c r="A5" s="2" t="s">
        <v>7</v>
      </c>
      <c r="B5" s="2" t="s">
        <v>23</v>
      </c>
      <c r="D5" s="2" t="s">
        <v>15</v>
      </c>
      <c r="E5" s="4"/>
      <c r="F5" s="2" t="str">
        <f t="shared" si="0"/>
        <v>A5</v>
      </c>
      <c r="G5" s="2" t="str">
        <f t="shared" si="1"/>
        <v>B5</v>
      </c>
      <c r="H5" s="2" t="str">
        <f t="shared" si="2"/>
        <v>C5</v>
      </c>
      <c r="I5" s="4"/>
      <c r="J5" s="2" t="str">
        <f t="shared" si="3"/>
        <v>A2</v>
      </c>
      <c r="K5" s="2" t="str">
        <f t="shared" si="9"/>
        <v>A2</v>
      </c>
      <c r="L5" s="2" t="str">
        <f t="shared" si="9"/>
        <v>A2</v>
      </c>
      <c r="M5" s="4"/>
      <c r="N5" s="2" t="str">
        <f t="shared" si="5"/>
        <v>A2</v>
      </c>
      <c r="O5" s="2" t="str">
        <f t="shared" si="6"/>
        <v>B2</v>
      </c>
      <c r="P5" s="2" t="str">
        <f t="shared" si="7"/>
        <v>C2</v>
      </c>
      <c r="Q5" s="4"/>
      <c r="R5" s="2" t="str">
        <f t="shared" si="10"/>
        <v>A5</v>
      </c>
      <c r="S5" s="2" t="str">
        <f t="shared" si="8"/>
        <v>A5</v>
      </c>
      <c r="T5" s="2" t="str">
        <f t="shared" si="8"/>
        <v>A5</v>
      </c>
      <c r="U5" s="4"/>
    </row>
    <row r="6" spans="1:21" x14ac:dyDescent="0.25">
      <c r="A6" s="2" t="s">
        <v>8</v>
      </c>
      <c r="B6" s="2" t="s">
        <v>24</v>
      </c>
      <c r="D6" s="2" t="s">
        <v>16</v>
      </c>
      <c r="E6" s="4"/>
      <c r="F6" s="2" t="str">
        <f t="shared" si="0"/>
        <v>A6</v>
      </c>
      <c r="G6" s="2" t="str">
        <f t="shared" si="1"/>
        <v>B6</v>
      </c>
      <c r="H6" s="2" t="str">
        <f t="shared" si="2"/>
        <v>C6</v>
      </c>
      <c r="I6" s="4"/>
      <c r="J6" s="2" t="str">
        <f t="shared" si="3"/>
        <v>A2</v>
      </c>
      <c r="K6" s="2" t="str">
        <f t="shared" si="9"/>
        <v>A2</v>
      </c>
      <c r="L6" s="2" t="str">
        <f t="shared" si="9"/>
        <v>A2</v>
      </c>
      <c r="M6" s="4"/>
      <c r="N6" s="2" t="str">
        <f t="shared" si="5"/>
        <v>A2</v>
      </c>
      <c r="O6" s="2" t="str">
        <f t="shared" si="6"/>
        <v>B2</v>
      </c>
      <c r="P6" s="2" t="str">
        <f t="shared" si="7"/>
        <v>C2</v>
      </c>
      <c r="Q6" s="4"/>
      <c r="R6" s="2" t="str">
        <f t="shared" si="10"/>
        <v>A6</v>
      </c>
      <c r="S6" s="2" t="str">
        <f t="shared" si="8"/>
        <v>A6</v>
      </c>
      <c r="T6" s="2" t="str">
        <f t="shared" si="8"/>
        <v>A6</v>
      </c>
      <c r="U6" s="4"/>
    </row>
    <row r="7" spans="1:21" x14ac:dyDescent="0.25">
      <c r="A7" s="2" t="s">
        <v>9</v>
      </c>
      <c r="B7" s="2" t="s">
        <v>25</v>
      </c>
      <c r="D7" s="2" t="s">
        <v>17</v>
      </c>
      <c r="E7" s="4"/>
      <c r="F7" s="2" t="str">
        <f t="shared" si="0"/>
        <v>A7</v>
      </c>
      <c r="G7" s="2" t="str">
        <f t="shared" si="1"/>
        <v>B7</v>
      </c>
      <c r="H7" s="2" t="str">
        <f t="shared" si="2"/>
        <v>C7</v>
      </c>
      <c r="I7" s="4"/>
      <c r="J7" s="2" t="str">
        <f t="shared" si="3"/>
        <v>A2</v>
      </c>
      <c r="K7" s="2" t="str">
        <f t="shared" si="9"/>
        <v>A2</v>
      </c>
      <c r="L7" s="2" t="str">
        <f t="shared" si="9"/>
        <v>A2</v>
      </c>
      <c r="M7" s="4"/>
      <c r="N7" s="2" t="str">
        <f t="shared" si="5"/>
        <v>A2</v>
      </c>
      <c r="O7" s="2" t="str">
        <f t="shared" si="6"/>
        <v>B2</v>
      </c>
      <c r="P7" s="2" t="str">
        <f t="shared" si="7"/>
        <v>C2</v>
      </c>
      <c r="Q7" s="4"/>
      <c r="R7" s="2" t="str">
        <f t="shared" si="10"/>
        <v>A7</v>
      </c>
      <c r="S7" s="2" t="str">
        <f t="shared" si="8"/>
        <v>A7</v>
      </c>
      <c r="T7" s="2" t="str">
        <f t="shared" si="8"/>
        <v>A7</v>
      </c>
      <c r="U7" s="4"/>
    </row>
    <row r="8" spans="1:21" x14ac:dyDescent="0.25">
      <c r="A8" s="2" t="s">
        <v>10</v>
      </c>
      <c r="B8" s="2" t="s">
        <v>26</v>
      </c>
      <c r="D8" s="2" t="s">
        <v>18</v>
      </c>
      <c r="E8" s="4"/>
      <c r="F8" s="2" t="str">
        <f t="shared" si="0"/>
        <v>A8</v>
      </c>
      <c r="G8" s="2" t="str">
        <f t="shared" si="1"/>
        <v>B8</v>
      </c>
      <c r="H8" s="2" t="str">
        <f t="shared" si="2"/>
        <v>C8</v>
      </c>
      <c r="I8" s="4"/>
      <c r="J8" s="2" t="str">
        <f t="shared" si="3"/>
        <v>A2</v>
      </c>
      <c r="K8" s="2" t="str">
        <f t="shared" si="9"/>
        <v>A2</v>
      </c>
      <c r="L8" s="2" t="str">
        <f t="shared" si="9"/>
        <v>A2</v>
      </c>
      <c r="M8" s="4"/>
      <c r="N8" s="2" t="str">
        <f t="shared" si="5"/>
        <v>A2</v>
      </c>
      <c r="O8" s="2" t="str">
        <f t="shared" si="6"/>
        <v>B2</v>
      </c>
      <c r="P8" s="2" t="str">
        <f t="shared" si="7"/>
        <v>C2</v>
      </c>
      <c r="Q8" s="4"/>
      <c r="R8" s="2" t="str">
        <f t="shared" si="10"/>
        <v>A8</v>
      </c>
      <c r="S8" s="2" t="str">
        <f t="shared" si="8"/>
        <v>A8</v>
      </c>
      <c r="T8" s="2" t="str">
        <f t="shared" si="8"/>
        <v>A8</v>
      </c>
      <c r="U8" s="4"/>
    </row>
    <row r="9" spans="1:21" x14ac:dyDescent="0.25">
      <c r="A9" s="2" t="s">
        <v>11</v>
      </c>
      <c r="B9" s="2" t="s">
        <v>27</v>
      </c>
      <c r="D9" s="2" t="s">
        <v>19</v>
      </c>
      <c r="E9" s="4"/>
      <c r="F9" s="2" t="str">
        <f t="shared" si="0"/>
        <v>A9</v>
      </c>
      <c r="G9" s="2" t="str">
        <f t="shared" si="1"/>
        <v>B9</v>
      </c>
      <c r="H9" s="2" t="str">
        <f t="shared" si="2"/>
        <v>C9</v>
      </c>
      <c r="I9" s="4"/>
      <c r="J9" s="2" t="str">
        <f t="shared" si="3"/>
        <v>A2</v>
      </c>
      <c r="K9" s="2" t="str">
        <f t="shared" si="9"/>
        <v>A2</v>
      </c>
      <c r="L9" s="2" t="str">
        <f t="shared" si="9"/>
        <v>A2</v>
      </c>
      <c r="M9" s="4"/>
      <c r="N9" s="2" t="str">
        <f t="shared" si="5"/>
        <v>A2</v>
      </c>
      <c r="O9" s="2" t="str">
        <f t="shared" si="6"/>
        <v>B2</v>
      </c>
      <c r="P9" s="2" t="str">
        <f t="shared" si="7"/>
        <v>C2</v>
      </c>
      <c r="Q9" s="4"/>
      <c r="R9" s="2" t="str">
        <f t="shared" si="10"/>
        <v>A9</v>
      </c>
      <c r="S9" s="2" t="str">
        <f t="shared" si="8"/>
        <v>A9</v>
      </c>
      <c r="T9" s="2" t="str">
        <f t="shared" si="8"/>
        <v>A9</v>
      </c>
      <c r="U9" s="4"/>
    </row>
    <row r="10" spans="1:21" x14ac:dyDescent="0.25">
      <c r="A10" s="2" t="s">
        <v>28</v>
      </c>
      <c r="B10" s="2" t="s">
        <v>29</v>
      </c>
      <c r="D10" s="2" t="s">
        <v>30</v>
      </c>
      <c r="E10" s="4"/>
      <c r="F10" s="2" t="str">
        <f t="shared" si="0"/>
        <v>A10</v>
      </c>
      <c r="G10" s="2" t="str">
        <f t="shared" si="1"/>
        <v>B10</v>
      </c>
      <c r="H10" s="2" t="str">
        <f t="shared" si="2"/>
        <v>C10</v>
      </c>
      <c r="I10" s="4"/>
      <c r="J10" s="2" t="str">
        <f t="shared" si="3"/>
        <v>A2</v>
      </c>
      <c r="K10" s="2" t="str">
        <f t="shared" si="9"/>
        <v>A2</v>
      </c>
      <c r="L10" s="2" t="str">
        <f t="shared" si="9"/>
        <v>A2</v>
      </c>
      <c r="M10" s="4"/>
      <c r="N10" s="2" t="str">
        <f t="shared" si="5"/>
        <v>A2</v>
      </c>
      <c r="O10" s="2" t="str">
        <f t="shared" si="6"/>
        <v>B2</v>
      </c>
      <c r="P10" s="2" t="str">
        <f t="shared" si="7"/>
        <v>C2</v>
      </c>
      <c r="Q10" s="4"/>
      <c r="R10" s="2" t="str">
        <f t="shared" si="10"/>
        <v>A10</v>
      </c>
      <c r="S10" s="2" t="str">
        <f t="shared" si="8"/>
        <v>A10</v>
      </c>
      <c r="T10" s="2" t="str">
        <f t="shared" si="8"/>
        <v>A10</v>
      </c>
      <c r="U10" s="4"/>
    </row>
    <row r="11" spans="1:21" x14ac:dyDescent="0.25">
      <c r="E11" s="4"/>
      <c r="I11" s="4"/>
      <c r="M11" s="4"/>
      <c r="Q11" s="4"/>
      <c r="U11" s="4"/>
    </row>
    <row r="12" spans="1:21" x14ac:dyDescent="0.25">
      <c r="E12" s="4"/>
      <c r="F12" s="18" t="s">
        <v>37</v>
      </c>
      <c r="G12" s="19"/>
      <c r="H12" s="20"/>
      <c r="I12" s="4"/>
      <c r="J12" s="18" t="s">
        <v>36</v>
      </c>
      <c r="K12" s="19"/>
      <c r="L12" s="20"/>
      <c r="M12" s="4"/>
      <c r="N12" s="18" t="s">
        <v>39</v>
      </c>
      <c r="O12" s="19"/>
      <c r="P12" s="20"/>
      <c r="Q12" s="4"/>
      <c r="R12" s="18" t="s">
        <v>38</v>
      </c>
      <c r="S12" s="19"/>
      <c r="T12" s="20"/>
      <c r="U12" s="4"/>
    </row>
    <row r="13" spans="1:21" x14ac:dyDescent="0.25">
      <c r="E13" s="4"/>
      <c r="F13" s="18"/>
      <c r="G13" s="19"/>
      <c r="H13" s="20"/>
      <c r="I13" s="4"/>
      <c r="J13" s="18"/>
      <c r="K13" s="19"/>
      <c r="L13" s="20"/>
      <c r="M13" s="4"/>
      <c r="N13" s="18"/>
      <c r="O13" s="19"/>
      <c r="P13" s="20"/>
      <c r="Q13" s="4"/>
      <c r="R13" s="18"/>
      <c r="S13" s="19"/>
      <c r="T13" s="20"/>
      <c r="U13" s="4"/>
    </row>
    <row r="14" spans="1:21" x14ac:dyDescent="0.25">
      <c r="E14" s="4"/>
      <c r="F14" s="18"/>
      <c r="G14" s="19"/>
      <c r="H14" s="20"/>
      <c r="I14" s="4"/>
      <c r="J14" s="18"/>
      <c r="K14" s="19"/>
      <c r="L14" s="20"/>
      <c r="M14" s="4"/>
      <c r="N14" s="18"/>
      <c r="O14" s="19"/>
      <c r="P14" s="20"/>
      <c r="Q14" s="4"/>
      <c r="R14" s="18"/>
      <c r="S14" s="19"/>
      <c r="T14" s="20"/>
      <c r="U14" s="4"/>
    </row>
    <row r="15" spans="1:21" x14ac:dyDescent="0.25">
      <c r="E15" s="4"/>
      <c r="F15" s="18"/>
      <c r="G15" s="19"/>
      <c r="H15" s="20"/>
      <c r="I15" s="4"/>
      <c r="J15" s="18"/>
      <c r="K15" s="19"/>
      <c r="L15" s="20"/>
      <c r="M15" s="4"/>
      <c r="N15" s="18"/>
      <c r="O15" s="19"/>
      <c r="P15" s="20"/>
      <c r="Q15" s="4"/>
      <c r="R15" s="18"/>
      <c r="S15" s="19"/>
      <c r="T15" s="20"/>
      <c r="U15" s="4"/>
    </row>
    <row r="16" spans="1:21" x14ac:dyDescent="0.25">
      <c r="E16" s="4"/>
      <c r="F16" s="18"/>
      <c r="G16" s="19"/>
      <c r="H16" s="20"/>
      <c r="I16" s="4"/>
      <c r="J16" s="18"/>
      <c r="K16" s="19"/>
      <c r="L16" s="20"/>
      <c r="M16" s="4"/>
      <c r="N16" s="18"/>
      <c r="O16" s="19"/>
      <c r="P16" s="20"/>
      <c r="Q16" s="4"/>
      <c r="R16" s="18"/>
      <c r="S16" s="19"/>
      <c r="T16" s="20"/>
      <c r="U16" s="4"/>
    </row>
    <row r="17" spans="5:21" x14ac:dyDescent="0.25">
      <c r="E17" s="4"/>
      <c r="F17" s="18"/>
      <c r="G17" s="19"/>
      <c r="H17" s="20"/>
      <c r="I17" s="4"/>
      <c r="J17" s="18"/>
      <c r="K17" s="19"/>
      <c r="L17" s="20"/>
      <c r="M17" s="4"/>
      <c r="N17" s="18"/>
      <c r="O17" s="19"/>
      <c r="P17" s="20"/>
      <c r="Q17" s="4"/>
      <c r="R17" s="18"/>
      <c r="S17" s="19"/>
      <c r="T17" s="20"/>
      <c r="U17" s="4"/>
    </row>
    <row r="18" spans="5:21" x14ac:dyDescent="0.25">
      <c r="E18" s="4"/>
      <c r="F18" s="18"/>
      <c r="G18" s="19"/>
      <c r="H18" s="20"/>
      <c r="I18" s="4"/>
      <c r="J18" s="18"/>
      <c r="K18" s="19"/>
      <c r="L18" s="20"/>
      <c r="M18" s="4"/>
      <c r="N18" s="18"/>
      <c r="O18" s="19"/>
      <c r="P18" s="20"/>
      <c r="Q18" s="4"/>
      <c r="R18" s="18"/>
      <c r="S18" s="19"/>
      <c r="T18" s="20"/>
      <c r="U18" s="4"/>
    </row>
    <row r="19" spans="5:21" x14ac:dyDescent="0.25">
      <c r="E19" s="4"/>
      <c r="F19" s="18"/>
      <c r="G19" s="19"/>
      <c r="H19" s="20"/>
      <c r="I19" s="4"/>
      <c r="J19" s="18"/>
      <c r="K19" s="19"/>
      <c r="L19" s="20"/>
      <c r="M19" s="4"/>
      <c r="N19" s="18"/>
      <c r="O19" s="19"/>
      <c r="P19" s="20"/>
      <c r="Q19" s="4"/>
      <c r="R19" s="18"/>
      <c r="S19" s="19"/>
      <c r="T19" s="20"/>
      <c r="U19" s="4"/>
    </row>
    <row r="20" spans="5:21" x14ac:dyDescent="0.25">
      <c r="E20" s="4"/>
      <c r="F20" s="18"/>
      <c r="G20" s="19"/>
      <c r="H20" s="20"/>
      <c r="I20" s="4"/>
      <c r="J20" s="18"/>
      <c r="K20" s="19"/>
      <c r="L20" s="20"/>
      <c r="M20" s="4"/>
      <c r="N20" s="18"/>
      <c r="O20" s="19"/>
      <c r="P20" s="20"/>
      <c r="Q20" s="4"/>
      <c r="R20" s="18"/>
      <c r="S20" s="19"/>
      <c r="T20" s="20"/>
      <c r="U20" s="4"/>
    </row>
  </sheetData>
  <mergeCells count="4">
    <mergeCell ref="F12:H20"/>
    <mergeCell ref="J12:L20"/>
    <mergeCell ref="N12:P20"/>
    <mergeCell ref="R12:T2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787B2-2AE1-4C65-8A0F-3216915BA877}">
  <dimension ref="A1:X10"/>
  <sheetViews>
    <sheetView showGridLines="0" workbookViewId="0">
      <selection activeCell="J17" sqref="J17"/>
    </sheetView>
  </sheetViews>
  <sheetFormatPr defaultRowHeight="15" x14ac:dyDescent="0.25"/>
  <cols>
    <col min="1" max="3" width="9.140625" style="2"/>
    <col min="4" max="4" width="0.7109375" customWidth="1"/>
    <col min="8" max="8" width="0.7109375" customWidth="1"/>
    <col min="12" max="12" width="0.7109375" customWidth="1"/>
    <col min="16" max="16" width="0.7109375" customWidth="1"/>
    <col min="20" max="20" width="0.7109375" customWidth="1"/>
    <col min="22" max="22" width="22.42578125" customWidth="1"/>
    <col min="23" max="23" width="9.140625" customWidth="1"/>
    <col min="24" max="24" width="0.7109375" customWidth="1"/>
  </cols>
  <sheetData>
    <row r="1" spans="1:24" x14ac:dyDescent="0.25">
      <c r="A1" s="5"/>
      <c r="B1" s="5" t="s">
        <v>31</v>
      </c>
      <c r="C1" s="5"/>
      <c r="D1" s="6"/>
      <c r="E1" s="5"/>
      <c r="F1" s="5" t="s">
        <v>32</v>
      </c>
      <c r="G1" s="5"/>
      <c r="H1" s="6"/>
      <c r="I1" s="5"/>
      <c r="J1" s="5" t="s">
        <v>33</v>
      </c>
      <c r="K1" s="5"/>
      <c r="L1" s="6"/>
      <c r="M1" s="5"/>
      <c r="N1" s="5" t="s">
        <v>34</v>
      </c>
      <c r="O1" s="5"/>
      <c r="P1" s="6"/>
      <c r="Q1" s="5"/>
      <c r="R1" s="5" t="s">
        <v>35</v>
      </c>
      <c r="S1" s="5"/>
      <c r="T1" s="6"/>
      <c r="U1" s="5"/>
      <c r="V1" s="5" t="s">
        <v>41</v>
      </c>
      <c r="W1" s="5"/>
      <c r="X1" s="6"/>
    </row>
    <row r="2" spans="1:24" x14ac:dyDescent="0.25">
      <c r="A2" s="2">
        <v>1</v>
      </c>
      <c r="B2" s="2">
        <v>1</v>
      </c>
      <c r="C2" s="2">
        <v>1</v>
      </c>
      <c r="D2" s="4"/>
      <c r="H2" s="4"/>
      <c r="L2" s="4"/>
      <c r="P2" s="4"/>
      <c r="T2" s="4"/>
      <c r="X2" s="4"/>
    </row>
    <row r="3" spans="1:24" x14ac:dyDescent="0.25">
      <c r="A3" s="2">
        <v>1</v>
      </c>
      <c r="B3" s="2">
        <v>1</v>
      </c>
      <c r="C3" s="2">
        <v>1</v>
      </c>
      <c r="D3" s="4"/>
      <c r="E3" s="7"/>
      <c r="H3" s="4"/>
      <c r="I3" s="7"/>
      <c r="L3" s="4"/>
      <c r="M3" s="7"/>
      <c r="P3" s="4"/>
      <c r="Q3" s="7"/>
      <c r="T3" s="4"/>
      <c r="U3" s="7"/>
      <c r="X3" s="4"/>
    </row>
    <row r="4" spans="1:24" x14ac:dyDescent="0.25">
      <c r="A4" s="2">
        <v>1</v>
      </c>
      <c r="B4" s="2">
        <v>1</v>
      </c>
      <c r="C4" s="2">
        <v>1</v>
      </c>
      <c r="D4" s="4"/>
      <c r="E4" s="21" t="s">
        <v>40</v>
      </c>
      <c r="F4" s="22"/>
      <c r="G4" s="23"/>
      <c r="H4" s="4"/>
      <c r="I4" s="21" t="s">
        <v>40</v>
      </c>
      <c r="J4" s="22"/>
      <c r="K4" s="23"/>
      <c r="L4" s="4"/>
      <c r="M4" s="21" t="s">
        <v>40</v>
      </c>
      <c r="N4" s="22"/>
      <c r="O4" s="23"/>
      <c r="P4" s="4"/>
      <c r="Q4" s="21" t="s">
        <v>40</v>
      </c>
      <c r="R4" s="22"/>
      <c r="S4" s="23"/>
      <c r="T4" s="4"/>
      <c r="U4" s="21" t="s">
        <v>40</v>
      </c>
      <c r="V4" s="22"/>
      <c r="W4" s="23"/>
      <c r="X4" s="4"/>
    </row>
    <row r="5" spans="1:24" x14ac:dyDescent="0.25">
      <c r="A5" s="2">
        <v>1</v>
      </c>
      <c r="B5" s="2">
        <v>1</v>
      </c>
      <c r="C5" s="2">
        <v>1</v>
      </c>
      <c r="D5" s="4"/>
      <c r="E5" s="21"/>
      <c r="F5" s="22"/>
      <c r="G5" s="23"/>
      <c r="H5" s="4"/>
      <c r="I5" s="21"/>
      <c r="J5" s="22"/>
      <c r="K5" s="23"/>
      <c r="L5" s="4"/>
      <c r="M5" s="21"/>
      <c r="N5" s="22"/>
      <c r="O5" s="23"/>
      <c r="P5" s="4"/>
      <c r="Q5" s="21"/>
      <c r="R5" s="22"/>
      <c r="S5" s="23"/>
      <c r="T5" s="4"/>
      <c r="U5" s="21"/>
      <c r="V5" s="22"/>
      <c r="W5" s="23"/>
      <c r="X5" s="4"/>
    </row>
    <row r="6" spans="1:24" x14ac:dyDescent="0.25">
      <c r="A6" s="2">
        <v>1</v>
      </c>
      <c r="B6" s="2">
        <v>1</v>
      </c>
      <c r="C6" s="2">
        <v>1</v>
      </c>
      <c r="D6" s="4"/>
      <c r="G6" s="8"/>
      <c r="H6" s="4"/>
      <c r="K6" s="8"/>
      <c r="L6" s="4"/>
      <c r="O6" s="8"/>
      <c r="P6" s="4"/>
      <c r="S6" s="8"/>
      <c r="T6" s="4"/>
      <c r="W6" s="8"/>
      <c r="X6" s="4"/>
    </row>
    <row r="7" spans="1:24" x14ac:dyDescent="0.25">
      <c r="A7" s="2">
        <v>1</v>
      </c>
      <c r="B7" s="2">
        <v>1</v>
      </c>
      <c r="C7" s="2">
        <v>1</v>
      </c>
      <c r="D7" s="4"/>
      <c r="H7" s="4"/>
      <c r="L7" s="4"/>
      <c r="P7" s="4"/>
      <c r="T7" s="4"/>
      <c r="X7" s="4"/>
    </row>
    <row r="8" spans="1:24" x14ac:dyDescent="0.25">
      <c r="A8" s="2">
        <v>1</v>
      </c>
      <c r="B8" s="2">
        <v>1</v>
      </c>
      <c r="C8" s="2">
        <v>1</v>
      </c>
      <c r="D8" s="4"/>
      <c r="H8" s="4"/>
      <c r="L8" s="4"/>
      <c r="P8" s="4"/>
      <c r="T8" s="4"/>
      <c r="X8" s="4"/>
    </row>
    <row r="9" spans="1:24" x14ac:dyDescent="0.25">
      <c r="A9" s="2">
        <v>1</v>
      </c>
      <c r="B9" s="2">
        <v>1</v>
      </c>
      <c r="C9" s="2">
        <v>1</v>
      </c>
      <c r="D9" s="4"/>
      <c r="H9" s="4"/>
      <c r="L9" s="4"/>
      <c r="P9" s="4"/>
      <c r="T9" s="4"/>
      <c r="X9" s="4"/>
    </row>
    <row r="10" spans="1:24" x14ac:dyDescent="0.25">
      <c r="A10" s="2">
        <v>1</v>
      </c>
      <c r="B10" s="2">
        <v>1</v>
      </c>
      <c r="C10" s="2">
        <v>1</v>
      </c>
      <c r="D10" s="4"/>
      <c r="H10" s="4"/>
      <c r="L10" s="4"/>
      <c r="P10" s="4"/>
      <c r="T10" s="4"/>
      <c r="X10" s="4"/>
    </row>
  </sheetData>
  <mergeCells count="5">
    <mergeCell ref="E4:G5"/>
    <mergeCell ref="I4:K5"/>
    <mergeCell ref="M4:O5"/>
    <mergeCell ref="Q4:S5"/>
    <mergeCell ref="U4:W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9B23-F562-494A-9A58-E5042FE2F188}">
  <dimension ref="A1:Z10"/>
  <sheetViews>
    <sheetView showGridLines="0" workbookViewId="0">
      <selection activeCell="E8" sqref="E8"/>
    </sheetView>
  </sheetViews>
  <sheetFormatPr defaultRowHeight="15" x14ac:dyDescent="0.25"/>
  <cols>
    <col min="1" max="5" width="9.140625" style="2"/>
    <col min="6" max="6" width="0.7109375" customWidth="1"/>
    <col min="10" max="10" width="0.7109375" customWidth="1"/>
    <col min="14" max="14" width="0.7109375" customWidth="1"/>
    <col min="18" max="18" width="0.7109375" customWidth="1"/>
    <col min="22" max="22" width="0.7109375" customWidth="1"/>
    <col min="24" max="24" width="22.42578125" customWidth="1"/>
    <col min="25" max="25" width="9.140625" customWidth="1"/>
    <col min="26" max="26" width="0.7109375" customWidth="1"/>
  </cols>
  <sheetData>
    <row r="1" spans="1:26" x14ac:dyDescent="0.25">
      <c r="A1" s="5"/>
      <c r="B1" s="5" t="s">
        <v>31</v>
      </c>
      <c r="C1" s="5"/>
      <c r="D1" s="5"/>
      <c r="E1" s="5"/>
      <c r="F1" s="6"/>
      <c r="G1" s="5"/>
      <c r="H1" s="5" t="s">
        <v>32</v>
      </c>
      <c r="I1" s="5"/>
      <c r="J1" s="6"/>
      <c r="K1" s="5"/>
      <c r="L1" s="5" t="s">
        <v>33</v>
      </c>
      <c r="M1" s="5"/>
      <c r="N1" s="6"/>
      <c r="O1" s="5"/>
      <c r="P1" s="5" t="s">
        <v>34</v>
      </c>
      <c r="Q1" s="5"/>
      <c r="R1" s="6"/>
      <c r="S1" s="5"/>
      <c r="T1" s="5" t="s">
        <v>35</v>
      </c>
      <c r="U1" s="5"/>
      <c r="V1" s="6"/>
      <c r="W1" s="5"/>
      <c r="X1" s="5" t="s">
        <v>41</v>
      </c>
      <c r="Y1" s="5"/>
      <c r="Z1" s="6"/>
    </row>
    <row r="2" spans="1:26" x14ac:dyDescent="0.25">
      <c r="A2" s="2">
        <v>1</v>
      </c>
      <c r="B2" s="2">
        <v>1</v>
      </c>
      <c r="C2" s="2">
        <v>1</v>
      </c>
      <c r="D2" s="2">
        <v>1</v>
      </c>
      <c r="F2" s="4"/>
      <c r="J2" s="4"/>
      <c r="N2" s="4"/>
      <c r="R2" s="4"/>
      <c r="V2" s="4"/>
      <c r="Z2" s="4"/>
    </row>
    <row r="3" spans="1:26" x14ac:dyDescent="0.25">
      <c r="A3" s="2">
        <v>1</v>
      </c>
      <c r="B3" s="2">
        <v>1</v>
      </c>
      <c r="C3" s="2">
        <v>1</v>
      </c>
      <c r="D3" s="2">
        <v>1</v>
      </c>
      <c r="F3" s="4"/>
      <c r="G3" s="7">
        <f>SUM(A2:D10)</f>
        <v>36</v>
      </c>
      <c r="J3" s="4"/>
      <c r="K3" s="7">
        <f>SUM($A$2:$D$10)</f>
        <v>36</v>
      </c>
      <c r="N3" s="4"/>
      <c r="O3" s="7">
        <f>SUM(A$2:D$10)</f>
        <v>36</v>
      </c>
      <c r="R3" s="4"/>
      <c r="S3" s="7">
        <f>SUM($A2:$D10)</f>
        <v>36</v>
      </c>
      <c r="V3" s="4"/>
      <c r="W3" s="7">
        <f>SUM($A$2:D10)</f>
        <v>36</v>
      </c>
      <c r="Z3" s="4"/>
    </row>
    <row r="4" spans="1:26" x14ac:dyDescent="0.25">
      <c r="A4" s="2">
        <v>1</v>
      </c>
      <c r="B4" s="2">
        <v>1</v>
      </c>
      <c r="C4" s="2">
        <v>1</v>
      </c>
      <c r="D4" s="2">
        <v>1</v>
      </c>
      <c r="F4" s="4"/>
      <c r="G4" s="21" t="s">
        <v>40</v>
      </c>
      <c r="H4" s="22"/>
      <c r="I4" s="23"/>
      <c r="J4" s="4"/>
      <c r="K4" s="21" t="s">
        <v>40</v>
      </c>
      <c r="L4" s="22"/>
      <c r="M4" s="23"/>
      <c r="N4" s="4"/>
      <c r="O4" s="21" t="s">
        <v>40</v>
      </c>
      <c r="P4" s="22"/>
      <c r="Q4" s="23"/>
      <c r="R4" s="4"/>
      <c r="S4" s="21" t="s">
        <v>40</v>
      </c>
      <c r="T4" s="22"/>
      <c r="U4" s="23"/>
      <c r="V4" s="4"/>
      <c r="W4" s="21" t="s">
        <v>40</v>
      </c>
      <c r="X4" s="22"/>
      <c r="Y4" s="23"/>
      <c r="Z4" s="4"/>
    </row>
    <row r="5" spans="1:26" x14ac:dyDescent="0.25">
      <c r="A5" s="2">
        <v>1</v>
      </c>
      <c r="B5" s="2">
        <v>1</v>
      </c>
      <c r="C5" s="2">
        <v>1</v>
      </c>
      <c r="D5" s="2">
        <v>1</v>
      </c>
      <c r="F5" s="4"/>
      <c r="G5" s="21"/>
      <c r="H5" s="22"/>
      <c r="I5" s="23"/>
      <c r="J5" s="4"/>
      <c r="K5" s="21"/>
      <c r="L5" s="22"/>
      <c r="M5" s="23"/>
      <c r="N5" s="4"/>
      <c r="O5" s="21"/>
      <c r="P5" s="22"/>
      <c r="Q5" s="23"/>
      <c r="R5" s="4"/>
      <c r="S5" s="21"/>
      <c r="T5" s="22"/>
      <c r="U5" s="23"/>
      <c r="V5" s="4"/>
      <c r="W5" s="21"/>
      <c r="X5" s="22"/>
      <c r="Y5" s="23"/>
      <c r="Z5" s="4"/>
    </row>
    <row r="6" spans="1:26" x14ac:dyDescent="0.25">
      <c r="A6" s="2">
        <v>1</v>
      </c>
      <c r="B6" s="2">
        <v>1</v>
      </c>
      <c r="C6" s="2">
        <v>1</v>
      </c>
      <c r="D6" s="2">
        <v>1</v>
      </c>
      <c r="F6" s="4"/>
      <c r="I6" s="8">
        <f>SUM(D5:G13)</f>
        <v>6</v>
      </c>
      <c r="J6" s="4"/>
      <c r="M6" s="8">
        <f>SUM($A$2:$D$10)</f>
        <v>36</v>
      </c>
      <c r="N6" s="4"/>
      <c r="Q6" s="8">
        <f>SUM(D$2:G$10)</f>
        <v>45</v>
      </c>
      <c r="R6" s="4"/>
      <c r="U6" s="8">
        <f>SUM($A5:$D13)</f>
        <v>24</v>
      </c>
      <c r="V6" s="4"/>
      <c r="Y6" s="8">
        <f>SUM($A$2:G13)</f>
        <v>72</v>
      </c>
      <c r="Z6" s="4"/>
    </row>
    <row r="7" spans="1:26" x14ac:dyDescent="0.25">
      <c r="A7" s="2">
        <v>1</v>
      </c>
      <c r="B7" s="2">
        <v>1</v>
      </c>
      <c r="C7" s="2">
        <v>1</v>
      </c>
      <c r="D7" s="2">
        <v>1</v>
      </c>
      <c r="F7" s="4"/>
      <c r="J7" s="4"/>
      <c r="N7" s="4"/>
      <c r="R7" s="4"/>
      <c r="V7" s="4"/>
      <c r="Z7" s="4"/>
    </row>
    <row r="8" spans="1:26" x14ac:dyDescent="0.25">
      <c r="A8" s="2">
        <v>1</v>
      </c>
      <c r="B8" s="2">
        <v>1</v>
      </c>
      <c r="C8" s="2">
        <v>1</v>
      </c>
      <c r="D8" s="2">
        <v>1</v>
      </c>
      <c r="F8" s="4"/>
      <c r="J8" s="4"/>
      <c r="N8" s="4"/>
      <c r="R8" s="4"/>
      <c r="V8" s="4"/>
      <c r="Z8" s="4"/>
    </row>
    <row r="9" spans="1:26" x14ac:dyDescent="0.25">
      <c r="A9" s="2">
        <v>1</v>
      </c>
      <c r="B9" s="2">
        <v>1</v>
      </c>
      <c r="C9" s="2">
        <v>1</v>
      </c>
      <c r="D9" s="2">
        <v>1</v>
      </c>
      <c r="F9" s="4"/>
      <c r="J9" s="4"/>
      <c r="N9" s="4"/>
      <c r="R9" s="4"/>
      <c r="V9" s="4"/>
      <c r="Z9" s="4"/>
    </row>
    <row r="10" spans="1:26" x14ac:dyDescent="0.25">
      <c r="A10" s="2">
        <v>1</v>
      </c>
      <c r="B10" s="2">
        <v>1</v>
      </c>
      <c r="C10" s="2">
        <v>1</v>
      </c>
      <c r="D10" s="2">
        <v>1</v>
      </c>
      <c r="F10" s="4"/>
      <c r="J10" s="4"/>
      <c r="N10" s="4"/>
      <c r="R10" s="4"/>
      <c r="V10" s="4"/>
      <c r="Z10" s="4"/>
    </row>
  </sheetData>
  <mergeCells count="5">
    <mergeCell ref="G4:I5"/>
    <mergeCell ref="K4:M5"/>
    <mergeCell ref="O4:Q5"/>
    <mergeCell ref="S4:U5"/>
    <mergeCell ref="W4:Y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4BB00-4FC0-4124-99B3-1C23A3600290}">
  <dimension ref="A1:T10"/>
  <sheetViews>
    <sheetView workbookViewId="0">
      <selection activeCell="B7" sqref="B7"/>
    </sheetView>
  </sheetViews>
  <sheetFormatPr defaultRowHeight="15" x14ac:dyDescent="0.25"/>
  <cols>
    <col min="1" max="3" width="9.140625" style="2"/>
    <col min="4" max="4" width="0.7109375" customWidth="1"/>
    <col min="6" max="6" width="16.28515625" customWidth="1"/>
    <col min="8" max="8" width="0.7109375" customWidth="1"/>
    <col min="10" max="10" width="16.28515625" customWidth="1"/>
    <col min="12" max="12" width="0.7109375" customWidth="1"/>
    <col min="14" max="14" width="16.28515625" customWidth="1"/>
    <col min="16" max="16" width="0.7109375" customWidth="1"/>
    <col min="18" max="18" width="16.28515625" customWidth="1"/>
    <col min="20" max="20" width="0.7109375" customWidth="1"/>
  </cols>
  <sheetData>
    <row r="1" spans="1:20" x14ac:dyDescent="0.25">
      <c r="A1" s="5"/>
      <c r="B1" s="5" t="s">
        <v>31</v>
      </c>
      <c r="C1" s="5"/>
      <c r="D1" s="6"/>
      <c r="E1" s="5"/>
      <c r="F1" s="5" t="s">
        <v>43</v>
      </c>
      <c r="G1" s="5"/>
      <c r="H1" s="6"/>
      <c r="I1" s="5"/>
      <c r="J1" s="5" t="s">
        <v>42</v>
      </c>
      <c r="K1" s="5"/>
      <c r="L1" s="6"/>
      <c r="M1" s="5"/>
      <c r="N1" s="5" t="s">
        <v>44</v>
      </c>
      <c r="O1" s="5"/>
      <c r="P1" s="6"/>
      <c r="Q1" s="5"/>
      <c r="R1" s="5" t="s">
        <v>45</v>
      </c>
      <c r="S1" s="5"/>
      <c r="T1" s="6"/>
    </row>
    <row r="2" spans="1:20" x14ac:dyDescent="0.25">
      <c r="A2" s="2">
        <v>1</v>
      </c>
      <c r="B2" s="2">
        <v>1</v>
      </c>
      <c r="C2" s="2">
        <v>1</v>
      </c>
      <c r="D2" s="4"/>
      <c r="H2" s="4"/>
      <c r="L2" s="4"/>
      <c r="P2" s="4"/>
      <c r="T2" s="4"/>
    </row>
    <row r="3" spans="1:20" x14ac:dyDescent="0.25">
      <c r="A3" s="2">
        <v>1</v>
      </c>
      <c r="B3" s="2">
        <v>1</v>
      </c>
      <c r="C3" s="2">
        <v>1</v>
      </c>
      <c r="D3" s="4"/>
      <c r="E3" s="7"/>
      <c r="H3" s="4"/>
      <c r="I3" s="7"/>
      <c r="L3" s="4"/>
      <c r="M3" s="7"/>
      <c r="P3" s="4"/>
      <c r="Q3" s="7"/>
      <c r="T3" s="4"/>
    </row>
    <row r="4" spans="1:20" ht="15" customHeight="1" x14ac:dyDescent="0.25">
      <c r="A4" s="2">
        <v>1</v>
      </c>
      <c r="B4" s="2">
        <v>1</v>
      </c>
      <c r="C4" s="2">
        <v>1</v>
      </c>
      <c r="D4" s="4"/>
      <c r="E4" s="21" t="s">
        <v>40</v>
      </c>
      <c r="F4" s="22"/>
      <c r="G4" s="23"/>
      <c r="H4" s="4"/>
      <c r="I4" s="21" t="s">
        <v>40</v>
      </c>
      <c r="J4" s="22"/>
      <c r="K4" s="23"/>
      <c r="L4" s="4"/>
      <c r="M4" s="21" t="s">
        <v>40</v>
      </c>
      <c r="N4" s="22"/>
      <c r="O4" s="23"/>
      <c r="P4" s="4"/>
      <c r="Q4" s="21" t="s">
        <v>40</v>
      </c>
      <c r="R4" s="22"/>
      <c r="S4" s="23"/>
      <c r="T4" s="4"/>
    </row>
    <row r="5" spans="1:20" x14ac:dyDescent="0.25">
      <c r="A5" s="2">
        <v>1</v>
      </c>
      <c r="B5" s="2">
        <v>1</v>
      </c>
      <c r="C5" s="2">
        <v>1</v>
      </c>
      <c r="D5" s="4"/>
      <c r="E5" s="21"/>
      <c r="F5" s="22"/>
      <c r="G5" s="23"/>
      <c r="H5" s="4"/>
      <c r="I5" s="21"/>
      <c r="J5" s="22"/>
      <c r="K5" s="23"/>
      <c r="L5" s="4"/>
      <c r="M5" s="21"/>
      <c r="N5" s="22"/>
      <c r="O5" s="23"/>
      <c r="P5" s="4"/>
      <c r="Q5" s="21"/>
      <c r="R5" s="22"/>
      <c r="S5" s="23"/>
      <c r="T5" s="4"/>
    </row>
    <row r="6" spans="1:20" x14ac:dyDescent="0.25">
      <c r="A6" s="2">
        <v>1</v>
      </c>
      <c r="B6" s="2">
        <v>1</v>
      </c>
      <c r="C6" s="2">
        <v>1</v>
      </c>
      <c r="D6" s="4"/>
      <c r="G6" s="8"/>
      <c r="H6" s="4"/>
      <c r="K6" s="8"/>
      <c r="L6" s="4"/>
      <c r="O6" s="8"/>
      <c r="P6" s="4"/>
      <c r="S6" s="8"/>
      <c r="T6" s="4"/>
    </row>
    <row r="7" spans="1:20" x14ac:dyDescent="0.25">
      <c r="A7" s="2">
        <v>1</v>
      </c>
      <c r="B7" s="2">
        <v>1</v>
      </c>
      <c r="C7" s="2">
        <v>1</v>
      </c>
      <c r="D7" s="4"/>
      <c r="H7" s="4"/>
      <c r="L7" s="4"/>
      <c r="P7" s="4"/>
      <c r="T7" s="4"/>
    </row>
    <row r="8" spans="1:20" x14ac:dyDescent="0.25">
      <c r="A8" s="2">
        <v>1</v>
      </c>
      <c r="B8" s="2">
        <v>1</v>
      </c>
      <c r="C8" s="2">
        <v>1</v>
      </c>
      <c r="D8" s="4"/>
      <c r="H8" s="4"/>
      <c r="L8" s="4"/>
      <c r="P8" s="4"/>
      <c r="T8" s="4"/>
    </row>
    <row r="9" spans="1:20" x14ac:dyDescent="0.25">
      <c r="A9" s="2">
        <v>1</v>
      </c>
      <c r="B9" s="2">
        <v>1</v>
      </c>
      <c r="C9" s="2">
        <v>1</v>
      </c>
      <c r="D9" s="4"/>
      <c r="H9" s="4"/>
      <c r="L9" s="4"/>
      <c r="P9" s="4"/>
      <c r="T9" s="4"/>
    </row>
    <row r="10" spans="1:20" x14ac:dyDescent="0.25">
      <c r="A10" s="2">
        <v>1</v>
      </c>
      <c r="B10" s="2">
        <v>1</v>
      </c>
      <c r="C10" s="2">
        <v>1</v>
      </c>
      <c r="D10" s="4"/>
      <c r="H10" s="4"/>
      <c r="L10" s="4"/>
      <c r="P10" s="4"/>
      <c r="T10" s="4"/>
    </row>
  </sheetData>
  <mergeCells count="4">
    <mergeCell ref="E4:G5"/>
    <mergeCell ref="I4:K5"/>
    <mergeCell ref="M4:O5"/>
    <mergeCell ref="Q4:S5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DDE8F-A95D-49F2-A317-493200B9D56D}">
  <dimension ref="A1:T10"/>
  <sheetViews>
    <sheetView workbookViewId="0">
      <selection activeCell="C15" sqref="C15"/>
    </sheetView>
  </sheetViews>
  <sheetFormatPr defaultRowHeight="15" x14ac:dyDescent="0.25"/>
  <cols>
    <col min="1" max="3" width="9.140625" style="2"/>
    <col min="4" max="4" width="0.7109375" customWidth="1"/>
    <col min="6" max="6" width="16.28515625" customWidth="1"/>
    <col min="8" max="8" width="0.7109375" customWidth="1"/>
    <col min="10" max="10" width="16.28515625" customWidth="1"/>
    <col min="12" max="12" width="0.7109375" customWidth="1"/>
    <col min="14" max="14" width="16.28515625" customWidth="1"/>
    <col min="16" max="16" width="0.7109375" customWidth="1"/>
    <col min="18" max="18" width="16.28515625" customWidth="1"/>
    <col min="20" max="20" width="0.7109375" customWidth="1"/>
  </cols>
  <sheetData>
    <row r="1" spans="1:20" x14ac:dyDescent="0.25">
      <c r="A1" s="5"/>
      <c r="B1" s="5" t="s">
        <v>31</v>
      </c>
      <c r="C1" s="5"/>
      <c r="D1" s="6"/>
      <c r="E1" s="5"/>
      <c r="F1" s="5" t="s">
        <v>43</v>
      </c>
      <c r="G1" s="5"/>
      <c r="H1" s="6"/>
      <c r="I1" s="5"/>
      <c r="J1" s="5" t="s">
        <v>42</v>
      </c>
      <c r="K1" s="5"/>
      <c r="L1" s="6"/>
      <c r="M1" s="5"/>
      <c r="N1" s="5" t="s">
        <v>44</v>
      </c>
      <c r="O1" s="5"/>
      <c r="P1" s="6"/>
      <c r="Q1" s="5"/>
      <c r="R1" s="5" t="s">
        <v>45</v>
      </c>
      <c r="S1" s="5"/>
      <c r="T1" s="6"/>
    </row>
    <row r="2" spans="1:20" x14ac:dyDescent="0.25">
      <c r="A2" s="2">
        <v>1</v>
      </c>
      <c r="B2" s="2">
        <v>1</v>
      </c>
      <c r="C2" s="2">
        <v>1</v>
      </c>
      <c r="D2" s="4"/>
      <c r="H2" s="4"/>
      <c r="L2" s="4"/>
      <c r="P2" s="4"/>
      <c r="T2" s="4"/>
    </row>
    <row r="3" spans="1:20" x14ac:dyDescent="0.25">
      <c r="A3" s="2">
        <v>1</v>
      </c>
      <c r="B3" s="2">
        <v>1</v>
      </c>
      <c r="C3" s="2">
        <v>1</v>
      </c>
      <c r="D3" s="4"/>
      <c r="E3" s="7">
        <f>SUM(Final_MatrizBase)</f>
        <v>27</v>
      </c>
      <c r="H3" s="4"/>
      <c r="I3" s="7">
        <f>SUM(Final_MatrizBase_Col1)</f>
        <v>9</v>
      </c>
      <c r="L3" s="4"/>
      <c r="M3" s="7">
        <f>SUM(Final_MatrizBase_Col2)</f>
        <v>9</v>
      </c>
      <c r="P3" s="4"/>
      <c r="Q3" s="7">
        <f>SUM(Final_MatrizBase_Col3)</f>
        <v>9</v>
      </c>
      <c r="T3" s="4"/>
    </row>
    <row r="4" spans="1:20" ht="15" customHeight="1" x14ac:dyDescent="0.25">
      <c r="A4" s="2">
        <v>1</v>
      </c>
      <c r="B4" s="2">
        <v>1</v>
      </c>
      <c r="C4" s="2">
        <v>1</v>
      </c>
      <c r="D4" s="4"/>
      <c r="E4" s="21" t="s">
        <v>40</v>
      </c>
      <c r="F4" s="22"/>
      <c r="G4" s="23"/>
      <c r="H4" s="4"/>
      <c r="I4" s="21" t="s">
        <v>40</v>
      </c>
      <c r="J4" s="22"/>
      <c r="K4" s="23"/>
      <c r="L4" s="4"/>
      <c r="M4" s="21" t="s">
        <v>40</v>
      </c>
      <c r="N4" s="22"/>
      <c r="O4" s="23"/>
      <c r="P4" s="4"/>
      <c r="Q4" s="21" t="s">
        <v>40</v>
      </c>
      <c r="R4" s="22"/>
      <c r="S4" s="23"/>
      <c r="T4" s="4"/>
    </row>
    <row r="5" spans="1:20" x14ac:dyDescent="0.25">
      <c r="A5" s="2">
        <v>1</v>
      </c>
      <c r="B5" s="2">
        <v>1</v>
      </c>
      <c r="C5" s="2">
        <v>1</v>
      </c>
      <c r="D5" s="4"/>
      <c r="E5" s="21"/>
      <c r="F5" s="22"/>
      <c r="G5" s="23"/>
      <c r="H5" s="4"/>
      <c r="I5" s="21"/>
      <c r="J5" s="22"/>
      <c r="K5" s="23"/>
      <c r="L5" s="4"/>
      <c r="M5" s="21"/>
      <c r="N5" s="22"/>
      <c r="O5" s="23"/>
      <c r="P5" s="4"/>
      <c r="Q5" s="21"/>
      <c r="R5" s="22"/>
      <c r="S5" s="23"/>
      <c r="T5" s="4"/>
    </row>
    <row r="6" spans="1:20" x14ac:dyDescent="0.25">
      <c r="A6" s="2">
        <v>1</v>
      </c>
      <c r="B6" s="2">
        <v>1</v>
      </c>
      <c r="C6" s="2">
        <v>1</v>
      </c>
      <c r="D6" s="4"/>
      <c r="G6" s="8">
        <f>SUM(Final_MatrizBase)</f>
        <v>27</v>
      </c>
      <c r="H6" s="4"/>
      <c r="K6" s="8">
        <f>SUM(Final_MatrizBase_Col1)</f>
        <v>9</v>
      </c>
      <c r="L6" s="4"/>
      <c r="O6" s="8">
        <f>SUM(Final_MatrizBase_Col2)</f>
        <v>9</v>
      </c>
      <c r="P6" s="4"/>
      <c r="S6" s="8">
        <f>SUM(Final_MatrizBase_Col3)</f>
        <v>9</v>
      </c>
      <c r="T6" s="4"/>
    </row>
    <row r="7" spans="1:20" x14ac:dyDescent="0.25">
      <c r="A7" s="2">
        <v>1</v>
      </c>
      <c r="B7" s="2">
        <v>1</v>
      </c>
      <c r="C7" s="2">
        <v>1</v>
      </c>
      <c r="D7" s="4"/>
      <c r="H7" s="4"/>
      <c r="L7" s="4"/>
      <c r="P7" s="4"/>
      <c r="T7" s="4"/>
    </row>
    <row r="8" spans="1:20" x14ac:dyDescent="0.25">
      <c r="A8" s="2">
        <v>1</v>
      </c>
      <c r="B8" s="2">
        <v>1</v>
      </c>
      <c r="C8" s="2">
        <v>1</v>
      </c>
      <c r="D8" s="4"/>
      <c r="H8" s="4"/>
      <c r="L8" s="4"/>
      <c r="P8" s="4"/>
      <c r="T8" s="4"/>
    </row>
    <row r="9" spans="1:20" x14ac:dyDescent="0.25">
      <c r="A9" s="2">
        <v>1</v>
      </c>
      <c r="B9" s="2">
        <v>1</v>
      </c>
      <c r="C9" s="2">
        <v>1</v>
      </c>
      <c r="D9" s="4"/>
      <c r="H9" s="4"/>
      <c r="L9" s="4"/>
      <c r="P9" s="4"/>
      <c r="T9" s="4"/>
    </row>
    <row r="10" spans="1:20" x14ac:dyDescent="0.25">
      <c r="A10" s="2">
        <v>1</v>
      </c>
      <c r="B10" s="2">
        <v>1</v>
      </c>
      <c r="C10" s="2">
        <v>1</v>
      </c>
      <c r="D10" s="4"/>
      <c r="H10" s="4"/>
      <c r="L10" s="4"/>
      <c r="P10" s="4"/>
      <c r="T10" s="4"/>
    </row>
  </sheetData>
  <mergeCells count="4">
    <mergeCell ref="E4:G5"/>
    <mergeCell ref="I4:K5"/>
    <mergeCell ref="M4:O5"/>
    <mergeCell ref="Q4:S5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50FBF-057A-4711-8EB3-215F041B5524}">
  <dimension ref="A1:T11"/>
  <sheetViews>
    <sheetView workbookViewId="0">
      <selection activeCell="Q11" sqref="Q11"/>
    </sheetView>
  </sheetViews>
  <sheetFormatPr defaultRowHeight="15" x14ac:dyDescent="0.25"/>
  <cols>
    <col min="1" max="1" width="9.42578125" style="2" bestFit="1" customWidth="1"/>
    <col min="2" max="2" width="12.5703125" style="2" bestFit="1" customWidth="1"/>
    <col min="3" max="3" width="9.42578125" style="2" bestFit="1" customWidth="1"/>
    <col min="4" max="4" width="0.7109375" customWidth="1"/>
    <col min="6" max="6" width="16.28515625" customWidth="1"/>
    <col min="8" max="8" width="0.7109375" customWidth="1"/>
    <col min="10" max="10" width="16.28515625" customWidth="1"/>
    <col min="12" max="12" width="0.7109375" customWidth="1"/>
    <col min="14" max="14" width="16.28515625" customWidth="1"/>
    <col min="16" max="16" width="0.7109375" customWidth="1"/>
    <col min="18" max="18" width="16.28515625" customWidth="1"/>
    <col min="20" max="20" width="0.7109375" customWidth="1"/>
  </cols>
  <sheetData>
    <row r="1" spans="1:20" x14ac:dyDescent="0.25">
      <c r="A1" s="9"/>
      <c r="B1" s="9" t="s">
        <v>31</v>
      </c>
      <c r="C1" s="9"/>
      <c r="D1" s="6"/>
      <c r="E1" s="5"/>
      <c r="F1" s="5" t="s">
        <v>43</v>
      </c>
      <c r="G1" s="5"/>
      <c r="H1" s="6"/>
      <c r="I1" s="5"/>
      <c r="J1" s="5" t="s">
        <v>42</v>
      </c>
      <c r="K1" s="5"/>
      <c r="L1" s="6"/>
      <c r="M1" s="5"/>
      <c r="N1" s="5" t="s">
        <v>44</v>
      </c>
      <c r="O1" s="5"/>
      <c r="P1" s="6"/>
      <c r="Q1" s="5"/>
      <c r="R1" s="5" t="s">
        <v>45</v>
      </c>
      <c r="S1" s="5"/>
      <c r="T1" s="6"/>
    </row>
    <row r="2" spans="1:20" x14ac:dyDescent="0.25">
      <c r="A2" s="2" t="s">
        <v>46</v>
      </c>
      <c r="B2" s="2" t="s">
        <v>47</v>
      </c>
      <c r="C2" s="2" t="s">
        <v>48</v>
      </c>
      <c r="D2" s="10"/>
      <c r="H2" s="4"/>
      <c r="L2" s="4"/>
      <c r="P2" s="4"/>
      <c r="T2" s="4"/>
    </row>
    <row r="3" spans="1:20" x14ac:dyDescent="0.25">
      <c r="A3" s="2">
        <v>1</v>
      </c>
      <c r="B3" s="2">
        <v>1</v>
      </c>
      <c r="C3" s="2">
        <v>1</v>
      </c>
      <c r="D3" s="10"/>
      <c r="H3" s="4"/>
      <c r="L3" s="4"/>
      <c r="P3" s="4"/>
      <c r="T3" s="4"/>
    </row>
    <row r="4" spans="1:20" x14ac:dyDescent="0.25">
      <c r="A4" s="2">
        <v>1</v>
      </c>
      <c r="B4" s="2">
        <v>1</v>
      </c>
      <c r="C4" s="2">
        <v>1</v>
      </c>
      <c r="D4" s="10"/>
      <c r="E4" s="7">
        <f>SUM(tblMatrizBase3[])</f>
        <v>27</v>
      </c>
      <c r="H4" s="4"/>
      <c r="I4" s="7">
        <f>SUM(tblMatrizBase3[Col1])</f>
        <v>9</v>
      </c>
      <c r="L4" s="4"/>
      <c r="M4" s="7">
        <f>SUM(Final_MatrizBase_Col2)</f>
        <v>9</v>
      </c>
      <c r="P4" s="4"/>
      <c r="Q4" s="7">
        <f>SUM(tblMatrizBase3[Col3])</f>
        <v>9</v>
      </c>
      <c r="T4" s="4"/>
    </row>
    <row r="5" spans="1:20" x14ac:dyDescent="0.25">
      <c r="A5" s="2">
        <v>1</v>
      </c>
      <c r="B5" s="2">
        <v>1</v>
      </c>
      <c r="C5" s="2">
        <v>1</v>
      </c>
      <c r="D5" s="10"/>
      <c r="E5" s="21" t="s">
        <v>40</v>
      </c>
      <c r="F5" s="22"/>
      <c r="G5" s="23"/>
      <c r="H5" s="4"/>
      <c r="I5" s="21" t="s">
        <v>40</v>
      </c>
      <c r="J5" s="22"/>
      <c r="K5" s="23"/>
      <c r="L5" s="4"/>
      <c r="M5" s="21" t="s">
        <v>40</v>
      </c>
      <c r="N5" s="22"/>
      <c r="O5" s="23"/>
      <c r="P5" s="4"/>
      <c r="Q5" s="21" t="s">
        <v>40</v>
      </c>
      <c r="R5" s="22"/>
      <c r="S5" s="23"/>
      <c r="T5" s="4"/>
    </row>
    <row r="6" spans="1:20" x14ac:dyDescent="0.25">
      <c r="A6" s="2">
        <v>1</v>
      </c>
      <c r="B6" s="2">
        <v>1</v>
      </c>
      <c r="C6" s="2">
        <v>1</v>
      </c>
      <c r="D6" s="10"/>
      <c r="E6" s="21"/>
      <c r="F6" s="22"/>
      <c r="G6" s="23"/>
      <c r="H6" s="4"/>
      <c r="I6" s="21"/>
      <c r="J6" s="22"/>
      <c r="K6" s="23"/>
      <c r="L6" s="4"/>
      <c r="M6" s="21"/>
      <c r="N6" s="22"/>
      <c r="O6" s="23"/>
      <c r="P6" s="4"/>
      <c r="Q6" s="21"/>
      <c r="R6" s="22"/>
      <c r="S6" s="23"/>
      <c r="T6" s="4"/>
    </row>
    <row r="7" spans="1:20" x14ac:dyDescent="0.25">
      <c r="A7" s="2">
        <v>1</v>
      </c>
      <c r="B7" s="2">
        <v>1</v>
      </c>
      <c r="C7" s="2">
        <v>1</v>
      </c>
      <c r="D7" s="10"/>
      <c r="G7" s="8">
        <f>SUM(tblMatrizBase3[])</f>
        <v>27</v>
      </c>
      <c r="H7" s="4"/>
      <c r="K7" s="8">
        <f>SUM(tblMatrizBase3[Col1])</f>
        <v>9</v>
      </c>
      <c r="L7" s="4"/>
      <c r="O7" s="8">
        <f>SUM(Final_MatrizBase_Col2)</f>
        <v>9</v>
      </c>
      <c r="P7" s="4"/>
      <c r="S7" s="8">
        <f>SUM(tblMatrizBase3[Col3])</f>
        <v>9</v>
      </c>
      <c r="T7" s="4"/>
    </row>
    <row r="8" spans="1:20" x14ac:dyDescent="0.25">
      <c r="A8" s="2">
        <v>1</v>
      </c>
      <c r="B8" s="2">
        <v>1</v>
      </c>
      <c r="C8" s="2">
        <v>1</v>
      </c>
      <c r="D8" s="10"/>
      <c r="H8" s="4"/>
      <c r="L8" s="4"/>
      <c r="P8" s="4"/>
      <c r="T8" s="4"/>
    </row>
    <row r="9" spans="1:20" x14ac:dyDescent="0.25">
      <c r="A9" s="2">
        <v>1</v>
      </c>
      <c r="B9" s="2">
        <v>1</v>
      </c>
      <c r="C9" s="2">
        <v>1</v>
      </c>
      <c r="D9" s="10"/>
      <c r="H9" s="4"/>
      <c r="L9" s="4"/>
      <c r="P9" s="4"/>
      <c r="T9" s="4"/>
    </row>
    <row r="10" spans="1:20" x14ac:dyDescent="0.25">
      <c r="A10" s="2">
        <v>1</v>
      </c>
      <c r="B10" s="2">
        <v>1</v>
      </c>
      <c r="C10" s="2">
        <v>1</v>
      </c>
      <c r="D10" s="10"/>
      <c r="H10" s="4"/>
      <c r="L10" s="4"/>
      <c r="P10" s="4"/>
      <c r="T10" s="4"/>
    </row>
    <row r="11" spans="1:20" x14ac:dyDescent="0.25">
      <c r="A11" s="2">
        <v>1</v>
      </c>
      <c r="B11" s="2">
        <v>1</v>
      </c>
      <c r="C11" s="2">
        <v>1</v>
      </c>
      <c r="D11" s="10"/>
      <c r="H11" s="4"/>
      <c r="L11" s="4"/>
      <c r="P11" s="4"/>
      <c r="T11" s="4"/>
    </row>
  </sheetData>
  <mergeCells count="4">
    <mergeCell ref="E5:G6"/>
    <mergeCell ref="I5:K6"/>
    <mergeCell ref="M5:O6"/>
    <mergeCell ref="Q5:S6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AAE1A-C966-443E-99AD-A54FF8CA744F}">
  <dimension ref="A1:T11"/>
  <sheetViews>
    <sheetView workbookViewId="0">
      <selection activeCell="E4" sqref="E4"/>
    </sheetView>
  </sheetViews>
  <sheetFormatPr defaultRowHeight="15" x14ac:dyDescent="0.25"/>
  <cols>
    <col min="1" max="1" width="9.42578125" style="2" bestFit="1" customWidth="1"/>
    <col min="2" max="2" width="12.5703125" style="2" bestFit="1" customWidth="1"/>
    <col min="3" max="3" width="9.42578125" style="2" bestFit="1" customWidth="1"/>
    <col min="4" max="4" width="0.7109375" customWidth="1"/>
    <col min="6" max="6" width="16.28515625" customWidth="1"/>
    <col min="8" max="8" width="0.7109375" customWidth="1"/>
    <col min="10" max="10" width="16.28515625" customWidth="1"/>
    <col min="12" max="12" width="0.7109375" customWidth="1"/>
    <col min="14" max="14" width="16.28515625" customWidth="1"/>
    <col min="16" max="16" width="0.7109375" customWidth="1"/>
    <col min="18" max="18" width="16.28515625" customWidth="1"/>
    <col min="20" max="20" width="0.7109375" customWidth="1"/>
  </cols>
  <sheetData>
    <row r="1" spans="1:20" x14ac:dyDescent="0.25">
      <c r="A1" s="9"/>
      <c r="B1" s="9" t="s">
        <v>31</v>
      </c>
      <c r="C1" s="9"/>
      <c r="D1" s="6"/>
      <c r="E1" s="5"/>
      <c r="F1" s="5" t="s">
        <v>43</v>
      </c>
      <c r="G1" s="5"/>
      <c r="H1" s="6"/>
      <c r="I1" s="5"/>
      <c r="J1" s="5" t="s">
        <v>42</v>
      </c>
      <c r="K1" s="5"/>
      <c r="L1" s="6"/>
      <c r="M1" s="5"/>
      <c r="N1" s="5" t="s">
        <v>44</v>
      </c>
      <c r="O1" s="5"/>
      <c r="P1" s="6"/>
      <c r="Q1" s="5"/>
      <c r="R1" s="5" t="s">
        <v>45</v>
      </c>
      <c r="S1" s="5"/>
      <c r="T1" s="6"/>
    </row>
    <row r="2" spans="1:20" x14ac:dyDescent="0.25">
      <c r="A2" s="2" t="s">
        <v>46</v>
      </c>
      <c r="B2" s="2" t="s">
        <v>47</v>
      </c>
      <c r="C2" s="2" t="s">
        <v>48</v>
      </c>
      <c r="D2" s="10"/>
      <c r="H2" s="4"/>
      <c r="L2" s="4"/>
      <c r="P2" s="4"/>
      <c r="T2" s="4"/>
    </row>
    <row r="3" spans="1:20" x14ac:dyDescent="0.25">
      <c r="A3" s="2">
        <v>1</v>
      </c>
      <c r="B3" s="2">
        <v>1</v>
      </c>
      <c r="C3" s="2">
        <v>1</v>
      </c>
      <c r="D3" s="10"/>
      <c r="H3" s="4"/>
      <c r="L3" s="4"/>
      <c r="P3" s="4"/>
      <c r="T3" s="4"/>
    </row>
    <row r="4" spans="1:20" x14ac:dyDescent="0.25">
      <c r="A4" s="2">
        <v>1</v>
      </c>
      <c r="B4" s="2">
        <v>1</v>
      </c>
      <c r="C4" s="2">
        <v>1</v>
      </c>
      <c r="D4" s="10"/>
      <c r="E4" s="7">
        <f>SUM(tblFinal_MatrizBase[])</f>
        <v>27</v>
      </c>
      <c r="H4" s="4"/>
      <c r="I4" s="7">
        <f>SUM(tblFinal_MatrizBase[Col1])</f>
        <v>9</v>
      </c>
      <c r="L4" s="4"/>
      <c r="M4" s="7">
        <f>SUM(Final_MatrizBase_Col2)</f>
        <v>9</v>
      </c>
      <c r="P4" s="4"/>
      <c r="Q4" s="7">
        <f>SUM(tblFinal_MatrizBase[Col3])</f>
        <v>9</v>
      </c>
      <c r="T4" s="4"/>
    </row>
    <row r="5" spans="1:20" x14ac:dyDescent="0.25">
      <c r="A5" s="2">
        <v>1</v>
      </c>
      <c r="B5" s="2">
        <v>1</v>
      </c>
      <c r="C5" s="2">
        <v>1</v>
      </c>
      <c r="D5" s="10"/>
      <c r="E5" s="21" t="s">
        <v>40</v>
      </c>
      <c r="F5" s="22"/>
      <c r="G5" s="23"/>
      <c r="H5" s="4"/>
      <c r="I5" s="21" t="s">
        <v>40</v>
      </c>
      <c r="J5" s="22"/>
      <c r="K5" s="23"/>
      <c r="L5" s="4"/>
      <c r="M5" s="21" t="s">
        <v>40</v>
      </c>
      <c r="N5" s="22"/>
      <c r="O5" s="23"/>
      <c r="P5" s="4"/>
      <c r="Q5" s="21" t="s">
        <v>40</v>
      </c>
      <c r="R5" s="22"/>
      <c r="S5" s="23"/>
      <c r="T5" s="4"/>
    </row>
    <row r="6" spans="1:20" x14ac:dyDescent="0.25">
      <c r="A6" s="2">
        <v>1</v>
      </c>
      <c r="B6" s="2">
        <v>1</v>
      </c>
      <c r="C6" s="2">
        <v>1</v>
      </c>
      <c r="D6" s="10"/>
      <c r="E6" s="21"/>
      <c r="F6" s="22"/>
      <c r="G6" s="23"/>
      <c r="H6" s="4"/>
      <c r="I6" s="21"/>
      <c r="J6" s="22"/>
      <c r="K6" s="23"/>
      <c r="L6" s="4"/>
      <c r="M6" s="21"/>
      <c r="N6" s="22"/>
      <c r="O6" s="23"/>
      <c r="P6" s="4"/>
      <c r="Q6" s="21"/>
      <c r="R6" s="22"/>
      <c r="S6" s="23"/>
      <c r="T6" s="4"/>
    </row>
    <row r="7" spans="1:20" x14ac:dyDescent="0.25">
      <c r="A7" s="2">
        <v>1</v>
      </c>
      <c r="B7" s="2">
        <v>1</v>
      </c>
      <c r="C7" s="2">
        <v>1</v>
      </c>
      <c r="D7" s="10"/>
      <c r="G7" s="8">
        <f>SUM(tblFinal_MatrizBase[])</f>
        <v>27</v>
      </c>
      <c r="H7" s="4"/>
      <c r="K7" s="8">
        <f>SUM(tblFinal_MatrizBase[Col1])</f>
        <v>9</v>
      </c>
      <c r="L7" s="4"/>
      <c r="O7" s="8">
        <f>SUM(Final_MatrizBase_Col2)</f>
        <v>9</v>
      </c>
      <c r="P7" s="4"/>
      <c r="S7" s="8">
        <f>SUM(tblFinal_MatrizBase[Col3])</f>
        <v>9</v>
      </c>
      <c r="T7" s="4"/>
    </row>
    <row r="8" spans="1:20" x14ac:dyDescent="0.25">
      <c r="A8" s="2">
        <v>1</v>
      </c>
      <c r="B8" s="2">
        <v>1</v>
      </c>
      <c r="C8" s="2">
        <v>1</v>
      </c>
      <c r="D8" s="10"/>
      <c r="H8" s="4"/>
      <c r="L8" s="4"/>
      <c r="P8" s="4"/>
      <c r="T8" s="4"/>
    </row>
    <row r="9" spans="1:20" x14ac:dyDescent="0.25">
      <c r="A9" s="2">
        <v>1</v>
      </c>
      <c r="B9" s="2">
        <v>1</v>
      </c>
      <c r="C9" s="2">
        <v>1</v>
      </c>
      <c r="D9" s="10"/>
      <c r="H9" s="4"/>
      <c r="L9" s="4"/>
      <c r="P9" s="4"/>
      <c r="T9" s="4"/>
    </row>
    <row r="10" spans="1:20" x14ac:dyDescent="0.25">
      <c r="A10" s="2">
        <v>1</v>
      </c>
      <c r="B10" s="2">
        <v>1</v>
      </c>
      <c r="C10" s="2">
        <v>1</v>
      </c>
      <c r="D10" s="10"/>
      <c r="H10" s="4"/>
      <c r="L10" s="4"/>
      <c r="P10" s="4"/>
      <c r="T10" s="4"/>
    </row>
    <row r="11" spans="1:20" x14ac:dyDescent="0.25">
      <c r="A11" s="2">
        <v>1</v>
      </c>
      <c r="B11" s="2">
        <v>1</v>
      </c>
      <c r="C11" s="2">
        <v>1</v>
      </c>
      <c r="D11" s="10"/>
      <c r="H11" s="4"/>
      <c r="L11" s="4"/>
      <c r="P11" s="4"/>
      <c r="T11" s="4"/>
    </row>
  </sheetData>
  <mergeCells count="4">
    <mergeCell ref="E5:G6"/>
    <mergeCell ref="I5:K6"/>
    <mergeCell ref="M5:O6"/>
    <mergeCell ref="Q5:S6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B0FD1-503C-4E04-84FF-E26A84A7D80A}">
  <dimension ref="A1:H20"/>
  <sheetViews>
    <sheetView showGridLines="0" workbookViewId="0">
      <selection activeCell="H21" sqref="H21"/>
    </sheetView>
  </sheetViews>
  <sheetFormatPr defaultRowHeight="15" x14ac:dyDescent="0.25"/>
  <cols>
    <col min="1" max="1" width="12.140625" customWidth="1"/>
    <col min="2" max="5" width="11.5703125" bestFit="1" customWidth="1"/>
    <col min="7" max="7" width="13.5703125" bestFit="1" customWidth="1"/>
    <col min="8" max="8" width="13.28515625" bestFit="1" customWidth="1"/>
  </cols>
  <sheetData>
    <row r="1" spans="1:8" x14ac:dyDescent="0.25">
      <c r="A1" s="24" t="s">
        <v>52</v>
      </c>
      <c r="B1" s="24"/>
      <c r="C1" s="24"/>
      <c r="D1" s="24"/>
      <c r="E1" s="24"/>
      <c r="F1" s="24"/>
      <c r="G1" s="24"/>
      <c r="H1" s="24"/>
    </row>
    <row r="2" spans="1:8" x14ac:dyDescent="0.25">
      <c r="B2" s="1"/>
      <c r="C2" s="1"/>
      <c r="D2" s="1"/>
      <c r="E2" s="12"/>
    </row>
    <row r="3" spans="1:8" x14ac:dyDescent="0.25">
      <c r="A3" s="3" t="s">
        <v>0</v>
      </c>
      <c r="B3" s="11">
        <v>43770</v>
      </c>
      <c r="C3" s="11">
        <v>43800</v>
      </c>
      <c r="D3" s="11">
        <v>43831</v>
      </c>
      <c r="E3" s="11" t="s">
        <v>51</v>
      </c>
    </row>
    <row r="4" spans="1:8" x14ac:dyDescent="0.25">
      <c r="A4" t="s">
        <v>1</v>
      </c>
      <c r="B4" s="1">
        <v>200000</v>
      </c>
      <c r="C4" s="1">
        <v>220000</v>
      </c>
      <c r="D4" s="1">
        <v>240000</v>
      </c>
      <c r="E4" s="12">
        <f>SUM(B4:D4)</f>
        <v>660000</v>
      </c>
      <c r="G4" t="s">
        <v>49</v>
      </c>
      <c r="H4" s="2" t="s">
        <v>1</v>
      </c>
    </row>
    <row r="5" spans="1:8" x14ac:dyDescent="0.25">
      <c r="A5" t="s">
        <v>2</v>
      </c>
      <c r="B5" s="1">
        <v>130000</v>
      </c>
      <c r="C5" s="1">
        <v>215900</v>
      </c>
      <c r="D5" s="1">
        <v>98000</v>
      </c>
      <c r="E5" s="12">
        <f>SUM(B5:D5)</f>
        <v>443900</v>
      </c>
      <c r="G5" t="s">
        <v>50</v>
      </c>
      <c r="H5" s="12">
        <f>SUMIF(A4:A6,H4, E4:E6)</f>
        <v>660000</v>
      </c>
    </row>
    <row r="6" spans="1:8" x14ac:dyDescent="0.25">
      <c r="A6" t="s">
        <v>3</v>
      </c>
      <c r="B6" s="1">
        <v>90000</v>
      </c>
      <c r="C6" s="1">
        <v>200000</v>
      </c>
      <c r="D6" s="1">
        <v>80000</v>
      </c>
      <c r="E6" s="12">
        <f>SUM(B6:D6)</f>
        <v>370000</v>
      </c>
      <c r="H6" s="25" t="s">
        <v>58</v>
      </c>
    </row>
    <row r="7" spans="1:8" x14ac:dyDescent="0.25">
      <c r="B7" s="1"/>
      <c r="C7" s="1"/>
      <c r="D7" s="1"/>
      <c r="E7" s="12"/>
    </row>
    <row r="8" spans="1:8" x14ac:dyDescent="0.25">
      <c r="A8" s="24" t="s">
        <v>53</v>
      </c>
      <c r="B8" s="24"/>
      <c r="C8" s="24"/>
      <c r="D8" s="24"/>
      <c r="E8" s="24"/>
      <c r="F8" s="24"/>
      <c r="G8" s="24"/>
      <c r="H8" s="24"/>
    </row>
    <row r="10" spans="1:8" x14ac:dyDescent="0.25">
      <c r="A10" s="3" t="s">
        <v>0</v>
      </c>
      <c r="B10" s="11">
        <v>43770</v>
      </c>
      <c r="C10" s="11">
        <v>43800</v>
      </c>
      <c r="D10" s="11">
        <v>43831</v>
      </c>
      <c r="E10" s="11" t="s">
        <v>51</v>
      </c>
    </row>
    <row r="11" spans="1:8" x14ac:dyDescent="0.25">
      <c r="A11" t="s">
        <v>1</v>
      </c>
      <c r="B11" s="1">
        <v>200000</v>
      </c>
      <c r="C11" s="1">
        <v>220000</v>
      </c>
      <c r="D11" s="1">
        <v>240000</v>
      </c>
      <c r="E11" s="12">
        <f>SUM(B11:D11)</f>
        <v>660000</v>
      </c>
      <c r="G11" t="s">
        <v>49</v>
      </c>
      <c r="H11" s="2" t="s">
        <v>3</v>
      </c>
    </row>
    <row r="12" spans="1:8" x14ac:dyDescent="0.25">
      <c r="A12" t="s">
        <v>2</v>
      </c>
      <c r="B12" s="1">
        <v>130000</v>
      </c>
      <c r="C12" s="1">
        <v>215900</v>
      </c>
      <c r="D12" s="1">
        <v>98000</v>
      </c>
      <c r="E12" s="12">
        <f>SUM(B12:D12)</f>
        <v>443900</v>
      </c>
      <c r="G12" t="s">
        <v>50</v>
      </c>
      <c r="H12" s="12">
        <f>SUMIF(Exemplos_Clientes,Exemplos_FiltroCliente, Exemplos_TotalClientes)</f>
        <v>370000</v>
      </c>
    </row>
    <row r="13" spans="1:8" x14ac:dyDescent="0.25">
      <c r="A13" t="s">
        <v>3</v>
      </c>
      <c r="B13" s="1">
        <v>90000</v>
      </c>
      <c r="C13" s="1">
        <v>200000</v>
      </c>
      <c r="D13" s="1">
        <v>80000</v>
      </c>
      <c r="E13" s="12">
        <f>SUM(B13:D13)</f>
        <v>370000</v>
      </c>
      <c r="H13" s="25" t="s">
        <v>59</v>
      </c>
    </row>
    <row r="14" spans="1:8" x14ac:dyDescent="0.25">
      <c r="B14" s="1"/>
      <c r="C14" s="1"/>
      <c r="D14" s="1"/>
      <c r="E14" s="12"/>
    </row>
    <row r="15" spans="1:8" x14ac:dyDescent="0.25">
      <c r="A15" s="24" t="s">
        <v>57</v>
      </c>
      <c r="B15" s="24"/>
      <c r="C15" s="24"/>
      <c r="D15" s="24"/>
      <c r="E15" s="24"/>
      <c r="F15" s="24"/>
      <c r="G15" s="24"/>
      <c r="H15" s="24"/>
    </row>
    <row r="17" spans="1:8" x14ac:dyDescent="0.25">
      <c r="A17" s="13" t="s">
        <v>0</v>
      </c>
      <c r="B17" s="14" t="s">
        <v>54</v>
      </c>
      <c r="C17" s="14" t="s">
        <v>55</v>
      </c>
      <c r="D17" s="14" t="s">
        <v>56</v>
      </c>
      <c r="E17" s="14" t="s">
        <v>51</v>
      </c>
    </row>
    <row r="18" spans="1:8" x14ac:dyDescent="0.25">
      <c r="A18" s="15" t="s">
        <v>1</v>
      </c>
      <c r="B18" s="16">
        <v>200000</v>
      </c>
      <c r="C18" s="16">
        <v>220000</v>
      </c>
      <c r="D18" s="16">
        <v>240000</v>
      </c>
      <c r="E18" s="17">
        <f>SUM(B18:D18)</f>
        <v>660000</v>
      </c>
      <c r="G18" t="s">
        <v>49</v>
      </c>
      <c r="H18" s="2" t="s">
        <v>2</v>
      </c>
    </row>
    <row r="19" spans="1:8" x14ac:dyDescent="0.25">
      <c r="A19" s="15" t="s">
        <v>2</v>
      </c>
      <c r="B19" s="16">
        <v>130000</v>
      </c>
      <c r="C19" s="16">
        <v>215900</v>
      </c>
      <c r="D19" s="16">
        <v>98000</v>
      </c>
      <c r="E19" s="17">
        <f>SUM(B19:D19)</f>
        <v>443900</v>
      </c>
      <c r="G19" t="s">
        <v>50</v>
      </c>
      <c r="H19" s="12">
        <f>SUMIF(tblExemplos[Cliente],H18,tblExemplos[Total])</f>
        <v>443900</v>
      </c>
    </row>
    <row r="20" spans="1:8" x14ac:dyDescent="0.25">
      <c r="A20" s="15" t="s">
        <v>3</v>
      </c>
      <c r="B20" s="16">
        <v>90000</v>
      </c>
      <c r="C20" s="16">
        <v>200000</v>
      </c>
      <c r="D20" s="16">
        <v>80000</v>
      </c>
      <c r="E20" s="17">
        <f>SUM(B20:D20)</f>
        <v>370000</v>
      </c>
      <c r="H20" s="25" t="s">
        <v>60</v>
      </c>
    </row>
  </sheetData>
  <mergeCells count="3">
    <mergeCell ref="A1:H1"/>
    <mergeCell ref="A8:H8"/>
    <mergeCell ref="A15:H15"/>
  </mergeCells>
  <dataValidations disablePrompts="1" count="1">
    <dataValidation type="list" allowBlank="1" showInputMessage="1" showErrorMessage="1" sqref="H4 H11 H18" xr:uid="{D320BA58-3A01-4EB1-A261-37B219BBECED}">
      <formula1>$A$4:$A$6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8</vt:i4>
      </vt:variant>
    </vt:vector>
  </HeadingPairs>
  <TitlesOfParts>
    <vt:vector size="17" baseType="lpstr">
      <vt:lpstr>Células - Aula</vt:lpstr>
      <vt:lpstr>Células - Final</vt:lpstr>
      <vt:lpstr>Áreas - Aula</vt:lpstr>
      <vt:lpstr>Áreas - Final</vt:lpstr>
      <vt:lpstr>Nomeada - Aula</vt:lpstr>
      <vt:lpstr>Nomeada - Final</vt:lpstr>
      <vt:lpstr>Tabela - Aula</vt:lpstr>
      <vt:lpstr>Tabela - Final</vt:lpstr>
      <vt:lpstr>Leitura das Fórmulas</vt:lpstr>
      <vt:lpstr>Exemplos_Cliente</vt:lpstr>
      <vt:lpstr>Exemplos_Clientes</vt:lpstr>
      <vt:lpstr>Exemplos_FiltroCliente</vt:lpstr>
      <vt:lpstr>Exemplos_TotalClientes</vt:lpstr>
      <vt:lpstr>Final_MatrizBase</vt:lpstr>
      <vt:lpstr>Final_MatrizBase_Col1</vt:lpstr>
      <vt:lpstr>Final_MatrizBase_Col2</vt:lpstr>
      <vt:lpstr>Final_MatrizBase_Col3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2020-01-27T17:19:37Z</dcterms:modified>
</cp:coreProperties>
</file>