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ingrid.ramirez\Desktop\"/>
    </mc:Choice>
  </mc:AlternateContent>
  <xr:revisionPtr revIDLastSave="0" documentId="13_ncr:1_{A026A58F-C609-4961-8AE9-4C2EE7CFF24F}" xr6:coauthVersionLast="45" xr6:coauthVersionMax="45" xr10:uidLastSave="{00000000-0000-0000-0000-000000000000}"/>
  <bookViews>
    <workbookView xWindow="-120" yWindow="-120" windowWidth="38640" windowHeight="15840" tabRatio="702" xr2:uid="{00000000-000D-0000-FFFF-FFFF00000000}"/>
  </bookViews>
  <sheets>
    <sheet name="Resumo" sheetId="8" r:id="rId1"/>
    <sheet name="Valores por Campanhas" sheetId="19" r:id="rId2"/>
    <sheet name="Planilha2" sheetId="20" state="hidden" r:id="rId3"/>
    <sheet name="aa" sheetId="18" state="hidden" r:id="rId4"/>
  </sheets>
  <definedNames>
    <definedName name="_xlnm._FilterDatabase" localSheetId="0" hidden="1">Resumo!$A$13:$P$1011</definedName>
    <definedName name="adtype">#REF!</definedName>
    <definedName name="adtype_filtrada">Resumo!$F$14:$F$1048576</definedName>
    <definedName name="_xlnm.Extract" localSheetId="0">Resumo!$B$13:$O$13</definedName>
    <definedName name="bd_ad">#REF!</definedName>
    <definedName name="bd_adid">#REF!</definedName>
    <definedName name="bd_adtype">#REF!</definedName>
    <definedName name="bd_campaign">#REF!</definedName>
    <definedName name="bd_clicks">#REF!</definedName>
    <definedName name="bd_creativetype">#REF!</definedName>
    <definedName name="bd_impression">#REF!</definedName>
    <definedName name="bd_placement">#REF!</definedName>
    <definedName name="bd_placementID">#REF!</definedName>
    <definedName name="bd_site">#REF!</definedName>
    <definedName name="Busca">Resumo!#REF!</definedName>
    <definedName name="campanha_nome">Resumo!#REF!</definedName>
    <definedName name="clicks">#REF!</definedName>
    <definedName name="clicks_filtrada">Resumo!$K$14:$K$1048576</definedName>
    <definedName name="_xlnm.Criteria" localSheetId="0">Resumo!#REF!</definedName>
    <definedName name="dados">#REF!</definedName>
    <definedName name="filtro">Resumo!$B$13:$O$13</definedName>
    <definedName name="impressions">#REF!</definedName>
    <definedName name="impressoes_filtrada">Resumo!$J$14:$J$1048576</definedName>
    <definedName name="tabela">#REF!</definedName>
    <definedName name="total_adops">#REF!</definedName>
    <definedName name="total_adops_filtrada">Resumo!$O$14:$O$1048576</definedName>
    <definedName name="total_ferramenta">#REF!</definedName>
    <definedName name="total_ferramenta_filtrada">Resumo!$N$14:$N$1048576</definedName>
  </definedNames>
  <calcPr calcId="191029"/>
  <pivotCaches>
    <pivotCache cacheId="13" r:id="rId5"/>
    <pivotCache cacheId="19" r:id="rId6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O30" i="8" l="1"/>
  <c r="N30" i="8"/>
  <c r="O29" i="8"/>
  <c r="N29" i="8"/>
  <c r="O28" i="8"/>
  <c r="N28" i="8"/>
  <c r="O27" i="8"/>
  <c r="N27" i="8"/>
  <c r="O26" i="8"/>
  <c r="N26" i="8"/>
  <c r="O25" i="8"/>
  <c r="N25" i="8"/>
  <c r="O24" i="8"/>
  <c r="N24" i="8"/>
  <c r="O23" i="8"/>
  <c r="N23" i="8"/>
  <c r="O22" i="8"/>
  <c r="N22" i="8"/>
  <c r="O21" i="8"/>
  <c r="N21" i="8"/>
  <c r="O20" i="8"/>
  <c r="N20" i="8"/>
  <c r="O19" i="8"/>
  <c r="N19" i="8"/>
  <c r="O18" i="8"/>
  <c r="N18" i="8"/>
  <c r="O17" i="8"/>
  <c r="N17" i="8"/>
  <c r="O257" i="8"/>
  <c r="N257" i="8"/>
  <c r="O256" i="8"/>
  <c r="N256" i="8"/>
  <c r="O255" i="8"/>
  <c r="N255" i="8"/>
  <c r="O254" i="8"/>
  <c r="N254" i="8"/>
  <c r="O253" i="8"/>
  <c r="N253" i="8"/>
  <c r="O246" i="8"/>
  <c r="N246" i="8"/>
  <c r="O243" i="8"/>
  <c r="N243" i="8"/>
  <c r="O130" i="8"/>
  <c r="N130" i="8"/>
  <c r="O126" i="8"/>
  <c r="N126" i="8"/>
  <c r="O242" i="8"/>
  <c r="N242" i="8"/>
  <c r="O241" i="8"/>
  <c r="N241" i="8"/>
  <c r="O240" i="8"/>
  <c r="N240" i="8"/>
  <c r="O123" i="8"/>
  <c r="N123" i="8"/>
  <c r="O122" i="8"/>
  <c r="N122" i="8"/>
  <c r="O121" i="8"/>
  <c r="N121" i="8"/>
  <c r="O120" i="8"/>
  <c r="N120" i="8"/>
  <c r="O119" i="8"/>
  <c r="N119" i="8"/>
  <c r="O118" i="8"/>
  <c r="N118" i="8"/>
  <c r="O208" i="8"/>
  <c r="N208" i="8"/>
  <c r="O107" i="8"/>
  <c r="N107" i="8"/>
  <c r="O106" i="8"/>
  <c r="N106" i="8"/>
  <c r="O105" i="8"/>
  <c r="N105" i="8"/>
  <c r="O104" i="8"/>
  <c r="N104" i="8"/>
  <c r="O91" i="8"/>
  <c r="N91" i="8"/>
  <c r="O90" i="8"/>
  <c r="N90" i="8"/>
  <c r="O89" i="8"/>
  <c r="N89" i="8"/>
  <c r="O88" i="8"/>
  <c r="N88" i="8"/>
  <c r="O67" i="8"/>
  <c r="N67" i="8"/>
  <c r="O66" i="8"/>
  <c r="N66" i="8"/>
  <c r="O65" i="8"/>
  <c r="N65" i="8"/>
  <c r="O64" i="8"/>
  <c r="N64" i="8"/>
  <c r="O16" i="8"/>
  <c r="N16" i="8"/>
  <c r="O15" i="8"/>
  <c r="N15" i="8"/>
  <c r="O14" i="8"/>
  <c r="N14" i="8"/>
  <c r="O43" i="8"/>
  <c r="N43" i="8"/>
  <c r="O42" i="8"/>
  <c r="N42" i="8"/>
  <c r="O32" i="8"/>
  <c r="N32" i="8"/>
  <c r="O31" i="8"/>
  <c r="N31" i="8"/>
  <c r="O252" i="8"/>
  <c r="N252" i="8"/>
  <c r="O251" i="8"/>
  <c r="N251" i="8"/>
  <c r="O250" i="8"/>
  <c r="N250" i="8"/>
  <c r="O248" i="8"/>
  <c r="N248" i="8"/>
  <c r="O245" i="8"/>
  <c r="N245" i="8"/>
  <c r="O139" i="8"/>
  <c r="N139" i="8"/>
  <c r="O137" i="8"/>
  <c r="N137" i="8"/>
  <c r="O136" i="8"/>
  <c r="N136" i="8"/>
  <c r="O135" i="8"/>
  <c r="N135" i="8"/>
  <c r="O133" i="8"/>
  <c r="N133" i="8"/>
  <c r="O131" i="8"/>
  <c r="N131" i="8"/>
  <c r="O129" i="8"/>
  <c r="N129" i="8"/>
  <c r="O128" i="8"/>
  <c r="N128" i="8"/>
  <c r="O127" i="8"/>
  <c r="N127" i="8"/>
  <c r="O125" i="8"/>
  <c r="N125" i="8"/>
  <c r="O239" i="8"/>
  <c r="N239" i="8"/>
  <c r="O238" i="8"/>
  <c r="N238" i="8"/>
  <c r="O237" i="8"/>
  <c r="N237" i="8"/>
  <c r="O236" i="8"/>
  <c r="N236" i="8"/>
  <c r="O235" i="8"/>
  <c r="N235" i="8"/>
  <c r="O234" i="8"/>
  <c r="N234" i="8"/>
  <c r="O233" i="8"/>
  <c r="N233" i="8"/>
  <c r="O228" i="8"/>
  <c r="N228" i="8"/>
  <c r="O224" i="8"/>
  <c r="N224" i="8"/>
  <c r="O221" i="8"/>
  <c r="N221" i="8"/>
  <c r="O219" i="8"/>
  <c r="N219" i="8"/>
  <c r="O217" i="8"/>
  <c r="N217" i="8"/>
  <c r="O215" i="8"/>
  <c r="N215" i="8"/>
  <c r="O213" i="8"/>
  <c r="N213" i="8"/>
  <c r="O209" i="8"/>
  <c r="N209" i="8"/>
  <c r="O117" i="8"/>
  <c r="N117" i="8"/>
  <c r="O116" i="8"/>
  <c r="N116" i="8"/>
  <c r="O115" i="8"/>
  <c r="N115" i="8"/>
  <c r="O114" i="8"/>
  <c r="N114" i="8"/>
  <c r="O113" i="8"/>
  <c r="N113" i="8"/>
  <c r="O111" i="8"/>
  <c r="N111" i="8"/>
  <c r="O109" i="8"/>
  <c r="N109" i="8"/>
  <c r="O108" i="8"/>
  <c r="N108" i="8"/>
  <c r="O207" i="8"/>
  <c r="N207" i="8"/>
  <c r="O205" i="8"/>
  <c r="N205" i="8"/>
  <c r="O203" i="8"/>
  <c r="N203" i="8"/>
  <c r="O201" i="8"/>
  <c r="N201" i="8"/>
  <c r="O199" i="8"/>
  <c r="N199" i="8"/>
  <c r="O197" i="8"/>
  <c r="N197" i="8"/>
  <c r="O195" i="8"/>
  <c r="N195" i="8"/>
  <c r="O193" i="8"/>
  <c r="N193" i="8"/>
  <c r="O191" i="8"/>
  <c r="N191" i="8"/>
  <c r="O103" i="8"/>
  <c r="N103" i="8"/>
  <c r="O102" i="8"/>
  <c r="N102" i="8"/>
  <c r="O101" i="8"/>
  <c r="N101" i="8"/>
  <c r="O100" i="8"/>
  <c r="N100" i="8"/>
  <c r="O99" i="8"/>
  <c r="N99" i="8"/>
  <c r="O97" i="8"/>
  <c r="N97" i="8"/>
  <c r="O96" i="8"/>
  <c r="N96" i="8"/>
  <c r="O95" i="8"/>
  <c r="N95" i="8"/>
  <c r="O94" i="8"/>
  <c r="N94" i="8"/>
  <c r="O93" i="8"/>
  <c r="N93" i="8"/>
  <c r="O92" i="8"/>
  <c r="N92" i="8"/>
  <c r="O184" i="8"/>
  <c r="N184" i="8"/>
  <c r="O183" i="8"/>
  <c r="N183" i="8"/>
  <c r="O182" i="8"/>
  <c r="N182" i="8"/>
  <c r="O181" i="8"/>
  <c r="N181" i="8"/>
  <c r="O180" i="8"/>
  <c r="N180" i="8"/>
  <c r="O179" i="8"/>
  <c r="N179" i="8"/>
  <c r="O178" i="8"/>
  <c r="N178" i="8"/>
  <c r="O177" i="8"/>
  <c r="N177" i="8"/>
  <c r="O176" i="8"/>
  <c r="N176" i="8"/>
  <c r="O175" i="8"/>
  <c r="N175" i="8"/>
  <c r="O174" i="8"/>
  <c r="N174" i="8"/>
  <c r="O173" i="8"/>
  <c r="N173" i="8"/>
  <c r="O172" i="8"/>
  <c r="N172" i="8"/>
  <c r="O171" i="8"/>
  <c r="N171" i="8"/>
  <c r="O170" i="8"/>
  <c r="N170" i="8"/>
  <c r="O169" i="8"/>
  <c r="N169" i="8"/>
  <c r="O168" i="8"/>
  <c r="N168" i="8"/>
  <c r="O167" i="8"/>
  <c r="N167" i="8"/>
  <c r="O166" i="8"/>
  <c r="N166" i="8"/>
  <c r="O165" i="8"/>
  <c r="N165" i="8"/>
  <c r="O164" i="8"/>
  <c r="N164" i="8"/>
  <c r="O163" i="8"/>
  <c r="N163" i="8"/>
  <c r="O162" i="8"/>
  <c r="N162" i="8"/>
  <c r="O161" i="8"/>
  <c r="N161" i="8"/>
  <c r="O160" i="8"/>
  <c r="N160" i="8"/>
  <c r="O159" i="8"/>
  <c r="N159" i="8"/>
  <c r="O158" i="8"/>
  <c r="N158" i="8"/>
  <c r="O157" i="8"/>
  <c r="N157" i="8"/>
  <c r="O156" i="8"/>
  <c r="N156" i="8"/>
  <c r="O155" i="8"/>
  <c r="N155" i="8"/>
  <c r="O154" i="8"/>
  <c r="N154" i="8"/>
  <c r="O153" i="8"/>
  <c r="N153" i="8"/>
  <c r="O152" i="8"/>
  <c r="N152" i="8"/>
  <c r="O151" i="8"/>
  <c r="N151" i="8"/>
  <c r="O150" i="8"/>
  <c r="N150" i="8"/>
  <c r="O149" i="8"/>
  <c r="N149" i="8"/>
  <c r="O148" i="8"/>
  <c r="N148" i="8"/>
  <c r="O147" i="8"/>
  <c r="N147" i="8"/>
  <c r="O146" i="8"/>
  <c r="N146" i="8"/>
  <c r="O145" i="8"/>
  <c r="N145" i="8"/>
  <c r="O144" i="8"/>
  <c r="N144" i="8"/>
  <c r="O143" i="8"/>
  <c r="N143" i="8"/>
  <c r="O142" i="8"/>
  <c r="N142" i="8"/>
  <c r="O141" i="8"/>
  <c r="N141" i="8"/>
  <c r="O140" i="8"/>
  <c r="N140" i="8"/>
  <c r="O87" i="8"/>
  <c r="N87" i="8"/>
  <c r="O86" i="8"/>
  <c r="N86" i="8"/>
  <c r="O85" i="8"/>
  <c r="N85" i="8"/>
  <c r="O84" i="8"/>
  <c r="N84" i="8"/>
  <c r="O83" i="8"/>
  <c r="N83" i="8"/>
  <c r="O81" i="8"/>
  <c r="N81" i="8"/>
  <c r="O80" i="8"/>
  <c r="N80" i="8"/>
  <c r="O79" i="8"/>
  <c r="N79" i="8"/>
  <c r="O78" i="8"/>
  <c r="N78" i="8"/>
  <c r="O76" i="8"/>
  <c r="N76" i="8"/>
  <c r="O75" i="8"/>
  <c r="N75" i="8"/>
  <c r="O74" i="8"/>
  <c r="N74" i="8"/>
  <c r="O73" i="8"/>
  <c r="N73" i="8"/>
  <c r="O71" i="8"/>
  <c r="N71" i="8"/>
  <c r="O70" i="8"/>
  <c r="N70" i="8"/>
  <c r="O69" i="8"/>
  <c r="N69" i="8"/>
  <c r="O68" i="8"/>
  <c r="N68" i="8"/>
  <c r="O63" i="8"/>
  <c r="N63" i="8"/>
  <c r="O62" i="8"/>
  <c r="N62" i="8"/>
  <c r="O60" i="8"/>
  <c r="N60" i="8"/>
  <c r="O59" i="8"/>
  <c r="N59" i="8"/>
  <c r="O58" i="8"/>
  <c r="N58" i="8"/>
  <c r="O57" i="8"/>
  <c r="N57" i="8"/>
  <c r="O56" i="8"/>
  <c r="N56" i="8"/>
  <c r="O55" i="8"/>
  <c r="N55" i="8"/>
  <c r="O54" i="8"/>
  <c r="N54" i="8"/>
  <c r="O53" i="8"/>
  <c r="N53" i="8"/>
  <c r="O52" i="8"/>
  <c r="N52" i="8"/>
  <c r="O51" i="8"/>
  <c r="N51" i="8"/>
  <c r="O49" i="8"/>
  <c r="N49" i="8"/>
  <c r="O48" i="8"/>
  <c r="N48" i="8"/>
  <c r="O47" i="8"/>
  <c r="N47" i="8"/>
  <c r="O46" i="8"/>
  <c r="N46" i="8"/>
  <c r="O45" i="8"/>
  <c r="N45" i="8"/>
  <c r="O44" i="8"/>
  <c r="N44" i="8"/>
  <c r="O41" i="8"/>
  <c r="N41" i="8"/>
  <c r="O40" i="8"/>
  <c r="N40" i="8"/>
  <c r="O39" i="8"/>
  <c r="N39" i="8"/>
  <c r="O38" i="8"/>
  <c r="N38" i="8"/>
  <c r="O37" i="8"/>
  <c r="N37" i="8"/>
  <c r="O36" i="8"/>
  <c r="N36" i="8"/>
  <c r="O35" i="8"/>
  <c r="N35" i="8"/>
  <c r="O189" i="8"/>
  <c r="N189" i="8"/>
  <c r="O188" i="8"/>
  <c r="N188" i="8"/>
  <c r="O186" i="8"/>
  <c r="N186" i="8"/>
  <c r="N185" i="8"/>
  <c r="N187" i="8"/>
  <c r="O249" i="8"/>
  <c r="N249" i="8"/>
  <c r="O247" i="8"/>
  <c r="N247" i="8"/>
  <c r="O244" i="8"/>
  <c r="N244" i="8"/>
  <c r="O138" i="8"/>
  <c r="N138" i="8"/>
  <c r="O134" i="8"/>
  <c r="N134" i="8"/>
  <c r="O132" i="8"/>
  <c r="N132" i="8"/>
  <c r="O124" i="8"/>
  <c r="N124" i="8"/>
  <c r="O232" i="8"/>
  <c r="N232" i="8"/>
  <c r="O231" i="8"/>
  <c r="N231" i="8"/>
  <c r="O230" i="8"/>
  <c r="N230" i="8"/>
  <c r="O229" i="8"/>
  <c r="N229" i="8"/>
  <c r="O227" i="8"/>
  <c r="N227" i="8"/>
  <c r="O226" i="8"/>
  <c r="N226" i="8"/>
  <c r="O225" i="8"/>
  <c r="N225" i="8"/>
  <c r="O223" i="8"/>
  <c r="N223" i="8"/>
  <c r="O222" i="8"/>
  <c r="N222" i="8"/>
  <c r="O220" i="8"/>
  <c r="N220" i="8"/>
  <c r="O218" i="8"/>
  <c r="N218" i="8"/>
  <c r="O216" i="8"/>
  <c r="N216" i="8"/>
  <c r="O214" i="8"/>
  <c r="N214" i="8"/>
  <c r="O212" i="8"/>
  <c r="N212" i="8"/>
  <c r="O211" i="8"/>
  <c r="N211" i="8"/>
  <c r="O210" i="8"/>
  <c r="N210" i="8"/>
  <c r="O112" i="8"/>
  <c r="N112" i="8"/>
  <c r="O110" i="8"/>
  <c r="N110" i="8"/>
  <c r="O206" i="8"/>
  <c r="N206" i="8"/>
  <c r="O204" i="8"/>
  <c r="N204" i="8"/>
  <c r="O202" i="8"/>
  <c r="N202" i="8"/>
  <c r="O200" i="8"/>
  <c r="N200" i="8"/>
  <c r="O198" i="8"/>
  <c r="N198" i="8"/>
  <c r="O196" i="8"/>
  <c r="N196" i="8"/>
  <c r="O194" i="8"/>
  <c r="N194" i="8"/>
  <c r="O192" i="8"/>
  <c r="N192" i="8"/>
  <c r="O190" i="8"/>
  <c r="N190" i="8"/>
  <c r="O98" i="8"/>
  <c r="N98" i="8"/>
  <c r="O82" i="8"/>
  <c r="N82" i="8"/>
  <c r="O77" i="8"/>
  <c r="N77" i="8"/>
  <c r="O72" i="8"/>
  <c r="N72" i="8"/>
  <c r="O61" i="8"/>
  <c r="N61" i="8"/>
  <c r="O50" i="8"/>
  <c r="N50" i="8"/>
  <c r="H5" i="8" l="1"/>
  <c r="O187" i="8"/>
  <c r="O185" i="8"/>
  <c r="O34" i="8"/>
  <c r="N34" i="8"/>
  <c r="O33" i="8"/>
  <c r="G5" i="8" s="1"/>
  <c r="N33" i="8"/>
  <c r="D8" i="8" l="1"/>
  <c r="E8" i="8" s="1"/>
  <c r="D4" i="8"/>
  <c r="E4" i="8" s="1"/>
  <c r="D6" i="8"/>
  <c r="E6" i="8" s="1"/>
  <c r="D5" i="8"/>
  <c r="E5" i="8" s="1"/>
  <c r="D7" i="8"/>
  <c r="E7" i="8" s="1"/>
  <c r="E9" i="8" l="1"/>
</calcChain>
</file>

<file path=xl/sharedStrings.xml><?xml version="1.0" encoding="utf-8"?>
<sst xmlns="http://schemas.openxmlformats.org/spreadsheetml/2006/main" count="2007" uniqueCount="704">
  <si>
    <t>Campaign</t>
  </si>
  <si>
    <t>Site (DCM)</t>
  </si>
  <si>
    <t>Placement</t>
  </si>
  <si>
    <t>Placement ID</t>
  </si>
  <si>
    <t>Ad Type</t>
  </si>
  <si>
    <t>Ad</t>
  </si>
  <si>
    <t>Ad ID</t>
  </si>
  <si>
    <t>Creative Type</t>
  </si>
  <si>
    <t>Impressions</t>
  </si>
  <si>
    <t>Clicks</t>
  </si>
  <si>
    <t>Dynamic Click</t>
  </si>
  <si>
    <t>Default</t>
  </si>
  <si>
    <t>Standard</t>
  </si>
  <si>
    <t>Ferramenta</t>
  </si>
  <si>
    <t>Adops</t>
  </si>
  <si>
    <t>Total Ferramenta</t>
  </si>
  <si>
    <t>Total AdOps</t>
  </si>
  <si>
    <t>Tipo</t>
  </si>
  <si>
    <t>Quantidade</t>
  </si>
  <si>
    <t>Total</t>
  </si>
  <si>
    <t>Valor</t>
  </si>
  <si>
    <t>a.</t>
  </si>
  <si>
    <t>DCO</t>
  </si>
  <si>
    <t>Tracking</t>
  </si>
  <si>
    <t>Total R$</t>
  </si>
  <si>
    <t>PG ALMAP</t>
  </si>
  <si>
    <t>PG CM</t>
  </si>
  <si>
    <t>Display</t>
  </si>
  <si>
    <t>Receita Almap</t>
  </si>
  <si>
    <t>In-Stream Video</t>
  </si>
  <si>
    <t>300x250 Default Web Ad</t>
  </si>
  <si>
    <t>728x90 Default Web Ad</t>
  </si>
  <si>
    <t>Rótulos de Linha</t>
  </si>
  <si>
    <t>Total Geral</t>
  </si>
  <si>
    <t>Soma de Total Ferramenta</t>
  </si>
  <si>
    <t>Soma de Total AdOps</t>
  </si>
  <si>
    <t>320x50 Default Web Ad</t>
  </si>
  <si>
    <t>970x250 Default Web Ad</t>
  </si>
  <si>
    <t>320x100 Default Web Ad</t>
  </si>
  <si>
    <t>Connected  Interactive</t>
  </si>
  <si>
    <t>almap_lg_ha-purificado-puricare-360_awareness_alcance_connected-interative_ros_video_cpm_na_na_all_int_as-30-50_purificador_video_16:9_video-30_purificador__id-2020000327</t>
  </si>
  <si>
    <t>297552437</t>
  </si>
  <si>
    <t>490574171</t>
  </si>
  <si>
    <t>almap_lg_ha-purificado-puricare-360_consideracao_trafego_connected-interative_ros_display_cpm_na_na_all_int_as-25-44_purificador_animado_300x250_retangulo_purificador__id-2020000616</t>
  </si>
  <si>
    <t>298452098</t>
  </si>
  <si>
    <t>491705953</t>
  </si>
  <si>
    <t>almap_lg_ha-purificado-puricare-360_consideracao_trafego_connected-interative_ros_display_cpm_na_na_all_int_as-25-44_purificador_animado_300x600_half-banner_purificador__id-2020000617</t>
  </si>
  <si>
    <t>298560504</t>
  </si>
  <si>
    <t>491768358</t>
  </si>
  <si>
    <t>almap_lg_ha-purificado-puricare-360_consideracao_trafego_connected-interative_ros_display_cpm_na_na_all_int_as-25-44_purificador_imagem_728x90_banner_purificador-familia__id-2020000506</t>
  </si>
  <si>
    <t>297985941</t>
  </si>
  <si>
    <t>490896497</t>
  </si>
  <si>
    <t>almap_lg_ha-purificado-puricare-360_consideracao_trafego_connected-interative_ros_display_cpm_na_na_all_int_as-25-44_purificador_imagem_970x250_banner_purificador-familia__id-2020000507</t>
  </si>
  <si>
    <t>297877160</t>
  </si>
  <si>
    <t>490895687</t>
  </si>
  <si>
    <t>DBM ALMAP BBDO Brasil 971065410-LG</t>
  </si>
  <si>
    <t>almap_lg_ha-purificado-puricare-360_awareness_alcance_dv360_ros_display_cpm_na_na_all_int_as-25-44_purificador_animado_300x250_retangulo_purificador__id-2020000618</t>
  </si>
  <si>
    <t>298678786</t>
  </si>
  <si>
    <t>491430551</t>
  </si>
  <si>
    <t>almap_lg_ha-purificado-puricare-360_awareness_alcance_dv360_ros_display_cpm_na_na_all_int_as-25-44_purificador_animado_300x600_half-banner_purificador__id-2020000619</t>
  </si>
  <si>
    <t>298452503</t>
  </si>
  <si>
    <t>491706037</t>
  </si>
  <si>
    <t>almap_lg_ha-purificado-puricare-360_awareness_alcance_dv360_ros_display_cpm_na_na_all_int_as-25-44_purificador_imagem_728x90_banner_purificador-familia__id-2020000504</t>
  </si>
  <si>
    <t>297877127</t>
  </si>
  <si>
    <t>490896491</t>
  </si>
  <si>
    <t>almap_lg_ha-purificado-puricare-360_awareness_alcance_dv360_ros_display_cpm_na_na_all_int_as-25-44_purificador_imagem_970x250_banner_purificador-familia__id-2020000505</t>
  </si>
  <si>
    <t>297876140</t>
  </si>
  <si>
    <t>490895678</t>
  </si>
  <si>
    <t>SeedTag</t>
  </si>
  <si>
    <t>almap_lg_ha-purificado-puricare-360_consideracao_trafego_seedtag_ros_display_cpm_na_na_all_int_as-25-44_purificador_animado_810x560_ful-imagem-video_purificador__id-2020000567</t>
  </si>
  <si>
    <t>298389687</t>
  </si>
  <si>
    <t>491599062</t>
  </si>
  <si>
    <t>almap_lg_ha-purificado-puricare-360_consideracao_trafego_seedtag_ros_display_cpm_na_na_all_int_as-25-44_purificador_animado_810x560_full-imagem-display_purificador__id-2020000566</t>
  </si>
  <si>
    <t>298499527</t>
  </si>
  <si>
    <t>491599044</t>
  </si>
  <si>
    <t>[Display] Verizon Media</t>
  </si>
  <si>
    <t>almap_lg_av-fone-tone-free_consideracao_trafego_verizon_ros_native_cpc_na_na_all_int_as-25-44_esporte_imagem_1200x627_native_generico__id-2020000551</t>
  </si>
  <si>
    <t>298386636</t>
  </si>
  <si>
    <t>491259125</t>
  </si>
  <si>
    <t>almap_lg_av-fone-tone-free_consideracao_trafego_verizon_ros_native_cpc_na_na_all_int_as-25-44_games_imagem_1200x627_native_generico__id-2020000550</t>
  </si>
  <si>
    <t>298386600</t>
  </si>
  <si>
    <t>491594547</t>
  </si>
  <si>
    <t>almap_lg_av-fone-tone-free_consideracao_trafego_verizon_ros_native_cpc_na_na_all_int_as-25-44_runners_imagem_1200x627_native_generico__id-2020000552</t>
  </si>
  <si>
    <t>298386078</t>
  </si>
  <si>
    <t>491259134</t>
  </si>
  <si>
    <t>almap_lg_he-nanocell-cores-puras_awareness_alcance_verizon_ros_display_cpm_na_na_all_int_as-25-44_centro-oeste_animado_728x90_super-banner_onca__id-2020000609</t>
  </si>
  <si>
    <t>298525038</t>
  </si>
  <si>
    <t>491733525</t>
  </si>
  <si>
    <t>almap_lg_he-nanocell-cores-puras_awareness_alcance_verizon_ros_display_cpm_na_na_all_int_as-25-44_centro-oeste_animado_970x250_billboard_onca__id-2020000612</t>
  </si>
  <si>
    <t>298411085</t>
  </si>
  <si>
    <t>491732409</t>
  </si>
  <si>
    <t>almap_lg_he-nanocell-cores-puras_awareness_alcance_verizon_ros_display_cpm_na_na_all_int_as-25-44_nordeste_animado_728x90_super-banner_pelourinho__id-2020000610</t>
  </si>
  <si>
    <t>298411073</t>
  </si>
  <si>
    <t>491398091</t>
  </si>
  <si>
    <t>almap_lg_he-nanocell-cores-puras_awareness_alcance_verizon_ros_display_cpm_na_na_all_int_as-25-44_nordeste_animado_970x250_billboard_pelourinho__id-2020000613</t>
  </si>
  <si>
    <t>298640839</t>
  </si>
  <si>
    <t>491398130</t>
  </si>
  <si>
    <t>almap_lg_he-nanocell-cores-puras_awareness_alcance_verizon_ros_display_cpm_na_na_all_int_as-25-44_sudeste_animado_970x250_billboard_rio__id-2020000611</t>
  </si>
  <si>
    <t>298525305</t>
  </si>
  <si>
    <t>491732397</t>
  </si>
  <si>
    <t>BR Uol</t>
  </si>
  <si>
    <t>almap_lg_he-nanocell-cores-puras_awareness_alcance_uol_ros_display_cpm_na_na_all_int_as-25-44_centro-oeste_animado_300x250_retangulo_branded-content__id-2020000626</t>
  </si>
  <si>
    <t>298515839</t>
  </si>
  <si>
    <t>491777377</t>
  </si>
  <si>
    <t>almap_lg_he-nanocell-cores-puras_awareness_alcance_uol_ros_display_cpm_na_na_all_int_as-25-44_sudeste_animado_970x250_billboard_branded-content__id-2020000631</t>
  </si>
  <si>
    <t>298515824</t>
  </si>
  <si>
    <t>491777362</t>
  </si>
  <si>
    <t>almap_lg_he-nanocell-cores-puras_consideracao_trafego_connected-interative_ros_display_cpm_na_na_all_int_as-25-44_arara_animado_250x250_quadrado_arara__id-2020000502</t>
  </si>
  <si>
    <t>298101610</t>
  </si>
  <si>
    <t>491225148</t>
  </si>
  <si>
    <t>almap_lg_he-nanocell-cores-puras_consideracao_trafego_connected-interative_ros_display_cpm_na_na_all_int_as-25-44_arara_animado_300x250_retangulo_arara__id-2020000312</t>
  </si>
  <si>
    <t>297712282</t>
  </si>
  <si>
    <t>490812309</t>
  </si>
  <si>
    <t>almap_lg_he-nanocell-cores-puras_consideracao_trafego_connected-interative_ros_display_cpm_na_na_all_int_as-25-44_arara_animado_300x600_half-banner_arara__id-2020000413</t>
  </si>
  <si>
    <t>297782885</t>
  </si>
  <si>
    <t>491058898</t>
  </si>
  <si>
    <t>almap_lg_he-nanocell-cores-puras_consideracao_trafego_connected-interative_ros_display_cpm_na_na_all_int_as-25-44_arara_animado_320x100_banner-mobile_arara__id-2020000415</t>
  </si>
  <si>
    <t>298014121</t>
  </si>
  <si>
    <t>491136669</t>
  </si>
  <si>
    <t>almap_lg_he-nanocell-cores-puras_consideracao_trafego_connected-interative_ros_display_cpm_na_na_all_int_as-25-44_arara_animado_320x50_banner-mobile-pequeno_arara__id-2020000414</t>
  </si>
  <si>
    <t>297871383</t>
  </si>
  <si>
    <t>491058904</t>
  </si>
  <si>
    <t>almap_lg_he-nanocell-cores-puras_consideracao_trafego_connected-interative_ros_display_cpm_na_na_all_int_as-25-44_arara_animado_728x90_super-banner_arara__id-2020000417</t>
  </si>
  <si>
    <t>297872355</t>
  </si>
  <si>
    <t>490801175</t>
  </si>
  <si>
    <t>almap_lg_he-nanocell-cores-puras_consideracao_trafego_connected-interative_ros_display_cpm_na_na_all_int_as-25-44_arara_animado_970x250_billboard_arara__id-2020000419</t>
  </si>
  <si>
    <t>297871413</t>
  </si>
  <si>
    <t>491136738</t>
  </si>
  <si>
    <t>almap_lg_he-nanocell-cores-puras_consideracao_trafego_connected-interative_ros_display_cpm_na_na_all_int_as-25-44_arara_animado_970x90_leadeboard_arara__id-2020000418</t>
  </si>
  <si>
    <t>297782453</t>
  </si>
  <si>
    <t>491058967</t>
  </si>
  <si>
    <t>almap_lg_he-nanocell-cores-puras_consideracao_trafego_connected-interative_ros_display_cpm_na_na_all_int_as-25-44_centro-oeste_animado_300x250_retangulo_onca__id-2020000575</t>
  </si>
  <si>
    <t>298504504</t>
  </si>
  <si>
    <t>491263826</t>
  </si>
  <si>
    <t>almap_lg_he-nanocell-cores-puras_consideracao_trafego_connected-interative_ros_display_cpm_na_na_all_int_as-25-44_centro-oeste_animado_728x90_super-banner_onca__id-2020000621</t>
  </si>
  <si>
    <t>298515857</t>
  </si>
  <si>
    <t>491777395</t>
  </si>
  <si>
    <t>almap_lg_he-nanocell-cores-puras_consideracao_trafego_connected-interative_ros_display_cpm_na_na_all_int_as-25-44_centro-oeste_animado_970x250_billboard_onca__id-2020000620</t>
  </si>
  <si>
    <t>298515863</t>
  </si>
  <si>
    <t>491777401</t>
  </si>
  <si>
    <t>almap_lg_he-nanocell-cores-puras_consideracao_trafego_connected-interative_ros_display_cpm_na_na_all_int_as-25-44_nordeste_animado_300x250_retangulo_pelourinho__id-2020000576</t>
  </si>
  <si>
    <t>298504381</t>
  </si>
  <si>
    <t>491601822</t>
  </si>
  <si>
    <t>almap_lg_he-nanocell-cores-puras_consideracao_trafego_connected-interative_ros_display_cpm_na_na_all_int_as-25-44_nordeste_animado_728x90_super-banner_pelourinho__id-2020000625</t>
  </si>
  <si>
    <t>298515842</t>
  </si>
  <si>
    <t>491777380</t>
  </si>
  <si>
    <t>almap_lg_he-nanocell-cores-puras_consideracao_trafego_connected-interative_ros_display_cpm_na_na_all_int_as-25-44_nordeste_animado_970x250_billboard_pelourinho__id-2020000624</t>
  </si>
  <si>
    <t>298515845</t>
  </si>
  <si>
    <t>491777383</t>
  </si>
  <si>
    <t>almap_lg_he-nanocell-cores-puras_consideracao_trafego_connected-interative_ros_display_cpm_na_na_all_int_as-25-44_sudeste_animado_300x250_retangulo_rio__id-2020000577</t>
  </si>
  <si>
    <t>298278359</t>
  </si>
  <si>
    <t>491601831</t>
  </si>
  <si>
    <t>almap_lg_he-nanocell-cores-puras_consideracao_trafego_connected-interative_ros_display_cpm_na_na_all_int_as-25-44_sudeste_animado_728x90_super-banner_rio__id-2020000623</t>
  </si>
  <si>
    <t>298515848</t>
  </si>
  <si>
    <t>491777386</t>
  </si>
  <si>
    <t>almap_lg_he-nanocell-cores-puras_consideracao_trafego_connected-interative_ros_display_cpm_na_na_all_int_as-25-44_sudeste_animado_970x250_billboard_rio__id-2020000622</t>
  </si>
  <si>
    <t>298515851</t>
  </si>
  <si>
    <t>491777389</t>
  </si>
  <si>
    <t>ROIx</t>
  </si>
  <si>
    <t>almap_lg_he-nanocell-cores-puras_consideracao_trafego_roix_ros_display_cpm_na_na_all_int_as-25-44_arara_animado_300x250_retangulo_arara__id-2020000310</t>
  </si>
  <si>
    <t>297712816</t>
  </si>
  <si>
    <t>490496981</t>
  </si>
  <si>
    <t>almap_lg_he-nanocell-cores-puras_consideracao_trafego_roix_ros_display_cpm_na_na_all_int_as-25-44_arara_animado_300x600_half-banner_arara__id-2020000408</t>
  </si>
  <si>
    <t>297870801</t>
  </si>
  <si>
    <t>491057557</t>
  </si>
  <si>
    <t>almap_lg_he-nanocell-cores-puras_consideracao_trafego_roix_ros_display_cpm_na_na_all_int_as-25-44_arara_animado_320x100_banner-mobile_arara__id-2020000411</t>
  </si>
  <si>
    <t>298013764</t>
  </si>
  <si>
    <t>491132070</t>
  </si>
  <si>
    <t>almap_lg_he-nanocell-cores-puras_consideracao_trafego_roix_ros_display_cpm_na_na_all_int_as-25-44_arara_animado_320x50_banner-mobile-pequeno_arara__id-2020000412</t>
  </si>
  <si>
    <t>297782414</t>
  </si>
  <si>
    <t>490698452</t>
  </si>
  <si>
    <t>490800317</t>
  </si>
  <si>
    <t>almap_lg_he-nanocell-cores-puras_consideracao_trafego_roix_ros_display_cpm_na_na_all_int_as-25-44_arara_animado_728x90_super-banner_arara__id-2020000410</t>
  </si>
  <si>
    <t>298013749</t>
  </si>
  <si>
    <t>491055220</t>
  </si>
  <si>
    <t>almap_lg_he-nanocell-cores-puras_consideracao_trafego_roix_ros_display_cpm_na_na_all_int_as-25-44_centro-oeste_animado_300x250_retangulo_onca__id-2020000572</t>
  </si>
  <si>
    <t>298504333</t>
  </si>
  <si>
    <t>491603640</t>
  </si>
  <si>
    <t>almap_lg_he-nanocell-cores-puras_consideracao_trafego_roix_ros_display_cpm_na_na_all_int_as-25-44_nordeste_animado_300x250_retangulo_pelourinho__id-2020000573</t>
  </si>
  <si>
    <t>298504336</t>
  </si>
  <si>
    <t>491264201</t>
  </si>
  <si>
    <t>almap_lg_he-nanocell-cores-puras_consideracao_trafego_roix_ros_display_cpm_na_na_all_int_as-25-44_sudeste_animado_300x250_retangulo_rio__id-2020000574</t>
  </si>
  <si>
    <t>298278980</t>
  </si>
  <si>
    <t>491264204</t>
  </si>
  <si>
    <t>almap_lg_he-nanocell-cores-puras_consideracao_trafego_seedtag_ros_display_cpm_na_na_all_int_as-25-44_arara_animado_810x560_full-imagem-display_arara__id-2020000508</t>
  </si>
  <si>
    <t>298202917</t>
  </si>
  <si>
    <t>491309127</t>
  </si>
  <si>
    <t>almap_lg_he-nanocell-cores-puras_consideracao_trafego_seedtag_ros_display_cpm_na_na_all_int_as-25-44_arara_animado_810x560_glow_arara__id-2020000509</t>
  </si>
  <si>
    <t>298204774</t>
  </si>
  <si>
    <t>491309136</t>
  </si>
  <si>
    <t>almap_lg_he-nanocell-cores-puras_awareness_alcance_verizon_ros_display_cpm_na_na_all_int_as-25-44_arara_animado_300x250_retangulo_arara__id-2020000308</t>
  </si>
  <si>
    <t>297710656</t>
  </si>
  <si>
    <t>490592748</t>
  </si>
  <si>
    <t>490496180</t>
  </si>
  <si>
    <t>almap_lg_he-nanocell-cores-puras_awareness_alcance_verizon_ros_display_cpm_na_na_all_int_as-25-44_arara_animado_300x600_half-banner_arara-verizon__id-2020000541</t>
  </si>
  <si>
    <t>298227461</t>
  </si>
  <si>
    <t>491212208</t>
  </si>
  <si>
    <t>almap_lg_he-nanocell-cores-puras_awareness_alcance_verizon_ros_display_cpm_na_na_all_int_as-25-44_arara_animado_300x600_half-banner_arara__id-2020000400</t>
  </si>
  <si>
    <t>297871830</t>
  </si>
  <si>
    <t>491134620</t>
  </si>
  <si>
    <t>almap_lg_he-nanocell-cores-puras_awareness_alcance_verizon_ros_display_cpm_na_na_all_int_as-25-44_arara_animado_320x50_banner-mobile-pequeno_arara__id-2020000407</t>
  </si>
  <si>
    <t>297870795</t>
  </si>
  <si>
    <t>491134647</t>
  </si>
  <si>
    <t>almap_lg_he-nanocell-cores-puras_awareness_alcance_verizon_ros_display_cpm_na_na_all_int_as-25-44_arara_animado_728x90_super-banner_arara__id-2020000404</t>
  </si>
  <si>
    <t>297782333</t>
  </si>
  <si>
    <t>491057527</t>
  </si>
  <si>
    <t>almap_lg_he-nanocell-cores-puras_awareness_alcance_verizon_ros_display_cpm_na_na_all_int_as-25-44_arara_animado_970x250_billboard_arara-verizon__id-2020000542</t>
  </si>
  <si>
    <t>298221155</t>
  </si>
  <si>
    <t>491212232</t>
  </si>
  <si>
    <t>almap_lg_he-nanocell-cores-puras_awareness_alcance_verizon_ros_display_cpm_na_na_all_int_as-25-44_arara_animado_970x250_billboard_arara__id-2020000406</t>
  </si>
  <si>
    <t>297871311</t>
  </si>
  <si>
    <t>491055544</t>
  </si>
  <si>
    <t>almap_lg_he-nanocell-cores-puras_awareness_alcance_verizon_ros_display_cpm_na_na_all_int_as-25-44_centro-oeste_animado_300x250_retangulo_onca__id-2020000569</t>
  </si>
  <si>
    <t>298395069</t>
  </si>
  <si>
    <t>491535661</t>
  </si>
  <si>
    <t>almap_lg_he-nanocell-cores-puras_awareness_alcance_verizon_ros_display_cpm_na_na_all_int_as-25-44_nordeste_animado_300x250_retangulo_pelourinho__id-2020000570</t>
  </si>
  <si>
    <t>298504474</t>
  </si>
  <si>
    <t>491535664</t>
  </si>
  <si>
    <t>almap_lg_he-nanocell-cores-puras_awareness_alcance_verizon_ros_display_cpm_na_na_all_int_as-25-44_sudeste_animado_300x250_retangulo_rio__id-2020000571</t>
  </si>
  <si>
    <t>298278665</t>
  </si>
  <si>
    <t>491534911</t>
  </si>
  <si>
    <t>almap_lg_he-nanocell-cores-puras_awareness_alcance_verizon_ros_display_cpm_na_na_all_int_as-25-44_sudeste_animado_728x90_super-banner_rio__id-2020000614</t>
  </si>
  <si>
    <t>298675669</t>
  </si>
  <si>
    <t>491699005</t>
  </si>
  <si>
    <t>almap_lg_he-nanocell-cores-puras_consideracao_trafego_verizon_ros_display_cpm_na_na_all_int_as-25-44_arara_animado_320x50_banner-mobile-pequeno_arara__id-2020000503</t>
  </si>
  <si>
    <t>297980340</t>
  </si>
  <si>
    <t>491226516</t>
  </si>
  <si>
    <t>almap_lg_he-oled-tv-digital_consideracao_trafego_connected-interative_ros_display_cpm_na_na_all_int_as-25-44_cinema_animado_120x600_sky_cinema__id-2020000463</t>
  </si>
  <si>
    <t>297845465</t>
  </si>
  <si>
    <t>491124787</t>
  </si>
  <si>
    <t>almap_lg_he-oled-tv-digital_consideracao_trafego_connected-interative_ros_display_cpm_na_na_all_int_as-25-44_cinema_animado_160x600_banner_cinema__id-2020000464</t>
  </si>
  <si>
    <t>297845462</t>
  </si>
  <si>
    <t>491124784</t>
  </si>
  <si>
    <t>almap_lg_he-oled-tv-digital_consideracao_trafego_connected-interative_ros_display_cpm_na_na_all_int_as-25-44_cinema_animado_250x250_quadrado_cinema__id-2020000465</t>
  </si>
  <si>
    <t>297845459</t>
  </si>
  <si>
    <t>491124781</t>
  </si>
  <si>
    <t>almap_lg_he-oled-tv-digital_consideracao_trafego_connected-interative_ros_display_cpm_na_na_all_int_as-25-44_cinema_animado_300x250_retangulo_cinema__id-2020000314</t>
  </si>
  <si>
    <t>297714214</t>
  </si>
  <si>
    <t>490497128</t>
  </si>
  <si>
    <t>almap_lg_he-oled-tv-digital_consideracao_trafego_connected-interative_ros_display_cpm_na_na_all_int_as-25-44_cinema_animado_300x600_half-banner_cinema__id-2020000466</t>
  </si>
  <si>
    <t>297845456</t>
  </si>
  <si>
    <t>491124778</t>
  </si>
  <si>
    <t>almap_lg_he-oled-tv-digital_consideracao_trafego_connected-interative_ros_display_cpm_na_na_all_int_as-25-44_cinema_animado_320x100_banner-mobile_cinema__id-2020000467</t>
  </si>
  <si>
    <t>297845453</t>
  </si>
  <si>
    <t>491124775</t>
  </si>
  <si>
    <t>almap_lg_he-oled-tv-digital_consideracao_trafego_connected-interative_ros_display_cpm_na_na_all_int_as-25-44_cinema_animado_728x90_super-banner_cinema__id-2020000470</t>
  </si>
  <si>
    <t>297845447</t>
  </si>
  <si>
    <t>491124769</t>
  </si>
  <si>
    <t>almap_lg_he-oled-tv-digital_consideracao_trafego_connected-interative_ros_display_cpm_na_na_all_int_as-25-44_cinema_animado_970x250_billboard_cinema__id-2020000472</t>
  </si>
  <si>
    <t>297845441</t>
  </si>
  <si>
    <t>491124763</t>
  </si>
  <si>
    <t>almap_lg_he-oled-tv-digital_consideracao_trafego_connected-interative_ros_display_cpm_na_na_all_int_as-25-44_cinema_animado_970x90_leadeboard_cinema__id-2020000471</t>
  </si>
  <si>
    <t>297845444</t>
  </si>
  <si>
    <t>491124766</t>
  </si>
  <si>
    <t>almap_lg_he-oled-tv-digital_consideracao_trafego_connected-interative_ros_display_cpm_na_na_all_int_as-25-44_design_animado_120x600_sky_design__id-2020000491</t>
  </si>
  <si>
    <t>297845384</t>
  </si>
  <si>
    <t>491124706</t>
  </si>
  <si>
    <t>almap_lg_he-oled-tv-digital_consideracao_trafego_connected-interative_ros_display_cpm_na_na_all_int_as-25-44_design_animado_160x600_banner_design__id-2020000492</t>
  </si>
  <si>
    <t>297845381</t>
  </si>
  <si>
    <t>491124703</t>
  </si>
  <si>
    <t>almap_lg_he-oled-tv-digital_consideracao_trafego_connected-interative_ros_display_cpm_na_na_all_int_as-25-44_design_animado_300x250_retangulo_design__id-2020000315</t>
  </si>
  <si>
    <t>297714496</t>
  </si>
  <si>
    <t>490497149</t>
  </si>
  <si>
    <t>almap_lg_he-oled-tv-digital_consideracao_trafego_connected-interative_ros_display_cpm_na_na_all_int_as-25-44_design_animado_300x600_half-banner_design__id-2020000494</t>
  </si>
  <si>
    <t>297845378</t>
  </si>
  <si>
    <t>491124700</t>
  </si>
  <si>
    <t>almap_lg_he-oled-tv-digital_consideracao_trafego_connected-interative_ros_display_cpm_na_na_all_int_as-25-44_design_animado_320x100_banner-mobile_design__id-2020000495</t>
  </si>
  <si>
    <t>297845375</t>
  </si>
  <si>
    <t>491124697</t>
  </si>
  <si>
    <t>almap_lg_he-oled-tv-digital_consideracao_trafego_connected-interative_ros_display_cpm_na_na_all_int_as-25-44_design_animado_728x90_super-banner_design__id-2020000497</t>
  </si>
  <si>
    <t>297845372</t>
  </si>
  <si>
    <t>491124694</t>
  </si>
  <si>
    <t>almap_lg_he-oled-tv-digital_consideracao_trafego_connected-interative_ros_display_cpm_na_na_all_int_as-25-44_design_animado_970x250_billboard_design__id-2020000499</t>
  </si>
  <si>
    <t>297845366</t>
  </si>
  <si>
    <t>491124688</t>
  </si>
  <si>
    <t>almap_lg_he-oled-tv-digital_consideracao_trafego_connected-interative_ros_display_cpm_na_na_all_int_as-25-44_design_animado_970x90_leadeboard_design__id-2020000498</t>
  </si>
  <si>
    <t>297845369</t>
  </si>
  <si>
    <t>491124691</t>
  </si>
  <si>
    <t>almap_lg_he-oled-tv-digital_consideracao_trafego_connected-interative_ros_display_cpm_na_na_all_int_as-25-44_esporte_animado_120x600_sky_esporte__id-2020000473</t>
  </si>
  <si>
    <t>297845438</t>
  </si>
  <si>
    <t>491124760</t>
  </si>
  <si>
    <t>almap_lg_he-oled-tv-digital_consideracao_trafego_connected-interative_ros_display_cpm_na_na_all_int_as-25-44_esporte_animado_160x600_banner_esporte__id-2020000474</t>
  </si>
  <si>
    <t>297845435</t>
  </si>
  <si>
    <t>491124757</t>
  </si>
  <si>
    <t>almap_lg_he-oled-tv-digital_consideracao_trafego_connected-interative_ros_display_cpm_na_na_all_int_as-25-44_esporte_animado_250x250_quadrado_esporte__id-2020000475</t>
  </si>
  <si>
    <t>297845432</t>
  </si>
  <si>
    <t>491124754</t>
  </si>
  <si>
    <t>almap_lg_he-oled-tv-digital_consideracao_trafego_connected-interative_ros_display_cpm_na_na_all_int_as-25-44_esporte_animado_300x250_retangulo_esporte__id-2020000316</t>
  </si>
  <si>
    <t>297551625</t>
  </si>
  <si>
    <t>490810500</t>
  </si>
  <si>
    <t>almap_lg_he-oled-tv-digital_consideracao_trafego_connected-interative_ros_display_cpm_na_na_all_int_as-25-44_esporte_animado_300x600_half-banner_esporte__id-2020000476</t>
  </si>
  <si>
    <t>297845429</t>
  </si>
  <si>
    <t>491124751</t>
  </si>
  <si>
    <t>almap_lg_he-oled-tv-digital_consideracao_trafego_connected-interative_ros_display_cpm_na_na_all_int_as-25-44_esporte_animado_320x100_banner-mobile_esporte__id-2020000477</t>
  </si>
  <si>
    <t>297845426</t>
  </si>
  <si>
    <t>491124748</t>
  </si>
  <si>
    <t>almap_lg_he-oled-tv-digital_consideracao_trafego_connected-interative_ros_display_cpm_na_na_all_int_as-25-44_esporte_animado_728x90_super-banner_esporte__id-2020000479</t>
  </si>
  <si>
    <t>297845420</t>
  </si>
  <si>
    <t>491124742</t>
  </si>
  <si>
    <t>almap_lg_he-oled-tv-digital_consideracao_trafego_connected-interative_ros_display_cpm_na_na_all_int_as-25-44_esporte_animado_970x250_billboard_esporte__id-2020000481</t>
  </si>
  <si>
    <t>297845414</t>
  </si>
  <si>
    <t>491124736</t>
  </si>
  <si>
    <t>almap_lg_he-oled-tv-digital_consideracao_trafego_connected-interative_ros_display_cpm_na_na_all_int_as-25-44_esporte_animado_970x90_leadeboard_esporte__id-2020000480</t>
  </si>
  <si>
    <t>297845417</t>
  </si>
  <si>
    <t>491124739</t>
  </si>
  <si>
    <t>almap_lg_he-oled-tv-digital_consideracao_trafego_connected-interative_ros_display_cpm_na_na_all_int_as-25-44_game_animado_120x600_sky_game__id-2020000482</t>
  </si>
  <si>
    <t>297845411</t>
  </si>
  <si>
    <t>491124733</t>
  </si>
  <si>
    <t>almap_lg_he-oled-tv-digital_consideracao_trafego_connected-interative_ros_display_cpm_na_na_all_int_as-25-44_game_animado_160x600_banner_game__id-2020000483</t>
  </si>
  <si>
    <t>297845408</t>
  </si>
  <si>
    <t>491124730</t>
  </si>
  <si>
    <t>almap_lg_he-oled-tv-digital_consideracao_trafego_connected-interative_ros_display_cpm_na_na_all_int_as-25-44_game_animado_250x250_quadrado_game__id-2020000484</t>
  </si>
  <si>
    <t>297845405</t>
  </si>
  <si>
    <t>491124727</t>
  </si>
  <si>
    <t>almap_lg_he-oled-tv-digital_consideracao_trafego_connected-interative_ros_display_cpm_na_na_all_int_as-25-44_game_animado_300x600_half-banner_game__id-2020000485</t>
  </si>
  <si>
    <t>297845402</t>
  </si>
  <si>
    <t>491124724</t>
  </si>
  <si>
    <t>almap_lg_he-oled-tv-digital_consideracao_trafego_connected-interative_ros_display_cpm_na_na_all_int_as-25-44_game_animado_320x100_banner-mobile_game__id-2020000486</t>
  </si>
  <si>
    <t>297845399</t>
  </si>
  <si>
    <t>491124721</t>
  </si>
  <si>
    <t>almap_lg_he-oled-tv-digital_consideracao_trafego_connected-interative_ros_display_cpm_na_na_all_int_as-25-44_game_animado_728x90_super-banner_game__id-2020000488</t>
  </si>
  <si>
    <t>297845393</t>
  </si>
  <si>
    <t>491124715</t>
  </si>
  <si>
    <t>almap_lg_he-oled-tv-digital_consideracao_trafego_connected-interative_ros_display_cpm_na_na_all_int_as-25-44_game_animado_970x250_billboard_game__id-2020000490</t>
  </si>
  <si>
    <t>297845387</t>
  </si>
  <si>
    <t>491124709</t>
  </si>
  <si>
    <t>almap_lg_he-oled-tv-digital_consideracao_trafego_connected-interative_ros_display_cpm_na_na_all_int_as-25-44_game_animado_970x90_leadeboard_game__id-2020000489</t>
  </si>
  <si>
    <t>297845390</t>
  </si>
  <si>
    <t>491124712</t>
  </si>
  <si>
    <t>almap_lg_he-oled-tv-digital_consideracao_trafego_connected-interative_ros_display_cpm_na_na_all_int_as-25-44_games_animado_300x250_retangulo_games__id-2020000317</t>
  </si>
  <si>
    <t>297714235</t>
  </si>
  <si>
    <t>490810506</t>
  </si>
  <si>
    <t>almap_lg_he-oled-tv-digital_consideracao_trafego_connected-interative_ros_video_cpview_na_na_all_int_as-25-44_cinema_video_16:9_video-50_cinema__id-2020000546</t>
  </si>
  <si>
    <t>298372533</t>
  </si>
  <si>
    <t>491516476</t>
  </si>
  <si>
    <t>almap_lg_he-oled-tv-digital_consideracao_trafego_connected-interative_ros_video_cpview_na_na_all_int_as-25-44_design_video_16:9_video-40_design__id-2020000545</t>
  </si>
  <si>
    <t>298372239</t>
  </si>
  <si>
    <t>491578818</t>
  </si>
  <si>
    <t>almap_lg_he-oled-tv-digital_consideracao_trafego_connected-interative_ros_video_cpview_na_na_all_int_as-25-44_esportes_video_16:9_video-60_esportes__id-2020000544</t>
  </si>
  <si>
    <t>298373511</t>
  </si>
  <si>
    <t>491246687</t>
  </si>
  <si>
    <t>almap_lg_he-oled-tv-digital_consideracao_trafego_connected-interative_ros_video_cpview_na_na_all_int_as-25-44_games_video_16:9_video-60_games__id-2020000543</t>
  </si>
  <si>
    <t>298371987</t>
  </si>
  <si>
    <t>491249768</t>
  </si>
  <si>
    <t>almap_lg_he-oled-tv-digital_awareness_alcance_dv360_ros_display_cpm_na_na_all_int_as-25-44_generico_animado_120x600_sky_generico__id-2020000437</t>
  </si>
  <si>
    <t>298070053</t>
  </si>
  <si>
    <t>120x600 Default Web Ad</t>
  </si>
  <si>
    <t>490701728</t>
  </si>
  <si>
    <t>491110357</t>
  </si>
  <si>
    <t>almap_lg_he-oled-tv-digital_awareness_alcance_dv360_ros_display_cpm_na_na_all_int_as-25-44_generico_animado_160x600_banner_generico__id-2020000438</t>
  </si>
  <si>
    <t>298070050</t>
  </si>
  <si>
    <t>160x600 Default Web Ad</t>
  </si>
  <si>
    <t>490698443</t>
  </si>
  <si>
    <t>491110354</t>
  </si>
  <si>
    <t>almap_lg_he-oled-tv-digital_awareness_alcance_dv360_ros_display_cpm_na_na_all_int_as-25-44_generico_animado_250x250_quadrado_generico__id-2020000439</t>
  </si>
  <si>
    <t>298070047</t>
  </si>
  <si>
    <t>250x250 Default Web Ad</t>
  </si>
  <si>
    <t>490951822</t>
  </si>
  <si>
    <t>491110351</t>
  </si>
  <si>
    <t>almap_lg_he-oled-tv-digital_awareness_alcance_dv360_ros_display_cpm_na_na_all_int_as-25-44_generico_animado_300x250_retangulo_generico__id-2020000307</t>
  </si>
  <si>
    <t>297551607</t>
  </si>
  <si>
    <t>490811190</t>
  </si>
  <si>
    <t>almap_lg_he-oled-tv-digital_awareness_alcance_dv360_ros_display_cpm_na_na_all_int_as-25-44_generico_animado_300x600_half-banner_generico__id-2020000440</t>
  </si>
  <si>
    <t>298070044</t>
  </si>
  <si>
    <t>300x600 Default Web Ad</t>
  </si>
  <si>
    <t>490954987</t>
  </si>
  <si>
    <t>491110348</t>
  </si>
  <si>
    <t>almap_lg_he-oled-tv-digital_awareness_alcance_dv360_ros_display_cpm_na_na_all_int_as-25-44_generico_animado_320x100_banner-mobile_generico__id-2020000441</t>
  </si>
  <si>
    <t>298070041</t>
  </si>
  <si>
    <t>490700945</t>
  </si>
  <si>
    <t>491110345</t>
  </si>
  <si>
    <t>almap_lg_he-oled-tv-digital_awareness_alcance_dv360_ros_display_cpm_na_na_all_int_as-25-44_generico_animado_728x90_super-banner_generico__id-2020000444</t>
  </si>
  <si>
    <t>298070035</t>
  </si>
  <si>
    <t>491034501</t>
  </si>
  <si>
    <t>491110339</t>
  </si>
  <si>
    <t>almap_lg_he-oled-tv-digital_awareness_alcance_dv360_ros_display_cpm_na_na_all_int_as-25-44_generico_animado_970x250_billboard_generico__id-2020000446</t>
  </si>
  <si>
    <t>298070029</t>
  </si>
  <si>
    <t>490951828</t>
  </si>
  <si>
    <t>491110333</t>
  </si>
  <si>
    <t>almap_lg_he-oled-tv-digital_awareness_alcance_dv360_ros_display_cpm_na_na_all_int_as-25-44_generico_animado_970x90_leadeboard_generico__id-2020000445</t>
  </si>
  <si>
    <t>298070032</t>
  </si>
  <si>
    <t>970x90 Default Web Ad</t>
  </si>
  <si>
    <t>490701731</t>
  </si>
  <si>
    <t>491110336</t>
  </si>
  <si>
    <t>almap_lg_he-oled-tv-digital_awareness_alcance_roix_ros_video_cpview_na_na_all_int_as-25-44_generico_video_1:1_video-30_generico__id-2020000392</t>
  </si>
  <si>
    <t>297983536</t>
  </si>
  <si>
    <t>491026837</t>
  </si>
  <si>
    <t>almap_lg_he-oled-tv-digital_consideracao_trafego_roix_ros_display_cpm_na_na_all_int_as-25-44_cinema_animado_120x600_sky_cinema__id-2020000356</t>
  </si>
  <si>
    <t>297686570</t>
  </si>
  <si>
    <t>491037147</t>
  </si>
  <si>
    <t>almap_lg_he-oled-tv-digital_consideracao_trafego_roix_ros_display_cpm_na_na_all_int_as-25-44_cinema_animado_120x600_sky_cinema__id-2020000459</t>
  </si>
  <si>
    <t>297845477</t>
  </si>
  <si>
    <t>almap_lg_he-oled-tv-digital_consideracao_trafego_roix_ros_display_cpm_na_na_all_int_as-25-44_cinema_animado_160x600_banner_cinema__id-2020000357</t>
  </si>
  <si>
    <t>297686564</t>
  </si>
  <si>
    <t>almap_lg_he-oled-tv-digital_consideracao_trafego_roix_ros_display_cpm_na_na_all_int_as-25-44_cinema_animado_250x250_quadrado_cinema__id-2020000358</t>
  </si>
  <si>
    <t>297686558</t>
  </si>
  <si>
    <t>almap_lg_he-oled-tv-digital_consideracao_trafego_roix_ros_display_cpm_na_na_all_int_as-25-44_cinema_animado_300x250_retangulo_cinema__id-2020000318</t>
  </si>
  <si>
    <t>297714517</t>
  </si>
  <si>
    <t>490494959</t>
  </si>
  <si>
    <t>almap_lg_he-oled-tv-digital_consideracao_trafego_roix_ros_display_cpm_na_na_all_int_as-25-44_cinema_animado_300x600_half-banner_cinema__id-2020000360</t>
  </si>
  <si>
    <t>297903922</t>
  </si>
  <si>
    <t>491037129</t>
  </si>
  <si>
    <t>almap_lg_he-oled-tv-digital_consideracao_trafego_roix_ros_display_cpm_na_na_all_int_as-25-44_cinema_animado_320x100_banner-mobile_cinema__id-2020000361</t>
  </si>
  <si>
    <t>297903916</t>
  </si>
  <si>
    <t>491037123</t>
  </si>
  <si>
    <t>almap_lg_he-oled-tv-digital_consideracao_trafego_roix_ros_display_cpm_na_na_all_int_as-25-44_cinema_animado_320x50_banner-mobile-pequeno_cinema__id-2020000362</t>
  </si>
  <si>
    <t>297903913</t>
  </si>
  <si>
    <t>491037120</t>
  </si>
  <si>
    <t>almap_lg_he-oled-tv-digital_consideracao_trafego_roix_ros_display_cpm_na_na_all_int_as-25-44_cinema_animado_728x90_super-banner_cinema__id-2020000364</t>
  </si>
  <si>
    <t>297903907</t>
  </si>
  <si>
    <t>491037114</t>
  </si>
  <si>
    <t>almap_lg_he-oled-tv-digital_consideracao_trafego_roix_ros_display_cpm_na_na_all_int_as-25-44_cinema_animado_970x90_leadeboard_cinema__id-2020000366</t>
  </si>
  <si>
    <t>297903901</t>
  </si>
  <si>
    <t>almap_lg_he-oled-tv-digital_consideracao_trafego_roix_ros_display_cpm_na_na_all_int_as-25-44_design_animado_120x600_sky_design__id-2020000451</t>
  </si>
  <si>
    <t>297845501</t>
  </si>
  <si>
    <t>almap_lg_he-oled-tv-digital_consideracao_trafego_roix_ros_display_cpm_na_na_all_int_as-25-44_design_animado_300x250_retangulo_design__id-2020000319</t>
  </si>
  <si>
    <t>297550560</t>
  </si>
  <si>
    <t>490810521</t>
  </si>
  <si>
    <t>almap_lg_he-oled-tv-digital_consideracao_trafego_roix_ros_display_cpm_na_na_all_int_as-25-44_design_animado_300x600_half-banner_design__id-2020000452</t>
  </si>
  <si>
    <t>297845498</t>
  </si>
  <si>
    <t>almap_lg_he-oled-tv-digital_consideracao_trafego_roix_ros_display_cpm_na_na_all_int_as-25-44_design_animado_320x100_banner-mobile_design__id-2020000453</t>
  </si>
  <si>
    <t>297845495</t>
  </si>
  <si>
    <t>almap_lg_he-oled-tv-digital_consideracao_trafego_roix_ros_display_cpm_na_na_all_int_as-25-44_design_animado_728x90_super-banner_design__id-2020000454</t>
  </si>
  <si>
    <t>297845492</t>
  </si>
  <si>
    <t>almap_lg_he-oled-tv-digital_consideracao_trafego_roix_ros_display_cpm_na_na_all_int_as-25-44_esporte_animado_300x250_retangulo_esporte__id-2020000320</t>
  </si>
  <si>
    <t>297714556</t>
  </si>
  <si>
    <t>490494968</t>
  </si>
  <si>
    <t>almap_lg_he-oled-tv-digital_consideracao_trafego_roix_ros_display_cpm_na_na_all_int_as-25-44_esporte_animado_320x100_banner-mobile_esporte__id-2020000449</t>
  </si>
  <si>
    <t>297845507</t>
  </si>
  <si>
    <t>almap_lg_he-oled-tv-digital_consideracao_trafego_roix_ros_display_cpm_na_na_all_int_as-25-44_game_animado_120x600_sky_game__id-2020000455</t>
  </si>
  <si>
    <t>297845489</t>
  </si>
  <si>
    <t>almap_lg_he-oled-tv-digital_consideracao_trafego_roix_ros_display_cpm_na_na_all_int_as-25-44_game_animado_320x100_banner-mobile_game__id-2020000457</t>
  </si>
  <si>
    <t>297845483</t>
  </si>
  <si>
    <t>almap_lg_he-oled-tv-digital_consideracao_trafego_roix_ros_display_cpm_na_na_all_int_as-25-44_game_animado_728x90_super-banner_game__id-2020000458</t>
  </si>
  <si>
    <t>297845480</t>
  </si>
  <si>
    <t>almap_lg_he-oled-tv-digital_consideracao_trafego_roix_ros_display_cpm_na_na_all_int_as-25-44_games_animado_300x250_retangulo_games__id-2020000321</t>
  </si>
  <si>
    <t>297551667</t>
  </si>
  <si>
    <t>490496894</t>
  </si>
  <si>
    <t>almap_lg_he-oled-tv-digital_consideracao_trafego_seedtag_ros_display_cpm_na_na_all_int_as-25-44_games_animado_810x560_ful-imagem-video_generico__id-2020000332</t>
  </si>
  <si>
    <t>297578420</t>
  </si>
  <si>
    <t>490605575</t>
  </si>
  <si>
    <t>almap_lg_he-oled-tv-digital_consideracao_trafego_seedtag_ros_display_cpm_na_na_all_int_as-25-44_games_animado_810x560_full-imagem-display_generico__id-2020000330</t>
  </si>
  <si>
    <t>297656262</t>
  </si>
  <si>
    <t>490934091</t>
  </si>
  <si>
    <t>almap_lg_he-oled-tv-digital_consideracao_trafego_seedtag_ros_display_cpm_na_na_all_int_as-25-44_games_animado_810x560_glow_generico__id-2020000331</t>
  </si>
  <si>
    <t>297655398</t>
  </si>
  <si>
    <t>490932195</t>
  </si>
  <si>
    <t>almap_lg_he-oled-tv-digital_awareness_alcance_verizon_ros_display_cpm_na_na_all_int_as-25-44_generico_animado_160x600_banner_generico__id-2020000428</t>
  </si>
  <si>
    <t>298070026</t>
  </si>
  <si>
    <t>491110330</t>
  </si>
  <si>
    <t>almap_lg_he-oled-tv-digital_awareness_alcance_verizon_ros_display_cpm_na_na_all_int_as-25-44_generico_animado_300x250_retangulo_expansivel__id-2020000638</t>
  </si>
  <si>
    <t>298646930</t>
  </si>
  <si>
    <t>491954283</t>
  </si>
  <si>
    <t>almap_lg_he-oled-tv-digital_awareness_alcance_verizon_ros_display_cpm_na_na_all_int_as-25-44_generico_animado_300x250_retangulo_generico__id-2020000302</t>
  </si>
  <si>
    <t>297713671</t>
  </si>
  <si>
    <t>490810455</t>
  </si>
  <si>
    <t>almap_lg_he-oled-tv-digital_awareness_alcance_verizon_ros_display_cpm_na_na_all_int_as-25-44_generico_animado_300x600_half-banner_generico__id-2020000430</t>
  </si>
  <si>
    <t>298070023</t>
  </si>
  <si>
    <t>491110327</t>
  </si>
  <si>
    <t>almap_lg_he-oled-tv-digital_awareness_alcance_verizon_ros_display_cpm_na_na_all_int_as-25-44_generico_animado_728x90_super-banner_generico__id-2020000434</t>
  </si>
  <si>
    <t>298070020</t>
  </si>
  <si>
    <t>491110324</t>
  </si>
  <si>
    <t>almap_lg_he-oled-tv-digital_awareness_alcance_verizon_ros_display_cpm_na_na_all_int_as-25-44_generico_animado_970x250_billboard_generico__id-2020000436</t>
  </si>
  <si>
    <t>298070017</t>
  </si>
  <si>
    <t>491110321</t>
  </si>
  <si>
    <t>almap_lg_he-oled-tv-digital_awareness_alcance_verizon_ros_video_cpview_na_na_all_int_as-25-44_generico_video_1:1_video-30_generico__id-2020000382</t>
  </si>
  <si>
    <t>297688724</t>
  </si>
  <si>
    <t>490963159</t>
  </si>
  <si>
    <t>almap_lg_he-oled-tv-digital_consideracao_trafego_verizon_ros_native_cpc_na_na_all_int_as-25-44_cinema_imagem_627x627_native_cinema__id-2020000394</t>
  </si>
  <si>
    <t>297986005</t>
  </si>
  <si>
    <t>491030833</t>
  </si>
  <si>
    <t>almap_lg_he-oled-tv-digital_consideracao_trafego_verizon_ros_native_cpc_na_na_all_int_as-25-44_design_imagem_627x627_native_design__id-2020000397</t>
  </si>
  <si>
    <t>297752612</t>
  </si>
  <si>
    <t>491030881</t>
  </si>
  <si>
    <t>almap_lg_he-oled-tv-digital_consideracao_trafego_verizon_ros_native_cpc_na_na_all_int_as-25-44_esportes_imagem_627x627_native_esportes__id-2020000396</t>
  </si>
  <si>
    <t>297984940</t>
  </si>
  <si>
    <t>491028001</t>
  </si>
  <si>
    <t>almap_lg_he-oled-tv-digital_consideracao_trafego_verizon_ros_native_cpc_na_na_all_int_as-25-44_games_imagem_627x627_native_games__id-2020000395</t>
  </si>
  <si>
    <t>297751904</t>
  </si>
  <si>
    <t>490777037</t>
  </si>
  <si>
    <t>Warner Music</t>
  </si>
  <si>
    <t>almap_lg_av-fone-tone-free_awareness_video-views_warner-music_youtube_display_cpm_na_na_all_int_as-abc-25-44_healt-and-fitness-gaming-sports_imagem_300x60_bumper-ads_tone-free-clean_companion-banner-video-6seg_id-2020000605</t>
  </si>
  <si>
    <t>298579396</t>
  </si>
  <si>
    <t>491601961</t>
  </si>
  <si>
    <t>almap_lg_av-fone-tone-free_awareness_video-views_warner-music_youtube_display_cpm_na_na_all_int_as-abc-25-44_healt-and-fitness-gaming-sports_imagem_300x60_bumper-ads_tone-free-design_companion-banner-video-6seg_id-2020000607</t>
  </si>
  <si>
    <t>298579417</t>
  </si>
  <si>
    <t>491343641</t>
  </si>
  <si>
    <t>almap_lg_av-fone-tone-free_awareness_video-views_warner-music_youtube_display_cpm_na_na_all_int_as-abc-25-44_healt-and-fitness-gaming-sports_imagem_300x60_bumper-ads_tone-free-fit_companion-banner-video-6seg_id-2020000606</t>
  </si>
  <si>
    <t>298579423</t>
  </si>
  <si>
    <t>491343647</t>
  </si>
  <si>
    <t>almap_lg_av-fone-tone-free_awareness_video-views_warner-music_youtube_display_cpm_na_na_all_int_as-abc-25-44_healt-and-fitness-gaming-sports_imagem_300x60_bumper-ads_tone-free-hbs-fn6-brandfilm_companion-banner-video-6seg_id-2020000608</t>
  </si>
  <si>
    <t>298579411</t>
  </si>
  <si>
    <t>491601976</t>
  </si>
  <si>
    <t>almap_lg_av-fone-tone-free_awareness_video-views_warner-music_youtube_display_cpm_na_na_all_int_as-abc-25-44_healt-and-fitness-gaming-sports_imagem_300x60_bumper-ads_tone-free-hbs-fn6-feature-video_companion-banner-video1-6seg_id-2020000603</t>
  </si>
  <si>
    <t>298579402</t>
  </si>
  <si>
    <t>491601967</t>
  </si>
  <si>
    <t>almap_lg_av-fone-tone-free_awareness_video-views_warner-music_youtube_display_cpm_na_na_all_int_as-abc-25-44_healt-and-fitness-gaming-sports_imagem_300x60_bumper-ads_tone-free-hbs-fn6-feature-video_companion-banner-video2-6seg_id-2020000604</t>
  </si>
  <si>
    <t>298579399</t>
  </si>
  <si>
    <t>491601964</t>
  </si>
  <si>
    <t>almap_lg_av-fone-tone-free_awareness_video-views_warner-music_youtube_display_cpm_na_na_all_int_as-abc-25-44_healt-and-fitness-gaming-sports_imagem_300x60_non-skippable-video-ads_tone-free-clean_companion-banner-video-15seg_id-2020000599</t>
  </si>
  <si>
    <t>298579420</t>
  </si>
  <si>
    <t>491343644</t>
  </si>
  <si>
    <t>almap_lg_av-fone-tone-free_awareness_video-views_warner-music_youtube_display_cpm_na_na_all_int_as-abc-25-44_healt-and-fitness-gaming-sports_imagem_300x60_non-skippable-video-ads_tone-free-design_companion-banner-video-15seg_id-2020000601</t>
  </si>
  <si>
    <t>298579408</t>
  </si>
  <si>
    <t>491601973</t>
  </si>
  <si>
    <t>almap_lg_av-fone-tone-free_awareness_video-views_warner-music_youtube_display_cpm_na_na_all_int_as-abc-25-44_healt-and-fitness-gaming-sports_imagem_300x60_non-skippable-video-ads_tone-free-fit_companion-banner-video-15seg_id-2020000600</t>
  </si>
  <si>
    <t>298579414</t>
  </si>
  <si>
    <t>491343638</t>
  </si>
  <si>
    <t>almap_lg_av-fone-tone-free_awareness_video-views_warner-music_youtube_display_cpm_na_na_all_int_as-abc-25-44_healt-and-fitness-gaming-sports_imagem_300x60_non-skippable-video-ads_tone-free-hbs-fn6-brandfilm_companion-banner-video-15seg_id-2020000602</t>
  </si>
  <si>
    <t>298579405</t>
  </si>
  <si>
    <t>491601970</t>
  </si>
  <si>
    <t>almap_lg_av-fone-tone-free_awareness_video-views_warner-music_youtube_display_cpm_na_na_all_int_as-abc-25-44_healt-and-fitness-gaming-sports_imagem_300x60_non-skippable-video-ads_tone-free-hbs-fn6-feature-video_companion-banner-video1-15seg_id-2020000597</t>
  </si>
  <si>
    <t>298372928</t>
  </si>
  <si>
    <t>491616040</t>
  </si>
  <si>
    <t>almap_lg_av-fone-tone-free_awareness_video-views_warner-music_youtube_display_cpm_na_na_all_int_as-abc-25-44_healt-and-fitness-gaming-sports_imagem_300x60_non-skippable-video-ads_tone-free-hbs-fn6-feature-video_companion-banner-video2-15seg_id-2020000598</t>
  </si>
  <si>
    <t>298579426</t>
  </si>
  <si>
    <t>491343650</t>
  </si>
  <si>
    <t>almap_lg_av-fone-tone-free_awareness_video-views_warner-music_youtube_video_cpm_na_na_all_int_as-abc-25-44_healt-and-fitness-gaming-sports_video_16:9_skippable-video-ads_meridian-video-sound-28s_video-longo-lg_id-2020000282</t>
  </si>
  <si>
    <t>297461782</t>
  </si>
  <si>
    <t>490560375</t>
  </si>
  <si>
    <t>almap_lg_av-fone-tone-free_awareness_video-views_warner-music_youtube_video_cpm_na_na_all_int_as-abc-25-44_healt-and-fitness-gaming-sports_video_16:9_skippable-video-ads_uv-nano-video-clean-20s_video-longo-lg_id-2020000279</t>
  </si>
  <si>
    <t>297209960</t>
  </si>
  <si>
    <t>490560447</t>
  </si>
  <si>
    <t>almap_lg_he-nanocell-cores-puras_awareness_alcance_uol_ros_display_cpm_na_na_all_int_as-25-44_arara_animado_300x250_retangulo_arara__id-2020000309</t>
  </si>
  <si>
    <t>297710896</t>
  </si>
  <si>
    <t>490811031</t>
  </si>
  <si>
    <t>almap_lg_he-nanocell-cores-puras_awareness_alcance_uol_ros_display_cpm_na_na_all_int_as-25-44_arara_animado_300x250_retangulo_branded-content__id-2020000635</t>
  </si>
  <si>
    <t>298515812</t>
  </si>
  <si>
    <t>491777350</t>
  </si>
  <si>
    <t>almap_lg_he-nanocell-cores-puras_awareness_alcance_uol_ros_display_cpm_na_na_all_int_as-25-44_arara_animado_728x90_super-banner_branded-content__id-2020000636</t>
  </si>
  <si>
    <t>298515860</t>
  </si>
  <si>
    <t>491777398</t>
  </si>
  <si>
    <t>almap_lg_he-nanocell-cores-puras_awareness_alcance_uol_ros_display_cpm_na_na_all_int_as-25-44_arara_animado_970x250_billboard_branded-content__id-2020000637</t>
  </si>
  <si>
    <t>298515854</t>
  </si>
  <si>
    <t>491777392</t>
  </si>
  <si>
    <t>almap_lg_he-nanocell-cores-puras_awareness_alcance_uol_ros_display_cpm_na_na_all_int_as-25-44_centro-oeste_animado_728x90_super-banner_branded-content__id-2020000627</t>
  </si>
  <si>
    <t>298515836</t>
  </si>
  <si>
    <t>491777374</t>
  </si>
  <si>
    <t>almap_lg_he-nanocell-cores-puras_awareness_alcance_uol_ros_display_cpm_na_na_all_int_as-25-44_centro-oeste_animado_970x250_billboard_branded-content__id-2020000628</t>
  </si>
  <si>
    <t>298515833</t>
  </si>
  <si>
    <t>491777371</t>
  </si>
  <si>
    <t>almap_lg_he-nanocell-cores-puras_awareness_alcance_uol_ros_display_cpm_na_na_all_int_as-25-44_nordeste_animado_300x250_retangulo_branded-content__id-2020000632</t>
  </si>
  <si>
    <t>298515821</t>
  </si>
  <si>
    <t>491777359</t>
  </si>
  <si>
    <t>almap_lg_he-nanocell-cores-puras_awareness_alcance_uol_ros_display_cpm_na_na_all_int_as-25-44_nordeste_animado_728x90_super-banner_branded-content__id-2020000633</t>
  </si>
  <si>
    <t>298515818</t>
  </si>
  <si>
    <t>491777356</t>
  </si>
  <si>
    <t>almap_lg_he-nanocell-cores-puras_awareness_alcance_uol_ros_display_cpm_na_na_all_int_as-25-44_nordeste_animado_970x250_billboard_branded-content__id-2020000634</t>
  </si>
  <si>
    <t>298515815</t>
  </si>
  <si>
    <t>491777353</t>
  </si>
  <si>
    <t>almap_lg_he-nanocell-cores-puras_awareness_alcance_uol_ros_display_cpm_na_na_all_int_as-25-44_sudeste_animado_300x250_retangulo_branded-content__id-2020000629</t>
  </si>
  <si>
    <t>298515830</t>
  </si>
  <si>
    <t>491777368</t>
  </si>
  <si>
    <t>almap_lg_he-nanocell-cores-puras_awareness_alcance_uol_ros_display_cpm_na_na_all_int_as-25-44_sudeste_animado_728x90_super-banner_branded-content__id-2020000630</t>
  </si>
  <si>
    <t>298515827</t>
  </si>
  <si>
    <t>491777365</t>
  </si>
  <si>
    <t>almap_lg_he-nanocell-cores-puras_awareness_alcance_uol_ros_video_cpm_na_na_all_int_as-25-44_design_video_16:9_video-15_design__id-2020000682</t>
  </si>
  <si>
    <t>298967615</t>
  </si>
  <si>
    <t>492243174</t>
  </si>
  <si>
    <t>almap_lg_he-nanocell-cores-puras_awareness_alcance_uol_ros_video_cpm_na_na_all_int_as-25-44_inteligencia-artificial_video_16:9_video-15_inteligencia-artificial__id-2020000681</t>
  </si>
  <si>
    <t>298967618</t>
  </si>
  <si>
    <t>492243177</t>
  </si>
  <si>
    <t>almap_lg_he-nanocell-cores-puras_awareness_alcance_uol_ros_video_cpm_na_na_all_int_as-25-44_resolucao-8k_video_16:9_video-15_resolucao-8k__id-2020000680</t>
  </si>
  <si>
    <t>298967621</t>
  </si>
  <si>
    <t>492243180</t>
  </si>
  <si>
    <t>almap_lg_he-nanocell-cores-puras_awareness_alcance_uol_ros_video_cpm_na_na_all_int_as-25-44_um-bilhao-de-cores_video_16:9_video-15_um-bilhao-de-cores__id-2020000683</t>
  </si>
  <si>
    <t>298967612</t>
  </si>
  <si>
    <t>492243171</t>
  </si>
  <si>
    <t>almap_lg_he-nanocell-cores-puras_consideracao_trafego_connected-interative_ros_video_cpm_na_na_all_int_as-25-44_design_video_16:9_video-15_design__id-2020000686</t>
  </si>
  <si>
    <t>299070659</t>
  </si>
  <si>
    <t>491961227</t>
  </si>
  <si>
    <t>almap_lg_he-nanocell-cores-puras_consideracao_trafego_connected-interative_ros_video_cpm_na_na_all_int_as-25-44_inteligencia-artificial_video_16:9_video-15_inteligencia-artificial__id-2020000685</t>
  </si>
  <si>
    <t>299309143</t>
  </si>
  <si>
    <t>491962517</t>
  </si>
  <si>
    <t>almap_lg_he-nanocell-cores-puras_consideracao_trafego_connected-interative_ros_video_cpm_na_na_all_int_as-25-44_resolucao-8k_video_16:9_video-15_resolucao-8k__id-2020000684</t>
  </si>
  <si>
    <t>299174868</t>
  </si>
  <si>
    <t>491959781</t>
  </si>
  <si>
    <t>almap_lg_he-nanocell-cores-puras_consideracao_trafego_connected-interative_ros_video_cpm_na_na_all_int_as-25-44_um-bilhao-de-cores_video_16:9_video-15_um-bilhao-de-cores__id-2020000687</t>
  </si>
  <si>
    <t>299069903</t>
  </si>
  <si>
    <t>491962562</t>
  </si>
  <si>
    <t>almap_lg_he-nanocell-cores-puras_awareness_alcance_dv360_ros_display_cpm_na_na_all_int_as-25-44_arara_animado_300x250_retangulo_arara__id-2020000751</t>
  </si>
  <si>
    <t>299403754</t>
  </si>
  <si>
    <t>492413100</t>
  </si>
  <si>
    <t>almap_lg_he-nanocell-cores-puras_awareness_alcance_dv360_ros_display_cpm_na_na_all_int_as-25-44_arara_animado_970x250_billboard_arara__id-2020000753</t>
  </si>
  <si>
    <t>299402917</t>
  </si>
  <si>
    <t>492413157</t>
  </si>
  <si>
    <t>almap_lg_he-nanocell-cores-puras_awareness_alcance_dv360_ros_display_cpm_na_na_all_int_as-25-44_centro-oeste_animado_300x250_retangulo_centro-oeste__id-2020000754</t>
  </si>
  <si>
    <t>299404183</t>
  </si>
  <si>
    <t>492035312</t>
  </si>
  <si>
    <t>almap_lg_he-nanocell-cores-puras_awareness_alcance_dv360_ros_display_cpm_na_na_all_int_as-25-44_centro-oeste_animado_970x250_billboard_centro-oeste__id-2020000756</t>
  </si>
  <si>
    <t>299268684</t>
  </si>
  <si>
    <t>492354769</t>
  </si>
  <si>
    <t>almap_lg_he-nanocell-cores-puras_awareness_alcance_dv360_ros_display_cpm_na_na_all_int_as-25-44_nordeste_animado_300x250_retangulo_nordeste__id-2020000760</t>
  </si>
  <si>
    <t>299171663</t>
  </si>
  <si>
    <t>492036461</t>
  </si>
  <si>
    <t>almap_lg_he-nanocell-cores-puras_awareness_alcance_dv360_ros_display_cpm_na_na_all_int_as-25-44_nordeste_animado_970x250_billboard_nordeste__id-2020000762</t>
  </si>
  <si>
    <t>299269656</t>
  </si>
  <si>
    <t>492355945</t>
  </si>
  <si>
    <t>almap_lg_he-nanocell-cores-puras_awareness_alcance_dv360_ros_display_cpm_na_na_all_int_as-25-44_sudeste_animado_300x250_retangulo_sudeste__id-2020000763</t>
  </si>
  <si>
    <t>299171696</t>
  </si>
  <si>
    <t>492356260</t>
  </si>
  <si>
    <t>almap_lg_he-nanocell-cores-puras_awareness_alcance_dv360_ros_display_cpm_na_na_all_int_as-25-44_sudeste_animado_970x250_billboard_sudeste__id-2020000765</t>
  </si>
  <si>
    <t>299269695</t>
  </si>
  <si>
    <t>492035477</t>
  </si>
  <si>
    <t>almap_lg_he-nanocell-cores-puras_awareness_alcance_dv360_ros_display_cpm_na_na_all_int_as-25-44_sul_animado_300x250_retangulo_sul__id-2020000757</t>
  </si>
  <si>
    <t>299171531</t>
  </si>
  <si>
    <t>492356140</t>
  </si>
  <si>
    <t>almap_lg_he-nanocell-cores-puras_awareness_alcance_dv360_ros_display_cpm_na_na_all_int_as-25-44_sul_animado_970x250_billboard_sul__id-2020000759</t>
  </si>
  <si>
    <t>299172215</t>
  </si>
  <si>
    <t>492413292</t>
  </si>
  <si>
    <t>almap_lg_he-nanocell-cores-puras_awareness_trafego_dv360_ros_display_cpm_na_na_all_int_interesses-nanocell_cores-puras_animado_300x250_retangulo_arara__id-2020000284</t>
  </si>
  <si>
    <t>297349602</t>
  </si>
  <si>
    <t>490592787</t>
  </si>
  <si>
    <t>almap_lg_he-nanocell-cores-puras_awareness_alcance_roix_ros_video_cpm_na_na_all_int_as-25-44_design_video_16:9_video-15_design__id-2020000678</t>
  </si>
  <si>
    <t>298967627</t>
  </si>
  <si>
    <t>492243186</t>
  </si>
  <si>
    <t>almap_lg_he-nanocell-cores-puras_awareness_alcance_roix_ros_video_cpm_na_na_all_int_as-25-44_inteligencia-artificial_video_16:9_video-15_inteligencia-artificial__id-2020000677</t>
  </si>
  <si>
    <t>298967630</t>
  </si>
  <si>
    <t>492243189</t>
  </si>
  <si>
    <t>almap_lg_he-nanocell-cores-puras_awareness_alcance_roix_ros_video_cpm_na_na_all_int_as-25-44_resolucao-8k_video_16:9_video-15_resolucao-8k__id-2020000676</t>
  </si>
  <si>
    <t>298971452</t>
  </si>
  <si>
    <t>492191473</t>
  </si>
  <si>
    <t>almap_lg_he-nanocell-cores-puras_awareness_alcance_roix_ros_video_cpm_na_na_all_int_as-25-44_um-bilhao-de-cores_video_16:9_video-15_um-bilhao-de-cores__id-2020000679</t>
  </si>
  <si>
    <t>298967624</t>
  </si>
  <si>
    <t>492243183</t>
  </si>
  <si>
    <t>almap_lg_he-nanocell-cores-puras_consideracao_trafego_seedtag_ros_display_cpm_na_na_all_int_as-25-44_na_animado_810x560_ful-imagem-video_design__id-2020000838</t>
  </si>
  <si>
    <t>299431604</t>
  </si>
  <si>
    <t>492254456</t>
  </si>
  <si>
    <t>almap_lg_he-nanocell-cores-puras_consideracao_trafego_seedtag_ros_display_cpm_na_na_all_int_as-25-44_na_animado_810x560_ful-imagem-video_inteligencia-artificial__id-2020000839</t>
  </si>
  <si>
    <t>299648401</t>
  </si>
  <si>
    <t>492254489</t>
  </si>
  <si>
    <t>almap_lg_he-nanocell-cores-puras_consideracao_trafego_seedtag_ros_display_cpm_na_na_all_int_as-25-44_na_animado_810x560_ful-imagem-video_resolucao-8k__id-2020000837</t>
  </si>
  <si>
    <t>299431589</t>
  </si>
  <si>
    <t>492638499</t>
  </si>
  <si>
    <t>almap_lg_he-nanocell-cores-puras_consideracao_trafego_seedtag_ros_display_cpm_na_na_all_int_as-25-44_na_animado_810x560_ful-imagem-video_um-bilhao-de-cores__id-2020000840</t>
  </si>
  <si>
    <t>299515692</t>
  </si>
  <si>
    <t>492638601</t>
  </si>
  <si>
    <t>almap_lg_he-oled-tv-digital_consideracao_trafego_connected-interative_ros_display_cpm_na_na_all_int_as-25-44_games_imagem_120x600_sky_games-2__id-2020000688</t>
  </si>
  <si>
    <t>299316592</t>
  </si>
  <si>
    <t>491973365</t>
  </si>
  <si>
    <t>almap_lg_he-oled-tv-digital_consideracao_trafego_connected-interative_ros_display_cpm_na_na_all_int_as-25-44_games_imagem_160x600_banner_games-2__id-2020000689</t>
  </si>
  <si>
    <t>299316589</t>
  </si>
  <si>
    <t>491973362</t>
  </si>
  <si>
    <t>almap_lg_he-oled-tv-digital_consideracao_trafego_connected-interative_ros_display_cpm_na_na_all_int_as-25-44_games_imagem_250x250_quadrado_games-2__id-2020000690</t>
  </si>
  <si>
    <t>299316586</t>
  </si>
  <si>
    <t>491973359</t>
  </si>
  <si>
    <t>almap_lg_he-oled-tv-digital_consideracao_trafego_connected-interative_ros_display_cpm_na_na_all_int_as-25-44_games_imagem_300x250_retangulo_games-2__id-2020000691</t>
  </si>
  <si>
    <t>299316583</t>
  </si>
  <si>
    <t>491973356</t>
  </si>
  <si>
    <t>almap_lg_he-oled-tv-digital_consideracao_trafego_connected-interative_ros_display_cpm_na_na_all_int_as-25-44_games_imagem_300x600_half-banner_games-2__id-2020000692</t>
  </si>
  <si>
    <t>299316580</t>
  </si>
  <si>
    <t>491973353</t>
  </si>
  <si>
    <t>almap_lg_he-oled-tv-digital_consideracao_trafego_connected-interative_ros_display_cpm_na_na_all_int_as-25-44_games_imagem_320x100_banner-mobile_games-2__id-2020000694</t>
  </si>
  <si>
    <t>299316574</t>
  </si>
  <si>
    <t>491981429</t>
  </si>
  <si>
    <t>almap_lg_he-oled-tv-digital_consideracao_trafego_connected-interative_ros_display_cpm_na_na_all_int_as-25-44_games_imagem_320x50_banner-mobile-pequeno_games-2__id-2020000693</t>
  </si>
  <si>
    <t>299316577</t>
  </si>
  <si>
    <t>491981426</t>
  </si>
  <si>
    <t>almap_lg_he-oled-tv-digital_consideracao_trafego_connected-interative_ros_display_cpm_na_na_all_int_as-25-44_games_imagem_728x90_super-banner_games-2__id-2020000696</t>
  </si>
  <si>
    <t>299316568</t>
  </si>
  <si>
    <t>491973347</t>
  </si>
  <si>
    <t>almap_lg_he-oled-tv-digital_consideracao_trafego_connected-interative_ros_display_cpm_na_na_all_int_as-25-44_games_imagem_970x250_billboard_games-2__id-2020000698</t>
  </si>
  <si>
    <t>299316562</t>
  </si>
  <si>
    <t>491981435</t>
  </si>
  <si>
    <t>almap_lg_he-oled-tv-digital_consideracao_trafego_connected-interative_ros_display_cpm_na_na_all_int_as-25-44_games_imagem_970x90_leadeboard_games-2__id-2020000697</t>
  </si>
  <si>
    <t>299316565</t>
  </si>
  <si>
    <t>491981432</t>
  </si>
  <si>
    <t>almap_lg_he-oled-tv-digital_consideracao_trafego_roix_ros_display_cpm_na_na_all_int_as-25-44_games_imagem_120x600_sky_games-2__id-2020000699</t>
  </si>
  <si>
    <t>299316559</t>
  </si>
  <si>
    <t>491973344</t>
  </si>
  <si>
    <t>almap_lg_he-oled-tv-digital_consideracao_trafego_roix_ros_display_cpm_na_na_all_int_as-25-44_games_imagem_300x250_retangulo_games-2__id-2020000700</t>
  </si>
  <si>
    <t>299316556</t>
  </si>
  <si>
    <t>491973341</t>
  </si>
  <si>
    <t>almap_lg_he-oled-tv-digital_consideracao_trafego_roix_ros_display_cpm_na_na_all_int_as-25-44_games_imagem_300x600_half-banner_games-2__id-2020000701</t>
  </si>
  <si>
    <t>299316553</t>
  </si>
  <si>
    <t>491973338</t>
  </si>
  <si>
    <t>almap_lg_he-oled-tv-digital_consideracao_trafego_roix_ros_display_cpm_na_na_all_int_as-25-44_games_imagem_320x100_banner-mobile_games-2__id-2020000702</t>
  </si>
  <si>
    <t>299316550</t>
  </si>
  <si>
    <t>491973335</t>
  </si>
  <si>
    <t>almap_lg_he-oled-tv-digital_consideracao_trafego_roix_ros_display_cpm_na_na_all_int_as-25-44_games_imagem_320x50_banner-mobile-pequeno_games-2__id-2020000703</t>
  </si>
  <si>
    <t>299316547</t>
  </si>
  <si>
    <t>491973332</t>
  </si>
  <si>
    <t>almap_lg_he-oled-tv-digital_consideracao_trafego_roix_ros_display_cpm_na_na_all_int_as-25-44_games_imagem_728x90_super-banner_games-2__id-2020000704</t>
  </si>
  <si>
    <t>299316544</t>
  </si>
  <si>
    <t>491973329</t>
  </si>
  <si>
    <t>almap_lg_he-oled-tv-digital_awareness_alcance_verizon_ros_display_cpm_na_na_all_int_as-25-44_games_imagem_627x627_native_games-2__id-2020000705</t>
  </si>
  <si>
    <t>299316631</t>
  </si>
  <si>
    <t>491973392</t>
  </si>
  <si>
    <t>Video</t>
  </si>
  <si>
    <t>Default In-stream Ad</t>
  </si>
  <si>
    <t>491562525</t>
  </si>
  <si>
    <t>Mercado Livre</t>
  </si>
  <si>
    <t>almap_lg_b2b-obs_consideracao_trafego_mercado-livre_mercado-livre_display_cpm_na_na_all_int_as-30-mais_mes-do-consumidor-mercado-livre_animado_300x250_display_mes-do-consumidor-celular__id-2020000804</t>
  </si>
  <si>
    <t>299380241</t>
  </si>
  <si>
    <t>492592236</t>
  </si>
  <si>
    <t>almap_lg_b2b-obs_consideracao_trafego_mercado-livre_mercado-livre_display_cpm_na_na_all_int_as-30-mais_mes-do-consumidor-mercado-livre_animado_728x90_display_mes-do-consumidor-celular__id-2020000803</t>
  </si>
  <si>
    <t>299378312</t>
  </si>
  <si>
    <t>492207035</t>
  </si>
  <si>
    <t>ha-purificado-puricare-360</t>
  </si>
  <si>
    <t>av-fone-tone-free</t>
  </si>
  <si>
    <t>he-nanocell-cores-puras</t>
  </si>
  <si>
    <t>he-oled-tv-digital</t>
  </si>
  <si>
    <t>b2b-obs</t>
  </si>
  <si>
    <t>Campanhas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</si>
</sst>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&quot;R$&quot;\ #,##0.00"/>
  </numFmts>
  <fonts count="25">
    <font>
      <sz val="11"/>
      <name val="Calibri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</font>
    <font>
      <b/>
      <sz val="11"/>
      <color theme="0"/>
      <name val="Calibri"/>
      <family val="2"/>
    </font>
    <font>
      <sz val="11"/>
      <name val="Calibri"/>
      <family val="2"/>
    </font>
    <font>
      <sz val="11"/>
      <color theme="0"/>
      <name val="Calibri"/>
      <family val="2"/>
    </font>
    <font>
      <sz val="11"/>
      <name val="Calibri"/>
      <family val="2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1"/>
        <bgColor indexed="64"/>
      </patternFill>
    </fill>
    <fill>
      <patternFill patternType="solid">
        <fgColor theme="3" tint="-0.249977111117893"/>
        <bgColor indexed="64"/>
      </patternFill>
    </fill>
  </fills>
  <borders count="1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 style="thin">
        <color auto="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47">
    <xf numFmtId="0" fontId="0" fillId="0" borderId="0"/>
    <xf numFmtId="44" fontId="3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0" fontId="4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6" fillId="0" borderId="3" applyNumberFormat="0" applyFill="0" applyAlignment="0" applyProtection="0"/>
    <xf numFmtId="0" fontId="7" fillId="0" borderId="4" applyNumberFormat="0" applyFill="0" applyAlignment="0" applyProtection="0"/>
    <xf numFmtId="0" fontId="7" fillId="0" borderId="0" applyNumberFormat="0" applyFill="0" applyBorder="0" applyAlignment="0" applyProtection="0"/>
    <xf numFmtId="0" fontId="8" fillId="2" borderId="0" applyNumberFormat="0" applyBorder="0" applyAlignment="0" applyProtection="0"/>
    <xf numFmtId="0" fontId="9" fillId="3" borderId="0" applyNumberFormat="0" applyBorder="0" applyAlignment="0" applyProtection="0"/>
    <xf numFmtId="0" fontId="10" fillId="4" borderId="0" applyNumberFormat="0" applyBorder="0" applyAlignment="0" applyProtection="0"/>
    <xf numFmtId="0" fontId="11" fillId="5" borderId="5" applyNumberFormat="0" applyAlignment="0" applyProtection="0"/>
    <xf numFmtId="0" fontId="12" fillId="6" borderId="6" applyNumberFormat="0" applyAlignment="0" applyProtection="0"/>
    <xf numFmtId="0" fontId="13" fillId="6" borderId="5" applyNumberFormat="0" applyAlignment="0" applyProtection="0"/>
    <xf numFmtId="0" fontId="14" fillId="0" borderId="7" applyNumberFormat="0" applyFill="0" applyAlignment="0" applyProtection="0"/>
    <xf numFmtId="0" fontId="15" fillId="7" borderId="8" applyNumberFormat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10" applyNumberFormat="0" applyFill="0" applyAlignment="0" applyProtection="0"/>
    <xf numFmtId="0" fontId="19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9" fillId="12" borderId="0" applyNumberFormat="0" applyBorder="0" applyAlignment="0" applyProtection="0"/>
    <xf numFmtId="0" fontId="19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9" fillId="16" borderId="0" applyNumberFormat="0" applyBorder="0" applyAlignment="0" applyProtection="0"/>
    <xf numFmtId="0" fontId="19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9" fillId="20" borderId="0" applyNumberFormat="0" applyBorder="0" applyAlignment="0" applyProtection="0"/>
    <xf numFmtId="0" fontId="19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9" fillId="24" borderId="0" applyNumberFormat="0" applyBorder="0" applyAlignment="0" applyProtection="0"/>
    <xf numFmtId="0" fontId="19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9" fillId="28" borderId="0" applyNumberFormat="0" applyBorder="0" applyAlignment="0" applyProtection="0"/>
    <xf numFmtId="0" fontId="19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9" fillId="32" borderId="0" applyNumberFormat="0" applyBorder="0" applyAlignment="0" applyProtection="0"/>
    <xf numFmtId="0" fontId="1" fillId="0" borderId="0"/>
    <xf numFmtId="0" fontId="1" fillId="8" borderId="9" applyNumberFormat="0" applyFont="0" applyAlignment="0" applyProtection="0"/>
    <xf numFmtId="43" fontId="24" fillId="0" borderId="0" applyFont="0" applyFill="0" applyBorder="0" applyAlignment="0" applyProtection="0"/>
  </cellStyleXfs>
  <cellXfs count="25">
    <xf numFmtId="0" fontId="0" fillId="0" borderId="0" xfId="0"/>
    <xf numFmtId="0" fontId="0" fillId="0" borderId="1" xfId="0" applyBorder="1"/>
    <xf numFmtId="2" fontId="0" fillId="0" borderId="0" xfId="0" applyNumberFormat="1"/>
    <xf numFmtId="44" fontId="0" fillId="0" borderId="0" xfId="1" applyFont="1"/>
    <xf numFmtId="0" fontId="21" fillId="33" borderId="1" xfId="0" applyFont="1" applyFill="1" applyBorder="1" applyAlignment="1">
      <alignment wrapText="1"/>
    </xf>
    <xf numFmtId="0" fontId="21" fillId="33" borderId="11" xfId="0" applyFont="1" applyFill="1" applyBorder="1" applyAlignment="1">
      <alignment wrapText="1"/>
    </xf>
    <xf numFmtId="0" fontId="23" fillId="33" borderId="0" xfId="0" applyFont="1" applyFill="1"/>
    <xf numFmtId="0" fontId="20" fillId="0" borderId="1" xfId="0" applyFont="1" applyBorder="1"/>
    <xf numFmtId="164" fontId="0" fillId="0" borderId="1" xfId="0" applyNumberFormat="1" applyBorder="1"/>
    <xf numFmtId="0" fontId="22" fillId="33" borderId="0" xfId="0" applyFont="1" applyFill="1"/>
    <xf numFmtId="0" fontId="23" fillId="34" borderId="12" xfId="0" applyFont="1" applyFill="1" applyBorder="1"/>
    <xf numFmtId="0" fontId="23" fillId="33" borderId="0" xfId="0" applyFont="1" applyFill="1" applyAlignment="1"/>
    <xf numFmtId="0" fontId="23" fillId="0" borderId="0" xfId="0" applyFont="1" applyFill="1"/>
    <xf numFmtId="164" fontId="0" fillId="0" borderId="0" xfId="0" applyNumberFormat="1" applyFill="1" applyBorder="1"/>
    <xf numFmtId="44" fontId="23" fillId="0" borderId="0" xfId="1" applyFont="1" applyFill="1"/>
    <xf numFmtId="0" fontId="0" fillId="0" borderId="0" xfId="0" pivotButton="1"/>
    <xf numFmtId="0" fontId="0" fillId="0" borderId="0" xfId="0" applyAlignment="1">
      <alignment horizontal="left"/>
    </xf>
    <xf numFmtId="44" fontId="0" fillId="0" borderId="0" xfId="0" applyNumberFormat="1"/>
    <xf numFmtId="164" fontId="23" fillId="33" borderId="0" xfId="1" applyNumberFormat="1" applyFont="1" applyFill="1"/>
    <xf numFmtId="43" fontId="0" fillId="0" borderId="0" xfId="46" applyFont="1"/>
    <xf numFmtId="2" fontId="0" fillId="0" borderId="1" xfId="0" applyNumberFormat="1" applyBorder="1"/>
    <xf numFmtId="0" fontId="3" fillId="0" borderId="0" xfId="0" applyFont="1"/>
    <xf numFmtId="0" fontId="0" fillId="0" borderId="0" xfId="0" applyAlignment="1">
      <alignment horizontal="left" indent="1"/>
    </xf>
    <xf numFmtId="0" fontId="0" fillId="0" borderId="0" xfId="0" applyFill="1"/>
    <xf numFmtId="0" fontId="3" fillId="0" borderId="0" xfId="0" applyFont="1" applyFill="1"/>
  </cellXfs>
  <cellStyles count="47">
    <cellStyle name="20% - Ênfase1" xfId="21" builtinId="30" customBuiltin="1"/>
    <cellStyle name="20% - Ênfase2" xfId="25" builtinId="34" customBuiltin="1"/>
    <cellStyle name="20% - Ênfase3" xfId="29" builtinId="38" customBuiltin="1"/>
    <cellStyle name="20% - Ênfase4" xfId="33" builtinId="42" customBuiltin="1"/>
    <cellStyle name="20% - Ênfase5" xfId="37" builtinId="46" customBuiltin="1"/>
    <cellStyle name="20% - Ênfase6" xfId="41" builtinId="50" customBuiltin="1"/>
    <cellStyle name="40% - Ênfase1" xfId="22" builtinId="31" customBuiltin="1"/>
    <cellStyle name="40% - Ênfase2" xfId="26" builtinId="35" customBuiltin="1"/>
    <cellStyle name="40% - Ênfase3" xfId="30" builtinId="39" customBuiltin="1"/>
    <cellStyle name="40% - Ênfase4" xfId="34" builtinId="43" customBuiltin="1"/>
    <cellStyle name="40% - Ênfase5" xfId="38" builtinId="47" customBuiltin="1"/>
    <cellStyle name="40% - Ênfase6" xfId="42" builtinId="51" customBuiltin="1"/>
    <cellStyle name="60% - Ênfase1" xfId="23" builtinId="32" customBuiltin="1"/>
    <cellStyle name="60% - Ênfase2" xfId="27" builtinId="36" customBuiltin="1"/>
    <cellStyle name="60% - Ênfase3" xfId="31" builtinId="40" customBuiltin="1"/>
    <cellStyle name="60% - Ênfase4" xfId="35" builtinId="44" customBuiltin="1"/>
    <cellStyle name="60% - Ênfase5" xfId="39" builtinId="48" customBuiltin="1"/>
    <cellStyle name="60% - Ênfase6" xfId="43" builtinId="52" customBuiltin="1"/>
    <cellStyle name="Bom" xfId="9" builtinId="26" customBuiltin="1"/>
    <cellStyle name="Cálculo" xfId="14" builtinId="22" customBuiltin="1"/>
    <cellStyle name="Célula de Verificação" xfId="16" builtinId="23" customBuiltin="1"/>
    <cellStyle name="Célula Vinculada" xfId="15" builtinId="24" customBuiltin="1"/>
    <cellStyle name="Currency 2 2" xfId="3" xr:uid="{00000000-0005-0000-0000-00001C000000}"/>
    <cellStyle name="Ênfase1" xfId="20" builtinId="29" customBuiltin="1"/>
    <cellStyle name="Ênfase2" xfId="24" builtinId="33" customBuiltin="1"/>
    <cellStyle name="Ênfase3" xfId="28" builtinId="37" customBuiltin="1"/>
    <cellStyle name="Ênfase4" xfId="32" builtinId="41" customBuiltin="1"/>
    <cellStyle name="Ênfase5" xfId="36" builtinId="45" customBuiltin="1"/>
    <cellStyle name="Ênfase6" xfId="40" builtinId="49" customBuiltin="1"/>
    <cellStyle name="Entrada" xfId="12" builtinId="20" customBuiltin="1"/>
    <cellStyle name="Moeda" xfId="1" builtinId="4"/>
    <cellStyle name="Neutro" xfId="11" builtinId="28" customBuiltin="1"/>
    <cellStyle name="Normal" xfId="0" builtinId="0"/>
    <cellStyle name="Normal 2" xfId="44" xr:uid="{00000000-0005-0000-0000-000027000000}"/>
    <cellStyle name="Normal 2 2" xfId="2" xr:uid="{00000000-0005-0000-0000-000028000000}"/>
    <cellStyle name="Note 2" xfId="45" xr:uid="{00000000-0005-0000-0000-000029000000}"/>
    <cellStyle name="Ruim" xfId="10" builtinId="27" customBuiltin="1"/>
    <cellStyle name="Saída" xfId="13" builtinId="21" customBuiltin="1"/>
    <cellStyle name="Texto de Aviso" xfId="17" builtinId="11" customBuiltin="1"/>
    <cellStyle name="Texto Explicativo" xfId="18" builtinId="53" customBuiltin="1"/>
    <cellStyle name="Título" xfId="4" builtinId="15" customBuiltin="1"/>
    <cellStyle name="Título 1" xfId="5" builtinId="16" customBuiltin="1"/>
    <cellStyle name="Título 2" xfId="6" builtinId="17" customBuiltin="1"/>
    <cellStyle name="Título 3" xfId="7" builtinId="18" customBuiltin="1"/>
    <cellStyle name="Título 4" xfId="8" builtinId="19" customBuiltin="1"/>
    <cellStyle name="Total" xfId="19" builtinId="25" customBuiltin="1"/>
    <cellStyle name="Vírgula" xfId="46" builtinId="3"/>
  </cellStyles>
  <dxfs count="10"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 patternType="solid">
          <bgColor rgb="FFFFFF00"/>
        </patternFill>
      </fill>
    </dxf>
    <dxf>
      <numFmt numFmtId="34" formatCode="_-&quot;R$&quot;\ * #,##0.00_-;\-&quot;R$&quot;\ * #,##0.00_-;_-&quot;R$&quot;\ * &quot;-&quot;??_-;_-@_-"/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microsoft.com/office/2006/relationships/vbaProject" Target="vbaProject.bin"/><Relationship Id="rId5" Type="http://schemas.openxmlformats.org/officeDocument/2006/relationships/pivotCacheDefinition" Target="pivotCache/pivotCacheDefinition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ngrid Nayra de Camargo Ramirez - Almap BBDO" refreshedDate="44287.43084212963" createdVersion="6" refreshedVersion="6" minRefreshableVersion="3" recordCount="117" xr:uid="{A15B08DA-0763-4EFE-9F7C-FE93657E0826}">
  <cacheSource type="worksheet">
    <worksheetSource ref="B13:O130" sheet="Resumo"/>
  </cacheSource>
  <cacheFields count="14">
    <cacheField name="Campaign" numFmtId="0">
      <sharedItems count="24">
        <s v="ha-purificado-puricare-360"/>
        <s v="av-fone-tone-free"/>
        <s v="he-nanocell-cores-puras"/>
        <s v="he-oled-tv-digital"/>
        <s v="alp-pegn-marca-awa" u="1"/>
        <s v="alp-covid19-marca-awa" u="1"/>
        <s v="alp-cnn-varejo-awa" u="1"/>
        <s v="alp-empreendedores-empreendedores-cons" u="1"/>
        <s v="alp:aquisicao:varejo:awa" u="1"/>
        <s v="alp-superlink-marca-cons" u="1"/>
        <s v="alp-superlink-marca-perf" u="1"/>
        <s v="alp-cielo_movimenta_comunidade-marca-awa" u="1"/>
        <s v="alp-cnn-marca-awa" u="1"/>
        <s v="almap_lg_av-fone-tone-free" u="1"/>
        <s v="alp-cielo_digi-marca-awa" u="1"/>
        <s v="alp-receba-rapido-varejo-cons" u="1"/>
        <s v="alp-digitalizacao-marca-perf" u="1"/>
        <s v="alp-cielo_digi-marca-cons" u="1"/>
        <s v="almap_lg_he-oled-tv-digita" u="1"/>
        <s v="almap_lg_ha-purificado-puricare-360" u="1"/>
        <s v="alp-cielo_brf-marca-awa" u="1"/>
        <s v="alp-superlink-marca-awa" u="1"/>
        <s v="almap_lg_he-nanocell-cores-puras" u="1"/>
        <s v="alp-nova_cielo-empreendedores-cons" u="1"/>
      </sharedItems>
    </cacheField>
    <cacheField name="Site (DCM)" numFmtId="0">
      <sharedItems count="7">
        <s v="Connected  Interactive"/>
        <s v="DBM ALMAP BBDO Brasil 971065410-LG"/>
        <s v="SeedTag"/>
        <s v="[Display] Verizon Media"/>
        <s v="BR Uol"/>
        <s v="ROIx" u="1"/>
        <s v="Warner Music" u="1"/>
      </sharedItems>
    </cacheField>
    <cacheField name="Placement" numFmtId="0">
      <sharedItems/>
    </cacheField>
    <cacheField name="Placement ID" numFmtId="0">
      <sharedItems/>
    </cacheField>
    <cacheField name="Ad Type" numFmtId="0">
      <sharedItems/>
    </cacheField>
    <cacheField name="Ad" numFmtId="0">
      <sharedItems/>
    </cacheField>
    <cacheField name="Ad ID" numFmtId="0">
      <sharedItems/>
    </cacheField>
    <cacheField name="Creative Type" numFmtId="0">
      <sharedItems/>
    </cacheField>
    <cacheField name="Impressions" numFmtId="0">
      <sharedItems containsSemiMixedTypes="0" containsString="0" containsNumber="1" containsInteger="1" minValue="1" maxValue="27110354"/>
    </cacheField>
    <cacheField name="Clicks" numFmtId="0">
      <sharedItems containsSemiMixedTypes="0" containsString="0" containsNumber="1" containsInteger="1" minValue="0" maxValue="26689"/>
    </cacheField>
    <cacheField name="Ferramenta" numFmtId="2">
      <sharedItems containsSemiMixedTypes="0" containsString="0" containsNumber="1" minValue="0.04" maxValue="0.6"/>
    </cacheField>
    <cacheField name="Adops" numFmtId="0">
      <sharedItems containsSemiMixedTypes="0" containsString="0" containsNumber="1" minValue="7.0000000000000007E-2" maxValue="0.2"/>
    </cacheField>
    <cacheField name="Total Ferramenta" numFmtId="2">
      <sharedItems containsSemiMixedTypes="0" containsString="0" containsNumber="1" minValue="4.0000000000000003E-5" maxValue="1084.4141599999998"/>
    </cacheField>
    <cacheField name="Total AdOps" numFmtId="2">
      <sharedItems containsSemiMixedTypes="0" containsString="0" containsNumber="1" minValue="7.0000000000000007E-5" maxValue="1897.724780000000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ngrid Nayra de Camargo Ramirez - Almap BBDO" refreshedDate="44287.434266782409" createdVersion="6" refreshedVersion="6" minRefreshableVersion="3" recordCount="244" xr:uid="{B1666919-38DA-4D6B-A1F3-AF7B61FE603A}">
  <cacheSource type="worksheet">
    <worksheetSource ref="A13:O257" sheet="Resumo"/>
  </cacheSource>
  <cacheFields count="15">
    <cacheField name="a." numFmtId="0">
      <sharedItems containsNonDate="0" containsString="0" containsBlank="1"/>
    </cacheField>
    <cacheField name="Campaign" numFmtId="0">
      <sharedItems count="5">
        <s v="av-fone-tone-free"/>
        <s v="b2b-obs"/>
        <s v="ha-purificado-puricare-360"/>
        <s v="he-nanocell-cores-puras"/>
        <s v="he-oled-tv-digital"/>
      </sharedItems>
    </cacheField>
    <cacheField name="Site (DCM)" numFmtId="0">
      <sharedItems/>
    </cacheField>
    <cacheField name="Placement" numFmtId="0">
      <sharedItems/>
    </cacheField>
    <cacheField name="Placement ID" numFmtId="0">
      <sharedItems/>
    </cacheField>
    <cacheField name="Ad Type" numFmtId="0">
      <sharedItems/>
    </cacheField>
    <cacheField name="Ad" numFmtId="0">
      <sharedItems/>
    </cacheField>
    <cacheField name="Ad ID" numFmtId="0">
      <sharedItems/>
    </cacheField>
    <cacheField name="Creative Type" numFmtId="0">
      <sharedItems/>
    </cacheField>
    <cacheField name="Impressions" numFmtId="0">
      <sharedItems containsSemiMixedTypes="0" containsString="0" containsNumber="1" containsInteger="1" minValue="1" maxValue="37380366"/>
    </cacheField>
    <cacheField name="Clicks" numFmtId="0">
      <sharedItems containsSemiMixedTypes="0" containsString="0" containsNumber="1" containsInteger="1" minValue="0" maxValue="53063"/>
    </cacheField>
    <cacheField name="Ferramenta" numFmtId="2">
      <sharedItems containsSemiMixedTypes="0" containsString="0" containsNumber="1" minValue="0.04" maxValue="0.6"/>
    </cacheField>
    <cacheField name="Adops" numFmtId="0">
      <sharedItems containsSemiMixedTypes="0" containsString="0" containsNumber="1" minValue="7.0000000000000007E-2" maxValue="0.2"/>
    </cacheField>
    <cacheField name="Total Ferramenta" numFmtId="2">
      <sharedItems containsSemiMixedTypes="0" containsString="0" containsNumber="1" minValue="4.0000000000000003E-5" maxValue="1495.2146400000001"/>
    </cacheField>
    <cacheField name="Total AdOps" numFmtId="2">
      <sharedItems containsSemiMixedTypes="0" containsString="0" containsNumber="1" minValue="7.0000000000000007E-5" maxValue="2616.625620000000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17">
  <r>
    <x v="0"/>
    <x v="0"/>
    <s v="almap_lg_ha-purificado-puricare-360_awareness_alcance_connected-interative_ros_video_cpm_na_na_all_int_as-30-50_purificador_video_16:9_video-30_purificador__id-2020000327"/>
    <s v="297552437"/>
    <s v="Standard"/>
    <s v="almap_lg_ha-purificado-puricare-360_awareness_alcance_connected-interative_ros_video_cpm_na_na_all_int_as-30-50_purificador_video_16:9_video-30_purificador__id-2020000327"/>
    <s v="490574171"/>
    <s v="Tracking"/>
    <n v="35474"/>
    <n v="376"/>
    <n v="0.04"/>
    <n v="7.0000000000000007E-2"/>
    <n v="1.41896"/>
    <n v="2.4831800000000004"/>
  </r>
  <r>
    <x v="0"/>
    <x v="0"/>
    <s v="almap_lg_ha-purificado-puricare-360_consideracao_trafego_connected-interative_ros_display_cpm_na_na_all_int_as-25-44_purificador_animado_300x250_retangulo_purificador__id-2020000616"/>
    <s v="298452098"/>
    <s v="Standard"/>
    <s v="almap_lg_ha-purificado-puricare-360_consideracao_trafego_connected-interative_ros_display_cpm_na_na_all_int_as-25-44_purificador_animado_300x250_retangulo_purificador__id-2020000616"/>
    <s v="491705953"/>
    <s v="Display"/>
    <n v="164252"/>
    <n v="1797"/>
    <n v="0.04"/>
    <n v="7.0000000000000007E-2"/>
    <n v="6.5700799999999999"/>
    <n v="11.497640000000001"/>
  </r>
  <r>
    <x v="0"/>
    <x v="0"/>
    <s v="almap_lg_ha-purificado-puricare-360_consideracao_trafego_connected-interative_ros_display_cpm_na_na_all_int_as-25-44_purificador_animado_300x600_half-banner_purificador__id-2020000617"/>
    <s v="298560504"/>
    <s v="Standard"/>
    <s v="almap_lg_ha-purificado-puricare-360_consideracao_trafego_connected-interative_ros_display_cpm_na_na_all_int_as-25-44_purificador_animado_300x600_half-banner_purificador__id-2020000617"/>
    <s v="491768358"/>
    <s v="Display"/>
    <n v="39879"/>
    <n v="1178"/>
    <n v="0.04"/>
    <n v="7.0000000000000007E-2"/>
    <n v="1.5951600000000001"/>
    <n v="2.7915300000000003"/>
  </r>
  <r>
    <x v="0"/>
    <x v="0"/>
    <s v="almap_lg_ha-purificado-puricare-360_consideracao_trafego_connected-interative_ros_display_cpm_na_na_all_int_as-25-44_purificador_imagem_728x90_banner_purificador-familia__id-2020000506"/>
    <s v="297985941"/>
    <s v="Standard"/>
    <s v="almap_lg_ha-purificado-puricare-360_consideracao_trafego_connected-interative_ros_display_cpm_na_na_all_int_as-25-44_purificador_imagem_728x90_banner_purificador-familia__id-2020000506"/>
    <s v="490896497"/>
    <s v="Display"/>
    <n v="212854"/>
    <n v="897"/>
    <n v="0.04"/>
    <n v="7.0000000000000007E-2"/>
    <n v="8.5141600000000004"/>
    <n v="14.89978"/>
  </r>
  <r>
    <x v="0"/>
    <x v="0"/>
    <s v="almap_lg_ha-purificado-puricare-360_consideracao_trafego_connected-interative_ros_display_cpm_na_na_all_int_as-25-44_purificador_imagem_970x250_banner_purificador-familia__id-2020000507"/>
    <s v="297877160"/>
    <s v="Standard"/>
    <s v="almap_lg_ha-purificado-puricare-360_consideracao_trafego_connected-interative_ros_display_cpm_na_na_all_int_as-25-44_purificador_imagem_970x250_banner_purificador-familia__id-2020000507"/>
    <s v="490895687"/>
    <s v="Display"/>
    <n v="39981"/>
    <n v="317"/>
    <n v="0.04"/>
    <n v="7.0000000000000007E-2"/>
    <n v="1.59924"/>
    <n v="2.79867"/>
  </r>
  <r>
    <x v="0"/>
    <x v="1"/>
    <s v="almap_lg_ha-purificado-puricare-360_awareness_alcance_dv360_ros_display_cpm_na_na_all_int_as-25-44_purificador_animado_300x250_retangulo_purificador__id-2020000618"/>
    <s v="298678786"/>
    <s v="Standard"/>
    <s v="almap_lg_ha-purificado-puricare-360_awareness_alcance_dv360_ros_display_cpm_na_na_all_int_as-25-44_purificador_animado_300x250_retangulo_purificador__id-2020000618"/>
    <s v="491430551"/>
    <s v="Display"/>
    <n v="27110354"/>
    <n v="20649"/>
    <n v="0.04"/>
    <n v="7.0000000000000007E-2"/>
    <n v="1084.4141599999998"/>
    <n v="1897.7247800000002"/>
  </r>
  <r>
    <x v="0"/>
    <x v="1"/>
    <s v="almap_lg_ha-purificado-puricare-360_awareness_alcance_dv360_ros_display_cpm_na_na_all_int_as-25-44_purificador_animado_300x600_half-banner_purificador__id-2020000619"/>
    <s v="298452503"/>
    <s v="Standard"/>
    <s v="almap_lg_ha-purificado-puricare-360_awareness_alcance_dv360_ros_display_cpm_na_na_all_int_as-25-44_purificador_animado_300x600_half-banner_purificador__id-2020000619"/>
    <s v="491706037"/>
    <s v="Display"/>
    <n v="2917411"/>
    <n v="1993"/>
    <n v="0.04"/>
    <n v="7.0000000000000007E-2"/>
    <n v="116.69644"/>
    <n v="204.21877000000001"/>
  </r>
  <r>
    <x v="0"/>
    <x v="1"/>
    <s v="almap_lg_ha-purificado-puricare-360_awareness_alcance_dv360_ros_display_cpm_na_na_all_int_as-25-44_purificador_imagem_728x90_banner_purificador-familia__id-2020000504"/>
    <s v="297877127"/>
    <s v="Standard"/>
    <s v="almap_lg_ha-purificado-puricare-360_awareness_alcance_dv360_ros_display_cpm_na_na_all_int_as-25-44_purificador_imagem_728x90_banner_purificador-familia__id-2020000504"/>
    <s v="490896491"/>
    <s v="Display"/>
    <n v="17258065"/>
    <n v="5991"/>
    <n v="0.04"/>
    <n v="7.0000000000000007E-2"/>
    <n v="690.32259999999997"/>
    <n v="1208.0645500000001"/>
  </r>
  <r>
    <x v="0"/>
    <x v="1"/>
    <s v="almap_lg_ha-purificado-puricare-360_awareness_alcance_dv360_ros_display_cpm_na_na_all_int_as-25-44_purificador_imagem_970x250_banner_purificador-familia__id-2020000505"/>
    <s v="297876140"/>
    <s v="Standard"/>
    <s v="almap_lg_ha-purificado-puricare-360_awareness_alcance_dv360_ros_display_cpm_na_na_all_int_as-25-44_purificador_imagem_970x250_banner_purificador-familia__id-2020000505"/>
    <s v="490895678"/>
    <s v="Display"/>
    <n v="2324249"/>
    <n v="1441"/>
    <n v="0.04"/>
    <n v="7.0000000000000007E-2"/>
    <n v="92.96996"/>
    <n v="162.69743000000003"/>
  </r>
  <r>
    <x v="0"/>
    <x v="2"/>
    <s v="almap_lg_ha-purificado-puricare-360_consideracao_trafego_seedtag_ros_display_cpm_na_na_all_int_as-25-44_purificador_animado_810x560_ful-imagem-video_purificador__id-2020000567"/>
    <s v="298389687"/>
    <s v="Standard"/>
    <s v="almap_lg_ha-purificado-puricare-360_consideracao_trafego_seedtag_ros_display_cpm_na_na_all_int_as-25-44_purificador_animado_810x560_ful-imagem-video_purificador__id-2020000567"/>
    <s v="491599062"/>
    <s v="Tracking"/>
    <n v="210344"/>
    <n v="2635"/>
    <n v="0.04"/>
    <n v="7.0000000000000007E-2"/>
    <n v="8.4137599999999999"/>
    <n v="14.724080000000002"/>
  </r>
  <r>
    <x v="0"/>
    <x v="2"/>
    <s v="almap_lg_ha-purificado-puricare-360_consideracao_trafego_seedtag_ros_display_cpm_na_na_all_int_as-25-44_purificador_animado_810x560_full-imagem-display_purificador__id-2020000566"/>
    <s v="298499527"/>
    <s v="Standard"/>
    <s v="almap_lg_ha-purificado-puricare-360_consideracao_trafego_seedtag_ros_display_cpm_na_na_all_int_as-25-44_purificador_animado_810x560_full-imagem-display_purificador__id-2020000566"/>
    <s v="491599044"/>
    <s v="Tracking"/>
    <n v="350753"/>
    <n v="1684"/>
    <n v="0.04"/>
    <n v="7.0000000000000007E-2"/>
    <n v="14.03012"/>
    <n v="24.552710000000001"/>
  </r>
  <r>
    <x v="1"/>
    <x v="3"/>
    <s v="almap_lg_av-fone-tone-free_consideracao_trafego_verizon_ros_native_cpc_na_na_all_int_as-25-44_esporte_imagem_1200x627_native_generico__id-2020000551"/>
    <s v="298386636"/>
    <s v="Standard"/>
    <s v="almap_lg_av-fone-tone-free_consideracao_trafego_verizon_ros_native_cpc_na_na_all_int_as-25-44_esporte_imagem_1200x627_native_generico__id-2020000551"/>
    <s v="491259125"/>
    <s v="Tracking"/>
    <n v="1882382"/>
    <n v="26689"/>
    <n v="0.04"/>
    <n v="7.0000000000000007E-2"/>
    <n v="75.295280000000005"/>
    <n v="131.76674000000003"/>
  </r>
  <r>
    <x v="1"/>
    <x v="3"/>
    <s v="almap_lg_av-fone-tone-free_consideracao_trafego_verizon_ros_native_cpc_na_na_all_int_as-25-44_games_imagem_1200x627_native_generico__id-2020000550"/>
    <s v="298386600"/>
    <s v="Standard"/>
    <s v="almap_lg_av-fone-tone-free_consideracao_trafego_verizon_ros_native_cpc_na_na_all_int_as-25-44_games_imagem_1200x627_native_generico__id-2020000550"/>
    <s v="491594547"/>
    <s v="Tracking"/>
    <n v="790602"/>
    <n v="6808"/>
    <n v="0.04"/>
    <n v="7.0000000000000007E-2"/>
    <n v="31.624080000000003"/>
    <n v="55.342140000000008"/>
  </r>
  <r>
    <x v="1"/>
    <x v="3"/>
    <s v="almap_lg_av-fone-tone-free_consideracao_trafego_verizon_ros_native_cpc_na_na_all_int_as-25-44_runners_imagem_1200x627_native_generico__id-2020000552"/>
    <s v="298386078"/>
    <s v="Standard"/>
    <s v="almap_lg_av-fone-tone-free_consideracao_trafego_verizon_ros_native_cpc_na_na_all_int_as-25-44_runners_imagem_1200x627_native_generico__id-2020000552"/>
    <s v="491259134"/>
    <s v="Tracking"/>
    <n v="38053"/>
    <n v="242"/>
    <n v="0.04"/>
    <n v="7.0000000000000007E-2"/>
    <n v="1.5221200000000001"/>
    <n v="2.66371"/>
  </r>
  <r>
    <x v="2"/>
    <x v="3"/>
    <s v="almap_lg_he-nanocell-cores-puras_awareness_alcance_verizon_ros_display_cpm_na_na_all_int_as-25-44_centro-oeste_animado_728x90_super-banner_onca__id-2020000609"/>
    <s v="298525038"/>
    <s v="Standard"/>
    <s v="almap_lg_he-nanocell-cores-puras_awareness_alcance_verizon_ros_display_cpm_na_na_all_int_as-25-44_centro-oeste_animado_728x90_super-banner_onca__id-2020000609"/>
    <s v="491733525"/>
    <s v="Display"/>
    <n v="70817"/>
    <n v="61"/>
    <n v="0.04"/>
    <n v="7.0000000000000007E-2"/>
    <n v="2.8326799999999999"/>
    <n v="4.9571900000000007"/>
  </r>
  <r>
    <x v="2"/>
    <x v="3"/>
    <s v="almap_lg_he-nanocell-cores-puras_awareness_alcance_verizon_ros_display_cpm_na_na_all_int_as-25-44_centro-oeste_animado_970x250_billboard_onca__id-2020000612"/>
    <s v="298411085"/>
    <s v="Standard"/>
    <s v="almap_lg_he-nanocell-cores-puras_awareness_alcance_verizon_ros_display_cpm_na_na_all_int_as-25-44_centro-oeste_animado_970x250_billboard_onca__id-2020000612"/>
    <s v="491732409"/>
    <s v="Display"/>
    <n v="22563"/>
    <n v="23"/>
    <n v="0.04"/>
    <n v="7.0000000000000007E-2"/>
    <n v="0.90251999999999999"/>
    <n v="1.57941"/>
  </r>
  <r>
    <x v="2"/>
    <x v="3"/>
    <s v="almap_lg_he-nanocell-cores-puras_awareness_alcance_verizon_ros_display_cpm_na_na_all_int_as-25-44_nordeste_animado_728x90_super-banner_pelourinho__id-2020000610"/>
    <s v="298411073"/>
    <s v="Standard"/>
    <s v="almap_lg_he-nanocell-cores-puras_awareness_alcance_verizon_ros_display_cpm_na_na_all_int_as-25-44_nordeste_animado_728x90_super-banner_pelourinho__id-2020000610"/>
    <s v="491398091"/>
    <s v="Display"/>
    <n v="69909"/>
    <n v="78"/>
    <n v="0.04"/>
    <n v="7.0000000000000007E-2"/>
    <n v="2.79636"/>
    <n v="4.8936299999999999"/>
  </r>
  <r>
    <x v="2"/>
    <x v="3"/>
    <s v="almap_lg_he-nanocell-cores-puras_awareness_alcance_verizon_ros_display_cpm_na_na_all_int_as-25-44_nordeste_animado_970x250_billboard_pelourinho__id-2020000613"/>
    <s v="298640839"/>
    <s v="Standard"/>
    <s v="almap_lg_he-nanocell-cores-puras_awareness_alcance_verizon_ros_display_cpm_na_na_all_int_as-25-44_nordeste_animado_970x250_billboard_pelourinho__id-2020000613"/>
    <s v="491398130"/>
    <s v="Display"/>
    <n v="22893"/>
    <n v="13"/>
    <n v="0.04"/>
    <n v="7.0000000000000007E-2"/>
    <n v="0.91571999999999998"/>
    <n v="1.6025100000000003"/>
  </r>
  <r>
    <x v="2"/>
    <x v="3"/>
    <s v="almap_lg_he-nanocell-cores-puras_awareness_alcance_verizon_ros_display_cpm_na_na_all_int_as-25-44_sudeste_animado_970x250_billboard_rio__id-2020000611"/>
    <s v="298525305"/>
    <s v="Standard"/>
    <s v="almap_lg_he-nanocell-cores-puras_awareness_alcance_verizon_ros_display_cpm_na_na_all_int_as-25-44_sudeste_animado_970x250_billboard_rio__id-2020000611"/>
    <s v="491732397"/>
    <s v="Display"/>
    <n v="23132"/>
    <n v="16"/>
    <n v="0.04"/>
    <n v="7.0000000000000007E-2"/>
    <n v="0.92527999999999999"/>
    <n v="1.6192400000000002"/>
  </r>
  <r>
    <x v="2"/>
    <x v="4"/>
    <s v="almap_lg_he-nanocell-cores-puras_awareness_alcance_uol_ros_display_cpm_na_na_all_int_as-25-44_arara_animado_300x250_retangulo_arara__id-2020000309"/>
    <s v="297710896"/>
    <s v="Standard"/>
    <s v="almap_lg_he-nanocell-cores-puras_awareness_alcance_uol_ros_display_cpm_na_na_all_int_as-25-44_arara_animado_300x250_retangulo_arara__id-2020000309"/>
    <s v="490811031"/>
    <s v="Display"/>
    <n v="3832"/>
    <n v="82"/>
    <n v="0.04"/>
    <n v="7.0000000000000007E-2"/>
    <n v="0.15328"/>
    <n v="0.26824000000000003"/>
  </r>
  <r>
    <x v="2"/>
    <x v="4"/>
    <s v="almap_lg_he-nanocell-cores-puras_awareness_alcance_uol_ros_display_cpm_na_na_all_int_as-25-44_arara_animado_300x250_retangulo_branded-content__id-2020000635"/>
    <s v="298515812"/>
    <s v="Default"/>
    <s v="300x250 Default Web Ad"/>
    <s v="490592748"/>
    <s v="Display"/>
    <n v="4"/>
    <n v="0"/>
    <n v="0.04"/>
    <n v="7.0000000000000007E-2"/>
    <n v="1.6000000000000001E-4"/>
    <n v="2.8000000000000003E-4"/>
  </r>
  <r>
    <x v="2"/>
    <x v="4"/>
    <s v="almap_lg_he-nanocell-cores-puras_awareness_alcance_uol_ros_display_cpm_na_na_all_int_as-25-44_arara_animado_300x250_retangulo_branded-content__id-2020000635"/>
    <s v="298515812"/>
    <s v="Standard"/>
    <s v="almap_lg_he-nanocell-cores-puras_awareness_alcance_uol_ros_display_cpm_na_na_all_int_as-25-44_arara_animado_300x250_retangulo_branded-content__id-2020000635"/>
    <s v="491777350"/>
    <s v="Display"/>
    <n v="520948"/>
    <n v="812"/>
    <n v="0.04"/>
    <n v="7.0000000000000007E-2"/>
    <n v="20.83792"/>
    <n v="36.466360000000002"/>
  </r>
  <r>
    <x v="2"/>
    <x v="4"/>
    <s v="almap_lg_he-nanocell-cores-puras_awareness_alcance_uol_ros_display_cpm_na_na_all_int_as-25-44_arara_animado_728x90_super-banner_branded-content__id-2020000636"/>
    <s v="298515860"/>
    <s v="Standard"/>
    <s v="almap_lg_he-nanocell-cores-puras_awareness_alcance_uol_ros_display_cpm_na_na_all_int_as-25-44_arara_animado_728x90_super-banner_branded-content__id-2020000636"/>
    <s v="491777398"/>
    <s v="Display"/>
    <n v="118156"/>
    <n v="60"/>
    <n v="0.04"/>
    <n v="7.0000000000000007E-2"/>
    <n v="4.7262399999999998"/>
    <n v="8.2709200000000003"/>
  </r>
  <r>
    <x v="2"/>
    <x v="4"/>
    <s v="almap_lg_he-nanocell-cores-puras_awareness_alcance_uol_ros_display_cpm_na_na_all_int_as-25-44_arara_animado_970x250_billboard_branded-content__id-2020000637"/>
    <s v="298515854"/>
    <s v="Standard"/>
    <s v="almap_lg_he-nanocell-cores-puras_awareness_alcance_uol_ros_display_cpm_na_na_all_int_as-25-44_arara_animado_970x250_billboard_branded-content__id-2020000637"/>
    <s v="491777392"/>
    <s v="Display"/>
    <n v="26803"/>
    <n v="42"/>
    <n v="0.04"/>
    <n v="7.0000000000000007E-2"/>
    <n v="1.0721200000000002"/>
    <n v="1.8762100000000002"/>
  </r>
  <r>
    <x v="2"/>
    <x v="4"/>
    <s v="almap_lg_he-nanocell-cores-puras_awareness_alcance_uol_ros_display_cpm_na_na_all_int_as-25-44_centro-oeste_animado_300x250_retangulo_branded-content__id-2020000626"/>
    <s v="298515839"/>
    <s v="Standard"/>
    <s v="almap_lg_he-nanocell-cores-puras_awareness_alcance_uol_ros_display_cpm_na_na_all_int_as-25-44_centro-oeste_animado_300x250_retangulo_branded-content__id-2020000626"/>
    <s v="491777377"/>
    <s v="Display"/>
    <n v="624483"/>
    <n v="1037"/>
    <n v="0.04"/>
    <n v="7.0000000000000007E-2"/>
    <n v="24.979320000000001"/>
    <n v="43.713810000000002"/>
  </r>
  <r>
    <x v="2"/>
    <x v="4"/>
    <s v="almap_lg_he-nanocell-cores-puras_awareness_alcance_uol_ros_display_cpm_na_na_all_int_as-25-44_centro-oeste_animado_728x90_super-banner_branded-content__id-2020000627"/>
    <s v="298515836"/>
    <s v="Standard"/>
    <s v="almap_lg_he-nanocell-cores-puras_awareness_alcance_uol_ros_display_cpm_na_na_all_int_as-25-44_centro-oeste_animado_728x90_super-banner_branded-content__id-2020000627"/>
    <s v="491777374"/>
    <s v="Display"/>
    <n v="90150"/>
    <n v="49"/>
    <n v="0.04"/>
    <n v="7.0000000000000007E-2"/>
    <n v="3.6059999999999999"/>
    <n v="6.3105000000000011"/>
  </r>
  <r>
    <x v="2"/>
    <x v="4"/>
    <s v="almap_lg_he-nanocell-cores-puras_awareness_alcance_uol_ros_display_cpm_na_na_all_int_as-25-44_centro-oeste_animado_970x250_billboard_branded-content__id-2020000628"/>
    <s v="298515833"/>
    <s v="Standard"/>
    <s v="almap_lg_he-nanocell-cores-puras_awareness_alcance_uol_ros_display_cpm_na_na_all_int_as-25-44_centro-oeste_animado_970x250_billboard_branded-content__id-2020000628"/>
    <s v="491777371"/>
    <s v="Display"/>
    <n v="47796"/>
    <n v="302"/>
    <n v="0.04"/>
    <n v="7.0000000000000007E-2"/>
    <n v="1.9118400000000002"/>
    <n v="3.3457200000000005"/>
  </r>
  <r>
    <x v="2"/>
    <x v="4"/>
    <s v="almap_lg_he-nanocell-cores-puras_awareness_alcance_uol_ros_display_cpm_na_na_all_int_as-25-44_nordeste_animado_300x250_retangulo_branded-content__id-2020000632"/>
    <s v="298515821"/>
    <s v="Standard"/>
    <s v="almap_lg_he-nanocell-cores-puras_awareness_alcance_uol_ros_display_cpm_na_na_all_int_as-25-44_nordeste_animado_300x250_retangulo_branded-content__id-2020000632"/>
    <s v="491777359"/>
    <s v="Display"/>
    <n v="369361"/>
    <n v="574"/>
    <n v="0.04"/>
    <n v="7.0000000000000007E-2"/>
    <n v="14.77444"/>
    <n v="25.855270000000004"/>
  </r>
  <r>
    <x v="2"/>
    <x v="4"/>
    <s v="almap_lg_he-nanocell-cores-puras_awareness_alcance_uol_ros_display_cpm_na_na_all_int_as-25-44_nordeste_animado_728x90_super-banner_branded-content__id-2020000633"/>
    <s v="298515818"/>
    <s v="Standard"/>
    <s v="almap_lg_he-nanocell-cores-puras_awareness_alcance_uol_ros_display_cpm_na_na_all_int_as-25-44_nordeste_animado_728x90_super-banner_branded-content__id-2020000633"/>
    <s v="491777356"/>
    <s v="Display"/>
    <n v="70556"/>
    <n v="30"/>
    <n v="0.04"/>
    <n v="7.0000000000000007E-2"/>
    <n v="2.8222400000000003"/>
    <n v="4.9389200000000004"/>
  </r>
  <r>
    <x v="2"/>
    <x v="4"/>
    <s v="almap_lg_he-nanocell-cores-puras_awareness_alcance_uol_ros_display_cpm_na_na_all_int_as-25-44_nordeste_animado_970x250_billboard_branded-content__id-2020000634"/>
    <s v="298515815"/>
    <s v="Standard"/>
    <s v="almap_lg_he-nanocell-cores-puras_awareness_alcance_uol_ros_display_cpm_na_na_all_int_as-25-44_nordeste_animado_970x250_billboard_branded-content__id-2020000634"/>
    <s v="491777353"/>
    <s v="Display"/>
    <n v="39766"/>
    <n v="112"/>
    <n v="0.04"/>
    <n v="7.0000000000000007E-2"/>
    <n v="1.5906400000000001"/>
    <n v="2.7836200000000004"/>
  </r>
  <r>
    <x v="2"/>
    <x v="4"/>
    <s v="almap_lg_he-nanocell-cores-puras_awareness_alcance_uol_ros_display_cpm_na_na_all_int_as-25-44_sudeste_animado_300x250_retangulo_branded-content__id-2020000629"/>
    <s v="298515830"/>
    <s v="Standard"/>
    <s v="almap_lg_he-nanocell-cores-puras_awareness_alcance_uol_ros_display_cpm_na_na_all_int_as-25-44_sudeste_animado_300x250_retangulo_branded-content__id-2020000629"/>
    <s v="491777368"/>
    <s v="Display"/>
    <n v="205455"/>
    <n v="564"/>
    <n v="0.04"/>
    <n v="7.0000000000000007E-2"/>
    <n v="8.2182000000000013"/>
    <n v="14.381850000000002"/>
  </r>
  <r>
    <x v="2"/>
    <x v="4"/>
    <s v="almap_lg_he-nanocell-cores-puras_awareness_alcance_uol_ros_display_cpm_na_na_all_int_as-25-44_sudeste_animado_728x90_super-banner_branded-content__id-2020000630"/>
    <s v="298515827"/>
    <s v="Default"/>
    <s v="728x90 Default Web Ad"/>
    <s v="491034501"/>
    <s v="Display"/>
    <n v="1"/>
    <n v="0"/>
    <n v="0.04"/>
    <n v="7.0000000000000007E-2"/>
    <n v="4.0000000000000003E-5"/>
    <n v="7.0000000000000007E-5"/>
  </r>
  <r>
    <x v="2"/>
    <x v="4"/>
    <s v="almap_lg_he-nanocell-cores-puras_awareness_alcance_uol_ros_display_cpm_na_na_all_int_as-25-44_sudeste_animado_728x90_super-banner_branded-content__id-2020000630"/>
    <s v="298515827"/>
    <s v="Standard"/>
    <s v="almap_lg_he-nanocell-cores-puras_awareness_alcance_uol_ros_display_cpm_na_na_all_int_as-25-44_sudeste_animado_728x90_super-banner_branded-content__id-2020000630"/>
    <s v="491777365"/>
    <s v="Display"/>
    <n v="65858"/>
    <n v="22"/>
    <n v="0.04"/>
    <n v="7.0000000000000007E-2"/>
    <n v="2.6343200000000002"/>
    <n v="4.6100600000000007"/>
  </r>
  <r>
    <x v="2"/>
    <x v="4"/>
    <s v="almap_lg_he-nanocell-cores-puras_awareness_alcance_uol_ros_display_cpm_na_na_all_int_as-25-44_sudeste_animado_970x250_billboard_branded-content__id-2020000631"/>
    <s v="298515824"/>
    <s v="Standard"/>
    <s v="almap_lg_he-nanocell-cores-puras_awareness_alcance_uol_ros_display_cpm_na_na_all_int_as-25-44_sudeste_animado_970x250_billboard_branded-content__id-2020000631"/>
    <s v="491777362"/>
    <s v="Display"/>
    <n v="61697"/>
    <n v="45"/>
    <n v="0.04"/>
    <n v="7.0000000000000007E-2"/>
    <n v="2.4678800000000001"/>
    <n v="4.3187899999999999"/>
  </r>
  <r>
    <x v="2"/>
    <x v="4"/>
    <s v="almap_lg_he-nanocell-cores-puras_awareness_alcance_uol_ros_video_cpm_na_na_all_int_as-25-44_design_video_16:9_video-15_design__id-2020000682"/>
    <s v="298967615"/>
    <s v="Standard"/>
    <s v="almap_lg_he-nanocell-cores-puras_awareness_alcance_uol_ros_video_cpm_na_na_all_int_as-25-44_design_video_16:9_video-15_design__id-2020000682"/>
    <s v="492243174"/>
    <s v="Tracking"/>
    <n v="102786"/>
    <n v="141"/>
    <n v="0.04"/>
    <n v="7.0000000000000007E-2"/>
    <n v="4.1114400000000009"/>
    <n v="7.1950200000000004"/>
  </r>
  <r>
    <x v="2"/>
    <x v="4"/>
    <s v="almap_lg_he-nanocell-cores-puras_awareness_alcance_uol_ros_video_cpm_na_na_all_int_as-25-44_inteligencia-artificial_video_16:9_video-15_inteligencia-artificial__id-2020000681"/>
    <s v="298967618"/>
    <s v="Standard"/>
    <s v="almap_lg_he-nanocell-cores-puras_awareness_alcance_uol_ros_video_cpm_na_na_all_int_as-25-44_inteligencia-artificial_video_16:9_video-15_inteligencia-artificial__id-2020000681"/>
    <s v="492243177"/>
    <s v="Tracking"/>
    <n v="73339"/>
    <n v="60"/>
    <n v="0.04"/>
    <n v="7.0000000000000007E-2"/>
    <n v="2.9335599999999999"/>
    <n v="5.1337300000000008"/>
  </r>
  <r>
    <x v="2"/>
    <x v="4"/>
    <s v="almap_lg_he-nanocell-cores-puras_awareness_alcance_uol_ros_video_cpm_na_na_all_int_as-25-44_resolucao-8k_video_16:9_video-15_resolucao-8k__id-2020000680"/>
    <s v="298967621"/>
    <s v="Standard"/>
    <s v="almap_lg_he-nanocell-cores-puras_awareness_alcance_uol_ros_video_cpm_na_na_all_int_as-25-44_resolucao-8k_video_16:9_video-15_resolucao-8k__id-2020000680"/>
    <s v="492243180"/>
    <s v="Tracking"/>
    <n v="79691"/>
    <n v="89"/>
    <n v="0.04"/>
    <n v="7.0000000000000007E-2"/>
    <n v="3.18764"/>
    <n v="5.5783700000000005"/>
  </r>
  <r>
    <x v="2"/>
    <x v="4"/>
    <s v="almap_lg_he-nanocell-cores-puras_awareness_alcance_uol_ros_video_cpm_na_na_all_int_as-25-44_um-bilhao-de-cores_video_16:9_video-15_um-bilhao-de-cores__id-2020000683"/>
    <s v="298967612"/>
    <s v="Standard"/>
    <s v="almap_lg_he-nanocell-cores-puras_awareness_alcance_uol_ros_video_cpm_na_na_all_int_as-25-44_um-bilhao-de-cores_video_16:9_video-15_um-bilhao-de-cores__id-2020000683"/>
    <s v="492243171"/>
    <s v="Tracking"/>
    <n v="69004"/>
    <n v="86"/>
    <n v="0.04"/>
    <n v="7.0000000000000007E-2"/>
    <n v="2.7601599999999999"/>
    <n v="4.830280000000001"/>
  </r>
  <r>
    <x v="2"/>
    <x v="0"/>
    <s v="almap_lg_he-nanocell-cores-puras_consideracao_trafego_connected-interative_ros_display_cpm_na_na_all_int_as-25-44_arara_animado_250x250_quadrado_arara__id-2020000502"/>
    <s v="298101610"/>
    <s v="Standard"/>
    <s v="almap_lg_he-nanocell-cores-puras_consideracao_trafego_connected-interative_ros_display_cpm_na_na_all_int_as-25-44_arara_animado_250x250_quadrado_arara__id-2020000502"/>
    <s v="491225148"/>
    <s v="Display"/>
    <n v="40339"/>
    <n v="58"/>
    <n v="0.04"/>
    <n v="7.0000000000000007E-2"/>
    <n v="1.6135599999999999"/>
    <n v="2.8237300000000003"/>
  </r>
  <r>
    <x v="2"/>
    <x v="0"/>
    <s v="almap_lg_he-nanocell-cores-puras_consideracao_trafego_connected-interative_ros_display_cpm_na_na_all_int_as-25-44_arara_animado_300x250_retangulo_arara__id-2020000312"/>
    <s v="297712282"/>
    <s v="Standard"/>
    <s v="almap_lg_he-nanocell-cores-puras_consideracao_trafego_connected-interative_ros_display_cpm_na_na_all_int_as-25-44_arara_animado_300x250_retangulo_arara__id-2020000312"/>
    <s v="490812309"/>
    <s v="Display"/>
    <n v="2134914"/>
    <n v="5533"/>
    <n v="0.04"/>
    <n v="7.0000000000000007E-2"/>
    <n v="85.396559999999994"/>
    <n v="149.44398000000001"/>
  </r>
  <r>
    <x v="2"/>
    <x v="0"/>
    <s v="almap_lg_he-nanocell-cores-puras_consideracao_trafego_connected-interative_ros_display_cpm_na_na_all_int_as-25-44_arara_animado_300x600_half-banner_arara__id-2020000413"/>
    <s v="297782885"/>
    <s v="Standard"/>
    <s v="almap_lg_he-nanocell-cores-puras_consideracao_trafego_connected-interative_ros_display_cpm_na_na_all_int_as-25-44_arara_animado_300x600_half-banner_arara__id-2020000413"/>
    <s v="491058898"/>
    <s v="Display"/>
    <n v="49308"/>
    <n v="49"/>
    <n v="0.04"/>
    <n v="7.0000000000000007E-2"/>
    <n v="1.9723199999999999"/>
    <n v="3.4515600000000002"/>
  </r>
  <r>
    <x v="2"/>
    <x v="0"/>
    <s v="almap_lg_he-nanocell-cores-puras_consideracao_trafego_connected-interative_ros_display_cpm_na_na_all_int_as-25-44_arara_animado_320x100_banner-mobile_arara__id-2020000415"/>
    <s v="298014121"/>
    <s v="Standard"/>
    <s v="almap_lg_he-nanocell-cores-puras_consideracao_trafego_connected-interative_ros_display_cpm_na_na_all_int_as-25-44_arara_animado_320x100_banner-mobile_arara__id-2020000415"/>
    <s v="491136669"/>
    <s v="Display"/>
    <n v="64894"/>
    <n v="157"/>
    <n v="0.04"/>
    <n v="7.0000000000000007E-2"/>
    <n v="2.5957600000000003"/>
    <n v="4.542580000000001"/>
  </r>
  <r>
    <x v="2"/>
    <x v="0"/>
    <s v="almap_lg_he-nanocell-cores-puras_consideracao_trafego_connected-interative_ros_display_cpm_na_na_all_int_as-25-44_arara_animado_320x50_banner-mobile-pequeno_arara__id-2020000414"/>
    <s v="297871383"/>
    <s v="Default"/>
    <s v="320x50 Default Web Ad"/>
    <s v="490698452"/>
    <s v="Display"/>
    <n v="1"/>
    <n v="0"/>
    <n v="0.04"/>
    <n v="7.0000000000000007E-2"/>
    <n v="4.0000000000000003E-5"/>
    <n v="7.0000000000000007E-5"/>
  </r>
  <r>
    <x v="2"/>
    <x v="0"/>
    <s v="almap_lg_he-nanocell-cores-puras_consideracao_trafego_connected-interative_ros_display_cpm_na_na_all_int_as-25-44_arara_animado_320x50_banner-mobile-pequeno_arara__id-2020000414"/>
    <s v="297871383"/>
    <s v="Standard"/>
    <s v="almap_lg_he-nanocell-cores-puras_consideracao_trafego_connected-interative_ros_display_cpm_na_na_all_int_as-25-44_arara_animado_320x50_banner-mobile-pequeno_arara__id-2020000414"/>
    <s v="491058904"/>
    <s v="Display"/>
    <n v="1852313"/>
    <n v="2174"/>
    <n v="0.04"/>
    <n v="7.0000000000000007E-2"/>
    <n v="74.092520000000007"/>
    <n v="129.66191000000001"/>
  </r>
  <r>
    <x v="2"/>
    <x v="0"/>
    <s v="almap_lg_he-nanocell-cores-puras_consideracao_trafego_connected-interative_ros_display_cpm_na_na_all_int_as-25-44_arara_animado_728x90_super-banner_arara__id-2020000417"/>
    <s v="297872355"/>
    <s v="Standard"/>
    <s v="almap_lg_he-nanocell-cores-puras_consideracao_trafego_connected-interative_ros_display_cpm_na_na_all_int_as-25-44_arara_animado_728x90_super-banner_arara__id-2020000417"/>
    <s v="490801175"/>
    <s v="Display"/>
    <n v="116407"/>
    <n v="166"/>
    <n v="0.04"/>
    <n v="7.0000000000000007E-2"/>
    <n v="4.6562799999999998"/>
    <n v="8.1484900000000007"/>
  </r>
  <r>
    <x v="2"/>
    <x v="0"/>
    <s v="almap_lg_he-nanocell-cores-puras_consideracao_trafego_connected-interative_ros_display_cpm_na_na_all_int_as-25-44_arara_animado_970x250_billboard_arara__id-2020000419"/>
    <s v="297871413"/>
    <s v="Standard"/>
    <s v="almap_lg_he-nanocell-cores-puras_consideracao_trafego_connected-interative_ros_display_cpm_na_na_all_int_as-25-44_arara_animado_970x250_billboard_arara__id-2020000419"/>
    <s v="491136738"/>
    <s v="Display"/>
    <n v="3521"/>
    <n v="15"/>
    <n v="0.04"/>
    <n v="7.0000000000000007E-2"/>
    <n v="0.14083999999999999"/>
    <n v="0.24647000000000002"/>
  </r>
  <r>
    <x v="2"/>
    <x v="0"/>
    <s v="almap_lg_he-nanocell-cores-puras_consideracao_trafego_connected-interative_ros_display_cpm_na_na_all_int_as-25-44_arara_animado_970x90_leadeboard_arara__id-2020000418"/>
    <s v="297782453"/>
    <s v="Standard"/>
    <s v="almap_lg_he-nanocell-cores-puras_consideracao_trafego_connected-interative_ros_display_cpm_na_na_all_int_as-25-44_arara_animado_970x90_leadeboard_arara__id-2020000418"/>
    <s v="491058967"/>
    <s v="Display"/>
    <n v="22763"/>
    <n v="18"/>
    <n v="0.04"/>
    <n v="7.0000000000000007E-2"/>
    <n v="0.91052"/>
    <n v="1.59341"/>
  </r>
  <r>
    <x v="2"/>
    <x v="0"/>
    <s v="almap_lg_he-nanocell-cores-puras_consideracao_trafego_connected-interative_ros_display_cpm_na_na_all_int_as-25-44_centro-oeste_animado_300x250_retangulo_onca__id-2020000575"/>
    <s v="298504504"/>
    <s v="Default"/>
    <s v="300x250 Default Web Ad"/>
    <s v="490592748"/>
    <s v="Display"/>
    <n v="1"/>
    <n v="0"/>
    <n v="0.04"/>
    <n v="7.0000000000000007E-2"/>
    <n v="4.0000000000000003E-5"/>
    <n v="7.0000000000000007E-5"/>
  </r>
  <r>
    <x v="2"/>
    <x v="0"/>
    <s v="almap_lg_he-nanocell-cores-puras_consideracao_trafego_connected-interative_ros_display_cpm_na_na_all_int_as-25-44_centro-oeste_animado_300x250_retangulo_onca__id-2020000575"/>
    <s v="298504504"/>
    <s v="Standard"/>
    <s v="almap_lg_he-nanocell-cores-puras_consideracao_trafego_connected-interative_ros_display_cpm_na_na_all_int_as-25-44_centro-oeste_animado_300x250_retangulo_onca__id-2020000575"/>
    <s v="491263826"/>
    <s v="Display"/>
    <n v="223385"/>
    <n v="284"/>
    <n v="0.04"/>
    <n v="7.0000000000000007E-2"/>
    <n v="8.9353999999999996"/>
    <n v="15.636950000000001"/>
  </r>
  <r>
    <x v="2"/>
    <x v="0"/>
    <s v="almap_lg_he-nanocell-cores-puras_consideracao_trafego_connected-interative_ros_display_cpm_na_na_all_int_as-25-44_centro-oeste_animado_728x90_super-banner_onca__id-2020000621"/>
    <s v="298515857"/>
    <s v="Standard"/>
    <s v="almap_lg_he-nanocell-cores-puras_consideracao_trafego_connected-interative_ros_display_cpm_na_na_all_int_as-25-44_centro-oeste_animado_728x90_super-banner_onca__id-2020000621"/>
    <s v="491777395"/>
    <s v="Display"/>
    <n v="203255"/>
    <n v="328"/>
    <n v="0.04"/>
    <n v="7.0000000000000007E-2"/>
    <n v="8.1302000000000003"/>
    <n v="14.227850000000002"/>
  </r>
  <r>
    <x v="2"/>
    <x v="0"/>
    <s v="almap_lg_he-nanocell-cores-puras_consideracao_trafego_connected-interative_ros_display_cpm_na_na_all_int_as-25-44_centro-oeste_animado_970x250_billboard_onca__id-2020000620"/>
    <s v="298515863"/>
    <s v="Standard"/>
    <s v="almap_lg_he-nanocell-cores-puras_consideracao_trafego_connected-interative_ros_display_cpm_na_na_all_int_as-25-44_centro-oeste_animado_970x250_billboard_onca__id-2020000620"/>
    <s v="491777401"/>
    <s v="Display"/>
    <n v="11288"/>
    <n v="26"/>
    <n v="0.04"/>
    <n v="7.0000000000000007E-2"/>
    <n v="0.45151999999999998"/>
    <n v="0.79016000000000008"/>
  </r>
  <r>
    <x v="2"/>
    <x v="0"/>
    <s v="almap_lg_he-nanocell-cores-puras_consideracao_trafego_connected-interative_ros_display_cpm_na_na_all_int_as-25-44_nordeste_animado_300x250_retangulo_pelourinho__id-2020000576"/>
    <s v="298504381"/>
    <s v="Standard"/>
    <s v="almap_lg_he-nanocell-cores-puras_consideracao_trafego_connected-interative_ros_display_cpm_na_na_all_int_as-25-44_nordeste_animado_300x250_retangulo_pelourinho__id-2020000576"/>
    <s v="491601822"/>
    <s v="Display"/>
    <n v="222950"/>
    <n v="262"/>
    <n v="0.04"/>
    <n v="7.0000000000000007E-2"/>
    <n v="8.9179999999999993"/>
    <n v="15.606500000000002"/>
  </r>
  <r>
    <x v="2"/>
    <x v="0"/>
    <s v="almap_lg_he-nanocell-cores-puras_consideracao_trafego_connected-interative_ros_display_cpm_na_na_all_int_as-25-44_nordeste_animado_728x90_super-banner_pelourinho__id-2020000625"/>
    <s v="298515842"/>
    <s v="Default"/>
    <s v="728x90 Default Web Ad"/>
    <s v="491034501"/>
    <s v="Display"/>
    <n v="1"/>
    <n v="0"/>
    <n v="0.04"/>
    <n v="7.0000000000000007E-2"/>
    <n v="4.0000000000000003E-5"/>
    <n v="7.0000000000000007E-5"/>
  </r>
  <r>
    <x v="2"/>
    <x v="0"/>
    <s v="almap_lg_he-nanocell-cores-puras_consideracao_trafego_connected-interative_ros_display_cpm_na_na_all_int_as-25-44_nordeste_animado_728x90_super-banner_pelourinho__id-2020000625"/>
    <s v="298515842"/>
    <s v="Standard"/>
    <s v="almap_lg_he-nanocell-cores-puras_consideracao_trafego_connected-interative_ros_display_cpm_na_na_all_int_as-25-44_nordeste_animado_728x90_super-banner_pelourinho__id-2020000625"/>
    <s v="491777380"/>
    <s v="Display"/>
    <n v="118958"/>
    <n v="179"/>
    <n v="0.04"/>
    <n v="7.0000000000000007E-2"/>
    <n v="4.7583199999999994"/>
    <n v="8.3270600000000012"/>
  </r>
  <r>
    <x v="2"/>
    <x v="0"/>
    <s v="almap_lg_he-nanocell-cores-puras_consideracao_trafego_connected-interative_ros_display_cpm_na_na_all_int_as-25-44_nordeste_animado_970x250_billboard_pelourinho__id-2020000624"/>
    <s v="298515845"/>
    <s v="Standard"/>
    <s v="almap_lg_he-nanocell-cores-puras_consideracao_trafego_connected-interative_ros_display_cpm_na_na_all_int_as-25-44_nordeste_animado_970x250_billboard_pelourinho__id-2020000624"/>
    <s v="491777383"/>
    <s v="Display"/>
    <n v="4089"/>
    <n v="4"/>
    <n v="0.04"/>
    <n v="7.0000000000000007E-2"/>
    <n v="0.16356000000000001"/>
    <n v="0.28623000000000004"/>
  </r>
  <r>
    <x v="2"/>
    <x v="0"/>
    <s v="almap_lg_he-nanocell-cores-puras_consideracao_trafego_connected-interative_ros_display_cpm_na_na_all_int_as-25-44_sudeste_animado_300x250_retangulo_rio__id-2020000577"/>
    <s v="298278359"/>
    <s v="Standard"/>
    <s v="almap_lg_he-nanocell-cores-puras_consideracao_trafego_connected-interative_ros_display_cpm_na_na_all_int_as-25-44_sudeste_animado_300x250_retangulo_rio__id-2020000577"/>
    <s v="491601831"/>
    <s v="Display"/>
    <n v="225352"/>
    <n v="254"/>
    <n v="0.04"/>
    <n v="7.0000000000000007E-2"/>
    <n v="9.0140799999999999"/>
    <n v="15.774640000000002"/>
  </r>
  <r>
    <x v="2"/>
    <x v="0"/>
    <s v="almap_lg_he-nanocell-cores-puras_consideracao_trafego_connected-interative_ros_display_cpm_na_na_all_int_as-25-44_sudeste_animado_728x90_super-banner_rio__id-2020000623"/>
    <s v="298515848"/>
    <s v="Standard"/>
    <s v="almap_lg_he-nanocell-cores-puras_consideracao_trafego_connected-interative_ros_display_cpm_na_na_all_int_as-25-44_sudeste_animado_728x90_super-banner_rio__id-2020000623"/>
    <s v="491777386"/>
    <s v="Display"/>
    <n v="61283"/>
    <n v="95"/>
    <n v="0.04"/>
    <n v="7.0000000000000007E-2"/>
    <n v="2.4513199999999999"/>
    <n v="4.2898100000000001"/>
  </r>
  <r>
    <x v="2"/>
    <x v="0"/>
    <s v="almap_lg_he-nanocell-cores-puras_consideracao_trafego_connected-interative_ros_display_cpm_na_na_all_int_as-25-44_sudeste_animado_970x250_billboard_rio__id-2020000622"/>
    <s v="298515851"/>
    <s v="Standard"/>
    <s v="almap_lg_he-nanocell-cores-puras_consideracao_trafego_connected-interative_ros_display_cpm_na_na_all_int_as-25-44_sudeste_animado_970x250_billboard_rio__id-2020000622"/>
    <s v="491777389"/>
    <s v="Display"/>
    <n v="4566"/>
    <n v="11"/>
    <n v="0.04"/>
    <n v="7.0000000000000007E-2"/>
    <n v="0.18264000000000002"/>
    <n v="0.31962000000000002"/>
  </r>
  <r>
    <x v="2"/>
    <x v="0"/>
    <s v="almap_lg_he-nanocell-cores-puras_consideracao_trafego_connected-interative_ros_video_cpm_na_na_all_int_as-25-44_design_video_16:9_video-15_design__id-2020000686"/>
    <s v="299070659"/>
    <s v="Standard"/>
    <s v="almap_lg_he-nanocell-cores-puras_consideracao_trafego_connected-interative_ros_video_cpm_na_na_all_int_as-25-44_design_video_16:9_video-15_design__id-2020000686"/>
    <s v="491961227"/>
    <s v="Tracking"/>
    <n v="105135"/>
    <n v="586"/>
    <n v="0.04"/>
    <n v="7.0000000000000007E-2"/>
    <n v="4.2054"/>
    <n v="7.3594500000000007"/>
  </r>
  <r>
    <x v="2"/>
    <x v="0"/>
    <s v="almap_lg_he-nanocell-cores-puras_consideracao_trafego_connected-interative_ros_video_cpm_na_na_all_int_as-25-44_inteligencia-artificial_video_16:9_video-15_inteligencia-artificial__id-2020000685"/>
    <s v="299309143"/>
    <s v="Standard"/>
    <s v="almap_lg_he-nanocell-cores-puras_consideracao_trafego_connected-interative_ros_video_cpm_na_na_all_int_as-25-44_inteligencia-artificial_video_16:9_video-15_inteligencia-artificial__id-2020000685"/>
    <s v="491962517"/>
    <s v="Tracking"/>
    <n v="99314"/>
    <n v="521"/>
    <n v="0.04"/>
    <n v="7.0000000000000007E-2"/>
    <n v="3.9725600000000001"/>
    <n v="6.9519800000000007"/>
  </r>
  <r>
    <x v="2"/>
    <x v="0"/>
    <s v="almap_lg_he-nanocell-cores-puras_consideracao_trafego_connected-interative_ros_video_cpm_na_na_all_int_as-25-44_resolucao-8k_video_16:9_video-15_resolucao-8k__id-2020000684"/>
    <s v="299174868"/>
    <s v="Standard"/>
    <s v="almap_lg_he-nanocell-cores-puras_consideracao_trafego_connected-interative_ros_video_cpm_na_na_all_int_as-25-44_resolucao-8k_video_16:9_video-15_resolucao-8k__id-2020000684"/>
    <s v="491959781"/>
    <s v="Tracking"/>
    <n v="418784"/>
    <n v="2556"/>
    <n v="0.04"/>
    <n v="7.0000000000000007E-2"/>
    <n v="16.751360000000002"/>
    <n v="29.314880000000002"/>
  </r>
  <r>
    <x v="2"/>
    <x v="0"/>
    <s v="almap_lg_he-nanocell-cores-puras_consideracao_trafego_connected-interative_ros_video_cpm_na_na_all_int_as-25-44_um-bilhao-de-cores_video_16:9_video-15_um-bilhao-de-cores__id-2020000687"/>
    <s v="299069903"/>
    <s v="Standard"/>
    <s v="almap_lg_he-nanocell-cores-puras_consideracao_trafego_connected-interative_ros_video_cpm_na_na_all_int_as-25-44_um-bilhao-de-cores_video_16:9_video-15_um-bilhao-de-cores__id-2020000687"/>
    <s v="491962562"/>
    <s v="Tracking"/>
    <n v="119896"/>
    <n v="765"/>
    <n v="0.04"/>
    <n v="7.0000000000000007E-2"/>
    <n v="4.7958400000000001"/>
    <n v="8.3927200000000006"/>
  </r>
  <r>
    <x v="3"/>
    <x v="0"/>
    <s v="almap_lg_he-oled-tv-digital_consideracao_trafego_connected-interative_ros_display_cpm_na_na_all_int_as-25-44_cinema_animado_120x600_sky_cinema__id-2020000463"/>
    <s v="297845465"/>
    <s v="Standard"/>
    <s v="almap_lg_he-oled-tv-digital_consideracao_trafego_connected-interative_ros_display_cpm_na_na_all_int_as-25-44_cinema_animado_120x600_sky_cinema__id-2020000463"/>
    <s v="491124787"/>
    <s v="Display"/>
    <n v="4182"/>
    <n v="4"/>
    <n v="0.04"/>
    <n v="7.0000000000000007E-2"/>
    <n v="0.16728000000000001"/>
    <n v="0.29274"/>
  </r>
  <r>
    <x v="3"/>
    <x v="0"/>
    <s v="almap_lg_he-oled-tv-digital_consideracao_trafego_connected-interative_ros_display_cpm_na_na_all_int_as-25-44_cinema_animado_160x600_banner_cinema__id-2020000464"/>
    <s v="297845462"/>
    <s v="Standard"/>
    <s v="almap_lg_he-oled-tv-digital_consideracao_trafego_connected-interative_ros_display_cpm_na_na_all_int_as-25-44_cinema_animado_160x600_banner_cinema__id-2020000464"/>
    <s v="491124784"/>
    <s v="Display"/>
    <n v="4691"/>
    <n v="9"/>
    <n v="0.04"/>
    <n v="7.0000000000000007E-2"/>
    <n v="0.18764"/>
    <n v="0.32837"/>
  </r>
  <r>
    <x v="3"/>
    <x v="0"/>
    <s v="almap_lg_he-oled-tv-digital_consideracao_trafego_connected-interative_ros_display_cpm_na_na_all_int_as-25-44_cinema_animado_250x250_quadrado_cinema__id-2020000465"/>
    <s v="297845459"/>
    <s v="Standard"/>
    <s v="almap_lg_he-oled-tv-digital_consideracao_trafego_connected-interative_ros_display_cpm_na_na_all_int_as-25-44_cinema_animado_250x250_quadrado_cinema__id-2020000465"/>
    <s v="491124781"/>
    <s v="Display"/>
    <n v="10840"/>
    <n v="37"/>
    <n v="0.04"/>
    <n v="7.0000000000000007E-2"/>
    <n v="0.43360000000000004"/>
    <n v="0.75880000000000003"/>
  </r>
  <r>
    <x v="3"/>
    <x v="0"/>
    <s v="almap_lg_he-oled-tv-digital_consideracao_trafego_connected-interative_ros_display_cpm_na_na_all_int_as-25-44_cinema_animado_300x250_retangulo_cinema__id-2020000314"/>
    <s v="297714214"/>
    <s v="Standard"/>
    <s v="almap_lg_he-oled-tv-digital_consideracao_trafego_connected-interative_ros_display_cpm_na_na_all_int_as-25-44_cinema_animado_300x250_retangulo_cinema__id-2020000314"/>
    <s v="490497128"/>
    <s v="Display"/>
    <n v="233699"/>
    <n v="1325"/>
    <n v="0.04"/>
    <n v="7.0000000000000007E-2"/>
    <n v="9.3479600000000005"/>
    <n v="16.358930000000001"/>
  </r>
  <r>
    <x v="3"/>
    <x v="0"/>
    <s v="almap_lg_he-oled-tv-digital_consideracao_trafego_connected-interative_ros_display_cpm_na_na_all_int_as-25-44_cinema_animado_300x600_half-banner_cinema__id-2020000466"/>
    <s v="297845456"/>
    <s v="Standard"/>
    <s v="almap_lg_he-oled-tv-digital_consideracao_trafego_connected-interative_ros_display_cpm_na_na_all_int_as-25-44_cinema_animado_300x600_half-banner_cinema__id-2020000466"/>
    <s v="491124778"/>
    <s v="Display"/>
    <n v="85877"/>
    <n v="1169"/>
    <n v="0.04"/>
    <n v="7.0000000000000007E-2"/>
    <n v="3.4350800000000001"/>
    <n v="6.0113900000000005"/>
  </r>
  <r>
    <x v="3"/>
    <x v="0"/>
    <s v="almap_lg_he-oled-tv-digital_consideracao_trafego_connected-interative_ros_display_cpm_na_na_all_int_as-25-44_cinema_animado_320x100_banner-mobile_cinema__id-2020000467"/>
    <s v="297845453"/>
    <s v="Standard"/>
    <s v="almap_lg_he-oled-tv-digital_consideracao_trafego_connected-interative_ros_display_cpm_na_na_all_int_as-25-44_cinema_animado_320x100_banner-mobile_cinema__id-2020000467"/>
    <s v="491124775"/>
    <s v="Display"/>
    <n v="327426"/>
    <n v="1120"/>
    <n v="0.04"/>
    <n v="7.0000000000000007E-2"/>
    <n v="13.097040000000002"/>
    <n v="22.919820000000005"/>
  </r>
  <r>
    <x v="3"/>
    <x v="0"/>
    <s v="almap_lg_he-oled-tv-digital_consideracao_trafego_connected-interative_ros_display_cpm_na_na_all_int_as-25-44_cinema_animado_728x90_super-banner_cinema__id-2020000470"/>
    <s v="297845447"/>
    <s v="Standard"/>
    <s v="almap_lg_he-oled-tv-digital_consideracao_trafego_connected-interative_ros_display_cpm_na_na_all_int_as-25-44_cinema_animado_728x90_super-banner_cinema__id-2020000470"/>
    <s v="491124769"/>
    <s v="Display"/>
    <n v="57161"/>
    <n v="239"/>
    <n v="0.04"/>
    <n v="7.0000000000000007E-2"/>
    <n v="2.2864400000000002"/>
    <n v="4.0012700000000008"/>
  </r>
  <r>
    <x v="3"/>
    <x v="0"/>
    <s v="almap_lg_he-oled-tv-digital_consideracao_trafego_connected-interative_ros_display_cpm_na_na_all_int_as-25-44_cinema_animado_970x250_billboard_cinema__id-2020000472"/>
    <s v="297845441"/>
    <s v="Standard"/>
    <s v="almap_lg_he-oled-tv-digital_consideracao_trafego_connected-interative_ros_display_cpm_na_na_all_int_as-25-44_cinema_animado_970x250_billboard_cinema__id-2020000472"/>
    <s v="491124763"/>
    <s v="Display"/>
    <n v="12895"/>
    <n v="77"/>
    <n v="0.04"/>
    <n v="7.0000000000000007E-2"/>
    <n v="0.51579999999999993"/>
    <n v="0.90265000000000006"/>
  </r>
  <r>
    <x v="3"/>
    <x v="0"/>
    <s v="almap_lg_he-oled-tv-digital_consideracao_trafego_connected-interative_ros_display_cpm_na_na_all_int_as-25-44_cinema_animado_970x90_leadeboard_cinema__id-2020000471"/>
    <s v="297845444"/>
    <s v="Standard"/>
    <s v="almap_lg_he-oled-tv-digital_consideracao_trafego_connected-interative_ros_display_cpm_na_na_all_int_as-25-44_cinema_animado_970x90_leadeboard_cinema__id-2020000471"/>
    <s v="491124766"/>
    <s v="Display"/>
    <n v="4077"/>
    <n v="6"/>
    <n v="0.04"/>
    <n v="7.0000000000000007E-2"/>
    <n v="0.16308"/>
    <n v="0.28539000000000003"/>
  </r>
  <r>
    <x v="3"/>
    <x v="0"/>
    <s v="almap_lg_he-oled-tv-digital_consideracao_trafego_connected-interative_ros_display_cpm_na_na_all_int_as-25-44_design_animado_120x600_sky_design__id-2020000491"/>
    <s v="297845384"/>
    <s v="Standard"/>
    <s v="almap_lg_he-oled-tv-digital_consideracao_trafego_connected-interative_ros_display_cpm_na_na_all_int_as-25-44_design_animado_120x600_sky_design__id-2020000491"/>
    <s v="491124706"/>
    <s v="Display"/>
    <n v="9920"/>
    <n v="8"/>
    <n v="0.04"/>
    <n v="7.0000000000000007E-2"/>
    <n v="0.39679999999999999"/>
    <n v="0.69440000000000013"/>
  </r>
  <r>
    <x v="3"/>
    <x v="0"/>
    <s v="almap_lg_he-oled-tv-digital_consideracao_trafego_connected-interative_ros_display_cpm_na_na_all_int_as-25-44_design_animado_160x600_banner_design__id-2020000492"/>
    <s v="297845381"/>
    <s v="Standard"/>
    <s v="almap_lg_he-oled-tv-digital_consideracao_trafego_connected-interative_ros_display_cpm_na_na_all_int_as-25-44_design_animado_160x600_banner_design__id-2020000492"/>
    <s v="491124703"/>
    <s v="Display"/>
    <n v="15162"/>
    <n v="21"/>
    <n v="0.04"/>
    <n v="7.0000000000000007E-2"/>
    <n v="0.60648000000000002"/>
    <n v="1.0613400000000002"/>
  </r>
  <r>
    <x v="3"/>
    <x v="0"/>
    <s v="almap_lg_he-oled-tv-digital_consideracao_trafego_connected-interative_ros_display_cpm_na_na_all_int_as-25-44_design_animado_300x250_retangulo_design__id-2020000315"/>
    <s v="297714496"/>
    <s v="Standard"/>
    <s v="almap_lg_he-oled-tv-digital_consideracao_trafego_connected-interative_ros_display_cpm_na_na_all_int_as-25-44_design_animado_300x250_retangulo_design__id-2020000315"/>
    <s v="490497149"/>
    <s v="Display"/>
    <n v="758231"/>
    <n v="4366"/>
    <n v="0.04"/>
    <n v="7.0000000000000007E-2"/>
    <n v="30.329240000000002"/>
    <n v="53.076170000000005"/>
  </r>
  <r>
    <x v="3"/>
    <x v="0"/>
    <s v="almap_lg_he-oled-tv-digital_consideracao_trafego_connected-interative_ros_display_cpm_na_na_all_int_as-25-44_design_animado_300x600_half-banner_design__id-2020000494"/>
    <s v="297845378"/>
    <s v="Standard"/>
    <s v="almap_lg_he-oled-tv-digital_consideracao_trafego_connected-interative_ros_display_cpm_na_na_all_int_as-25-44_design_animado_300x600_half-banner_design__id-2020000494"/>
    <s v="491124700"/>
    <s v="Display"/>
    <n v="81761"/>
    <n v="1104"/>
    <n v="0.04"/>
    <n v="7.0000000000000007E-2"/>
    <n v="3.2704400000000002"/>
    <n v="5.7232700000000003"/>
  </r>
  <r>
    <x v="3"/>
    <x v="0"/>
    <s v="almap_lg_he-oled-tv-digital_consideracao_trafego_connected-interative_ros_display_cpm_na_na_all_int_as-25-44_design_animado_320x100_banner-mobile_design__id-2020000495"/>
    <s v="297845375"/>
    <s v="Standard"/>
    <s v="almap_lg_he-oled-tv-digital_consideracao_trafego_connected-interative_ros_display_cpm_na_na_all_int_as-25-44_design_animado_320x100_banner-mobile_design__id-2020000495"/>
    <s v="491124697"/>
    <s v="Display"/>
    <n v="406681"/>
    <n v="1200"/>
    <n v="0.04"/>
    <n v="7.0000000000000007E-2"/>
    <n v="16.267240000000001"/>
    <n v="28.467670000000002"/>
  </r>
  <r>
    <x v="3"/>
    <x v="0"/>
    <s v="almap_lg_he-oled-tv-digital_consideracao_trafego_connected-interative_ros_display_cpm_na_na_all_int_as-25-44_design_animado_728x90_super-banner_design__id-2020000497"/>
    <s v="297845372"/>
    <s v="Standard"/>
    <s v="almap_lg_he-oled-tv-digital_consideracao_trafego_connected-interative_ros_display_cpm_na_na_all_int_as-25-44_design_animado_728x90_super-banner_design__id-2020000497"/>
    <s v="491124694"/>
    <s v="Display"/>
    <n v="63242"/>
    <n v="220"/>
    <n v="0.04"/>
    <n v="7.0000000000000007E-2"/>
    <n v="2.5296799999999999"/>
    <n v="4.4269400000000001"/>
  </r>
  <r>
    <x v="3"/>
    <x v="0"/>
    <s v="almap_lg_he-oled-tv-digital_consideracao_trafego_connected-interative_ros_display_cpm_na_na_all_int_as-25-44_design_animado_970x250_billboard_design__id-2020000499"/>
    <s v="297845366"/>
    <s v="Standard"/>
    <s v="almap_lg_he-oled-tv-digital_consideracao_trafego_connected-interative_ros_display_cpm_na_na_all_int_as-25-44_design_animado_970x250_billboard_design__id-2020000499"/>
    <s v="491124688"/>
    <s v="Display"/>
    <n v="19343"/>
    <n v="159"/>
    <n v="0.04"/>
    <n v="7.0000000000000007E-2"/>
    <n v="0.77372000000000007"/>
    <n v="1.3540100000000002"/>
  </r>
  <r>
    <x v="3"/>
    <x v="0"/>
    <s v="almap_lg_he-oled-tv-digital_consideracao_trafego_connected-interative_ros_display_cpm_na_na_all_int_as-25-44_design_animado_970x90_leadeboard_design__id-2020000498"/>
    <s v="297845369"/>
    <s v="Standard"/>
    <s v="almap_lg_he-oled-tv-digital_consideracao_trafego_connected-interative_ros_display_cpm_na_na_all_int_as-25-44_design_animado_970x90_leadeboard_design__id-2020000498"/>
    <s v="491124691"/>
    <s v="Display"/>
    <n v="15500"/>
    <n v="23"/>
    <n v="0.04"/>
    <n v="7.0000000000000007E-2"/>
    <n v="0.62"/>
    <n v="1.085"/>
  </r>
  <r>
    <x v="3"/>
    <x v="0"/>
    <s v="almap_lg_he-oled-tv-digital_consideracao_trafego_connected-interative_ros_display_cpm_na_na_all_int_as-25-44_esporte_animado_120x600_sky_esporte__id-2020000473"/>
    <s v="297845438"/>
    <s v="Standard"/>
    <s v="almap_lg_he-oled-tv-digital_consideracao_trafego_connected-interative_ros_display_cpm_na_na_all_int_as-25-44_esporte_animado_120x600_sky_esporte__id-2020000473"/>
    <s v="491124760"/>
    <s v="Display"/>
    <n v="5533"/>
    <n v="9"/>
    <n v="0.04"/>
    <n v="7.0000000000000007E-2"/>
    <n v="0.22131999999999999"/>
    <n v="0.38731000000000004"/>
  </r>
  <r>
    <x v="3"/>
    <x v="0"/>
    <s v="almap_lg_he-oled-tv-digital_consideracao_trafego_connected-interative_ros_display_cpm_na_na_all_int_as-25-44_esporte_animado_160x600_banner_esporte__id-2020000474"/>
    <s v="297845435"/>
    <s v="Standard"/>
    <s v="almap_lg_he-oled-tv-digital_consideracao_trafego_connected-interative_ros_display_cpm_na_na_all_int_as-25-44_esporte_animado_160x600_banner_esporte__id-2020000474"/>
    <s v="491124757"/>
    <s v="Display"/>
    <n v="6023"/>
    <n v="10"/>
    <n v="0.04"/>
    <n v="7.0000000000000007E-2"/>
    <n v="0.24092000000000002"/>
    <n v="0.42161000000000004"/>
  </r>
  <r>
    <x v="3"/>
    <x v="0"/>
    <s v="almap_lg_he-oled-tv-digital_consideracao_trafego_connected-interative_ros_display_cpm_na_na_all_int_as-25-44_esporte_animado_250x250_quadrado_esporte__id-2020000475"/>
    <s v="297845432"/>
    <s v="Standard"/>
    <s v="almap_lg_he-oled-tv-digital_consideracao_trafego_connected-interative_ros_display_cpm_na_na_all_int_as-25-44_esporte_animado_250x250_quadrado_esporte__id-2020000475"/>
    <s v="491124754"/>
    <s v="Display"/>
    <n v="15363"/>
    <n v="58"/>
    <n v="0.04"/>
    <n v="7.0000000000000007E-2"/>
    <n v="0.61451999999999996"/>
    <n v="1.07541"/>
  </r>
  <r>
    <x v="3"/>
    <x v="0"/>
    <s v="almap_lg_he-oled-tv-digital_consideracao_trafego_connected-interative_ros_display_cpm_na_na_all_int_as-25-44_esporte_animado_300x250_retangulo_esporte__id-2020000316"/>
    <s v="297551625"/>
    <s v="Standard"/>
    <s v="almap_lg_he-oled-tv-digital_consideracao_trafego_connected-interative_ros_display_cpm_na_na_all_int_as-25-44_esporte_animado_300x250_retangulo_esporte__id-2020000316"/>
    <s v="490810500"/>
    <s v="Display"/>
    <n v="329314"/>
    <n v="1815"/>
    <n v="0.04"/>
    <n v="7.0000000000000007E-2"/>
    <n v="13.172559999999999"/>
    <n v="23.051980000000004"/>
  </r>
  <r>
    <x v="3"/>
    <x v="0"/>
    <s v="almap_lg_he-oled-tv-digital_consideracao_trafego_connected-interative_ros_display_cpm_na_na_all_int_as-25-44_esporte_animado_300x600_half-banner_esporte__id-2020000476"/>
    <s v="297845429"/>
    <s v="Standard"/>
    <s v="almap_lg_he-oled-tv-digital_consideracao_trafego_connected-interative_ros_display_cpm_na_na_all_int_as-25-44_esporte_animado_300x600_half-banner_esporte__id-2020000476"/>
    <s v="491124751"/>
    <s v="Display"/>
    <n v="365069"/>
    <n v="5114"/>
    <n v="0.04"/>
    <n v="7.0000000000000007E-2"/>
    <n v="14.60276"/>
    <n v="25.554830000000003"/>
  </r>
  <r>
    <x v="3"/>
    <x v="0"/>
    <s v="almap_lg_he-oled-tv-digital_consideracao_trafego_connected-interative_ros_display_cpm_na_na_all_int_as-25-44_esporte_animado_320x100_banner-mobile_esporte__id-2020000477"/>
    <s v="297845426"/>
    <s v="Standard"/>
    <s v="almap_lg_he-oled-tv-digital_consideracao_trafego_connected-interative_ros_display_cpm_na_na_all_int_as-25-44_esporte_animado_320x100_banner-mobile_esporte__id-2020000477"/>
    <s v="491124748"/>
    <s v="Display"/>
    <n v="124256"/>
    <n v="267"/>
    <n v="0.04"/>
    <n v="7.0000000000000007E-2"/>
    <n v="4.9702399999999995"/>
    <n v="8.6979199999999999"/>
  </r>
  <r>
    <x v="3"/>
    <x v="0"/>
    <s v="almap_lg_he-oled-tv-digital_consideracao_trafego_connected-interative_ros_display_cpm_na_na_all_int_as-25-44_esporte_animado_728x90_super-banner_esporte__id-2020000479"/>
    <s v="297845420"/>
    <s v="Standard"/>
    <s v="almap_lg_he-oled-tv-digital_consideracao_trafego_connected-interative_ros_display_cpm_na_na_all_int_as-25-44_esporte_animado_728x90_super-banner_esporte__id-2020000479"/>
    <s v="491124742"/>
    <s v="Display"/>
    <n v="55587"/>
    <n v="183"/>
    <n v="0.04"/>
    <n v="7.0000000000000007E-2"/>
    <n v="2.2234799999999999"/>
    <n v="3.8910900000000002"/>
  </r>
  <r>
    <x v="3"/>
    <x v="0"/>
    <s v="almap_lg_he-oled-tv-digital_consideracao_trafego_connected-interative_ros_display_cpm_na_na_all_int_as-25-44_esporte_animado_970x250_billboard_esporte__id-2020000481"/>
    <s v="297845414"/>
    <s v="Standard"/>
    <s v="almap_lg_he-oled-tv-digital_consideracao_trafego_connected-interative_ros_display_cpm_na_na_all_int_as-25-44_esporte_animado_970x250_billboard_esporte__id-2020000481"/>
    <s v="491124736"/>
    <s v="Display"/>
    <n v="17539"/>
    <n v="151"/>
    <n v="0.04"/>
    <n v="7.0000000000000007E-2"/>
    <n v="0.70156000000000007"/>
    <n v="1.22773"/>
  </r>
  <r>
    <x v="3"/>
    <x v="0"/>
    <s v="almap_lg_he-oled-tv-digital_consideracao_trafego_connected-interative_ros_display_cpm_na_na_all_int_as-25-44_esporte_animado_970x90_leadeboard_esporte__id-2020000480"/>
    <s v="297845417"/>
    <s v="Standard"/>
    <s v="almap_lg_he-oled-tv-digital_consideracao_trafego_connected-interative_ros_display_cpm_na_na_all_int_as-25-44_esporte_animado_970x90_leadeboard_esporte__id-2020000480"/>
    <s v="491124739"/>
    <s v="Display"/>
    <n v="5900"/>
    <n v="9"/>
    <n v="0.04"/>
    <n v="7.0000000000000007E-2"/>
    <n v="0.23599999999999999"/>
    <n v="0.41300000000000003"/>
  </r>
  <r>
    <x v="3"/>
    <x v="0"/>
    <s v="almap_lg_he-oled-tv-digital_consideracao_trafego_connected-interative_ros_display_cpm_na_na_all_int_as-25-44_game_animado_120x600_sky_game__id-2020000482"/>
    <s v="297845411"/>
    <s v="Standard"/>
    <s v="almap_lg_he-oled-tv-digital_consideracao_trafego_connected-interative_ros_display_cpm_na_na_all_int_as-25-44_game_animado_120x600_sky_game__id-2020000482"/>
    <s v="491124733"/>
    <s v="Display"/>
    <n v="4881"/>
    <n v="5"/>
    <n v="0.04"/>
    <n v="7.0000000000000007E-2"/>
    <n v="0.19524"/>
    <n v="0.34167000000000003"/>
  </r>
  <r>
    <x v="3"/>
    <x v="0"/>
    <s v="almap_lg_he-oled-tv-digital_consideracao_trafego_connected-interative_ros_display_cpm_na_na_all_int_as-25-44_game_animado_160x600_banner_game__id-2020000483"/>
    <s v="297845408"/>
    <s v="Standard"/>
    <s v="almap_lg_he-oled-tv-digital_consideracao_trafego_connected-interative_ros_display_cpm_na_na_all_int_as-25-44_game_animado_160x600_banner_game__id-2020000483"/>
    <s v="491124730"/>
    <s v="Display"/>
    <n v="4166"/>
    <n v="9"/>
    <n v="0.04"/>
    <n v="7.0000000000000007E-2"/>
    <n v="0.16664000000000001"/>
    <n v="0.29161999999999999"/>
  </r>
  <r>
    <x v="3"/>
    <x v="0"/>
    <s v="almap_lg_he-oled-tv-digital_consideracao_trafego_connected-interative_ros_display_cpm_na_na_all_int_as-25-44_game_animado_250x250_quadrado_game__id-2020000484"/>
    <s v="297845405"/>
    <s v="Standard"/>
    <s v="almap_lg_he-oled-tv-digital_consideracao_trafego_connected-interative_ros_display_cpm_na_na_all_int_as-25-44_game_animado_250x250_quadrado_game__id-2020000484"/>
    <s v="491124727"/>
    <s v="Display"/>
    <n v="31983"/>
    <n v="181"/>
    <n v="0.04"/>
    <n v="7.0000000000000007E-2"/>
    <n v="1.27932"/>
    <n v="2.2388100000000004"/>
  </r>
  <r>
    <x v="3"/>
    <x v="0"/>
    <s v="almap_lg_he-oled-tv-digital_consideracao_trafego_connected-interative_ros_display_cpm_na_na_all_int_as-25-44_game_animado_300x600_half-banner_game__id-2020000485"/>
    <s v="297845402"/>
    <s v="Standard"/>
    <s v="almap_lg_he-oled-tv-digital_consideracao_trafego_connected-interative_ros_display_cpm_na_na_all_int_as-25-44_game_animado_300x600_half-banner_game__id-2020000485"/>
    <s v="491124724"/>
    <s v="Display"/>
    <n v="90463"/>
    <n v="1326"/>
    <n v="0.04"/>
    <n v="7.0000000000000007E-2"/>
    <n v="3.6185200000000002"/>
    <n v="6.3324100000000012"/>
  </r>
  <r>
    <x v="3"/>
    <x v="0"/>
    <s v="almap_lg_he-oled-tv-digital_consideracao_trafego_connected-interative_ros_display_cpm_na_na_all_int_as-25-44_game_animado_320x100_banner-mobile_game__id-2020000486"/>
    <s v="297845399"/>
    <s v="Standard"/>
    <s v="almap_lg_he-oled-tv-digital_consideracao_trafego_connected-interative_ros_display_cpm_na_na_all_int_as-25-44_game_animado_320x100_banner-mobile_game__id-2020000486"/>
    <s v="491124721"/>
    <s v="Display"/>
    <n v="335152"/>
    <n v="1047"/>
    <n v="0.04"/>
    <n v="7.0000000000000007E-2"/>
    <n v="13.406079999999999"/>
    <n v="23.460640000000001"/>
  </r>
  <r>
    <x v="3"/>
    <x v="0"/>
    <s v="almap_lg_he-oled-tv-digital_consideracao_trafego_connected-interative_ros_display_cpm_na_na_all_int_as-25-44_game_animado_728x90_super-banner_game__id-2020000488"/>
    <s v="297845393"/>
    <s v="Standard"/>
    <s v="almap_lg_he-oled-tv-digital_consideracao_trafego_connected-interative_ros_display_cpm_na_na_all_int_as-25-44_game_animado_728x90_super-banner_game__id-2020000488"/>
    <s v="491124715"/>
    <s v="Display"/>
    <n v="243921"/>
    <n v="1397"/>
    <n v="0.04"/>
    <n v="7.0000000000000007E-2"/>
    <n v="9.7568400000000004"/>
    <n v="17.074470000000002"/>
  </r>
  <r>
    <x v="3"/>
    <x v="0"/>
    <s v="almap_lg_he-oled-tv-digital_consideracao_trafego_connected-interative_ros_display_cpm_na_na_all_int_as-25-44_game_animado_970x250_billboard_game__id-2020000490"/>
    <s v="297845387"/>
    <s v="Standard"/>
    <s v="almap_lg_he-oled-tv-digital_consideracao_trafego_connected-interative_ros_display_cpm_na_na_all_int_as-25-44_game_animado_970x250_billboard_game__id-2020000490"/>
    <s v="491124709"/>
    <s v="Display"/>
    <n v="7236"/>
    <n v="53"/>
    <n v="0.04"/>
    <n v="7.0000000000000007E-2"/>
    <n v="0.28943999999999998"/>
    <n v="0.50652000000000008"/>
  </r>
  <r>
    <x v="3"/>
    <x v="0"/>
    <s v="almap_lg_he-oled-tv-digital_consideracao_trafego_connected-interative_ros_display_cpm_na_na_all_int_as-25-44_game_animado_970x90_leadeboard_game__id-2020000489"/>
    <s v="297845390"/>
    <s v="Standard"/>
    <s v="almap_lg_he-oled-tv-digital_consideracao_trafego_connected-interative_ros_display_cpm_na_na_all_int_as-25-44_game_animado_970x90_leadeboard_game__id-2020000489"/>
    <s v="491124712"/>
    <s v="Display"/>
    <n v="3510"/>
    <n v="5"/>
    <n v="0.04"/>
    <n v="7.0000000000000007E-2"/>
    <n v="0.1404"/>
    <n v="0.24570000000000003"/>
  </r>
  <r>
    <x v="3"/>
    <x v="0"/>
    <s v="almap_lg_he-oled-tv-digital_consideracao_trafego_connected-interative_ros_display_cpm_na_na_all_int_as-25-44_games_animado_300x250_retangulo_games__id-2020000317"/>
    <s v="297714235"/>
    <s v="Standard"/>
    <s v="almap_lg_he-oled-tv-digital_consideracao_trafego_connected-interative_ros_display_cpm_na_na_all_int_as-25-44_games_animado_300x250_retangulo_games__id-2020000317"/>
    <s v="490810506"/>
    <s v="Display"/>
    <n v="348246"/>
    <n v="1912"/>
    <n v="0.04"/>
    <n v="7.0000000000000007E-2"/>
    <n v="13.92984"/>
    <n v="24.377220000000001"/>
  </r>
  <r>
    <x v="3"/>
    <x v="0"/>
    <s v="almap_lg_he-oled-tv-digital_consideracao_trafego_connected-interative_ros_display_cpm_na_na_all_int_as-25-44_games_imagem_120x600_sky_games-2__id-2020000688"/>
    <s v="299316592"/>
    <s v="Standard"/>
    <s v="almap_lg_he-oled-tv-digital_consideracao_trafego_connected-interative_ros_display_cpm_na_na_all_int_as-25-44_games_imagem_120x600_sky_games-2__id-2020000688"/>
    <s v="491973365"/>
    <s v="Display"/>
    <n v="1086"/>
    <n v="3"/>
    <n v="0.04"/>
    <n v="7.0000000000000007E-2"/>
    <n v="4.3439999999999999E-2"/>
    <n v="7.6020000000000004E-2"/>
  </r>
  <r>
    <x v="3"/>
    <x v="0"/>
    <s v="almap_lg_he-oled-tv-digital_consideracao_trafego_connected-interative_ros_display_cpm_na_na_all_int_as-25-44_games_imagem_160x600_banner_games-2__id-2020000689"/>
    <s v="299316589"/>
    <s v="Standard"/>
    <s v="almap_lg_he-oled-tv-digital_consideracao_trafego_connected-interative_ros_display_cpm_na_na_all_int_as-25-44_games_imagem_160x600_banner_games-2__id-2020000689"/>
    <s v="491973362"/>
    <s v="Display"/>
    <n v="2593"/>
    <n v="5"/>
    <n v="0.04"/>
    <n v="7.0000000000000007E-2"/>
    <n v="0.10371999999999999"/>
    <n v="0.18151000000000003"/>
  </r>
  <r>
    <x v="3"/>
    <x v="0"/>
    <s v="almap_lg_he-oled-tv-digital_consideracao_trafego_connected-interative_ros_display_cpm_na_na_all_int_as-25-44_games_imagem_250x250_quadrado_games-2__id-2020000690"/>
    <s v="299316586"/>
    <s v="Standard"/>
    <s v="almap_lg_he-oled-tv-digital_consideracao_trafego_connected-interative_ros_display_cpm_na_na_all_int_as-25-44_games_imagem_250x250_quadrado_games-2__id-2020000690"/>
    <s v="491973359"/>
    <s v="Display"/>
    <n v="5137"/>
    <n v="45"/>
    <n v="0.04"/>
    <n v="7.0000000000000007E-2"/>
    <n v="0.20548000000000002"/>
    <n v="0.35959000000000002"/>
  </r>
  <r>
    <x v="3"/>
    <x v="0"/>
    <s v="almap_lg_he-oled-tv-digital_consideracao_trafego_connected-interative_ros_display_cpm_na_na_all_int_as-25-44_games_imagem_300x250_retangulo_games-2__id-2020000691"/>
    <s v="299316583"/>
    <s v="Standard"/>
    <s v="almap_lg_he-oled-tv-digital_consideracao_trafego_connected-interative_ros_display_cpm_na_na_all_int_as-25-44_games_imagem_300x250_retangulo_games-2__id-2020000691"/>
    <s v="491973356"/>
    <s v="Display"/>
    <n v="39243"/>
    <n v="413"/>
    <n v="0.04"/>
    <n v="7.0000000000000007E-2"/>
    <n v="1.56972"/>
    <n v="2.7470100000000004"/>
  </r>
  <r>
    <x v="3"/>
    <x v="0"/>
    <s v="almap_lg_he-oled-tv-digital_consideracao_trafego_connected-interative_ros_display_cpm_na_na_all_int_as-25-44_games_imagem_300x600_half-banner_games-2__id-2020000692"/>
    <s v="299316580"/>
    <s v="Standard"/>
    <s v="almap_lg_he-oled-tv-digital_consideracao_trafego_connected-interative_ros_display_cpm_na_na_all_int_as-25-44_games_imagem_300x600_half-banner_games-2__id-2020000692"/>
    <s v="491973353"/>
    <s v="Display"/>
    <n v="29107"/>
    <n v="561"/>
    <n v="0.04"/>
    <n v="7.0000000000000007E-2"/>
    <n v="1.16428"/>
    <n v="2.03749"/>
  </r>
  <r>
    <x v="3"/>
    <x v="0"/>
    <s v="almap_lg_he-oled-tv-digital_consideracao_trafego_connected-interative_ros_display_cpm_na_na_all_int_as-25-44_games_imagem_320x100_banner-mobile_games-2__id-2020000694"/>
    <s v="299316574"/>
    <s v="Standard"/>
    <s v="almap_lg_he-oled-tv-digital_consideracao_trafego_connected-interative_ros_display_cpm_na_na_all_int_as-25-44_games_imagem_320x100_banner-mobile_games-2__id-2020000694"/>
    <s v="491981429"/>
    <s v="Display"/>
    <n v="84799"/>
    <n v="414"/>
    <n v="0.04"/>
    <n v="7.0000000000000007E-2"/>
    <n v="3.3919600000000001"/>
    <n v="5.9359299999999999"/>
  </r>
  <r>
    <x v="3"/>
    <x v="0"/>
    <s v="almap_lg_he-oled-tv-digital_consideracao_trafego_connected-interative_ros_display_cpm_na_na_all_int_as-25-44_games_imagem_320x50_banner-mobile-pequeno_games-2__id-2020000693"/>
    <s v="299316577"/>
    <s v="Standard"/>
    <s v="almap_lg_he-oled-tv-digital_consideracao_trafego_connected-interative_ros_display_cpm_na_na_all_int_as-25-44_games_imagem_320x50_banner-mobile-pequeno_games-2__id-2020000693"/>
    <s v="491981426"/>
    <s v="Display"/>
    <n v="1007796"/>
    <n v="3497"/>
    <n v="0.04"/>
    <n v="7.0000000000000007E-2"/>
    <n v="40.311840000000004"/>
    <n v="70.545720000000003"/>
  </r>
  <r>
    <x v="3"/>
    <x v="0"/>
    <s v="almap_lg_he-oled-tv-digital_consideracao_trafego_connected-interative_ros_display_cpm_na_na_all_int_as-25-44_games_imagem_728x90_super-banner_games-2__id-2020000696"/>
    <s v="299316568"/>
    <s v="Standard"/>
    <s v="almap_lg_he-oled-tv-digital_consideracao_trafego_connected-interative_ros_display_cpm_na_na_all_int_as-25-44_games_imagem_728x90_super-banner_games-2__id-2020000696"/>
    <s v="491973347"/>
    <s v="Display"/>
    <n v="30530"/>
    <n v="166"/>
    <n v="0.04"/>
    <n v="7.0000000000000007E-2"/>
    <n v="1.2212000000000001"/>
    <n v="2.1371000000000002"/>
  </r>
  <r>
    <x v="3"/>
    <x v="0"/>
    <s v="almap_lg_he-oled-tv-digital_consideracao_trafego_connected-interative_ros_display_cpm_na_na_all_int_as-25-44_games_imagem_970x250_billboard_games-2__id-2020000698"/>
    <s v="299316562"/>
    <s v="Standard"/>
    <s v="almap_lg_he-oled-tv-digital_consideracao_trafego_connected-interative_ros_display_cpm_na_na_all_int_as-25-44_games_imagem_970x250_billboard_games-2__id-2020000698"/>
    <s v="491981435"/>
    <s v="Display"/>
    <n v="7586"/>
    <n v="106"/>
    <n v="0.04"/>
    <n v="7.0000000000000007E-2"/>
    <n v="0.30343999999999999"/>
    <n v="0.53102000000000005"/>
  </r>
  <r>
    <x v="3"/>
    <x v="0"/>
    <s v="almap_lg_he-oled-tv-digital_consideracao_trafego_connected-interative_ros_display_cpm_na_na_all_int_as-25-44_games_imagem_970x90_leadeboard_games-2__id-2020000697"/>
    <s v="299316565"/>
    <s v="Standard"/>
    <s v="almap_lg_he-oled-tv-digital_consideracao_trafego_connected-interative_ros_display_cpm_na_na_all_int_as-25-44_games_imagem_970x90_leadeboard_games-2__id-2020000697"/>
    <s v="491981432"/>
    <s v="Display"/>
    <n v="1401"/>
    <n v="4"/>
    <n v="0.04"/>
    <n v="7.0000000000000007E-2"/>
    <n v="5.604E-2"/>
    <n v="9.8070000000000004E-2"/>
  </r>
  <r>
    <x v="3"/>
    <x v="0"/>
    <s v="almap_lg_he-oled-tv-digital_consideracao_trafego_connected-interative_ros_video_cpview_na_na_all_int_as-25-44_cinema_video_16:9_video-50_cinema__id-2020000546"/>
    <s v="298372533"/>
    <s v="Video"/>
    <s v="almap_lg_he-oled-tv-digital_consideracao_trafego_connected-interative_ros_video_cpview_na_na_all_int_as-25-44_cinema_video_16:9_video-50_cinema__id-2020000546"/>
    <s v="491516476"/>
    <s v="In-Stream Video"/>
    <n v="81150"/>
    <n v="939"/>
    <n v="0.6"/>
    <n v="0.2"/>
    <n v="48.69"/>
    <n v="16.23"/>
  </r>
  <r>
    <x v="3"/>
    <x v="0"/>
    <s v="almap_lg_he-oled-tv-digital_consideracao_trafego_connected-interative_ros_video_cpview_na_na_all_int_as-25-44_design_video_16:9_video-40_design__id-2020000545"/>
    <s v="298372239"/>
    <s v="Video"/>
    <s v="almap_lg_he-oled-tv-digital_consideracao_trafego_connected-interative_ros_video_cpview_na_na_all_int_as-25-44_design_video_16:9_video-40_design__id-2020000545"/>
    <s v="491578818"/>
    <s v="In-Stream Video"/>
    <n v="976153"/>
    <n v="7925"/>
    <n v="0.6"/>
    <n v="0.2"/>
    <n v="585.69179999999994"/>
    <n v="195.23060000000001"/>
  </r>
  <r>
    <x v="3"/>
    <x v="0"/>
    <s v="almap_lg_he-oled-tv-digital_consideracao_trafego_connected-interative_ros_video_cpview_na_na_all_int_as-25-44_design_video_16:9_video-40_design__id-2020000545"/>
    <s v="298372239"/>
    <s v="Video"/>
    <s v="Default In-stream Ad"/>
    <s v="491562525"/>
    <s v="In-Stream Video"/>
    <n v="1"/>
    <n v="0"/>
    <n v="0.6"/>
    <n v="0.2"/>
    <n v="5.9999999999999995E-4"/>
    <n v="2.0000000000000001E-4"/>
  </r>
  <r>
    <x v="3"/>
    <x v="0"/>
    <s v="almap_lg_he-oled-tv-digital_consideracao_trafego_connected-interative_ros_video_cpview_na_na_all_int_as-25-44_esportes_video_16:9_video-60_esportes__id-2020000544"/>
    <s v="298373511"/>
    <s v="Video"/>
    <s v="almap_lg_he-oled-tv-digital_consideracao_trafego_connected-interative_ros_video_cpview_na_na_all_int_as-25-44_esportes_video_16:9_video-60_esportes__id-2020000544"/>
    <s v="491246687"/>
    <s v="In-Stream Video"/>
    <n v="154464"/>
    <n v="1321"/>
    <n v="0.6"/>
    <n v="0.2"/>
    <n v="92.678399999999996"/>
    <n v="30.892800000000001"/>
  </r>
  <r>
    <x v="3"/>
    <x v="0"/>
    <s v="almap_lg_he-oled-tv-digital_consideracao_trafego_connected-interative_ros_video_cpview_na_na_all_int_as-25-44_games_video_16:9_video-60_games__id-2020000543"/>
    <s v="298371987"/>
    <s v="Video"/>
    <s v="almap_lg_he-oled-tv-digital_consideracao_trafego_connected-interative_ros_video_cpview_na_na_all_int_as-25-44_games_video_16:9_video-60_games__id-2020000543"/>
    <s v="491249768"/>
    <s v="In-Stream Video"/>
    <n v="24961"/>
    <n v="229"/>
    <n v="0.6"/>
    <n v="0.2"/>
    <n v="14.976599999999998"/>
    <n v="4.9922000000000004"/>
  </r>
  <r>
    <x v="2"/>
    <x v="1"/>
    <s v="almap_lg_he-nanocell-cores-puras_awareness_alcance_dv360_ros_display_cpm_na_na_all_int_as-25-44_arara_animado_300x250_retangulo_arara__id-2020000751"/>
    <s v="299403754"/>
    <s v="Standard"/>
    <s v="almap_lg_he-nanocell-cores-puras_awareness_alcance_dv360_ros_display_cpm_na_na_all_int_as-25-44_arara_animado_300x250_retangulo_arara__id-2020000751"/>
    <s v="492413100"/>
    <s v="Display"/>
    <n v="180402"/>
    <n v="5242"/>
    <n v="0.04"/>
    <n v="7.0000000000000007E-2"/>
    <n v="7.2160799999999998"/>
    <n v="12.628140000000002"/>
  </r>
  <r>
    <x v="2"/>
    <x v="1"/>
    <s v="almap_lg_he-nanocell-cores-puras_awareness_alcance_dv360_ros_display_cpm_na_na_all_int_as-25-44_arara_animado_970x250_billboard_arara__id-2020000753"/>
    <s v="299402917"/>
    <s v="Standard"/>
    <s v="almap_lg_he-nanocell-cores-puras_awareness_alcance_dv360_ros_display_cpm_na_na_all_int_as-25-44_arara_animado_970x250_billboard_arara__id-2020000753"/>
    <s v="492413157"/>
    <s v="Display"/>
    <n v="2425"/>
    <n v="55"/>
    <n v="0.04"/>
    <n v="7.0000000000000007E-2"/>
    <n v="9.7000000000000003E-2"/>
    <n v="0.16975000000000004"/>
  </r>
  <r>
    <x v="2"/>
    <x v="1"/>
    <s v="almap_lg_he-nanocell-cores-puras_awareness_alcance_dv360_ros_display_cpm_na_na_all_int_as-25-44_centro-oeste_animado_300x250_retangulo_centro-oeste__id-2020000754"/>
    <s v="299404183"/>
    <s v="Standard"/>
    <s v="almap_lg_he-nanocell-cores-puras_awareness_alcance_dv360_ros_display_cpm_na_na_all_int_as-25-44_centro-oeste_animado_300x250_retangulo_centro-oeste__id-2020000754"/>
    <s v="492035312"/>
    <s v="Display"/>
    <n v="159376"/>
    <n v="4499"/>
    <n v="0.04"/>
    <n v="7.0000000000000007E-2"/>
    <n v="6.3750400000000003"/>
    <n v="11.156320000000001"/>
  </r>
  <r>
    <x v="2"/>
    <x v="1"/>
    <s v="almap_lg_he-nanocell-cores-puras_awareness_alcance_dv360_ros_display_cpm_na_na_all_int_as-25-44_centro-oeste_animado_970x250_billboard_centro-oeste__id-2020000756"/>
    <s v="299268684"/>
    <s v="Standard"/>
    <s v="almap_lg_he-nanocell-cores-puras_awareness_alcance_dv360_ros_display_cpm_na_na_all_int_as-25-44_centro-oeste_animado_970x250_billboard_centro-oeste__id-2020000756"/>
    <s v="492354769"/>
    <s v="Display"/>
    <n v="4703"/>
    <n v="116"/>
    <n v="0.04"/>
    <n v="7.0000000000000007E-2"/>
    <n v="0.18812000000000001"/>
    <n v="0.32921000000000006"/>
  </r>
  <r>
    <x v="2"/>
    <x v="1"/>
    <s v="almap_lg_he-nanocell-cores-puras_awareness_alcance_dv360_ros_display_cpm_na_na_all_int_as-25-44_nordeste_animado_300x250_retangulo_nordeste__id-2020000760"/>
    <s v="299171663"/>
    <s v="Standard"/>
    <s v="almap_lg_he-nanocell-cores-puras_awareness_alcance_dv360_ros_display_cpm_na_na_all_int_as-25-44_nordeste_animado_300x250_retangulo_nordeste__id-2020000760"/>
    <s v="492036461"/>
    <s v="Display"/>
    <n v="157468"/>
    <n v="4303"/>
    <n v="0.04"/>
    <n v="7.0000000000000007E-2"/>
    <n v="6.2987200000000003"/>
    <n v="11.02276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44">
  <r>
    <m/>
    <x v="0"/>
    <s v="[Display] Verizon Media"/>
    <s v="almap_lg_av-fone-tone-free_consideracao_trafego_verizon_ros_native_cpc_na_na_all_int_as-25-44_esporte_imagem_1200x627_native_generico__id-2020000551"/>
    <s v="298386636"/>
    <s v="Standard"/>
    <s v="almap_lg_av-fone-tone-free_consideracao_trafego_verizon_ros_native_cpc_na_na_all_int_as-25-44_esporte_imagem_1200x627_native_generico__id-2020000551"/>
    <s v="491259125"/>
    <s v="Tracking"/>
    <n v="1882382"/>
    <n v="26689"/>
    <n v="0.04"/>
    <n v="7.0000000000000007E-2"/>
    <n v="75.295280000000005"/>
    <n v="131.76674000000003"/>
  </r>
  <r>
    <m/>
    <x v="0"/>
    <s v="[Display] Verizon Media"/>
    <s v="almap_lg_av-fone-tone-free_consideracao_trafego_verizon_ros_native_cpc_na_na_all_int_as-25-44_games_imagem_1200x627_native_generico__id-2020000550"/>
    <s v="298386600"/>
    <s v="Standard"/>
    <s v="almap_lg_av-fone-tone-free_consideracao_trafego_verizon_ros_native_cpc_na_na_all_int_as-25-44_games_imagem_1200x627_native_generico__id-2020000550"/>
    <s v="491594547"/>
    <s v="Tracking"/>
    <n v="790602"/>
    <n v="6808"/>
    <n v="0.04"/>
    <n v="7.0000000000000007E-2"/>
    <n v="31.624080000000003"/>
    <n v="55.342140000000008"/>
  </r>
  <r>
    <m/>
    <x v="0"/>
    <s v="[Display] Verizon Media"/>
    <s v="almap_lg_av-fone-tone-free_consideracao_trafego_verizon_ros_native_cpc_na_na_all_int_as-25-44_runners_imagem_1200x627_native_generico__id-2020000552"/>
    <s v="298386078"/>
    <s v="Standard"/>
    <s v="almap_lg_av-fone-tone-free_consideracao_trafego_verizon_ros_native_cpc_na_na_all_int_as-25-44_runners_imagem_1200x627_native_generico__id-2020000552"/>
    <s v="491259134"/>
    <s v="Tracking"/>
    <n v="38053"/>
    <n v="242"/>
    <n v="0.04"/>
    <n v="7.0000000000000007E-2"/>
    <n v="1.5221200000000001"/>
    <n v="2.66371"/>
  </r>
  <r>
    <m/>
    <x v="0"/>
    <s v="Warner Music"/>
    <s v="almap_lg_av-fone-tone-free_awareness_video-views_warner-music_youtube_display_cpm_na_na_all_int_as-abc-25-44_healt-and-fitness-gaming-sports_imagem_300x60_bumper-ads_tone-free-clean_companion-banner-video-6seg_id-2020000605"/>
    <s v="298579396"/>
    <s v="Standard"/>
    <s v="almap_lg_av-fone-tone-free_awareness_video-views_warner-music_youtube_display_cpm_na_na_all_int_as-abc-25-44_healt-and-fitness-gaming-sports_imagem_300x60_bumper-ads_tone-free-clean_companion-banner-video-6seg_id-2020000605"/>
    <s v="491601961"/>
    <s v="Tracking"/>
    <n v="84726"/>
    <n v="50"/>
    <n v="0.04"/>
    <n v="7.0000000000000007E-2"/>
    <n v="3.3890400000000001"/>
    <n v="5.9308200000000006"/>
  </r>
  <r>
    <m/>
    <x v="0"/>
    <s v="Warner Music"/>
    <s v="almap_lg_av-fone-tone-free_awareness_video-views_warner-music_youtube_display_cpm_na_na_all_int_as-abc-25-44_healt-and-fitness-gaming-sports_imagem_300x60_bumper-ads_tone-free-design_companion-banner-video-6seg_id-2020000607"/>
    <s v="298579417"/>
    <s v="Standard"/>
    <s v="almap_lg_av-fone-tone-free_awareness_video-views_warner-music_youtube_display_cpm_na_na_all_int_as-abc-25-44_healt-and-fitness-gaming-sports_imagem_300x60_bumper-ads_tone-free-design_companion-banner-video-6seg_id-2020000607"/>
    <s v="491343641"/>
    <s v="Tracking"/>
    <n v="86121"/>
    <n v="51"/>
    <n v="0.04"/>
    <n v="7.0000000000000007E-2"/>
    <n v="3.4448400000000001"/>
    <n v="6.0284700000000004"/>
  </r>
  <r>
    <m/>
    <x v="0"/>
    <s v="Warner Music"/>
    <s v="almap_lg_av-fone-tone-free_awareness_video-views_warner-music_youtube_display_cpm_na_na_all_int_as-abc-25-44_healt-and-fitness-gaming-sports_imagem_300x60_bumper-ads_tone-free-fit_companion-banner-video-6seg_id-2020000606"/>
    <s v="298579423"/>
    <s v="Standard"/>
    <s v="almap_lg_av-fone-tone-free_awareness_video-views_warner-music_youtube_display_cpm_na_na_all_int_as-abc-25-44_healt-and-fitness-gaming-sports_imagem_300x60_bumper-ads_tone-free-fit_companion-banner-video-6seg_id-2020000606"/>
    <s v="491343647"/>
    <s v="Tracking"/>
    <n v="43218"/>
    <n v="31"/>
    <n v="0.04"/>
    <n v="7.0000000000000007E-2"/>
    <n v="1.72872"/>
    <n v="3.0252600000000003"/>
  </r>
  <r>
    <m/>
    <x v="0"/>
    <s v="Warner Music"/>
    <s v="almap_lg_av-fone-tone-free_awareness_video-views_warner-music_youtube_display_cpm_na_na_all_int_as-abc-25-44_healt-and-fitness-gaming-sports_imagem_300x60_bumper-ads_tone-free-hbs-fn6-brandfilm_companion-banner-video-6seg_id-2020000608"/>
    <s v="298579411"/>
    <s v="Standard"/>
    <s v="almap_lg_av-fone-tone-free_awareness_video-views_warner-music_youtube_display_cpm_na_na_all_int_as-abc-25-44_healt-and-fitness-gaming-sports_imagem_300x60_bumper-ads_tone-free-hbs-fn6-brandfilm_companion-banner-video-6seg_id-2020000608"/>
    <s v="491601976"/>
    <s v="Tracking"/>
    <n v="289691"/>
    <n v="201"/>
    <n v="0.04"/>
    <n v="7.0000000000000007E-2"/>
    <n v="11.587639999999999"/>
    <n v="20.278370000000002"/>
  </r>
  <r>
    <m/>
    <x v="0"/>
    <s v="Warner Music"/>
    <s v="almap_lg_av-fone-tone-free_awareness_video-views_warner-music_youtube_display_cpm_na_na_all_int_as-abc-25-44_healt-and-fitness-gaming-sports_imagem_300x60_bumper-ads_tone-free-hbs-fn6-feature-video_companion-banner-video1-6seg_id-2020000603"/>
    <s v="298579402"/>
    <s v="Standard"/>
    <s v="almap_lg_av-fone-tone-free_awareness_video-views_warner-music_youtube_display_cpm_na_na_all_int_as-abc-25-44_healt-and-fitness-gaming-sports_imagem_300x60_bumper-ads_tone-free-hbs-fn6-feature-video_companion-banner-video1-6seg_id-2020000603"/>
    <s v="491601967"/>
    <s v="Tracking"/>
    <n v="25141"/>
    <n v="16"/>
    <n v="0.04"/>
    <n v="7.0000000000000007E-2"/>
    <n v="1.0056400000000001"/>
    <n v="1.75987"/>
  </r>
  <r>
    <m/>
    <x v="0"/>
    <s v="Warner Music"/>
    <s v="almap_lg_av-fone-tone-free_awareness_video-views_warner-music_youtube_display_cpm_na_na_all_int_as-abc-25-44_healt-and-fitness-gaming-sports_imagem_300x60_bumper-ads_tone-free-hbs-fn6-feature-video_companion-banner-video2-6seg_id-2020000604"/>
    <s v="298579399"/>
    <s v="Standard"/>
    <s v="almap_lg_av-fone-tone-free_awareness_video-views_warner-music_youtube_display_cpm_na_na_all_int_as-abc-25-44_healt-and-fitness-gaming-sports_imagem_300x60_bumper-ads_tone-free-hbs-fn6-feature-video_companion-banner-video2-6seg_id-2020000604"/>
    <s v="491601964"/>
    <s v="Tracking"/>
    <n v="43065"/>
    <n v="29"/>
    <n v="0.04"/>
    <n v="7.0000000000000007E-2"/>
    <n v="1.7226000000000001"/>
    <n v="3.0145500000000003"/>
  </r>
  <r>
    <m/>
    <x v="0"/>
    <s v="Warner Music"/>
    <s v="almap_lg_av-fone-tone-free_awareness_video-views_warner-music_youtube_display_cpm_na_na_all_int_as-abc-25-44_healt-and-fitness-gaming-sports_imagem_300x60_non-skippable-video-ads_tone-free-clean_companion-banner-video-15seg_id-2020000599"/>
    <s v="298579420"/>
    <s v="Standard"/>
    <s v="almap_lg_av-fone-tone-free_awareness_video-views_warner-music_youtube_display_cpm_na_na_all_int_as-abc-25-44_healt-and-fitness-gaming-sports_imagem_300x60_non-skippable-video-ads_tone-free-clean_companion-banner-video-15seg_id-2020000599"/>
    <s v="491343644"/>
    <s v="Tracking"/>
    <n v="18547"/>
    <n v="24"/>
    <n v="0.04"/>
    <n v="7.0000000000000007E-2"/>
    <n v="0.74187999999999998"/>
    <n v="1.2982900000000002"/>
  </r>
  <r>
    <m/>
    <x v="0"/>
    <s v="Warner Music"/>
    <s v="almap_lg_av-fone-tone-free_awareness_video-views_warner-music_youtube_display_cpm_na_na_all_int_as-abc-25-44_healt-and-fitness-gaming-sports_imagem_300x60_non-skippable-video-ads_tone-free-design_companion-banner-video-15seg_id-2020000601"/>
    <s v="298579408"/>
    <s v="Standard"/>
    <s v="almap_lg_av-fone-tone-free_awareness_video-views_warner-music_youtube_display_cpm_na_na_all_int_as-abc-25-44_healt-and-fitness-gaming-sports_imagem_300x60_non-skippable-video-ads_tone-free-design_companion-banner-video-15seg_id-2020000601"/>
    <s v="491601973"/>
    <s v="Tracking"/>
    <n v="27502"/>
    <n v="41"/>
    <n v="0.04"/>
    <n v="7.0000000000000007E-2"/>
    <n v="1.1000799999999999"/>
    <n v="1.9251400000000001"/>
  </r>
  <r>
    <m/>
    <x v="0"/>
    <s v="Warner Music"/>
    <s v="almap_lg_av-fone-tone-free_awareness_video-views_warner-music_youtube_display_cpm_na_na_all_int_as-abc-25-44_healt-and-fitness-gaming-sports_imagem_300x60_non-skippable-video-ads_tone-free-fit_companion-banner-video-15seg_id-2020000600"/>
    <s v="298579414"/>
    <s v="Standard"/>
    <s v="almap_lg_av-fone-tone-free_awareness_video-views_warner-music_youtube_display_cpm_na_na_all_int_as-abc-25-44_healt-and-fitness-gaming-sports_imagem_300x60_non-skippable-video-ads_tone-free-fit_companion-banner-video-15seg_id-2020000600"/>
    <s v="491343638"/>
    <s v="Tracking"/>
    <n v="75299"/>
    <n v="120"/>
    <n v="0.04"/>
    <n v="7.0000000000000007E-2"/>
    <n v="3.0119600000000002"/>
    <n v="5.2709299999999999"/>
  </r>
  <r>
    <m/>
    <x v="0"/>
    <s v="Warner Music"/>
    <s v="almap_lg_av-fone-tone-free_awareness_video-views_warner-music_youtube_display_cpm_na_na_all_int_as-abc-25-44_healt-and-fitness-gaming-sports_imagem_300x60_non-skippable-video-ads_tone-free-hbs-fn6-brandfilm_companion-banner-video-15seg_id-2020000602"/>
    <s v="298579405"/>
    <s v="Standard"/>
    <s v="almap_lg_av-fone-tone-free_awareness_video-views_warner-music_youtube_display_cpm_na_na_all_int_as-abc-25-44_healt-and-fitness-gaming-sports_imagem_300x60_non-skippable-video-ads_tone-free-hbs-fn6-brandfilm_companion-banner-video-15seg_id-2020000602"/>
    <s v="491601970"/>
    <s v="Tracking"/>
    <n v="20786"/>
    <n v="30"/>
    <n v="0.04"/>
    <n v="7.0000000000000007E-2"/>
    <n v="0.83144000000000007"/>
    <n v="1.4550200000000002"/>
  </r>
  <r>
    <m/>
    <x v="0"/>
    <s v="Warner Music"/>
    <s v="almap_lg_av-fone-tone-free_awareness_video-views_warner-music_youtube_display_cpm_na_na_all_int_as-abc-25-44_healt-and-fitness-gaming-sports_imagem_300x60_non-skippable-video-ads_tone-free-hbs-fn6-feature-video_companion-banner-video1-15seg_id-2020000597"/>
    <s v="298372928"/>
    <s v="Standard"/>
    <s v="almap_lg_av-fone-tone-free_awareness_video-views_warner-music_youtube_display_cpm_na_na_all_int_as-abc-25-44_healt-and-fitness-gaming-sports_imagem_300x60_non-skippable-video-ads_tone-free-hbs-fn6-feature-video_companion-banner-video1-15seg_id-2020000597"/>
    <s v="491616040"/>
    <s v="Tracking"/>
    <n v="8383"/>
    <n v="2"/>
    <n v="0.04"/>
    <n v="7.0000000000000007E-2"/>
    <n v="0.33532000000000001"/>
    <n v="0.58681000000000005"/>
  </r>
  <r>
    <m/>
    <x v="0"/>
    <s v="Warner Music"/>
    <s v="almap_lg_av-fone-tone-free_awareness_video-views_warner-music_youtube_display_cpm_na_na_all_int_as-abc-25-44_healt-and-fitness-gaming-sports_imagem_300x60_non-skippable-video-ads_tone-free-hbs-fn6-feature-video_companion-banner-video2-15seg_id-2020000598"/>
    <s v="298579426"/>
    <s v="Standard"/>
    <s v="almap_lg_av-fone-tone-free_awareness_video-views_warner-music_youtube_display_cpm_na_na_all_int_as-abc-25-44_healt-and-fitness-gaming-sports_imagem_300x60_non-skippable-video-ads_tone-free-hbs-fn6-feature-video_companion-banner-video2-15seg_id-2020000598"/>
    <s v="491343650"/>
    <s v="Tracking"/>
    <n v="20"/>
    <n v="10"/>
    <n v="0.04"/>
    <n v="7.0000000000000007E-2"/>
    <n v="8.0000000000000004E-4"/>
    <n v="1.4000000000000002E-3"/>
  </r>
  <r>
    <m/>
    <x v="0"/>
    <s v="Warner Music"/>
    <s v="almap_lg_av-fone-tone-free_awareness_video-views_warner-music_youtube_video_cpm_na_na_all_int_as-abc-25-44_healt-and-fitness-gaming-sports_video_16:9_skippable-video-ads_meridian-video-sound-28s_video-longo-lg_id-2020000282"/>
    <s v="297461782"/>
    <s v="Standard"/>
    <s v="almap_lg_av-fone-tone-free_awareness_video-views_warner-music_youtube_video_cpm_na_na_all_int_as-abc-25-44_healt-and-fitness-gaming-sports_video_16:9_skippable-video-ads_meridian-video-sound-28s_video-longo-lg_id-2020000282"/>
    <s v="490560375"/>
    <s v="Tracking"/>
    <n v="69252"/>
    <n v="112"/>
    <n v="0.04"/>
    <n v="7.0000000000000007E-2"/>
    <n v="2.7700800000000001"/>
    <n v="4.8476400000000002"/>
  </r>
  <r>
    <m/>
    <x v="0"/>
    <s v="Warner Music"/>
    <s v="almap_lg_av-fone-tone-free_awareness_video-views_warner-music_youtube_video_cpm_na_na_all_int_as-abc-25-44_healt-and-fitness-gaming-sports_video_16:9_skippable-video-ads_uv-nano-video-clean-20s_video-longo-lg_id-2020000279"/>
    <s v="297209960"/>
    <s v="Standard"/>
    <s v="almap_lg_av-fone-tone-free_awareness_video-views_warner-music_youtube_video_cpm_na_na_all_int_as-abc-25-44_healt-and-fitness-gaming-sports_video_16:9_skippable-video-ads_uv-nano-video-clean-20s_video-longo-lg_id-2020000279"/>
    <s v="490560447"/>
    <s v="Tracking"/>
    <n v="69698"/>
    <n v="90"/>
    <n v="0.04"/>
    <n v="7.0000000000000007E-2"/>
    <n v="2.7879200000000002"/>
    <n v="4.8788600000000004"/>
  </r>
  <r>
    <m/>
    <x v="1"/>
    <s v="Mercado Livre"/>
    <s v="almap_lg_b2b-obs_consideracao_trafego_mercado-livre_mercado-livre_display_cpm_na_na_all_int_as-30-mais_mes-do-consumidor-mercado-livre_animado_300x250_display_mes-do-consumidor-celular__id-2020000804"/>
    <s v="299380241"/>
    <s v="Standard"/>
    <s v="almap_lg_b2b-obs_consideracao_trafego_mercado-livre_mercado-livre_display_cpm_na_na_all_int_as-30-mais_mes-do-consumidor-mercado-livre_animado_300x250_display_mes-do-consumidor-celular__id-2020000804"/>
    <s v="492592236"/>
    <s v="Display"/>
    <n v="1069317"/>
    <n v="166"/>
    <n v="0.04"/>
    <n v="7.0000000000000007E-2"/>
    <n v="42.772680000000001"/>
    <n v="74.852190000000007"/>
  </r>
  <r>
    <m/>
    <x v="1"/>
    <s v="Mercado Livre"/>
    <s v="almap_lg_b2b-obs_consideracao_trafego_mercado-livre_mercado-livre_display_cpm_na_na_all_int_as-30-mais_mes-do-consumidor-mercado-livre_animado_728x90_display_mes-do-consumidor-celular__id-2020000803"/>
    <s v="299378312"/>
    <s v="Standard"/>
    <s v="almap_lg_b2b-obs_consideracao_trafego_mercado-livre_mercado-livre_display_cpm_na_na_all_int_as-30-mais_mes-do-consumidor-mercado-livre_animado_728x90_display_mes-do-consumidor-celular__id-2020000803"/>
    <s v="492207035"/>
    <s v="Display"/>
    <n v="680351"/>
    <n v="286"/>
    <n v="0.04"/>
    <n v="7.0000000000000007E-2"/>
    <n v="27.214040000000001"/>
    <n v="47.624570000000006"/>
  </r>
  <r>
    <m/>
    <x v="2"/>
    <s v="Connected  Interactive"/>
    <s v="almap_lg_ha-purificado-puricare-360_awareness_alcance_connected-interative_ros_video_cpm_na_na_all_int_as-30-50_purificador_video_16:9_video-30_purificador__id-2020000327"/>
    <s v="297552437"/>
    <s v="Standard"/>
    <s v="almap_lg_ha-purificado-puricare-360_awareness_alcance_connected-interative_ros_video_cpm_na_na_all_int_as-30-50_purificador_video_16:9_video-30_purificador__id-2020000327"/>
    <s v="490574171"/>
    <s v="Tracking"/>
    <n v="35474"/>
    <n v="376"/>
    <n v="0.04"/>
    <n v="7.0000000000000007E-2"/>
    <n v="1.41896"/>
    <n v="2.4831800000000004"/>
  </r>
  <r>
    <m/>
    <x v="2"/>
    <s v="Connected  Interactive"/>
    <s v="almap_lg_ha-purificado-puricare-360_consideracao_trafego_connected-interative_ros_display_cpm_na_na_all_int_as-25-44_purificador_animado_300x250_retangulo_purificador__id-2020000616"/>
    <s v="298452098"/>
    <s v="Standard"/>
    <s v="almap_lg_ha-purificado-puricare-360_consideracao_trafego_connected-interative_ros_display_cpm_na_na_all_int_as-25-44_purificador_animado_300x250_retangulo_purificador__id-2020000616"/>
    <s v="491705953"/>
    <s v="Display"/>
    <n v="164252"/>
    <n v="1797"/>
    <n v="0.04"/>
    <n v="7.0000000000000007E-2"/>
    <n v="6.5700799999999999"/>
    <n v="11.497640000000001"/>
  </r>
  <r>
    <m/>
    <x v="2"/>
    <s v="Connected  Interactive"/>
    <s v="almap_lg_ha-purificado-puricare-360_consideracao_trafego_connected-interative_ros_display_cpm_na_na_all_int_as-25-44_purificador_animado_300x600_half-banner_purificador__id-2020000617"/>
    <s v="298560504"/>
    <s v="Standard"/>
    <s v="almap_lg_ha-purificado-puricare-360_consideracao_trafego_connected-interative_ros_display_cpm_na_na_all_int_as-25-44_purificador_animado_300x600_half-banner_purificador__id-2020000617"/>
    <s v="491768358"/>
    <s v="Display"/>
    <n v="39879"/>
    <n v="1178"/>
    <n v="0.04"/>
    <n v="7.0000000000000007E-2"/>
    <n v="1.5951600000000001"/>
    <n v="2.7915300000000003"/>
  </r>
  <r>
    <m/>
    <x v="2"/>
    <s v="Connected  Interactive"/>
    <s v="almap_lg_ha-purificado-puricare-360_consideracao_trafego_connected-interative_ros_display_cpm_na_na_all_int_as-25-44_purificador_imagem_728x90_banner_purificador-familia__id-2020000506"/>
    <s v="297985941"/>
    <s v="Standard"/>
    <s v="almap_lg_ha-purificado-puricare-360_consideracao_trafego_connected-interative_ros_display_cpm_na_na_all_int_as-25-44_purificador_imagem_728x90_banner_purificador-familia__id-2020000506"/>
    <s v="490896497"/>
    <s v="Display"/>
    <n v="212854"/>
    <n v="897"/>
    <n v="0.04"/>
    <n v="7.0000000000000007E-2"/>
    <n v="8.5141600000000004"/>
    <n v="14.89978"/>
  </r>
  <r>
    <m/>
    <x v="2"/>
    <s v="Connected  Interactive"/>
    <s v="almap_lg_ha-purificado-puricare-360_consideracao_trafego_connected-interative_ros_display_cpm_na_na_all_int_as-25-44_purificador_imagem_970x250_banner_purificador-familia__id-2020000507"/>
    <s v="297877160"/>
    <s v="Standard"/>
    <s v="almap_lg_ha-purificado-puricare-360_consideracao_trafego_connected-interative_ros_display_cpm_na_na_all_int_as-25-44_purificador_imagem_970x250_banner_purificador-familia__id-2020000507"/>
    <s v="490895687"/>
    <s v="Display"/>
    <n v="39981"/>
    <n v="317"/>
    <n v="0.04"/>
    <n v="7.0000000000000007E-2"/>
    <n v="1.59924"/>
    <n v="2.79867"/>
  </r>
  <r>
    <m/>
    <x v="2"/>
    <s v="DBM ALMAP BBDO Brasil 971065410-LG"/>
    <s v="almap_lg_ha-purificado-puricare-360_awareness_alcance_dv360_ros_display_cpm_na_na_all_int_as-25-44_purificador_animado_300x250_retangulo_purificador__id-2020000618"/>
    <s v="298678786"/>
    <s v="Standard"/>
    <s v="almap_lg_ha-purificado-puricare-360_awareness_alcance_dv360_ros_display_cpm_na_na_all_int_as-25-44_purificador_animado_300x250_retangulo_purificador__id-2020000618"/>
    <s v="491430551"/>
    <s v="Display"/>
    <n v="27110354"/>
    <n v="20649"/>
    <n v="0.04"/>
    <n v="7.0000000000000007E-2"/>
    <n v="1084.4141599999998"/>
    <n v="1897.7247800000002"/>
  </r>
  <r>
    <m/>
    <x v="2"/>
    <s v="DBM ALMAP BBDO Brasil 971065410-LG"/>
    <s v="almap_lg_ha-purificado-puricare-360_awareness_alcance_dv360_ros_display_cpm_na_na_all_int_as-25-44_purificador_animado_300x600_half-banner_purificador__id-2020000619"/>
    <s v="298452503"/>
    <s v="Standard"/>
    <s v="almap_lg_ha-purificado-puricare-360_awareness_alcance_dv360_ros_display_cpm_na_na_all_int_as-25-44_purificador_animado_300x600_half-banner_purificador__id-2020000619"/>
    <s v="491706037"/>
    <s v="Display"/>
    <n v="2917411"/>
    <n v="1993"/>
    <n v="0.04"/>
    <n v="7.0000000000000007E-2"/>
    <n v="116.69644"/>
    <n v="204.21877000000001"/>
  </r>
  <r>
    <m/>
    <x v="2"/>
    <s v="DBM ALMAP BBDO Brasil 971065410-LG"/>
    <s v="almap_lg_ha-purificado-puricare-360_awareness_alcance_dv360_ros_display_cpm_na_na_all_int_as-25-44_purificador_imagem_728x90_banner_purificador-familia__id-2020000504"/>
    <s v="297877127"/>
    <s v="Standard"/>
    <s v="almap_lg_ha-purificado-puricare-360_awareness_alcance_dv360_ros_display_cpm_na_na_all_int_as-25-44_purificador_imagem_728x90_banner_purificador-familia__id-2020000504"/>
    <s v="490896491"/>
    <s v="Display"/>
    <n v="17258065"/>
    <n v="5991"/>
    <n v="0.04"/>
    <n v="7.0000000000000007E-2"/>
    <n v="690.32259999999997"/>
    <n v="1208.0645500000001"/>
  </r>
  <r>
    <m/>
    <x v="2"/>
    <s v="DBM ALMAP BBDO Brasil 971065410-LG"/>
    <s v="almap_lg_ha-purificado-puricare-360_awareness_alcance_dv360_ros_display_cpm_na_na_all_int_as-25-44_purificador_imagem_970x250_banner_purificador-familia__id-2020000505"/>
    <s v="297876140"/>
    <s v="Standard"/>
    <s v="almap_lg_ha-purificado-puricare-360_awareness_alcance_dv360_ros_display_cpm_na_na_all_int_as-25-44_purificador_imagem_970x250_banner_purificador-familia__id-2020000505"/>
    <s v="490895678"/>
    <s v="Display"/>
    <n v="2324249"/>
    <n v="1441"/>
    <n v="0.04"/>
    <n v="7.0000000000000007E-2"/>
    <n v="92.96996"/>
    <n v="162.69743000000003"/>
  </r>
  <r>
    <m/>
    <x v="2"/>
    <s v="SeedTag"/>
    <s v="almap_lg_ha-purificado-puricare-360_consideracao_trafego_seedtag_ros_display_cpm_na_na_all_int_as-25-44_purificador_animado_810x560_ful-imagem-video_purificador__id-2020000567"/>
    <s v="298389687"/>
    <s v="Standard"/>
    <s v="almap_lg_ha-purificado-puricare-360_consideracao_trafego_seedtag_ros_display_cpm_na_na_all_int_as-25-44_purificador_animado_810x560_ful-imagem-video_purificador__id-2020000567"/>
    <s v="491599062"/>
    <s v="Tracking"/>
    <n v="210344"/>
    <n v="2635"/>
    <n v="0.04"/>
    <n v="7.0000000000000007E-2"/>
    <n v="8.4137599999999999"/>
    <n v="14.724080000000002"/>
  </r>
  <r>
    <m/>
    <x v="2"/>
    <s v="SeedTag"/>
    <s v="almap_lg_ha-purificado-puricare-360_consideracao_trafego_seedtag_ros_display_cpm_na_na_all_int_as-25-44_purificador_animado_810x560_full-imagem-display_purificador__id-2020000566"/>
    <s v="298499527"/>
    <s v="Standard"/>
    <s v="almap_lg_ha-purificado-puricare-360_consideracao_trafego_seedtag_ros_display_cpm_na_na_all_int_as-25-44_purificador_animado_810x560_full-imagem-display_purificador__id-2020000566"/>
    <s v="491599044"/>
    <s v="Tracking"/>
    <n v="350753"/>
    <n v="1684"/>
    <n v="0.04"/>
    <n v="7.0000000000000007E-2"/>
    <n v="14.03012"/>
    <n v="24.552710000000001"/>
  </r>
  <r>
    <m/>
    <x v="3"/>
    <s v="[Display] Verizon Media"/>
    <s v="almap_lg_he-nanocell-cores-puras_awareness_alcance_verizon_ros_display_cpm_na_na_all_int_as-25-44_centro-oeste_animado_728x90_super-banner_onca__id-2020000609"/>
    <s v="298525038"/>
    <s v="Standard"/>
    <s v="almap_lg_he-nanocell-cores-puras_awareness_alcance_verizon_ros_display_cpm_na_na_all_int_as-25-44_centro-oeste_animado_728x90_super-banner_onca__id-2020000609"/>
    <s v="491733525"/>
    <s v="Display"/>
    <n v="70817"/>
    <n v="61"/>
    <n v="0.04"/>
    <n v="7.0000000000000007E-2"/>
    <n v="2.8326799999999999"/>
    <n v="4.9571900000000007"/>
  </r>
  <r>
    <m/>
    <x v="3"/>
    <s v="[Display] Verizon Media"/>
    <s v="almap_lg_he-nanocell-cores-puras_awareness_alcance_verizon_ros_display_cpm_na_na_all_int_as-25-44_centro-oeste_animado_970x250_billboard_onca__id-2020000612"/>
    <s v="298411085"/>
    <s v="Standard"/>
    <s v="almap_lg_he-nanocell-cores-puras_awareness_alcance_verizon_ros_display_cpm_na_na_all_int_as-25-44_centro-oeste_animado_970x250_billboard_onca__id-2020000612"/>
    <s v="491732409"/>
    <s v="Display"/>
    <n v="22563"/>
    <n v="23"/>
    <n v="0.04"/>
    <n v="7.0000000000000007E-2"/>
    <n v="0.90251999999999999"/>
    <n v="1.57941"/>
  </r>
  <r>
    <m/>
    <x v="3"/>
    <s v="[Display] Verizon Media"/>
    <s v="almap_lg_he-nanocell-cores-puras_awareness_alcance_verizon_ros_display_cpm_na_na_all_int_as-25-44_nordeste_animado_728x90_super-banner_pelourinho__id-2020000610"/>
    <s v="298411073"/>
    <s v="Standard"/>
    <s v="almap_lg_he-nanocell-cores-puras_awareness_alcance_verizon_ros_display_cpm_na_na_all_int_as-25-44_nordeste_animado_728x90_super-banner_pelourinho__id-2020000610"/>
    <s v="491398091"/>
    <s v="Display"/>
    <n v="69909"/>
    <n v="78"/>
    <n v="0.04"/>
    <n v="7.0000000000000007E-2"/>
    <n v="2.79636"/>
    <n v="4.8936299999999999"/>
  </r>
  <r>
    <m/>
    <x v="3"/>
    <s v="[Display] Verizon Media"/>
    <s v="almap_lg_he-nanocell-cores-puras_awareness_alcance_verizon_ros_display_cpm_na_na_all_int_as-25-44_nordeste_animado_970x250_billboard_pelourinho__id-2020000613"/>
    <s v="298640839"/>
    <s v="Standard"/>
    <s v="almap_lg_he-nanocell-cores-puras_awareness_alcance_verizon_ros_display_cpm_na_na_all_int_as-25-44_nordeste_animado_970x250_billboard_pelourinho__id-2020000613"/>
    <s v="491398130"/>
    <s v="Display"/>
    <n v="22893"/>
    <n v="13"/>
    <n v="0.04"/>
    <n v="7.0000000000000007E-2"/>
    <n v="0.91571999999999998"/>
    <n v="1.6025100000000003"/>
  </r>
  <r>
    <m/>
    <x v="3"/>
    <s v="[Display] Verizon Media"/>
    <s v="almap_lg_he-nanocell-cores-puras_awareness_alcance_verizon_ros_display_cpm_na_na_all_int_as-25-44_sudeste_animado_970x250_billboard_rio__id-2020000611"/>
    <s v="298525305"/>
    <s v="Standard"/>
    <s v="almap_lg_he-nanocell-cores-puras_awareness_alcance_verizon_ros_display_cpm_na_na_all_int_as-25-44_sudeste_animado_970x250_billboard_rio__id-2020000611"/>
    <s v="491732397"/>
    <s v="Display"/>
    <n v="23132"/>
    <n v="16"/>
    <n v="0.04"/>
    <n v="7.0000000000000007E-2"/>
    <n v="0.92527999999999999"/>
    <n v="1.6192400000000002"/>
  </r>
  <r>
    <m/>
    <x v="3"/>
    <s v="BR Uol"/>
    <s v="almap_lg_he-nanocell-cores-puras_awareness_alcance_uol_ros_display_cpm_na_na_all_int_as-25-44_arara_animado_300x250_retangulo_arara__id-2020000309"/>
    <s v="297710896"/>
    <s v="Standard"/>
    <s v="almap_lg_he-nanocell-cores-puras_awareness_alcance_uol_ros_display_cpm_na_na_all_int_as-25-44_arara_animado_300x250_retangulo_arara__id-2020000309"/>
    <s v="490811031"/>
    <s v="Display"/>
    <n v="3832"/>
    <n v="82"/>
    <n v="0.04"/>
    <n v="7.0000000000000007E-2"/>
    <n v="0.15328"/>
    <n v="0.26824000000000003"/>
  </r>
  <r>
    <m/>
    <x v="3"/>
    <s v="BR Uol"/>
    <s v="almap_lg_he-nanocell-cores-puras_awareness_alcance_uol_ros_display_cpm_na_na_all_int_as-25-44_arara_animado_300x250_retangulo_branded-content__id-2020000635"/>
    <s v="298515812"/>
    <s v="Default"/>
    <s v="300x250 Default Web Ad"/>
    <s v="490592748"/>
    <s v="Display"/>
    <n v="4"/>
    <n v="0"/>
    <n v="0.04"/>
    <n v="7.0000000000000007E-2"/>
    <n v="1.6000000000000001E-4"/>
    <n v="2.8000000000000003E-4"/>
  </r>
  <r>
    <m/>
    <x v="3"/>
    <s v="BR Uol"/>
    <s v="almap_lg_he-nanocell-cores-puras_awareness_alcance_uol_ros_display_cpm_na_na_all_int_as-25-44_arara_animado_300x250_retangulo_branded-content__id-2020000635"/>
    <s v="298515812"/>
    <s v="Standard"/>
    <s v="almap_lg_he-nanocell-cores-puras_awareness_alcance_uol_ros_display_cpm_na_na_all_int_as-25-44_arara_animado_300x250_retangulo_branded-content__id-2020000635"/>
    <s v="491777350"/>
    <s v="Display"/>
    <n v="520948"/>
    <n v="812"/>
    <n v="0.04"/>
    <n v="7.0000000000000007E-2"/>
    <n v="20.83792"/>
    <n v="36.466360000000002"/>
  </r>
  <r>
    <m/>
    <x v="3"/>
    <s v="BR Uol"/>
    <s v="almap_lg_he-nanocell-cores-puras_awareness_alcance_uol_ros_display_cpm_na_na_all_int_as-25-44_arara_animado_728x90_super-banner_branded-content__id-2020000636"/>
    <s v="298515860"/>
    <s v="Standard"/>
    <s v="almap_lg_he-nanocell-cores-puras_awareness_alcance_uol_ros_display_cpm_na_na_all_int_as-25-44_arara_animado_728x90_super-banner_branded-content__id-2020000636"/>
    <s v="491777398"/>
    <s v="Display"/>
    <n v="118156"/>
    <n v="60"/>
    <n v="0.04"/>
    <n v="7.0000000000000007E-2"/>
    <n v="4.7262399999999998"/>
    <n v="8.2709200000000003"/>
  </r>
  <r>
    <m/>
    <x v="3"/>
    <s v="BR Uol"/>
    <s v="almap_lg_he-nanocell-cores-puras_awareness_alcance_uol_ros_display_cpm_na_na_all_int_as-25-44_arara_animado_970x250_billboard_branded-content__id-2020000637"/>
    <s v="298515854"/>
    <s v="Standard"/>
    <s v="almap_lg_he-nanocell-cores-puras_awareness_alcance_uol_ros_display_cpm_na_na_all_int_as-25-44_arara_animado_970x250_billboard_branded-content__id-2020000637"/>
    <s v="491777392"/>
    <s v="Display"/>
    <n v="26803"/>
    <n v="42"/>
    <n v="0.04"/>
    <n v="7.0000000000000007E-2"/>
    <n v="1.0721200000000002"/>
    <n v="1.8762100000000002"/>
  </r>
  <r>
    <m/>
    <x v="3"/>
    <s v="BR Uol"/>
    <s v="almap_lg_he-nanocell-cores-puras_awareness_alcance_uol_ros_display_cpm_na_na_all_int_as-25-44_centro-oeste_animado_300x250_retangulo_branded-content__id-2020000626"/>
    <s v="298515839"/>
    <s v="Standard"/>
    <s v="almap_lg_he-nanocell-cores-puras_awareness_alcance_uol_ros_display_cpm_na_na_all_int_as-25-44_centro-oeste_animado_300x250_retangulo_branded-content__id-2020000626"/>
    <s v="491777377"/>
    <s v="Display"/>
    <n v="624483"/>
    <n v="1037"/>
    <n v="0.04"/>
    <n v="7.0000000000000007E-2"/>
    <n v="24.979320000000001"/>
    <n v="43.713810000000002"/>
  </r>
  <r>
    <m/>
    <x v="3"/>
    <s v="BR Uol"/>
    <s v="almap_lg_he-nanocell-cores-puras_awareness_alcance_uol_ros_display_cpm_na_na_all_int_as-25-44_centro-oeste_animado_728x90_super-banner_branded-content__id-2020000627"/>
    <s v="298515836"/>
    <s v="Standard"/>
    <s v="almap_lg_he-nanocell-cores-puras_awareness_alcance_uol_ros_display_cpm_na_na_all_int_as-25-44_centro-oeste_animado_728x90_super-banner_branded-content__id-2020000627"/>
    <s v="491777374"/>
    <s v="Display"/>
    <n v="90150"/>
    <n v="49"/>
    <n v="0.04"/>
    <n v="7.0000000000000007E-2"/>
    <n v="3.6059999999999999"/>
    <n v="6.3105000000000011"/>
  </r>
  <r>
    <m/>
    <x v="3"/>
    <s v="BR Uol"/>
    <s v="almap_lg_he-nanocell-cores-puras_awareness_alcance_uol_ros_display_cpm_na_na_all_int_as-25-44_centro-oeste_animado_970x250_billboard_branded-content__id-2020000628"/>
    <s v="298515833"/>
    <s v="Standard"/>
    <s v="almap_lg_he-nanocell-cores-puras_awareness_alcance_uol_ros_display_cpm_na_na_all_int_as-25-44_centro-oeste_animado_970x250_billboard_branded-content__id-2020000628"/>
    <s v="491777371"/>
    <s v="Display"/>
    <n v="47796"/>
    <n v="302"/>
    <n v="0.04"/>
    <n v="7.0000000000000007E-2"/>
    <n v="1.9118400000000002"/>
    <n v="3.3457200000000005"/>
  </r>
  <r>
    <m/>
    <x v="3"/>
    <s v="BR Uol"/>
    <s v="almap_lg_he-nanocell-cores-puras_awareness_alcance_uol_ros_display_cpm_na_na_all_int_as-25-44_nordeste_animado_300x250_retangulo_branded-content__id-2020000632"/>
    <s v="298515821"/>
    <s v="Standard"/>
    <s v="almap_lg_he-nanocell-cores-puras_awareness_alcance_uol_ros_display_cpm_na_na_all_int_as-25-44_nordeste_animado_300x250_retangulo_branded-content__id-2020000632"/>
    <s v="491777359"/>
    <s v="Display"/>
    <n v="369361"/>
    <n v="574"/>
    <n v="0.04"/>
    <n v="7.0000000000000007E-2"/>
    <n v="14.77444"/>
    <n v="25.855270000000004"/>
  </r>
  <r>
    <m/>
    <x v="3"/>
    <s v="BR Uol"/>
    <s v="almap_lg_he-nanocell-cores-puras_awareness_alcance_uol_ros_display_cpm_na_na_all_int_as-25-44_nordeste_animado_728x90_super-banner_branded-content__id-2020000633"/>
    <s v="298515818"/>
    <s v="Standard"/>
    <s v="almap_lg_he-nanocell-cores-puras_awareness_alcance_uol_ros_display_cpm_na_na_all_int_as-25-44_nordeste_animado_728x90_super-banner_branded-content__id-2020000633"/>
    <s v="491777356"/>
    <s v="Display"/>
    <n v="70556"/>
    <n v="30"/>
    <n v="0.04"/>
    <n v="7.0000000000000007E-2"/>
    <n v="2.8222400000000003"/>
    <n v="4.9389200000000004"/>
  </r>
  <r>
    <m/>
    <x v="3"/>
    <s v="BR Uol"/>
    <s v="almap_lg_he-nanocell-cores-puras_awareness_alcance_uol_ros_display_cpm_na_na_all_int_as-25-44_nordeste_animado_970x250_billboard_branded-content__id-2020000634"/>
    <s v="298515815"/>
    <s v="Standard"/>
    <s v="almap_lg_he-nanocell-cores-puras_awareness_alcance_uol_ros_display_cpm_na_na_all_int_as-25-44_nordeste_animado_970x250_billboard_branded-content__id-2020000634"/>
    <s v="491777353"/>
    <s v="Display"/>
    <n v="39766"/>
    <n v="112"/>
    <n v="0.04"/>
    <n v="7.0000000000000007E-2"/>
    <n v="1.5906400000000001"/>
    <n v="2.7836200000000004"/>
  </r>
  <r>
    <m/>
    <x v="3"/>
    <s v="BR Uol"/>
    <s v="almap_lg_he-nanocell-cores-puras_awareness_alcance_uol_ros_display_cpm_na_na_all_int_as-25-44_sudeste_animado_300x250_retangulo_branded-content__id-2020000629"/>
    <s v="298515830"/>
    <s v="Standard"/>
    <s v="almap_lg_he-nanocell-cores-puras_awareness_alcance_uol_ros_display_cpm_na_na_all_int_as-25-44_sudeste_animado_300x250_retangulo_branded-content__id-2020000629"/>
    <s v="491777368"/>
    <s v="Display"/>
    <n v="205455"/>
    <n v="564"/>
    <n v="0.04"/>
    <n v="7.0000000000000007E-2"/>
    <n v="8.2182000000000013"/>
    <n v="14.381850000000002"/>
  </r>
  <r>
    <m/>
    <x v="3"/>
    <s v="BR Uol"/>
    <s v="almap_lg_he-nanocell-cores-puras_awareness_alcance_uol_ros_display_cpm_na_na_all_int_as-25-44_sudeste_animado_728x90_super-banner_branded-content__id-2020000630"/>
    <s v="298515827"/>
    <s v="Default"/>
    <s v="728x90 Default Web Ad"/>
    <s v="491034501"/>
    <s v="Display"/>
    <n v="1"/>
    <n v="0"/>
    <n v="0.04"/>
    <n v="7.0000000000000007E-2"/>
    <n v="4.0000000000000003E-5"/>
    <n v="7.0000000000000007E-5"/>
  </r>
  <r>
    <m/>
    <x v="3"/>
    <s v="BR Uol"/>
    <s v="almap_lg_he-nanocell-cores-puras_awareness_alcance_uol_ros_display_cpm_na_na_all_int_as-25-44_sudeste_animado_728x90_super-banner_branded-content__id-2020000630"/>
    <s v="298515827"/>
    <s v="Standard"/>
    <s v="almap_lg_he-nanocell-cores-puras_awareness_alcance_uol_ros_display_cpm_na_na_all_int_as-25-44_sudeste_animado_728x90_super-banner_branded-content__id-2020000630"/>
    <s v="491777365"/>
    <s v="Display"/>
    <n v="65858"/>
    <n v="22"/>
    <n v="0.04"/>
    <n v="7.0000000000000007E-2"/>
    <n v="2.6343200000000002"/>
    <n v="4.6100600000000007"/>
  </r>
  <r>
    <m/>
    <x v="3"/>
    <s v="BR Uol"/>
    <s v="almap_lg_he-nanocell-cores-puras_awareness_alcance_uol_ros_display_cpm_na_na_all_int_as-25-44_sudeste_animado_970x250_billboard_branded-content__id-2020000631"/>
    <s v="298515824"/>
    <s v="Standard"/>
    <s v="almap_lg_he-nanocell-cores-puras_awareness_alcance_uol_ros_display_cpm_na_na_all_int_as-25-44_sudeste_animado_970x250_billboard_branded-content__id-2020000631"/>
    <s v="491777362"/>
    <s v="Display"/>
    <n v="61697"/>
    <n v="45"/>
    <n v="0.04"/>
    <n v="7.0000000000000007E-2"/>
    <n v="2.4678800000000001"/>
    <n v="4.3187899999999999"/>
  </r>
  <r>
    <m/>
    <x v="3"/>
    <s v="BR Uol"/>
    <s v="almap_lg_he-nanocell-cores-puras_awareness_alcance_uol_ros_video_cpm_na_na_all_int_as-25-44_design_video_16:9_video-15_design__id-2020000682"/>
    <s v="298967615"/>
    <s v="Standard"/>
    <s v="almap_lg_he-nanocell-cores-puras_awareness_alcance_uol_ros_video_cpm_na_na_all_int_as-25-44_design_video_16:9_video-15_design__id-2020000682"/>
    <s v="492243174"/>
    <s v="Tracking"/>
    <n v="102786"/>
    <n v="141"/>
    <n v="0.04"/>
    <n v="7.0000000000000007E-2"/>
    <n v="4.1114400000000009"/>
    <n v="7.1950200000000004"/>
  </r>
  <r>
    <m/>
    <x v="3"/>
    <s v="BR Uol"/>
    <s v="almap_lg_he-nanocell-cores-puras_awareness_alcance_uol_ros_video_cpm_na_na_all_int_as-25-44_inteligencia-artificial_video_16:9_video-15_inteligencia-artificial__id-2020000681"/>
    <s v="298967618"/>
    <s v="Standard"/>
    <s v="almap_lg_he-nanocell-cores-puras_awareness_alcance_uol_ros_video_cpm_na_na_all_int_as-25-44_inteligencia-artificial_video_16:9_video-15_inteligencia-artificial__id-2020000681"/>
    <s v="492243177"/>
    <s v="Tracking"/>
    <n v="73339"/>
    <n v="60"/>
    <n v="0.04"/>
    <n v="7.0000000000000007E-2"/>
    <n v="2.9335599999999999"/>
    <n v="5.1337300000000008"/>
  </r>
  <r>
    <m/>
    <x v="3"/>
    <s v="BR Uol"/>
    <s v="almap_lg_he-nanocell-cores-puras_awareness_alcance_uol_ros_video_cpm_na_na_all_int_as-25-44_resolucao-8k_video_16:9_video-15_resolucao-8k__id-2020000680"/>
    <s v="298967621"/>
    <s v="Standard"/>
    <s v="almap_lg_he-nanocell-cores-puras_awareness_alcance_uol_ros_video_cpm_na_na_all_int_as-25-44_resolucao-8k_video_16:9_video-15_resolucao-8k__id-2020000680"/>
    <s v="492243180"/>
    <s v="Tracking"/>
    <n v="79691"/>
    <n v="89"/>
    <n v="0.04"/>
    <n v="7.0000000000000007E-2"/>
    <n v="3.18764"/>
    <n v="5.5783700000000005"/>
  </r>
  <r>
    <m/>
    <x v="3"/>
    <s v="BR Uol"/>
    <s v="almap_lg_he-nanocell-cores-puras_awareness_alcance_uol_ros_video_cpm_na_na_all_int_as-25-44_um-bilhao-de-cores_video_16:9_video-15_um-bilhao-de-cores__id-2020000683"/>
    <s v="298967612"/>
    <s v="Standard"/>
    <s v="almap_lg_he-nanocell-cores-puras_awareness_alcance_uol_ros_video_cpm_na_na_all_int_as-25-44_um-bilhao-de-cores_video_16:9_video-15_um-bilhao-de-cores__id-2020000683"/>
    <s v="492243171"/>
    <s v="Tracking"/>
    <n v="69004"/>
    <n v="86"/>
    <n v="0.04"/>
    <n v="7.0000000000000007E-2"/>
    <n v="2.7601599999999999"/>
    <n v="4.830280000000001"/>
  </r>
  <r>
    <m/>
    <x v="3"/>
    <s v="Connected  Interactive"/>
    <s v="almap_lg_he-nanocell-cores-puras_consideracao_trafego_connected-interative_ros_display_cpm_na_na_all_int_as-25-44_arara_animado_250x250_quadrado_arara__id-2020000502"/>
    <s v="298101610"/>
    <s v="Standard"/>
    <s v="almap_lg_he-nanocell-cores-puras_consideracao_trafego_connected-interative_ros_display_cpm_na_na_all_int_as-25-44_arara_animado_250x250_quadrado_arara__id-2020000502"/>
    <s v="491225148"/>
    <s v="Display"/>
    <n v="40339"/>
    <n v="58"/>
    <n v="0.04"/>
    <n v="7.0000000000000007E-2"/>
    <n v="1.6135599999999999"/>
    <n v="2.8237300000000003"/>
  </r>
  <r>
    <m/>
    <x v="3"/>
    <s v="Connected  Interactive"/>
    <s v="almap_lg_he-nanocell-cores-puras_consideracao_trafego_connected-interative_ros_display_cpm_na_na_all_int_as-25-44_arara_animado_300x250_retangulo_arara__id-2020000312"/>
    <s v="297712282"/>
    <s v="Standard"/>
    <s v="almap_lg_he-nanocell-cores-puras_consideracao_trafego_connected-interative_ros_display_cpm_na_na_all_int_as-25-44_arara_animado_300x250_retangulo_arara__id-2020000312"/>
    <s v="490812309"/>
    <s v="Display"/>
    <n v="2134914"/>
    <n v="5533"/>
    <n v="0.04"/>
    <n v="7.0000000000000007E-2"/>
    <n v="85.396559999999994"/>
    <n v="149.44398000000001"/>
  </r>
  <r>
    <m/>
    <x v="3"/>
    <s v="Connected  Interactive"/>
    <s v="almap_lg_he-nanocell-cores-puras_consideracao_trafego_connected-interative_ros_display_cpm_na_na_all_int_as-25-44_arara_animado_300x600_half-banner_arara__id-2020000413"/>
    <s v="297782885"/>
    <s v="Standard"/>
    <s v="almap_lg_he-nanocell-cores-puras_consideracao_trafego_connected-interative_ros_display_cpm_na_na_all_int_as-25-44_arara_animado_300x600_half-banner_arara__id-2020000413"/>
    <s v="491058898"/>
    <s v="Display"/>
    <n v="49308"/>
    <n v="49"/>
    <n v="0.04"/>
    <n v="7.0000000000000007E-2"/>
    <n v="1.9723199999999999"/>
    <n v="3.4515600000000002"/>
  </r>
  <r>
    <m/>
    <x v="3"/>
    <s v="Connected  Interactive"/>
    <s v="almap_lg_he-nanocell-cores-puras_consideracao_trafego_connected-interative_ros_display_cpm_na_na_all_int_as-25-44_arara_animado_320x100_banner-mobile_arara__id-2020000415"/>
    <s v="298014121"/>
    <s v="Standard"/>
    <s v="almap_lg_he-nanocell-cores-puras_consideracao_trafego_connected-interative_ros_display_cpm_na_na_all_int_as-25-44_arara_animado_320x100_banner-mobile_arara__id-2020000415"/>
    <s v="491136669"/>
    <s v="Display"/>
    <n v="64894"/>
    <n v="157"/>
    <n v="0.04"/>
    <n v="7.0000000000000007E-2"/>
    <n v="2.5957600000000003"/>
    <n v="4.542580000000001"/>
  </r>
  <r>
    <m/>
    <x v="3"/>
    <s v="Connected  Interactive"/>
    <s v="almap_lg_he-nanocell-cores-puras_consideracao_trafego_connected-interative_ros_display_cpm_na_na_all_int_as-25-44_arara_animado_320x50_banner-mobile-pequeno_arara__id-2020000414"/>
    <s v="297871383"/>
    <s v="Default"/>
    <s v="320x50 Default Web Ad"/>
    <s v="490698452"/>
    <s v="Display"/>
    <n v="1"/>
    <n v="0"/>
    <n v="0.04"/>
    <n v="7.0000000000000007E-2"/>
    <n v="4.0000000000000003E-5"/>
    <n v="7.0000000000000007E-5"/>
  </r>
  <r>
    <m/>
    <x v="3"/>
    <s v="Connected  Interactive"/>
    <s v="almap_lg_he-nanocell-cores-puras_consideracao_trafego_connected-interative_ros_display_cpm_na_na_all_int_as-25-44_arara_animado_320x50_banner-mobile-pequeno_arara__id-2020000414"/>
    <s v="297871383"/>
    <s v="Standard"/>
    <s v="almap_lg_he-nanocell-cores-puras_consideracao_trafego_connected-interative_ros_display_cpm_na_na_all_int_as-25-44_arara_animado_320x50_banner-mobile-pequeno_arara__id-2020000414"/>
    <s v="491058904"/>
    <s v="Display"/>
    <n v="1852313"/>
    <n v="2174"/>
    <n v="0.04"/>
    <n v="7.0000000000000007E-2"/>
    <n v="74.092520000000007"/>
    <n v="129.66191000000001"/>
  </r>
  <r>
    <m/>
    <x v="3"/>
    <s v="Connected  Interactive"/>
    <s v="almap_lg_he-nanocell-cores-puras_consideracao_trafego_connected-interative_ros_display_cpm_na_na_all_int_as-25-44_arara_animado_728x90_super-banner_arara__id-2020000417"/>
    <s v="297872355"/>
    <s v="Standard"/>
    <s v="almap_lg_he-nanocell-cores-puras_consideracao_trafego_connected-interative_ros_display_cpm_na_na_all_int_as-25-44_arara_animado_728x90_super-banner_arara__id-2020000417"/>
    <s v="490801175"/>
    <s v="Display"/>
    <n v="116407"/>
    <n v="166"/>
    <n v="0.04"/>
    <n v="7.0000000000000007E-2"/>
    <n v="4.6562799999999998"/>
    <n v="8.1484900000000007"/>
  </r>
  <r>
    <m/>
    <x v="3"/>
    <s v="Connected  Interactive"/>
    <s v="almap_lg_he-nanocell-cores-puras_consideracao_trafego_connected-interative_ros_display_cpm_na_na_all_int_as-25-44_arara_animado_970x250_billboard_arara__id-2020000419"/>
    <s v="297871413"/>
    <s v="Standard"/>
    <s v="almap_lg_he-nanocell-cores-puras_consideracao_trafego_connected-interative_ros_display_cpm_na_na_all_int_as-25-44_arara_animado_970x250_billboard_arara__id-2020000419"/>
    <s v="491136738"/>
    <s v="Display"/>
    <n v="3521"/>
    <n v="15"/>
    <n v="0.04"/>
    <n v="7.0000000000000007E-2"/>
    <n v="0.14083999999999999"/>
    <n v="0.24647000000000002"/>
  </r>
  <r>
    <m/>
    <x v="3"/>
    <s v="Connected  Interactive"/>
    <s v="almap_lg_he-nanocell-cores-puras_consideracao_trafego_connected-interative_ros_display_cpm_na_na_all_int_as-25-44_arara_animado_970x90_leadeboard_arara__id-2020000418"/>
    <s v="297782453"/>
    <s v="Standard"/>
    <s v="almap_lg_he-nanocell-cores-puras_consideracao_trafego_connected-interative_ros_display_cpm_na_na_all_int_as-25-44_arara_animado_970x90_leadeboard_arara__id-2020000418"/>
    <s v="491058967"/>
    <s v="Display"/>
    <n v="22763"/>
    <n v="18"/>
    <n v="0.04"/>
    <n v="7.0000000000000007E-2"/>
    <n v="0.91052"/>
    <n v="1.59341"/>
  </r>
  <r>
    <m/>
    <x v="3"/>
    <s v="Connected  Interactive"/>
    <s v="almap_lg_he-nanocell-cores-puras_consideracao_trafego_connected-interative_ros_display_cpm_na_na_all_int_as-25-44_centro-oeste_animado_300x250_retangulo_onca__id-2020000575"/>
    <s v="298504504"/>
    <s v="Default"/>
    <s v="300x250 Default Web Ad"/>
    <s v="490592748"/>
    <s v="Display"/>
    <n v="1"/>
    <n v="0"/>
    <n v="0.04"/>
    <n v="7.0000000000000007E-2"/>
    <n v="4.0000000000000003E-5"/>
    <n v="7.0000000000000007E-5"/>
  </r>
  <r>
    <m/>
    <x v="3"/>
    <s v="Connected  Interactive"/>
    <s v="almap_lg_he-nanocell-cores-puras_consideracao_trafego_connected-interative_ros_display_cpm_na_na_all_int_as-25-44_centro-oeste_animado_300x250_retangulo_onca__id-2020000575"/>
    <s v="298504504"/>
    <s v="Standard"/>
    <s v="almap_lg_he-nanocell-cores-puras_consideracao_trafego_connected-interative_ros_display_cpm_na_na_all_int_as-25-44_centro-oeste_animado_300x250_retangulo_onca__id-2020000575"/>
    <s v="491263826"/>
    <s v="Display"/>
    <n v="223385"/>
    <n v="284"/>
    <n v="0.04"/>
    <n v="7.0000000000000007E-2"/>
    <n v="8.9353999999999996"/>
    <n v="15.636950000000001"/>
  </r>
  <r>
    <m/>
    <x v="3"/>
    <s v="Connected  Interactive"/>
    <s v="almap_lg_he-nanocell-cores-puras_consideracao_trafego_connected-interative_ros_display_cpm_na_na_all_int_as-25-44_centro-oeste_animado_728x90_super-banner_onca__id-2020000621"/>
    <s v="298515857"/>
    <s v="Standard"/>
    <s v="almap_lg_he-nanocell-cores-puras_consideracao_trafego_connected-interative_ros_display_cpm_na_na_all_int_as-25-44_centro-oeste_animado_728x90_super-banner_onca__id-2020000621"/>
    <s v="491777395"/>
    <s v="Display"/>
    <n v="203255"/>
    <n v="328"/>
    <n v="0.04"/>
    <n v="7.0000000000000007E-2"/>
    <n v="8.1302000000000003"/>
    <n v="14.227850000000002"/>
  </r>
  <r>
    <m/>
    <x v="3"/>
    <s v="Connected  Interactive"/>
    <s v="almap_lg_he-nanocell-cores-puras_consideracao_trafego_connected-interative_ros_display_cpm_na_na_all_int_as-25-44_centro-oeste_animado_970x250_billboard_onca__id-2020000620"/>
    <s v="298515863"/>
    <s v="Standard"/>
    <s v="almap_lg_he-nanocell-cores-puras_consideracao_trafego_connected-interative_ros_display_cpm_na_na_all_int_as-25-44_centro-oeste_animado_970x250_billboard_onca__id-2020000620"/>
    <s v="491777401"/>
    <s v="Display"/>
    <n v="11288"/>
    <n v="26"/>
    <n v="0.04"/>
    <n v="7.0000000000000007E-2"/>
    <n v="0.45151999999999998"/>
    <n v="0.79016000000000008"/>
  </r>
  <r>
    <m/>
    <x v="3"/>
    <s v="Connected  Interactive"/>
    <s v="almap_lg_he-nanocell-cores-puras_consideracao_trafego_connected-interative_ros_display_cpm_na_na_all_int_as-25-44_nordeste_animado_300x250_retangulo_pelourinho__id-2020000576"/>
    <s v="298504381"/>
    <s v="Standard"/>
    <s v="almap_lg_he-nanocell-cores-puras_consideracao_trafego_connected-interative_ros_display_cpm_na_na_all_int_as-25-44_nordeste_animado_300x250_retangulo_pelourinho__id-2020000576"/>
    <s v="491601822"/>
    <s v="Display"/>
    <n v="222950"/>
    <n v="262"/>
    <n v="0.04"/>
    <n v="7.0000000000000007E-2"/>
    <n v="8.9179999999999993"/>
    <n v="15.606500000000002"/>
  </r>
  <r>
    <m/>
    <x v="3"/>
    <s v="Connected  Interactive"/>
    <s v="almap_lg_he-nanocell-cores-puras_consideracao_trafego_connected-interative_ros_display_cpm_na_na_all_int_as-25-44_nordeste_animado_728x90_super-banner_pelourinho__id-2020000625"/>
    <s v="298515842"/>
    <s v="Default"/>
    <s v="728x90 Default Web Ad"/>
    <s v="491034501"/>
    <s v="Display"/>
    <n v="1"/>
    <n v="0"/>
    <n v="0.04"/>
    <n v="7.0000000000000007E-2"/>
    <n v="4.0000000000000003E-5"/>
    <n v="7.0000000000000007E-5"/>
  </r>
  <r>
    <m/>
    <x v="3"/>
    <s v="Connected  Interactive"/>
    <s v="almap_lg_he-nanocell-cores-puras_consideracao_trafego_connected-interative_ros_display_cpm_na_na_all_int_as-25-44_nordeste_animado_728x90_super-banner_pelourinho__id-2020000625"/>
    <s v="298515842"/>
    <s v="Standard"/>
    <s v="almap_lg_he-nanocell-cores-puras_consideracao_trafego_connected-interative_ros_display_cpm_na_na_all_int_as-25-44_nordeste_animado_728x90_super-banner_pelourinho__id-2020000625"/>
    <s v="491777380"/>
    <s v="Display"/>
    <n v="118958"/>
    <n v="179"/>
    <n v="0.04"/>
    <n v="7.0000000000000007E-2"/>
    <n v="4.7583199999999994"/>
    <n v="8.3270600000000012"/>
  </r>
  <r>
    <m/>
    <x v="3"/>
    <s v="Connected  Interactive"/>
    <s v="almap_lg_he-nanocell-cores-puras_consideracao_trafego_connected-interative_ros_display_cpm_na_na_all_int_as-25-44_nordeste_animado_970x250_billboard_pelourinho__id-2020000624"/>
    <s v="298515845"/>
    <s v="Standard"/>
    <s v="almap_lg_he-nanocell-cores-puras_consideracao_trafego_connected-interative_ros_display_cpm_na_na_all_int_as-25-44_nordeste_animado_970x250_billboard_pelourinho__id-2020000624"/>
    <s v="491777383"/>
    <s v="Display"/>
    <n v="4089"/>
    <n v="4"/>
    <n v="0.04"/>
    <n v="7.0000000000000007E-2"/>
    <n v="0.16356000000000001"/>
    <n v="0.28623000000000004"/>
  </r>
  <r>
    <m/>
    <x v="3"/>
    <s v="Connected  Interactive"/>
    <s v="almap_lg_he-nanocell-cores-puras_consideracao_trafego_connected-interative_ros_display_cpm_na_na_all_int_as-25-44_sudeste_animado_300x250_retangulo_rio__id-2020000577"/>
    <s v="298278359"/>
    <s v="Standard"/>
    <s v="almap_lg_he-nanocell-cores-puras_consideracao_trafego_connected-interative_ros_display_cpm_na_na_all_int_as-25-44_sudeste_animado_300x250_retangulo_rio__id-2020000577"/>
    <s v="491601831"/>
    <s v="Display"/>
    <n v="225352"/>
    <n v="254"/>
    <n v="0.04"/>
    <n v="7.0000000000000007E-2"/>
    <n v="9.0140799999999999"/>
    <n v="15.774640000000002"/>
  </r>
  <r>
    <m/>
    <x v="3"/>
    <s v="Connected  Interactive"/>
    <s v="almap_lg_he-nanocell-cores-puras_consideracao_trafego_connected-interative_ros_display_cpm_na_na_all_int_as-25-44_sudeste_animado_728x90_super-banner_rio__id-2020000623"/>
    <s v="298515848"/>
    <s v="Standard"/>
    <s v="almap_lg_he-nanocell-cores-puras_consideracao_trafego_connected-interative_ros_display_cpm_na_na_all_int_as-25-44_sudeste_animado_728x90_super-banner_rio__id-2020000623"/>
    <s v="491777386"/>
    <s v="Display"/>
    <n v="61283"/>
    <n v="95"/>
    <n v="0.04"/>
    <n v="7.0000000000000007E-2"/>
    <n v="2.4513199999999999"/>
    <n v="4.2898100000000001"/>
  </r>
  <r>
    <m/>
    <x v="3"/>
    <s v="Connected  Interactive"/>
    <s v="almap_lg_he-nanocell-cores-puras_consideracao_trafego_connected-interative_ros_display_cpm_na_na_all_int_as-25-44_sudeste_animado_970x250_billboard_rio__id-2020000622"/>
    <s v="298515851"/>
    <s v="Standard"/>
    <s v="almap_lg_he-nanocell-cores-puras_consideracao_trafego_connected-interative_ros_display_cpm_na_na_all_int_as-25-44_sudeste_animado_970x250_billboard_rio__id-2020000622"/>
    <s v="491777389"/>
    <s v="Display"/>
    <n v="4566"/>
    <n v="11"/>
    <n v="0.04"/>
    <n v="7.0000000000000007E-2"/>
    <n v="0.18264000000000002"/>
    <n v="0.31962000000000002"/>
  </r>
  <r>
    <m/>
    <x v="3"/>
    <s v="Connected  Interactive"/>
    <s v="almap_lg_he-nanocell-cores-puras_consideracao_trafego_connected-interative_ros_video_cpm_na_na_all_int_as-25-44_design_video_16:9_video-15_design__id-2020000686"/>
    <s v="299070659"/>
    <s v="Standard"/>
    <s v="almap_lg_he-nanocell-cores-puras_consideracao_trafego_connected-interative_ros_video_cpm_na_na_all_int_as-25-44_design_video_16:9_video-15_design__id-2020000686"/>
    <s v="491961227"/>
    <s v="Tracking"/>
    <n v="105135"/>
    <n v="586"/>
    <n v="0.04"/>
    <n v="7.0000000000000007E-2"/>
    <n v="4.2054"/>
    <n v="7.3594500000000007"/>
  </r>
  <r>
    <m/>
    <x v="3"/>
    <s v="Connected  Interactive"/>
    <s v="almap_lg_he-nanocell-cores-puras_consideracao_trafego_connected-interative_ros_video_cpm_na_na_all_int_as-25-44_inteligencia-artificial_video_16:9_video-15_inteligencia-artificial__id-2020000685"/>
    <s v="299309143"/>
    <s v="Standard"/>
    <s v="almap_lg_he-nanocell-cores-puras_consideracao_trafego_connected-interative_ros_video_cpm_na_na_all_int_as-25-44_inteligencia-artificial_video_16:9_video-15_inteligencia-artificial__id-2020000685"/>
    <s v="491962517"/>
    <s v="Tracking"/>
    <n v="99314"/>
    <n v="521"/>
    <n v="0.04"/>
    <n v="7.0000000000000007E-2"/>
    <n v="3.9725600000000001"/>
    <n v="6.9519800000000007"/>
  </r>
  <r>
    <m/>
    <x v="3"/>
    <s v="Connected  Interactive"/>
    <s v="almap_lg_he-nanocell-cores-puras_consideracao_trafego_connected-interative_ros_video_cpm_na_na_all_int_as-25-44_resolucao-8k_video_16:9_video-15_resolucao-8k__id-2020000684"/>
    <s v="299174868"/>
    <s v="Standard"/>
    <s v="almap_lg_he-nanocell-cores-puras_consideracao_trafego_connected-interative_ros_video_cpm_na_na_all_int_as-25-44_resolucao-8k_video_16:9_video-15_resolucao-8k__id-2020000684"/>
    <s v="491959781"/>
    <s v="Tracking"/>
    <n v="418784"/>
    <n v="2556"/>
    <n v="0.04"/>
    <n v="7.0000000000000007E-2"/>
    <n v="16.751360000000002"/>
    <n v="29.314880000000002"/>
  </r>
  <r>
    <m/>
    <x v="3"/>
    <s v="Connected  Interactive"/>
    <s v="almap_lg_he-nanocell-cores-puras_consideracao_trafego_connected-interative_ros_video_cpm_na_na_all_int_as-25-44_um-bilhao-de-cores_video_16:9_video-15_um-bilhao-de-cores__id-2020000687"/>
    <s v="299069903"/>
    <s v="Standard"/>
    <s v="almap_lg_he-nanocell-cores-puras_consideracao_trafego_connected-interative_ros_video_cpm_na_na_all_int_as-25-44_um-bilhao-de-cores_video_16:9_video-15_um-bilhao-de-cores__id-2020000687"/>
    <s v="491962562"/>
    <s v="Tracking"/>
    <n v="119896"/>
    <n v="765"/>
    <n v="0.04"/>
    <n v="7.0000000000000007E-2"/>
    <n v="4.7958400000000001"/>
    <n v="8.3927200000000006"/>
  </r>
  <r>
    <m/>
    <x v="3"/>
    <s v="DBM ALMAP BBDO Brasil 971065410-LG"/>
    <s v="almap_lg_he-nanocell-cores-puras_awareness_alcance_dv360_ros_display_cpm_na_na_all_int_as-25-44_arara_animado_300x250_retangulo_arara__id-2020000751"/>
    <s v="299403754"/>
    <s v="Standard"/>
    <s v="almap_lg_he-nanocell-cores-puras_awareness_alcance_dv360_ros_display_cpm_na_na_all_int_as-25-44_arara_animado_300x250_retangulo_arara__id-2020000751"/>
    <s v="492413100"/>
    <s v="Display"/>
    <n v="180402"/>
    <n v="5242"/>
    <n v="0.04"/>
    <n v="7.0000000000000007E-2"/>
    <n v="7.2160799999999998"/>
    <n v="12.628140000000002"/>
  </r>
  <r>
    <m/>
    <x v="3"/>
    <s v="DBM ALMAP BBDO Brasil 971065410-LG"/>
    <s v="almap_lg_he-nanocell-cores-puras_awareness_alcance_dv360_ros_display_cpm_na_na_all_int_as-25-44_arara_animado_970x250_billboard_arara__id-2020000753"/>
    <s v="299402917"/>
    <s v="Standard"/>
    <s v="almap_lg_he-nanocell-cores-puras_awareness_alcance_dv360_ros_display_cpm_na_na_all_int_as-25-44_arara_animado_970x250_billboard_arara__id-2020000753"/>
    <s v="492413157"/>
    <s v="Display"/>
    <n v="2425"/>
    <n v="55"/>
    <n v="0.04"/>
    <n v="7.0000000000000007E-2"/>
    <n v="9.7000000000000003E-2"/>
    <n v="0.16975000000000004"/>
  </r>
  <r>
    <m/>
    <x v="3"/>
    <s v="DBM ALMAP BBDO Brasil 971065410-LG"/>
    <s v="almap_lg_he-nanocell-cores-puras_awareness_alcance_dv360_ros_display_cpm_na_na_all_int_as-25-44_centro-oeste_animado_300x250_retangulo_centro-oeste__id-2020000754"/>
    <s v="299404183"/>
    <s v="Standard"/>
    <s v="almap_lg_he-nanocell-cores-puras_awareness_alcance_dv360_ros_display_cpm_na_na_all_int_as-25-44_centro-oeste_animado_300x250_retangulo_centro-oeste__id-2020000754"/>
    <s v="492035312"/>
    <s v="Display"/>
    <n v="159376"/>
    <n v="4499"/>
    <n v="0.04"/>
    <n v="7.0000000000000007E-2"/>
    <n v="6.3750400000000003"/>
    <n v="11.156320000000001"/>
  </r>
  <r>
    <m/>
    <x v="3"/>
    <s v="DBM ALMAP BBDO Brasil 971065410-LG"/>
    <s v="almap_lg_he-nanocell-cores-puras_awareness_alcance_dv360_ros_display_cpm_na_na_all_int_as-25-44_centro-oeste_animado_970x250_billboard_centro-oeste__id-2020000756"/>
    <s v="299268684"/>
    <s v="Standard"/>
    <s v="almap_lg_he-nanocell-cores-puras_awareness_alcance_dv360_ros_display_cpm_na_na_all_int_as-25-44_centro-oeste_animado_970x250_billboard_centro-oeste__id-2020000756"/>
    <s v="492354769"/>
    <s v="Display"/>
    <n v="4703"/>
    <n v="116"/>
    <n v="0.04"/>
    <n v="7.0000000000000007E-2"/>
    <n v="0.18812000000000001"/>
    <n v="0.32921000000000006"/>
  </r>
  <r>
    <m/>
    <x v="3"/>
    <s v="DBM ALMAP BBDO Brasil 971065410-LG"/>
    <s v="almap_lg_he-nanocell-cores-puras_awareness_alcance_dv360_ros_display_cpm_na_na_all_int_as-25-44_nordeste_animado_300x250_retangulo_nordeste__id-2020000760"/>
    <s v="299171663"/>
    <s v="Standard"/>
    <s v="almap_lg_he-nanocell-cores-puras_awareness_alcance_dv360_ros_display_cpm_na_na_all_int_as-25-44_nordeste_animado_300x250_retangulo_nordeste__id-2020000760"/>
    <s v="492036461"/>
    <s v="Display"/>
    <n v="157468"/>
    <n v="4303"/>
    <n v="0.04"/>
    <n v="7.0000000000000007E-2"/>
    <n v="6.2987200000000003"/>
    <n v="11.02276"/>
  </r>
  <r>
    <m/>
    <x v="3"/>
    <s v="DBM ALMAP BBDO Brasil 971065410-LG"/>
    <s v="almap_lg_he-nanocell-cores-puras_awareness_alcance_dv360_ros_display_cpm_na_na_all_int_as-25-44_nordeste_animado_970x250_billboard_nordeste__id-2020000762"/>
    <s v="299269656"/>
    <s v="Standard"/>
    <s v="almap_lg_he-nanocell-cores-puras_awareness_alcance_dv360_ros_display_cpm_na_na_all_int_as-25-44_nordeste_animado_970x250_billboard_nordeste__id-2020000762"/>
    <s v="492355945"/>
    <s v="Display"/>
    <n v="2490"/>
    <n v="60"/>
    <n v="0.04"/>
    <n v="7.0000000000000007E-2"/>
    <n v="9.9600000000000008E-2"/>
    <n v="0.17430000000000001"/>
  </r>
  <r>
    <m/>
    <x v="3"/>
    <s v="DBM ALMAP BBDO Brasil 971065410-LG"/>
    <s v="almap_lg_he-nanocell-cores-puras_awareness_alcance_dv360_ros_display_cpm_na_na_all_int_as-25-44_sudeste_animado_300x250_retangulo_sudeste__id-2020000763"/>
    <s v="299171696"/>
    <s v="Default"/>
    <s v="300x250 Default Web Ad"/>
    <s v="490592748"/>
    <s v="Display"/>
    <n v="1"/>
    <n v="0"/>
    <n v="0.04"/>
    <n v="7.0000000000000007E-2"/>
    <n v="4.0000000000000003E-5"/>
    <n v="7.0000000000000007E-5"/>
  </r>
  <r>
    <m/>
    <x v="3"/>
    <s v="DBM ALMAP BBDO Brasil 971065410-LG"/>
    <s v="almap_lg_he-nanocell-cores-puras_awareness_alcance_dv360_ros_display_cpm_na_na_all_int_as-25-44_sudeste_animado_300x250_retangulo_sudeste__id-2020000763"/>
    <s v="299171696"/>
    <s v="Standard"/>
    <s v="almap_lg_he-nanocell-cores-puras_awareness_alcance_dv360_ros_display_cpm_na_na_all_int_as-25-44_sudeste_animado_300x250_retangulo_sudeste__id-2020000763"/>
    <s v="492356260"/>
    <s v="Display"/>
    <n v="280952"/>
    <n v="8809"/>
    <n v="0.04"/>
    <n v="7.0000000000000007E-2"/>
    <n v="11.23808"/>
    <n v="19.666640000000005"/>
  </r>
  <r>
    <m/>
    <x v="3"/>
    <s v="DBM ALMAP BBDO Brasil 971065410-LG"/>
    <s v="almap_lg_he-nanocell-cores-puras_awareness_alcance_dv360_ros_display_cpm_na_na_all_int_as-25-44_sudeste_animado_970x250_billboard_sudeste__id-2020000765"/>
    <s v="299269695"/>
    <s v="Standard"/>
    <s v="almap_lg_he-nanocell-cores-puras_awareness_alcance_dv360_ros_display_cpm_na_na_all_int_as-25-44_sudeste_animado_970x250_billboard_sudeste__id-2020000765"/>
    <s v="492035477"/>
    <s v="Display"/>
    <n v="2359"/>
    <n v="76"/>
    <n v="0.04"/>
    <n v="7.0000000000000007E-2"/>
    <n v="9.4359999999999999E-2"/>
    <n v="0.16513000000000003"/>
  </r>
  <r>
    <m/>
    <x v="3"/>
    <s v="DBM ALMAP BBDO Brasil 971065410-LG"/>
    <s v="almap_lg_he-nanocell-cores-puras_awareness_alcance_dv360_ros_display_cpm_na_na_all_int_as-25-44_sul_animado_300x250_retangulo_sul__id-2020000757"/>
    <s v="299171531"/>
    <s v="Standard"/>
    <s v="almap_lg_he-nanocell-cores-puras_awareness_alcance_dv360_ros_display_cpm_na_na_all_int_as-25-44_sul_animado_300x250_retangulo_sul__id-2020000757"/>
    <s v="492356140"/>
    <s v="Display"/>
    <n v="246623"/>
    <n v="7548"/>
    <n v="0.04"/>
    <n v="7.0000000000000007E-2"/>
    <n v="9.8649199999999997"/>
    <n v="17.26361"/>
  </r>
  <r>
    <m/>
    <x v="3"/>
    <s v="DBM ALMAP BBDO Brasil 971065410-LG"/>
    <s v="almap_lg_he-nanocell-cores-puras_awareness_alcance_dv360_ros_display_cpm_na_na_all_int_as-25-44_sul_animado_970x250_billboard_sul__id-2020000759"/>
    <s v="299172215"/>
    <s v="Standard"/>
    <s v="almap_lg_he-nanocell-cores-puras_awareness_alcance_dv360_ros_display_cpm_na_na_all_int_as-25-44_sul_animado_970x250_billboard_sul__id-2020000759"/>
    <s v="492413292"/>
    <s v="Display"/>
    <n v="2580"/>
    <n v="67"/>
    <n v="0.04"/>
    <n v="7.0000000000000007E-2"/>
    <n v="0.1032"/>
    <n v="0.18060000000000001"/>
  </r>
  <r>
    <m/>
    <x v="3"/>
    <s v="DBM ALMAP BBDO Brasil 971065410-LG"/>
    <s v="almap_lg_he-nanocell-cores-puras_awareness_trafego_dv360_ros_display_cpm_na_na_all_int_interesses-nanocell_cores-puras_animado_300x250_retangulo_arara__id-2020000284"/>
    <s v="297349602"/>
    <s v="Standard"/>
    <s v="almap_lg_he-nanocell-cores-puras_awareness_trafego_dv360_ros_display_cpm_na_na_all_int_interesses-nanocell_cores-puras_animado_300x250_retangulo_arara__id-2020000284"/>
    <s v="490592787"/>
    <s v="Display"/>
    <n v="166303"/>
    <n v="4703"/>
    <n v="0.04"/>
    <n v="7.0000000000000007E-2"/>
    <n v="6.65212"/>
    <n v="11.641210000000001"/>
  </r>
  <r>
    <m/>
    <x v="3"/>
    <s v="ROIx"/>
    <s v="almap_lg_he-nanocell-cores-puras_awareness_alcance_roix_ros_video_cpm_na_na_all_int_as-25-44_design_video_16:9_video-15_design__id-2020000678"/>
    <s v="298967627"/>
    <s v="Standard"/>
    <s v="almap_lg_he-nanocell-cores-puras_awareness_alcance_roix_ros_video_cpm_na_na_all_int_as-25-44_design_video_16:9_video-15_design__id-2020000678"/>
    <s v="492243186"/>
    <s v="Tracking"/>
    <n v="173564"/>
    <n v="895"/>
    <n v="0.04"/>
    <n v="7.0000000000000007E-2"/>
    <n v="6.9425600000000003"/>
    <n v="12.149480000000001"/>
  </r>
  <r>
    <m/>
    <x v="3"/>
    <s v="ROIx"/>
    <s v="almap_lg_he-nanocell-cores-puras_awareness_alcance_roix_ros_video_cpm_na_na_all_int_as-25-44_inteligencia-artificial_video_16:9_video-15_inteligencia-artificial__id-2020000677"/>
    <s v="298967630"/>
    <s v="Standard"/>
    <s v="almap_lg_he-nanocell-cores-puras_awareness_alcance_roix_ros_video_cpm_na_na_all_int_as-25-44_inteligencia-artificial_video_16:9_video-15_inteligencia-artificial__id-2020000677"/>
    <s v="492243189"/>
    <s v="Tracking"/>
    <n v="190812"/>
    <n v="1773"/>
    <n v="0.04"/>
    <n v="7.0000000000000007E-2"/>
    <n v="7.6324800000000002"/>
    <n v="13.356840000000002"/>
  </r>
  <r>
    <m/>
    <x v="3"/>
    <s v="ROIx"/>
    <s v="almap_lg_he-nanocell-cores-puras_awareness_alcance_roix_ros_video_cpm_na_na_all_int_as-25-44_resolucao-8k_video_16:9_video-15_resolucao-8k__id-2020000676"/>
    <s v="298971452"/>
    <s v="Standard"/>
    <s v="almap_lg_he-nanocell-cores-puras_awareness_alcance_roix_ros_video_cpm_na_na_all_int_as-25-44_resolucao-8k_video_16:9_video-15_resolucao-8k__id-2020000676"/>
    <s v="492191473"/>
    <s v="Tracking"/>
    <n v="172695"/>
    <n v="0"/>
    <n v="0.04"/>
    <n v="7.0000000000000007E-2"/>
    <n v="6.9077999999999999"/>
    <n v="12.088650000000001"/>
  </r>
  <r>
    <m/>
    <x v="3"/>
    <s v="ROIx"/>
    <s v="almap_lg_he-nanocell-cores-puras_awareness_alcance_roix_ros_video_cpm_na_na_all_int_as-25-44_um-bilhao-de-cores_video_16:9_video-15_um-bilhao-de-cores__id-2020000679"/>
    <s v="298967624"/>
    <s v="Standard"/>
    <s v="almap_lg_he-nanocell-cores-puras_awareness_alcance_roix_ros_video_cpm_na_na_all_int_as-25-44_um-bilhao-de-cores_video_16:9_video-15_um-bilhao-de-cores__id-2020000679"/>
    <s v="492243183"/>
    <s v="Tracking"/>
    <n v="192390"/>
    <n v="1187"/>
    <n v="0.04"/>
    <n v="7.0000000000000007E-2"/>
    <n v="7.6956000000000007"/>
    <n v="13.467300000000002"/>
  </r>
  <r>
    <m/>
    <x v="3"/>
    <s v="ROIx"/>
    <s v="almap_lg_he-nanocell-cores-puras_consideracao_trafego_roix_ros_display_cpm_na_na_all_int_as-25-44_arara_animado_300x250_retangulo_arara__id-2020000310"/>
    <s v="297712816"/>
    <s v="Standard"/>
    <s v="almap_lg_he-nanocell-cores-puras_consideracao_trafego_roix_ros_display_cpm_na_na_all_int_as-25-44_arara_animado_300x250_retangulo_arara__id-2020000310"/>
    <s v="490496981"/>
    <s v="Display"/>
    <n v="752794"/>
    <n v="475"/>
    <n v="0.04"/>
    <n v="7.0000000000000007E-2"/>
    <n v="30.11176"/>
    <n v="52.69558"/>
  </r>
  <r>
    <m/>
    <x v="3"/>
    <s v="ROIx"/>
    <s v="almap_lg_he-nanocell-cores-puras_consideracao_trafego_roix_ros_display_cpm_na_na_all_int_as-25-44_arara_animado_300x600_half-banner_arara__id-2020000408"/>
    <s v="297870801"/>
    <s v="Standard"/>
    <s v="almap_lg_he-nanocell-cores-puras_consideracao_trafego_roix_ros_display_cpm_na_na_all_int_as-25-44_arara_animado_300x600_half-banner_arara__id-2020000408"/>
    <s v="491057557"/>
    <s v="Display"/>
    <n v="85046"/>
    <n v="103"/>
    <n v="0.04"/>
    <n v="7.0000000000000007E-2"/>
    <n v="3.40184"/>
    <n v="5.95322"/>
  </r>
  <r>
    <m/>
    <x v="3"/>
    <s v="ROIx"/>
    <s v="almap_lg_he-nanocell-cores-puras_consideracao_trafego_roix_ros_display_cpm_na_na_all_int_as-25-44_arara_animado_320x100_banner-mobile_arara__id-2020000411"/>
    <s v="298013764"/>
    <s v="Default"/>
    <s v="320x100 Default Web Ad"/>
    <s v="490700945"/>
    <s v="Display"/>
    <n v="1"/>
    <n v="0"/>
    <n v="0.04"/>
    <n v="7.0000000000000007E-2"/>
    <n v="4.0000000000000003E-5"/>
    <n v="7.0000000000000007E-5"/>
  </r>
  <r>
    <m/>
    <x v="3"/>
    <s v="ROIx"/>
    <s v="almap_lg_he-nanocell-cores-puras_consideracao_trafego_roix_ros_display_cpm_na_na_all_int_as-25-44_arara_animado_320x100_banner-mobile_arara__id-2020000411"/>
    <s v="298013764"/>
    <s v="Standard"/>
    <s v="almap_lg_he-nanocell-cores-puras_consideracao_trafego_roix_ros_display_cpm_na_na_all_int_as-25-44_arara_animado_320x100_banner-mobile_arara__id-2020000411"/>
    <s v="491132070"/>
    <s v="Display"/>
    <n v="1305055"/>
    <n v="7281"/>
    <n v="0.04"/>
    <n v="7.0000000000000007E-2"/>
    <n v="52.202200000000005"/>
    <n v="91.353850000000008"/>
  </r>
  <r>
    <m/>
    <x v="3"/>
    <s v="ROIx"/>
    <s v="almap_lg_he-nanocell-cores-puras_consideracao_trafego_roix_ros_display_cpm_na_na_all_int_as-25-44_arara_animado_320x50_banner-mobile-pequeno_arara__id-2020000412"/>
    <s v="297782414"/>
    <s v="Default"/>
    <s v="320x50 Default Web Ad"/>
    <s v="490698452"/>
    <s v="Display"/>
    <n v="3"/>
    <n v="0"/>
    <n v="0.04"/>
    <n v="7.0000000000000007E-2"/>
    <n v="1.1999999999999999E-4"/>
    <n v="2.1000000000000001E-4"/>
  </r>
  <r>
    <m/>
    <x v="3"/>
    <s v="ROIx"/>
    <s v="almap_lg_he-nanocell-cores-puras_consideracao_trafego_roix_ros_display_cpm_na_na_all_int_as-25-44_arara_animado_320x50_banner-mobile-pequeno_arara__id-2020000412"/>
    <s v="297782414"/>
    <s v="Standard"/>
    <s v="almap_lg_he-nanocell-cores-puras_consideracao_trafego_roix_ros_display_cpm_na_na_all_int_as-25-44_arara_animado_320x50_banner-mobile-pequeno_arara__id-2020000412"/>
    <s v="490800317"/>
    <s v="Display"/>
    <n v="4053466"/>
    <n v="13688"/>
    <n v="0.04"/>
    <n v="7.0000000000000007E-2"/>
    <n v="162.13864000000001"/>
    <n v="283.74262000000004"/>
  </r>
  <r>
    <m/>
    <x v="3"/>
    <s v="ROIx"/>
    <s v="almap_lg_he-nanocell-cores-puras_consideracao_trafego_roix_ros_display_cpm_na_na_all_int_as-25-44_arara_animado_728x90_super-banner_arara__id-2020000410"/>
    <s v="298013749"/>
    <s v="Standard"/>
    <s v="almap_lg_he-nanocell-cores-puras_consideracao_trafego_roix_ros_display_cpm_na_na_all_int_as-25-44_arara_animado_728x90_super-banner_arara__id-2020000410"/>
    <s v="491055220"/>
    <s v="Display"/>
    <n v="991064"/>
    <n v="1566"/>
    <n v="0.04"/>
    <n v="7.0000000000000007E-2"/>
    <n v="39.642559999999996"/>
    <n v="69.374480000000005"/>
  </r>
  <r>
    <m/>
    <x v="3"/>
    <s v="ROIx"/>
    <s v="almap_lg_he-nanocell-cores-puras_consideracao_trafego_roix_ros_display_cpm_na_na_all_int_as-25-44_centro-oeste_animado_300x250_retangulo_onca__id-2020000572"/>
    <s v="298504333"/>
    <s v="Standard"/>
    <s v="almap_lg_he-nanocell-cores-puras_consideracao_trafego_roix_ros_display_cpm_na_na_all_int_as-25-44_centro-oeste_animado_300x250_retangulo_onca__id-2020000572"/>
    <s v="491603640"/>
    <s v="Display"/>
    <n v="134622"/>
    <n v="2963"/>
    <n v="0.04"/>
    <n v="7.0000000000000007E-2"/>
    <n v="5.3848799999999999"/>
    <n v="9.4235400000000009"/>
  </r>
  <r>
    <m/>
    <x v="3"/>
    <s v="ROIx"/>
    <s v="almap_lg_he-nanocell-cores-puras_consideracao_trafego_roix_ros_display_cpm_na_na_all_int_as-25-44_nordeste_animado_300x250_retangulo_pelourinho__id-2020000573"/>
    <s v="298504336"/>
    <s v="Standard"/>
    <s v="almap_lg_he-nanocell-cores-puras_consideracao_trafego_roix_ros_display_cpm_na_na_all_int_as-25-44_nordeste_animado_300x250_retangulo_pelourinho__id-2020000573"/>
    <s v="491264201"/>
    <s v="Display"/>
    <n v="140948"/>
    <n v="2970"/>
    <n v="0.04"/>
    <n v="7.0000000000000007E-2"/>
    <n v="5.6379200000000003"/>
    <n v="9.8663600000000002"/>
  </r>
  <r>
    <m/>
    <x v="3"/>
    <s v="ROIx"/>
    <s v="almap_lg_he-nanocell-cores-puras_consideracao_trafego_roix_ros_display_cpm_na_na_all_int_as-25-44_sudeste_animado_300x250_retangulo_rio__id-2020000574"/>
    <s v="298278980"/>
    <s v="Standard"/>
    <s v="almap_lg_he-nanocell-cores-puras_consideracao_trafego_roix_ros_display_cpm_na_na_all_int_as-25-44_sudeste_animado_300x250_retangulo_rio__id-2020000574"/>
    <s v="491264204"/>
    <s v="Display"/>
    <n v="166315"/>
    <n v="3799"/>
    <n v="0.04"/>
    <n v="7.0000000000000007E-2"/>
    <n v="6.6526000000000005"/>
    <n v="11.642050000000001"/>
  </r>
  <r>
    <m/>
    <x v="3"/>
    <s v="SeedTag"/>
    <s v="almap_lg_he-nanocell-cores-puras_consideracao_trafego_seedtag_ros_display_cpm_na_na_all_int_as-25-44_arara_animado_810x560_full-imagem-display_arara__id-2020000508"/>
    <s v="298202917"/>
    <s v="Standard"/>
    <s v="almap_lg_he-nanocell-cores-puras_consideracao_trafego_seedtag_ros_display_cpm_na_na_all_int_as-25-44_arara_animado_810x560_full-imagem-display_arara__id-2020000508"/>
    <s v="491309127"/>
    <s v="Tracking"/>
    <n v="4855807"/>
    <n v="49030"/>
    <n v="0.04"/>
    <n v="7.0000000000000007E-2"/>
    <n v="194.23228"/>
    <n v="339.90649000000008"/>
  </r>
  <r>
    <m/>
    <x v="3"/>
    <s v="SeedTag"/>
    <s v="almap_lg_he-nanocell-cores-puras_consideracao_trafego_seedtag_ros_display_cpm_na_na_all_int_as-25-44_arara_animado_810x560_glow_arara__id-2020000509"/>
    <s v="298204774"/>
    <s v="Standard"/>
    <s v="almap_lg_he-nanocell-cores-puras_consideracao_trafego_seedtag_ros_display_cpm_na_na_all_int_as-25-44_arara_animado_810x560_glow_arara__id-2020000509"/>
    <s v="491309136"/>
    <s v="Tracking"/>
    <n v="4680518"/>
    <n v="51030"/>
    <n v="0.04"/>
    <n v="7.0000000000000007E-2"/>
    <n v="187.22072"/>
    <n v="327.63625999999999"/>
  </r>
  <r>
    <m/>
    <x v="3"/>
    <s v="SeedTag"/>
    <s v="almap_lg_he-nanocell-cores-puras_consideracao_trafego_seedtag_ros_display_cpm_na_na_all_int_as-25-44_na_animado_810x560_ful-imagem-video_design__id-2020000838"/>
    <s v="299431604"/>
    <s v="Standard"/>
    <s v="almap_lg_he-nanocell-cores-puras_consideracao_trafego_seedtag_ros_display_cpm_na_na_all_int_as-25-44_na_animado_810x560_ful-imagem-video_design__id-2020000838"/>
    <s v="492254456"/>
    <s v="Tracking"/>
    <n v="147132"/>
    <n v="2038"/>
    <n v="0.04"/>
    <n v="7.0000000000000007E-2"/>
    <n v="5.8852799999999998"/>
    <n v="10.299240000000001"/>
  </r>
  <r>
    <m/>
    <x v="3"/>
    <s v="SeedTag"/>
    <s v="almap_lg_he-nanocell-cores-puras_consideracao_trafego_seedtag_ros_display_cpm_na_na_all_int_as-25-44_na_animado_810x560_ful-imagem-video_inteligencia-artificial__id-2020000839"/>
    <s v="299648401"/>
    <s v="Standard"/>
    <s v="almap_lg_he-nanocell-cores-puras_consideracao_trafego_seedtag_ros_display_cpm_na_na_all_int_as-25-44_na_animado_810x560_ful-imagem-video_inteligencia-artificial__id-2020000839"/>
    <s v="492254489"/>
    <s v="Tracking"/>
    <n v="252661"/>
    <n v="3422"/>
    <n v="0.04"/>
    <n v="7.0000000000000007E-2"/>
    <n v="10.106440000000001"/>
    <n v="17.68627"/>
  </r>
  <r>
    <m/>
    <x v="3"/>
    <s v="SeedTag"/>
    <s v="almap_lg_he-nanocell-cores-puras_consideracao_trafego_seedtag_ros_display_cpm_na_na_all_int_as-25-44_na_animado_810x560_ful-imagem-video_resolucao-8k__id-2020000837"/>
    <s v="299431589"/>
    <s v="Standard"/>
    <s v="almap_lg_he-nanocell-cores-puras_consideracao_trafego_seedtag_ros_display_cpm_na_na_all_int_as-25-44_na_animado_810x560_ful-imagem-video_resolucao-8k__id-2020000837"/>
    <s v="492638499"/>
    <s v="Tracking"/>
    <n v="157526"/>
    <n v="2286"/>
    <n v="0.04"/>
    <n v="7.0000000000000007E-2"/>
    <n v="6.3010399999999995"/>
    <n v="11.026820000000001"/>
  </r>
  <r>
    <m/>
    <x v="3"/>
    <s v="SeedTag"/>
    <s v="almap_lg_he-nanocell-cores-puras_consideracao_trafego_seedtag_ros_display_cpm_na_na_all_int_as-25-44_na_animado_810x560_ful-imagem-video_um-bilhao-de-cores__id-2020000840"/>
    <s v="299515692"/>
    <s v="Standard"/>
    <s v="almap_lg_he-nanocell-cores-puras_consideracao_trafego_seedtag_ros_display_cpm_na_na_all_int_as-25-44_na_animado_810x560_ful-imagem-video_um-bilhao-de-cores__id-2020000840"/>
    <s v="492638601"/>
    <s v="Tracking"/>
    <n v="210617"/>
    <n v="3035"/>
    <n v="0.04"/>
    <n v="7.0000000000000007E-2"/>
    <n v="8.4246800000000004"/>
    <n v="14.74319"/>
  </r>
  <r>
    <m/>
    <x v="3"/>
    <s v="[Display] Verizon Media"/>
    <s v="almap_lg_he-nanocell-cores-puras_awareness_alcance_verizon_ros_display_cpm_na_na_all_int_as-25-44_arara_animado_300x250_retangulo_arara__id-2020000308"/>
    <s v="297710656"/>
    <s v="Default"/>
    <s v="300x250 Default Web Ad"/>
    <s v="490592748"/>
    <s v="Display"/>
    <n v="2"/>
    <n v="0"/>
    <n v="0.04"/>
    <n v="7.0000000000000007E-2"/>
    <n v="8.0000000000000007E-5"/>
    <n v="1.4000000000000001E-4"/>
  </r>
  <r>
    <m/>
    <x v="3"/>
    <s v="[Display] Verizon Media"/>
    <s v="almap_lg_he-nanocell-cores-puras_awareness_alcance_verizon_ros_display_cpm_na_na_all_int_as-25-44_arara_animado_300x250_retangulo_arara__id-2020000308"/>
    <s v="297710656"/>
    <s v="Standard"/>
    <s v="almap_lg_he-nanocell-cores-puras_awareness_alcance_verizon_ros_display_cpm_na_na_all_int_as-25-44_arara_animado_300x250_retangulo_arara__id-2020000308"/>
    <s v="490496180"/>
    <s v="Display"/>
    <n v="1732442"/>
    <n v="1310"/>
    <n v="0.04"/>
    <n v="7.0000000000000007E-2"/>
    <n v="69.297680000000014"/>
    <n v="121.27094000000001"/>
  </r>
  <r>
    <m/>
    <x v="3"/>
    <s v="[Display] Verizon Media"/>
    <s v="almap_lg_he-nanocell-cores-puras_awareness_alcance_verizon_ros_display_cpm_na_na_all_int_as-25-44_arara_animado_300x600_half-banner_arara-verizon__id-2020000541"/>
    <s v="298227461"/>
    <s v="Standard"/>
    <s v="almap_lg_he-nanocell-cores-puras_awareness_alcance_verizon_ros_display_cpm_na_na_all_int_as-25-44_arara_animado_300x600_half-banner_arara-verizon__id-2020000541"/>
    <s v="491212208"/>
    <s v="Tracking"/>
    <n v="5327620"/>
    <n v="9997"/>
    <n v="0.04"/>
    <n v="7.0000000000000007E-2"/>
    <n v="213.10480000000001"/>
    <n v="372.93340000000001"/>
  </r>
  <r>
    <m/>
    <x v="3"/>
    <s v="[Display] Verizon Media"/>
    <s v="almap_lg_he-nanocell-cores-puras_awareness_alcance_verizon_ros_display_cpm_na_na_all_int_as-25-44_arara_animado_300x600_half-banner_arara__id-2020000400"/>
    <s v="297871830"/>
    <s v="Standard"/>
    <s v="almap_lg_he-nanocell-cores-puras_awareness_alcance_verizon_ros_display_cpm_na_na_all_int_as-25-44_arara_animado_300x600_half-banner_arara__id-2020000400"/>
    <s v="491134620"/>
    <s v="Display"/>
    <n v="449057"/>
    <n v="573"/>
    <n v="0.04"/>
    <n v="7.0000000000000007E-2"/>
    <n v="17.96228"/>
    <n v="31.433990000000001"/>
  </r>
  <r>
    <m/>
    <x v="3"/>
    <s v="[Display] Verizon Media"/>
    <s v="almap_lg_he-nanocell-cores-puras_awareness_alcance_verizon_ros_display_cpm_na_na_all_int_as-25-44_arara_animado_320x50_banner-mobile-pequeno_arara__id-2020000407"/>
    <s v="297870795"/>
    <s v="Standard"/>
    <s v="almap_lg_he-nanocell-cores-puras_awareness_alcance_verizon_ros_display_cpm_na_na_all_int_as-25-44_arara_animado_320x50_banner-mobile-pequeno_arara__id-2020000407"/>
    <s v="491134647"/>
    <s v="Display"/>
    <n v="1877698"/>
    <n v="4550"/>
    <n v="0.04"/>
    <n v="7.0000000000000007E-2"/>
    <n v="75.107919999999993"/>
    <n v="131.43886000000001"/>
  </r>
  <r>
    <m/>
    <x v="3"/>
    <s v="[Display] Verizon Media"/>
    <s v="almap_lg_he-nanocell-cores-puras_awareness_alcance_verizon_ros_display_cpm_na_na_all_int_as-25-44_arara_animado_728x90_super-banner_arara__id-2020000404"/>
    <s v="297782333"/>
    <s v="Standard"/>
    <s v="almap_lg_he-nanocell-cores-puras_awareness_alcance_verizon_ros_display_cpm_na_na_all_int_as-25-44_arara_animado_728x90_super-banner_arara__id-2020000404"/>
    <s v="491057527"/>
    <s v="Display"/>
    <n v="224847"/>
    <n v="247"/>
    <n v="0.04"/>
    <n v="7.0000000000000007E-2"/>
    <n v="8.9938800000000008"/>
    <n v="15.73929"/>
  </r>
  <r>
    <m/>
    <x v="3"/>
    <s v="[Display] Verizon Media"/>
    <s v="almap_lg_he-nanocell-cores-puras_awareness_alcance_verizon_ros_display_cpm_na_na_all_int_as-25-44_arara_animado_970x250_billboard_arara-verizon__id-2020000542"/>
    <s v="298221155"/>
    <s v="Standard"/>
    <s v="almap_lg_he-nanocell-cores-puras_awareness_alcance_verizon_ros_display_cpm_na_na_all_int_as-25-44_arara_animado_970x250_billboard_arara-verizon__id-2020000542"/>
    <s v="491212232"/>
    <s v="Tracking"/>
    <n v="7906"/>
    <n v="9"/>
    <n v="0.04"/>
    <n v="7.0000000000000007E-2"/>
    <n v="0.31624000000000002"/>
    <n v="0.55342000000000002"/>
  </r>
  <r>
    <m/>
    <x v="3"/>
    <s v="[Display] Verizon Media"/>
    <s v="almap_lg_he-nanocell-cores-puras_awareness_alcance_verizon_ros_display_cpm_na_na_all_int_as-25-44_arara_animado_970x250_billboard_arara__id-2020000406"/>
    <s v="297871311"/>
    <s v="Standard"/>
    <s v="almap_lg_he-nanocell-cores-puras_awareness_alcance_verizon_ros_display_cpm_na_na_all_int_as-25-44_arara_animado_970x250_billboard_arara__id-2020000406"/>
    <s v="491055544"/>
    <s v="Display"/>
    <n v="71241"/>
    <n v="37"/>
    <n v="0.04"/>
    <n v="7.0000000000000007E-2"/>
    <n v="2.84964"/>
    <n v="4.9868700000000006"/>
  </r>
  <r>
    <m/>
    <x v="3"/>
    <s v="[Display] Verizon Media"/>
    <s v="almap_lg_he-nanocell-cores-puras_awareness_alcance_verizon_ros_display_cpm_na_na_all_int_as-25-44_centro-oeste_animado_300x250_retangulo_onca__id-2020000569"/>
    <s v="298395069"/>
    <s v="Default"/>
    <s v="300x250 Default Web Ad"/>
    <s v="490592748"/>
    <s v="Display"/>
    <n v="2"/>
    <n v="0"/>
    <n v="0.04"/>
    <n v="7.0000000000000007E-2"/>
    <n v="8.0000000000000007E-5"/>
    <n v="1.4000000000000001E-4"/>
  </r>
  <r>
    <m/>
    <x v="3"/>
    <s v="[Display] Verizon Media"/>
    <s v="almap_lg_he-nanocell-cores-puras_awareness_alcance_verizon_ros_display_cpm_na_na_all_int_as-25-44_centro-oeste_animado_300x250_retangulo_onca__id-2020000569"/>
    <s v="298395069"/>
    <s v="Standard"/>
    <s v="almap_lg_he-nanocell-cores-puras_awareness_alcance_verizon_ros_display_cpm_na_na_all_int_as-25-44_centro-oeste_animado_300x250_retangulo_onca__id-2020000569"/>
    <s v="491535661"/>
    <s v="Display"/>
    <n v="456593"/>
    <n v="463"/>
    <n v="0.04"/>
    <n v="7.0000000000000007E-2"/>
    <n v="18.263720000000003"/>
    <n v="31.961510000000001"/>
  </r>
  <r>
    <m/>
    <x v="3"/>
    <s v="[Display] Verizon Media"/>
    <s v="almap_lg_he-nanocell-cores-puras_awareness_alcance_verizon_ros_display_cpm_na_na_all_int_as-25-44_nordeste_animado_300x250_retangulo_pelourinho__id-2020000570"/>
    <s v="298504474"/>
    <s v="Default"/>
    <s v="300x250 Default Web Ad"/>
    <s v="490592748"/>
    <s v="Display"/>
    <n v="1"/>
    <n v="0"/>
    <n v="0.04"/>
    <n v="7.0000000000000007E-2"/>
    <n v="4.0000000000000003E-5"/>
    <n v="7.0000000000000007E-5"/>
  </r>
  <r>
    <m/>
    <x v="3"/>
    <s v="[Display] Verizon Media"/>
    <s v="almap_lg_he-nanocell-cores-puras_awareness_alcance_verizon_ros_display_cpm_na_na_all_int_as-25-44_nordeste_animado_300x250_retangulo_pelourinho__id-2020000570"/>
    <s v="298504474"/>
    <s v="Standard"/>
    <s v="almap_lg_he-nanocell-cores-puras_awareness_alcance_verizon_ros_display_cpm_na_na_all_int_as-25-44_nordeste_animado_300x250_retangulo_pelourinho__id-2020000570"/>
    <s v="491535664"/>
    <s v="Display"/>
    <n v="459744"/>
    <n v="409"/>
    <n v="0.04"/>
    <n v="7.0000000000000007E-2"/>
    <n v="18.389760000000003"/>
    <n v="32.182079999999999"/>
  </r>
  <r>
    <m/>
    <x v="3"/>
    <s v="[Display] Verizon Media"/>
    <s v="almap_lg_he-nanocell-cores-puras_awareness_alcance_verizon_ros_display_cpm_na_na_all_int_as-25-44_sudeste_animado_300x250_retangulo_rio__id-2020000571"/>
    <s v="298278665"/>
    <s v="Standard"/>
    <s v="almap_lg_he-nanocell-cores-puras_awareness_alcance_verizon_ros_display_cpm_na_na_all_int_as-25-44_sudeste_animado_300x250_retangulo_rio__id-2020000571"/>
    <s v="491534911"/>
    <s v="Display"/>
    <n v="458636"/>
    <n v="420"/>
    <n v="0.04"/>
    <n v="7.0000000000000007E-2"/>
    <n v="18.34544"/>
    <n v="32.104520000000001"/>
  </r>
  <r>
    <m/>
    <x v="3"/>
    <s v="[Display] Verizon Media"/>
    <s v="almap_lg_he-nanocell-cores-puras_awareness_alcance_verizon_ros_display_cpm_na_na_all_int_as-25-44_sudeste_animado_728x90_super-banner_rio__id-2020000614"/>
    <s v="298675669"/>
    <s v="Standard"/>
    <s v="almap_lg_he-nanocell-cores-puras_awareness_alcance_verizon_ros_display_cpm_na_na_all_int_as-25-44_sudeste_animado_728x90_super-banner_rio__id-2020000614"/>
    <s v="491699005"/>
    <s v="Display"/>
    <n v="60941"/>
    <n v="68"/>
    <n v="0.04"/>
    <n v="7.0000000000000007E-2"/>
    <n v="2.43764"/>
    <n v="4.2658700000000005"/>
  </r>
  <r>
    <m/>
    <x v="3"/>
    <s v="[Display] Verizon Media"/>
    <s v="almap_lg_he-nanocell-cores-puras_consideracao_trafego_verizon_ros_display_cpm_na_na_all_int_as-25-44_arara_animado_320x50_banner-mobile-pequeno_arara__id-2020000503"/>
    <s v="297980340"/>
    <s v="Default"/>
    <s v="320x50 Default Web Ad"/>
    <s v="490698452"/>
    <s v="Display"/>
    <n v="1"/>
    <n v="0"/>
    <n v="0.04"/>
    <n v="7.0000000000000007E-2"/>
    <n v="4.0000000000000003E-5"/>
    <n v="7.0000000000000007E-5"/>
  </r>
  <r>
    <m/>
    <x v="3"/>
    <s v="[Display] Verizon Media"/>
    <s v="almap_lg_he-nanocell-cores-puras_consideracao_trafego_verizon_ros_display_cpm_na_na_all_int_as-25-44_arara_animado_320x50_banner-mobile-pequeno_arara__id-2020000503"/>
    <s v="297980340"/>
    <s v="Standard"/>
    <s v="almap_lg_he-nanocell-cores-puras_consideracao_trafego_verizon_ros_display_cpm_na_na_all_int_as-25-44_arara_animado_320x50_banner-mobile-pequeno_arara__id-2020000503"/>
    <s v="491226516"/>
    <s v="Display"/>
    <n v="1764172"/>
    <n v="4024"/>
    <n v="0.04"/>
    <n v="7.0000000000000007E-2"/>
    <n v="70.566879999999998"/>
    <n v="123.49204"/>
  </r>
  <r>
    <m/>
    <x v="4"/>
    <s v="Connected  Interactive"/>
    <s v="almap_lg_he-oled-tv-digital_consideracao_trafego_connected-interative_ros_display_cpm_na_na_all_int_as-25-44_cinema_animado_120x600_sky_cinema__id-2020000463"/>
    <s v="297845465"/>
    <s v="Standard"/>
    <s v="almap_lg_he-oled-tv-digital_consideracao_trafego_connected-interative_ros_display_cpm_na_na_all_int_as-25-44_cinema_animado_120x600_sky_cinema__id-2020000463"/>
    <s v="491124787"/>
    <s v="Display"/>
    <n v="4182"/>
    <n v="4"/>
    <n v="0.04"/>
    <n v="7.0000000000000007E-2"/>
    <n v="0.16728000000000001"/>
    <n v="0.29274"/>
  </r>
  <r>
    <m/>
    <x v="4"/>
    <s v="Connected  Interactive"/>
    <s v="almap_lg_he-oled-tv-digital_consideracao_trafego_connected-interative_ros_display_cpm_na_na_all_int_as-25-44_cinema_animado_160x600_banner_cinema__id-2020000464"/>
    <s v="297845462"/>
    <s v="Standard"/>
    <s v="almap_lg_he-oled-tv-digital_consideracao_trafego_connected-interative_ros_display_cpm_na_na_all_int_as-25-44_cinema_animado_160x600_banner_cinema__id-2020000464"/>
    <s v="491124784"/>
    <s v="Display"/>
    <n v="4691"/>
    <n v="9"/>
    <n v="0.04"/>
    <n v="7.0000000000000007E-2"/>
    <n v="0.18764"/>
    <n v="0.32837"/>
  </r>
  <r>
    <m/>
    <x v="4"/>
    <s v="Connected  Interactive"/>
    <s v="almap_lg_he-oled-tv-digital_consideracao_trafego_connected-interative_ros_display_cpm_na_na_all_int_as-25-44_cinema_animado_250x250_quadrado_cinema__id-2020000465"/>
    <s v="297845459"/>
    <s v="Standard"/>
    <s v="almap_lg_he-oled-tv-digital_consideracao_trafego_connected-interative_ros_display_cpm_na_na_all_int_as-25-44_cinema_animado_250x250_quadrado_cinema__id-2020000465"/>
    <s v="491124781"/>
    <s v="Display"/>
    <n v="10840"/>
    <n v="37"/>
    <n v="0.04"/>
    <n v="7.0000000000000007E-2"/>
    <n v="0.43360000000000004"/>
    <n v="0.75880000000000003"/>
  </r>
  <r>
    <m/>
    <x v="4"/>
    <s v="Connected  Interactive"/>
    <s v="almap_lg_he-oled-tv-digital_consideracao_trafego_connected-interative_ros_display_cpm_na_na_all_int_as-25-44_cinema_animado_300x250_retangulo_cinema__id-2020000314"/>
    <s v="297714214"/>
    <s v="Standard"/>
    <s v="almap_lg_he-oled-tv-digital_consideracao_trafego_connected-interative_ros_display_cpm_na_na_all_int_as-25-44_cinema_animado_300x250_retangulo_cinema__id-2020000314"/>
    <s v="490497128"/>
    <s v="Display"/>
    <n v="233699"/>
    <n v="1325"/>
    <n v="0.04"/>
    <n v="7.0000000000000007E-2"/>
    <n v="9.3479600000000005"/>
    <n v="16.358930000000001"/>
  </r>
  <r>
    <m/>
    <x v="4"/>
    <s v="Connected  Interactive"/>
    <s v="almap_lg_he-oled-tv-digital_consideracao_trafego_connected-interative_ros_display_cpm_na_na_all_int_as-25-44_cinema_animado_300x600_half-banner_cinema__id-2020000466"/>
    <s v="297845456"/>
    <s v="Standard"/>
    <s v="almap_lg_he-oled-tv-digital_consideracao_trafego_connected-interative_ros_display_cpm_na_na_all_int_as-25-44_cinema_animado_300x600_half-banner_cinema__id-2020000466"/>
    <s v="491124778"/>
    <s v="Display"/>
    <n v="85877"/>
    <n v="1169"/>
    <n v="0.04"/>
    <n v="7.0000000000000007E-2"/>
    <n v="3.4350800000000001"/>
    <n v="6.0113900000000005"/>
  </r>
  <r>
    <m/>
    <x v="4"/>
    <s v="Connected  Interactive"/>
    <s v="almap_lg_he-oled-tv-digital_consideracao_trafego_connected-interative_ros_display_cpm_na_na_all_int_as-25-44_cinema_animado_320x100_banner-mobile_cinema__id-2020000467"/>
    <s v="297845453"/>
    <s v="Standard"/>
    <s v="almap_lg_he-oled-tv-digital_consideracao_trafego_connected-interative_ros_display_cpm_na_na_all_int_as-25-44_cinema_animado_320x100_banner-mobile_cinema__id-2020000467"/>
    <s v="491124775"/>
    <s v="Display"/>
    <n v="327426"/>
    <n v="1120"/>
    <n v="0.04"/>
    <n v="7.0000000000000007E-2"/>
    <n v="13.097040000000002"/>
    <n v="22.919820000000005"/>
  </r>
  <r>
    <m/>
    <x v="4"/>
    <s v="Connected  Interactive"/>
    <s v="almap_lg_he-oled-tv-digital_consideracao_trafego_connected-interative_ros_display_cpm_na_na_all_int_as-25-44_cinema_animado_728x90_super-banner_cinema__id-2020000470"/>
    <s v="297845447"/>
    <s v="Standard"/>
    <s v="almap_lg_he-oled-tv-digital_consideracao_trafego_connected-interative_ros_display_cpm_na_na_all_int_as-25-44_cinema_animado_728x90_super-banner_cinema__id-2020000470"/>
    <s v="491124769"/>
    <s v="Display"/>
    <n v="57161"/>
    <n v="239"/>
    <n v="0.04"/>
    <n v="7.0000000000000007E-2"/>
    <n v="2.2864400000000002"/>
    <n v="4.0012700000000008"/>
  </r>
  <r>
    <m/>
    <x v="4"/>
    <s v="Connected  Interactive"/>
    <s v="almap_lg_he-oled-tv-digital_consideracao_trafego_connected-interative_ros_display_cpm_na_na_all_int_as-25-44_cinema_animado_970x250_billboard_cinema__id-2020000472"/>
    <s v="297845441"/>
    <s v="Standard"/>
    <s v="almap_lg_he-oled-tv-digital_consideracao_trafego_connected-interative_ros_display_cpm_na_na_all_int_as-25-44_cinema_animado_970x250_billboard_cinema__id-2020000472"/>
    <s v="491124763"/>
    <s v="Display"/>
    <n v="12895"/>
    <n v="77"/>
    <n v="0.04"/>
    <n v="7.0000000000000007E-2"/>
    <n v="0.51579999999999993"/>
    <n v="0.90265000000000006"/>
  </r>
  <r>
    <m/>
    <x v="4"/>
    <s v="Connected  Interactive"/>
    <s v="almap_lg_he-oled-tv-digital_consideracao_trafego_connected-interative_ros_display_cpm_na_na_all_int_as-25-44_cinema_animado_970x90_leadeboard_cinema__id-2020000471"/>
    <s v="297845444"/>
    <s v="Standard"/>
    <s v="almap_lg_he-oled-tv-digital_consideracao_trafego_connected-interative_ros_display_cpm_na_na_all_int_as-25-44_cinema_animado_970x90_leadeboard_cinema__id-2020000471"/>
    <s v="491124766"/>
    <s v="Display"/>
    <n v="4077"/>
    <n v="6"/>
    <n v="0.04"/>
    <n v="7.0000000000000007E-2"/>
    <n v="0.16308"/>
    <n v="0.28539000000000003"/>
  </r>
  <r>
    <m/>
    <x v="4"/>
    <s v="Connected  Interactive"/>
    <s v="almap_lg_he-oled-tv-digital_consideracao_trafego_connected-interative_ros_display_cpm_na_na_all_int_as-25-44_design_animado_120x600_sky_design__id-2020000491"/>
    <s v="297845384"/>
    <s v="Standard"/>
    <s v="almap_lg_he-oled-tv-digital_consideracao_trafego_connected-interative_ros_display_cpm_na_na_all_int_as-25-44_design_animado_120x600_sky_design__id-2020000491"/>
    <s v="491124706"/>
    <s v="Display"/>
    <n v="9920"/>
    <n v="8"/>
    <n v="0.04"/>
    <n v="7.0000000000000007E-2"/>
    <n v="0.39679999999999999"/>
    <n v="0.69440000000000013"/>
  </r>
  <r>
    <m/>
    <x v="4"/>
    <s v="Connected  Interactive"/>
    <s v="almap_lg_he-oled-tv-digital_consideracao_trafego_connected-interative_ros_display_cpm_na_na_all_int_as-25-44_design_animado_160x600_banner_design__id-2020000492"/>
    <s v="297845381"/>
    <s v="Standard"/>
    <s v="almap_lg_he-oled-tv-digital_consideracao_trafego_connected-interative_ros_display_cpm_na_na_all_int_as-25-44_design_animado_160x600_banner_design__id-2020000492"/>
    <s v="491124703"/>
    <s v="Display"/>
    <n v="15162"/>
    <n v="21"/>
    <n v="0.04"/>
    <n v="7.0000000000000007E-2"/>
    <n v="0.60648000000000002"/>
    <n v="1.0613400000000002"/>
  </r>
  <r>
    <m/>
    <x v="4"/>
    <s v="Connected  Interactive"/>
    <s v="almap_lg_he-oled-tv-digital_consideracao_trafego_connected-interative_ros_display_cpm_na_na_all_int_as-25-44_design_animado_300x250_retangulo_design__id-2020000315"/>
    <s v="297714496"/>
    <s v="Standard"/>
    <s v="almap_lg_he-oled-tv-digital_consideracao_trafego_connected-interative_ros_display_cpm_na_na_all_int_as-25-44_design_animado_300x250_retangulo_design__id-2020000315"/>
    <s v="490497149"/>
    <s v="Display"/>
    <n v="758231"/>
    <n v="4366"/>
    <n v="0.04"/>
    <n v="7.0000000000000007E-2"/>
    <n v="30.329240000000002"/>
    <n v="53.076170000000005"/>
  </r>
  <r>
    <m/>
    <x v="4"/>
    <s v="Connected  Interactive"/>
    <s v="almap_lg_he-oled-tv-digital_consideracao_trafego_connected-interative_ros_display_cpm_na_na_all_int_as-25-44_design_animado_300x600_half-banner_design__id-2020000494"/>
    <s v="297845378"/>
    <s v="Standard"/>
    <s v="almap_lg_he-oled-tv-digital_consideracao_trafego_connected-interative_ros_display_cpm_na_na_all_int_as-25-44_design_animado_300x600_half-banner_design__id-2020000494"/>
    <s v="491124700"/>
    <s v="Display"/>
    <n v="81761"/>
    <n v="1104"/>
    <n v="0.04"/>
    <n v="7.0000000000000007E-2"/>
    <n v="3.2704400000000002"/>
    <n v="5.7232700000000003"/>
  </r>
  <r>
    <m/>
    <x v="4"/>
    <s v="Connected  Interactive"/>
    <s v="almap_lg_he-oled-tv-digital_consideracao_trafego_connected-interative_ros_display_cpm_na_na_all_int_as-25-44_design_animado_320x100_banner-mobile_design__id-2020000495"/>
    <s v="297845375"/>
    <s v="Standard"/>
    <s v="almap_lg_he-oled-tv-digital_consideracao_trafego_connected-interative_ros_display_cpm_na_na_all_int_as-25-44_design_animado_320x100_banner-mobile_design__id-2020000495"/>
    <s v="491124697"/>
    <s v="Display"/>
    <n v="406681"/>
    <n v="1200"/>
    <n v="0.04"/>
    <n v="7.0000000000000007E-2"/>
    <n v="16.267240000000001"/>
    <n v="28.467670000000002"/>
  </r>
  <r>
    <m/>
    <x v="4"/>
    <s v="Connected  Interactive"/>
    <s v="almap_lg_he-oled-tv-digital_consideracao_trafego_connected-interative_ros_display_cpm_na_na_all_int_as-25-44_design_animado_728x90_super-banner_design__id-2020000497"/>
    <s v="297845372"/>
    <s v="Standard"/>
    <s v="almap_lg_he-oled-tv-digital_consideracao_trafego_connected-interative_ros_display_cpm_na_na_all_int_as-25-44_design_animado_728x90_super-banner_design__id-2020000497"/>
    <s v="491124694"/>
    <s v="Display"/>
    <n v="63242"/>
    <n v="220"/>
    <n v="0.04"/>
    <n v="7.0000000000000007E-2"/>
    <n v="2.5296799999999999"/>
    <n v="4.4269400000000001"/>
  </r>
  <r>
    <m/>
    <x v="4"/>
    <s v="Connected  Interactive"/>
    <s v="almap_lg_he-oled-tv-digital_consideracao_trafego_connected-interative_ros_display_cpm_na_na_all_int_as-25-44_design_animado_970x250_billboard_design__id-2020000499"/>
    <s v="297845366"/>
    <s v="Standard"/>
    <s v="almap_lg_he-oled-tv-digital_consideracao_trafego_connected-interative_ros_display_cpm_na_na_all_int_as-25-44_design_animado_970x250_billboard_design__id-2020000499"/>
    <s v="491124688"/>
    <s v="Display"/>
    <n v="19343"/>
    <n v="159"/>
    <n v="0.04"/>
    <n v="7.0000000000000007E-2"/>
    <n v="0.77372000000000007"/>
    <n v="1.3540100000000002"/>
  </r>
  <r>
    <m/>
    <x v="4"/>
    <s v="Connected  Interactive"/>
    <s v="almap_lg_he-oled-tv-digital_consideracao_trafego_connected-interative_ros_display_cpm_na_na_all_int_as-25-44_design_animado_970x90_leadeboard_design__id-2020000498"/>
    <s v="297845369"/>
    <s v="Standard"/>
    <s v="almap_lg_he-oled-tv-digital_consideracao_trafego_connected-interative_ros_display_cpm_na_na_all_int_as-25-44_design_animado_970x90_leadeboard_design__id-2020000498"/>
    <s v="491124691"/>
    <s v="Display"/>
    <n v="15500"/>
    <n v="23"/>
    <n v="0.04"/>
    <n v="7.0000000000000007E-2"/>
    <n v="0.62"/>
    <n v="1.085"/>
  </r>
  <r>
    <m/>
    <x v="4"/>
    <s v="Connected  Interactive"/>
    <s v="almap_lg_he-oled-tv-digital_consideracao_trafego_connected-interative_ros_display_cpm_na_na_all_int_as-25-44_esporte_animado_120x600_sky_esporte__id-2020000473"/>
    <s v="297845438"/>
    <s v="Standard"/>
    <s v="almap_lg_he-oled-tv-digital_consideracao_trafego_connected-interative_ros_display_cpm_na_na_all_int_as-25-44_esporte_animado_120x600_sky_esporte__id-2020000473"/>
    <s v="491124760"/>
    <s v="Display"/>
    <n v="5533"/>
    <n v="9"/>
    <n v="0.04"/>
    <n v="7.0000000000000007E-2"/>
    <n v="0.22131999999999999"/>
    <n v="0.38731000000000004"/>
  </r>
  <r>
    <m/>
    <x v="4"/>
    <s v="Connected  Interactive"/>
    <s v="almap_lg_he-oled-tv-digital_consideracao_trafego_connected-interative_ros_display_cpm_na_na_all_int_as-25-44_esporte_animado_160x600_banner_esporte__id-2020000474"/>
    <s v="297845435"/>
    <s v="Standard"/>
    <s v="almap_lg_he-oled-tv-digital_consideracao_trafego_connected-interative_ros_display_cpm_na_na_all_int_as-25-44_esporte_animado_160x600_banner_esporte__id-2020000474"/>
    <s v="491124757"/>
    <s v="Display"/>
    <n v="6023"/>
    <n v="10"/>
    <n v="0.04"/>
    <n v="7.0000000000000007E-2"/>
    <n v="0.24092000000000002"/>
    <n v="0.42161000000000004"/>
  </r>
  <r>
    <m/>
    <x v="4"/>
    <s v="Connected  Interactive"/>
    <s v="almap_lg_he-oled-tv-digital_consideracao_trafego_connected-interative_ros_display_cpm_na_na_all_int_as-25-44_esporte_animado_250x250_quadrado_esporte__id-2020000475"/>
    <s v="297845432"/>
    <s v="Standard"/>
    <s v="almap_lg_he-oled-tv-digital_consideracao_trafego_connected-interative_ros_display_cpm_na_na_all_int_as-25-44_esporte_animado_250x250_quadrado_esporte__id-2020000475"/>
    <s v="491124754"/>
    <s v="Display"/>
    <n v="15363"/>
    <n v="58"/>
    <n v="0.04"/>
    <n v="7.0000000000000007E-2"/>
    <n v="0.61451999999999996"/>
    <n v="1.07541"/>
  </r>
  <r>
    <m/>
    <x v="4"/>
    <s v="Connected  Interactive"/>
    <s v="almap_lg_he-oled-tv-digital_consideracao_trafego_connected-interative_ros_display_cpm_na_na_all_int_as-25-44_esporte_animado_300x250_retangulo_esporte__id-2020000316"/>
    <s v="297551625"/>
    <s v="Standard"/>
    <s v="almap_lg_he-oled-tv-digital_consideracao_trafego_connected-interative_ros_display_cpm_na_na_all_int_as-25-44_esporte_animado_300x250_retangulo_esporte__id-2020000316"/>
    <s v="490810500"/>
    <s v="Display"/>
    <n v="329314"/>
    <n v="1815"/>
    <n v="0.04"/>
    <n v="7.0000000000000007E-2"/>
    <n v="13.172559999999999"/>
    <n v="23.051980000000004"/>
  </r>
  <r>
    <m/>
    <x v="4"/>
    <s v="Connected  Interactive"/>
    <s v="almap_lg_he-oled-tv-digital_consideracao_trafego_connected-interative_ros_display_cpm_na_na_all_int_as-25-44_esporte_animado_300x600_half-banner_esporte__id-2020000476"/>
    <s v="297845429"/>
    <s v="Standard"/>
    <s v="almap_lg_he-oled-tv-digital_consideracao_trafego_connected-interative_ros_display_cpm_na_na_all_int_as-25-44_esporte_animado_300x600_half-banner_esporte__id-2020000476"/>
    <s v="491124751"/>
    <s v="Display"/>
    <n v="365069"/>
    <n v="5114"/>
    <n v="0.04"/>
    <n v="7.0000000000000007E-2"/>
    <n v="14.60276"/>
    <n v="25.554830000000003"/>
  </r>
  <r>
    <m/>
    <x v="4"/>
    <s v="Connected  Interactive"/>
    <s v="almap_lg_he-oled-tv-digital_consideracao_trafego_connected-interative_ros_display_cpm_na_na_all_int_as-25-44_esporte_animado_320x100_banner-mobile_esporte__id-2020000477"/>
    <s v="297845426"/>
    <s v="Standard"/>
    <s v="almap_lg_he-oled-tv-digital_consideracao_trafego_connected-interative_ros_display_cpm_na_na_all_int_as-25-44_esporte_animado_320x100_banner-mobile_esporte__id-2020000477"/>
    <s v="491124748"/>
    <s v="Display"/>
    <n v="124256"/>
    <n v="267"/>
    <n v="0.04"/>
    <n v="7.0000000000000007E-2"/>
    <n v="4.9702399999999995"/>
    <n v="8.6979199999999999"/>
  </r>
  <r>
    <m/>
    <x v="4"/>
    <s v="Connected  Interactive"/>
    <s v="almap_lg_he-oled-tv-digital_consideracao_trafego_connected-interative_ros_display_cpm_na_na_all_int_as-25-44_esporte_animado_728x90_super-banner_esporte__id-2020000479"/>
    <s v="297845420"/>
    <s v="Standard"/>
    <s v="almap_lg_he-oled-tv-digital_consideracao_trafego_connected-interative_ros_display_cpm_na_na_all_int_as-25-44_esporte_animado_728x90_super-banner_esporte__id-2020000479"/>
    <s v="491124742"/>
    <s v="Display"/>
    <n v="55587"/>
    <n v="183"/>
    <n v="0.04"/>
    <n v="7.0000000000000007E-2"/>
    <n v="2.2234799999999999"/>
    <n v="3.8910900000000002"/>
  </r>
  <r>
    <m/>
    <x v="4"/>
    <s v="Connected  Interactive"/>
    <s v="almap_lg_he-oled-tv-digital_consideracao_trafego_connected-interative_ros_display_cpm_na_na_all_int_as-25-44_esporte_animado_970x250_billboard_esporte__id-2020000481"/>
    <s v="297845414"/>
    <s v="Standard"/>
    <s v="almap_lg_he-oled-tv-digital_consideracao_trafego_connected-interative_ros_display_cpm_na_na_all_int_as-25-44_esporte_animado_970x250_billboard_esporte__id-2020000481"/>
    <s v="491124736"/>
    <s v="Display"/>
    <n v="17539"/>
    <n v="151"/>
    <n v="0.04"/>
    <n v="7.0000000000000007E-2"/>
    <n v="0.70156000000000007"/>
    <n v="1.22773"/>
  </r>
  <r>
    <m/>
    <x v="4"/>
    <s v="Connected  Interactive"/>
    <s v="almap_lg_he-oled-tv-digital_consideracao_trafego_connected-interative_ros_display_cpm_na_na_all_int_as-25-44_esporte_animado_970x90_leadeboard_esporte__id-2020000480"/>
    <s v="297845417"/>
    <s v="Standard"/>
    <s v="almap_lg_he-oled-tv-digital_consideracao_trafego_connected-interative_ros_display_cpm_na_na_all_int_as-25-44_esporte_animado_970x90_leadeboard_esporte__id-2020000480"/>
    <s v="491124739"/>
    <s v="Display"/>
    <n v="5900"/>
    <n v="9"/>
    <n v="0.04"/>
    <n v="7.0000000000000007E-2"/>
    <n v="0.23599999999999999"/>
    <n v="0.41300000000000003"/>
  </r>
  <r>
    <m/>
    <x v="4"/>
    <s v="Connected  Interactive"/>
    <s v="almap_lg_he-oled-tv-digital_consideracao_trafego_connected-interative_ros_display_cpm_na_na_all_int_as-25-44_game_animado_120x600_sky_game__id-2020000482"/>
    <s v="297845411"/>
    <s v="Standard"/>
    <s v="almap_lg_he-oled-tv-digital_consideracao_trafego_connected-interative_ros_display_cpm_na_na_all_int_as-25-44_game_animado_120x600_sky_game__id-2020000482"/>
    <s v="491124733"/>
    <s v="Display"/>
    <n v="4881"/>
    <n v="5"/>
    <n v="0.04"/>
    <n v="7.0000000000000007E-2"/>
    <n v="0.19524"/>
    <n v="0.34167000000000003"/>
  </r>
  <r>
    <m/>
    <x v="4"/>
    <s v="Connected  Interactive"/>
    <s v="almap_lg_he-oled-tv-digital_consideracao_trafego_connected-interative_ros_display_cpm_na_na_all_int_as-25-44_game_animado_160x600_banner_game__id-2020000483"/>
    <s v="297845408"/>
    <s v="Standard"/>
    <s v="almap_lg_he-oled-tv-digital_consideracao_trafego_connected-interative_ros_display_cpm_na_na_all_int_as-25-44_game_animado_160x600_banner_game__id-2020000483"/>
    <s v="491124730"/>
    <s v="Display"/>
    <n v="4166"/>
    <n v="9"/>
    <n v="0.04"/>
    <n v="7.0000000000000007E-2"/>
    <n v="0.16664000000000001"/>
    <n v="0.29161999999999999"/>
  </r>
  <r>
    <m/>
    <x v="4"/>
    <s v="Connected  Interactive"/>
    <s v="almap_lg_he-oled-tv-digital_consideracao_trafego_connected-interative_ros_display_cpm_na_na_all_int_as-25-44_game_animado_250x250_quadrado_game__id-2020000484"/>
    <s v="297845405"/>
    <s v="Standard"/>
    <s v="almap_lg_he-oled-tv-digital_consideracao_trafego_connected-interative_ros_display_cpm_na_na_all_int_as-25-44_game_animado_250x250_quadrado_game__id-2020000484"/>
    <s v="491124727"/>
    <s v="Display"/>
    <n v="31983"/>
    <n v="181"/>
    <n v="0.04"/>
    <n v="7.0000000000000007E-2"/>
    <n v="1.27932"/>
    <n v="2.2388100000000004"/>
  </r>
  <r>
    <m/>
    <x v="4"/>
    <s v="Connected  Interactive"/>
    <s v="almap_lg_he-oled-tv-digital_consideracao_trafego_connected-interative_ros_display_cpm_na_na_all_int_as-25-44_game_animado_300x600_half-banner_game__id-2020000485"/>
    <s v="297845402"/>
    <s v="Standard"/>
    <s v="almap_lg_he-oled-tv-digital_consideracao_trafego_connected-interative_ros_display_cpm_na_na_all_int_as-25-44_game_animado_300x600_half-banner_game__id-2020000485"/>
    <s v="491124724"/>
    <s v="Display"/>
    <n v="90463"/>
    <n v="1326"/>
    <n v="0.04"/>
    <n v="7.0000000000000007E-2"/>
    <n v="3.6185200000000002"/>
    <n v="6.3324100000000012"/>
  </r>
  <r>
    <m/>
    <x v="4"/>
    <s v="Connected  Interactive"/>
    <s v="almap_lg_he-oled-tv-digital_consideracao_trafego_connected-interative_ros_display_cpm_na_na_all_int_as-25-44_game_animado_320x100_banner-mobile_game__id-2020000486"/>
    <s v="297845399"/>
    <s v="Standard"/>
    <s v="almap_lg_he-oled-tv-digital_consideracao_trafego_connected-interative_ros_display_cpm_na_na_all_int_as-25-44_game_animado_320x100_banner-mobile_game__id-2020000486"/>
    <s v="491124721"/>
    <s v="Display"/>
    <n v="335152"/>
    <n v="1047"/>
    <n v="0.04"/>
    <n v="7.0000000000000007E-2"/>
    <n v="13.406079999999999"/>
    <n v="23.460640000000001"/>
  </r>
  <r>
    <m/>
    <x v="4"/>
    <s v="Connected  Interactive"/>
    <s v="almap_lg_he-oled-tv-digital_consideracao_trafego_connected-interative_ros_display_cpm_na_na_all_int_as-25-44_game_animado_728x90_super-banner_game__id-2020000488"/>
    <s v="297845393"/>
    <s v="Standard"/>
    <s v="almap_lg_he-oled-tv-digital_consideracao_trafego_connected-interative_ros_display_cpm_na_na_all_int_as-25-44_game_animado_728x90_super-banner_game__id-2020000488"/>
    <s v="491124715"/>
    <s v="Display"/>
    <n v="243921"/>
    <n v="1397"/>
    <n v="0.04"/>
    <n v="7.0000000000000007E-2"/>
    <n v="9.7568400000000004"/>
    <n v="17.074470000000002"/>
  </r>
  <r>
    <m/>
    <x v="4"/>
    <s v="Connected  Interactive"/>
    <s v="almap_lg_he-oled-tv-digital_consideracao_trafego_connected-interative_ros_display_cpm_na_na_all_int_as-25-44_game_animado_970x250_billboard_game__id-2020000490"/>
    <s v="297845387"/>
    <s v="Standard"/>
    <s v="almap_lg_he-oled-tv-digital_consideracao_trafego_connected-interative_ros_display_cpm_na_na_all_int_as-25-44_game_animado_970x250_billboard_game__id-2020000490"/>
    <s v="491124709"/>
    <s v="Display"/>
    <n v="7236"/>
    <n v="53"/>
    <n v="0.04"/>
    <n v="7.0000000000000007E-2"/>
    <n v="0.28943999999999998"/>
    <n v="0.50652000000000008"/>
  </r>
  <r>
    <m/>
    <x v="4"/>
    <s v="Connected  Interactive"/>
    <s v="almap_lg_he-oled-tv-digital_consideracao_trafego_connected-interative_ros_display_cpm_na_na_all_int_as-25-44_game_animado_970x90_leadeboard_game__id-2020000489"/>
    <s v="297845390"/>
    <s v="Standard"/>
    <s v="almap_lg_he-oled-tv-digital_consideracao_trafego_connected-interative_ros_display_cpm_na_na_all_int_as-25-44_game_animado_970x90_leadeboard_game__id-2020000489"/>
    <s v="491124712"/>
    <s v="Display"/>
    <n v="3510"/>
    <n v="5"/>
    <n v="0.04"/>
    <n v="7.0000000000000007E-2"/>
    <n v="0.1404"/>
    <n v="0.24570000000000003"/>
  </r>
  <r>
    <m/>
    <x v="4"/>
    <s v="Connected  Interactive"/>
    <s v="almap_lg_he-oled-tv-digital_consideracao_trafego_connected-interative_ros_display_cpm_na_na_all_int_as-25-44_games_animado_300x250_retangulo_games__id-2020000317"/>
    <s v="297714235"/>
    <s v="Standard"/>
    <s v="almap_lg_he-oled-tv-digital_consideracao_trafego_connected-interative_ros_display_cpm_na_na_all_int_as-25-44_games_animado_300x250_retangulo_games__id-2020000317"/>
    <s v="490810506"/>
    <s v="Display"/>
    <n v="348246"/>
    <n v="1912"/>
    <n v="0.04"/>
    <n v="7.0000000000000007E-2"/>
    <n v="13.92984"/>
    <n v="24.377220000000001"/>
  </r>
  <r>
    <m/>
    <x v="4"/>
    <s v="Connected  Interactive"/>
    <s v="almap_lg_he-oled-tv-digital_consideracao_trafego_connected-interative_ros_display_cpm_na_na_all_int_as-25-44_games_imagem_120x600_sky_games-2__id-2020000688"/>
    <s v="299316592"/>
    <s v="Standard"/>
    <s v="almap_lg_he-oled-tv-digital_consideracao_trafego_connected-interative_ros_display_cpm_na_na_all_int_as-25-44_games_imagem_120x600_sky_games-2__id-2020000688"/>
    <s v="491973365"/>
    <s v="Display"/>
    <n v="1086"/>
    <n v="3"/>
    <n v="0.04"/>
    <n v="7.0000000000000007E-2"/>
    <n v="4.3439999999999999E-2"/>
    <n v="7.6020000000000004E-2"/>
  </r>
  <r>
    <m/>
    <x v="4"/>
    <s v="Connected  Interactive"/>
    <s v="almap_lg_he-oled-tv-digital_consideracao_trafego_connected-interative_ros_display_cpm_na_na_all_int_as-25-44_games_imagem_160x600_banner_games-2__id-2020000689"/>
    <s v="299316589"/>
    <s v="Standard"/>
    <s v="almap_lg_he-oled-tv-digital_consideracao_trafego_connected-interative_ros_display_cpm_na_na_all_int_as-25-44_games_imagem_160x600_banner_games-2__id-2020000689"/>
    <s v="491973362"/>
    <s v="Display"/>
    <n v="2593"/>
    <n v="5"/>
    <n v="0.04"/>
    <n v="7.0000000000000007E-2"/>
    <n v="0.10371999999999999"/>
    <n v="0.18151000000000003"/>
  </r>
  <r>
    <m/>
    <x v="4"/>
    <s v="Connected  Interactive"/>
    <s v="almap_lg_he-oled-tv-digital_consideracao_trafego_connected-interative_ros_display_cpm_na_na_all_int_as-25-44_games_imagem_250x250_quadrado_games-2__id-2020000690"/>
    <s v="299316586"/>
    <s v="Standard"/>
    <s v="almap_lg_he-oled-tv-digital_consideracao_trafego_connected-interative_ros_display_cpm_na_na_all_int_as-25-44_games_imagem_250x250_quadrado_games-2__id-2020000690"/>
    <s v="491973359"/>
    <s v="Display"/>
    <n v="5137"/>
    <n v="45"/>
    <n v="0.04"/>
    <n v="7.0000000000000007E-2"/>
    <n v="0.20548000000000002"/>
    <n v="0.35959000000000002"/>
  </r>
  <r>
    <m/>
    <x v="4"/>
    <s v="Connected  Interactive"/>
    <s v="almap_lg_he-oled-tv-digital_consideracao_trafego_connected-interative_ros_display_cpm_na_na_all_int_as-25-44_games_imagem_300x250_retangulo_games-2__id-2020000691"/>
    <s v="299316583"/>
    <s v="Standard"/>
    <s v="almap_lg_he-oled-tv-digital_consideracao_trafego_connected-interative_ros_display_cpm_na_na_all_int_as-25-44_games_imagem_300x250_retangulo_games-2__id-2020000691"/>
    <s v="491973356"/>
    <s v="Display"/>
    <n v="39243"/>
    <n v="413"/>
    <n v="0.04"/>
    <n v="7.0000000000000007E-2"/>
    <n v="1.56972"/>
    <n v="2.7470100000000004"/>
  </r>
  <r>
    <m/>
    <x v="4"/>
    <s v="Connected  Interactive"/>
    <s v="almap_lg_he-oled-tv-digital_consideracao_trafego_connected-interative_ros_display_cpm_na_na_all_int_as-25-44_games_imagem_300x600_half-banner_games-2__id-2020000692"/>
    <s v="299316580"/>
    <s v="Standard"/>
    <s v="almap_lg_he-oled-tv-digital_consideracao_trafego_connected-interative_ros_display_cpm_na_na_all_int_as-25-44_games_imagem_300x600_half-banner_games-2__id-2020000692"/>
    <s v="491973353"/>
    <s v="Display"/>
    <n v="29107"/>
    <n v="561"/>
    <n v="0.04"/>
    <n v="7.0000000000000007E-2"/>
    <n v="1.16428"/>
    <n v="2.03749"/>
  </r>
  <r>
    <m/>
    <x v="4"/>
    <s v="Connected  Interactive"/>
    <s v="almap_lg_he-oled-tv-digital_consideracao_trafego_connected-interative_ros_display_cpm_na_na_all_int_as-25-44_games_imagem_320x100_banner-mobile_games-2__id-2020000694"/>
    <s v="299316574"/>
    <s v="Standard"/>
    <s v="almap_lg_he-oled-tv-digital_consideracao_trafego_connected-interative_ros_display_cpm_na_na_all_int_as-25-44_games_imagem_320x100_banner-mobile_games-2__id-2020000694"/>
    <s v="491981429"/>
    <s v="Display"/>
    <n v="84799"/>
    <n v="414"/>
    <n v="0.04"/>
    <n v="7.0000000000000007E-2"/>
    <n v="3.3919600000000001"/>
    <n v="5.9359299999999999"/>
  </r>
  <r>
    <m/>
    <x v="4"/>
    <s v="Connected  Interactive"/>
    <s v="almap_lg_he-oled-tv-digital_consideracao_trafego_connected-interative_ros_display_cpm_na_na_all_int_as-25-44_games_imagem_320x50_banner-mobile-pequeno_games-2__id-2020000693"/>
    <s v="299316577"/>
    <s v="Standard"/>
    <s v="almap_lg_he-oled-tv-digital_consideracao_trafego_connected-interative_ros_display_cpm_na_na_all_int_as-25-44_games_imagem_320x50_banner-mobile-pequeno_games-2__id-2020000693"/>
    <s v="491981426"/>
    <s v="Display"/>
    <n v="1007796"/>
    <n v="3497"/>
    <n v="0.04"/>
    <n v="7.0000000000000007E-2"/>
    <n v="40.311840000000004"/>
    <n v="70.545720000000003"/>
  </r>
  <r>
    <m/>
    <x v="4"/>
    <s v="Connected  Interactive"/>
    <s v="almap_lg_he-oled-tv-digital_consideracao_trafego_connected-interative_ros_display_cpm_na_na_all_int_as-25-44_games_imagem_728x90_super-banner_games-2__id-2020000696"/>
    <s v="299316568"/>
    <s v="Standard"/>
    <s v="almap_lg_he-oled-tv-digital_consideracao_trafego_connected-interative_ros_display_cpm_na_na_all_int_as-25-44_games_imagem_728x90_super-banner_games-2__id-2020000696"/>
    <s v="491973347"/>
    <s v="Display"/>
    <n v="30530"/>
    <n v="166"/>
    <n v="0.04"/>
    <n v="7.0000000000000007E-2"/>
    <n v="1.2212000000000001"/>
    <n v="2.1371000000000002"/>
  </r>
  <r>
    <m/>
    <x v="4"/>
    <s v="Connected  Interactive"/>
    <s v="almap_lg_he-oled-tv-digital_consideracao_trafego_connected-interative_ros_display_cpm_na_na_all_int_as-25-44_games_imagem_970x250_billboard_games-2__id-2020000698"/>
    <s v="299316562"/>
    <s v="Standard"/>
    <s v="almap_lg_he-oled-tv-digital_consideracao_trafego_connected-interative_ros_display_cpm_na_na_all_int_as-25-44_games_imagem_970x250_billboard_games-2__id-2020000698"/>
    <s v="491981435"/>
    <s v="Display"/>
    <n v="7586"/>
    <n v="106"/>
    <n v="0.04"/>
    <n v="7.0000000000000007E-2"/>
    <n v="0.30343999999999999"/>
    <n v="0.53102000000000005"/>
  </r>
  <r>
    <m/>
    <x v="4"/>
    <s v="Connected  Interactive"/>
    <s v="almap_lg_he-oled-tv-digital_consideracao_trafego_connected-interative_ros_display_cpm_na_na_all_int_as-25-44_games_imagem_970x90_leadeboard_games-2__id-2020000697"/>
    <s v="299316565"/>
    <s v="Standard"/>
    <s v="almap_lg_he-oled-tv-digital_consideracao_trafego_connected-interative_ros_display_cpm_na_na_all_int_as-25-44_games_imagem_970x90_leadeboard_games-2__id-2020000697"/>
    <s v="491981432"/>
    <s v="Display"/>
    <n v="1401"/>
    <n v="4"/>
    <n v="0.04"/>
    <n v="7.0000000000000007E-2"/>
    <n v="5.604E-2"/>
    <n v="9.8070000000000004E-2"/>
  </r>
  <r>
    <m/>
    <x v="4"/>
    <s v="Connected  Interactive"/>
    <s v="almap_lg_he-oled-tv-digital_consideracao_trafego_connected-interative_ros_video_cpview_na_na_all_int_as-25-44_cinema_video_16:9_video-50_cinema__id-2020000546"/>
    <s v="298372533"/>
    <s v="Video"/>
    <s v="almap_lg_he-oled-tv-digital_consideracao_trafego_connected-interative_ros_video_cpview_na_na_all_int_as-25-44_cinema_video_16:9_video-50_cinema__id-2020000546"/>
    <s v="491516476"/>
    <s v="In-Stream Video"/>
    <n v="81150"/>
    <n v="939"/>
    <n v="0.6"/>
    <n v="0.2"/>
    <n v="48.69"/>
    <n v="16.23"/>
  </r>
  <r>
    <m/>
    <x v="4"/>
    <s v="Connected  Interactive"/>
    <s v="almap_lg_he-oled-tv-digital_consideracao_trafego_connected-interative_ros_video_cpview_na_na_all_int_as-25-44_design_video_16:9_video-40_design__id-2020000545"/>
    <s v="298372239"/>
    <s v="Video"/>
    <s v="almap_lg_he-oled-tv-digital_consideracao_trafego_connected-interative_ros_video_cpview_na_na_all_int_as-25-44_design_video_16:9_video-40_design__id-2020000545"/>
    <s v="491578818"/>
    <s v="In-Stream Video"/>
    <n v="976153"/>
    <n v="7925"/>
    <n v="0.6"/>
    <n v="0.2"/>
    <n v="585.69179999999994"/>
    <n v="195.23060000000001"/>
  </r>
  <r>
    <m/>
    <x v="4"/>
    <s v="Connected  Interactive"/>
    <s v="almap_lg_he-oled-tv-digital_consideracao_trafego_connected-interative_ros_video_cpview_na_na_all_int_as-25-44_design_video_16:9_video-40_design__id-2020000545"/>
    <s v="298372239"/>
    <s v="Video"/>
    <s v="Default In-stream Ad"/>
    <s v="491562525"/>
    <s v="In-Stream Video"/>
    <n v="1"/>
    <n v="0"/>
    <n v="0.6"/>
    <n v="0.2"/>
    <n v="5.9999999999999995E-4"/>
    <n v="2.0000000000000001E-4"/>
  </r>
  <r>
    <m/>
    <x v="4"/>
    <s v="Connected  Interactive"/>
    <s v="almap_lg_he-oled-tv-digital_consideracao_trafego_connected-interative_ros_video_cpview_na_na_all_int_as-25-44_esportes_video_16:9_video-60_esportes__id-2020000544"/>
    <s v="298373511"/>
    <s v="Video"/>
    <s v="almap_lg_he-oled-tv-digital_consideracao_trafego_connected-interative_ros_video_cpview_na_na_all_int_as-25-44_esportes_video_16:9_video-60_esportes__id-2020000544"/>
    <s v="491246687"/>
    <s v="In-Stream Video"/>
    <n v="154464"/>
    <n v="1321"/>
    <n v="0.6"/>
    <n v="0.2"/>
    <n v="92.678399999999996"/>
    <n v="30.892800000000001"/>
  </r>
  <r>
    <m/>
    <x v="4"/>
    <s v="Connected  Interactive"/>
    <s v="almap_lg_he-oled-tv-digital_consideracao_trafego_connected-interative_ros_video_cpview_na_na_all_int_as-25-44_games_video_16:9_video-60_games__id-2020000543"/>
    <s v="298371987"/>
    <s v="Video"/>
    <s v="almap_lg_he-oled-tv-digital_consideracao_trafego_connected-interative_ros_video_cpview_na_na_all_int_as-25-44_games_video_16:9_video-60_games__id-2020000543"/>
    <s v="491249768"/>
    <s v="In-Stream Video"/>
    <n v="24961"/>
    <n v="229"/>
    <n v="0.6"/>
    <n v="0.2"/>
    <n v="14.976599999999998"/>
    <n v="4.9922000000000004"/>
  </r>
  <r>
    <m/>
    <x v="4"/>
    <s v="DBM ALMAP BBDO Brasil 971065410-LG"/>
    <s v="almap_lg_he-oled-tv-digital_awareness_alcance_dv360_ros_display_cpm_na_na_all_int_as-25-44_generico_animado_120x600_sky_generico__id-2020000437"/>
    <s v="298070053"/>
    <s v="Default"/>
    <s v="120x600 Default Web Ad"/>
    <s v="490701728"/>
    <s v="Display"/>
    <n v="1"/>
    <n v="0"/>
    <n v="0.04"/>
    <n v="7.0000000000000007E-2"/>
    <n v="4.0000000000000003E-5"/>
    <n v="7.0000000000000007E-5"/>
  </r>
  <r>
    <m/>
    <x v="4"/>
    <s v="DBM ALMAP BBDO Brasil 971065410-LG"/>
    <s v="almap_lg_he-oled-tv-digital_awareness_alcance_dv360_ros_display_cpm_na_na_all_int_as-25-44_generico_animado_120x600_sky_generico__id-2020000437"/>
    <s v="298070053"/>
    <s v="Standard"/>
    <s v="almap_lg_he-oled-tv-digital_awareness_alcance_dv360_ros_display_cpm_na_na_all_int_as-25-44_generico_animado_120x600_sky_generico__id-2020000437"/>
    <s v="491110357"/>
    <s v="Display"/>
    <n v="283011"/>
    <n v="90"/>
    <n v="0.04"/>
    <n v="7.0000000000000007E-2"/>
    <n v="11.320440000000001"/>
    <n v="19.810770000000002"/>
  </r>
  <r>
    <m/>
    <x v="4"/>
    <s v="DBM ALMAP BBDO Brasil 971065410-LG"/>
    <s v="almap_lg_he-oled-tv-digital_awareness_alcance_dv360_ros_display_cpm_na_na_all_int_as-25-44_generico_animado_160x600_banner_generico__id-2020000438"/>
    <s v="298070050"/>
    <s v="Default"/>
    <s v="160x600 Default Web Ad"/>
    <s v="490698443"/>
    <s v="Display"/>
    <n v="12"/>
    <n v="0"/>
    <n v="0.04"/>
    <n v="7.0000000000000007E-2"/>
    <n v="4.7999999999999996E-4"/>
    <n v="8.4000000000000003E-4"/>
  </r>
  <r>
    <m/>
    <x v="4"/>
    <s v="DBM ALMAP BBDO Brasil 971065410-LG"/>
    <s v="almap_lg_he-oled-tv-digital_awareness_alcance_dv360_ros_display_cpm_na_na_all_int_as-25-44_generico_animado_160x600_banner_generico__id-2020000438"/>
    <s v="298070050"/>
    <s v="Standard"/>
    <s v="almap_lg_he-oled-tv-digital_awareness_alcance_dv360_ros_display_cpm_na_na_all_int_as-25-44_generico_animado_160x600_banner_generico__id-2020000438"/>
    <s v="491110354"/>
    <s v="Display"/>
    <n v="2669216"/>
    <n v="955"/>
    <n v="0.04"/>
    <n v="7.0000000000000007E-2"/>
    <n v="106.76864"/>
    <n v="186.84512000000004"/>
  </r>
  <r>
    <m/>
    <x v="4"/>
    <s v="DBM ALMAP BBDO Brasil 971065410-LG"/>
    <s v="almap_lg_he-oled-tv-digital_awareness_alcance_dv360_ros_display_cpm_na_na_all_int_as-25-44_generico_animado_250x250_quadrado_generico__id-2020000439"/>
    <s v="298070047"/>
    <s v="Default"/>
    <s v="250x250 Default Web Ad"/>
    <s v="490951822"/>
    <s v="Display"/>
    <n v="7"/>
    <n v="0"/>
    <n v="0.04"/>
    <n v="7.0000000000000007E-2"/>
    <n v="2.8000000000000003E-4"/>
    <n v="4.9000000000000009E-4"/>
  </r>
  <r>
    <m/>
    <x v="4"/>
    <s v="DBM ALMAP BBDO Brasil 971065410-LG"/>
    <s v="almap_lg_he-oled-tv-digital_awareness_alcance_dv360_ros_display_cpm_na_na_all_int_as-25-44_generico_animado_250x250_quadrado_generico__id-2020000439"/>
    <s v="298070047"/>
    <s v="Standard"/>
    <s v="almap_lg_he-oled-tv-digital_awareness_alcance_dv360_ros_display_cpm_na_na_all_int_as-25-44_generico_animado_250x250_quadrado_generico__id-2020000439"/>
    <s v="491110351"/>
    <s v="Display"/>
    <n v="2466054"/>
    <n v="3692"/>
    <n v="0.04"/>
    <n v="7.0000000000000007E-2"/>
    <n v="98.642160000000004"/>
    <n v="172.62378000000004"/>
  </r>
  <r>
    <m/>
    <x v="4"/>
    <s v="DBM ALMAP BBDO Brasil 971065410-LG"/>
    <s v="almap_lg_he-oled-tv-digital_awareness_alcance_dv360_ros_display_cpm_na_na_all_int_as-25-44_generico_animado_300x250_retangulo_generico__id-2020000307"/>
    <s v="297551607"/>
    <s v="Default"/>
    <s v="300x250 Default Web Ad"/>
    <s v="490592748"/>
    <s v="Display"/>
    <n v="130"/>
    <n v="0"/>
    <n v="0.04"/>
    <n v="7.0000000000000007E-2"/>
    <n v="5.1999999999999998E-3"/>
    <n v="9.1000000000000022E-3"/>
  </r>
  <r>
    <m/>
    <x v="4"/>
    <s v="DBM ALMAP BBDO Brasil 971065410-LG"/>
    <s v="almap_lg_he-oled-tv-digital_awareness_alcance_dv360_ros_display_cpm_na_na_all_int_as-25-44_generico_animado_300x250_retangulo_generico__id-2020000307"/>
    <s v="297551607"/>
    <s v="Standard"/>
    <s v="almap_lg_he-oled-tv-digital_awareness_alcance_dv360_ros_display_cpm_na_na_all_int_as-25-44_generico_animado_300x250_retangulo_generico__id-2020000307"/>
    <s v="490811190"/>
    <s v="Display"/>
    <n v="37380366"/>
    <n v="43285"/>
    <n v="0.04"/>
    <n v="7.0000000000000007E-2"/>
    <n v="1495.2146400000001"/>
    <n v="2616.6256200000003"/>
  </r>
  <r>
    <m/>
    <x v="4"/>
    <s v="DBM ALMAP BBDO Brasil 971065410-LG"/>
    <s v="almap_lg_he-oled-tv-digital_awareness_alcance_dv360_ros_display_cpm_na_na_all_int_as-25-44_generico_animado_300x600_half-banner_generico__id-2020000440"/>
    <s v="298070044"/>
    <s v="Default"/>
    <s v="300x600 Default Web Ad"/>
    <s v="490954987"/>
    <s v="Display"/>
    <n v="19"/>
    <n v="0"/>
    <n v="0.04"/>
    <n v="7.0000000000000007E-2"/>
    <n v="7.6000000000000004E-4"/>
    <n v="1.33E-3"/>
  </r>
  <r>
    <m/>
    <x v="4"/>
    <s v="DBM ALMAP BBDO Brasil 971065410-LG"/>
    <s v="almap_lg_he-oled-tv-digital_awareness_alcance_dv360_ros_display_cpm_na_na_all_int_as-25-44_generico_animado_300x600_half-banner_generico__id-2020000440"/>
    <s v="298070044"/>
    <s v="Standard"/>
    <s v="almap_lg_he-oled-tv-digital_awareness_alcance_dv360_ros_display_cpm_na_na_all_int_as-25-44_generico_animado_300x600_half-banner_generico__id-2020000440"/>
    <s v="491110348"/>
    <s v="Display"/>
    <n v="5123239"/>
    <n v="5002"/>
    <n v="0.04"/>
    <n v="7.0000000000000007E-2"/>
    <n v="204.92956000000001"/>
    <n v="358.62673000000007"/>
  </r>
  <r>
    <m/>
    <x v="4"/>
    <s v="DBM ALMAP BBDO Brasil 971065410-LG"/>
    <s v="almap_lg_he-oled-tv-digital_awareness_alcance_dv360_ros_display_cpm_na_na_all_int_as-25-44_generico_animado_320x100_banner-mobile_generico__id-2020000441"/>
    <s v="298070041"/>
    <s v="Default"/>
    <s v="320x100 Default Web Ad"/>
    <s v="490700945"/>
    <s v="Display"/>
    <n v="22"/>
    <n v="0"/>
    <n v="0.04"/>
    <n v="7.0000000000000007E-2"/>
    <n v="8.8000000000000003E-4"/>
    <n v="1.5400000000000001E-3"/>
  </r>
  <r>
    <m/>
    <x v="4"/>
    <s v="DBM ALMAP BBDO Brasil 971065410-LG"/>
    <s v="almap_lg_he-oled-tv-digital_awareness_alcance_dv360_ros_display_cpm_na_na_all_int_as-25-44_generico_animado_320x100_banner-mobile_generico__id-2020000441"/>
    <s v="298070041"/>
    <s v="Standard"/>
    <s v="almap_lg_he-oled-tv-digital_awareness_alcance_dv360_ros_display_cpm_na_na_all_int_as-25-44_generico_animado_320x100_banner-mobile_generico__id-2020000441"/>
    <s v="491110345"/>
    <s v="Display"/>
    <n v="6996914"/>
    <n v="9595"/>
    <n v="0.04"/>
    <n v="7.0000000000000007E-2"/>
    <n v="279.87655999999998"/>
    <n v="489.78398000000004"/>
  </r>
  <r>
    <m/>
    <x v="4"/>
    <s v="DBM ALMAP BBDO Brasil 971065410-LG"/>
    <s v="almap_lg_he-oled-tv-digital_awareness_alcance_dv360_ros_display_cpm_na_na_all_int_as-25-44_generico_animado_728x90_super-banner_generico__id-2020000444"/>
    <s v="298070035"/>
    <s v="Default"/>
    <s v="728x90 Default Web Ad"/>
    <s v="491034501"/>
    <s v="Display"/>
    <n v="28"/>
    <n v="0"/>
    <n v="0.04"/>
    <n v="7.0000000000000007E-2"/>
    <n v="1.1200000000000001E-3"/>
    <n v="1.9600000000000004E-3"/>
  </r>
  <r>
    <m/>
    <x v="4"/>
    <s v="DBM ALMAP BBDO Brasil 971065410-LG"/>
    <s v="almap_lg_he-oled-tv-digital_awareness_alcance_dv360_ros_display_cpm_na_na_all_int_as-25-44_generico_animado_728x90_super-banner_generico__id-2020000444"/>
    <s v="298070035"/>
    <s v="Standard"/>
    <s v="almap_lg_he-oled-tv-digital_awareness_alcance_dv360_ros_display_cpm_na_na_all_int_as-25-44_generico_animado_728x90_super-banner_generico__id-2020000444"/>
    <s v="491110339"/>
    <s v="Display"/>
    <n v="4983840"/>
    <n v="1847"/>
    <n v="0.04"/>
    <n v="7.0000000000000007E-2"/>
    <n v="199.3536"/>
    <n v="348.86880000000002"/>
  </r>
  <r>
    <m/>
    <x v="4"/>
    <s v="DBM ALMAP BBDO Brasil 971065410-LG"/>
    <s v="almap_lg_he-oled-tv-digital_awareness_alcance_dv360_ros_display_cpm_na_na_all_int_as-25-44_generico_animado_970x250_billboard_generico__id-2020000446"/>
    <s v="298070029"/>
    <s v="Default"/>
    <s v="970x250 Default Web Ad"/>
    <s v="490951828"/>
    <s v="Display"/>
    <n v="15"/>
    <n v="0"/>
    <n v="0.04"/>
    <n v="7.0000000000000007E-2"/>
    <n v="5.9999999999999995E-4"/>
    <n v="1.0500000000000002E-3"/>
  </r>
  <r>
    <m/>
    <x v="4"/>
    <s v="DBM ALMAP BBDO Brasil 971065410-LG"/>
    <s v="almap_lg_he-oled-tv-digital_awareness_alcance_dv360_ros_display_cpm_na_na_all_int_as-25-44_generico_animado_970x250_billboard_generico__id-2020000446"/>
    <s v="298070029"/>
    <s v="Standard"/>
    <s v="almap_lg_he-oled-tv-digital_awareness_alcance_dv360_ros_display_cpm_na_na_all_int_as-25-44_generico_animado_970x250_billboard_generico__id-2020000446"/>
    <s v="491110333"/>
    <s v="Display"/>
    <n v="2629304"/>
    <n v="1162"/>
    <n v="0.04"/>
    <n v="7.0000000000000007E-2"/>
    <n v="105.17216000000001"/>
    <n v="184.05128000000002"/>
  </r>
  <r>
    <m/>
    <x v="4"/>
    <s v="DBM ALMAP BBDO Brasil 971065410-LG"/>
    <s v="almap_lg_he-oled-tv-digital_awareness_alcance_dv360_ros_display_cpm_na_na_all_int_as-25-44_generico_animado_970x90_leadeboard_generico__id-2020000445"/>
    <s v="298070032"/>
    <s v="Default"/>
    <s v="970x90 Default Web Ad"/>
    <s v="490701731"/>
    <s v="Display"/>
    <n v="7"/>
    <n v="0"/>
    <n v="0.04"/>
    <n v="7.0000000000000007E-2"/>
    <n v="2.8000000000000003E-4"/>
    <n v="4.9000000000000009E-4"/>
  </r>
  <r>
    <m/>
    <x v="4"/>
    <s v="DBM ALMAP BBDO Brasil 971065410-LG"/>
    <s v="almap_lg_he-oled-tv-digital_awareness_alcance_dv360_ros_display_cpm_na_na_all_int_as-25-44_generico_animado_970x90_leadeboard_generico__id-2020000445"/>
    <s v="298070032"/>
    <s v="Standard"/>
    <s v="almap_lg_he-oled-tv-digital_awareness_alcance_dv360_ros_display_cpm_na_na_all_int_as-25-44_generico_animado_970x90_leadeboard_generico__id-2020000445"/>
    <s v="491110336"/>
    <s v="Display"/>
    <n v="2050080"/>
    <n v="597"/>
    <n v="0.04"/>
    <n v="7.0000000000000007E-2"/>
    <n v="82.003199999999993"/>
    <n v="143.50560000000002"/>
  </r>
  <r>
    <m/>
    <x v="4"/>
    <s v="ROIx"/>
    <s v="almap_lg_he-oled-tv-digital_awareness_alcance_roix_ros_video_cpview_na_na_all_int_as-25-44_generico_video_1:1_video-30_generico__id-2020000392"/>
    <s v="297983536"/>
    <s v="Standard"/>
    <s v="almap_lg_he-oled-tv-digital_awareness_alcance_roix_ros_video_cpview_na_na_all_int_as-25-44_generico_video_1:1_video-30_generico__id-2020000392"/>
    <s v="491026837"/>
    <s v="Tracking"/>
    <n v="3813869"/>
    <n v="53063"/>
    <n v="0.04"/>
    <n v="7.0000000000000007E-2"/>
    <n v="152.55476000000002"/>
    <n v="266.97083000000003"/>
  </r>
  <r>
    <m/>
    <x v="4"/>
    <s v="ROIx"/>
    <s v="almap_lg_he-oled-tv-digital_consideracao_trafego_roix_ros_display_cpm_na_na_all_int_as-25-44_cinema_animado_120x600_sky_cinema__id-2020000356"/>
    <s v="297686570"/>
    <s v="Standard"/>
    <s v="almap_lg_he-oled-tv-digital_consideracao_trafego_roix_ros_display_cpm_na_na_all_int_as-25-44_cinema_animado_120x600_sky_cinema__id-2020000356"/>
    <s v="491037147"/>
    <s v="Display"/>
    <n v="5787"/>
    <n v="4"/>
    <n v="0.04"/>
    <n v="7.0000000000000007E-2"/>
    <n v="0.23148000000000002"/>
    <n v="0.40509000000000001"/>
  </r>
  <r>
    <m/>
    <x v="4"/>
    <s v="ROIx"/>
    <s v="almap_lg_he-oled-tv-digital_consideracao_trafego_roix_ros_display_cpm_na_na_all_int_as-25-44_cinema_animado_120x600_sky_cinema__id-2020000459"/>
    <s v="297845477"/>
    <s v="Default"/>
    <s v="120x600 Default Web Ad"/>
    <s v="490701728"/>
    <s v="Display"/>
    <n v="6"/>
    <n v="0"/>
    <n v="0.04"/>
    <n v="7.0000000000000007E-2"/>
    <n v="2.3999999999999998E-4"/>
    <n v="4.2000000000000002E-4"/>
  </r>
  <r>
    <m/>
    <x v="4"/>
    <s v="ROIx"/>
    <s v="almap_lg_he-oled-tv-digital_consideracao_trafego_roix_ros_display_cpm_na_na_all_int_as-25-44_cinema_animado_160x600_banner_cinema__id-2020000357"/>
    <s v="297686564"/>
    <s v="Default"/>
    <s v="160x600 Default Web Ad"/>
    <s v="490698443"/>
    <s v="Display"/>
    <n v="1"/>
    <n v="0"/>
    <n v="0.04"/>
    <n v="7.0000000000000007E-2"/>
    <n v="4.0000000000000003E-5"/>
    <n v="7.0000000000000007E-5"/>
  </r>
  <r>
    <m/>
    <x v="4"/>
    <s v="ROIx"/>
    <s v="almap_lg_he-oled-tv-digital_consideracao_trafego_roix_ros_display_cpm_na_na_all_int_as-25-44_cinema_animado_250x250_quadrado_cinema__id-2020000358"/>
    <s v="297686558"/>
    <s v="Default"/>
    <s v="250x250 Default Web Ad"/>
    <s v="490951822"/>
    <s v="Display"/>
    <n v="2"/>
    <n v="0"/>
    <n v="0.04"/>
    <n v="7.0000000000000007E-2"/>
    <n v="8.0000000000000007E-5"/>
    <n v="1.4000000000000001E-4"/>
  </r>
  <r>
    <m/>
    <x v="4"/>
    <s v="ROIx"/>
    <s v="almap_lg_he-oled-tv-digital_consideracao_trafego_roix_ros_display_cpm_na_na_all_int_as-25-44_cinema_animado_300x250_retangulo_cinema__id-2020000318"/>
    <s v="297714517"/>
    <s v="Standard"/>
    <s v="almap_lg_he-oled-tv-digital_consideracao_trafego_roix_ros_display_cpm_na_na_all_int_as-25-44_cinema_animado_300x250_retangulo_cinema__id-2020000318"/>
    <s v="490494959"/>
    <s v="Display"/>
    <n v="86954"/>
    <n v="171"/>
    <n v="0.04"/>
    <n v="7.0000000000000007E-2"/>
    <n v="3.4781599999999999"/>
    <n v="6.086780000000001"/>
  </r>
  <r>
    <m/>
    <x v="4"/>
    <s v="ROIx"/>
    <s v="almap_lg_he-oled-tv-digital_consideracao_trafego_roix_ros_display_cpm_na_na_all_int_as-25-44_cinema_animado_300x600_half-banner_cinema__id-2020000360"/>
    <s v="297903922"/>
    <s v="Default"/>
    <s v="300x600 Default Web Ad"/>
    <s v="490954987"/>
    <s v="Display"/>
    <n v="1"/>
    <n v="0"/>
    <n v="0.04"/>
    <n v="7.0000000000000007E-2"/>
    <n v="4.0000000000000003E-5"/>
    <n v="7.0000000000000007E-5"/>
  </r>
  <r>
    <m/>
    <x v="4"/>
    <s v="ROIx"/>
    <s v="almap_lg_he-oled-tv-digital_consideracao_trafego_roix_ros_display_cpm_na_na_all_int_as-25-44_cinema_animado_300x600_half-banner_cinema__id-2020000360"/>
    <s v="297903922"/>
    <s v="Standard"/>
    <s v="almap_lg_he-oled-tv-digital_consideracao_trafego_roix_ros_display_cpm_na_na_all_int_as-25-44_cinema_animado_300x600_half-banner_cinema__id-2020000360"/>
    <s v="491037129"/>
    <s v="Display"/>
    <n v="22273"/>
    <n v="512"/>
    <n v="0.04"/>
    <n v="7.0000000000000007E-2"/>
    <n v="0.89092000000000005"/>
    <n v="1.5591100000000002"/>
  </r>
  <r>
    <m/>
    <x v="4"/>
    <s v="ROIx"/>
    <s v="almap_lg_he-oled-tv-digital_consideracao_trafego_roix_ros_display_cpm_na_na_all_int_as-25-44_cinema_animado_320x100_banner-mobile_cinema__id-2020000361"/>
    <s v="297903916"/>
    <s v="Default"/>
    <s v="320x100 Default Web Ad"/>
    <s v="490700945"/>
    <s v="Display"/>
    <n v="1"/>
    <n v="0"/>
    <n v="0.04"/>
    <n v="7.0000000000000007E-2"/>
    <n v="4.0000000000000003E-5"/>
    <n v="7.0000000000000007E-5"/>
  </r>
  <r>
    <m/>
    <x v="4"/>
    <s v="ROIx"/>
    <s v="almap_lg_he-oled-tv-digital_consideracao_trafego_roix_ros_display_cpm_na_na_all_int_as-25-44_cinema_animado_320x100_banner-mobile_cinema__id-2020000361"/>
    <s v="297903916"/>
    <s v="Standard"/>
    <s v="almap_lg_he-oled-tv-digital_consideracao_trafego_roix_ros_display_cpm_na_na_all_int_as-25-44_cinema_animado_320x100_banner-mobile_cinema__id-2020000361"/>
    <s v="491037123"/>
    <s v="Display"/>
    <n v="607868"/>
    <n v="2738"/>
    <n v="0.04"/>
    <n v="7.0000000000000007E-2"/>
    <n v="24.314720000000001"/>
    <n v="42.550760000000004"/>
  </r>
  <r>
    <m/>
    <x v="4"/>
    <s v="ROIx"/>
    <s v="almap_lg_he-oled-tv-digital_consideracao_trafego_roix_ros_display_cpm_na_na_all_int_as-25-44_cinema_animado_320x50_banner-mobile-pequeno_cinema__id-2020000362"/>
    <s v="297903913"/>
    <s v="Default"/>
    <s v="320x50 Default Web Ad"/>
    <s v="490698452"/>
    <s v="Display"/>
    <n v="2"/>
    <n v="0"/>
    <n v="0.04"/>
    <n v="7.0000000000000007E-2"/>
    <n v="8.0000000000000007E-5"/>
    <n v="1.4000000000000001E-4"/>
  </r>
  <r>
    <m/>
    <x v="4"/>
    <s v="ROIx"/>
    <s v="almap_lg_he-oled-tv-digital_consideracao_trafego_roix_ros_display_cpm_na_na_all_int_as-25-44_cinema_animado_320x50_banner-mobile-pequeno_cinema__id-2020000362"/>
    <s v="297903913"/>
    <s v="Standard"/>
    <s v="almap_lg_he-oled-tv-digital_consideracao_trafego_roix_ros_display_cpm_na_na_all_int_as-25-44_cinema_animado_320x50_banner-mobile-pequeno_cinema__id-2020000362"/>
    <s v="491037120"/>
    <s v="Display"/>
    <n v="6964526"/>
    <n v="23710"/>
    <n v="0.04"/>
    <n v="7.0000000000000007E-2"/>
    <n v="278.58103999999997"/>
    <n v="487.51682000000005"/>
  </r>
  <r>
    <m/>
    <x v="4"/>
    <s v="ROIx"/>
    <s v="almap_lg_he-oled-tv-digital_consideracao_trafego_roix_ros_display_cpm_na_na_all_int_as-25-44_cinema_animado_728x90_super-banner_cinema__id-2020000364"/>
    <s v="297903907"/>
    <s v="Default"/>
    <s v="728x90 Default Web Ad"/>
    <s v="491034501"/>
    <s v="Display"/>
    <n v="1"/>
    <n v="0"/>
    <n v="0.04"/>
    <n v="7.0000000000000007E-2"/>
    <n v="4.0000000000000003E-5"/>
    <n v="7.0000000000000007E-5"/>
  </r>
  <r>
    <m/>
    <x v="4"/>
    <s v="ROIx"/>
    <s v="almap_lg_he-oled-tv-digital_consideracao_trafego_roix_ros_display_cpm_na_na_all_int_as-25-44_cinema_animado_728x90_super-banner_cinema__id-2020000364"/>
    <s v="297903907"/>
    <s v="Standard"/>
    <s v="almap_lg_he-oled-tv-digital_consideracao_trafego_roix_ros_display_cpm_na_na_all_int_as-25-44_cinema_animado_728x90_super-banner_cinema__id-2020000364"/>
    <s v="491037114"/>
    <s v="Display"/>
    <n v="160661"/>
    <n v="527"/>
    <n v="0.04"/>
    <n v="7.0000000000000007E-2"/>
    <n v="6.4264400000000004"/>
    <n v="11.246270000000001"/>
  </r>
  <r>
    <m/>
    <x v="4"/>
    <s v="ROIx"/>
    <s v="almap_lg_he-oled-tv-digital_consideracao_trafego_roix_ros_display_cpm_na_na_all_int_as-25-44_cinema_animado_970x90_leadeboard_cinema__id-2020000366"/>
    <s v="297903901"/>
    <s v="Default"/>
    <s v="970x90 Default Web Ad"/>
    <s v="490701731"/>
    <s v="Display"/>
    <n v="1"/>
    <n v="0"/>
    <n v="0.04"/>
    <n v="7.0000000000000007E-2"/>
    <n v="4.0000000000000003E-5"/>
    <n v="7.0000000000000007E-5"/>
  </r>
  <r>
    <m/>
    <x v="4"/>
    <s v="ROIx"/>
    <s v="almap_lg_he-oled-tv-digital_consideracao_trafego_roix_ros_display_cpm_na_na_all_int_as-25-44_design_animado_120x600_sky_design__id-2020000451"/>
    <s v="297845501"/>
    <s v="Default"/>
    <s v="120x600 Default Web Ad"/>
    <s v="490701728"/>
    <s v="Display"/>
    <n v="1"/>
    <n v="0"/>
    <n v="0.04"/>
    <n v="7.0000000000000007E-2"/>
    <n v="4.0000000000000003E-5"/>
    <n v="7.0000000000000007E-5"/>
  </r>
  <r>
    <m/>
    <x v="4"/>
    <s v="ROIx"/>
    <s v="almap_lg_he-oled-tv-digital_consideracao_trafego_roix_ros_display_cpm_na_na_all_int_as-25-44_design_animado_300x250_retangulo_design__id-2020000319"/>
    <s v="297550560"/>
    <s v="Standard"/>
    <s v="almap_lg_he-oled-tv-digital_consideracao_trafego_roix_ros_display_cpm_na_na_all_int_as-25-44_design_animado_300x250_retangulo_design__id-2020000319"/>
    <s v="490810521"/>
    <s v="Display"/>
    <n v="123223"/>
    <n v="208"/>
    <n v="0.04"/>
    <n v="7.0000000000000007E-2"/>
    <n v="4.9289199999999997"/>
    <n v="8.62561"/>
  </r>
  <r>
    <m/>
    <x v="4"/>
    <s v="ROIx"/>
    <s v="almap_lg_he-oled-tv-digital_consideracao_trafego_roix_ros_display_cpm_na_na_all_int_as-25-44_design_animado_300x600_half-banner_design__id-2020000452"/>
    <s v="297845498"/>
    <s v="Default"/>
    <s v="300x600 Default Web Ad"/>
    <s v="490954987"/>
    <s v="Display"/>
    <n v="1"/>
    <n v="0"/>
    <n v="0.04"/>
    <n v="7.0000000000000007E-2"/>
    <n v="4.0000000000000003E-5"/>
    <n v="7.0000000000000007E-5"/>
  </r>
  <r>
    <m/>
    <x v="4"/>
    <s v="ROIx"/>
    <s v="almap_lg_he-oled-tv-digital_consideracao_trafego_roix_ros_display_cpm_na_na_all_int_as-25-44_design_animado_320x100_banner-mobile_design__id-2020000453"/>
    <s v="297845495"/>
    <s v="Default"/>
    <s v="320x100 Default Web Ad"/>
    <s v="490700945"/>
    <s v="Display"/>
    <n v="1"/>
    <n v="0"/>
    <n v="0.04"/>
    <n v="7.0000000000000007E-2"/>
    <n v="4.0000000000000003E-5"/>
    <n v="7.0000000000000007E-5"/>
  </r>
  <r>
    <m/>
    <x v="4"/>
    <s v="ROIx"/>
    <s v="almap_lg_he-oled-tv-digital_consideracao_trafego_roix_ros_display_cpm_na_na_all_int_as-25-44_design_animado_728x90_super-banner_design__id-2020000454"/>
    <s v="297845492"/>
    <s v="Default"/>
    <s v="728x90 Default Web Ad"/>
    <s v="491034501"/>
    <s v="Display"/>
    <n v="1"/>
    <n v="0"/>
    <n v="0.04"/>
    <n v="7.0000000000000007E-2"/>
    <n v="4.0000000000000003E-5"/>
    <n v="7.0000000000000007E-5"/>
  </r>
  <r>
    <m/>
    <x v="4"/>
    <s v="ROIx"/>
    <s v="almap_lg_he-oled-tv-digital_consideracao_trafego_roix_ros_display_cpm_na_na_all_int_as-25-44_esporte_animado_300x250_retangulo_esporte__id-2020000320"/>
    <s v="297714556"/>
    <s v="Standard"/>
    <s v="almap_lg_he-oled-tv-digital_consideracao_trafego_roix_ros_display_cpm_na_na_all_int_as-25-44_esporte_animado_300x250_retangulo_esporte__id-2020000320"/>
    <s v="490494968"/>
    <s v="Display"/>
    <n v="78155"/>
    <n v="170"/>
    <n v="0.04"/>
    <n v="7.0000000000000007E-2"/>
    <n v="3.1262000000000003"/>
    <n v="5.4708500000000004"/>
  </r>
  <r>
    <m/>
    <x v="4"/>
    <s v="ROIx"/>
    <s v="almap_lg_he-oled-tv-digital_consideracao_trafego_roix_ros_display_cpm_na_na_all_int_as-25-44_esporte_animado_320x100_banner-mobile_esporte__id-2020000449"/>
    <s v="297845507"/>
    <s v="Default"/>
    <s v="320x100 Default Web Ad"/>
    <s v="490700945"/>
    <s v="Display"/>
    <n v="1"/>
    <n v="0"/>
    <n v="0.04"/>
    <n v="7.0000000000000007E-2"/>
    <n v="4.0000000000000003E-5"/>
    <n v="7.0000000000000007E-5"/>
  </r>
  <r>
    <m/>
    <x v="4"/>
    <s v="ROIx"/>
    <s v="almap_lg_he-oled-tv-digital_consideracao_trafego_roix_ros_display_cpm_na_na_all_int_as-25-44_game_animado_120x600_sky_game__id-2020000455"/>
    <s v="297845489"/>
    <s v="Default"/>
    <s v="120x600 Default Web Ad"/>
    <s v="490701728"/>
    <s v="Display"/>
    <n v="1"/>
    <n v="0"/>
    <n v="0.04"/>
    <n v="7.0000000000000007E-2"/>
    <n v="4.0000000000000003E-5"/>
    <n v="7.0000000000000007E-5"/>
  </r>
  <r>
    <m/>
    <x v="4"/>
    <s v="ROIx"/>
    <s v="almap_lg_he-oled-tv-digital_consideracao_trafego_roix_ros_display_cpm_na_na_all_int_as-25-44_game_animado_320x100_banner-mobile_game__id-2020000457"/>
    <s v="297845483"/>
    <s v="Default"/>
    <s v="320x100 Default Web Ad"/>
    <s v="490700945"/>
    <s v="Display"/>
    <n v="7"/>
    <n v="0"/>
    <n v="0.04"/>
    <n v="7.0000000000000007E-2"/>
    <n v="2.8000000000000003E-4"/>
    <n v="4.9000000000000009E-4"/>
  </r>
  <r>
    <m/>
    <x v="4"/>
    <s v="ROIx"/>
    <s v="almap_lg_he-oled-tv-digital_consideracao_trafego_roix_ros_display_cpm_na_na_all_int_as-25-44_game_animado_728x90_super-banner_game__id-2020000458"/>
    <s v="297845480"/>
    <s v="Default"/>
    <s v="728x90 Default Web Ad"/>
    <s v="491034501"/>
    <s v="Display"/>
    <n v="3"/>
    <n v="0"/>
    <n v="0.04"/>
    <n v="7.0000000000000007E-2"/>
    <n v="1.1999999999999999E-4"/>
    <n v="2.1000000000000001E-4"/>
  </r>
  <r>
    <m/>
    <x v="4"/>
    <s v="ROIx"/>
    <s v="almap_lg_he-oled-tv-digital_consideracao_trafego_roix_ros_display_cpm_na_na_all_int_as-25-44_games_animado_300x250_retangulo_games__id-2020000321"/>
    <s v="297551667"/>
    <s v="Standard"/>
    <s v="almap_lg_he-oled-tv-digital_consideracao_trafego_roix_ros_display_cpm_na_na_all_int_as-25-44_games_animado_300x250_retangulo_games__id-2020000321"/>
    <s v="490496894"/>
    <s v="Display"/>
    <n v="114556"/>
    <n v="197"/>
    <n v="0.04"/>
    <n v="7.0000000000000007E-2"/>
    <n v="4.5822399999999996"/>
    <n v="8.0189200000000014"/>
  </r>
  <r>
    <m/>
    <x v="4"/>
    <s v="ROIx"/>
    <s v="almap_lg_he-oled-tv-digital_consideracao_trafego_roix_ros_display_cpm_na_na_all_int_as-25-44_games_imagem_120x600_sky_games-2__id-2020000699"/>
    <s v="299316559"/>
    <s v="Standard"/>
    <s v="almap_lg_he-oled-tv-digital_consideracao_trafego_roix_ros_display_cpm_na_na_all_int_as-25-44_games_imagem_120x600_sky_games-2__id-2020000699"/>
    <s v="491973344"/>
    <s v="Display"/>
    <n v="1074"/>
    <n v="2"/>
    <n v="0.04"/>
    <n v="7.0000000000000007E-2"/>
    <n v="4.2959999999999998E-2"/>
    <n v="7.5180000000000011E-2"/>
  </r>
  <r>
    <m/>
    <x v="4"/>
    <s v="ROIx"/>
    <s v="almap_lg_he-oled-tv-digital_consideracao_trafego_roix_ros_display_cpm_na_na_all_int_as-25-44_games_imagem_300x250_retangulo_games-2__id-2020000700"/>
    <s v="299316556"/>
    <s v="Standard"/>
    <s v="almap_lg_he-oled-tv-digital_consideracao_trafego_roix_ros_display_cpm_na_na_all_int_as-25-44_games_imagem_300x250_retangulo_games-2__id-2020000700"/>
    <s v="491973341"/>
    <s v="Display"/>
    <n v="13111"/>
    <n v="23"/>
    <n v="0.04"/>
    <n v="7.0000000000000007E-2"/>
    <n v="0.52444000000000002"/>
    <n v="0.91777000000000009"/>
  </r>
  <r>
    <m/>
    <x v="4"/>
    <s v="ROIx"/>
    <s v="almap_lg_he-oled-tv-digital_consideracao_trafego_roix_ros_display_cpm_na_na_all_int_as-25-44_games_imagem_300x600_half-banner_games-2__id-2020000701"/>
    <s v="299316553"/>
    <s v="Standard"/>
    <s v="almap_lg_he-oled-tv-digital_consideracao_trafego_roix_ros_display_cpm_na_na_all_int_as-25-44_games_imagem_300x600_half-banner_games-2__id-2020000701"/>
    <s v="491973338"/>
    <s v="Display"/>
    <n v="12183"/>
    <n v="424"/>
    <n v="0.04"/>
    <n v="7.0000000000000007E-2"/>
    <n v="0.48731999999999998"/>
    <n v="0.85281000000000007"/>
  </r>
  <r>
    <m/>
    <x v="4"/>
    <s v="ROIx"/>
    <s v="almap_lg_he-oled-tv-digital_consideracao_trafego_roix_ros_display_cpm_na_na_all_int_as-25-44_games_imagem_320x100_banner-mobile_games-2__id-2020000702"/>
    <s v="299316550"/>
    <s v="Standard"/>
    <s v="almap_lg_he-oled-tv-digital_consideracao_trafego_roix_ros_display_cpm_na_na_all_int_as-25-44_games_imagem_320x100_banner-mobile_games-2__id-2020000702"/>
    <s v="491973335"/>
    <s v="Display"/>
    <n v="129934"/>
    <n v="890"/>
    <n v="0.04"/>
    <n v="7.0000000000000007E-2"/>
    <n v="5.1973599999999998"/>
    <n v="9.0953800000000005"/>
  </r>
  <r>
    <m/>
    <x v="4"/>
    <s v="ROIx"/>
    <s v="almap_lg_he-oled-tv-digital_consideracao_trafego_roix_ros_display_cpm_na_na_all_int_as-25-44_games_imagem_320x50_banner-mobile-pequeno_games-2__id-2020000703"/>
    <s v="299316547"/>
    <s v="Standard"/>
    <s v="almap_lg_he-oled-tv-digital_consideracao_trafego_roix_ros_display_cpm_na_na_all_int_as-25-44_games_imagem_320x50_banner-mobile-pequeno_games-2__id-2020000703"/>
    <s v="491973332"/>
    <s v="Display"/>
    <n v="129937"/>
    <n v="453"/>
    <n v="0.04"/>
    <n v="7.0000000000000007E-2"/>
    <n v="5.1974800000000005"/>
    <n v="9.0955899999999996"/>
  </r>
  <r>
    <m/>
    <x v="4"/>
    <s v="ROIx"/>
    <s v="almap_lg_he-oled-tv-digital_consideracao_trafego_roix_ros_display_cpm_na_na_all_int_as-25-44_games_imagem_728x90_super-banner_games-2__id-2020000704"/>
    <s v="299316544"/>
    <s v="Standard"/>
    <s v="almap_lg_he-oled-tv-digital_consideracao_trafego_roix_ros_display_cpm_na_na_all_int_as-25-44_games_imagem_728x90_super-banner_games-2__id-2020000704"/>
    <s v="491973329"/>
    <s v="Display"/>
    <n v="23741"/>
    <n v="56"/>
    <n v="0.04"/>
    <n v="7.0000000000000007E-2"/>
    <n v="0.94964000000000004"/>
    <n v="1.6618700000000002"/>
  </r>
  <r>
    <m/>
    <x v="4"/>
    <s v="SeedTag"/>
    <s v="almap_lg_he-oled-tv-digital_consideracao_trafego_seedtag_ros_display_cpm_na_na_all_int_as-25-44_games_animado_810x560_ful-imagem-video_generico__id-2020000332"/>
    <s v="297578420"/>
    <s v="Standard"/>
    <s v="almap_lg_he-oled-tv-digital_consideracao_trafego_seedtag_ros_display_cpm_na_na_all_int_as-25-44_games_animado_810x560_ful-imagem-video_generico__id-2020000332"/>
    <s v="490605575"/>
    <s v="Tracking"/>
    <n v="1427789"/>
    <n v="22152"/>
    <n v="0.04"/>
    <n v="7.0000000000000007E-2"/>
    <n v="57.111559999999997"/>
    <n v="99.945230000000009"/>
  </r>
  <r>
    <m/>
    <x v="4"/>
    <s v="SeedTag"/>
    <s v="almap_lg_he-oled-tv-digital_consideracao_trafego_seedtag_ros_display_cpm_na_na_all_int_as-25-44_games_animado_810x560_full-imagem-display_generico__id-2020000330"/>
    <s v="297656262"/>
    <s v="Standard"/>
    <s v="almap_lg_he-oled-tv-digital_consideracao_trafego_seedtag_ros_display_cpm_na_na_all_int_as-25-44_games_animado_810x560_full-imagem-display_generico__id-2020000330"/>
    <s v="490934091"/>
    <s v="Tracking"/>
    <n v="2125110"/>
    <n v="28119"/>
    <n v="0.04"/>
    <n v="7.0000000000000007E-2"/>
    <n v="85.004400000000004"/>
    <n v="148.7577"/>
  </r>
  <r>
    <m/>
    <x v="4"/>
    <s v="SeedTag"/>
    <s v="almap_lg_he-oled-tv-digital_consideracao_trafego_seedtag_ros_display_cpm_na_na_all_int_as-25-44_games_animado_810x560_glow_generico__id-2020000331"/>
    <s v="297655398"/>
    <s v="Standard"/>
    <s v="almap_lg_he-oled-tv-digital_consideracao_trafego_seedtag_ros_display_cpm_na_na_all_int_as-25-44_games_animado_810x560_glow_generico__id-2020000331"/>
    <s v="490932195"/>
    <s v="Tracking"/>
    <n v="2120983"/>
    <n v="28156"/>
    <n v="0.04"/>
    <n v="7.0000000000000007E-2"/>
    <n v="84.839320000000001"/>
    <n v="148.46881000000002"/>
  </r>
  <r>
    <m/>
    <x v="4"/>
    <s v="[Display] Verizon Media"/>
    <s v="almap_lg_he-oled-tv-digital_awareness_alcance_verizon_ros_display_cpm_na_na_all_int_as-25-44_games_imagem_627x627_native_games-2__id-2020000705"/>
    <s v="299316631"/>
    <s v="Standard"/>
    <s v="almap_lg_he-oled-tv-digital_awareness_alcance_verizon_ros_display_cpm_na_na_all_int_as-25-44_games_imagem_627x627_native_games-2__id-2020000705"/>
    <s v="491973392"/>
    <s v="Tracking"/>
    <n v="106463"/>
    <n v="536"/>
    <n v="0.04"/>
    <n v="7.0000000000000007E-2"/>
    <n v="4.2585200000000007"/>
    <n v="7.4524100000000004"/>
  </r>
  <r>
    <m/>
    <x v="4"/>
    <s v="[Display] Verizon Media"/>
    <s v="almap_lg_he-oled-tv-digital_awareness_alcance_verizon_ros_display_cpm_na_na_all_int_as-25-44_generico_animado_160x600_banner_generico__id-2020000428"/>
    <s v="298070026"/>
    <s v="Default"/>
    <s v="160x600 Default Web Ad"/>
    <s v="490698443"/>
    <s v="Display"/>
    <n v="1"/>
    <n v="0"/>
    <n v="0.04"/>
    <n v="7.0000000000000007E-2"/>
    <n v="4.0000000000000003E-5"/>
    <n v="7.0000000000000007E-5"/>
  </r>
  <r>
    <m/>
    <x v="4"/>
    <s v="[Display] Verizon Media"/>
    <s v="almap_lg_he-oled-tv-digital_awareness_alcance_verizon_ros_display_cpm_na_na_all_int_as-25-44_generico_animado_160x600_banner_generico__id-2020000428"/>
    <s v="298070026"/>
    <s v="Standard"/>
    <s v="almap_lg_he-oled-tv-digital_awareness_alcance_verizon_ros_display_cpm_na_na_all_int_as-25-44_generico_animado_160x600_banner_generico__id-2020000428"/>
    <s v="491110330"/>
    <s v="Display"/>
    <n v="780586"/>
    <n v="431"/>
    <n v="0.04"/>
    <n v="7.0000000000000007E-2"/>
    <n v="31.223440000000004"/>
    <n v="54.641020000000005"/>
  </r>
  <r>
    <m/>
    <x v="4"/>
    <s v="[Display] Verizon Media"/>
    <s v="almap_lg_he-oled-tv-digital_awareness_alcance_verizon_ros_display_cpm_na_na_all_int_as-25-44_generico_animado_300x250_retangulo_expansivel__id-2020000638"/>
    <s v="298646930"/>
    <s v="Standard"/>
    <s v="almap_lg_he-oled-tv-digital_awareness_alcance_verizon_ros_display_cpm_na_na_all_int_as-25-44_generico_animado_300x250_retangulo_expansivel__id-2020000638"/>
    <s v="491954283"/>
    <s v="Tracking"/>
    <n v="8863539"/>
    <n v="11099"/>
    <n v="0.04"/>
    <n v="7.0000000000000007E-2"/>
    <n v="354.54156"/>
    <n v="620.44773000000009"/>
  </r>
  <r>
    <m/>
    <x v="4"/>
    <s v="[Display] Verizon Media"/>
    <s v="almap_lg_he-oled-tv-digital_awareness_alcance_verizon_ros_display_cpm_na_na_all_int_as-25-44_generico_animado_300x250_retangulo_generico__id-2020000302"/>
    <s v="297713671"/>
    <s v="Default"/>
    <s v="300x250 Default Web Ad"/>
    <s v="490592748"/>
    <s v="Display"/>
    <n v="4"/>
    <n v="0"/>
    <n v="0.04"/>
    <n v="7.0000000000000007E-2"/>
    <n v="1.6000000000000001E-4"/>
    <n v="2.8000000000000003E-4"/>
  </r>
  <r>
    <m/>
    <x v="4"/>
    <s v="[Display] Verizon Media"/>
    <s v="almap_lg_he-oled-tv-digital_awareness_alcance_verizon_ros_display_cpm_na_na_all_int_as-25-44_generico_animado_300x250_retangulo_generico__id-2020000302"/>
    <s v="297713671"/>
    <s v="Standard"/>
    <s v="almap_lg_he-oled-tv-digital_awareness_alcance_verizon_ros_display_cpm_na_na_all_int_as-25-44_generico_animado_300x250_retangulo_generico__id-2020000302"/>
    <s v="490810455"/>
    <s v="Display"/>
    <n v="6828804"/>
    <n v="6384"/>
    <n v="0.04"/>
    <n v="7.0000000000000007E-2"/>
    <n v="273.15216000000004"/>
    <n v="478.01628000000005"/>
  </r>
  <r>
    <m/>
    <x v="4"/>
    <s v="[Display] Verizon Media"/>
    <s v="almap_lg_he-oled-tv-digital_awareness_alcance_verizon_ros_display_cpm_na_na_all_int_as-25-44_generico_animado_300x600_half-banner_generico__id-2020000430"/>
    <s v="298070023"/>
    <s v="Default"/>
    <s v="300x600 Default Web Ad"/>
    <s v="490954987"/>
    <s v="Display"/>
    <n v="1"/>
    <n v="0"/>
    <n v="0.04"/>
    <n v="7.0000000000000007E-2"/>
    <n v="4.0000000000000003E-5"/>
    <n v="7.0000000000000007E-5"/>
  </r>
  <r>
    <m/>
    <x v="4"/>
    <s v="[Display] Verizon Media"/>
    <s v="almap_lg_he-oled-tv-digital_awareness_alcance_verizon_ros_display_cpm_na_na_all_int_as-25-44_generico_animado_300x600_half-banner_generico__id-2020000430"/>
    <s v="298070023"/>
    <s v="Standard"/>
    <s v="almap_lg_he-oled-tv-digital_awareness_alcance_verizon_ros_display_cpm_na_na_all_int_as-25-44_generico_animado_300x600_half-banner_generico__id-2020000430"/>
    <s v="491110327"/>
    <s v="Display"/>
    <n v="803141"/>
    <n v="1144"/>
    <n v="0.04"/>
    <n v="7.0000000000000007E-2"/>
    <n v="32.125639999999997"/>
    <n v="56.21987"/>
  </r>
  <r>
    <m/>
    <x v="4"/>
    <s v="[Display] Verizon Media"/>
    <s v="almap_lg_he-oled-tv-digital_awareness_alcance_verizon_ros_display_cpm_na_na_all_int_as-25-44_generico_animado_728x90_super-banner_generico__id-2020000434"/>
    <s v="298070020"/>
    <s v="Standard"/>
    <s v="almap_lg_he-oled-tv-digital_awareness_alcance_verizon_ros_display_cpm_na_na_all_int_as-25-44_generico_animado_728x90_super-banner_generico__id-2020000434"/>
    <s v="491110324"/>
    <s v="Display"/>
    <n v="1189924"/>
    <n v="1324"/>
    <n v="0.04"/>
    <n v="7.0000000000000007E-2"/>
    <n v="47.596959999999996"/>
    <n v="83.294680000000014"/>
  </r>
  <r>
    <m/>
    <x v="4"/>
    <s v="[Display] Verizon Media"/>
    <s v="almap_lg_he-oled-tv-digital_awareness_alcance_verizon_ros_display_cpm_na_na_all_int_as-25-44_generico_animado_970x250_billboard_generico__id-2020000436"/>
    <s v="298070017"/>
    <s v="Standard"/>
    <s v="almap_lg_he-oled-tv-digital_awareness_alcance_verizon_ros_display_cpm_na_na_all_int_as-25-44_generico_animado_970x250_billboard_generico__id-2020000436"/>
    <s v="491110321"/>
    <s v="Display"/>
    <n v="269011"/>
    <n v="162"/>
    <n v="0.04"/>
    <n v="7.0000000000000007E-2"/>
    <n v="10.760440000000001"/>
    <n v="18.830770000000001"/>
  </r>
  <r>
    <m/>
    <x v="4"/>
    <s v="[Display] Verizon Media"/>
    <s v="almap_lg_he-oled-tv-digital_awareness_alcance_verizon_ros_video_cpview_na_na_all_int_as-25-44_generico_video_1:1_video-30_generico__id-2020000382"/>
    <s v="297688724"/>
    <s v="Standard"/>
    <s v="almap_lg_he-oled-tv-digital_awareness_alcance_verizon_ros_video_cpview_na_na_all_int_as-25-44_generico_video_1:1_video-30_generico__id-2020000382"/>
    <s v="490963159"/>
    <s v="Tracking"/>
    <n v="1485409"/>
    <n v="7236"/>
    <n v="0.04"/>
    <n v="7.0000000000000007E-2"/>
    <n v="59.416359999999997"/>
    <n v="103.97863000000001"/>
  </r>
  <r>
    <m/>
    <x v="4"/>
    <s v="[Display] Verizon Media"/>
    <s v="almap_lg_he-oled-tv-digital_consideracao_trafego_verizon_ros_native_cpc_na_na_all_int_as-25-44_cinema_imagem_627x627_native_cinema__id-2020000394"/>
    <s v="297986005"/>
    <s v="Standard"/>
    <s v="almap_lg_he-oled-tv-digital_consideracao_trafego_verizon_ros_native_cpc_na_na_all_int_as-25-44_cinema_imagem_627x627_native_cinema__id-2020000394"/>
    <s v="491030833"/>
    <s v="Tracking"/>
    <n v="456793"/>
    <n v="6752"/>
    <n v="0.04"/>
    <n v="7.0000000000000007E-2"/>
    <n v="18.271720000000002"/>
    <n v="31.975510000000003"/>
  </r>
  <r>
    <m/>
    <x v="4"/>
    <s v="[Display] Verizon Media"/>
    <s v="almap_lg_he-oled-tv-digital_consideracao_trafego_verizon_ros_native_cpc_na_na_all_int_as-25-44_design_imagem_627x627_native_design__id-2020000397"/>
    <s v="297752612"/>
    <s v="Standard"/>
    <s v="almap_lg_he-oled-tv-digital_consideracao_trafego_verizon_ros_native_cpc_na_na_all_int_as-25-44_design_imagem_627x627_native_design__id-2020000397"/>
    <s v="491030881"/>
    <s v="Tracking"/>
    <n v="887352"/>
    <n v="3776"/>
    <n v="0.04"/>
    <n v="7.0000000000000007E-2"/>
    <n v="35.494080000000004"/>
    <n v="62.114640000000009"/>
  </r>
  <r>
    <m/>
    <x v="4"/>
    <s v="[Display] Verizon Media"/>
    <s v="almap_lg_he-oled-tv-digital_consideracao_trafego_verizon_ros_native_cpc_na_na_all_int_as-25-44_esportes_imagem_627x627_native_esportes__id-2020000396"/>
    <s v="297984940"/>
    <s v="Standard"/>
    <s v="almap_lg_he-oled-tv-digital_consideracao_trafego_verizon_ros_native_cpc_na_na_all_int_as-25-44_esportes_imagem_627x627_native_esportes__id-2020000396"/>
    <s v="491028001"/>
    <s v="Tracking"/>
    <n v="674240"/>
    <n v="7636"/>
    <n v="0.04"/>
    <n v="7.0000000000000007E-2"/>
    <n v="26.969600000000003"/>
    <n v="47.196800000000003"/>
  </r>
  <r>
    <m/>
    <x v="4"/>
    <s v="[Display] Verizon Media"/>
    <s v="almap_lg_he-oled-tv-digital_consideracao_trafego_verizon_ros_native_cpc_na_na_all_int_as-25-44_games_imagem_627x627_native_games__id-2020000395"/>
    <s v="297751904"/>
    <s v="Standard"/>
    <s v="almap_lg_he-oled-tv-digital_consideracao_trafego_verizon_ros_native_cpc_na_na_all_int_as-25-44_games_imagem_627x627_native_games__id-2020000395"/>
    <s v="490777037"/>
    <s v="Tracking"/>
    <n v="1382382"/>
    <n v="31369"/>
    <n v="0.04"/>
    <n v="7.0000000000000007E-2"/>
    <n v="55.295279999999998"/>
    <n v="96.76673999999999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D7809F1-ADE6-45E9-A2E9-B07599FB1A91}" name="Tabela dinâmica1" cacheId="19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rowHeaderCaption="Campanhas">
  <location ref="A3:C9" firstHeaderRow="0" firstDataRow="1" firstDataCol="1"/>
  <pivotFields count="15">
    <pivotField showAll="0"/>
    <pivotField axis="axisRow" showAll="0">
      <items count="6">
        <item x="0"/>
        <item x="1"/>
        <item x="2"/>
        <item x="3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2" showAll="0"/>
    <pivotField showAll="0"/>
    <pivotField dataField="1" numFmtId="2" showAll="0"/>
    <pivotField dataField="1" numFmtId="2" showAll="0"/>
  </pivotFields>
  <rowFields count="1">
    <field x="1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-2"/>
  </colFields>
  <colItems count="2">
    <i>
      <x/>
    </i>
    <i i="1">
      <x v="1"/>
    </i>
  </colItems>
  <dataFields count="2">
    <dataField name="Soma de Total Ferramenta" fld="13" baseField="0" baseItem="0"/>
    <dataField name="Soma de Total AdOps" fld="14" baseField="0" baseItem="0"/>
  </dataFields>
  <formats count="2">
    <format dxfId="4">
      <pivotArea grandRow="1" outline="0" collapsedLevelsAreSubtotals="1" fieldPosition="0"/>
    </format>
    <format dxfId="2">
      <pivotArea collapsedLevelsAreSubtotals="1" fieldPosition="0">
        <references count="1">
          <reference field="1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D334021-68EE-4603-9B69-AB3D87ED7B6F}" name="Tabela dinâmica1" cacheId="13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A3:C17" firstHeaderRow="0" firstDataRow="1" firstDataCol="1"/>
  <pivotFields count="14">
    <pivotField axis="axisRow" showAll="0">
      <items count="25">
        <item m="1" x="8"/>
        <item m="1" x="11"/>
        <item m="1" x="6"/>
        <item m="1" x="5"/>
        <item m="1" x="16"/>
        <item m="1" x="7"/>
        <item m="1" x="23"/>
        <item m="1" x="4"/>
        <item m="1" x="15"/>
        <item m="1" x="21"/>
        <item m="1" x="9"/>
        <item m="1" x="10"/>
        <item m="1" x="20"/>
        <item m="1" x="14"/>
        <item m="1" x="17"/>
        <item m="1" x="12"/>
        <item m="1" x="19"/>
        <item m="1" x="13"/>
        <item m="1" x="22"/>
        <item m="1" x="18"/>
        <item x="0"/>
        <item x="1"/>
        <item x="2"/>
        <item x="3"/>
        <item t="default"/>
      </items>
    </pivotField>
    <pivotField axis="axisRow" showAll="0">
      <items count="8">
        <item x="3"/>
        <item x="4"/>
        <item x="0"/>
        <item x="1"/>
        <item m="1" x="5"/>
        <item x="2"/>
        <item m="1" x="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numFmtId="2" showAll="0"/>
    <pivotField showAll="0"/>
    <pivotField dataField="1" numFmtId="2" showAll="0"/>
    <pivotField dataField="1" numFmtId="2" showAll="0"/>
  </pivotFields>
  <rowFields count="2">
    <field x="0"/>
    <field x="1"/>
  </rowFields>
  <rowItems count="14">
    <i>
      <x v="20"/>
    </i>
    <i r="1">
      <x v="2"/>
    </i>
    <i r="1">
      <x v="3"/>
    </i>
    <i r="1">
      <x v="5"/>
    </i>
    <i>
      <x v="21"/>
    </i>
    <i r="1">
      <x/>
    </i>
    <i>
      <x v="22"/>
    </i>
    <i r="1">
      <x/>
    </i>
    <i r="1">
      <x v="1"/>
    </i>
    <i r="1">
      <x v="2"/>
    </i>
    <i r="1">
      <x v="3"/>
    </i>
    <i>
      <x v="23"/>
    </i>
    <i r="1">
      <x v="2"/>
    </i>
    <i t="grand">
      <x/>
    </i>
  </rowItems>
  <colFields count="1">
    <field x="-2"/>
  </colFields>
  <colItems count="2">
    <i>
      <x/>
    </i>
    <i i="1">
      <x v="1"/>
    </i>
  </colItems>
  <dataFields count="2">
    <dataField name="Soma de Total Ferramenta" fld="12" baseField="0" baseItem="0"/>
    <dataField name="Soma de Total AdOps" fld="13" baseField="0" baseItem="0"/>
  </dataFields>
  <formats count="4">
    <format dxfId="8">
      <pivotArea outline="0" collapsedLevelsAreSubtotals="1" fieldPosition="0"/>
    </format>
    <format dxfId="7">
      <pivotArea dataOnly="0" labelOnly="1" fieldPosition="0">
        <references count="1">
          <reference field="0" count="2">
            <x v="18"/>
            <x v="19"/>
          </reference>
        </references>
      </pivotArea>
    </format>
    <format dxfId="6">
      <pivotArea collapsedLevelsAreSubtotals="1" fieldPosition="0">
        <references count="1">
          <reference field="0" count="2">
            <x v="18"/>
            <x v="19"/>
          </reference>
        </references>
      </pivotArea>
    </format>
    <format dxfId="5">
      <pivotArea dataOnly="0" labelOnly="1" fieldPosition="0">
        <references count="1">
          <reference field="0" count="2">
            <x v="18"/>
            <x v="19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3:O10562"/>
  <sheetViews>
    <sheetView showGridLines="0" tabSelected="1" workbookViewId="0"/>
  </sheetViews>
  <sheetFormatPr defaultRowHeight="15"/>
  <cols>
    <col min="1" max="1" width="2.85546875" customWidth="1"/>
    <col min="2" max="2" width="45" customWidth="1"/>
    <col min="3" max="3" width="15.85546875" customWidth="1"/>
    <col min="4" max="4" width="35.140625" customWidth="1"/>
    <col min="5" max="5" width="17.7109375" customWidth="1"/>
    <col min="6" max="6" width="13.28515625" bestFit="1" customWidth="1"/>
    <col min="7" max="7" width="14.140625" customWidth="1"/>
    <col min="8" max="8" width="17.5703125" customWidth="1"/>
    <col min="9" max="9" width="17.140625" customWidth="1"/>
    <col min="10" max="10" width="16.28515625" customWidth="1"/>
    <col min="11" max="11" width="14.28515625" bestFit="1" customWidth="1"/>
    <col min="12" max="12" width="13.85546875" customWidth="1"/>
    <col min="13" max="13" width="15.5703125" customWidth="1"/>
    <col min="14" max="14" width="13.5703125" customWidth="1"/>
    <col min="15" max="15" width="13.28515625" bestFit="1" customWidth="1"/>
    <col min="16" max="16" width="14.28515625" bestFit="1" customWidth="1"/>
  </cols>
  <sheetData>
    <row r="3" spans="1:15">
      <c r="B3" s="6" t="s">
        <v>17</v>
      </c>
      <c r="C3" s="6" t="s">
        <v>20</v>
      </c>
      <c r="D3" s="6" t="s">
        <v>18</v>
      </c>
      <c r="E3" s="6" t="s">
        <v>28</v>
      </c>
      <c r="F3" s="12" t="s">
        <v>26</v>
      </c>
      <c r="G3" s="11" t="s">
        <v>24</v>
      </c>
      <c r="H3" s="11"/>
    </row>
    <row r="4" spans="1:15">
      <c r="B4" s="7" t="s">
        <v>12</v>
      </c>
      <c r="C4" s="1">
        <v>7.0000000000000007E-2</v>
      </c>
      <c r="D4" s="1">
        <f>SUMIF(adtype_filtrada,$B4,impressoes_filtrada)</f>
        <v>209212599</v>
      </c>
      <c r="E4" s="8">
        <f>(C4*D4)/1000</f>
        <v>14644.881930000001</v>
      </c>
      <c r="F4" s="13"/>
      <c r="G4" s="10" t="s">
        <v>25</v>
      </c>
      <c r="H4" s="10" t="s">
        <v>26</v>
      </c>
    </row>
    <row r="5" spans="1:15">
      <c r="B5" s="7" t="s">
        <v>11</v>
      </c>
      <c r="C5" s="1">
        <v>7.0000000000000007E-2</v>
      </c>
      <c r="D5" s="1">
        <f>SUMIF(adtype_filtrada,$B5,impressoes_filtrada)</f>
        <v>297</v>
      </c>
      <c r="E5" s="8">
        <f>C5*D5/1000</f>
        <v>2.0790000000000003E-2</v>
      </c>
      <c r="F5" s="13"/>
      <c r="G5" s="8">
        <f>SUM(total_adops_filtrada)</f>
        <v>14892.248520000006</v>
      </c>
      <c r="H5" s="8">
        <f>SUM(total_ferramenta_filtrada)</f>
        <v>9110.5532400000011</v>
      </c>
    </row>
    <row r="6" spans="1:15">
      <c r="B6" s="7" t="s">
        <v>10</v>
      </c>
      <c r="C6" s="1">
        <v>0.04</v>
      </c>
      <c r="D6" s="1">
        <f>SUMIF(adtype_filtrada,$B6,clicks_filtrada)</f>
        <v>0</v>
      </c>
      <c r="E6" s="8">
        <f>C6*D6</f>
        <v>0</v>
      </c>
      <c r="F6" s="13"/>
    </row>
    <row r="7" spans="1:15">
      <c r="B7" s="7" t="s">
        <v>22</v>
      </c>
      <c r="C7" s="1">
        <v>0.15</v>
      </c>
      <c r="D7" s="1">
        <f>SUMIF(adtype_filtrada,$B7,impressoes_filtrada)</f>
        <v>0</v>
      </c>
      <c r="E7" s="8">
        <f>C7*D7/1000</f>
        <v>0</v>
      </c>
      <c r="F7" s="13"/>
    </row>
    <row r="8" spans="1:15">
      <c r="B8" s="7" t="s">
        <v>688</v>
      </c>
      <c r="C8" s="20">
        <v>0.2</v>
      </c>
      <c r="D8" s="1">
        <f>SUMIF(adtype_filtrada,$B8,impressoes_filtrada)</f>
        <v>1236729</v>
      </c>
      <c r="E8" s="8">
        <f>(C8*D8)/1000</f>
        <v>247.34580000000003</v>
      </c>
      <c r="F8" s="13"/>
    </row>
    <row r="9" spans="1:15">
      <c r="B9" s="6" t="s">
        <v>19</v>
      </c>
      <c r="C9" s="6"/>
      <c r="D9" s="6"/>
      <c r="E9" s="18">
        <f>SUM(E4:E8)</f>
        <v>14892.248520000001</v>
      </c>
      <c r="F9" s="14"/>
    </row>
    <row r="13" spans="1:15" ht="30">
      <c r="A13" s="9" t="s">
        <v>21</v>
      </c>
      <c r="B13" s="4" t="s">
        <v>0</v>
      </c>
      <c r="C13" s="4" t="s">
        <v>1</v>
      </c>
      <c r="D13" s="4" t="s">
        <v>2</v>
      </c>
      <c r="E13" s="4" t="s">
        <v>3</v>
      </c>
      <c r="F13" s="4" t="s">
        <v>4</v>
      </c>
      <c r="G13" s="4" t="s">
        <v>5</v>
      </c>
      <c r="H13" s="4" t="s">
        <v>6</v>
      </c>
      <c r="I13" s="4" t="s">
        <v>7</v>
      </c>
      <c r="J13" s="4" t="s">
        <v>8</v>
      </c>
      <c r="K13" s="4" t="s">
        <v>9</v>
      </c>
      <c r="L13" s="5" t="s">
        <v>13</v>
      </c>
      <c r="M13" s="5" t="s">
        <v>14</v>
      </c>
      <c r="N13" s="5" t="s">
        <v>15</v>
      </c>
      <c r="O13" s="5" t="s">
        <v>16</v>
      </c>
    </row>
    <row r="14" spans="1:15">
      <c r="B14" s="23" t="s">
        <v>699</v>
      </c>
      <c r="C14" s="23" t="s">
        <v>75</v>
      </c>
      <c r="D14" s="23" t="s">
        <v>76</v>
      </c>
      <c r="E14" t="s">
        <v>77</v>
      </c>
      <c r="F14" t="s">
        <v>12</v>
      </c>
      <c r="G14" t="s">
        <v>76</v>
      </c>
      <c r="H14" t="s">
        <v>78</v>
      </c>
      <c r="I14" t="s">
        <v>23</v>
      </c>
      <c r="J14">
        <v>1882382</v>
      </c>
      <c r="K14">
        <v>26689</v>
      </c>
      <c r="L14" s="2">
        <v>0.04</v>
      </c>
      <c r="M14">
        <v>7.0000000000000007E-2</v>
      </c>
      <c r="N14" s="2">
        <f>(J14*L14)/1000</f>
        <v>75.295280000000005</v>
      </c>
      <c r="O14" s="2">
        <f>(J14*M14)/1000</f>
        <v>131.76674000000003</v>
      </c>
    </row>
    <row r="15" spans="1:15">
      <c r="B15" s="23" t="s">
        <v>699</v>
      </c>
      <c r="C15" s="23" t="s">
        <v>75</v>
      </c>
      <c r="D15" s="23" t="s">
        <v>79</v>
      </c>
      <c r="E15" t="s">
        <v>80</v>
      </c>
      <c r="F15" t="s">
        <v>12</v>
      </c>
      <c r="G15" t="s">
        <v>79</v>
      </c>
      <c r="H15" t="s">
        <v>81</v>
      </c>
      <c r="I15" t="s">
        <v>23</v>
      </c>
      <c r="J15">
        <v>790602</v>
      </c>
      <c r="K15">
        <v>6808</v>
      </c>
      <c r="L15" s="2">
        <v>0.04</v>
      </c>
      <c r="M15">
        <v>7.0000000000000007E-2</v>
      </c>
      <c r="N15" s="2">
        <f>(J15*L15)/1000</f>
        <v>31.624080000000003</v>
      </c>
      <c r="O15" s="2">
        <f>(J15*M15)/1000</f>
        <v>55.342140000000008</v>
      </c>
    </row>
    <row r="16" spans="1:15">
      <c r="B16" s="23" t="s">
        <v>699</v>
      </c>
      <c r="C16" s="23" t="s">
        <v>75</v>
      </c>
      <c r="D16" s="23" t="s">
        <v>82</v>
      </c>
      <c r="E16" t="s">
        <v>83</v>
      </c>
      <c r="F16" t="s">
        <v>12</v>
      </c>
      <c r="G16" t="s">
        <v>82</v>
      </c>
      <c r="H16" t="s">
        <v>84</v>
      </c>
      <c r="I16" t="s">
        <v>23</v>
      </c>
      <c r="J16">
        <v>38053</v>
      </c>
      <c r="K16">
        <v>242</v>
      </c>
      <c r="L16" s="2">
        <v>0.04</v>
      </c>
      <c r="M16">
        <v>7.0000000000000007E-2</v>
      </c>
      <c r="N16" s="2">
        <f>(J16*L16)/1000</f>
        <v>1.5221200000000001</v>
      </c>
      <c r="O16" s="2">
        <f>(J16*M16)/1000</f>
        <v>2.66371</v>
      </c>
    </row>
    <row r="17" spans="2:15">
      <c r="B17" s="23" t="s">
        <v>699</v>
      </c>
      <c r="C17" s="23" t="s">
        <v>480</v>
      </c>
      <c r="D17" s="23" t="s">
        <v>481</v>
      </c>
      <c r="E17" t="s">
        <v>482</v>
      </c>
      <c r="F17" t="s">
        <v>12</v>
      </c>
      <c r="G17" t="s">
        <v>481</v>
      </c>
      <c r="H17" t="s">
        <v>483</v>
      </c>
      <c r="I17" t="s">
        <v>23</v>
      </c>
      <c r="J17">
        <v>84726</v>
      </c>
      <c r="K17">
        <v>50</v>
      </c>
      <c r="L17" s="2">
        <v>0.04</v>
      </c>
      <c r="M17">
        <v>7.0000000000000007E-2</v>
      </c>
      <c r="N17" s="2">
        <f>(J17*L17)/1000</f>
        <v>3.3890400000000001</v>
      </c>
      <c r="O17" s="2">
        <f>(J17*M17)/1000</f>
        <v>5.9308200000000006</v>
      </c>
    </row>
    <row r="18" spans="2:15">
      <c r="B18" s="23" t="s">
        <v>699</v>
      </c>
      <c r="C18" s="23" t="s">
        <v>480</v>
      </c>
      <c r="D18" s="23" t="s">
        <v>484</v>
      </c>
      <c r="E18" t="s">
        <v>485</v>
      </c>
      <c r="F18" t="s">
        <v>12</v>
      </c>
      <c r="G18" t="s">
        <v>484</v>
      </c>
      <c r="H18" t="s">
        <v>486</v>
      </c>
      <c r="I18" t="s">
        <v>23</v>
      </c>
      <c r="J18">
        <v>86121</v>
      </c>
      <c r="K18">
        <v>51</v>
      </c>
      <c r="L18" s="2">
        <v>0.04</v>
      </c>
      <c r="M18">
        <v>7.0000000000000007E-2</v>
      </c>
      <c r="N18" s="2">
        <f>(J18*L18)/1000</f>
        <v>3.4448400000000001</v>
      </c>
      <c r="O18" s="2">
        <f>(J18*M18)/1000</f>
        <v>6.0284700000000004</v>
      </c>
    </row>
    <row r="19" spans="2:15">
      <c r="B19" s="23" t="s">
        <v>699</v>
      </c>
      <c r="C19" s="23" t="s">
        <v>480</v>
      </c>
      <c r="D19" s="23" t="s">
        <v>487</v>
      </c>
      <c r="E19" t="s">
        <v>488</v>
      </c>
      <c r="F19" t="s">
        <v>12</v>
      </c>
      <c r="G19" t="s">
        <v>487</v>
      </c>
      <c r="H19" t="s">
        <v>489</v>
      </c>
      <c r="I19" t="s">
        <v>23</v>
      </c>
      <c r="J19">
        <v>43218</v>
      </c>
      <c r="K19">
        <v>31</v>
      </c>
      <c r="L19" s="2">
        <v>0.04</v>
      </c>
      <c r="M19">
        <v>7.0000000000000007E-2</v>
      </c>
      <c r="N19" s="2">
        <f>(J19*L19)/1000</f>
        <v>1.72872</v>
      </c>
      <c r="O19" s="2">
        <f>(J19*M19)/1000</f>
        <v>3.0252600000000003</v>
      </c>
    </row>
    <row r="20" spans="2:15">
      <c r="B20" s="23" t="s">
        <v>699</v>
      </c>
      <c r="C20" s="23" t="s">
        <v>480</v>
      </c>
      <c r="D20" s="23" t="s">
        <v>490</v>
      </c>
      <c r="E20" t="s">
        <v>491</v>
      </c>
      <c r="F20" t="s">
        <v>12</v>
      </c>
      <c r="G20" t="s">
        <v>490</v>
      </c>
      <c r="H20" t="s">
        <v>492</v>
      </c>
      <c r="I20" t="s">
        <v>23</v>
      </c>
      <c r="J20">
        <v>289691</v>
      </c>
      <c r="K20">
        <v>201</v>
      </c>
      <c r="L20" s="2">
        <v>0.04</v>
      </c>
      <c r="M20">
        <v>7.0000000000000007E-2</v>
      </c>
      <c r="N20" s="2">
        <f>(J20*L20)/1000</f>
        <v>11.587639999999999</v>
      </c>
      <c r="O20" s="2">
        <f>(J20*M20)/1000</f>
        <v>20.278370000000002</v>
      </c>
    </row>
    <row r="21" spans="2:15">
      <c r="B21" s="23" t="s">
        <v>699</v>
      </c>
      <c r="C21" s="23" t="s">
        <v>480</v>
      </c>
      <c r="D21" s="23" t="s">
        <v>493</v>
      </c>
      <c r="E21" t="s">
        <v>494</v>
      </c>
      <c r="F21" t="s">
        <v>12</v>
      </c>
      <c r="G21" t="s">
        <v>493</v>
      </c>
      <c r="H21" t="s">
        <v>495</v>
      </c>
      <c r="I21" t="s">
        <v>23</v>
      </c>
      <c r="J21">
        <v>25141</v>
      </c>
      <c r="K21">
        <v>16</v>
      </c>
      <c r="L21" s="2">
        <v>0.04</v>
      </c>
      <c r="M21">
        <v>7.0000000000000007E-2</v>
      </c>
      <c r="N21" s="2">
        <f>(J21*L21)/1000</f>
        <v>1.0056400000000001</v>
      </c>
      <c r="O21" s="2">
        <f>(J21*M21)/1000</f>
        <v>1.75987</v>
      </c>
    </row>
    <row r="22" spans="2:15">
      <c r="B22" s="23" t="s">
        <v>699</v>
      </c>
      <c r="C22" s="23" t="s">
        <v>480</v>
      </c>
      <c r="D22" s="23" t="s">
        <v>496</v>
      </c>
      <c r="E22" t="s">
        <v>497</v>
      </c>
      <c r="F22" t="s">
        <v>12</v>
      </c>
      <c r="G22" t="s">
        <v>496</v>
      </c>
      <c r="H22" t="s">
        <v>498</v>
      </c>
      <c r="I22" t="s">
        <v>23</v>
      </c>
      <c r="J22">
        <v>43065</v>
      </c>
      <c r="K22">
        <v>29</v>
      </c>
      <c r="L22" s="2">
        <v>0.04</v>
      </c>
      <c r="M22">
        <v>7.0000000000000007E-2</v>
      </c>
      <c r="N22" s="2">
        <f>(J22*L22)/1000</f>
        <v>1.7226000000000001</v>
      </c>
      <c r="O22" s="2">
        <f>(J22*M22)/1000</f>
        <v>3.0145500000000003</v>
      </c>
    </row>
    <row r="23" spans="2:15">
      <c r="B23" s="23" t="s">
        <v>699</v>
      </c>
      <c r="C23" t="s">
        <v>480</v>
      </c>
      <c r="D23" t="s">
        <v>499</v>
      </c>
      <c r="E23" t="s">
        <v>500</v>
      </c>
      <c r="F23" t="s">
        <v>12</v>
      </c>
      <c r="G23" t="s">
        <v>499</v>
      </c>
      <c r="H23" t="s">
        <v>501</v>
      </c>
      <c r="I23" t="s">
        <v>23</v>
      </c>
      <c r="J23">
        <v>18547</v>
      </c>
      <c r="K23">
        <v>24</v>
      </c>
      <c r="L23" s="2">
        <v>0.04</v>
      </c>
      <c r="M23">
        <v>7.0000000000000007E-2</v>
      </c>
      <c r="N23" s="2">
        <f>(J23*L23)/1000</f>
        <v>0.74187999999999998</v>
      </c>
      <c r="O23" s="2">
        <f>(J23*M23)/1000</f>
        <v>1.2982900000000002</v>
      </c>
    </row>
    <row r="24" spans="2:15">
      <c r="B24" s="23" t="s">
        <v>699</v>
      </c>
      <c r="C24" t="s">
        <v>480</v>
      </c>
      <c r="D24" t="s">
        <v>502</v>
      </c>
      <c r="E24" t="s">
        <v>503</v>
      </c>
      <c r="F24" t="s">
        <v>12</v>
      </c>
      <c r="G24" t="s">
        <v>502</v>
      </c>
      <c r="H24" t="s">
        <v>504</v>
      </c>
      <c r="I24" t="s">
        <v>23</v>
      </c>
      <c r="J24">
        <v>27502</v>
      </c>
      <c r="K24">
        <v>41</v>
      </c>
      <c r="L24" s="2">
        <v>0.04</v>
      </c>
      <c r="M24">
        <v>7.0000000000000007E-2</v>
      </c>
      <c r="N24" s="2">
        <f>(J24*L24)/1000</f>
        <v>1.1000799999999999</v>
      </c>
      <c r="O24" s="2">
        <f>(J24*M24)/1000</f>
        <v>1.9251400000000001</v>
      </c>
    </row>
    <row r="25" spans="2:15">
      <c r="B25" s="23" t="s">
        <v>699</v>
      </c>
      <c r="C25" t="s">
        <v>480</v>
      </c>
      <c r="D25" t="s">
        <v>505</v>
      </c>
      <c r="E25" t="s">
        <v>506</v>
      </c>
      <c r="F25" t="s">
        <v>12</v>
      </c>
      <c r="G25" t="s">
        <v>505</v>
      </c>
      <c r="H25" t="s">
        <v>507</v>
      </c>
      <c r="I25" t="s">
        <v>23</v>
      </c>
      <c r="J25">
        <v>75299</v>
      </c>
      <c r="K25">
        <v>120</v>
      </c>
      <c r="L25" s="2">
        <v>0.04</v>
      </c>
      <c r="M25">
        <v>7.0000000000000007E-2</v>
      </c>
      <c r="N25" s="2">
        <f>(J25*L25)/1000</f>
        <v>3.0119600000000002</v>
      </c>
      <c r="O25" s="2">
        <f>(J25*M25)/1000</f>
        <v>5.2709299999999999</v>
      </c>
    </row>
    <row r="26" spans="2:15">
      <c r="B26" s="23" t="s">
        <v>699</v>
      </c>
      <c r="C26" t="s">
        <v>480</v>
      </c>
      <c r="D26" t="s">
        <v>508</v>
      </c>
      <c r="E26" t="s">
        <v>509</v>
      </c>
      <c r="F26" t="s">
        <v>12</v>
      </c>
      <c r="G26" t="s">
        <v>508</v>
      </c>
      <c r="H26" t="s">
        <v>510</v>
      </c>
      <c r="I26" t="s">
        <v>23</v>
      </c>
      <c r="J26">
        <v>20786</v>
      </c>
      <c r="K26">
        <v>30</v>
      </c>
      <c r="L26" s="2">
        <v>0.04</v>
      </c>
      <c r="M26">
        <v>7.0000000000000007E-2</v>
      </c>
      <c r="N26" s="2">
        <f>(J26*L26)/1000</f>
        <v>0.83144000000000007</v>
      </c>
      <c r="O26" s="2">
        <f>(J26*M26)/1000</f>
        <v>1.4550200000000002</v>
      </c>
    </row>
    <row r="27" spans="2:15">
      <c r="B27" s="23" t="s">
        <v>699</v>
      </c>
      <c r="C27" t="s">
        <v>480</v>
      </c>
      <c r="D27" t="s">
        <v>511</v>
      </c>
      <c r="E27" t="s">
        <v>512</v>
      </c>
      <c r="F27" t="s">
        <v>12</v>
      </c>
      <c r="G27" t="s">
        <v>511</v>
      </c>
      <c r="H27" t="s">
        <v>513</v>
      </c>
      <c r="I27" t="s">
        <v>23</v>
      </c>
      <c r="J27">
        <v>8383</v>
      </c>
      <c r="K27">
        <v>2</v>
      </c>
      <c r="L27" s="2">
        <v>0.04</v>
      </c>
      <c r="M27">
        <v>7.0000000000000007E-2</v>
      </c>
      <c r="N27" s="2">
        <f>(J27*L27)/1000</f>
        <v>0.33532000000000001</v>
      </c>
      <c r="O27" s="2">
        <f>(J27*M27)/1000</f>
        <v>0.58681000000000005</v>
      </c>
    </row>
    <row r="28" spans="2:15">
      <c r="B28" s="23" t="s">
        <v>699</v>
      </c>
      <c r="C28" t="s">
        <v>480</v>
      </c>
      <c r="D28" t="s">
        <v>514</v>
      </c>
      <c r="E28" t="s">
        <v>515</v>
      </c>
      <c r="F28" t="s">
        <v>12</v>
      </c>
      <c r="G28" t="s">
        <v>514</v>
      </c>
      <c r="H28" t="s">
        <v>516</v>
      </c>
      <c r="I28" t="s">
        <v>23</v>
      </c>
      <c r="J28">
        <v>20</v>
      </c>
      <c r="K28">
        <v>10</v>
      </c>
      <c r="L28" s="2">
        <v>0.04</v>
      </c>
      <c r="M28">
        <v>7.0000000000000007E-2</v>
      </c>
      <c r="N28" s="2">
        <f>(J28*L28)/1000</f>
        <v>8.0000000000000004E-4</v>
      </c>
      <c r="O28" s="2">
        <f>(J28*M28)/1000</f>
        <v>1.4000000000000002E-3</v>
      </c>
    </row>
    <row r="29" spans="2:15">
      <c r="B29" s="23" t="s">
        <v>699</v>
      </c>
      <c r="C29" t="s">
        <v>480</v>
      </c>
      <c r="D29" t="s">
        <v>517</v>
      </c>
      <c r="E29" t="s">
        <v>518</v>
      </c>
      <c r="F29" t="s">
        <v>12</v>
      </c>
      <c r="G29" t="s">
        <v>517</v>
      </c>
      <c r="H29" t="s">
        <v>519</v>
      </c>
      <c r="I29" t="s">
        <v>23</v>
      </c>
      <c r="J29">
        <v>69252</v>
      </c>
      <c r="K29">
        <v>112</v>
      </c>
      <c r="L29" s="2">
        <v>0.04</v>
      </c>
      <c r="M29">
        <v>7.0000000000000007E-2</v>
      </c>
      <c r="N29" s="2">
        <f>(J29*L29)/1000</f>
        <v>2.7700800000000001</v>
      </c>
      <c r="O29" s="2">
        <f>(J29*M29)/1000</f>
        <v>4.8476400000000002</v>
      </c>
    </row>
    <row r="30" spans="2:15">
      <c r="B30" s="23" t="s">
        <v>699</v>
      </c>
      <c r="C30" t="s">
        <v>480</v>
      </c>
      <c r="D30" t="s">
        <v>520</v>
      </c>
      <c r="E30" t="s">
        <v>521</v>
      </c>
      <c r="F30" t="s">
        <v>12</v>
      </c>
      <c r="G30" t="s">
        <v>520</v>
      </c>
      <c r="H30" t="s">
        <v>522</v>
      </c>
      <c r="I30" t="s">
        <v>23</v>
      </c>
      <c r="J30">
        <v>69698</v>
      </c>
      <c r="K30">
        <v>90</v>
      </c>
      <c r="L30" s="2">
        <v>0.04</v>
      </c>
      <c r="M30">
        <v>7.0000000000000007E-2</v>
      </c>
      <c r="N30" s="2">
        <f>(J30*L30)/1000</f>
        <v>2.7879200000000002</v>
      </c>
      <c r="O30" s="2">
        <f>(J30*M30)/1000</f>
        <v>4.8788600000000004</v>
      </c>
    </row>
    <row r="31" spans="2:15">
      <c r="B31" s="24" t="s">
        <v>702</v>
      </c>
      <c r="C31" s="23" t="s">
        <v>691</v>
      </c>
      <c r="D31" s="23" t="s">
        <v>692</v>
      </c>
      <c r="E31" t="s">
        <v>693</v>
      </c>
      <c r="F31" t="s">
        <v>12</v>
      </c>
      <c r="G31" t="s">
        <v>692</v>
      </c>
      <c r="H31" t="s">
        <v>694</v>
      </c>
      <c r="I31" t="s">
        <v>27</v>
      </c>
      <c r="J31">
        <v>1069317</v>
      </c>
      <c r="K31">
        <v>166</v>
      </c>
      <c r="L31" s="2">
        <v>0.04</v>
      </c>
      <c r="M31">
        <v>7.0000000000000007E-2</v>
      </c>
      <c r="N31" s="2">
        <f>(J31*L31)/1000</f>
        <v>42.772680000000001</v>
      </c>
      <c r="O31" s="2">
        <f>(J31*M31)/1000</f>
        <v>74.852190000000007</v>
      </c>
    </row>
    <row r="32" spans="2:15">
      <c r="B32" s="24" t="s">
        <v>702</v>
      </c>
      <c r="C32" s="23" t="s">
        <v>691</v>
      </c>
      <c r="D32" s="23" t="s">
        <v>695</v>
      </c>
      <c r="E32" t="s">
        <v>696</v>
      </c>
      <c r="F32" t="s">
        <v>12</v>
      </c>
      <c r="G32" t="s">
        <v>695</v>
      </c>
      <c r="H32" t="s">
        <v>697</v>
      </c>
      <c r="I32" t="s">
        <v>27</v>
      </c>
      <c r="J32">
        <v>680351</v>
      </c>
      <c r="K32">
        <v>286</v>
      </c>
      <c r="L32" s="2">
        <v>0.04</v>
      </c>
      <c r="M32">
        <v>7.0000000000000007E-2</v>
      </c>
      <c r="N32" s="2">
        <f>(J32*L32)/1000</f>
        <v>27.214040000000001</v>
      </c>
      <c r="O32" s="2">
        <f>(J32*M32)/1000</f>
        <v>47.624570000000006</v>
      </c>
    </row>
    <row r="33" spans="2:15">
      <c r="B33" s="23" t="s">
        <v>698</v>
      </c>
      <c r="C33" s="23" t="s">
        <v>39</v>
      </c>
      <c r="D33" s="23" t="s">
        <v>40</v>
      </c>
      <c r="E33" t="s">
        <v>41</v>
      </c>
      <c r="F33" t="s">
        <v>12</v>
      </c>
      <c r="G33" t="s">
        <v>40</v>
      </c>
      <c r="H33" t="s">
        <v>42</v>
      </c>
      <c r="I33" t="s">
        <v>23</v>
      </c>
      <c r="J33">
        <v>35474</v>
      </c>
      <c r="K33">
        <v>376</v>
      </c>
      <c r="L33" s="2">
        <v>0.04</v>
      </c>
      <c r="M33">
        <v>7.0000000000000007E-2</v>
      </c>
      <c r="N33" s="2">
        <f>(J33*L33)/1000</f>
        <v>1.41896</v>
      </c>
      <c r="O33" s="2">
        <f>(J33*M33)/1000</f>
        <v>2.4831800000000004</v>
      </c>
    </row>
    <row r="34" spans="2:15">
      <c r="B34" s="23" t="s">
        <v>698</v>
      </c>
      <c r="C34" s="23" t="s">
        <v>39</v>
      </c>
      <c r="D34" s="23" t="s">
        <v>43</v>
      </c>
      <c r="E34" t="s">
        <v>44</v>
      </c>
      <c r="F34" t="s">
        <v>12</v>
      </c>
      <c r="G34" t="s">
        <v>43</v>
      </c>
      <c r="H34" t="s">
        <v>45</v>
      </c>
      <c r="I34" t="s">
        <v>27</v>
      </c>
      <c r="J34">
        <v>164252</v>
      </c>
      <c r="K34">
        <v>1797</v>
      </c>
      <c r="L34" s="2">
        <v>0.04</v>
      </c>
      <c r="M34">
        <v>7.0000000000000007E-2</v>
      </c>
      <c r="N34" s="2">
        <f>(J34*L34)/1000</f>
        <v>6.5700799999999999</v>
      </c>
      <c r="O34" s="2">
        <f>(J34*M34)/1000</f>
        <v>11.497640000000001</v>
      </c>
    </row>
    <row r="35" spans="2:15">
      <c r="B35" s="23" t="s">
        <v>698</v>
      </c>
      <c r="C35" s="23" t="s">
        <v>39</v>
      </c>
      <c r="D35" s="23" t="s">
        <v>46</v>
      </c>
      <c r="E35" t="s">
        <v>47</v>
      </c>
      <c r="F35" t="s">
        <v>12</v>
      </c>
      <c r="G35" t="s">
        <v>46</v>
      </c>
      <c r="H35" t="s">
        <v>48</v>
      </c>
      <c r="I35" t="s">
        <v>27</v>
      </c>
      <c r="J35">
        <v>39879</v>
      </c>
      <c r="K35">
        <v>1178</v>
      </c>
      <c r="L35" s="2">
        <v>0.04</v>
      </c>
      <c r="M35">
        <v>7.0000000000000007E-2</v>
      </c>
      <c r="N35" s="2">
        <f>(J35*L35)/1000</f>
        <v>1.5951600000000001</v>
      </c>
      <c r="O35" s="2">
        <f>(J35*M35)/1000</f>
        <v>2.7915300000000003</v>
      </c>
    </row>
    <row r="36" spans="2:15">
      <c r="B36" s="23" t="s">
        <v>698</v>
      </c>
      <c r="C36" s="23" t="s">
        <v>39</v>
      </c>
      <c r="D36" s="23" t="s">
        <v>49</v>
      </c>
      <c r="E36" t="s">
        <v>50</v>
      </c>
      <c r="F36" t="s">
        <v>12</v>
      </c>
      <c r="G36" t="s">
        <v>49</v>
      </c>
      <c r="H36" t="s">
        <v>51</v>
      </c>
      <c r="I36" t="s">
        <v>27</v>
      </c>
      <c r="J36">
        <v>212854</v>
      </c>
      <c r="K36">
        <v>897</v>
      </c>
      <c r="L36" s="2">
        <v>0.04</v>
      </c>
      <c r="M36">
        <v>7.0000000000000007E-2</v>
      </c>
      <c r="N36" s="2">
        <f>(J36*L36)/1000</f>
        <v>8.5141600000000004</v>
      </c>
      <c r="O36" s="2">
        <f>(J36*M36)/1000</f>
        <v>14.89978</v>
      </c>
    </row>
    <row r="37" spans="2:15">
      <c r="B37" s="23" t="s">
        <v>698</v>
      </c>
      <c r="C37" s="23" t="s">
        <v>39</v>
      </c>
      <c r="D37" s="23" t="s">
        <v>52</v>
      </c>
      <c r="E37" t="s">
        <v>53</v>
      </c>
      <c r="F37" t="s">
        <v>12</v>
      </c>
      <c r="G37" t="s">
        <v>52</v>
      </c>
      <c r="H37" t="s">
        <v>54</v>
      </c>
      <c r="I37" t="s">
        <v>27</v>
      </c>
      <c r="J37">
        <v>39981</v>
      </c>
      <c r="K37">
        <v>317</v>
      </c>
      <c r="L37" s="2">
        <v>0.04</v>
      </c>
      <c r="M37">
        <v>7.0000000000000007E-2</v>
      </c>
      <c r="N37" s="2">
        <f>(J37*L37)/1000</f>
        <v>1.59924</v>
      </c>
      <c r="O37" s="2">
        <f>(J37*M37)/1000</f>
        <v>2.79867</v>
      </c>
    </row>
    <row r="38" spans="2:15">
      <c r="B38" s="23" t="s">
        <v>698</v>
      </c>
      <c r="C38" s="23" t="s">
        <v>55</v>
      </c>
      <c r="D38" s="23" t="s">
        <v>56</v>
      </c>
      <c r="E38" t="s">
        <v>57</v>
      </c>
      <c r="F38" t="s">
        <v>12</v>
      </c>
      <c r="G38" t="s">
        <v>56</v>
      </c>
      <c r="H38" t="s">
        <v>58</v>
      </c>
      <c r="I38" t="s">
        <v>27</v>
      </c>
      <c r="J38">
        <v>27110354</v>
      </c>
      <c r="K38">
        <v>20649</v>
      </c>
      <c r="L38" s="2">
        <v>0.04</v>
      </c>
      <c r="M38">
        <v>7.0000000000000007E-2</v>
      </c>
      <c r="N38" s="2">
        <f>(J38*L38)/1000</f>
        <v>1084.4141599999998</v>
      </c>
      <c r="O38" s="2">
        <f>(J38*M38)/1000</f>
        <v>1897.7247800000002</v>
      </c>
    </row>
    <row r="39" spans="2:15">
      <c r="B39" s="23" t="s">
        <v>698</v>
      </c>
      <c r="C39" s="23" t="s">
        <v>55</v>
      </c>
      <c r="D39" s="23" t="s">
        <v>59</v>
      </c>
      <c r="E39" t="s">
        <v>60</v>
      </c>
      <c r="F39" t="s">
        <v>12</v>
      </c>
      <c r="G39" t="s">
        <v>59</v>
      </c>
      <c r="H39" t="s">
        <v>61</v>
      </c>
      <c r="I39" t="s">
        <v>27</v>
      </c>
      <c r="J39">
        <v>2917411</v>
      </c>
      <c r="K39">
        <v>1993</v>
      </c>
      <c r="L39" s="2">
        <v>0.04</v>
      </c>
      <c r="M39">
        <v>7.0000000000000007E-2</v>
      </c>
      <c r="N39" s="2">
        <f>(J39*L39)/1000</f>
        <v>116.69644</v>
      </c>
      <c r="O39" s="2">
        <f>(J39*M39)/1000</f>
        <v>204.21877000000001</v>
      </c>
    </row>
    <row r="40" spans="2:15">
      <c r="B40" s="23" t="s">
        <v>698</v>
      </c>
      <c r="C40" s="23" t="s">
        <v>55</v>
      </c>
      <c r="D40" s="23" t="s">
        <v>62</v>
      </c>
      <c r="E40" t="s">
        <v>63</v>
      </c>
      <c r="F40" t="s">
        <v>12</v>
      </c>
      <c r="G40" t="s">
        <v>62</v>
      </c>
      <c r="H40" t="s">
        <v>64</v>
      </c>
      <c r="I40" t="s">
        <v>27</v>
      </c>
      <c r="J40">
        <v>17258065</v>
      </c>
      <c r="K40">
        <v>5991</v>
      </c>
      <c r="L40" s="2">
        <v>0.04</v>
      </c>
      <c r="M40">
        <v>7.0000000000000007E-2</v>
      </c>
      <c r="N40" s="2">
        <f>(J40*L40)/1000</f>
        <v>690.32259999999997</v>
      </c>
      <c r="O40" s="2">
        <f>(J40*M40)/1000</f>
        <v>1208.0645500000001</v>
      </c>
    </row>
    <row r="41" spans="2:15">
      <c r="B41" s="23" t="s">
        <v>698</v>
      </c>
      <c r="C41" s="23" t="s">
        <v>55</v>
      </c>
      <c r="D41" s="23" t="s">
        <v>65</v>
      </c>
      <c r="E41" t="s">
        <v>66</v>
      </c>
      <c r="F41" t="s">
        <v>12</v>
      </c>
      <c r="G41" t="s">
        <v>65</v>
      </c>
      <c r="H41" t="s">
        <v>67</v>
      </c>
      <c r="I41" t="s">
        <v>27</v>
      </c>
      <c r="J41">
        <v>2324249</v>
      </c>
      <c r="K41">
        <v>1441</v>
      </c>
      <c r="L41" s="2">
        <v>0.04</v>
      </c>
      <c r="M41">
        <v>7.0000000000000007E-2</v>
      </c>
      <c r="N41" s="2">
        <f>(J41*L41)/1000</f>
        <v>92.96996</v>
      </c>
      <c r="O41" s="2">
        <f>(J41*M41)/1000</f>
        <v>162.69743000000003</v>
      </c>
    </row>
    <row r="42" spans="2:15">
      <c r="B42" s="23" t="s">
        <v>698</v>
      </c>
      <c r="C42" s="23" t="s">
        <v>68</v>
      </c>
      <c r="D42" s="23" t="s">
        <v>69</v>
      </c>
      <c r="E42" t="s">
        <v>70</v>
      </c>
      <c r="F42" t="s">
        <v>12</v>
      </c>
      <c r="G42" t="s">
        <v>69</v>
      </c>
      <c r="H42" t="s">
        <v>71</v>
      </c>
      <c r="I42" t="s">
        <v>23</v>
      </c>
      <c r="J42">
        <v>210344</v>
      </c>
      <c r="K42">
        <v>2635</v>
      </c>
      <c r="L42" s="2">
        <v>0.04</v>
      </c>
      <c r="M42">
        <v>7.0000000000000007E-2</v>
      </c>
      <c r="N42" s="2">
        <f>(J42*L42)/1000</f>
        <v>8.4137599999999999</v>
      </c>
      <c r="O42" s="2">
        <f>(J42*M42)/1000</f>
        <v>14.724080000000002</v>
      </c>
    </row>
    <row r="43" spans="2:15">
      <c r="B43" s="23" t="s">
        <v>698</v>
      </c>
      <c r="C43" s="23" t="s">
        <v>68</v>
      </c>
      <c r="D43" s="23" t="s">
        <v>72</v>
      </c>
      <c r="E43" t="s">
        <v>73</v>
      </c>
      <c r="F43" t="s">
        <v>12</v>
      </c>
      <c r="G43" t="s">
        <v>72</v>
      </c>
      <c r="H43" t="s">
        <v>74</v>
      </c>
      <c r="I43" t="s">
        <v>23</v>
      </c>
      <c r="J43">
        <v>350753</v>
      </c>
      <c r="K43">
        <v>1684</v>
      </c>
      <c r="L43" s="2">
        <v>0.04</v>
      </c>
      <c r="M43">
        <v>7.0000000000000007E-2</v>
      </c>
      <c r="N43" s="2">
        <f>(J43*L43)/1000</f>
        <v>14.03012</v>
      </c>
      <c r="O43" s="2">
        <f>(J43*M43)/1000</f>
        <v>24.552710000000001</v>
      </c>
    </row>
    <row r="44" spans="2:15">
      <c r="B44" s="23" t="s">
        <v>700</v>
      </c>
      <c r="C44" s="23" t="s">
        <v>75</v>
      </c>
      <c r="D44" s="23" t="s">
        <v>85</v>
      </c>
      <c r="E44" t="s">
        <v>86</v>
      </c>
      <c r="F44" t="s">
        <v>12</v>
      </c>
      <c r="G44" t="s">
        <v>85</v>
      </c>
      <c r="H44" t="s">
        <v>87</v>
      </c>
      <c r="I44" t="s">
        <v>27</v>
      </c>
      <c r="J44">
        <v>70817</v>
      </c>
      <c r="K44">
        <v>61</v>
      </c>
      <c r="L44" s="2">
        <v>0.04</v>
      </c>
      <c r="M44">
        <v>7.0000000000000007E-2</v>
      </c>
      <c r="N44" s="2">
        <f>(J44*L44)/1000</f>
        <v>2.8326799999999999</v>
      </c>
      <c r="O44" s="2">
        <f>(J44*M44)/1000</f>
        <v>4.9571900000000007</v>
      </c>
    </row>
    <row r="45" spans="2:15">
      <c r="B45" s="23" t="s">
        <v>700</v>
      </c>
      <c r="C45" s="23" t="s">
        <v>75</v>
      </c>
      <c r="D45" s="23" t="s">
        <v>88</v>
      </c>
      <c r="E45" t="s">
        <v>89</v>
      </c>
      <c r="F45" t="s">
        <v>12</v>
      </c>
      <c r="G45" t="s">
        <v>88</v>
      </c>
      <c r="H45" t="s">
        <v>90</v>
      </c>
      <c r="I45" t="s">
        <v>27</v>
      </c>
      <c r="J45">
        <v>22563</v>
      </c>
      <c r="K45">
        <v>23</v>
      </c>
      <c r="L45" s="2">
        <v>0.04</v>
      </c>
      <c r="M45">
        <v>7.0000000000000007E-2</v>
      </c>
      <c r="N45" s="2">
        <f>(J45*L45)/1000</f>
        <v>0.90251999999999999</v>
      </c>
      <c r="O45" s="2">
        <f>(J45*M45)/1000</f>
        <v>1.57941</v>
      </c>
    </row>
    <row r="46" spans="2:15">
      <c r="B46" s="23" t="s">
        <v>700</v>
      </c>
      <c r="C46" s="23" t="s">
        <v>75</v>
      </c>
      <c r="D46" s="23" t="s">
        <v>91</v>
      </c>
      <c r="E46" t="s">
        <v>92</v>
      </c>
      <c r="F46" t="s">
        <v>12</v>
      </c>
      <c r="G46" t="s">
        <v>91</v>
      </c>
      <c r="H46" t="s">
        <v>93</v>
      </c>
      <c r="I46" t="s">
        <v>27</v>
      </c>
      <c r="J46">
        <v>69909</v>
      </c>
      <c r="K46">
        <v>78</v>
      </c>
      <c r="L46" s="2">
        <v>0.04</v>
      </c>
      <c r="M46">
        <v>7.0000000000000007E-2</v>
      </c>
      <c r="N46" s="2">
        <f>(J46*L46)/1000</f>
        <v>2.79636</v>
      </c>
      <c r="O46" s="2">
        <f>(J46*M46)/1000</f>
        <v>4.8936299999999999</v>
      </c>
    </row>
    <row r="47" spans="2:15">
      <c r="B47" s="23" t="s">
        <v>700</v>
      </c>
      <c r="C47" s="23" t="s">
        <v>75</v>
      </c>
      <c r="D47" s="23" t="s">
        <v>94</v>
      </c>
      <c r="E47" t="s">
        <v>95</v>
      </c>
      <c r="F47" t="s">
        <v>12</v>
      </c>
      <c r="G47" t="s">
        <v>94</v>
      </c>
      <c r="H47" t="s">
        <v>96</v>
      </c>
      <c r="I47" t="s">
        <v>27</v>
      </c>
      <c r="J47">
        <v>22893</v>
      </c>
      <c r="K47">
        <v>13</v>
      </c>
      <c r="L47" s="2">
        <v>0.04</v>
      </c>
      <c r="M47">
        <v>7.0000000000000007E-2</v>
      </c>
      <c r="N47" s="2">
        <f>(J47*L47)/1000</f>
        <v>0.91571999999999998</v>
      </c>
      <c r="O47" s="2">
        <f>(J47*M47)/1000</f>
        <v>1.6025100000000003</v>
      </c>
    </row>
    <row r="48" spans="2:15">
      <c r="B48" s="23" t="s">
        <v>700</v>
      </c>
      <c r="C48" s="23" t="s">
        <v>75</v>
      </c>
      <c r="D48" s="23" t="s">
        <v>97</v>
      </c>
      <c r="E48" t="s">
        <v>98</v>
      </c>
      <c r="F48" t="s">
        <v>12</v>
      </c>
      <c r="G48" t="s">
        <v>97</v>
      </c>
      <c r="H48" t="s">
        <v>99</v>
      </c>
      <c r="I48" t="s">
        <v>27</v>
      </c>
      <c r="J48">
        <v>23132</v>
      </c>
      <c r="K48">
        <v>16</v>
      </c>
      <c r="L48" s="2">
        <v>0.04</v>
      </c>
      <c r="M48">
        <v>7.0000000000000007E-2</v>
      </c>
      <c r="N48" s="2">
        <f>(J48*L48)/1000</f>
        <v>0.92527999999999999</v>
      </c>
      <c r="O48" s="2">
        <f>(J48*M48)/1000</f>
        <v>1.6192400000000002</v>
      </c>
    </row>
    <row r="49" spans="2:15">
      <c r="B49" s="23" t="s">
        <v>700</v>
      </c>
      <c r="C49" s="23" t="s">
        <v>100</v>
      </c>
      <c r="D49" s="23" t="s">
        <v>523</v>
      </c>
      <c r="E49" t="s">
        <v>524</v>
      </c>
      <c r="F49" t="s">
        <v>12</v>
      </c>
      <c r="G49" t="s">
        <v>523</v>
      </c>
      <c r="H49" t="s">
        <v>525</v>
      </c>
      <c r="I49" t="s">
        <v>27</v>
      </c>
      <c r="J49">
        <v>3832</v>
      </c>
      <c r="K49">
        <v>82</v>
      </c>
      <c r="L49" s="2">
        <v>0.04</v>
      </c>
      <c r="M49">
        <v>7.0000000000000007E-2</v>
      </c>
      <c r="N49" s="2">
        <f>(J49*L49)/1000</f>
        <v>0.15328</v>
      </c>
      <c r="O49" s="2">
        <f>(J49*M49)/1000</f>
        <v>0.26824000000000003</v>
      </c>
    </row>
    <row r="50" spans="2:15">
      <c r="B50" s="23" t="s">
        <v>700</v>
      </c>
      <c r="C50" s="23" t="s">
        <v>100</v>
      </c>
      <c r="D50" s="23" t="s">
        <v>526</v>
      </c>
      <c r="E50" t="s">
        <v>527</v>
      </c>
      <c r="F50" t="s">
        <v>11</v>
      </c>
      <c r="G50" t="s">
        <v>30</v>
      </c>
      <c r="H50" t="s">
        <v>192</v>
      </c>
      <c r="I50" t="s">
        <v>27</v>
      </c>
      <c r="J50">
        <v>4</v>
      </c>
      <c r="K50">
        <v>0</v>
      </c>
      <c r="L50" s="2">
        <v>0.04</v>
      </c>
      <c r="M50">
        <v>7.0000000000000007E-2</v>
      </c>
      <c r="N50" s="2">
        <f>(J50*L50)/1000</f>
        <v>1.6000000000000001E-4</v>
      </c>
      <c r="O50" s="2">
        <f>(J50*M50)/1000</f>
        <v>2.8000000000000003E-4</v>
      </c>
    </row>
    <row r="51" spans="2:15">
      <c r="B51" s="23" t="s">
        <v>700</v>
      </c>
      <c r="C51" s="23" t="s">
        <v>100</v>
      </c>
      <c r="D51" s="23" t="s">
        <v>526</v>
      </c>
      <c r="E51" t="s">
        <v>527</v>
      </c>
      <c r="F51" t="s">
        <v>12</v>
      </c>
      <c r="G51" t="s">
        <v>526</v>
      </c>
      <c r="H51" t="s">
        <v>528</v>
      </c>
      <c r="I51" t="s">
        <v>27</v>
      </c>
      <c r="J51">
        <v>520948</v>
      </c>
      <c r="K51">
        <v>812</v>
      </c>
      <c r="L51" s="2">
        <v>0.04</v>
      </c>
      <c r="M51">
        <v>7.0000000000000007E-2</v>
      </c>
      <c r="N51" s="2">
        <f>(J51*L51)/1000</f>
        <v>20.83792</v>
      </c>
      <c r="O51" s="2">
        <f>(J51*M51)/1000</f>
        <v>36.466360000000002</v>
      </c>
    </row>
    <row r="52" spans="2:15">
      <c r="B52" s="23" t="s">
        <v>700</v>
      </c>
      <c r="C52" s="23" t="s">
        <v>100</v>
      </c>
      <c r="D52" s="23" t="s">
        <v>529</v>
      </c>
      <c r="E52" t="s">
        <v>530</v>
      </c>
      <c r="F52" t="s">
        <v>12</v>
      </c>
      <c r="G52" t="s">
        <v>529</v>
      </c>
      <c r="H52" t="s">
        <v>531</v>
      </c>
      <c r="I52" t="s">
        <v>27</v>
      </c>
      <c r="J52">
        <v>118156</v>
      </c>
      <c r="K52">
        <v>60</v>
      </c>
      <c r="L52" s="2">
        <v>0.04</v>
      </c>
      <c r="M52">
        <v>7.0000000000000007E-2</v>
      </c>
      <c r="N52" s="2">
        <f>(J52*L52)/1000</f>
        <v>4.7262399999999998</v>
      </c>
      <c r="O52" s="2">
        <f>(J52*M52)/1000</f>
        <v>8.2709200000000003</v>
      </c>
    </row>
    <row r="53" spans="2:15">
      <c r="B53" s="23" t="s">
        <v>700</v>
      </c>
      <c r="C53" s="23" t="s">
        <v>100</v>
      </c>
      <c r="D53" s="23" t="s">
        <v>532</v>
      </c>
      <c r="E53" t="s">
        <v>533</v>
      </c>
      <c r="F53" t="s">
        <v>12</v>
      </c>
      <c r="G53" t="s">
        <v>532</v>
      </c>
      <c r="H53" t="s">
        <v>534</v>
      </c>
      <c r="I53" t="s">
        <v>27</v>
      </c>
      <c r="J53">
        <v>26803</v>
      </c>
      <c r="K53">
        <v>42</v>
      </c>
      <c r="L53" s="2">
        <v>0.04</v>
      </c>
      <c r="M53">
        <v>7.0000000000000007E-2</v>
      </c>
      <c r="N53" s="2">
        <f>(J53*L53)/1000</f>
        <v>1.0721200000000002</v>
      </c>
      <c r="O53" s="2">
        <f>(J53*M53)/1000</f>
        <v>1.8762100000000002</v>
      </c>
    </row>
    <row r="54" spans="2:15">
      <c r="B54" s="23" t="s">
        <v>700</v>
      </c>
      <c r="C54" s="23" t="s">
        <v>100</v>
      </c>
      <c r="D54" s="23" t="s">
        <v>101</v>
      </c>
      <c r="E54" t="s">
        <v>102</v>
      </c>
      <c r="F54" t="s">
        <v>12</v>
      </c>
      <c r="G54" t="s">
        <v>101</v>
      </c>
      <c r="H54" t="s">
        <v>103</v>
      </c>
      <c r="I54" t="s">
        <v>27</v>
      </c>
      <c r="J54">
        <v>624483</v>
      </c>
      <c r="K54">
        <v>1037</v>
      </c>
      <c r="L54" s="2">
        <v>0.04</v>
      </c>
      <c r="M54">
        <v>7.0000000000000007E-2</v>
      </c>
      <c r="N54" s="2">
        <f>(J54*L54)/1000</f>
        <v>24.979320000000001</v>
      </c>
      <c r="O54" s="2">
        <f>(J54*M54)/1000</f>
        <v>43.713810000000002</v>
      </c>
    </row>
    <row r="55" spans="2:15">
      <c r="B55" s="23" t="s">
        <v>700</v>
      </c>
      <c r="C55" s="23" t="s">
        <v>100</v>
      </c>
      <c r="D55" s="23" t="s">
        <v>535</v>
      </c>
      <c r="E55" t="s">
        <v>536</v>
      </c>
      <c r="F55" t="s">
        <v>12</v>
      </c>
      <c r="G55" t="s">
        <v>535</v>
      </c>
      <c r="H55" t="s">
        <v>537</v>
      </c>
      <c r="I55" t="s">
        <v>27</v>
      </c>
      <c r="J55">
        <v>90150</v>
      </c>
      <c r="K55">
        <v>49</v>
      </c>
      <c r="L55" s="2">
        <v>0.04</v>
      </c>
      <c r="M55">
        <v>7.0000000000000007E-2</v>
      </c>
      <c r="N55" s="2">
        <f>(J55*L55)/1000</f>
        <v>3.6059999999999999</v>
      </c>
      <c r="O55" s="2">
        <f>(J55*M55)/1000</f>
        <v>6.3105000000000011</v>
      </c>
    </row>
    <row r="56" spans="2:15">
      <c r="B56" s="23" t="s">
        <v>700</v>
      </c>
      <c r="C56" s="23" t="s">
        <v>100</v>
      </c>
      <c r="D56" s="23" t="s">
        <v>538</v>
      </c>
      <c r="E56" t="s">
        <v>539</v>
      </c>
      <c r="F56" t="s">
        <v>12</v>
      </c>
      <c r="G56" t="s">
        <v>538</v>
      </c>
      <c r="H56" t="s">
        <v>540</v>
      </c>
      <c r="I56" t="s">
        <v>27</v>
      </c>
      <c r="J56">
        <v>47796</v>
      </c>
      <c r="K56">
        <v>302</v>
      </c>
      <c r="L56" s="2">
        <v>0.04</v>
      </c>
      <c r="M56">
        <v>7.0000000000000007E-2</v>
      </c>
      <c r="N56" s="2">
        <f>(J56*L56)/1000</f>
        <v>1.9118400000000002</v>
      </c>
      <c r="O56" s="2">
        <f>(J56*M56)/1000</f>
        <v>3.3457200000000005</v>
      </c>
    </row>
    <row r="57" spans="2:15">
      <c r="B57" s="23" t="s">
        <v>700</v>
      </c>
      <c r="C57" s="23" t="s">
        <v>100</v>
      </c>
      <c r="D57" s="24" t="s">
        <v>541</v>
      </c>
      <c r="E57" t="s">
        <v>542</v>
      </c>
      <c r="F57" t="s">
        <v>12</v>
      </c>
      <c r="G57" t="s">
        <v>541</v>
      </c>
      <c r="H57" t="s">
        <v>543</v>
      </c>
      <c r="I57" t="s">
        <v>27</v>
      </c>
      <c r="J57">
        <v>369361</v>
      </c>
      <c r="K57">
        <v>574</v>
      </c>
      <c r="L57" s="2">
        <v>0.04</v>
      </c>
      <c r="M57">
        <v>7.0000000000000007E-2</v>
      </c>
      <c r="N57" s="2">
        <f>(J57*L57)/1000</f>
        <v>14.77444</v>
      </c>
      <c r="O57" s="2">
        <f>(J57*M57)/1000</f>
        <v>25.855270000000004</v>
      </c>
    </row>
    <row r="58" spans="2:15">
      <c r="B58" s="23" t="s">
        <v>700</v>
      </c>
      <c r="C58" s="23" t="s">
        <v>100</v>
      </c>
      <c r="D58" s="23" t="s">
        <v>544</v>
      </c>
      <c r="E58" t="s">
        <v>545</v>
      </c>
      <c r="F58" t="s">
        <v>12</v>
      </c>
      <c r="G58" t="s">
        <v>544</v>
      </c>
      <c r="H58" t="s">
        <v>546</v>
      </c>
      <c r="I58" t="s">
        <v>27</v>
      </c>
      <c r="J58">
        <v>70556</v>
      </c>
      <c r="K58">
        <v>30</v>
      </c>
      <c r="L58" s="2">
        <v>0.04</v>
      </c>
      <c r="M58">
        <v>7.0000000000000007E-2</v>
      </c>
      <c r="N58" s="2">
        <f>(J58*L58)/1000</f>
        <v>2.8222400000000003</v>
      </c>
      <c r="O58" s="2">
        <f>(J58*M58)/1000</f>
        <v>4.9389200000000004</v>
      </c>
    </row>
    <row r="59" spans="2:15">
      <c r="B59" s="23" t="s">
        <v>700</v>
      </c>
      <c r="C59" s="23" t="s">
        <v>100</v>
      </c>
      <c r="D59" s="23" t="s">
        <v>547</v>
      </c>
      <c r="E59" t="s">
        <v>548</v>
      </c>
      <c r="F59" t="s">
        <v>12</v>
      </c>
      <c r="G59" t="s">
        <v>547</v>
      </c>
      <c r="H59" t="s">
        <v>549</v>
      </c>
      <c r="I59" t="s">
        <v>27</v>
      </c>
      <c r="J59">
        <v>39766</v>
      </c>
      <c r="K59">
        <v>112</v>
      </c>
      <c r="L59" s="2">
        <v>0.04</v>
      </c>
      <c r="M59">
        <v>7.0000000000000007E-2</v>
      </c>
      <c r="N59" s="2">
        <f>(J59*L59)/1000</f>
        <v>1.5906400000000001</v>
      </c>
      <c r="O59" s="2">
        <f>(J59*M59)/1000</f>
        <v>2.7836200000000004</v>
      </c>
    </row>
    <row r="60" spans="2:15">
      <c r="B60" s="23" t="s">
        <v>700</v>
      </c>
      <c r="C60" s="23" t="s">
        <v>100</v>
      </c>
      <c r="D60" s="23" t="s">
        <v>550</v>
      </c>
      <c r="E60" t="s">
        <v>551</v>
      </c>
      <c r="F60" t="s">
        <v>12</v>
      </c>
      <c r="G60" t="s">
        <v>550</v>
      </c>
      <c r="H60" t="s">
        <v>552</v>
      </c>
      <c r="I60" t="s">
        <v>27</v>
      </c>
      <c r="J60">
        <v>205455</v>
      </c>
      <c r="K60">
        <v>564</v>
      </c>
      <c r="L60" s="2">
        <v>0.04</v>
      </c>
      <c r="M60">
        <v>7.0000000000000007E-2</v>
      </c>
      <c r="N60" s="2">
        <f>(J60*L60)/1000</f>
        <v>8.2182000000000013</v>
      </c>
      <c r="O60" s="2">
        <f>(J60*M60)/1000</f>
        <v>14.381850000000002</v>
      </c>
    </row>
    <row r="61" spans="2:15">
      <c r="B61" s="23" t="s">
        <v>700</v>
      </c>
      <c r="C61" s="23" t="s">
        <v>100</v>
      </c>
      <c r="D61" s="23" t="s">
        <v>553</v>
      </c>
      <c r="E61" t="s">
        <v>554</v>
      </c>
      <c r="F61" t="s">
        <v>11</v>
      </c>
      <c r="G61" t="s">
        <v>31</v>
      </c>
      <c r="H61" t="s">
        <v>373</v>
      </c>
      <c r="I61" t="s">
        <v>27</v>
      </c>
      <c r="J61">
        <v>1</v>
      </c>
      <c r="K61">
        <v>0</v>
      </c>
      <c r="L61" s="2">
        <v>0.04</v>
      </c>
      <c r="M61">
        <v>7.0000000000000007E-2</v>
      </c>
      <c r="N61" s="2">
        <f>(J61*L61)/1000</f>
        <v>4.0000000000000003E-5</v>
      </c>
      <c r="O61" s="2">
        <f>(J61*M61)/1000</f>
        <v>7.0000000000000007E-5</v>
      </c>
    </row>
    <row r="62" spans="2:15">
      <c r="B62" s="23" t="s">
        <v>700</v>
      </c>
      <c r="C62" s="23" t="s">
        <v>100</v>
      </c>
      <c r="D62" s="23" t="s">
        <v>553</v>
      </c>
      <c r="E62" t="s">
        <v>554</v>
      </c>
      <c r="F62" t="s">
        <v>12</v>
      </c>
      <c r="G62" t="s">
        <v>553</v>
      </c>
      <c r="H62" t="s">
        <v>555</v>
      </c>
      <c r="I62" t="s">
        <v>27</v>
      </c>
      <c r="J62">
        <v>65858</v>
      </c>
      <c r="K62">
        <v>22</v>
      </c>
      <c r="L62" s="2">
        <v>0.04</v>
      </c>
      <c r="M62">
        <v>7.0000000000000007E-2</v>
      </c>
      <c r="N62" s="2">
        <f>(J62*L62)/1000</f>
        <v>2.6343200000000002</v>
      </c>
      <c r="O62" s="2">
        <f>(J62*M62)/1000</f>
        <v>4.6100600000000007</v>
      </c>
    </row>
    <row r="63" spans="2:15">
      <c r="B63" s="23" t="s">
        <v>700</v>
      </c>
      <c r="C63" s="23" t="s">
        <v>100</v>
      </c>
      <c r="D63" s="23" t="s">
        <v>104</v>
      </c>
      <c r="E63" t="s">
        <v>105</v>
      </c>
      <c r="F63" t="s">
        <v>12</v>
      </c>
      <c r="G63" t="s">
        <v>104</v>
      </c>
      <c r="H63" t="s">
        <v>106</v>
      </c>
      <c r="I63" t="s">
        <v>27</v>
      </c>
      <c r="J63">
        <v>61697</v>
      </c>
      <c r="K63">
        <v>45</v>
      </c>
      <c r="L63" s="2">
        <v>0.04</v>
      </c>
      <c r="M63">
        <v>7.0000000000000007E-2</v>
      </c>
      <c r="N63" s="2">
        <f>(J63*L63)/1000</f>
        <v>2.4678800000000001</v>
      </c>
      <c r="O63" s="2">
        <f>(J63*M63)/1000</f>
        <v>4.3187899999999999</v>
      </c>
    </row>
    <row r="64" spans="2:15">
      <c r="B64" s="23" t="s">
        <v>700</v>
      </c>
      <c r="C64" s="23" t="s">
        <v>100</v>
      </c>
      <c r="D64" s="23" t="s">
        <v>556</v>
      </c>
      <c r="E64" t="s">
        <v>557</v>
      </c>
      <c r="F64" t="s">
        <v>12</v>
      </c>
      <c r="G64" t="s">
        <v>556</v>
      </c>
      <c r="H64" t="s">
        <v>558</v>
      </c>
      <c r="I64" t="s">
        <v>23</v>
      </c>
      <c r="J64">
        <v>102786</v>
      </c>
      <c r="K64">
        <v>141</v>
      </c>
      <c r="L64" s="2">
        <v>0.04</v>
      </c>
      <c r="M64">
        <v>7.0000000000000007E-2</v>
      </c>
      <c r="N64" s="2">
        <f>(J64*L64)/1000</f>
        <v>4.1114400000000009</v>
      </c>
      <c r="O64" s="2">
        <f>(J64*M64)/1000</f>
        <v>7.1950200000000004</v>
      </c>
    </row>
    <row r="65" spans="2:15">
      <c r="B65" s="23" t="s">
        <v>700</v>
      </c>
      <c r="C65" s="23" t="s">
        <v>100</v>
      </c>
      <c r="D65" s="23" t="s">
        <v>559</v>
      </c>
      <c r="E65" t="s">
        <v>560</v>
      </c>
      <c r="F65" t="s">
        <v>12</v>
      </c>
      <c r="G65" t="s">
        <v>559</v>
      </c>
      <c r="H65" t="s">
        <v>561</v>
      </c>
      <c r="I65" t="s">
        <v>23</v>
      </c>
      <c r="J65">
        <v>73339</v>
      </c>
      <c r="K65">
        <v>60</v>
      </c>
      <c r="L65" s="2">
        <v>0.04</v>
      </c>
      <c r="M65">
        <v>7.0000000000000007E-2</v>
      </c>
      <c r="N65" s="2">
        <f>(J65*L65)/1000</f>
        <v>2.9335599999999999</v>
      </c>
      <c r="O65" s="2">
        <f>(J65*M65)/1000</f>
        <v>5.1337300000000008</v>
      </c>
    </row>
    <row r="66" spans="2:15">
      <c r="B66" s="23" t="s">
        <v>700</v>
      </c>
      <c r="C66" s="23" t="s">
        <v>100</v>
      </c>
      <c r="D66" s="23" t="s">
        <v>562</v>
      </c>
      <c r="E66" t="s">
        <v>563</v>
      </c>
      <c r="F66" t="s">
        <v>12</v>
      </c>
      <c r="G66" t="s">
        <v>562</v>
      </c>
      <c r="H66" t="s">
        <v>564</v>
      </c>
      <c r="I66" t="s">
        <v>23</v>
      </c>
      <c r="J66">
        <v>79691</v>
      </c>
      <c r="K66">
        <v>89</v>
      </c>
      <c r="L66" s="2">
        <v>0.04</v>
      </c>
      <c r="M66">
        <v>7.0000000000000007E-2</v>
      </c>
      <c r="N66" s="2">
        <f>(J66*L66)/1000</f>
        <v>3.18764</v>
      </c>
      <c r="O66" s="2">
        <f>(J66*M66)/1000</f>
        <v>5.5783700000000005</v>
      </c>
    </row>
    <row r="67" spans="2:15">
      <c r="B67" s="23" t="s">
        <v>700</v>
      </c>
      <c r="C67" s="23" t="s">
        <v>100</v>
      </c>
      <c r="D67" s="23" t="s">
        <v>565</v>
      </c>
      <c r="E67" t="s">
        <v>566</v>
      </c>
      <c r="F67" t="s">
        <v>12</v>
      </c>
      <c r="G67" t="s">
        <v>565</v>
      </c>
      <c r="H67" t="s">
        <v>567</v>
      </c>
      <c r="I67" t="s">
        <v>23</v>
      </c>
      <c r="J67">
        <v>69004</v>
      </c>
      <c r="K67">
        <v>86</v>
      </c>
      <c r="L67" s="2">
        <v>0.04</v>
      </c>
      <c r="M67">
        <v>7.0000000000000007E-2</v>
      </c>
      <c r="N67" s="2">
        <f>(J67*L67)/1000</f>
        <v>2.7601599999999999</v>
      </c>
      <c r="O67" s="2">
        <f>(J67*M67)/1000</f>
        <v>4.830280000000001</v>
      </c>
    </row>
    <row r="68" spans="2:15">
      <c r="B68" s="23" t="s">
        <v>700</v>
      </c>
      <c r="C68" s="23" t="s">
        <v>39</v>
      </c>
      <c r="D68" s="23" t="s">
        <v>107</v>
      </c>
      <c r="E68" t="s">
        <v>108</v>
      </c>
      <c r="F68" t="s">
        <v>12</v>
      </c>
      <c r="G68" t="s">
        <v>107</v>
      </c>
      <c r="H68" t="s">
        <v>109</v>
      </c>
      <c r="I68" t="s">
        <v>27</v>
      </c>
      <c r="J68">
        <v>40339</v>
      </c>
      <c r="K68">
        <v>58</v>
      </c>
      <c r="L68" s="2">
        <v>0.04</v>
      </c>
      <c r="M68">
        <v>7.0000000000000007E-2</v>
      </c>
      <c r="N68" s="2">
        <f>(J68*L68)/1000</f>
        <v>1.6135599999999999</v>
      </c>
      <c r="O68" s="2">
        <f>(J68*M68)/1000</f>
        <v>2.8237300000000003</v>
      </c>
    </row>
    <row r="69" spans="2:15">
      <c r="B69" s="23" t="s">
        <v>700</v>
      </c>
      <c r="C69" s="23" t="s">
        <v>39</v>
      </c>
      <c r="D69" s="23" t="s">
        <v>110</v>
      </c>
      <c r="E69" t="s">
        <v>111</v>
      </c>
      <c r="F69" t="s">
        <v>12</v>
      </c>
      <c r="G69" t="s">
        <v>110</v>
      </c>
      <c r="H69" t="s">
        <v>112</v>
      </c>
      <c r="I69" t="s">
        <v>27</v>
      </c>
      <c r="J69">
        <v>2134914</v>
      </c>
      <c r="K69">
        <v>5533</v>
      </c>
      <c r="L69" s="2">
        <v>0.04</v>
      </c>
      <c r="M69">
        <v>7.0000000000000007E-2</v>
      </c>
      <c r="N69" s="2">
        <f>(J69*L69)/1000</f>
        <v>85.396559999999994</v>
      </c>
      <c r="O69" s="2">
        <f>(J69*M69)/1000</f>
        <v>149.44398000000001</v>
      </c>
    </row>
    <row r="70" spans="2:15">
      <c r="B70" s="23" t="s">
        <v>700</v>
      </c>
      <c r="C70" s="23" t="s">
        <v>39</v>
      </c>
      <c r="D70" s="23" t="s">
        <v>113</v>
      </c>
      <c r="E70" t="s">
        <v>114</v>
      </c>
      <c r="F70" t="s">
        <v>12</v>
      </c>
      <c r="G70" t="s">
        <v>113</v>
      </c>
      <c r="H70" t="s">
        <v>115</v>
      </c>
      <c r="I70" t="s">
        <v>27</v>
      </c>
      <c r="J70">
        <v>49308</v>
      </c>
      <c r="K70">
        <v>49</v>
      </c>
      <c r="L70" s="2">
        <v>0.04</v>
      </c>
      <c r="M70">
        <v>7.0000000000000007E-2</v>
      </c>
      <c r="N70" s="2">
        <f>(J70*L70)/1000</f>
        <v>1.9723199999999999</v>
      </c>
      <c r="O70" s="2">
        <f>(J70*M70)/1000</f>
        <v>3.4515600000000002</v>
      </c>
    </row>
    <row r="71" spans="2:15">
      <c r="B71" s="23" t="s">
        <v>700</v>
      </c>
      <c r="C71" s="23" t="s">
        <v>39</v>
      </c>
      <c r="D71" s="23" t="s">
        <v>116</v>
      </c>
      <c r="E71" t="s">
        <v>117</v>
      </c>
      <c r="F71" t="s">
        <v>12</v>
      </c>
      <c r="G71" t="s">
        <v>116</v>
      </c>
      <c r="H71" t="s">
        <v>118</v>
      </c>
      <c r="I71" t="s">
        <v>27</v>
      </c>
      <c r="J71">
        <v>64894</v>
      </c>
      <c r="K71">
        <v>157</v>
      </c>
      <c r="L71" s="2">
        <v>0.04</v>
      </c>
      <c r="M71">
        <v>7.0000000000000007E-2</v>
      </c>
      <c r="N71" s="2">
        <f>(J71*L71)/1000</f>
        <v>2.5957600000000003</v>
      </c>
      <c r="O71" s="2">
        <f>(J71*M71)/1000</f>
        <v>4.542580000000001</v>
      </c>
    </row>
    <row r="72" spans="2:15">
      <c r="B72" s="23" t="s">
        <v>700</v>
      </c>
      <c r="C72" s="23" t="s">
        <v>39</v>
      </c>
      <c r="D72" s="23" t="s">
        <v>119</v>
      </c>
      <c r="E72" t="s">
        <v>120</v>
      </c>
      <c r="F72" t="s">
        <v>11</v>
      </c>
      <c r="G72" t="s">
        <v>36</v>
      </c>
      <c r="H72" t="s">
        <v>170</v>
      </c>
      <c r="I72" t="s">
        <v>27</v>
      </c>
      <c r="J72">
        <v>1</v>
      </c>
      <c r="K72">
        <v>0</v>
      </c>
      <c r="L72" s="2">
        <v>0.04</v>
      </c>
      <c r="M72">
        <v>7.0000000000000007E-2</v>
      </c>
      <c r="N72" s="2">
        <f>(J72*L72)/1000</f>
        <v>4.0000000000000003E-5</v>
      </c>
      <c r="O72" s="2">
        <f>(J72*M72)/1000</f>
        <v>7.0000000000000007E-5</v>
      </c>
    </row>
    <row r="73" spans="2:15">
      <c r="B73" s="23" t="s">
        <v>700</v>
      </c>
      <c r="C73" s="23" t="s">
        <v>39</v>
      </c>
      <c r="D73" s="23" t="s">
        <v>119</v>
      </c>
      <c r="E73" t="s">
        <v>120</v>
      </c>
      <c r="F73" t="s">
        <v>12</v>
      </c>
      <c r="G73" t="s">
        <v>119</v>
      </c>
      <c r="H73" t="s">
        <v>121</v>
      </c>
      <c r="I73" t="s">
        <v>27</v>
      </c>
      <c r="J73">
        <v>1852313</v>
      </c>
      <c r="K73">
        <v>2174</v>
      </c>
      <c r="L73" s="2">
        <v>0.04</v>
      </c>
      <c r="M73">
        <v>7.0000000000000007E-2</v>
      </c>
      <c r="N73" s="2">
        <f>(J73*L73)/1000</f>
        <v>74.092520000000007</v>
      </c>
      <c r="O73" s="2">
        <f>(J73*M73)/1000</f>
        <v>129.66191000000001</v>
      </c>
    </row>
    <row r="74" spans="2:15">
      <c r="B74" s="23" t="s">
        <v>700</v>
      </c>
      <c r="C74" s="23" t="s">
        <v>39</v>
      </c>
      <c r="D74" s="23" t="s">
        <v>122</v>
      </c>
      <c r="E74" t="s">
        <v>123</v>
      </c>
      <c r="F74" t="s">
        <v>12</v>
      </c>
      <c r="G74" t="s">
        <v>122</v>
      </c>
      <c r="H74" t="s">
        <v>124</v>
      </c>
      <c r="I74" t="s">
        <v>27</v>
      </c>
      <c r="J74">
        <v>116407</v>
      </c>
      <c r="K74">
        <v>166</v>
      </c>
      <c r="L74" s="2">
        <v>0.04</v>
      </c>
      <c r="M74">
        <v>7.0000000000000007E-2</v>
      </c>
      <c r="N74" s="2">
        <f>(J74*L74)/1000</f>
        <v>4.6562799999999998</v>
      </c>
      <c r="O74" s="2">
        <f>(J74*M74)/1000</f>
        <v>8.1484900000000007</v>
      </c>
    </row>
    <row r="75" spans="2:15">
      <c r="B75" s="23" t="s">
        <v>700</v>
      </c>
      <c r="C75" s="23" t="s">
        <v>39</v>
      </c>
      <c r="D75" s="23" t="s">
        <v>125</v>
      </c>
      <c r="E75" t="s">
        <v>126</v>
      </c>
      <c r="F75" t="s">
        <v>12</v>
      </c>
      <c r="G75" t="s">
        <v>125</v>
      </c>
      <c r="H75" t="s">
        <v>127</v>
      </c>
      <c r="I75" t="s">
        <v>27</v>
      </c>
      <c r="J75">
        <v>3521</v>
      </c>
      <c r="K75">
        <v>15</v>
      </c>
      <c r="L75" s="2">
        <v>0.04</v>
      </c>
      <c r="M75">
        <v>7.0000000000000007E-2</v>
      </c>
      <c r="N75" s="2">
        <f>(J75*L75)/1000</f>
        <v>0.14083999999999999</v>
      </c>
      <c r="O75" s="2">
        <f>(J75*M75)/1000</f>
        <v>0.24647000000000002</v>
      </c>
    </row>
    <row r="76" spans="2:15">
      <c r="B76" s="23" t="s">
        <v>700</v>
      </c>
      <c r="C76" s="23" t="s">
        <v>39</v>
      </c>
      <c r="D76" s="23" t="s">
        <v>128</v>
      </c>
      <c r="E76" t="s">
        <v>129</v>
      </c>
      <c r="F76" t="s">
        <v>12</v>
      </c>
      <c r="G76" t="s">
        <v>128</v>
      </c>
      <c r="H76" t="s">
        <v>130</v>
      </c>
      <c r="I76" t="s">
        <v>27</v>
      </c>
      <c r="J76">
        <v>22763</v>
      </c>
      <c r="K76">
        <v>18</v>
      </c>
      <c r="L76" s="2">
        <v>0.04</v>
      </c>
      <c r="M76">
        <v>7.0000000000000007E-2</v>
      </c>
      <c r="N76" s="2">
        <f>(J76*L76)/1000</f>
        <v>0.91052</v>
      </c>
      <c r="O76" s="2">
        <f>(J76*M76)/1000</f>
        <v>1.59341</v>
      </c>
    </row>
    <row r="77" spans="2:15">
      <c r="B77" s="23" t="s">
        <v>700</v>
      </c>
      <c r="C77" s="23" t="s">
        <v>39</v>
      </c>
      <c r="D77" s="23" t="s">
        <v>131</v>
      </c>
      <c r="E77" t="s">
        <v>132</v>
      </c>
      <c r="F77" t="s">
        <v>11</v>
      </c>
      <c r="G77" t="s">
        <v>30</v>
      </c>
      <c r="H77" t="s">
        <v>192</v>
      </c>
      <c r="I77" t="s">
        <v>27</v>
      </c>
      <c r="J77">
        <v>1</v>
      </c>
      <c r="K77">
        <v>0</v>
      </c>
      <c r="L77" s="2">
        <v>0.04</v>
      </c>
      <c r="M77">
        <v>7.0000000000000007E-2</v>
      </c>
      <c r="N77" s="2">
        <f>(J77*L77)/1000</f>
        <v>4.0000000000000003E-5</v>
      </c>
      <c r="O77" s="2">
        <f>(J77*M77)/1000</f>
        <v>7.0000000000000007E-5</v>
      </c>
    </row>
    <row r="78" spans="2:15">
      <c r="B78" s="23" t="s">
        <v>700</v>
      </c>
      <c r="C78" s="23" t="s">
        <v>39</v>
      </c>
      <c r="D78" s="23" t="s">
        <v>131</v>
      </c>
      <c r="E78" t="s">
        <v>132</v>
      </c>
      <c r="F78" t="s">
        <v>12</v>
      </c>
      <c r="G78" t="s">
        <v>131</v>
      </c>
      <c r="H78" t="s">
        <v>133</v>
      </c>
      <c r="I78" t="s">
        <v>27</v>
      </c>
      <c r="J78">
        <v>223385</v>
      </c>
      <c r="K78">
        <v>284</v>
      </c>
      <c r="L78" s="2">
        <v>0.04</v>
      </c>
      <c r="M78">
        <v>7.0000000000000007E-2</v>
      </c>
      <c r="N78" s="2">
        <f>(J78*L78)/1000</f>
        <v>8.9353999999999996</v>
      </c>
      <c r="O78" s="2">
        <f>(J78*M78)/1000</f>
        <v>15.636950000000001</v>
      </c>
    </row>
    <row r="79" spans="2:15">
      <c r="B79" s="23" t="s">
        <v>700</v>
      </c>
      <c r="C79" s="23" t="s">
        <v>39</v>
      </c>
      <c r="D79" s="23" t="s">
        <v>134</v>
      </c>
      <c r="E79" t="s">
        <v>135</v>
      </c>
      <c r="F79" t="s">
        <v>12</v>
      </c>
      <c r="G79" t="s">
        <v>134</v>
      </c>
      <c r="H79" t="s">
        <v>136</v>
      </c>
      <c r="I79" t="s">
        <v>27</v>
      </c>
      <c r="J79">
        <v>203255</v>
      </c>
      <c r="K79">
        <v>328</v>
      </c>
      <c r="L79" s="2">
        <v>0.04</v>
      </c>
      <c r="M79">
        <v>7.0000000000000007E-2</v>
      </c>
      <c r="N79" s="2">
        <f>(J79*L79)/1000</f>
        <v>8.1302000000000003</v>
      </c>
      <c r="O79" s="2">
        <f>(J79*M79)/1000</f>
        <v>14.227850000000002</v>
      </c>
    </row>
    <row r="80" spans="2:15">
      <c r="B80" s="23" t="s">
        <v>700</v>
      </c>
      <c r="C80" s="23" t="s">
        <v>39</v>
      </c>
      <c r="D80" s="23" t="s">
        <v>137</v>
      </c>
      <c r="E80" t="s">
        <v>138</v>
      </c>
      <c r="F80" t="s">
        <v>12</v>
      </c>
      <c r="G80" t="s">
        <v>137</v>
      </c>
      <c r="H80" t="s">
        <v>139</v>
      </c>
      <c r="I80" t="s">
        <v>27</v>
      </c>
      <c r="J80">
        <v>11288</v>
      </c>
      <c r="K80">
        <v>26</v>
      </c>
      <c r="L80" s="2">
        <v>0.04</v>
      </c>
      <c r="M80">
        <v>7.0000000000000007E-2</v>
      </c>
      <c r="N80" s="2">
        <f>(J80*L80)/1000</f>
        <v>0.45151999999999998</v>
      </c>
      <c r="O80" s="2">
        <f>(J80*M80)/1000</f>
        <v>0.79016000000000008</v>
      </c>
    </row>
    <row r="81" spans="2:15">
      <c r="B81" s="23" t="s">
        <v>700</v>
      </c>
      <c r="C81" s="23" t="s">
        <v>39</v>
      </c>
      <c r="D81" s="23" t="s">
        <v>140</v>
      </c>
      <c r="E81" t="s">
        <v>141</v>
      </c>
      <c r="F81" t="s">
        <v>12</v>
      </c>
      <c r="G81" t="s">
        <v>140</v>
      </c>
      <c r="H81" t="s">
        <v>142</v>
      </c>
      <c r="I81" t="s">
        <v>27</v>
      </c>
      <c r="J81">
        <v>222950</v>
      </c>
      <c r="K81">
        <v>262</v>
      </c>
      <c r="L81" s="2">
        <v>0.04</v>
      </c>
      <c r="M81">
        <v>7.0000000000000007E-2</v>
      </c>
      <c r="N81" s="2">
        <f>(J81*L81)/1000</f>
        <v>8.9179999999999993</v>
      </c>
      <c r="O81" s="2">
        <f>(J81*M81)/1000</f>
        <v>15.606500000000002</v>
      </c>
    </row>
    <row r="82" spans="2:15">
      <c r="B82" s="23" t="s">
        <v>700</v>
      </c>
      <c r="C82" s="23" t="s">
        <v>39</v>
      </c>
      <c r="D82" s="23" t="s">
        <v>143</v>
      </c>
      <c r="E82" t="s">
        <v>144</v>
      </c>
      <c r="F82" t="s">
        <v>11</v>
      </c>
      <c r="G82" t="s">
        <v>31</v>
      </c>
      <c r="H82" t="s">
        <v>373</v>
      </c>
      <c r="I82" t="s">
        <v>27</v>
      </c>
      <c r="J82">
        <v>1</v>
      </c>
      <c r="K82">
        <v>0</v>
      </c>
      <c r="L82" s="2">
        <v>0.04</v>
      </c>
      <c r="M82">
        <v>7.0000000000000007E-2</v>
      </c>
      <c r="N82" s="2">
        <f>(J82*L82)/1000</f>
        <v>4.0000000000000003E-5</v>
      </c>
      <c r="O82" s="2">
        <f>(J82*M82)/1000</f>
        <v>7.0000000000000007E-5</v>
      </c>
    </row>
    <row r="83" spans="2:15">
      <c r="B83" s="23" t="s">
        <v>700</v>
      </c>
      <c r="C83" s="23" t="s">
        <v>39</v>
      </c>
      <c r="D83" s="23" t="s">
        <v>143</v>
      </c>
      <c r="E83" t="s">
        <v>144</v>
      </c>
      <c r="F83" t="s">
        <v>12</v>
      </c>
      <c r="G83" t="s">
        <v>143</v>
      </c>
      <c r="H83" t="s">
        <v>145</v>
      </c>
      <c r="I83" t="s">
        <v>27</v>
      </c>
      <c r="J83">
        <v>118958</v>
      </c>
      <c r="K83">
        <v>179</v>
      </c>
      <c r="L83" s="2">
        <v>0.04</v>
      </c>
      <c r="M83">
        <v>7.0000000000000007E-2</v>
      </c>
      <c r="N83" s="2">
        <f>(J83*L83)/1000</f>
        <v>4.7583199999999994</v>
      </c>
      <c r="O83" s="2">
        <f>(J83*M83)/1000</f>
        <v>8.3270600000000012</v>
      </c>
    </row>
    <row r="84" spans="2:15">
      <c r="B84" s="23" t="s">
        <v>700</v>
      </c>
      <c r="C84" s="23" t="s">
        <v>39</v>
      </c>
      <c r="D84" s="23" t="s">
        <v>146</v>
      </c>
      <c r="E84" t="s">
        <v>147</v>
      </c>
      <c r="F84" t="s">
        <v>12</v>
      </c>
      <c r="G84" t="s">
        <v>146</v>
      </c>
      <c r="H84" t="s">
        <v>148</v>
      </c>
      <c r="I84" t="s">
        <v>27</v>
      </c>
      <c r="J84">
        <v>4089</v>
      </c>
      <c r="K84">
        <v>4</v>
      </c>
      <c r="L84" s="2">
        <v>0.04</v>
      </c>
      <c r="M84">
        <v>7.0000000000000007E-2</v>
      </c>
      <c r="N84" s="2">
        <f>(J84*L84)/1000</f>
        <v>0.16356000000000001</v>
      </c>
      <c r="O84" s="2">
        <f>(J84*M84)/1000</f>
        <v>0.28623000000000004</v>
      </c>
    </row>
    <row r="85" spans="2:15">
      <c r="B85" s="23" t="s">
        <v>700</v>
      </c>
      <c r="C85" s="23" t="s">
        <v>39</v>
      </c>
      <c r="D85" s="23" t="s">
        <v>149</v>
      </c>
      <c r="E85" t="s">
        <v>150</v>
      </c>
      <c r="F85" t="s">
        <v>12</v>
      </c>
      <c r="G85" t="s">
        <v>149</v>
      </c>
      <c r="H85" t="s">
        <v>151</v>
      </c>
      <c r="I85" t="s">
        <v>27</v>
      </c>
      <c r="J85">
        <v>225352</v>
      </c>
      <c r="K85">
        <v>254</v>
      </c>
      <c r="L85" s="2">
        <v>0.04</v>
      </c>
      <c r="M85">
        <v>7.0000000000000007E-2</v>
      </c>
      <c r="N85" s="2">
        <f>(J85*L85)/1000</f>
        <v>9.0140799999999999</v>
      </c>
      <c r="O85" s="2">
        <f>(J85*M85)/1000</f>
        <v>15.774640000000002</v>
      </c>
    </row>
    <row r="86" spans="2:15">
      <c r="B86" s="23" t="s">
        <v>700</v>
      </c>
      <c r="C86" s="23" t="s">
        <v>39</v>
      </c>
      <c r="D86" s="23" t="s">
        <v>152</v>
      </c>
      <c r="E86" t="s">
        <v>153</v>
      </c>
      <c r="F86" t="s">
        <v>12</v>
      </c>
      <c r="G86" t="s">
        <v>152</v>
      </c>
      <c r="H86" t="s">
        <v>154</v>
      </c>
      <c r="I86" t="s">
        <v>27</v>
      </c>
      <c r="J86">
        <v>61283</v>
      </c>
      <c r="K86">
        <v>95</v>
      </c>
      <c r="L86" s="2">
        <v>0.04</v>
      </c>
      <c r="M86">
        <v>7.0000000000000007E-2</v>
      </c>
      <c r="N86" s="2">
        <f>(J86*L86)/1000</f>
        <v>2.4513199999999999</v>
      </c>
      <c r="O86" s="2">
        <f>(J86*M86)/1000</f>
        <v>4.2898100000000001</v>
      </c>
    </row>
    <row r="87" spans="2:15">
      <c r="B87" s="23" t="s">
        <v>700</v>
      </c>
      <c r="C87" s="23" t="s">
        <v>39</v>
      </c>
      <c r="D87" s="23" t="s">
        <v>155</v>
      </c>
      <c r="E87" t="s">
        <v>156</v>
      </c>
      <c r="F87" t="s">
        <v>12</v>
      </c>
      <c r="G87" t="s">
        <v>155</v>
      </c>
      <c r="H87" t="s">
        <v>157</v>
      </c>
      <c r="I87" t="s">
        <v>27</v>
      </c>
      <c r="J87">
        <v>4566</v>
      </c>
      <c r="K87">
        <v>11</v>
      </c>
      <c r="L87" s="2">
        <v>0.04</v>
      </c>
      <c r="M87">
        <v>7.0000000000000007E-2</v>
      </c>
      <c r="N87" s="2">
        <f>(J87*L87)/1000</f>
        <v>0.18264000000000002</v>
      </c>
      <c r="O87" s="2">
        <f>(J87*M87)/1000</f>
        <v>0.31962000000000002</v>
      </c>
    </row>
    <row r="88" spans="2:15">
      <c r="B88" s="23" t="s">
        <v>700</v>
      </c>
      <c r="C88" s="23" t="s">
        <v>39</v>
      </c>
      <c r="D88" s="23" t="s">
        <v>568</v>
      </c>
      <c r="E88" t="s">
        <v>569</v>
      </c>
      <c r="F88" t="s">
        <v>12</v>
      </c>
      <c r="G88" t="s">
        <v>568</v>
      </c>
      <c r="H88" t="s">
        <v>570</v>
      </c>
      <c r="I88" t="s">
        <v>23</v>
      </c>
      <c r="J88">
        <v>105135</v>
      </c>
      <c r="K88">
        <v>586</v>
      </c>
      <c r="L88" s="2">
        <v>0.04</v>
      </c>
      <c r="M88">
        <v>7.0000000000000007E-2</v>
      </c>
      <c r="N88" s="2">
        <f>(J88*L88)/1000</f>
        <v>4.2054</v>
      </c>
      <c r="O88" s="2">
        <f>(J88*M88)/1000</f>
        <v>7.3594500000000007</v>
      </c>
    </row>
    <row r="89" spans="2:15">
      <c r="B89" s="23" t="s">
        <v>700</v>
      </c>
      <c r="C89" s="23" t="s">
        <v>39</v>
      </c>
      <c r="D89" s="23" t="s">
        <v>571</v>
      </c>
      <c r="E89" t="s">
        <v>572</v>
      </c>
      <c r="F89" t="s">
        <v>12</v>
      </c>
      <c r="G89" t="s">
        <v>571</v>
      </c>
      <c r="H89" t="s">
        <v>573</v>
      </c>
      <c r="I89" t="s">
        <v>23</v>
      </c>
      <c r="J89">
        <v>99314</v>
      </c>
      <c r="K89">
        <v>521</v>
      </c>
      <c r="L89" s="2">
        <v>0.04</v>
      </c>
      <c r="M89">
        <v>7.0000000000000007E-2</v>
      </c>
      <c r="N89" s="2">
        <f>(J89*L89)/1000</f>
        <v>3.9725600000000001</v>
      </c>
      <c r="O89" s="2">
        <f>(J89*M89)/1000</f>
        <v>6.9519800000000007</v>
      </c>
    </row>
    <row r="90" spans="2:15">
      <c r="B90" s="23" t="s">
        <v>700</v>
      </c>
      <c r="C90" s="23" t="s">
        <v>39</v>
      </c>
      <c r="D90" s="23" t="s">
        <v>574</v>
      </c>
      <c r="E90" t="s">
        <v>575</v>
      </c>
      <c r="F90" t="s">
        <v>12</v>
      </c>
      <c r="G90" t="s">
        <v>574</v>
      </c>
      <c r="H90" t="s">
        <v>576</v>
      </c>
      <c r="I90" t="s">
        <v>23</v>
      </c>
      <c r="J90">
        <v>418784</v>
      </c>
      <c r="K90">
        <v>2556</v>
      </c>
      <c r="L90" s="2">
        <v>0.04</v>
      </c>
      <c r="M90">
        <v>7.0000000000000007E-2</v>
      </c>
      <c r="N90" s="2">
        <f>(J90*L90)/1000</f>
        <v>16.751360000000002</v>
      </c>
      <c r="O90" s="2">
        <f>(J90*M90)/1000</f>
        <v>29.314880000000002</v>
      </c>
    </row>
    <row r="91" spans="2:15">
      <c r="B91" s="23" t="s">
        <v>700</v>
      </c>
      <c r="C91" s="23" t="s">
        <v>39</v>
      </c>
      <c r="D91" s="23" t="s">
        <v>577</v>
      </c>
      <c r="E91" t="s">
        <v>578</v>
      </c>
      <c r="F91" t="s">
        <v>12</v>
      </c>
      <c r="G91" t="s">
        <v>577</v>
      </c>
      <c r="H91" t="s">
        <v>579</v>
      </c>
      <c r="I91" t="s">
        <v>23</v>
      </c>
      <c r="J91">
        <v>119896</v>
      </c>
      <c r="K91">
        <v>765</v>
      </c>
      <c r="L91" s="2">
        <v>0.04</v>
      </c>
      <c r="M91">
        <v>7.0000000000000007E-2</v>
      </c>
      <c r="N91" s="2">
        <f>(J91*L91)/1000</f>
        <v>4.7958400000000001</v>
      </c>
      <c r="O91" s="2">
        <f>(J91*M91)/1000</f>
        <v>8.3927200000000006</v>
      </c>
    </row>
    <row r="92" spans="2:15">
      <c r="B92" s="23" t="s">
        <v>700</v>
      </c>
      <c r="C92" s="23" t="s">
        <v>55</v>
      </c>
      <c r="D92" s="23" t="s">
        <v>580</v>
      </c>
      <c r="E92" t="s">
        <v>581</v>
      </c>
      <c r="F92" t="s">
        <v>12</v>
      </c>
      <c r="G92" t="s">
        <v>580</v>
      </c>
      <c r="H92" t="s">
        <v>582</v>
      </c>
      <c r="I92" t="s">
        <v>27</v>
      </c>
      <c r="J92">
        <v>180402</v>
      </c>
      <c r="K92">
        <v>5242</v>
      </c>
      <c r="L92" s="2">
        <v>0.04</v>
      </c>
      <c r="M92">
        <v>7.0000000000000007E-2</v>
      </c>
      <c r="N92" s="2">
        <f>(J92*L92)/1000</f>
        <v>7.2160799999999998</v>
      </c>
      <c r="O92" s="2">
        <f>(J92*M92)/1000</f>
        <v>12.628140000000002</v>
      </c>
    </row>
    <row r="93" spans="2:15">
      <c r="B93" s="23" t="s">
        <v>700</v>
      </c>
      <c r="C93" s="23" t="s">
        <v>55</v>
      </c>
      <c r="D93" s="23" t="s">
        <v>583</v>
      </c>
      <c r="E93" t="s">
        <v>584</v>
      </c>
      <c r="F93" t="s">
        <v>12</v>
      </c>
      <c r="G93" t="s">
        <v>583</v>
      </c>
      <c r="H93" t="s">
        <v>585</v>
      </c>
      <c r="I93" t="s">
        <v>27</v>
      </c>
      <c r="J93">
        <v>2425</v>
      </c>
      <c r="K93">
        <v>55</v>
      </c>
      <c r="L93" s="2">
        <v>0.04</v>
      </c>
      <c r="M93">
        <v>7.0000000000000007E-2</v>
      </c>
      <c r="N93" s="2">
        <f>(J93*L93)/1000</f>
        <v>9.7000000000000003E-2</v>
      </c>
      <c r="O93" s="2">
        <f>(J93*M93)/1000</f>
        <v>0.16975000000000004</v>
      </c>
    </row>
    <row r="94" spans="2:15">
      <c r="B94" s="23" t="s">
        <v>700</v>
      </c>
      <c r="C94" s="23" t="s">
        <v>55</v>
      </c>
      <c r="D94" s="23" t="s">
        <v>586</v>
      </c>
      <c r="E94" t="s">
        <v>587</v>
      </c>
      <c r="F94" t="s">
        <v>12</v>
      </c>
      <c r="G94" t="s">
        <v>586</v>
      </c>
      <c r="H94" t="s">
        <v>588</v>
      </c>
      <c r="I94" t="s">
        <v>27</v>
      </c>
      <c r="J94">
        <v>159376</v>
      </c>
      <c r="K94">
        <v>4499</v>
      </c>
      <c r="L94" s="2">
        <v>0.04</v>
      </c>
      <c r="M94">
        <v>7.0000000000000007E-2</v>
      </c>
      <c r="N94" s="2">
        <f>(J94*L94)/1000</f>
        <v>6.3750400000000003</v>
      </c>
      <c r="O94" s="2">
        <f>(J94*M94)/1000</f>
        <v>11.156320000000001</v>
      </c>
    </row>
    <row r="95" spans="2:15">
      <c r="B95" s="23" t="s">
        <v>700</v>
      </c>
      <c r="C95" s="23" t="s">
        <v>55</v>
      </c>
      <c r="D95" s="23" t="s">
        <v>589</v>
      </c>
      <c r="E95" t="s">
        <v>590</v>
      </c>
      <c r="F95" t="s">
        <v>12</v>
      </c>
      <c r="G95" t="s">
        <v>589</v>
      </c>
      <c r="H95" t="s">
        <v>591</v>
      </c>
      <c r="I95" t="s">
        <v>27</v>
      </c>
      <c r="J95">
        <v>4703</v>
      </c>
      <c r="K95">
        <v>116</v>
      </c>
      <c r="L95" s="2">
        <v>0.04</v>
      </c>
      <c r="M95">
        <v>7.0000000000000007E-2</v>
      </c>
      <c r="N95" s="2">
        <f>(J95*L95)/1000</f>
        <v>0.18812000000000001</v>
      </c>
      <c r="O95" s="2">
        <f>(J95*M95)/1000</f>
        <v>0.32921000000000006</v>
      </c>
    </row>
    <row r="96" spans="2:15">
      <c r="B96" s="23" t="s">
        <v>700</v>
      </c>
      <c r="C96" s="23" t="s">
        <v>55</v>
      </c>
      <c r="D96" s="23" t="s">
        <v>592</v>
      </c>
      <c r="E96" t="s">
        <v>593</v>
      </c>
      <c r="F96" t="s">
        <v>12</v>
      </c>
      <c r="G96" t="s">
        <v>592</v>
      </c>
      <c r="H96" t="s">
        <v>594</v>
      </c>
      <c r="I96" t="s">
        <v>27</v>
      </c>
      <c r="J96">
        <v>157468</v>
      </c>
      <c r="K96">
        <v>4303</v>
      </c>
      <c r="L96" s="2">
        <v>0.04</v>
      </c>
      <c r="M96">
        <v>7.0000000000000007E-2</v>
      </c>
      <c r="N96" s="2">
        <f>(J96*L96)/1000</f>
        <v>6.2987200000000003</v>
      </c>
      <c r="O96" s="2">
        <f>(J96*M96)/1000</f>
        <v>11.02276</v>
      </c>
    </row>
    <row r="97" spans="2:15">
      <c r="B97" s="23" t="s">
        <v>700</v>
      </c>
      <c r="C97" s="23" t="s">
        <v>55</v>
      </c>
      <c r="D97" s="23" t="s">
        <v>595</v>
      </c>
      <c r="E97" t="s">
        <v>596</v>
      </c>
      <c r="F97" t="s">
        <v>12</v>
      </c>
      <c r="G97" t="s">
        <v>595</v>
      </c>
      <c r="H97" t="s">
        <v>597</v>
      </c>
      <c r="I97" t="s">
        <v>27</v>
      </c>
      <c r="J97">
        <v>2490</v>
      </c>
      <c r="K97">
        <v>60</v>
      </c>
      <c r="L97" s="2">
        <v>0.04</v>
      </c>
      <c r="M97">
        <v>7.0000000000000007E-2</v>
      </c>
      <c r="N97" s="2">
        <f>(J97*L97)/1000</f>
        <v>9.9600000000000008E-2</v>
      </c>
      <c r="O97" s="2">
        <f>(J97*M97)/1000</f>
        <v>0.17430000000000001</v>
      </c>
    </row>
    <row r="98" spans="2:15">
      <c r="B98" s="23" t="s">
        <v>700</v>
      </c>
      <c r="C98" s="23" t="s">
        <v>55</v>
      </c>
      <c r="D98" s="23" t="s">
        <v>598</v>
      </c>
      <c r="E98" t="s">
        <v>599</v>
      </c>
      <c r="F98" t="s">
        <v>11</v>
      </c>
      <c r="G98" t="s">
        <v>30</v>
      </c>
      <c r="H98" t="s">
        <v>192</v>
      </c>
      <c r="I98" t="s">
        <v>27</v>
      </c>
      <c r="J98">
        <v>1</v>
      </c>
      <c r="K98">
        <v>0</v>
      </c>
      <c r="L98" s="2">
        <v>0.04</v>
      </c>
      <c r="M98">
        <v>7.0000000000000007E-2</v>
      </c>
      <c r="N98" s="2">
        <f>(J98*L98)/1000</f>
        <v>4.0000000000000003E-5</v>
      </c>
      <c r="O98" s="2">
        <f>(J98*M98)/1000</f>
        <v>7.0000000000000007E-5</v>
      </c>
    </row>
    <row r="99" spans="2:15">
      <c r="B99" s="23" t="s">
        <v>700</v>
      </c>
      <c r="C99" s="23" t="s">
        <v>55</v>
      </c>
      <c r="D99" s="23" t="s">
        <v>598</v>
      </c>
      <c r="E99" t="s">
        <v>599</v>
      </c>
      <c r="F99" t="s">
        <v>12</v>
      </c>
      <c r="G99" t="s">
        <v>598</v>
      </c>
      <c r="H99" t="s">
        <v>600</v>
      </c>
      <c r="I99" t="s">
        <v>27</v>
      </c>
      <c r="J99">
        <v>280952</v>
      </c>
      <c r="K99">
        <v>8809</v>
      </c>
      <c r="L99" s="2">
        <v>0.04</v>
      </c>
      <c r="M99">
        <v>7.0000000000000007E-2</v>
      </c>
      <c r="N99" s="2">
        <f>(J99*L99)/1000</f>
        <v>11.23808</v>
      </c>
      <c r="O99" s="2">
        <f>(J99*M99)/1000</f>
        <v>19.666640000000005</v>
      </c>
    </row>
    <row r="100" spans="2:15">
      <c r="B100" s="23" t="s">
        <v>700</v>
      </c>
      <c r="C100" s="23" t="s">
        <v>55</v>
      </c>
      <c r="D100" s="24" t="s">
        <v>601</v>
      </c>
      <c r="E100" t="s">
        <v>602</v>
      </c>
      <c r="F100" t="s">
        <v>12</v>
      </c>
      <c r="G100" t="s">
        <v>601</v>
      </c>
      <c r="H100" t="s">
        <v>603</v>
      </c>
      <c r="I100" t="s">
        <v>27</v>
      </c>
      <c r="J100">
        <v>2359</v>
      </c>
      <c r="K100">
        <v>76</v>
      </c>
      <c r="L100" s="2">
        <v>0.04</v>
      </c>
      <c r="M100">
        <v>7.0000000000000007E-2</v>
      </c>
      <c r="N100" s="2">
        <f>(J100*L100)/1000</f>
        <v>9.4359999999999999E-2</v>
      </c>
      <c r="O100" s="2">
        <f>(J100*M100)/1000</f>
        <v>0.16513000000000003</v>
      </c>
    </row>
    <row r="101" spans="2:15">
      <c r="B101" s="23" t="s">
        <v>700</v>
      </c>
      <c r="C101" s="23" t="s">
        <v>55</v>
      </c>
      <c r="D101" s="23" t="s">
        <v>604</v>
      </c>
      <c r="E101" t="s">
        <v>605</v>
      </c>
      <c r="F101" t="s">
        <v>12</v>
      </c>
      <c r="G101" t="s">
        <v>604</v>
      </c>
      <c r="H101" t="s">
        <v>606</v>
      </c>
      <c r="I101" t="s">
        <v>27</v>
      </c>
      <c r="J101">
        <v>246623</v>
      </c>
      <c r="K101">
        <v>7548</v>
      </c>
      <c r="L101" s="2">
        <v>0.04</v>
      </c>
      <c r="M101">
        <v>7.0000000000000007E-2</v>
      </c>
      <c r="N101" s="2">
        <f>(J101*L101)/1000</f>
        <v>9.8649199999999997</v>
      </c>
      <c r="O101" s="2">
        <f>(J101*M101)/1000</f>
        <v>17.26361</v>
      </c>
    </row>
    <row r="102" spans="2:15">
      <c r="B102" s="23" t="s">
        <v>700</v>
      </c>
      <c r="C102" s="23" t="s">
        <v>55</v>
      </c>
      <c r="D102" s="23" t="s">
        <v>607</v>
      </c>
      <c r="E102" t="s">
        <v>608</v>
      </c>
      <c r="F102" t="s">
        <v>12</v>
      </c>
      <c r="G102" t="s">
        <v>607</v>
      </c>
      <c r="H102" t="s">
        <v>609</v>
      </c>
      <c r="I102" t="s">
        <v>27</v>
      </c>
      <c r="J102">
        <v>2580</v>
      </c>
      <c r="K102">
        <v>67</v>
      </c>
      <c r="L102" s="2">
        <v>0.04</v>
      </c>
      <c r="M102">
        <v>7.0000000000000007E-2</v>
      </c>
      <c r="N102" s="2">
        <f>(J102*L102)/1000</f>
        <v>0.1032</v>
      </c>
      <c r="O102" s="2">
        <f>(J102*M102)/1000</f>
        <v>0.18060000000000001</v>
      </c>
    </row>
    <row r="103" spans="2:15">
      <c r="B103" s="23" t="s">
        <v>700</v>
      </c>
      <c r="C103" s="23" t="s">
        <v>55</v>
      </c>
      <c r="D103" s="23" t="s">
        <v>610</v>
      </c>
      <c r="E103" t="s">
        <v>611</v>
      </c>
      <c r="F103" t="s">
        <v>12</v>
      </c>
      <c r="G103" t="s">
        <v>610</v>
      </c>
      <c r="H103" t="s">
        <v>612</v>
      </c>
      <c r="I103" t="s">
        <v>27</v>
      </c>
      <c r="J103">
        <v>166303</v>
      </c>
      <c r="K103">
        <v>4703</v>
      </c>
      <c r="L103" s="2">
        <v>0.04</v>
      </c>
      <c r="M103">
        <v>7.0000000000000007E-2</v>
      </c>
      <c r="N103" s="2">
        <f>(J103*L103)/1000</f>
        <v>6.65212</v>
      </c>
      <c r="O103" s="2">
        <f>(J103*M103)/1000</f>
        <v>11.641210000000001</v>
      </c>
    </row>
    <row r="104" spans="2:15">
      <c r="B104" s="23" t="s">
        <v>700</v>
      </c>
      <c r="C104" s="23" t="s">
        <v>158</v>
      </c>
      <c r="D104" s="23" t="s">
        <v>613</v>
      </c>
      <c r="E104" t="s">
        <v>614</v>
      </c>
      <c r="F104" t="s">
        <v>12</v>
      </c>
      <c r="G104" t="s">
        <v>613</v>
      </c>
      <c r="H104" t="s">
        <v>615</v>
      </c>
      <c r="I104" t="s">
        <v>23</v>
      </c>
      <c r="J104">
        <v>173564</v>
      </c>
      <c r="K104">
        <v>895</v>
      </c>
      <c r="L104" s="2">
        <v>0.04</v>
      </c>
      <c r="M104">
        <v>7.0000000000000007E-2</v>
      </c>
      <c r="N104" s="2">
        <f>(J104*L104)/1000</f>
        <v>6.9425600000000003</v>
      </c>
      <c r="O104" s="2">
        <f>(J104*M104)/1000</f>
        <v>12.149480000000001</v>
      </c>
    </row>
    <row r="105" spans="2:15">
      <c r="B105" s="23" t="s">
        <v>700</v>
      </c>
      <c r="C105" s="23" t="s">
        <v>158</v>
      </c>
      <c r="D105" s="23" t="s">
        <v>616</v>
      </c>
      <c r="E105" t="s">
        <v>617</v>
      </c>
      <c r="F105" t="s">
        <v>12</v>
      </c>
      <c r="G105" t="s">
        <v>616</v>
      </c>
      <c r="H105" t="s">
        <v>618</v>
      </c>
      <c r="I105" t="s">
        <v>23</v>
      </c>
      <c r="J105">
        <v>190812</v>
      </c>
      <c r="K105">
        <v>1773</v>
      </c>
      <c r="L105" s="2">
        <v>0.04</v>
      </c>
      <c r="M105">
        <v>7.0000000000000007E-2</v>
      </c>
      <c r="N105" s="2">
        <f>(J105*L105)/1000</f>
        <v>7.6324800000000002</v>
      </c>
      <c r="O105" s="2">
        <f>(J105*M105)/1000</f>
        <v>13.356840000000002</v>
      </c>
    </row>
    <row r="106" spans="2:15">
      <c r="B106" s="23" t="s">
        <v>700</v>
      </c>
      <c r="C106" s="23" t="s">
        <v>158</v>
      </c>
      <c r="D106" s="23" t="s">
        <v>619</v>
      </c>
      <c r="E106" t="s">
        <v>620</v>
      </c>
      <c r="F106" t="s">
        <v>12</v>
      </c>
      <c r="G106" t="s">
        <v>619</v>
      </c>
      <c r="H106" t="s">
        <v>621</v>
      </c>
      <c r="I106" t="s">
        <v>23</v>
      </c>
      <c r="J106">
        <v>172695</v>
      </c>
      <c r="K106">
        <v>0</v>
      </c>
      <c r="L106" s="2">
        <v>0.04</v>
      </c>
      <c r="M106">
        <v>7.0000000000000007E-2</v>
      </c>
      <c r="N106" s="2">
        <f>(J106*L106)/1000</f>
        <v>6.9077999999999999</v>
      </c>
      <c r="O106" s="2">
        <f>(J106*M106)/1000</f>
        <v>12.088650000000001</v>
      </c>
    </row>
    <row r="107" spans="2:15">
      <c r="B107" s="23" t="s">
        <v>700</v>
      </c>
      <c r="C107" s="23" t="s">
        <v>158</v>
      </c>
      <c r="D107" s="23" t="s">
        <v>622</v>
      </c>
      <c r="E107" t="s">
        <v>623</v>
      </c>
      <c r="F107" t="s">
        <v>12</v>
      </c>
      <c r="G107" t="s">
        <v>622</v>
      </c>
      <c r="H107" t="s">
        <v>624</v>
      </c>
      <c r="I107" t="s">
        <v>23</v>
      </c>
      <c r="J107">
        <v>192390</v>
      </c>
      <c r="K107">
        <v>1187</v>
      </c>
      <c r="L107" s="2">
        <v>0.04</v>
      </c>
      <c r="M107">
        <v>7.0000000000000007E-2</v>
      </c>
      <c r="N107" s="2">
        <f>(J107*L107)/1000</f>
        <v>7.6956000000000007</v>
      </c>
      <c r="O107" s="2">
        <f>(J107*M107)/1000</f>
        <v>13.467300000000002</v>
      </c>
    </row>
    <row r="108" spans="2:15">
      <c r="B108" s="23" t="s">
        <v>700</v>
      </c>
      <c r="C108" s="23" t="s">
        <v>158</v>
      </c>
      <c r="D108" s="23" t="s">
        <v>159</v>
      </c>
      <c r="E108" t="s">
        <v>160</v>
      </c>
      <c r="F108" t="s">
        <v>12</v>
      </c>
      <c r="G108" t="s">
        <v>159</v>
      </c>
      <c r="H108" t="s">
        <v>161</v>
      </c>
      <c r="I108" t="s">
        <v>27</v>
      </c>
      <c r="J108">
        <v>752794</v>
      </c>
      <c r="K108">
        <v>475</v>
      </c>
      <c r="L108" s="2">
        <v>0.04</v>
      </c>
      <c r="M108">
        <v>7.0000000000000007E-2</v>
      </c>
      <c r="N108" s="2">
        <f>(J108*L108)/1000</f>
        <v>30.11176</v>
      </c>
      <c r="O108" s="2">
        <f>(J108*M108)/1000</f>
        <v>52.69558</v>
      </c>
    </row>
    <row r="109" spans="2:15">
      <c r="B109" s="23" t="s">
        <v>700</v>
      </c>
      <c r="C109" s="23" t="s">
        <v>158</v>
      </c>
      <c r="D109" s="23" t="s">
        <v>162</v>
      </c>
      <c r="E109" t="s">
        <v>163</v>
      </c>
      <c r="F109" t="s">
        <v>12</v>
      </c>
      <c r="G109" t="s">
        <v>162</v>
      </c>
      <c r="H109" t="s">
        <v>164</v>
      </c>
      <c r="I109" t="s">
        <v>27</v>
      </c>
      <c r="J109">
        <v>85046</v>
      </c>
      <c r="K109">
        <v>103</v>
      </c>
      <c r="L109" s="2">
        <v>0.04</v>
      </c>
      <c r="M109">
        <v>7.0000000000000007E-2</v>
      </c>
      <c r="N109" s="2">
        <f>(J109*L109)/1000</f>
        <v>3.40184</v>
      </c>
      <c r="O109" s="2">
        <f>(J109*M109)/1000</f>
        <v>5.95322</v>
      </c>
    </row>
    <row r="110" spans="2:15">
      <c r="B110" s="23" t="s">
        <v>700</v>
      </c>
      <c r="C110" s="23" t="s">
        <v>158</v>
      </c>
      <c r="D110" s="23" t="s">
        <v>165</v>
      </c>
      <c r="E110" t="s">
        <v>166</v>
      </c>
      <c r="F110" t="s">
        <v>11</v>
      </c>
      <c r="G110" t="s">
        <v>38</v>
      </c>
      <c r="H110" t="s">
        <v>369</v>
      </c>
      <c r="I110" t="s">
        <v>27</v>
      </c>
      <c r="J110">
        <v>1</v>
      </c>
      <c r="K110">
        <v>0</v>
      </c>
      <c r="L110" s="2">
        <v>0.04</v>
      </c>
      <c r="M110">
        <v>7.0000000000000007E-2</v>
      </c>
      <c r="N110" s="2">
        <f>(J110*L110)/1000</f>
        <v>4.0000000000000003E-5</v>
      </c>
      <c r="O110" s="2">
        <f>(J110*M110)/1000</f>
        <v>7.0000000000000007E-5</v>
      </c>
    </row>
    <row r="111" spans="2:15">
      <c r="B111" s="23" t="s">
        <v>700</v>
      </c>
      <c r="C111" s="23" t="s">
        <v>158</v>
      </c>
      <c r="D111" s="23" t="s">
        <v>165</v>
      </c>
      <c r="E111" t="s">
        <v>166</v>
      </c>
      <c r="F111" t="s">
        <v>12</v>
      </c>
      <c r="G111" t="s">
        <v>165</v>
      </c>
      <c r="H111" t="s">
        <v>167</v>
      </c>
      <c r="I111" t="s">
        <v>27</v>
      </c>
      <c r="J111">
        <v>1305055</v>
      </c>
      <c r="K111">
        <v>7281</v>
      </c>
      <c r="L111" s="2">
        <v>0.04</v>
      </c>
      <c r="M111">
        <v>7.0000000000000007E-2</v>
      </c>
      <c r="N111" s="2">
        <f>(J111*L111)/1000</f>
        <v>52.202200000000005</v>
      </c>
      <c r="O111" s="2">
        <f>(J111*M111)/1000</f>
        <v>91.353850000000008</v>
      </c>
    </row>
    <row r="112" spans="2:15">
      <c r="B112" s="23" t="s">
        <v>700</v>
      </c>
      <c r="C112" s="23" t="s">
        <v>158</v>
      </c>
      <c r="D112" s="23" t="s">
        <v>168</v>
      </c>
      <c r="E112" t="s">
        <v>169</v>
      </c>
      <c r="F112" t="s">
        <v>11</v>
      </c>
      <c r="G112" t="s">
        <v>36</v>
      </c>
      <c r="H112" t="s">
        <v>170</v>
      </c>
      <c r="I112" t="s">
        <v>27</v>
      </c>
      <c r="J112">
        <v>3</v>
      </c>
      <c r="K112">
        <v>0</v>
      </c>
      <c r="L112" s="2">
        <v>0.04</v>
      </c>
      <c r="M112">
        <v>7.0000000000000007E-2</v>
      </c>
      <c r="N112" s="2">
        <f>(J112*L112)/1000</f>
        <v>1.1999999999999999E-4</v>
      </c>
      <c r="O112" s="2">
        <f>(J112*M112)/1000</f>
        <v>2.1000000000000001E-4</v>
      </c>
    </row>
    <row r="113" spans="2:15">
      <c r="B113" s="23" t="s">
        <v>700</v>
      </c>
      <c r="C113" s="23" t="s">
        <v>158</v>
      </c>
      <c r="D113" s="23" t="s">
        <v>168</v>
      </c>
      <c r="E113" t="s">
        <v>169</v>
      </c>
      <c r="F113" t="s">
        <v>12</v>
      </c>
      <c r="G113" t="s">
        <v>168</v>
      </c>
      <c r="H113" t="s">
        <v>171</v>
      </c>
      <c r="I113" t="s">
        <v>27</v>
      </c>
      <c r="J113">
        <v>4053466</v>
      </c>
      <c r="K113">
        <v>13688</v>
      </c>
      <c r="L113" s="2">
        <v>0.04</v>
      </c>
      <c r="M113">
        <v>7.0000000000000007E-2</v>
      </c>
      <c r="N113" s="2">
        <f>(J113*L113)/1000</f>
        <v>162.13864000000001</v>
      </c>
      <c r="O113" s="2">
        <f>(J113*M113)/1000</f>
        <v>283.74262000000004</v>
      </c>
    </row>
    <row r="114" spans="2:15">
      <c r="B114" s="23" t="s">
        <v>700</v>
      </c>
      <c r="C114" s="23" t="s">
        <v>158</v>
      </c>
      <c r="D114" s="23" t="s">
        <v>172</v>
      </c>
      <c r="E114" t="s">
        <v>173</v>
      </c>
      <c r="F114" t="s">
        <v>12</v>
      </c>
      <c r="G114" t="s">
        <v>172</v>
      </c>
      <c r="H114" t="s">
        <v>174</v>
      </c>
      <c r="I114" t="s">
        <v>27</v>
      </c>
      <c r="J114">
        <v>991064</v>
      </c>
      <c r="K114">
        <v>1566</v>
      </c>
      <c r="L114" s="2">
        <v>0.04</v>
      </c>
      <c r="M114">
        <v>7.0000000000000007E-2</v>
      </c>
      <c r="N114" s="2">
        <f>(J114*L114)/1000</f>
        <v>39.642559999999996</v>
      </c>
      <c r="O114" s="2">
        <f>(J114*M114)/1000</f>
        <v>69.374480000000005</v>
      </c>
    </row>
    <row r="115" spans="2:15">
      <c r="B115" s="23" t="s">
        <v>700</v>
      </c>
      <c r="C115" s="23" t="s">
        <v>158</v>
      </c>
      <c r="D115" s="23" t="s">
        <v>175</v>
      </c>
      <c r="E115" t="s">
        <v>176</v>
      </c>
      <c r="F115" t="s">
        <v>12</v>
      </c>
      <c r="G115" t="s">
        <v>175</v>
      </c>
      <c r="H115" t="s">
        <v>177</v>
      </c>
      <c r="I115" t="s">
        <v>27</v>
      </c>
      <c r="J115">
        <v>134622</v>
      </c>
      <c r="K115">
        <v>2963</v>
      </c>
      <c r="L115" s="2">
        <v>0.04</v>
      </c>
      <c r="M115">
        <v>7.0000000000000007E-2</v>
      </c>
      <c r="N115" s="2">
        <f>(J115*L115)/1000</f>
        <v>5.3848799999999999</v>
      </c>
      <c r="O115" s="2">
        <f>(J115*M115)/1000</f>
        <v>9.4235400000000009</v>
      </c>
    </row>
    <row r="116" spans="2:15">
      <c r="B116" s="23" t="s">
        <v>700</v>
      </c>
      <c r="C116" s="23" t="s">
        <v>158</v>
      </c>
      <c r="D116" s="23" t="s">
        <v>178</v>
      </c>
      <c r="E116" t="s">
        <v>179</v>
      </c>
      <c r="F116" t="s">
        <v>12</v>
      </c>
      <c r="G116" t="s">
        <v>178</v>
      </c>
      <c r="H116" t="s">
        <v>180</v>
      </c>
      <c r="I116" t="s">
        <v>27</v>
      </c>
      <c r="J116">
        <v>140948</v>
      </c>
      <c r="K116">
        <v>2970</v>
      </c>
      <c r="L116" s="2">
        <v>0.04</v>
      </c>
      <c r="M116">
        <v>7.0000000000000007E-2</v>
      </c>
      <c r="N116" s="2">
        <f>(J116*L116)/1000</f>
        <v>5.6379200000000003</v>
      </c>
      <c r="O116" s="2">
        <f>(J116*M116)/1000</f>
        <v>9.8663600000000002</v>
      </c>
    </row>
    <row r="117" spans="2:15">
      <c r="B117" s="23" t="s">
        <v>700</v>
      </c>
      <c r="C117" s="23" t="s">
        <v>158</v>
      </c>
      <c r="D117" s="23" t="s">
        <v>181</v>
      </c>
      <c r="E117" t="s">
        <v>182</v>
      </c>
      <c r="F117" t="s">
        <v>12</v>
      </c>
      <c r="G117" t="s">
        <v>181</v>
      </c>
      <c r="H117" t="s">
        <v>183</v>
      </c>
      <c r="I117" t="s">
        <v>27</v>
      </c>
      <c r="J117">
        <v>166315</v>
      </c>
      <c r="K117">
        <v>3799</v>
      </c>
      <c r="L117" s="2">
        <v>0.04</v>
      </c>
      <c r="M117">
        <v>7.0000000000000007E-2</v>
      </c>
      <c r="N117" s="2">
        <f>(J117*L117)/1000</f>
        <v>6.6526000000000005</v>
      </c>
      <c r="O117" s="2">
        <f>(J117*M117)/1000</f>
        <v>11.642050000000001</v>
      </c>
    </row>
    <row r="118" spans="2:15">
      <c r="B118" s="23" t="s">
        <v>700</v>
      </c>
      <c r="C118" s="23" t="s">
        <v>68</v>
      </c>
      <c r="D118" s="23" t="s">
        <v>184</v>
      </c>
      <c r="E118" t="s">
        <v>185</v>
      </c>
      <c r="F118" t="s">
        <v>12</v>
      </c>
      <c r="G118" t="s">
        <v>184</v>
      </c>
      <c r="H118" t="s">
        <v>186</v>
      </c>
      <c r="I118" t="s">
        <v>23</v>
      </c>
      <c r="J118">
        <v>4855807</v>
      </c>
      <c r="K118">
        <v>49030</v>
      </c>
      <c r="L118" s="2">
        <v>0.04</v>
      </c>
      <c r="M118">
        <v>7.0000000000000007E-2</v>
      </c>
      <c r="N118" s="2">
        <f>(J118*L118)/1000</f>
        <v>194.23228</v>
      </c>
      <c r="O118" s="2">
        <f>(J118*M118)/1000</f>
        <v>339.90649000000008</v>
      </c>
    </row>
    <row r="119" spans="2:15">
      <c r="B119" s="23" t="s">
        <v>700</v>
      </c>
      <c r="C119" s="23" t="s">
        <v>68</v>
      </c>
      <c r="D119" s="23" t="s">
        <v>187</v>
      </c>
      <c r="E119" t="s">
        <v>188</v>
      </c>
      <c r="F119" t="s">
        <v>12</v>
      </c>
      <c r="G119" t="s">
        <v>187</v>
      </c>
      <c r="H119" t="s">
        <v>189</v>
      </c>
      <c r="I119" t="s">
        <v>23</v>
      </c>
      <c r="J119">
        <v>4680518</v>
      </c>
      <c r="K119">
        <v>51030</v>
      </c>
      <c r="L119" s="2">
        <v>0.04</v>
      </c>
      <c r="M119">
        <v>7.0000000000000007E-2</v>
      </c>
      <c r="N119" s="2">
        <f>(J119*L119)/1000</f>
        <v>187.22072</v>
      </c>
      <c r="O119" s="2">
        <f>(J119*M119)/1000</f>
        <v>327.63625999999999</v>
      </c>
    </row>
    <row r="120" spans="2:15">
      <c r="B120" s="23" t="s">
        <v>700</v>
      </c>
      <c r="C120" s="23" t="s">
        <v>68</v>
      </c>
      <c r="D120" s="23" t="s">
        <v>625</v>
      </c>
      <c r="E120" t="s">
        <v>626</v>
      </c>
      <c r="F120" t="s">
        <v>12</v>
      </c>
      <c r="G120" t="s">
        <v>625</v>
      </c>
      <c r="H120" t="s">
        <v>627</v>
      </c>
      <c r="I120" t="s">
        <v>23</v>
      </c>
      <c r="J120">
        <v>147132</v>
      </c>
      <c r="K120">
        <v>2038</v>
      </c>
      <c r="L120" s="2">
        <v>0.04</v>
      </c>
      <c r="M120">
        <v>7.0000000000000007E-2</v>
      </c>
      <c r="N120" s="2">
        <f>(J120*L120)/1000</f>
        <v>5.8852799999999998</v>
      </c>
      <c r="O120" s="2">
        <f>(J120*M120)/1000</f>
        <v>10.299240000000001</v>
      </c>
    </row>
    <row r="121" spans="2:15">
      <c r="B121" s="23" t="s">
        <v>700</v>
      </c>
      <c r="C121" s="23" t="s">
        <v>68</v>
      </c>
      <c r="D121" s="23" t="s">
        <v>628</v>
      </c>
      <c r="E121" t="s">
        <v>629</v>
      </c>
      <c r="F121" t="s">
        <v>12</v>
      </c>
      <c r="G121" t="s">
        <v>628</v>
      </c>
      <c r="H121" t="s">
        <v>630</v>
      </c>
      <c r="I121" t="s">
        <v>23</v>
      </c>
      <c r="J121">
        <v>252661</v>
      </c>
      <c r="K121">
        <v>3422</v>
      </c>
      <c r="L121" s="2">
        <v>0.04</v>
      </c>
      <c r="M121">
        <v>7.0000000000000007E-2</v>
      </c>
      <c r="N121" s="2">
        <f>(J121*L121)/1000</f>
        <v>10.106440000000001</v>
      </c>
      <c r="O121" s="2">
        <f>(J121*M121)/1000</f>
        <v>17.68627</v>
      </c>
    </row>
    <row r="122" spans="2:15">
      <c r="B122" s="23" t="s">
        <v>700</v>
      </c>
      <c r="C122" s="23" t="s">
        <v>68</v>
      </c>
      <c r="D122" s="23" t="s">
        <v>631</v>
      </c>
      <c r="E122" t="s">
        <v>632</v>
      </c>
      <c r="F122" t="s">
        <v>12</v>
      </c>
      <c r="G122" t="s">
        <v>631</v>
      </c>
      <c r="H122" t="s">
        <v>633</v>
      </c>
      <c r="I122" t="s">
        <v>23</v>
      </c>
      <c r="J122">
        <v>157526</v>
      </c>
      <c r="K122">
        <v>2286</v>
      </c>
      <c r="L122" s="2">
        <v>0.04</v>
      </c>
      <c r="M122">
        <v>7.0000000000000007E-2</v>
      </c>
      <c r="N122" s="2">
        <f>(J122*L122)/1000</f>
        <v>6.3010399999999995</v>
      </c>
      <c r="O122" s="2">
        <f>(J122*M122)/1000</f>
        <v>11.026820000000001</v>
      </c>
    </row>
    <row r="123" spans="2:15">
      <c r="B123" s="23" t="s">
        <v>700</v>
      </c>
      <c r="C123" s="23" t="s">
        <v>68</v>
      </c>
      <c r="D123" s="23" t="s">
        <v>634</v>
      </c>
      <c r="E123" t="s">
        <v>635</v>
      </c>
      <c r="F123" t="s">
        <v>12</v>
      </c>
      <c r="G123" t="s">
        <v>634</v>
      </c>
      <c r="H123" t="s">
        <v>636</v>
      </c>
      <c r="I123" t="s">
        <v>23</v>
      </c>
      <c r="J123">
        <v>210617</v>
      </c>
      <c r="K123">
        <v>3035</v>
      </c>
      <c r="L123" s="2">
        <v>0.04</v>
      </c>
      <c r="M123">
        <v>7.0000000000000007E-2</v>
      </c>
      <c r="N123" s="2">
        <f>(J123*L123)/1000</f>
        <v>8.4246800000000004</v>
      </c>
      <c r="O123" s="2">
        <f>(J123*M123)/1000</f>
        <v>14.74319</v>
      </c>
    </row>
    <row r="124" spans="2:15">
      <c r="B124" s="23" t="s">
        <v>700</v>
      </c>
      <c r="C124" s="23" t="s">
        <v>75</v>
      </c>
      <c r="D124" s="23" t="s">
        <v>190</v>
      </c>
      <c r="E124" t="s">
        <v>191</v>
      </c>
      <c r="F124" t="s">
        <v>11</v>
      </c>
      <c r="G124" t="s">
        <v>30</v>
      </c>
      <c r="H124" t="s">
        <v>192</v>
      </c>
      <c r="I124" t="s">
        <v>27</v>
      </c>
      <c r="J124">
        <v>2</v>
      </c>
      <c r="K124">
        <v>0</v>
      </c>
      <c r="L124" s="2">
        <v>0.04</v>
      </c>
      <c r="M124">
        <v>7.0000000000000007E-2</v>
      </c>
      <c r="N124" s="2">
        <f>(J124*L124)/1000</f>
        <v>8.0000000000000007E-5</v>
      </c>
      <c r="O124" s="2">
        <f>(J124*M124)/1000</f>
        <v>1.4000000000000001E-4</v>
      </c>
    </row>
    <row r="125" spans="2:15">
      <c r="B125" s="23" t="s">
        <v>700</v>
      </c>
      <c r="C125" s="23" t="s">
        <v>75</v>
      </c>
      <c r="D125" s="23" t="s">
        <v>190</v>
      </c>
      <c r="E125" t="s">
        <v>191</v>
      </c>
      <c r="F125" t="s">
        <v>12</v>
      </c>
      <c r="G125" t="s">
        <v>190</v>
      </c>
      <c r="H125" t="s">
        <v>193</v>
      </c>
      <c r="I125" t="s">
        <v>27</v>
      </c>
      <c r="J125">
        <v>1732442</v>
      </c>
      <c r="K125">
        <v>1310</v>
      </c>
      <c r="L125" s="2">
        <v>0.04</v>
      </c>
      <c r="M125">
        <v>7.0000000000000007E-2</v>
      </c>
      <c r="N125" s="2">
        <f>(J125*L125)/1000</f>
        <v>69.297680000000014</v>
      </c>
      <c r="O125" s="2">
        <f>(J125*M125)/1000</f>
        <v>121.27094000000001</v>
      </c>
    </row>
    <row r="126" spans="2:15">
      <c r="B126" s="23" t="s">
        <v>700</v>
      </c>
      <c r="C126" s="23" t="s">
        <v>75</v>
      </c>
      <c r="D126" s="23" t="s">
        <v>194</v>
      </c>
      <c r="E126" t="s">
        <v>195</v>
      </c>
      <c r="F126" t="s">
        <v>12</v>
      </c>
      <c r="G126" t="s">
        <v>194</v>
      </c>
      <c r="H126" t="s">
        <v>196</v>
      </c>
      <c r="I126" t="s">
        <v>23</v>
      </c>
      <c r="J126">
        <v>5327620</v>
      </c>
      <c r="K126">
        <v>9997</v>
      </c>
      <c r="L126" s="2">
        <v>0.04</v>
      </c>
      <c r="M126">
        <v>7.0000000000000007E-2</v>
      </c>
      <c r="N126" s="2">
        <f>(J126*L126)/1000</f>
        <v>213.10480000000001</v>
      </c>
      <c r="O126" s="2">
        <f>(J126*M126)/1000</f>
        <v>372.93340000000001</v>
      </c>
    </row>
    <row r="127" spans="2:15">
      <c r="B127" s="23" t="s">
        <v>700</v>
      </c>
      <c r="C127" s="23" t="s">
        <v>75</v>
      </c>
      <c r="D127" s="23" t="s">
        <v>197</v>
      </c>
      <c r="E127" t="s">
        <v>198</v>
      </c>
      <c r="F127" t="s">
        <v>12</v>
      </c>
      <c r="G127" t="s">
        <v>197</v>
      </c>
      <c r="H127" t="s">
        <v>199</v>
      </c>
      <c r="I127" t="s">
        <v>27</v>
      </c>
      <c r="J127">
        <v>449057</v>
      </c>
      <c r="K127">
        <v>573</v>
      </c>
      <c r="L127" s="2">
        <v>0.04</v>
      </c>
      <c r="M127">
        <v>7.0000000000000007E-2</v>
      </c>
      <c r="N127" s="2">
        <f>(J127*L127)/1000</f>
        <v>17.96228</v>
      </c>
      <c r="O127" s="2">
        <f>(J127*M127)/1000</f>
        <v>31.433990000000001</v>
      </c>
    </row>
    <row r="128" spans="2:15">
      <c r="B128" s="23" t="s">
        <v>700</v>
      </c>
      <c r="C128" s="23" t="s">
        <v>75</v>
      </c>
      <c r="D128" s="23" t="s">
        <v>200</v>
      </c>
      <c r="E128" t="s">
        <v>201</v>
      </c>
      <c r="F128" t="s">
        <v>12</v>
      </c>
      <c r="G128" t="s">
        <v>200</v>
      </c>
      <c r="H128" t="s">
        <v>202</v>
      </c>
      <c r="I128" t="s">
        <v>27</v>
      </c>
      <c r="J128">
        <v>1877698</v>
      </c>
      <c r="K128">
        <v>4550</v>
      </c>
      <c r="L128" s="2">
        <v>0.04</v>
      </c>
      <c r="M128">
        <v>7.0000000000000007E-2</v>
      </c>
      <c r="N128" s="2">
        <f>(J128*L128)/1000</f>
        <v>75.107919999999993</v>
      </c>
      <c r="O128" s="2">
        <f>(J128*M128)/1000</f>
        <v>131.43886000000001</v>
      </c>
    </row>
    <row r="129" spans="2:15">
      <c r="B129" s="23" t="s">
        <v>700</v>
      </c>
      <c r="C129" s="23" t="s">
        <v>75</v>
      </c>
      <c r="D129" s="23" t="s">
        <v>203</v>
      </c>
      <c r="E129" t="s">
        <v>204</v>
      </c>
      <c r="F129" t="s">
        <v>12</v>
      </c>
      <c r="G129" t="s">
        <v>203</v>
      </c>
      <c r="H129" t="s">
        <v>205</v>
      </c>
      <c r="I129" t="s">
        <v>27</v>
      </c>
      <c r="J129">
        <v>224847</v>
      </c>
      <c r="K129">
        <v>247</v>
      </c>
      <c r="L129" s="2">
        <v>0.04</v>
      </c>
      <c r="M129">
        <v>7.0000000000000007E-2</v>
      </c>
      <c r="N129" s="2">
        <f>(J129*L129)/1000</f>
        <v>8.9938800000000008</v>
      </c>
      <c r="O129" s="2">
        <f>(J129*M129)/1000</f>
        <v>15.73929</v>
      </c>
    </row>
    <row r="130" spans="2:15">
      <c r="B130" s="23" t="s">
        <v>700</v>
      </c>
      <c r="C130" s="23" t="s">
        <v>75</v>
      </c>
      <c r="D130" s="23" t="s">
        <v>206</v>
      </c>
      <c r="E130" t="s">
        <v>207</v>
      </c>
      <c r="F130" t="s">
        <v>12</v>
      </c>
      <c r="G130" t="s">
        <v>206</v>
      </c>
      <c r="H130" t="s">
        <v>208</v>
      </c>
      <c r="I130" t="s">
        <v>23</v>
      </c>
      <c r="J130">
        <v>7906</v>
      </c>
      <c r="K130">
        <v>9</v>
      </c>
      <c r="L130" s="2">
        <v>0.04</v>
      </c>
      <c r="M130">
        <v>7.0000000000000007E-2</v>
      </c>
      <c r="N130" s="2">
        <f>(J130*L130)/1000</f>
        <v>0.31624000000000002</v>
      </c>
      <c r="O130" s="2">
        <f>(J130*M130)/1000</f>
        <v>0.55342000000000002</v>
      </c>
    </row>
    <row r="131" spans="2:15">
      <c r="B131" s="23" t="s">
        <v>700</v>
      </c>
      <c r="C131" s="23" t="s">
        <v>75</v>
      </c>
      <c r="D131" s="23" t="s">
        <v>209</v>
      </c>
      <c r="E131" t="s">
        <v>210</v>
      </c>
      <c r="F131" t="s">
        <v>12</v>
      </c>
      <c r="G131" t="s">
        <v>209</v>
      </c>
      <c r="H131" t="s">
        <v>211</v>
      </c>
      <c r="I131" t="s">
        <v>27</v>
      </c>
      <c r="J131">
        <v>71241</v>
      </c>
      <c r="K131">
        <v>37</v>
      </c>
      <c r="L131" s="2">
        <v>0.04</v>
      </c>
      <c r="M131">
        <v>7.0000000000000007E-2</v>
      </c>
      <c r="N131" s="2">
        <f>(J131*L131)/1000</f>
        <v>2.84964</v>
      </c>
      <c r="O131" s="2">
        <f>(J131*M131)/1000</f>
        <v>4.9868700000000006</v>
      </c>
    </row>
    <row r="132" spans="2:15">
      <c r="B132" s="23" t="s">
        <v>700</v>
      </c>
      <c r="C132" s="23" t="s">
        <v>75</v>
      </c>
      <c r="D132" s="23" t="s">
        <v>212</v>
      </c>
      <c r="E132" t="s">
        <v>213</v>
      </c>
      <c r="F132" t="s">
        <v>11</v>
      </c>
      <c r="G132" t="s">
        <v>30</v>
      </c>
      <c r="H132" t="s">
        <v>192</v>
      </c>
      <c r="I132" t="s">
        <v>27</v>
      </c>
      <c r="J132">
        <v>2</v>
      </c>
      <c r="K132">
        <v>0</v>
      </c>
      <c r="L132" s="2">
        <v>0.04</v>
      </c>
      <c r="M132">
        <v>7.0000000000000007E-2</v>
      </c>
      <c r="N132" s="2">
        <f>(J132*L132)/1000</f>
        <v>8.0000000000000007E-5</v>
      </c>
      <c r="O132" s="2">
        <f>(J132*M132)/1000</f>
        <v>1.4000000000000001E-4</v>
      </c>
    </row>
    <row r="133" spans="2:15">
      <c r="B133" s="23" t="s">
        <v>700</v>
      </c>
      <c r="C133" s="23" t="s">
        <v>75</v>
      </c>
      <c r="D133" s="23" t="s">
        <v>212</v>
      </c>
      <c r="E133" t="s">
        <v>213</v>
      </c>
      <c r="F133" t="s">
        <v>12</v>
      </c>
      <c r="G133" t="s">
        <v>212</v>
      </c>
      <c r="H133" t="s">
        <v>214</v>
      </c>
      <c r="I133" t="s">
        <v>27</v>
      </c>
      <c r="J133">
        <v>456593</v>
      </c>
      <c r="K133">
        <v>463</v>
      </c>
      <c r="L133" s="2">
        <v>0.04</v>
      </c>
      <c r="M133">
        <v>7.0000000000000007E-2</v>
      </c>
      <c r="N133" s="2">
        <f>(J133*L133)/1000</f>
        <v>18.263720000000003</v>
      </c>
      <c r="O133" s="2">
        <f>(J133*M133)/1000</f>
        <v>31.961510000000001</v>
      </c>
    </row>
    <row r="134" spans="2:15">
      <c r="B134" s="23" t="s">
        <v>700</v>
      </c>
      <c r="C134" s="23" t="s">
        <v>75</v>
      </c>
      <c r="D134" s="23" t="s">
        <v>215</v>
      </c>
      <c r="E134" t="s">
        <v>216</v>
      </c>
      <c r="F134" t="s">
        <v>11</v>
      </c>
      <c r="G134" t="s">
        <v>30</v>
      </c>
      <c r="H134" t="s">
        <v>192</v>
      </c>
      <c r="I134" t="s">
        <v>27</v>
      </c>
      <c r="J134">
        <v>1</v>
      </c>
      <c r="K134">
        <v>0</v>
      </c>
      <c r="L134" s="2">
        <v>0.04</v>
      </c>
      <c r="M134">
        <v>7.0000000000000007E-2</v>
      </c>
      <c r="N134" s="2">
        <f>(J134*L134)/1000</f>
        <v>4.0000000000000003E-5</v>
      </c>
      <c r="O134" s="2">
        <f>(J134*M134)/1000</f>
        <v>7.0000000000000007E-5</v>
      </c>
    </row>
    <row r="135" spans="2:15">
      <c r="B135" s="23" t="s">
        <v>700</v>
      </c>
      <c r="C135" s="23" t="s">
        <v>75</v>
      </c>
      <c r="D135" s="23" t="s">
        <v>215</v>
      </c>
      <c r="E135" t="s">
        <v>216</v>
      </c>
      <c r="F135" t="s">
        <v>12</v>
      </c>
      <c r="G135" t="s">
        <v>215</v>
      </c>
      <c r="H135" t="s">
        <v>217</v>
      </c>
      <c r="I135" t="s">
        <v>27</v>
      </c>
      <c r="J135">
        <v>459744</v>
      </c>
      <c r="K135">
        <v>409</v>
      </c>
      <c r="L135" s="2">
        <v>0.04</v>
      </c>
      <c r="M135">
        <v>7.0000000000000007E-2</v>
      </c>
      <c r="N135" s="2">
        <f>(J135*L135)/1000</f>
        <v>18.389760000000003</v>
      </c>
      <c r="O135" s="2">
        <f>(J135*M135)/1000</f>
        <v>32.182079999999999</v>
      </c>
    </row>
    <row r="136" spans="2:15">
      <c r="B136" s="23" t="s">
        <v>700</v>
      </c>
      <c r="C136" s="23" t="s">
        <v>75</v>
      </c>
      <c r="D136" s="23" t="s">
        <v>218</v>
      </c>
      <c r="E136" t="s">
        <v>219</v>
      </c>
      <c r="F136" t="s">
        <v>12</v>
      </c>
      <c r="G136" t="s">
        <v>218</v>
      </c>
      <c r="H136" t="s">
        <v>220</v>
      </c>
      <c r="I136" t="s">
        <v>27</v>
      </c>
      <c r="J136">
        <v>458636</v>
      </c>
      <c r="K136">
        <v>420</v>
      </c>
      <c r="L136" s="2">
        <v>0.04</v>
      </c>
      <c r="M136">
        <v>7.0000000000000007E-2</v>
      </c>
      <c r="N136" s="2">
        <f>(J136*L136)/1000</f>
        <v>18.34544</v>
      </c>
      <c r="O136" s="2">
        <f>(J136*M136)/1000</f>
        <v>32.104520000000001</v>
      </c>
    </row>
    <row r="137" spans="2:15">
      <c r="B137" s="23" t="s">
        <v>700</v>
      </c>
      <c r="C137" s="23" t="s">
        <v>75</v>
      </c>
      <c r="D137" s="23" t="s">
        <v>221</v>
      </c>
      <c r="E137" t="s">
        <v>222</v>
      </c>
      <c r="F137" t="s">
        <v>12</v>
      </c>
      <c r="G137" t="s">
        <v>221</v>
      </c>
      <c r="H137" t="s">
        <v>223</v>
      </c>
      <c r="I137" t="s">
        <v>27</v>
      </c>
      <c r="J137">
        <v>60941</v>
      </c>
      <c r="K137">
        <v>68</v>
      </c>
      <c r="L137" s="2">
        <v>0.04</v>
      </c>
      <c r="M137">
        <v>7.0000000000000007E-2</v>
      </c>
      <c r="N137" s="2">
        <f>(J137*L137)/1000</f>
        <v>2.43764</v>
      </c>
      <c r="O137" s="2">
        <f>(J137*M137)/1000</f>
        <v>4.2658700000000005</v>
      </c>
    </row>
    <row r="138" spans="2:15">
      <c r="B138" s="23" t="s">
        <v>700</v>
      </c>
      <c r="C138" s="23" t="s">
        <v>75</v>
      </c>
      <c r="D138" s="23" t="s">
        <v>224</v>
      </c>
      <c r="E138" t="s">
        <v>225</v>
      </c>
      <c r="F138" t="s">
        <v>11</v>
      </c>
      <c r="G138" t="s">
        <v>36</v>
      </c>
      <c r="H138" t="s">
        <v>170</v>
      </c>
      <c r="I138" t="s">
        <v>27</v>
      </c>
      <c r="J138">
        <v>1</v>
      </c>
      <c r="K138">
        <v>0</v>
      </c>
      <c r="L138" s="2">
        <v>0.04</v>
      </c>
      <c r="M138">
        <v>7.0000000000000007E-2</v>
      </c>
      <c r="N138" s="2">
        <f>(J138*L138)/1000</f>
        <v>4.0000000000000003E-5</v>
      </c>
      <c r="O138" s="2">
        <f>(J138*M138)/1000</f>
        <v>7.0000000000000007E-5</v>
      </c>
    </row>
    <row r="139" spans="2:15">
      <c r="B139" s="23" t="s">
        <v>700</v>
      </c>
      <c r="C139" s="23" t="s">
        <v>75</v>
      </c>
      <c r="D139" s="23" t="s">
        <v>224</v>
      </c>
      <c r="E139" t="s">
        <v>225</v>
      </c>
      <c r="F139" t="s">
        <v>12</v>
      </c>
      <c r="G139" t="s">
        <v>224</v>
      </c>
      <c r="H139" t="s">
        <v>226</v>
      </c>
      <c r="I139" t="s">
        <v>27</v>
      </c>
      <c r="J139">
        <v>1764172</v>
      </c>
      <c r="K139">
        <v>4024</v>
      </c>
      <c r="L139" s="2">
        <v>0.04</v>
      </c>
      <c r="M139">
        <v>7.0000000000000007E-2</v>
      </c>
      <c r="N139" s="2">
        <f>(J139*L139)/1000</f>
        <v>70.566879999999998</v>
      </c>
      <c r="O139" s="2">
        <f>(J139*M139)/1000</f>
        <v>123.49204</v>
      </c>
    </row>
    <row r="140" spans="2:15">
      <c r="B140" s="23" t="s">
        <v>701</v>
      </c>
      <c r="C140" s="23" t="s">
        <v>39</v>
      </c>
      <c r="D140" s="23" t="s">
        <v>227</v>
      </c>
      <c r="E140" t="s">
        <v>228</v>
      </c>
      <c r="F140" t="s">
        <v>12</v>
      </c>
      <c r="G140" t="s">
        <v>227</v>
      </c>
      <c r="H140" t="s">
        <v>229</v>
      </c>
      <c r="I140" t="s">
        <v>27</v>
      </c>
      <c r="J140">
        <v>4182</v>
      </c>
      <c r="K140">
        <v>4</v>
      </c>
      <c r="L140" s="2">
        <v>0.04</v>
      </c>
      <c r="M140">
        <v>7.0000000000000007E-2</v>
      </c>
      <c r="N140" s="2">
        <f>(J140*L140)/1000</f>
        <v>0.16728000000000001</v>
      </c>
      <c r="O140" s="2">
        <f>(J140*M140)/1000</f>
        <v>0.29274</v>
      </c>
    </row>
    <row r="141" spans="2:15">
      <c r="B141" s="23" t="s">
        <v>701</v>
      </c>
      <c r="C141" s="23" t="s">
        <v>39</v>
      </c>
      <c r="D141" s="23" t="s">
        <v>230</v>
      </c>
      <c r="E141" t="s">
        <v>231</v>
      </c>
      <c r="F141" t="s">
        <v>12</v>
      </c>
      <c r="G141" t="s">
        <v>230</v>
      </c>
      <c r="H141" t="s">
        <v>232</v>
      </c>
      <c r="I141" t="s">
        <v>27</v>
      </c>
      <c r="J141">
        <v>4691</v>
      </c>
      <c r="K141">
        <v>9</v>
      </c>
      <c r="L141" s="2">
        <v>0.04</v>
      </c>
      <c r="M141">
        <v>7.0000000000000007E-2</v>
      </c>
      <c r="N141" s="2">
        <f>(J141*L141)/1000</f>
        <v>0.18764</v>
      </c>
      <c r="O141" s="2">
        <f>(J141*M141)/1000</f>
        <v>0.32837</v>
      </c>
    </row>
    <row r="142" spans="2:15">
      <c r="B142" s="23" t="s">
        <v>701</v>
      </c>
      <c r="C142" s="23" t="s">
        <v>39</v>
      </c>
      <c r="D142" s="23" t="s">
        <v>233</v>
      </c>
      <c r="E142" t="s">
        <v>234</v>
      </c>
      <c r="F142" t="s">
        <v>12</v>
      </c>
      <c r="G142" t="s">
        <v>233</v>
      </c>
      <c r="H142" t="s">
        <v>235</v>
      </c>
      <c r="I142" t="s">
        <v>27</v>
      </c>
      <c r="J142">
        <v>10840</v>
      </c>
      <c r="K142">
        <v>37</v>
      </c>
      <c r="L142" s="2">
        <v>0.04</v>
      </c>
      <c r="M142">
        <v>7.0000000000000007E-2</v>
      </c>
      <c r="N142" s="2">
        <f>(J142*L142)/1000</f>
        <v>0.43360000000000004</v>
      </c>
      <c r="O142" s="2">
        <f>(J142*M142)/1000</f>
        <v>0.75880000000000003</v>
      </c>
    </row>
    <row r="143" spans="2:15">
      <c r="B143" s="23" t="s">
        <v>701</v>
      </c>
      <c r="C143" s="23" t="s">
        <v>39</v>
      </c>
      <c r="D143" s="23" t="s">
        <v>236</v>
      </c>
      <c r="E143" t="s">
        <v>237</v>
      </c>
      <c r="F143" t="s">
        <v>12</v>
      </c>
      <c r="G143" t="s">
        <v>236</v>
      </c>
      <c r="H143" t="s">
        <v>238</v>
      </c>
      <c r="I143" t="s">
        <v>27</v>
      </c>
      <c r="J143">
        <v>233699</v>
      </c>
      <c r="K143">
        <v>1325</v>
      </c>
      <c r="L143" s="2">
        <v>0.04</v>
      </c>
      <c r="M143">
        <v>7.0000000000000007E-2</v>
      </c>
      <c r="N143" s="2">
        <f>(J143*L143)/1000</f>
        <v>9.3479600000000005</v>
      </c>
      <c r="O143" s="2">
        <f>(J143*M143)/1000</f>
        <v>16.358930000000001</v>
      </c>
    </row>
    <row r="144" spans="2:15">
      <c r="B144" s="23" t="s">
        <v>701</v>
      </c>
      <c r="C144" s="23" t="s">
        <v>39</v>
      </c>
      <c r="D144" s="23" t="s">
        <v>239</v>
      </c>
      <c r="E144" t="s">
        <v>240</v>
      </c>
      <c r="F144" t="s">
        <v>12</v>
      </c>
      <c r="G144" t="s">
        <v>239</v>
      </c>
      <c r="H144" t="s">
        <v>241</v>
      </c>
      <c r="I144" t="s">
        <v>27</v>
      </c>
      <c r="J144">
        <v>85877</v>
      </c>
      <c r="K144">
        <v>1169</v>
      </c>
      <c r="L144" s="2">
        <v>0.04</v>
      </c>
      <c r="M144">
        <v>7.0000000000000007E-2</v>
      </c>
      <c r="N144" s="2">
        <f>(J144*L144)/1000</f>
        <v>3.4350800000000001</v>
      </c>
      <c r="O144" s="2">
        <f>(J144*M144)/1000</f>
        <v>6.0113900000000005</v>
      </c>
    </row>
    <row r="145" spans="2:15">
      <c r="B145" s="23" t="s">
        <v>701</v>
      </c>
      <c r="C145" s="23" t="s">
        <v>39</v>
      </c>
      <c r="D145" s="23" t="s">
        <v>242</v>
      </c>
      <c r="E145" t="s">
        <v>243</v>
      </c>
      <c r="F145" t="s">
        <v>12</v>
      </c>
      <c r="G145" t="s">
        <v>242</v>
      </c>
      <c r="H145" t="s">
        <v>244</v>
      </c>
      <c r="I145" t="s">
        <v>27</v>
      </c>
      <c r="J145">
        <v>327426</v>
      </c>
      <c r="K145">
        <v>1120</v>
      </c>
      <c r="L145" s="2">
        <v>0.04</v>
      </c>
      <c r="M145">
        <v>7.0000000000000007E-2</v>
      </c>
      <c r="N145" s="2">
        <f>(J145*L145)/1000</f>
        <v>13.097040000000002</v>
      </c>
      <c r="O145" s="2">
        <f>(J145*M145)/1000</f>
        <v>22.919820000000005</v>
      </c>
    </row>
    <row r="146" spans="2:15">
      <c r="B146" s="23" t="s">
        <v>701</v>
      </c>
      <c r="C146" s="23" t="s">
        <v>39</v>
      </c>
      <c r="D146" s="23" t="s">
        <v>245</v>
      </c>
      <c r="E146" t="s">
        <v>246</v>
      </c>
      <c r="F146" t="s">
        <v>12</v>
      </c>
      <c r="G146" t="s">
        <v>245</v>
      </c>
      <c r="H146" t="s">
        <v>247</v>
      </c>
      <c r="I146" t="s">
        <v>27</v>
      </c>
      <c r="J146">
        <v>57161</v>
      </c>
      <c r="K146">
        <v>239</v>
      </c>
      <c r="L146" s="2">
        <v>0.04</v>
      </c>
      <c r="M146">
        <v>7.0000000000000007E-2</v>
      </c>
      <c r="N146" s="2">
        <f>(J146*L146)/1000</f>
        <v>2.2864400000000002</v>
      </c>
      <c r="O146" s="2">
        <f>(J146*M146)/1000</f>
        <v>4.0012700000000008</v>
      </c>
    </row>
    <row r="147" spans="2:15">
      <c r="B147" s="23" t="s">
        <v>701</v>
      </c>
      <c r="C147" s="23" t="s">
        <v>39</v>
      </c>
      <c r="D147" s="23" t="s">
        <v>248</v>
      </c>
      <c r="E147" t="s">
        <v>249</v>
      </c>
      <c r="F147" t="s">
        <v>12</v>
      </c>
      <c r="G147" t="s">
        <v>248</v>
      </c>
      <c r="H147" t="s">
        <v>250</v>
      </c>
      <c r="I147" t="s">
        <v>27</v>
      </c>
      <c r="J147">
        <v>12895</v>
      </c>
      <c r="K147">
        <v>77</v>
      </c>
      <c r="L147" s="2">
        <v>0.04</v>
      </c>
      <c r="M147">
        <v>7.0000000000000007E-2</v>
      </c>
      <c r="N147" s="2">
        <f>(J147*L147)/1000</f>
        <v>0.51579999999999993</v>
      </c>
      <c r="O147" s="2">
        <f>(J147*M147)/1000</f>
        <v>0.90265000000000006</v>
      </c>
    </row>
    <row r="148" spans="2:15">
      <c r="B148" s="23" t="s">
        <v>701</v>
      </c>
      <c r="C148" s="23" t="s">
        <v>39</v>
      </c>
      <c r="D148" s="23" t="s">
        <v>251</v>
      </c>
      <c r="E148" t="s">
        <v>252</v>
      </c>
      <c r="F148" t="s">
        <v>12</v>
      </c>
      <c r="G148" t="s">
        <v>251</v>
      </c>
      <c r="H148" t="s">
        <v>253</v>
      </c>
      <c r="I148" t="s">
        <v>27</v>
      </c>
      <c r="J148">
        <v>4077</v>
      </c>
      <c r="K148">
        <v>6</v>
      </c>
      <c r="L148" s="2">
        <v>0.04</v>
      </c>
      <c r="M148">
        <v>7.0000000000000007E-2</v>
      </c>
      <c r="N148" s="2">
        <f>(J148*L148)/1000</f>
        <v>0.16308</v>
      </c>
      <c r="O148" s="2">
        <f>(J148*M148)/1000</f>
        <v>0.28539000000000003</v>
      </c>
    </row>
    <row r="149" spans="2:15">
      <c r="B149" s="23" t="s">
        <v>701</v>
      </c>
      <c r="C149" s="23" t="s">
        <v>39</v>
      </c>
      <c r="D149" s="23" t="s">
        <v>254</v>
      </c>
      <c r="E149" t="s">
        <v>255</v>
      </c>
      <c r="F149" t="s">
        <v>12</v>
      </c>
      <c r="G149" t="s">
        <v>254</v>
      </c>
      <c r="H149" t="s">
        <v>256</v>
      </c>
      <c r="I149" t="s">
        <v>27</v>
      </c>
      <c r="J149">
        <v>9920</v>
      </c>
      <c r="K149">
        <v>8</v>
      </c>
      <c r="L149" s="2">
        <v>0.04</v>
      </c>
      <c r="M149">
        <v>7.0000000000000007E-2</v>
      </c>
      <c r="N149" s="2">
        <f>(J149*L149)/1000</f>
        <v>0.39679999999999999</v>
      </c>
      <c r="O149" s="2">
        <f>(J149*M149)/1000</f>
        <v>0.69440000000000013</v>
      </c>
    </row>
    <row r="150" spans="2:15">
      <c r="B150" s="23" t="s">
        <v>701</v>
      </c>
      <c r="C150" s="23" t="s">
        <v>39</v>
      </c>
      <c r="D150" s="23" t="s">
        <v>257</v>
      </c>
      <c r="E150" t="s">
        <v>258</v>
      </c>
      <c r="F150" t="s">
        <v>12</v>
      </c>
      <c r="G150" t="s">
        <v>257</v>
      </c>
      <c r="H150" t="s">
        <v>259</v>
      </c>
      <c r="I150" t="s">
        <v>27</v>
      </c>
      <c r="J150">
        <v>15162</v>
      </c>
      <c r="K150">
        <v>21</v>
      </c>
      <c r="L150" s="2">
        <v>0.04</v>
      </c>
      <c r="M150">
        <v>7.0000000000000007E-2</v>
      </c>
      <c r="N150" s="2">
        <f>(J150*L150)/1000</f>
        <v>0.60648000000000002</v>
      </c>
      <c r="O150" s="2">
        <f>(J150*M150)/1000</f>
        <v>1.0613400000000002</v>
      </c>
    </row>
    <row r="151" spans="2:15">
      <c r="B151" s="23" t="s">
        <v>701</v>
      </c>
      <c r="C151" s="23" t="s">
        <v>39</v>
      </c>
      <c r="D151" s="23" t="s">
        <v>260</v>
      </c>
      <c r="E151" t="s">
        <v>261</v>
      </c>
      <c r="F151" t="s">
        <v>12</v>
      </c>
      <c r="G151" t="s">
        <v>260</v>
      </c>
      <c r="H151" t="s">
        <v>262</v>
      </c>
      <c r="I151" t="s">
        <v>27</v>
      </c>
      <c r="J151">
        <v>758231</v>
      </c>
      <c r="K151">
        <v>4366</v>
      </c>
      <c r="L151" s="2">
        <v>0.04</v>
      </c>
      <c r="M151">
        <v>7.0000000000000007E-2</v>
      </c>
      <c r="N151" s="2">
        <f>(J151*L151)/1000</f>
        <v>30.329240000000002</v>
      </c>
      <c r="O151" s="2">
        <f>(J151*M151)/1000</f>
        <v>53.076170000000005</v>
      </c>
    </row>
    <row r="152" spans="2:15">
      <c r="B152" s="23" t="s">
        <v>701</v>
      </c>
      <c r="C152" s="23" t="s">
        <v>39</v>
      </c>
      <c r="D152" s="23" t="s">
        <v>263</v>
      </c>
      <c r="E152" t="s">
        <v>264</v>
      </c>
      <c r="F152" t="s">
        <v>12</v>
      </c>
      <c r="G152" t="s">
        <v>263</v>
      </c>
      <c r="H152" t="s">
        <v>265</v>
      </c>
      <c r="I152" t="s">
        <v>27</v>
      </c>
      <c r="J152">
        <v>81761</v>
      </c>
      <c r="K152">
        <v>1104</v>
      </c>
      <c r="L152" s="2">
        <v>0.04</v>
      </c>
      <c r="M152">
        <v>7.0000000000000007E-2</v>
      </c>
      <c r="N152" s="2">
        <f>(J152*L152)/1000</f>
        <v>3.2704400000000002</v>
      </c>
      <c r="O152" s="2">
        <f>(J152*M152)/1000</f>
        <v>5.7232700000000003</v>
      </c>
    </row>
    <row r="153" spans="2:15">
      <c r="B153" s="23" t="s">
        <v>701</v>
      </c>
      <c r="C153" s="23" t="s">
        <v>39</v>
      </c>
      <c r="D153" s="23" t="s">
        <v>266</v>
      </c>
      <c r="E153" t="s">
        <v>267</v>
      </c>
      <c r="F153" t="s">
        <v>12</v>
      </c>
      <c r="G153" t="s">
        <v>266</v>
      </c>
      <c r="H153" t="s">
        <v>268</v>
      </c>
      <c r="I153" t="s">
        <v>27</v>
      </c>
      <c r="J153">
        <v>406681</v>
      </c>
      <c r="K153">
        <v>1200</v>
      </c>
      <c r="L153" s="2">
        <v>0.04</v>
      </c>
      <c r="M153">
        <v>7.0000000000000007E-2</v>
      </c>
      <c r="N153" s="2">
        <f>(J153*L153)/1000</f>
        <v>16.267240000000001</v>
      </c>
      <c r="O153" s="2">
        <f>(J153*M153)/1000</f>
        <v>28.467670000000002</v>
      </c>
    </row>
    <row r="154" spans="2:15">
      <c r="B154" s="23" t="s">
        <v>701</v>
      </c>
      <c r="C154" s="23" t="s">
        <v>39</v>
      </c>
      <c r="D154" s="23" t="s">
        <v>269</v>
      </c>
      <c r="E154" t="s">
        <v>270</v>
      </c>
      <c r="F154" t="s">
        <v>12</v>
      </c>
      <c r="G154" t="s">
        <v>269</v>
      </c>
      <c r="H154" t="s">
        <v>271</v>
      </c>
      <c r="I154" t="s">
        <v>27</v>
      </c>
      <c r="J154">
        <v>63242</v>
      </c>
      <c r="K154">
        <v>220</v>
      </c>
      <c r="L154" s="2">
        <v>0.04</v>
      </c>
      <c r="M154">
        <v>7.0000000000000007E-2</v>
      </c>
      <c r="N154" s="2">
        <f>(J154*L154)/1000</f>
        <v>2.5296799999999999</v>
      </c>
      <c r="O154" s="2">
        <f>(J154*M154)/1000</f>
        <v>4.4269400000000001</v>
      </c>
    </row>
    <row r="155" spans="2:15">
      <c r="B155" s="23" t="s">
        <v>701</v>
      </c>
      <c r="C155" s="23" t="s">
        <v>39</v>
      </c>
      <c r="D155" s="23" t="s">
        <v>272</v>
      </c>
      <c r="E155" t="s">
        <v>273</v>
      </c>
      <c r="F155" t="s">
        <v>12</v>
      </c>
      <c r="G155" t="s">
        <v>272</v>
      </c>
      <c r="H155" t="s">
        <v>274</v>
      </c>
      <c r="I155" t="s">
        <v>27</v>
      </c>
      <c r="J155">
        <v>19343</v>
      </c>
      <c r="K155">
        <v>159</v>
      </c>
      <c r="L155" s="2">
        <v>0.04</v>
      </c>
      <c r="M155">
        <v>7.0000000000000007E-2</v>
      </c>
      <c r="N155" s="2">
        <f>(J155*L155)/1000</f>
        <v>0.77372000000000007</v>
      </c>
      <c r="O155" s="2">
        <f>(J155*M155)/1000</f>
        <v>1.3540100000000002</v>
      </c>
    </row>
    <row r="156" spans="2:15">
      <c r="B156" s="23" t="s">
        <v>701</v>
      </c>
      <c r="C156" s="23" t="s">
        <v>39</v>
      </c>
      <c r="D156" s="23" t="s">
        <v>275</v>
      </c>
      <c r="E156" t="s">
        <v>276</v>
      </c>
      <c r="F156" t="s">
        <v>12</v>
      </c>
      <c r="G156" t="s">
        <v>275</v>
      </c>
      <c r="H156" t="s">
        <v>277</v>
      </c>
      <c r="I156" t="s">
        <v>27</v>
      </c>
      <c r="J156">
        <v>15500</v>
      </c>
      <c r="K156">
        <v>23</v>
      </c>
      <c r="L156" s="2">
        <v>0.04</v>
      </c>
      <c r="M156">
        <v>7.0000000000000007E-2</v>
      </c>
      <c r="N156" s="2">
        <f>(J156*L156)/1000</f>
        <v>0.62</v>
      </c>
      <c r="O156" s="2">
        <f>(J156*M156)/1000</f>
        <v>1.085</v>
      </c>
    </row>
    <row r="157" spans="2:15">
      <c r="B157" s="23" t="s">
        <v>701</v>
      </c>
      <c r="C157" s="23" t="s">
        <v>39</v>
      </c>
      <c r="D157" s="23" t="s">
        <v>278</v>
      </c>
      <c r="E157" t="s">
        <v>279</v>
      </c>
      <c r="F157" t="s">
        <v>12</v>
      </c>
      <c r="G157" t="s">
        <v>278</v>
      </c>
      <c r="H157" t="s">
        <v>280</v>
      </c>
      <c r="I157" t="s">
        <v>27</v>
      </c>
      <c r="J157">
        <v>5533</v>
      </c>
      <c r="K157">
        <v>9</v>
      </c>
      <c r="L157" s="2">
        <v>0.04</v>
      </c>
      <c r="M157">
        <v>7.0000000000000007E-2</v>
      </c>
      <c r="N157" s="2">
        <f>(J157*L157)/1000</f>
        <v>0.22131999999999999</v>
      </c>
      <c r="O157" s="2">
        <f>(J157*M157)/1000</f>
        <v>0.38731000000000004</v>
      </c>
    </row>
    <row r="158" spans="2:15">
      <c r="B158" s="23" t="s">
        <v>701</v>
      </c>
      <c r="C158" s="23" t="s">
        <v>39</v>
      </c>
      <c r="D158" s="23" t="s">
        <v>281</v>
      </c>
      <c r="E158" t="s">
        <v>282</v>
      </c>
      <c r="F158" t="s">
        <v>12</v>
      </c>
      <c r="G158" t="s">
        <v>281</v>
      </c>
      <c r="H158" t="s">
        <v>283</v>
      </c>
      <c r="I158" t="s">
        <v>27</v>
      </c>
      <c r="J158">
        <v>6023</v>
      </c>
      <c r="K158">
        <v>10</v>
      </c>
      <c r="L158" s="2">
        <v>0.04</v>
      </c>
      <c r="M158">
        <v>7.0000000000000007E-2</v>
      </c>
      <c r="N158" s="2">
        <f>(J158*L158)/1000</f>
        <v>0.24092000000000002</v>
      </c>
      <c r="O158" s="2">
        <f>(J158*M158)/1000</f>
        <v>0.42161000000000004</v>
      </c>
    </row>
    <row r="159" spans="2:15">
      <c r="B159" s="23" t="s">
        <v>701</v>
      </c>
      <c r="C159" s="23" t="s">
        <v>39</v>
      </c>
      <c r="D159" s="23" t="s">
        <v>284</v>
      </c>
      <c r="E159" t="s">
        <v>285</v>
      </c>
      <c r="F159" t="s">
        <v>12</v>
      </c>
      <c r="G159" t="s">
        <v>284</v>
      </c>
      <c r="H159" t="s">
        <v>286</v>
      </c>
      <c r="I159" t="s">
        <v>27</v>
      </c>
      <c r="J159">
        <v>15363</v>
      </c>
      <c r="K159">
        <v>58</v>
      </c>
      <c r="L159" s="2">
        <v>0.04</v>
      </c>
      <c r="M159">
        <v>7.0000000000000007E-2</v>
      </c>
      <c r="N159" s="2">
        <f>(J159*L159)/1000</f>
        <v>0.61451999999999996</v>
      </c>
      <c r="O159" s="2">
        <f>(J159*M159)/1000</f>
        <v>1.07541</v>
      </c>
    </row>
    <row r="160" spans="2:15">
      <c r="B160" s="23" t="s">
        <v>701</v>
      </c>
      <c r="C160" s="23" t="s">
        <v>39</v>
      </c>
      <c r="D160" s="23" t="s">
        <v>287</v>
      </c>
      <c r="E160" t="s">
        <v>288</v>
      </c>
      <c r="F160" t="s">
        <v>12</v>
      </c>
      <c r="G160" t="s">
        <v>287</v>
      </c>
      <c r="H160" t="s">
        <v>289</v>
      </c>
      <c r="I160" t="s">
        <v>27</v>
      </c>
      <c r="J160">
        <v>329314</v>
      </c>
      <c r="K160">
        <v>1815</v>
      </c>
      <c r="L160" s="2">
        <v>0.04</v>
      </c>
      <c r="M160">
        <v>7.0000000000000007E-2</v>
      </c>
      <c r="N160" s="2">
        <f>(J160*L160)/1000</f>
        <v>13.172559999999999</v>
      </c>
      <c r="O160" s="2">
        <f>(J160*M160)/1000</f>
        <v>23.051980000000004</v>
      </c>
    </row>
    <row r="161" spans="2:15">
      <c r="B161" s="23" t="s">
        <v>701</v>
      </c>
      <c r="C161" s="23" t="s">
        <v>39</v>
      </c>
      <c r="D161" s="23" t="s">
        <v>290</v>
      </c>
      <c r="E161" t="s">
        <v>291</v>
      </c>
      <c r="F161" t="s">
        <v>12</v>
      </c>
      <c r="G161" t="s">
        <v>290</v>
      </c>
      <c r="H161" t="s">
        <v>292</v>
      </c>
      <c r="I161" t="s">
        <v>27</v>
      </c>
      <c r="J161">
        <v>365069</v>
      </c>
      <c r="K161">
        <v>5114</v>
      </c>
      <c r="L161" s="2">
        <v>0.04</v>
      </c>
      <c r="M161">
        <v>7.0000000000000007E-2</v>
      </c>
      <c r="N161" s="2">
        <f>(J161*L161)/1000</f>
        <v>14.60276</v>
      </c>
      <c r="O161" s="2">
        <f>(J161*M161)/1000</f>
        <v>25.554830000000003</v>
      </c>
    </row>
    <row r="162" spans="2:15">
      <c r="B162" s="23" t="s">
        <v>701</v>
      </c>
      <c r="C162" s="23" t="s">
        <v>39</v>
      </c>
      <c r="D162" s="23" t="s">
        <v>293</v>
      </c>
      <c r="E162" t="s">
        <v>294</v>
      </c>
      <c r="F162" t="s">
        <v>12</v>
      </c>
      <c r="G162" t="s">
        <v>293</v>
      </c>
      <c r="H162" t="s">
        <v>295</v>
      </c>
      <c r="I162" t="s">
        <v>27</v>
      </c>
      <c r="J162">
        <v>124256</v>
      </c>
      <c r="K162">
        <v>267</v>
      </c>
      <c r="L162" s="2">
        <v>0.04</v>
      </c>
      <c r="M162">
        <v>7.0000000000000007E-2</v>
      </c>
      <c r="N162" s="2">
        <f>(J162*L162)/1000</f>
        <v>4.9702399999999995</v>
      </c>
      <c r="O162" s="2">
        <f>(J162*M162)/1000</f>
        <v>8.6979199999999999</v>
      </c>
    </row>
    <row r="163" spans="2:15">
      <c r="B163" s="23" t="s">
        <v>701</v>
      </c>
      <c r="C163" s="23" t="s">
        <v>39</v>
      </c>
      <c r="D163" s="23" t="s">
        <v>296</v>
      </c>
      <c r="E163" t="s">
        <v>297</v>
      </c>
      <c r="F163" t="s">
        <v>12</v>
      </c>
      <c r="G163" t="s">
        <v>296</v>
      </c>
      <c r="H163" t="s">
        <v>298</v>
      </c>
      <c r="I163" t="s">
        <v>27</v>
      </c>
      <c r="J163">
        <v>55587</v>
      </c>
      <c r="K163">
        <v>183</v>
      </c>
      <c r="L163" s="2">
        <v>0.04</v>
      </c>
      <c r="M163">
        <v>7.0000000000000007E-2</v>
      </c>
      <c r="N163" s="2">
        <f>(J163*L163)/1000</f>
        <v>2.2234799999999999</v>
      </c>
      <c r="O163" s="2">
        <f>(J163*M163)/1000</f>
        <v>3.8910900000000002</v>
      </c>
    </row>
    <row r="164" spans="2:15">
      <c r="B164" s="23" t="s">
        <v>701</v>
      </c>
      <c r="C164" s="23" t="s">
        <v>39</v>
      </c>
      <c r="D164" s="23" t="s">
        <v>299</v>
      </c>
      <c r="E164" t="s">
        <v>300</v>
      </c>
      <c r="F164" t="s">
        <v>12</v>
      </c>
      <c r="G164" t="s">
        <v>299</v>
      </c>
      <c r="H164" t="s">
        <v>301</v>
      </c>
      <c r="I164" t="s">
        <v>27</v>
      </c>
      <c r="J164">
        <v>17539</v>
      </c>
      <c r="K164">
        <v>151</v>
      </c>
      <c r="L164" s="2">
        <v>0.04</v>
      </c>
      <c r="M164">
        <v>7.0000000000000007E-2</v>
      </c>
      <c r="N164" s="2">
        <f>(J164*L164)/1000</f>
        <v>0.70156000000000007</v>
      </c>
      <c r="O164" s="2">
        <f>(J164*M164)/1000</f>
        <v>1.22773</v>
      </c>
    </row>
    <row r="165" spans="2:15">
      <c r="B165" s="23" t="s">
        <v>701</v>
      </c>
      <c r="C165" s="23" t="s">
        <v>39</v>
      </c>
      <c r="D165" s="23" t="s">
        <v>302</v>
      </c>
      <c r="E165" t="s">
        <v>303</v>
      </c>
      <c r="F165" t="s">
        <v>12</v>
      </c>
      <c r="G165" t="s">
        <v>302</v>
      </c>
      <c r="H165" t="s">
        <v>304</v>
      </c>
      <c r="I165" t="s">
        <v>27</v>
      </c>
      <c r="J165">
        <v>5900</v>
      </c>
      <c r="K165">
        <v>9</v>
      </c>
      <c r="L165" s="2">
        <v>0.04</v>
      </c>
      <c r="M165">
        <v>7.0000000000000007E-2</v>
      </c>
      <c r="N165" s="2">
        <f>(J165*L165)/1000</f>
        <v>0.23599999999999999</v>
      </c>
      <c r="O165" s="2">
        <f>(J165*M165)/1000</f>
        <v>0.41300000000000003</v>
      </c>
    </row>
    <row r="166" spans="2:15">
      <c r="B166" s="23" t="s">
        <v>701</v>
      </c>
      <c r="C166" s="23" t="s">
        <v>39</v>
      </c>
      <c r="D166" s="23" t="s">
        <v>305</v>
      </c>
      <c r="E166" t="s">
        <v>306</v>
      </c>
      <c r="F166" t="s">
        <v>12</v>
      </c>
      <c r="G166" t="s">
        <v>305</v>
      </c>
      <c r="H166" t="s">
        <v>307</v>
      </c>
      <c r="I166" t="s">
        <v>27</v>
      </c>
      <c r="J166">
        <v>4881</v>
      </c>
      <c r="K166">
        <v>5</v>
      </c>
      <c r="L166" s="2">
        <v>0.04</v>
      </c>
      <c r="M166">
        <v>7.0000000000000007E-2</v>
      </c>
      <c r="N166" s="2">
        <f>(J166*L166)/1000</f>
        <v>0.19524</v>
      </c>
      <c r="O166" s="2">
        <f>(J166*M166)/1000</f>
        <v>0.34167000000000003</v>
      </c>
    </row>
    <row r="167" spans="2:15">
      <c r="B167" s="23" t="s">
        <v>701</v>
      </c>
      <c r="C167" s="23" t="s">
        <v>39</v>
      </c>
      <c r="D167" s="23" t="s">
        <v>308</v>
      </c>
      <c r="E167" t="s">
        <v>309</v>
      </c>
      <c r="F167" t="s">
        <v>12</v>
      </c>
      <c r="G167" t="s">
        <v>308</v>
      </c>
      <c r="H167" t="s">
        <v>310</v>
      </c>
      <c r="I167" t="s">
        <v>27</v>
      </c>
      <c r="J167">
        <v>4166</v>
      </c>
      <c r="K167">
        <v>9</v>
      </c>
      <c r="L167" s="2">
        <v>0.04</v>
      </c>
      <c r="M167">
        <v>7.0000000000000007E-2</v>
      </c>
      <c r="N167" s="2">
        <f>(J167*L167)/1000</f>
        <v>0.16664000000000001</v>
      </c>
      <c r="O167" s="2">
        <f>(J167*M167)/1000</f>
        <v>0.29161999999999999</v>
      </c>
    </row>
    <row r="168" spans="2:15">
      <c r="B168" s="23" t="s">
        <v>701</v>
      </c>
      <c r="C168" s="23" t="s">
        <v>39</v>
      </c>
      <c r="D168" s="23" t="s">
        <v>311</v>
      </c>
      <c r="E168" t="s">
        <v>312</v>
      </c>
      <c r="F168" t="s">
        <v>12</v>
      </c>
      <c r="G168" t="s">
        <v>311</v>
      </c>
      <c r="H168" t="s">
        <v>313</v>
      </c>
      <c r="I168" t="s">
        <v>27</v>
      </c>
      <c r="J168">
        <v>31983</v>
      </c>
      <c r="K168">
        <v>181</v>
      </c>
      <c r="L168" s="2">
        <v>0.04</v>
      </c>
      <c r="M168">
        <v>7.0000000000000007E-2</v>
      </c>
      <c r="N168" s="2">
        <f>(J168*L168)/1000</f>
        <v>1.27932</v>
      </c>
      <c r="O168" s="2">
        <f>(J168*M168)/1000</f>
        <v>2.2388100000000004</v>
      </c>
    </row>
    <row r="169" spans="2:15">
      <c r="B169" s="23" t="s">
        <v>701</v>
      </c>
      <c r="C169" s="23" t="s">
        <v>39</v>
      </c>
      <c r="D169" s="23" t="s">
        <v>314</v>
      </c>
      <c r="E169" t="s">
        <v>315</v>
      </c>
      <c r="F169" t="s">
        <v>12</v>
      </c>
      <c r="G169" t="s">
        <v>314</v>
      </c>
      <c r="H169" t="s">
        <v>316</v>
      </c>
      <c r="I169" t="s">
        <v>27</v>
      </c>
      <c r="J169">
        <v>90463</v>
      </c>
      <c r="K169">
        <v>1326</v>
      </c>
      <c r="L169" s="2">
        <v>0.04</v>
      </c>
      <c r="M169">
        <v>7.0000000000000007E-2</v>
      </c>
      <c r="N169" s="2">
        <f>(J169*L169)/1000</f>
        <v>3.6185200000000002</v>
      </c>
      <c r="O169" s="2">
        <f>(J169*M169)/1000</f>
        <v>6.3324100000000012</v>
      </c>
    </row>
    <row r="170" spans="2:15">
      <c r="B170" s="23" t="s">
        <v>701</v>
      </c>
      <c r="C170" s="23" t="s">
        <v>39</v>
      </c>
      <c r="D170" s="23" t="s">
        <v>317</v>
      </c>
      <c r="E170" t="s">
        <v>318</v>
      </c>
      <c r="F170" t="s">
        <v>12</v>
      </c>
      <c r="G170" t="s">
        <v>317</v>
      </c>
      <c r="H170" t="s">
        <v>319</v>
      </c>
      <c r="I170" t="s">
        <v>27</v>
      </c>
      <c r="J170">
        <v>335152</v>
      </c>
      <c r="K170">
        <v>1047</v>
      </c>
      <c r="L170" s="2">
        <v>0.04</v>
      </c>
      <c r="M170">
        <v>7.0000000000000007E-2</v>
      </c>
      <c r="N170" s="2">
        <f>(J170*L170)/1000</f>
        <v>13.406079999999999</v>
      </c>
      <c r="O170" s="2">
        <f>(J170*M170)/1000</f>
        <v>23.460640000000001</v>
      </c>
    </row>
    <row r="171" spans="2:15">
      <c r="B171" s="23" t="s">
        <v>701</v>
      </c>
      <c r="C171" s="23" t="s">
        <v>39</v>
      </c>
      <c r="D171" s="23" t="s">
        <v>320</v>
      </c>
      <c r="E171" t="s">
        <v>321</v>
      </c>
      <c r="F171" t="s">
        <v>12</v>
      </c>
      <c r="G171" t="s">
        <v>320</v>
      </c>
      <c r="H171" t="s">
        <v>322</v>
      </c>
      <c r="I171" t="s">
        <v>27</v>
      </c>
      <c r="J171">
        <v>243921</v>
      </c>
      <c r="K171">
        <v>1397</v>
      </c>
      <c r="L171" s="2">
        <v>0.04</v>
      </c>
      <c r="M171">
        <v>7.0000000000000007E-2</v>
      </c>
      <c r="N171" s="2">
        <f>(J171*L171)/1000</f>
        <v>9.7568400000000004</v>
      </c>
      <c r="O171" s="2">
        <f>(J171*M171)/1000</f>
        <v>17.074470000000002</v>
      </c>
    </row>
    <row r="172" spans="2:15">
      <c r="B172" s="23" t="s">
        <v>701</v>
      </c>
      <c r="C172" s="23" t="s">
        <v>39</v>
      </c>
      <c r="D172" s="23" t="s">
        <v>323</v>
      </c>
      <c r="E172" t="s">
        <v>324</v>
      </c>
      <c r="F172" t="s">
        <v>12</v>
      </c>
      <c r="G172" t="s">
        <v>323</v>
      </c>
      <c r="H172" t="s">
        <v>325</v>
      </c>
      <c r="I172" t="s">
        <v>27</v>
      </c>
      <c r="J172">
        <v>7236</v>
      </c>
      <c r="K172">
        <v>53</v>
      </c>
      <c r="L172" s="2">
        <v>0.04</v>
      </c>
      <c r="M172">
        <v>7.0000000000000007E-2</v>
      </c>
      <c r="N172" s="2">
        <f>(J172*L172)/1000</f>
        <v>0.28943999999999998</v>
      </c>
      <c r="O172" s="2">
        <f>(J172*M172)/1000</f>
        <v>0.50652000000000008</v>
      </c>
    </row>
    <row r="173" spans="2:15">
      <c r="B173" s="23" t="s">
        <v>701</v>
      </c>
      <c r="C173" s="23" t="s">
        <v>39</v>
      </c>
      <c r="D173" s="23" t="s">
        <v>326</v>
      </c>
      <c r="E173" t="s">
        <v>327</v>
      </c>
      <c r="F173" t="s">
        <v>12</v>
      </c>
      <c r="G173" t="s">
        <v>326</v>
      </c>
      <c r="H173" t="s">
        <v>328</v>
      </c>
      <c r="I173" t="s">
        <v>27</v>
      </c>
      <c r="J173">
        <v>3510</v>
      </c>
      <c r="K173">
        <v>5</v>
      </c>
      <c r="L173" s="2">
        <v>0.04</v>
      </c>
      <c r="M173">
        <v>7.0000000000000007E-2</v>
      </c>
      <c r="N173" s="2">
        <f>(J173*L173)/1000</f>
        <v>0.1404</v>
      </c>
      <c r="O173" s="2">
        <f>(J173*M173)/1000</f>
        <v>0.24570000000000003</v>
      </c>
    </row>
    <row r="174" spans="2:15">
      <c r="B174" s="23" t="s">
        <v>701</v>
      </c>
      <c r="C174" s="23" t="s">
        <v>39</v>
      </c>
      <c r="D174" s="23" t="s">
        <v>329</v>
      </c>
      <c r="E174" t="s">
        <v>330</v>
      </c>
      <c r="F174" t="s">
        <v>12</v>
      </c>
      <c r="G174" t="s">
        <v>329</v>
      </c>
      <c r="H174" t="s">
        <v>331</v>
      </c>
      <c r="I174" t="s">
        <v>27</v>
      </c>
      <c r="J174">
        <v>348246</v>
      </c>
      <c r="K174">
        <v>1912</v>
      </c>
      <c r="L174" s="2">
        <v>0.04</v>
      </c>
      <c r="M174">
        <v>7.0000000000000007E-2</v>
      </c>
      <c r="N174" s="2">
        <f>(J174*L174)/1000</f>
        <v>13.92984</v>
      </c>
      <c r="O174" s="2">
        <f>(J174*M174)/1000</f>
        <v>24.377220000000001</v>
      </c>
    </row>
    <row r="175" spans="2:15">
      <c r="B175" s="23" t="s">
        <v>701</v>
      </c>
      <c r="C175" s="23" t="s">
        <v>39</v>
      </c>
      <c r="D175" s="23" t="s">
        <v>637</v>
      </c>
      <c r="E175" t="s">
        <v>638</v>
      </c>
      <c r="F175" t="s">
        <v>12</v>
      </c>
      <c r="G175" t="s">
        <v>637</v>
      </c>
      <c r="H175" t="s">
        <v>639</v>
      </c>
      <c r="I175" t="s">
        <v>27</v>
      </c>
      <c r="J175">
        <v>1086</v>
      </c>
      <c r="K175">
        <v>3</v>
      </c>
      <c r="L175" s="2">
        <v>0.04</v>
      </c>
      <c r="M175">
        <v>7.0000000000000007E-2</v>
      </c>
      <c r="N175" s="2">
        <f>(J175*L175)/1000</f>
        <v>4.3439999999999999E-2</v>
      </c>
      <c r="O175" s="2">
        <f>(J175*M175)/1000</f>
        <v>7.6020000000000004E-2</v>
      </c>
    </row>
    <row r="176" spans="2:15">
      <c r="B176" s="23" t="s">
        <v>701</v>
      </c>
      <c r="C176" s="23" t="s">
        <v>39</v>
      </c>
      <c r="D176" s="23" t="s">
        <v>640</v>
      </c>
      <c r="E176" t="s">
        <v>641</v>
      </c>
      <c r="F176" t="s">
        <v>12</v>
      </c>
      <c r="G176" t="s">
        <v>640</v>
      </c>
      <c r="H176" t="s">
        <v>642</v>
      </c>
      <c r="I176" t="s">
        <v>27</v>
      </c>
      <c r="J176">
        <v>2593</v>
      </c>
      <c r="K176">
        <v>5</v>
      </c>
      <c r="L176" s="2">
        <v>0.04</v>
      </c>
      <c r="M176">
        <v>7.0000000000000007E-2</v>
      </c>
      <c r="N176" s="2">
        <f>(J176*L176)/1000</f>
        <v>0.10371999999999999</v>
      </c>
      <c r="O176" s="2">
        <f>(J176*M176)/1000</f>
        <v>0.18151000000000003</v>
      </c>
    </row>
    <row r="177" spans="2:15">
      <c r="B177" s="23" t="s">
        <v>701</v>
      </c>
      <c r="C177" s="23" t="s">
        <v>39</v>
      </c>
      <c r="D177" s="23" t="s">
        <v>643</v>
      </c>
      <c r="E177" t="s">
        <v>644</v>
      </c>
      <c r="F177" t="s">
        <v>12</v>
      </c>
      <c r="G177" t="s">
        <v>643</v>
      </c>
      <c r="H177" t="s">
        <v>645</v>
      </c>
      <c r="I177" t="s">
        <v>27</v>
      </c>
      <c r="J177">
        <v>5137</v>
      </c>
      <c r="K177">
        <v>45</v>
      </c>
      <c r="L177" s="2">
        <v>0.04</v>
      </c>
      <c r="M177">
        <v>7.0000000000000007E-2</v>
      </c>
      <c r="N177" s="2">
        <f>(J177*L177)/1000</f>
        <v>0.20548000000000002</v>
      </c>
      <c r="O177" s="2">
        <f>(J177*M177)/1000</f>
        <v>0.35959000000000002</v>
      </c>
    </row>
    <row r="178" spans="2:15">
      <c r="B178" s="23" t="s">
        <v>701</v>
      </c>
      <c r="C178" s="23" t="s">
        <v>39</v>
      </c>
      <c r="D178" s="23" t="s">
        <v>646</v>
      </c>
      <c r="E178" t="s">
        <v>647</v>
      </c>
      <c r="F178" t="s">
        <v>12</v>
      </c>
      <c r="G178" t="s">
        <v>646</v>
      </c>
      <c r="H178" t="s">
        <v>648</v>
      </c>
      <c r="I178" t="s">
        <v>27</v>
      </c>
      <c r="J178">
        <v>39243</v>
      </c>
      <c r="K178">
        <v>413</v>
      </c>
      <c r="L178" s="2">
        <v>0.04</v>
      </c>
      <c r="M178">
        <v>7.0000000000000007E-2</v>
      </c>
      <c r="N178" s="2">
        <f>(J178*L178)/1000</f>
        <v>1.56972</v>
      </c>
      <c r="O178" s="2">
        <f>(J178*M178)/1000</f>
        <v>2.7470100000000004</v>
      </c>
    </row>
    <row r="179" spans="2:15">
      <c r="B179" s="23" t="s">
        <v>701</v>
      </c>
      <c r="C179" s="23" t="s">
        <v>39</v>
      </c>
      <c r="D179" s="23" t="s">
        <v>649</v>
      </c>
      <c r="E179" t="s">
        <v>650</v>
      </c>
      <c r="F179" t="s">
        <v>12</v>
      </c>
      <c r="G179" t="s">
        <v>649</v>
      </c>
      <c r="H179" t="s">
        <v>651</v>
      </c>
      <c r="I179" t="s">
        <v>27</v>
      </c>
      <c r="J179">
        <v>29107</v>
      </c>
      <c r="K179">
        <v>561</v>
      </c>
      <c r="L179" s="2">
        <v>0.04</v>
      </c>
      <c r="M179">
        <v>7.0000000000000007E-2</v>
      </c>
      <c r="N179" s="2">
        <f>(J179*L179)/1000</f>
        <v>1.16428</v>
      </c>
      <c r="O179" s="2">
        <f>(J179*M179)/1000</f>
        <v>2.03749</v>
      </c>
    </row>
    <row r="180" spans="2:15">
      <c r="B180" s="23" t="s">
        <v>701</v>
      </c>
      <c r="C180" s="23" t="s">
        <v>39</v>
      </c>
      <c r="D180" s="23" t="s">
        <v>652</v>
      </c>
      <c r="E180" t="s">
        <v>653</v>
      </c>
      <c r="F180" t="s">
        <v>12</v>
      </c>
      <c r="G180" t="s">
        <v>652</v>
      </c>
      <c r="H180" t="s">
        <v>654</v>
      </c>
      <c r="I180" t="s">
        <v>27</v>
      </c>
      <c r="J180">
        <v>84799</v>
      </c>
      <c r="K180">
        <v>414</v>
      </c>
      <c r="L180" s="2">
        <v>0.04</v>
      </c>
      <c r="M180">
        <v>7.0000000000000007E-2</v>
      </c>
      <c r="N180" s="2">
        <f>(J180*L180)/1000</f>
        <v>3.3919600000000001</v>
      </c>
      <c r="O180" s="2">
        <f>(J180*M180)/1000</f>
        <v>5.9359299999999999</v>
      </c>
    </row>
    <row r="181" spans="2:15">
      <c r="B181" s="23" t="s">
        <v>701</v>
      </c>
      <c r="C181" s="23" t="s">
        <v>39</v>
      </c>
      <c r="D181" s="23" t="s">
        <v>655</v>
      </c>
      <c r="E181" t="s">
        <v>656</v>
      </c>
      <c r="F181" t="s">
        <v>12</v>
      </c>
      <c r="G181" t="s">
        <v>655</v>
      </c>
      <c r="H181" t="s">
        <v>657</v>
      </c>
      <c r="I181" t="s">
        <v>27</v>
      </c>
      <c r="J181">
        <v>1007796</v>
      </c>
      <c r="K181">
        <v>3497</v>
      </c>
      <c r="L181" s="2">
        <v>0.04</v>
      </c>
      <c r="M181">
        <v>7.0000000000000007E-2</v>
      </c>
      <c r="N181" s="2">
        <f>(J181*L181)/1000</f>
        <v>40.311840000000004</v>
      </c>
      <c r="O181" s="2">
        <f>(J181*M181)/1000</f>
        <v>70.545720000000003</v>
      </c>
    </row>
    <row r="182" spans="2:15">
      <c r="B182" s="23" t="s">
        <v>701</v>
      </c>
      <c r="C182" s="23" t="s">
        <v>39</v>
      </c>
      <c r="D182" s="23" t="s">
        <v>658</v>
      </c>
      <c r="E182" t="s">
        <v>659</v>
      </c>
      <c r="F182" t="s">
        <v>12</v>
      </c>
      <c r="G182" t="s">
        <v>658</v>
      </c>
      <c r="H182" t="s">
        <v>660</v>
      </c>
      <c r="I182" t="s">
        <v>27</v>
      </c>
      <c r="J182">
        <v>30530</v>
      </c>
      <c r="K182">
        <v>166</v>
      </c>
      <c r="L182" s="2">
        <v>0.04</v>
      </c>
      <c r="M182">
        <v>7.0000000000000007E-2</v>
      </c>
      <c r="N182" s="2">
        <f>(J182*L182)/1000</f>
        <v>1.2212000000000001</v>
      </c>
      <c r="O182" s="2">
        <f>(J182*M182)/1000</f>
        <v>2.1371000000000002</v>
      </c>
    </row>
    <row r="183" spans="2:15">
      <c r="B183" s="23" t="s">
        <v>701</v>
      </c>
      <c r="C183" s="23" t="s">
        <v>39</v>
      </c>
      <c r="D183" s="23" t="s">
        <v>661</v>
      </c>
      <c r="E183" t="s">
        <v>662</v>
      </c>
      <c r="F183" t="s">
        <v>12</v>
      </c>
      <c r="G183" t="s">
        <v>661</v>
      </c>
      <c r="H183" t="s">
        <v>663</v>
      </c>
      <c r="I183" t="s">
        <v>27</v>
      </c>
      <c r="J183">
        <v>7586</v>
      </c>
      <c r="K183">
        <v>106</v>
      </c>
      <c r="L183" s="2">
        <v>0.04</v>
      </c>
      <c r="M183">
        <v>7.0000000000000007E-2</v>
      </c>
      <c r="N183" s="2">
        <f>(J183*L183)/1000</f>
        <v>0.30343999999999999</v>
      </c>
      <c r="O183" s="2">
        <f>(J183*M183)/1000</f>
        <v>0.53102000000000005</v>
      </c>
    </row>
    <row r="184" spans="2:15">
      <c r="B184" s="23" t="s">
        <v>701</v>
      </c>
      <c r="C184" s="23" t="s">
        <v>39</v>
      </c>
      <c r="D184" s="23" t="s">
        <v>664</v>
      </c>
      <c r="E184" t="s">
        <v>665</v>
      </c>
      <c r="F184" t="s">
        <v>12</v>
      </c>
      <c r="G184" t="s">
        <v>664</v>
      </c>
      <c r="H184" t="s">
        <v>666</v>
      </c>
      <c r="I184" t="s">
        <v>27</v>
      </c>
      <c r="J184">
        <v>1401</v>
      </c>
      <c r="K184">
        <v>4</v>
      </c>
      <c r="L184" s="2">
        <v>0.04</v>
      </c>
      <c r="M184">
        <v>7.0000000000000007E-2</v>
      </c>
      <c r="N184" s="2">
        <f>(J184*L184)/1000</f>
        <v>5.604E-2</v>
      </c>
      <c r="O184" s="2">
        <f>(J184*M184)/1000</f>
        <v>9.8070000000000004E-2</v>
      </c>
    </row>
    <row r="185" spans="2:15">
      <c r="B185" s="23" t="s">
        <v>701</v>
      </c>
      <c r="C185" s="23" t="s">
        <v>39</v>
      </c>
      <c r="D185" s="23" t="s">
        <v>332</v>
      </c>
      <c r="E185" t="s">
        <v>333</v>
      </c>
      <c r="F185" t="s">
        <v>688</v>
      </c>
      <c r="G185" t="s">
        <v>332</v>
      </c>
      <c r="H185" t="s">
        <v>334</v>
      </c>
      <c r="I185" t="s">
        <v>29</v>
      </c>
      <c r="J185">
        <v>81150</v>
      </c>
      <c r="K185">
        <v>939</v>
      </c>
      <c r="L185" s="2">
        <v>0.6</v>
      </c>
      <c r="M185">
        <v>0.2</v>
      </c>
      <c r="N185" s="2">
        <f>(J185*L185)/1000</f>
        <v>48.69</v>
      </c>
      <c r="O185" s="2">
        <f>(J185*M185)/1000</f>
        <v>16.23</v>
      </c>
    </row>
    <row r="186" spans="2:15">
      <c r="B186" s="23" t="s">
        <v>701</v>
      </c>
      <c r="C186" s="23" t="s">
        <v>39</v>
      </c>
      <c r="D186" s="23" t="s">
        <v>335</v>
      </c>
      <c r="E186" t="s">
        <v>336</v>
      </c>
      <c r="F186" t="s">
        <v>688</v>
      </c>
      <c r="G186" t="s">
        <v>335</v>
      </c>
      <c r="H186" t="s">
        <v>337</v>
      </c>
      <c r="I186" t="s">
        <v>29</v>
      </c>
      <c r="J186">
        <v>976153</v>
      </c>
      <c r="K186">
        <v>7925</v>
      </c>
      <c r="L186" s="2">
        <v>0.6</v>
      </c>
      <c r="M186">
        <v>0.2</v>
      </c>
      <c r="N186" s="2">
        <f>(J186*L186)/1000</f>
        <v>585.69179999999994</v>
      </c>
      <c r="O186" s="2">
        <f>(J186*M186)/1000</f>
        <v>195.23060000000001</v>
      </c>
    </row>
    <row r="187" spans="2:15">
      <c r="B187" s="23" t="s">
        <v>701</v>
      </c>
      <c r="C187" s="23" t="s">
        <v>39</v>
      </c>
      <c r="D187" s="23" t="s">
        <v>335</v>
      </c>
      <c r="E187" t="s">
        <v>336</v>
      </c>
      <c r="F187" t="s">
        <v>688</v>
      </c>
      <c r="G187" t="s">
        <v>689</v>
      </c>
      <c r="H187" t="s">
        <v>690</v>
      </c>
      <c r="I187" t="s">
        <v>29</v>
      </c>
      <c r="J187">
        <v>1</v>
      </c>
      <c r="K187">
        <v>0</v>
      </c>
      <c r="L187" s="2">
        <v>0.6</v>
      </c>
      <c r="M187">
        <v>0.2</v>
      </c>
      <c r="N187" s="2">
        <f>(J187*L187)/1000</f>
        <v>5.9999999999999995E-4</v>
      </c>
      <c r="O187" s="2">
        <f>(J187*M187)/1000</f>
        <v>2.0000000000000001E-4</v>
      </c>
    </row>
    <row r="188" spans="2:15">
      <c r="B188" s="23" t="s">
        <v>701</v>
      </c>
      <c r="C188" s="23" t="s">
        <v>39</v>
      </c>
      <c r="D188" s="23" t="s">
        <v>338</v>
      </c>
      <c r="E188" t="s">
        <v>339</v>
      </c>
      <c r="F188" t="s">
        <v>688</v>
      </c>
      <c r="G188" t="s">
        <v>338</v>
      </c>
      <c r="H188" t="s">
        <v>340</v>
      </c>
      <c r="I188" t="s">
        <v>29</v>
      </c>
      <c r="J188">
        <v>154464</v>
      </c>
      <c r="K188">
        <v>1321</v>
      </c>
      <c r="L188" s="2">
        <v>0.6</v>
      </c>
      <c r="M188">
        <v>0.2</v>
      </c>
      <c r="N188" s="2">
        <f>(J188*L188)/1000</f>
        <v>92.678399999999996</v>
      </c>
      <c r="O188" s="2">
        <f>(J188*M188)/1000</f>
        <v>30.892800000000001</v>
      </c>
    </row>
    <row r="189" spans="2:15">
      <c r="B189" s="23" t="s">
        <v>701</v>
      </c>
      <c r="C189" s="23" t="s">
        <v>39</v>
      </c>
      <c r="D189" s="23" t="s">
        <v>341</v>
      </c>
      <c r="E189" t="s">
        <v>342</v>
      </c>
      <c r="F189" t="s">
        <v>688</v>
      </c>
      <c r="G189" t="s">
        <v>341</v>
      </c>
      <c r="H189" t="s">
        <v>343</v>
      </c>
      <c r="I189" t="s">
        <v>29</v>
      </c>
      <c r="J189">
        <v>24961</v>
      </c>
      <c r="K189">
        <v>229</v>
      </c>
      <c r="L189" s="2">
        <v>0.6</v>
      </c>
      <c r="M189">
        <v>0.2</v>
      </c>
      <c r="N189" s="2">
        <f>(J189*L189)/1000</f>
        <v>14.976599999999998</v>
      </c>
      <c r="O189" s="2">
        <f>(J189*M189)/1000</f>
        <v>4.9922000000000004</v>
      </c>
    </row>
    <row r="190" spans="2:15">
      <c r="B190" s="23" t="s">
        <v>701</v>
      </c>
      <c r="C190" s="23" t="s">
        <v>55</v>
      </c>
      <c r="D190" s="23" t="s">
        <v>344</v>
      </c>
      <c r="E190" t="s">
        <v>345</v>
      </c>
      <c r="F190" t="s">
        <v>11</v>
      </c>
      <c r="G190" t="s">
        <v>346</v>
      </c>
      <c r="H190" t="s">
        <v>347</v>
      </c>
      <c r="I190" t="s">
        <v>27</v>
      </c>
      <c r="J190">
        <v>1</v>
      </c>
      <c r="K190">
        <v>0</v>
      </c>
      <c r="L190" s="2">
        <v>0.04</v>
      </c>
      <c r="M190">
        <v>7.0000000000000007E-2</v>
      </c>
      <c r="N190" s="2">
        <f>(J190*L190)/1000</f>
        <v>4.0000000000000003E-5</v>
      </c>
      <c r="O190" s="2">
        <f>(J190*M190)/1000</f>
        <v>7.0000000000000007E-5</v>
      </c>
    </row>
    <row r="191" spans="2:15">
      <c r="B191" s="23" t="s">
        <v>701</v>
      </c>
      <c r="C191" s="23" t="s">
        <v>55</v>
      </c>
      <c r="D191" s="23" t="s">
        <v>344</v>
      </c>
      <c r="E191" t="s">
        <v>345</v>
      </c>
      <c r="F191" t="s">
        <v>12</v>
      </c>
      <c r="G191" t="s">
        <v>344</v>
      </c>
      <c r="H191" t="s">
        <v>348</v>
      </c>
      <c r="I191" t="s">
        <v>27</v>
      </c>
      <c r="J191">
        <v>283011</v>
      </c>
      <c r="K191">
        <v>90</v>
      </c>
      <c r="L191" s="2">
        <v>0.04</v>
      </c>
      <c r="M191">
        <v>7.0000000000000007E-2</v>
      </c>
      <c r="N191" s="2">
        <f>(J191*L191)/1000</f>
        <v>11.320440000000001</v>
      </c>
      <c r="O191" s="2">
        <f>(J191*M191)/1000</f>
        <v>19.810770000000002</v>
      </c>
    </row>
    <row r="192" spans="2:15">
      <c r="B192" s="23" t="s">
        <v>701</v>
      </c>
      <c r="C192" s="23" t="s">
        <v>55</v>
      </c>
      <c r="D192" s="23" t="s">
        <v>349</v>
      </c>
      <c r="E192" t="s">
        <v>350</v>
      </c>
      <c r="F192" t="s">
        <v>11</v>
      </c>
      <c r="G192" t="s">
        <v>351</v>
      </c>
      <c r="H192" t="s">
        <v>352</v>
      </c>
      <c r="I192" t="s">
        <v>27</v>
      </c>
      <c r="J192">
        <v>12</v>
      </c>
      <c r="K192">
        <v>0</v>
      </c>
      <c r="L192" s="2">
        <v>0.04</v>
      </c>
      <c r="M192">
        <v>7.0000000000000007E-2</v>
      </c>
      <c r="N192" s="2">
        <f>(J192*L192)/1000</f>
        <v>4.7999999999999996E-4</v>
      </c>
      <c r="O192" s="2">
        <f>(J192*M192)/1000</f>
        <v>8.4000000000000003E-4</v>
      </c>
    </row>
    <row r="193" spans="2:15">
      <c r="B193" s="23" t="s">
        <v>701</v>
      </c>
      <c r="C193" s="23" t="s">
        <v>55</v>
      </c>
      <c r="D193" s="23" t="s">
        <v>349</v>
      </c>
      <c r="E193" t="s">
        <v>350</v>
      </c>
      <c r="F193" t="s">
        <v>12</v>
      </c>
      <c r="G193" t="s">
        <v>349</v>
      </c>
      <c r="H193" t="s">
        <v>353</v>
      </c>
      <c r="I193" t="s">
        <v>27</v>
      </c>
      <c r="J193">
        <v>2669216</v>
      </c>
      <c r="K193">
        <v>955</v>
      </c>
      <c r="L193" s="2">
        <v>0.04</v>
      </c>
      <c r="M193">
        <v>7.0000000000000007E-2</v>
      </c>
      <c r="N193" s="2">
        <f>(J193*L193)/1000</f>
        <v>106.76864</v>
      </c>
      <c r="O193" s="2">
        <f>(J193*M193)/1000</f>
        <v>186.84512000000004</v>
      </c>
    </row>
    <row r="194" spans="2:15">
      <c r="B194" s="23" t="s">
        <v>701</v>
      </c>
      <c r="C194" s="23" t="s">
        <v>55</v>
      </c>
      <c r="D194" s="23" t="s">
        <v>354</v>
      </c>
      <c r="E194" t="s">
        <v>355</v>
      </c>
      <c r="F194" t="s">
        <v>11</v>
      </c>
      <c r="G194" t="s">
        <v>356</v>
      </c>
      <c r="H194" t="s">
        <v>357</v>
      </c>
      <c r="I194" t="s">
        <v>27</v>
      </c>
      <c r="J194">
        <v>7</v>
      </c>
      <c r="K194">
        <v>0</v>
      </c>
      <c r="L194" s="2">
        <v>0.04</v>
      </c>
      <c r="M194">
        <v>7.0000000000000007E-2</v>
      </c>
      <c r="N194" s="2">
        <f>(J194*L194)/1000</f>
        <v>2.8000000000000003E-4</v>
      </c>
      <c r="O194" s="2">
        <f>(J194*M194)/1000</f>
        <v>4.9000000000000009E-4</v>
      </c>
    </row>
    <row r="195" spans="2:15">
      <c r="B195" s="23" t="s">
        <v>701</v>
      </c>
      <c r="C195" s="23" t="s">
        <v>55</v>
      </c>
      <c r="D195" s="23" t="s">
        <v>354</v>
      </c>
      <c r="E195" t="s">
        <v>355</v>
      </c>
      <c r="F195" t="s">
        <v>12</v>
      </c>
      <c r="G195" t="s">
        <v>354</v>
      </c>
      <c r="H195" t="s">
        <v>358</v>
      </c>
      <c r="I195" t="s">
        <v>27</v>
      </c>
      <c r="J195">
        <v>2466054</v>
      </c>
      <c r="K195">
        <v>3692</v>
      </c>
      <c r="L195" s="2">
        <v>0.04</v>
      </c>
      <c r="M195">
        <v>7.0000000000000007E-2</v>
      </c>
      <c r="N195" s="2">
        <f>(J195*L195)/1000</f>
        <v>98.642160000000004</v>
      </c>
      <c r="O195" s="2">
        <f>(J195*M195)/1000</f>
        <v>172.62378000000004</v>
      </c>
    </row>
    <row r="196" spans="2:15">
      <c r="B196" s="23" t="s">
        <v>701</v>
      </c>
      <c r="C196" s="23" t="s">
        <v>55</v>
      </c>
      <c r="D196" s="23" t="s">
        <v>359</v>
      </c>
      <c r="E196" t="s">
        <v>360</v>
      </c>
      <c r="F196" t="s">
        <v>11</v>
      </c>
      <c r="G196" t="s">
        <v>30</v>
      </c>
      <c r="H196" t="s">
        <v>192</v>
      </c>
      <c r="I196" t="s">
        <v>27</v>
      </c>
      <c r="J196">
        <v>130</v>
      </c>
      <c r="K196">
        <v>0</v>
      </c>
      <c r="L196" s="2">
        <v>0.04</v>
      </c>
      <c r="M196">
        <v>7.0000000000000007E-2</v>
      </c>
      <c r="N196" s="2">
        <f>(J196*L196)/1000</f>
        <v>5.1999999999999998E-3</v>
      </c>
      <c r="O196" s="2">
        <f>(J196*M196)/1000</f>
        <v>9.1000000000000022E-3</v>
      </c>
    </row>
    <row r="197" spans="2:15">
      <c r="B197" s="23" t="s">
        <v>701</v>
      </c>
      <c r="C197" s="23" t="s">
        <v>55</v>
      </c>
      <c r="D197" s="23" t="s">
        <v>359</v>
      </c>
      <c r="E197" t="s">
        <v>360</v>
      </c>
      <c r="F197" t="s">
        <v>12</v>
      </c>
      <c r="G197" t="s">
        <v>359</v>
      </c>
      <c r="H197" t="s">
        <v>361</v>
      </c>
      <c r="I197" t="s">
        <v>27</v>
      </c>
      <c r="J197">
        <v>37380366</v>
      </c>
      <c r="K197">
        <v>43285</v>
      </c>
      <c r="L197" s="2">
        <v>0.04</v>
      </c>
      <c r="M197">
        <v>7.0000000000000007E-2</v>
      </c>
      <c r="N197" s="2">
        <f>(J197*L197)/1000</f>
        <v>1495.2146400000001</v>
      </c>
      <c r="O197" s="2">
        <f>(J197*M197)/1000</f>
        <v>2616.6256200000003</v>
      </c>
    </row>
    <row r="198" spans="2:15">
      <c r="B198" s="23" t="s">
        <v>701</v>
      </c>
      <c r="C198" s="23" t="s">
        <v>55</v>
      </c>
      <c r="D198" s="23" t="s">
        <v>362</v>
      </c>
      <c r="E198" t="s">
        <v>363</v>
      </c>
      <c r="F198" t="s">
        <v>11</v>
      </c>
      <c r="G198" t="s">
        <v>364</v>
      </c>
      <c r="H198" t="s">
        <v>365</v>
      </c>
      <c r="I198" t="s">
        <v>27</v>
      </c>
      <c r="J198">
        <v>19</v>
      </c>
      <c r="K198">
        <v>0</v>
      </c>
      <c r="L198" s="2">
        <v>0.04</v>
      </c>
      <c r="M198">
        <v>7.0000000000000007E-2</v>
      </c>
      <c r="N198" s="2">
        <f>(J198*L198)/1000</f>
        <v>7.6000000000000004E-4</v>
      </c>
      <c r="O198" s="2">
        <f>(J198*M198)/1000</f>
        <v>1.33E-3</v>
      </c>
    </row>
    <row r="199" spans="2:15">
      <c r="B199" s="23" t="s">
        <v>701</v>
      </c>
      <c r="C199" s="23" t="s">
        <v>55</v>
      </c>
      <c r="D199" s="23" t="s">
        <v>362</v>
      </c>
      <c r="E199" t="s">
        <v>363</v>
      </c>
      <c r="F199" t="s">
        <v>12</v>
      </c>
      <c r="G199" t="s">
        <v>362</v>
      </c>
      <c r="H199" t="s">
        <v>366</v>
      </c>
      <c r="I199" t="s">
        <v>27</v>
      </c>
      <c r="J199">
        <v>5123239</v>
      </c>
      <c r="K199">
        <v>5002</v>
      </c>
      <c r="L199" s="2">
        <v>0.04</v>
      </c>
      <c r="M199">
        <v>7.0000000000000007E-2</v>
      </c>
      <c r="N199" s="2">
        <f>(J199*L199)/1000</f>
        <v>204.92956000000001</v>
      </c>
      <c r="O199" s="2">
        <f>(J199*M199)/1000</f>
        <v>358.62673000000007</v>
      </c>
    </row>
    <row r="200" spans="2:15">
      <c r="B200" s="23" t="s">
        <v>701</v>
      </c>
      <c r="C200" s="23" t="s">
        <v>55</v>
      </c>
      <c r="D200" s="23" t="s">
        <v>367</v>
      </c>
      <c r="E200" t="s">
        <v>368</v>
      </c>
      <c r="F200" t="s">
        <v>11</v>
      </c>
      <c r="G200" t="s">
        <v>38</v>
      </c>
      <c r="H200" t="s">
        <v>369</v>
      </c>
      <c r="I200" t="s">
        <v>27</v>
      </c>
      <c r="J200">
        <v>22</v>
      </c>
      <c r="K200">
        <v>0</v>
      </c>
      <c r="L200" s="2">
        <v>0.04</v>
      </c>
      <c r="M200">
        <v>7.0000000000000007E-2</v>
      </c>
      <c r="N200" s="2">
        <f>(J200*L200)/1000</f>
        <v>8.8000000000000003E-4</v>
      </c>
      <c r="O200" s="2">
        <f>(J200*M200)/1000</f>
        <v>1.5400000000000001E-3</v>
      </c>
    </row>
    <row r="201" spans="2:15">
      <c r="B201" s="23" t="s">
        <v>701</v>
      </c>
      <c r="C201" s="23" t="s">
        <v>55</v>
      </c>
      <c r="D201" s="23" t="s">
        <v>367</v>
      </c>
      <c r="E201" t="s">
        <v>368</v>
      </c>
      <c r="F201" t="s">
        <v>12</v>
      </c>
      <c r="G201" t="s">
        <v>367</v>
      </c>
      <c r="H201" t="s">
        <v>370</v>
      </c>
      <c r="I201" t="s">
        <v>27</v>
      </c>
      <c r="J201">
        <v>6996914</v>
      </c>
      <c r="K201">
        <v>9595</v>
      </c>
      <c r="L201" s="2">
        <v>0.04</v>
      </c>
      <c r="M201">
        <v>7.0000000000000007E-2</v>
      </c>
      <c r="N201" s="2">
        <f>(J201*L201)/1000</f>
        <v>279.87655999999998</v>
      </c>
      <c r="O201" s="2">
        <f>(J201*M201)/1000</f>
        <v>489.78398000000004</v>
      </c>
    </row>
    <row r="202" spans="2:15">
      <c r="B202" s="23" t="s">
        <v>701</v>
      </c>
      <c r="C202" s="23" t="s">
        <v>55</v>
      </c>
      <c r="D202" s="23" t="s">
        <v>371</v>
      </c>
      <c r="E202" t="s">
        <v>372</v>
      </c>
      <c r="F202" t="s">
        <v>11</v>
      </c>
      <c r="G202" t="s">
        <v>31</v>
      </c>
      <c r="H202" t="s">
        <v>373</v>
      </c>
      <c r="I202" t="s">
        <v>27</v>
      </c>
      <c r="J202">
        <v>28</v>
      </c>
      <c r="K202">
        <v>0</v>
      </c>
      <c r="L202" s="2">
        <v>0.04</v>
      </c>
      <c r="M202">
        <v>7.0000000000000007E-2</v>
      </c>
      <c r="N202" s="2">
        <f>(J202*L202)/1000</f>
        <v>1.1200000000000001E-3</v>
      </c>
      <c r="O202" s="2">
        <f>(J202*M202)/1000</f>
        <v>1.9600000000000004E-3</v>
      </c>
    </row>
    <row r="203" spans="2:15">
      <c r="B203" s="23" t="s">
        <v>701</v>
      </c>
      <c r="C203" s="23" t="s">
        <v>55</v>
      </c>
      <c r="D203" s="23" t="s">
        <v>371</v>
      </c>
      <c r="E203" t="s">
        <v>372</v>
      </c>
      <c r="F203" t="s">
        <v>12</v>
      </c>
      <c r="G203" t="s">
        <v>371</v>
      </c>
      <c r="H203" t="s">
        <v>374</v>
      </c>
      <c r="I203" t="s">
        <v>27</v>
      </c>
      <c r="J203">
        <v>4983840</v>
      </c>
      <c r="K203">
        <v>1847</v>
      </c>
      <c r="L203" s="2">
        <v>0.04</v>
      </c>
      <c r="M203">
        <v>7.0000000000000007E-2</v>
      </c>
      <c r="N203" s="2">
        <f>(J203*L203)/1000</f>
        <v>199.3536</v>
      </c>
      <c r="O203" s="2">
        <f>(J203*M203)/1000</f>
        <v>348.86880000000002</v>
      </c>
    </row>
    <row r="204" spans="2:15">
      <c r="B204" s="23" t="s">
        <v>701</v>
      </c>
      <c r="C204" s="23" t="s">
        <v>55</v>
      </c>
      <c r="D204" s="23" t="s">
        <v>375</v>
      </c>
      <c r="E204" t="s">
        <v>376</v>
      </c>
      <c r="F204" t="s">
        <v>11</v>
      </c>
      <c r="G204" t="s">
        <v>37</v>
      </c>
      <c r="H204" t="s">
        <v>377</v>
      </c>
      <c r="I204" t="s">
        <v>27</v>
      </c>
      <c r="J204">
        <v>15</v>
      </c>
      <c r="K204">
        <v>0</v>
      </c>
      <c r="L204" s="2">
        <v>0.04</v>
      </c>
      <c r="M204">
        <v>7.0000000000000007E-2</v>
      </c>
      <c r="N204" s="2">
        <f>(J204*L204)/1000</f>
        <v>5.9999999999999995E-4</v>
      </c>
      <c r="O204" s="2">
        <f>(J204*M204)/1000</f>
        <v>1.0500000000000002E-3</v>
      </c>
    </row>
    <row r="205" spans="2:15">
      <c r="B205" s="23" t="s">
        <v>701</v>
      </c>
      <c r="C205" s="23" t="s">
        <v>55</v>
      </c>
      <c r="D205" s="23" t="s">
        <v>375</v>
      </c>
      <c r="E205" t="s">
        <v>376</v>
      </c>
      <c r="F205" t="s">
        <v>12</v>
      </c>
      <c r="G205" t="s">
        <v>375</v>
      </c>
      <c r="H205" t="s">
        <v>378</v>
      </c>
      <c r="I205" t="s">
        <v>27</v>
      </c>
      <c r="J205">
        <v>2629304</v>
      </c>
      <c r="K205">
        <v>1162</v>
      </c>
      <c r="L205" s="2">
        <v>0.04</v>
      </c>
      <c r="M205">
        <v>7.0000000000000007E-2</v>
      </c>
      <c r="N205" s="2">
        <f>(J205*L205)/1000</f>
        <v>105.17216000000001</v>
      </c>
      <c r="O205" s="2">
        <f>(J205*M205)/1000</f>
        <v>184.05128000000002</v>
      </c>
    </row>
    <row r="206" spans="2:15">
      <c r="B206" s="23" t="s">
        <v>701</v>
      </c>
      <c r="C206" s="23" t="s">
        <v>55</v>
      </c>
      <c r="D206" s="23" t="s">
        <v>379</v>
      </c>
      <c r="E206" t="s">
        <v>380</v>
      </c>
      <c r="F206" t="s">
        <v>11</v>
      </c>
      <c r="G206" t="s">
        <v>381</v>
      </c>
      <c r="H206" t="s">
        <v>382</v>
      </c>
      <c r="I206" t="s">
        <v>27</v>
      </c>
      <c r="J206">
        <v>7</v>
      </c>
      <c r="K206">
        <v>0</v>
      </c>
      <c r="L206" s="2">
        <v>0.04</v>
      </c>
      <c r="M206">
        <v>7.0000000000000007E-2</v>
      </c>
      <c r="N206" s="2">
        <f>(J206*L206)/1000</f>
        <v>2.8000000000000003E-4</v>
      </c>
      <c r="O206" s="2">
        <f>(J206*M206)/1000</f>
        <v>4.9000000000000009E-4</v>
      </c>
    </row>
    <row r="207" spans="2:15">
      <c r="B207" s="23" t="s">
        <v>701</v>
      </c>
      <c r="C207" s="23" t="s">
        <v>55</v>
      </c>
      <c r="D207" s="23" t="s">
        <v>379</v>
      </c>
      <c r="E207" t="s">
        <v>380</v>
      </c>
      <c r="F207" t="s">
        <v>12</v>
      </c>
      <c r="G207" t="s">
        <v>379</v>
      </c>
      <c r="H207" t="s">
        <v>383</v>
      </c>
      <c r="I207" t="s">
        <v>27</v>
      </c>
      <c r="J207">
        <v>2050080</v>
      </c>
      <c r="K207">
        <v>597</v>
      </c>
      <c r="L207" s="2">
        <v>0.04</v>
      </c>
      <c r="M207">
        <v>7.0000000000000007E-2</v>
      </c>
      <c r="N207" s="2">
        <f>(J207*L207)/1000</f>
        <v>82.003199999999993</v>
      </c>
      <c r="O207" s="2">
        <f>(J207*M207)/1000</f>
        <v>143.50560000000002</v>
      </c>
    </row>
    <row r="208" spans="2:15">
      <c r="B208" s="23" t="s">
        <v>701</v>
      </c>
      <c r="C208" s="23" t="s">
        <v>158</v>
      </c>
      <c r="D208" s="23" t="s">
        <v>384</v>
      </c>
      <c r="E208" t="s">
        <v>385</v>
      </c>
      <c r="F208" t="s">
        <v>12</v>
      </c>
      <c r="G208" t="s">
        <v>384</v>
      </c>
      <c r="H208" t="s">
        <v>386</v>
      </c>
      <c r="I208" t="s">
        <v>23</v>
      </c>
      <c r="J208">
        <v>3813869</v>
      </c>
      <c r="K208">
        <v>53063</v>
      </c>
      <c r="L208" s="2">
        <v>0.04</v>
      </c>
      <c r="M208">
        <v>7.0000000000000007E-2</v>
      </c>
      <c r="N208" s="2">
        <f>(J208*L208)/1000</f>
        <v>152.55476000000002</v>
      </c>
      <c r="O208" s="2">
        <f>(J208*M208)/1000</f>
        <v>266.97083000000003</v>
      </c>
    </row>
    <row r="209" spans="2:15">
      <c r="B209" s="23" t="s">
        <v>701</v>
      </c>
      <c r="C209" s="23" t="s">
        <v>158</v>
      </c>
      <c r="D209" s="23" t="s">
        <v>387</v>
      </c>
      <c r="E209" t="s">
        <v>388</v>
      </c>
      <c r="F209" t="s">
        <v>12</v>
      </c>
      <c r="G209" t="s">
        <v>387</v>
      </c>
      <c r="H209" t="s">
        <v>389</v>
      </c>
      <c r="I209" t="s">
        <v>27</v>
      </c>
      <c r="J209">
        <v>5787</v>
      </c>
      <c r="K209">
        <v>4</v>
      </c>
      <c r="L209" s="2">
        <v>0.04</v>
      </c>
      <c r="M209">
        <v>7.0000000000000007E-2</v>
      </c>
      <c r="N209" s="2">
        <f>(J209*L209)/1000</f>
        <v>0.23148000000000002</v>
      </c>
      <c r="O209" s="2">
        <f>(J209*M209)/1000</f>
        <v>0.40509000000000001</v>
      </c>
    </row>
    <row r="210" spans="2:15">
      <c r="B210" s="23" t="s">
        <v>701</v>
      </c>
      <c r="C210" s="23" t="s">
        <v>158</v>
      </c>
      <c r="D210" s="23" t="s">
        <v>390</v>
      </c>
      <c r="E210" t="s">
        <v>391</v>
      </c>
      <c r="F210" t="s">
        <v>11</v>
      </c>
      <c r="G210" t="s">
        <v>346</v>
      </c>
      <c r="H210" t="s">
        <v>347</v>
      </c>
      <c r="I210" t="s">
        <v>27</v>
      </c>
      <c r="J210">
        <v>6</v>
      </c>
      <c r="K210">
        <v>0</v>
      </c>
      <c r="L210" s="2">
        <v>0.04</v>
      </c>
      <c r="M210">
        <v>7.0000000000000007E-2</v>
      </c>
      <c r="N210" s="2">
        <f>(J210*L210)/1000</f>
        <v>2.3999999999999998E-4</v>
      </c>
      <c r="O210" s="2">
        <f>(J210*M210)/1000</f>
        <v>4.2000000000000002E-4</v>
      </c>
    </row>
    <row r="211" spans="2:15">
      <c r="B211" s="23" t="s">
        <v>701</v>
      </c>
      <c r="C211" s="23" t="s">
        <v>158</v>
      </c>
      <c r="D211" s="23" t="s">
        <v>392</v>
      </c>
      <c r="E211" t="s">
        <v>393</v>
      </c>
      <c r="F211" t="s">
        <v>11</v>
      </c>
      <c r="G211" t="s">
        <v>351</v>
      </c>
      <c r="H211" t="s">
        <v>352</v>
      </c>
      <c r="I211" t="s">
        <v>27</v>
      </c>
      <c r="J211">
        <v>1</v>
      </c>
      <c r="K211">
        <v>0</v>
      </c>
      <c r="L211" s="2">
        <v>0.04</v>
      </c>
      <c r="M211">
        <v>7.0000000000000007E-2</v>
      </c>
      <c r="N211" s="2">
        <f>(J211*L211)/1000</f>
        <v>4.0000000000000003E-5</v>
      </c>
      <c r="O211" s="2">
        <f>(J211*M211)/1000</f>
        <v>7.0000000000000007E-5</v>
      </c>
    </row>
    <row r="212" spans="2:15">
      <c r="B212" s="23" t="s">
        <v>701</v>
      </c>
      <c r="C212" s="23" t="s">
        <v>158</v>
      </c>
      <c r="D212" s="23" t="s">
        <v>394</v>
      </c>
      <c r="E212" t="s">
        <v>395</v>
      </c>
      <c r="F212" t="s">
        <v>11</v>
      </c>
      <c r="G212" t="s">
        <v>356</v>
      </c>
      <c r="H212" t="s">
        <v>357</v>
      </c>
      <c r="I212" t="s">
        <v>27</v>
      </c>
      <c r="J212">
        <v>2</v>
      </c>
      <c r="K212">
        <v>0</v>
      </c>
      <c r="L212" s="2">
        <v>0.04</v>
      </c>
      <c r="M212">
        <v>7.0000000000000007E-2</v>
      </c>
      <c r="N212" s="2">
        <f>(J212*L212)/1000</f>
        <v>8.0000000000000007E-5</v>
      </c>
      <c r="O212" s="2">
        <f>(J212*M212)/1000</f>
        <v>1.4000000000000001E-4</v>
      </c>
    </row>
    <row r="213" spans="2:15">
      <c r="B213" s="23" t="s">
        <v>701</v>
      </c>
      <c r="C213" s="23" t="s">
        <v>158</v>
      </c>
      <c r="D213" s="23" t="s">
        <v>396</v>
      </c>
      <c r="E213" t="s">
        <v>397</v>
      </c>
      <c r="F213" t="s">
        <v>12</v>
      </c>
      <c r="G213" t="s">
        <v>396</v>
      </c>
      <c r="H213" t="s">
        <v>398</v>
      </c>
      <c r="I213" t="s">
        <v>27</v>
      </c>
      <c r="J213">
        <v>86954</v>
      </c>
      <c r="K213">
        <v>171</v>
      </c>
      <c r="L213" s="2">
        <v>0.04</v>
      </c>
      <c r="M213">
        <v>7.0000000000000007E-2</v>
      </c>
      <c r="N213" s="2">
        <f>(J213*L213)/1000</f>
        <v>3.4781599999999999</v>
      </c>
      <c r="O213" s="2">
        <f>(J213*M213)/1000</f>
        <v>6.086780000000001</v>
      </c>
    </row>
    <row r="214" spans="2:15">
      <c r="B214" s="23" t="s">
        <v>701</v>
      </c>
      <c r="C214" s="23" t="s">
        <v>158</v>
      </c>
      <c r="D214" s="23" t="s">
        <v>399</v>
      </c>
      <c r="E214" t="s">
        <v>400</v>
      </c>
      <c r="F214" t="s">
        <v>11</v>
      </c>
      <c r="G214" t="s">
        <v>364</v>
      </c>
      <c r="H214" t="s">
        <v>365</v>
      </c>
      <c r="I214" t="s">
        <v>27</v>
      </c>
      <c r="J214">
        <v>1</v>
      </c>
      <c r="K214">
        <v>0</v>
      </c>
      <c r="L214" s="2">
        <v>0.04</v>
      </c>
      <c r="M214">
        <v>7.0000000000000007E-2</v>
      </c>
      <c r="N214" s="2">
        <f>(J214*L214)/1000</f>
        <v>4.0000000000000003E-5</v>
      </c>
      <c r="O214" s="2">
        <f>(J214*M214)/1000</f>
        <v>7.0000000000000007E-5</v>
      </c>
    </row>
    <row r="215" spans="2:15">
      <c r="B215" s="23" t="s">
        <v>701</v>
      </c>
      <c r="C215" s="23" t="s">
        <v>158</v>
      </c>
      <c r="D215" s="23" t="s">
        <v>399</v>
      </c>
      <c r="E215" t="s">
        <v>400</v>
      </c>
      <c r="F215" t="s">
        <v>12</v>
      </c>
      <c r="G215" t="s">
        <v>399</v>
      </c>
      <c r="H215" t="s">
        <v>401</v>
      </c>
      <c r="I215" t="s">
        <v>27</v>
      </c>
      <c r="J215">
        <v>22273</v>
      </c>
      <c r="K215">
        <v>512</v>
      </c>
      <c r="L215" s="2">
        <v>0.04</v>
      </c>
      <c r="M215">
        <v>7.0000000000000007E-2</v>
      </c>
      <c r="N215" s="2">
        <f>(J215*L215)/1000</f>
        <v>0.89092000000000005</v>
      </c>
      <c r="O215" s="2">
        <f>(J215*M215)/1000</f>
        <v>1.5591100000000002</v>
      </c>
    </row>
    <row r="216" spans="2:15">
      <c r="B216" s="23" t="s">
        <v>701</v>
      </c>
      <c r="C216" s="23" t="s">
        <v>158</v>
      </c>
      <c r="D216" s="23" t="s">
        <v>402</v>
      </c>
      <c r="E216" t="s">
        <v>403</v>
      </c>
      <c r="F216" t="s">
        <v>11</v>
      </c>
      <c r="G216" t="s">
        <v>38</v>
      </c>
      <c r="H216" t="s">
        <v>369</v>
      </c>
      <c r="I216" t="s">
        <v>27</v>
      </c>
      <c r="J216">
        <v>1</v>
      </c>
      <c r="K216">
        <v>0</v>
      </c>
      <c r="L216" s="2">
        <v>0.04</v>
      </c>
      <c r="M216">
        <v>7.0000000000000007E-2</v>
      </c>
      <c r="N216" s="2">
        <f>(J216*L216)/1000</f>
        <v>4.0000000000000003E-5</v>
      </c>
      <c r="O216" s="2">
        <f>(J216*M216)/1000</f>
        <v>7.0000000000000007E-5</v>
      </c>
    </row>
    <row r="217" spans="2:15">
      <c r="B217" s="23" t="s">
        <v>701</v>
      </c>
      <c r="C217" s="23" t="s">
        <v>158</v>
      </c>
      <c r="D217" s="23" t="s">
        <v>402</v>
      </c>
      <c r="E217" t="s">
        <v>403</v>
      </c>
      <c r="F217" s="21" t="s">
        <v>12</v>
      </c>
      <c r="G217" t="s">
        <v>402</v>
      </c>
      <c r="H217" t="s">
        <v>404</v>
      </c>
      <c r="I217" t="s">
        <v>27</v>
      </c>
      <c r="J217">
        <v>607868</v>
      </c>
      <c r="K217">
        <v>2738</v>
      </c>
      <c r="L217" s="2">
        <v>0.04</v>
      </c>
      <c r="M217">
        <v>7.0000000000000007E-2</v>
      </c>
      <c r="N217" s="2">
        <f>(J217*L217)/1000</f>
        <v>24.314720000000001</v>
      </c>
      <c r="O217" s="2">
        <f>(J217*M217)/1000</f>
        <v>42.550760000000004</v>
      </c>
    </row>
    <row r="218" spans="2:15">
      <c r="B218" s="23" t="s">
        <v>701</v>
      </c>
      <c r="C218" s="23" t="s">
        <v>158</v>
      </c>
      <c r="D218" s="23" t="s">
        <v>405</v>
      </c>
      <c r="E218" t="s">
        <v>406</v>
      </c>
      <c r="F218" s="21" t="s">
        <v>11</v>
      </c>
      <c r="G218" t="s">
        <v>36</v>
      </c>
      <c r="H218" t="s">
        <v>170</v>
      </c>
      <c r="I218" t="s">
        <v>27</v>
      </c>
      <c r="J218">
        <v>2</v>
      </c>
      <c r="K218">
        <v>0</v>
      </c>
      <c r="L218" s="2">
        <v>0.04</v>
      </c>
      <c r="M218">
        <v>7.0000000000000007E-2</v>
      </c>
      <c r="N218" s="2">
        <f>(J218*L218)/1000</f>
        <v>8.0000000000000007E-5</v>
      </c>
      <c r="O218" s="2">
        <f>(J218*M218)/1000</f>
        <v>1.4000000000000001E-4</v>
      </c>
    </row>
    <row r="219" spans="2:15">
      <c r="B219" s="23" t="s">
        <v>701</v>
      </c>
      <c r="C219" s="23" t="s">
        <v>158</v>
      </c>
      <c r="D219" s="23" t="s">
        <v>405</v>
      </c>
      <c r="E219" t="s">
        <v>406</v>
      </c>
      <c r="F219" s="21" t="s">
        <v>12</v>
      </c>
      <c r="G219" t="s">
        <v>405</v>
      </c>
      <c r="H219" t="s">
        <v>407</v>
      </c>
      <c r="I219" t="s">
        <v>27</v>
      </c>
      <c r="J219">
        <v>6964526</v>
      </c>
      <c r="K219">
        <v>23710</v>
      </c>
      <c r="L219" s="2">
        <v>0.04</v>
      </c>
      <c r="M219">
        <v>7.0000000000000007E-2</v>
      </c>
      <c r="N219" s="2">
        <f>(J219*L219)/1000</f>
        <v>278.58103999999997</v>
      </c>
      <c r="O219" s="2">
        <f>(J219*M219)/1000</f>
        <v>487.51682000000005</v>
      </c>
    </row>
    <row r="220" spans="2:15">
      <c r="B220" s="23" t="s">
        <v>701</v>
      </c>
      <c r="C220" s="23" t="s">
        <v>158</v>
      </c>
      <c r="D220" s="23" t="s">
        <v>408</v>
      </c>
      <c r="E220" t="s">
        <v>409</v>
      </c>
      <c r="F220" s="21" t="s">
        <v>11</v>
      </c>
      <c r="G220" t="s">
        <v>31</v>
      </c>
      <c r="H220" t="s">
        <v>373</v>
      </c>
      <c r="I220" t="s">
        <v>27</v>
      </c>
      <c r="J220">
        <v>1</v>
      </c>
      <c r="K220">
        <v>0</v>
      </c>
      <c r="L220" s="2">
        <v>0.04</v>
      </c>
      <c r="M220">
        <v>7.0000000000000007E-2</v>
      </c>
      <c r="N220" s="2">
        <f>(J220*L220)/1000</f>
        <v>4.0000000000000003E-5</v>
      </c>
      <c r="O220" s="2">
        <f>(J220*M220)/1000</f>
        <v>7.0000000000000007E-5</v>
      </c>
    </row>
    <row r="221" spans="2:15">
      <c r="B221" s="23" t="s">
        <v>701</v>
      </c>
      <c r="C221" s="23" t="s">
        <v>158</v>
      </c>
      <c r="D221" s="23" t="s">
        <v>408</v>
      </c>
      <c r="E221" t="s">
        <v>409</v>
      </c>
      <c r="F221" t="s">
        <v>12</v>
      </c>
      <c r="G221" t="s">
        <v>408</v>
      </c>
      <c r="H221" t="s">
        <v>410</v>
      </c>
      <c r="I221" t="s">
        <v>27</v>
      </c>
      <c r="J221">
        <v>160661</v>
      </c>
      <c r="K221">
        <v>527</v>
      </c>
      <c r="L221" s="2">
        <v>0.04</v>
      </c>
      <c r="M221">
        <v>7.0000000000000007E-2</v>
      </c>
      <c r="N221" s="2">
        <f>(J221*L221)/1000</f>
        <v>6.4264400000000004</v>
      </c>
      <c r="O221" s="2">
        <f>(J221*M221)/1000</f>
        <v>11.246270000000001</v>
      </c>
    </row>
    <row r="222" spans="2:15">
      <c r="B222" s="23" t="s">
        <v>701</v>
      </c>
      <c r="C222" s="23" t="s">
        <v>158</v>
      </c>
      <c r="D222" s="23" t="s">
        <v>411</v>
      </c>
      <c r="E222" t="s">
        <v>412</v>
      </c>
      <c r="F222" t="s">
        <v>11</v>
      </c>
      <c r="G222" t="s">
        <v>381</v>
      </c>
      <c r="H222" t="s">
        <v>382</v>
      </c>
      <c r="I222" t="s">
        <v>27</v>
      </c>
      <c r="J222">
        <v>1</v>
      </c>
      <c r="K222">
        <v>0</v>
      </c>
      <c r="L222" s="2">
        <v>0.04</v>
      </c>
      <c r="M222">
        <v>7.0000000000000007E-2</v>
      </c>
      <c r="N222" s="2">
        <f>(J222*L222)/1000</f>
        <v>4.0000000000000003E-5</v>
      </c>
      <c r="O222" s="2">
        <f>(J222*M222)/1000</f>
        <v>7.0000000000000007E-5</v>
      </c>
    </row>
    <row r="223" spans="2:15">
      <c r="B223" s="23" t="s">
        <v>701</v>
      </c>
      <c r="C223" s="23" t="s">
        <v>158</v>
      </c>
      <c r="D223" s="23" t="s">
        <v>413</v>
      </c>
      <c r="E223" t="s">
        <v>414</v>
      </c>
      <c r="F223" t="s">
        <v>11</v>
      </c>
      <c r="G223" t="s">
        <v>346</v>
      </c>
      <c r="H223" t="s">
        <v>347</v>
      </c>
      <c r="I223" t="s">
        <v>27</v>
      </c>
      <c r="J223">
        <v>1</v>
      </c>
      <c r="K223">
        <v>0</v>
      </c>
      <c r="L223" s="2">
        <v>0.04</v>
      </c>
      <c r="M223">
        <v>7.0000000000000007E-2</v>
      </c>
      <c r="N223" s="2">
        <f>(J223*L223)/1000</f>
        <v>4.0000000000000003E-5</v>
      </c>
      <c r="O223" s="2">
        <f>(J223*M223)/1000</f>
        <v>7.0000000000000007E-5</v>
      </c>
    </row>
    <row r="224" spans="2:15">
      <c r="B224" s="23" t="s">
        <v>701</v>
      </c>
      <c r="C224" s="23" t="s">
        <v>158</v>
      </c>
      <c r="D224" s="23" t="s">
        <v>415</v>
      </c>
      <c r="E224" t="s">
        <v>416</v>
      </c>
      <c r="F224" t="s">
        <v>12</v>
      </c>
      <c r="G224" t="s">
        <v>415</v>
      </c>
      <c r="H224" t="s">
        <v>417</v>
      </c>
      <c r="I224" t="s">
        <v>27</v>
      </c>
      <c r="J224">
        <v>123223</v>
      </c>
      <c r="K224">
        <v>208</v>
      </c>
      <c r="L224" s="2">
        <v>0.04</v>
      </c>
      <c r="M224">
        <v>7.0000000000000007E-2</v>
      </c>
      <c r="N224" s="2">
        <f>(J224*L224)/1000</f>
        <v>4.9289199999999997</v>
      </c>
      <c r="O224" s="2">
        <f>(J224*M224)/1000</f>
        <v>8.62561</v>
      </c>
    </row>
    <row r="225" spans="2:15">
      <c r="B225" s="23" t="s">
        <v>701</v>
      </c>
      <c r="C225" s="23" t="s">
        <v>158</v>
      </c>
      <c r="D225" s="23" t="s">
        <v>418</v>
      </c>
      <c r="E225" t="s">
        <v>419</v>
      </c>
      <c r="F225" t="s">
        <v>11</v>
      </c>
      <c r="G225" t="s">
        <v>364</v>
      </c>
      <c r="H225" t="s">
        <v>365</v>
      </c>
      <c r="I225" t="s">
        <v>27</v>
      </c>
      <c r="J225">
        <v>1</v>
      </c>
      <c r="K225">
        <v>0</v>
      </c>
      <c r="L225" s="2">
        <v>0.04</v>
      </c>
      <c r="M225">
        <v>7.0000000000000007E-2</v>
      </c>
      <c r="N225" s="2">
        <f>(J225*L225)/1000</f>
        <v>4.0000000000000003E-5</v>
      </c>
      <c r="O225" s="2">
        <f>(J225*M225)/1000</f>
        <v>7.0000000000000007E-5</v>
      </c>
    </row>
    <row r="226" spans="2:15">
      <c r="B226" s="23" t="s">
        <v>701</v>
      </c>
      <c r="C226" s="23" t="s">
        <v>158</v>
      </c>
      <c r="D226" s="23" t="s">
        <v>420</v>
      </c>
      <c r="E226" t="s">
        <v>421</v>
      </c>
      <c r="F226" t="s">
        <v>11</v>
      </c>
      <c r="G226" t="s">
        <v>38</v>
      </c>
      <c r="H226" t="s">
        <v>369</v>
      </c>
      <c r="I226" t="s">
        <v>27</v>
      </c>
      <c r="J226">
        <v>1</v>
      </c>
      <c r="K226">
        <v>0</v>
      </c>
      <c r="L226" s="2">
        <v>0.04</v>
      </c>
      <c r="M226">
        <v>7.0000000000000007E-2</v>
      </c>
      <c r="N226" s="2">
        <f>(J226*L226)/1000</f>
        <v>4.0000000000000003E-5</v>
      </c>
      <c r="O226" s="2">
        <f>(J226*M226)/1000</f>
        <v>7.0000000000000007E-5</v>
      </c>
    </row>
    <row r="227" spans="2:15">
      <c r="B227" s="23" t="s">
        <v>701</v>
      </c>
      <c r="C227" s="23" t="s">
        <v>158</v>
      </c>
      <c r="D227" s="23" t="s">
        <v>422</v>
      </c>
      <c r="E227" t="s">
        <v>423</v>
      </c>
      <c r="F227" t="s">
        <v>11</v>
      </c>
      <c r="G227" t="s">
        <v>31</v>
      </c>
      <c r="H227" t="s">
        <v>373</v>
      </c>
      <c r="I227" t="s">
        <v>27</v>
      </c>
      <c r="J227">
        <v>1</v>
      </c>
      <c r="K227">
        <v>0</v>
      </c>
      <c r="L227" s="2">
        <v>0.04</v>
      </c>
      <c r="M227">
        <v>7.0000000000000007E-2</v>
      </c>
      <c r="N227" s="2">
        <f>(J227*L227)/1000</f>
        <v>4.0000000000000003E-5</v>
      </c>
      <c r="O227" s="2">
        <f>(J227*M227)/1000</f>
        <v>7.0000000000000007E-5</v>
      </c>
    </row>
    <row r="228" spans="2:15">
      <c r="B228" s="23" t="s">
        <v>701</v>
      </c>
      <c r="C228" s="23" t="s">
        <v>158</v>
      </c>
      <c r="D228" s="23" t="s">
        <v>424</v>
      </c>
      <c r="E228" t="s">
        <v>425</v>
      </c>
      <c r="F228" t="s">
        <v>12</v>
      </c>
      <c r="G228" t="s">
        <v>424</v>
      </c>
      <c r="H228" t="s">
        <v>426</v>
      </c>
      <c r="I228" t="s">
        <v>27</v>
      </c>
      <c r="J228">
        <v>78155</v>
      </c>
      <c r="K228">
        <v>170</v>
      </c>
      <c r="L228" s="2">
        <v>0.04</v>
      </c>
      <c r="M228">
        <v>7.0000000000000007E-2</v>
      </c>
      <c r="N228" s="2">
        <f>(J228*L228)/1000</f>
        <v>3.1262000000000003</v>
      </c>
      <c r="O228" s="2">
        <f>(J228*M228)/1000</f>
        <v>5.4708500000000004</v>
      </c>
    </row>
    <row r="229" spans="2:15">
      <c r="B229" s="23" t="s">
        <v>701</v>
      </c>
      <c r="C229" s="23" t="s">
        <v>158</v>
      </c>
      <c r="D229" s="23" t="s">
        <v>427</v>
      </c>
      <c r="E229" t="s">
        <v>428</v>
      </c>
      <c r="F229" t="s">
        <v>11</v>
      </c>
      <c r="G229" t="s">
        <v>38</v>
      </c>
      <c r="H229" t="s">
        <v>369</v>
      </c>
      <c r="I229" t="s">
        <v>27</v>
      </c>
      <c r="J229">
        <v>1</v>
      </c>
      <c r="K229">
        <v>0</v>
      </c>
      <c r="L229" s="2">
        <v>0.04</v>
      </c>
      <c r="M229">
        <v>7.0000000000000007E-2</v>
      </c>
      <c r="N229" s="2">
        <f>(J229*L229)/1000</f>
        <v>4.0000000000000003E-5</v>
      </c>
      <c r="O229" s="2">
        <f>(J229*M229)/1000</f>
        <v>7.0000000000000007E-5</v>
      </c>
    </row>
    <row r="230" spans="2:15">
      <c r="B230" s="23" t="s">
        <v>701</v>
      </c>
      <c r="C230" s="23" t="s">
        <v>158</v>
      </c>
      <c r="D230" s="23" t="s">
        <v>429</v>
      </c>
      <c r="E230" t="s">
        <v>430</v>
      </c>
      <c r="F230" t="s">
        <v>11</v>
      </c>
      <c r="G230" t="s">
        <v>346</v>
      </c>
      <c r="H230" t="s">
        <v>347</v>
      </c>
      <c r="I230" t="s">
        <v>27</v>
      </c>
      <c r="J230">
        <v>1</v>
      </c>
      <c r="K230">
        <v>0</v>
      </c>
      <c r="L230" s="2">
        <v>0.04</v>
      </c>
      <c r="M230">
        <v>7.0000000000000007E-2</v>
      </c>
      <c r="N230" s="2">
        <f>(J230*L230)/1000</f>
        <v>4.0000000000000003E-5</v>
      </c>
      <c r="O230" s="2">
        <f>(J230*M230)/1000</f>
        <v>7.0000000000000007E-5</v>
      </c>
    </row>
    <row r="231" spans="2:15">
      <c r="B231" s="23" t="s">
        <v>701</v>
      </c>
      <c r="C231" s="23" t="s">
        <v>158</v>
      </c>
      <c r="D231" s="23" t="s">
        <v>431</v>
      </c>
      <c r="E231" t="s">
        <v>432</v>
      </c>
      <c r="F231" t="s">
        <v>11</v>
      </c>
      <c r="G231" t="s">
        <v>38</v>
      </c>
      <c r="H231" t="s">
        <v>369</v>
      </c>
      <c r="I231" t="s">
        <v>27</v>
      </c>
      <c r="J231">
        <v>7</v>
      </c>
      <c r="K231">
        <v>0</v>
      </c>
      <c r="L231" s="2">
        <v>0.04</v>
      </c>
      <c r="M231">
        <v>7.0000000000000007E-2</v>
      </c>
      <c r="N231" s="2">
        <f>(J231*L231)/1000</f>
        <v>2.8000000000000003E-4</v>
      </c>
      <c r="O231" s="2">
        <f>(J231*M231)/1000</f>
        <v>4.9000000000000009E-4</v>
      </c>
    </row>
    <row r="232" spans="2:15">
      <c r="B232" s="23" t="s">
        <v>701</v>
      </c>
      <c r="C232" s="23" t="s">
        <v>158</v>
      </c>
      <c r="D232" s="23" t="s">
        <v>433</v>
      </c>
      <c r="E232" t="s">
        <v>434</v>
      </c>
      <c r="F232" t="s">
        <v>11</v>
      </c>
      <c r="G232" t="s">
        <v>31</v>
      </c>
      <c r="H232" t="s">
        <v>373</v>
      </c>
      <c r="I232" t="s">
        <v>27</v>
      </c>
      <c r="J232">
        <v>3</v>
      </c>
      <c r="K232">
        <v>0</v>
      </c>
      <c r="L232" s="2">
        <v>0.04</v>
      </c>
      <c r="M232">
        <v>7.0000000000000007E-2</v>
      </c>
      <c r="N232" s="2">
        <f>(J232*L232)/1000</f>
        <v>1.1999999999999999E-4</v>
      </c>
      <c r="O232" s="2">
        <f>(J232*M232)/1000</f>
        <v>2.1000000000000001E-4</v>
      </c>
    </row>
    <row r="233" spans="2:15">
      <c r="B233" s="23" t="s">
        <v>701</v>
      </c>
      <c r="C233" s="23" t="s">
        <v>158</v>
      </c>
      <c r="D233" s="23" t="s">
        <v>435</v>
      </c>
      <c r="E233" t="s">
        <v>436</v>
      </c>
      <c r="F233" t="s">
        <v>12</v>
      </c>
      <c r="G233" t="s">
        <v>435</v>
      </c>
      <c r="H233" t="s">
        <v>437</v>
      </c>
      <c r="I233" t="s">
        <v>27</v>
      </c>
      <c r="J233">
        <v>114556</v>
      </c>
      <c r="K233">
        <v>197</v>
      </c>
      <c r="L233" s="2">
        <v>0.04</v>
      </c>
      <c r="M233">
        <v>7.0000000000000007E-2</v>
      </c>
      <c r="N233" s="2">
        <f>(J233*L233)/1000</f>
        <v>4.5822399999999996</v>
      </c>
      <c r="O233" s="2">
        <f>(J233*M233)/1000</f>
        <v>8.0189200000000014</v>
      </c>
    </row>
    <row r="234" spans="2:15">
      <c r="B234" s="23" t="s">
        <v>701</v>
      </c>
      <c r="C234" s="23" t="s">
        <v>158</v>
      </c>
      <c r="D234" s="23" t="s">
        <v>667</v>
      </c>
      <c r="E234" t="s">
        <v>668</v>
      </c>
      <c r="F234" t="s">
        <v>12</v>
      </c>
      <c r="G234" t="s">
        <v>667</v>
      </c>
      <c r="H234" t="s">
        <v>669</v>
      </c>
      <c r="I234" t="s">
        <v>27</v>
      </c>
      <c r="J234">
        <v>1074</v>
      </c>
      <c r="K234">
        <v>2</v>
      </c>
      <c r="L234" s="2">
        <v>0.04</v>
      </c>
      <c r="M234">
        <v>7.0000000000000007E-2</v>
      </c>
      <c r="N234" s="2">
        <f>(J234*L234)/1000</f>
        <v>4.2959999999999998E-2</v>
      </c>
      <c r="O234" s="2">
        <f>(J234*M234)/1000</f>
        <v>7.5180000000000011E-2</v>
      </c>
    </row>
    <row r="235" spans="2:15">
      <c r="B235" s="23" t="s">
        <v>701</v>
      </c>
      <c r="C235" s="23" t="s">
        <v>158</v>
      </c>
      <c r="D235" s="23" t="s">
        <v>670</v>
      </c>
      <c r="E235" t="s">
        <v>671</v>
      </c>
      <c r="F235" t="s">
        <v>12</v>
      </c>
      <c r="G235" t="s">
        <v>670</v>
      </c>
      <c r="H235" t="s">
        <v>672</v>
      </c>
      <c r="I235" t="s">
        <v>27</v>
      </c>
      <c r="J235">
        <v>13111</v>
      </c>
      <c r="K235">
        <v>23</v>
      </c>
      <c r="L235" s="2">
        <v>0.04</v>
      </c>
      <c r="M235">
        <v>7.0000000000000007E-2</v>
      </c>
      <c r="N235" s="2">
        <f>(J235*L235)/1000</f>
        <v>0.52444000000000002</v>
      </c>
      <c r="O235" s="2">
        <f>(J235*M235)/1000</f>
        <v>0.91777000000000009</v>
      </c>
    </row>
    <row r="236" spans="2:15">
      <c r="B236" s="23" t="s">
        <v>701</v>
      </c>
      <c r="C236" s="23" t="s">
        <v>158</v>
      </c>
      <c r="D236" s="23" t="s">
        <v>673</v>
      </c>
      <c r="E236" t="s">
        <v>674</v>
      </c>
      <c r="F236" t="s">
        <v>12</v>
      </c>
      <c r="G236" t="s">
        <v>673</v>
      </c>
      <c r="H236" t="s">
        <v>675</v>
      </c>
      <c r="I236" t="s">
        <v>27</v>
      </c>
      <c r="J236">
        <v>12183</v>
      </c>
      <c r="K236">
        <v>424</v>
      </c>
      <c r="L236" s="2">
        <v>0.04</v>
      </c>
      <c r="M236">
        <v>7.0000000000000007E-2</v>
      </c>
      <c r="N236" s="2">
        <f>(J236*L236)/1000</f>
        <v>0.48731999999999998</v>
      </c>
      <c r="O236" s="2">
        <f>(J236*M236)/1000</f>
        <v>0.85281000000000007</v>
      </c>
    </row>
    <row r="237" spans="2:15">
      <c r="B237" s="23" t="s">
        <v>701</v>
      </c>
      <c r="C237" s="23" t="s">
        <v>158</v>
      </c>
      <c r="D237" s="23" t="s">
        <v>676</v>
      </c>
      <c r="E237" t="s">
        <v>677</v>
      </c>
      <c r="F237" t="s">
        <v>12</v>
      </c>
      <c r="G237" t="s">
        <v>676</v>
      </c>
      <c r="H237" t="s">
        <v>678</v>
      </c>
      <c r="I237" t="s">
        <v>27</v>
      </c>
      <c r="J237">
        <v>129934</v>
      </c>
      <c r="K237">
        <v>890</v>
      </c>
      <c r="L237" s="2">
        <v>0.04</v>
      </c>
      <c r="M237">
        <v>7.0000000000000007E-2</v>
      </c>
      <c r="N237" s="2">
        <f>(J237*L237)/1000</f>
        <v>5.1973599999999998</v>
      </c>
      <c r="O237" s="2">
        <f>(J237*M237)/1000</f>
        <v>9.0953800000000005</v>
      </c>
    </row>
    <row r="238" spans="2:15">
      <c r="B238" s="23" t="s">
        <v>701</v>
      </c>
      <c r="C238" s="23" t="s">
        <v>158</v>
      </c>
      <c r="D238" s="23" t="s">
        <v>679</v>
      </c>
      <c r="E238" t="s">
        <v>680</v>
      </c>
      <c r="F238" t="s">
        <v>12</v>
      </c>
      <c r="G238" t="s">
        <v>679</v>
      </c>
      <c r="H238" t="s">
        <v>681</v>
      </c>
      <c r="I238" t="s">
        <v>27</v>
      </c>
      <c r="J238">
        <v>129937</v>
      </c>
      <c r="K238">
        <v>453</v>
      </c>
      <c r="L238" s="2">
        <v>0.04</v>
      </c>
      <c r="M238">
        <v>7.0000000000000007E-2</v>
      </c>
      <c r="N238" s="2">
        <f>(J238*L238)/1000</f>
        <v>5.1974800000000005</v>
      </c>
      <c r="O238" s="2">
        <f>(J238*M238)/1000</f>
        <v>9.0955899999999996</v>
      </c>
    </row>
    <row r="239" spans="2:15">
      <c r="B239" s="23" t="s">
        <v>701</v>
      </c>
      <c r="C239" s="23" t="s">
        <v>158</v>
      </c>
      <c r="D239" s="23" t="s">
        <v>682</v>
      </c>
      <c r="E239" t="s">
        <v>683</v>
      </c>
      <c r="F239" t="s">
        <v>12</v>
      </c>
      <c r="G239" t="s">
        <v>682</v>
      </c>
      <c r="H239" t="s">
        <v>684</v>
      </c>
      <c r="I239" t="s">
        <v>27</v>
      </c>
      <c r="J239">
        <v>23741</v>
      </c>
      <c r="K239">
        <v>56</v>
      </c>
      <c r="L239" s="2">
        <v>0.04</v>
      </c>
      <c r="M239">
        <v>7.0000000000000007E-2</v>
      </c>
      <c r="N239" s="2">
        <f>(J239*L239)/1000</f>
        <v>0.94964000000000004</v>
      </c>
      <c r="O239" s="2">
        <f>(J239*M239)/1000</f>
        <v>1.6618700000000002</v>
      </c>
    </row>
    <row r="240" spans="2:15">
      <c r="B240" s="23" t="s">
        <v>701</v>
      </c>
      <c r="C240" s="23" t="s">
        <v>68</v>
      </c>
      <c r="D240" s="23" t="s">
        <v>438</v>
      </c>
      <c r="E240" t="s">
        <v>439</v>
      </c>
      <c r="F240" t="s">
        <v>12</v>
      </c>
      <c r="G240" t="s">
        <v>438</v>
      </c>
      <c r="H240" t="s">
        <v>440</v>
      </c>
      <c r="I240" t="s">
        <v>23</v>
      </c>
      <c r="J240">
        <v>1427789</v>
      </c>
      <c r="K240">
        <v>22152</v>
      </c>
      <c r="L240" s="2">
        <v>0.04</v>
      </c>
      <c r="M240">
        <v>7.0000000000000007E-2</v>
      </c>
      <c r="N240" s="2">
        <f>(J240*L240)/1000</f>
        <v>57.111559999999997</v>
      </c>
      <c r="O240" s="2">
        <f>(J240*M240)/1000</f>
        <v>99.945230000000009</v>
      </c>
    </row>
    <row r="241" spans="2:15">
      <c r="B241" s="23" t="s">
        <v>701</v>
      </c>
      <c r="C241" s="23" t="s">
        <v>68</v>
      </c>
      <c r="D241" s="23" t="s">
        <v>441</v>
      </c>
      <c r="E241" t="s">
        <v>442</v>
      </c>
      <c r="F241" t="s">
        <v>12</v>
      </c>
      <c r="G241" t="s">
        <v>441</v>
      </c>
      <c r="H241" t="s">
        <v>443</v>
      </c>
      <c r="I241" t="s">
        <v>23</v>
      </c>
      <c r="J241">
        <v>2125110</v>
      </c>
      <c r="K241">
        <v>28119</v>
      </c>
      <c r="L241" s="2">
        <v>0.04</v>
      </c>
      <c r="M241">
        <v>7.0000000000000007E-2</v>
      </c>
      <c r="N241" s="2">
        <f>(J241*L241)/1000</f>
        <v>85.004400000000004</v>
      </c>
      <c r="O241" s="2">
        <f>(J241*M241)/1000</f>
        <v>148.7577</v>
      </c>
    </row>
    <row r="242" spans="2:15">
      <c r="B242" s="23" t="s">
        <v>701</v>
      </c>
      <c r="C242" s="23" t="s">
        <v>68</v>
      </c>
      <c r="D242" s="23" t="s">
        <v>444</v>
      </c>
      <c r="E242" t="s">
        <v>445</v>
      </c>
      <c r="F242" t="s">
        <v>12</v>
      </c>
      <c r="G242" t="s">
        <v>444</v>
      </c>
      <c r="H242" t="s">
        <v>446</v>
      </c>
      <c r="I242" t="s">
        <v>23</v>
      </c>
      <c r="J242">
        <v>2120983</v>
      </c>
      <c r="K242">
        <v>28156</v>
      </c>
      <c r="L242" s="2">
        <v>0.04</v>
      </c>
      <c r="M242">
        <v>7.0000000000000007E-2</v>
      </c>
      <c r="N242" s="2">
        <f>(J242*L242)/1000</f>
        <v>84.839320000000001</v>
      </c>
      <c r="O242" s="2">
        <f>(J242*M242)/1000</f>
        <v>148.46881000000002</v>
      </c>
    </row>
    <row r="243" spans="2:15">
      <c r="B243" s="23" t="s">
        <v>701</v>
      </c>
      <c r="C243" s="23" t="s">
        <v>75</v>
      </c>
      <c r="D243" s="23" t="s">
        <v>685</v>
      </c>
      <c r="E243" t="s">
        <v>686</v>
      </c>
      <c r="F243" t="s">
        <v>12</v>
      </c>
      <c r="G243" t="s">
        <v>685</v>
      </c>
      <c r="H243" t="s">
        <v>687</v>
      </c>
      <c r="I243" t="s">
        <v>23</v>
      </c>
      <c r="J243">
        <v>106463</v>
      </c>
      <c r="K243">
        <v>536</v>
      </c>
      <c r="L243" s="2">
        <v>0.04</v>
      </c>
      <c r="M243">
        <v>7.0000000000000007E-2</v>
      </c>
      <c r="N243" s="2">
        <f>(J243*L243)/1000</f>
        <v>4.2585200000000007</v>
      </c>
      <c r="O243" s="2">
        <f>(J243*M243)/1000</f>
        <v>7.4524100000000004</v>
      </c>
    </row>
    <row r="244" spans="2:15">
      <c r="B244" s="23" t="s">
        <v>701</v>
      </c>
      <c r="C244" s="23" t="s">
        <v>75</v>
      </c>
      <c r="D244" s="23" t="s">
        <v>447</v>
      </c>
      <c r="E244" t="s">
        <v>448</v>
      </c>
      <c r="F244" t="s">
        <v>11</v>
      </c>
      <c r="G244" t="s">
        <v>351</v>
      </c>
      <c r="H244" t="s">
        <v>352</v>
      </c>
      <c r="I244" t="s">
        <v>27</v>
      </c>
      <c r="J244">
        <v>1</v>
      </c>
      <c r="K244">
        <v>0</v>
      </c>
      <c r="L244" s="2">
        <v>0.04</v>
      </c>
      <c r="M244">
        <v>7.0000000000000007E-2</v>
      </c>
      <c r="N244" s="2">
        <f>(J244*L244)/1000</f>
        <v>4.0000000000000003E-5</v>
      </c>
      <c r="O244" s="2">
        <f>(J244*M244)/1000</f>
        <v>7.0000000000000007E-5</v>
      </c>
    </row>
    <row r="245" spans="2:15">
      <c r="B245" s="23" t="s">
        <v>701</v>
      </c>
      <c r="C245" s="23" t="s">
        <v>75</v>
      </c>
      <c r="D245" s="23" t="s">
        <v>447</v>
      </c>
      <c r="E245" t="s">
        <v>448</v>
      </c>
      <c r="F245" t="s">
        <v>12</v>
      </c>
      <c r="G245" t="s">
        <v>447</v>
      </c>
      <c r="H245" t="s">
        <v>449</v>
      </c>
      <c r="I245" t="s">
        <v>27</v>
      </c>
      <c r="J245">
        <v>780586</v>
      </c>
      <c r="K245">
        <v>431</v>
      </c>
      <c r="L245" s="2">
        <v>0.04</v>
      </c>
      <c r="M245">
        <v>7.0000000000000007E-2</v>
      </c>
      <c r="N245" s="2">
        <f>(J245*L245)/1000</f>
        <v>31.223440000000004</v>
      </c>
      <c r="O245" s="2">
        <f>(J245*M245)/1000</f>
        <v>54.641020000000005</v>
      </c>
    </row>
    <row r="246" spans="2:15">
      <c r="B246" s="23" t="s">
        <v>701</v>
      </c>
      <c r="C246" s="23" t="s">
        <v>75</v>
      </c>
      <c r="D246" s="23" t="s">
        <v>450</v>
      </c>
      <c r="E246" t="s">
        <v>451</v>
      </c>
      <c r="F246" t="s">
        <v>12</v>
      </c>
      <c r="G246" t="s">
        <v>450</v>
      </c>
      <c r="H246" t="s">
        <v>452</v>
      </c>
      <c r="I246" t="s">
        <v>23</v>
      </c>
      <c r="J246">
        <v>8863539</v>
      </c>
      <c r="K246">
        <v>11099</v>
      </c>
      <c r="L246" s="2">
        <v>0.04</v>
      </c>
      <c r="M246">
        <v>7.0000000000000007E-2</v>
      </c>
      <c r="N246" s="2">
        <f>(J246*L246)/1000</f>
        <v>354.54156</v>
      </c>
      <c r="O246" s="2">
        <f>(J246*M246)/1000</f>
        <v>620.44773000000009</v>
      </c>
    </row>
    <row r="247" spans="2:15">
      <c r="B247" s="23" t="s">
        <v>701</v>
      </c>
      <c r="C247" s="23" t="s">
        <v>75</v>
      </c>
      <c r="D247" s="23" t="s">
        <v>453</v>
      </c>
      <c r="E247" t="s">
        <v>454</v>
      </c>
      <c r="F247" t="s">
        <v>11</v>
      </c>
      <c r="G247" t="s">
        <v>30</v>
      </c>
      <c r="H247" t="s">
        <v>192</v>
      </c>
      <c r="I247" t="s">
        <v>27</v>
      </c>
      <c r="J247">
        <v>4</v>
      </c>
      <c r="K247">
        <v>0</v>
      </c>
      <c r="L247" s="2">
        <v>0.04</v>
      </c>
      <c r="M247">
        <v>7.0000000000000007E-2</v>
      </c>
      <c r="N247" s="2">
        <f>(J247*L247)/1000</f>
        <v>1.6000000000000001E-4</v>
      </c>
      <c r="O247" s="2">
        <f>(J247*M247)/1000</f>
        <v>2.8000000000000003E-4</v>
      </c>
    </row>
    <row r="248" spans="2:15">
      <c r="B248" s="23" t="s">
        <v>701</v>
      </c>
      <c r="C248" s="23" t="s">
        <v>75</v>
      </c>
      <c r="D248" s="23" t="s">
        <v>453</v>
      </c>
      <c r="E248" t="s">
        <v>454</v>
      </c>
      <c r="F248" t="s">
        <v>12</v>
      </c>
      <c r="G248" t="s">
        <v>453</v>
      </c>
      <c r="H248" t="s">
        <v>455</v>
      </c>
      <c r="I248" t="s">
        <v>27</v>
      </c>
      <c r="J248">
        <v>6828804</v>
      </c>
      <c r="K248">
        <v>6384</v>
      </c>
      <c r="L248" s="2">
        <v>0.04</v>
      </c>
      <c r="M248">
        <v>7.0000000000000007E-2</v>
      </c>
      <c r="N248" s="2">
        <f>(J248*L248)/1000</f>
        <v>273.15216000000004</v>
      </c>
      <c r="O248" s="2">
        <f>(J248*M248)/1000</f>
        <v>478.01628000000005</v>
      </c>
    </row>
    <row r="249" spans="2:15">
      <c r="B249" s="23" t="s">
        <v>701</v>
      </c>
      <c r="C249" s="23" t="s">
        <v>75</v>
      </c>
      <c r="D249" s="23" t="s">
        <v>456</v>
      </c>
      <c r="E249" t="s">
        <v>457</v>
      </c>
      <c r="F249" t="s">
        <v>11</v>
      </c>
      <c r="G249" t="s">
        <v>364</v>
      </c>
      <c r="H249" t="s">
        <v>365</v>
      </c>
      <c r="I249" t="s">
        <v>27</v>
      </c>
      <c r="J249">
        <v>1</v>
      </c>
      <c r="K249">
        <v>0</v>
      </c>
      <c r="L249" s="2">
        <v>0.04</v>
      </c>
      <c r="M249">
        <v>7.0000000000000007E-2</v>
      </c>
      <c r="N249" s="2">
        <f>(J249*L249)/1000</f>
        <v>4.0000000000000003E-5</v>
      </c>
      <c r="O249" s="2">
        <f>(J249*M249)/1000</f>
        <v>7.0000000000000007E-5</v>
      </c>
    </row>
    <row r="250" spans="2:15">
      <c r="B250" s="23" t="s">
        <v>701</v>
      </c>
      <c r="C250" s="23" t="s">
        <v>75</v>
      </c>
      <c r="D250" s="23" t="s">
        <v>456</v>
      </c>
      <c r="E250" t="s">
        <v>457</v>
      </c>
      <c r="F250" t="s">
        <v>12</v>
      </c>
      <c r="G250" t="s">
        <v>456</v>
      </c>
      <c r="H250" t="s">
        <v>458</v>
      </c>
      <c r="I250" t="s">
        <v>27</v>
      </c>
      <c r="J250">
        <v>803141</v>
      </c>
      <c r="K250">
        <v>1144</v>
      </c>
      <c r="L250" s="2">
        <v>0.04</v>
      </c>
      <c r="M250">
        <v>7.0000000000000007E-2</v>
      </c>
      <c r="N250" s="2">
        <f>(J250*L250)/1000</f>
        <v>32.125639999999997</v>
      </c>
      <c r="O250" s="2">
        <f>(J250*M250)/1000</f>
        <v>56.21987</v>
      </c>
    </row>
    <row r="251" spans="2:15">
      <c r="B251" s="23" t="s">
        <v>701</v>
      </c>
      <c r="C251" s="23" t="s">
        <v>75</v>
      </c>
      <c r="D251" s="23" t="s">
        <v>459</v>
      </c>
      <c r="E251" t="s">
        <v>460</v>
      </c>
      <c r="F251" t="s">
        <v>12</v>
      </c>
      <c r="G251" t="s">
        <v>459</v>
      </c>
      <c r="H251" t="s">
        <v>461</v>
      </c>
      <c r="I251" t="s">
        <v>27</v>
      </c>
      <c r="J251">
        <v>1189924</v>
      </c>
      <c r="K251">
        <v>1324</v>
      </c>
      <c r="L251" s="2">
        <v>0.04</v>
      </c>
      <c r="M251">
        <v>7.0000000000000007E-2</v>
      </c>
      <c r="N251" s="2">
        <f>(J251*L251)/1000</f>
        <v>47.596959999999996</v>
      </c>
      <c r="O251" s="2">
        <f>(J251*M251)/1000</f>
        <v>83.294680000000014</v>
      </c>
    </row>
    <row r="252" spans="2:15">
      <c r="B252" s="23" t="s">
        <v>701</v>
      </c>
      <c r="C252" s="23" t="s">
        <v>75</v>
      </c>
      <c r="D252" s="23" t="s">
        <v>462</v>
      </c>
      <c r="E252" t="s">
        <v>463</v>
      </c>
      <c r="F252" t="s">
        <v>12</v>
      </c>
      <c r="G252" t="s">
        <v>462</v>
      </c>
      <c r="H252" t="s">
        <v>464</v>
      </c>
      <c r="I252" t="s">
        <v>27</v>
      </c>
      <c r="J252">
        <v>269011</v>
      </c>
      <c r="K252">
        <v>162</v>
      </c>
      <c r="L252" s="2">
        <v>0.04</v>
      </c>
      <c r="M252">
        <v>7.0000000000000007E-2</v>
      </c>
      <c r="N252" s="2">
        <f>(J252*L252)/1000</f>
        <v>10.760440000000001</v>
      </c>
      <c r="O252" s="2">
        <f>(J252*M252)/1000</f>
        <v>18.830770000000001</v>
      </c>
    </row>
    <row r="253" spans="2:15">
      <c r="B253" s="23" t="s">
        <v>701</v>
      </c>
      <c r="C253" s="23" t="s">
        <v>75</v>
      </c>
      <c r="D253" s="23" t="s">
        <v>465</v>
      </c>
      <c r="E253" t="s">
        <v>466</v>
      </c>
      <c r="F253" t="s">
        <v>12</v>
      </c>
      <c r="G253" t="s">
        <v>465</v>
      </c>
      <c r="H253" t="s">
        <v>467</v>
      </c>
      <c r="I253" t="s">
        <v>23</v>
      </c>
      <c r="J253">
        <v>1485409</v>
      </c>
      <c r="K253">
        <v>7236</v>
      </c>
      <c r="L253" s="2">
        <v>0.04</v>
      </c>
      <c r="M253">
        <v>7.0000000000000007E-2</v>
      </c>
      <c r="N253" s="2">
        <f>(J253*L253)/1000</f>
        <v>59.416359999999997</v>
      </c>
      <c r="O253" s="2">
        <f>(J253*M253)/1000</f>
        <v>103.97863000000001</v>
      </c>
    </row>
    <row r="254" spans="2:15">
      <c r="B254" s="23" t="s">
        <v>701</v>
      </c>
      <c r="C254" s="23" t="s">
        <v>75</v>
      </c>
      <c r="D254" s="23" t="s">
        <v>468</v>
      </c>
      <c r="E254" t="s">
        <v>469</v>
      </c>
      <c r="F254" t="s">
        <v>12</v>
      </c>
      <c r="G254" t="s">
        <v>468</v>
      </c>
      <c r="H254" t="s">
        <v>470</v>
      </c>
      <c r="I254" t="s">
        <v>23</v>
      </c>
      <c r="J254">
        <v>456793</v>
      </c>
      <c r="K254">
        <v>6752</v>
      </c>
      <c r="L254" s="2">
        <v>0.04</v>
      </c>
      <c r="M254">
        <v>7.0000000000000007E-2</v>
      </c>
      <c r="N254" s="2">
        <f>(J254*L254)/1000</f>
        <v>18.271720000000002</v>
      </c>
      <c r="O254" s="2">
        <f>(J254*M254)/1000</f>
        <v>31.975510000000003</v>
      </c>
    </row>
    <row r="255" spans="2:15">
      <c r="B255" s="23" t="s">
        <v>701</v>
      </c>
      <c r="C255" s="23" t="s">
        <v>75</v>
      </c>
      <c r="D255" s="23" t="s">
        <v>471</v>
      </c>
      <c r="E255" t="s">
        <v>472</v>
      </c>
      <c r="F255" t="s">
        <v>12</v>
      </c>
      <c r="G255" t="s">
        <v>471</v>
      </c>
      <c r="H255" t="s">
        <v>473</v>
      </c>
      <c r="I255" t="s">
        <v>23</v>
      </c>
      <c r="J255">
        <v>887352</v>
      </c>
      <c r="K255">
        <v>3776</v>
      </c>
      <c r="L255" s="2">
        <v>0.04</v>
      </c>
      <c r="M255">
        <v>7.0000000000000007E-2</v>
      </c>
      <c r="N255" s="2">
        <f>(J255*L255)/1000</f>
        <v>35.494080000000004</v>
      </c>
      <c r="O255" s="2">
        <f>(J255*M255)/1000</f>
        <v>62.114640000000009</v>
      </c>
    </row>
    <row r="256" spans="2:15">
      <c r="B256" s="23" t="s">
        <v>701</v>
      </c>
      <c r="C256" s="23" t="s">
        <v>75</v>
      </c>
      <c r="D256" s="23" t="s">
        <v>474</v>
      </c>
      <c r="E256" t="s">
        <v>475</v>
      </c>
      <c r="F256" t="s">
        <v>12</v>
      </c>
      <c r="G256" t="s">
        <v>474</v>
      </c>
      <c r="H256" t="s">
        <v>476</v>
      </c>
      <c r="I256" t="s">
        <v>23</v>
      </c>
      <c r="J256">
        <v>674240</v>
      </c>
      <c r="K256">
        <v>7636</v>
      </c>
      <c r="L256" s="2">
        <v>0.04</v>
      </c>
      <c r="M256">
        <v>7.0000000000000007E-2</v>
      </c>
      <c r="N256" s="2">
        <f>(J256*L256)/1000</f>
        <v>26.969600000000003</v>
      </c>
      <c r="O256" s="2">
        <f>(J256*M256)/1000</f>
        <v>47.196800000000003</v>
      </c>
    </row>
    <row r="257" spans="2:15">
      <c r="B257" s="23" t="s">
        <v>701</v>
      </c>
      <c r="C257" s="23" t="s">
        <v>75</v>
      </c>
      <c r="D257" s="23" t="s">
        <v>477</v>
      </c>
      <c r="E257" t="s">
        <v>478</v>
      </c>
      <c r="F257" t="s">
        <v>12</v>
      </c>
      <c r="G257" t="s">
        <v>477</v>
      </c>
      <c r="H257" t="s">
        <v>479</v>
      </c>
      <c r="I257" t="s">
        <v>23</v>
      </c>
      <c r="J257">
        <v>1382382</v>
      </c>
      <c r="K257">
        <v>31369</v>
      </c>
      <c r="L257" s="2">
        <v>0.04</v>
      </c>
      <c r="M257">
        <v>7.0000000000000007E-2</v>
      </c>
      <c r="N257" s="2">
        <f>(J257*L257)/1000</f>
        <v>55.295279999999998</v>
      </c>
      <c r="O257" s="2">
        <f>(J257*M257)/1000</f>
        <v>96.766739999999999</v>
      </c>
    </row>
    <row r="258" spans="2:15">
      <c r="L258" s="2"/>
      <c r="N258" s="2"/>
      <c r="O258" s="2"/>
    </row>
    <row r="259" spans="2:15">
      <c r="L259" s="2"/>
      <c r="N259" s="2"/>
      <c r="O259" s="2"/>
    </row>
    <row r="260" spans="2:15">
      <c r="L260" s="2"/>
      <c r="N260" s="2"/>
      <c r="O260" s="2"/>
    </row>
    <row r="261" spans="2:15">
      <c r="L261" s="2"/>
      <c r="N261" s="2"/>
      <c r="O261" s="2"/>
    </row>
    <row r="262" spans="2:15">
      <c r="L262" s="2"/>
      <c r="N262" s="2"/>
      <c r="O262" s="2"/>
    </row>
    <row r="263" spans="2:15">
      <c r="L263" s="2"/>
      <c r="N263" s="2"/>
      <c r="O263" s="2"/>
    </row>
    <row r="264" spans="2:15">
      <c r="L264" s="2"/>
      <c r="N264" s="2"/>
      <c r="O264" s="2"/>
    </row>
    <row r="265" spans="2:15">
      <c r="L265" s="2"/>
      <c r="N265" s="2"/>
      <c r="O265" s="2"/>
    </row>
    <row r="266" spans="2:15">
      <c r="L266" s="2"/>
      <c r="N266" s="2"/>
      <c r="O266" s="2"/>
    </row>
    <row r="267" spans="2:15">
      <c r="L267" s="2"/>
      <c r="N267" s="2"/>
      <c r="O267" s="2"/>
    </row>
    <row r="268" spans="2:15">
      <c r="L268" s="2"/>
      <c r="N268" s="2"/>
      <c r="O268" s="2"/>
    </row>
    <row r="269" spans="2:15">
      <c r="L269" s="2"/>
      <c r="N269" s="2"/>
      <c r="O269" s="2"/>
    </row>
    <row r="270" spans="2:15">
      <c r="L270" s="2"/>
      <c r="N270" s="2"/>
      <c r="O270" s="2"/>
    </row>
    <row r="271" spans="2:15">
      <c r="L271" s="2"/>
      <c r="N271" s="2"/>
      <c r="O271" s="2"/>
    </row>
    <row r="272" spans="2:15">
      <c r="L272" s="2"/>
      <c r="N272" s="2"/>
      <c r="O272" s="2"/>
    </row>
    <row r="273" spans="12:15">
      <c r="L273" s="2"/>
      <c r="N273" s="2"/>
      <c r="O273" s="2"/>
    </row>
    <row r="274" spans="12:15">
      <c r="L274" s="2"/>
      <c r="N274" s="2"/>
      <c r="O274" s="2"/>
    </row>
    <row r="275" spans="12:15">
      <c r="L275" s="2"/>
      <c r="N275" s="2"/>
      <c r="O275" s="2"/>
    </row>
    <row r="276" spans="12:15">
      <c r="L276" s="2"/>
      <c r="N276" s="2"/>
      <c r="O276" s="2"/>
    </row>
    <row r="277" spans="12:15">
      <c r="L277" s="2"/>
      <c r="N277" s="2"/>
      <c r="O277" s="2"/>
    </row>
    <row r="278" spans="12:15">
      <c r="L278" s="2"/>
      <c r="N278" s="2"/>
      <c r="O278" s="2"/>
    </row>
    <row r="279" spans="12:15">
      <c r="L279" s="2"/>
      <c r="N279" s="2"/>
      <c r="O279" s="2"/>
    </row>
    <row r="280" spans="12:15">
      <c r="L280" s="2"/>
      <c r="N280" s="2"/>
      <c r="O280" s="2"/>
    </row>
    <row r="281" spans="12:15">
      <c r="L281" s="2"/>
      <c r="N281" s="2"/>
      <c r="O281" s="2"/>
    </row>
    <row r="282" spans="12:15">
      <c r="L282" s="2"/>
      <c r="N282" s="2"/>
      <c r="O282" s="2"/>
    </row>
    <row r="283" spans="12:15">
      <c r="L283" s="2"/>
      <c r="N283" s="2"/>
      <c r="O283" s="2"/>
    </row>
    <row r="284" spans="12:15">
      <c r="L284" s="2"/>
      <c r="N284" s="2"/>
      <c r="O284" s="2"/>
    </row>
    <row r="285" spans="12:15">
      <c r="L285" s="2"/>
      <c r="N285" s="2"/>
      <c r="O285" s="2"/>
    </row>
    <row r="286" spans="12:15">
      <c r="L286" s="2"/>
      <c r="N286" s="2"/>
      <c r="O286" s="2"/>
    </row>
    <row r="287" spans="12:15">
      <c r="L287" s="2"/>
      <c r="N287" s="2"/>
      <c r="O287" s="2"/>
    </row>
    <row r="288" spans="12:15">
      <c r="L288" s="2"/>
      <c r="N288" s="2"/>
      <c r="O288" s="2"/>
    </row>
    <row r="289" spans="12:15">
      <c r="L289" s="2"/>
      <c r="N289" s="2"/>
      <c r="O289" s="2"/>
    </row>
    <row r="290" spans="12:15">
      <c r="L290" s="2"/>
      <c r="N290" s="2"/>
      <c r="O290" s="2"/>
    </row>
    <row r="291" spans="12:15">
      <c r="L291" s="2"/>
      <c r="N291" s="2"/>
      <c r="O291" s="2"/>
    </row>
    <row r="292" spans="12:15">
      <c r="L292" s="2"/>
      <c r="N292" s="2"/>
      <c r="O292" s="2"/>
    </row>
    <row r="293" spans="12:15">
      <c r="L293" s="2"/>
      <c r="N293" s="2"/>
      <c r="O293" s="2"/>
    </row>
    <row r="294" spans="12:15">
      <c r="L294" s="2"/>
      <c r="N294" s="2"/>
      <c r="O294" s="2"/>
    </row>
    <row r="295" spans="12:15">
      <c r="L295" s="2"/>
      <c r="N295" s="2"/>
      <c r="O295" s="2"/>
    </row>
    <row r="296" spans="12:15">
      <c r="L296" s="2"/>
      <c r="N296" s="2"/>
      <c r="O296" s="2"/>
    </row>
    <row r="297" spans="12:15">
      <c r="L297" s="2"/>
      <c r="N297" s="2"/>
      <c r="O297" s="2"/>
    </row>
    <row r="298" spans="12:15">
      <c r="L298" s="2"/>
      <c r="N298" s="2"/>
      <c r="O298" s="2"/>
    </row>
    <row r="299" spans="12:15">
      <c r="L299" s="2"/>
      <c r="N299" s="2"/>
      <c r="O299" s="2"/>
    </row>
    <row r="300" spans="12:15">
      <c r="L300" s="2"/>
      <c r="N300" s="2"/>
      <c r="O300" s="2"/>
    </row>
    <row r="301" spans="12:15">
      <c r="L301" s="2"/>
      <c r="N301" s="2"/>
      <c r="O301" s="2"/>
    </row>
    <row r="302" spans="12:15">
      <c r="L302" s="2"/>
      <c r="N302" s="2"/>
      <c r="O302" s="2"/>
    </row>
    <row r="303" spans="12:15">
      <c r="L303" s="2"/>
      <c r="N303" s="2"/>
      <c r="O303" s="2"/>
    </row>
    <row r="304" spans="12:15">
      <c r="L304" s="2"/>
      <c r="N304" s="2"/>
      <c r="O304" s="2"/>
    </row>
    <row r="305" spans="12:15">
      <c r="L305" s="2"/>
      <c r="N305" s="2"/>
      <c r="O305" s="2"/>
    </row>
    <row r="306" spans="12:15">
      <c r="L306" s="2"/>
      <c r="N306" s="2"/>
      <c r="O306" s="2"/>
    </row>
    <row r="307" spans="12:15">
      <c r="L307" s="2"/>
      <c r="N307" s="2"/>
      <c r="O307" s="2"/>
    </row>
    <row r="308" spans="12:15">
      <c r="L308" s="2"/>
      <c r="N308" s="2"/>
      <c r="O308" s="2"/>
    </row>
    <row r="309" spans="12:15">
      <c r="L309" s="2"/>
      <c r="N309" s="2"/>
      <c r="O309" s="2"/>
    </row>
    <row r="310" spans="12:15">
      <c r="L310" s="2"/>
      <c r="N310" s="2"/>
      <c r="O310" s="2"/>
    </row>
    <row r="311" spans="12:15">
      <c r="L311" s="2"/>
      <c r="N311" s="2"/>
      <c r="O311" s="2"/>
    </row>
    <row r="312" spans="12:15">
      <c r="L312" s="2"/>
      <c r="N312" s="2"/>
      <c r="O312" s="2"/>
    </row>
    <row r="313" spans="12:15">
      <c r="L313" s="2"/>
      <c r="N313" s="2"/>
      <c r="O313" s="2"/>
    </row>
    <row r="314" spans="12:15">
      <c r="L314" s="2"/>
      <c r="N314" s="2"/>
      <c r="O314" s="2"/>
    </row>
    <row r="315" spans="12:15">
      <c r="L315" s="2"/>
      <c r="N315" s="2"/>
      <c r="O315" s="2"/>
    </row>
    <row r="316" spans="12:15">
      <c r="L316" s="2"/>
      <c r="N316" s="2"/>
      <c r="O316" s="2"/>
    </row>
    <row r="317" spans="12:15">
      <c r="L317" s="2"/>
      <c r="N317" s="2"/>
      <c r="O317" s="2"/>
    </row>
    <row r="318" spans="12:15">
      <c r="L318" s="2"/>
      <c r="N318" s="2"/>
      <c r="O318" s="2"/>
    </row>
    <row r="319" spans="12:15">
      <c r="L319" s="2"/>
      <c r="N319" s="2"/>
      <c r="O319" s="2"/>
    </row>
    <row r="320" spans="12:15">
      <c r="L320" s="2"/>
      <c r="N320" s="2"/>
      <c r="O320" s="2"/>
    </row>
    <row r="321" spans="12:15">
      <c r="L321" s="2"/>
      <c r="N321" s="2"/>
      <c r="O321" s="2"/>
    </row>
    <row r="322" spans="12:15">
      <c r="L322" s="2"/>
      <c r="N322" s="2"/>
      <c r="O322" s="2"/>
    </row>
    <row r="323" spans="12:15">
      <c r="L323" s="2"/>
      <c r="N323" s="2"/>
      <c r="O323" s="2"/>
    </row>
    <row r="324" spans="12:15">
      <c r="L324" s="2"/>
      <c r="N324" s="2"/>
      <c r="O324" s="2"/>
    </row>
    <row r="325" spans="12:15">
      <c r="L325" s="2"/>
      <c r="N325" s="2"/>
      <c r="O325" s="2"/>
    </row>
    <row r="326" spans="12:15">
      <c r="L326" s="2"/>
      <c r="N326" s="2"/>
      <c r="O326" s="2"/>
    </row>
    <row r="327" spans="12:15">
      <c r="L327" s="2"/>
      <c r="N327" s="2"/>
      <c r="O327" s="2"/>
    </row>
    <row r="328" spans="12:15">
      <c r="L328" s="2"/>
      <c r="N328" s="2"/>
      <c r="O328" s="2"/>
    </row>
    <row r="329" spans="12:15">
      <c r="L329" s="2"/>
      <c r="N329" s="2"/>
      <c r="O329" s="2"/>
    </row>
    <row r="330" spans="12:15">
      <c r="L330" s="2"/>
      <c r="N330" s="2"/>
      <c r="O330" s="2"/>
    </row>
    <row r="331" spans="12:15">
      <c r="L331" s="2"/>
      <c r="N331" s="2"/>
      <c r="O331" s="2"/>
    </row>
    <row r="332" spans="12:15">
      <c r="L332" s="2"/>
      <c r="N332" s="2"/>
      <c r="O332" s="2"/>
    </row>
    <row r="333" spans="12:15">
      <c r="L333" s="2"/>
      <c r="N333" s="2"/>
      <c r="O333" s="2"/>
    </row>
    <row r="334" spans="12:15">
      <c r="L334" s="2"/>
      <c r="N334" s="2"/>
      <c r="O334" s="2"/>
    </row>
    <row r="335" spans="12:15">
      <c r="L335" s="2"/>
      <c r="N335" s="2"/>
      <c r="O335" s="2"/>
    </row>
    <row r="336" spans="12:15">
      <c r="L336" s="2"/>
      <c r="N336" s="2"/>
      <c r="O336" s="2"/>
    </row>
    <row r="337" spans="12:15">
      <c r="L337" s="2"/>
      <c r="N337" s="2"/>
      <c r="O337" s="2"/>
    </row>
    <row r="338" spans="12:15">
      <c r="L338" s="2"/>
      <c r="N338" s="2"/>
      <c r="O338" s="2"/>
    </row>
    <row r="339" spans="12:15">
      <c r="L339" s="2"/>
      <c r="N339" s="2"/>
      <c r="O339" s="2"/>
    </row>
    <row r="340" spans="12:15">
      <c r="L340" s="2"/>
      <c r="N340" s="2"/>
      <c r="O340" s="2"/>
    </row>
    <row r="341" spans="12:15">
      <c r="L341" s="2"/>
      <c r="N341" s="2"/>
      <c r="O341" s="2"/>
    </row>
    <row r="342" spans="12:15">
      <c r="L342" s="2"/>
      <c r="N342" s="2"/>
      <c r="O342" s="2"/>
    </row>
    <row r="343" spans="12:15">
      <c r="L343" s="2"/>
      <c r="N343" s="2"/>
      <c r="O343" s="2"/>
    </row>
    <row r="344" spans="12:15">
      <c r="L344" s="2"/>
      <c r="N344" s="2"/>
      <c r="O344" s="2"/>
    </row>
    <row r="345" spans="12:15">
      <c r="L345" s="2"/>
      <c r="N345" s="2"/>
      <c r="O345" s="2"/>
    </row>
    <row r="346" spans="12:15">
      <c r="L346" s="2"/>
      <c r="N346" s="2"/>
      <c r="O346" s="2"/>
    </row>
    <row r="347" spans="12:15">
      <c r="L347" s="2"/>
      <c r="N347" s="2"/>
      <c r="O347" s="2"/>
    </row>
    <row r="348" spans="12:15">
      <c r="L348" s="2"/>
      <c r="N348" s="2"/>
      <c r="O348" s="2"/>
    </row>
    <row r="349" spans="12:15">
      <c r="L349" s="2"/>
      <c r="N349" s="2"/>
      <c r="O349" s="2"/>
    </row>
    <row r="350" spans="12:15">
      <c r="L350" s="2"/>
      <c r="N350" s="2"/>
      <c r="O350" s="2"/>
    </row>
    <row r="351" spans="12:15">
      <c r="L351" s="2"/>
      <c r="N351" s="2"/>
      <c r="O351" s="2"/>
    </row>
    <row r="352" spans="12:15">
      <c r="L352" s="2"/>
      <c r="N352" s="2"/>
      <c r="O352" s="2"/>
    </row>
    <row r="353" spans="12:15">
      <c r="L353" s="2"/>
      <c r="N353" s="2"/>
      <c r="O353" s="2"/>
    </row>
    <row r="354" spans="12:15">
      <c r="L354" s="2"/>
      <c r="N354" s="2"/>
      <c r="O354" s="2"/>
    </row>
    <row r="355" spans="12:15">
      <c r="L355" s="2"/>
      <c r="N355" s="2"/>
      <c r="O355" s="2"/>
    </row>
    <row r="356" spans="12:15">
      <c r="L356" s="2"/>
      <c r="N356" s="2"/>
      <c r="O356" s="2"/>
    </row>
    <row r="357" spans="12:15">
      <c r="L357" s="2"/>
      <c r="N357" s="2"/>
      <c r="O357" s="2"/>
    </row>
    <row r="358" spans="12:15">
      <c r="L358" s="2"/>
      <c r="N358" s="2"/>
      <c r="O358" s="2"/>
    </row>
    <row r="359" spans="12:15">
      <c r="L359" s="2"/>
      <c r="N359" s="2"/>
      <c r="O359" s="2"/>
    </row>
    <row r="360" spans="12:15">
      <c r="L360" s="2"/>
      <c r="N360" s="2"/>
      <c r="O360" s="2"/>
    </row>
    <row r="361" spans="12:15">
      <c r="L361" s="2"/>
      <c r="N361" s="2"/>
      <c r="O361" s="2"/>
    </row>
    <row r="362" spans="12:15">
      <c r="L362" s="2"/>
      <c r="N362" s="2"/>
      <c r="O362" s="2"/>
    </row>
    <row r="363" spans="12:15">
      <c r="L363" s="2"/>
      <c r="N363" s="2"/>
      <c r="O363" s="2"/>
    </row>
    <row r="364" spans="12:15">
      <c r="L364" s="2"/>
      <c r="N364" s="2"/>
      <c r="O364" s="2"/>
    </row>
    <row r="365" spans="12:15">
      <c r="L365" s="2"/>
      <c r="N365" s="2"/>
      <c r="O365" s="2"/>
    </row>
    <row r="366" spans="12:15">
      <c r="L366" s="2"/>
      <c r="N366" s="2"/>
      <c r="O366" s="2"/>
    </row>
    <row r="367" spans="12:15">
      <c r="L367" s="2"/>
      <c r="N367" s="2"/>
      <c r="O367" s="2"/>
    </row>
    <row r="368" spans="12:15">
      <c r="L368" s="2"/>
      <c r="N368" s="2"/>
      <c r="O368" s="2"/>
    </row>
    <row r="369" spans="12:15">
      <c r="L369" s="2"/>
      <c r="N369" s="2"/>
      <c r="O369" s="2"/>
    </row>
    <row r="370" spans="12:15">
      <c r="L370" s="2"/>
      <c r="N370" s="2"/>
      <c r="O370" s="2"/>
    </row>
    <row r="371" spans="12:15">
      <c r="L371" s="2"/>
      <c r="N371" s="2"/>
      <c r="O371" s="2"/>
    </row>
    <row r="372" spans="12:15">
      <c r="L372" s="2"/>
      <c r="N372" s="2"/>
      <c r="O372" s="2"/>
    </row>
    <row r="373" spans="12:15">
      <c r="L373" s="2"/>
      <c r="N373" s="2"/>
      <c r="O373" s="2"/>
    </row>
    <row r="374" spans="12:15">
      <c r="L374" s="2"/>
      <c r="N374" s="2"/>
      <c r="O374" s="2"/>
    </row>
    <row r="375" spans="12:15">
      <c r="L375" s="2"/>
      <c r="N375" s="2"/>
      <c r="O375" s="2"/>
    </row>
    <row r="376" spans="12:15">
      <c r="L376" s="2"/>
      <c r="N376" s="2"/>
      <c r="O376" s="2"/>
    </row>
    <row r="377" spans="12:15">
      <c r="L377" s="2"/>
      <c r="N377" s="2"/>
      <c r="O377" s="2"/>
    </row>
    <row r="378" spans="12:15">
      <c r="L378" s="2"/>
      <c r="N378" s="2"/>
      <c r="O378" s="2"/>
    </row>
    <row r="379" spans="12:15">
      <c r="L379" s="2"/>
      <c r="N379" s="2"/>
      <c r="O379" s="2"/>
    </row>
    <row r="380" spans="12:15">
      <c r="L380" s="2"/>
      <c r="N380" s="2"/>
      <c r="O380" s="2"/>
    </row>
    <row r="381" spans="12:15">
      <c r="L381" s="2"/>
      <c r="N381" s="2"/>
      <c r="O381" s="2"/>
    </row>
    <row r="382" spans="12:15">
      <c r="L382" s="2"/>
      <c r="N382" s="2"/>
      <c r="O382" s="2"/>
    </row>
    <row r="383" spans="12:15">
      <c r="L383" s="2"/>
      <c r="N383" s="2"/>
      <c r="O383" s="2"/>
    </row>
    <row r="384" spans="12:15">
      <c r="L384" s="2"/>
      <c r="N384" s="2"/>
      <c r="O384" s="2"/>
    </row>
    <row r="385" spans="12:15">
      <c r="L385" s="2"/>
      <c r="N385" s="2"/>
      <c r="O385" s="2"/>
    </row>
    <row r="386" spans="12:15">
      <c r="L386" s="2"/>
      <c r="N386" s="2"/>
      <c r="O386" s="2"/>
    </row>
    <row r="387" spans="12:15">
      <c r="L387" s="2"/>
      <c r="N387" s="2"/>
      <c r="O387" s="2"/>
    </row>
    <row r="388" spans="12:15">
      <c r="L388" s="2"/>
      <c r="N388" s="2"/>
      <c r="O388" s="2"/>
    </row>
    <row r="389" spans="12:15">
      <c r="L389" s="2"/>
      <c r="N389" s="2"/>
      <c r="O389" s="2"/>
    </row>
    <row r="390" spans="12:15">
      <c r="L390" s="2"/>
      <c r="N390" s="2"/>
      <c r="O390" s="2"/>
    </row>
    <row r="391" spans="12:15">
      <c r="L391" s="2"/>
      <c r="N391" s="2"/>
      <c r="O391" s="2"/>
    </row>
    <row r="392" spans="12:15">
      <c r="L392" s="2"/>
      <c r="N392" s="2"/>
      <c r="O392" s="2"/>
    </row>
    <row r="393" spans="12:15">
      <c r="L393" s="2"/>
      <c r="N393" s="2"/>
      <c r="O393" s="2"/>
    </row>
    <row r="394" spans="12:15">
      <c r="L394" s="2"/>
      <c r="N394" s="2"/>
      <c r="O394" s="2"/>
    </row>
    <row r="395" spans="12:15">
      <c r="L395" s="2"/>
      <c r="N395" s="2"/>
      <c r="O395" s="2"/>
    </row>
    <row r="396" spans="12:15">
      <c r="L396" s="2"/>
      <c r="N396" s="2"/>
      <c r="O396" s="2"/>
    </row>
    <row r="397" spans="12:15">
      <c r="L397" s="2"/>
      <c r="N397" s="2"/>
      <c r="O397" s="2"/>
    </row>
    <row r="398" spans="12:15">
      <c r="L398" s="2"/>
      <c r="N398" s="2"/>
      <c r="O398" s="2"/>
    </row>
    <row r="399" spans="12:15">
      <c r="L399" s="2"/>
      <c r="N399" s="2"/>
      <c r="O399" s="2"/>
    </row>
    <row r="400" spans="12:15">
      <c r="L400" s="2"/>
      <c r="N400" s="2"/>
      <c r="O400" s="2"/>
    </row>
    <row r="401" spans="12:15">
      <c r="L401" s="2"/>
      <c r="N401" s="2"/>
      <c r="O401" s="2"/>
    </row>
    <row r="402" spans="12:15">
      <c r="L402" s="2"/>
      <c r="N402" s="2"/>
      <c r="O402" s="2"/>
    </row>
    <row r="403" spans="12:15">
      <c r="L403" s="2"/>
      <c r="N403" s="2"/>
      <c r="O403" s="2"/>
    </row>
    <row r="404" spans="12:15">
      <c r="L404" s="2"/>
      <c r="N404" s="2"/>
      <c r="O404" s="2"/>
    </row>
    <row r="405" spans="12:15">
      <c r="L405" s="2"/>
      <c r="N405" s="2"/>
      <c r="O405" s="2"/>
    </row>
    <row r="406" spans="12:15">
      <c r="L406" s="2"/>
      <c r="N406" s="2"/>
      <c r="O406" s="2"/>
    </row>
    <row r="407" spans="12:15">
      <c r="L407" s="2"/>
      <c r="N407" s="2"/>
      <c r="O407" s="2"/>
    </row>
    <row r="408" spans="12:15">
      <c r="L408" s="2"/>
      <c r="N408" s="2"/>
      <c r="O408" s="2"/>
    </row>
    <row r="409" spans="12:15">
      <c r="L409" s="2"/>
      <c r="N409" s="2"/>
      <c r="O409" s="2"/>
    </row>
    <row r="410" spans="12:15">
      <c r="L410" s="2"/>
      <c r="N410" s="2"/>
      <c r="O410" s="2"/>
    </row>
    <row r="411" spans="12:15">
      <c r="L411" s="2"/>
      <c r="N411" s="2"/>
      <c r="O411" s="2"/>
    </row>
    <row r="412" spans="12:15">
      <c r="L412" s="2"/>
      <c r="N412" s="2"/>
      <c r="O412" s="2"/>
    </row>
    <row r="413" spans="12:15">
      <c r="L413" s="2"/>
      <c r="N413" s="2"/>
      <c r="O413" s="2"/>
    </row>
    <row r="414" spans="12:15">
      <c r="L414" s="2"/>
      <c r="N414" s="2"/>
      <c r="O414" s="2"/>
    </row>
    <row r="415" spans="12:15">
      <c r="L415" s="2"/>
      <c r="N415" s="2"/>
      <c r="O415" s="2"/>
    </row>
    <row r="416" spans="12:15">
      <c r="L416" s="2"/>
      <c r="N416" s="2"/>
      <c r="O416" s="2"/>
    </row>
    <row r="417" spans="12:15">
      <c r="L417" s="2"/>
      <c r="N417" s="2"/>
      <c r="O417" s="2"/>
    </row>
    <row r="418" spans="12:15">
      <c r="L418" s="2"/>
      <c r="N418" s="2"/>
      <c r="O418" s="2"/>
    </row>
    <row r="419" spans="12:15">
      <c r="L419" s="2"/>
      <c r="N419" s="2"/>
      <c r="O419" s="2"/>
    </row>
    <row r="420" spans="12:15">
      <c r="L420" s="2"/>
      <c r="N420" s="2"/>
      <c r="O420" s="2"/>
    </row>
    <row r="421" spans="12:15">
      <c r="L421" s="2"/>
      <c r="N421" s="2"/>
      <c r="O421" s="2"/>
    </row>
    <row r="422" spans="12:15">
      <c r="L422" s="2"/>
      <c r="N422" s="2"/>
      <c r="O422" s="2"/>
    </row>
    <row r="423" spans="12:15">
      <c r="L423" s="2"/>
      <c r="N423" s="2"/>
      <c r="O423" s="2"/>
    </row>
    <row r="424" spans="12:15">
      <c r="L424" s="2"/>
      <c r="N424" s="2"/>
      <c r="O424" s="2"/>
    </row>
    <row r="425" spans="12:15">
      <c r="L425" s="2"/>
      <c r="N425" s="2"/>
      <c r="O425" s="2"/>
    </row>
    <row r="426" spans="12:15">
      <c r="L426" s="2"/>
      <c r="N426" s="2"/>
      <c r="O426" s="2"/>
    </row>
    <row r="427" spans="12:15">
      <c r="L427" s="2"/>
      <c r="N427" s="2"/>
      <c r="O427" s="2"/>
    </row>
    <row r="428" spans="12:15">
      <c r="L428" s="2"/>
      <c r="N428" s="2"/>
      <c r="O428" s="2"/>
    </row>
    <row r="429" spans="12:15">
      <c r="L429" s="2"/>
      <c r="N429" s="2"/>
      <c r="O429" s="2"/>
    </row>
    <row r="430" spans="12:15">
      <c r="L430" s="2"/>
      <c r="N430" s="2"/>
      <c r="O430" s="2"/>
    </row>
    <row r="431" spans="12:15">
      <c r="L431" s="2"/>
      <c r="N431" s="2"/>
      <c r="O431" s="2"/>
    </row>
    <row r="432" spans="12:15">
      <c r="L432" s="2"/>
      <c r="N432" s="2"/>
      <c r="O432" s="2"/>
    </row>
    <row r="433" spans="12:15">
      <c r="L433" s="2"/>
      <c r="N433" s="2"/>
      <c r="O433" s="2"/>
    </row>
    <row r="434" spans="12:15">
      <c r="L434" s="2"/>
      <c r="N434" s="2"/>
      <c r="O434" s="2"/>
    </row>
    <row r="435" spans="12:15">
      <c r="L435" s="2"/>
      <c r="N435" s="2"/>
      <c r="O435" s="2"/>
    </row>
    <row r="436" spans="12:15">
      <c r="L436" s="2"/>
      <c r="N436" s="2"/>
      <c r="O436" s="2"/>
    </row>
    <row r="437" spans="12:15">
      <c r="L437" s="2"/>
      <c r="N437" s="2"/>
      <c r="O437" s="2"/>
    </row>
    <row r="438" spans="12:15">
      <c r="L438" s="2"/>
      <c r="N438" s="2"/>
      <c r="O438" s="2"/>
    </row>
    <row r="439" spans="12:15">
      <c r="L439" s="2"/>
      <c r="N439" s="2"/>
      <c r="O439" s="2"/>
    </row>
    <row r="440" spans="12:15">
      <c r="L440" s="2"/>
      <c r="N440" s="2"/>
      <c r="O440" s="2"/>
    </row>
    <row r="441" spans="12:15">
      <c r="L441" s="2"/>
      <c r="N441" s="2"/>
      <c r="O441" s="2"/>
    </row>
    <row r="442" spans="12:15">
      <c r="L442" s="2"/>
      <c r="N442" s="2"/>
      <c r="O442" s="2"/>
    </row>
    <row r="443" spans="12:15">
      <c r="L443" s="2"/>
      <c r="N443" s="2"/>
      <c r="O443" s="2"/>
    </row>
    <row r="444" spans="12:15">
      <c r="L444" s="2"/>
      <c r="N444" s="2"/>
      <c r="O444" s="2"/>
    </row>
    <row r="445" spans="12:15">
      <c r="L445" s="2"/>
      <c r="N445" s="2"/>
      <c r="O445" s="2"/>
    </row>
    <row r="446" spans="12:15">
      <c r="L446" s="2"/>
      <c r="N446" s="2"/>
      <c r="O446" s="2"/>
    </row>
    <row r="447" spans="12:15">
      <c r="L447" s="2"/>
      <c r="N447" s="2"/>
      <c r="O447" s="2"/>
    </row>
    <row r="448" spans="12:15">
      <c r="L448" s="2"/>
      <c r="N448" s="2"/>
      <c r="O448" s="2"/>
    </row>
    <row r="449" spans="12:15">
      <c r="L449" s="2"/>
      <c r="N449" s="2"/>
      <c r="O449" s="2"/>
    </row>
    <row r="450" spans="12:15">
      <c r="L450" s="2"/>
      <c r="N450" s="2"/>
      <c r="O450" s="2"/>
    </row>
    <row r="451" spans="12:15">
      <c r="L451" s="2"/>
      <c r="N451" s="2"/>
      <c r="O451" s="2"/>
    </row>
    <row r="452" spans="12:15">
      <c r="L452" s="2"/>
      <c r="N452" s="2"/>
      <c r="O452" s="2"/>
    </row>
    <row r="453" spans="12:15">
      <c r="L453" s="2"/>
      <c r="N453" s="2"/>
      <c r="O453" s="2"/>
    </row>
    <row r="454" spans="12:15">
      <c r="L454" s="2"/>
      <c r="N454" s="2"/>
      <c r="O454" s="2"/>
    </row>
    <row r="455" spans="12:15">
      <c r="L455" s="2"/>
      <c r="N455" s="2"/>
      <c r="O455" s="2"/>
    </row>
    <row r="456" spans="12:15">
      <c r="L456" s="2"/>
      <c r="N456" s="2"/>
      <c r="O456" s="2"/>
    </row>
    <row r="457" spans="12:15">
      <c r="L457" s="2"/>
      <c r="N457" s="2"/>
      <c r="O457" s="2"/>
    </row>
    <row r="458" spans="12:15">
      <c r="L458" s="2"/>
      <c r="N458" s="2"/>
      <c r="O458" s="2"/>
    </row>
    <row r="459" spans="12:15">
      <c r="L459" s="2"/>
      <c r="N459" s="2"/>
      <c r="O459" s="2"/>
    </row>
    <row r="460" spans="12:15">
      <c r="L460" s="2"/>
      <c r="N460" s="2"/>
      <c r="O460" s="2"/>
    </row>
    <row r="461" spans="12:15">
      <c r="L461" s="2"/>
      <c r="N461" s="2"/>
      <c r="O461" s="2"/>
    </row>
    <row r="462" spans="12:15">
      <c r="L462" s="2"/>
      <c r="N462" s="2"/>
      <c r="O462" s="2"/>
    </row>
    <row r="463" spans="12:15">
      <c r="L463" s="2"/>
      <c r="N463" s="2"/>
      <c r="O463" s="2"/>
    </row>
    <row r="464" spans="12:15">
      <c r="L464" s="2"/>
      <c r="N464" s="2"/>
      <c r="O464" s="2"/>
    </row>
    <row r="465" spans="12:15">
      <c r="L465" s="2"/>
      <c r="N465" s="2"/>
      <c r="O465" s="2"/>
    </row>
    <row r="466" spans="12:15">
      <c r="L466" s="2"/>
      <c r="N466" s="2"/>
      <c r="O466" s="2"/>
    </row>
    <row r="467" spans="12:15">
      <c r="L467" s="2"/>
      <c r="N467" s="2"/>
      <c r="O467" s="2"/>
    </row>
    <row r="468" spans="12:15">
      <c r="L468" s="2"/>
      <c r="N468" s="2"/>
      <c r="O468" s="2"/>
    </row>
    <row r="469" spans="12:15">
      <c r="L469" s="2"/>
      <c r="N469" s="2"/>
      <c r="O469" s="2"/>
    </row>
    <row r="470" spans="12:15">
      <c r="L470" s="2"/>
      <c r="N470" s="2"/>
      <c r="O470" s="2"/>
    </row>
    <row r="471" spans="12:15">
      <c r="L471" s="2"/>
      <c r="N471" s="2"/>
      <c r="O471" s="2"/>
    </row>
    <row r="472" spans="12:15">
      <c r="L472" s="2"/>
      <c r="N472" s="2"/>
      <c r="O472" s="2"/>
    </row>
    <row r="473" spans="12:15">
      <c r="L473" s="2"/>
      <c r="N473" s="2"/>
      <c r="O473" s="2"/>
    </row>
    <row r="474" spans="12:15">
      <c r="L474" s="2"/>
      <c r="N474" s="2"/>
      <c r="O474" s="2"/>
    </row>
    <row r="475" spans="12:15">
      <c r="L475" s="2"/>
      <c r="N475" s="2"/>
      <c r="O475" s="2"/>
    </row>
    <row r="476" spans="12:15">
      <c r="L476" s="2"/>
      <c r="N476" s="2"/>
      <c r="O476" s="2"/>
    </row>
    <row r="477" spans="12:15">
      <c r="L477" s="2"/>
      <c r="N477" s="2"/>
      <c r="O477" s="2"/>
    </row>
    <row r="478" spans="12:15">
      <c r="L478" s="2"/>
      <c r="N478" s="2"/>
      <c r="O478" s="2"/>
    </row>
    <row r="479" spans="12:15">
      <c r="L479" s="2"/>
      <c r="N479" s="2"/>
      <c r="O479" s="2"/>
    </row>
    <row r="480" spans="12:15">
      <c r="L480" s="2"/>
      <c r="N480" s="2"/>
      <c r="O480" s="2"/>
    </row>
    <row r="481" spans="12:15">
      <c r="L481" s="2"/>
      <c r="N481" s="2"/>
      <c r="O481" s="2"/>
    </row>
    <row r="482" spans="12:15">
      <c r="L482" s="2"/>
      <c r="N482" s="2"/>
      <c r="O482" s="2"/>
    </row>
    <row r="483" spans="12:15">
      <c r="L483" s="2"/>
      <c r="N483" s="2"/>
      <c r="O483" s="2"/>
    </row>
    <row r="484" spans="12:15">
      <c r="L484" s="2"/>
      <c r="N484" s="2"/>
      <c r="O484" s="2"/>
    </row>
    <row r="485" spans="12:15">
      <c r="L485" s="2"/>
      <c r="N485" s="2"/>
      <c r="O485" s="2"/>
    </row>
    <row r="486" spans="12:15">
      <c r="L486" s="2"/>
      <c r="N486" s="2"/>
      <c r="O486" s="2"/>
    </row>
    <row r="487" spans="12:15">
      <c r="L487" s="2"/>
      <c r="N487" s="2"/>
      <c r="O487" s="2"/>
    </row>
    <row r="488" spans="12:15">
      <c r="L488" s="2"/>
      <c r="N488" s="2"/>
      <c r="O488" s="2"/>
    </row>
    <row r="489" spans="12:15">
      <c r="L489" s="2"/>
      <c r="N489" s="2"/>
      <c r="O489" s="2"/>
    </row>
    <row r="490" spans="12:15">
      <c r="L490" s="2"/>
      <c r="N490" s="2"/>
      <c r="O490" s="2"/>
    </row>
    <row r="491" spans="12:15">
      <c r="L491" s="2"/>
      <c r="N491" s="2"/>
      <c r="O491" s="2"/>
    </row>
    <row r="492" spans="12:15">
      <c r="L492" s="2"/>
      <c r="N492" s="2"/>
      <c r="O492" s="2"/>
    </row>
    <row r="493" spans="12:15">
      <c r="L493" s="2"/>
      <c r="N493" s="2"/>
      <c r="O493" s="2"/>
    </row>
    <row r="494" spans="12:15">
      <c r="L494" s="2"/>
      <c r="N494" s="2"/>
      <c r="O494" s="2"/>
    </row>
    <row r="495" spans="12:15">
      <c r="L495" s="2"/>
      <c r="N495" s="2"/>
      <c r="O495" s="2"/>
    </row>
    <row r="496" spans="12:15">
      <c r="L496" s="2"/>
      <c r="N496" s="2"/>
      <c r="O496" s="2"/>
    </row>
    <row r="497" spans="12:15">
      <c r="L497" s="2"/>
      <c r="N497" s="2"/>
      <c r="O497" s="2"/>
    </row>
    <row r="498" spans="12:15">
      <c r="L498" s="2"/>
      <c r="N498" s="2"/>
      <c r="O498" s="2"/>
    </row>
    <row r="499" spans="12:15">
      <c r="L499" s="2"/>
      <c r="N499" s="2"/>
      <c r="O499" s="2"/>
    </row>
    <row r="500" spans="12:15">
      <c r="L500" s="2"/>
      <c r="N500" s="2"/>
      <c r="O500" s="2"/>
    </row>
    <row r="501" spans="12:15">
      <c r="L501" s="2"/>
      <c r="N501" s="2"/>
      <c r="O501" s="2"/>
    </row>
    <row r="502" spans="12:15">
      <c r="L502" s="2"/>
      <c r="N502" s="2"/>
      <c r="O502" s="2"/>
    </row>
    <row r="503" spans="12:15">
      <c r="L503" s="2"/>
      <c r="N503" s="2"/>
      <c r="O503" s="2"/>
    </row>
    <row r="504" spans="12:15">
      <c r="L504" s="2"/>
      <c r="N504" s="2"/>
      <c r="O504" s="2"/>
    </row>
    <row r="505" spans="12:15">
      <c r="L505" s="2"/>
      <c r="N505" s="2"/>
      <c r="O505" s="2"/>
    </row>
    <row r="506" spans="12:15">
      <c r="L506" s="2"/>
      <c r="N506" s="2"/>
      <c r="O506" s="2"/>
    </row>
    <row r="507" spans="12:15">
      <c r="L507" s="2"/>
      <c r="N507" s="2"/>
      <c r="O507" s="2"/>
    </row>
    <row r="508" spans="12:15">
      <c r="L508" s="2"/>
      <c r="N508" s="2"/>
      <c r="O508" s="2"/>
    </row>
    <row r="509" spans="12:15">
      <c r="L509" s="2"/>
      <c r="N509" s="2"/>
      <c r="O509" s="2"/>
    </row>
    <row r="510" spans="12:15">
      <c r="L510" s="2"/>
      <c r="N510" s="2"/>
      <c r="O510" s="2"/>
    </row>
    <row r="511" spans="12:15">
      <c r="L511" s="2"/>
      <c r="N511" s="2"/>
      <c r="O511" s="2"/>
    </row>
    <row r="512" spans="12:15">
      <c r="L512" s="2"/>
      <c r="N512" s="2"/>
      <c r="O512" s="2"/>
    </row>
    <row r="513" spans="12:15">
      <c r="L513" s="2"/>
      <c r="N513" s="2"/>
      <c r="O513" s="2"/>
    </row>
    <row r="514" spans="12:15">
      <c r="L514" s="2"/>
      <c r="N514" s="2"/>
      <c r="O514" s="2"/>
    </row>
    <row r="515" spans="12:15">
      <c r="L515" s="2"/>
      <c r="N515" s="2"/>
      <c r="O515" s="2"/>
    </row>
    <row r="516" spans="12:15">
      <c r="L516" s="2"/>
      <c r="N516" s="2"/>
      <c r="O516" s="2"/>
    </row>
    <row r="517" spans="12:15">
      <c r="L517" s="2"/>
      <c r="N517" s="2"/>
      <c r="O517" s="2"/>
    </row>
    <row r="518" spans="12:15">
      <c r="L518" s="2"/>
      <c r="N518" s="2"/>
      <c r="O518" s="2"/>
    </row>
    <row r="519" spans="12:15">
      <c r="L519" s="2"/>
      <c r="N519" s="2"/>
      <c r="O519" s="2"/>
    </row>
    <row r="520" spans="12:15">
      <c r="L520" s="2"/>
      <c r="N520" s="2"/>
      <c r="O520" s="2"/>
    </row>
    <row r="521" spans="12:15">
      <c r="L521" s="2"/>
      <c r="N521" s="2"/>
      <c r="O521" s="2"/>
    </row>
    <row r="522" spans="12:15">
      <c r="L522" s="2"/>
      <c r="N522" s="2"/>
      <c r="O522" s="2"/>
    </row>
    <row r="523" spans="12:15">
      <c r="L523" s="2"/>
      <c r="N523" s="2"/>
      <c r="O523" s="2"/>
    </row>
    <row r="524" spans="12:15">
      <c r="L524" s="2"/>
      <c r="N524" s="2"/>
      <c r="O524" s="2"/>
    </row>
    <row r="525" spans="12:15">
      <c r="L525" s="2"/>
      <c r="N525" s="2"/>
      <c r="O525" s="2"/>
    </row>
    <row r="526" spans="12:15">
      <c r="L526" s="2"/>
      <c r="N526" s="2"/>
      <c r="O526" s="2"/>
    </row>
    <row r="527" spans="12:15">
      <c r="L527" s="2"/>
      <c r="N527" s="2"/>
      <c r="O527" s="2"/>
    </row>
    <row r="528" spans="12:15">
      <c r="L528" s="2"/>
      <c r="N528" s="2"/>
      <c r="O528" s="2"/>
    </row>
    <row r="529" spans="12:15">
      <c r="L529" s="2"/>
      <c r="N529" s="2"/>
      <c r="O529" s="2"/>
    </row>
    <row r="530" spans="12:15">
      <c r="L530" s="2"/>
      <c r="N530" s="2"/>
      <c r="O530" s="2"/>
    </row>
    <row r="531" spans="12:15">
      <c r="L531" s="2"/>
      <c r="N531" s="2"/>
      <c r="O531" s="2"/>
    </row>
    <row r="532" spans="12:15">
      <c r="L532" s="2"/>
      <c r="N532" s="2"/>
      <c r="O532" s="2"/>
    </row>
    <row r="533" spans="12:15">
      <c r="L533" s="2"/>
      <c r="N533" s="2"/>
      <c r="O533" s="2"/>
    </row>
    <row r="534" spans="12:15">
      <c r="L534" s="2"/>
      <c r="N534" s="2"/>
      <c r="O534" s="2"/>
    </row>
    <row r="535" spans="12:15">
      <c r="L535" s="2"/>
      <c r="N535" s="2"/>
      <c r="O535" s="2"/>
    </row>
    <row r="536" spans="12:15">
      <c r="L536" s="2"/>
      <c r="N536" s="2"/>
      <c r="O536" s="2"/>
    </row>
    <row r="537" spans="12:15">
      <c r="L537" s="2"/>
      <c r="N537" s="2"/>
      <c r="O537" s="2"/>
    </row>
    <row r="538" spans="12:15">
      <c r="L538" s="2"/>
      <c r="N538" s="2"/>
      <c r="O538" s="2"/>
    </row>
    <row r="539" spans="12:15">
      <c r="L539" s="2"/>
      <c r="N539" s="2"/>
      <c r="O539" s="2"/>
    </row>
    <row r="540" spans="12:15">
      <c r="L540" s="2"/>
      <c r="N540" s="2"/>
      <c r="O540" s="2"/>
    </row>
    <row r="541" spans="12:15">
      <c r="L541" s="2"/>
      <c r="N541" s="2"/>
      <c r="O541" s="2"/>
    </row>
    <row r="542" spans="12:15">
      <c r="L542" s="2"/>
      <c r="N542" s="2"/>
      <c r="O542" s="2"/>
    </row>
    <row r="543" spans="12:15">
      <c r="L543" s="2"/>
      <c r="N543" s="2"/>
      <c r="O543" s="2"/>
    </row>
    <row r="544" spans="12:15">
      <c r="L544" s="2"/>
      <c r="N544" s="2"/>
      <c r="O544" s="2"/>
    </row>
    <row r="545" spans="12:15">
      <c r="L545" s="2"/>
      <c r="N545" s="2"/>
      <c r="O545" s="2"/>
    </row>
    <row r="546" spans="12:15">
      <c r="L546" s="2"/>
      <c r="N546" s="2"/>
      <c r="O546" s="2"/>
    </row>
    <row r="547" spans="12:15">
      <c r="L547" s="2"/>
      <c r="N547" s="2"/>
      <c r="O547" s="2"/>
    </row>
    <row r="548" spans="12:15">
      <c r="L548" s="2"/>
      <c r="N548" s="2"/>
      <c r="O548" s="2"/>
    </row>
    <row r="549" spans="12:15">
      <c r="L549" s="2"/>
      <c r="N549" s="2"/>
      <c r="O549" s="2"/>
    </row>
    <row r="550" spans="12:15">
      <c r="L550" s="2"/>
      <c r="N550" s="2"/>
      <c r="O550" s="2"/>
    </row>
    <row r="551" spans="12:15">
      <c r="L551" s="2"/>
      <c r="N551" s="2"/>
      <c r="O551" s="2"/>
    </row>
    <row r="552" spans="12:15">
      <c r="L552" s="2"/>
      <c r="N552" s="2"/>
      <c r="O552" s="2"/>
    </row>
    <row r="553" spans="12:15">
      <c r="L553" s="2"/>
      <c r="N553" s="2"/>
      <c r="O553" s="2"/>
    </row>
    <row r="554" spans="12:15">
      <c r="L554" s="2"/>
      <c r="N554" s="2"/>
      <c r="O554" s="2"/>
    </row>
    <row r="555" spans="12:15">
      <c r="L555" s="2"/>
      <c r="N555" s="2"/>
      <c r="O555" s="2"/>
    </row>
    <row r="556" spans="12:15">
      <c r="L556" s="2"/>
      <c r="N556" s="2"/>
      <c r="O556" s="2"/>
    </row>
    <row r="557" spans="12:15">
      <c r="L557" s="2"/>
      <c r="N557" s="2"/>
      <c r="O557" s="2"/>
    </row>
    <row r="558" spans="12:15">
      <c r="L558" s="2"/>
      <c r="N558" s="2"/>
      <c r="O558" s="2"/>
    </row>
    <row r="559" spans="12:15">
      <c r="L559" s="2"/>
      <c r="N559" s="2"/>
      <c r="O559" s="2"/>
    </row>
    <row r="560" spans="12:15">
      <c r="L560" s="2"/>
      <c r="N560" s="2"/>
      <c r="O560" s="2"/>
    </row>
    <row r="561" spans="12:15">
      <c r="L561" s="2"/>
      <c r="N561" s="2"/>
      <c r="O561" s="2"/>
    </row>
    <row r="562" spans="12:15">
      <c r="L562" s="2"/>
      <c r="N562" s="2"/>
      <c r="O562" s="2"/>
    </row>
    <row r="563" spans="12:15">
      <c r="L563" s="2"/>
      <c r="N563" s="2"/>
      <c r="O563" s="2"/>
    </row>
    <row r="564" spans="12:15">
      <c r="L564" s="2"/>
      <c r="N564" s="2"/>
      <c r="O564" s="2"/>
    </row>
    <row r="565" spans="12:15">
      <c r="L565" s="2"/>
      <c r="N565" s="2"/>
      <c r="O565" s="2"/>
    </row>
    <row r="566" spans="12:15">
      <c r="L566" s="2"/>
      <c r="N566" s="2"/>
      <c r="O566" s="2"/>
    </row>
    <row r="567" spans="12:15">
      <c r="L567" s="2"/>
      <c r="N567" s="2"/>
      <c r="O567" s="2"/>
    </row>
    <row r="568" spans="12:15">
      <c r="L568" s="2"/>
      <c r="N568" s="2"/>
      <c r="O568" s="2"/>
    </row>
    <row r="569" spans="12:15">
      <c r="L569" s="2"/>
      <c r="N569" s="2"/>
      <c r="O569" s="2"/>
    </row>
    <row r="570" spans="12:15">
      <c r="L570" s="2"/>
      <c r="N570" s="2"/>
      <c r="O570" s="2"/>
    </row>
    <row r="571" spans="12:15">
      <c r="L571" s="2"/>
      <c r="N571" s="2"/>
      <c r="O571" s="2"/>
    </row>
    <row r="572" spans="12:15">
      <c r="L572" s="2"/>
      <c r="N572" s="2"/>
      <c r="O572" s="2"/>
    </row>
    <row r="573" spans="12:15">
      <c r="L573" s="2"/>
      <c r="N573" s="2"/>
      <c r="O573" s="2"/>
    </row>
    <row r="574" spans="12:15">
      <c r="L574" s="2"/>
      <c r="N574" s="2"/>
      <c r="O574" s="2"/>
    </row>
    <row r="575" spans="12:15">
      <c r="L575" s="2"/>
      <c r="N575" s="2"/>
      <c r="O575" s="2"/>
    </row>
    <row r="576" spans="12:15">
      <c r="L576" s="2"/>
      <c r="N576" s="2"/>
      <c r="O576" s="2"/>
    </row>
    <row r="577" spans="12:15">
      <c r="L577" s="2"/>
      <c r="N577" s="2"/>
      <c r="O577" s="2"/>
    </row>
    <row r="578" spans="12:15">
      <c r="L578" s="2"/>
      <c r="N578" s="2"/>
      <c r="O578" s="2"/>
    </row>
    <row r="579" spans="12:15">
      <c r="L579" s="2"/>
      <c r="N579" s="2"/>
      <c r="O579" s="2"/>
    </row>
    <row r="580" spans="12:15">
      <c r="L580" s="2"/>
      <c r="N580" s="2"/>
      <c r="O580" s="2"/>
    </row>
    <row r="581" spans="12:15">
      <c r="L581" s="2"/>
      <c r="N581" s="2"/>
      <c r="O581" s="2"/>
    </row>
    <row r="582" spans="12:15">
      <c r="L582" s="2"/>
      <c r="N582" s="2"/>
      <c r="O582" s="2"/>
    </row>
    <row r="583" spans="12:15">
      <c r="L583" s="2"/>
      <c r="N583" s="2"/>
      <c r="O583" s="2"/>
    </row>
    <row r="584" spans="12:15">
      <c r="L584" s="2"/>
      <c r="N584" s="2"/>
      <c r="O584" s="2"/>
    </row>
    <row r="585" spans="12:15">
      <c r="L585" s="2"/>
      <c r="N585" s="2"/>
      <c r="O585" s="2"/>
    </row>
    <row r="586" spans="12:15">
      <c r="L586" s="2"/>
      <c r="N586" s="2"/>
      <c r="O586" s="2"/>
    </row>
    <row r="587" spans="12:15">
      <c r="L587" s="2"/>
      <c r="N587" s="2"/>
      <c r="O587" s="2"/>
    </row>
    <row r="588" spans="12:15">
      <c r="L588" s="2"/>
      <c r="N588" s="2"/>
      <c r="O588" s="2"/>
    </row>
    <row r="589" spans="12:15">
      <c r="L589" s="2"/>
      <c r="N589" s="2"/>
      <c r="O589" s="2"/>
    </row>
    <row r="590" spans="12:15">
      <c r="L590" s="2"/>
      <c r="N590" s="2"/>
      <c r="O590" s="2"/>
    </row>
    <row r="591" spans="12:15">
      <c r="L591" s="2"/>
      <c r="N591" s="2"/>
      <c r="O591" s="2"/>
    </row>
    <row r="592" spans="12:15">
      <c r="L592" s="2"/>
      <c r="N592" s="2"/>
      <c r="O592" s="2"/>
    </row>
    <row r="593" spans="12:15">
      <c r="L593" s="2"/>
      <c r="N593" s="2"/>
      <c r="O593" s="2"/>
    </row>
    <row r="594" spans="12:15">
      <c r="L594" s="2"/>
      <c r="N594" s="2"/>
      <c r="O594" s="2"/>
    </row>
    <row r="595" spans="12:15">
      <c r="L595" s="2"/>
      <c r="N595" s="2"/>
      <c r="O595" s="2"/>
    </row>
    <row r="596" spans="12:15">
      <c r="L596" s="2"/>
      <c r="N596" s="2"/>
      <c r="O596" s="2"/>
    </row>
    <row r="597" spans="12:15">
      <c r="L597" s="2"/>
      <c r="N597" s="2"/>
      <c r="O597" s="2"/>
    </row>
    <row r="598" spans="12:15">
      <c r="L598" s="2"/>
      <c r="N598" s="2"/>
      <c r="O598" s="2"/>
    </row>
    <row r="599" spans="12:15">
      <c r="L599" s="2"/>
      <c r="N599" s="2"/>
      <c r="O599" s="2"/>
    </row>
    <row r="600" spans="12:15">
      <c r="L600" s="2"/>
      <c r="N600" s="2"/>
      <c r="O600" s="2"/>
    </row>
    <row r="601" spans="12:15">
      <c r="L601" s="2"/>
      <c r="N601" s="2"/>
      <c r="O601" s="2"/>
    </row>
    <row r="602" spans="12:15">
      <c r="L602" s="2"/>
      <c r="N602" s="2"/>
      <c r="O602" s="2"/>
    </row>
    <row r="603" spans="12:15">
      <c r="L603" s="2"/>
      <c r="N603" s="2"/>
      <c r="O603" s="2"/>
    </row>
    <row r="604" spans="12:15">
      <c r="L604" s="2"/>
      <c r="N604" s="2"/>
      <c r="O604" s="2"/>
    </row>
    <row r="605" spans="12:15">
      <c r="L605" s="2"/>
      <c r="N605" s="2"/>
      <c r="O605" s="2"/>
    </row>
    <row r="606" spans="12:15">
      <c r="L606" s="2"/>
      <c r="N606" s="2"/>
      <c r="O606" s="2"/>
    </row>
    <row r="607" spans="12:15">
      <c r="L607" s="2"/>
      <c r="N607" s="2"/>
      <c r="O607" s="2"/>
    </row>
    <row r="608" spans="12:15">
      <c r="L608" s="2"/>
      <c r="N608" s="2"/>
      <c r="O608" s="2"/>
    </row>
    <row r="609" spans="12:15">
      <c r="L609" s="2"/>
      <c r="N609" s="2"/>
      <c r="O609" s="2"/>
    </row>
    <row r="610" spans="12:15">
      <c r="L610" s="2"/>
      <c r="N610" s="2"/>
      <c r="O610" s="2"/>
    </row>
    <row r="611" spans="12:15">
      <c r="L611" s="2"/>
      <c r="N611" s="2"/>
      <c r="O611" s="2"/>
    </row>
    <row r="612" spans="12:15">
      <c r="L612" s="2"/>
      <c r="N612" s="2"/>
      <c r="O612" s="2"/>
    </row>
    <row r="613" spans="12:15">
      <c r="L613" s="2"/>
      <c r="N613" s="2"/>
      <c r="O613" s="2"/>
    </row>
    <row r="614" spans="12:15">
      <c r="L614" s="2"/>
      <c r="N614" s="2"/>
      <c r="O614" s="2"/>
    </row>
    <row r="615" spans="12:15">
      <c r="L615" s="2"/>
      <c r="N615" s="2"/>
      <c r="O615" s="2"/>
    </row>
    <row r="616" spans="12:15">
      <c r="L616" s="2"/>
      <c r="N616" s="2"/>
      <c r="O616" s="2"/>
    </row>
    <row r="617" spans="12:15">
      <c r="L617" s="2"/>
      <c r="N617" s="2"/>
      <c r="O617" s="2"/>
    </row>
    <row r="618" spans="12:15">
      <c r="L618" s="2"/>
      <c r="N618" s="2"/>
      <c r="O618" s="2"/>
    </row>
    <row r="619" spans="12:15">
      <c r="L619" s="2"/>
      <c r="N619" s="2"/>
      <c r="O619" s="2"/>
    </row>
    <row r="620" spans="12:15">
      <c r="L620" s="2"/>
      <c r="N620" s="2"/>
      <c r="O620" s="2"/>
    </row>
    <row r="621" spans="12:15">
      <c r="L621" s="2"/>
      <c r="N621" s="2"/>
      <c r="O621" s="2"/>
    </row>
    <row r="622" spans="12:15">
      <c r="L622" s="2"/>
      <c r="N622" s="2"/>
      <c r="O622" s="2"/>
    </row>
    <row r="623" spans="12:15">
      <c r="L623" s="2"/>
      <c r="N623" s="2"/>
      <c r="O623" s="2"/>
    </row>
    <row r="624" spans="12:15">
      <c r="L624" s="2"/>
      <c r="N624" s="2"/>
      <c r="O624" s="2"/>
    </row>
    <row r="625" spans="12:15">
      <c r="L625" s="2"/>
      <c r="N625" s="2"/>
      <c r="O625" s="2"/>
    </row>
    <row r="626" spans="12:15">
      <c r="L626" s="2"/>
      <c r="N626" s="2"/>
      <c r="O626" s="2"/>
    </row>
    <row r="627" spans="12:15">
      <c r="L627" s="2"/>
      <c r="N627" s="2"/>
      <c r="O627" s="2"/>
    </row>
    <row r="628" spans="12:15">
      <c r="L628" s="2"/>
      <c r="N628" s="2"/>
      <c r="O628" s="2"/>
    </row>
    <row r="629" spans="12:15">
      <c r="L629" s="2"/>
      <c r="N629" s="2"/>
      <c r="O629" s="2"/>
    </row>
    <row r="630" spans="12:15">
      <c r="L630" s="2"/>
      <c r="N630" s="2"/>
      <c r="O630" s="2"/>
    </row>
    <row r="631" spans="12:15">
      <c r="L631" s="2"/>
      <c r="N631" s="2"/>
      <c r="O631" s="2"/>
    </row>
    <row r="632" spans="12:15">
      <c r="L632" s="2"/>
      <c r="N632" s="2"/>
      <c r="O632" s="2"/>
    </row>
    <row r="633" spans="12:15">
      <c r="L633" s="2"/>
      <c r="N633" s="2"/>
      <c r="O633" s="2"/>
    </row>
    <row r="634" spans="12:15">
      <c r="L634" s="2"/>
      <c r="N634" s="2"/>
      <c r="O634" s="2"/>
    </row>
    <row r="635" spans="12:15">
      <c r="L635" s="2"/>
      <c r="N635" s="2"/>
      <c r="O635" s="2"/>
    </row>
    <row r="636" spans="12:15">
      <c r="L636" s="2"/>
      <c r="N636" s="2"/>
      <c r="O636" s="2"/>
    </row>
    <row r="637" spans="12:15">
      <c r="L637" s="2"/>
      <c r="N637" s="2"/>
      <c r="O637" s="2"/>
    </row>
    <row r="638" spans="12:15">
      <c r="L638" s="2"/>
      <c r="N638" s="2"/>
      <c r="O638" s="2"/>
    </row>
    <row r="639" spans="12:15">
      <c r="L639" s="2"/>
      <c r="N639" s="2"/>
      <c r="O639" s="2"/>
    </row>
    <row r="640" spans="12:15">
      <c r="L640" s="2"/>
      <c r="N640" s="2"/>
      <c r="O640" s="2"/>
    </row>
    <row r="641" spans="12:15">
      <c r="L641" s="2"/>
      <c r="N641" s="2"/>
      <c r="O641" s="2"/>
    </row>
    <row r="642" spans="12:15">
      <c r="L642" s="2"/>
      <c r="N642" s="2"/>
      <c r="O642" s="2"/>
    </row>
    <row r="643" spans="12:15">
      <c r="L643" s="2"/>
      <c r="N643" s="2"/>
      <c r="O643" s="2"/>
    </row>
    <row r="644" spans="12:15">
      <c r="L644" s="2"/>
      <c r="N644" s="2"/>
      <c r="O644" s="2"/>
    </row>
    <row r="645" spans="12:15">
      <c r="L645" s="2"/>
      <c r="N645" s="2"/>
      <c r="O645" s="2"/>
    </row>
    <row r="646" spans="12:15">
      <c r="L646" s="2"/>
      <c r="N646" s="2"/>
      <c r="O646" s="2"/>
    </row>
    <row r="647" spans="12:15">
      <c r="L647" s="2"/>
      <c r="N647" s="2"/>
      <c r="O647" s="2"/>
    </row>
    <row r="648" spans="12:15">
      <c r="L648" s="2"/>
      <c r="N648" s="2"/>
      <c r="O648" s="2"/>
    </row>
    <row r="649" spans="12:15">
      <c r="L649" s="2"/>
      <c r="N649" s="2"/>
      <c r="O649" s="2"/>
    </row>
    <row r="650" spans="12:15">
      <c r="L650" s="2"/>
      <c r="N650" s="2"/>
      <c r="O650" s="2"/>
    </row>
    <row r="651" spans="12:15">
      <c r="L651" s="2"/>
      <c r="N651" s="2"/>
      <c r="O651" s="2"/>
    </row>
    <row r="652" spans="12:15">
      <c r="L652" s="2"/>
      <c r="N652" s="2"/>
      <c r="O652" s="2"/>
    </row>
    <row r="653" spans="12:15">
      <c r="L653" s="2"/>
      <c r="N653" s="2"/>
      <c r="O653" s="2"/>
    </row>
    <row r="654" spans="12:15">
      <c r="L654" s="2"/>
      <c r="N654" s="2"/>
      <c r="O654" s="2"/>
    </row>
    <row r="655" spans="12:15">
      <c r="L655" s="2"/>
      <c r="N655" s="2"/>
      <c r="O655" s="2"/>
    </row>
    <row r="656" spans="12:15">
      <c r="L656" s="2"/>
      <c r="N656" s="2"/>
      <c r="O656" s="2"/>
    </row>
    <row r="657" spans="12:15">
      <c r="L657" s="2"/>
      <c r="N657" s="2"/>
      <c r="O657" s="2"/>
    </row>
    <row r="658" spans="12:15">
      <c r="L658" s="2"/>
      <c r="N658" s="2"/>
      <c r="O658" s="2"/>
    </row>
    <row r="659" spans="12:15">
      <c r="L659" s="2"/>
      <c r="N659" s="2"/>
      <c r="O659" s="2"/>
    </row>
    <row r="660" spans="12:15">
      <c r="L660" s="2"/>
      <c r="N660" s="2"/>
      <c r="O660" s="2"/>
    </row>
    <row r="661" spans="12:15">
      <c r="L661" s="2"/>
      <c r="N661" s="2"/>
      <c r="O661" s="2"/>
    </row>
    <row r="662" spans="12:15">
      <c r="L662" s="2"/>
      <c r="N662" s="2"/>
      <c r="O662" s="2"/>
    </row>
    <row r="663" spans="12:15">
      <c r="L663" s="2"/>
      <c r="N663" s="2"/>
      <c r="O663" s="2"/>
    </row>
    <row r="664" spans="12:15">
      <c r="L664" s="2"/>
      <c r="N664" s="2"/>
      <c r="O664" s="2"/>
    </row>
    <row r="665" spans="12:15">
      <c r="L665" s="2"/>
      <c r="N665" s="2"/>
      <c r="O665" s="2"/>
    </row>
    <row r="666" spans="12:15">
      <c r="L666" s="2"/>
      <c r="N666" s="2"/>
      <c r="O666" s="2"/>
    </row>
    <row r="667" spans="12:15">
      <c r="L667" s="2"/>
      <c r="N667" s="2"/>
      <c r="O667" s="2"/>
    </row>
    <row r="668" spans="12:15">
      <c r="L668" s="2"/>
      <c r="N668" s="2"/>
      <c r="O668" s="2"/>
    </row>
    <row r="669" spans="12:15">
      <c r="L669" s="2"/>
      <c r="N669" s="2"/>
      <c r="O669" s="2"/>
    </row>
    <row r="670" spans="12:15">
      <c r="L670" s="2"/>
      <c r="N670" s="2"/>
      <c r="O670" s="2"/>
    </row>
    <row r="671" spans="12:15">
      <c r="L671" s="2"/>
      <c r="N671" s="2"/>
      <c r="O671" s="2"/>
    </row>
    <row r="672" spans="12:15">
      <c r="L672" s="2"/>
      <c r="N672" s="2"/>
      <c r="O672" s="2"/>
    </row>
    <row r="673" spans="12:15">
      <c r="L673" s="2"/>
      <c r="N673" s="2"/>
      <c r="O673" s="2"/>
    </row>
    <row r="674" spans="12:15">
      <c r="L674" s="2"/>
      <c r="N674" s="2"/>
      <c r="O674" s="2"/>
    </row>
    <row r="675" spans="12:15">
      <c r="L675" s="2"/>
      <c r="N675" s="2"/>
      <c r="O675" s="2"/>
    </row>
    <row r="676" spans="12:15">
      <c r="L676" s="2"/>
      <c r="N676" s="2"/>
      <c r="O676" s="2"/>
    </row>
    <row r="677" spans="12:15">
      <c r="L677" s="2"/>
      <c r="N677" s="2"/>
      <c r="O677" s="2"/>
    </row>
    <row r="678" spans="12:15">
      <c r="L678" s="2"/>
      <c r="N678" s="2"/>
      <c r="O678" s="2"/>
    </row>
    <row r="679" spans="12:15">
      <c r="L679" s="2"/>
      <c r="N679" s="2"/>
      <c r="O679" s="2"/>
    </row>
    <row r="680" spans="12:15">
      <c r="L680" s="2"/>
      <c r="N680" s="2"/>
      <c r="O680" s="2"/>
    </row>
    <row r="681" spans="12:15">
      <c r="L681" s="2"/>
      <c r="N681" s="2"/>
      <c r="O681" s="2"/>
    </row>
    <row r="682" spans="12:15">
      <c r="L682" s="2"/>
      <c r="N682" s="2"/>
      <c r="O682" s="2"/>
    </row>
    <row r="683" spans="12:15">
      <c r="L683" s="2"/>
      <c r="N683" s="2"/>
      <c r="O683" s="2"/>
    </row>
    <row r="684" spans="12:15">
      <c r="L684" s="2"/>
      <c r="N684" s="2"/>
      <c r="O684" s="2"/>
    </row>
    <row r="685" spans="12:15">
      <c r="L685" s="2"/>
      <c r="N685" s="2"/>
      <c r="O685" s="2"/>
    </row>
    <row r="686" spans="12:15">
      <c r="L686" s="2"/>
      <c r="N686" s="2"/>
      <c r="O686" s="2"/>
    </row>
    <row r="687" spans="12:15">
      <c r="L687" s="2"/>
      <c r="N687" s="2"/>
      <c r="O687" s="2"/>
    </row>
    <row r="688" spans="12:15">
      <c r="L688" s="2"/>
      <c r="N688" s="2"/>
      <c r="O688" s="2"/>
    </row>
    <row r="689" spans="12:15">
      <c r="L689" s="2"/>
      <c r="N689" s="2"/>
      <c r="O689" s="2"/>
    </row>
    <row r="690" spans="12:15">
      <c r="L690" s="2"/>
      <c r="N690" s="2"/>
      <c r="O690" s="2"/>
    </row>
    <row r="691" spans="12:15">
      <c r="L691" s="2"/>
      <c r="N691" s="2"/>
      <c r="O691" s="2"/>
    </row>
    <row r="692" spans="12:15">
      <c r="L692" s="2"/>
      <c r="N692" s="2"/>
      <c r="O692" s="2"/>
    </row>
    <row r="693" spans="12:15">
      <c r="L693" s="2"/>
      <c r="N693" s="2"/>
      <c r="O693" s="2"/>
    </row>
    <row r="694" spans="12:15">
      <c r="L694" s="2"/>
      <c r="N694" s="2"/>
      <c r="O694" s="2"/>
    </row>
    <row r="695" spans="12:15">
      <c r="L695" s="2"/>
      <c r="N695" s="2"/>
      <c r="O695" s="2"/>
    </row>
    <row r="696" spans="12:15">
      <c r="L696" s="2"/>
      <c r="N696" s="2"/>
      <c r="O696" s="2"/>
    </row>
    <row r="697" spans="12:15">
      <c r="L697" s="2"/>
      <c r="N697" s="2"/>
      <c r="O697" s="2"/>
    </row>
    <row r="698" spans="12:15">
      <c r="L698" s="2"/>
      <c r="N698" s="2"/>
      <c r="O698" s="2"/>
    </row>
    <row r="699" spans="12:15">
      <c r="L699" s="2"/>
      <c r="N699" s="2"/>
      <c r="O699" s="2"/>
    </row>
    <row r="700" spans="12:15">
      <c r="L700" s="2"/>
      <c r="N700" s="2"/>
      <c r="O700" s="2"/>
    </row>
    <row r="701" spans="12:15">
      <c r="L701" s="2"/>
      <c r="N701" s="2"/>
      <c r="O701" s="2"/>
    </row>
    <row r="702" spans="12:15">
      <c r="L702" s="2"/>
      <c r="N702" s="2"/>
      <c r="O702" s="2"/>
    </row>
    <row r="703" spans="12:15">
      <c r="L703" s="2"/>
      <c r="N703" s="2"/>
      <c r="O703" s="2"/>
    </row>
    <row r="704" spans="12:15">
      <c r="L704" s="2"/>
      <c r="N704" s="2"/>
      <c r="O704" s="2"/>
    </row>
    <row r="705" spans="12:15">
      <c r="L705" s="2"/>
      <c r="N705" s="2"/>
      <c r="O705" s="2"/>
    </row>
    <row r="706" spans="12:15">
      <c r="L706" s="2"/>
      <c r="N706" s="2"/>
      <c r="O706" s="2"/>
    </row>
    <row r="707" spans="12:15">
      <c r="L707" s="2"/>
      <c r="N707" s="2"/>
      <c r="O707" s="2"/>
    </row>
    <row r="708" spans="12:15">
      <c r="L708" s="2"/>
      <c r="N708" s="2"/>
      <c r="O708" s="2"/>
    </row>
    <row r="709" spans="12:15">
      <c r="L709" s="2"/>
      <c r="N709" s="2"/>
      <c r="O709" s="2"/>
    </row>
    <row r="710" spans="12:15">
      <c r="L710" s="2"/>
      <c r="N710" s="2"/>
      <c r="O710" s="2"/>
    </row>
    <row r="711" spans="12:15">
      <c r="L711" s="2"/>
      <c r="N711" s="2"/>
      <c r="O711" s="2"/>
    </row>
    <row r="712" spans="12:15">
      <c r="L712" s="2"/>
      <c r="N712" s="2"/>
      <c r="O712" s="2"/>
    </row>
    <row r="713" spans="12:15">
      <c r="L713" s="2"/>
      <c r="N713" s="2"/>
      <c r="O713" s="2"/>
    </row>
    <row r="714" spans="12:15">
      <c r="L714" s="2"/>
      <c r="N714" s="2"/>
      <c r="O714" s="2"/>
    </row>
    <row r="715" spans="12:15">
      <c r="L715" s="2"/>
      <c r="N715" s="2"/>
      <c r="O715" s="2"/>
    </row>
    <row r="716" spans="12:15">
      <c r="L716" s="2"/>
      <c r="N716" s="2"/>
      <c r="O716" s="2"/>
    </row>
    <row r="717" spans="12:15">
      <c r="L717" s="2"/>
      <c r="N717" s="2"/>
      <c r="O717" s="2"/>
    </row>
    <row r="718" spans="12:15">
      <c r="L718" s="2"/>
      <c r="N718" s="2"/>
      <c r="O718" s="2"/>
    </row>
    <row r="719" spans="12:15">
      <c r="L719" s="2"/>
      <c r="N719" s="2"/>
      <c r="O719" s="2"/>
    </row>
    <row r="720" spans="12:15">
      <c r="L720" s="2"/>
      <c r="N720" s="2"/>
      <c r="O720" s="2"/>
    </row>
    <row r="721" spans="12:15">
      <c r="L721" s="2"/>
      <c r="N721" s="2"/>
      <c r="O721" s="2"/>
    </row>
    <row r="722" spans="12:15">
      <c r="L722" s="2"/>
      <c r="N722" s="2"/>
      <c r="O722" s="2"/>
    </row>
    <row r="723" spans="12:15">
      <c r="L723" s="2"/>
      <c r="N723" s="2"/>
      <c r="O723" s="2"/>
    </row>
    <row r="724" spans="12:15">
      <c r="L724" s="2"/>
      <c r="N724" s="2"/>
      <c r="O724" s="2"/>
    </row>
    <row r="725" spans="12:15">
      <c r="L725" s="2"/>
      <c r="N725" s="2"/>
      <c r="O725" s="2"/>
    </row>
    <row r="726" spans="12:15">
      <c r="L726" s="2"/>
      <c r="N726" s="2"/>
      <c r="O726" s="2"/>
    </row>
    <row r="727" spans="12:15">
      <c r="L727" s="2"/>
      <c r="N727" s="2"/>
      <c r="O727" s="2"/>
    </row>
    <row r="728" spans="12:15">
      <c r="L728" s="2"/>
      <c r="N728" s="2"/>
      <c r="O728" s="2"/>
    </row>
    <row r="729" spans="12:15">
      <c r="L729" s="2"/>
      <c r="N729" s="2"/>
      <c r="O729" s="2"/>
    </row>
    <row r="730" spans="12:15">
      <c r="L730" s="2"/>
      <c r="N730" s="2"/>
      <c r="O730" s="2"/>
    </row>
    <row r="731" spans="12:15">
      <c r="L731" s="2"/>
      <c r="N731" s="2"/>
      <c r="O731" s="2"/>
    </row>
    <row r="732" spans="12:15">
      <c r="L732" s="2"/>
      <c r="N732" s="2"/>
      <c r="O732" s="2"/>
    </row>
    <row r="733" spans="12:15">
      <c r="L733" s="2"/>
      <c r="N733" s="2"/>
      <c r="O733" s="2"/>
    </row>
    <row r="734" spans="12:15">
      <c r="L734" s="2"/>
      <c r="N734" s="2"/>
      <c r="O734" s="2"/>
    </row>
    <row r="735" spans="12:15">
      <c r="L735" s="2"/>
      <c r="N735" s="2"/>
      <c r="O735" s="2"/>
    </row>
    <row r="736" spans="12:15">
      <c r="L736" s="2"/>
      <c r="N736" s="2"/>
      <c r="O736" s="2"/>
    </row>
    <row r="737" spans="12:15">
      <c r="L737" s="2"/>
      <c r="N737" s="2"/>
      <c r="O737" s="2"/>
    </row>
    <row r="738" spans="12:15">
      <c r="L738" s="2"/>
      <c r="N738" s="2"/>
      <c r="O738" s="2"/>
    </row>
    <row r="739" spans="12:15">
      <c r="L739" s="2"/>
      <c r="N739" s="2"/>
      <c r="O739" s="2"/>
    </row>
    <row r="740" spans="12:15">
      <c r="L740" s="2"/>
      <c r="N740" s="2"/>
      <c r="O740" s="2"/>
    </row>
    <row r="741" spans="12:15">
      <c r="L741" s="2"/>
      <c r="N741" s="2"/>
      <c r="O741" s="2"/>
    </row>
    <row r="742" spans="12:15">
      <c r="L742" s="2"/>
      <c r="N742" s="2"/>
      <c r="O742" s="2"/>
    </row>
    <row r="743" spans="12:15">
      <c r="L743" s="2"/>
      <c r="N743" s="2"/>
      <c r="O743" s="2"/>
    </row>
    <row r="744" spans="12:15">
      <c r="L744" s="2"/>
      <c r="N744" s="2"/>
      <c r="O744" s="2"/>
    </row>
    <row r="745" spans="12:15">
      <c r="L745" s="2"/>
      <c r="N745" s="2"/>
      <c r="O745" s="2"/>
    </row>
    <row r="746" spans="12:15">
      <c r="L746" s="2"/>
      <c r="N746" s="2"/>
      <c r="O746" s="2"/>
    </row>
    <row r="747" spans="12:15">
      <c r="L747" s="2"/>
      <c r="N747" s="2"/>
      <c r="O747" s="2"/>
    </row>
    <row r="748" spans="12:15">
      <c r="L748" s="2"/>
      <c r="N748" s="2"/>
      <c r="O748" s="2"/>
    </row>
    <row r="749" spans="12:15">
      <c r="L749" s="2"/>
      <c r="N749" s="2"/>
      <c r="O749" s="2"/>
    </row>
    <row r="750" spans="12:15">
      <c r="L750" s="2"/>
      <c r="N750" s="2"/>
      <c r="O750" s="2"/>
    </row>
    <row r="751" spans="12:15">
      <c r="L751" s="2"/>
      <c r="N751" s="2"/>
      <c r="O751" s="2"/>
    </row>
    <row r="752" spans="12:15">
      <c r="L752" s="2"/>
      <c r="N752" s="2"/>
      <c r="O752" s="2"/>
    </row>
    <row r="753" spans="12:15">
      <c r="L753" s="2"/>
      <c r="N753" s="2"/>
      <c r="O753" s="2"/>
    </row>
    <row r="754" spans="12:15">
      <c r="L754" s="2"/>
      <c r="N754" s="2"/>
      <c r="O754" s="2"/>
    </row>
    <row r="755" spans="12:15">
      <c r="L755" s="2"/>
      <c r="N755" s="2"/>
      <c r="O755" s="2"/>
    </row>
    <row r="756" spans="12:15">
      <c r="L756" s="2"/>
      <c r="N756" s="2"/>
      <c r="O756" s="2"/>
    </row>
    <row r="757" spans="12:15">
      <c r="L757" s="2"/>
      <c r="N757" s="2"/>
      <c r="O757" s="2"/>
    </row>
    <row r="758" spans="12:15">
      <c r="L758" s="2"/>
      <c r="N758" s="2"/>
      <c r="O758" s="2"/>
    </row>
    <row r="759" spans="12:15">
      <c r="L759" s="2"/>
      <c r="N759" s="2"/>
      <c r="O759" s="2"/>
    </row>
    <row r="760" spans="12:15">
      <c r="L760" s="2"/>
      <c r="N760" s="2"/>
      <c r="O760" s="2"/>
    </row>
    <row r="761" spans="12:15">
      <c r="L761" s="2"/>
      <c r="N761" s="2"/>
      <c r="O761" s="2"/>
    </row>
    <row r="762" spans="12:15">
      <c r="L762" s="2"/>
      <c r="N762" s="2"/>
      <c r="O762" s="2"/>
    </row>
    <row r="763" spans="12:15">
      <c r="L763" s="2"/>
      <c r="N763" s="2"/>
      <c r="O763" s="2"/>
    </row>
    <row r="764" spans="12:15">
      <c r="L764" s="2"/>
      <c r="N764" s="2"/>
      <c r="O764" s="2"/>
    </row>
    <row r="765" spans="12:15">
      <c r="L765" s="2"/>
      <c r="N765" s="2"/>
      <c r="O765" s="2"/>
    </row>
    <row r="766" spans="12:15">
      <c r="L766" s="2"/>
      <c r="N766" s="2"/>
      <c r="O766" s="2"/>
    </row>
    <row r="767" spans="12:15">
      <c r="L767" s="2"/>
      <c r="N767" s="2"/>
      <c r="O767" s="2"/>
    </row>
    <row r="768" spans="12:15">
      <c r="L768" s="2"/>
      <c r="N768" s="2"/>
      <c r="O768" s="2"/>
    </row>
    <row r="769" spans="12:15">
      <c r="L769" s="2"/>
      <c r="N769" s="2"/>
      <c r="O769" s="2"/>
    </row>
    <row r="770" spans="12:15">
      <c r="L770" s="2"/>
      <c r="N770" s="2"/>
      <c r="O770" s="2"/>
    </row>
    <row r="771" spans="12:15">
      <c r="L771" s="2"/>
      <c r="N771" s="2"/>
      <c r="O771" s="2"/>
    </row>
    <row r="772" spans="12:15">
      <c r="L772" s="2"/>
      <c r="N772" s="2"/>
      <c r="O772" s="2"/>
    </row>
    <row r="773" spans="12:15">
      <c r="L773" s="2"/>
      <c r="N773" s="2"/>
      <c r="O773" s="2"/>
    </row>
    <row r="774" spans="12:15">
      <c r="L774" s="2"/>
      <c r="N774" s="2"/>
      <c r="O774" s="2"/>
    </row>
    <row r="775" spans="12:15">
      <c r="L775" s="2"/>
      <c r="N775" s="2"/>
      <c r="O775" s="2"/>
    </row>
    <row r="776" spans="12:15">
      <c r="L776" s="2"/>
      <c r="N776" s="2"/>
      <c r="O776" s="2"/>
    </row>
    <row r="777" spans="12:15">
      <c r="L777" s="2"/>
      <c r="N777" s="2"/>
      <c r="O777" s="2"/>
    </row>
    <row r="778" spans="12:15">
      <c r="L778" s="2"/>
      <c r="N778" s="2"/>
      <c r="O778" s="2"/>
    </row>
    <row r="779" spans="12:15">
      <c r="L779" s="2"/>
      <c r="N779" s="2"/>
      <c r="O779" s="2"/>
    </row>
    <row r="780" spans="12:15">
      <c r="L780" s="2"/>
      <c r="N780" s="2"/>
      <c r="O780" s="2"/>
    </row>
    <row r="781" spans="12:15">
      <c r="L781" s="2"/>
      <c r="N781" s="2"/>
      <c r="O781" s="2"/>
    </row>
    <row r="782" spans="12:15">
      <c r="L782" s="2"/>
      <c r="N782" s="2"/>
      <c r="O782" s="2"/>
    </row>
    <row r="783" spans="12:15">
      <c r="L783" s="2"/>
      <c r="N783" s="2"/>
      <c r="O783" s="2"/>
    </row>
    <row r="784" spans="12:15">
      <c r="L784" s="2"/>
      <c r="N784" s="2"/>
      <c r="O784" s="2"/>
    </row>
    <row r="785" spans="12:15">
      <c r="L785" s="2"/>
      <c r="N785" s="2"/>
      <c r="O785" s="2"/>
    </row>
    <row r="786" spans="12:15">
      <c r="L786" s="2"/>
      <c r="N786" s="2"/>
      <c r="O786" s="2"/>
    </row>
    <row r="787" spans="12:15">
      <c r="L787" s="2"/>
      <c r="N787" s="2"/>
      <c r="O787" s="2"/>
    </row>
    <row r="788" spans="12:15">
      <c r="L788" s="2"/>
      <c r="N788" s="2"/>
      <c r="O788" s="2"/>
    </row>
    <row r="789" spans="12:15">
      <c r="L789" s="2"/>
      <c r="N789" s="2"/>
      <c r="O789" s="2"/>
    </row>
    <row r="790" spans="12:15">
      <c r="L790" s="2"/>
      <c r="N790" s="2"/>
      <c r="O790" s="2"/>
    </row>
    <row r="791" spans="12:15">
      <c r="L791" s="2"/>
      <c r="N791" s="2"/>
      <c r="O791" s="2"/>
    </row>
    <row r="792" spans="12:15">
      <c r="L792" s="2"/>
      <c r="N792" s="2"/>
      <c r="O792" s="2"/>
    </row>
    <row r="793" spans="12:15">
      <c r="L793" s="2"/>
      <c r="N793" s="2"/>
      <c r="O793" s="2"/>
    </row>
    <row r="794" spans="12:15">
      <c r="L794" s="2"/>
      <c r="N794" s="2"/>
      <c r="O794" s="2"/>
    </row>
    <row r="795" spans="12:15">
      <c r="L795" s="2"/>
      <c r="N795" s="2"/>
      <c r="O795" s="2"/>
    </row>
    <row r="796" spans="12:15">
      <c r="L796" s="2"/>
      <c r="N796" s="2"/>
      <c r="O796" s="2"/>
    </row>
    <row r="797" spans="12:15">
      <c r="L797" s="2"/>
      <c r="N797" s="2"/>
      <c r="O797" s="2"/>
    </row>
    <row r="798" spans="12:15">
      <c r="L798" s="2"/>
      <c r="N798" s="2"/>
      <c r="O798" s="2"/>
    </row>
    <row r="799" spans="12:15">
      <c r="L799" s="2"/>
      <c r="N799" s="2"/>
      <c r="O799" s="2"/>
    </row>
    <row r="800" spans="12:15">
      <c r="L800" s="2"/>
      <c r="N800" s="2"/>
      <c r="O800" s="2"/>
    </row>
    <row r="801" spans="12:15">
      <c r="L801" s="2"/>
      <c r="N801" s="2"/>
      <c r="O801" s="2"/>
    </row>
    <row r="802" spans="12:15">
      <c r="L802" s="2"/>
      <c r="N802" s="2"/>
      <c r="O802" s="2"/>
    </row>
    <row r="803" spans="12:15">
      <c r="L803" s="2"/>
      <c r="N803" s="2"/>
      <c r="O803" s="2"/>
    </row>
    <row r="804" spans="12:15">
      <c r="L804" s="2"/>
      <c r="N804" s="2"/>
      <c r="O804" s="2"/>
    </row>
    <row r="805" spans="12:15">
      <c r="L805" s="2"/>
      <c r="N805" s="2"/>
      <c r="O805" s="2"/>
    </row>
    <row r="806" spans="12:15">
      <c r="L806" s="2"/>
      <c r="N806" s="2"/>
      <c r="O806" s="2"/>
    </row>
    <row r="807" spans="12:15">
      <c r="L807" s="2"/>
      <c r="N807" s="2"/>
      <c r="O807" s="2"/>
    </row>
    <row r="808" spans="12:15">
      <c r="L808" s="2"/>
      <c r="N808" s="2"/>
      <c r="O808" s="2"/>
    </row>
    <row r="809" spans="12:15">
      <c r="L809" s="2"/>
      <c r="N809" s="2"/>
      <c r="O809" s="2"/>
    </row>
    <row r="810" spans="12:15">
      <c r="L810" s="2"/>
      <c r="N810" s="2"/>
      <c r="O810" s="2"/>
    </row>
    <row r="811" spans="12:15">
      <c r="L811" s="2"/>
      <c r="N811" s="2"/>
      <c r="O811" s="2"/>
    </row>
    <row r="812" spans="12:15">
      <c r="L812" s="2"/>
      <c r="N812" s="2"/>
      <c r="O812" s="2"/>
    </row>
    <row r="813" spans="12:15">
      <c r="L813" s="2"/>
      <c r="N813" s="2"/>
      <c r="O813" s="2"/>
    </row>
    <row r="814" spans="12:15">
      <c r="L814" s="2"/>
      <c r="N814" s="2"/>
      <c r="O814" s="2"/>
    </row>
    <row r="815" spans="12:15">
      <c r="L815" s="2"/>
      <c r="N815" s="2"/>
      <c r="O815" s="2"/>
    </row>
    <row r="816" spans="12:15">
      <c r="L816" s="2"/>
      <c r="N816" s="2"/>
      <c r="O816" s="2"/>
    </row>
    <row r="817" spans="12:15">
      <c r="L817" s="2"/>
      <c r="N817" s="2"/>
      <c r="O817" s="2"/>
    </row>
    <row r="818" spans="12:15">
      <c r="L818" s="2"/>
      <c r="N818" s="2"/>
      <c r="O818" s="2"/>
    </row>
    <row r="819" spans="12:15">
      <c r="L819" s="2"/>
      <c r="N819" s="2"/>
      <c r="O819" s="2"/>
    </row>
    <row r="820" spans="12:15">
      <c r="L820" s="2"/>
      <c r="N820" s="2"/>
      <c r="O820" s="2"/>
    </row>
    <row r="821" spans="12:15">
      <c r="L821" s="2"/>
      <c r="N821" s="2"/>
      <c r="O821" s="2"/>
    </row>
    <row r="822" spans="12:15">
      <c r="L822" s="2"/>
      <c r="N822" s="2"/>
      <c r="O822" s="2"/>
    </row>
    <row r="823" spans="12:15">
      <c r="L823" s="2"/>
      <c r="N823" s="2"/>
      <c r="O823" s="2"/>
    </row>
    <row r="824" spans="12:15">
      <c r="L824" s="2"/>
      <c r="N824" s="2"/>
      <c r="O824" s="2"/>
    </row>
    <row r="825" spans="12:15">
      <c r="L825" s="2"/>
      <c r="N825" s="2"/>
      <c r="O825" s="2"/>
    </row>
    <row r="826" spans="12:15">
      <c r="L826" s="2"/>
      <c r="N826" s="2"/>
      <c r="O826" s="2"/>
    </row>
    <row r="827" spans="12:15">
      <c r="L827" s="2"/>
      <c r="N827" s="2"/>
      <c r="O827" s="2"/>
    </row>
    <row r="828" spans="12:15">
      <c r="L828" s="2"/>
      <c r="N828" s="2"/>
      <c r="O828" s="2"/>
    </row>
    <row r="829" spans="12:15">
      <c r="L829" s="2"/>
      <c r="N829" s="2"/>
      <c r="O829" s="2"/>
    </row>
    <row r="830" spans="12:15">
      <c r="L830" s="2"/>
      <c r="N830" s="2"/>
      <c r="O830" s="2"/>
    </row>
    <row r="831" spans="12:15">
      <c r="L831" s="2"/>
      <c r="N831" s="2"/>
      <c r="O831" s="2"/>
    </row>
    <row r="832" spans="12:15">
      <c r="L832" s="2"/>
      <c r="N832" s="2"/>
      <c r="O832" s="2"/>
    </row>
    <row r="833" spans="12:15">
      <c r="L833" s="2"/>
      <c r="N833" s="2"/>
      <c r="O833" s="2"/>
    </row>
    <row r="834" spans="12:15">
      <c r="L834" s="2"/>
      <c r="N834" s="2"/>
      <c r="O834" s="2"/>
    </row>
    <row r="835" spans="12:15">
      <c r="L835" s="2"/>
      <c r="N835" s="2"/>
      <c r="O835" s="2"/>
    </row>
    <row r="836" spans="12:15">
      <c r="L836" s="2"/>
      <c r="N836" s="2"/>
      <c r="O836" s="2"/>
    </row>
    <row r="837" spans="12:15">
      <c r="L837" s="2"/>
      <c r="N837" s="2"/>
      <c r="O837" s="2"/>
    </row>
    <row r="838" spans="12:15">
      <c r="L838" s="2"/>
      <c r="N838" s="2"/>
      <c r="O838" s="2"/>
    </row>
    <row r="839" spans="12:15">
      <c r="L839" s="2"/>
      <c r="N839" s="2"/>
      <c r="O839" s="2"/>
    </row>
    <row r="840" spans="12:15">
      <c r="L840" s="2"/>
      <c r="N840" s="2"/>
      <c r="O840" s="2"/>
    </row>
    <row r="841" spans="12:15">
      <c r="L841" s="2"/>
      <c r="N841" s="2"/>
      <c r="O841" s="2"/>
    </row>
    <row r="842" spans="12:15">
      <c r="L842" s="2"/>
      <c r="N842" s="2"/>
      <c r="O842" s="2"/>
    </row>
    <row r="843" spans="12:15">
      <c r="L843" s="2"/>
      <c r="N843" s="2"/>
      <c r="O843" s="2"/>
    </row>
    <row r="844" spans="12:15">
      <c r="L844" s="2"/>
      <c r="N844" s="2"/>
      <c r="O844" s="2"/>
    </row>
    <row r="845" spans="12:15">
      <c r="L845" s="2"/>
      <c r="N845" s="2"/>
      <c r="O845" s="2"/>
    </row>
    <row r="846" spans="12:15">
      <c r="L846" s="2"/>
      <c r="N846" s="2"/>
      <c r="O846" s="2"/>
    </row>
    <row r="847" spans="12:15">
      <c r="L847" s="2"/>
      <c r="N847" s="2"/>
      <c r="O847" s="2"/>
    </row>
    <row r="848" spans="12:15">
      <c r="L848" s="2"/>
      <c r="N848" s="2"/>
      <c r="O848" s="2"/>
    </row>
    <row r="849" spans="12:15">
      <c r="L849" s="2"/>
      <c r="N849" s="2"/>
      <c r="O849" s="2"/>
    </row>
    <row r="850" spans="12:15">
      <c r="L850" s="2"/>
      <c r="N850" s="2"/>
      <c r="O850" s="2"/>
    </row>
    <row r="851" spans="12:15">
      <c r="L851" s="2"/>
      <c r="N851" s="2"/>
      <c r="O851" s="2"/>
    </row>
    <row r="852" spans="12:15">
      <c r="L852" s="2"/>
      <c r="N852" s="2"/>
      <c r="O852" s="2"/>
    </row>
    <row r="853" spans="12:15">
      <c r="L853" s="2"/>
      <c r="N853" s="2"/>
      <c r="O853" s="2"/>
    </row>
    <row r="854" spans="12:15">
      <c r="L854" s="2"/>
      <c r="N854" s="2"/>
      <c r="O854" s="2"/>
    </row>
    <row r="855" spans="12:15">
      <c r="L855" s="2"/>
      <c r="N855" s="2"/>
      <c r="O855" s="2"/>
    </row>
    <row r="856" spans="12:15">
      <c r="L856" s="2"/>
      <c r="N856" s="2"/>
      <c r="O856" s="2"/>
    </row>
    <row r="857" spans="12:15">
      <c r="L857" s="2"/>
      <c r="N857" s="2"/>
      <c r="O857" s="2"/>
    </row>
    <row r="858" spans="12:15">
      <c r="L858" s="2"/>
      <c r="N858" s="2"/>
      <c r="O858" s="2"/>
    </row>
    <row r="859" spans="12:15">
      <c r="L859" s="2"/>
      <c r="N859" s="2"/>
      <c r="O859" s="2"/>
    </row>
    <row r="860" spans="12:15">
      <c r="L860" s="2"/>
      <c r="N860" s="2"/>
      <c r="O860" s="2"/>
    </row>
    <row r="861" spans="12:15">
      <c r="L861" s="2"/>
      <c r="N861" s="2"/>
      <c r="O861" s="2"/>
    </row>
    <row r="862" spans="12:15">
      <c r="L862" s="2"/>
      <c r="N862" s="2"/>
      <c r="O862" s="2"/>
    </row>
    <row r="863" spans="12:15">
      <c r="L863" s="2"/>
      <c r="N863" s="2"/>
      <c r="O863" s="2"/>
    </row>
    <row r="864" spans="12:15">
      <c r="L864" s="2"/>
      <c r="N864" s="2"/>
      <c r="O864" s="2"/>
    </row>
    <row r="865" spans="12:15">
      <c r="L865" s="2"/>
      <c r="N865" s="2"/>
      <c r="O865" s="2"/>
    </row>
    <row r="866" spans="12:15">
      <c r="L866" s="2"/>
      <c r="N866" s="2"/>
      <c r="O866" s="2"/>
    </row>
    <row r="867" spans="12:15">
      <c r="L867" s="2"/>
      <c r="N867" s="2"/>
      <c r="O867" s="2"/>
    </row>
    <row r="868" spans="12:15">
      <c r="L868" s="2"/>
      <c r="N868" s="2"/>
      <c r="O868" s="2"/>
    </row>
    <row r="869" spans="12:15">
      <c r="L869" s="2"/>
      <c r="N869" s="2"/>
      <c r="O869" s="2"/>
    </row>
    <row r="870" spans="12:15">
      <c r="L870" s="2"/>
      <c r="N870" s="2"/>
      <c r="O870" s="2"/>
    </row>
    <row r="871" spans="12:15">
      <c r="L871" s="2"/>
      <c r="N871" s="2"/>
      <c r="O871" s="2"/>
    </row>
    <row r="872" spans="12:15">
      <c r="L872" s="2"/>
      <c r="N872" s="2"/>
      <c r="O872" s="2"/>
    </row>
    <row r="873" spans="12:15">
      <c r="L873" s="2"/>
      <c r="N873" s="2"/>
      <c r="O873" s="2"/>
    </row>
    <row r="874" spans="12:15">
      <c r="L874" s="2"/>
      <c r="N874" s="2"/>
      <c r="O874" s="2"/>
    </row>
    <row r="875" spans="12:15">
      <c r="L875" s="2"/>
      <c r="N875" s="2"/>
      <c r="O875" s="2"/>
    </row>
    <row r="876" spans="12:15">
      <c r="L876" s="2"/>
      <c r="N876" s="2"/>
      <c r="O876" s="2"/>
    </row>
    <row r="877" spans="12:15">
      <c r="L877" s="2"/>
      <c r="N877" s="2"/>
      <c r="O877" s="2"/>
    </row>
    <row r="878" spans="12:15">
      <c r="L878" s="2"/>
      <c r="N878" s="2"/>
      <c r="O878" s="2"/>
    </row>
    <row r="879" spans="12:15">
      <c r="L879" s="2"/>
      <c r="N879" s="2"/>
      <c r="O879" s="2"/>
    </row>
    <row r="880" spans="12:15">
      <c r="L880" s="2"/>
      <c r="N880" s="2"/>
      <c r="O880" s="2"/>
    </row>
    <row r="881" spans="12:15">
      <c r="L881" s="2"/>
      <c r="N881" s="2"/>
      <c r="O881" s="2"/>
    </row>
    <row r="882" spans="12:15">
      <c r="L882" s="2"/>
      <c r="N882" s="2"/>
      <c r="O882" s="2"/>
    </row>
    <row r="883" spans="12:15">
      <c r="L883" s="2"/>
      <c r="N883" s="2"/>
      <c r="O883" s="2"/>
    </row>
    <row r="884" spans="12:15">
      <c r="L884" s="2"/>
      <c r="N884" s="2"/>
      <c r="O884" s="2"/>
    </row>
    <row r="885" spans="12:15">
      <c r="L885" s="2"/>
      <c r="N885" s="2"/>
      <c r="O885" s="2"/>
    </row>
    <row r="886" spans="12:15">
      <c r="L886" s="2"/>
      <c r="N886" s="2"/>
      <c r="O886" s="2"/>
    </row>
    <row r="887" spans="12:15">
      <c r="L887" s="2"/>
      <c r="N887" s="2"/>
      <c r="O887" s="2"/>
    </row>
    <row r="888" spans="12:15">
      <c r="L888" s="2"/>
      <c r="N888" s="2"/>
      <c r="O888" s="2"/>
    </row>
    <row r="889" spans="12:15">
      <c r="L889" s="2"/>
      <c r="N889" s="2"/>
      <c r="O889" s="2"/>
    </row>
    <row r="890" spans="12:15">
      <c r="L890" s="2"/>
      <c r="N890" s="2"/>
      <c r="O890" s="2"/>
    </row>
    <row r="891" spans="12:15">
      <c r="L891" s="2"/>
      <c r="N891" s="2"/>
      <c r="O891" s="2"/>
    </row>
    <row r="892" spans="12:15">
      <c r="L892" s="2"/>
      <c r="N892" s="2"/>
      <c r="O892" s="2"/>
    </row>
    <row r="893" spans="12:15">
      <c r="L893" s="2"/>
      <c r="N893" s="2"/>
      <c r="O893" s="2"/>
    </row>
    <row r="894" spans="12:15">
      <c r="L894" s="2"/>
      <c r="N894" s="2"/>
      <c r="O894" s="2"/>
    </row>
    <row r="895" spans="12:15">
      <c r="L895" s="2"/>
      <c r="N895" s="2"/>
      <c r="O895" s="2"/>
    </row>
    <row r="896" spans="12:15">
      <c r="L896" s="2"/>
      <c r="N896" s="2"/>
      <c r="O896" s="2"/>
    </row>
    <row r="897" spans="12:15">
      <c r="L897" s="2"/>
      <c r="N897" s="2"/>
      <c r="O897" s="2"/>
    </row>
    <row r="898" spans="12:15">
      <c r="L898" s="2"/>
      <c r="N898" s="2"/>
      <c r="O898" s="2"/>
    </row>
    <row r="899" spans="12:15">
      <c r="L899" s="2"/>
      <c r="N899" s="2"/>
      <c r="O899" s="2"/>
    </row>
    <row r="900" spans="12:15">
      <c r="L900" s="2"/>
      <c r="N900" s="2"/>
      <c r="O900" s="2"/>
    </row>
    <row r="901" spans="12:15">
      <c r="L901" s="2"/>
      <c r="N901" s="2"/>
      <c r="O901" s="2"/>
    </row>
    <row r="902" spans="12:15">
      <c r="L902" s="2"/>
      <c r="N902" s="2"/>
      <c r="O902" s="2"/>
    </row>
    <row r="903" spans="12:15">
      <c r="L903" s="2"/>
      <c r="N903" s="2"/>
      <c r="O903" s="2"/>
    </row>
    <row r="904" spans="12:15">
      <c r="L904" s="2"/>
      <c r="N904" s="2"/>
      <c r="O904" s="2"/>
    </row>
    <row r="905" spans="12:15">
      <c r="L905" s="2"/>
      <c r="N905" s="2"/>
      <c r="O905" s="2"/>
    </row>
    <row r="906" spans="12:15">
      <c r="L906" s="2"/>
      <c r="N906" s="2"/>
      <c r="O906" s="2"/>
    </row>
    <row r="907" spans="12:15">
      <c r="L907" s="2"/>
      <c r="N907" s="2"/>
      <c r="O907" s="2"/>
    </row>
    <row r="908" spans="12:15">
      <c r="L908" s="2"/>
      <c r="N908" s="2"/>
      <c r="O908" s="2"/>
    </row>
    <row r="909" spans="12:15">
      <c r="L909" s="2"/>
      <c r="N909" s="2"/>
      <c r="O909" s="2"/>
    </row>
    <row r="910" spans="12:15">
      <c r="L910" s="2"/>
      <c r="N910" s="2"/>
      <c r="O910" s="2"/>
    </row>
    <row r="911" spans="12:15">
      <c r="L911" s="2"/>
      <c r="N911" s="2"/>
      <c r="O911" s="2"/>
    </row>
    <row r="912" spans="12:15">
      <c r="L912" s="2"/>
      <c r="N912" s="2"/>
      <c r="O912" s="2"/>
    </row>
    <row r="913" spans="12:15">
      <c r="L913" s="2"/>
      <c r="N913" s="2"/>
      <c r="O913" s="2"/>
    </row>
    <row r="914" spans="12:15">
      <c r="L914" s="2"/>
      <c r="N914" s="2"/>
      <c r="O914" s="2"/>
    </row>
    <row r="915" spans="12:15">
      <c r="L915" s="2"/>
      <c r="N915" s="2"/>
      <c r="O915" s="2"/>
    </row>
    <row r="916" spans="12:15">
      <c r="L916" s="2"/>
      <c r="N916" s="2"/>
      <c r="O916" s="2"/>
    </row>
    <row r="917" spans="12:15">
      <c r="L917" s="2"/>
      <c r="N917" s="2"/>
      <c r="O917" s="2"/>
    </row>
    <row r="918" spans="12:15">
      <c r="L918" s="2"/>
      <c r="N918" s="2"/>
      <c r="O918" s="2"/>
    </row>
    <row r="919" spans="12:15">
      <c r="L919" s="2"/>
      <c r="N919" s="2"/>
      <c r="O919" s="2"/>
    </row>
    <row r="920" spans="12:15">
      <c r="L920" s="2"/>
      <c r="N920" s="2"/>
      <c r="O920" s="2"/>
    </row>
    <row r="921" spans="12:15">
      <c r="L921" s="2"/>
      <c r="N921" s="2"/>
      <c r="O921" s="2"/>
    </row>
    <row r="922" spans="12:15">
      <c r="L922" s="2"/>
      <c r="N922" s="2"/>
      <c r="O922" s="2"/>
    </row>
    <row r="923" spans="12:15">
      <c r="L923" s="2"/>
      <c r="N923" s="2"/>
      <c r="O923" s="2"/>
    </row>
    <row r="924" spans="12:15">
      <c r="L924" s="2"/>
      <c r="N924" s="2"/>
      <c r="O924" s="2"/>
    </row>
    <row r="925" spans="12:15">
      <c r="L925" s="2"/>
      <c r="N925" s="2"/>
      <c r="O925" s="2"/>
    </row>
    <row r="926" spans="12:15">
      <c r="L926" s="2"/>
      <c r="N926" s="2"/>
      <c r="O926" s="2"/>
    </row>
    <row r="927" spans="12:15">
      <c r="L927" s="2"/>
      <c r="N927" s="2"/>
      <c r="O927" s="2"/>
    </row>
    <row r="928" spans="12:15">
      <c r="L928" s="2"/>
      <c r="N928" s="2"/>
      <c r="O928" s="2"/>
    </row>
    <row r="929" spans="12:15">
      <c r="L929" s="2"/>
      <c r="N929" s="2"/>
      <c r="O929" s="2"/>
    </row>
    <row r="930" spans="12:15">
      <c r="L930" s="2"/>
      <c r="N930" s="2"/>
      <c r="O930" s="2"/>
    </row>
    <row r="931" spans="12:15">
      <c r="L931" s="2"/>
      <c r="N931" s="2"/>
      <c r="O931" s="2"/>
    </row>
    <row r="932" spans="12:15">
      <c r="L932" s="2"/>
      <c r="N932" s="2"/>
      <c r="O932" s="2"/>
    </row>
    <row r="933" spans="12:15">
      <c r="L933" s="2"/>
      <c r="N933" s="2"/>
      <c r="O933" s="2"/>
    </row>
    <row r="934" spans="12:15">
      <c r="L934" s="2"/>
      <c r="N934" s="2"/>
      <c r="O934" s="2"/>
    </row>
    <row r="935" spans="12:15">
      <c r="L935" s="2"/>
      <c r="N935" s="2"/>
      <c r="O935" s="2"/>
    </row>
    <row r="936" spans="12:15">
      <c r="L936" s="2"/>
      <c r="N936" s="2"/>
      <c r="O936" s="2"/>
    </row>
    <row r="937" spans="12:15">
      <c r="L937" s="2"/>
      <c r="N937" s="2"/>
      <c r="O937" s="2"/>
    </row>
    <row r="938" spans="12:15">
      <c r="L938" s="2"/>
      <c r="N938" s="2"/>
      <c r="O938" s="2"/>
    </row>
    <row r="939" spans="12:15">
      <c r="L939" s="2"/>
      <c r="N939" s="2"/>
      <c r="O939" s="2"/>
    </row>
    <row r="940" spans="12:15">
      <c r="L940" s="2"/>
      <c r="N940" s="2"/>
      <c r="O940" s="2"/>
    </row>
    <row r="941" spans="12:15">
      <c r="L941" s="2"/>
      <c r="N941" s="2"/>
      <c r="O941" s="2"/>
    </row>
    <row r="942" spans="12:15">
      <c r="L942" s="2"/>
      <c r="N942" s="2"/>
      <c r="O942" s="2"/>
    </row>
    <row r="943" spans="12:15">
      <c r="L943" s="2"/>
      <c r="N943" s="2"/>
      <c r="O943" s="2"/>
    </row>
    <row r="944" spans="12:15">
      <c r="L944" s="2"/>
      <c r="N944" s="2"/>
      <c r="O944" s="2"/>
    </row>
    <row r="945" spans="12:15">
      <c r="L945" s="2"/>
      <c r="N945" s="2"/>
      <c r="O945" s="2"/>
    </row>
    <row r="946" spans="12:15">
      <c r="L946" s="2"/>
      <c r="N946" s="2"/>
      <c r="O946" s="2"/>
    </row>
    <row r="947" spans="12:15">
      <c r="L947" s="2"/>
      <c r="N947" s="2"/>
      <c r="O947" s="2"/>
    </row>
    <row r="948" spans="12:15">
      <c r="L948" s="2"/>
      <c r="N948" s="2"/>
      <c r="O948" s="2"/>
    </row>
    <row r="949" spans="12:15">
      <c r="L949" s="2"/>
      <c r="N949" s="2"/>
      <c r="O949" s="2"/>
    </row>
    <row r="950" spans="12:15">
      <c r="L950" s="2"/>
      <c r="N950" s="2"/>
      <c r="O950" s="2"/>
    </row>
    <row r="951" spans="12:15">
      <c r="L951" s="2"/>
      <c r="N951" s="2"/>
      <c r="O951" s="2"/>
    </row>
    <row r="952" spans="12:15">
      <c r="L952" s="2"/>
      <c r="N952" s="2"/>
      <c r="O952" s="2"/>
    </row>
    <row r="953" spans="12:15">
      <c r="L953" s="2"/>
      <c r="N953" s="2"/>
      <c r="O953" s="2"/>
    </row>
    <row r="954" spans="12:15">
      <c r="L954" s="2"/>
      <c r="N954" s="2"/>
      <c r="O954" s="2"/>
    </row>
    <row r="955" spans="12:15">
      <c r="L955" s="2"/>
      <c r="N955" s="2"/>
      <c r="O955" s="2"/>
    </row>
    <row r="956" spans="12:15">
      <c r="L956" s="2"/>
      <c r="N956" s="2"/>
      <c r="O956" s="2"/>
    </row>
    <row r="957" spans="12:15">
      <c r="L957" s="2"/>
      <c r="N957" s="2"/>
      <c r="O957" s="2"/>
    </row>
    <row r="958" spans="12:15">
      <c r="L958" s="2"/>
      <c r="N958" s="2"/>
      <c r="O958" s="2"/>
    </row>
    <row r="959" spans="12:15">
      <c r="L959" s="2"/>
      <c r="N959" s="2"/>
      <c r="O959" s="2"/>
    </row>
    <row r="960" spans="12:15">
      <c r="L960" s="2"/>
      <c r="N960" s="2"/>
      <c r="O960" s="2"/>
    </row>
    <row r="961" spans="12:15">
      <c r="L961" s="2"/>
      <c r="N961" s="2"/>
      <c r="O961" s="2"/>
    </row>
    <row r="962" spans="12:15">
      <c r="L962" s="2"/>
      <c r="N962" s="2"/>
      <c r="O962" s="2"/>
    </row>
    <row r="963" spans="12:15">
      <c r="L963" s="2"/>
      <c r="N963" s="2"/>
      <c r="O963" s="2"/>
    </row>
    <row r="964" spans="12:15">
      <c r="L964" s="2"/>
      <c r="N964" s="2"/>
      <c r="O964" s="2"/>
    </row>
    <row r="965" spans="12:15">
      <c r="L965" s="2"/>
      <c r="N965" s="2"/>
      <c r="O965" s="2"/>
    </row>
    <row r="966" spans="12:15">
      <c r="L966" s="2"/>
      <c r="N966" s="2"/>
      <c r="O966" s="2"/>
    </row>
    <row r="967" spans="12:15">
      <c r="L967" s="2"/>
      <c r="N967" s="2"/>
      <c r="O967" s="2"/>
    </row>
    <row r="968" spans="12:15">
      <c r="L968" s="2"/>
      <c r="N968" s="2"/>
      <c r="O968" s="2"/>
    </row>
    <row r="969" spans="12:15">
      <c r="L969" s="2"/>
      <c r="N969" s="2"/>
      <c r="O969" s="2"/>
    </row>
    <row r="970" spans="12:15">
      <c r="L970" s="2"/>
      <c r="N970" s="2"/>
      <c r="O970" s="2"/>
    </row>
    <row r="971" spans="12:15">
      <c r="L971" s="2"/>
      <c r="N971" s="2"/>
      <c r="O971" s="2"/>
    </row>
    <row r="972" spans="12:15">
      <c r="L972" s="2"/>
      <c r="N972" s="2"/>
      <c r="O972" s="2"/>
    </row>
    <row r="973" spans="12:15">
      <c r="L973" s="2"/>
      <c r="N973" s="2"/>
      <c r="O973" s="2"/>
    </row>
    <row r="974" spans="12:15">
      <c r="L974" s="2"/>
      <c r="N974" s="2"/>
      <c r="O974" s="2"/>
    </row>
    <row r="975" spans="12:15">
      <c r="L975" s="2"/>
      <c r="N975" s="2"/>
      <c r="O975" s="2"/>
    </row>
    <row r="976" spans="12:15">
      <c r="L976" s="2"/>
      <c r="N976" s="2"/>
      <c r="O976" s="2"/>
    </row>
    <row r="977" spans="12:15">
      <c r="L977" s="2"/>
      <c r="N977" s="2"/>
      <c r="O977" s="2"/>
    </row>
    <row r="978" spans="12:15">
      <c r="L978" s="2"/>
      <c r="N978" s="2"/>
      <c r="O978" s="2"/>
    </row>
    <row r="979" spans="12:15">
      <c r="L979" s="2"/>
      <c r="N979" s="2"/>
      <c r="O979" s="2"/>
    </row>
    <row r="980" spans="12:15">
      <c r="L980" s="2"/>
      <c r="N980" s="2"/>
      <c r="O980" s="2"/>
    </row>
    <row r="981" spans="12:15">
      <c r="L981" s="2"/>
      <c r="N981" s="2"/>
      <c r="O981" s="2"/>
    </row>
    <row r="982" spans="12:15">
      <c r="L982" s="2"/>
      <c r="N982" s="2"/>
      <c r="O982" s="2"/>
    </row>
    <row r="983" spans="12:15">
      <c r="L983" s="2"/>
      <c r="N983" s="2"/>
      <c r="O983" s="2"/>
    </row>
    <row r="984" spans="12:15">
      <c r="L984" s="2"/>
      <c r="N984" s="2"/>
      <c r="O984" s="2"/>
    </row>
    <row r="985" spans="12:15">
      <c r="L985" s="2"/>
      <c r="N985" s="2"/>
      <c r="O985" s="2"/>
    </row>
    <row r="986" spans="12:15">
      <c r="L986" s="2"/>
      <c r="N986" s="2"/>
      <c r="O986" s="2"/>
    </row>
    <row r="987" spans="12:15">
      <c r="L987" s="2"/>
      <c r="N987" s="2"/>
      <c r="O987" s="2"/>
    </row>
    <row r="988" spans="12:15">
      <c r="L988" s="2"/>
      <c r="N988" s="2"/>
      <c r="O988" s="2"/>
    </row>
    <row r="989" spans="12:15">
      <c r="L989" s="2"/>
      <c r="N989" s="2"/>
      <c r="O989" s="2"/>
    </row>
    <row r="990" spans="12:15">
      <c r="L990" s="2"/>
      <c r="N990" s="2"/>
      <c r="O990" s="2"/>
    </row>
    <row r="991" spans="12:15">
      <c r="L991" s="2"/>
      <c r="N991" s="2"/>
      <c r="O991" s="2"/>
    </row>
    <row r="992" spans="12:15">
      <c r="L992" s="2"/>
      <c r="N992" s="2"/>
      <c r="O992" s="2"/>
    </row>
    <row r="993" spans="12:15">
      <c r="L993" s="2"/>
      <c r="N993" s="2"/>
      <c r="O993" s="2"/>
    </row>
    <row r="994" spans="12:15">
      <c r="L994" s="2"/>
      <c r="N994" s="2"/>
      <c r="O994" s="2"/>
    </row>
    <row r="995" spans="12:15">
      <c r="L995" s="2"/>
      <c r="N995" s="2"/>
      <c r="O995" s="2"/>
    </row>
    <row r="996" spans="12:15">
      <c r="L996" s="2"/>
      <c r="N996" s="2"/>
      <c r="O996" s="2"/>
    </row>
    <row r="997" spans="12:15">
      <c r="L997" s="2"/>
      <c r="N997" s="2"/>
      <c r="O997" s="2"/>
    </row>
    <row r="998" spans="12:15">
      <c r="L998" s="2"/>
      <c r="N998" s="2"/>
      <c r="O998" s="2"/>
    </row>
    <row r="999" spans="12:15">
      <c r="L999" s="2"/>
      <c r="N999" s="2"/>
      <c r="O999" s="2"/>
    </row>
    <row r="1000" spans="12:15">
      <c r="L1000" s="2"/>
      <c r="N1000" s="2"/>
      <c r="O1000" s="2"/>
    </row>
    <row r="1001" spans="12:15">
      <c r="L1001" s="2"/>
      <c r="N1001" s="2"/>
      <c r="O1001" s="2"/>
    </row>
    <row r="1002" spans="12:15">
      <c r="L1002" s="2"/>
      <c r="N1002" s="2"/>
      <c r="O1002" s="2"/>
    </row>
    <row r="1003" spans="12:15">
      <c r="L1003" s="2"/>
      <c r="N1003" s="2"/>
      <c r="O1003" s="2"/>
    </row>
    <row r="1004" spans="12:15">
      <c r="L1004" s="2"/>
      <c r="N1004" s="2"/>
      <c r="O1004" s="2"/>
    </row>
    <row r="1005" spans="12:15">
      <c r="L1005" s="2"/>
      <c r="N1005" s="2"/>
      <c r="O1005" s="2"/>
    </row>
    <row r="1006" spans="12:15">
      <c r="L1006" s="2"/>
      <c r="N1006" s="2"/>
      <c r="O1006" s="2"/>
    </row>
    <row r="1007" spans="12:15">
      <c r="L1007" s="2"/>
      <c r="N1007" s="2"/>
      <c r="O1007" s="2"/>
    </row>
    <row r="1008" spans="12:15">
      <c r="L1008" s="2"/>
      <c r="N1008" s="2"/>
      <c r="O1008" s="2"/>
    </row>
    <row r="1009" spans="11:15">
      <c r="L1009" s="2"/>
      <c r="N1009" s="2"/>
      <c r="O1009" s="2"/>
    </row>
    <row r="1010" spans="11:15">
      <c r="L1010" s="2"/>
      <c r="N1010" s="2"/>
      <c r="O1010" s="2"/>
    </row>
    <row r="1011" spans="11:15">
      <c r="L1011" s="2"/>
      <c r="N1011" s="2"/>
      <c r="O1011" s="2"/>
    </row>
    <row r="1012" spans="11:15">
      <c r="L1012" s="2"/>
      <c r="N1012" s="19"/>
      <c r="O1012" s="19"/>
    </row>
    <row r="1013" spans="11:15">
      <c r="L1013" s="2"/>
      <c r="N1013" s="2"/>
      <c r="O1013" s="2"/>
    </row>
    <row r="1014" spans="11:15">
      <c r="K1014" s="3"/>
      <c r="L1014" s="2"/>
      <c r="N1014" s="2"/>
      <c r="O1014" s="2"/>
    </row>
    <row r="1015" spans="11:15">
      <c r="L1015" s="2"/>
      <c r="N1015" s="2"/>
      <c r="O1015" s="2"/>
    </row>
    <row r="1016" spans="11:15">
      <c r="L1016" s="2"/>
      <c r="N1016" s="2"/>
      <c r="O1016" s="2"/>
    </row>
    <row r="1017" spans="11:15">
      <c r="L1017" s="2"/>
      <c r="N1017" s="2"/>
      <c r="O1017" s="2"/>
    </row>
    <row r="1018" spans="11:15">
      <c r="L1018" s="2"/>
      <c r="N1018" s="2"/>
      <c r="O1018" s="2"/>
    </row>
    <row r="1019" spans="11:15">
      <c r="L1019" s="2"/>
      <c r="N1019" s="2"/>
      <c r="O1019" s="2"/>
    </row>
    <row r="1020" spans="11:15">
      <c r="L1020" s="2"/>
      <c r="N1020" s="2"/>
      <c r="O1020" s="2"/>
    </row>
    <row r="1021" spans="11:15">
      <c r="L1021" s="2"/>
      <c r="N1021" s="2"/>
      <c r="O1021" s="2"/>
    </row>
    <row r="1022" spans="11:15">
      <c r="L1022" s="2"/>
      <c r="N1022" s="2"/>
      <c r="O1022" s="2"/>
    </row>
    <row r="1023" spans="11:15">
      <c r="L1023" s="2"/>
      <c r="N1023" s="2"/>
      <c r="O1023" s="2"/>
    </row>
    <row r="1024" spans="11:15">
      <c r="L1024" s="2"/>
      <c r="N1024" s="2"/>
      <c r="O1024" s="2"/>
    </row>
    <row r="1025" spans="12:15">
      <c r="L1025" s="2"/>
      <c r="N1025" s="2"/>
      <c r="O1025" s="2"/>
    </row>
    <row r="1026" spans="12:15">
      <c r="L1026" s="2"/>
      <c r="N1026" s="2"/>
      <c r="O1026" s="2"/>
    </row>
    <row r="1027" spans="12:15">
      <c r="L1027" s="2"/>
      <c r="N1027" s="2"/>
      <c r="O1027" s="2"/>
    </row>
    <row r="1028" spans="12:15">
      <c r="L1028" s="2"/>
      <c r="N1028" s="2"/>
      <c r="O1028" s="2"/>
    </row>
    <row r="1029" spans="12:15">
      <c r="L1029" s="2"/>
      <c r="N1029" s="2"/>
      <c r="O1029" s="2"/>
    </row>
    <row r="1030" spans="12:15">
      <c r="L1030" s="2"/>
      <c r="N1030" s="2"/>
      <c r="O1030" s="2"/>
    </row>
    <row r="1031" spans="12:15">
      <c r="L1031" s="2"/>
      <c r="N1031" s="2"/>
      <c r="O1031" s="2"/>
    </row>
    <row r="1032" spans="12:15">
      <c r="L1032" s="2"/>
      <c r="N1032" s="2"/>
      <c r="O1032" s="2"/>
    </row>
    <row r="1033" spans="12:15">
      <c r="L1033" s="2"/>
      <c r="N1033" s="2"/>
      <c r="O1033" s="2"/>
    </row>
    <row r="1034" spans="12:15">
      <c r="L1034" s="2"/>
      <c r="N1034" s="2"/>
      <c r="O1034" s="2"/>
    </row>
    <row r="1035" spans="12:15">
      <c r="L1035" s="2"/>
      <c r="N1035" s="2"/>
      <c r="O1035" s="2"/>
    </row>
    <row r="1036" spans="12:15">
      <c r="L1036" s="2"/>
      <c r="N1036" s="2"/>
      <c r="O1036" s="2"/>
    </row>
    <row r="1037" spans="12:15">
      <c r="L1037" s="2"/>
      <c r="N1037" s="2"/>
      <c r="O1037" s="2"/>
    </row>
    <row r="1038" spans="12:15">
      <c r="L1038" s="2"/>
      <c r="N1038" s="2"/>
      <c r="O1038" s="2"/>
    </row>
    <row r="1039" spans="12:15">
      <c r="L1039" s="2"/>
      <c r="N1039" s="2"/>
      <c r="O1039" s="2"/>
    </row>
    <row r="1040" spans="12:15">
      <c r="L1040" s="2"/>
      <c r="N1040" s="2"/>
      <c r="O1040" s="2"/>
    </row>
    <row r="1041" spans="12:15">
      <c r="L1041" s="2"/>
      <c r="N1041" s="2"/>
      <c r="O1041" s="2"/>
    </row>
    <row r="1042" spans="12:15">
      <c r="L1042" s="2"/>
      <c r="N1042" s="2"/>
      <c r="O1042" s="2"/>
    </row>
    <row r="1043" spans="12:15">
      <c r="L1043" s="2"/>
      <c r="N1043" s="2"/>
      <c r="O1043" s="2"/>
    </row>
    <row r="1044" spans="12:15">
      <c r="L1044" s="2"/>
      <c r="N1044" s="2"/>
      <c r="O1044" s="2"/>
    </row>
    <row r="1045" spans="12:15">
      <c r="L1045" s="2"/>
      <c r="N1045" s="2"/>
      <c r="O1045" s="2"/>
    </row>
    <row r="1046" spans="12:15">
      <c r="L1046" s="2"/>
      <c r="N1046" s="2"/>
      <c r="O1046" s="2"/>
    </row>
    <row r="1047" spans="12:15">
      <c r="L1047" s="2"/>
      <c r="N1047" s="2"/>
      <c r="O1047" s="2"/>
    </row>
    <row r="1048" spans="12:15">
      <c r="L1048" s="2"/>
      <c r="N1048" s="2"/>
      <c r="O1048" s="2"/>
    </row>
    <row r="1049" spans="12:15">
      <c r="L1049" s="2"/>
      <c r="N1049" s="2"/>
      <c r="O1049" s="2"/>
    </row>
    <row r="1050" spans="12:15">
      <c r="L1050" s="2"/>
      <c r="N1050" s="2"/>
      <c r="O1050" s="2"/>
    </row>
    <row r="1051" spans="12:15">
      <c r="L1051" s="2"/>
      <c r="N1051" s="2"/>
      <c r="O1051" s="2"/>
    </row>
    <row r="1052" spans="12:15">
      <c r="L1052" s="2"/>
      <c r="N1052" s="2"/>
      <c r="O1052" s="2"/>
    </row>
    <row r="1053" spans="12:15">
      <c r="L1053" s="2"/>
      <c r="N1053" s="2"/>
      <c r="O1053" s="2"/>
    </row>
    <row r="1054" spans="12:15">
      <c r="L1054" s="2"/>
      <c r="N1054" s="2"/>
      <c r="O1054" s="2"/>
    </row>
    <row r="1055" spans="12:15">
      <c r="L1055" s="2"/>
      <c r="N1055" s="2"/>
      <c r="O1055" s="2"/>
    </row>
    <row r="1056" spans="12:15">
      <c r="L1056" s="2"/>
      <c r="N1056" s="2"/>
      <c r="O1056" s="2"/>
    </row>
    <row r="1057" spans="12:15">
      <c r="L1057" s="2"/>
      <c r="N1057" s="2"/>
      <c r="O1057" s="2"/>
    </row>
    <row r="1058" spans="12:15">
      <c r="L1058" s="2"/>
      <c r="N1058" s="2"/>
      <c r="O1058" s="2"/>
    </row>
    <row r="1059" spans="12:15">
      <c r="L1059" s="2"/>
      <c r="N1059" s="2"/>
      <c r="O1059" s="2"/>
    </row>
    <row r="1060" spans="12:15">
      <c r="L1060" s="2"/>
      <c r="N1060" s="2"/>
      <c r="O1060" s="2"/>
    </row>
    <row r="1061" spans="12:15">
      <c r="L1061" s="2"/>
      <c r="N1061" s="2"/>
      <c r="O1061" s="2"/>
    </row>
    <row r="1062" spans="12:15">
      <c r="L1062" s="2"/>
      <c r="N1062" s="2"/>
      <c r="O1062" s="2"/>
    </row>
    <row r="1063" spans="12:15">
      <c r="L1063" s="2"/>
      <c r="N1063" s="2"/>
      <c r="O1063" s="2"/>
    </row>
    <row r="1064" spans="12:15">
      <c r="L1064" s="2"/>
      <c r="N1064" s="2"/>
      <c r="O1064" s="2"/>
    </row>
    <row r="1065" spans="12:15">
      <c r="L1065" s="2"/>
      <c r="N1065" s="2"/>
      <c r="O1065" s="2"/>
    </row>
    <row r="1066" spans="12:15">
      <c r="L1066" s="2"/>
      <c r="N1066" s="2"/>
      <c r="O1066" s="2"/>
    </row>
    <row r="1067" spans="12:15">
      <c r="L1067" s="2"/>
      <c r="N1067" s="2"/>
      <c r="O1067" s="2"/>
    </row>
    <row r="1068" spans="12:15">
      <c r="L1068" s="2"/>
      <c r="N1068" s="2"/>
      <c r="O1068" s="2"/>
    </row>
    <row r="1069" spans="12:15">
      <c r="L1069" s="2"/>
      <c r="N1069" s="2"/>
      <c r="O1069" s="2"/>
    </row>
    <row r="1070" spans="12:15">
      <c r="L1070" s="2"/>
      <c r="N1070" s="2"/>
      <c r="O1070" s="2"/>
    </row>
    <row r="1071" spans="12:15">
      <c r="L1071" s="2"/>
      <c r="N1071" s="2"/>
      <c r="O1071" s="2"/>
    </row>
    <row r="1072" spans="12:15">
      <c r="L1072" s="2"/>
      <c r="N1072" s="2"/>
      <c r="O1072" s="2"/>
    </row>
    <row r="1073" spans="12:15">
      <c r="L1073" s="2"/>
      <c r="N1073" s="2"/>
      <c r="O1073" s="2"/>
    </row>
    <row r="1074" spans="12:15">
      <c r="L1074" s="2"/>
      <c r="N1074" s="2"/>
      <c r="O1074" s="2"/>
    </row>
    <row r="1075" spans="12:15">
      <c r="L1075" s="2"/>
      <c r="N1075" s="2"/>
      <c r="O1075" s="2"/>
    </row>
    <row r="1076" spans="12:15">
      <c r="L1076" s="2"/>
      <c r="N1076" s="2"/>
      <c r="O1076" s="2"/>
    </row>
    <row r="1077" spans="12:15">
      <c r="L1077" s="2"/>
      <c r="N1077" s="2"/>
      <c r="O1077" s="2"/>
    </row>
    <row r="1078" spans="12:15">
      <c r="L1078" s="2"/>
      <c r="N1078" s="2"/>
      <c r="O1078" s="2"/>
    </row>
    <row r="1079" spans="12:15">
      <c r="L1079" s="2"/>
      <c r="N1079" s="2"/>
      <c r="O1079" s="2"/>
    </row>
    <row r="1080" spans="12:15">
      <c r="L1080" s="2"/>
      <c r="N1080" s="2"/>
      <c r="O1080" s="2"/>
    </row>
    <row r="1081" spans="12:15">
      <c r="L1081" s="2"/>
      <c r="N1081" s="2"/>
      <c r="O1081" s="2"/>
    </row>
    <row r="1082" spans="12:15">
      <c r="L1082" s="2"/>
      <c r="N1082" s="2"/>
      <c r="O1082" s="2"/>
    </row>
    <row r="1083" spans="12:15">
      <c r="L1083" s="2"/>
      <c r="N1083" s="2"/>
      <c r="O1083" s="2"/>
    </row>
    <row r="1084" spans="12:15">
      <c r="L1084" s="2"/>
      <c r="N1084" s="2"/>
      <c r="O1084" s="2"/>
    </row>
    <row r="1085" spans="12:15">
      <c r="L1085" s="2"/>
      <c r="N1085" s="2"/>
      <c r="O1085" s="2"/>
    </row>
    <row r="1086" spans="12:15">
      <c r="L1086" s="2"/>
      <c r="N1086" s="2"/>
      <c r="O1086" s="2"/>
    </row>
    <row r="1087" spans="12:15">
      <c r="L1087" s="2"/>
      <c r="N1087" s="2"/>
      <c r="O1087" s="2"/>
    </row>
    <row r="1088" spans="12:15">
      <c r="L1088" s="2"/>
      <c r="N1088" s="2"/>
      <c r="O1088" s="2"/>
    </row>
    <row r="1089" spans="12:15">
      <c r="L1089" s="2"/>
      <c r="N1089" s="2"/>
      <c r="O1089" s="2"/>
    </row>
    <row r="1090" spans="12:15">
      <c r="L1090" s="2"/>
      <c r="N1090" s="2"/>
      <c r="O1090" s="2"/>
    </row>
    <row r="1091" spans="12:15">
      <c r="L1091" s="2"/>
      <c r="N1091" s="2"/>
      <c r="O1091" s="2"/>
    </row>
    <row r="1092" spans="12:15">
      <c r="L1092" s="2"/>
      <c r="N1092" s="2"/>
      <c r="O1092" s="2"/>
    </row>
    <row r="1093" spans="12:15">
      <c r="L1093" s="2"/>
      <c r="N1093" s="2"/>
      <c r="O1093" s="2"/>
    </row>
    <row r="1094" spans="12:15">
      <c r="L1094" s="2"/>
      <c r="N1094" s="2"/>
      <c r="O1094" s="2"/>
    </row>
    <row r="1095" spans="12:15">
      <c r="L1095" s="2"/>
      <c r="N1095" s="2"/>
      <c r="O1095" s="2"/>
    </row>
    <row r="1096" spans="12:15">
      <c r="L1096" s="2"/>
      <c r="N1096" s="2"/>
      <c r="O1096" s="2"/>
    </row>
    <row r="1097" spans="12:15">
      <c r="L1097" s="2"/>
      <c r="N1097" s="2"/>
      <c r="O1097" s="2"/>
    </row>
    <row r="1098" spans="12:15">
      <c r="L1098" s="2"/>
      <c r="N1098" s="2"/>
      <c r="O1098" s="2"/>
    </row>
    <row r="1099" spans="12:15">
      <c r="L1099" s="2"/>
      <c r="N1099" s="2"/>
      <c r="O1099" s="2"/>
    </row>
    <row r="1100" spans="12:15">
      <c r="L1100" s="2"/>
      <c r="N1100" s="2"/>
      <c r="O1100" s="2"/>
    </row>
    <row r="1101" spans="12:15">
      <c r="L1101" s="2"/>
      <c r="N1101" s="2"/>
      <c r="O1101" s="2"/>
    </row>
    <row r="1102" spans="12:15">
      <c r="L1102" s="2"/>
      <c r="N1102" s="2"/>
      <c r="O1102" s="2"/>
    </row>
    <row r="1103" spans="12:15">
      <c r="L1103" s="2"/>
      <c r="N1103" s="2"/>
      <c r="O1103" s="2"/>
    </row>
    <row r="1104" spans="12:15">
      <c r="L1104" s="2"/>
      <c r="N1104" s="2"/>
      <c r="O1104" s="2"/>
    </row>
    <row r="1105" spans="12:15">
      <c r="L1105" s="2"/>
      <c r="N1105" s="2"/>
      <c r="O1105" s="2"/>
    </row>
    <row r="1106" spans="12:15">
      <c r="L1106" s="2"/>
      <c r="N1106" s="2"/>
      <c r="O1106" s="2"/>
    </row>
    <row r="1107" spans="12:15">
      <c r="L1107" s="2"/>
      <c r="N1107" s="2"/>
      <c r="O1107" s="2"/>
    </row>
    <row r="1108" spans="12:15">
      <c r="L1108" s="2"/>
      <c r="N1108" s="2"/>
      <c r="O1108" s="2"/>
    </row>
    <row r="1109" spans="12:15">
      <c r="L1109" s="2"/>
      <c r="N1109" s="2"/>
      <c r="O1109" s="2"/>
    </row>
    <row r="1110" spans="12:15">
      <c r="L1110" s="2"/>
      <c r="N1110" s="2"/>
      <c r="O1110" s="2"/>
    </row>
    <row r="1111" spans="12:15">
      <c r="L1111" s="2"/>
      <c r="N1111" s="2"/>
      <c r="O1111" s="2"/>
    </row>
    <row r="1112" spans="12:15">
      <c r="L1112" s="2"/>
      <c r="N1112" s="2"/>
      <c r="O1112" s="2"/>
    </row>
    <row r="1113" spans="12:15">
      <c r="L1113" s="2"/>
      <c r="N1113" s="2"/>
      <c r="O1113" s="2"/>
    </row>
    <row r="1114" spans="12:15">
      <c r="L1114" s="2"/>
      <c r="N1114" s="2"/>
      <c r="O1114" s="2"/>
    </row>
    <row r="1115" spans="12:15">
      <c r="L1115" s="2"/>
      <c r="N1115" s="2"/>
      <c r="O1115" s="2"/>
    </row>
    <row r="1116" spans="12:15">
      <c r="L1116" s="2"/>
      <c r="N1116" s="2"/>
      <c r="O1116" s="2"/>
    </row>
    <row r="1117" spans="12:15">
      <c r="L1117" s="2"/>
      <c r="N1117" s="2"/>
      <c r="O1117" s="2"/>
    </row>
    <row r="1118" spans="12:15">
      <c r="L1118" s="2"/>
      <c r="N1118" s="2"/>
      <c r="O1118" s="2"/>
    </row>
    <row r="1119" spans="12:15">
      <c r="L1119" s="2"/>
      <c r="N1119" s="2"/>
      <c r="O1119" s="2"/>
    </row>
    <row r="1120" spans="12:15">
      <c r="L1120" s="2"/>
      <c r="N1120" s="2"/>
      <c r="O1120" s="2"/>
    </row>
    <row r="1121" spans="12:15">
      <c r="L1121" s="2"/>
      <c r="N1121" s="2"/>
      <c r="O1121" s="2"/>
    </row>
    <row r="1122" spans="12:15">
      <c r="L1122" s="2"/>
      <c r="N1122" s="2"/>
      <c r="O1122" s="2"/>
    </row>
    <row r="1123" spans="12:15">
      <c r="L1123" s="2"/>
      <c r="N1123" s="2"/>
      <c r="O1123" s="2"/>
    </row>
    <row r="1124" spans="12:15">
      <c r="L1124" s="2"/>
      <c r="N1124" s="2"/>
      <c r="O1124" s="2"/>
    </row>
    <row r="1125" spans="12:15">
      <c r="L1125" s="2"/>
      <c r="N1125" s="2"/>
      <c r="O1125" s="2"/>
    </row>
    <row r="1126" spans="12:15">
      <c r="L1126" s="2"/>
      <c r="N1126" s="2"/>
      <c r="O1126" s="2"/>
    </row>
    <row r="1127" spans="12:15">
      <c r="L1127" s="2"/>
      <c r="N1127" s="2"/>
      <c r="O1127" s="2"/>
    </row>
    <row r="1128" spans="12:15">
      <c r="L1128" s="2"/>
      <c r="N1128" s="2"/>
      <c r="O1128" s="2"/>
    </row>
    <row r="1129" spans="12:15">
      <c r="L1129" s="2"/>
      <c r="N1129" s="2"/>
      <c r="O1129" s="2"/>
    </row>
    <row r="1130" spans="12:15">
      <c r="L1130" s="2"/>
      <c r="N1130" s="2"/>
      <c r="O1130" s="2"/>
    </row>
    <row r="1131" spans="12:15">
      <c r="L1131" s="2"/>
      <c r="N1131" s="2"/>
      <c r="O1131" s="2"/>
    </row>
    <row r="1132" spans="12:15">
      <c r="L1132" s="2"/>
      <c r="N1132" s="2"/>
      <c r="O1132" s="2"/>
    </row>
    <row r="1133" spans="12:15">
      <c r="L1133" s="2"/>
      <c r="N1133" s="2"/>
      <c r="O1133" s="2"/>
    </row>
    <row r="1134" spans="12:15">
      <c r="L1134" s="2"/>
      <c r="N1134" s="2"/>
      <c r="O1134" s="2"/>
    </row>
    <row r="1135" spans="12:15">
      <c r="L1135" s="2"/>
      <c r="N1135" s="2"/>
      <c r="O1135" s="2"/>
    </row>
    <row r="1136" spans="12:15">
      <c r="L1136" s="2"/>
      <c r="N1136" s="2"/>
      <c r="O1136" s="2"/>
    </row>
    <row r="1137" spans="12:15">
      <c r="L1137" s="2"/>
      <c r="N1137" s="2"/>
      <c r="O1137" s="2"/>
    </row>
    <row r="1138" spans="12:15">
      <c r="L1138" s="2"/>
      <c r="N1138" s="2"/>
      <c r="O1138" s="2"/>
    </row>
    <row r="1139" spans="12:15">
      <c r="L1139" s="2"/>
      <c r="N1139" s="2"/>
      <c r="O1139" s="2"/>
    </row>
    <row r="1140" spans="12:15">
      <c r="L1140" s="2"/>
      <c r="N1140" s="2"/>
      <c r="O1140" s="2"/>
    </row>
    <row r="1141" spans="12:15">
      <c r="L1141" s="2"/>
      <c r="N1141" s="2"/>
      <c r="O1141" s="2"/>
    </row>
    <row r="1142" spans="12:15">
      <c r="L1142" s="2"/>
      <c r="N1142" s="2"/>
      <c r="O1142" s="2"/>
    </row>
    <row r="1143" spans="12:15">
      <c r="L1143" s="2"/>
      <c r="N1143" s="2"/>
      <c r="O1143" s="2"/>
    </row>
    <row r="1144" spans="12:15">
      <c r="L1144" s="2"/>
      <c r="N1144" s="2"/>
      <c r="O1144" s="2"/>
    </row>
    <row r="1145" spans="12:15">
      <c r="L1145" s="2"/>
      <c r="N1145" s="2"/>
      <c r="O1145" s="2"/>
    </row>
    <row r="1146" spans="12:15">
      <c r="L1146" s="2"/>
      <c r="N1146" s="2"/>
      <c r="O1146" s="2"/>
    </row>
    <row r="1147" spans="12:15">
      <c r="L1147" s="2"/>
      <c r="N1147" s="2"/>
      <c r="O1147" s="2"/>
    </row>
    <row r="1148" spans="12:15">
      <c r="L1148" s="2"/>
      <c r="N1148" s="2"/>
      <c r="O1148" s="2"/>
    </row>
    <row r="1149" spans="12:15">
      <c r="L1149" s="2"/>
      <c r="N1149" s="2"/>
      <c r="O1149" s="2"/>
    </row>
    <row r="1150" spans="12:15">
      <c r="L1150" s="2"/>
      <c r="N1150" s="2"/>
      <c r="O1150" s="2"/>
    </row>
    <row r="1151" spans="12:15">
      <c r="L1151" s="2"/>
      <c r="N1151" s="2"/>
      <c r="O1151" s="2"/>
    </row>
    <row r="1152" spans="12:15">
      <c r="L1152" s="2"/>
      <c r="N1152" s="2"/>
      <c r="O1152" s="2"/>
    </row>
    <row r="1153" spans="12:15">
      <c r="L1153" s="2"/>
      <c r="N1153" s="2"/>
      <c r="O1153" s="2"/>
    </row>
    <row r="1154" spans="12:15">
      <c r="L1154" s="2"/>
      <c r="N1154" s="2"/>
      <c r="O1154" s="2"/>
    </row>
    <row r="1155" spans="12:15">
      <c r="L1155" s="2"/>
      <c r="N1155" s="2"/>
      <c r="O1155" s="2"/>
    </row>
    <row r="1156" spans="12:15">
      <c r="L1156" s="2"/>
      <c r="N1156" s="2"/>
      <c r="O1156" s="2"/>
    </row>
    <row r="1157" spans="12:15">
      <c r="L1157" s="2"/>
      <c r="N1157" s="2"/>
      <c r="O1157" s="2"/>
    </row>
    <row r="1158" spans="12:15">
      <c r="L1158" s="2"/>
      <c r="N1158" s="2"/>
      <c r="O1158" s="2"/>
    </row>
    <row r="1159" spans="12:15">
      <c r="L1159" s="2"/>
      <c r="N1159" s="2"/>
      <c r="O1159" s="2"/>
    </row>
    <row r="1160" spans="12:15">
      <c r="L1160" s="2"/>
      <c r="N1160" s="2"/>
      <c r="O1160" s="2"/>
    </row>
    <row r="1161" spans="12:15">
      <c r="L1161" s="2"/>
      <c r="N1161" s="2"/>
      <c r="O1161" s="2"/>
    </row>
    <row r="1162" spans="12:15">
      <c r="L1162" s="2"/>
      <c r="N1162" s="2"/>
      <c r="O1162" s="2"/>
    </row>
    <row r="1163" spans="12:15">
      <c r="L1163" s="2"/>
      <c r="N1163" s="2"/>
      <c r="O1163" s="2"/>
    </row>
    <row r="1164" spans="12:15">
      <c r="L1164" s="2"/>
      <c r="N1164" s="2"/>
      <c r="O1164" s="2"/>
    </row>
    <row r="1165" spans="12:15">
      <c r="L1165" s="2"/>
      <c r="N1165" s="2"/>
      <c r="O1165" s="2"/>
    </row>
    <row r="1166" spans="12:15">
      <c r="L1166" s="2"/>
      <c r="N1166" s="2"/>
      <c r="O1166" s="2"/>
    </row>
    <row r="1167" spans="12:15">
      <c r="L1167" s="2"/>
      <c r="N1167" s="2"/>
      <c r="O1167" s="2"/>
    </row>
    <row r="1168" spans="12:15">
      <c r="L1168" s="2"/>
      <c r="N1168" s="2"/>
      <c r="O1168" s="2"/>
    </row>
    <row r="1169" spans="12:15">
      <c r="L1169" s="2"/>
      <c r="N1169" s="2"/>
      <c r="O1169" s="2"/>
    </row>
    <row r="1170" spans="12:15">
      <c r="L1170" s="2"/>
      <c r="N1170" s="2"/>
      <c r="O1170" s="2"/>
    </row>
    <row r="1171" spans="12:15">
      <c r="L1171" s="2"/>
      <c r="N1171" s="2"/>
      <c r="O1171" s="2"/>
    </row>
    <row r="1172" spans="12:15">
      <c r="L1172" s="2"/>
      <c r="N1172" s="2"/>
      <c r="O1172" s="2"/>
    </row>
    <row r="1173" spans="12:15">
      <c r="L1173" s="2"/>
      <c r="N1173" s="2"/>
      <c r="O1173" s="2"/>
    </row>
    <row r="1174" spans="12:15">
      <c r="L1174" s="2"/>
      <c r="N1174" s="2"/>
      <c r="O1174" s="2"/>
    </row>
    <row r="1175" spans="12:15">
      <c r="L1175" s="2"/>
      <c r="N1175" s="2"/>
      <c r="O1175" s="2"/>
    </row>
    <row r="1176" spans="12:15">
      <c r="L1176" s="2"/>
      <c r="N1176" s="2"/>
      <c r="O1176" s="2"/>
    </row>
    <row r="1177" spans="12:15">
      <c r="L1177" s="2"/>
      <c r="N1177" s="2"/>
      <c r="O1177" s="2"/>
    </row>
    <row r="1178" spans="12:15">
      <c r="L1178" s="2"/>
      <c r="N1178" s="2"/>
      <c r="O1178" s="2"/>
    </row>
    <row r="1179" spans="12:15">
      <c r="L1179" s="2"/>
      <c r="N1179" s="2"/>
      <c r="O1179" s="2"/>
    </row>
    <row r="1180" spans="12:15">
      <c r="L1180" s="2"/>
      <c r="N1180" s="2"/>
      <c r="O1180" s="2"/>
    </row>
    <row r="1181" spans="12:15">
      <c r="L1181" s="2"/>
      <c r="N1181" s="2"/>
      <c r="O1181" s="2"/>
    </row>
    <row r="1182" spans="12:15">
      <c r="L1182" s="2"/>
      <c r="N1182" s="2"/>
      <c r="O1182" s="2"/>
    </row>
    <row r="1183" spans="12:15">
      <c r="L1183" s="2"/>
      <c r="N1183" s="2"/>
      <c r="O1183" s="2"/>
    </row>
    <row r="1184" spans="12:15">
      <c r="L1184" s="2"/>
      <c r="N1184" s="2"/>
      <c r="O1184" s="2"/>
    </row>
    <row r="1185" spans="12:15">
      <c r="L1185" s="2"/>
      <c r="N1185" s="2"/>
      <c r="O1185" s="2"/>
    </row>
    <row r="1186" spans="12:15">
      <c r="L1186" s="2"/>
      <c r="N1186" s="2"/>
      <c r="O1186" s="2"/>
    </row>
    <row r="1187" spans="12:15">
      <c r="L1187" s="2"/>
      <c r="N1187" s="2"/>
      <c r="O1187" s="2"/>
    </row>
    <row r="1188" spans="12:15">
      <c r="L1188" s="2"/>
      <c r="N1188" s="2"/>
      <c r="O1188" s="2"/>
    </row>
    <row r="1189" spans="12:15">
      <c r="L1189" s="2"/>
      <c r="N1189" s="2"/>
      <c r="O1189" s="2"/>
    </row>
    <row r="1190" spans="12:15">
      <c r="L1190" s="2"/>
      <c r="N1190" s="2"/>
      <c r="O1190" s="2"/>
    </row>
    <row r="1191" spans="12:15">
      <c r="L1191" s="2"/>
      <c r="N1191" s="2"/>
      <c r="O1191" s="2"/>
    </row>
    <row r="1192" spans="12:15">
      <c r="L1192" s="2"/>
      <c r="N1192" s="2"/>
      <c r="O1192" s="2"/>
    </row>
    <row r="1193" spans="12:15">
      <c r="L1193" s="2"/>
      <c r="N1193" s="2"/>
      <c r="O1193" s="2"/>
    </row>
    <row r="1194" spans="12:15">
      <c r="L1194" s="2"/>
      <c r="N1194" s="2"/>
      <c r="O1194" s="2"/>
    </row>
    <row r="1195" spans="12:15">
      <c r="L1195" s="2"/>
      <c r="N1195" s="2"/>
      <c r="O1195" s="2"/>
    </row>
    <row r="1196" spans="12:15">
      <c r="L1196" s="2"/>
      <c r="N1196" s="2"/>
      <c r="O1196" s="2"/>
    </row>
    <row r="1197" spans="12:15">
      <c r="L1197" s="2"/>
      <c r="N1197" s="2"/>
      <c r="O1197" s="2"/>
    </row>
    <row r="1198" spans="12:15">
      <c r="L1198" s="2"/>
      <c r="N1198" s="2"/>
      <c r="O1198" s="2"/>
    </row>
    <row r="1199" spans="12:15">
      <c r="L1199" s="2"/>
      <c r="N1199" s="2"/>
      <c r="O1199" s="2"/>
    </row>
    <row r="1200" spans="12:15">
      <c r="L1200" s="2"/>
      <c r="N1200" s="2"/>
      <c r="O1200" s="2"/>
    </row>
    <row r="1201" spans="12:15">
      <c r="L1201" s="2"/>
      <c r="N1201" s="2"/>
      <c r="O1201" s="2"/>
    </row>
    <row r="1202" spans="12:15">
      <c r="L1202" s="2"/>
      <c r="N1202" s="2"/>
      <c r="O1202" s="2"/>
    </row>
    <row r="1203" spans="12:15">
      <c r="L1203" s="2"/>
      <c r="N1203" s="2"/>
      <c r="O1203" s="2"/>
    </row>
    <row r="1204" spans="12:15">
      <c r="L1204" s="2"/>
      <c r="N1204" s="2"/>
      <c r="O1204" s="2"/>
    </row>
    <row r="1205" spans="12:15">
      <c r="L1205" s="2"/>
      <c r="N1205" s="2"/>
      <c r="O1205" s="2"/>
    </row>
    <row r="1206" spans="12:15">
      <c r="L1206" s="2"/>
      <c r="N1206" s="2"/>
      <c r="O1206" s="2"/>
    </row>
    <row r="1207" spans="12:15">
      <c r="L1207" s="2"/>
      <c r="N1207" s="2"/>
      <c r="O1207" s="2"/>
    </row>
    <row r="1208" spans="12:15">
      <c r="L1208" s="2"/>
      <c r="N1208" s="2"/>
      <c r="O1208" s="2"/>
    </row>
    <row r="1209" spans="12:15">
      <c r="L1209" s="2"/>
      <c r="N1209" s="2"/>
      <c r="O1209" s="2"/>
    </row>
    <row r="1210" spans="12:15">
      <c r="L1210" s="2"/>
      <c r="N1210" s="2"/>
      <c r="O1210" s="2"/>
    </row>
    <row r="1211" spans="12:15">
      <c r="L1211" s="2"/>
      <c r="N1211" s="2"/>
      <c r="O1211" s="2"/>
    </row>
    <row r="1212" spans="12:15">
      <c r="L1212" s="2"/>
      <c r="N1212" s="2"/>
      <c r="O1212" s="2"/>
    </row>
    <row r="1213" spans="12:15">
      <c r="L1213" s="2"/>
      <c r="N1213" s="2"/>
      <c r="O1213" s="2"/>
    </row>
    <row r="1214" spans="12:15">
      <c r="L1214" s="2"/>
      <c r="N1214" s="2"/>
      <c r="O1214" s="2"/>
    </row>
    <row r="1215" spans="12:15">
      <c r="L1215" s="2"/>
      <c r="N1215" s="2"/>
      <c r="O1215" s="2"/>
    </row>
    <row r="1216" spans="12:15">
      <c r="L1216" s="2"/>
      <c r="N1216" s="2"/>
      <c r="O1216" s="2"/>
    </row>
    <row r="1217" spans="12:15">
      <c r="L1217" s="2"/>
      <c r="N1217" s="2"/>
      <c r="O1217" s="2"/>
    </row>
    <row r="1218" spans="12:15">
      <c r="L1218" s="2"/>
      <c r="N1218" s="2"/>
      <c r="O1218" s="2"/>
    </row>
    <row r="1219" spans="12:15">
      <c r="L1219" s="2"/>
      <c r="N1219" s="2"/>
      <c r="O1219" s="2"/>
    </row>
    <row r="1220" spans="12:15">
      <c r="L1220" s="2"/>
      <c r="N1220" s="2"/>
      <c r="O1220" s="2"/>
    </row>
    <row r="1221" spans="12:15">
      <c r="L1221" s="2"/>
      <c r="N1221" s="2"/>
      <c r="O1221" s="2"/>
    </row>
    <row r="1222" spans="12:15">
      <c r="L1222" s="2"/>
      <c r="N1222" s="2"/>
      <c r="O1222" s="2"/>
    </row>
    <row r="1223" spans="12:15">
      <c r="L1223" s="2"/>
      <c r="N1223" s="2"/>
      <c r="O1223" s="2"/>
    </row>
    <row r="1224" spans="12:15">
      <c r="L1224" s="2"/>
      <c r="N1224" s="2"/>
      <c r="O1224" s="2"/>
    </row>
    <row r="1225" spans="12:15">
      <c r="L1225" s="2"/>
      <c r="N1225" s="2"/>
      <c r="O1225" s="2"/>
    </row>
    <row r="1226" spans="12:15">
      <c r="L1226" s="2"/>
      <c r="N1226" s="2"/>
      <c r="O1226" s="2"/>
    </row>
    <row r="1227" spans="12:15">
      <c r="L1227" s="2"/>
      <c r="N1227" s="2"/>
      <c r="O1227" s="2"/>
    </row>
    <row r="1228" spans="12:15">
      <c r="L1228" s="2"/>
      <c r="N1228" s="2"/>
      <c r="O1228" s="2"/>
    </row>
    <row r="1229" spans="12:15">
      <c r="L1229" s="2"/>
      <c r="N1229" s="2"/>
      <c r="O1229" s="2"/>
    </row>
    <row r="1230" spans="12:15">
      <c r="L1230" s="2"/>
      <c r="N1230" s="2"/>
      <c r="O1230" s="2"/>
    </row>
    <row r="1231" spans="12:15">
      <c r="L1231" s="2"/>
      <c r="N1231" s="2"/>
      <c r="O1231" s="2"/>
    </row>
    <row r="1232" spans="12:15">
      <c r="L1232" s="2"/>
      <c r="N1232" s="2"/>
      <c r="O1232" s="2"/>
    </row>
    <row r="1233" spans="12:15">
      <c r="L1233" s="2"/>
      <c r="N1233" s="2"/>
      <c r="O1233" s="2"/>
    </row>
    <row r="1234" spans="12:15">
      <c r="L1234" s="2"/>
      <c r="N1234" s="2"/>
      <c r="O1234" s="2"/>
    </row>
    <row r="1235" spans="12:15">
      <c r="L1235" s="2"/>
      <c r="N1235" s="2"/>
      <c r="O1235" s="2"/>
    </row>
    <row r="1236" spans="12:15">
      <c r="L1236" s="2"/>
      <c r="N1236" s="2"/>
      <c r="O1236" s="2"/>
    </row>
    <row r="1237" spans="12:15">
      <c r="L1237" s="2"/>
      <c r="N1237" s="2"/>
      <c r="O1237" s="2"/>
    </row>
    <row r="1238" spans="12:15">
      <c r="L1238" s="2"/>
      <c r="N1238" s="2"/>
      <c r="O1238" s="2"/>
    </row>
    <row r="1239" spans="12:15">
      <c r="L1239" s="2"/>
      <c r="N1239" s="2"/>
      <c r="O1239" s="2"/>
    </row>
    <row r="1240" spans="12:15">
      <c r="L1240" s="2"/>
      <c r="N1240" s="2"/>
      <c r="O1240" s="2"/>
    </row>
    <row r="1241" spans="12:15">
      <c r="L1241" s="2"/>
      <c r="N1241" s="2"/>
      <c r="O1241" s="2"/>
    </row>
    <row r="1242" spans="12:15">
      <c r="L1242" s="2"/>
      <c r="N1242" s="2"/>
      <c r="O1242" s="2"/>
    </row>
    <row r="1243" spans="12:15">
      <c r="L1243" s="2"/>
      <c r="N1243" s="2"/>
      <c r="O1243" s="2"/>
    </row>
    <row r="1244" spans="12:15">
      <c r="L1244" s="2"/>
      <c r="N1244" s="2"/>
      <c r="O1244" s="2"/>
    </row>
    <row r="1245" spans="12:15">
      <c r="L1245" s="2"/>
      <c r="N1245" s="2"/>
      <c r="O1245" s="2"/>
    </row>
    <row r="1246" spans="12:15">
      <c r="L1246" s="2"/>
      <c r="N1246" s="2"/>
      <c r="O1246" s="2"/>
    </row>
    <row r="1247" spans="12:15">
      <c r="L1247" s="2"/>
      <c r="N1247" s="2"/>
      <c r="O1247" s="2"/>
    </row>
    <row r="1248" spans="12:15">
      <c r="L1248" s="2"/>
      <c r="N1248" s="2"/>
      <c r="O1248" s="2"/>
    </row>
    <row r="1249" spans="12:15">
      <c r="L1249" s="2"/>
      <c r="N1249" s="2"/>
      <c r="O1249" s="2"/>
    </row>
    <row r="1250" spans="12:15">
      <c r="L1250" s="2"/>
      <c r="N1250" s="2"/>
      <c r="O1250" s="2"/>
    </row>
    <row r="1251" spans="12:15">
      <c r="L1251" s="2"/>
      <c r="N1251" s="2"/>
      <c r="O1251" s="2"/>
    </row>
    <row r="1252" spans="12:15">
      <c r="L1252" s="2"/>
      <c r="N1252" s="2"/>
      <c r="O1252" s="2"/>
    </row>
    <row r="1253" spans="12:15">
      <c r="L1253" s="2"/>
      <c r="N1253" s="2"/>
      <c r="O1253" s="2"/>
    </row>
    <row r="1254" spans="12:15">
      <c r="L1254" s="2"/>
      <c r="N1254" s="2"/>
      <c r="O1254" s="2"/>
    </row>
    <row r="1255" spans="12:15">
      <c r="L1255" s="2"/>
      <c r="N1255" s="2"/>
      <c r="O1255" s="2"/>
    </row>
    <row r="1256" spans="12:15">
      <c r="L1256" s="2"/>
      <c r="N1256" s="2"/>
      <c r="O1256" s="2"/>
    </row>
    <row r="1257" spans="12:15">
      <c r="L1257" s="2"/>
      <c r="N1257" s="2"/>
      <c r="O1257" s="2"/>
    </row>
    <row r="1258" spans="12:15">
      <c r="L1258" s="2"/>
      <c r="N1258" s="2"/>
      <c r="O1258" s="2"/>
    </row>
    <row r="1259" spans="12:15">
      <c r="L1259" s="2"/>
      <c r="N1259" s="2"/>
      <c r="O1259" s="2"/>
    </row>
    <row r="1260" spans="12:15">
      <c r="L1260" s="2"/>
      <c r="N1260" s="2"/>
      <c r="O1260" s="2"/>
    </row>
    <row r="1261" spans="12:15">
      <c r="L1261" s="2"/>
      <c r="N1261" s="2"/>
      <c r="O1261" s="2"/>
    </row>
    <row r="1262" spans="12:15">
      <c r="L1262" s="2"/>
      <c r="N1262" s="2"/>
      <c r="O1262" s="2"/>
    </row>
    <row r="1263" spans="12:15">
      <c r="L1263" s="2"/>
      <c r="N1263" s="2"/>
      <c r="O1263" s="2"/>
    </row>
    <row r="1264" spans="12:15">
      <c r="L1264" s="2"/>
      <c r="N1264" s="2"/>
      <c r="O1264" s="2"/>
    </row>
    <row r="1265" spans="12:15">
      <c r="L1265" s="2"/>
      <c r="N1265" s="2"/>
      <c r="O1265" s="2"/>
    </row>
    <row r="1266" spans="12:15">
      <c r="L1266" s="2"/>
      <c r="N1266" s="2"/>
      <c r="O1266" s="2"/>
    </row>
    <row r="1267" spans="12:15">
      <c r="L1267" s="2"/>
      <c r="N1267" s="2"/>
      <c r="O1267" s="2"/>
    </row>
    <row r="1268" spans="12:15">
      <c r="L1268" s="2"/>
      <c r="N1268" s="2"/>
      <c r="O1268" s="2"/>
    </row>
    <row r="1269" spans="12:15">
      <c r="L1269" s="2"/>
      <c r="N1269" s="2"/>
      <c r="O1269" s="2"/>
    </row>
    <row r="1270" spans="12:15">
      <c r="L1270" s="2"/>
      <c r="N1270" s="2"/>
      <c r="O1270" s="2"/>
    </row>
    <row r="1271" spans="12:15">
      <c r="L1271" s="2"/>
      <c r="N1271" s="2"/>
      <c r="O1271" s="2"/>
    </row>
    <row r="1272" spans="12:15">
      <c r="L1272" s="2"/>
      <c r="N1272" s="2"/>
      <c r="O1272" s="2"/>
    </row>
    <row r="1273" spans="12:15">
      <c r="L1273" s="2"/>
      <c r="N1273" s="2"/>
      <c r="O1273" s="2"/>
    </row>
    <row r="1274" spans="12:15">
      <c r="L1274" s="2"/>
      <c r="N1274" s="2"/>
      <c r="O1274" s="2"/>
    </row>
    <row r="1275" spans="12:15">
      <c r="L1275" s="2"/>
      <c r="N1275" s="2"/>
      <c r="O1275" s="2"/>
    </row>
    <row r="1276" spans="12:15">
      <c r="L1276" s="2"/>
      <c r="N1276" s="2"/>
      <c r="O1276" s="2"/>
    </row>
    <row r="1277" spans="12:15">
      <c r="L1277" s="2"/>
      <c r="N1277" s="2"/>
      <c r="O1277" s="2"/>
    </row>
    <row r="1278" spans="12:15">
      <c r="L1278" s="2"/>
      <c r="N1278" s="2"/>
      <c r="O1278" s="2"/>
    </row>
    <row r="1279" spans="12:15">
      <c r="L1279" s="2"/>
      <c r="N1279" s="2"/>
      <c r="O1279" s="2"/>
    </row>
    <row r="1280" spans="12:15">
      <c r="L1280" s="2"/>
      <c r="N1280" s="2"/>
      <c r="O1280" s="2"/>
    </row>
    <row r="1281" spans="12:15">
      <c r="L1281" s="2"/>
      <c r="N1281" s="2"/>
      <c r="O1281" s="2"/>
    </row>
    <row r="1282" spans="12:15">
      <c r="L1282" s="2"/>
      <c r="N1282" s="2"/>
      <c r="O1282" s="2"/>
    </row>
    <row r="1283" spans="12:15">
      <c r="L1283" s="2"/>
      <c r="N1283" s="2"/>
      <c r="O1283" s="2"/>
    </row>
    <row r="1284" spans="12:15">
      <c r="L1284" s="2"/>
      <c r="N1284" s="2"/>
      <c r="O1284" s="2"/>
    </row>
    <row r="1285" spans="12:15">
      <c r="L1285" s="2"/>
      <c r="N1285" s="2"/>
      <c r="O1285" s="2"/>
    </row>
    <row r="1286" spans="12:15">
      <c r="L1286" s="2"/>
      <c r="N1286" s="2"/>
      <c r="O1286" s="2"/>
    </row>
    <row r="1287" spans="12:15">
      <c r="L1287" s="2"/>
      <c r="N1287" s="2"/>
      <c r="O1287" s="2"/>
    </row>
    <row r="1288" spans="12:15">
      <c r="L1288" s="2"/>
      <c r="N1288" s="2"/>
      <c r="O1288" s="2"/>
    </row>
    <row r="1289" spans="12:15">
      <c r="L1289" s="2"/>
      <c r="N1289" s="2"/>
      <c r="O1289" s="2"/>
    </row>
    <row r="1290" spans="12:15">
      <c r="L1290" s="2"/>
      <c r="N1290" s="2"/>
      <c r="O1290" s="2"/>
    </row>
    <row r="1291" spans="12:15">
      <c r="L1291" s="2"/>
      <c r="N1291" s="2"/>
      <c r="O1291" s="2"/>
    </row>
    <row r="1292" spans="12:15">
      <c r="L1292" s="2"/>
      <c r="N1292" s="2"/>
      <c r="O1292" s="2"/>
    </row>
    <row r="1293" spans="12:15">
      <c r="L1293" s="2"/>
      <c r="N1293" s="2"/>
      <c r="O1293" s="2"/>
    </row>
    <row r="1294" spans="12:15">
      <c r="L1294" s="2"/>
      <c r="N1294" s="2"/>
      <c r="O1294" s="2"/>
    </row>
    <row r="1295" spans="12:15">
      <c r="L1295" s="2"/>
      <c r="N1295" s="2"/>
      <c r="O1295" s="2"/>
    </row>
    <row r="1296" spans="12:15">
      <c r="L1296" s="2"/>
      <c r="N1296" s="2"/>
      <c r="O1296" s="2"/>
    </row>
    <row r="1297" spans="12:15">
      <c r="L1297" s="2"/>
      <c r="N1297" s="2"/>
      <c r="O1297" s="2"/>
    </row>
    <row r="1298" spans="12:15">
      <c r="L1298" s="2"/>
      <c r="N1298" s="2"/>
      <c r="O1298" s="2"/>
    </row>
    <row r="1299" spans="12:15">
      <c r="L1299" s="2"/>
      <c r="N1299" s="2"/>
      <c r="O1299" s="2"/>
    </row>
    <row r="1300" spans="12:15">
      <c r="L1300" s="2"/>
      <c r="N1300" s="2"/>
      <c r="O1300" s="2"/>
    </row>
    <row r="1301" spans="12:15">
      <c r="L1301" s="2"/>
      <c r="N1301" s="2"/>
      <c r="O1301" s="2"/>
    </row>
    <row r="1302" spans="12:15">
      <c r="L1302" s="2"/>
      <c r="N1302" s="2"/>
      <c r="O1302" s="2"/>
    </row>
    <row r="1303" spans="12:15">
      <c r="L1303" s="2"/>
      <c r="N1303" s="2"/>
      <c r="O1303" s="2"/>
    </row>
    <row r="1304" spans="12:15">
      <c r="L1304" s="2"/>
      <c r="N1304" s="2"/>
      <c r="O1304" s="2"/>
    </row>
    <row r="1305" spans="12:15">
      <c r="L1305" s="2"/>
      <c r="N1305" s="2"/>
      <c r="O1305" s="2"/>
    </row>
    <row r="1306" spans="12:15">
      <c r="L1306" s="2"/>
      <c r="N1306" s="2"/>
      <c r="O1306" s="2"/>
    </row>
    <row r="1307" spans="12:15">
      <c r="L1307" s="2"/>
      <c r="N1307" s="2"/>
      <c r="O1307" s="2"/>
    </row>
    <row r="1308" spans="12:15">
      <c r="L1308" s="2"/>
      <c r="N1308" s="2"/>
      <c r="O1308" s="2"/>
    </row>
    <row r="1309" spans="12:15">
      <c r="L1309" s="2"/>
      <c r="N1309" s="2"/>
      <c r="O1309" s="2"/>
    </row>
    <row r="1310" spans="12:15">
      <c r="L1310" s="2"/>
      <c r="N1310" s="2"/>
      <c r="O1310" s="2"/>
    </row>
    <row r="1311" spans="12:15">
      <c r="L1311" s="2"/>
      <c r="N1311" s="2"/>
      <c r="O1311" s="2"/>
    </row>
    <row r="1312" spans="12:15">
      <c r="L1312" s="2"/>
      <c r="N1312" s="2"/>
      <c r="O1312" s="2"/>
    </row>
    <row r="1313" spans="12:15">
      <c r="L1313" s="2"/>
      <c r="N1313" s="2"/>
      <c r="O1313" s="2"/>
    </row>
    <row r="1314" spans="12:15">
      <c r="L1314" s="2"/>
      <c r="N1314" s="2"/>
      <c r="O1314" s="2"/>
    </row>
    <row r="1315" spans="12:15">
      <c r="L1315" s="2"/>
      <c r="N1315" s="2"/>
      <c r="O1315" s="2"/>
    </row>
    <row r="1316" spans="12:15">
      <c r="L1316" s="2"/>
      <c r="N1316" s="2"/>
      <c r="O1316" s="2"/>
    </row>
    <row r="1317" spans="12:15">
      <c r="L1317" s="2"/>
      <c r="N1317" s="2"/>
      <c r="O1317" s="2"/>
    </row>
    <row r="1318" spans="12:15">
      <c r="L1318" s="2"/>
      <c r="N1318" s="2"/>
      <c r="O1318" s="2"/>
    </row>
    <row r="1319" spans="12:15">
      <c r="L1319" s="2"/>
      <c r="N1319" s="2"/>
      <c r="O1319" s="2"/>
    </row>
    <row r="1320" spans="12:15">
      <c r="L1320" s="2"/>
      <c r="N1320" s="2"/>
      <c r="O1320" s="2"/>
    </row>
    <row r="1321" spans="12:15">
      <c r="L1321" s="2"/>
      <c r="N1321" s="2"/>
      <c r="O1321" s="2"/>
    </row>
    <row r="1322" spans="12:15">
      <c r="L1322" s="2"/>
      <c r="N1322" s="2"/>
      <c r="O1322" s="2"/>
    </row>
    <row r="1323" spans="12:15">
      <c r="L1323" s="2"/>
      <c r="N1323" s="2"/>
      <c r="O1323" s="2"/>
    </row>
    <row r="1324" spans="12:15">
      <c r="L1324" s="2"/>
      <c r="N1324" s="2"/>
      <c r="O1324" s="2"/>
    </row>
    <row r="1325" spans="12:15">
      <c r="L1325" s="2"/>
      <c r="N1325" s="2"/>
      <c r="O1325" s="2"/>
    </row>
    <row r="1326" spans="12:15">
      <c r="L1326" s="2"/>
      <c r="N1326" s="2"/>
      <c r="O1326" s="2"/>
    </row>
    <row r="1327" spans="12:15">
      <c r="L1327" s="2"/>
      <c r="N1327" s="2"/>
      <c r="O1327" s="2"/>
    </row>
    <row r="1328" spans="12:15">
      <c r="L1328" s="2"/>
      <c r="N1328" s="2"/>
      <c r="O1328" s="2"/>
    </row>
    <row r="1329" spans="12:15">
      <c r="L1329" s="2"/>
      <c r="N1329" s="2"/>
      <c r="O1329" s="2"/>
    </row>
    <row r="1330" spans="12:15">
      <c r="L1330" s="2"/>
      <c r="N1330" s="2"/>
      <c r="O1330" s="2"/>
    </row>
    <row r="1331" spans="12:15">
      <c r="L1331" s="2"/>
      <c r="N1331" s="2"/>
      <c r="O1331" s="2"/>
    </row>
    <row r="1332" spans="12:15">
      <c r="L1332" s="2"/>
      <c r="N1332" s="2"/>
      <c r="O1332" s="2"/>
    </row>
    <row r="1333" spans="12:15">
      <c r="L1333" s="2"/>
      <c r="N1333" s="2"/>
      <c r="O1333" s="2"/>
    </row>
    <row r="1334" spans="12:15">
      <c r="L1334" s="2"/>
      <c r="N1334" s="2"/>
      <c r="O1334" s="2"/>
    </row>
    <row r="1335" spans="12:15">
      <c r="L1335" s="2"/>
      <c r="N1335" s="2"/>
      <c r="O1335" s="2"/>
    </row>
    <row r="1336" spans="12:15">
      <c r="L1336" s="2"/>
      <c r="N1336" s="2"/>
      <c r="O1336" s="2"/>
    </row>
    <row r="1337" spans="12:15">
      <c r="L1337" s="2"/>
      <c r="N1337" s="2"/>
      <c r="O1337" s="2"/>
    </row>
    <row r="1338" spans="12:15">
      <c r="L1338" s="2"/>
      <c r="N1338" s="2"/>
      <c r="O1338" s="2"/>
    </row>
    <row r="1339" spans="12:15">
      <c r="L1339" s="2"/>
      <c r="N1339" s="2"/>
      <c r="O1339" s="2"/>
    </row>
    <row r="1340" spans="12:15">
      <c r="L1340" s="2"/>
      <c r="N1340" s="2"/>
      <c r="O1340" s="2"/>
    </row>
    <row r="1341" spans="12:15">
      <c r="L1341" s="2"/>
      <c r="N1341" s="2"/>
      <c r="O1341" s="2"/>
    </row>
    <row r="1342" spans="12:15">
      <c r="L1342" s="2"/>
      <c r="N1342" s="2"/>
      <c r="O1342" s="2"/>
    </row>
    <row r="1343" spans="12:15">
      <c r="L1343" s="2"/>
      <c r="N1343" s="2"/>
      <c r="O1343" s="2"/>
    </row>
    <row r="1344" spans="12:15">
      <c r="L1344" s="2"/>
      <c r="N1344" s="2"/>
      <c r="O1344" s="2"/>
    </row>
    <row r="1345" spans="12:15">
      <c r="L1345" s="2"/>
      <c r="N1345" s="2"/>
      <c r="O1345" s="2"/>
    </row>
    <row r="1346" spans="12:15">
      <c r="L1346" s="2"/>
      <c r="N1346" s="2"/>
      <c r="O1346" s="2"/>
    </row>
    <row r="1347" spans="12:15">
      <c r="L1347" s="2"/>
      <c r="N1347" s="2"/>
      <c r="O1347" s="2"/>
    </row>
    <row r="1348" spans="12:15">
      <c r="L1348" s="2"/>
      <c r="N1348" s="2"/>
      <c r="O1348" s="2"/>
    </row>
    <row r="1349" spans="12:15">
      <c r="L1349" s="2"/>
      <c r="N1349" s="2"/>
      <c r="O1349" s="2"/>
    </row>
    <row r="1350" spans="12:15">
      <c r="L1350" s="2"/>
      <c r="N1350" s="2"/>
      <c r="O1350" s="2"/>
    </row>
    <row r="1351" spans="12:15">
      <c r="L1351" s="2"/>
      <c r="N1351" s="2"/>
      <c r="O1351" s="2"/>
    </row>
    <row r="1352" spans="12:15">
      <c r="L1352" s="2"/>
      <c r="N1352" s="2"/>
      <c r="O1352" s="2"/>
    </row>
    <row r="1353" spans="12:15">
      <c r="L1353" s="2"/>
      <c r="N1353" s="2"/>
      <c r="O1353" s="2"/>
    </row>
    <row r="1354" spans="12:15">
      <c r="L1354" s="2"/>
      <c r="N1354" s="2"/>
      <c r="O1354" s="2"/>
    </row>
    <row r="1355" spans="12:15">
      <c r="L1355" s="2"/>
      <c r="N1355" s="2"/>
      <c r="O1355" s="2"/>
    </row>
    <row r="1356" spans="12:15">
      <c r="L1356" s="2"/>
      <c r="N1356" s="2"/>
      <c r="O1356" s="2"/>
    </row>
    <row r="1357" spans="12:15">
      <c r="L1357" s="2"/>
      <c r="N1357" s="2"/>
      <c r="O1357" s="2"/>
    </row>
    <row r="1358" spans="12:15">
      <c r="L1358" s="2"/>
      <c r="N1358" s="2"/>
      <c r="O1358" s="2"/>
    </row>
    <row r="1359" spans="12:15">
      <c r="L1359" s="2"/>
      <c r="N1359" s="2"/>
      <c r="O1359" s="2"/>
    </row>
    <row r="1360" spans="12:15">
      <c r="L1360" s="2"/>
      <c r="N1360" s="2"/>
      <c r="O1360" s="2"/>
    </row>
    <row r="1361" spans="12:15">
      <c r="L1361" s="2"/>
      <c r="N1361" s="2"/>
      <c r="O1361" s="2"/>
    </row>
    <row r="1362" spans="12:15">
      <c r="L1362" s="2"/>
      <c r="N1362" s="2"/>
      <c r="O1362" s="2"/>
    </row>
    <row r="1363" spans="12:15">
      <c r="L1363" s="2"/>
      <c r="N1363" s="2"/>
      <c r="O1363" s="2"/>
    </row>
    <row r="1364" spans="12:15">
      <c r="L1364" s="2"/>
      <c r="N1364" s="2"/>
      <c r="O1364" s="2"/>
    </row>
    <row r="1365" spans="12:15">
      <c r="L1365" s="2"/>
      <c r="N1365" s="2"/>
      <c r="O1365" s="2"/>
    </row>
    <row r="1366" spans="12:15">
      <c r="L1366" s="2"/>
      <c r="N1366" s="2"/>
      <c r="O1366" s="2"/>
    </row>
    <row r="1367" spans="12:15">
      <c r="L1367" s="2"/>
      <c r="N1367" s="2"/>
      <c r="O1367" s="2"/>
    </row>
    <row r="1368" spans="12:15">
      <c r="L1368" s="2"/>
      <c r="N1368" s="2"/>
      <c r="O1368" s="2"/>
    </row>
    <row r="1369" spans="12:15">
      <c r="L1369" s="2"/>
      <c r="N1369" s="2"/>
      <c r="O1369" s="2"/>
    </row>
    <row r="1370" spans="12:15">
      <c r="L1370" s="2"/>
      <c r="N1370" s="2"/>
      <c r="O1370" s="2"/>
    </row>
    <row r="1371" spans="12:15">
      <c r="L1371" s="2"/>
      <c r="N1371" s="2"/>
      <c r="O1371" s="2"/>
    </row>
    <row r="1372" spans="12:15">
      <c r="L1372" s="2"/>
      <c r="N1372" s="2"/>
      <c r="O1372" s="2"/>
    </row>
    <row r="1373" spans="12:15">
      <c r="L1373" s="2"/>
      <c r="N1373" s="2"/>
      <c r="O1373" s="2"/>
    </row>
    <row r="1374" spans="12:15">
      <c r="L1374" s="2"/>
      <c r="N1374" s="2"/>
      <c r="O1374" s="2"/>
    </row>
    <row r="1375" spans="12:15">
      <c r="L1375" s="2"/>
      <c r="N1375" s="2"/>
      <c r="O1375" s="2"/>
    </row>
    <row r="1376" spans="12:15">
      <c r="L1376" s="2"/>
      <c r="N1376" s="2"/>
      <c r="O1376" s="2"/>
    </row>
    <row r="1377" spans="12:15">
      <c r="L1377" s="2"/>
      <c r="N1377" s="2"/>
      <c r="O1377" s="2"/>
    </row>
    <row r="1378" spans="12:15">
      <c r="L1378" s="2"/>
      <c r="N1378" s="2"/>
      <c r="O1378" s="2"/>
    </row>
    <row r="1379" spans="12:15">
      <c r="L1379" s="2"/>
      <c r="N1379" s="2"/>
      <c r="O1379" s="2"/>
    </row>
    <row r="1380" spans="12:15">
      <c r="L1380" s="2"/>
      <c r="N1380" s="2"/>
      <c r="O1380" s="2"/>
    </row>
    <row r="1381" spans="12:15">
      <c r="L1381" s="2"/>
      <c r="N1381" s="2"/>
      <c r="O1381" s="2"/>
    </row>
    <row r="1382" spans="12:15">
      <c r="L1382" s="2"/>
      <c r="N1382" s="2"/>
      <c r="O1382" s="2"/>
    </row>
    <row r="1383" spans="12:15">
      <c r="L1383" s="2"/>
      <c r="N1383" s="2"/>
      <c r="O1383" s="2"/>
    </row>
    <row r="1384" spans="12:15">
      <c r="L1384" s="2"/>
      <c r="N1384" s="2"/>
      <c r="O1384" s="2"/>
    </row>
    <row r="1385" spans="12:15">
      <c r="L1385" s="2"/>
      <c r="N1385" s="2"/>
      <c r="O1385" s="2"/>
    </row>
    <row r="1386" spans="12:15">
      <c r="L1386" s="2"/>
      <c r="N1386" s="2"/>
      <c r="O1386" s="2"/>
    </row>
    <row r="1387" spans="12:15">
      <c r="L1387" s="2"/>
      <c r="N1387" s="2"/>
      <c r="O1387" s="2"/>
    </row>
    <row r="1388" spans="12:15">
      <c r="L1388" s="2"/>
      <c r="N1388" s="2"/>
      <c r="O1388" s="2"/>
    </row>
    <row r="1389" spans="12:15">
      <c r="L1389" s="2"/>
      <c r="N1389" s="2"/>
      <c r="O1389" s="2"/>
    </row>
    <row r="1390" spans="12:15">
      <c r="L1390" s="2"/>
      <c r="N1390" s="2"/>
      <c r="O1390" s="2"/>
    </row>
    <row r="1391" spans="12:15">
      <c r="L1391" s="2"/>
      <c r="N1391" s="2"/>
      <c r="O1391" s="2"/>
    </row>
    <row r="1392" spans="12:15">
      <c r="L1392" s="2"/>
      <c r="N1392" s="2"/>
      <c r="O1392" s="2"/>
    </row>
    <row r="1393" spans="12:15">
      <c r="L1393" s="2"/>
      <c r="N1393" s="2"/>
      <c r="O1393" s="2"/>
    </row>
    <row r="1394" spans="12:15">
      <c r="L1394" s="2"/>
      <c r="N1394" s="2"/>
      <c r="O1394" s="2"/>
    </row>
    <row r="1395" spans="12:15">
      <c r="L1395" s="2"/>
      <c r="N1395" s="2"/>
      <c r="O1395" s="2"/>
    </row>
    <row r="1396" spans="12:15">
      <c r="L1396" s="2"/>
      <c r="N1396" s="2"/>
      <c r="O1396" s="2"/>
    </row>
    <row r="1397" spans="12:15">
      <c r="L1397" s="2"/>
      <c r="N1397" s="2"/>
      <c r="O1397" s="2"/>
    </row>
    <row r="1398" spans="12:15">
      <c r="L1398" s="2"/>
      <c r="N1398" s="2"/>
      <c r="O1398" s="2"/>
    </row>
    <row r="1399" spans="12:15">
      <c r="L1399" s="2"/>
      <c r="N1399" s="2"/>
      <c r="O1399" s="2"/>
    </row>
    <row r="1400" spans="12:15">
      <c r="L1400" s="2"/>
      <c r="N1400" s="2"/>
      <c r="O1400" s="2"/>
    </row>
    <row r="1401" spans="12:15">
      <c r="L1401" s="2"/>
      <c r="N1401" s="2"/>
      <c r="O1401" s="2"/>
    </row>
    <row r="1402" spans="12:15">
      <c r="L1402" s="2"/>
      <c r="N1402" s="2"/>
      <c r="O1402" s="2"/>
    </row>
    <row r="1403" spans="12:15">
      <c r="L1403" s="2"/>
      <c r="N1403" s="2"/>
      <c r="O1403" s="2"/>
    </row>
    <row r="1404" spans="12:15">
      <c r="L1404" s="2"/>
      <c r="N1404" s="2"/>
      <c r="O1404" s="2"/>
    </row>
    <row r="1405" spans="12:15">
      <c r="L1405" s="2"/>
      <c r="N1405" s="2"/>
      <c r="O1405" s="2"/>
    </row>
    <row r="1406" spans="12:15">
      <c r="L1406" s="2"/>
      <c r="N1406" s="2"/>
      <c r="O1406" s="2"/>
    </row>
    <row r="1407" spans="12:15">
      <c r="L1407" s="2"/>
      <c r="N1407" s="2"/>
      <c r="O1407" s="2"/>
    </row>
    <row r="1408" spans="12:15">
      <c r="L1408" s="2"/>
      <c r="N1408" s="2"/>
      <c r="O1408" s="2"/>
    </row>
    <row r="1409" spans="12:15">
      <c r="L1409" s="2"/>
      <c r="N1409" s="2"/>
      <c r="O1409" s="2"/>
    </row>
    <row r="1410" spans="12:15">
      <c r="L1410" s="2"/>
      <c r="N1410" s="2"/>
      <c r="O1410" s="2"/>
    </row>
    <row r="1411" spans="12:15">
      <c r="L1411" s="2"/>
      <c r="N1411" s="2"/>
      <c r="O1411" s="2"/>
    </row>
    <row r="1412" spans="12:15">
      <c r="L1412" s="2"/>
      <c r="N1412" s="2"/>
      <c r="O1412" s="2"/>
    </row>
    <row r="1413" spans="12:15">
      <c r="L1413" s="2"/>
      <c r="N1413" s="2"/>
      <c r="O1413" s="2"/>
    </row>
    <row r="1414" spans="12:15">
      <c r="L1414" s="2"/>
      <c r="N1414" s="2"/>
      <c r="O1414" s="2"/>
    </row>
    <row r="1415" spans="12:15">
      <c r="L1415" s="2"/>
      <c r="N1415" s="2"/>
      <c r="O1415" s="2"/>
    </row>
    <row r="1416" spans="12:15">
      <c r="L1416" s="2"/>
      <c r="N1416" s="2"/>
      <c r="O1416" s="2"/>
    </row>
    <row r="1417" spans="12:15">
      <c r="L1417" s="2"/>
      <c r="N1417" s="2"/>
      <c r="O1417" s="2"/>
    </row>
    <row r="1418" spans="12:15">
      <c r="L1418" s="2"/>
      <c r="N1418" s="2"/>
      <c r="O1418" s="2"/>
    </row>
    <row r="1419" spans="12:15">
      <c r="L1419" s="2"/>
      <c r="N1419" s="2"/>
      <c r="O1419" s="2"/>
    </row>
    <row r="1420" spans="12:15">
      <c r="L1420" s="2"/>
      <c r="N1420" s="2"/>
      <c r="O1420" s="2"/>
    </row>
    <row r="1421" spans="12:15">
      <c r="L1421" s="2"/>
      <c r="N1421" s="2"/>
      <c r="O1421" s="2"/>
    </row>
    <row r="1422" spans="12:15">
      <c r="L1422" s="2"/>
      <c r="N1422" s="2"/>
      <c r="O1422" s="2"/>
    </row>
    <row r="1423" spans="12:15">
      <c r="L1423" s="2"/>
      <c r="N1423" s="2"/>
      <c r="O1423" s="2"/>
    </row>
    <row r="1424" spans="12:15">
      <c r="L1424" s="2"/>
      <c r="N1424" s="2"/>
      <c r="O1424" s="2"/>
    </row>
    <row r="1425" spans="12:15">
      <c r="L1425" s="2"/>
      <c r="N1425" s="2"/>
      <c r="O1425" s="2"/>
    </row>
    <row r="1426" spans="12:15">
      <c r="L1426" s="2"/>
      <c r="N1426" s="2"/>
      <c r="O1426" s="2"/>
    </row>
    <row r="1427" spans="12:15">
      <c r="L1427" s="2"/>
      <c r="N1427" s="2"/>
      <c r="O1427" s="2"/>
    </row>
    <row r="1428" spans="12:15">
      <c r="L1428" s="2"/>
      <c r="N1428" s="2"/>
      <c r="O1428" s="2"/>
    </row>
    <row r="1429" spans="12:15">
      <c r="L1429" s="2"/>
      <c r="N1429" s="2"/>
      <c r="O1429" s="2"/>
    </row>
    <row r="1430" spans="12:15">
      <c r="L1430" s="2"/>
      <c r="N1430" s="2"/>
      <c r="O1430" s="2"/>
    </row>
    <row r="1431" spans="12:15">
      <c r="L1431" s="2"/>
      <c r="N1431" s="2"/>
      <c r="O1431" s="2"/>
    </row>
    <row r="1432" spans="12:15">
      <c r="L1432" s="2"/>
      <c r="N1432" s="2"/>
      <c r="O1432" s="2"/>
    </row>
    <row r="1433" spans="12:15">
      <c r="L1433" s="2"/>
      <c r="N1433" s="2"/>
      <c r="O1433" s="2"/>
    </row>
    <row r="1434" spans="12:15">
      <c r="L1434" s="2"/>
      <c r="N1434" s="2"/>
      <c r="O1434" s="2"/>
    </row>
    <row r="1435" spans="12:15">
      <c r="L1435" s="2"/>
      <c r="N1435" s="2"/>
      <c r="O1435" s="2"/>
    </row>
    <row r="1436" spans="12:15">
      <c r="L1436" s="2"/>
      <c r="N1436" s="2"/>
      <c r="O1436" s="2"/>
    </row>
    <row r="1437" spans="12:15">
      <c r="L1437" s="2"/>
      <c r="N1437" s="2"/>
      <c r="O1437" s="2"/>
    </row>
    <row r="1438" spans="12:15">
      <c r="L1438" s="2"/>
      <c r="N1438" s="2"/>
      <c r="O1438" s="2"/>
    </row>
    <row r="1439" spans="12:15">
      <c r="L1439" s="2"/>
      <c r="N1439" s="2"/>
      <c r="O1439" s="2"/>
    </row>
    <row r="1440" spans="12:15">
      <c r="L1440" s="2"/>
      <c r="N1440" s="2"/>
      <c r="O1440" s="2"/>
    </row>
    <row r="1441" spans="12:15">
      <c r="L1441" s="2"/>
      <c r="N1441" s="2"/>
      <c r="O1441" s="2"/>
    </row>
    <row r="1442" spans="12:15">
      <c r="L1442" s="2"/>
      <c r="N1442" s="2"/>
      <c r="O1442" s="2"/>
    </row>
    <row r="1443" spans="12:15">
      <c r="L1443" s="2"/>
      <c r="N1443" s="2"/>
      <c r="O1443" s="2"/>
    </row>
    <row r="1444" spans="12:15">
      <c r="L1444" s="2"/>
      <c r="N1444" s="2"/>
      <c r="O1444" s="2"/>
    </row>
    <row r="1445" spans="12:15">
      <c r="L1445" s="2"/>
      <c r="N1445" s="2"/>
      <c r="O1445" s="2"/>
    </row>
    <row r="1446" spans="12:15">
      <c r="L1446" s="2"/>
      <c r="N1446" s="2"/>
      <c r="O1446" s="2"/>
    </row>
    <row r="1447" spans="12:15">
      <c r="L1447" s="2"/>
      <c r="N1447" s="2"/>
      <c r="O1447" s="2"/>
    </row>
    <row r="1448" spans="12:15">
      <c r="L1448" s="2"/>
      <c r="N1448" s="2"/>
      <c r="O1448" s="2"/>
    </row>
    <row r="1449" spans="12:15">
      <c r="L1449" s="2"/>
      <c r="N1449" s="2"/>
      <c r="O1449" s="2"/>
    </row>
    <row r="1450" spans="12:15">
      <c r="L1450" s="2"/>
      <c r="N1450" s="2"/>
      <c r="O1450" s="2"/>
    </row>
    <row r="1451" spans="12:15">
      <c r="L1451" s="2"/>
      <c r="N1451" s="2"/>
      <c r="O1451" s="2"/>
    </row>
    <row r="1452" spans="12:15">
      <c r="L1452" s="2"/>
      <c r="N1452" s="2"/>
      <c r="O1452" s="2"/>
    </row>
    <row r="1453" spans="12:15">
      <c r="L1453" s="2"/>
      <c r="N1453" s="2"/>
      <c r="O1453" s="2"/>
    </row>
    <row r="1454" spans="12:15">
      <c r="L1454" s="2"/>
      <c r="N1454" s="2"/>
      <c r="O1454" s="2"/>
    </row>
    <row r="1455" spans="12:15">
      <c r="L1455" s="2"/>
      <c r="N1455" s="2"/>
      <c r="O1455" s="2"/>
    </row>
    <row r="1456" spans="12:15">
      <c r="L1456" s="2"/>
      <c r="N1456" s="2"/>
      <c r="O1456" s="2"/>
    </row>
    <row r="1457" spans="12:15">
      <c r="L1457" s="2"/>
      <c r="N1457" s="2"/>
      <c r="O1457" s="2"/>
    </row>
    <row r="1458" spans="12:15">
      <c r="L1458" s="2"/>
      <c r="N1458" s="2"/>
      <c r="O1458" s="2"/>
    </row>
    <row r="1459" spans="12:15">
      <c r="L1459" s="2"/>
      <c r="N1459" s="2"/>
      <c r="O1459" s="2"/>
    </row>
    <row r="1460" spans="12:15">
      <c r="L1460" s="2"/>
      <c r="N1460" s="2"/>
      <c r="O1460" s="2"/>
    </row>
    <row r="1461" spans="12:15">
      <c r="L1461" s="2"/>
      <c r="N1461" s="2"/>
      <c r="O1461" s="2"/>
    </row>
    <row r="1462" spans="12:15">
      <c r="L1462" s="2"/>
      <c r="N1462" s="2"/>
      <c r="O1462" s="2"/>
    </row>
    <row r="1463" spans="12:15">
      <c r="L1463" s="2"/>
      <c r="N1463" s="2"/>
      <c r="O1463" s="2"/>
    </row>
    <row r="1464" spans="12:15">
      <c r="L1464" s="2"/>
      <c r="N1464" s="2"/>
      <c r="O1464" s="2"/>
    </row>
    <row r="1465" spans="12:15">
      <c r="L1465" s="2"/>
      <c r="N1465" s="2"/>
      <c r="O1465" s="2"/>
    </row>
    <row r="1466" spans="12:15">
      <c r="L1466" s="2"/>
      <c r="N1466" s="2"/>
      <c r="O1466" s="2"/>
    </row>
    <row r="1467" spans="12:15">
      <c r="L1467" s="2"/>
      <c r="N1467" s="2"/>
      <c r="O1467" s="2"/>
    </row>
    <row r="1468" spans="12:15">
      <c r="L1468" s="2"/>
      <c r="N1468" s="2"/>
      <c r="O1468" s="2"/>
    </row>
    <row r="1469" spans="12:15">
      <c r="L1469" s="2"/>
      <c r="N1469" s="2"/>
      <c r="O1469" s="2"/>
    </row>
    <row r="1470" spans="12:15">
      <c r="L1470" s="2"/>
      <c r="N1470" s="2"/>
      <c r="O1470" s="2"/>
    </row>
    <row r="1471" spans="12:15">
      <c r="L1471" s="2"/>
      <c r="N1471" s="2"/>
      <c r="O1471" s="2"/>
    </row>
    <row r="1472" spans="12:15">
      <c r="L1472" s="2"/>
      <c r="N1472" s="2"/>
      <c r="O1472" s="2"/>
    </row>
    <row r="1473" spans="12:15">
      <c r="L1473" s="2"/>
      <c r="N1473" s="2"/>
      <c r="O1473" s="2"/>
    </row>
    <row r="1474" spans="12:15">
      <c r="L1474" s="2"/>
      <c r="N1474" s="2"/>
      <c r="O1474" s="2"/>
    </row>
    <row r="1475" spans="12:15">
      <c r="L1475" s="2"/>
      <c r="N1475" s="2"/>
      <c r="O1475" s="2"/>
    </row>
    <row r="1476" spans="12:15">
      <c r="L1476" s="2"/>
      <c r="N1476" s="2"/>
      <c r="O1476" s="2"/>
    </row>
    <row r="1477" spans="12:15">
      <c r="L1477" s="2"/>
      <c r="N1477" s="2"/>
      <c r="O1477" s="2"/>
    </row>
    <row r="1478" spans="12:15">
      <c r="L1478" s="2"/>
      <c r="N1478" s="2"/>
      <c r="O1478" s="2"/>
    </row>
    <row r="1479" spans="12:15">
      <c r="L1479" s="2"/>
      <c r="N1479" s="2"/>
      <c r="O1479" s="2"/>
    </row>
    <row r="1480" spans="12:15">
      <c r="L1480" s="2"/>
      <c r="N1480" s="2"/>
      <c r="O1480" s="2"/>
    </row>
    <row r="1481" spans="12:15">
      <c r="L1481" s="2"/>
      <c r="N1481" s="2"/>
      <c r="O1481" s="2"/>
    </row>
    <row r="1482" spans="12:15">
      <c r="L1482" s="2"/>
      <c r="N1482" s="2"/>
      <c r="O1482" s="2"/>
    </row>
    <row r="1483" spans="12:15">
      <c r="L1483" s="2"/>
      <c r="N1483" s="2"/>
      <c r="O1483" s="2"/>
    </row>
    <row r="1484" spans="12:15">
      <c r="L1484" s="2"/>
      <c r="N1484" s="2"/>
      <c r="O1484" s="2"/>
    </row>
    <row r="1485" spans="12:15">
      <c r="L1485" s="2"/>
      <c r="N1485" s="2"/>
      <c r="O1485" s="2"/>
    </row>
    <row r="1486" spans="12:15">
      <c r="L1486" s="2"/>
      <c r="N1486" s="2"/>
      <c r="O1486" s="2"/>
    </row>
    <row r="1487" spans="12:15">
      <c r="L1487" s="2"/>
      <c r="N1487" s="2"/>
      <c r="O1487" s="2"/>
    </row>
    <row r="1488" spans="12:15">
      <c r="L1488" s="2"/>
      <c r="N1488" s="2"/>
      <c r="O1488" s="2"/>
    </row>
    <row r="1489" spans="12:15">
      <c r="L1489" s="2"/>
      <c r="N1489" s="2"/>
      <c r="O1489" s="2"/>
    </row>
    <row r="1490" spans="12:15">
      <c r="L1490" s="2"/>
      <c r="N1490" s="2"/>
      <c r="O1490" s="2"/>
    </row>
    <row r="1491" spans="12:15">
      <c r="L1491" s="2"/>
      <c r="N1491" s="2"/>
      <c r="O1491" s="2"/>
    </row>
    <row r="1492" spans="12:15">
      <c r="L1492" s="2"/>
      <c r="N1492" s="2"/>
      <c r="O1492" s="2"/>
    </row>
    <row r="1493" spans="12:15">
      <c r="L1493" s="2"/>
      <c r="N1493" s="2"/>
      <c r="O1493" s="2"/>
    </row>
    <row r="1494" spans="12:15">
      <c r="L1494" s="2"/>
      <c r="N1494" s="2"/>
      <c r="O1494" s="2"/>
    </row>
    <row r="1495" spans="12:15">
      <c r="L1495" s="2"/>
      <c r="N1495" s="2"/>
      <c r="O1495" s="2"/>
    </row>
    <row r="1496" spans="12:15">
      <c r="L1496" s="2"/>
      <c r="N1496" s="2"/>
      <c r="O1496" s="2"/>
    </row>
    <row r="1497" spans="12:15">
      <c r="L1497" s="2"/>
      <c r="N1497" s="2"/>
      <c r="O1497" s="2"/>
    </row>
    <row r="1498" spans="12:15">
      <c r="L1498" s="2"/>
      <c r="N1498" s="2"/>
      <c r="O1498" s="2"/>
    </row>
    <row r="1499" spans="12:15">
      <c r="L1499" s="2"/>
      <c r="N1499" s="2"/>
      <c r="O1499" s="2"/>
    </row>
    <row r="1500" spans="12:15">
      <c r="L1500" s="2"/>
      <c r="N1500" s="2"/>
      <c r="O1500" s="2"/>
    </row>
    <row r="1501" spans="12:15">
      <c r="L1501" s="2"/>
      <c r="N1501" s="2"/>
      <c r="O1501" s="2"/>
    </row>
    <row r="1502" spans="12:15">
      <c r="L1502" s="2"/>
      <c r="N1502" s="2"/>
      <c r="O1502" s="2"/>
    </row>
    <row r="1503" spans="12:15">
      <c r="L1503" s="2"/>
      <c r="N1503" s="2"/>
      <c r="O1503" s="2"/>
    </row>
    <row r="1504" spans="12:15">
      <c r="L1504" s="2"/>
      <c r="N1504" s="2"/>
      <c r="O1504" s="2"/>
    </row>
    <row r="1505" spans="12:15">
      <c r="L1505" s="2"/>
      <c r="N1505" s="2"/>
      <c r="O1505" s="2"/>
    </row>
    <row r="1506" spans="12:15">
      <c r="L1506" s="2"/>
      <c r="N1506" s="2"/>
      <c r="O1506" s="2"/>
    </row>
    <row r="1507" spans="12:15">
      <c r="L1507" s="2"/>
      <c r="N1507" s="2"/>
      <c r="O1507" s="2"/>
    </row>
    <row r="1508" spans="12:15">
      <c r="L1508" s="2"/>
      <c r="N1508" s="2"/>
      <c r="O1508" s="2"/>
    </row>
    <row r="1509" spans="12:15">
      <c r="L1509" s="2"/>
      <c r="N1509" s="2"/>
      <c r="O1509" s="2"/>
    </row>
    <row r="1510" spans="12:15">
      <c r="L1510" s="2"/>
      <c r="N1510" s="2"/>
      <c r="O1510" s="2"/>
    </row>
    <row r="1511" spans="12:15">
      <c r="L1511" s="2"/>
      <c r="N1511" s="2"/>
      <c r="O1511" s="2"/>
    </row>
    <row r="1512" spans="12:15">
      <c r="L1512" s="2"/>
      <c r="N1512" s="2"/>
      <c r="O1512" s="2"/>
    </row>
    <row r="1513" spans="12:15">
      <c r="L1513" s="2"/>
      <c r="N1513" s="2"/>
      <c r="O1513" s="2"/>
    </row>
    <row r="1514" spans="12:15">
      <c r="L1514" s="2"/>
      <c r="N1514" s="2"/>
      <c r="O1514" s="2"/>
    </row>
    <row r="1515" spans="12:15">
      <c r="L1515" s="2"/>
      <c r="N1515" s="2"/>
      <c r="O1515" s="2"/>
    </row>
    <row r="1516" spans="12:15">
      <c r="L1516" s="2"/>
      <c r="N1516" s="2"/>
      <c r="O1516" s="2"/>
    </row>
    <row r="1517" spans="12:15">
      <c r="L1517" s="2"/>
      <c r="N1517" s="2"/>
      <c r="O1517" s="2"/>
    </row>
    <row r="1518" spans="12:15">
      <c r="L1518" s="2"/>
      <c r="N1518" s="2"/>
      <c r="O1518" s="2"/>
    </row>
    <row r="1519" spans="12:15">
      <c r="L1519" s="2"/>
      <c r="N1519" s="2"/>
      <c r="O1519" s="2"/>
    </row>
    <row r="1520" spans="12:15">
      <c r="L1520" s="2"/>
      <c r="N1520" s="2"/>
      <c r="O1520" s="2"/>
    </row>
    <row r="1521" spans="12:15">
      <c r="L1521" s="2"/>
      <c r="N1521" s="2"/>
      <c r="O1521" s="2"/>
    </row>
    <row r="1522" spans="12:15">
      <c r="L1522" s="2"/>
      <c r="N1522" s="2"/>
      <c r="O1522" s="2"/>
    </row>
    <row r="1523" spans="12:15">
      <c r="L1523" s="2"/>
      <c r="N1523" s="2"/>
      <c r="O1523" s="2"/>
    </row>
    <row r="1524" spans="12:15">
      <c r="L1524" s="2"/>
      <c r="N1524" s="2"/>
      <c r="O1524" s="2"/>
    </row>
    <row r="1525" spans="12:15">
      <c r="L1525" s="2"/>
      <c r="N1525" s="2"/>
      <c r="O1525" s="2"/>
    </row>
    <row r="1526" spans="12:15">
      <c r="L1526" s="2"/>
      <c r="N1526" s="2"/>
      <c r="O1526" s="2"/>
    </row>
    <row r="1527" spans="12:15">
      <c r="L1527" s="2"/>
      <c r="N1527" s="2"/>
      <c r="O1527" s="2"/>
    </row>
    <row r="1528" spans="12:15">
      <c r="L1528" s="2"/>
      <c r="N1528" s="2"/>
      <c r="O1528" s="2"/>
    </row>
    <row r="1529" spans="12:15">
      <c r="L1529" s="2"/>
      <c r="N1529" s="2"/>
      <c r="O1529" s="2"/>
    </row>
    <row r="1530" spans="12:15">
      <c r="L1530" s="2"/>
      <c r="N1530" s="2"/>
      <c r="O1530" s="2"/>
    </row>
    <row r="1531" spans="12:15">
      <c r="L1531" s="2"/>
      <c r="N1531" s="2"/>
      <c r="O1531" s="2"/>
    </row>
    <row r="1532" spans="12:15">
      <c r="L1532" s="2"/>
      <c r="N1532" s="2"/>
      <c r="O1532" s="2"/>
    </row>
    <row r="1533" spans="12:15">
      <c r="L1533" s="2"/>
      <c r="N1533" s="2"/>
      <c r="O1533" s="2"/>
    </row>
    <row r="1534" spans="12:15">
      <c r="L1534" s="2"/>
      <c r="N1534" s="2"/>
      <c r="O1534" s="2"/>
    </row>
    <row r="1535" spans="12:15">
      <c r="L1535" s="2"/>
      <c r="N1535" s="2"/>
      <c r="O1535" s="2"/>
    </row>
    <row r="1536" spans="12:15">
      <c r="L1536" s="2"/>
      <c r="N1536" s="2"/>
      <c r="O1536" s="2"/>
    </row>
    <row r="1537" spans="12:15">
      <c r="L1537" s="2"/>
      <c r="N1537" s="2"/>
      <c r="O1537" s="2"/>
    </row>
    <row r="1538" spans="12:15">
      <c r="L1538" s="2"/>
      <c r="N1538" s="2"/>
      <c r="O1538" s="2"/>
    </row>
    <row r="1539" spans="12:15">
      <c r="L1539" s="2"/>
      <c r="N1539" s="2"/>
      <c r="O1539" s="2"/>
    </row>
    <row r="1540" spans="12:15">
      <c r="L1540" s="2"/>
      <c r="N1540" s="2"/>
      <c r="O1540" s="2"/>
    </row>
    <row r="1541" spans="12:15">
      <c r="L1541" s="2"/>
      <c r="N1541" s="2"/>
      <c r="O1541" s="2"/>
    </row>
    <row r="1542" spans="12:15">
      <c r="L1542" s="2"/>
      <c r="N1542" s="2"/>
      <c r="O1542" s="2"/>
    </row>
    <row r="1543" spans="12:15">
      <c r="L1543" s="2"/>
      <c r="N1543" s="2"/>
      <c r="O1543" s="2"/>
    </row>
    <row r="1544" spans="12:15">
      <c r="L1544" s="2"/>
      <c r="N1544" s="2"/>
      <c r="O1544" s="2"/>
    </row>
    <row r="1545" spans="12:15">
      <c r="L1545" s="2"/>
      <c r="N1545" s="2"/>
      <c r="O1545" s="2"/>
    </row>
    <row r="1546" spans="12:15">
      <c r="L1546" s="2"/>
      <c r="N1546" s="2"/>
      <c r="O1546" s="2"/>
    </row>
    <row r="1547" spans="12:15">
      <c r="L1547" s="2"/>
      <c r="N1547" s="2"/>
      <c r="O1547" s="2"/>
    </row>
    <row r="1548" spans="12:15">
      <c r="L1548" s="2"/>
      <c r="N1548" s="2"/>
      <c r="O1548" s="2"/>
    </row>
    <row r="1549" spans="12:15">
      <c r="L1549" s="2"/>
      <c r="N1549" s="2"/>
      <c r="O1549" s="2"/>
    </row>
    <row r="1550" spans="12:15">
      <c r="L1550" s="2"/>
      <c r="N1550" s="2"/>
      <c r="O1550" s="2"/>
    </row>
    <row r="1551" spans="12:15">
      <c r="L1551" s="2"/>
      <c r="N1551" s="2"/>
      <c r="O1551" s="2"/>
    </row>
    <row r="1552" spans="12:15">
      <c r="L1552" s="2"/>
      <c r="N1552" s="2"/>
      <c r="O1552" s="2"/>
    </row>
    <row r="1553" spans="12:15">
      <c r="L1553" s="2"/>
      <c r="N1553" s="2"/>
      <c r="O1553" s="2"/>
    </row>
    <row r="1554" spans="12:15">
      <c r="L1554" s="2"/>
      <c r="N1554" s="2"/>
      <c r="O1554" s="2"/>
    </row>
    <row r="1555" spans="12:15">
      <c r="L1555" s="2"/>
      <c r="N1555" s="2"/>
      <c r="O1555" s="2"/>
    </row>
    <row r="1556" spans="12:15">
      <c r="L1556" s="2"/>
      <c r="N1556" s="2"/>
      <c r="O1556" s="2"/>
    </row>
    <row r="1557" spans="12:15">
      <c r="L1557" s="2"/>
      <c r="N1557" s="2"/>
      <c r="O1557" s="2"/>
    </row>
    <row r="1558" spans="12:15">
      <c r="L1558" s="2"/>
      <c r="N1558" s="2"/>
      <c r="O1558" s="2"/>
    </row>
    <row r="1559" spans="12:15">
      <c r="L1559" s="2"/>
      <c r="N1559" s="2"/>
      <c r="O1559" s="2"/>
    </row>
    <row r="1560" spans="12:15">
      <c r="L1560" s="2"/>
      <c r="N1560" s="2"/>
      <c r="O1560" s="2"/>
    </row>
    <row r="1561" spans="12:15">
      <c r="L1561" s="2"/>
      <c r="N1561" s="2"/>
      <c r="O1561" s="2"/>
    </row>
    <row r="1562" spans="12:15">
      <c r="L1562" s="2"/>
      <c r="N1562" s="2"/>
      <c r="O1562" s="2"/>
    </row>
    <row r="1563" spans="12:15">
      <c r="L1563" s="2"/>
      <c r="N1563" s="2"/>
      <c r="O1563" s="2"/>
    </row>
    <row r="1564" spans="12:15">
      <c r="L1564" s="2"/>
      <c r="N1564" s="2"/>
      <c r="O1564" s="2"/>
    </row>
    <row r="1565" spans="12:15">
      <c r="L1565" s="2"/>
      <c r="N1565" s="2"/>
      <c r="O1565" s="2"/>
    </row>
    <row r="1566" spans="12:15">
      <c r="L1566" s="2"/>
      <c r="N1566" s="2"/>
      <c r="O1566" s="2"/>
    </row>
    <row r="1567" spans="12:15">
      <c r="L1567" s="2"/>
      <c r="N1567" s="2"/>
      <c r="O1567" s="2"/>
    </row>
    <row r="1568" spans="12:15">
      <c r="L1568" s="2"/>
      <c r="N1568" s="2"/>
      <c r="O1568" s="2"/>
    </row>
    <row r="1569" spans="12:15">
      <c r="L1569" s="2"/>
      <c r="N1569" s="2"/>
      <c r="O1569" s="2"/>
    </row>
    <row r="1570" spans="12:15">
      <c r="L1570" s="2"/>
      <c r="N1570" s="2"/>
      <c r="O1570" s="2"/>
    </row>
    <row r="1571" spans="12:15">
      <c r="L1571" s="2"/>
      <c r="N1571" s="2"/>
      <c r="O1571" s="2"/>
    </row>
    <row r="1572" spans="12:15">
      <c r="L1572" s="2"/>
      <c r="N1572" s="2"/>
      <c r="O1572" s="2"/>
    </row>
    <row r="1573" spans="12:15">
      <c r="L1573" s="2"/>
      <c r="N1573" s="2"/>
      <c r="O1573" s="2"/>
    </row>
    <row r="1574" spans="12:15">
      <c r="L1574" s="2"/>
      <c r="N1574" s="2"/>
      <c r="O1574" s="2"/>
    </row>
    <row r="1575" spans="12:15">
      <c r="L1575" s="2"/>
      <c r="N1575" s="2"/>
      <c r="O1575" s="2"/>
    </row>
    <row r="1576" spans="12:15">
      <c r="L1576" s="2"/>
      <c r="N1576" s="2"/>
      <c r="O1576" s="2"/>
    </row>
    <row r="1577" spans="12:15">
      <c r="L1577" s="2"/>
      <c r="N1577" s="2"/>
      <c r="O1577" s="2"/>
    </row>
    <row r="1578" spans="12:15">
      <c r="L1578" s="2"/>
      <c r="N1578" s="2"/>
      <c r="O1578" s="2"/>
    </row>
    <row r="1579" spans="12:15">
      <c r="L1579" s="2"/>
      <c r="N1579" s="2"/>
      <c r="O1579" s="2"/>
    </row>
    <row r="1580" spans="12:15">
      <c r="L1580" s="2"/>
      <c r="N1580" s="2"/>
      <c r="O1580" s="2"/>
    </row>
    <row r="1581" spans="12:15">
      <c r="L1581" s="2"/>
      <c r="N1581" s="2"/>
      <c r="O1581" s="2"/>
    </row>
    <row r="1582" spans="12:15">
      <c r="L1582" s="2"/>
      <c r="N1582" s="2"/>
      <c r="O1582" s="2"/>
    </row>
    <row r="1583" spans="12:15">
      <c r="L1583" s="2"/>
      <c r="N1583" s="2"/>
      <c r="O1583" s="2"/>
    </row>
    <row r="1584" spans="12:15">
      <c r="L1584" s="2"/>
      <c r="N1584" s="2"/>
      <c r="O1584" s="2"/>
    </row>
    <row r="1585" spans="12:15">
      <c r="L1585" s="2"/>
      <c r="N1585" s="2"/>
      <c r="O1585" s="2"/>
    </row>
    <row r="1586" spans="12:15">
      <c r="L1586" s="2"/>
      <c r="N1586" s="2"/>
      <c r="O1586" s="2"/>
    </row>
    <row r="1587" spans="12:15">
      <c r="L1587" s="2"/>
      <c r="N1587" s="2"/>
      <c r="O1587" s="2"/>
    </row>
    <row r="1588" spans="12:15">
      <c r="L1588" s="2"/>
      <c r="N1588" s="2"/>
      <c r="O1588" s="2"/>
    </row>
    <row r="1589" spans="12:15">
      <c r="L1589" s="2"/>
      <c r="N1589" s="2"/>
      <c r="O1589" s="2"/>
    </row>
    <row r="1590" spans="12:15">
      <c r="L1590" s="2"/>
      <c r="N1590" s="2"/>
      <c r="O1590" s="2"/>
    </row>
    <row r="1591" spans="12:15">
      <c r="L1591" s="2"/>
      <c r="N1591" s="2"/>
      <c r="O1591" s="2"/>
    </row>
    <row r="1592" spans="12:15">
      <c r="L1592" s="2"/>
      <c r="N1592" s="2"/>
      <c r="O1592" s="2"/>
    </row>
    <row r="1593" spans="12:15">
      <c r="L1593" s="2"/>
      <c r="N1593" s="2"/>
      <c r="O1593" s="2"/>
    </row>
    <row r="1594" spans="12:15">
      <c r="L1594" s="2"/>
      <c r="N1594" s="2"/>
      <c r="O1594" s="2"/>
    </row>
    <row r="1595" spans="12:15">
      <c r="L1595" s="2"/>
      <c r="N1595" s="2"/>
      <c r="O1595" s="2"/>
    </row>
    <row r="1596" spans="12:15">
      <c r="L1596" s="2"/>
      <c r="N1596" s="2"/>
      <c r="O1596" s="2"/>
    </row>
    <row r="1597" spans="12:15">
      <c r="L1597" s="2"/>
      <c r="N1597" s="2"/>
      <c r="O1597" s="2"/>
    </row>
    <row r="1598" spans="12:15">
      <c r="L1598" s="2"/>
      <c r="N1598" s="2"/>
      <c r="O1598" s="2"/>
    </row>
    <row r="1599" spans="12:15">
      <c r="L1599" s="2"/>
      <c r="N1599" s="2"/>
      <c r="O1599" s="2"/>
    </row>
    <row r="1600" spans="12:15">
      <c r="L1600" s="2"/>
      <c r="N1600" s="2"/>
      <c r="O1600" s="2"/>
    </row>
    <row r="1601" spans="12:15">
      <c r="L1601" s="2"/>
      <c r="N1601" s="2"/>
      <c r="O1601" s="2"/>
    </row>
    <row r="1602" spans="12:15">
      <c r="L1602" s="2"/>
      <c r="N1602" s="2"/>
      <c r="O1602" s="2"/>
    </row>
    <row r="1603" spans="12:15">
      <c r="L1603" s="2"/>
      <c r="N1603" s="2"/>
      <c r="O1603" s="2"/>
    </row>
    <row r="1604" spans="12:15">
      <c r="L1604" s="2"/>
      <c r="N1604" s="2"/>
      <c r="O1604" s="2"/>
    </row>
    <row r="1605" spans="12:15">
      <c r="L1605" s="2"/>
      <c r="N1605" s="2"/>
      <c r="O1605" s="2"/>
    </row>
    <row r="1606" spans="12:15">
      <c r="L1606" s="2"/>
      <c r="N1606" s="2"/>
      <c r="O1606" s="2"/>
    </row>
    <row r="1607" spans="12:15">
      <c r="L1607" s="2"/>
      <c r="N1607" s="2"/>
      <c r="O1607" s="2"/>
    </row>
    <row r="1608" spans="12:15">
      <c r="L1608" s="2"/>
      <c r="N1608" s="2"/>
      <c r="O1608" s="2"/>
    </row>
    <row r="1609" spans="12:15">
      <c r="L1609" s="2"/>
      <c r="N1609" s="2"/>
      <c r="O1609" s="2"/>
    </row>
    <row r="1610" spans="12:15">
      <c r="L1610" s="2"/>
      <c r="N1610" s="2"/>
      <c r="O1610" s="2"/>
    </row>
    <row r="1611" spans="12:15">
      <c r="L1611" s="2"/>
      <c r="N1611" s="2"/>
      <c r="O1611" s="2"/>
    </row>
    <row r="1612" spans="12:15">
      <c r="L1612" s="2"/>
      <c r="N1612" s="2"/>
      <c r="O1612" s="2"/>
    </row>
    <row r="1613" spans="12:15">
      <c r="L1613" s="2"/>
      <c r="N1613" s="2"/>
      <c r="O1613" s="2"/>
    </row>
    <row r="1614" spans="12:15">
      <c r="L1614" s="2"/>
      <c r="N1614" s="2"/>
      <c r="O1614" s="2"/>
    </row>
    <row r="1615" spans="12:15">
      <c r="L1615" s="2"/>
      <c r="N1615" s="2"/>
      <c r="O1615" s="2"/>
    </row>
    <row r="1616" spans="12:15">
      <c r="L1616" s="2"/>
      <c r="N1616" s="2"/>
      <c r="O1616" s="2"/>
    </row>
    <row r="1617" spans="12:15">
      <c r="L1617" s="2"/>
      <c r="N1617" s="2"/>
      <c r="O1617" s="2"/>
    </row>
    <row r="1618" spans="12:15">
      <c r="L1618" s="2"/>
      <c r="N1618" s="2"/>
      <c r="O1618" s="2"/>
    </row>
    <row r="1619" spans="12:15">
      <c r="L1619" s="2"/>
      <c r="N1619" s="2"/>
      <c r="O1619" s="2"/>
    </row>
    <row r="1620" spans="12:15">
      <c r="L1620" s="2"/>
      <c r="N1620" s="2"/>
      <c r="O1620" s="2"/>
    </row>
    <row r="1621" spans="12:15">
      <c r="L1621" s="2"/>
      <c r="N1621" s="2"/>
      <c r="O1621" s="2"/>
    </row>
    <row r="1622" spans="12:15">
      <c r="L1622" s="2"/>
      <c r="N1622" s="2"/>
      <c r="O1622" s="2"/>
    </row>
    <row r="1623" spans="12:15">
      <c r="L1623" s="2"/>
      <c r="N1623" s="2"/>
      <c r="O1623" s="2"/>
    </row>
    <row r="1624" spans="12:15">
      <c r="L1624" s="2"/>
      <c r="N1624" s="2"/>
      <c r="O1624" s="2"/>
    </row>
    <row r="1625" spans="12:15">
      <c r="L1625" s="2"/>
      <c r="N1625" s="2"/>
      <c r="O1625" s="2"/>
    </row>
    <row r="1626" spans="12:15">
      <c r="L1626" s="2"/>
      <c r="N1626" s="2"/>
      <c r="O1626" s="2"/>
    </row>
    <row r="1627" spans="12:15">
      <c r="L1627" s="2"/>
      <c r="N1627" s="2"/>
      <c r="O1627" s="2"/>
    </row>
    <row r="1628" spans="12:15">
      <c r="L1628" s="2"/>
      <c r="N1628" s="2"/>
      <c r="O1628" s="2"/>
    </row>
    <row r="1629" spans="12:15">
      <c r="L1629" s="2"/>
      <c r="N1629" s="2"/>
      <c r="O1629" s="2"/>
    </row>
    <row r="1630" spans="12:15">
      <c r="L1630" s="2"/>
      <c r="N1630" s="2"/>
      <c r="O1630" s="2"/>
    </row>
    <row r="1631" spans="12:15">
      <c r="L1631" s="2"/>
      <c r="N1631" s="2"/>
      <c r="O1631" s="2"/>
    </row>
    <row r="1632" spans="12:15">
      <c r="L1632" s="2"/>
      <c r="N1632" s="2"/>
      <c r="O1632" s="2"/>
    </row>
    <row r="1633" spans="12:15">
      <c r="L1633" s="2"/>
      <c r="N1633" s="2"/>
      <c r="O1633" s="2"/>
    </row>
    <row r="1634" spans="12:15">
      <c r="L1634" s="2"/>
      <c r="N1634" s="2"/>
      <c r="O1634" s="2"/>
    </row>
    <row r="1635" spans="12:15">
      <c r="L1635" s="2"/>
      <c r="N1635" s="2"/>
      <c r="O1635" s="2"/>
    </row>
    <row r="1636" spans="12:15">
      <c r="L1636" s="2"/>
      <c r="N1636" s="2"/>
      <c r="O1636" s="2"/>
    </row>
    <row r="1637" spans="12:15">
      <c r="L1637" s="2"/>
      <c r="N1637" s="2"/>
      <c r="O1637" s="2"/>
    </row>
    <row r="1638" spans="12:15">
      <c r="L1638" s="2"/>
      <c r="N1638" s="2"/>
      <c r="O1638" s="2"/>
    </row>
    <row r="1639" spans="12:15">
      <c r="L1639" s="2"/>
      <c r="N1639" s="2"/>
      <c r="O1639" s="2"/>
    </row>
    <row r="1640" spans="12:15">
      <c r="L1640" s="2"/>
      <c r="N1640" s="2"/>
      <c r="O1640" s="2"/>
    </row>
    <row r="1641" spans="12:15">
      <c r="L1641" s="2"/>
      <c r="N1641" s="2"/>
      <c r="O1641" s="2"/>
    </row>
    <row r="1642" spans="12:15">
      <c r="L1642" s="2"/>
      <c r="N1642" s="2"/>
      <c r="O1642" s="2"/>
    </row>
    <row r="1643" spans="12:15">
      <c r="L1643" s="2"/>
      <c r="N1643" s="2"/>
      <c r="O1643" s="2"/>
    </row>
    <row r="1644" spans="12:15">
      <c r="L1644" s="2"/>
      <c r="N1644" s="2"/>
      <c r="O1644" s="2"/>
    </row>
    <row r="1645" spans="12:15">
      <c r="L1645" s="2"/>
      <c r="N1645" s="2"/>
      <c r="O1645" s="2"/>
    </row>
    <row r="1646" spans="12:15">
      <c r="L1646" s="2"/>
      <c r="N1646" s="2"/>
      <c r="O1646" s="2"/>
    </row>
    <row r="1647" spans="12:15">
      <c r="L1647" s="2"/>
      <c r="N1647" s="2"/>
      <c r="O1647" s="2"/>
    </row>
    <row r="1648" spans="12:15">
      <c r="L1648" s="2"/>
      <c r="N1648" s="2"/>
      <c r="O1648" s="2"/>
    </row>
    <row r="1649" spans="12:15">
      <c r="L1649" s="2"/>
      <c r="N1649" s="2"/>
      <c r="O1649" s="2"/>
    </row>
    <row r="1650" spans="12:15">
      <c r="L1650" s="2"/>
      <c r="N1650" s="2"/>
      <c r="O1650" s="2"/>
    </row>
    <row r="1651" spans="12:15">
      <c r="L1651" s="2"/>
      <c r="N1651" s="2"/>
      <c r="O1651" s="2"/>
    </row>
    <row r="1652" spans="12:15">
      <c r="L1652" s="2"/>
      <c r="N1652" s="2"/>
      <c r="O1652" s="2"/>
    </row>
    <row r="1653" spans="12:15">
      <c r="L1653" s="2"/>
      <c r="N1653" s="2"/>
      <c r="O1653" s="2"/>
    </row>
    <row r="1654" spans="12:15">
      <c r="L1654" s="2"/>
      <c r="N1654" s="2"/>
      <c r="O1654" s="2"/>
    </row>
    <row r="1655" spans="12:15">
      <c r="L1655" s="2"/>
      <c r="N1655" s="2"/>
      <c r="O1655" s="2"/>
    </row>
    <row r="1656" spans="12:15">
      <c r="L1656" s="2"/>
      <c r="N1656" s="2"/>
      <c r="O1656" s="2"/>
    </row>
    <row r="1657" spans="12:15">
      <c r="L1657" s="2"/>
      <c r="N1657" s="2"/>
      <c r="O1657" s="2"/>
    </row>
    <row r="1658" spans="12:15">
      <c r="L1658" s="2"/>
      <c r="N1658" s="2"/>
      <c r="O1658" s="2"/>
    </row>
    <row r="1659" spans="12:15">
      <c r="L1659" s="2"/>
      <c r="N1659" s="2"/>
      <c r="O1659" s="2"/>
    </row>
    <row r="1660" spans="12:15">
      <c r="L1660" s="2"/>
      <c r="N1660" s="2"/>
      <c r="O1660" s="2"/>
    </row>
    <row r="1661" spans="12:15">
      <c r="L1661" s="2"/>
      <c r="N1661" s="2"/>
      <c r="O1661" s="2"/>
    </row>
    <row r="1662" spans="12:15">
      <c r="L1662" s="2"/>
      <c r="N1662" s="2"/>
      <c r="O1662" s="2"/>
    </row>
    <row r="1663" spans="12:15">
      <c r="L1663" s="2"/>
      <c r="N1663" s="2"/>
      <c r="O1663" s="2"/>
    </row>
    <row r="1664" spans="12:15">
      <c r="L1664" s="2"/>
      <c r="N1664" s="2"/>
      <c r="O1664" s="2"/>
    </row>
    <row r="1665" spans="12:15">
      <c r="L1665" s="2"/>
      <c r="N1665" s="2"/>
      <c r="O1665" s="2"/>
    </row>
    <row r="1666" spans="12:15">
      <c r="L1666" s="2"/>
      <c r="N1666" s="2"/>
      <c r="O1666" s="2"/>
    </row>
    <row r="1667" spans="12:15">
      <c r="L1667" s="2"/>
      <c r="N1667" s="2"/>
      <c r="O1667" s="2"/>
    </row>
    <row r="1668" spans="12:15">
      <c r="L1668" s="2"/>
      <c r="N1668" s="2"/>
      <c r="O1668" s="2"/>
    </row>
    <row r="1669" spans="12:15">
      <c r="L1669" s="2"/>
      <c r="N1669" s="2"/>
      <c r="O1669" s="2"/>
    </row>
    <row r="1670" spans="12:15">
      <c r="L1670" s="2"/>
      <c r="N1670" s="2"/>
      <c r="O1670" s="2"/>
    </row>
    <row r="1671" spans="12:15">
      <c r="L1671" s="2"/>
      <c r="N1671" s="2"/>
      <c r="O1671" s="2"/>
    </row>
    <row r="1672" spans="12:15">
      <c r="L1672" s="2"/>
      <c r="N1672" s="2"/>
      <c r="O1672" s="2"/>
    </row>
    <row r="1673" spans="12:15">
      <c r="L1673" s="2"/>
      <c r="N1673" s="2"/>
      <c r="O1673" s="2"/>
    </row>
    <row r="1674" spans="12:15">
      <c r="L1674" s="2"/>
      <c r="N1674" s="2"/>
      <c r="O1674" s="2"/>
    </row>
    <row r="1675" spans="12:15">
      <c r="L1675" s="2"/>
      <c r="N1675" s="2"/>
      <c r="O1675" s="2"/>
    </row>
    <row r="1676" spans="12:15">
      <c r="L1676" s="2"/>
      <c r="N1676" s="2"/>
      <c r="O1676" s="2"/>
    </row>
    <row r="1677" spans="12:15">
      <c r="L1677" s="2"/>
      <c r="N1677" s="2"/>
      <c r="O1677" s="2"/>
    </row>
    <row r="1678" spans="12:15">
      <c r="L1678" s="2"/>
      <c r="N1678" s="2"/>
      <c r="O1678" s="2"/>
    </row>
    <row r="1679" spans="12:15">
      <c r="L1679" s="2"/>
      <c r="N1679" s="2"/>
      <c r="O1679" s="2"/>
    </row>
    <row r="1680" spans="12:15">
      <c r="L1680" s="2"/>
      <c r="N1680" s="2"/>
      <c r="O1680" s="2"/>
    </row>
    <row r="1681" spans="12:15">
      <c r="L1681" s="2"/>
      <c r="N1681" s="2"/>
      <c r="O1681" s="2"/>
    </row>
    <row r="1682" spans="12:15">
      <c r="L1682" s="2"/>
      <c r="N1682" s="2"/>
      <c r="O1682" s="2"/>
    </row>
    <row r="1683" spans="12:15">
      <c r="L1683" s="2"/>
      <c r="N1683" s="2"/>
      <c r="O1683" s="2"/>
    </row>
    <row r="1684" spans="12:15">
      <c r="L1684" s="2"/>
      <c r="N1684" s="2"/>
      <c r="O1684" s="2"/>
    </row>
    <row r="1685" spans="12:15">
      <c r="L1685" s="2"/>
      <c r="N1685" s="2"/>
      <c r="O1685" s="2"/>
    </row>
    <row r="1686" spans="12:15">
      <c r="L1686" s="2"/>
      <c r="N1686" s="2"/>
      <c r="O1686" s="2"/>
    </row>
    <row r="1687" spans="12:15">
      <c r="L1687" s="2"/>
      <c r="N1687" s="2"/>
      <c r="O1687" s="2"/>
    </row>
    <row r="1688" spans="12:15">
      <c r="L1688" s="2"/>
      <c r="N1688" s="2"/>
      <c r="O1688" s="2"/>
    </row>
    <row r="1689" spans="12:15">
      <c r="L1689" s="2"/>
      <c r="N1689" s="2"/>
      <c r="O1689" s="2"/>
    </row>
    <row r="1690" spans="12:15">
      <c r="L1690" s="2"/>
      <c r="N1690" s="2"/>
      <c r="O1690" s="2"/>
    </row>
    <row r="1691" spans="12:15">
      <c r="L1691" s="2"/>
      <c r="N1691" s="2"/>
      <c r="O1691" s="2"/>
    </row>
    <row r="1692" spans="12:15">
      <c r="L1692" s="2"/>
      <c r="N1692" s="2"/>
      <c r="O1692" s="2"/>
    </row>
    <row r="1693" spans="12:15">
      <c r="L1693" s="2"/>
      <c r="N1693" s="2"/>
      <c r="O1693" s="2"/>
    </row>
    <row r="1694" spans="12:15">
      <c r="L1694" s="2"/>
      <c r="N1694" s="2"/>
      <c r="O1694" s="2"/>
    </row>
    <row r="1695" spans="12:15">
      <c r="L1695" s="2"/>
      <c r="N1695" s="2"/>
      <c r="O1695" s="2"/>
    </row>
    <row r="1696" spans="12:15">
      <c r="L1696" s="2"/>
      <c r="N1696" s="2"/>
      <c r="O1696" s="2"/>
    </row>
    <row r="1697" spans="12:15">
      <c r="L1697" s="2"/>
      <c r="N1697" s="2"/>
      <c r="O1697" s="2"/>
    </row>
    <row r="1698" spans="12:15">
      <c r="L1698" s="2"/>
      <c r="N1698" s="2"/>
      <c r="O1698" s="2"/>
    </row>
    <row r="1699" spans="12:15">
      <c r="L1699" s="2"/>
      <c r="N1699" s="2"/>
      <c r="O1699" s="2"/>
    </row>
    <row r="1700" spans="12:15">
      <c r="L1700" s="2"/>
      <c r="N1700" s="2"/>
      <c r="O1700" s="2"/>
    </row>
    <row r="1701" spans="12:15">
      <c r="L1701" s="2"/>
      <c r="N1701" s="2"/>
      <c r="O1701" s="2"/>
    </row>
    <row r="1702" spans="12:15">
      <c r="L1702" s="2"/>
      <c r="N1702" s="2"/>
      <c r="O1702" s="2"/>
    </row>
    <row r="1703" spans="12:15">
      <c r="L1703" s="2"/>
      <c r="N1703" s="2"/>
      <c r="O1703" s="2"/>
    </row>
    <row r="1704" spans="12:15">
      <c r="L1704" s="2"/>
      <c r="N1704" s="2"/>
      <c r="O1704" s="2"/>
    </row>
    <row r="1705" spans="12:15">
      <c r="L1705" s="2"/>
      <c r="N1705" s="2"/>
      <c r="O1705" s="2"/>
    </row>
    <row r="1706" spans="12:15">
      <c r="L1706" s="2"/>
      <c r="N1706" s="2"/>
      <c r="O1706" s="2"/>
    </row>
    <row r="1707" spans="12:15">
      <c r="L1707" s="2"/>
      <c r="N1707" s="2"/>
      <c r="O1707" s="2"/>
    </row>
    <row r="1708" spans="12:15">
      <c r="L1708" s="2"/>
      <c r="N1708" s="2"/>
      <c r="O1708" s="2"/>
    </row>
    <row r="1709" spans="12:15">
      <c r="L1709" s="2"/>
      <c r="N1709" s="2"/>
      <c r="O1709" s="2"/>
    </row>
    <row r="1710" spans="12:15">
      <c r="L1710" s="2"/>
      <c r="N1710" s="2"/>
      <c r="O1710" s="2"/>
    </row>
    <row r="1711" spans="12:15">
      <c r="L1711" s="2"/>
      <c r="N1711" s="2"/>
      <c r="O1711" s="2"/>
    </row>
    <row r="1712" spans="12:15">
      <c r="L1712" s="2"/>
      <c r="N1712" s="2"/>
      <c r="O1712" s="2"/>
    </row>
    <row r="1713" spans="12:15">
      <c r="L1713" s="2"/>
      <c r="N1713" s="2"/>
      <c r="O1713" s="2"/>
    </row>
    <row r="1714" spans="12:15">
      <c r="L1714" s="2"/>
      <c r="N1714" s="2"/>
      <c r="O1714" s="2"/>
    </row>
    <row r="1715" spans="12:15">
      <c r="L1715" s="2"/>
      <c r="N1715" s="2"/>
      <c r="O1715" s="2"/>
    </row>
    <row r="1716" spans="12:15">
      <c r="L1716" s="2"/>
      <c r="N1716" s="2"/>
      <c r="O1716" s="2"/>
    </row>
    <row r="1717" spans="12:15">
      <c r="L1717" s="2"/>
      <c r="N1717" s="2"/>
      <c r="O1717" s="2"/>
    </row>
    <row r="1718" spans="12:15">
      <c r="L1718" s="2"/>
      <c r="N1718" s="2"/>
      <c r="O1718" s="2"/>
    </row>
    <row r="1719" spans="12:15">
      <c r="L1719" s="2"/>
      <c r="N1719" s="2"/>
      <c r="O1719" s="2"/>
    </row>
    <row r="1720" spans="12:15">
      <c r="L1720" s="2"/>
      <c r="N1720" s="2"/>
      <c r="O1720" s="2"/>
    </row>
    <row r="1721" spans="12:15">
      <c r="L1721" s="2"/>
      <c r="N1721" s="2"/>
      <c r="O1721" s="2"/>
    </row>
    <row r="1722" spans="12:15">
      <c r="L1722" s="2"/>
      <c r="N1722" s="2"/>
      <c r="O1722" s="2"/>
    </row>
    <row r="1723" spans="12:15">
      <c r="L1723" s="2"/>
      <c r="N1723" s="2"/>
      <c r="O1723" s="2"/>
    </row>
    <row r="1724" spans="12:15">
      <c r="L1724" s="2"/>
      <c r="N1724" s="2"/>
      <c r="O1724" s="2"/>
    </row>
    <row r="1725" spans="12:15">
      <c r="L1725" s="2"/>
      <c r="N1725" s="2"/>
      <c r="O1725" s="2"/>
    </row>
    <row r="1726" spans="12:15">
      <c r="L1726" s="2"/>
      <c r="N1726" s="2"/>
      <c r="O1726" s="2"/>
    </row>
    <row r="1727" spans="12:15">
      <c r="L1727" s="2"/>
      <c r="N1727" s="2"/>
      <c r="O1727" s="2"/>
    </row>
    <row r="1728" spans="12:15">
      <c r="L1728" s="2"/>
      <c r="N1728" s="2"/>
      <c r="O1728" s="2"/>
    </row>
    <row r="1729" spans="12:15">
      <c r="L1729" s="2"/>
      <c r="N1729" s="2"/>
      <c r="O1729" s="2"/>
    </row>
    <row r="1730" spans="12:15">
      <c r="L1730" s="2"/>
      <c r="N1730" s="2"/>
      <c r="O1730" s="2"/>
    </row>
    <row r="1731" spans="12:15">
      <c r="L1731" s="2"/>
      <c r="N1731" s="2"/>
      <c r="O1731" s="2"/>
    </row>
    <row r="1732" spans="12:15">
      <c r="L1732" s="2"/>
      <c r="N1732" s="2"/>
      <c r="O1732" s="2"/>
    </row>
    <row r="1733" spans="12:15">
      <c r="L1733" s="2"/>
      <c r="N1733" s="2"/>
      <c r="O1733" s="2"/>
    </row>
    <row r="1734" spans="12:15">
      <c r="L1734" s="2"/>
      <c r="N1734" s="2"/>
      <c r="O1734" s="2"/>
    </row>
    <row r="1735" spans="12:15">
      <c r="L1735" s="2"/>
      <c r="N1735" s="2"/>
      <c r="O1735" s="2"/>
    </row>
    <row r="1736" spans="12:15">
      <c r="L1736" s="2"/>
      <c r="N1736" s="2"/>
      <c r="O1736" s="2"/>
    </row>
    <row r="1737" spans="12:15">
      <c r="L1737" s="2"/>
      <c r="N1737" s="2"/>
      <c r="O1737" s="2"/>
    </row>
    <row r="1738" spans="12:15">
      <c r="L1738" s="2"/>
      <c r="N1738" s="2"/>
      <c r="O1738" s="2"/>
    </row>
    <row r="1739" spans="12:15">
      <c r="L1739" s="2"/>
      <c r="N1739" s="2"/>
      <c r="O1739" s="2"/>
    </row>
    <row r="1740" spans="12:15">
      <c r="L1740" s="2"/>
      <c r="N1740" s="2"/>
      <c r="O1740" s="2"/>
    </row>
    <row r="1741" spans="12:15">
      <c r="L1741" s="2"/>
      <c r="N1741" s="2"/>
      <c r="O1741" s="2"/>
    </row>
    <row r="1742" spans="12:15">
      <c r="L1742" s="2"/>
      <c r="N1742" s="2"/>
      <c r="O1742" s="2"/>
    </row>
    <row r="1743" spans="12:15">
      <c r="L1743" s="2"/>
      <c r="N1743" s="2"/>
      <c r="O1743" s="2"/>
    </row>
    <row r="1744" spans="12:15">
      <c r="L1744" s="2"/>
      <c r="N1744" s="2"/>
      <c r="O1744" s="2"/>
    </row>
    <row r="1745" spans="12:15">
      <c r="L1745" s="2"/>
      <c r="N1745" s="2"/>
      <c r="O1745" s="2"/>
    </row>
    <row r="1746" spans="12:15">
      <c r="L1746" s="2"/>
      <c r="N1746" s="2"/>
      <c r="O1746" s="2"/>
    </row>
    <row r="1747" spans="12:15">
      <c r="L1747" s="2"/>
      <c r="N1747" s="2"/>
      <c r="O1747" s="2"/>
    </row>
    <row r="1748" spans="12:15">
      <c r="L1748" s="2"/>
      <c r="N1748" s="2"/>
      <c r="O1748" s="2"/>
    </row>
    <row r="1749" spans="12:15">
      <c r="L1749" s="2"/>
      <c r="N1749" s="2"/>
      <c r="O1749" s="2"/>
    </row>
    <row r="1750" spans="12:15">
      <c r="L1750" s="2"/>
      <c r="N1750" s="2"/>
      <c r="O1750" s="2"/>
    </row>
    <row r="1751" spans="12:15">
      <c r="L1751" s="2"/>
      <c r="N1751" s="2"/>
      <c r="O1751" s="2"/>
    </row>
    <row r="1752" spans="12:15">
      <c r="L1752" s="2"/>
      <c r="N1752" s="2"/>
      <c r="O1752" s="2"/>
    </row>
    <row r="1753" spans="12:15">
      <c r="L1753" s="2"/>
      <c r="N1753" s="2"/>
      <c r="O1753" s="2"/>
    </row>
    <row r="1754" spans="12:15">
      <c r="L1754" s="2"/>
      <c r="N1754" s="2"/>
      <c r="O1754" s="2"/>
    </row>
    <row r="1755" spans="12:15">
      <c r="L1755" s="2"/>
      <c r="N1755" s="2"/>
      <c r="O1755" s="2"/>
    </row>
    <row r="1756" spans="12:15">
      <c r="L1756" s="2"/>
      <c r="N1756" s="2"/>
      <c r="O1756" s="2"/>
    </row>
    <row r="1757" spans="12:15">
      <c r="L1757" s="2"/>
      <c r="N1757" s="2"/>
      <c r="O1757" s="2"/>
    </row>
    <row r="1758" spans="12:15">
      <c r="L1758" s="2"/>
      <c r="N1758" s="2"/>
      <c r="O1758" s="2"/>
    </row>
    <row r="1759" spans="12:15">
      <c r="L1759" s="2"/>
      <c r="N1759" s="2"/>
      <c r="O1759" s="2"/>
    </row>
    <row r="1760" spans="12:15">
      <c r="L1760" s="2"/>
      <c r="N1760" s="2"/>
      <c r="O1760" s="2"/>
    </row>
    <row r="1761" spans="12:15">
      <c r="L1761" s="2"/>
      <c r="N1761" s="2"/>
      <c r="O1761" s="2"/>
    </row>
    <row r="1762" spans="12:15">
      <c r="L1762" s="2"/>
      <c r="N1762" s="2"/>
      <c r="O1762" s="2"/>
    </row>
    <row r="1763" spans="12:15">
      <c r="L1763" s="2"/>
      <c r="N1763" s="2"/>
      <c r="O1763" s="2"/>
    </row>
    <row r="1764" spans="12:15">
      <c r="L1764" s="2"/>
      <c r="N1764" s="2"/>
      <c r="O1764" s="2"/>
    </row>
    <row r="1765" spans="12:15">
      <c r="L1765" s="2"/>
      <c r="N1765" s="2"/>
      <c r="O1765" s="2"/>
    </row>
    <row r="1766" spans="12:15">
      <c r="L1766" s="2"/>
      <c r="N1766" s="2"/>
      <c r="O1766" s="2"/>
    </row>
    <row r="1767" spans="12:15">
      <c r="L1767" s="2"/>
      <c r="N1767" s="2"/>
      <c r="O1767" s="2"/>
    </row>
    <row r="1768" spans="12:15">
      <c r="L1768" s="2"/>
      <c r="N1768" s="2"/>
      <c r="O1768" s="2"/>
    </row>
    <row r="1769" spans="12:15">
      <c r="L1769" s="2"/>
      <c r="N1769" s="2"/>
      <c r="O1769" s="2"/>
    </row>
    <row r="1770" spans="12:15">
      <c r="L1770" s="2"/>
      <c r="N1770" s="2"/>
      <c r="O1770" s="2"/>
    </row>
    <row r="1771" spans="12:15">
      <c r="L1771" s="2"/>
      <c r="N1771" s="2"/>
      <c r="O1771" s="2"/>
    </row>
    <row r="1772" spans="12:15">
      <c r="L1772" s="2"/>
      <c r="N1772" s="2"/>
      <c r="O1772" s="2"/>
    </row>
    <row r="1773" spans="12:15">
      <c r="L1773" s="2"/>
      <c r="N1773" s="2"/>
      <c r="O1773" s="2"/>
    </row>
    <row r="1774" spans="12:15">
      <c r="L1774" s="2"/>
      <c r="N1774" s="2"/>
      <c r="O1774" s="2"/>
    </row>
    <row r="1775" spans="12:15">
      <c r="L1775" s="2"/>
      <c r="N1775" s="2"/>
      <c r="O1775" s="2"/>
    </row>
    <row r="1776" spans="12:15">
      <c r="L1776" s="2"/>
      <c r="N1776" s="2"/>
      <c r="O1776" s="2"/>
    </row>
    <row r="1777" spans="12:15">
      <c r="L1777" s="2"/>
      <c r="N1777" s="2"/>
      <c r="O1777" s="2"/>
    </row>
    <row r="1778" spans="12:15">
      <c r="L1778" s="2"/>
      <c r="N1778" s="2"/>
      <c r="O1778" s="2"/>
    </row>
    <row r="1779" spans="12:15">
      <c r="L1779" s="2"/>
      <c r="N1779" s="2"/>
      <c r="O1779" s="2"/>
    </row>
    <row r="1780" spans="12:15">
      <c r="L1780" s="2"/>
      <c r="N1780" s="2"/>
      <c r="O1780" s="2"/>
    </row>
    <row r="1781" spans="12:15">
      <c r="L1781" s="2"/>
      <c r="N1781" s="2"/>
      <c r="O1781" s="2"/>
    </row>
    <row r="1782" spans="12:15">
      <c r="L1782" s="2"/>
      <c r="N1782" s="2"/>
      <c r="O1782" s="2"/>
    </row>
    <row r="1783" spans="12:15">
      <c r="L1783" s="2"/>
      <c r="N1783" s="2"/>
      <c r="O1783" s="2"/>
    </row>
    <row r="1784" spans="12:15">
      <c r="L1784" s="2"/>
      <c r="N1784" s="2"/>
      <c r="O1784" s="2"/>
    </row>
    <row r="1785" spans="12:15">
      <c r="L1785" s="2"/>
      <c r="N1785" s="2"/>
      <c r="O1785" s="2"/>
    </row>
    <row r="1786" spans="12:15">
      <c r="L1786" s="2"/>
      <c r="N1786" s="2"/>
      <c r="O1786" s="2"/>
    </row>
    <row r="1787" spans="12:15">
      <c r="L1787" s="2"/>
      <c r="N1787" s="2"/>
      <c r="O1787" s="2"/>
    </row>
    <row r="1788" spans="12:15">
      <c r="L1788" s="2"/>
      <c r="N1788" s="2"/>
      <c r="O1788" s="2"/>
    </row>
    <row r="1789" spans="12:15">
      <c r="L1789" s="2"/>
      <c r="N1789" s="2"/>
      <c r="O1789" s="2"/>
    </row>
    <row r="1790" spans="12:15">
      <c r="L1790" s="2"/>
      <c r="N1790" s="2"/>
      <c r="O1790" s="2"/>
    </row>
    <row r="1791" spans="12:15">
      <c r="L1791" s="2"/>
      <c r="N1791" s="2"/>
      <c r="O1791" s="2"/>
    </row>
    <row r="1792" spans="12:15">
      <c r="L1792" s="2"/>
      <c r="N1792" s="2"/>
      <c r="O1792" s="2"/>
    </row>
    <row r="1793" spans="12:15">
      <c r="L1793" s="2"/>
      <c r="N1793" s="2"/>
      <c r="O1793" s="2"/>
    </row>
    <row r="1794" spans="12:15">
      <c r="L1794" s="2"/>
      <c r="N1794" s="2"/>
      <c r="O1794" s="2"/>
    </row>
    <row r="1795" spans="12:15">
      <c r="L1795" s="2"/>
      <c r="N1795" s="2"/>
      <c r="O1795" s="2"/>
    </row>
    <row r="1796" spans="12:15">
      <c r="L1796" s="2"/>
      <c r="N1796" s="2"/>
      <c r="O1796" s="2"/>
    </row>
    <row r="1797" spans="12:15">
      <c r="L1797" s="2"/>
      <c r="N1797" s="2"/>
      <c r="O1797" s="2"/>
    </row>
    <row r="1798" spans="12:15">
      <c r="L1798" s="2"/>
      <c r="N1798" s="2"/>
      <c r="O1798" s="2"/>
    </row>
    <row r="1799" spans="12:15">
      <c r="L1799" s="2"/>
      <c r="N1799" s="2"/>
      <c r="O1799" s="2"/>
    </row>
    <row r="1800" spans="12:15">
      <c r="L1800" s="2"/>
      <c r="N1800" s="2"/>
      <c r="O1800" s="2"/>
    </row>
    <row r="1801" spans="12:15">
      <c r="L1801" s="2"/>
      <c r="N1801" s="2"/>
      <c r="O1801" s="2"/>
    </row>
    <row r="1802" spans="12:15">
      <c r="L1802" s="2"/>
      <c r="N1802" s="2"/>
      <c r="O1802" s="2"/>
    </row>
    <row r="1803" spans="12:15">
      <c r="L1803" s="2"/>
      <c r="N1803" s="2"/>
      <c r="O1803" s="2"/>
    </row>
    <row r="1804" spans="12:15">
      <c r="L1804" s="2"/>
      <c r="N1804" s="2"/>
      <c r="O1804" s="2"/>
    </row>
    <row r="1805" spans="12:15">
      <c r="L1805" s="2"/>
      <c r="N1805" s="2"/>
      <c r="O1805" s="2"/>
    </row>
    <row r="1806" spans="12:15">
      <c r="L1806" s="2"/>
      <c r="N1806" s="2"/>
      <c r="O1806" s="2"/>
    </row>
    <row r="1807" spans="12:15">
      <c r="L1807" s="2"/>
      <c r="N1807" s="2"/>
      <c r="O1807" s="2"/>
    </row>
    <row r="1808" spans="12:15">
      <c r="L1808" s="2"/>
      <c r="N1808" s="2"/>
      <c r="O1808" s="2"/>
    </row>
    <row r="1809" spans="12:15">
      <c r="L1809" s="2"/>
      <c r="N1809" s="2"/>
      <c r="O1809" s="2"/>
    </row>
    <row r="1810" spans="12:15">
      <c r="L1810" s="2"/>
      <c r="N1810" s="2"/>
      <c r="O1810" s="2"/>
    </row>
    <row r="1811" spans="12:15">
      <c r="L1811" s="2"/>
      <c r="N1811" s="2"/>
      <c r="O1811" s="2"/>
    </row>
    <row r="1812" spans="12:15">
      <c r="L1812" s="2"/>
      <c r="N1812" s="2"/>
      <c r="O1812" s="2"/>
    </row>
    <row r="1813" spans="12:15">
      <c r="L1813" s="2"/>
      <c r="N1813" s="2"/>
      <c r="O1813" s="2"/>
    </row>
    <row r="1814" spans="12:15">
      <c r="L1814" s="2"/>
      <c r="N1814" s="2"/>
      <c r="O1814" s="2"/>
    </row>
    <row r="1815" spans="12:15">
      <c r="L1815" s="2"/>
      <c r="N1815" s="2"/>
      <c r="O1815" s="2"/>
    </row>
    <row r="1816" spans="12:15">
      <c r="L1816" s="2"/>
      <c r="N1816" s="2"/>
      <c r="O1816" s="2"/>
    </row>
    <row r="1817" spans="12:15">
      <c r="L1817" s="2"/>
      <c r="N1817" s="2"/>
      <c r="O1817" s="2"/>
    </row>
    <row r="1818" spans="12:15">
      <c r="L1818" s="2"/>
      <c r="N1818" s="2"/>
      <c r="O1818" s="2"/>
    </row>
    <row r="1819" spans="12:15">
      <c r="L1819" s="2"/>
      <c r="N1819" s="2"/>
      <c r="O1819" s="2"/>
    </row>
    <row r="1820" spans="12:15">
      <c r="L1820" s="2"/>
      <c r="N1820" s="2"/>
      <c r="O1820" s="2"/>
    </row>
    <row r="1821" spans="12:15">
      <c r="L1821" s="2"/>
      <c r="N1821" s="2"/>
      <c r="O1821" s="2"/>
    </row>
    <row r="1822" spans="12:15">
      <c r="L1822" s="2"/>
      <c r="N1822" s="2"/>
      <c r="O1822" s="2"/>
    </row>
    <row r="1823" spans="12:15">
      <c r="L1823" s="2"/>
      <c r="N1823" s="2"/>
      <c r="O1823" s="2"/>
    </row>
    <row r="1824" spans="12:15">
      <c r="L1824" s="2"/>
      <c r="N1824" s="2"/>
      <c r="O1824" s="2"/>
    </row>
    <row r="1825" spans="12:15">
      <c r="L1825" s="2"/>
      <c r="N1825" s="2"/>
      <c r="O1825" s="2"/>
    </row>
    <row r="1826" spans="12:15">
      <c r="L1826" s="2"/>
      <c r="N1826" s="2"/>
      <c r="O1826" s="2"/>
    </row>
    <row r="1827" spans="12:15">
      <c r="L1827" s="2"/>
      <c r="N1827" s="2"/>
      <c r="O1827" s="2"/>
    </row>
    <row r="1828" spans="12:15">
      <c r="L1828" s="2"/>
      <c r="N1828" s="2"/>
      <c r="O1828" s="2"/>
    </row>
    <row r="1829" spans="12:15">
      <c r="L1829" s="2"/>
      <c r="N1829" s="2"/>
      <c r="O1829" s="2"/>
    </row>
    <row r="1830" spans="12:15">
      <c r="L1830" s="2"/>
      <c r="N1830" s="2"/>
      <c r="O1830" s="2"/>
    </row>
    <row r="1831" spans="12:15">
      <c r="L1831" s="2"/>
      <c r="N1831" s="2"/>
      <c r="O1831" s="2"/>
    </row>
    <row r="1832" spans="12:15">
      <c r="L1832" s="2"/>
      <c r="N1832" s="2"/>
      <c r="O1832" s="2"/>
    </row>
    <row r="1833" spans="12:15">
      <c r="L1833" s="2"/>
      <c r="N1833" s="2"/>
      <c r="O1833" s="2"/>
    </row>
    <row r="1834" spans="12:15">
      <c r="L1834" s="2"/>
      <c r="N1834" s="2"/>
      <c r="O1834" s="2"/>
    </row>
    <row r="1835" spans="12:15">
      <c r="L1835" s="2"/>
      <c r="N1835" s="2"/>
      <c r="O1835" s="2"/>
    </row>
    <row r="1836" spans="12:15">
      <c r="L1836" s="2"/>
      <c r="N1836" s="2"/>
      <c r="O1836" s="2"/>
    </row>
    <row r="1837" spans="12:15">
      <c r="L1837" s="2"/>
      <c r="N1837" s="2"/>
      <c r="O1837" s="2"/>
    </row>
    <row r="1838" spans="12:15">
      <c r="L1838" s="2"/>
      <c r="N1838" s="2"/>
      <c r="O1838" s="2"/>
    </row>
    <row r="1839" spans="12:15">
      <c r="L1839" s="2"/>
      <c r="N1839" s="2"/>
      <c r="O1839" s="2"/>
    </row>
    <row r="1840" spans="12:15">
      <c r="L1840" s="2"/>
      <c r="N1840" s="2"/>
      <c r="O1840" s="2"/>
    </row>
    <row r="1841" spans="12:15">
      <c r="L1841" s="2"/>
      <c r="N1841" s="2"/>
      <c r="O1841" s="2"/>
    </row>
    <row r="1842" spans="12:15">
      <c r="L1842" s="2"/>
      <c r="N1842" s="2"/>
      <c r="O1842" s="2"/>
    </row>
    <row r="1843" spans="12:15">
      <c r="L1843" s="2"/>
      <c r="N1843" s="2"/>
      <c r="O1843" s="2"/>
    </row>
    <row r="1844" spans="12:15">
      <c r="L1844" s="2"/>
      <c r="N1844" s="2"/>
      <c r="O1844" s="2"/>
    </row>
    <row r="1845" spans="12:15">
      <c r="L1845" s="2"/>
      <c r="N1845" s="2"/>
      <c r="O1845" s="2"/>
    </row>
    <row r="1846" spans="12:15">
      <c r="L1846" s="2"/>
      <c r="N1846" s="2"/>
      <c r="O1846" s="2"/>
    </row>
    <row r="1847" spans="12:15">
      <c r="L1847" s="2"/>
      <c r="N1847" s="2"/>
      <c r="O1847" s="2"/>
    </row>
    <row r="1848" spans="12:15">
      <c r="L1848" s="2"/>
      <c r="N1848" s="2"/>
      <c r="O1848" s="2"/>
    </row>
    <row r="1849" spans="12:15">
      <c r="L1849" s="2"/>
      <c r="N1849" s="2"/>
      <c r="O1849" s="2"/>
    </row>
    <row r="1850" spans="12:15">
      <c r="L1850" s="2"/>
      <c r="N1850" s="2"/>
      <c r="O1850" s="2"/>
    </row>
    <row r="1851" spans="12:15">
      <c r="L1851" s="2"/>
      <c r="N1851" s="2"/>
      <c r="O1851" s="2"/>
    </row>
    <row r="1852" spans="12:15">
      <c r="L1852" s="2"/>
      <c r="N1852" s="2"/>
      <c r="O1852" s="2"/>
    </row>
    <row r="1853" spans="12:15">
      <c r="L1853" s="2"/>
      <c r="N1853" s="2"/>
      <c r="O1853" s="2"/>
    </row>
    <row r="1854" spans="12:15">
      <c r="L1854" s="2"/>
      <c r="N1854" s="2"/>
      <c r="O1854" s="2"/>
    </row>
    <row r="1855" spans="12:15">
      <c r="L1855" s="2"/>
      <c r="N1855" s="2"/>
      <c r="O1855" s="2"/>
    </row>
    <row r="1856" spans="12:15">
      <c r="L1856" s="2"/>
      <c r="N1856" s="2"/>
      <c r="O1856" s="2"/>
    </row>
    <row r="1857" spans="12:15">
      <c r="L1857" s="2"/>
      <c r="N1857" s="2"/>
      <c r="O1857" s="2"/>
    </row>
    <row r="1858" spans="12:15">
      <c r="L1858" s="2"/>
      <c r="N1858" s="2"/>
      <c r="O1858" s="2"/>
    </row>
    <row r="1859" spans="12:15">
      <c r="L1859" s="2"/>
      <c r="N1859" s="2"/>
      <c r="O1859" s="2"/>
    </row>
    <row r="1860" spans="12:15">
      <c r="L1860" s="2"/>
      <c r="N1860" s="2"/>
      <c r="O1860" s="2"/>
    </row>
    <row r="1861" spans="12:15">
      <c r="L1861" s="2"/>
      <c r="N1861" s="2"/>
      <c r="O1861" s="2"/>
    </row>
    <row r="1862" spans="12:15">
      <c r="L1862" s="2"/>
      <c r="N1862" s="2"/>
      <c r="O1862" s="2"/>
    </row>
    <row r="1863" spans="12:15">
      <c r="L1863" s="2"/>
      <c r="N1863" s="2"/>
      <c r="O1863" s="2"/>
    </row>
    <row r="1864" spans="12:15">
      <c r="L1864" s="2"/>
      <c r="N1864" s="2"/>
      <c r="O1864" s="2"/>
    </row>
    <row r="1865" spans="12:15">
      <c r="L1865" s="2"/>
      <c r="N1865" s="2"/>
      <c r="O1865" s="2"/>
    </row>
    <row r="1866" spans="12:15">
      <c r="L1866" s="2"/>
      <c r="N1866" s="2"/>
      <c r="O1866" s="2"/>
    </row>
    <row r="1867" spans="12:15">
      <c r="L1867" s="2"/>
      <c r="N1867" s="2"/>
      <c r="O1867" s="2"/>
    </row>
    <row r="1868" spans="12:15">
      <c r="L1868" s="2"/>
      <c r="N1868" s="2"/>
      <c r="O1868" s="2"/>
    </row>
    <row r="1869" spans="12:15">
      <c r="L1869" s="2"/>
      <c r="N1869" s="2"/>
      <c r="O1869" s="2"/>
    </row>
    <row r="1870" spans="12:15">
      <c r="L1870" s="2"/>
      <c r="N1870" s="2"/>
      <c r="O1870" s="2"/>
    </row>
    <row r="1871" spans="12:15">
      <c r="L1871" s="2"/>
      <c r="N1871" s="2"/>
      <c r="O1871" s="2"/>
    </row>
    <row r="1872" spans="12:15">
      <c r="L1872" s="2"/>
      <c r="N1872" s="2"/>
      <c r="O1872" s="2"/>
    </row>
    <row r="1873" spans="12:15">
      <c r="L1873" s="2"/>
      <c r="N1873" s="2"/>
      <c r="O1873" s="2"/>
    </row>
    <row r="1874" spans="12:15">
      <c r="L1874" s="2"/>
      <c r="N1874" s="2"/>
      <c r="O1874" s="2"/>
    </row>
    <row r="1875" spans="12:15">
      <c r="L1875" s="2"/>
      <c r="N1875" s="2"/>
      <c r="O1875" s="2"/>
    </row>
    <row r="1876" spans="12:15">
      <c r="L1876" s="2"/>
      <c r="N1876" s="2"/>
      <c r="O1876" s="2"/>
    </row>
    <row r="1877" spans="12:15">
      <c r="L1877" s="2"/>
      <c r="N1877" s="2"/>
      <c r="O1877" s="2"/>
    </row>
    <row r="1878" spans="12:15">
      <c r="L1878" s="2"/>
      <c r="N1878" s="2"/>
      <c r="O1878" s="2"/>
    </row>
    <row r="1879" spans="12:15">
      <c r="L1879" s="2"/>
      <c r="N1879" s="2"/>
      <c r="O1879" s="2"/>
    </row>
    <row r="1880" spans="12:15">
      <c r="L1880" s="2"/>
      <c r="N1880" s="2"/>
      <c r="O1880" s="2"/>
    </row>
    <row r="1881" spans="12:15">
      <c r="L1881" s="2"/>
      <c r="N1881" s="2"/>
      <c r="O1881" s="2"/>
    </row>
    <row r="1882" spans="12:15">
      <c r="L1882" s="2"/>
      <c r="N1882" s="2"/>
      <c r="O1882" s="2"/>
    </row>
    <row r="1883" spans="12:15">
      <c r="L1883" s="2"/>
      <c r="N1883" s="2"/>
      <c r="O1883" s="2"/>
    </row>
    <row r="1884" spans="12:15">
      <c r="L1884" s="2"/>
      <c r="N1884" s="2"/>
      <c r="O1884" s="2"/>
    </row>
    <row r="1885" spans="12:15">
      <c r="L1885" s="2"/>
      <c r="N1885" s="2"/>
      <c r="O1885" s="2"/>
    </row>
    <row r="1886" spans="12:15">
      <c r="L1886" s="2"/>
      <c r="N1886" s="2"/>
      <c r="O1886" s="2"/>
    </row>
    <row r="1887" spans="12:15">
      <c r="L1887" s="2"/>
      <c r="N1887" s="2"/>
      <c r="O1887" s="2"/>
    </row>
    <row r="1888" spans="12:15">
      <c r="L1888" s="2"/>
      <c r="N1888" s="2"/>
      <c r="O1888" s="2"/>
    </row>
    <row r="1889" spans="12:15">
      <c r="L1889" s="2"/>
      <c r="N1889" s="2"/>
      <c r="O1889" s="2"/>
    </row>
    <row r="1890" spans="12:15">
      <c r="L1890" s="2"/>
      <c r="N1890" s="2"/>
      <c r="O1890" s="2"/>
    </row>
    <row r="1891" spans="12:15">
      <c r="L1891" s="2"/>
      <c r="N1891" s="2"/>
      <c r="O1891" s="2"/>
    </row>
    <row r="1892" spans="12:15">
      <c r="L1892" s="2"/>
      <c r="N1892" s="2"/>
      <c r="O1892" s="2"/>
    </row>
    <row r="1893" spans="12:15">
      <c r="L1893" s="2"/>
      <c r="N1893" s="2"/>
      <c r="O1893" s="2"/>
    </row>
    <row r="1894" spans="12:15">
      <c r="L1894" s="2"/>
      <c r="N1894" s="2"/>
      <c r="O1894" s="2"/>
    </row>
    <row r="1895" spans="12:15">
      <c r="L1895" s="2"/>
      <c r="N1895" s="2"/>
      <c r="O1895" s="2"/>
    </row>
    <row r="1896" spans="12:15">
      <c r="L1896" s="2"/>
      <c r="N1896" s="2"/>
      <c r="O1896" s="2"/>
    </row>
    <row r="1897" spans="12:15">
      <c r="L1897" s="2"/>
      <c r="N1897" s="2"/>
      <c r="O1897" s="2"/>
    </row>
    <row r="1898" spans="12:15">
      <c r="L1898" s="2"/>
      <c r="N1898" s="2"/>
      <c r="O1898" s="2"/>
    </row>
    <row r="1899" spans="12:15">
      <c r="L1899" s="2"/>
      <c r="N1899" s="2"/>
      <c r="O1899" s="2"/>
    </row>
    <row r="1900" spans="12:15">
      <c r="L1900" s="2"/>
      <c r="N1900" s="2"/>
      <c r="O1900" s="2"/>
    </row>
    <row r="1901" spans="12:15">
      <c r="L1901" s="2"/>
      <c r="N1901" s="2"/>
      <c r="O1901" s="2"/>
    </row>
    <row r="1902" spans="12:15">
      <c r="L1902" s="2"/>
      <c r="N1902" s="2"/>
      <c r="O1902" s="2"/>
    </row>
    <row r="1903" spans="12:15">
      <c r="L1903" s="2"/>
      <c r="N1903" s="2"/>
      <c r="O1903" s="2"/>
    </row>
    <row r="1904" spans="12:15">
      <c r="L1904" s="2"/>
      <c r="N1904" s="2"/>
      <c r="O1904" s="2"/>
    </row>
    <row r="1905" spans="12:15">
      <c r="L1905" s="2"/>
      <c r="N1905" s="2"/>
      <c r="O1905" s="2"/>
    </row>
    <row r="1906" spans="12:15">
      <c r="L1906" s="2"/>
      <c r="N1906" s="2"/>
      <c r="O1906" s="2"/>
    </row>
    <row r="1907" spans="12:15">
      <c r="L1907" s="2"/>
      <c r="N1907" s="2"/>
      <c r="O1907" s="2"/>
    </row>
    <row r="1908" spans="12:15">
      <c r="L1908" s="2"/>
      <c r="N1908" s="2"/>
      <c r="O1908" s="2"/>
    </row>
    <row r="1909" spans="12:15">
      <c r="L1909" s="2"/>
      <c r="N1909" s="2"/>
      <c r="O1909" s="2"/>
    </row>
    <row r="1910" spans="12:15">
      <c r="L1910" s="2"/>
      <c r="N1910" s="2"/>
      <c r="O1910" s="2"/>
    </row>
    <row r="1911" spans="12:15">
      <c r="L1911" s="2"/>
      <c r="N1911" s="2"/>
      <c r="O1911" s="2"/>
    </row>
    <row r="1912" spans="12:15">
      <c r="L1912" s="2"/>
      <c r="N1912" s="2"/>
      <c r="O1912" s="2"/>
    </row>
    <row r="1913" spans="12:15">
      <c r="L1913" s="2"/>
      <c r="N1913" s="2"/>
      <c r="O1913" s="2"/>
    </row>
    <row r="1914" spans="12:15">
      <c r="L1914" s="2"/>
      <c r="N1914" s="2"/>
      <c r="O1914" s="2"/>
    </row>
    <row r="1915" spans="12:15">
      <c r="L1915" s="2"/>
      <c r="N1915" s="2"/>
      <c r="O1915" s="2"/>
    </row>
    <row r="1916" spans="12:15">
      <c r="L1916" s="2"/>
      <c r="N1916" s="2"/>
      <c r="O1916" s="2"/>
    </row>
    <row r="1917" spans="12:15">
      <c r="L1917" s="2"/>
      <c r="N1917" s="2"/>
      <c r="O1917" s="2"/>
    </row>
    <row r="1918" spans="12:15">
      <c r="L1918" s="2"/>
      <c r="N1918" s="2"/>
      <c r="O1918" s="2"/>
    </row>
    <row r="1919" spans="12:15">
      <c r="L1919" s="2"/>
      <c r="N1919" s="2"/>
      <c r="O1919" s="2"/>
    </row>
    <row r="1920" spans="12:15">
      <c r="L1920" s="2"/>
      <c r="N1920" s="2"/>
      <c r="O1920" s="2"/>
    </row>
    <row r="1921" spans="12:15">
      <c r="L1921" s="2"/>
      <c r="N1921" s="2"/>
      <c r="O1921" s="2"/>
    </row>
    <row r="1922" spans="12:15">
      <c r="L1922" s="2"/>
      <c r="N1922" s="2"/>
      <c r="O1922" s="2"/>
    </row>
    <row r="1923" spans="12:15">
      <c r="L1923" s="2"/>
      <c r="N1923" s="2"/>
      <c r="O1923" s="2"/>
    </row>
    <row r="1924" spans="12:15">
      <c r="L1924" s="2"/>
      <c r="N1924" s="2"/>
      <c r="O1924" s="2"/>
    </row>
    <row r="1925" spans="12:15">
      <c r="L1925" s="2"/>
      <c r="N1925" s="2"/>
      <c r="O1925" s="2"/>
    </row>
    <row r="1926" spans="12:15">
      <c r="L1926" s="2"/>
      <c r="N1926" s="2"/>
      <c r="O1926" s="2"/>
    </row>
    <row r="1927" spans="12:15">
      <c r="L1927" s="2"/>
      <c r="N1927" s="2"/>
      <c r="O1927" s="2"/>
    </row>
    <row r="1928" spans="12:15">
      <c r="L1928" s="2"/>
      <c r="N1928" s="2"/>
      <c r="O1928" s="2"/>
    </row>
    <row r="1929" spans="12:15">
      <c r="L1929" s="2"/>
      <c r="N1929" s="2"/>
      <c r="O1929" s="2"/>
    </row>
    <row r="1930" spans="12:15">
      <c r="L1930" s="2"/>
      <c r="N1930" s="2"/>
      <c r="O1930" s="2"/>
    </row>
    <row r="1931" spans="12:15">
      <c r="L1931" s="2"/>
      <c r="N1931" s="2"/>
      <c r="O1931" s="2"/>
    </row>
    <row r="1932" spans="12:15">
      <c r="L1932" s="2"/>
      <c r="N1932" s="2"/>
      <c r="O1932" s="2"/>
    </row>
    <row r="1933" spans="12:15">
      <c r="L1933" s="2"/>
      <c r="N1933" s="2"/>
      <c r="O1933" s="2"/>
    </row>
    <row r="1934" spans="12:15">
      <c r="L1934" s="2"/>
      <c r="N1934" s="2"/>
      <c r="O1934" s="2"/>
    </row>
    <row r="1935" spans="12:15">
      <c r="L1935" s="2"/>
      <c r="N1935" s="2"/>
      <c r="O1935" s="2"/>
    </row>
    <row r="1936" spans="12:15">
      <c r="L1936" s="2"/>
      <c r="N1936" s="2"/>
      <c r="O1936" s="2"/>
    </row>
    <row r="1937" spans="12:15">
      <c r="L1937" s="2"/>
      <c r="N1937" s="2"/>
      <c r="O1937" s="2"/>
    </row>
    <row r="1938" spans="12:15">
      <c r="L1938" s="2"/>
      <c r="N1938" s="2"/>
      <c r="O1938" s="2"/>
    </row>
    <row r="1939" spans="12:15">
      <c r="L1939" s="2"/>
      <c r="N1939" s="2"/>
      <c r="O1939" s="2"/>
    </row>
    <row r="1940" spans="12:15">
      <c r="L1940" s="2"/>
      <c r="N1940" s="2"/>
      <c r="O1940" s="2"/>
    </row>
    <row r="1941" spans="12:15">
      <c r="L1941" s="2"/>
      <c r="N1941" s="2"/>
      <c r="O1941" s="2"/>
    </row>
    <row r="1942" spans="12:15">
      <c r="L1942" s="2"/>
      <c r="N1942" s="2"/>
      <c r="O1942" s="2"/>
    </row>
    <row r="1943" spans="12:15">
      <c r="L1943" s="2"/>
      <c r="N1943" s="2"/>
      <c r="O1943" s="2"/>
    </row>
    <row r="1944" spans="12:15">
      <c r="L1944" s="2"/>
      <c r="N1944" s="2"/>
      <c r="O1944" s="2"/>
    </row>
    <row r="1945" spans="12:15">
      <c r="L1945" s="2"/>
      <c r="N1945" s="2"/>
      <c r="O1945" s="2"/>
    </row>
    <row r="1946" spans="12:15">
      <c r="L1946" s="2"/>
      <c r="N1946" s="2"/>
      <c r="O1946" s="2"/>
    </row>
    <row r="1947" spans="12:15">
      <c r="L1947" s="2"/>
      <c r="N1947" s="2"/>
      <c r="O1947" s="2"/>
    </row>
    <row r="1948" spans="12:15">
      <c r="L1948" s="2"/>
      <c r="N1948" s="2"/>
      <c r="O1948" s="2"/>
    </row>
    <row r="1949" spans="12:15">
      <c r="L1949" s="2"/>
      <c r="N1949" s="2"/>
      <c r="O1949" s="2"/>
    </row>
    <row r="1950" spans="12:15">
      <c r="L1950" s="2"/>
      <c r="N1950" s="2"/>
      <c r="O1950" s="2"/>
    </row>
    <row r="1951" spans="12:15">
      <c r="L1951" s="2"/>
      <c r="N1951" s="2"/>
      <c r="O1951" s="2"/>
    </row>
    <row r="1952" spans="12:15">
      <c r="L1952" s="2"/>
      <c r="N1952" s="2"/>
      <c r="O1952" s="2"/>
    </row>
    <row r="1953" spans="12:15">
      <c r="L1953" s="2"/>
      <c r="N1953" s="2"/>
      <c r="O1953" s="2"/>
    </row>
    <row r="1954" spans="12:15">
      <c r="L1954" s="2"/>
      <c r="N1954" s="2"/>
      <c r="O1954" s="2"/>
    </row>
    <row r="1955" spans="12:15">
      <c r="L1955" s="2"/>
      <c r="N1955" s="2"/>
      <c r="O1955" s="2"/>
    </row>
    <row r="1956" spans="12:15">
      <c r="L1956" s="2"/>
      <c r="N1956" s="2"/>
      <c r="O1956" s="2"/>
    </row>
    <row r="1957" spans="12:15">
      <c r="L1957" s="2"/>
      <c r="N1957" s="2"/>
      <c r="O1957" s="2"/>
    </row>
    <row r="1958" spans="12:15">
      <c r="L1958" s="2"/>
      <c r="N1958" s="2"/>
      <c r="O1958" s="2"/>
    </row>
    <row r="1959" spans="12:15">
      <c r="L1959" s="2"/>
      <c r="N1959" s="2"/>
      <c r="O1959" s="2"/>
    </row>
    <row r="1960" spans="12:15">
      <c r="L1960" s="2"/>
      <c r="N1960" s="2"/>
      <c r="O1960" s="2"/>
    </row>
    <row r="1961" spans="12:15">
      <c r="L1961" s="2"/>
      <c r="N1961" s="2"/>
      <c r="O1961" s="2"/>
    </row>
    <row r="1962" spans="12:15">
      <c r="L1962" s="2"/>
      <c r="N1962" s="2"/>
      <c r="O1962" s="2"/>
    </row>
    <row r="1963" spans="12:15">
      <c r="L1963" s="2"/>
      <c r="N1963" s="2"/>
      <c r="O1963" s="2"/>
    </row>
    <row r="1964" spans="12:15">
      <c r="L1964" s="2"/>
      <c r="N1964" s="2"/>
      <c r="O1964" s="2"/>
    </row>
    <row r="1965" spans="12:15">
      <c r="L1965" s="2"/>
      <c r="N1965" s="2"/>
      <c r="O1965" s="2"/>
    </row>
    <row r="1966" spans="12:15">
      <c r="L1966" s="2"/>
      <c r="N1966" s="2"/>
      <c r="O1966" s="2"/>
    </row>
    <row r="1967" spans="12:15">
      <c r="L1967" s="2"/>
      <c r="N1967" s="2"/>
      <c r="O1967" s="2"/>
    </row>
    <row r="1968" spans="12:15">
      <c r="L1968" s="2"/>
      <c r="N1968" s="2"/>
      <c r="O1968" s="2"/>
    </row>
    <row r="1969" spans="12:15">
      <c r="L1969" s="2"/>
      <c r="N1969" s="2"/>
      <c r="O1969" s="2"/>
    </row>
    <row r="1970" spans="12:15">
      <c r="L1970" s="2"/>
      <c r="N1970" s="2"/>
      <c r="O1970" s="2"/>
    </row>
    <row r="1971" spans="12:15">
      <c r="L1971" s="2"/>
      <c r="N1971" s="2"/>
      <c r="O1971" s="2"/>
    </row>
    <row r="1972" spans="12:15">
      <c r="L1972" s="2"/>
      <c r="N1972" s="2"/>
      <c r="O1972" s="2"/>
    </row>
    <row r="1973" spans="12:15">
      <c r="L1973" s="2"/>
      <c r="N1973" s="2"/>
      <c r="O1973" s="2"/>
    </row>
    <row r="1974" spans="12:15">
      <c r="L1974" s="2"/>
      <c r="N1974" s="2"/>
      <c r="O1974" s="2"/>
    </row>
    <row r="1975" spans="12:15">
      <c r="L1975" s="2"/>
      <c r="N1975" s="2"/>
      <c r="O1975" s="2"/>
    </row>
    <row r="1976" spans="12:15">
      <c r="L1976" s="2"/>
      <c r="N1976" s="2"/>
      <c r="O1976" s="2"/>
    </row>
    <row r="1977" spans="12:15">
      <c r="L1977" s="2"/>
      <c r="N1977" s="2"/>
      <c r="O1977" s="2"/>
    </row>
    <row r="1978" spans="12:15">
      <c r="L1978" s="2"/>
      <c r="N1978" s="2"/>
      <c r="O1978" s="2"/>
    </row>
    <row r="1979" spans="12:15">
      <c r="L1979" s="2"/>
      <c r="N1979" s="2"/>
      <c r="O1979" s="2"/>
    </row>
    <row r="1980" spans="12:15">
      <c r="L1980" s="2"/>
      <c r="N1980" s="2"/>
      <c r="O1980" s="2"/>
    </row>
    <row r="1981" spans="12:15">
      <c r="L1981" s="2"/>
      <c r="N1981" s="2"/>
      <c r="O1981" s="2"/>
    </row>
    <row r="1982" spans="12:15">
      <c r="L1982" s="2"/>
      <c r="N1982" s="2"/>
      <c r="O1982" s="2"/>
    </row>
    <row r="1983" spans="12:15">
      <c r="L1983" s="2"/>
      <c r="N1983" s="2"/>
      <c r="O1983" s="2"/>
    </row>
    <row r="1984" spans="12:15">
      <c r="L1984" s="2"/>
      <c r="N1984" s="2"/>
      <c r="O1984" s="2"/>
    </row>
    <row r="1985" spans="12:15">
      <c r="L1985" s="2"/>
      <c r="N1985" s="2"/>
      <c r="O1985" s="2"/>
    </row>
    <row r="1986" spans="12:15">
      <c r="L1986" s="2"/>
      <c r="N1986" s="2"/>
      <c r="O1986" s="2"/>
    </row>
    <row r="1987" spans="12:15">
      <c r="L1987" s="2"/>
      <c r="N1987" s="2"/>
      <c r="O1987" s="2"/>
    </row>
    <row r="1988" spans="12:15">
      <c r="L1988" s="2"/>
      <c r="N1988" s="2"/>
      <c r="O1988" s="2"/>
    </row>
    <row r="1989" spans="12:15">
      <c r="L1989" s="2"/>
      <c r="N1989" s="2"/>
      <c r="O1989" s="2"/>
    </row>
    <row r="1990" spans="12:15">
      <c r="L1990" s="2"/>
      <c r="N1990" s="2"/>
      <c r="O1990" s="2"/>
    </row>
    <row r="1991" spans="12:15">
      <c r="L1991" s="2"/>
      <c r="N1991" s="2"/>
      <c r="O1991" s="2"/>
    </row>
    <row r="1992" spans="12:15">
      <c r="L1992" s="2"/>
      <c r="N1992" s="2"/>
      <c r="O1992" s="2"/>
    </row>
    <row r="1993" spans="12:15">
      <c r="L1993" s="2"/>
      <c r="N1993" s="2"/>
      <c r="O1993" s="2"/>
    </row>
    <row r="1994" spans="12:15">
      <c r="L1994" s="2"/>
      <c r="N1994" s="2"/>
      <c r="O1994" s="2"/>
    </row>
    <row r="1995" spans="12:15">
      <c r="L1995" s="2"/>
      <c r="N1995" s="2"/>
      <c r="O1995" s="2"/>
    </row>
    <row r="1996" spans="12:15">
      <c r="L1996" s="2"/>
      <c r="N1996" s="2"/>
      <c r="O1996" s="2"/>
    </row>
    <row r="1997" spans="12:15">
      <c r="L1997" s="2"/>
      <c r="N1997" s="2"/>
      <c r="O1997" s="2"/>
    </row>
    <row r="1998" spans="12:15">
      <c r="L1998" s="2"/>
      <c r="N1998" s="2"/>
      <c r="O1998" s="2"/>
    </row>
    <row r="1999" spans="12:15">
      <c r="L1999" s="2"/>
      <c r="N1999" s="2"/>
      <c r="O1999" s="2"/>
    </row>
    <row r="2000" spans="12:15">
      <c r="L2000" s="2"/>
      <c r="N2000" s="2"/>
      <c r="O2000" s="2"/>
    </row>
    <row r="2001" spans="12:15">
      <c r="L2001" s="2"/>
      <c r="N2001" s="2"/>
      <c r="O2001" s="2"/>
    </row>
    <row r="2002" spans="12:15">
      <c r="L2002" s="2"/>
      <c r="N2002" s="2"/>
      <c r="O2002" s="2"/>
    </row>
    <row r="2003" spans="12:15">
      <c r="L2003" s="2"/>
      <c r="N2003" s="2"/>
      <c r="O2003" s="2"/>
    </row>
    <row r="2004" spans="12:15">
      <c r="L2004" s="2"/>
      <c r="N2004" s="2"/>
      <c r="O2004" s="2"/>
    </row>
    <row r="2005" spans="12:15">
      <c r="L2005" s="2"/>
      <c r="N2005" s="2"/>
      <c r="O2005" s="2"/>
    </row>
    <row r="2006" spans="12:15">
      <c r="L2006" s="2"/>
      <c r="N2006" s="2"/>
      <c r="O2006" s="2"/>
    </row>
    <row r="2007" spans="12:15">
      <c r="L2007" s="2"/>
      <c r="N2007" s="2"/>
      <c r="O2007" s="2"/>
    </row>
    <row r="2008" spans="12:15">
      <c r="L2008" s="2"/>
      <c r="N2008" s="2"/>
      <c r="O2008" s="2"/>
    </row>
    <row r="2009" spans="12:15">
      <c r="L2009" s="2"/>
      <c r="N2009" s="2"/>
      <c r="O2009" s="2"/>
    </row>
    <row r="2010" spans="12:15">
      <c r="L2010" s="2"/>
      <c r="N2010" s="2"/>
      <c r="O2010" s="2"/>
    </row>
    <row r="2011" spans="12:15">
      <c r="L2011" s="2"/>
      <c r="N2011" s="2"/>
      <c r="O2011" s="2"/>
    </row>
    <row r="2012" spans="12:15">
      <c r="L2012" s="2"/>
      <c r="N2012" s="2"/>
      <c r="O2012" s="2"/>
    </row>
    <row r="2013" spans="12:15">
      <c r="L2013" s="2"/>
      <c r="N2013" s="2"/>
      <c r="O2013" s="2"/>
    </row>
    <row r="2014" spans="12:15">
      <c r="L2014" s="2"/>
      <c r="N2014" s="2"/>
      <c r="O2014" s="2"/>
    </row>
    <row r="2015" spans="12:15">
      <c r="L2015" s="2"/>
      <c r="N2015" s="2"/>
      <c r="O2015" s="2"/>
    </row>
    <row r="2016" spans="12:15">
      <c r="L2016" s="2"/>
      <c r="N2016" s="2"/>
      <c r="O2016" s="2"/>
    </row>
    <row r="2017" spans="12:15">
      <c r="L2017" s="2"/>
      <c r="N2017" s="2"/>
      <c r="O2017" s="2"/>
    </row>
    <row r="2018" spans="12:15">
      <c r="L2018" s="2"/>
      <c r="N2018" s="2"/>
      <c r="O2018" s="2"/>
    </row>
    <row r="2019" spans="12:15">
      <c r="L2019" s="2"/>
      <c r="N2019" s="2"/>
      <c r="O2019" s="2"/>
    </row>
    <row r="2020" spans="12:15">
      <c r="L2020" s="2"/>
      <c r="N2020" s="2"/>
      <c r="O2020" s="2"/>
    </row>
    <row r="2021" spans="12:15">
      <c r="L2021" s="2"/>
      <c r="N2021" s="2"/>
      <c r="O2021" s="2"/>
    </row>
    <row r="2022" spans="12:15">
      <c r="L2022" s="2"/>
      <c r="N2022" s="2"/>
      <c r="O2022" s="2"/>
    </row>
    <row r="2023" spans="12:15">
      <c r="L2023" s="2"/>
      <c r="N2023" s="2"/>
      <c r="O2023" s="2"/>
    </row>
    <row r="2024" spans="12:15">
      <c r="L2024" s="2"/>
      <c r="N2024" s="2"/>
      <c r="O2024" s="2"/>
    </row>
    <row r="2025" spans="12:15">
      <c r="L2025" s="2"/>
      <c r="N2025" s="2"/>
      <c r="O2025" s="2"/>
    </row>
    <row r="2026" spans="12:15">
      <c r="L2026" s="2"/>
      <c r="N2026" s="2"/>
      <c r="O2026" s="2"/>
    </row>
    <row r="2027" spans="12:15">
      <c r="L2027" s="2"/>
      <c r="N2027" s="2"/>
      <c r="O2027" s="2"/>
    </row>
    <row r="2028" spans="12:15">
      <c r="L2028" s="2"/>
      <c r="N2028" s="2"/>
      <c r="O2028" s="2"/>
    </row>
    <row r="2029" spans="12:15">
      <c r="L2029" s="2"/>
      <c r="N2029" s="2"/>
      <c r="O2029" s="2"/>
    </row>
    <row r="2030" spans="12:15">
      <c r="L2030" s="2"/>
      <c r="N2030" s="2"/>
      <c r="O2030" s="2"/>
    </row>
    <row r="2031" spans="12:15">
      <c r="L2031" s="2"/>
      <c r="N2031" s="2"/>
      <c r="O2031" s="2"/>
    </row>
    <row r="2032" spans="12:15">
      <c r="L2032" s="2"/>
      <c r="N2032" s="2"/>
      <c r="O2032" s="2"/>
    </row>
    <row r="2033" spans="12:15">
      <c r="L2033" s="2"/>
      <c r="N2033" s="2"/>
      <c r="O2033" s="2"/>
    </row>
    <row r="2034" spans="12:15">
      <c r="L2034" s="2"/>
      <c r="N2034" s="2"/>
      <c r="O2034" s="2"/>
    </row>
    <row r="2035" spans="12:15">
      <c r="L2035" s="2"/>
      <c r="N2035" s="2"/>
      <c r="O2035" s="2"/>
    </row>
    <row r="2036" spans="12:15">
      <c r="L2036" s="2"/>
      <c r="N2036" s="2"/>
      <c r="O2036" s="2"/>
    </row>
    <row r="2037" spans="12:15">
      <c r="L2037" s="2"/>
      <c r="N2037" s="2"/>
      <c r="O2037" s="2"/>
    </row>
    <row r="2038" spans="12:15">
      <c r="L2038" s="2"/>
      <c r="N2038" s="2"/>
      <c r="O2038" s="2"/>
    </row>
    <row r="2039" spans="12:15">
      <c r="L2039" s="2"/>
      <c r="N2039" s="2"/>
      <c r="O2039" s="2"/>
    </row>
    <row r="2040" spans="12:15">
      <c r="L2040" s="2"/>
      <c r="N2040" s="2"/>
      <c r="O2040" s="2"/>
    </row>
    <row r="2041" spans="12:15">
      <c r="L2041" s="2"/>
      <c r="N2041" s="2"/>
      <c r="O2041" s="2"/>
    </row>
    <row r="2042" spans="12:15">
      <c r="L2042" s="2"/>
      <c r="N2042" s="2"/>
      <c r="O2042" s="2"/>
    </row>
    <row r="2043" spans="12:15">
      <c r="L2043" s="2"/>
      <c r="N2043" s="2"/>
      <c r="O2043" s="2"/>
    </row>
    <row r="2044" spans="12:15">
      <c r="L2044" s="2"/>
      <c r="N2044" s="2"/>
      <c r="O2044" s="2"/>
    </row>
    <row r="2045" spans="12:15">
      <c r="L2045" s="2"/>
      <c r="N2045" s="2"/>
      <c r="O2045" s="2"/>
    </row>
    <row r="2046" spans="12:15">
      <c r="L2046" s="2"/>
      <c r="N2046" s="2"/>
      <c r="O2046" s="2"/>
    </row>
    <row r="2047" spans="12:15">
      <c r="L2047" s="2"/>
      <c r="N2047" s="2"/>
      <c r="O2047" s="2"/>
    </row>
    <row r="2048" spans="12:15">
      <c r="L2048" s="2"/>
      <c r="N2048" s="2"/>
      <c r="O2048" s="2"/>
    </row>
    <row r="2049" spans="12:15">
      <c r="L2049" s="2"/>
      <c r="N2049" s="2"/>
      <c r="O2049" s="2"/>
    </row>
    <row r="2050" spans="12:15">
      <c r="L2050" s="2"/>
      <c r="N2050" s="2"/>
      <c r="O2050" s="2"/>
    </row>
    <row r="2051" spans="12:15">
      <c r="L2051" s="2"/>
      <c r="N2051" s="2"/>
      <c r="O2051" s="2"/>
    </row>
    <row r="2052" spans="12:15">
      <c r="L2052" s="2"/>
      <c r="N2052" s="2"/>
      <c r="O2052" s="2"/>
    </row>
    <row r="2053" spans="12:15">
      <c r="L2053" s="2"/>
      <c r="N2053" s="2"/>
      <c r="O2053" s="2"/>
    </row>
    <row r="2054" spans="12:15">
      <c r="L2054" s="2"/>
      <c r="N2054" s="2"/>
      <c r="O2054" s="2"/>
    </row>
    <row r="2055" spans="12:15">
      <c r="L2055" s="2"/>
      <c r="N2055" s="2"/>
      <c r="O2055" s="2"/>
    </row>
    <row r="2056" spans="12:15">
      <c r="L2056" s="2"/>
      <c r="N2056" s="2"/>
      <c r="O2056" s="2"/>
    </row>
    <row r="2057" spans="12:15">
      <c r="L2057" s="2"/>
      <c r="N2057" s="2"/>
      <c r="O2057" s="2"/>
    </row>
    <row r="2058" spans="12:15">
      <c r="L2058" s="2"/>
      <c r="N2058" s="2"/>
      <c r="O2058" s="2"/>
    </row>
    <row r="2059" spans="12:15">
      <c r="L2059" s="2"/>
      <c r="N2059" s="2"/>
      <c r="O2059" s="2"/>
    </row>
    <row r="2060" spans="12:15">
      <c r="L2060" s="2"/>
      <c r="N2060" s="2"/>
      <c r="O2060" s="2"/>
    </row>
    <row r="2061" spans="12:15">
      <c r="L2061" s="2"/>
      <c r="N2061" s="2"/>
      <c r="O2061" s="2"/>
    </row>
    <row r="2062" spans="12:15">
      <c r="L2062" s="2"/>
      <c r="N2062" s="2"/>
      <c r="O2062" s="2"/>
    </row>
    <row r="2063" spans="12:15">
      <c r="L2063" s="2"/>
      <c r="N2063" s="2"/>
      <c r="O2063" s="2"/>
    </row>
    <row r="2064" spans="12:15">
      <c r="L2064" s="2"/>
      <c r="N2064" s="2"/>
      <c r="O2064" s="2"/>
    </row>
    <row r="2065" spans="12:15">
      <c r="L2065" s="2"/>
      <c r="N2065" s="2"/>
      <c r="O2065" s="2"/>
    </row>
    <row r="2066" spans="12:15">
      <c r="L2066" s="2"/>
      <c r="N2066" s="2"/>
      <c r="O2066" s="2"/>
    </row>
    <row r="2067" spans="12:15">
      <c r="L2067" s="2"/>
      <c r="N2067" s="2"/>
      <c r="O2067" s="2"/>
    </row>
    <row r="2068" spans="12:15">
      <c r="L2068" s="2"/>
      <c r="N2068" s="2"/>
      <c r="O2068" s="2"/>
    </row>
    <row r="2069" spans="12:15">
      <c r="L2069" s="2"/>
      <c r="N2069" s="2"/>
      <c r="O2069" s="2"/>
    </row>
    <row r="2070" spans="12:15">
      <c r="L2070" s="2"/>
      <c r="N2070" s="2"/>
      <c r="O2070" s="2"/>
    </row>
    <row r="2071" spans="12:15">
      <c r="L2071" s="2"/>
      <c r="N2071" s="2"/>
      <c r="O2071" s="2"/>
    </row>
    <row r="2072" spans="12:15">
      <c r="L2072" s="2"/>
      <c r="N2072" s="2"/>
      <c r="O2072" s="2"/>
    </row>
    <row r="2073" spans="12:15">
      <c r="L2073" s="2"/>
      <c r="N2073" s="2"/>
      <c r="O2073" s="2"/>
    </row>
    <row r="2074" spans="12:15">
      <c r="L2074" s="2"/>
      <c r="N2074" s="2"/>
      <c r="O2074" s="2"/>
    </row>
    <row r="2075" spans="12:15">
      <c r="L2075" s="2"/>
      <c r="N2075" s="2"/>
      <c r="O2075" s="2"/>
    </row>
    <row r="2076" spans="12:15">
      <c r="L2076" s="2"/>
      <c r="N2076" s="2"/>
      <c r="O2076" s="2"/>
    </row>
    <row r="2077" spans="12:15">
      <c r="L2077" s="2"/>
      <c r="N2077" s="2"/>
      <c r="O2077" s="2"/>
    </row>
    <row r="2078" spans="12:15">
      <c r="L2078" s="2"/>
      <c r="N2078" s="2"/>
      <c r="O2078" s="2"/>
    </row>
    <row r="2079" spans="12:15">
      <c r="L2079" s="2"/>
      <c r="N2079" s="2"/>
      <c r="O2079" s="2"/>
    </row>
    <row r="2080" spans="12:15">
      <c r="L2080" s="2"/>
      <c r="N2080" s="2"/>
      <c r="O2080" s="2"/>
    </row>
    <row r="2081" spans="12:15">
      <c r="L2081" s="2"/>
      <c r="N2081" s="2"/>
      <c r="O2081" s="2"/>
    </row>
    <row r="2082" spans="12:15">
      <c r="L2082" s="2"/>
      <c r="N2082" s="2"/>
      <c r="O2082" s="2"/>
    </row>
    <row r="2083" spans="12:15">
      <c r="L2083" s="2"/>
      <c r="N2083" s="2"/>
      <c r="O2083" s="2"/>
    </row>
    <row r="2084" spans="12:15">
      <c r="L2084" s="2"/>
      <c r="N2084" s="2"/>
      <c r="O2084" s="2"/>
    </row>
    <row r="2085" spans="12:15">
      <c r="L2085" s="2"/>
      <c r="N2085" s="2"/>
      <c r="O2085" s="2"/>
    </row>
    <row r="2086" spans="12:15">
      <c r="L2086" s="2"/>
      <c r="N2086" s="2"/>
      <c r="O2086" s="2"/>
    </row>
    <row r="2087" spans="12:15">
      <c r="L2087" s="2"/>
      <c r="N2087" s="2"/>
      <c r="O2087" s="2"/>
    </row>
    <row r="2088" spans="12:15">
      <c r="L2088" s="2"/>
      <c r="N2088" s="2"/>
      <c r="O2088" s="2"/>
    </row>
    <row r="2089" spans="12:15">
      <c r="L2089" s="2"/>
      <c r="N2089" s="2"/>
      <c r="O2089" s="2"/>
    </row>
    <row r="2090" spans="12:15">
      <c r="L2090" s="2"/>
      <c r="N2090" s="2"/>
      <c r="O2090" s="2"/>
    </row>
    <row r="2091" spans="12:15">
      <c r="L2091" s="2"/>
      <c r="N2091" s="2"/>
      <c r="O2091" s="2"/>
    </row>
    <row r="2092" spans="12:15">
      <c r="L2092" s="2"/>
      <c r="N2092" s="2"/>
      <c r="O2092" s="2"/>
    </row>
    <row r="2093" spans="12:15">
      <c r="L2093" s="2"/>
      <c r="N2093" s="2"/>
      <c r="O2093" s="2"/>
    </row>
    <row r="2094" spans="12:15">
      <c r="L2094" s="2"/>
      <c r="N2094" s="2"/>
      <c r="O2094" s="2"/>
    </row>
    <row r="2095" spans="12:15">
      <c r="L2095" s="2"/>
      <c r="N2095" s="2"/>
      <c r="O2095" s="2"/>
    </row>
    <row r="2096" spans="12:15">
      <c r="L2096" s="2"/>
      <c r="N2096" s="2"/>
      <c r="O2096" s="2"/>
    </row>
    <row r="2097" spans="12:15">
      <c r="L2097" s="2"/>
      <c r="N2097" s="2"/>
      <c r="O2097" s="2"/>
    </row>
    <row r="2098" spans="12:15">
      <c r="L2098" s="2"/>
      <c r="N2098" s="2"/>
      <c r="O2098" s="2"/>
    </row>
    <row r="2099" spans="12:15">
      <c r="L2099" s="2"/>
      <c r="N2099" s="2"/>
      <c r="O2099" s="2"/>
    </row>
    <row r="2100" spans="12:15">
      <c r="L2100" s="2"/>
      <c r="N2100" s="2"/>
      <c r="O2100" s="2"/>
    </row>
    <row r="2101" spans="12:15">
      <c r="L2101" s="2"/>
      <c r="N2101" s="2"/>
      <c r="O2101" s="2"/>
    </row>
    <row r="2102" spans="12:15">
      <c r="L2102" s="2"/>
      <c r="N2102" s="2"/>
      <c r="O2102" s="2"/>
    </row>
    <row r="2103" spans="12:15">
      <c r="L2103" s="2"/>
      <c r="N2103" s="2"/>
      <c r="O2103" s="2"/>
    </row>
    <row r="2104" spans="12:15">
      <c r="L2104" s="2"/>
      <c r="N2104" s="2"/>
      <c r="O2104" s="2"/>
    </row>
    <row r="2105" spans="12:15">
      <c r="L2105" s="2"/>
      <c r="N2105" s="2"/>
      <c r="O2105" s="2"/>
    </row>
    <row r="2106" spans="12:15">
      <c r="L2106" s="2"/>
      <c r="N2106" s="2"/>
      <c r="O2106" s="2"/>
    </row>
    <row r="2107" spans="12:15">
      <c r="L2107" s="2"/>
      <c r="N2107" s="2"/>
      <c r="O2107" s="2"/>
    </row>
    <row r="2108" spans="12:15">
      <c r="L2108" s="2"/>
      <c r="N2108" s="2"/>
      <c r="O2108" s="2"/>
    </row>
    <row r="2109" spans="12:15">
      <c r="L2109" s="2"/>
      <c r="N2109" s="2"/>
      <c r="O2109" s="2"/>
    </row>
    <row r="2110" spans="12:15">
      <c r="L2110" s="2"/>
      <c r="N2110" s="2"/>
      <c r="O2110" s="2"/>
    </row>
    <row r="2111" spans="12:15">
      <c r="L2111" s="2"/>
      <c r="N2111" s="2"/>
      <c r="O2111" s="2"/>
    </row>
    <row r="2112" spans="12:15">
      <c r="L2112" s="2"/>
      <c r="N2112" s="2"/>
      <c r="O2112" s="2"/>
    </row>
    <row r="2113" spans="12:15">
      <c r="L2113" s="2"/>
      <c r="N2113" s="2"/>
      <c r="O2113" s="2"/>
    </row>
    <row r="2114" spans="12:15">
      <c r="L2114" s="2"/>
      <c r="N2114" s="2"/>
      <c r="O2114" s="2"/>
    </row>
    <row r="2115" spans="12:15">
      <c r="L2115" s="2"/>
      <c r="N2115" s="2"/>
      <c r="O2115" s="2"/>
    </row>
    <row r="2116" spans="12:15">
      <c r="L2116" s="2"/>
      <c r="N2116" s="2"/>
      <c r="O2116" s="2"/>
    </row>
    <row r="2117" spans="12:15">
      <c r="L2117" s="2"/>
      <c r="N2117" s="2"/>
      <c r="O2117" s="2"/>
    </row>
    <row r="2118" spans="12:15">
      <c r="L2118" s="2"/>
      <c r="N2118" s="2"/>
      <c r="O2118" s="2"/>
    </row>
    <row r="2119" spans="12:15">
      <c r="L2119" s="2"/>
      <c r="N2119" s="2"/>
      <c r="O2119" s="2"/>
    </row>
    <row r="2120" spans="12:15">
      <c r="L2120" s="2"/>
      <c r="N2120" s="2"/>
      <c r="O2120" s="2"/>
    </row>
    <row r="2121" spans="12:15">
      <c r="L2121" s="2"/>
      <c r="N2121" s="2"/>
      <c r="O2121" s="2"/>
    </row>
    <row r="2122" spans="12:15">
      <c r="L2122" s="2"/>
      <c r="N2122" s="2"/>
      <c r="O2122" s="2"/>
    </row>
    <row r="2123" spans="12:15">
      <c r="L2123" s="2"/>
      <c r="N2123" s="2"/>
      <c r="O2123" s="2"/>
    </row>
    <row r="2124" spans="12:15">
      <c r="L2124" s="2"/>
      <c r="N2124" s="2"/>
      <c r="O2124" s="2"/>
    </row>
    <row r="2125" spans="12:15">
      <c r="L2125" s="2"/>
      <c r="N2125" s="2"/>
      <c r="O2125" s="2"/>
    </row>
    <row r="2126" spans="12:15">
      <c r="L2126" s="2"/>
      <c r="N2126" s="2"/>
      <c r="O2126" s="2"/>
    </row>
    <row r="2127" spans="12:15">
      <c r="L2127" s="2"/>
      <c r="N2127" s="2"/>
      <c r="O2127" s="2"/>
    </row>
    <row r="2128" spans="12:15">
      <c r="L2128" s="2"/>
      <c r="N2128" s="2"/>
      <c r="O2128" s="2"/>
    </row>
    <row r="2129" spans="12:15">
      <c r="L2129" s="2"/>
      <c r="N2129" s="2"/>
      <c r="O2129" s="2"/>
    </row>
    <row r="2130" spans="12:15">
      <c r="L2130" s="2"/>
      <c r="N2130" s="2"/>
      <c r="O2130" s="2"/>
    </row>
    <row r="2131" spans="12:15">
      <c r="L2131" s="2"/>
      <c r="N2131" s="2"/>
      <c r="O2131" s="2"/>
    </row>
    <row r="2132" spans="12:15">
      <c r="L2132" s="2"/>
      <c r="N2132" s="2"/>
      <c r="O2132" s="2"/>
    </row>
    <row r="2133" spans="12:15">
      <c r="L2133" s="2"/>
      <c r="N2133" s="2"/>
      <c r="O2133" s="2"/>
    </row>
    <row r="2134" spans="12:15">
      <c r="L2134" s="2"/>
      <c r="N2134" s="2"/>
      <c r="O2134" s="2"/>
    </row>
    <row r="2135" spans="12:15">
      <c r="L2135" s="2"/>
      <c r="N2135" s="2"/>
      <c r="O2135" s="2"/>
    </row>
    <row r="2136" spans="12:15">
      <c r="L2136" s="2"/>
      <c r="N2136" s="2"/>
      <c r="O2136" s="2"/>
    </row>
    <row r="2137" spans="12:15">
      <c r="L2137" s="2"/>
      <c r="N2137" s="2"/>
      <c r="O2137" s="2"/>
    </row>
    <row r="2138" spans="12:15">
      <c r="L2138" s="2"/>
      <c r="N2138" s="2"/>
      <c r="O2138" s="2"/>
    </row>
    <row r="2139" spans="12:15">
      <c r="L2139" s="2"/>
      <c r="N2139" s="2"/>
      <c r="O2139" s="2"/>
    </row>
    <row r="2140" spans="12:15">
      <c r="L2140" s="2"/>
      <c r="N2140" s="2"/>
      <c r="O2140" s="2"/>
    </row>
    <row r="2141" spans="12:15">
      <c r="L2141" s="2"/>
      <c r="N2141" s="2"/>
      <c r="O2141" s="2"/>
    </row>
    <row r="2142" spans="12:15">
      <c r="L2142" s="2"/>
      <c r="N2142" s="2"/>
      <c r="O2142" s="2"/>
    </row>
    <row r="2143" spans="12:15">
      <c r="L2143" s="2"/>
      <c r="N2143" s="2"/>
      <c r="O2143" s="2"/>
    </row>
    <row r="2144" spans="12:15">
      <c r="L2144" s="2"/>
      <c r="N2144" s="2"/>
      <c r="O2144" s="2"/>
    </row>
    <row r="2145" spans="12:15">
      <c r="L2145" s="2"/>
      <c r="N2145" s="2"/>
      <c r="O2145" s="2"/>
    </row>
    <row r="2146" spans="12:15">
      <c r="L2146" s="2"/>
      <c r="N2146" s="2"/>
      <c r="O2146" s="2"/>
    </row>
    <row r="2147" spans="12:15">
      <c r="L2147" s="2"/>
      <c r="N2147" s="2"/>
      <c r="O2147" s="2"/>
    </row>
    <row r="2148" spans="12:15">
      <c r="L2148" s="2"/>
      <c r="N2148" s="2"/>
      <c r="O2148" s="2"/>
    </row>
    <row r="2149" spans="12:15">
      <c r="L2149" s="2"/>
      <c r="N2149" s="2"/>
      <c r="O2149" s="2"/>
    </row>
    <row r="2150" spans="12:15">
      <c r="L2150" s="2"/>
      <c r="N2150" s="2"/>
      <c r="O2150" s="2"/>
    </row>
    <row r="2151" spans="12:15">
      <c r="L2151" s="2"/>
      <c r="N2151" s="2"/>
      <c r="O2151" s="2"/>
    </row>
    <row r="2152" spans="12:15">
      <c r="L2152" s="2"/>
      <c r="N2152" s="2"/>
      <c r="O2152" s="2"/>
    </row>
    <row r="2153" spans="12:15">
      <c r="L2153" s="2"/>
      <c r="N2153" s="2"/>
      <c r="O2153" s="2"/>
    </row>
    <row r="2154" spans="12:15">
      <c r="L2154" s="2"/>
      <c r="N2154" s="2"/>
      <c r="O2154" s="2"/>
    </row>
    <row r="2155" spans="12:15">
      <c r="L2155" s="2"/>
      <c r="N2155" s="2"/>
      <c r="O2155" s="2"/>
    </row>
    <row r="2156" spans="12:15">
      <c r="L2156" s="2"/>
      <c r="N2156" s="2"/>
      <c r="O2156" s="2"/>
    </row>
    <row r="2157" spans="12:15">
      <c r="L2157" s="2"/>
      <c r="N2157" s="2"/>
      <c r="O2157" s="2"/>
    </row>
    <row r="2158" spans="12:15">
      <c r="L2158" s="2"/>
      <c r="N2158" s="2"/>
      <c r="O2158" s="2"/>
    </row>
    <row r="2159" spans="12:15">
      <c r="L2159" s="2"/>
      <c r="N2159" s="2"/>
      <c r="O2159" s="2"/>
    </row>
    <row r="2160" spans="12:15">
      <c r="L2160" s="2"/>
      <c r="N2160" s="2"/>
      <c r="O2160" s="2"/>
    </row>
    <row r="2161" spans="12:15">
      <c r="L2161" s="2"/>
      <c r="N2161" s="2"/>
      <c r="O2161" s="2"/>
    </row>
    <row r="2162" spans="12:15">
      <c r="L2162" s="2"/>
      <c r="N2162" s="2"/>
      <c r="O2162" s="2"/>
    </row>
    <row r="2163" spans="12:15">
      <c r="L2163" s="2"/>
      <c r="N2163" s="2"/>
      <c r="O2163" s="2"/>
    </row>
    <row r="2164" spans="12:15">
      <c r="L2164" s="2"/>
      <c r="N2164" s="2"/>
      <c r="O2164" s="2"/>
    </row>
    <row r="2165" spans="12:15">
      <c r="L2165" s="2"/>
      <c r="N2165" s="2"/>
      <c r="O2165" s="2"/>
    </row>
    <row r="2166" spans="12:15">
      <c r="L2166" s="2"/>
      <c r="N2166" s="2"/>
      <c r="O2166" s="2"/>
    </row>
    <row r="2167" spans="12:15">
      <c r="L2167" s="2"/>
      <c r="N2167" s="2"/>
      <c r="O2167" s="2"/>
    </row>
    <row r="2168" spans="12:15">
      <c r="L2168" s="2"/>
      <c r="N2168" s="2"/>
      <c r="O2168" s="2"/>
    </row>
    <row r="2169" spans="12:15">
      <c r="L2169" s="2"/>
      <c r="N2169" s="2"/>
      <c r="O2169" s="2"/>
    </row>
    <row r="2170" spans="12:15">
      <c r="L2170" s="2"/>
      <c r="N2170" s="2"/>
      <c r="O2170" s="2"/>
    </row>
    <row r="2171" spans="12:15">
      <c r="L2171" s="2"/>
      <c r="N2171" s="2"/>
      <c r="O2171" s="2"/>
    </row>
    <row r="2172" spans="12:15">
      <c r="L2172" s="2"/>
      <c r="N2172" s="2"/>
      <c r="O2172" s="2"/>
    </row>
    <row r="2173" spans="12:15">
      <c r="L2173" s="2"/>
      <c r="N2173" s="2"/>
      <c r="O2173" s="2"/>
    </row>
    <row r="2174" spans="12:15">
      <c r="L2174" s="2"/>
      <c r="N2174" s="2"/>
      <c r="O2174" s="2"/>
    </row>
    <row r="2175" spans="12:15">
      <c r="L2175" s="2"/>
      <c r="N2175" s="2"/>
      <c r="O2175" s="2"/>
    </row>
    <row r="2176" spans="12:15">
      <c r="L2176" s="2"/>
      <c r="N2176" s="2"/>
      <c r="O2176" s="2"/>
    </row>
    <row r="2177" spans="12:15">
      <c r="L2177" s="2"/>
      <c r="N2177" s="2"/>
      <c r="O2177" s="2"/>
    </row>
    <row r="2178" spans="12:15">
      <c r="L2178" s="2"/>
      <c r="N2178" s="2"/>
      <c r="O2178" s="2"/>
    </row>
    <row r="2179" spans="12:15">
      <c r="L2179" s="2"/>
      <c r="N2179" s="2"/>
      <c r="O2179" s="2"/>
    </row>
    <row r="2180" spans="12:15">
      <c r="L2180" s="2"/>
      <c r="N2180" s="2"/>
      <c r="O2180" s="2"/>
    </row>
    <row r="2181" spans="12:15">
      <c r="L2181" s="2"/>
      <c r="N2181" s="2"/>
      <c r="O2181" s="2"/>
    </row>
    <row r="2182" spans="12:15">
      <c r="L2182" s="2"/>
      <c r="N2182" s="2"/>
      <c r="O2182" s="2"/>
    </row>
    <row r="2183" spans="12:15">
      <c r="L2183" s="2"/>
      <c r="N2183" s="2"/>
      <c r="O2183" s="2"/>
    </row>
    <row r="2184" spans="12:15">
      <c r="L2184" s="2"/>
      <c r="N2184" s="2"/>
      <c r="O2184" s="2"/>
    </row>
    <row r="2185" spans="12:15">
      <c r="L2185" s="2"/>
      <c r="N2185" s="2"/>
      <c r="O2185" s="2"/>
    </row>
    <row r="2186" spans="12:15">
      <c r="L2186" s="2"/>
      <c r="N2186" s="2"/>
      <c r="O2186" s="2"/>
    </row>
    <row r="2187" spans="12:15">
      <c r="L2187" s="2"/>
      <c r="N2187" s="2"/>
      <c r="O2187" s="2"/>
    </row>
    <row r="2188" spans="12:15">
      <c r="L2188" s="2"/>
      <c r="N2188" s="2"/>
      <c r="O2188" s="2"/>
    </row>
    <row r="2189" spans="12:15">
      <c r="L2189" s="2"/>
      <c r="N2189" s="2"/>
      <c r="O2189" s="2"/>
    </row>
    <row r="2190" spans="12:15">
      <c r="L2190" s="2"/>
      <c r="N2190" s="2"/>
      <c r="O2190" s="2"/>
    </row>
    <row r="2191" spans="12:15">
      <c r="L2191" s="2"/>
      <c r="N2191" s="2"/>
      <c r="O2191" s="2"/>
    </row>
    <row r="2192" spans="12:15">
      <c r="L2192" s="2"/>
      <c r="N2192" s="2"/>
      <c r="O2192" s="2"/>
    </row>
    <row r="2193" spans="12:15">
      <c r="L2193" s="2"/>
      <c r="N2193" s="2"/>
      <c r="O2193" s="2"/>
    </row>
    <row r="2194" spans="12:15">
      <c r="L2194" s="2"/>
      <c r="N2194" s="2"/>
      <c r="O2194" s="2"/>
    </row>
    <row r="2195" spans="12:15">
      <c r="L2195" s="2"/>
      <c r="N2195" s="2"/>
      <c r="O2195" s="2"/>
    </row>
    <row r="2196" spans="12:15">
      <c r="L2196" s="2"/>
      <c r="N2196" s="2"/>
      <c r="O2196" s="2"/>
    </row>
    <row r="2197" spans="12:15">
      <c r="L2197" s="2"/>
      <c r="N2197" s="2"/>
      <c r="O2197" s="2"/>
    </row>
    <row r="2198" spans="12:15">
      <c r="L2198" s="2"/>
      <c r="N2198" s="2"/>
      <c r="O2198" s="2"/>
    </row>
    <row r="2199" spans="12:15">
      <c r="L2199" s="2"/>
      <c r="N2199" s="2"/>
      <c r="O2199" s="2"/>
    </row>
    <row r="2200" spans="12:15">
      <c r="L2200" s="2"/>
      <c r="N2200" s="2"/>
      <c r="O2200" s="2"/>
    </row>
    <row r="2201" spans="12:15">
      <c r="L2201" s="2"/>
      <c r="N2201" s="2"/>
      <c r="O2201" s="2"/>
    </row>
    <row r="2202" spans="12:15">
      <c r="L2202" s="2"/>
      <c r="N2202" s="2"/>
      <c r="O2202" s="2"/>
    </row>
    <row r="2203" spans="12:15">
      <c r="L2203" s="2"/>
      <c r="N2203" s="2"/>
      <c r="O2203" s="2"/>
    </row>
    <row r="2204" spans="12:15">
      <c r="L2204" s="2"/>
      <c r="N2204" s="2"/>
      <c r="O2204" s="2"/>
    </row>
    <row r="2205" spans="12:15">
      <c r="L2205" s="2"/>
      <c r="N2205" s="2"/>
      <c r="O2205" s="2"/>
    </row>
    <row r="2206" spans="12:15">
      <c r="L2206" s="2"/>
      <c r="N2206" s="2"/>
      <c r="O2206" s="2"/>
    </row>
    <row r="2207" spans="12:15">
      <c r="L2207" s="2"/>
      <c r="N2207" s="2"/>
      <c r="O2207" s="2"/>
    </row>
    <row r="2208" spans="12:15">
      <c r="L2208" s="2"/>
      <c r="N2208" s="2"/>
      <c r="O2208" s="2"/>
    </row>
    <row r="2209" spans="12:15">
      <c r="L2209" s="2"/>
      <c r="N2209" s="2"/>
      <c r="O2209" s="2"/>
    </row>
    <row r="2210" spans="12:15">
      <c r="L2210" s="2"/>
      <c r="N2210" s="2"/>
      <c r="O2210" s="2"/>
    </row>
    <row r="2211" spans="12:15">
      <c r="L2211" s="2"/>
      <c r="N2211" s="2"/>
      <c r="O2211" s="2"/>
    </row>
    <row r="2212" spans="12:15">
      <c r="L2212" s="2"/>
      <c r="N2212" s="2"/>
      <c r="O2212" s="2"/>
    </row>
    <row r="2213" spans="12:15">
      <c r="L2213" s="2"/>
      <c r="N2213" s="2"/>
      <c r="O2213" s="2"/>
    </row>
    <row r="2214" spans="12:15">
      <c r="L2214" s="2"/>
      <c r="N2214" s="2"/>
      <c r="O2214" s="2"/>
    </row>
    <row r="2215" spans="12:15">
      <c r="L2215" s="2"/>
      <c r="N2215" s="2"/>
      <c r="O2215" s="2"/>
    </row>
    <row r="2216" spans="12:15">
      <c r="L2216" s="2"/>
      <c r="N2216" s="2"/>
      <c r="O2216" s="2"/>
    </row>
    <row r="2217" spans="12:15">
      <c r="L2217" s="2"/>
      <c r="N2217" s="2"/>
      <c r="O2217" s="2"/>
    </row>
    <row r="2218" spans="12:15">
      <c r="L2218" s="2"/>
      <c r="N2218" s="2"/>
      <c r="O2218" s="2"/>
    </row>
    <row r="2219" spans="12:15">
      <c r="L2219" s="2"/>
      <c r="N2219" s="2"/>
      <c r="O2219" s="2"/>
    </row>
    <row r="2220" spans="12:15">
      <c r="L2220" s="2"/>
      <c r="N2220" s="2"/>
      <c r="O2220" s="2"/>
    </row>
    <row r="2221" spans="12:15">
      <c r="L2221" s="2"/>
      <c r="N2221" s="2"/>
      <c r="O2221" s="2"/>
    </row>
    <row r="2222" spans="12:15">
      <c r="L2222" s="2"/>
      <c r="N2222" s="2"/>
      <c r="O2222" s="2"/>
    </row>
    <row r="2223" spans="12:15">
      <c r="L2223" s="2"/>
      <c r="N2223" s="2"/>
      <c r="O2223" s="2"/>
    </row>
    <row r="2224" spans="12:15">
      <c r="L2224" s="2"/>
      <c r="N2224" s="2"/>
      <c r="O2224" s="2"/>
    </row>
    <row r="2225" spans="12:15">
      <c r="L2225" s="2"/>
      <c r="N2225" s="2"/>
      <c r="O2225" s="2"/>
    </row>
    <row r="2226" spans="12:15">
      <c r="L2226" s="2"/>
      <c r="N2226" s="2"/>
      <c r="O2226" s="2"/>
    </row>
    <row r="2227" spans="12:15">
      <c r="L2227" s="2"/>
      <c r="N2227" s="2"/>
      <c r="O2227" s="2"/>
    </row>
    <row r="2228" spans="12:15">
      <c r="L2228" s="2"/>
      <c r="N2228" s="2"/>
      <c r="O2228" s="2"/>
    </row>
    <row r="2229" spans="12:15">
      <c r="L2229" s="2"/>
      <c r="N2229" s="2"/>
      <c r="O2229" s="2"/>
    </row>
    <row r="2230" spans="12:15">
      <c r="L2230" s="2"/>
      <c r="N2230" s="2"/>
      <c r="O2230" s="2"/>
    </row>
    <row r="2231" spans="12:15">
      <c r="L2231" s="2"/>
      <c r="N2231" s="2"/>
      <c r="O2231" s="2"/>
    </row>
    <row r="2232" spans="12:15">
      <c r="L2232" s="2"/>
      <c r="N2232" s="2"/>
      <c r="O2232" s="2"/>
    </row>
    <row r="2233" spans="12:15">
      <c r="L2233" s="2"/>
      <c r="N2233" s="2"/>
      <c r="O2233" s="2"/>
    </row>
    <row r="2234" spans="12:15">
      <c r="L2234" s="2"/>
      <c r="N2234" s="2"/>
      <c r="O2234" s="2"/>
    </row>
    <row r="2235" spans="12:15">
      <c r="L2235" s="2"/>
      <c r="N2235" s="2"/>
      <c r="O2235" s="2"/>
    </row>
    <row r="2236" spans="12:15">
      <c r="L2236" s="2"/>
      <c r="N2236" s="2"/>
      <c r="O2236" s="2"/>
    </row>
    <row r="2237" spans="12:15">
      <c r="L2237" s="2"/>
      <c r="N2237" s="2"/>
      <c r="O2237" s="2"/>
    </row>
    <row r="2238" spans="12:15">
      <c r="L2238" s="2"/>
      <c r="N2238" s="2"/>
      <c r="O2238" s="2"/>
    </row>
    <row r="2239" spans="12:15">
      <c r="L2239" s="2"/>
      <c r="N2239" s="2"/>
      <c r="O2239" s="2"/>
    </row>
    <row r="2240" spans="12:15">
      <c r="L2240" s="2"/>
      <c r="N2240" s="2"/>
      <c r="O2240" s="2"/>
    </row>
    <row r="2241" spans="12:15">
      <c r="L2241" s="2"/>
      <c r="N2241" s="2"/>
      <c r="O2241" s="2"/>
    </row>
    <row r="2242" spans="12:15">
      <c r="L2242" s="2"/>
      <c r="N2242" s="2"/>
      <c r="O2242" s="2"/>
    </row>
    <row r="2243" spans="12:15">
      <c r="L2243" s="2"/>
      <c r="N2243" s="2"/>
      <c r="O2243" s="2"/>
    </row>
    <row r="2244" spans="12:15">
      <c r="L2244" s="2"/>
      <c r="N2244" s="2"/>
      <c r="O2244" s="2"/>
    </row>
    <row r="2245" spans="12:15">
      <c r="L2245" s="2"/>
      <c r="N2245" s="2"/>
      <c r="O2245" s="2"/>
    </row>
    <row r="2246" spans="12:15">
      <c r="L2246" s="2"/>
      <c r="N2246" s="2"/>
      <c r="O2246" s="2"/>
    </row>
    <row r="2247" spans="12:15">
      <c r="L2247" s="2"/>
      <c r="N2247" s="2"/>
      <c r="O2247" s="2"/>
    </row>
    <row r="2248" spans="12:15">
      <c r="L2248" s="2"/>
      <c r="N2248" s="2"/>
      <c r="O2248" s="2"/>
    </row>
    <row r="2249" spans="12:15">
      <c r="L2249" s="2"/>
      <c r="N2249" s="2"/>
      <c r="O2249" s="2"/>
    </row>
    <row r="2250" spans="12:15">
      <c r="L2250" s="2"/>
      <c r="N2250" s="2"/>
      <c r="O2250" s="2"/>
    </row>
    <row r="2251" spans="12:15">
      <c r="L2251" s="2"/>
      <c r="N2251" s="2"/>
      <c r="O2251" s="2"/>
    </row>
    <row r="2252" spans="12:15">
      <c r="L2252" s="2"/>
      <c r="N2252" s="2"/>
      <c r="O2252" s="2"/>
    </row>
    <row r="2253" spans="12:15">
      <c r="L2253" s="2"/>
      <c r="N2253" s="2"/>
      <c r="O2253" s="2"/>
    </row>
    <row r="2254" spans="12:15">
      <c r="L2254" s="2"/>
      <c r="N2254" s="2"/>
      <c r="O2254" s="2"/>
    </row>
    <row r="2255" spans="12:15">
      <c r="L2255" s="2"/>
      <c r="N2255" s="2"/>
      <c r="O2255" s="2"/>
    </row>
    <row r="2256" spans="12:15">
      <c r="L2256" s="2"/>
      <c r="N2256" s="2"/>
      <c r="O2256" s="2"/>
    </row>
    <row r="2257" spans="12:15">
      <c r="L2257" s="2"/>
      <c r="N2257" s="2"/>
      <c r="O2257" s="2"/>
    </row>
    <row r="2258" spans="12:15">
      <c r="L2258" s="2"/>
      <c r="N2258" s="2"/>
      <c r="O2258" s="2"/>
    </row>
    <row r="2259" spans="12:15">
      <c r="L2259" s="2"/>
      <c r="N2259" s="2"/>
      <c r="O2259" s="2"/>
    </row>
    <row r="2260" spans="12:15">
      <c r="L2260" s="2"/>
      <c r="N2260" s="2"/>
      <c r="O2260" s="2"/>
    </row>
    <row r="2261" spans="12:15">
      <c r="L2261" s="2"/>
      <c r="N2261" s="2"/>
      <c r="O2261" s="2"/>
    </row>
    <row r="2262" spans="12:15">
      <c r="L2262" s="2"/>
      <c r="N2262" s="2"/>
      <c r="O2262" s="2"/>
    </row>
    <row r="2263" spans="12:15">
      <c r="L2263" s="2"/>
      <c r="N2263" s="2"/>
      <c r="O2263" s="2"/>
    </row>
    <row r="2264" spans="12:15">
      <c r="L2264" s="2"/>
      <c r="N2264" s="2"/>
      <c r="O2264" s="2"/>
    </row>
    <row r="2265" spans="12:15">
      <c r="L2265" s="2"/>
      <c r="N2265" s="2"/>
      <c r="O2265" s="2"/>
    </row>
    <row r="2266" spans="12:15">
      <c r="L2266" s="2"/>
      <c r="N2266" s="2"/>
      <c r="O2266" s="2"/>
    </row>
    <row r="2267" spans="12:15">
      <c r="L2267" s="2"/>
      <c r="N2267" s="2"/>
      <c r="O2267" s="2"/>
    </row>
    <row r="2268" spans="12:15">
      <c r="L2268" s="2"/>
      <c r="N2268" s="2"/>
      <c r="O2268" s="2"/>
    </row>
    <row r="2269" spans="12:15">
      <c r="L2269" s="2"/>
      <c r="N2269" s="2"/>
      <c r="O2269" s="2"/>
    </row>
    <row r="2270" spans="12:15">
      <c r="L2270" s="2"/>
      <c r="N2270" s="2"/>
      <c r="O2270" s="2"/>
    </row>
    <row r="2271" spans="12:15">
      <c r="L2271" s="2"/>
      <c r="N2271" s="2"/>
      <c r="O2271" s="2"/>
    </row>
    <row r="2272" spans="12:15">
      <c r="L2272" s="2"/>
      <c r="N2272" s="2"/>
      <c r="O2272" s="2"/>
    </row>
    <row r="2273" spans="12:15">
      <c r="L2273" s="2"/>
      <c r="N2273" s="2"/>
      <c r="O2273" s="2"/>
    </row>
    <row r="2274" spans="12:15">
      <c r="L2274" s="2"/>
      <c r="N2274" s="2"/>
      <c r="O2274" s="2"/>
    </row>
    <row r="2275" spans="12:15">
      <c r="L2275" s="2"/>
      <c r="N2275" s="2"/>
      <c r="O2275" s="2"/>
    </row>
    <row r="2276" spans="12:15">
      <c r="L2276" s="2"/>
      <c r="N2276" s="2"/>
      <c r="O2276" s="2"/>
    </row>
    <row r="2277" spans="12:15">
      <c r="L2277" s="2"/>
      <c r="N2277" s="2"/>
      <c r="O2277" s="2"/>
    </row>
    <row r="2278" spans="12:15">
      <c r="L2278" s="2"/>
      <c r="N2278" s="2"/>
      <c r="O2278" s="2"/>
    </row>
    <row r="2279" spans="12:15">
      <c r="L2279" s="2"/>
      <c r="N2279" s="2"/>
      <c r="O2279" s="2"/>
    </row>
    <row r="2280" spans="12:15">
      <c r="L2280" s="2"/>
      <c r="N2280" s="2"/>
      <c r="O2280" s="2"/>
    </row>
    <row r="2281" spans="12:15">
      <c r="L2281" s="2"/>
      <c r="N2281" s="2"/>
      <c r="O2281" s="2"/>
    </row>
    <row r="2282" spans="12:15">
      <c r="L2282" s="2"/>
      <c r="N2282" s="2"/>
      <c r="O2282" s="2"/>
    </row>
    <row r="2283" spans="12:15">
      <c r="L2283" s="2"/>
      <c r="N2283" s="2"/>
      <c r="O2283" s="2"/>
    </row>
    <row r="2284" spans="12:15">
      <c r="L2284" s="2"/>
      <c r="N2284" s="2"/>
      <c r="O2284" s="2"/>
    </row>
    <row r="2285" spans="12:15">
      <c r="L2285" s="2"/>
      <c r="N2285" s="2"/>
      <c r="O2285" s="2"/>
    </row>
    <row r="2286" spans="12:15">
      <c r="L2286" s="2"/>
      <c r="N2286" s="2"/>
      <c r="O2286" s="2"/>
    </row>
    <row r="2287" spans="12:15">
      <c r="L2287" s="2"/>
      <c r="N2287" s="2"/>
      <c r="O2287" s="2"/>
    </row>
    <row r="2288" spans="12:15">
      <c r="L2288" s="2"/>
      <c r="N2288" s="2"/>
      <c r="O2288" s="2"/>
    </row>
    <row r="2289" spans="12:15">
      <c r="L2289" s="2"/>
      <c r="N2289" s="2"/>
      <c r="O2289" s="2"/>
    </row>
    <row r="2290" spans="12:15">
      <c r="L2290" s="2"/>
      <c r="N2290" s="2"/>
      <c r="O2290" s="2"/>
    </row>
    <row r="2291" spans="12:15">
      <c r="L2291" s="2"/>
      <c r="N2291" s="2"/>
      <c r="O2291" s="2"/>
    </row>
    <row r="2292" spans="12:15">
      <c r="L2292" s="2"/>
      <c r="N2292" s="2"/>
      <c r="O2292" s="2"/>
    </row>
    <row r="2293" spans="12:15">
      <c r="L2293" s="2"/>
      <c r="N2293" s="2"/>
      <c r="O2293" s="2"/>
    </row>
    <row r="2294" spans="12:15">
      <c r="L2294" s="2"/>
      <c r="N2294" s="2"/>
      <c r="O2294" s="2"/>
    </row>
    <row r="2295" spans="12:15">
      <c r="L2295" s="2"/>
      <c r="N2295" s="2"/>
      <c r="O2295" s="2"/>
    </row>
    <row r="2296" spans="12:15">
      <c r="L2296" s="2"/>
      <c r="N2296" s="2"/>
      <c r="O2296" s="2"/>
    </row>
    <row r="2297" spans="12:15">
      <c r="L2297" s="2"/>
      <c r="N2297" s="2"/>
      <c r="O2297" s="2"/>
    </row>
    <row r="2298" spans="12:15">
      <c r="L2298" s="2"/>
      <c r="N2298" s="2"/>
      <c r="O2298" s="2"/>
    </row>
    <row r="2299" spans="12:15">
      <c r="L2299" s="2"/>
      <c r="N2299" s="2"/>
      <c r="O2299" s="2"/>
    </row>
    <row r="2300" spans="12:15">
      <c r="L2300" s="2"/>
      <c r="N2300" s="2"/>
      <c r="O2300" s="2"/>
    </row>
    <row r="2301" spans="12:15">
      <c r="L2301" s="2"/>
      <c r="N2301" s="2"/>
      <c r="O2301" s="2"/>
    </row>
    <row r="2302" spans="12:15">
      <c r="L2302" s="2"/>
      <c r="N2302" s="2"/>
      <c r="O2302" s="2"/>
    </row>
    <row r="2303" spans="12:15">
      <c r="L2303" s="2"/>
      <c r="N2303" s="2"/>
      <c r="O2303" s="2"/>
    </row>
    <row r="2304" spans="12:15">
      <c r="L2304" s="2"/>
      <c r="N2304" s="2"/>
      <c r="O2304" s="2"/>
    </row>
    <row r="2305" spans="12:15">
      <c r="L2305" s="2"/>
      <c r="N2305" s="2"/>
      <c r="O2305" s="2"/>
    </row>
    <row r="2306" spans="12:15">
      <c r="L2306" s="2"/>
      <c r="N2306" s="2"/>
      <c r="O2306" s="2"/>
    </row>
    <row r="2307" spans="12:15">
      <c r="L2307" s="2"/>
      <c r="N2307" s="2"/>
      <c r="O2307" s="2"/>
    </row>
    <row r="2308" spans="12:15">
      <c r="L2308" s="2"/>
      <c r="N2308" s="2"/>
      <c r="O2308" s="2"/>
    </row>
    <row r="2309" spans="12:15">
      <c r="L2309" s="2"/>
      <c r="N2309" s="2"/>
      <c r="O2309" s="2"/>
    </row>
    <row r="2310" spans="12:15">
      <c r="L2310" s="2"/>
      <c r="N2310" s="2"/>
      <c r="O2310" s="2"/>
    </row>
    <row r="2311" spans="12:15">
      <c r="L2311" s="2"/>
      <c r="N2311" s="2"/>
      <c r="O2311" s="2"/>
    </row>
    <row r="2312" spans="12:15">
      <c r="L2312" s="2"/>
      <c r="N2312" s="2"/>
      <c r="O2312" s="2"/>
    </row>
    <row r="2313" spans="12:15">
      <c r="L2313" s="2"/>
      <c r="N2313" s="2"/>
      <c r="O2313" s="2"/>
    </row>
    <row r="2314" spans="12:15">
      <c r="L2314" s="2"/>
      <c r="N2314" s="2"/>
      <c r="O2314" s="2"/>
    </row>
    <row r="2315" spans="12:15">
      <c r="L2315" s="2"/>
      <c r="N2315" s="2"/>
      <c r="O2315" s="2"/>
    </row>
    <row r="2316" spans="12:15">
      <c r="L2316" s="2"/>
      <c r="N2316" s="2"/>
      <c r="O2316" s="2"/>
    </row>
    <row r="2317" spans="12:15">
      <c r="L2317" s="2"/>
      <c r="N2317" s="2"/>
      <c r="O2317" s="2"/>
    </row>
    <row r="2318" spans="12:15">
      <c r="L2318" s="2"/>
      <c r="N2318" s="2"/>
      <c r="O2318" s="2"/>
    </row>
    <row r="2319" spans="12:15">
      <c r="L2319" s="2"/>
      <c r="N2319" s="2"/>
      <c r="O2319" s="2"/>
    </row>
    <row r="2320" spans="12:15">
      <c r="L2320" s="2"/>
      <c r="N2320" s="2"/>
      <c r="O2320" s="2"/>
    </row>
    <row r="2321" spans="12:15">
      <c r="L2321" s="2"/>
      <c r="N2321" s="2"/>
      <c r="O2321" s="2"/>
    </row>
    <row r="2322" spans="12:15">
      <c r="L2322" s="2"/>
      <c r="N2322" s="2"/>
      <c r="O2322" s="2"/>
    </row>
    <row r="2323" spans="12:15">
      <c r="L2323" s="2"/>
      <c r="N2323" s="2"/>
      <c r="O2323" s="2"/>
    </row>
    <row r="2324" spans="12:15">
      <c r="L2324" s="2"/>
      <c r="N2324" s="2"/>
      <c r="O2324" s="2"/>
    </row>
    <row r="2325" spans="12:15">
      <c r="L2325" s="2"/>
      <c r="N2325" s="2"/>
      <c r="O2325" s="2"/>
    </row>
    <row r="2326" spans="12:15">
      <c r="L2326" s="2"/>
      <c r="N2326" s="2"/>
      <c r="O2326" s="2"/>
    </row>
    <row r="2327" spans="12:15">
      <c r="L2327" s="2"/>
      <c r="N2327" s="2"/>
      <c r="O2327" s="2"/>
    </row>
    <row r="2328" spans="12:15">
      <c r="L2328" s="2"/>
      <c r="N2328" s="2"/>
      <c r="O2328" s="2"/>
    </row>
    <row r="2329" spans="12:15">
      <c r="L2329" s="2"/>
      <c r="N2329" s="2"/>
      <c r="O2329" s="2"/>
    </row>
    <row r="2330" spans="12:15">
      <c r="L2330" s="2"/>
      <c r="N2330" s="2"/>
      <c r="O2330" s="2"/>
    </row>
    <row r="2331" spans="12:15">
      <c r="L2331" s="2"/>
      <c r="N2331" s="2"/>
      <c r="O2331" s="2"/>
    </row>
    <row r="2332" spans="12:15">
      <c r="L2332" s="2"/>
      <c r="N2332" s="2"/>
      <c r="O2332" s="2"/>
    </row>
    <row r="2333" spans="12:15">
      <c r="L2333" s="2"/>
      <c r="N2333" s="2"/>
      <c r="O2333" s="2"/>
    </row>
    <row r="2334" spans="12:15">
      <c r="L2334" s="2"/>
      <c r="N2334" s="2"/>
      <c r="O2334" s="2"/>
    </row>
    <row r="2335" spans="12:15">
      <c r="L2335" s="2"/>
      <c r="N2335" s="2"/>
      <c r="O2335" s="2"/>
    </row>
    <row r="2336" spans="12:15">
      <c r="L2336" s="2"/>
      <c r="N2336" s="2"/>
      <c r="O2336" s="2"/>
    </row>
    <row r="2337" spans="12:15">
      <c r="L2337" s="2"/>
      <c r="N2337" s="2"/>
      <c r="O2337" s="2"/>
    </row>
    <row r="2338" spans="12:15">
      <c r="L2338" s="2"/>
      <c r="N2338" s="2"/>
      <c r="O2338" s="2"/>
    </row>
    <row r="2339" spans="12:15">
      <c r="L2339" s="2"/>
      <c r="N2339" s="2"/>
      <c r="O2339" s="2"/>
    </row>
    <row r="2340" spans="12:15">
      <c r="L2340" s="2"/>
      <c r="N2340" s="2"/>
      <c r="O2340" s="2"/>
    </row>
    <row r="2341" spans="12:15">
      <c r="L2341" s="2"/>
      <c r="N2341" s="2"/>
      <c r="O2341" s="2"/>
    </row>
    <row r="2342" spans="12:15">
      <c r="L2342" s="2"/>
      <c r="N2342" s="2"/>
      <c r="O2342" s="2"/>
    </row>
    <row r="2343" spans="12:15">
      <c r="L2343" s="2"/>
      <c r="N2343" s="2"/>
      <c r="O2343" s="2"/>
    </row>
    <row r="2344" spans="12:15">
      <c r="L2344" s="2"/>
      <c r="N2344" s="2"/>
      <c r="O2344" s="2"/>
    </row>
    <row r="2345" spans="12:15">
      <c r="L2345" s="2"/>
      <c r="N2345" s="2"/>
      <c r="O2345" s="2"/>
    </row>
    <row r="2346" spans="12:15">
      <c r="L2346" s="2"/>
      <c r="N2346" s="2"/>
      <c r="O2346" s="2"/>
    </row>
    <row r="2347" spans="12:15">
      <c r="L2347" s="2"/>
      <c r="N2347" s="2"/>
      <c r="O2347" s="2"/>
    </row>
    <row r="2348" spans="12:15">
      <c r="L2348" s="2"/>
      <c r="N2348" s="2"/>
      <c r="O2348" s="2"/>
    </row>
    <row r="2349" spans="12:15">
      <c r="L2349" s="2"/>
      <c r="N2349" s="2"/>
      <c r="O2349" s="2"/>
    </row>
    <row r="2350" spans="12:15">
      <c r="L2350" s="2"/>
      <c r="N2350" s="2"/>
      <c r="O2350" s="2"/>
    </row>
    <row r="2351" spans="12:15">
      <c r="L2351" s="2"/>
      <c r="N2351" s="2"/>
      <c r="O2351" s="2"/>
    </row>
    <row r="2352" spans="12:15">
      <c r="L2352" s="2"/>
      <c r="N2352" s="2"/>
      <c r="O2352" s="2"/>
    </row>
    <row r="2353" spans="12:15">
      <c r="L2353" s="2"/>
      <c r="N2353" s="2"/>
      <c r="O2353" s="2"/>
    </row>
    <row r="2354" spans="12:15">
      <c r="L2354" s="2"/>
      <c r="N2354" s="2"/>
      <c r="O2354" s="2"/>
    </row>
    <row r="2355" spans="12:15">
      <c r="L2355" s="2"/>
      <c r="N2355" s="2"/>
      <c r="O2355" s="2"/>
    </row>
    <row r="2356" spans="12:15">
      <c r="L2356" s="2"/>
      <c r="N2356" s="2"/>
      <c r="O2356" s="2"/>
    </row>
    <row r="2357" spans="12:15">
      <c r="L2357" s="2"/>
      <c r="N2357" s="2"/>
      <c r="O2357" s="2"/>
    </row>
    <row r="2358" spans="12:15">
      <c r="L2358" s="2"/>
      <c r="N2358" s="2"/>
      <c r="O2358" s="2"/>
    </row>
    <row r="2359" spans="12:15">
      <c r="L2359" s="2"/>
      <c r="N2359" s="2"/>
      <c r="O2359" s="2"/>
    </row>
    <row r="2360" spans="12:15">
      <c r="L2360" s="2"/>
      <c r="N2360" s="2"/>
      <c r="O2360" s="2"/>
    </row>
    <row r="2361" spans="12:15">
      <c r="L2361" s="2"/>
      <c r="N2361" s="2"/>
      <c r="O2361" s="2"/>
    </row>
    <row r="2362" spans="12:15">
      <c r="L2362" s="2"/>
      <c r="N2362" s="2"/>
      <c r="O2362" s="2"/>
    </row>
    <row r="2363" spans="12:15">
      <c r="L2363" s="2"/>
      <c r="N2363" s="2"/>
      <c r="O2363" s="2"/>
    </row>
    <row r="2364" spans="12:15">
      <c r="L2364" s="2"/>
      <c r="N2364" s="2"/>
      <c r="O2364" s="2"/>
    </row>
    <row r="2365" spans="12:15">
      <c r="L2365" s="2"/>
      <c r="N2365" s="2"/>
      <c r="O2365" s="2"/>
    </row>
    <row r="2366" spans="12:15">
      <c r="L2366" s="2"/>
      <c r="N2366" s="2"/>
      <c r="O2366" s="2"/>
    </row>
    <row r="2367" spans="12:15">
      <c r="L2367" s="2"/>
      <c r="N2367" s="2"/>
      <c r="O2367" s="2"/>
    </row>
    <row r="2368" spans="12:15">
      <c r="L2368" s="2"/>
      <c r="N2368" s="2"/>
      <c r="O2368" s="2"/>
    </row>
    <row r="2369" spans="12:15">
      <c r="L2369" s="2"/>
      <c r="N2369" s="2"/>
      <c r="O2369" s="2"/>
    </row>
    <row r="2370" spans="12:15">
      <c r="L2370" s="2"/>
      <c r="N2370" s="2"/>
      <c r="O2370" s="2"/>
    </row>
    <row r="2371" spans="12:15">
      <c r="L2371" s="2"/>
      <c r="N2371" s="2"/>
      <c r="O2371" s="2"/>
    </row>
    <row r="2372" spans="12:15">
      <c r="L2372" s="2"/>
      <c r="N2372" s="2"/>
      <c r="O2372" s="2"/>
    </row>
    <row r="2373" spans="12:15">
      <c r="L2373" s="2"/>
      <c r="N2373" s="2"/>
      <c r="O2373" s="2"/>
    </row>
    <row r="2374" spans="12:15">
      <c r="L2374" s="2"/>
      <c r="N2374" s="2"/>
      <c r="O2374" s="2"/>
    </row>
    <row r="2375" spans="12:15">
      <c r="L2375" s="2"/>
      <c r="N2375" s="2"/>
      <c r="O2375" s="2"/>
    </row>
    <row r="2376" spans="12:15">
      <c r="L2376" s="2"/>
      <c r="N2376" s="2"/>
      <c r="O2376" s="2"/>
    </row>
    <row r="2377" spans="12:15">
      <c r="L2377" s="2"/>
      <c r="N2377" s="2"/>
      <c r="O2377" s="2"/>
    </row>
    <row r="2378" spans="12:15">
      <c r="L2378" s="2"/>
      <c r="N2378" s="2"/>
      <c r="O2378" s="2"/>
    </row>
    <row r="2379" spans="12:15">
      <c r="L2379" s="2"/>
      <c r="N2379" s="2"/>
      <c r="O2379" s="2"/>
    </row>
    <row r="2380" spans="12:15">
      <c r="L2380" s="2"/>
      <c r="N2380" s="2"/>
      <c r="O2380" s="2"/>
    </row>
    <row r="2381" spans="12:15">
      <c r="L2381" s="2"/>
      <c r="N2381" s="2"/>
      <c r="O2381" s="2"/>
    </row>
    <row r="2382" spans="12:15">
      <c r="L2382" s="2"/>
      <c r="N2382" s="2"/>
      <c r="O2382" s="2"/>
    </row>
    <row r="2383" spans="12:15">
      <c r="L2383" s="2"/>
      <c r="N2383" s="2"/>
      <c r="O2383" s="2"/>
    </row>
    <row r="2384" spans="12:15">
      <c r="L2384" s="2"/>
      <c r="N2384" s="2"/>
      <c r="O2384" s="2"/>
    </row>
    <row r="2385" spans="12:15">
      <c r="L2385" s="2"/>
      <c r="N2385" s="2"/>
      <c r="O2385" s="2"/>
    </row>
    <row r="2386" spans="12:15">
      <c r="L2386" s="2"/>
      <c r="N2386" s="2"/>
      <c r="O2386" s="2"/>
    </row>
    <row r="2387" spans="12:15">
      <c r="L2387" s="2"/>
      <c r="N2387" s="2"/>
      <c r="O2387" s="2"/>
    </row>
    <row r="2388" spans="12:15">
      <c r="L2388" s="2"/>
      <c r="N2388" s="2"/>
      <c r="O2388" s="2"/>
    </row>
    <row r="2389" spans="12:15">
      <c r="L2389" s="2"/>
      <c r="N2389" s="2"/>
      <c r="O2389" s="2"/>
    </row>
    <row r="2390" spans="12:15">
      <c r="L2390" s="2"/>
      <c r="N2390" s="2"/>
      <c r="O2390" s="2"/>
    </row>
    <row r="2391" spans="12:15">
      <c r="L2391" s="2"/>
      <c r="N2391" s="2"/>
      <c r="O2391" s="2"/>
    </row>
    <row r="2392" spans="12:15">
      <c r="L2392" s="2"/>
      <c r="N2392" s="2"/>
      <c r="O2392" s="2"/>
    </row>
    <row r="2393" spans="12:15">
      <c r="L2393" s="2"/>
      <c r="N2393" s="2"/>
      <c r="O2393" s="2"/>
    </row>
    <row r="2394" spans="12:15">
      <c r="L2394" s="2"/>
      <c r="N2394" s="2"/>
      <c r="O2394" s="2"/>
    </row>
    <row r="2395" spans="12:15">
      <c r="L2395" s="2"/>
      <c r="N2395" s="2"/>
      <c r="O2395" s="2"/>
    </row>
    <row r="2396" spans="12:15">
      <c r="L2396" s="2"/>
      <c r="N2396" s="2"/>
      <c r="O2396" s="2"/>
    </row>
    <row r="2397" spans="12:15">
      <c r="L2397" s="2"/>
      <c r="N2397" s="2"/>
      <c r="O2397" s="2"/>
    </row>
    <row r="2398" spans="12:15">
      <c r="L2398" s="2"/>
      <c r="N2398" s="2"/>
      <c r="O2398" s="2"/>
    </row>
    <row r="2399" spans="12:15">
      <c r="L2399" s="2"/>
      <c r="N2399" s="2"/>
      <c r="O2399" s="2"/>
    </row>
    <row r="2400" spans="12:15">
      <c r="L2400" s="2"/>
      <c r="N2400" s="2"/>
      <c r="O2400" s="2"/>
    </row>
    <row r="2401" spans="12:15">
      <c r="L2401" s="2"/>
      <c r="N2401" s="2"/>
      <c r="O2401" s="2"/>
    </row>
    <row r="2402" spans="12:15">
      <c r="L2402" s="2"/>
      <c r="N2402" s="2"/>
      <c r="O2402" s="2"/>
    </row>
    <row r="2403" spans="12:15">
      <c r="L2403" s="2"/>
      <c r="N2403" s="2"/>
      <c r="O2403" s="2"/>
    </row>
    <row r="2404" spans="12:15">
      <c r="L2404" s="2"/>
      <c r="N2404" s="2"/>
      <c r="O2404" s="2"/>
    </row>
    <row r="2405" spans="12:15">
      <c r="L2405" s="2"/>
      <c r="N2405" s="2"/>
      <c r="O2405" s="2"/>
    </row>
    <row r="2406" spans="12:15">
      <c r="L2406" s="2"/>
      <c r="N2406" s="2"/>
      <c r="O2406" s="2"/>
    </row>
    <row r="2407" spans="12:15">
      <c r="L2407" s="2"/>
      <c r="N2407" s="2"/>
      <c r="O2407" s="2"/>
    </row>
    <row r="2408" spans="12:15">
      <c r="L2408" s="2"/>
      <c r="N2408" s="2"/>
      <c r="O2408" s="2"/>
    </row>
    <row r="2409" spans="12:15">
      <c r="L2409" s="2"/>
      <c r="N2409" s="2"/>
      <c r="O2409" s="2"/>
    </row>
    <row r="2410" spans="12:15">
      <c r="L2410" s="2"/>
      <c r="N2410" s="2"/>
      <c r="O2410" s="2"/>
    </row>
    <row r="2411" spans="12:15">
      <c r="L2411" s="2"/>
      <c r="N2411" s="2"/>
      <c r="O2411" s="2"/>
    </row>
    <row r="2412" spans="12:15">
      <c r="L2412" s="2"/>
      <c r="N2412" s="2"/>
      <c r="O2412" s="2"/>
    </row>
    <row r="2413" spans="12:15">
      <c r="L2413" s="2"/>
      <c r="N2413" s="2"/>
      <c r="O2413" s="2"/>
    </row>
    <row r="2414" spans="12:15">
      <c r="L2414" s="2"/>
      <c r="N2414" s="2"/>
      <c r="O2414" s="2"/>
    </row>
    <row r="2415" spans="12:15">
      <c r="L2415" s="2"/>
      <c r="N2415" s="2"/>
      <c r="O2415" s="2"/>
    </row>
    <row r="2416" spans="12:15">
      <c r="L2416" s="2"/>
      <c r="N2416" s="2"/>
      <c r="O2416" s="2"/>
    </row>
    <row r="2417" spans="12:15">
      <c r="L2417" s="2"/>
      <c r="N2417" s="2"/>
      <c r="O2417" s="2"/>
    </row>
    <row r="2418" spans="12:15">
      <c r="L2418" s="2"/>
      <c r="N2418" s="2"/>
      <c r="O2418" s="2"/>
    </row>
    <row r="2419" spans="12:15">
      <c r="L2419" s="2"/>
      <c r="N2419" s="2"/>
      <c r="O2419" s="2"/>
    </row>
    <row r="2420" spans="12:15">
      <c r="L2420" s="2"/>
      <c r="N2420" s="2"/>
      <c r="O2420" s="2"/>
    </row>
    <row r="2421" spans="12:15">
      <c r="L2421" s="2"/>
      <c r="N2421" s="2"/>
      <c r="O2421" s="2"/>
    </row>
    <row r="2422" spans="12:15">
      <c r="L2422" s="2"/>
      <c r="N2422" s="2"/>
      <c r="O2422" s="2"/>
    </row>
    <row r="2423" spans="12:15">
      <c r="L2423" s="2"/>
      <c r="N2423" s="2"/>
      <c r="O2423" s="2"/>
    </row>
    <row r="2424" spans="12:15">
      <c r="L2424" s="2"/>
      <c r="N2424" s="2"/>
      <c r="O2424" s="2"/>
    </row>
    <row r="2425" spans="12:15">
      <c r="L2425" s="2"/>
      <c r="N2425" s="2"/>
      <c r="O2425" s="2"/>
    </row>
    <row r="2426" spans="12:15">
      <c r="L2426" s="2"/>
      <c r="N2426" s="2"/>
      <c r="O2426" s="2"/>
    </row>
    <row r="2427" spans="12:15">
      <c r="L2427" s="2"/>
      <c r="N2427" s="2"/>
      <c r="O2427" s="2"/>
    </row>
    <row r="2428" spans="12:15">
      <c r="L2428" s="2"/>
      <c r="N2428" s="2"/>
      <c r="O2428" s="2"/>
    </row>
    <row r="2429" spans="12:15">
      <c r="L2429" s="2"/>
      <c r="N2429" s="2"/>
      <c r="O2429" s="2"/>
    </row>
    <row r="2430" spans="12:15">
      <c r="L2430" s="2"/>
      <c r="N2430" s="2"/>
      <c r="O2430" s="2"/>
    </row>
    <row r="2431" spans="12:15">
      <c r="L2431" s="2"/>
      <c r="N2431" s="2"/>
      <c r="O2431" s="2"/>
    </row>
    <row r="2432" spans="12:15">
      <c r="L2432" s="2"/>
      <c r="N2432" s="2"/>
      <c r="O2432" s="2"/>
    </row>
    <row r="2433" spans="12:15">
      <c r="L2433" s="2"/>
      <c r="N2433" s="2"/>
      <c r="O2433" s="2"/>
    </row>
    <row r="2434" spans="12:15">
      <c r="L2434" s="2"/>
      <c r="N2434" s="2"/>
      <c r="O2434" s="2"/>
    </row>
    <row r="2435" spans="12:15">
      <c r="L2435" s="2"/>
      <c r="N2435" s="2"/>
      <c r="O2435" s="2"/>
    </row>
    <row r="2436" spans="12:15">
      <c r="L2436" s="2"/>
      <c r="N2436" s="2"/>
      <c r="O2436" s="2"/>
    </row>
    <row r="2437" spans="12:15">
      <c r="L2437" s="2"/>
      <c r="N2437" s="2"/>
      <c r="O2437" s="2"/>
    </row>
    <row r="2438" spans="12:15">
      <c r="L2438" s="2"/>
      <c r="N2438" s="2"/>
      <c r="O2438" s="2"/>
    </row>
    <row r="2439" spans="12:15">
      <c r="L2439" s="2"/>
      <c r="N2439" s="2"/>
      <c r="O2439" s="2"/>
    </row>
    <row r="2440" spans="12:15">
      <c r="L2440" s="2"/>
      <c r="N2440" s="2"/>
      <c r="O2440" s="2"/>
    </row>
    <row r="2441" spans="12:15">
      <c r="L2441" s="2"/>
      <c r="N2441" s="2"/>
      <c r="O2441" s="2"/>
    </row>
    <row r="2442" spans="12:15">
      <c r="L2442" s="2"/>
      <c r="N2442" s="2"/>
      <c r="O2442" s="2"/>
    </row>
    <row r="2443" spans="12:15">
      <c r="L2443" s="2"/>
      <c r="N2443" s="2"/>
      <c r="O2443" s="2"/>
    </row>
    <row r="2444" spans="12:15">
      <c r="L2444" s="2"/>
      <c r="N2444" s="2"/>
      <c r="O2444" s="2"/>
    </row>
    <row r="2445" spans="12:15">
      <c r="L2445" s="2"/>
      <c r="N2445" s="2"/>
      <c r="O2445" s="2"/>
    </row>
    <row r="2446" spans="12:15">
      <c r="L2446" s="2"/>
      <c r="N2446" s="2"/>
      <c r="O2446" s="2"/>
    </row>
    <row r="2447" spans="12:15">
      <c r="L2447" s="2"/>
      <c r="N2447" s="2"/>
      <c r="O2447" s="2"/>
    </row>
    <row r="2448" spans="12:15">
      <c r="L2448" s="2"/>
      <c r="N2448" s="2"/>
      <c r="O2448" s="2"/>
    </row>
    <row r="2449" spans="12:15">
      <c r="L2449" s="2"/>
      <c r="N2449" s="2"/>
      <c r="O2449" s="2"/>
    </row>
    <row r="2450" spans="12:15">
      <c r="L2450" s="2"/>
      <c r="N2450" s="2"/>
      <c r="O2450" s="2"/>
    </row>
    <row r="2451" spans="12:15">
      <c r="L2451" s="2"/>
      <c r="N2451" s="2"/>
      <c r="O2451" s="2"/>
    </row>
    <row r="2452" spans="12:15">
      <c r="L2452" s="2"/>
      <c r="N2452" s="2"/>
      <c r="O2452" s="2"/>
    </row>
    <row r="2453" spans="12:15">
      <c r="L2453" s="2"/>
      <c r="N2453" s="2"/>
      <c r="O2453" s="2"/>
    </row>
    <row r="2454" spans="12:15">
      <c r="L2454" s="2"/>
      <c r="N2454" s="2"/>
      <c r="O2454" s="2"/>
    </row>
    <row r="2455" spans="12:15">
      <c r="L2455" s="2"/>
      <c r="N2455" s="2"/>
      <c r="O2455" s="2"/>
    </row>
    <row r="2456" spans="12:15">
      <c r="L2456" s="2"/>
      <c r="N2456" s="2"/>
      <c r="O2456" s="2"/>
    </row>
    <row r="2457" spans="12:15">
      <c r="L2457" s="2"/>
      <c r="N2457" s="2"/>
      <c r="O2457" s="2"/>
    </row>
    <row r="2458" spans="12:15">
      <c r="L2458" s="2"/>
      <c r="N2458" s="2"/>
      <c r="O2458" s="2"/>
    </row>
    <row r="2459" spans="12:15">
      <c r="L2459" s="2"/>
      <c r="N2459" s="2"/>
      <c r="O2459" s="2"/>
    </row>
    <row r="2460" spans="12:15">
      <c r="L2460" s="2"/>
      <c r="N2460" s="2"/>
      <c r="O2460" s="2"/>
    </row>
    <row r="2461" spans="12:15">
      <c r="L2461" s="2"/>
      <c r="N2461" s="2"/>
      <c r="O2461" s="2"/>
    </row>
    <row r="2462" spans="12:15">
      <c r="L2462" s="2"/>
      <c r="N2462" s="2"/>
      <c r="O2462" s="2"/>
    </row>
    <row r="2463" spans="12:15">
      <c r="L2463" s="2"/>
      <c r="N2463" s="2"/>
      <c r="O2463" s="2"/>
    </row>
    <row r="2464" spans="12:15">
      <c r="L2464" s="2"/>
      <c r="N2464" s="2"/>
      <c r="O2464" s="2"/>
    </row>
    <row r="2465" spans="12:15">
      <c r="L2465" s="2"/>
      <c r="N2465" s="2"/>
      <c r="O2465" s="2"/>
    </row>
    <row r="2466" spans="12:15">
      <c r="L2466" s="2"/>
      <c r="N2466" s="2"/>
      <c r="O2466" s="2"/>
    </row>
    <row r="2467" spans="12:15">
      <c r="L2467" s="2"/>
      <c r="N2467" s="2"/>
      <c r="O2467" s="2"/>
    </row>
    <row r="2468" spans="12:15">
      <c r="L2468" s="2"/>
      <c r="N2468" s="2"/>
      <c r="O2468" s="2"/>
    </row>
    <row r="2469" spans="12:15">
      <c r="L2469" s="2"/>
      <c r="N2469" s="2"/>
      <c r="O2469" s="2"/>
    </row>
    <row r="2470" spans="12:15">
      <c r="L2470" s="2"/>
      <c r="N2470" s="2"/>
      <c r="O2470" s="2"/>
    </row>
    <row r="2471" spans="12:15">
      <c r="L2471" s="2"/>
      <c r="N2471" s="2"/>
      <c r="O2471" s="2"/>
    </row>
    <row r="2472" spans="12:15">
      <c r="L2472" s="2"/>
      <c r="N2472" s="2"/>
      <c r="O2472" s="2"/>
    </row>
    <row r="2473" spans="12:15">
      <c r="L2473" s="2"/>
      <c r="N2473" s="2"/>
      <c r="O2473" s="2"/>
    </row>
    <row r="2474" spans="12:15">
      <c r="L2474" s="2"/>
      <c r="N2474" s="2"/>
      <c r="O2474" s="2"/>
    </row>
    <row r="2475" spans="12:15">
      <c r="L2475" s="2"/>
      <c r="N2475" s="2"/>
      <c r="O2475" s="2"/>
    </row>
    <row r="2476" spans="12:15">
      <c r="L2476" s="2"/>
      <c r="N2476" s="2"/>
      <c r="O2476" s="2"/>
    </row>
    <row r="2477" spans="12:15">
      <c r="L2477" s="2"/>
      <c r="N2477" s="2"/>
      <c r="O2477" s="2"/>
    </row>
    <row r="2478" spans="12:15">
      <c r="L2478" s="2"/>
      <c r="N2478" s="2"/>
      <c r="O2478" s="2"/>
    </row>
    <row r="2479" spans="12:15">
      <c r="L2479" s="2"/>
      <c r="N2479" s="2"/>
      <c r="O2479" s="2"/>
    </row>
    <row r="2480" spans="12:15">
      <c r="L2480" s="2"/>
      <c r="N2480" s="2"/>
      <c r="O2480" s="2"/>
    </row>
    <row r="2481" spans="12:15">
      <c r="L2481" s="2"/>
      <c r="N2481" s="2"/>
      <c r="O2481" s="2"/>
    </row>
    <row r="2482" spans="12:15">
      <c r="L2482" s="2"/>
      <c r="N2482" s="2"/>
      <c r="O2482" s="2"/>
    </row>
    <row r="2483" spans="12:15">
      <c r="L2483" s="2"/>
      <c r="N2483" s="2"/>
      <c r="O2483" s="2"/>
    </row>
    <row r="2484" spans="12:15">
      <c r="L2484" s="2"/>
      <c r="N2484" s="2"/>
      <c r="O2484" s="2"/>
    </row>
    <row r="2485" spans="12:15">
      <c r="L2485" s="2"/>
      <c r="N2485" s="2"/>
      <c r="O2485" s="2"/>
    </row>
    <row r="2486" spans="12:15">
      <c r="L2486" s="2"/>
      <c r="N2486" s="2"/>
      <c r="O2486" s="2"/>
    </row>
    <row r="2487" spans="12:15">
      <c r="L2487" s="2"/>
      <c r="N2487" s="2"/>
      <c r="O2487" s="2"/>
    </row>
    <row r="2488" spans="12:15">
      <c r="L2488" s="2"/>
      <c r="N2488" s="2"/>
      <c r="O2488" s="2"/>
    </row>
    <row r="2489" spans="12:15">
      <c r="L2489" s="2"/>
      <c r="N2489" s="2"/>
      <c r="O2489" s="2"/>
    </row>
    <row r="2490" spans="12:15">
      <c r="L2490" s="2"/>
      <c r="N2490" s="2"/>
      <c r="O2490" s="2"/>
    </row>
    <row r="2491" spans="12:15">
      <c r="L2491" s="2"/>
      <c r="N2491" s="2"/>
      <c r="O2491" s="2"/>
    </row>
    <row r="2492" spans="12:15">
      <c r="L2492" s="2"/>
      <c r="N2492" s="2"/>
      <c r="O2492" s="2"/>
    </row>
    <row r="2493" spans="12:15">
      <c r="L2493" s="2"/>
      <c r="N2493" s="2"/>
      <c r="O2493" s="2"/>
    </row>
    <row r="2494" spans="12:15">
      <c r="L2494" s="2"/>
      <c r="N2494" s="2"/>
      <c r="O2494" s="2"/>
    </row>
    <row r="2495" spans="12:15">
      <c r="L2495" s="2"/>
      <c r="N2495" s="2"/>
      <c r="O2495" s="2"/>
    </row>
    <row r="2496" spans="12:15">
      <c r="L2496" s="2"/>
      <c r="N2496" s="2"/>
      <c r="O2496" s="2"/>
    </row>
    <row r="2497" spans="12:15">
      <c r="L2497" s="2"/>
      <c r="N2497" s="2"/>
      <c r="O2497" s="2"/>
    </row>
    <row r="2498" spans="12:15">
      <c r="L2498" s="2"/>
      <c r="N2498" s="2"/>
      <c r="O2498" s="2"/>
    </row>
    <row r="2499" spans="12:15">
      <c r="L2499" s="2"/>
      <c r="N2499" s="2"/>
      <c r="O2499" s="2"/>
    </row>
    <row r="2500" spans="12:15">
      <c r="L2500" s="2"/>
      <c r="N2500" s="2"/>
      <c r="O2500" s="2"/>
    </row>
    <row r="2501" spans="12:15">
      <c r="L2501" s="2"/>
      <c r="N2501" s="2"/>
      <c r="O2501" s="2"/>
    </row>
    <row r="2502" spans="12:15">
      <c r="L2502" s="2"/>
      <c r="N2502" s="2"/>
      <c r="O2502" s="2"/>
    </row>
    <row r="2503" spans="12:15">
      <c r="L2503" s="2"/>
      <c r="N2503" s="2"/>
      <c r="O2503" s="2"/>
    </row>
    <row r="2504" spans="12:15">
      <c r="L2504" s="2"/>
      <c r="N2504" s="2"/>
      <c r="O2504" s="2"/>
    </row>
    <row r="2505" spans="12:15">
      <c r="L2505" s="2"/>
      <c r="N2505" s="2"/>
      <c r="O2505" s="2"/>
    </row>
    <row r="2506" spans="12:15">
      <c r="L2506" s="2"/>
      <c r="N2506" s="2"/>
      <c r="O2506" s="2"/>
    </row>
    <row r="2507" spans="12:15">
      <c r="L2507" s="2"/>
      <c r="N2507" s="2"/>
      <c r="O2507" s="2"/>
    </row>
    <row r="2508" spans="12:15">
      <c r="L2508" s="2"/>
      <c r="N2508" s="2"/>
      <c r="O2508" s="2"/>
    </row>
    <row r="2509" spans="12:15">
      <c r="L2509" s="2"/>
      <c r="N2509" s="2"/>
      <c r="O2509" s="2"/>
    </row>
    <row r="2510" spans="12:15">
      <c r="L2510" s="2"/>
      <c r="N2510" s="2"/>
      <c r="O2510" s="2"/>
    </row>
    <row r="2511" spans="12:15">
      <c r="L2511" s="2"/>
      <c r="N2511" s="2"/>
      <c r="O2511" s="2"/>
    </row>
    <row r="2512" spans="12:15">
      <c r="L2512" s="2"/>
      <c r="N2512" s="2"/>
      <c r="O2512" s="2"/>
    </row>
    <row r="2513" spans="12:15">
      <c r="L2513" s="2"/>
      <c r="N2513" s="2"/>
      <c r="O2513" s="2"/>
    </row>
    <row r="2514" spans="12:15">
      <c r="L2514" s="2"/>
      <c r="N2514" s="2"/>
      <c r="O2514" s="2"/>
    </row>
    <row r="2515" spans="12:15">
      <c r="L2515" s="2"/>
      <c r="N2515" s="2"/>
      <c r="O2515" s="2"/>
    </row>
    <row r="2516" spans="12:15">
      <c r="L2516" s="2"/>
      <c r="N2516" s="2"/>
      <c r="O2516" s="2"/>
    </row>
    <row r="2517" spans="12:15">
      <c r="L2517" s="2"/>
      <c r="N2517" s="2"/>
      <c r="O2517" s="2"/>
    </row>
    <row r="2518" spans="12:15">
      <c r="L2518" s="2"/>
      <c r="N2518" s="2"/>
      <c r="O2518" s="2"/>
    </row>
    <row r="2519" spans="12:15">
      <c r="L2519" s="2"/>
      <c r="N2519" s="2"/>
      <c r="O2519" s="2"/>
    </row>
    <row r="2520" spans="12:15">
      <c r="L2520" s="2"/>
      <c r="N2520" s="2"/>
      <c r="O2520" s="2"/>
    </row>
    <row r="2521" spans="12:15">
      <c r="L2521" s="2"/>
      <c r="N2521" s="2"/>
      <c r="O2521" s="2"/>
    </row>
    <row r="2522" spans="12:15">
      <c r="L2522" s="2"/>
      <c r="N2522" s="2"/>
      <c r="O2522" s="2"/>
    </row>
    <row r="2523" spans="12:15">
      <c r="L2523" s="2"/>
      <c r="N2523" s="2"/>
      <c r="O2523" s="2"/>
    </row>
    <row r="2524" spans="12:15">
      <c r="L2524" s="2"/>
      <c r="N2524" s="2"/>
      <c r="O2524" s="2"/>
    </row>
    <row r="2525" spans="12:15">
      <c r="L2525" s="2"/>
      <c r="N2525" s="2"/>
      <c r="O2525" s="2"/>
    </row>
    <row r="2526" spans="12:15">
      <c r="L2526" s="2"/>
      <c r="N2526" s="2"/>
      <c r="O2526" s="2"/>
    </row>
    <row r="2527" spans="12:15">
      <c r="L2527" s="2"/>
      <c r="N2527" s="2"/>
      <c r="O2527" s="2"/>
    </row>
    <row r="2528" spans="12:15">
      <c r="L2528" s="2"/>
      <c r="N2528" s="2"/>
      <c r="O2528" s="2"/>
    </row>
    <row r="2529" spans="12:15">
      <c r="L2529" s="2"/>
      <c r="N2529" s="2"/>
      <c r="O2529" s="2"/>
    </row>
    <row r="2530" spans="12:15">
      <c r="L2530" s="2"/>
      <c r="N2530" s="2"/>
      <c r="O2530" s="2"/>
    </row>
    <row r="2531" spans="12:15">
      <c r="L2531" s="2"/>
      <c r="N2531" s="2"/>
      <c r="O2531" s="2"/>
    </row>
    <row r="2532" spans="12:15">
      <c r="L2532" s="2"/>
      <c r="N2532" s="2"/>
      <c r="O2532" s="2"/>
    </row>
    <row r="2533" spans="12:15">
      <c r="L2533" s="2"/>
      <c r="N2533" s="2"/>
      <c r="O2533" s="2"/>
    </row>
    <row r="2534" spans="12:15">
      <c r="L2534" s="2"/>
      <c r="N2534" s="2"/>
      <c r="O2534" s="2"/>
    </row>
    <row r="2535" spans="12:15">
      <c r="L2535" s="2"/>
      <c r="N2535" s="2"/>
      <c r="O2535" s="2"/>
    </row>
    <row r="2536" spans="12:15">
      <c r="L2536" s="2"/>
      <c r="N2536" s="2"/>
      <c r="O2536" s="2"/>
    </row>
    <row r="2537" spans="12:15">
      <c r="L2537" s="2"/>
      <c r="N2537" s="2"/>
      <c r="O2537" s="2"/>
    </row>
    <row r="2538" spans="12:15">
      <c r="L2538" s="2"/>
      <c r="N2538" s="2"/>
      <c r="O2538" s="2"/>
    </row>
    <row r="2539" spans="12:15">
      <c r="L2539" s="2"/>
      <c r="N2539" s="2"/>
      <c r="O2539" s="2"/>
    </row>
    <row r="2540" spans="12:15">
      <c r="L2540" s="2"/>
      <c r="N2540" s="2"/>
      <c r="O2540" s="2"/>
    </row>
    <row r="2541" spans="12:15">
      <c r="L2541" s="2"/>
      <c r="N2541" s="2"/>
      <c r="O2541" s="2"/>
    </row>
    <row r="2542" spans="12:15">
      <c r="L2542" s="2"/>
      <c r="N2542" s="2"/>
      <c r="O2542" s="2"/>
    </row>
    <row r="2543" spans="12:15">
      <c r="L2543" s="2"/>
      <c r="N2543" s="2"/>
      <c r="O2543" s="2"/>
    </row>
    <row r="2544" spans="12:15">
      <c r="L2544" s="2"/>
      <c r="N2544" s="2"/>
      <c r="O2544" s="2"/>
    </row>
    <row r="2545" spans="12:15">
      <c r="L2545" s="2"/>
      <c r="N2545" s="2"/>
      <c r="O2545" s="2"/>
    </row>
    <row r="2546" spans="12:15">
      <c r="L2546" s="2"/>
      <c r="N2546" s="2"/>
      <c r="O2546" s="2"/>
    </row>
    <row r="2547" spans="12:15">
      <c r="L2547" s="2"/>
      <c r="N2547" s="2"/>
      <c r="O2547" s="2"/>
    </row>
    <row r="2548" spans="12:15">
      <c r="L2548" s="2"/>
      <c r="N2548" s="2"/>
      <c r="O2548" s="2"/>
    </row>
    <row r="2549" spans="12:15">
      <c r="L2549" s="2"/>
      <c r="N2549" s="2"/>
      <c r="O2549" s="2"/>
    </row>
    <row r="2550" spans="12:15">
      <c r="L2550" s="2"/>
      <c r="N2550" s="2"/>
      <c r="O2550" s="2"/>
    </row>
    <row r="2551" spans="12:15">
      <c r="L2551" s="2"/>
      <c r="N2551" s="2"/>
      <c r="O2551" s="2"/>
    </row>
    <row r="2552" spans="12:15">
      <c r="L2552" s="2"/>
      <c r="N2552" s="2"/>
      <c r="O2552" s="2"/>
    </row>
    <row r="2553" spans="12:15">
      <c r="L2553" s="2"/>
      <c r="N2553" s="2"/>
      <c r="O2553" s="2"/>
    </row>
    <row r="2554" spans="12:15">
      <c r="L2554" s="2"/>
      <c r="N2554" s="2"/>
      <c r="O2554" s="2"/>
    </row>
    <row r="2555" spans="12:15">
      <c r="L2555" s="2"/>
      <c r="N2555" s="2"/>
      <c r="O2555" s="2"/>
    </row>
    <row r="2556" spans="12:15">
      <c r="L2556" s="2"/>
      <c r="N2556" s="2"/>
      <c r="O2556" s="2"/>
    </row>
    <row r="2557" spans="12:15">
      <c r="L2557" s="2"/>
      <c r="N2557" s="2"/>
      <c r="O2557" s="2"/>
    </row>
    <row r="2558" spans="12:15">
      <c r="L2558" s="2"/>
      <c r="N2558" s="2"/>
      <c r="O2558" s="2"/>
    </row>
    <row r="2559" spans="12:15">
      <c r="L2559" s="2"/>
      <c r="N2559" s="2"/>
      <c r="O2559" s="2"/>
    </row>
    <row r="2560" spans="12:15">
      <c r="L2560" s="2"/>
      <c r="N2560" s="2"/>
      <c r="O2560" s="2"/>
    </row>
    <row r="2561" spans="12:15">
      <c r="L2561" s="2"/>
      <c r="N2561" s="2"/>
      <c r="O2561" s="2"/>
    </row>
    <row r="2562" spans="12:15">
      <c r="L2562" s="2"/>
      <c r="N2562" s="2"/>
      <c r="O2562" s="2"/>
    </row>
    <row r="2563" spans="12:15">
      <c r="L2563" s="2"/>
      <c r="N2563" s="2"/>
      <c r="O2563" s="2"/>
    </row>
    <row r="2564" spans="12:15">
      <c r="L2564" s="2"/>
      <c r="N2564" s="2"/>
      <c r="O2564" s="2"/>
    </row>
    <row r="2565" spans="12:15">
      <c r="L2565" s="2"/>
      <c r="N2565" s="2"/>
      <c r="O2565" s="2"/>
    </row>
    <row r="2566" spans="12:15">
      <c r="L2566" s="2"/>
      <c r="N2566" s="2"/>
      <c r="O2566" s="2"/>
    </row>
    <row r="2567" spans="12:15">
      <c r="L2567" s="2"/>
      <c r="N2567" s="2"/>
      <c r="O2567" s="2"/>
    </row>
    <row r="2568" spans="12:15">
      <c r="L2568" s="2"/>
      <c r="N2568" s="2"/>
      <c r="O2568" s="2"/>
    </row>
    <row r="2569" spans="12:15">
      <c r="L2569" s="2"/>
      <c r="N2569" s="2"/>
      <c r="O2569" s="2"/>
    </row>
    <row r="2570" spans="12:15">
      <c r="L2570" s="2"/>
      <c r="N2570" s="2"/>
      <c r="O2570" s="2"/>
    </row>
    <row r="2571" spans="12:15">
      <c r="L2571" s="2"/>
      <c r="N2571" s="2"/>
      <c r="O2571" s="2"/>
    </row>
    <row r="2572" spans="12:15">
      <c r="L2572" s="2"/>
      <c r="N2572" s="2"/>
      <c r="O2572" s="2"/>
    </row>
    <row r="2573" spans="12:15">
      <c r="L2573" s="2"/>
      <c r="N2573" s="2"/>
      <c r="O2573" s="2"/>
    </row>
    <row r="2574" spans="12:15">
      <c r="L2574" s="2"/>
      <c r="N2574" s="2"/>
      <c r="O2574" s="2"/>
    </row>
    <row r="2575" spans="12:15">
      <c r="L2575" s="2"/>
      <c r="N2575" s="2"/>
      <c r="O2575" s="2"/>
    </row>
    <row r="2576" spans="12:15">
      <c r="L2576" s="2"/>
      <c r="N2576" s="2"/>
      <c r="O2576" s="2"/>
    </row>
    <row r="2577" spans="12:15">
      <c r="L2577" s="2"/>
      <c r="N2577" s="2"/>
      <c r="O2577" s="2"/>
    </row>
    <row r="2578" spans="12:15">
      <c r="L2578" s="2"/>
      <c r="N2578" s="2"/>
      <c r="O2578" s="2"/>
    </row>
    <row r="2579" spans="12:15">
      <c r="L2579" s="2"/>
      <c r="N2579" s="2"/>
      <c r="O2579" s="2"/>
    </row>
    <row r="2580" spans="12:15">
      <c r="L2580" s="2"/>
      <c r="N2580" s="2"/>
      <c r="O2580" s="2"/>
    </row>
    <row r="2581" spans="12:15">
      <c r="L2581" s="2"/>
      <c r="N2581" s="2"/>
      <c r="O2581" s="2"/>
    </row>
    <row r="2582" spans="12:15">
      <c r="L2582" s="2"/>
      <c r="N2582" s="2"/>
      <c r="O2582" s="2"/>
    </row>
    <row r="2583" spans="12:15">
      <c r="L2583" s="2"/>
      <c r="N2583" s="2"/>
      <c r="O2583" s="2"/>
    </row>
    <row r="2584" spans="12:15">
      <c r="L2584" s="2"/>
      <c r="N2584" s="2"/>
      <c r="O2584" s="2"/>
    </row>
    <row r="2585" spans="12:15">
      <c r="L2585" s="2"/>
      <c r="N2585" s="2"/>
      <c r="O2585" s="2"/>
    </row>
    <row r="2586" spans="12:15">
      <c r="L2586" s="2"/>
      <c r="N2586" s="2"/>
      <c r="O2586" s="2"/>
    </row>
    <row r="2587" spans="12:15">
      <c r="L2587" s="2"/>
      <c r="N2587" s="2"/>
      <c r="O2587" s="2"/>
    </row>
    <row r="2588" spans="12:15">
      <c r="L2588" s="2"/>
      <c r="N2588" s="2"/>
      <c r="O2588" s="2"/>
    </row>
    <row r="2589" spans="12:15">
      <c r="L2589" s="2"/>
      <c r="N2589" s="2"/>
      <c r="O2589" s="2"/>
    </row>
    <row r="2590" spans="12:15">
      <c r="L2590" s="2"/>
      <c r="N2590" s="2"/>
      <c r="O2590" s="2"/>
    </row>
    <row r="2591" spans="12:15">
      <c r="L2591" s="2"/>
      <c r="N2591" s="2"/>
      <c r="O2591" s="2"/>
    </row>
    <row r="2592" spans="12:15">
      <c r="L2592" s="2"/>
      <c r="N2592" s="2"/>
      <c r="O2592" s="2"/>
    </row>
    <row r="2593" spans="12:15">
      <c r="L2593" s="2"/>
      <c r="N2593" s="2"/>
      <c r="O2593" s="2"/>
    </row>
    <row r="2594" spans="12:15">
      <c r="L2594" s="2"/>
      <c r="N2594" s="2"/>
      <c r="O2594" s="2"/>
    </row>
    <row r="2595" spans="12:15">
      <c r="L2595" s="2"/>
      <c r="N2595" s="2"/>
      <c r="O2595" s="2"/>
    </row>
    <row r="2596" spans="12:15">
      <c r="L2596" s="2"/>
      <c r="N2596" s="2"/>
      <c r="O2596" s="2"/>
    </row>
    <row r="2597" spans="12:15">
      <c r="L2597" s="2"/>
      <c r="N2597" s="2"/>
      <c r="O2597" s="2"/>
    </row>
    <row r="2598" spans="12:15">
      <c r="L2598" s="2"/>
      <c r="N2598" s="2"/>
      <c r="O2598" s="2"/>
    </row>
    <row r="2599" spans="12:15">
      <c r="L2599" s="2"/>
      <c r="N2599" s="2"/>
      <c r="O2599" s="2"/>
    </row>
    <row r="2600" spans="12:15">
      <c r="L2600" s="2"/>
      <c r="N2600" s="2"/>
      <c r="O2600" s="2"/>
    </row>
    <row r="2601" spans="12:15">
      <c r="L2601" s="2"/>
      <c r="N2601" s="2"/>
      <c r="O2601" s="2"/>
    </row>
    <row r="2602" spans="12:15">
      <c r="L2602" s="2"/>
      <c r="N2602" s="2"/>
      <c r="O2602" s="2"/>
    </row>
    <row r="2603" spans="12:15">
      <c r="L2603" s="2"/>
      <c r="N2603" s="2"/>
      <c r="O2603" s="2"/>
    </row>
    <row r="2604" spans="12:15">
      <c r="L2604" s="2"/>
      <c r="N2604" s="2"/>
      <c r="O2604" s="2"/>
    </row>
    <row r="2605" spans="12:15">
      <c r="L2605" s="2"/>
      <c r="N2605" s="2"/>
      <c r="O2605" s="2"/>
    </row>
    <row r="2606" spans="12:15">
      <c r="L2606" s="2"/>
      <c r="N2606" s="2"/>
      <c r="O2606" s="2"/>
    </row>
    <row r="2607" spans="12:15">
      <c r="L2607" s="2"/>
      <c r="N2607" s="2"/>
      <c r="O2607" s="2"/>
    </row>
    <row r="2608" spans="12:15">
      <c r="L2608" s="2"/>
      <c r="N2608" s="2"/>
      <c r="O2608" s="2"/>
    </row>
    <row r="2609" spans="12:15">
      <c r="L2609" s="2"/>
      <c r="N2609" s="2"/>
      <c r="O2609" s="2"/>
    </row>
    <row r="2610" spans="12:15">
      <c r="L2610" s="2"/>
      <c r="N2610" s="2"/>
      <c r="O2610" s="2"/>
    </row>
    <row r="2611" spans="12:15">
      <c r="L2611" s="2"/>
      <c r="N2611" s="2"/>
      <c r="O2611" s="2"/>
    </row>
    <row r="2612" spans="12:15">
      <c r="L2612" s="2"/>
      <c r="N2612" s="2"/>
      <c r="O2612" s="2"/>
    </row>
    <row r="2613" spans="12:15">
      <c r="L2613" s="2"/>
      <c r="N2613" s="2"/>
      <c r="O2613" s="2"/>
    </row>
    <row r="2614" spans="12:15">
      <c r="L2614" s="2"/>
      <c r="N2614" s="2"/>
      <c r="O2614" s="2"/>
    </row>
    <row r="2615" spans="12:15">
      <c r="L2615" s="2"/>
      <c r="N2615" s="2"/>
      <c r="O2615" s="2"/>
    </row>
    <row r="2616" spans="12:15">
      <c r="L2616" s="2"/>
      <c r="N2616" s="2"/>
      <c r="O2616" s="2"/>
    </row>
    <row r="2617" spans="12:15">
      <c r="L2617" s="2"/>
      <c r="N2617" s="2"/>
      <c r="O2617" s="2"/>
    </row>
    <row r="2618" spans="12:15">
      <c r="L2618" s="2"/>
      <c r="N2618" s="2"/>
      <c r="O2618" s="2"/>
    </row>
    <row r="2619" spans="12:15">
      <c r="L2619" s="2"/>
      <c r="N2619" s="2"/>
      <c r="O2619" s="2"/>
    </row>
    <row r="2620" spans="12:15">
      <c r="L2620" s="2"/>
      <c r="N2620" s="2"/>
      <c r="O2620" s="2"/>
    </row>
    <row r="2621" spans="12:15">
      <c r="L2621" s="2"/>
      <c r="N2621" s="2"/>
      <c r="O2621" s="2"/>
    </row>
    <row r="2622" spans="12:15">
      <c r="L2622" s="2"/>
      <c r="N2622" s="2"/>
      <c r="O2622" s="2"/>
    </row>
    <row r="2623" spans="12:15">
      <c r="L2623" s="2"/>
      <c r="N2623" s="2"/>
      <c r="O2623" s="2"/>
    </row>
    <row r="2624" spans="12:15">
      <c r="L2624" s="2"/>
      <c r="N2624" s="2"/>
      <c r="O2624" s="2"/>
    </row>
    <row r="2625" spans="12:15">
      <c r="L2625" s="2"/>
      <c r="N2625" s="2"/>
      <c r="O2625" s="2"/>
    </row>
    <row r="2626" spans="12:15">
      <c r="L2626" s="2"/>
      <c r="N2626" s="2"/>
      <c r="O2626" s="2"/>
    </row>
    <row r="2627" spans="12:15">
      <c r="L2627" s="2"/>
      <c r="N2627" s="2"/>
      <c r="O2627" s="2"/>
    </row>
    <row r="2628" spans="12:15">
      <c r="L2628" s="2"/>
      <c r="N2628" s="2"/>
      <c r="O2628" s="2"/>
    </row>
    <row r="2629" spans="12:15">
      <c r="L2629" s="2"/>
      <c r="N2629" s="2"/>
      <c r="O2629" s="2"/>
    </row>
    <row r="2630" spans="12:15">
      <c r="L2630" s="2"/>
      <c r="N2630" s="2"/>
      <c r="O2630" s="2"/>
    </row>
    <row r="2631" spans="12:15">
      <c r="L2631" s="2"/>
      <c r="N2631" s="2"/>
      <c r="O2631" s="2"/>
    </row>
    <row r="2632" spans="12:15">
      <c r="L2632" s="2"/>
      <c r="N2632" s="2"/>
      <c r="O2632" s="2"/>
    </row>
    <row r="2633" spans="12:15">
      <c r="L2633" s="2"/>
      <c r="N2633" s="2"/>
      <c r="O2633" s="2"/>
    </row>
    <row r="2634" spans="12:15">
      <c r="L2634" s="2"/>
      <c r="N2634" s="2"/>
      <c r="O2634" s="2"/>
    </row>
    <row r="2635" spans="12:15">
      <c r="L2635" s="2"/>
      <c r="N2635" s="2"/>
      <c r="O2635" s="2"/>
    </row>
    <row r="2636" spans="12:15">
      <c r="L2636" s="2"/>
      <c r="N2636" s="2"/>
      <c r="O2636" s="2"/>
    </row>
    <row r="2637" spans="12:15">
      <c r="L2637" s="2"/>
      <c r="N2637" s="2"/>
      <c r="O2637" s="2"/>
    </row>
    <row r="2638" spans="12:15">
      <c r="L2638" s="2"/>
      <c r="N2638" s="2"/>
      <c r="O2638" s="2"/>
    </row>
    <row r="2639" spans="12:15">
      <c r="L2639" s="2"/>
      <c r="N2639" s="2"/>
      <c r="O2639" s="2"/>
    </row>
    <row r="2640" spans="12:15">
      <c r="L2640" s="2"/>
      <c r="N2640" s="2"/>
      <c r="O2640" s="2"/>
    </row>
    <row r="2641" spans="12:15">
      <c r="L2641" s="2"/>
      <c r="N2641" s="2"/>
      <c r="O2641" s="2"/>
    </row>
    <row r="2642" spans="12:15">
      <c r="L2642" s="2"/>
      <c r="N2642" s="2"/>
      <c r="O2642" s="2"/>
    </row>
    <row r="2643" spans="12:15">
      <c r="L2643" s="2"/>
      <c r="N2643" s="2"/>
      <c r="O2643" s="2"/>
    </row>
    <row r="2644" spans="12:15">
      <c r="L2644" s="2"/>
      <c r="N2644" s="2"/>
      <c r="O2644" s="2"/>
    </row>
    <row r="2645" spans="12:15">
      <c r="L2645" s="2"/>
      <c r="N2645" s="2"/>
      <c r="O2645" s="2"/>
    </row>
    <row r="2646" spans="12:15">
      <c r="L2646" s="2"/>
      <c r="N2646" s="2"/>
      <c r="O2646" s="2"/>
    </row>
    <row r="2647" spans="12:15">
      <c r="L2647" s="2"/>
      <c r="N2647" s="2"/>
      <c r="O2647" s="2"/>
    </row>
    <row r="2648" spans="12:15">
      <c r="L2648" s="2"/>
      <c r="N2648" s="2"/>
      <c r="O2648" s="2"/>
    </row>
    <row r="2649" spans="12:15">
      <c r="L2649" s="2"/>
      <c r="N2649" s="2"/>
      <c r="O2649" s="2"/>
    </row>
    <row r="2650" spans="12:15">
      <c r="L2650" s="2"/>
      <c r="N2650" s="2"/>
      <c r="O2650" s="2"/>
    </row>
    <row r="2651" spans="12:15">
      <c r="L2651" s="2"/>
      <c r="N2651" s="2"/>
      <c r="O2651" s="2"/>
    </row>
    <row r="2652" spans="12:15">
      <c r="L2652" s="2"/>
      <c r="N2652" s="2"/>
      <c r="O2652" s="2"/>
    </row>
    <row r="2653" spans="12:15">
      <c r="L2653" s="2"/>
      <c r="N2653" s="2"/>
      <c r="O2653" s="2"/>
    </row>
    <row r="2654" spans="12:15">
      <c r="L2654" s="2"/>
      <c r="N2654" s="2"/>
      <c r="O2654" s="2"/>
    </row>
    <row r="2655" spans="12:15">
      <c r="L2655" s="2"/>
      <c r="N2655" s="2"/>
      <c r="O2655" s="2"/>
    </row>
    <row r="2656" spans="12:15">
      <c r="L2656" s="2"/>
      <c r="N2656" s="2"/>
      <c r="O2656" s="2"/>
    </row>
    <row r="2657" spans="12:15">
      <c r="L2657" s="2"/>
      <c r="N2657" s="2"/>
      <c r="O2657" s="2"/>
    </row>
    <row r="2658" spans="12:15">
      <c r="L2658" s="2"/>
      <c r="N2658" s="2"/>
      <c r="O2658" s="2"/>
    </row>
    <row r="2659" spans="12:15">
      <c r="L2659" s="2"/>
      <c r="N2659" s="2"/>
      <c r="O2659" s="2"/>
    </row>
    <row r="2660" spans="12:15">
      <c r="L2660" s="2"/>
      <c r="N2660" s="2"/>
      <c r="O2660" s="2"/>
    </row>
    <row r="2661" spans="12:15">
      <c r="L2661" s="2"/>
      <c r="N2661" s="2"/>
      <c r="O2661" s="2"/>
    </row>
    <row r="2662" spans="12:15">
      <c r="L2662" s="2"/>
      <c r="N2662" s="2"/>
      <c r="O2662" s="2"/>
    </row>
    <row r="2663" spans="12:15">
      <c r="L2663" s="2"/>
      <c r="N2663" s="2"/>
      <c r="O2663" s="2"/>
    </row>
    <row r="2664" spans="12:15">
      <c r="L2664" s="2"/>
      <c r="N2664" s="2"/>
      <c r="O2664" s="2"/>
    </row>
    <row r="2665" spans="12:15">
      <c r="L2665" s="2"/>
      <c r="N2665" s="2"/>
      <c r="O2665" s="2"/>
    </row>
    <row r="2666" spans="12:15">
      <c r="L2666" s="2"/>
      <c r="N2666" s="2"/>
      <c r="O2666" s="2"/>
    </row>
    <row r="2667" spans="12:15">
      <c r="L2667" s="2"/>
      <c r="N2667" s="2"/>
      <c r="O2667" s="2"/>
    </row>
    <row r="2668" spans="12:15">
      <c r="L2668" s="2"/>
      <c r="N2668" s="2"/>
      <c r="O2668" s="2"/>
    </row>
    <row r="2669" spans="12:15">
      <c r="L2669" s="2"/>
      <c r="N2669" s="2"/>
      <c r="O2669" s="2"/>
    </row>
    <row r="2670" spans="12:15">
      <c r="L2670" s="2"/>
      <c r="N2670" s="2"/>
      <c r="O2670" s="2"/>
    </row>
    <row r="2671" spans="12:15">
      <c r="L2671" s="2"/>
      <c r="N2671" s="2"/>
      <c r="O2671" s="2"/>
    </row>
    <row r="2672" spans="12:15">
      <c r="L2672" s="2"/>
      <c r="N2672" s="2"/>
      <c r="O2672" s="2"/>
    </row>
    <row r="2673" spans="12:15">
      <c r="L2673" s="2"/>
      <c r="N2673" s="2"/>
      <c r="O2673" s="2"/>
    </row>
    <row r="2674" spans="12:15">
      <c r="L2674" s="2"/>
      <c r="N2674" s="2"/>
      <c r="O2674" s="2"/>
    </row>
    <row r="2675" spans="12:15">
      <c r="L2675" s="2"/>
      <c r="N2675" s="2"/>
      <c r="O2675" s="2"/>
    </row>
    <row r="2676" spans="12:15">
      <c r="L2676" s="2"/>
      <c r="N2676" s="2"/>
      <c r="O2676" s="2"/>
    </row>
    <row r="2677" spans="12:15">
      <c r="L2677" s="2"/>
      <c r="N2677" s="2"/>
      <c r="O2677" s="2"/>
    </row>
    <row r="2678" spans="12:15">
      <c r="L2678" s="2"/>
      <c r="N2678" s="2"/>
      <c r="O2678" s="2"/>
    </row>
    <row r="2679" spans="12:15">
      <c r="L2679" s="2"/>
      <c r="N2679" s="2"/>
      <c r="O2679" s="2"/>
    </row>
    <row r="2680" spans="12:15">
      <c r="L2680" s="2"/>
      <c r="N2680" s="2"/>
      <c r="O2680" s="2"/>
    </row>
    <row r="2681" spans="12:15">
      <c r="L2681" s="2"/>
      <c r="N2681" s="2"/>
      <c r="O2681" s="2"/>
    </row>
    <row r="2682" spans="12:15">
      <c r="L2682" s="2"/>
      <c r="N2682" s="2"/>
      <c r="O2682" s="2"/>
    </row>
    <row r="2683" spans="12:15">
      <c r="L2683" s="2"/>
      <c r="N2683" s="2"/>
      <c r="O2683" s="2"/>
    </row>
    <row r="2684" spans="12:15">
      <c r="L2684" s="2"/>
      <c r="N2684" s="2"/>
      <c r="O2684" s="2"/>
    </row>
    <row r="2685" spans="12:15">
      <c r="L2685" s="2"/>
      <c r="N2685" s="2"/>
      <c r="O2685" s="2"/>
    </row>
    <row r="2686" spans="12:15">
      <c r="L2686" s="2"/>
      <c r="N2686" s="2"/>
      <c r="O2686" s="2"/>
    </row>
    <row r="2687" spans="12:15">
      <c r="L2687" s="2"/>
      <c r="N2687" s="2"/>
      <c r="O2687" s="2"/>
    </row>
    <row r="2688" spans="12:15">
      <c r="L2688" s="2"/>
      <c r="N2688" s="2"/>
      <c r="O2688" s="2"/>
    </row>
    <row r="2689" spans="12:15">
      <c r="L2689" s="2"/>
      <c r="N2689" s="2"/>
      <c r="O2689" s="2"/>
    </row>
    <row r="2690" spans="12:15">
      <c r="L2690" s="2"/>
      <c r="N2690" s="2"/>
      <c r="O2690" s="2"/>
    </row>
    <row r="2691" spans="12:15">
      <c r="L2691" s="2"/>
      <c r="N2691" s="2"/>
      <c r="O2691" s="2"/>
    </row>
    <row r="2692" spans="12:15">
      <c r="L2692" s="2"/>
      <c r="N2692" s="2"/>
      <c r="O2692" s="2"/>
    </row>
    <row r="2693" spans="12:15">
      <c r="L2693" s="2"/>
      <c r="N2693" s="2"/>
      <c r="O2693" s="2"/>
    </row>
    <row r="2694" spans="12:15">
      <c r="L2694" s="2"/>
      <c r="N2694" s="2"/>
      <c r="O2694" s="2"/>
    </row>
    <row r="2695" spans="12:15">
      <c r="L2695" s="2"/>
      <c r="N2695" s="2"/>
      <c r="O2695" s="2"/>
    </row>
    <row r="2696" spans="12:15">
      <c r="L2696" s="2"/>
      <c r="N2696" s="2"/>
      <c r="O2696" s="2"/>
    </row>
    <row r="2697" spans="12:15">
      <c r="L2697" s="2"/>
      <c r="N2697" s="2"/>
      <c r="O2697" s="2"/>
    </row>
    <row r="2698" spans="12:15">
      <c r="L2698" s="2"/>
      <c r="N2698" s="2"/>
      <c r="O2698" s="2"/>
    </row>
    <row r="2699" spans="12:15">
      <c r="L2699" s="2"/>
      <c r="N2699" s="2"/>
      <c r="O2699" s="2"/>
    </row>
    <row r="2700" spans="12:15">
      <c r="L2700" s="2"/>
      <c r="N2700" s="2"/>
      <c r="O2700" s="2"/>
    </row>
    <row r="2701" spans="12:15">
      <c r="L2701" s="2"/>
      <c r="N2701" s="2"/>
      <c r="O2701" s="2"/>
    </row>
    <row r="2702" spans="12:15">
      <c r="L2702" s="2"/>
      <c r="N2702" s="2"/>
      <c r="O2702" s="2"/>
    </row>
    <row r="2703" spans="12:15">
      <c r="L2703" s="2"/>
      <c r="N2703" s="2"/>
      <c r="O2703" s="2"/>
    </row>
    <row r="2704" spans="12:15">
      <c r="L2704" s="2"/>
      <c r="N2704" s="2"/>
      <c r="O2704" s="2"/>
    </row>
    <row r="2705" spans="12:15">
      <c r="L2705" s="2"/>
      <c r="N2705" s="2"/>
      <c r="O2705" s="2"/>
    </row>
    <row r="2706" spans="12:15">
      <c r="L2706" s="2"/>
      <c r="N2706" s="2"/>
      <c r="O2706" s="2"/>
    </row>
    <row r="2707" spans="12:15">
      <c r="L2707" s="2"/>
      <c r="N2707" s="2"/>
      <c r="O2707" s="2"/>
    </row>
    <row r="2708" spans="12:15">
      <c r="L2708" s="2"/>
      <c r="N2708" s="2"/>
      <c r="O2708" s="2"/>
    </row>
    <row r="2709" spans="12:15">
      <c r="L2709" s="2"/>
      <c r="N2709" s="2"/>
      <c r="O2709" s="2"/>
    </row>
    <row r="2710" spans="12:15">
      <c r="L2710" s="2"/>
      <c r="N2710" s="2"/>
      <c r="O2710" s="2"/>
    </row>
    <row r="2711" spans="12:15">
      <c r="L2711" s="2"/>
      <c r="N2711" s="2"/>
      <c r="O2711" s="2"/>
    </row>
    <row r="2712" spans="12:15">
      <c r="L2712" s="2"/>
      <c r="N2712" s="2"/>
      <c r="O2712" s="2"/>
    </row>
    <row r="2713" spans="12:15">
      <c r="L2713" s="2"/>
      <c r="N2713" s="2"/>
      <c r="O2713" s="2"/>
    </row>
    <row r="2714" spans="12:15">
      <c r="L2714" s="2"/>
      <c r="N2714" s="2"/>
      <c r="O2714" s="2"/>
    </row>
    <row r="2715" spans="12:15">
      <c r="L2715" s="2"/>
      <c r="N2715" s="2"/>
      <c r="O2715" s="2"/>
    </row>
    <row r="2716" spans="12:15">
      <c r="L2716" s="2"/>
      <c r="N2716" s="2"/>
      <c r="O2716" s="2"/>
    </row>
    <row r="2717" spans="12:15">
      <c r="L2717" s="2"/>
      <c r="N2717" s="2"/>
      <c r="O2717" s="2"/>
    </row>
    <row r="2718" spans="12:15">
      <c r="L2718" s="2"/>
      <c r="N2718" s="2"/>
      <c r="O2718" s="2"/>
    </row>
    <row r="2719" spans="12:15">
      <c r="L2719" s="2"/>
      <c r="N2719" s="2"/>
      <c r="O2719" s="2"/>
    </row>
    <row r="2720" spans="12:15">
      <c r="L2720" s="2"/>
      <c r="N2720" s="2"/>
      <c r="O2720" s="2"/>
    </row>
    <row r="2721" spans="12:15">
      <c r="L2721" s="2"/>
      <c r="N2721" s="2"/>
      <c r="O2721" s="2"/>
    </row>
    <row r="2722" spans="12:15">
      <c r="L2722" s="2"/>
      <c r="N2722" s="2"/>
      <c r="O2722" s="2"/>
    </row>
    <row r="2723" spans="12:15">
      <c r="L2723" s="2"/>
      <c r="N2723" s="2"/>
      <c r="O2723" s="2"/>
    </row>
    <row r="2724" spans="12:15">
      <c r="L2724" s="2"/>
      <c r="N2724" s="2"/>
      <c r="O2724" s="2"/>
    </row>
    <row r="2725" spans="12:15">
      <c r="L2725" s="2"/>
      <c r="N2725" s="2"/>
      <c r="O2725" s="2"/>
    </row>
    <row r="2726" spans="12:15">
      <c r="L2726" s="2"/>
      <c r="N2726" s="2"/>
      <c r="O2726" s="2"/>
    </row>
    <row r="2727" spans="12:15">
      <c r="L2727" s="2"/>
      <c r="N2727" s="2"/>
      <c r="O2727" s="2"/>
    </row>
    <row r="2728" spans="12:15">
      <c r="L2728" s="2"/>
      <c r="N2728" s="2"/>
      <c r="O2728" s="2"/>
    </row>
    <row r="2729" spans="12:15">
      <c r="L2729" s="2"/>
      <c r="N2729" s="2"/>
      <c r="O2729" s="2"/>
    </row>
    <row r="2730" spans="12:15">
      <c r="L2730" s="2"/>
      <c r="N2730" s="2"/>
      <c r="O2730" s="2"/>
    </row>
    <row r="2731" spans="12:15">
      <c r="L2731" s="2"/>
      <c r="N2731" s="2"/>
      <c r="O2731" s="2"/>
    </row>
    <row r="2732" spans="12:15">
      <c r="L2732" s="2"/>
      <c r="N2732" s="2"/>
      <c r="O2732" s="2"/>
    </row>
    <row r="2733" spans="12:15">
      <c r="L2733" s="2"/>
      <c r="N2733" s="2"/>
      <c r="O2733" s="2"/>
    </row>
    <row r="2734" spans="12:15">
      <c r="L2734" s="2"/>
      <c r="N2734" s="2"/>
      <c r="O2734" s="2"/>
    </row>
    <row r="2735" spans="12:15">
      <c r="L2735" s="2"/>
      <c r="N2735" s="2"/>
      <c r="O2735" s="2"/>
    </row>
    <row r="2736" spans="12:15">
      <c r="L2736" s="2"/>
      <c r="N2736" s="2"/>
      <c r="O2736" s="2"/>
    </row>
    <row r="2737" spans="12:15">
      <c r="L2737" s="2"/>
      <c r="N2737" s="2"/>
      <c r="O2737" s="2"/>
    </row>
    <row r="2738" spans="12:15">
      <c r="L2738" s="2"/>
      <c r="N2738" s="2"/>
      <c r="O2738" s="2"/>
    </row>
    <row r="2739" spans="12:15">
      <c r="L2739" s="2"/>
      <c r="N2739" s="2"/>
      <c r="O2739" s="2"/>
    </row>
    <row r="2740" spans="12:15">
      <c r="L2740" s="2"/>
      <c r="N2740" s="2"/>
      <c r="O2740" s="2"/>
    </row>
    <row r="2741" spans="12:15">
      <c r="L2741" s="2"/>
      <c r="N2741" s="2"/>
      <c r="O2741" s="2"/>
    </row>
    <row r="2742" spans="12:15">
      <c r="L2742" s="2"/>
      <c r="N2742" s="2"/>
      <c r="O2742" s="2"/>
    </row>
    <row r="2743" spans="12:15">
      <c r="L2743" s="2"/>
      <c r="N2743" s="2"/>
      <c r="O2743" s="2"/>
    </row>
    <row r="2744" spans="12:15">
      <c r="L2744" s="2"/>
      <c r="N2744" s="2"/>
      <c r="O2744" s="2"/>
    </row>
    <row r="2745" spans="12:15">
      <c r="L2745" s="2"/>
      <c r="N2745" s="2"/>
      <c r="O2745" s="2"/>
    </row>
    <row r="2746" spans="12:15">
      <c r="L2746" s="2"/>
      <c r="N2746" s="2"/>
      <c r="O2746" s="2"/>
    </row>
    <row r="2747" spans="12:15">
      <c r="L2747" s="2"/>
      <c r="N2747" s="2"/>
      <c r="O2747" s="2"/>
    </row>
    <row r="2748" spans="12:15">
      <c r="L2748" s="2"/>
      <c r="N2748" s="2"/>
      <c r="O2748" s="2"/>
    </row>
    <row r="2749" spans="12:15">
      <c r="L2749" s="2"/>
      <c r="N2749" s="2"/>
      <c r="O2749" s="2"/>
    </row>
    <row r="2750" spans="12:15">
      <c r="L2750" s="2"/>
      <c r="N2750" s="2"/>
      <c r="O2750" s="2"/>
    </row>
    <row r="2751" spans="12:15">
      <c r="L2751" s="2"/>
      <c r="N2751" s="2"/>
      <c r="O2751" s="2"/>
    </row>
    <row r="2752" spans="12:15">
      <c r="L2752" s="2"/>
      <c r="N2752" s="2"/>
      <c r="O2752" s="2"/>
    </row>
    <row r="2753" spans="12:15">
      <c r="L2753" s="2"/>
      <c r="N2753" s="2"/>
      <c r="O2753" s="2"/>
    </row>
    <row r="2754" spans="12:15">
      <c r="L2754" s="2"/>
      <c r="N2754" s="2"/>
      <c r="O2754" s="2"/>
    </row>
    <row r="2755" spans="12:15">
      <c r="L2755" s="2"/>
      <c r="N2755" s="2"/>
      <c r="O2755" s="2"/>
    </row>
    <row r="2756" spans="12:15">
      <c r="L2756" s="2"/>
      <c r="N2756" s="2"/>
      <c r="O2756" s="2"/>
    </row>
    <row r="2757" spans="12:15">
      <c r="L2757" s="2"/>
      <c r="N2757" s="2"/>
      <c r="O2757" s="2"/>
    </row>
    <row r="2758" spans="12:15">
      <c r="L2758" s="2"/>
      <c r="N2758" s="2"/>
      <c r="O2758" s="2"/>
    </row>
    <row r="2759" spans="12:15">
      <c r="L2759" s="2"/>
      <c r="N2759" s="2"/>
      <c r="O2759" s="2"/>
    </row>
    <row r="2760" spans="12:15">
      <c r="L2760" s="2"/>
      <c r="N2760" s="2"/>
      <c r="O2760" s="2"/>
    </row>
    <row r="2761" spans="12:15">
      <c r="L2761" s="2"/>
      <c r="N2761" s="2"/>
      <c r="O2761" s="2"/>
    </row>
    <row r="2762" spans="12:15">
      <c r="L2762" s="2"/>
      <c r="N2762" s="2"/>
      <c r="O2762" s="2"/>
    </row>
    <row r="2763" spans="12:15">
      <c r="L2763" s="2"/>
      <c r="N2763" s="2"/>
      <c r="O2763" s="2"/>
    </row>
    <row r="2764" spans="12:15">
      <c r="L2764" s="2"/>
      <c r="N2764" s="2"/>
      <c r="O2764" s="2"/>
    </row>
    <row r="2765" spans="12:15">
      <c r="L2765" s="2"/>
      <c r="N2765" s="2"/>
      <c r="O2765" s="2"/>
    </row>
    <row r="2766" spans="12:15">
      <c r="L2766" s="2"/>
      <c r="N2766" s="2"/>
      <c r="O2766" s="2"/>
    </row>
    <row r="2767" spans="12:15">
      <c r="L2767" s="2"/>
      <c r="N2767" s="2"/>
      <c r="O2767" s="2"/>
    </row>
    <row r="2768" spans="12:15">
      <c r="L2768" s="2"/>
      <c r="N2768" s="2"/>
      <c r="O2768" s="2"/>
    </row>
    <row r="2769" spans="12:15">
      <c r="L2769" s="2"/>
      <c r="N2769" s="2"/>
      <c r="O2769" s="2"/>
    </row>
    <row r="2770" spans="12:15">
      <c r="L2770" s="2"/>
      <c r="N2770" s="2"/>
      <c r="O2770" s="2"/>
    </row>
    <row r="2771" spans="12:15">
      <c r="L2771" s="2"/>
      <c r="N2771" s="2"/>
      <c r="O2771" s="2"/>
    </row>
    <row r="2772" spans="12:15">
      <c r="L2772" s="2"/>
      <c r="N2772" s="2"/>
      <c r="O2772" s="2"/>
    </row>
    <row r="2773" spans="12:15">
      <c r="L2773" s="2"/>
      <c r="N2773" s="2"/>
      <c r="O2773" s="2"/>
    </row>
    <row r="2774" spans="12:15">
      <c r="L2774" s="2"/>
      <c r="N2774" s="2"/>
      <c r="O2774" s="2"/>
    </row>
    <row r="2775" spans="12:15">
      <c r="L2775" s="2"/>
      <c r="N2775" s="2"/>
      <c r="O2775" s="2"/>
    </row>
    <row r="2776" spans="12:15">
      <c r="L2776" s="2"/>
      <c r="N2776" s="2"/>
      <c r="O2776" s="2"/>
    </row>
    <row r="2777" spans="12:15">
      <c r="L2777" s="2"/>
      <c r="N2777" s="2"/>
      <c r="O2777" s="2"/>
    </row>
    <row r="2778" spans="12:15">
      <c r="L2778" s="2"/>
      <c r="N2778" s="2"/>
      <c r="O2778" s="2"/>
    </row>
    <row r="2779" spans="12:15">
      <c r="L2779" s="2"/>
      <c r="N2779" s="2"/>
      <c r="O2779" s="2"/>
    </row>
    <row r="2780" spans="12:15">
      <c r="L2780" s="2"/>
      <c r="N2780" s="2"/>
      <c r="O2780" s="2"/>
    </row>
    <row r="2781" spans="12:15">
      <c r="L2781" s="2"/>
      <c r="N2781" s="2"/>
      <c r="O2781" s="2"/>
    </row>
    <row r="2782" spans="12:15">
      <c r="L2782" s="2"/>
      <c r="N2782" s="2"/>
      <c r="O2782" s="2"/>
    </row>
    <row r="2783" spans="12:15">
      <c r="L2783" s="2"/>
      <c r="N2783" s="2"/>
      <c r="O2783" s="2"/>
    </row>
    <row r="2784" spans="12:15">
      <c r="L2784" s="2"/>
      <c r="N2784" s="2"/>
      <c r="O2784" s="2"/>
    </row>
    <row r="2785" spans="12:15">
      <c r="L2785" s="2"/>
      <c r="N2785" s="2"/>
      <c r="O2785" s="2"/>
    </row>
    <row r="2786" spans="12:15">
      <c r="L2786" s="2"/>
      <c r="N2786" s="2"/>
      <c r="O2786" s="2"/>
    </row>
    <row r="2787" spans="12:15">
      <c r="L2787" s="2"/>
      <c r="N2787" s="2"/>
      <c r="O2787" s="2"/>
    </row>
    <row r="2788" spans="12:15">
      <c r="L2788" s="2"/>
      <c r="N2788" s="2"/>
      <c r="O2788" s="2"/>
    </row>
    <row r="2789" spans="12:15">
      <c r="L2789" s="2"/>
      <c r="N2789" s="2"/>
      <c r="O2789" s="2"/>
    </row>
    <row r="2790" spans="12:15">
      <c r="L2790" s="2"/>
      <c r="N2790" s="2"/>
      <c r="O2790" s="2"/>
    </row>
    <row r="2791" spans="12:15">
      <c r="L2791" s="2"/>
      <c r="N2791" s="2"/>
      <c r="O2791" s="2"/>
    </row>
    <row r="2792" spans="12:15">
      <c r="L2792" s="2"/>
      <c r="N2792" s="2"/>
      <c r="O2792" s="2"/>
    </row>
    <row r="2793" spans="12:15">
      <c r="L2793" s="2"/>
      <c r="N2793" s="2"/>
      <c r="O2793" s="2"/>
    </row>
    <row r="2794" spans="12:15">
      <c r="L2794" s="2"/>
      <c r="N2794" s="2"/>
      <c r="O2794" s="2"/>
    </row>
    <row r="2795" spans="12:15">
      <c r="L2795" s="2"/>
      <c r="N2795" s="2"/>
      <c r="O2795" s="2"/>
    </row>
    <row r="2796" spans="12:15">
      <c r="L2796" s="2"/>
      <c r="N2796" s="2"/>
      <c r="O2796" s="2"/>
    </row>
    <row r="2797" spans="12:15">
      <c r="L2797" s="2"/>
      <c r="N2797" s="2"/>
      <c r="O2797" s="2"/>
    </row>
    <row r="2798" spans="12:15">
      <c r="L2798" s="2"/>
      <c r="N2798" s="2"/>
      <c r="O2798" s="2"/>
    </row>
    <row r="2799" spans="12:15">
      <c r="L2799" s="2"/>
      <c r="N2799" s="2"/>
      <c r="O2799" s="2"/>
    </row>
    <row r="2800" spans="12:15">
      <c r="L2800" s="2"/>
      <c r="N2800" s="2"/>
      <c r="O2800" s="2"/>
    </row>
    <row r="2801" spans="12:15">
      <c r="L2801" s="2"/>
      <c r="N2801" s="2"/>
      <c r="O2801" s="2"/>
    </row>
    <row r="2802" spans="12:15">
      <c r="L2802" s="2"/>
      <c r="N2802" s="2"/>
      <c r="O2802" s="2"/>
    </row>
    <row r="2803" spans="12:15">
      <c r="L2803" s="2"/>
      <c r="N2803" s="2"/>
      <c r="O2803" s="2"/>
    </row>
    <row r="2804" spans="12:15">
      <c r="L2804" s="2"/>
      <c r="N2804" s="2"/>
      <c r="O2804" s="2"/>
    </row>
    <row r="2805" spans="12:15">
      <c r="L2805" s="2"/>
      <c r="N2805" s="2"/>
      <c r="O2805" s="2"/>
    </row>
    <row r="2806" spans="12:15">
      <c r="L2806" s="2"/>
      <c r="N2806" s="2"/>
      <c r="O2806" s="2"/>
    </row>
    <row r="2807" spans="12:15">
      <c r="L2807" s="2"/>
      <c r="N2807" s="2"/>
      <c r="O2807" s="2"/>
    </row>
    <row r="2808" spans="12:15">
      <c r="L2808" s="2"/>
      <c r="N2808" s="2"/>
      <c r="O2808" s="2"/>
    </row>
    <row r="2809" spans="12:15">
      <c r="L2809" s="2"/>
      <c r="N2809" s="2"/>
      <c r="O2809" s="2"/>
    </row>
    <row r="2810" spans="12:15">
      <c r="L2810" s="2"/>
      <c r="N2810" s="2"/>
      <c r="O2810" s="2"/>
    </row>
    <row r="2811" spans="12:15">
      <c r="L2811" s="2"/>
      <c r="N2811" s="2"/>
      <c r="O2811" s="2"/>
    </row>
    <row r="2812" spans="12:15">
      <c r="L2812" s="2"/>
      <c r="N2812" s="2"/>
      <c r="O2812" s="2"/>
    </row>
    <row r="2813" spans="12:15">
      <c r="L2813" s="2"/>
      <c r="N2813" s="2"/>
      <c r="O2813" s="2"/>
    </row>
    <row r="2814" spans="12:15">
      <c r="L2814" s="2"/>
      <c r="N2814" s="2"/>
      <c r="O2814" s="2"/>
    </row>
    <row r="2815" spans="12:15">
      <c r="L2815" s="2"/>
      <c r="N2815" s="2"/>
      <c r="O2815" s="2"/>
    </row>
    <row r="2816" spans="12:15">
      <c r="L2816" s="2"/>
      <c r="N2816" s="2"/>
      <c r="O2816" s="2"/>
    </row>
    <row r="2817" spans="12:15">
      <c r="L2817" s="2"/>
      <c r="N2817" s="2"/>
      <c r="O2817" s="2"/>
    </row>
    <row r="2818" spans="12:15">
      <c r="L2818" s="2"/>
      <c r="N2818" s="2"/>
      <c r="O2818" s="2"/>
    </row>
    <row r="2819" spans="12:15">
      <c r="L2819" s="2"/>
      <c r="N2819" s="2"/>
      <c r="O2819" s="2"/>
    </row>
    <row r="2820" spans="12:15">
      <c r="L2820" s="2"/>
      <c r="N2820" s="2"/>
      <c r="O2820" s="2"/>
    </row>
    <row r="2821" spans="12:15">
      <c r="L2821" s="2"/>
      <c r="N2821" s="2"/>
      <c r="O2821" s="2"/>
    </row>
    <row r="2822" spans="12:15">
      <c r="L2822" s="2"/>
      <c r="N2822" s="2"/>
      <c r="O2822" s="2"/>
    </row>
    <row r="2823" spans="12:15">
      <c r="L2823" s="2"/>
      <c r="N2823" s="2"/>
      <c r="O2823" s="2"/>
    </row>
    <row r="2824" spans="12:15">
      <c r="L2824" s="2"/>
      <c r="N2824" s="2"/>
      <c r="O2824" s="2"/>
    </row>
    <row r="2825" spans="12:15">
      <c r="L2825" s="2"/>
      <c r="N2825" s="2"/>
      <c r="O2825" s="2"/>
    </row>
    <row r="2826" spans="12:15">
      <c r="L2826" s="2"/>
      <c r="N2826" s="2"/>
      <c r="O2826" s="2"/>
    </row>
    <row r="2827" spans="12:15">
      <c r="L2827" s="2"/>
      <c r="N2827" s="2"/>
      <c r="O2827" s="2"/>
    </row>
    <row r="2828" spans="12:15">
      <c r="L2828" s="2"/>
      <c r="N2828" s="2"/>
      <c r="O2828" s="2"/>
    </row>
    <row r="2829" spans="12:15">
      <c r="L2829" s="2"/>
      <c r="N2829" s="2"/>
      <c r="O2829" s="2"/>
    </row>
    <row r="2830" spans="12:15">
      <c r="L2830" s="2"/>
      <c r="N2830" s="2"/>
      <c r="O2830" s="2"/>
    </row>
    <row r="2831" spans="12:15">
      <c r="L2831" s="2"/>
      <c r="N2831" s="2"/>
      <c r="O2831" s="2"/>
    </row>
    <row r="2832" spans="12:15">
      <c r="L2832" s="2"/>
      <c r="N2832" s="2"/>
      <c r="O2832" s="2"/>
    </row>
    <row r="2833" spans="12:15">
      <c r="L2833" s="2"/>
      <c r="N2833" s="2"/>
      <c r="O2833" s="2"/>
    </row>
    <row r="2834" spans="12:15">
      <c r="L2834" s="2"/>
      <c r="N2834" s="2"/>
      <c r="O2834" s="2"/>
    </row>
    <row r="2835" spans="12:15">
      <c r="L2835" s="2"/>
      <c r="N2835" s="2"/>
      <c r="O2835" s="2"/>
    </row>
    <row r="2836" spans="12:15">
      <c r="L2836" s="2"/>
      <c r="N2836" s="2"/>
      <c r="O2836" s="2"/>
    </row>
    <row r="2837" spans="12:15">
      <c r="L2837" s="2"/>
      <c r="N2837" s="2"/>
      <c r="O2837" s="2"/>
    </row>
    <row r="2838" spans="12:15">
      <c r="L2838" s="2"/>
      <c r="N2838" s="2"/>
      <c r="O2838" s="2"/>
    </row>
    <row r="2839" spans="12:15">
      <c r="L2839" s="2"/>
      <c r="N2839" s="2"/>
      <c r="O2839" s="2"/>
    </row>
    <row r="2840" spans="12:15">
      <c r="L2840" s="2"/>
      <c r="N2840" s="2"/>
      <c r="O2840" s="2"/>
    </row>
    <row r="2841" spans="12:15">
      <c r="L2841" s="2"/>
      <c r="N2841" s="2"/>
      <c r="O2841" s="2"/>
    </row>
    <row r="2842" spans="12:15">
      <c r="L2842" s="2"/>
      <c r="N2842" s="2"/>
      <c r="O2842" s="2"/>
    </row>
    <row r="2843" spans="12:15">
      <c r="L2843" s="2"/>
      <c r="N2843" s="2"/>
      <c r="O2843" s="2"/>
    </row>
    <row r="2844" spans="12:15">
      <c r="L2844" s="2"/>
      <c r="N2844" s="2"/>
      <c r="O2844" s="2"/>
    </row>
    <row r="2845" spans="12:15">
      <c r="L2845" s="2"/>
      <c r="N2845" s="2"/>
      <c r="O2845" s="2"/>
    </row>
    <row r="2846" spans="12:15">
      <c r="L2846" s="2"/>
      <c r="N2846" s="2"/>
      <c r="O2846" s="2"/>
    </row>
    <row r="2847" spans="12:15">
      <c r="L2847" s="2"/>
      <c r="N2847" s="2"/>
      <c r="O2847" s="2"/>
    </row>
    <row r="2848" spans="12:15">
      <c r="L2848" s="2"/>
      <c r="N2848" s="2"/>
      <c r="O2848" s="2"/>
    </row>
    <row r="2849" spans="12:15">
      <c r="L2849" s="2"/>
      <c r="N2849" s="2"/>
      <c r="O2849" s="2"/>
    </row>
    <row r="2850" spans="12:15">
      <c r="L2850" s="2"/>
      <c r="N2850" s="2"/>
      <c r="O2850" s="2"/>
    </row>
    <row r="2851" spans="12:15">
      <c r="L2851" s="2"/>
      <c r="N2851" s="2"/>
      <c r="O2851" s="2"/>
    </row>
    <row r="2852" spans="12:15">
      <c r="L2852" s="2"/>
      <c r="N2852" s="2"/>
      <c r="O2852" s="2"/>
    </row>
    <row r="2853" spans="12:15">
      <c r="L2853" s="2"/>
      <c r="N2853" s="2"/>
      <c r="O2853" s="2"/>
    </row>
    <row r="2854" spans="12:15">
      <c r="L2854" s="2"/>
      <c r="N2854" s="2"/>
      <c r="O2854" s="2"/>
    </row>
    <row r="2855" spans="12:15">
      <c r="L2855" s="2"/>
      <c r="N2855" s="2"/>
      <c r="O2855" s="2"/>
    </row>
    <row r="2856" spans="12:15">
      <c r="L2856" s="2"/>
      <c r="N2856" s="2"/>
      <c r="O2856" s="2"/>
    </row>
    <row r="2857" spans="12:15">
      <c r="L2857" s="2"/>
      <c r="N2857" s="2"/>
      <c r="O2857" s="2"/>
    </row>
    <row r="2858" spans="12:15">
      <c r="L2858" s="2"/>
      <c r="N2858" s="2"/>
      <c r="O2858" s="2"/>
    </row>
    <row r="2859" spans="12:15">
      <c r="L2859" s="2"/>
      <c r="N2859" s="2"/>
      <c r="O2859" s="2"/>
    </row>
    <row r="2860" spans="12:15">
      <c r="L2860" s="2"/>
      <c r="N2860" s="2"/>
      <c r="O2860" s="2"/>
    </row>
    <row r="2861" spans="12:15">
      <c r="L2861" s="2"/>
      <c r="N2861" s="2"/>
      <c r="O2861" s="2"/>
    </row>
    <row r="2862" spans="12:15">
      <c r="L2862" s="2"/>
      <c r="N2862" s="2"/>
      <c r="O2862" s="2"/>
    </row>
    <row r="2863" spans="12:15">
      <c r="L2863" s="2"/>
      <c r="N2863" s="2"/>
      <c r="O2863" s="2"/>
    </row>
    <row r="2864" spans="12:15">
      <c r="L2864" s="2"/>
      <c r="N2864" s="2"/>
      <c r="O2864" s="2"/>
    </row>
    <row r="2865" spans="12:15">
      <c r="L2865" s="2"/>
      <c r="N2865" s="2"/>
      <c r="O2865" s="2"/>
    </row>
    <row r="2866" spans="12:15">
      <c r="L2866" s="2"/>
      <c r="N2866" s="2"/>
      <c r="O2866" s="2"/>
    </row>
    <row r="2867" spans="12:15">
      <c r="L2867" s="2"/>
      <c r="N2867" s="2"/>
      <c r="O2867" s="2"/>
    </row>
    <row r="2868" spans="12:15">
      <c r="L2868" s="2"/>
      <c r="N2868" s="2"/>
      <c r="O2868" s="2"/>
    </row>
    <row r="2869" spans="12:15">
      <c r="L2869" s="2"/>
      <c r="N2869" s="2"/>
      <c r="O2869" s="2"/>
    </row>
    <row r="2870" spans="12:15">
      <c r="L2870" s="2"/>
      <c r="N2870" s="2"/>
      <c r="O2870" s="2"/>
    </row>
    <row r="2871" spans="12:15">
      <c r="L2871" s="2"/>
      <c r="N2871" s="2"/>
      <c r="O2871" s="2"/>
    </row>
    <row r="2872" spans="12:15">
      <c r="L2872" s="2"/>
      <c r="N2872" s="2"/>
      <c r="O2872" s="2"/>
    </row>
    <row r="2873" spans="12:15">
      <c r="L2873" s="2"/>
      <c r="N2873" s="2"/>
      <c r="O2873" s="2"/>
    </row>
    <row r="2874" spans="12:15">
      <c r="L2874" s="2"/>
      <c r="N2874" s="2"/>
      <c r="O2874" s="2"/>
    </row>
    <row r="2875" spans="12:15">
      <c r="L2875" s="2"/>
      <c r="N2875" s="2"/>
      <c r="O2875" s="2"/>
    </row>
    <row r="2876" spans="12:15">
      <c r="L2876" s="2"/>
      <c r="N2876" s="2"/>
      <c r="O2876" s="2"/>
    </row>
    <row r="2877" spans="12:15">
      <c r="L2877" s="2"/>
      <c r="N2877" s="2"/>
      <c r="O2877" s="2"/>
    </row>
    <row r="2878" spans="12:15">
      <c r="L2878" s="2"/>
      <c r="N2878" s="2"/>
      <c r="O2878" s="2"/>
    </row>
    <row r="2879" spans="12:15">
      <c r="L2879" s="2"/>
      <c r="N2879" s="2"/>
      <c r="O2879" s="2"/>
    </row>
    <row r="2880" spans="12:15">
      <c r="L2880" s="2"/>
      <c r="N2880" s="2"/>
      <c r="O2880" s="2"/>
    </row>
    <row r="2881" spans="12:15">
      <c r="L2881" s="2"/>
      <c r="N2881" s="2"/>
      <c r="O2881" s="2"/>
    </row>
    <row r="2882" spans="12:15">
      <c r="L2882" s="2"/>
      <c r="N2882" s="2"/>
      <c r="O2882" s="2"/>
    </row>
    <row r="2883" spans="12:15">
      <c r="L2883" s="2"/>
      <c r="N2883" s="2"/>
      <c r="O2883" s="2"/>
    </row>
    <row r="2884" spans="12:15">
      <c r="L2884" s="2"/>
      <c r="N2884" s="2"/>
      <c r="O2884" s="2"/>
    </row>
    <row r="2885" spans="12:15">
      <c r="L2885" s="2"/>
      <c r="N2885" s="2"/>
      <c r="O2885" s="2"/>
    </row>
    <row r="2886" spans="12:15">
      <c r="L2886" s="2"/>
      <c r="N2886" s="2"/>
      <c r="O2886" s="2"/>
    </row>
    <row r="2887" spans="12:15">
      <c r="L2887" s="2"/>
      <c r="N2887" s="2"/>
      <c r="O2887" s="2"/>
    </row>
    <row r="2888" spans="12:15">
      <c r="L2888" s="2"/>
      <c r="N2888" s="2"/>
      <c r="O2888" s="2"/>
    </row>
    <row r="2889" spans="12:15">
      <c r="L2889" s="2"/>
      <c r="N2889" s="2"/>
      <c r="O2889" s="2"/>
    </row>
    <row r="2890" spans="12:15">
      <c r="L2890" s="2"/>
      <c r="N2890" s="2"/>
      <c r="O2890" s="2"/>
    </row>
    <row r="2891" spans="12:15">
      <c r="L2891" s="2"/>
      <c r="N2891" s="2"/>
      <c r="O2891" s="2"/>
    </row>
    <row r="2892" spans="12:15">
      <c r="L2892" s="2"/>
      <c r="N2892" s="2"/>
      <c r="O2892" s="2"/>
    </row>
    <row r="2893" spans="12:15">
      <c r="L2893" s="2"/>
      <c r="N2893" s="2"/>
      <c r="O2893" s="2"/>
    </row>
    <row r="2894" spans="12:15">
      <c r="L2894" s="2"/>
      <c r="N2894" s="2"/>
      <c r="O2894" s="2"/>
    </row>
    <row r="2895" spans="12:15">
      <c r="L2895" s="2"/>
      <c r="N2895" s="2"/>
      <c r="O2895" s="2"/>
    </row>
    <row r="2896" spans="12:15">
      <c r="L2896" s="2"/>
      <c r="N2896" s="2"/>
      <c r="O2896" s="2"/>
    </row>
    <row r="2897" spans="12:15">
      <c r="L2897" s="2"/>
      <c r="N2897" s="2"/>
      <c r="O2897" s="2"/>
    </row>
    <row r="2898" spans="12:15">
      <c r="L2898" s="2"/>
      <c r="N2898" s="2"/>
      <c r="O2898" s="2"/>
    </row>
    <row r="2899" spans="12:15">
      <c r="L2899" s="2"/>
      <c r="N2899" s="2"/>
      <c r="O2899" s="2"/>
    </row>
    <row r="2900" spans="12:15">
      <c r="L2900" s="2"/>
      <c r="N2900" s="2"/>
      <c r="O2900" s="2"/>
    </row>
    <row r="2901" spans="12:15">
      <c r="L2901" s="2"/>
      <c r="N2901" s="2"/>
      <c r="O2901" s="2"/>
    </row>
    <row r="2902" spans="12:15">
      <c r="L2902" s="2"/>
      <c r="N2902" s="2"/>
      <c r="O2902" s="2"/>
    </row>
    <row r="2903" spans="12:15">
      <c r="L2903" s="2"/>
      <c r="N2903" s="2"/>
      <c r="O2903" s="2"/>
    </row>
    <row r="2904" spans="12:15">
      <c r="L2904" s="2"/>
      <c r="N2904" s="2"/>
      <c r="O2904" s="2"/>
    </row>
    <row r="2905" spans="12:15">
      <c r="L2905" s="2"/>
      <c r="N2905" s="2"/>
      <c r="O2905" s="2"/>
    </row>
    <row r="2906" spans="12:15">
      <c r="L2906" s="2"/>
      <c r="N2906" s="2"/>
      <c r="O2906" s="2"/>
    </row>
    <row r="2907" spans="12:15">
      <c r="L2907" s="2"/>
      <c r="N2907" s="2"/>
      <c r="O2907" s="2"/>
    </row>
    <row r="2908" spans="12:15">
      <c r="L2908" s="2"/>
      <c r="N2908" s="2"/>
      <c r="O2908" s="2"/>
    </row>
    <row r="2909" spans="12:15">
      <c r="L2909" s="2"/>
      <c r="N2909" s="2"/>
      <c r="O2909" s="2"/>
    </row>
    <row r="2910" spans="12:15">
      <c r="L2910" s="2"/>
      <c r="N2910" s="2"/>
      <c r="O2910" s="2"/>
    </row>
    <row r="2911" spans="12:15">
      <c r="L2911" s="2"/>
      <c r="N2911" s="2"/>
      <c r="O2911" s="2"/>
    </row>
    <row r="2912" spans="12:15">
      <c r="L2912" s="2"/>
      <c r="N2912" s="2"/>
      <c r="O2912" s="2"/>
    </row>
    <row r="2913" spans="12:15">
      <c r="L2913" s="2"/>
      <c r="N2913" s="2"/>
      <c r="O2913" s="2"/>
    </row>
    <row r="2914" spans="12:15">
      <c r="L2914" s="2"/>
      <c r="N2914" s="2"/>
      <c r="O2914" s="2"/>
    </row>
    <row r="2915" spans="12:15">
      <c r="L2915" s="2"/>
      <c r="N2915" s="2"/>
      <c r="O2915" s="2"/>
    </row>
    <row r="2916" spans="12:15">
      <c r="L2916" s="2"/>
      <c r="N2916" s="2"/>
      <c r="O2916" s="2"/>
    </row>
    <row r="2917" spans="12:15">
      <c r="L2917" s="2"/>
      <c r="N2917" s="2"/>
      <c r="O2917" s="2"/>
    </row>
    <row r="2918" spans="12:15">
      <c r="L2918" s="2"/>
      <c r="N2918" s="2"/>
      <c r="O2918" s="2"/>
    </row>
    <row r="2919" spans="12:15">
      <c r="L2919" s="2"/>
      <c r="N2919" s="2"/>
      <c r="O2919" s="2"/>
    </row>
    <row r="2920" spans="12:15">
      <c r="L2920" s="2"/>
      <c r="N2920" s="2"/>
      <c r="O2920" s="2"/>
    </row>
    <row r="2921" spans="12:15">
      <c r="L2921" s="2"/>
      <c r="N2921" s="2"/>
      <c r="O2921" s="2"/>
    </row>
    <row r="2922" spans="12:15">
      <c r="L2922" s="2"/>
      <c r="N2922" s="2"/>
      <c r="O2922" s="2"/>
    </row>
    <row r="2923" spans="12:15">
      <c r="L2923" s="2"/>
      <c r="N2923" s="2"/>
      <c r="O2923" s="2"/>
    </row>
    <row r="2924" spans="12:15">
      <c r="L2924" s="2"/>
      <c r="N2924" s="2"/>
      <c r="O2924" s="2"/>
    </row>
    <row r="2925" spans="12:15">
      <c r="L2925" s="2"/>
      <c r="N2925" s="2"/>
      <c r="O2925" s="2"/>
    </row>
    <row r="2926" spans="12:15">
      <c r="L2926" s="2"/>
      <c r="N2926" s="2"/>
      <c r="O2926" s="2"/>
    </row>
    <row r="2927" spans="12:15">
      <c r="L2927" s="2"/>
      <c r="N2927" s="2"/>
      <c r="O2927" s="2"/>
    </row>
    <row r="2928" spans="12:15">
      <c r="L2928" s="2"/>
      <c r="N2928" s="2"/>
      <c r="O2928" s="2"/>
    </row>
    <row r="2929" spans="12:15">
      <c r="L2929" s="2"/>
      <c r="N2929" s="2"/>
      <c r="O2929" s="2"/>
    </row>
    <row r="2930" spans="12:15">
      <c r="L2930" s="2"/>
      <c r="N2930" s="2"/>
      <c r="O2930" s="2"/>
    </row>
    <row r="2931" spans="12:15">
      <c r="L2931" s="2"/>
      <c r="N2931" s="2"/>
      <c r="O2931" s="2"/>
    </row>
    <row r="2932" spans="12:15">
      <c r="L2932" s="2"/>
      <c r="N2932" s="2"/>
      <c r="O2932" s="2"/>
    </row>
    <row r="2933" spans="12:15">
      <c r="L2933" s="2"/>
      <c r="N2933" s="2"/>
      <c r="O2933" s="2"/>
    </row>
    <row r="2934" spans="12:15">
      <c r="L2934" s="2"/>
      <c r="N2934" s="2"/>
      <c r="O2934" s="2"/>
    </row>
    <row r="2935" spans="12:15">
      <c r="L2935" s="2"/>
      <c r="N2935" s="2"/>
      <c r="O2935" s="2"/>
    </row>
    <row r="2936" spans="12:15">
      <c r="L2936" s="2"/>
      <c r="N2936" s="2"/>
      <c r="O2936" s="2"/>
    </row>
    <row r="2937" spans="12:15">
      <c r="L2937" s="2"/>
      <c r="N2937" s="2"/>
      <c r="O2937" s="2"/>
    </row>
    <row r="2938" spans="12:15">
      <c r="L2938" s="2"/>
      <c r="N2938" s="2"/>
      <c r="O2938" s="2"/>
    </row>
    <row r="2939" spans="12:15">
      <c r="L2939" s="2"/>
      <c r="N2939" s="2"/>
      <c r="O2939" s="2"/>
    </row>
    <row r="2940" spans="12:15">
      <c r="L2940" s="2"/>
      <c r="N2940" s="2"/>
      <c r="O2940" s="2"/>
    </row>
    <row r="2941" spans="12:15">
      <c r="L2941" s="2"/>
      <c r="N2941" s="2"/>
      <c r="O2941" s="2"/>
    </row>
    <row r="2942" spans="12:15">
      <c r="L2942" s="2"/>
      <c r="N2942" s="2"/>
      <c r="O2942" s="2"/>
    </row>
    <row r="2943" spans="12:15">
      <c r="L2943" s="2"/>
      <c r="N2943" s="2"/>
      <c r="O2943" s="2"/>
    </row>
    <row r="2944" spans="12:15">
      <c r="L2944" s="2"/>
      <c r="N2944" s="2"/>
      <c r="O2944" s="2"/>
    </row>
    <row r="2945" spans="12:15">
      <c r="L2945" s="2"/>
      <c r="N2945" s="2"/>
      <c r="O2945" s="2"/>
    </row>
    <row r="2946" spans="12:15">
      <c r="L2946" s="2"/>
      <c r="N2946" s="2"/>
      <c r="O2946" s="2"/>
    </row>
    <row r="2947" spans="12:15">
      <c r="L2947" s="2"/>
      <c r="N2947" s="2"/>
      <c r="O2947" s="2"/>
    </row>
    <row r="2948" spans="12:15">
      <c r="L2948" s="2"/>
      <c r="N2948" s="2"/>
      <c r="O2948" s="2"/>
    </row>
    <row r="2949" spans="12:15">
      <c r="L2949" s="2"/>
      <c r="N2949" s="2"/>
      <c r="O2949" s="2"/>
    </row>
    <row r="2950" spans="12:15">
      <c r="L2950" s="2"/>
      <c r="N2950" s="2"/>
      <c r="O2950" s="2"/>
    </row>
    <row r="2951" spans="12:15">
      <c r="L2951" s="2"/>
      <c r="N2951" s="2"/>
      <c r="O2951" s="2"/>
    </row>
    <row r="2952" spans="12:15">
      <c r="L2952" s="2"/>
      <c r="N2952" s="2"/>
      <c r="O2952" s="2"/>
    </row>
    <row r="2953" spans="12:15">
      <c r="L2953" s="2"/>
      <c r="N2953" s="2"/>
      <c r="O2953" s="2"/>
    </row>
    <row r="2954" spans="12:15">
      <c r="L2954" s="2"/>
      <c r="N2954" s="2"/>
      <c r="O2954" s="2"/>
    </row>
    <row r="2955" spans="12:15">
      <c r="L2955" s="2"/>
      <c r="N2955" s="2"/>
      <c r="O2955" s="2"/>
    </row>
    <row r="2956" spans="12:15">
      <c r="L2956" s="2"/>
      <c r="N2956" s="2"/>
      <c r="O2956" s="2"/>
    </row>
    <row r="2957" spans="12:15">
      <c r="L2957" s="2"/>
      <c r="N2957" s="2"/>
      <c r="O2957" s="2"/>
    </row>
    <row r="2958" spans="12:15">
      <c r="L2958" s="2"/>
      <c r="N2958" s="2"/>
      <c r="O2958" s="2"/>
    </row>
    <row r="2959" spans="12:15">
      <c r="L2959" s="2"/>
      <c r="N2959" s="2"/>
      <c r="O2959" s="2"/>
    </row>
    <row r="2960" spans="12:15">
      <c r="L2960" s="2"/>
      <c r="N2960" s="2"/>
      <c r="O2960" s="2"/>
    </row>
    <row r="2961" spans="12:15">
      <c r="L2961" s="2"/>
      <c r="N2961" s="2"/>
      <c r="O2961" s="2"/>
    </row>
    <row r="2962" spans="12:15">
      <c r="L2962" s="2"/>
      <c r="N2962" s="2"/>
      <c r="O2962" s="2"/>
    </row>
    <row r="2963" spans="12:15">
      <c r="L2963" s="2"/>
      <c r="N2963" s="2"/>
      <c r="O2963" s="2"/>
    </row>
    <row r="2964" spans="12:15">
      <c r="L2964" s="2"/>
      <c r="N2964" s="2"/>
      <c r="O2964" s="2"/>
    </row>
    <row r="2965" spans="12:15">
      <c r="L2965" s="2"/>
      <c r="N2965" s="2"/>
      <c r="O2965" s="2"/>
    </row>
    <row r="2966" spans="12:15">
      <c r="L2966" s="2"/>
      <c r="N2966" s="2"/>
      <c r="O2966" s="2"/>
    </row>
    <row r="2967" spans="12:15">
      <c r="L2967" s="2"/>
      <c r="N2967" s="2"/>
      <c r="O2967" s="2"/>
    </row>
    <row r="2968" spans="12:15">
      <c r="L2968" s="2"/>
      <c r="N2968" s="2"/>
      <c r="O2968" s="2"/>
    </row>
    <row r="2969" spans="12:15">
      <c r="L2969" s="2"/>
      <c r="N2969" s="2"/>
      <c r="O2969" s="2"/>
    </row>
    <row r="2970" spans="12:15">
      <c r="L2970" s="2"/>
      <c r="N2970" s="2"/>
      <c r="O2970" s="2"/>
    </row>
    <row r="2971" spans="12:15">
      <c r="L2971" s="2"/>
      <c r="N2971" s="2"/>
      <c r="O2971" s="2"/>
    </row>
    <row r="2972" spans="12:15">
      <c r="L2972" s="2"/>
      <c r="N2972" s="2"/>
      <c r="O2972" s="2"/>
    </row>
    <row r="2973" spans="12:15">
      <c r="L2973" s="2"/>
      <c r="N2973" s="2"/>
      <c r="O2973" s="2"/>
    </row>
    <row r="2974" spans="12:15">
      <c r="L2974" s="2"/>
      <c r="N2974" s="2"/>
      <c r="O2974" s="2"/>
    </row>
    <row r="2975" spans="12:15">
      <c r="L2975" s="2"/>
      <c r="N2975" s="2"/>
      <c r="O2975" s="2"/>
    </row>
    <row r="2976" spans="12:15">
      <c r="L2976" s="2"/>
      <c r="N2976" s="2"/>
      <c r="O2976" s="2"/>
    </row>
    <row r="2977" spans="12:15">
      <c r="L2977" s="2"/>
      <c r="N2977" s="2"/>
      <c r="O2977" s="2"/>
    </row>
    <row r="2978" spans="12:15">
      <c r="L2978" s="2"/>
      <c r="N2978" s="2"/>
      <c r="O2978" s="2"/>
    </row>
    <row r="2979" spans="12:15">
      <c r="L2979" s="2"/>
      <c r="N2979" s="2"/>
      <c r="O2979" s="2"/>
    </row>
    <row r="2980" spans="12:15">
      <c r="L2980" s="2"/>
      <c r="N2980" s="2"/>
      <c r="O2980" s="2"/>
    </row>
    <row r="2981" spans="12:15">
      <c r="L2981" s="2"/>
      <c r="N2981" s="2"/>
      <c r="O2981" s="2"/>
    </row>
    <row r="2982" spans="12:15">
      <c r="L2982" s="2"/>
      <c r="N2982" s="2"/>
      <c r="O2982" s="2"/>
    </row>
    <row r="2983" spans="12:15">
      <c r="L2983" s="2"/>
      <c r="N2983" s="2"/>
      <c r="O2983" s="2"/>
    </row>
    <row r="2984" spans="12:15">
      <c r="L2984" s="2"/>
      <c r="N2984" s="2"/>
      <c r="O2984" s="2"/>
    </row>
    <row r="2985" spans="12:15">
      <c r="L2985" s="2"/>
      <c r="N2985" s="2"/>
      <c r="O2985" s="2"/>
    </row>
    <row r="2986" spans="12:15">
      <c r="L2986" s="2"/>
      <c r="N2986" s="2"/>
      <c r="O2986" s="2"/>
    </row>
    <row r="2987" spans="12:15">
      <c r="L2987" s="2"/>
      <c r="N2987" s="2"/>
      <c r="O2987" s="2"/>
    </row>
    <row r="2988" spans="12:15">
      <c r="L2988" s="2"/>
      <c r="N2988" s="2"/>
      <c r="O2988" s="2"/>
    </row>
    <row r="2989" spans="12:15">
      <c r="L2989" s="2"/>
      <c r="N2989" s="2"/>
      <c r="O2989" s="2"/>
    </row>
    <row r="2990" spans="12:15">
      <c r="L2990" s="2"/>
      <c r="N2990" s="2"/>
      <c r="O2990" s="2"/>
    </row>
    <row r="2991" spans="12:15">
      <c r="L2991" s="2"/>
      <c r="N2991" s="2"/>
      <c r="O2991" s="2"/>
    </row>
    <row r="2992" spans="12:15">
      <c r="L2992" s="2"/>
      <c r="N2992" s="2"/>
      <c r="O2992" s="2"/>
    </row>
    <row r="2993" spans="12:15">
      <c r="L2993" s="2"/>
      <c r="N2993" s="2"/>
      <c r="O2993" s="2"/>
    </row>
    <row r="2994" spans="12:15">
      <c r="L2994" s="2"/>
      <c r="N2994" s="2"/>
      <c r="O2994" s="2"/>
    </row>
    <row r="2995" spans="12:15">
      <c r="L2995" s="2"/>
      <c r="N2995" s="2"/>
      <c r="O2995" s="2"/>
    </row>
    <row r="2996" spans="12:15">
      <c r="L2996" s="2"/>
      <c r="N2996" s="2"/>
      <c r="O2996" s="2"/>
    </row>
    <row r="2997" spans="12:15">
      <c r="L2997" s="2"/>
      <c r="N2997" s="2"/>
      <c r="O2997" s="2"/>
    </row>
    <row r="2998" spans="12:15">
      <c r="L2998" s="2"/>
      <c r="N2998" s="2"/>
      <c r="O2998" s="2"/>
    </row>
    <row r="2999" spans="12:15">
      <c r="L2999" s="2"/>
      <c r="N2999" s="2"/>
      <c r="O2999" s="2"/>
    </row>
    <row r="3000" spans="12:15">
      <c r="L3000" s="2"/>
      <c r="N3000" s="2"/>
      <c r="O3000" s="2"/>
    </row>
    <row r="3001" spans="12:15">
      <c r="L3001" s="2"/>
      <c r="N3001" s="2"/>
      <c r="O3001" s="2"/>
    </row>
    <row r="3002" spans="12:15">
      <c r="L3002" s="2"/>
      <c r="N3002" s="2"/>
      <c r="O3002" s="2"/>
    </row>
    <row r="3003" spans="12:15">
      <c r="L3003" s="2"/>
      <c r="N3003" s="2"/>
      <c r="O3003" s="2"/>
    </row>
    <row r="3004" spans="12:15">
      <c r="L3004" s="2"/>
      <c r="N3004" s="2"/>
      <c r="O3004" s="2"/>
    </row>
    <row r="3005" spans="12:15">
      <c r="L3005" s="2"/>
      <c r="N3005" s="2"/>
      <c r="O3005" s="2"/>
    </row>
    <row r="3006" spans="12:15">
      <c r="L3006" s="2"/>
      <c r="N3006" s="2"/>
      <c r="O3006" s="2"/>
    </row>
    <row r="3007" spans="12:15">
      <c r="L3007" s="2"/>
      <c r="N3007" s="2"/>
      <c r="O3007" s="2"/>
    </row>
    <row r="3008" spans="12:15">
      <c r="L3008" s="2"/>
      <c r="N3008" s="2"/>
      <c r="O3008" s="2"/>
    </row>
    <row r="3009" spans="12:15">
      <c r="L3009" s="2"/>
      <c r="N3009" s="2"/>
      <c r="O3009" s="2"/>
    </row>
    <row r="3010" spans="12:15">
      <c r="L3010" s="2"/>
      <c r="N3010" s="2"/>
      <c r="O3010" s="2"/>
    </row>
    <row r="3011" spans="12:15">
      <c r="L3011" s="2"/>
      <c r="N3011" s="2"/>
      <c r="O3011" s="2"/>
    </row>
    <row r="3012" spans="12:15">
      <c r="L3012" s="2"/>
      <c r="N3012" s="2"/>
      <c r="O3012" s="2"/>
    </row>
    <row r="3013" spans="12:15">
      <c r="L3013" s="2"/>
      <c r="N3013" s="2"/>
      <c r="O3013" s="2"/>
    </row>
    <row r="3014" spans="12:15">
      <c r="L3014" s="2"/>
      <c r="N3014" s="2"/>
      <c r="O3014" s="2"/>
    </row>
    <row r="3015" spans="12:15">
      <c r="L3015" s="2"/>
      <c r="N3015" s="2"/>
      <c r="O3015" s="2"/>
    </row>
    <row r="3016" spans="12:15">
      <c r="L3016" s="2"/>
      <c r="N3016" s="2"/>
      <c r="O3016" s="2"/>
    </row>
    <row r="3017" spans="12:15">
      <c r="L3017" s="2"/>
      <c r="N3017" s="2"/>
      <c r="O3017" s="2"/>
    </row>
    <row r="3018" spans="12:15">
      <c r="L3018" s="2"/>
      <c r="N3018" s="2"/>
      <c r="O3018" s="2"/>
    </row>
    <row r="3019" spans="12:15">
      <c r="L3019" s="2"/>
      <c r="N3019" s="2"/>
      <c r="O3019" s="2"/>
    </row>
    <row r="3020" spans="12:15">
      <c r="L3020" s="2"/>
      <c r="N3020" s="2"/>
      <c r="O3020" s="2"/>
    </row>
    <row r="3021" spans="12:15">
      <c r="L3021" s="2"/>
      <c r="N3021" s="2"/>
      <c r="O3021" s="2"/>
    </row>
    <row r="3022" spans="12:15">
      <c r="L3022" s="2"/>
      <c r="N3022" s="2"/>
      <c r="O3022" s="2"/>
    </row>
    <row r="3023" spans="12:15">
      <c r="L3023" s="2"/>
      <c r="N3023" s="2"/>
      <c r="O3023" s="2"/>
    </row>
    <row r="3024" spans="12:15">
      <c r="L3024" s="2"/>
      <c r="N3024" s="2"/>
      <c r="O3024" s="2"/>
    </row>
    <row r="3025" spans="12:15">
      <c r="L3025" s="2"/>
      <c r="N3025" s="2"/>
      <c r="O3025" s="2"/>
    </row>
    <row r="3026" spans="12:15">
      <c r="L3026" s="2"/>
      <c r="N3026" s="2"/>
      <c r="O3026" s="2"/>
    </row>
    <row r="3027" spans="12:15">
      <c r="L3027" s="2"/>
      <c r="N3027" s="2"/>
      <c r="O3027" s="2"/>
    </row>
    <row r="3028" spans="12:15">
      <c r="L3028" s="2"/>
      <c r="N3028" s="2"/>
      <c r="O3028" s="2"/>
    </row>
    <row r="3029" spans="12:15">
      <c r="L3029" s="2"/>
      <c r="N3029" s="2"/>
      <c r="O3029" s="2"/>
    </row>
    <row r="3030" spans="12:15">
      <c r="L3030" s="2"/>
      <c r="N3030" s="2"/>
      <c r="O3030" s="2"/>
    </row>
    <row r="3031" spans="12:15">
      <c r="L3031" s="2"/>
      <c r="N3031" s="2"/>
      <c r="O3031" s="2"/>
    </row>
    <row r="3032" spans="12:15">
      <c r="L3032" s="2"/>
      <c r="N3032" s="2"/>
      <c r="O3032" s="2"/>
    </row>
    <row r="3033" spans="12:15">
      <c r="L3033" s="2"/>
      <c r="N3033" s="2"/>
      <c r="O3033" s="2"/>
    </row>
    <row r="3034" spans="12:15">
      <c r="L3034" s="2"/>
      <c r="N3034" s="2"/>
      <c r="O3034" s="2"/>
    </row>
    <row r="3035" spans="12:15">
      <c r="L3035" s="2"/>
      <c r="N3035" s="2"/>
      <c r="O3035" s="2"/>
    </row>
    <row r="3036" spans="12:15">
      <c r="L3036" s="2"/>
      <c r="N3036" s="2"/>
      <c r="O3036" s="2"/>
    </row>
    <row r="3037" spans="12:15">
      <c r="L3037" s="2"/>
      <c r="N3037" s="2"/>
      <c r="O3037" s="2"/>
    </row>
    <row r="3038" spans="12:15">
      <c r="L3038" s="2"/>
      <c r="N3038" s="2"/>
      <c r="O3038" s="2"/>
    </row>
    <row r="3039" spans="12:15">
      <c r="L3039" s="2"/>
      <c r="N3039" s="2"/>
      <c r="O3039" s="2"/>
    </row>
    <row r="3040" spans="12:15">
      <c r="L3040" s="2"/>
      <c r="N3040" s="2"/>
      <c r="O3040" s="2"/>
    </row>
    <row r="3041" spans="12:15">
      <c r="L3041" s="2"/>
      <c r="N3041" s="2"/>
      <c r="O3041" s="2"/>
    </row>
    <row r="3042" spans="12:15">
      <c r="L3042" s="2"/>
      <c r="N3042" s="2"/>
      <c r="O3042" s="2"/>
    </row>
    <row r="3043" spans="12:15">
      <c r="L3043" s="2"/>
      <c r="N3043" s="2"/>
      <c r="O3043" s="2"/>
    </row>
    <row r="3044" spans="12:15">
      <c r="L3044" s="2"/>
      <c r="N3044" s="2"/>
      <c r="O3044" s="2"/>
    </row>
    <row r="3045" spans="12:15">
      <c r="L3045" s="2"/>
      <c r="N3045" s="2"/>
      <c r="O3045" s="2"/>
    </row>
    <row r="3046" spans="12:15">
      <c r="L3046" s="2"/>
      <c r="N3046" s="2"/>
      <c r="O3046" s="2"/>
    </row>
    <row r="3047" spans="12:15">
      <c r="L3047" s="2"/>
      <c r="N3047" s="2"/>
      <c r="O3047" s="2"/>
    </row>
    <row r="3048" spans="12:15">
      <c r="L3048" s="2"/>
      <c r="N3048" s="2"/>
      <c r="O3048" s="2"/>
    </row>
    <row r="3049" spans="12:15">
      <c r="L3049" s="2"/>
      <c r="N3049" s="2"/>
      <c r="O3049" s="2"/>
    </row>
    <row r="3050" spans="12:15">
      <c r="L3050" s="2"/>
      <c r="N3050" s="2"/>
      <c r="O3050" s="2"/>
    </row>
    <row r="3051" spans="12:15">
      <c r="L3051" s="2"/>
      <c r="N3051" s="2"/>
      <c r="O3051" s="2"/>
    </row>
    <row r="3052" spans="12:15">
      <c r="L3052" s="2"/>
      <c r="N3052" s="2"/>
      <c r="O3052" s="2"/>
    </row>
    <row r="3053" spans="12:15">
      <c r="L3053" s="2"/>
      <c r="N3053" s="2"/>
      <c r="O3053" s="2"/>
    </row>
    <row r="3054" spans="12:15">
      <c r="L3054" s="2"/>
      <c r="N3054" s="2"/>
      <c r="O3054" s="2"/>
    </row>
    <row r="3055" spans="12:15">
      <c r="L3055" s="2"/>
      <c r="N3055" s="2"/>
      <c r="O3055" s="2"/>
    </row>
    <row r="3056" spans="12:15">
      <c r="L3056" s="2"/>
      <c r="N3056" s="2"/>
      <c r="O3056" s="2"/>
    </row>
    <row r="3057" spans="12:15">
      <c r="L3057" s="2"/>
      <c r="N3057" s="2"/>
      <c r="O3057" s="2"/>
    </row>
    <row r="3058" spans="12:15">
      <c r="L3058" s="2"/>
      <c r="N3058" s="2"/>
      <c r="O3058" s="2"/>
    </row>
    <row r="3059" spans="12:15">
      <c r="L3059" s="2"/>
      <c r="N3059" s="2"/>
      <c r="O3059" s="2"/>
    </row>
    <row r="3060" spans="12:15">
      <c r="L3060" s="2"/>
      <c r="N3060" s="2"/>
      <c r="O3060" s="2"/>
    </row>
    <row r="3061" spans="12:15">
      <c r="L3061" s="2"/>
      <c r="N3061" s="2"/>
      <c r="O3061" s="2"/>
    </row>
    <row r="3062" spans="12:15">
      <c r="L3062" s="2"/>
      <c r="N3062" s="2"/>
      <c r="O3062" s="2"/>
    </row>
    <row r="3063" spans="12:15">
      <c r="L3063" s="2"/>
      <c r="N3063" s="2"/>
      <c r="O3063" s="2"/>
    </row>
    <row r="3064" spans="12:15">
      <c r="L3064" s="2"/>
      <c r="N3064" s="2"/>
      <c r="O3064" s="2"/>
    </row>
    <row r="3065" spans="12:15">
      <c r="L3065" s="2"/>
      <c r="N3065" s="2"/>
      <c r="O3065" s="2"/>
    </row>
    <row r="3066" spans="12:15">
      <c r="L3066" s="2"/>
      <c r="N3066" s="2"/>
      <c r="O3066" s="2"/>
    </row>
    <row r="3067" spans="12:15">
      <c r="L3067" s="2"/>
      <c r="N3067" s="2"/>
      <c r="O3067" s="2"/>
    </row>
    <row r="3068" spans="12:15">
      <c r="L3068" s="2"/>
      <c r="N3068" s="2"/>
      <c r="O3068" s="2"/>
    </row>
    <row r="3069" spans="12:15">
      <c r="L3069" s="2"/>
      <c r="N3069" s="2"/>
      <c r="O3069" s="2"/>
    </row>
    <row r="3070" spans="12:15">
      <c r="L3070" s="2"/>
      <c r="N3070" s="2"/>
      <c r="O3070" s="2"/>
    </row>
    <row r="3071" spans="12:15">
      <c r="L3071" s="2"/>
      <c r="N3071" s="2"/>
      <c r="O3071" s="2"/>
    </row>
    <row r="3072" spans="12:15">
      <c r="L3072" s="2"/>
      <c r="N3072" s="2"/>
      <c r="O3072" s="2"/>
    </row>
    <row r="3073" spans="12:15">
      <c r="L3073" s="2"/>
      <c r="N3073" s="2"/>
      <c r="O3073" s="2"/>
    </row>
    <row r="3074" spans="12:15">
      <c r="L3074" s="2"/>
      <c r="N3074" s="2"/>
      <c r="O3074" s="2"/>
    </row>
    <row r="3075" spans="12:15">
      <c r="L3075" s="2"/>
      <c r="N3075" s="2"/>
      <c r="O3075" s="2"/>
    </row>
    <row r="3076" spans="12:15">
      <c r="L3076" s="2"/>
      <c r="N3076" s="2"/>
      <c r="O3076" s="2"/>
    </row>
    <row r="3077" spans="12:15">
      <c r="L3077" s="2"/>
      <c r="N3077" s="2"/>
      <c r="O3077" s="2"/>
    </row>
    <row r="3078" spans="12:15">
      <c r="L3078" s="2"/>
      <c r="N3078" s="2"/>
      <c r="O3078" s="2"/>
    </row>
    <row r="3079" spans="12:15">
      <c r="L3079" s="2"/>
      <c r="N3079" s="2"/>
      <c r="O3079" s="2"/>
    </row>
    <row r="3080" spans="12:15">
      <c r="L3080" s="2"/>
      <c r="N3080" s="2"/>
      <c r="O3080" s="2"/>
    </row>
    <row r="3081" spans="12:15">
      <c r="L3081" s="2"/>
      <c r="N3081" s="2"/>
      <c r="O3081" s="2"/>
    </row>
    <row r="3082" spans="12:15">
      <c r="L3082" s="2"/>
      <c r="N3082" s="2"/>
      <c r="O3082" s="2"/>
    </row>
    <row r="3083" spans="12:15">
      <c r="L3083" s="2"/>
      <c r="N3083" s="2"/>
      <c r="O3083" s="2"/>
    </row>
    <row r="3084" spans="12:15">
      <c r="L3084" s="2"/>
      <c r="N3084" s="2"/>
      <c r="O3084" s="2"/>
    </row>
    <row r="3085" spans="12:15">
      <c r="L3085" s="2"/>
      <c r="N3085" s="2"/>
      <c r="O3085" s="2"/>
    </row>
    <row r="3086" spans="12:15">
      <c r="L3086" s="2"/>
      <c r="N3086" s="2"/>
      <c r="O3086" s="2"/>
    </row>
    <row r="3087" spans="12:15">
      <c r="L3087" s="2"/>
      <c r="N3087" s="2"/>
      <c r="O3087" s="2"/>
    </row>
    <row r="3088" spans="12:15">
      <c r="L3088" s="2"/>
      <c r="N3088" s="2"/>
      <c r="O3088" s="2"/>
    </row>
    <row r="3089" spans="12:15">
      <c r="L3089" s="2"/>
      <c r="N3089" s="2"/>
      <c r="O3089" s="2"/>
    </row>
    <row r="3090" spans="12:15">
      <c r="L3090" s="2"/>
      <c r="N3090" s="2"/>
      <c r="O3090" s="2"/>
    </row>
    <row r="3091" spans="12:15">
      <c r="L3091" s="2"/>
      <c r="N3091" s="2"/>
      <c r="O3091" s="2"/>
    </row>
    <row r="3092" spans="12:15">
      <c r="L3092" s="2"/>
      <c r="N3092" s="2"/>
      <c r="O3092" s="2"/>
    </row>
    <row r="3093" spans="12:15">
      <c r="L3093" s="2"/>
      <c r="N3093" s="2"/>
      <c r="O3093" s="2"/>
    </row>
    <row r="3094" spans="12:15">
      <c r="L3094" s="2"/>
      <c r="N3094" s="2"/>
      <c r="O3094" s="2"/>
    </row>
    <row r="3095" spans="12:15">
      <c r="L3095" s="2"/>
      <c r="N3095" s="2"/>
      <c r="O3095" s="2"/>
    </row>
    <row r="3096" spans="12:15">
      <c r="L3096" s="2"/>
      <c r="N3096" s="2"/>
      <c r="O3096" s="2"/>
    </row>
    <row r="3097" spans="12:15">
      <c r="L3097" s="2"/>
      <c r="N3097" s="2"/>
      <c r="O3097" s="2"/>
    </row>
    <row r="3098" spans="12:15">
      <c r="L3098" s="2"/>
      <c r="N3098" s="2"/>
      <c r="O3098" s="2"/>
    </row>
    <row r="3099" spans="12:15">
      <c r="L3099" s="2"/>
      <c r="N3099" s="2"/>
      <c r="O3099" s="2"/>
    </row>
    <row r="3100" spans="12:15">
      <c r="L3100" s="2"/>
      <c r="N3100" s="2"/>
      <c r="O3100" s="2"/>
    </row>
    <row r="3101" spans="12:15">
      <c r="L3101" s="2"/>
      <c r="N3101" s="2"/>
      <c r="O3101" s="2"/>
    </row>
    <row r="3102" spans="12:15">
      <c r="L3102" s="2"/>
      <c r="N3102" s="2"/>
      <c r="O3102" s="2"/>
    </row>
    <row r="3103" spans="12:15">
      <c r="L3103" s="2"/>
      <c r="N3103" s="2"/>
      <c r="O3103" s="2"/>
    </row>
    <row r="3104" spans="12:15">
      <c r="L3104" s="2"/>
      <c r="N3104" s="2"/>
      <c r="O3104" s="2"/>
    </row>
    <row r="3105" spans="12:15">
      <c r="L3105" s="2"/>
      <c r="N3105" s="2"/>
      <c r="O3105" s="2"/>
    </row>
    <row r="3106" spans="12:15">
      <c r="L3106" s="2"/>
      <c r="N3106" s="2"/>
      <c r="O3106" s="2"/>
    </row>
    <row r="3107" spans="12:15">
      <c r="L3107" s="2"/>
      <c r="N3107" s="2"/>
      <c r="O3107" s="2"/>
    </row>
    <row r="3108" spans="12:15">
      <c r="L3108" s="2"/>
      <c r="N3108" s="2"/>
      <c r="O3108" s="2"/>
    </row>
    <row r="3109" spans="12:15">
      <c r="L3109" s="2"/>
      <c r="N3109" s="2"/>
      <c r="O3109" s="2"/>
    </row>
    <row r="3110" spans="12:15">
      <c r="L3110" s="2"/>
      <c r="N3110" s="2"/>
      <c r="O3110" s="2"/>
    </row>
    <row r="3111" spans="12:15">
      <c r="L3111" s="2"/>
      <c r="N3111" s="2"/>
      <c r="O3111" s="2"/>
    </row>
    <row r="3112" spans="12:15">
      <c r="L3112" s="2"/>
      <c r="N3112" s="2"/>
      <c r="O3112" s="2"/>
    </row>
    <row r="3113" spans="12:15">
      <c r="L3113" s="2"/>
      <c r="N3113" s="2"/>
      <c r="O3113" s="2"/>
    </row>
    <row r="3114" spans="12:15">
      <c r="L3114" s="2"/>
      <c r="N3114" s="2"/>
      <c r="O3114" s="2"/>
    </row>
    <row r="3115" spans="12:15">
      <c r="L3115" s="2"/>
      <c r="N3115" s="2"/>
      <c r="O3115" s="2"/>
    </row>
    <row r="3116" spans="12:15">
      <c r="L3116" s="2"/>
      <c r="N3116" s="2"/>
      <c r="O3116" s="2"/>
    </row>
    <row r="3117" spans="12:15">
      <c r="L3117" s="2"/>
      <c r="N3117" s="2"/>
      <c r="O3117" s="2"/>
    </row>
    <row r="3118" spans="12:15">
      <c r="L3118" s="2"/>
      <c r="N3118" s="2"/>
      <c r="O3118" s="2"/>
    </row>
    <row r="3119" spans="12:15">
      <c r="L3119" s="2"/>
      <c r="N3119" s="2"/>
      <c r="O3119" s="2"/>
    </row>
    <row r="3120" spans="12:15">
      <c r="L3120" s="2"/>
      <c r="N3120" s="2"/>
      <c r="O3120" s="2"/>
    </row>
    <row r="3121" spans="12:15">
      <c r="L3121" s="2"/>
      <c r="N3121" s="2"/>
      <c r="O3121" s="2"/>
    </row>
    <row r="3122" spans="12:15">
      <c r="L3122" s="2"/>
      <c r="N3122" s="2"/>
      <c r="O3122" s="2"/>
    </row>
    <row r="3123" spans="12:15">
      <c r="L3123" s="2"/>
      <c r="N3123" s="2"/>
      <c r="O3123" s="2"/>
    </row>
    <row r="3124" spans="12:15">
      <c r="L3124" s="2"/>
      <c r="N3124" s="2"/>
      <c r="O3124" s="2"/>
    </row>
    <row r="3125" spans="12:15">
      <c r="L3125" s="2"/>
      <c r="N3125" s="2"/>
      <c r="O3125" s="2"/>
    </row>
    <row r="3126" spans="12:15">
      <c r="L3126" s="2"/>
      <c r="N3126" s="2"/>
      <c r="O3126" s="2"/>
    </row>
    <row r="3127" spans="12:15">
      <c r="L3127" s="2"/>
      <c r="N3127" s="2"/>
      <c r="O3127" s="2"/>
    </row>
    <row r="3128" spans="12:15">
      <c r="L3128" s="2"/>
      <c r="N3128" s="2"/>
      <c r="O3128" s="2"/>
    </row>
    <row r="3129" spans="12:15">
      <c r="L3129" s="2"/>
      <c r="N3129" s="2"/>
      <c r="O3129" s="2"/>
    </row>
    <row r="3130" spans="12:15">
      <c r="L3130" s="2"/>
      <c r="N3130" s="2"/>
      <c r="O3130" s="2"/>
    </row>
    <row r="3131" spans="12:15">
      <c r="L3131" s="2"/>
      <c r="N3131" s="2"/>
      <c r="O3131" s="2"/>
    </row>
    <row r="3132" spans="12:15">
      <c r="L3132" s="2"/>
      <c r="N3132" s="2"/>
      <c r="O3132" s="2"/>
    </row>
    <row r="3133" spans="12:15">
      <c r="L3133" s="2"/>
      <c r="N3133" s="2"/>
      <c r="O3133" s="2"/>
    </row>
    <row r="3134" spans="12:15">
      <c r="L3134" s="2"/>
      <c r="N3134" s="2"/>
      <c r="O3134" s="2"/>
    </row>
    <row r="3135" spans="12:15">
      <c r="L3135" s="2"/>
      <c r="N3135" s="2"/>
      <c r="O3135" s="2"/>
    </row>
    <row r="3136" spans="12:15">
      <c r="L3136" s="2"/>
      <c r="N3136" s="2"/>
      <c r="O3136" s="2"/>
    </row>
    <row r="3137" spans="12:15">
      <c r="L3137" s="2"/>
      <c r="N3137" s="2"/>
      <c r="O3137" s="2"/>
    </row>
    <row r="3138" spans="12:15">
      <c r="L3138" s="2"/>
      <c r="N3138" s="2"/>
      <c r="O3138" s="2"/>
    </row>
    <row r="3139" spans="12:15">
      <c r="L3139" s="2"/>
      <c r="N3139" s="2"/>
      <c r="O3139" s="2"/>
    </row>
    <row r="3140" spans="12:15">
      <c r="L3140" s="2"/>
      <c r="N3140" s="2"/>
      <c r="O3140" s="2"/>
    </row>
    <row r="3141" spans="12:15">
      <c r="L3141" s="2"/>
      <c r="N3141" s="2"/>
      <c r="O3141" s="2"/>
    </row>
    <row r="3142" spans="12:15">
      <c r="L3142" s="2"/>
      <c r="N3142" s="2"/>
      <c r="O3142" s="2"/>
    </row>
    <row r="3143" spans="12:15">
      <c r="L3143" s="2"/>
      <c r="N3143" s="2"/>
      <c r="O3143" s="2"/>
    </row>
    <row r="3144" spans="12:15">
      <c r="L3144" s="2"/>
      <c r="N3144" s="2"/>
      <c r="O3144" s="2"/>
    </row>
    <row r="3145" spans="12:15">
      <c r="L3145" s="2"/>
      <c r="N3145" s="2"/>
      <c r="O3145" s="2"/>
    </row>
    <row r="3146" spans="12:15">
      <c r="L3146" s="2"/>
      <c r="N3146" s="2"/>
      <c r="O3146" s="2"/>
    </row>
    <row r="3147" spans="12:15">
      <c r="L3147" s="2"/>
      <c r="N3147" s="2"/>
      <c r="O3147" s="2"/>
    </row>
    <row r="3148" spans="12:15">
      <c r="L3148" s="2"/>
      <c r="N3148" s="2"/>
      <c r="O3148" s="2"/>
    </row>
    <row r="3149" spans="12:15">
      <c r="L3149" s="2"/>
      <c r="N3149" s="2"/>
      <c r="O3149" s="2"/>
    </row>
    <row r="3150" spans="12:15">
      <c r="L3150" s="2"/>
      <c r="N3150" s="2"/>
      <c r="O3150" s="2"/>
    </row>
    <row r="3151" spans="12:15">
      <c r="L3151" s="2"/>
      <c r="N3151" s="2"/>
      <c r="O3151" s="2"/>
    </row>
    <row r="3152" spans="12:15">
      <c r="L3152" s="2"/>
      <c r="N3152" s="2"/>
      <c r="O3152" s="2"/>
    </row>
    <row r="3153" spans="12:15">
      <c r="L3153" s="2"/>
      <c r="N3153" s="2"/>
      <c r="O3153" s="2"/>
    </row>
    <row r="3154" spans="12:15">
      <c r="L3154" s="2"/>
      <c r="N3154" s="2"/>
      <c r="O3154" s="2"/>
    </row>
    <row r="3155" spans="12:15">
      <c r="L3155" s="2"/>
      <c r="N3155" s="2"/>
      <c r="O3155" s="2"/>
    </row>
    <row r="3156" spans="12:15">
      <c r="L3156" s="2"/>
      <c r="N3156" s="2"/>
      <c r="O3156" s="2"/>
    </row>
    <row r="3157" spans="12:15">
      <c r="L3157" s="2"/>
      <c r="N3157" s="2"/>
      <c r="O3157" s="2"/>
    </row>
    <row r="3158" spans="12:15">
      <c r="L3158" s="2"/>
      <c r="N3158" s="2"/>
      <c r="O3158" s="2"/>
    </row>
    <row r="3159" spans="12:15">
      <c r="L3159" s="2"/>
      <c r="N3159" s="2"/>
      <c r="O3159" s="2"/>
    </row>
    <row r="3160" spans="12:15">
      <c r="L3160" s="2"/>
      <c r="N3160" s="2"/>
      <c r="O3160" s="2"/>
    </row>
    <row r="3161" spans="12:15">
      <c r="L3161" s="2"/>
      <c r="N3161" s="2"/>
      <c r="O3161" s="2"/>
    </row>
    <row r="3162" spans="12:15">
      <c r="L3162" s="2"/>
      <c r="N3162" s="2"/>
      <c r="O3162" s="2"/>
    </row>
    <row r="3163" spans="12:15">
      <c r="L3163" s="2"/>
      <c r="N3163" s="2"/>
      <c r="O3163" s="2"/>
    </row>
    <row r="3164" spans="12:15">
      <c r="L3164" s="2"/>
      <c r="N3164" s="2"/>
      <c r="O3164" s="2"/>
    </row>
    <row r="3165" spans="12:15">
      <c r="L3165" s="2"/>
      <c r="N3165" s="2"/>
      <c r="O3165" s="2"/>
    </row>
    <row r="3166" spans="12:15">
      <c r="L3166" s="2"/>
      <c r="N3166" s="2"/>
      <c r="O3166" s="2"/>
    </row>
    <row r="3167" spans="12:15">
      <c r="L3167" s="2"/>
      <c r="N3167" s="2"/>
      <c r="O3167" s="2"/>
    </row>
    <row r="3168" spans="12:15">
      <c r="L3168" s="2"/>
      <c r="N3168" s="2"/>
      <c r="O3168" s="2"/>
    </row>
    <row r="3169" spans="12:15">
      <c r="L3169" s="2"/>
      <c r="N3169" s="2"/>
      <c r="O3169" s="2"/>
    </row>
    <row r="3170" spans="12:15">
      <c r="L3170" s="2"/>
      <c r="N3170" s="2"/>
      <c r="O3170" s="2"/>
    </row>
    <row r="3171" spans="12:15">
      <c r="L3171" s="2"/>
      <c r="N3171" s="2"/>
      <c r="O3171" s="2"/>
    </row>
    <row r="3172" spans="12:15">
      <c r="L3172" s="2"/>
      <c r="N3172" s="2"/>
      <c r="O3172" s="2"/>
    </row>
    <row r="3173" spans="12:15">
      <c r="L3173" s="2"/>
      <c r="N3173" s="2"/>
      <c r="O3173" s="2"/>
    </row>
    <row r="3174" spans="12:15">
      <c r="L3174" s="2"/>
      <c r="N3174" s="2"/>
      <c r="O3174" s="2"/>
    </row>
    <row r="3175" spans="12:15">
      <c r="L3175" s="2"/>
      <c r="N3175" s="2"/>
      <c r="O3175" s="2"/>
    </row>
    <row r="3176" spans="12:15">
      <c r="L3176" s="2"/>
      <c r="N3176" s="2"/>
      <c r="O3176" s="2"/>
    </row>
    <row r="3177" spans="12:15">
      <c r="L3177" s="2"/>
      <c r="N3177" s="2"/>
      <c r="O3177" s="2"/>
    </row>
    <row r="3178" spans="12:15">
      <c r="L3178" s="2"/>
      <c r="N3178" s="2"/>
      <c r="O3178" s="2"/>
    </row>
    <row r="3179" spans="12:15">
      <c r="L3179" s="2"/>
      <c r="N3179" s="2"/>
      <c r="O3179" s="2"/>
    </row>
    <row r="3180" spans="12:15">
      <c r="L3180" s="2"/>
      <c r="N3180" s="2"/>
      <c r="O3180" s="2"/>
    </row>
    <row r="3181" spans="12:15">
      <c r="L3181" s="2"/>
      <c r="N3181" s="2"/>
      <c r="O3181" s="2"/>
    </row>
    <row r="3182" spans="12:15">
      <c r="L3182" s="2"/>
      <c r="N3182" s="2"/>
      <c r="O3182" s="2"/>
    </row>
    <row r="3183" spans="12:15">
      <c r="L3183" s="2"/>
      <c r="N3183" s="2"/>
      <c r="O3183" s="2"/>
    </row>
    <row r="3184" spans="12:15">
      <c r="L3184" s="2"/>
      <c r="N3184" s="2"/>
      <c r="O3184" s="2"/>
    </row>
    <row r="3185" spans="12:15">
      <c r="L3185" s="2"/>
      <c r="N3185" s="2"/>
      <c r="O3185" s="2"/>
    </row>
    <row r="3186" spans="12:15">
      <c r="L3186" s="2"/>
      <c r="N3186" s="2"/>
      <c r="O3186" s="2"/>
    </row>
    <row r="3187" spans="12:15">
      <c r="L3187" s="2"/>
      <c r="N3187" s="2"/>
      <c r="O3187" s="2"/>
    </row>
    <row r="3188" spans="12:15">
      <c r="L3188" s="2"/>
      <c r="N3188" s="2"/>
      <c r="O3188" s="2"/>
    </row>
    <row r="3189" spans="12:15">
      <c r="L3189" s="2"/>
      <c r="N3189" s="2"/>
      <c r="O3189" s="2"/>
    </row>
    <row r="3190" spans="12:15">
      <c r="L3190" s="2"/>
      <c r="N3190" s="2"/>
      <c r="O3190" s="2"/>
    </row>
    <row r="3191" spans="12:15">
      <c r="L3191" s="2"/>
      <c r="N3191" s="2"/>
      <c r="O3191" s="2"/>
    </row>
    <row r="3192" spans="12:15">
      <c r="L3192" s="2"/>
      <c r="N3192" s="2"/>
      <c r="O3192" s="2"/>
    </row>
    <row r="3193" spans="12:15">
      <c r="L3193" s="2"/>
      <c r="N3193" s="2"/>
      <c r="O3193" s="2"/>
    </row>
    <row r="3194" spans="12:15">
      <c r="L3194" s="2"/>
      <c r="N3194" s="2"/>
      <c r="O3194" s="2"/>
    </row>
    <row r="3195" spans="12:15">
      <c r="L3195" s="2"/>
      <c r="N3195" s="2"/>
      <c r="O3195" s="2"/>
    </row>
    <row r="3196" spans="12:15">
      <c r="L3196" s="2"/>
      <c r="N3196" s="2"/>
      <c r="O3196" s="2"/>
    </row>
    <row r="3197" spans="12:15">
      <c r="L3197" s="2"/>
      <c r="N3197" s="2"/>
      <c r="O3197" s="2"/>
    </row>
    <row r="3198" spans="12:15">
      <c r="L3198" s="2"/>
      <c r="N3198" s="2"/>
      <c r="O3198" s="2"/>
    </row>
    <row r="3199" spans="12:15">
      <c r="L3199" s="2"/>
      <c r="N3199" s="2"/>
      <c r="O3199" s="2"/>
    </row>
    <row r="3200" spans="12:15">
      <c r="L3200" s="2"/>
      <c r="N3200" s="2"/>
      <c r="O3200" s="2"/>
    </row>
    <row r="3201" spans="12:15">
      <c r="L3201" s="2"/>
      <c r="N3201" s="2"/>
      <c r="O3201" s="2"/>
    </row>
    <row r="3202" spans="12:15">
      <c r="L3202" s="2"/>
      <c r="N3202" s="2"/>
      <c r="O3202" s="2"/>
    </row>
    <row r="3203" spans="12:15">
      <c r="L3203" s="2"/>
      <c r="N3203" s="2"/>
      <c r="O3203" s="2"/>
    </row>
    <row r="3204" spans="12:15">
      <c r="L3204" s="2"/>
      <c r="N3204" s="2"/>
      <c r="O3204" s="2"/>
    </row>
    <row r="3205" spans="12:15">
      <c r="L3205" s="2"/>
      <c r="N3205" s="2"/>
      <c r="O3205" s="2"/>
    </row>
    <row r="3206" spans="12:15">
      <c r="L3206" s="2"/>
      <c r="N3206" s="2"/>
      <c r="O3206" s="2"/>
    </row>
    <row r="3207" spans="12:15">
      <c r="L3207" s="2"/>
      <c r="N3207" s="2"/>
      <c r="O3207" s="2"/>
    </row>
    <row r="3208" spans="12:15">
      <c r="L3208" s="2"/>
      <c r="N3208" s="2"/>
      <c r="O3208" s="2"/>
    </row>
    <row r="3209" spans="12:15">
      <c r="L3209" s="2"/>
      <c r="N3209" s="2"/>
      <c r="O3209" s="2"/>
    </row>
    <row r="3210" spans="12:15">
      <c r="L3210" s="2"/>
      <c r="N3210" s="2"/>
      <c r="O3210" s="2"/>
    </row>
    <row r="3211" spans="12:15">
      <c r="L3211" s="2"/>
      <c r="N3211" s="2"/>
      <c r="O3211" s="2"/>
    </row>
    <row r="3212" spans="12:15">
      <c r="L3212" s="2"/>
      <c r="N3212" s="2"/>
      <c r="O3212" s="2"/>
    </row>
    <row r="3213" spans="12:15">
      <c r="L3213" s="2"/>
      <c r="N3213" s="2"/>
      <c r="O3213" s="2"/>
    </row>
    <row r="3214" spans="12:15">
      <c r="L3214" s="2"/>
      <c r="N3214" s="2"/>
      <c r="O3214" s="2"/>
    </row>
    <row r="3215" spans="12:15">
      <c r="L3215" s="2"/>
      <c r="N3215" s="2"/>
      <c r="O3215" s="2"/>
    </row>
    <row r="3216" spans="12:15">
      <c r="L3216" s="2"/>
      <c r="N3216" s="2"/>
      <c r="O3216" s="2"/>
    </row>
    <row r="3217" spans="12:15">
      <c r="L3217" s="2"/>
      <c r="N3217" s="2"/>
      <c r="O3217" s="2"/>
    </row>
    <row r="3218" spans="12:15">
      <c r="L3218" s="2"/>
      <c r="N3218" s="2"/>
      <c r="O3218" s="2"/>
    </row>
    <row r="3219" spans="12:15">
      <c r="L3219" s="2"/>
      <c r="N3219" s="2"/>
      <c r="O3219" s="2"/>
    </row>
    <row r="3220" spans="12:15">
      <c r="L3220" s="2"/>
      <c r="N3220" s="2"/>
      <c r="O3220" s="2"/>
    </row>
    <row r="3221" spans="12:15">
      <c r="L3221" s="2"/>
      <c r="N3221" s="2"/>
      <c r="O3221" s="2"/>
    </row>
    <row r="3222" spans="12:15">
      <c r="L3222" s="2"/>
      <c r="N3222" s="2"/>
      <c r="O3222" s="2"/>
    </row>
    <row r="3223" spans="12:15">
      <c r="L3223" s="2"/>
      <c r="N3223" s="2"/>
      <c r="O3223" s="2"/>
    </row>
    <row r="3224" spans="12:15">
      <c r="L3224" s="2"/>
      <c r="N3224" s="2"/>
      <c r="O3224" s="2"/>
    </row>
    <row r="3225" spans="12:15">
      <c r="L3225" s="2"/>
      <c r="N3225" s="2"/>
      <c r="O3225" s="2"/>
    </row>
    <row r="3226" spans="12:15">
      <c r="L3226" s="2"/>
      <c r="N3226" s="2"/>
      <c r="O3226" s="2"/>
    </row>
    <row r="3227" spans="12:15">
      <c r="L3227" s="2"/>
      <c r="N3227" s="2"/>
      <c r="O3227" s="2"/>
    </row>
    <row r="3228" spans="12:15">
      <c r="L3228" s="2"/>
      <c r="N3228" s="2"/>
      <c r="O3228" s="2"/>
    </row>
    <row r="3229" spans="12:15">
      <c r="L3229" s="2"/>
      <c r="N3229" s="2"/>
      <c r="O3229" s="2"/>
    </row>
    <row r="3230" spans="12:15">
      <c r="L3230" s="2"/>
      <c r="N3230" s="2"/>
      <c r="O3230" s="2"/>
    </row>
    <row r="3231" spans="12:15">
      <c r="L3231" s="2"/>
      <c r="N3231" s="2"/>
      <c r="O3231" s="2"/>
    </row>
    <row r="3232" spans="12:15">
      <c r="L3232" s="2"/>
      <c r="N3232" s="2"/>
      <c r="O3232" s="2"/>
    </row>
    <row r="3233" spans="12:15">
      <c r="L3233" s="2"/>
      <c r="N3233" s="2"/>
      <c r="O3233" s="2"/>
    </row>
    <row r="3234" spans="12:15">
      <c r="L3234" s="2"/>
      <c r="N3234" s="2"/>
      <c r="O3234" s="2"/>
    </row>
    <row r="3235" spans="12:15">
      <c r="L3235" s="2"/>
      <c r="N3235" s="2"/>
      <c r="O3235" s="2"/>
    </row>
    <row r="3236" spans="12:15">
      <c r="L3236" s="2"/>
      <c r="N3236" s="2"/>
      <c r="O3236" s="2"/>
    </row>
    <row r="3237" spans="12:15">
      <c r="L3237" s="2"/>
      <c r="N3237" s="2"/>
      <c r="O3237" s="2"/>
    </row>
    <row r="3238" spans="12:15">
      <c r="L3238" s="2"/>
      <c r="N3238" s="2"/>
      <c r="O3238" s="2"/>
    </row>
    <row r="3239" spans="12:15">
      <c r="L3239" s="2"/>
      <c r="N3239" s="2"/>
      <c r="O3239" s="2"/>
    </row>
    <row r="3240" spans="12:15">
      <c r="L3240" s="2"/>
      <c r="N3240" s="2"/>
      <c r="O3240" s="2"/>
    </row>
    <row r="3241" spans="12:15">
      <c r="L3241" s="2"/>
      <c r="N3241" s="2"/>
      <c r="O3241" s="2"/>
    </row>
    <row r="3242" spans="12:15">
      <c r="L3242" s="2"/>
      <c r="N3242" s="2"/>
      <c r="O3242" s="2"/>
    </row>
    <row r="3243" spans="12:15">
      <c r="L3243" s="2"/>
      <c r="N3243" s="2"/>
      <c r="O3243" s="2"/>
    </row>
    <row r="3244" spans="12:15">
      <c r="L3244" s="2"/>
      <c r="N3244" s="2"/>
      <c r="O3244" s="2"/>
    </row>
    <row r="3245" spans="12:15">
      <c r="L3245" s="2"/>
      <c r="N3245" s="2"/>
      <c r="O3245" s="2"/>
    </row>
    <row r="3246" spans="12:15">
      <c r="L3246" s="2"/>
      <c r="N3246" s="2"/>
      <c r="O3246" s="2"/>
    </row>
    <row r="3247" spans="12:15">
      <c r="L3247" s="2"/>
      <c r="N3247" s="2"/>
      <c r="O3247" s="2"/>
    </row>
    <row r="3248" spans="12:15">
      <c r="L3248" s="2"/>
      <c r="N3248" s="2"/>
      <c r="O3248" s="2"/>
    </row>
    <row r="3249" spans="12:15">
      <c r="L3249" s="2"/>
      <c r="N3249" s="2"/>
      <c r="O3249" s="2"/>
    </row>
    <row r="3250" spans="12:15">
      <c r="L3250" s="2"/>
      <c r="N3250" s="2"/>
      <c r="O3250" s="2"/>
    </row>
    <row r="3251" spans="12:15">
      <c r="L3251" s="2"/>
      <c r="N3251" s="2"/>
      <c r="O3251" s="2"/>
    </row>
    <row r="3252" spans="12:15">
      <c r="L3252" s="2"/>
      <c r="N3252" s="2"/>
      <c r="O3252" s="2"/>
    </row>
    <row r="3253" spans="12:15">
      <c r="L3253" s="2"/>
      <c r="N3253" s="2"/>
      <c r="O3253" s="2"/>
    </row>
    <row r="3254" spans="12:15">
      <c r="L3254" s="2"/>
      <c r="N3254" s="2"/>
      <c r="O3254" s="2"/>
    </row>
    <row r="3255" spans="12:15">
      <c r="L3255" s="2"/>
      <c r="N3255" s="2"/>
      <c r="O3255" s="2"/>
    </row>
    <row r="3256" spans="12:15">
      <c r="L3256" s="2"/>
      <c r="N3256" s="2"/>
      <c r="O3256" s="2"/>
    </row>
    <row r="3257" spans="12:15">
      <c r="L3257" s="2"/>
      <c r="N3257" s="2"/>
      <c r="O3257" s="2"/>
    </row>
    <row r="3258" spans="12:15">
      <c r="L3258" s="2"/>
      <c r="N3258" s="2"/>
      <c r="O3258" s="2"/>
    </row>
    <row r="3259" spans="12:15">
      <c r="L3259" s="2"/>
      <c r="N3259" s="2"/>
      <c r="O3259" s="2"/>
    </row>
    <row r="3260" spans="12:15">
      <c r="L3260" s="2"/>
      <c r="N3260" s="2"/>
      <c r="O3260" s="2"/>
    </row>
    <row r="3261" spans="12:15">
      <c r="L3261" s="2"/>
      <c r="N3261" s="2"/>
      <c r="O3261" s="2"/>
    </row>
    <row r="3262" spans="12:15">
      <c r="L3262" s="2"/>
      <c r="N3262" s="2"/>
      <c r="O3262" s="2"/>
    </row>
    <row r="3263" spans="12:15">
      <c r="L3263" s="2"/>
      <c r="N3263" s="2"/>
      <c r="O3263" s="2"/>
    </row>
    <row r="3264" spans="12:15">
      <c r="L3264" s="2"/>
      <c r="N3264" s="2"/>
      <c r="O3264" s="2"/>
    </row>
    <row r="3265" spans="12:15">
      <c r="L3265" s="2"/>
      <c r="N3265" s="2"/>
      <c r="O3265" s="2"/>
    </row>
    <row r="3266" spans="12:15">
      <c r="L3266" s="2"/>
      <c r="N3266" s="2"/>
      <c r="O3266" s="2"/>
    </row>
    <row r="3267" spans="12:15">
      <c r="L3267" s="2"/>
      <c r="N3267" s="2"/>
      <c r="O3267" s="2"/>
    </row>
    <row r="3268" spans="12:15">
      <c r="L3268" s="2"/>
      <c r="N3268" s="2"/>
      <c r="O3268" s="2"/>
    </row>
    <row r="3269" spans="12:15">
      <c r="L3269" s="2"/>
      <c r="N3269" s="2"/>
      <c r="O3269" s="2"/>
    </row>
    <row r="3270" spans="12:15">
      <c r="L3270" s="2"/>
      <c r="N3270" s="2"/>
      <c r="O3270" s="2"/>
    </row>
    <row r="3271" spans="12:15">
      <c r="L3271" s="2"/>
      <c r="N3271" s="2"/>
      <c r="O3271" s="2"/>
    </row>
    <row r="3272" spans="12:15">
      <c r="L3272" s="2"/>
      <c r="N3272" s="2"/>
      <c r="O3272" s="2"/>
    </row>
    <row r="3273" spans="12:15">
      <c r="L3273" s="2"/>
      <c r="N3273" s="2"/>
      <c r="O3273" s="2"/>
    </row>
    <row r="3274" spans="12:15">
      <c r="L3274" s="2"/>
      <c r="N3274" s="2"/>
      <c r="O3274" s="2"/>
    </row>
    <row r="3275" spans="12:15">
      <c r="L3275" s="2"/>
      <c r="N3275" s="2"/>
      <c r="O3275" s="2"/>
    </row>
    <row r="3276" spans="12:15">
      <c r="L3276" s="2"/>
      <c r="N3276" s="2"/>
      <c r="O3276" s="2"/>
    </row>
    <row r="3277" spans="12:15">
      <c r="L3277" s="2"/>
      <c r="N3277" s="2"/>
      <c r="O3277" s="2"/>
    </row>
    <row r="3278" spans="12:15">
      <c r="L3278" s="2"/>
      <c r="N3278" s="2"/>
      <c r="O3278" s="2"/>
    </row>
    <row r="3279" spans="12:15">
      <c r="L3279" s="2"/>
      <c r="N3279" s="2"/>
      <c r="O3279" s="2"/>
    </row>
    <row r="3280" spans="12:15">
      <c r="L3280" s="2"/>
      <c r="N3280" s="2"/>
      <c r="O3280" s="2"/>
    </row>
    <row r="3281" spans="12:15">
      <c r="L3281" s="2"/>
      <c r="N3281" s="2"/>
      <c r="O3281" s="2"/>
    </row>
    <row r="3282" spans="12:15">
      <c r="L3282" s="2"/>
      <c r="N3282" s="2"/>
      <c r="O3282" s="2"/>
    </row>
    <row r="3283" spans="12:15">
      <c r="L3283" s="2"/>
      <c r="N3283" s="2"/>
      <c r="O3283" s="2"/>
    </row>
    <row r="3284" spans="12:15">
      <c r="L3284" s="2"/>
      <c r="N3284" s="2"/>
      <c r="O3284" s="2"/>
    </row>
    <row r="3285" spans="12:15">
      <c r="L3285" s="2"/>
      <c r="N3285" s="2"/>
      <c r="O3285" s="2"/>
    </row>
    <row r="3286" spans="12:15">
      <c r="L3286" s="2"/>
      <c r="N3286" s="2"/>
      <c r="O3286" s="2"/>
    </row>
    <row r="3287" spans="12:15">
      <c r="L3287" s="2"/>
      <c r="N3287" s="2"/>
      <c r="O3287" s="2"/>
    </row>
    <row r="3288" spans="12:15">
      <c r="L3288" s="2"/>
      <c r="N3288" s="2"/>
      <c r="O3288" s="2"/>
    </row>
    <row r="3289" spans="12:15">
      <c r="L3289" s="2"/>
      <c r="N3289" s="2"/>
      <c r="O3289" s="2"/>
    </row>
    <row r="3290" spans="12:15">
      <c r="L3290" s="2"/>
      <c r="N3290" s="2"/>
      <c r="O3290" s="2"/>
    </row>
    <row r="3291" spans="12:15">
      <c r="L3291" s="2"/>
      <c r="N3291" s="2"/>
      <c r="O3291" s="2"/>
    </row>
    <row r="3292" spans="12:15">
      <c r="L3292" s="2"/>
      <c r="N3292" s="2"/>
      <c r="O3292" s="2"/>
    </row>
    <row r="3293" spans="12:15">
      <c r="L3293" s="2"/>
      <c r="N3293" s="2"/>
      <c r="O3293" s="2"/>
    </row>
    <row r="3294" spans="12:15">
      <c r="L3294" s="2"/>
      <c r="N3294" s="2"/>
      <c r="O3294" s="2"/>
    </row>
    <row r="3295" spans="12:15">
      <c r="L3295" s="2"/>
      <c r="N3295" s="2"/>
      <c r="O3295" s="2"/>
    </row>
    <row r="3296" spans="12:15">
      <c r="L3296" s="2"/>
      <c r="N3296" s="2"/>
      <c r="O3296" s="2"/>
    </row>
    <row r="3297" spans="12:15">
      <c r="L3297" s="2"/>
      <c r="N3297" s="2"/>
      <c r="O3297" s="2"/>
    </row>
    <row r="3298" spans="12:15">
      <c r="L3298" s="2"/>
      <c r="N3298" s="2"/>
      <c r="O3298" s="2"/>
    </row>
    <row r="3299" spans="12:15">
      <c r="L3299" s="2"/>
      <c r="N3299" s="2"/>
      <c r="O3299" s="2"/>
    </row>
    <row r="3300" spans="12:15">
      <c r="L3300" s="2"/>
      <c r="N3300" s="2"/>
      <c r="O3300" s="2"/>
    </row>
    <row r="3301" spans="12:15">
      <c r="L3301" s="2"/>
      <c r="N3301" s="2"/>
      <c r="O3301" s="2"/>
    </row>
    <row r="3302" spans="12:15">
      <c r="L3302" s="2"/>
      <c r="N3302" s="2"/>
      <c r="O3302" s="2"/>
    </row>
    <row r="3303" spans="12:15">
      <c r="L3303" s="2"/>
      <c r="N3303" s="2"/>
      <c r="O3303" s="2"/>
    </row>
    <row r="3304" spans="12:15">
      <c r="L3304" s="2"/>
      <c r="N3304" s="2"/>
      <c r="O3304" s="2"/>
    </row>
    <row r="3305" spans="12:15">
      <c r="L3305" s="2"/>
      <c r="N3305" s="2"/>
      <c r="O3305" s="2"/>
    </row>
    <row r="3306" spans="12:15">
      <c r="L3306" s="2"/>
      <c r="N3306" s="2"/>
      <c r="O3306" s="2"/>
    </row>
    <row r="3307" spans="12:15">
      <c r="L3307" s="2"/>
      <c r="N3307" s="2"/>
      <c r="O3307" s="2"/>
    </row>
    <row r="3308" spans="12:15">
      <c r="L3308" s="2"/>
      <c r="N3308" s="2"/>
      <c r="O3308" s="2"/>
    </row>
    <row r="3309" spans="12:15">
      <c r="L3309" s="2"/>
      <c r="N3309" s="2"/>
      <c r="O3309" s="2"/>
    </row>
    <row r="3310" spans="12:15">
      <c r="L3310" s="2"/>
      <c r="N3310" s="2"/>
      <c r="O3310" s="2"/>
    </row>
    <row r="3311" spans="12:15">
      <c r="L3311" s="2"/>
      <c r="N3311" s="2"/>
      <c r="O3311" s="2"/>
    </row>
    <row r="3312" spans="12:15">
      <c r="L3312" s="2"/>
      <c r="N3312" s="2"/>
      <c r="O3312" s="2"/>
    </row>
    <row r="3313" spans="12:15">
      <c r="L3313" s="2"/>
      <c r="N3313" s="2"/>
      <c r="O3313" s="2"/>
    </row>
    <row r="3314" spans="12:15">
      <c r="L3314" s="2"/>
      <c r="N3314" s="2"/>
      <c r="O3314" s="2"/>
    </row>
    <row r="3315" spans="12:15">
      <c r="L3315" s="2"/>
      <c r="N3315" s="2"/>
      <c r="O3315" s="2"/>
    </row>
    <row r="3316" spans="12:15">
      <c r="L3316" s="2"/>
      <c r="N3316" s="2"/>
      <c r="O3316" s="2"/>
    </row>
    <row r="3317" spans="12:15">
      <c r="L3317" s="2"/>
      <c r="N3317" s="2"/>
      <c r="O3317" s="2"/>
    </row>
    <row r="3318" spans="12:15">
      <c r="L3318" s="2"/>
      <c r="N3318" s="2"/>
      <c r="O3318" s="2"/>
    </row>
    <row r="3319" spans="12:15">
      <c r="L3319" s="2"/>
      <c r="N3319" s="2"/>
      <c r="O3319" s="2"/>
    </row>
    <row r="3320" spans="12:15">
      <c r="L3320" s="2"/>
      <c r="N3320" s="2"/>
      <c r="O3320" s="2"/>
    </row>
    <row r="3321" spans="12:15">
      <c r="L3321" s="2"/>
      <c r="N3321" s="2"/>
      <c r="O3321" s="2"/>
    </row>
    <row r="3322" spans="12:15">
      <c r="L3322" s="2"/>
      <c r="N3322" s="2"/>
      <c r="O3322" s="2"/>
    </row>
    <row r="3323" spans="12:15">
      <c r="L3323" s="2"/>
      <c r="N3323" s="2"/>
      <c r="O3323" s="2"/>
    </row>
    <row r="3324" spans="12:15">
      <c r="L3324" s="2"/>
      <c r="N3324" s="2"/>
      <c r="O3324" s="2"/>
    </row>
    <row r="3325" spans="12:15">
      <c r="L3325" s="2"/>
      <c r="N3325" s="2"/>
      <c r="O3325" s="2"/>
    </row>
    <row r="3326" spans="12:15">
      <c r="L3326" s="2"/>
      <c r="N3326" s="2"/>
      <c r="O3326" s="2"/>
    </row>
    <row r="3327" spans="12:15">
      <c r="L3327" s="2"/>
      <c r="N3327" s="2"/>
      <c r="O3327" s="2"/>
    </row>
    <row r="3328" spans="12:15">
      <c r="L3328" s="2"/>
      <c r="N3328" s="2"/>
      <c r="O3328" s="2"/>
    </row>
    <row r="3329" spans="12:15">
      <c r="L3329" s="2"/>
      <c r="N3329" s="2"/>
      <c r="O3329" s="2"/>
    </row>
    <row r="3330" spans="12:15">
      <c r="L3330" s="2"/>
      <c r="N3330" s="2"/>
      <c r="O3330" s="2"/>
    </row>
    <row r="3331" spans="12:15">
      <c r="L3331" s="2"/>
      <c r="N3331" s="2"/>
      <c r="O3331" s="2"/>
    </row>
    <row r="3332" spans="12:15">
      <c r="L3332" s="2"/>
      <c r="N3332" s="2"/>
      <c r="O3332" s="2"/>
    </row>
    <row r="3333" spans="12:15">
      <c r="L3333" s="2"/>
      <c r="N3333" s="2"/>
      <c r="O3333" s="2"/>
    </row>
    <row r="3334" spans="12:15">
      <c r="L3334" s="2"/>
      <c r="N3334" s="2"/>
      <c r="O3334" s="2"/>
    </row>
    <row r="3335" spans="12:15">
      <c r="L3335" s="2"/>
      <c r="N3335" s="2"/>
      <c r="O3335" s="2"/>
    </row>
    <row r="3336" spans="12:15">
      <c r="L3336" s="2"/>
      <c r="N3336" s="2"/>
      <c r="O3336" s="2"/>
    </row>
    <row r="3337" spans="12:15">
      <c r="L3337" s="2"/>
      <c r="N3337" s="2"/>
      <c r="O3337" s="2"/>
    </row>
    <row r="3338" spans="12:15">
      <c r="L3338" s="2"/>
      <c r="N3338" s="2"/>
      <c r="O3338" s="2"/>
    </row>
    <row r="3339" spans="12:15">
      <c r="L3339" s="2"/>
      <c r="N3339" s="2"/>
      <c r="O3339" s="2"/>
    </row>
    <row r="3340" spans="12:15">
      <c r="L3340" s="2"/>
      <c r="N3340" s="2"/>
      <c r="O3340" s="2"/>
    </row>
    <row r="3341" spans="12:15">
      <c r="L3341" s="2"/>
      <c r="N3341" s="2"/>
      <c r="O3341" s="2"/>
    </row>
    <row r="3342" spans="12:15">
      <c r="L3342" s="2"/>
      <c r="N3342" s="2"/>
      <c r="O3342" s="2"/>
    </row>
    <row r="3343" spans="12:15">
      <c r="L3343" s="2"/>
      <c r="N3343" s="2"/>
      <c r="O3343" s="2"/>
    </row>
    <row r="3344" spans="12:15">
      <c r="L3344" s="2"/>
      <c r="N3344" s="2"/>
      <c r="O3344" s="2"/>
    </row>
    <row r="3345" spans="12:15">
      <c r="L3345" s="2"/>
      <c r="N3345" s="2"/>
      <c r="O3345" s="2"/>
    </row>
    <row r="3346" spans="12:15">
      <c r="L3346" s="2"/>
      <c r="N3346" s="2"/>
      <c r="O3346" s="2"/>
    </row>
    <row r="3347" spans="12:15">
      <c r="L3347" s="2"/>
      <c r="N3347" s="2"/>
      <c r="O3347" s="2"/>
    </row>
    <row r="3348" spans="12:15">
      <c r="L3348" s="2"/>
      <c r="N3348" s="2"/>
      <c r="O3348" s="2"/>
    </row>
    <row r="3349" spans="12:15">
      <c r="L3349" s="2"/>
      <c r="N3349" s="2"/>
      <c r="O3349" s="2"/>
    </row>
    <row r="3350" spans="12:15">
      <c r="L3350" s="2"/>
      <c r="N3350" s="2"/>
      <c r="O3350" s="2"/>
    </row>
    <row r="3351" spans="12:15">
      <c r="L3351" s="2"/>
      <c r="N3351" s="2"/>
      <c r="O3351" s="2"/>
    </row>
    <row r="3352" spans="12:15">
      <c r="L3352" s="2"/>
      <c r="N3352" s="2"/>
      <c r="O3352" s="2"/>
    </row>
    <row r="3353" spans="12:15">
      <c r="L3353" s="2"/>
      <c r="N3353" s="2"/>
      <c r="O3353" s="2"/>
    </row>
    <row r="3354" spans="12:15">
      <c r="L3354" s="2"/>
      <c r="N3354" s="2"/>
      <c r="O3354" s="2"/>
    </row>
    <row r="3355" spans="12:15">
      <c r="L3355" s="2"/>
      <c r="N3355" s="2"/>
      <c r="O3355" s="2"/>
    </row>
    <row r="3356" spans="12:15">
      <c r="L3356" s="2"/>
      <c r="N3356" s="2"/>
      <c r="O3356" s="2"/>
    </row>
    <row r="3357" spans="12:15">
      <c r="L3357" s="2"/>
      <c r="N3357" s="2"/>
      <c r="O3357" s="2"/>
    </row>
    <row r="3358" spans="12:15">
      <c r="L3358" s="2"/>
      <c r="N3358" s="2"/>
      <c r="O3358" s="2"/>
    </row>
    <row r="3359" spans="12:15">
      <c r="L3359" s="2"/>
      <c r="N3359" s="2"/>
      <c r="O3359" s="2"/>
    </row>
    <row r="3360" spans="12:15">
      <c r="L3360" s="2"/>
      <c r="N3360" s="2"/>
      <c r="O3360" s="2"/>
    </row>
    <row r="3361" spans="12:15">
      <c r="L3361" s="2"/>
      <c r="N3361" s="2"/>
      <c r="O3361" s="2"/>
    </row>
    <row r="3362" spans="12:15">
      <c r="L3362" s="2"/>
      <c r="N3362" s="2"/>
      <c r="O3362" s="2"/>
    </row>
    <row r="3363" spans="12:15">
      <c r="L3363" s="2"/>
      <c r="N3363" s="2"/>
      <c r="O3363" s="2"/>
    </row>
    <row r="3364" spans="12:15">
      <c r="L3364" s="2"/>
      <c r="N3364" s="2"/>
      <c r="O3364" s="2"/>
    </row>
    <row r="3365" spans="12:15">
      <c r="L3365" s="2"/>
      <c r="N3365" s="2"/>
      <c r="O3365" s="2"/>
    </row>
    <row r="3366" spans="12:15">
      <c r="L3366" s="2"/>
      <c r="N3366" s="2"/>
      <c r="O3366" s="2"/>
    </row>
    <row r="3367" spans="12:15">
      <c r="L3367" s="2"/>
      <c r="N3367" s="2"/>
      <c r="O3367" s="2"/>
    </row>
    <row r="3368" spans="12:15">
      <c r="L3368" s="2"/>
      <c r="N3368" s="2"/>
      <c r="O3368" s="2"/>
    </row>
    <row r="3369" spans="12:15">
      <c r="L3369" s="2"/>
      <c r="N3369" s="2"/>
      <c r="O3369" s="2"/>
    </row>
    <row r="3370" spans="12:15">
      <c r="L3370" s="2"/>
      <c r="N3370" s="2"/>
      <c r="O3370" s="2"/>
    </row>
    <row r="3371" spans="12:15">
      <c r="L3371" s="2"/>
      <c r="N3371" s="2"/>
      <c r="O3371" s="2"/>
    </row>
    <row r="3372" spans="12:15">
      <c r="L3372" s="2"/>
      <c r="N3372" s="2"/>
      <c r="O3372" s="2"/>
    </row>
    <row r="3373" spans="12:15">
      <c r="L3373" s="2"/>
      <c r="N3373" s="2"/>
      <c r="O3373" s="2"/>
    </row>
    <row r="3374" spans="12:15">
      <c r="L3374" s="2"/>
      <c r="N3374" s="2"/>
      <c r="O3374" s="2"/>
    </row>
    <row r="3375" spans="12:15">
      <c r="L3375" s="2"/>
      <c r="N3375" s="2"/>
      <c r="O3375" s="2"/>
    </row>
    <row r="3376" spans="12:15">
      <c r="L3376" s="2"/>
      <c r="N3376" s="2"/>
      <c r="O3376" s="2"/>
    </row>
    <row r="3377" spans="12:15">
      <c r="L3377" s="2"/>
      <c r="N3377" s="2"/>
      <c r="O3377" s="2"/>
    </row>
    <row r="3378" spans="12:15">
      <c r="L3378" s="2"/>
      <c r="N3378" s="2"/>
      <c r="O3378" s="2"/>
    </row>
    <row r="3379" spans="12:15">
      <c r="L3379" s="2"/>
      <c r="N3379" s="2"/>
      <c r="O3379" s="2"/>
    </row>
    <row r="3380" spans="12:15">
      <c r="L3380" s="2"/>
      <c r="N3380" s="2"/>
      <c r="O3380" s="2"/>
    </row>
    <row r="3381" spans="12:15">
      <c r="L3381" s="2"/>
      <c r="N3381" s="2"/>
      <c r="O3381" s="2"/>
    </row>
    <row r="3382" spans="12:15">
      <c r="L3382" s="2"/>
      <c r="N3382" s="2"/>
      <c r="O3382" s="2"/>
    </row>
    <row r="3383" spans="12:15">
      <c r="L3383" s="2"/>
      <c r="N3383" s="2"/>
      <c r="O3383" s="2"/>
    </row>
    <row r="3384" spans="12:15">
      <c r="L3384" s="2"/>
      <c r="N3384" s="2"/>
      <c r="O3384" s="2"/>
    </row>
    <row r="3385" spans="12:15">
      <c r="L3385" s="2"/>
      <c r="N3385" s="2"/>
      <c r="O3385" s="2"/>
    </row>
    <row r="3386" spans="12:15">
      <c r="L3386" s="2"/>
      <c r="N3386" s="2"/>
      <c r="O3386" s="2"/>
    </row>
    <row r="3387" spans="12:15">
      <c r="L3387" s="2"/>
      <c r="N3387" s="2"/>
      <c r="O3387" s="2"/>
    </row>
    <row r="3388" spans="12:15">
      <c r="L3388" s="2"/>
      <c r="N3388" s="2"/>
      <c r="O3388" s="2"/>
    </row>
    <row r="3389" spans="12:15">
      <c r="L3389" s="2"/>
      <c r="N3389" s="2"/>
      <c r="O3389" s="2"/>
    </row>
    <row r="3390" spans="12:15">
      <c r="L3390" s="2"/>
      <c r="N3390" s="2"/>
      <c r="O3390" s="2"/>
    </row>
    <row r="3391" spans="12:15">
      <c r="L3391" s="2"/>
      <c r="N3391" s="2"/>
      <c r="O3391" s="2"/>
    </row>
    <row r="3392" spans="12:15">
      <c r="L3392" s="2"/>
      <c r="N3392" s="2"/>
      <c r="O3392" s="2"/>
    </row>
    <row r="3393" spans="12:15">
      <c r="L3393" s="2"/>
      <c r="N3393" s="2"/>
      <c r="O3393" s="2"/>
    </row>
    <row r="3394" spans="12:15">
      <c r="L3394" s="2"/>
      <c r="N3394" s="2"/>
      <c r="O3394" s="2"/>
    </row>
    <row r="3395" spans="12:15">
      <c r="L3395" s="2"/>
      <c r="N3395" s="2"/>
      <c r="O3395" s="2"/>
    </row>
    <row r="3396" spans="12:15">
      <c r="L3396" s="2"/>
      <c r="N3396" s="2"/>
      <c r="O3396" s="2"/>
    </row>
    <row r="3397" spans="12:15">
      <c r="L3397" s="2"/>
      <c r="N3397" s="2"/>
      <c r="O3397" s="2"/>
    </row>
    <row r="3398" spans="12:15">
      <c r="L3398" s="2"/>
      <c r="N3398" s="2"/>
      <c r="O3398" s="2"/>
    </row>
    <row r="3399" spans="12:15">
      <c r="L3399" s="2"/>
      <c r="N3399" s="2"/>
      <c r="O3399" s="2"/>
    </row>
    <row r="3400" spans="12:15">
      <c r="L3400" s="2"/>
      <c r="N3400" s="2"/>
      <c r="O3400" s="2"/>
    </row>
    <row r="3401" spans="12:15">
      <c r="L3401" s="2"/>
      <c r="N3401" s="2"/>
      <c r="O3401" s="2"/>
    </row>
    <row r="3402" spans="12:15">
      <c r="L3402" s="2"/>
      <c r="N3402" s="2"/>
      <c r="O3402" s="2"/>
    </row>
    <row r="3403" spans="12:15">
      <c r="L3403" s="2"/>
      <c r="N3403" s="2"/>
      <c r="O3403" s="2"/>
    </row>
    <row r="3404" spans="12:15">
      <c r="L3404" s="2"/>
      <c r="N3404" s="2"/>
      <c r="O3404" s="2"/>
    </row>
    <row r="3405" spans="12:15">
      <c r="L3405" s="2"/>
      <c r="N3405" s="2"/>
      <c r="O3405" s="2"/>
    </row>
    <row r="3406" spans="12:15">
      <c r="L3406" s="2"/>
      <c r="N3406" s="2"/>
      <c r="O3406" s="2"/>
    </row>
    <row r="3407" spans="12:15">
      <c r="L3407" s="2"/>
      <c r="N3407" s="2"/>
      <c r="O3407" s="2"/>
    </row>
    <row r="3408" spans="12:15">
      <c r="L3408" s="2"/>
      <c r="N3408" s="2"/>
      <c r="O3408" s="2"/>
    </row>
    <row r="3409" spans="12:15">
      <c r="L3409" s="2"/>
      <c r="N3409" s="2"/>
      <c r="O3409" s="2"/>
    </row>
    <row r="3410" spans="12:15">
      <c r="L3410" s="2"/>
      <c r="N3410" s="2"/>
      <c r="O3410" s="2"/>
    </row>
    <row r="3411" spans="12:15">
      <c r="L3411" s="2"/>
      <c r="N3411" s="2"/>
      <c r="O3411" s="2"/>
    </row>
    <row r="3412" spans="12:15">
      <c r="L3412" s="2"/>
      <c r="N3412" s="2"/>
      <c r="O3412" s="2"/>
    </row>
    <row r="3413" spans="12:15">
      <c r="L3413" s="2"/>
      <c r="N3413" s="2"/>
      <c r="O3413" s="2"/>
    </row>
    <row r="3414" spans="12:15">
      <c r="L3414" s="2"/>
      <c r="N3414" s="2"/>
      <c r="O3414" s="2"/>
    </row>
    <row r="3415" spans="12:15">
      <c r="L3415" s="2"/>
      <c r="N3415" s="2"/>
      <c r="O3415" s="2"/>
    </row>
    <row r="3416" spans="12:15">
      <c r="L3416" s="2"/>
      <c r="N3416" s="2"/>
      <c r="O3416" s="2"/>
    </row>
    <row r="3417" spans="12:15">
      <c r="L3417" s="2"/>
      <c r="N3417" s="2"/>
      <c r="O3417" s="2"/>
    </row>
    <row r="3418" spans="12:15">
      <c r="L3418" s="2"/>
      <c r="N3418" s="2"/>
      <c r="O3418" s="2"/>
    </row>
    <row r="3419" spans="12:15">
      <c r="L3419" s="2"/>
      <c r="N3419" s="2"/>
      <c r="O3419" s="2"/>
    </row>
    <row r="3420" spans="12:15">
      <c r="L3420" s="2"/>
      <c r="N3420" s="2"/>
      <c r="O3420" s="2"/>
    </row>
    <row r="3421" spans="12:15">
      <c r="L3421" s="2"/>
      <c r="N3421" s="2"/>
      <c r="O3421" s="2"/>
    </row>
    <row r="3422" spans="12:15">
      <c r="L3422" s="2"/>
      <c r="N3422" s="2"/>
      <c r="O3422" s="2"/>
    </row>
    <row r="3423" spans="12:15">
      <c r="L3423" s="2"/>
      <c r="N3423" s="2"/>
      <c r="O3423" s="2"/>
    </row>
    <row r="3424" spans="12:15">
      <c r="L3424" s="2"/>
      <c r="N3424" s="2"/>
      <c r="O3424" s="2"/>
    </row>
    <row r="3425" spans="12:15">
      <c r="L3425" s="2"/>
      <c r="N3425" s="2"/>
      <c r="O3425" s="2"/>
    </row>
    <row r="3426" spans="12:15">
      <c r="L3426" s="2"/>
      <c r="N3426" s="2"/>
      <c r="O3426" s="2"/>
    </row>
    <row r="3427" spans="12:15">
      <c r="L3427" s="2"/>
      <c r="N3427" s="2"/>
      <c r="O3427" s="2"/>
    </row>
    <row r="3428" spans="12:15">
      <c r="L3428" s="2"/>
      <c r="N3428" s="2"/>
      <c r="O3428" s="2"/>
    </row>
    <row r="3429" spans="12:15">
      <c r="L3429" s="2"/>
      <c r="N3429" s="2"/>
      <c r="O3429" s="2"/>
    </row>
    <row r="3430" spans="12:15">
      <c r="L3430" s="2"/>
      <c r="N3430" s="2"/>
      <c r="O3430" s="2"/>
    </row>
    <row r="3431" spans="12:15">
      <c r="L3431" s="2"/>
      <c r="N3431" s="2"/>
      <c r="O3431" s="2"/>
    </row>
    <row r="3432" spans="12:15">
      <c r="L3432" s="2"/>
      <c r="N3432" s="2"/>
      <c r="O3432" s="2"/>
    </row>
    <row r="3433" spans="12:15">
      <c r="L3433" s="2"/>
      <c r="N3433" s="2"/>
      <c r="O3433" s="2"/>
    </row>
    <row r="3434" spans="12:15">
      <c r="L3434" s="2"/>
      <c r="N3434" s="2"/>
      <c r="O3434" s="2"/>
    </row>
    <row r="3435" spans="12:15">
      <c r="L3435" s="2"/>
      <c r="N3435" s="2"/>
      <c r="O3435" s="2"/>
    </row>
    <row r="3436" spans="12:15">
      <c r="L3436" s="2"/>
      <c r="N3436" s="2"/>
      <c r="O3436" s="2"/>
    </row>
    <row r="3437" spans="12:15">
      <c r="L3437" s="2"/>
      <c r="N3437" s="2"/>
      <c r="O3437" s="2"/>
    </row>
    <row r="3438" spans="12:15">
      <c r="L3438" s="2"/>
      <c r="N3438" s="2"/>
      <c r="O3438" s="2"/>
    </row>
    <row r="3439" spans="12:15">
      <c r="L3439" s="2"/>
      <c r="N3439" s="2"/>
      <c r="O3439" s="2"/>
    </row>
    <row r="3440" spans="12:15">
      <c r="L3440" s="2"/>
      <c r="N3440" s="2"/>
      <c r="O3440" s="2"/>
    </row>
    <row r="3441" spans="12:15">
      <c r="L3441" s="2"/>
      <c r="N3441" s="2"/>
      <c r="O3441" s="2"/>
    </row>
    <row r="3442" spans="12:15">
      <c r="L3442" s="2"/>
      <c r="N3442" s="2"/>
      <c r="O3442" s="2"/>
    </row>
    <row r="3443" spans="12:15">
      <c r="L3443" s="2"/>
      <c r="N3443" s="2"/>
      <c r="O3443" s="2"/>
    </row>
    <row r="3444" spans="12:15">
      <c r="L3444" s="2"/>
      <c r="N3444" s="2"/>
      <c r="O3444" s="2"/>
    </row>
    <row r="3445" spans="12:15">
      <c r="L3445" s="2"/>
      <c r="N3445" s="2"/>
      <c r="O3445" s="2"/>
    </row>
    <row r="3446" spans="12:15">
      <c r="L3446" s="2"/>
      <c r="N3446" s="2"/>
      <c r="O3446" s="2"/>
    </row>
    <row r="3447" spans="12:15">
      <c r="L3447" s="2"/>
      <c r="N3447" s="2"/>
      <c r="O3447" s="2"/>
    </row>
    <row r="3448" spans="12:15">
      <c r="L3448" s="2"/>
      <c r="N3448" s="2"/>
      <c r="O3448" s="2"/>
    </row>
    <row r="3449" spans="12:15">
      <c r="L3449" s="2"/>
      <c r="N3449" s="2"/>
      <c r="O3449" s="2"/>
    </row>
    <row r="3450" spans="12:15">
      <c r="L3450" s="2"/>
      <c r="N3450" s="2"/>
      <c r="O3450" s="2"/>
    </row>
    <row r="3451" spans="12:15">
      <c r="L3451" s="2"/>
      <c r="N3451" s="2"/>
      <c r="O3451" s="2"/>
    </row>
    <row r="3452" spans="12:15">
      <c r="L3452" s="2"/>
      <c r="N3452" s="2"/>
      <c r="O3452" s="2"/>
    </row>
    <row r="3453" spans="12:15">
      <c r="L3453" s="2"/>
      <c r="N3453" s="2"/>
      <c r="O3453" s="2"/>
    </row>
    <row r="3454" spans="12:15">
      <c r="L3454" s="2"/>
      <c r="N3454" s="2"/>
      <c r="O3454" s="2"/>
    </row>
    <row r="3455" spans="12:15">
      <c r="L3455" s="2"/>
      <c r="N3455" s="2"/>
      <c r="O3455" s="2"/>
    </row>
    <row r="3456" spans="12:15">
      <c r="L3456" s="2"/>
      <c r="N3456" s="2"/>
      <c r="O3456" s="2"/>
    </row>
    <row r="3457" spans="12:15">
      <c r="L3457" s="2"/>
      <c r="N3457" s="2"/>
      <c r="O3457" s="2"/>
    </row>
    <row r="3458" spans="12:15">
      <c r="L3458" s="2"/>
      <c r="N3458" s="2"/>
      <c r="O3458" s="2"/>
    </row>
    <row r="3459" spans="12:15">
      <c r="L3459" s="2"/>
      <c r="N3459" s="2"/>
      <c r="O3459" s="2"/>
    </row>
    <row r="3460" spans="12:15">
      <c r="L3460" s="2"/>
      <c r="N3460" s="2"/>
      <c r="O3460" s="2"/>
    </row>
    <row r="3461" spans="12:15">
      <c r="L3461" s="2"/>
      <c r="N3461" s="2"/>
      <c r="O3461" s="2"/>
    </row>
    <row r="3462" spans="12:15">
      <c r="L3462" s="2"/>
      <c r="N3462" s="2"/>
      <c r="O3462" s="2"/>
    </row>
    <row r="3463" spans="12:15">
      <c r="L3463" s="2"/>
      <c r="N3463" s="2"/>
      <c r="O3463" s="2"/>
    </row>
    <row r="3464" spans="12:15">
      <c r="L3464" s="2"/>
      <c r="N3464" s="2"/>
      <c r="O3464" s="2"/>
    </row>
    <row r="3465" spans="12:15">
      <c r="L3465" s="2"/>
      <c r="N3465" s="2"/>
      <c r="O3465" s="2"/>
    </row>
    <row r="3466" spans="12:15">
      <c r="L3466" s="2"/>
      <c r="N3466" s="2"/>
      <c r="O3466" s="2"/>
    </row>
    <row r="3467" spans="12:15">
      <c r="L3467" s="2"/>
      <c r="N3467" s="2"/>
      <c r="O3467" s="2"/>
    </row>
    <row r="3468" spans="12:15">
      <c r="L3468" s="2"/>
      <c r="N3468" s="2"/>
      <c r="O3468" s="2"/>
    </row>
    <row r="3469" spans="12:15">
      <c r="L3469" s="2"/>
      <c r="N3469" s="2"/>
      <c r="O3469" s="2"/>
    </row>
    <row r="3470" spans="12:15">
      <c r="L3470" s="2"/>
      <c r="N3470" s="2"/>
      <c r="O3470" s="2"/>
    </row>
    <row r="3471" spans="12:15">
      <c r="L3471" s="2"/>
      <c r="N3471" s="2"/>
      <c r="O3471" s="2"/>
    </row>
    <row r="3472" spans="12:15">
      <c r="L3472" s="2"/>
      <c r="N3472" s="2"/>
      <c r="O3472" s="2"/>
    </row>
    <row r="3473" spans="12:15">
      <c r="L3473" s="2"/>
      <c r="N3473" s="2"/>
      <c r="O3473" s="2"/>
    </row>
    <row r="3474" spans="12:15">
      <c r="L3474" s="2"/>
      <c r="N3474" s="2"/>
      <c r="O3474" s="2"/>
    </row>
    <row r="3475" spans="12:15">
      <c r="L3475" s="2"/>
      <c r="N3475" s="2"/>
      <c r="O3475" s="2"/>
    </row>
    <row r="3476" spans="12:15">
      <c r="L3476" s="2"/>
      <c r="N3476" s="2"/>
      <c r="O3476" s="2"/>
    </row>
    <row r="3477" spans="12:15">
      <c r="L3477" s="2"/>
      <c r="N3477" s="2"/>
      <c r="O3477" s="2"/>
    </row>
    <row r="3478" spans="12:15">
      <c r="L3478" s="2"/>
      <c r="N3478" s="2"/>
      <c r="O3478" s="2"/>
    </row>
    <row r="3479" spans="12:15">
      <c r="L3479" s="2"/>
      <c r="N3479" s="2"/>
      <c r="O3479" s="2"/>
    </row>
    <row r="3480" spans="12:15">
      <c r="L3480" s="2"/>
      <c r="N3480" s="2"/>
      <c r="O3480" s="2"/>
    </row>
    <row r="3481" spans="12:15">
      <c r="L3481" s="2"/>
      <c r="N3481" s="2"/>
      <c r="O3481" s="2"/>
    </row>
    <row r="3482" spans="12:15">
      <c r="L3482" s="2"/>
      <c r="N3482" s="2"/>
      <c r="O3482" s="2"/>
    </row>
    <row r="3483" spans="12:15">
      <c r="L3483" s="2"/>
      <c r="N3483" s="2"/>
      <c r="O3483" s="2"/>
    </row>
    <row r="3484" spans="12:15">
      <c r="L3484" s="2"/>
      <c r="N3484" s="2"/>
      <c r="O3484" s="2"/>
    </row>
    <row r="3485" spans="12:15">
      <c r="L3485" s="2"/>
      <c r="N3485" s="2"/>
      <c r="O3485" s="2"/>
    </row>
    <row r="3486" spans="12:15">
      <c r="L3486" s="2"/>
      <c r="N3486" s="2"/>
      <c r="O3486" s="2"/>
    </row>
    <row r="3487" spans="12:15">
      <c r="L3487" s="2"/>
      <c r="N3487" s="2"/>
      <c r="O3487" s="2"/>
    </row>
    <row r="3488" spans="12:15">
      <c r="L3488" s="2"/>
      <c r="N3488" s="2"/>
      <c r="O3488" s="2"/>
    </row>
    <row r="3489" spans="12:15">
      <c r="L3489" s="2"/>
      <c r="N3489" s="2"/>
      <c r="O3489" s="2"/>
    </row>
    <row r="3490" spans="12:15">
      <c r="L3490" s="2"/>
      <c r="N3490" s="2"/>
      <c r="O3490" s="2"/>
    </row>
    <row r="3491" spans="12:15">
      <c r="L3491" s="2"/>
      <c r="N3491" s="2"/>
      <c r="O3491" s="2"/>
    </row>
    <row r="3492" spans="12:15">
      <c r="L3492" s="2"/>
      <c r="N3492" s="2"/>
      <c r="O3492" s="2"/>
    </row>
    <row r="3493" spans="12:15">
      <c r="L3493" s="2"/>
      <c r="N3493" s="2"/>
      <c r="O3493" s="2"/>
    </row>
    <row r="3494" spans="12:15">
      <c r="L3494" s="2"/>
      <c r="N3494" s="2"/>
      <c r="O3494" s="2"/>
    </row>
    <row r="3495" spans="12:15">
      <c r="L3495" s="2"/>
      <c r="N3495" s="2"/>
      <c r="O3495" s="2"/>
    </row>
    <row r="3496" spans="12:15">
      <c r="L3496" s="2"/>
      <c r="N3496" s="2"/>
      <c r="O3496" s="2"/>
    </row>
    <row r="3497" spans="12:15">
      <c r="L3497" s="2"/>
      <c r="N3497" s="2"/>
      <c r="O3497" s="2"/>
    </row>
    <row r="3498" spans="12:15">
      <c r="L3498" s="2"/>
      <c r="N3498" s="2"/>
      <c r="O3498" s="2"/>
    </row>
    <row r="3499" spans="12:15">
      <c r="L3499" s="2"/>
      <c r="N3499" s="2"/>
      <c r="O3499" s="2"/>
    </row>
    <row r="3500" spans="12:15">
      <c r="L3500" s="2"/>
      <c r="N3500" s="2"/>
      <c r="O3500" s="2"/>
    </row>
    <row r="3501" spans="12:15">
      <c r="L3501" s="2"/>
      <c r="N3501" s="2"/>
      <c r="O3501" s="2"/>
    </row>
    <row r="3502" spans="12:15">
      <c r="L3502" s="2"/>
      <c r="N3502" s="2"/>
      <c r="O3502" s="2"/>
    </row>
    <row r="3503" spans="12:15">
      <c r="L3503" s="2"/>
      <c r="N3503" s="2"/>
      <c r="O3503" s="2"/>
    </row>
    <row r="3504" spans="12:15">
      <c r="L3504" s="2"/>
      <c r="N3504" s="2"/>
      <c r="O3504" s="2"/>
    </row>
    <row r="3505" spans="12:15">
      <c r="L3505" s="2"/>
      <c r="N3505" s="2"/>
      <c r="O3505" s="2"/>
    </row>
    <row r="3506" spans="12:15">
      <c r="L3506" s="2"/>
      <c r="N3506" s="2"/>
      <c r="O3506" s="2"/>
    </row>
    <row r="3507" spans="12:15">
      <c r="L3507" s="2"/>
      <c r="N3507" s="2"/>
      <c r="O3507" s="2"/>
    </row>
    <row r="3508" spans="12:15">
      <c r="L3508" s="2"/>
      <c r="N3508" s="2"/>
      <c r="O3508" s="2"/>
    </row>
    <row r="3509" spans="12:15">
      <c r="L3509" s="2"/>
      <c r="N3509" s="2"/>
      <c r="O3509" s="2"/>
    </row>
    <row r="3510" spans="12:15">
      <c r="L3510" s="2"/>
      <c r="N3510" s="2"/>
      <c r="O3510" s="2"/>
    </row>
    <row r="3511" spans="12:15">
      <c r="L3511" s="2"/>
      <c r="N3511" s="2"/>
      <c r="O3511" s="2"/>
    </row>
    <row r="3512" spans="12:15">
      <c r="L3512" s="2"/>
      <c r="N3512" s="2"/>
      <c r="O3512" s="2"/>
    </row>
    <row r="3513" spans="12:15">
      <c r="L3513" s="2"/>
      <c r="N3513" s="2"/>
      <c r="O3513" s="2"/>
    </row>
    <row r="3514" spans="12:15">
      <c r="L3514" s="2"/>
      <c r="N3514" s="2"/>
      <c r="O3514" s="2"/>
    </row>
    <row r="3515" spans="12:15">
      <c r="L3515" s="2"/>
      <c r="N3515" s="2"/>
      <c r="O3515" s="2"/>
    </row>
    <row r="3516" spans="12:15">
      <c r="L3516" s="2"/>
      <c r="N3516" s="2"/>
      <c r="O3516" s="2"/>
    </row>
    <row r="3517" spans="12:15">
      <c r="L3517" s="2"/>
      <c r="N3517" s="2"/>
      <c r="O3517" s="2"/>
    </row>
    <row r="3518" spans="12:15">
      <c r="L3518" s="2"/>
      <c r="N3518" s="2"/>
      <c r="O3518" s="2"/>
    </row>
    <row r="3519" spans="12:15">
      <c r="L3519" s="2"/>
      <c r="N3519" s="2"/>
      <c r="O3519" s="2"/>
    </row>
    <row r="3520" spans="12:15">
      <c r="L3520" s="2"/>
      <c r="N3520" s="2"/>
      <c r="O3520" s="2"/>
    </row>
    <row r="3521" spans="12:15">
      <c r="L3521" s="2"/>
      <c r="N3521" s="2"/>
      <c r="O3521" s="2"/>
    </row>
    <row r="3522" spans="12:15">
      <c r="L3522" s="2"/>
      <c r="N3522" s="2"/>
      <c r="O3522" s="2"/>
    </row>
    <row r="3523" spans="12:15">
      <c r="L3523" s="2"/>
      <c r="N3523" s="2"/>
      <c r="O3523" s="2"/>
    </row>
    <row r="3524" spans="12:15">
      <c r="L3524" s="2"/>
      <c r="N3524" s="2"/>
      <c r="O3524" s="2"/>
    </row>
    <row r="3525" spans="12:15">
      <c r="L3525" s="2"/>
      <c r="N3525" s="2"/>
      <c r="O3525" s="2"/>
    </row>
    <row r="3526" spans="12:15">
      <c r="L3526" s="2"/>
      <c r="N3526" s="2"/>
      <c r="O3526" s="2"/>
    </row>
    <row r="3527" spans="12:15">
      <c r="L3527" s="2"/>
      <c r="N3527" s="2"/>
      <c r="O3527" s="2"/>
    </row>
    <row r="3528" spans="12:15">
      <c r="L3528" s="2"/>
      <c r="N3528" s="2"/>
      <c r="O3528" s="2"/>
    </row>
    <row r="3529" spans="12:15">
      <c r="L3529" s="2"/>
      <c r="N3529" s="2"/>
      <c r="O3529" s="2"/>
    </row>
    <row r="3530" spans="12:15">
      <c r="L3530" s="2"/>
      <c r="N3530" s="2"/>
      <c r="O3530" s="2"/>
    </row>
    <row r="3531" spans="12:15">
      <c r="L3531" s="2"/>
      <c r="N3531" s="2"/>
      <c r="O3531" s="2"/>
    </row>
    <row r="3532" spans="12:15">
      <c r="L3532" s="2"/>
      <c r="N3532" s="2"/>
      <c r="O3532" s="2"/>
    </row>
    <row r="3533" spans="12:15">
      <c r="L3533" s="2"/>
      <c r="N3533" s="2"/>
      <c r="O3533" s="2"/>
    </row>
    <row r="3534" spans="12:15">
      <c r="L3534" s="2"/>
      <c r="N3534" s="2"/>
      <c r="O3534" s="2"/>
    </row>
    <row r="3535" spans="12:15">
      <c r="L3535" s="2"/>
      <c r="N3535" s="2"/>
      <c r="O3535" s="2"/>
    </row>
    <row r="3536" spans="12:15">
      <c r="L3536" s="2"/>
      <c r="N3536" s="2"/>
      <c r="O3536" s="2"/>
    </row>
    <row r="3537" spans="12:15">
      <c r="L3537" s="2"/>
      <c r="N3537" s="2"/>
      <c r="O3537" s="2"/>
    </row>
    <row r="3538" spans="12:15">
      <c r="L3538" s="2"/>
      <c r="N3538" s="2"/>
      <c r="O3538" s="2"/>
    </row>
    <row r="3539" spans="12:15">
      <c r="L3539" s="2"/>
      <c r="N3539" s="2"/>
      <c r="O3539" s="2"/>
    </row>
    <row r="3540" spans="12:15">
      <c r="L3540" s="2"/>
      <c r="N3540" s="2"/>
      <c r="O3540" s="2"/>
    </row>
    <row r="3541" spans="12:15">
      <c r="L3541" s="2"/>
      <c r="N3541" s="2"/>
      <c r="O3541" s="2"/>
    </row>
    <row r="3542" spans="12:15">
      <c r="L3542" s="2"/>
      <c r="N3542" s="2"/>
      <c r="O3542" s="2"/>
    </row>
    <row r="3543" spans="12:15">
      <c r="L3543" s="2"/>
      <c r="N3543" s="2"/>
      <c r="O3543" s="2"/>
    </row>
    <row r="3544" spans="12:15">
      <c r="L3544" s="2"/>
      <c r="N3544" s="2"/>
      <c r="O3544" s="2"/>
    </row>
    <row r="3545" spans="12:15">
      <c r="L3545" s="2"/>
      <c r="N3545" s="2"/>
      <c r="O3545" s="2"/>
    </row>
    <row r="3546" spans="12:15">
      <c r="L3546" s="2"/>
      <c r="N3546" s="2"/>
      <c r="O3546" s="2"/>
    </row>
    <row r="3547" spans="12:15">
      <c r="L3547" s="2"/>
      <c r="N3547" s="2"/>
      <c r="O3547" s="2"/>
    </row>
    <row r="3548" spans="12:15">
      <c r="L3548" s="2"/>
      <c r="N3548" s="2"/>
      <c r="O3548" s="2"/>
    </row>
    <row r="3549" spans="12:15">
      <c r="L3549" s="2"/>
      <c r="N3549" s="2"/>
      <c r="O3549" s="2"/>
    </row>
    <row r="3550" spans="12:15">
      <c r="L3550" s="2"/>
      <c r="N3550" s="2"/>
      <c r="O3550" s="2"/>
    </row>
    <row r="3551" spans="12:15">
      <c r="L3551" s="2"/>
      <c r="N3551" s="2"/>
      <c r="O3551" s="2"/>
    </row>
    <row r="3552" spans="12:15">
      <c r="L3552" s="2"/>
      <c r="N3552" s="2"/>
      <c r="O3552" s="2"/>
    </row>
    <row r="3553" spans="12:15">
      <c r="L3553" s="2"/>
      <c r="N3553" s="2"/>
      <c r="O3553" s="2"/>
    </row>
    <row r="3554" spans="12:15">
      <c r="L3554" s="2"/>
      <c r="N3554" s="2"/>
      <c r="O3554" s="2"/>
    </row>
    <row r="3555" spans="12:15">
      <c r="L3555" s="2"/>
      <c r="N3555" s="2"/>
      <c r="O3555" s="2"/>
    </row>
    <row r="3556" spans="12:15">
      <c r="L3556" s="2"/>
      <c r="N3556" s="2"/>
      <c r="O3556" s="2"/>
    </row>
    <row r="3557" spans="12:15">
      <c r="L3557" s="2"/>
      <c r="N3557" s="2"/>
      <c r="O3557" s="2"/>
    </row>
    <row r="3558" spans="12:15">
      <c r="L3558" s="2"/>
      <c r="N3558" s="2"/>
      <c r="O3558" s="2"/>
    </row>
    <row r="3559" spans="12:15">
      <c r="L3559" s="2"/>
      <c r="N3559" s="2"/>
      <c r="O3559" s="2"/>
    </row>
    <row r="3560" spans="12:15">
      <c r="L3560" s="2"/>
      <c r="N3560" s="2"/>
      <c r="O3560" s="2"/>
    </row>
    <row r="3561" spans="12:15">
      <c r="L3561" s="2"/>
      <c r="N3561" s="2"/>
      <c r="O3561" s="2"/>
    </row>
    <row r="3562" spans="12:15">
      <c r="L3562" s="2"/>
      <c r="N3562" s="2"/>
      <c r="O3562" s="2"/>
    </row>
    <row r="3563" spans="12:15">
      <c r="L3563" s="2"/>
      <c r="N3563" s="2"/>
      <c r="O3563" s="2"/>
    </row>
    <row r="3564" spans="12:15">
      <c r="L3564" s="2"/>
      <c r="N3564" s="2"/>
      <c r="O3564" s="2"/>
    </row>
    <row r="3565" spans="12:15">
      <c r="L3565" s="2"/>
      <c r="N3565" s="2"/>
      <c r="O3565" s="2"/>
    </row>
    <row r="3566" spans="12:15">
      <c r="L3566" s="2"/>
      <c r="N3566" s="2"/>
      <c r="O3566" s="2"/>
    </row>
    <row r="3567" spans="12:15">
      <c r="L3567" s="2"/>
      <c r="N3567" s="2"/>
      <c r="O3567" s="2"/>
    </row>
    <row r="3568" spans="12:15">
      <c r="L3568" s="2"/>
      <c r="N3568" s="2"/>
      <c r="O3568" s="2"/>
    </row>
    <row r="3569" spans="12:15">
      <c r="L3569" s="2"/>
      <c r="N3569" s="2"/>
      <c r="O3569" s="2"/>
    </row>
    <row r="3570" spans="12:15">
      <c r="L3570" s="2"/>
      <c r="N3570" s="2"/>
      <c r="O3570" s="2"/>
    </row>
    <row r="3571" spans="12:15">
      <c r="L3571" s="2"/>
      <c r="N3571" s="2"/>
      <c r="O3571" s="2"/>
    </row>
    <row r="3572" spans="12:15">
      <c r="L3572" s="2"/>
      <c r="N3572" s="2"/>
      <c r="O3572" s="2"/>
    </row>
    <row r="3573" spans="12:15">
      <c r="L3573" s="2"/>
      <c r="N3573" s="2"/>
      <c r="O3573" s="2"/>
    </row>
    <row r="3574" spans="12:15">
      <c r="L3574" s="2"/>
      <c r="N3574" s="2"/>
      <c r="O3574" s="2"/>
    </row>
    <row r="3575" spans="12:15">
      <c r="L3575" s="2"/>
      <c r="N3575" s="2"/>
      <c r="O3575" s="2"/>
    </row>
    <row r="3576" spans="12:15">
      <c r="L3576" s="2"/>
      <c r="N3576" s="2"/>
      <c r="O3576" s="2"/>
    </row>
    <row r="3577" spans="12:15">
      <c r="L3577" s="2"/>
      <c r="N3577" s="2"/>
      <c r="O3577" s="2"/>
    </row>
    <row r="3578" spans="12:15">
      <c r="L3578" s="2"/>
      <c r="N3578" s="2"/>
      <c r="O3578" s="2"/>
    </row>
    <row r="3579" spans="12:15">
      <c r="L3579" s="2"/>
      <c r="N3579" s="2"/>
      <c r="O3579" s="2"/>
    </row>
    <row r="3580" spans="12:15">
      <c r="L3580" s="2"/>
      <c r="N3580" s="2"/>
      <c r="O3580" s="2"/>
    </row>
    <row r="3581" spans="12:15">
      <c r="L3581" s="2"/>
      <c r="N3581" s="2"/>
      <c r="O3581" s="2"/>
    </row>
    <row r="3582" spans="12:15">
      <c r="L3582" s="2"/>
      <c r="N3582" s="2"/>
      <c r="O3582" s="2"/>
    </row>
    <row r="3583" spans="12:15">
      <c r="L3583" s="2"/>
      <c r="N3583" s="2"/>
      <c r="O3583" s="2"/>
    </row>
    <row r="3584" spans="12:15">
      <c r="L3584" s="2"/>
      <c r="N3584" s="2"/>
      <c r="O3584" s="2"/>
    </row>
    <row r="3585" spans="12:15">
      <c r="L3585" s="2"/>
      <c r="N3585" s="2"/>
      <c r="O3585" s="2"/>
    </row>
    <row r="3586" spans="12:15">
      <c r="L3586" s="2"/>
      <c r="N3586" s="2"/>
      <c r="O3586" s="2"/>
    </row>
    <row r="3587" spans="12:15">
      <c r="L3587" s="2"/>
      <c r="N3587" s="2"/>
      <c r="O3587" s="2"/>
    </row>
    <row r="3588" spans="12:15">
      <c r="L3588" s="2"/>
      <c r="N3588" s="2"/>
      <c r="O3588" s="2"/>
    </row>
    <row r="3589" spans="12:15">
      <c r="L3589" s="2"/>
      <c r="N3589" s="2"/>
      <c r="O3589" s="2"/>
    </row>
    <row r="3590" spans="12:15">
      <c r="L3590" s="2"/>
      <c r="N3590" s="2"/>
      <c r="O3590" s="2"/>
    </row>
    <row r="3591" spans="12:15">
      <c r="L3591" s="2"/>
      <c r="N3591" s="2"/>
      <c r="O3591" s="2"/>
    </row>
    <row r="3592" spans="12:15">
      <c r="L3592" s="2"/>
      <c r="N3592" s="2"/>
      <c r="O3592" s="2"/>
    </row>
    <row r="3593" spans="12:15">
      <c r="L3593" s="2"/>
      <c r="N3593" s="2"/>
      <c r="O3593" s="2"/>
    </row>
    <row r="3594" spans="12:15">
      <c r="L3594" s="2"/>
      <c r="N3594" s="2"/>
      <c r="O3594" s="2"/>
    </row>
    <row r="3595" spans="12:15">
      <c r="L3595" s="2"/>
      <c r="N3595" s="2"/>
      <c r="O3595" s="2"/>
    </row>
    <row r="3596" spans="12:15">
      <c r="L3596" s="2"/>
      <c r="N3596" s="2"/>
      <c r="O3596" s="2"/>
    </row>
    <row r="3597" spans="12:15">
      <c r="L3597" s="2"/>
      <c r="N3597" s="2"/>
      <c r="O3597" s="2"/>
    </row>
    <row r="3598" spans="12:15">
      <c r="L3598" s="2"/>
      <c r="N3598" s="2"/>
      <c r="O3598" s="2"/>
    </row>
    <row r="3599" spans="12:15">
      <c r="L3599" s="2"/>
      <c r="N3599" s="2"/>
      <c r="O3599" s="2"/>
    </row>
    <row r="3600" spans="12:15">
      <c r="L3600" s="2"/>
      <c r="N3600" s="2"/>
      <c r="O3600" s="2"/>
    </row>
    <row r="3601" spans="12:15">
      <c r="L3601" s="2"/>
      <c r="N3601" s="2"/>
      <c r="O3601" s="2"/>
    </row>
    <row r="3602" spans="12:15">
      <c r="L3602" s="2"/>
      <c r="N3602" s="2"/>
      <c r="O3602" s="2"/>
    </row>
    <row r="3603" spans="12:15">
      <c r="L3603" s="2"/>
      <c r="N3603" s="2"/>
      <c r="O3603" s="2"/>
    </row>
    <row r="3604" spans="12:15">
      <c r="L3604" s="2"/>
      <c r="N3604" s="2"/>
      <c r="O3604" s="2"/>
    </row>
    <row r="3605" spans="12:15">
      <c r="L3605" s="2"/>
      <c r="N3605" s="2"/>
      <c r="O3605" s="2"/>
    </row>
    <row r="3606" spans="12:15">
      <c r="L3606" s="2"/>
      <c r="N3606" s="2"/>
      <c r="O3606" s="2"/>
    </row>
    <row r="3607" spans="12:15">
      <c r="L3607" s="2"/>
      <c r="N3607" s="2"/>
      <c r="O3607" s="2"/>
    </row>
    <row r="3608" spans="12:15">
      <c r="L3608" s="2"/>
      <c r="N3608" s="2"/>
      <c r="O3608" s="2"/>
    </row>
    <row r="3609" spans="12:15">
      <c r="L3609" s="2"/>
      <c r="N3609" s="2"/>
      <c r="O3609" s="2"/>
    </row>
    <row r="3610" spans="12:15">
      <c r="L3610" s="2"/>
      <c r="N3610" s="2"/>
      <c r="O3610" s="2"/>
    </row>
    <row r="3611" spans="12:15">
      <c r="L3611" s="2"/>
      <c r="N3611" s="2"/>
      <c r="O3611" s="2"/>
    </row>
    <row r="3612" spans="12:15">
      <c r="L3612" s="2"/>
      <c r="N3612" s="2"/>
      <c r="O3612" s="2"/>
    </row>
    <row r="3613" spans="12:15">
      <c r="L3613" s="2"/>
      <c r="N3613" s="2"/>
      <c r="O3613" s="2"/>
    </row>
    <row r="3614" spans="12:15">
      <c r="L3614" s="2"/>
      <c r="N3614" s="2"/>
      <c r="O3614" s="2"/>
    </row>
    <row r="3615" spans="12:15">
      <c r="L3615" s="2"/>
      <c r="N3615" s="2"/>
      <c r="O3615" s="2"/>
    </row>
    <row r="3616" spans="12:15">
      <c r="L3616" s="2"/>
      <c r="N3616" s="2"/>
      <c r="O3616" s="2"/>
    </row>
    <row r="3617" spans="12:15">
      <c r="L3617" s="2"/>
      <c r="N3617" s="2"/>
      <c r="O3617" s="2"/>
    </row>
    <row r="3618" spans="12:15">
      <c r="L3618" s="2"/>
      <c r="N3618" s="2"/>
      <c r="O3618" s="2"/>
    </row>
    <row r="3619" spans="12:15">
      <c r="L3619" s="2"/>
      <c r="N3619" s="2"/>
      <c r="O3619" s="2"/>
    </row>
    <row r="3620" spans="12:15">
      <c r="L3620" s="2"/>
      <c r="N3620" s="2"/>
      <c r="O3620" s="2"/>
    </row>
    <row r="3621" spans="12:15">
      <c r="L3621" s="2"/>
      <c r="N3621" s="2"/>
      <c r="O3621" s="2"/>
    </row>
    <row r="3622" spans="12:15">
      <c r="L3622" s="2"/>
      <c r="N3622" s="2"/>
      <c r="O3622" s="2"/>
    </row>
    <row r="3623" spans="12:15">
      <c r="L3623" s="2"/>
      <c r="N3623" s="2"/>
      <c r="O3623" s="2"/>
    </row>
    <row r="3624" spans="12:15">
      <c r="L3624" s="2"/>
      <c r="N3624" s="2"/>
      <c r="O3624" s="2"/>
    </row>
    <row r="3625" spans="12:15">
      <c r="L3625" s="2"/>
      <c r="N3625" s="2"/>
      <c r="O3625" s="2"/>
    </row>
    <row r="3626" spans="12:15">
      <c r="L3626" s="2"/>
      <c r="N3626" s="2"/>
      <c r="O3626" s="2"/>
    </row>
    <row r="3627" spans="12:15">
      <c r="L3627" s="2"/>
      <c r="N3627" s="2"/>
      <c r="O3627" s="2"/>
    </row>
    <row r="3628" spans="12:15">
      <c r="L3628" s="2"/>
      <c r="N3628" s="2"/>
      <c r="O3628" s="2"/>
    </row>
    <row r="3629" spans="12:15">
      <c r="L3629" s="2"/>
      <c r="N3629" s="2"/>
      <c r="O3629" s="2"/>
    </row>
    <row r="3630" spans="12:15">
      <c r="L3630" s="2"/>
      <c r="N3630" s="2"/>
      <c r="O3630" s="2"/>
    </row>
    <row r="3631" spans="12:15">
      <c r="L3631" s="2"/>
      <c r="N3631" s="2"/>
      <c r="O3631" s="2"/>
    </row>
    <row r="3632" spans="12:15">
      <c r="L3632" s="2"/>
      <c r="N3632" s="2"/>
      <c r="O3632" s="2"/>
    </row>
    <row r="3633" spans="12:15">
      <c r="L3633" s="2"/>
      <c r="N3633" s="2"/>
      <c r="O3633" s="2"/>
    </row>
    <row r="3634" spans="12:15">
      <c r="L3634" s="2"/>
      <c r="N3634" s="2"/>
      <c r="O3634" s="2"/>
    </row>
    <row r="3635" spans="12:15">
      <c r="L3635" s="2"/>
      <c r="N3635" s="2"/>
      <c r="O3635" s="2"/>
    </row>
    <row r="3636" spans="12:15">
      <c r="L3636" s="2"/>
      <c r="N3636" s="2"/>
      <c r="O3636" s="2"/>
    </row>
    <row r="3637" spans="12:15">
      <c r="L3637" s="2"/>
      <c r="N3637" s="2"/>
      <c r="O3637" s="2"/>
    </row>
    <row r="3638" spans="12:15">
      <c r="L3638" s="2"/>
      <c r="N3638" s="2"/>
      <c r="O3638" s="2"/>
    </row>
    <row r="3639" spans="12:15">
      <c r="L3639" s="2"/>
      <c r="N3639" s="2"/>
      <c r="O3639" s="2"/>
    </row>
    <row r="3640" spans="12:15">
      <c r="L3640" s="2"/>
      <c r="N3640" s="2"/>
      <c r="O3640" s="2"/>
    </row>
    <row r="3641" spans="12:15">
      <c r="L3641" s="2"/>
      <c r="N3641" s="2"/>
      <c r="O3641" s="2"/>
    </row>
    <row r="3642" spans="12:15">
      <c r="L3642" s="2"/>
      <c r="N3642" s="2"/>
      <c r="O3642" s="2"/>
    </row>
    <row r="3643" spans="12:15">
      <c r="L3643" s="2"/>
      <c r="N3643" s="2"/>
      <c r="O3643" s="2"/>
    </row>
    <row r="3644" spans="12:15">
      <c r="L3644" s="2"/>
      <c r="N3644" s="2"/>
      <c r="O3644" s="2"/>
    </row>
    <row r="3645" spans="12:15">
      <c r="L3645" s="2"/>
      <c r="N3645" s="2"/>
      <c r="O3645" s="2"/>
    </row>
    <row r="3646" spans="12:15">
      <c r="L3646" s="2"/>
      <c r="N3646" s="2"/>
      <c r="O3646" s="2"/>
    </row>
    <row r="3647" spans="12:15">
      <c r="L3647" s="2"/>
      <c r="N3647" s="2"/>
      <c r="O3647" s="2"/>
    </row>
    <row r="3648" spans="12:15">
      <c r="L3648" s="2"/>
      <c r="N3648" s="2"/>
      <c r="O3648" s="2"/>
    </row>
    <row r="3649" spans="12:15">
      <c r="L3649" s="2"/>
      <c r="N3649" s="2"/>
      <c r="O3649" s="2"/>
    </row>
    <row r="3650" spans="12:15">
      <c r="L3650" s="2"/>
      <c r="N3650" s="2"/>
      <c r="O3650" s="2"/>
    </row>
    <row r="3651" spans="12:15">
      <c r="L3651" s="2"/>
      <c r="N3651" s="2"/>
      <c r="O3651" s="2"/>
    </row>
    <row r="3652" spans="12:15">
      <c r="L3652" s="2"/>
      <c r="N3652" s="2"/>
      <c r="O3652" s="2"/>
    </row>
    <row r="3653" spans="12:15">
      <c r="L3653" s="2"/>
      <c r="N3653" s="2"/>
      <c r="O3653" s="2"/>
    </row>
    <row r="3654" spans="12:15">
      <c r="L3654" s="2"/>
      <c r="N3654" s="2"/>
      <c r="O3654" s="2"/>
    </row>
    <row r="3655" spans="12:15">
      <c r="L3655" s="2"/>
      <c r="N3655" s="2"/>
      <c r="O3655" s="2"/>
    </row>
    <row r="3656" spans="12:15">
      <c r="L3656" s="2"/>
      <c r="N3656" s="2"/>
      <c r="O3656" s="2"/>
    </row>
    <row r="3657" spans="12:15">
      <c r="L3657" s="2"/>
      <c r="N3657" s="2"/>
      <c r="O3657" s="2"/>
    </row>
    <row r="3658" spans="12:15">
      <c r="L3658" s="2"/>
      <c r="N3658" s="2"/>
      <c r="O3658" s="2"/>
    </row>
    <row r="3659" spans="12:15">
      <c r="L3659" s="2"/>
      <c r="N3659" s="2"/>
      <c r="O3659" s="2"/>
    </row>
    <row r="3660" spans="12:15">
      <c r="L3660" s="2"/>
      <c r="N3660" s="2"/>
      <c r="O3660" s="2"/>
    </row>
    <row r="3661" spans="12:15">
      <c r="L3661" s="2"/>
      <c r="N3661" s="2"/>
      <c r="O3661" s="2"/>
    </row>
    <row r="3662" spans="12:15">
      <c r="L3662" s="2"/>
      <c r="N3662" s="2"/>
      <c r="O3662" s="2"/>
    </row>
    <row r="3663" spans="12:15">
      <c r="L3663" s="2"/>
      <c r="N3663" s="2"/>
      <c r="O3663" s="2"/>
    </row>
    <row r="3664" spans="12:15">
      <c r="L3664" s="2"/>
      <c r="N3664" s="2"/>
      <c r="O3664" s="2"/>
    </row>
    <row r="3665" spans="12:15">
      <c r="L3665" s="2"/>
      <c r="N3665" s="2"/>
      <c r="O3665" s="2"/>
    </row>
    <row r="3666" spans="12:15">
      <c r="L3666" s="2"/>
      <c r="N3666" s="2"/>
      <c r="O3666" s="2"/>
    </row>
    <row r="3667" spans="12:15">
      <c r="L3667" s="2"/>
      <c r="N3667" s="2"/>
      <c r="O3667" s="2"/>
    </row>
    <row r="3668" spans="12:15">
      <c r="L3668" s="2"/>
      <c r="N3668" s="2"/>
      <c r="O3668" s="2"/>
    </row>
    <row r="3669" spans="12:15">
      <c r="L3669" s="2"/>
      <c r="N3669" s="2"/>
      <c r="O3669" s="2"/>
    </row>
    <row r="3670" spans="12:15">
      <c r="L3670" s="2"/>
      <c r="N3670" s="2"/>
      <c r="O3670" s="2"/>
    </row>
    <row r="3671" spans="12:15">
      <c r="L3671" s="2"/>
      <c r="N3671" s="2"/>
      <c r="O3671" s="2"/>
    </row>
    <row r="3672" spans="12:15">
      <c r="L3672" s="2"/>
      <c r="N3672" s="2"/>
      <c r="O3672" s="2"/>
    </row>
    <row r="3673" spans="12:15">
      <c r="L3673" s="2"/>
      <c r="N3673" s="2"/>
      <c r="O3673" s="2"/>
    </row>
    <row r="3674" spans="12:15">
      <c r="L3674" s="2"/>
      <c r="N3674" s="2"/>
      <c r="O3674" s="2"/>
    </row>
    <row r="3675" spans="12:15">
      <c r="L3675" s="2"/>
      <c r="N3675" s="2"/>
      <c r="O3675" s="2"/>
    </row>
    <row r="3676" spans="12:15">
      <c r="L3676" s="2"/>
      <c r="N3676" s="2"/>
      <c r="O3676" s="2"/>
    </row>
    <row r="3677" spans="12:15">
      <c r="L3677" s="2"/>
      <c r="N3677" s="2"/>
      <c r="O3677" s="2"/>
    </row>
    <row r="3678" spans="12:15">
      <c r="L3678" s="2"/>
      <c r="N3678" s="2"/>
      <c r="O3678" s="2"/>
    </row>
    <row r="3679" spans="12:15">
      <c r="L3679" s="2"/>
      <c r="N3679" s="2"/>
      <c r="O3679" s="2"/>
    </row>
    <row r="3680" spans="12:15">
      <c r="L3680" s="2"/>
      <c r="N3680" s="2"/>
      <c r="O3680" s="2"/>
    </row>
    <row r="3681" spans="12:15">
      <c r="L3681" s="2"/>
      <c r="N3681" s="2"/>
      <c r="O3681" s="2"/>
    </row>
    <row r="3682" spans="12:15">
      <c r="L3682" s="2"/>
      <c r="N3682" s="2"/>
      <c r="O3682" s="2"/>
    </row>
    <row r="3683" spans="12:15">
      <c r="L3683" s="2"/>
      <c r="N3683" s="2"/>
      <c r="O3683" s="2"/>
    </row>
    <row r="3684" spans="12:15">
      <c r="L3684" s="2"/>
      <c r="N3684" s="2"/>
      <c r="O3684" s="2"/>
    </row>
    <row r="3685" spans="12:15">
      <c r="L3685" s="2"/>
      <c r="N3685" s="2"/>
      <c r="O3685" s="2"/>
    </row>
    <row r="3686" spans="12:15">
      <c r="L3686" s="2"/>
      <c r="N3686" s="2"/>
      <c r="O3686" s="2"/>
    </row>
    <row r="3687" spans="12:15">
      <c r="L3687" s="2"/>
      <c r="N3687" s="2"/>
      <c r="O3687" s="2"/>
    </row>
    <row r="3688" spans="12:15">
      <c r="L3688" s="2"/>
      <c r="N3688" s="2"/>
      <c r="O3688" s="2"/>
    </row>
    <row r="3689" spans="12:15">
      <c r="L3689" s="2"/>
      <c r="N3689" s="2"/>
      <c r="O3689" s="2"/>
    </row>
    <row r="3690" spans="12:15">
      <c r="L3690" s="2"/>
      <c r="N3690" s="2"/>
      <c r="O3690" s="2"/>
    </row>
    <row r="3691" spans="12:15">
      <c r="L3691" s="2"/>
      <c r="N3691" s="2"/>
      <c r="O3691" s="2"/>
    </row>
    <row r="3692" spans="12:15">
      <c r="L3692" s="2"/>
      <c r="N3692" s="2"/>
      <c r="O3692" s="2"/>
    </row>
    <row r="3693" spans="12:15">
      <c r="L3693" s="2"/>
      <c r="N3693" s="2"/>
      <c r="O3693" s="2"/>
    </row>
    <row r="3694" spans="12:15">
      <c r="L3694" s="2"/>
      <c r="N3694" s="2"/>
      <c r="O3694" s="2"/>
    </row>
    <row r="3695" spans="12:15">
      <c r="L3695" s="2"/>
      <c r="N3695" s="2"/>
      <c r="O3695" s="2"/>
    </row>
    <row r="3696" spans="12:15">
      <c r="L3696" s="2"/>
      <c r="N3696" s="2"/>
      <c r="O3696" s="2"/>
    </row>
    <row r="3697" spans="12:15">
      <c r="L3697" s="2"/>
      <c r="N3697" s="2"/>
      <c r="O3697" s="2"/>
    </row>
    <row r="3698" spans="12:15">
      <c r="L3698" s="2"/>
      <c r="N3698" s="2"/>
      <c r="O3698" s="2"/>
    </row>
    <row r="3699" spans="12:15">
      <c r="L3699" s="2"/>
      <c r="N3699" s="2"/>
      <c r="O3699" s="2"/>
    </row>
    <row r="3700" spans="12:15">
      <c r="L3700" s="2"/>
      <c r="N3700" s="2"/>
      <c r="O3700" s="2"/>
    </row>
    <row r="3701" spans="12:15">
      <c r="L3701" s="2"/>
      <c r="N3701" s="2"/>
      <c r="O3701" s="2"/>
    </row>
    <row r="3702" spans="12:15">
      <c r="L3702" s="2"/>
      <c r="N3702" s="2"/>
      <c r="O3702" s="2"/>
    </row>
    <row r="3703" spans="12:15">
      <c r="L3703" s="2"/>
      <c r="N3703" s="2"/>
      <c r="O3703" s="2"/>
    </row>
    <row r="3704" spans="12:15">
      <c r="L3704" s="2"/>
      <c r="N3704" s="2"/>
      <c r="O3704" s="2"/>
    </row>
    <row r="3705" spans="12:15">
      <c r="L3705" s="2"/>
      <c r="N3705" s="2"/>
      <c r="O3705" s="2"/>
    </row>
    <row r="3706" spans="12:15">
      <c r="L3706" s="2"/>
      <c r="N3706" s="2"/>
      <c r="O3706" s="2"/>
    </row>
    <row r="3707" spans="12:15">
      <c r="L3707" s="2"/>
      <c r="N3707" s="2"/>
      <c r="O3707" s="2"/>
    </row>
    <row r="3708" spans="12:15">
      <c r="L3708" s="2"/>
      <c r="N3708" s="2"/>
      <c r="O3708" s="2"/>
    </row>
    <row r="3709" spans="12:15">
      <c r="L3709" s="2"/>
      <c r="N3709" s="2"/>
      <c r="O3709" s="2"/>
    </row>
    <row r="3710" spans="12:15">
      <c r="L3710" s="2"/>
      <c r="N3710" s="2"/>
      <c r="O3710" s="2"/>
    </row>
    <row r="3711" spans="12:15">
      <c r="L3711" s="2"/>
      <c r="N3711" s="2"/>
      <c r="O3711" s="2"/>
    </row>
    <row r="3712" spans="12:15">
      <c r="L3712" s="2"/>
      <c r="N3712" s="2"/>
      <c r="O3712" s="2"/>
    </row>
    <row r="3713" spans="12:15">
      <c r="L3713" s="2"/>
      <c r="N3713" s="2"/>
      <c r="O3713" s="2"/>
    </row>
    <row r="3714" spans="12:15">
      <c r="L3714" s="2"/>
      <c r="N3714" s="2"/>
      <c r="O3714" s="2"/>
    </row>
    <row r="3715" spans="12:15">
      <c r="L3715" s="2"/>
      <c r="N3715" s="2"/>
      <c r="O3715" s="2"/>
    </row>
    <row r="3716" spans="12:15">
      <c r="L3716" s="2"/>
      <c r="N3716" s="2"/>
      <c r="O3716" s="2"/>
    </row>
    <row r="3717" spans="12:15">
      <c r="L3717" s="2"/>
      <c r="N3717" s="2"/>
      <c r="O3717" s="2"/>
    </row>
    <row r="3718" spans="12:15">
      <c r="L3718" s="2"/>
      <c r="N3718" s="2"/>
      <c r="O3718" s="2"/>
    </row>
    <row r="3719" spans="12:15">
      <c r="L3719" s="2"/>
      <c r="N3719" s="2"/>
      <c r="O3719" s="2"/>
    </row>
    <row r="3720" spans="12:15">
      <c r="L3720" s="2"/>
      <c r="N3720" s="2"/>
      <c r="O3720" s="2"/>
    </row>
    <row r="3721" spans="12:15">
      <c r="L3721" s="2"/>
      <c r="N3721" s="2"/>
      <c r="O3721" s="2"/>
    </row>
    <row r="3722" spans="12:15">
      <c r="L3722" s="2"/>
      <c r="N3722" s="2"/>
      <c r="O3722" s="2"/>
    </row>
    <row r="3723" spans="12:15">
      <c r="L3723" s="2"/>
      <c r="N3723" s="2"/>
      <c r="O3723" s="2"/>
    </row>
    <row r="3724" spans="12:15">
      <c r="L3724" s="2"/>
      <c r="N3724" s="2"/>
      <c r="O3724" s="2"/>
    </row>
    <row r="3725" spans="12:15">
      <c r="L3725" s="2"/>
      <c r="N3725" s="2"/>
      <c r="O3725" s="2"/>
    </row>
    <row r="3726" spans="12:15">
      <c r="L3726" s="2"/>
      <c r="N3726" s="2"/>
      <c r="O3726" s="2"/>
    </row>
    <row r="3727" spans="12:15">
      <c r="L3727" s="2"/>
      <c r="N3727" s="2"/>
      <c r="O3727" s="2"/>
    </row>
    <row r="3728" spans="12:15">
      <c r="L3728" s="2"/>
      <c r="N3728" s="2"/>
      <c r="O3728" s="2"/>
    </row>
    <row r="3729" spans="12:15">
      <c r="L3729" s="2"/>
      <c r="N3729" s="2"/>
      <c r="O3729" s="2"/>
    </row>
    <row r="3730" spans="12:15">
      <c r="L3730" s="2"/>
      <c r="N3730" s="2"/>
      <c r="O3730" s="2"/>
    </row>
    <row r="3731" spans="12:15">
      <c r="L3731" s="2"/>
      <c r="N3731" s="2"/>
      <c r="O3731" s="2"/>
    </row>
    <row r="3732" spans="12:15">
      <c r="L3732" s="2"/>
      <c r="N3732" s="2"/>
      <c r="O3732" s="2"/>
    </row>
    <row r="3733" spans="12:15">
      <c r="L3733" s="2"/>
      <c r="N3733" s="2"/>
      <c r="O3733" s="2"/>
    </row>
    <row r="3734" spans="12:15">
      <c r="L3734" s="2"/>
      <c r="N3734" s="2"/>
      <c r="O3734" s="2"/>
    </row>
    <row r="3735" spans="12:15">
      <c r="L3735" s="2"/>
      <c r="N3735" s="2"/>
      <c r="O3735" s="2"/>
    </row>
    <row r="3736" spans="12:15">
      <c r="L3736" s="2"/>
      <c r="N3736" s="2"/>
      <c r="O3736" s="2"/>
    </row>
    <row r="3737" spans="12:15">
      <c r="L3737" s="2"/>
      <c r="N3737" s="2"/>
      <c r="O3737" s="2"/>
    </row>
    <row r="3738" spans="12:15">
      <c r="L3738" s="2"/>
      <c r="N3738" s="2"/>
      <c r="O3738" s="2"/>
    </row>
    <row r="3739" spans="12:15">
      <c r="L3739" s="2"/>
      <c r="N3739" s="2"/>
      <c r="O3739" s="2"/>
    </row>
    <row r="3740" spans="12:15">
      <c r="L3740" s="2"/>
      <c r="N3740" s="2"/>
      <c r="O3740" s="2"/>
    </row>
    <row r="3741" spans="12:15">
      <c r="L3741" s="2"/>
      <c r="N3741" s="2"/>
      <c r="O3741" s="2"/>
    </row>
    <row r="3742" spans="12:15">
      <c r="L3742" s="2"/>
      <c r="N3742" s="2"/>
      <c r="O3742" s="2"/>
    </row>
    <row r="3743" spans="12:15">
      <c r="L3743" s="2"/>
      <c r="N3743" s="2"/>
      <c r="O3743" s="2"/>
    </row>
    <row r="3744" spans="12:15">
      <c r="L3744" s="2"/>
      <c r="N3744" s="2"/>
      <c r="O3744" s="2"/>
    </row>
    <row r="3745" spans="12:15">
      <c r="L3745" s="2"/>
      <c r="N3745" s="2"/>
      <c r="O3745" s="2"/>
    </row>
    <row r="3746" spans="12:15">
      <c r="L3746" s="2"/>
      <c r="N3746" s="2"/>
      <c r="O3746" s="2"/>
    </row>
    <row r="3747" spans="12:15">
      <c r="L3747" s="2"/>
      <c r="N3747" s="2"/>
      <c r="O3747" s="2"/>
    </row>
    <row r="3748" spans="12:15">
      <c r="L3748" s="2"/>
      <c r="N3748" s="2"/>
      <c r="O3748" s="2"/>
    </row>
    <row r="3749" spans="12:15">
      <c r="L3749" s="2"/>
      <c r="N3749" s="2"/>
      <c r="O3749" s="2"/>
    </row>
    <row r="3750" spans="12:15">
      <c r="L3750" s="2"/>
      <c r="N3750" s="2"/>
      <c r="O3750" s="2"/>
    </row>
    <row r="3751" spans="12:15">
      <c r="L3751" s="2"/>
      <c r="N3751" s="2"/>
      <c r="O3751" s="2"/>
    </row>
    <row r="3752" spans="12:15">
      <c r="L3752" s="2"/>
      <c r="N3752" s="2"/>
      <c r="O3752" s="2"/>
    </row>
    <row r="3753" spans="12:15">
      <c r="L3753" s="2"/>
      <c r="N3753" s="2"/>
      <c r="O3753" s="2"/>
    </row>
    <row r="3754" spans="12:15">
      <c r="L3754" s="2"/>
      <c r="N3754" s="2"/>
      <c r="O3754" s="2"/>
    </row>
    <row r="3755" spans="12:15">
      <c r="L3755" s="2"/>
      <c r="N3755" s="2"/>
      <c r="O3755" s="2"/>
    </row>
    <row r="3756" spans="12:15">
      <c r="L3756" s="2"/>
      <c r="N3756" s="2"/>
      <c r="O3756" s="2"/>
    </row>
    <row r="3757" spans="12:15">
      <c r="L3757" s="2"/>
      <c r="N3757" s="2"/>
      <c r="O3757" s="2"/>
    </row>
    <row r="3758" spans="12:15">
      <c r="L3758" s="2"/>
      <c r="N3758" s="2"/>
      <c r="O3758" s="2"/>
    </row>
    <row r="3759" spans="12:15">
      <c r="L3759" s="2"/>
      <c r="N3759" s="2"/>
      <c r="O3759" s="2"/>
    </row>
    <row r="3760" spans="12:15">
      <c r="L3760" s="2"/>
      <c r="N3760" s="2"/>
      <c r="O3760" s="2"/>
    </row>
    <row r="3761" spans="12:15">
      <c r="L3761" s="2"/>
      <c r="N3761" s="2"/>
      <c r="O3761" s="2"/>
    </row>
    <row r="3762" spans="12:15">
      <c r="L3762" s="2"/>
      <c r="N3762" s="2"/>
      <c r="O3762" s="2"/>
    </row>
    <row r="3763" spans="12:15">
      <c r="L3763" s="2"/>
      <c r="N3763" s="2"/>
      <c r="O3763" s="2"/>
    </row>
    <row r="3764" spans="12:15">
      <c r="L3764" s="2"/>
      <c r="N3764" s="2"/>
      <c r="O3764" s="2"/>
    </row>
    <row r="3765" spans="12:15">
      <c r="L3765" s="2"/>
      <c r="N3765" s="2"/>
      <c r="O3765" s="2"/>
    </row>
    <row r="3766" spans="12:15">
      <c r="L3766" s="2"/>
      <c r="N3766" s="2"/>
      <c r="O3766" s="2"/>
    </row>
    <row r="3767" spans="12:15">
      <c r="L3767" s="2"/>
      <c r="N3767" s="2"/>
      <c r="O3767" s="2"/>
    </row>
    <row r="3768" spans="12:15">
      <c r="L3768" s="2"/>
      <c r="N3768" s="2"/>
      <c r="O3768" s="2"/>
    </row>
    <row r="3769" spans="12:15">
      <c r="L3769" s="2"/>
      <c r="N3769" s="2"/>
      <c r="O3769" s="2"/>
    </row>
    <row r="3770" spans="12:15">
      <c r="L3770" s="2"/>
      <c r="N3770" s="2"/>
      <c r="O3770" s="2"/>
    </row>
    <row r="3771" spans="12:15">
      <c r="L3771" s="2"/>
      <c r="N3771" s="2"/>
      <c r="O3771" s="2"/>
    </row>
    <row r="3772" spans="12:15">
      <c r="L3772" s="2"/>
      <c r="N3772" s="2"/>
      <c r="O3772" s="2"/>
    </row>
    <row r="3773" spans="12:15">
      <c r="L3773" s="2"/>
      <c r="N3773" s="2"/>
      <c r="O3773" s="2"/>
    </row>
    <row r="3774" spans="12:15">
      <c r="L3774" s="2"/>
      <c r="N3774" s="2"/>
      <c r="O3774" s="2"/>
    </row>
    <row r="3775" spans="12:15">
      <c r="L3775" s="2"/>
      <c r="N3775" s="2"/>
      <c r="O3775" s="2"/>
    </row>
    <row r="3776" spans="12:15">
      <c r="L3776" s="2"/>
      <c r="N3776" s="2"/>
      <c r="O3776" s="2"/>
    </row>
    <row r="3777" spans="12:15">
      <c r="L3777" s="2"/>
      <c r="N3777" s="2"/>
      <c r="O3777" s="2"/>
    </row>
    <row r="3778" spans="12:15">
      <c r="L3778" s="2"/>
      <c r="N3778" s="2"/>
      <c r="O3778" s="2"/>
    </row>
    <row r="3779" spans="12:15">
      <c r="L3779" s="2"/>
      <c r="N3779" s="2"/>
      <c r="O3779" s="2"/>
    </row>
    <row r="3780" spans="12:15">
      <c r="L3780" s="2"/>
      <c r="N3780" s="2"/>
      <c r="O3780" s="2"/>
    </row>
    <row r="3781" spans="12:15">
      <c r="L3781" s="2"/>
      <c r="N3781" s="2"/>
      <c r="O3781" s="2"/>
    </row>
    <row r="3782" spans="12:15">
      <c r="L3782" s="2"/>
      <c r="N3782" s="2"/>
      <c r="O3782" s="2"/>
    </row>
    <row r="3783" spans="12:15">
      <c r="L3783" s="2"/>
      <c r="N3783" s="2"/>
      <c r="O3783" s="2"/>
    </row>
    <row r="3784" spans="12:15">
      <c r="L3784" s="2"/>
      <c r="N3784" s="2"/>
      <c r="O3784" s="2"/>
    </row>
    <row r="3785" spans="12:15">
      <c r="L3785" s="2"/>
      <c r="N3785" s="2"/>
      <c r="O3785" s="2"/>
    </row>
    <row r="3786" spans="12:15">
      <c r="L3786" s="2"/>
      <c r="N3786" s="2"/>
      <c r="O3786" s="2"/>
    </row>
    <row r="3787" spans="12:15">
      <c r="L3787" s="2"/>
      <c r="N3787" s="2"/>
      <c r="O3787" s="2"/>
    </row>
    <row r="3788" spans="12:15">
      <c r="L3788" s="2"/>
      <c r="N3788" s="2"/>
      <c r="O3788" s="2"/>
    </row>
    <row r="3789" spans="12:15">
      <c r="L3789" s="2"/>
      <c r="N3789" s="2"/>
      <c r="O3789" s="2"/>
    </row>
    <row r="3790" spans="12:15">
      <c r="L3790" s="2"/>
      <c r="N3790" s="2"/>
      <c r="O3790" s="2"/>
    </row>
    <row r="3791" spans="12:15">
      <c r="L3791" s="2"/>
      <c r="N3791" s="2"/>
      <c r="O3791" s="2"/>
    </row>
    <row r="3792" spans="12:15">
      <c r="L3792" s="2"/>
      <c r="N3792" s="2"/>
      <c r="O3792" s="2"/>
    </row>
    <row r="3793" spans="12:15">
      <c r="L3793" s="2"/>
      <c r="N3793" s="2"/>
      <c r="O3793" s="2"/>
    </row>
    <row r="3794" spans="12:15">
      <c r="L3794" s="2"/>
      <c r="N3794" s="2"/>
      <c r="O3794" s="2"/>
    </row>
    <row r="3795" spans="12:15">
      <c r="L3795" s="2"/>
      <c r="N3795" s="2"/>
      <c r="O3795" s="2"/>
    </row>
    <row r="3796" spans="12:15">
      <c r="L3796" s="2"/>
      <c r="N3796" s="2"/>
      <c r="O3796" s="2"/>
    </row>
    <row r="3797" spans="12:15">
      <c r="L3797" s="2"/>
      <c r="N3797" s="2"/>
      <c r="O3797" s="2"/>
    </row>
    <row r="3798" spans="12:15">
      <c r="L3798" s="2"/>
      <c r="N3798" s="2"/>
      <c r="O3798" s="2"/>
    </row>
    <row r="3799" spans="12:15">
      <c r="L3799" s="2"/>
      <c r="N3799" s="2"/>
      <c r="O3799" s="2"/>
    </row>
    <row r="3800" spans="12:15">
      <c r="L3800" s="2"/>
      <c r="N3800" s="2"/>
      <c r="O3800" s="2"/>
    </row>
    <row r="3801" spans="12:15">
      <c r="L3801" s="2"/>
      <c r="N3801" s="2"/>
      <c r="O3801" s="2"/>
    </row>
    <row r="3802" spans="12:15">
      <c r="L3802" s="2"/>
      <c r="N3802" s="2"/>
      <c r="O3802" s="2"/>
    </row>
    <row r="3803" spans="12:15">
      <c r="L3803" s="2"/>
      <c r="N3803" s="2"/>
      <c r="O3803" s="2"/>
    </row>
    <row r="3804" spans="12:15">
      <c r="L3804" s="2"/>
      <c r="N3804" s="2"/>
      <c r="O3804" s="2"/>
    </row>
    <row r="3805" spans="12:15">
      <c r="L3805" s="2"/>
      <c r="N3805" s="2"/>
      <c r="O3805" s="2"/>
    </row>
    <row r="3806" spans="12:15">
      <c r="L3806" s="2"/>
      <c r="N3806" s="2"/>
      <c r="O3806" s="2"/>
    </row>
    <row r="3807" spans="12:15">
      <c r="L3807" s="2"/>
      <c r="N3807" s="2"/>
      <c r="O3807" s="2"/>
    </row>
    <row r="3808" spans="12:15">
      <c r="L3808" s="2"/>
      <c r="N3808" s="2"/>
      <c r="O3808" s="2"/>
    </row>
    <row r="3809" spans="12:15">
      <c r="L3809" s="2"/>
      <c r="N3809" s="2"/>
      <c r="O3809" s="2"/>
    </row>
    <row r="3810" spans="12:15">
      <c r="L3810" s="2"/>
      <c r="N3810" s="2"/>
      <c r="O3810" s="2"/>
    </row>
    <row r="3811" spans="12:15">
      <c r="L3811" s="2"/>
      <c r="N3811" s="2"/>
      <c r="O3811" s="2"/>
    </row>
    <row r="3812" spans="12:15">
      <c r="L3812" s="2"/>
      <c r="N3812" s="2"/>
      <c r="O3812" s="2"/>
    </row>
    <row r="3813" spans="12:15">
      <c r="L3813" s="2"/>
      <c r="N3813" s="2"/>
      <c r="O3813" s="2"/>
    </row>
    <row r="3814" spans="12:15">
      <c r="L3814" s="2"/>
      <c r="N3814" s="2"/>
      <c r="O3814" s="2"/>
    </row>
    <row r="3815" spans="12:15">
      <c r="L3815" s="2"/>
      <c r="N3815" s="2"/>
      <c r="O3815" s="2"/>
    </row>
    <row r="3816" spans="12:15">
      <c r="L3816" s="2"/>
      <c r="N3816" s="2"/>
      <c r="O3816" s="2"/>
    </row>
    <row r="3817" spans="12:15">
      <c r="L3817" s="2"/>
      <c r="N3817" s="2"/>
      <c r="O3817" s="2"/>
    </row>
    <row r="3818" spans="12:15">
      <c r="L3818" s="2"/>
      <c r="N3818" s="2"/>
      <c r="O3818" s="2"/>
    </row>
    <row r="3819" spans="12:15">
      <c r="L3819" s="2"/>
      <c r="N3819" s="2"/>
      <c r="O3819" s="2"/>
    </row>
    <row r="3820" spans="12:15">
      <c r="L3820" s="2"/>
      <c r="N3820" s="2"/>
      <c r="O3820" s="2"/>
    </row>
    <row r="3821" spans="12:15">
      <c r="L3821" s="2"/>
      <c r="N3821" s="2"/>
      <c r="O3821" s="2"/>
    </row>
    <row r="3822" spans="12:15">
      <c r="L3822" s="2"/>
      <c r="N3822" s="2"/>
      <c r="O3822" s="2"/>
    </row>
    <row r="3823" spans="12:15">
      <c r="L3823" s="2"/>
      <c r="N3823" s="2"/>
      <c r="O3823" s="2"/>
    </row>
    <row r="3824" spans="12:15">
      <c r="L3824" s="2"/>
      <c r="N3824" s="2"/>
      <c r="O3824" s="2"/>
    </row>
    <row r="3825" spans="12:15">
      <c r="L3825" s="2"/>
      <c r="N3825" s="2"/>
      <c r="O3825" s="2"/>
    </row>
    <row r="3826" spans="12:15">
      <c r="L3826" s="2"/>
      <c r="N3826" s="2"/>
      <c r="O3826" s="2"/>
    </row>
    <row r="3827" spans="12:15">
      <c r="L3827" s="2"/>
      <c r="N3827" s="2"/>
      <c r="O3827" s="2"/>
    </row>
    <row r="3828" spans="12:15">
      <c r="L3828" s="2"/>
      <c r="N3828" s="2"/>
      <c r="O3828" s="2"/>
    </row>
    <row r="3829" spans="12:15">
      <c r="L3829" s="2"/>
      <c r="N3829" s="2"/>
      <c r="O3829" s="2"/>
    </row>
    <row r="3830" spans="12:15">
      <c r="L3830" s="2"/>
      <c r="N3830" s="2"/>
      <c r="O3830" s="2"/>
    </row>
    <row r="3831" spans="12:15">
      <c r="L3831" s="2"/>
      <c r="N3831" s="2"/>
      <c r="O3831" s="2"/>
    </row>
    <row r="3832" spans="12:15">
      <c r="L3832" s="2"/>
      <c r="N3832" s="2"/>
      <c r="O3832" s="2"/>
    </row>
    <row r="3833" spans="12:15">
      <c r="L3833" s="2"/>
      <c r="N3833" s="2"/>
      <c r="O3833" s="2"/>
    </row>
    <row r="3834" spans="12:15">
      <c r="L3834" s="2"/>
      <c r="N3834" s="2"/>
      <c r="O3834" s="2"/>
    </row>
    <row r="3835" spans="12:15">
      <c r="L3835" s="2"/>
      <c r="N3835" s="2"/>
      <c r="O3835" s="2"/>
    </row>
    <row r="3836" spans="12:15">
      <c r="L3836" s="2"/>
      <c r="N3836" s="2"/>
      <c r="O3836" s="2"/>
    </row>
    <row r="3837" spans="12:15">
      <c r="L3837" s="2"/>
      <c r="N3837" s="2"/>
      <c r="O3837" s="2"/>
    </row>
    <row r="3838" spans="12:15">
      <c r="L3838" s="2"/>
      <c r="N3838" s="2"/>
      <c r="O3838" s="2"/>
    </row>
    <row r="3839" spans="12:15">
      <c r="L3839" s="2"/>
      <c r="N3839" s="2"/>
      <c r="O3839" s="2"/>
    </row>
    <row r="3840" spans="12:15">
      <c r="L3840" s="2"/>
      <c r="N3840" s="2"/>
      <c r="O3840" s="2"/>
    </row>
    <row r="3841" spans="12:15">
      <c r="L3841" s="2"/>
      <c r="N3841" s="2"/>
      <c r="O3841" s="2"/>
    </row>
    <row r="3842" spans="12:15">
      <c r="L3842" s="2"/>
      <c r="N3842" s="2"/>
      <c r="O3842" s="2"/>
    </row>
    <row r="3843" spans="12:15">
      <c r="L3843" s="2"/>
      <c r="N3843" s="2"/>
      <c r="O3843" s="2"/>
    </row>
    <row r="3844" spans="12:15">
      <c r="L3844" s="2"/>
      <c r="N3844" s="2"/>
      <c r="O3844" s="2"/>
    </row>
    <row r="3845" spans="12:15">
      <c r="L3845" s="2"/>
      <c r="N3845" s="2"/>
      <c r="O3845" s="2"/>
    </row>
    <row r="3846" spans="12:15">
      <c r="L3846" s="2"/>
      <c r="N3846" s="2"/>
      <c r="O3846" s="2"/>
    </row>
    <row r="3847" spans="12:15">
      <c r="L3847" s="2"/>
      <c r="N3847" s="2"/>
      <c r="O3847" s="2"/>
    </row>
    <row r="3848" spans="12:15">
      <c r="L3848" s="2"/>
      <c r="N3848" s="2"/>
      <c r="O3848" s="2"/>
    </row>
    <row r="3849" spans="12:15">
      <c r="L3849" s="2"/>
      <c r="N3849" s="2"/>
      <c r="O3849" s="2"/>
    </row>
    <row r="3850" spans="12:15">
      <c r="L3850" s="2"/>
      <c r="N3850" s="2"/>
      <c r="O3850" s="2"/>
    </row>
    <row r="3851" spans="12:15">
      <c r="L3851" s="2"/>
      <c r="N3851" s="2"/>
      <c r="O3851" s="2"/>
    </row>
    <row r="3852" spans="12:15">
      <c r="L3852" s="2"/>
      <c r="N3852" s="2"/>
      <c r="O3852" s="2"/>
    </row>
    <row r="3853" spans="12:15">
      <c r="L3853" s="2"/>
      <c r="N3853" s="2"/>
      <c r="O3853" s="2"/>
    </row>
    <row r="3854" spans="12:15">
      <c r="L3854" s="2"/>
      <c r="N3854" s="2"/>
      <c r="O3854" s="2"/>
    </row>
    <row r="3855" spans="12:15">
      <c r="L3855" s="2"/>
      <c r="N3855" s="2"/>
      <c r="O3855" s="2"/>
    </row>
    <row r="3856" spans="12:15">
      <c r="L3856" s="2"/>
      <c r="N3856" s="2"/>
      <c r="O3856" s="2"/>
    </row>
    <row r="3857" spans="12:15">
      <c r="L3857" s="2"/>
      <c r="N3857" s="2"/>
      <c r="O3857" s="2"/>
    </row>
    <row r="3858" spans="12:15">
      <c r="L3858" s="2"/>
      <c r="N3858" s="2"/>
      <c r="O3858" s="2"/>
    </row>
    <row r="3859" spans="12:15">
      <c r="L3859" s="2"/>
      <c r="N3859" s="2"/>
      <c r="O3859" s="2"/>
    </row>
    <row r="3860" spans="12:15">
      <c r="L3860" s="2"/>
      <c r="N3860" s="2"/>
      <c r="O3860" s="2"/>
    </row>
    <row r="3861" spans="12:15">
      <c r="L3861" s="2"/>
      <c r="N3861" s="2"/>
      <c r="O3861" s="2"/>
    </row>
    <row r="3862" spans="12:15">
      <c r="L3862" s="2"/>
      <c r="N3862" s="2"/>
      <c r="O3862" s="2"/>
    </row>
    <row r="3863" spans="12:15">
      <c r="L3863" s="2"/>
      <c r="N3863" s="2"/>
      <c r="O3863" s="2"/>
    </row>
    <row r="3864" spans="12:15">
      <c r="L3864" s="2"/>
      <c r="N3864" s="2"/>
      <c r="O3864" s="2"/>
    </row>
    <row r="3865" spans="12:15">
      <c r="L3865" s="2"/>
      <c r="N3865" s="2"/>
      <c r="O3865" s="2"/>
    </row>
    <row r="3866" spans="12:15">
      <c r="L3866" s="2"/>
      <c r="N3866" s="2"/>
      <c r="O3866" s="2"/>
    </row>
    <row r="3867" spans="12:15">
      <c r="L3867" s="2"/>
      <c r="N3867" s="2"/>
      <c r="O3867" s="2"/>
    </row>
    <row r="3868" spans="12:15">
      <c r="L3868" s="2"/>
      <c r="N3868" s="2"/>
      <c r="O3868" s="2"/>
    </row>
    <row r="3869" spans="12:15">
      <c r="L3869" s="2"/>
      <c r="N3869" s="2"/>
      <c r="O3869" s="2"/>
    </row>
    <row r="3870" spans="12:15">
      <c r="L3870" s="2"/>
      <c r="N3870" s="2"/>
      <c r="O3870" s="2"/>
    </row>
    <row r="3871" spans="12:15">
      <c r="L3871" s="2"/>
      <c r="N3871" s="2"/>
      <c r="O3871" s="2"/>
    </row>
    <row r="3872" spans="12:15">
      <c r="L3872" s="2"/>
      <c r="N3872" s="2"/>
      <c r="O3872" s="2"/>
    </row>
    <row r="3873" spans="12:15">
      <c r="L3873" s="2"/>
      <c r="N3873" s="2"/>
      <c r="O3873" s="2"/>
    </row>
    <row r="3874" spans="12:15">
      <c r="L3874" s="2"/>
      <c r="N3874" s="2"/>
      <c r="O3874" s="2"/>
    </row>
    <row r="3875" spans="12:15">
      <c r="L3875" s="2"/>
      <c r="N3875" s="2"/>
      <c r="O3875" s="2"/>
    </row>
    <row r="3876" spans="12:15">
      <c r="L3876" s="2"/>
      <c r="N3876" s="2"/>
      <c r="O3876" s="2"/>
    </row>
    <row r="3877" spans="12:15">
      <c r="L3877" s="2"/>
      <c r="N3877" s="2"/>
      <c r="O3877" s="2"/>
    </row>
    <row r="3878" spans="12:15">
      <c r="L3878" s="2"/>
      <c r="N3878" s="2"/>
      <c r="O3878" s="2"/>
    </row>
    <row r="3879" spans="12:15">
      <c r="L3879" s="2"/>
      <c r="N3879" s="2"/>
      <c r="O3879" s="2"/>
    </row>
    <row r="3880" spans="12:15">
      <c r="L3880" s="2"/>
      <c r="N3880" s="2"/>
      <c r="O3880" s="2"/>
    </row>
    <row r="3881" spans="12:15">
      <c r="L3881" s="2"/>
      <c r="N3881" s="2"/>
      <c r="O3881" s="2"/>
    </row>
    <row r="3882" spans="12:15">
      <c r="L3882" s="2"/>
      <c r="N3882" s="2"/>
      <c r="O3882" s="2"/>
    </row>
    <row r="3883" spans="12:15">
      <c r="L3883" s="2"/>
      <c r="N3883" s="2"/>
      <c r="O3883" s="2"/>
    </row>
    <row r="3884" spans="12:15">
      <c r="L3884" s="2"/>
      <c r="N3884" s="2"/>
      <c r="O3884" s="2"/>
    </row>
    <row r="3885" spans="12:15">
      <c r="L3885" s="2"/>
      <c r="N3885" s="2"/>
      <c r="O3885" s="2"/>
    </row>
    <row r="3886" spans="12:15">
      <c r="L3886" s="2"/>
      <c r="N3886" s="2"/>
      <c r="O3886" s="2"/>
    </row>
    <row r="3887" spans="12:15">
      <c r="L3887" s="2"/>
      <c r="N3887" s="2"/>
      <c r="O3887" s="2"/>
    </row>
    <row r="3888" spans="12:15">
      <c r="L3888" s="2"/>
      <c r="N3888" s="2"/>
      <c r="O3888" s="2"/>
    </row>
    <row r="3889" spans="12:15">
      <c r="L3889" s="2"/>
      <c r="N3889" s="2"/>
      <c r="O3889" s="2"/>
    </row>
    <row r="3890" spans="12:15">
      <c r="L3890" s="2"/>
      <c r="N3890" s="2"/>
      <c r="O3890" s="2"/>
    </row>
    <row r="3891" spans="12:15">
      <c r="L3891" s="2"/>
      <c r="N3891" s="2"/>
      <c r="O3891" s="2"/>
    </row>
    <row r="3892" spans="12:15">
      <c r="L3892" s="2"/>
      <c r="N3892" s="2"/>
      <c r="O3892" s="2"/>
    </row>
    <row r="3893" spans="12:15">
      <c r="L3893" s="2"/>
      <c r="N3893" s="2"/>
      <c r="O3893" s="2"/>
    </row>
    <row r="3894" spans="12:15">
      <c r="L3894" s="2"/>
      <c r="N3894" s="2"/>
      <c r="O3894" s="2"/>
    </row>
    <row r="3895" spans="12:15">
      <c r="L3895" s="2"/>
      <c r="N3895" s="2"/>
      <c r="O3895" s="2"/>
    </row>
    <row r="3896" spans="12:15">
      <c r="L3896" s="2"/>
      <c r="N3896" s="2"/>
      <c r="O3896" s="2"/>
    </row>
    <row r="3897" spans="12:15">
      <c r="L3897" s="2"/>
      <c r="N3897" s="2"/>
      <c r="O3897" s="2"/>
    </row>
    <row r="3898" spans="12:15">
      <c r="L3898" s="2"/>
      <c r="N3898" s="2"/>
      <c r="O3898" s="2"/>
    </row>
    <row r="3899" spans="12:15">
      <c r="L3899" s="2"/>
      <c r="N3899" s="2"/>
      <c r="O3899" s="2"/>
    </row>
    <row r="3900" spans="12:15">
      <c r="L3900" s="2"/>
      <c r="N3900" s="2"/>
      <c r="O3900" s="2"/>
    </row>
    <row r="3901" spans="12:15">
      <c r="L3901" s="2"/>
      <c r="N3901" s="2"/>
      <c r="O3901" s="2"/>
    </row>
    <row r="3902" spans="12:15">
      <c r="L3902" s="2"/>
      <c r="N3902" s="2"/>
      <c r="O3902" s="2"/>
    </row>
    <row r="3903" spans="12:15">
      <c r="L3903" s="2"/>
      <c r="N3903" s="2"/>
      <c r="O3903" s="2"/>
    </row>
    <row r="3904" spans="12:15">
      <c r="L3904" s="2"/>
      <c r="N3904" s="2"/>
      <c r="O3904" s="2"/>
    </row>
    <row r="3905" spans="12:15">
      <c r="L3905" s="2"/>
      <c r="N3905" s="2"/>
      <c r="O3905" s="2"/>
    </row>
    <row r="3906" spans="12:15">
      <c r="L3906" s="2"/>
      <c r="N3906" s="2"/>
      <c r="O3906" s="2"/>
    </row>
    <row r="3907" spans="12:15">
      <c r="L3907" s="2"/>
      <c r="N3907" s="2"/>
      <c r="O3907" s="2"/>
    </row>
    <row r="3908" spans="12:15">
      <c r="L3908" s="2"/>
      <c r="N3908" s="2"/>
      <c r="O3908" s="2"/>
    </row>
    <row r="3909" spans="12:15">
      <c r="L3909" s="2"/>
      <c r="N3909" s="2"/>
      <c r="O3909" s="2"/>
    </row>
    <row r="3910" spans="12:15">
      <c r="L3910" s="2"/>
      <c r="N3910" s="2"/>
      <c r="O3910" s="2"/>
    </row>
    <row r="3911" spans="12:15">
      <c r="L3911" s="2"/>
      <c r="N3911" s="2"/>
      <c r="O3911" s="2"/>
    </row>
    <row r="3912" spans="12:15">
      <c r="L3912" s="2"/>
      <c r="N3912" s="2"/>
      <c r="O3912" s="2"/>
    </row>
    <row r="3913" spans="12:15">
      <c r="L3913" s="2"/>
      <c r="N3913" s="2"/>
      <c r="O3913" s="2"/>
    </row>
    <row r="3914" spans="12:15">
      <c r="L3914" s="2"/>
      <c r="N3914" s="2"/>
      <c r="O3914" s="2"/>
    </row>
    <row r="3915" spans="12:15">
      <c r="L3915" s="2"/>
      <c r="N3915" s="2"/>
      <c r="O3915" s="2"/>
    </row>
    <row r="3916" spans="12:15">
      <c r="L3916" s="2"/>
      <c r="N3916" s="2"/>
      <c r="O3916" s="2"/>
    </row>
    <row r="3917" spans="12:15">
      <c r="L3917" s="2"/>
      <c r="N3917" s="2"/>
      <c r="O3917" s="2"/>
    </row>
    <row r="3918" spans="12:15">
      <c r="L3918" s="2"/>
      <c r="N3918" s="2"/>
      <c r="O3918" s="2"/>
    </row>
    <row r="3919" spans="12:15">
      <c r="L3919" s="2"/>
      <c r="N3919" s="2"/>
      <c r="O3919" s="2"/>
    </row>
    <row r="3920" spans="12:15">
      <c r="L3920" s="2"/>
      <c r="N3920" s="2"/>
      <c r="O3920" s="2"/>
    </row>
    <row r="3921" spans="12:15">
      <c r="L3921" s="2"/>
      <c r="N3921" s="2"/>
      <c r="O3921" s="2"/>
    </row>
    <row r="3922" spans="12:15">
      <c r="L3922" s="2"/>
      <c r="N3922" s="2"/>
      <c r="O3922" s="2"/>
    </row>
    <row r="3923" spans="12:15">
      <c r="L3923" s="2"/>
      <c r="N3923" s="2"/>
      <c r="O3923" s="2"/>
    </row>
    <row r="3924" spans="12:15">
      <c r="L3924" s="2"/>
      <c r="N3924" s="2"/>
      <c r="O3924" s="2"/>
    </row>
    <row r="3925" spans="12:15">
      <c r="L3925" s="2"/>
      <c r="N3925" s="2"/>
      <c r="O3925" s="2"/>
    </row>
    <row r="3926" spans="12:15">
      <c r="L3926" s="2"/>
      <c r="N3926" s="2"/>
      <c r="O3926" s="2"/>
    </row>
    <row r="3927" spans="12:15">
      <c r="L3927" s="2"/>
      <c r="N3927" s="2"/>
      <c r="O3927" s="2"/>
    </row>
    <row r="3928" spans="12:15">
      <c r="L3928" s="2"/>
      <c r="N3928" s="2"/>
      <c r="O3928" s="2"/>
    </row>
    <row r="3929" spans="12:15">
      <c r="L3929" s="2"/>
      <c r="N3929" s="2"/>
      <c r="O3929" s="2"/>
    </row>
    <row r="3930" spans="12:15">
      <c r="L3930" s="2"/>
      <c r="N3930" s="2"/>
      <c r="O3930" s="2"/>
    </row>
    <row r="3931" spans="12:15">
      <c r="L3931" s="2"/>
      <c r="N3931" s="2"/>
      <c r="O3931" s="2"/>
    </row>
    <row r="3932" spans="12:15">
      <c r="L3932" s="2"/>
      <c r="N3932" s="2"/>
      <c r="O3932" s="2"/>
    </row>
    <row r="3933" spans="12:15">
      <c r="L3933" s="2"/>
      <c r="N3933" s="2"/>
      <c r="O3933" s="2"/>
    </row>
    <row r="3934" spans="12:15">
      <c r="L3934" s="2"/>
      <c r="N3934" s="2"/>
      <c r="O3934" s="2"/>
    </row>
    <row r="3935" spans="12:15">
      <c r="L3935" s="2"/>
      <c r="N3935" s="2"/>
      <c r="O3935" s="2"/>
    </row>
    <row r="3936" spans="12:15">
      <c r="L3936" s="2"/>
      <c r="N3936" s="2"/>
      <c r="O3936" s="2"/>
    </row>
    <row r="3937" spans="12:15">
      <c r="L3937" s="2"/>
      <c r="N3937" s="2"/>
      <c r="O3937" s="2"/>
    </row>
    <row r="3938" spans="12:15">
      <c r="L3938" s="2"/>
      <c r="N3938" s="2"/>
      <c r="O3938" s="2"/>
    </row>
    <row r="3939" spans="12:15">
      <c r="L3939" s="2"/>
      <c r="N3939" s="2"/>
      <c r="O3939" s="2"/>
    </row>
    <row r="3940" spans="12:15">
      <c r="L3940" s="2"/>
      <c r="N3940" s="2"/>
      <c r="O3940" s="2"/>
    </row>
    <row r="3941" spans="12:15">
      <c r="L3941" s="2"/>
      <c r="N3941" s="2"/>
      <c r="O3941" s="2"/>
    </row>
    <row r="3942" spans="12:15">
      <c r="L3942" s="2"/>
      <c r="N3942" s="2"/>
      <c r="O3942" s="2"/>
    </row>
    <row r="3943" spans="12:15">
      <c r="L3943" s="2"/>
      <c r="N3943" s="2"/>
      <c r="O3943" s="2"/>
    </row>
    <row r="3944" spans="12:15">
      <c r="L3944" s="2"/>
      <c r="N3944" s="2"/>
      <c r="O3944" s="2"/>
    </row>
    <row r="3945" spans="12:15">
      <c r="L3945" s="2"/>
      <c r="N3945" s="2"/>
      <c r="O3945" s="2"/>
    </row>
    <row r="3946" spans="12:15">
      <c r="L3946" s="2"/>
      <c r="N3946" s="2"/>
      <c r="O3946" s="2"/>
    </row>
    <row r="3947" spans="12:15">
      <c r="L3947" s="2"/>
      <c r="N3947" s="2"/>
      <c r="O3947" s="2"/>
    </row>
    <row r="3948" spans="12:15">
      <c r="L3948" s="2"/>
      <c r="N3948" s="2"/>
      <c r="O3948" s="2"/>
    </row>
    <row r="3949" spans="12:15">
      <c r="L3949" s="2"/>
      <c r="N3949" s="2"/>
      <c r="O3949" s="2"/>
    </row>
    <row r="3950" spans="12:15">
      <c r="L3950" s="2"/>
      <c r="N3950" s="2"/>
      <c r="O3950" s="2"/>
    </row>
    <row r="3951" spans="12:15">
      <c r="L3951" s="2"/>
      <c r="N3951" s="2"/>
      <c r="O3951" s="2"/>
    </row>
    <row r="3952" spans="12:15">
      <c r="L3952" s="2"/>
      <c r="N3952" s="2"/>
      <c r="O3952" s="2"/>
    </row>
    <row r="3953" spans="12:15">
      <c r="L3953" s="2"/>
      <c r="N3953" s="2"/>
      <c r="O3953" s="2"/>
    </row>
    <row r="3954" spans="12:15">
      <c r="L3954" s="2"/>
      <c r="N3954" s="2"/>
      <c r="O3954" s="2"/>
    </row>
    <row r="3955" spans="12:15">
      <c r="L3955" s="2"/>
      <c r="N3955" s="2"/>
      <c r="O3955" s="2"/>
    </row>
    <row r="3956" spans="12:15">
      <c r="L3956" s="2"/>
      <c r="N3956" s="2"/>
      <c r="O3956" s="2"/>
    </row>
    <row r="3957" spans="12:15">
      <c r="L3957" s="2"/>
      <c r="N3957" s="2"/>
      <c r="O3957" s="2"/>
    </row>
    <row r="3958" spans="12:15">
      <c r="L3958" s="2"/>
      <c r="N3958" s="2"/>
      <c r="O3958" s="2"/>
    </row>
    <row r="3959" spans="12:15">
      <c r="L3959" s="2"/>
      <c r="N3959" s="2"/>
      <c r="O3959" s="2"/>
    </row>
    <row r="3960" spans="12:15">
      <c r="L3960" s="2"/>
      <c r="N3960" s="2"/>
      <c r="O3960" s="2"/>
    </row>
    <row r="3961" spans="12:15">
      <c r="L3961" s="2"/>
      <c r="N3961" s="2"/>
      <c r="O3961" s="2"/>
    </row>
    <row r="3962" spans="12:15">
      <c r="L3962" s="2"/>
      <c r="N3962" s="2"/>
      <c r="O3962" s="2"/>
    </row>
    <row r="3963" spans="12:15">
      <c r="L3963" s="2"/>
      <c r="N3963" s="2"/>
      <c r="O3963" s="2"/>
    </row>
    <row r="3964" spans="12:15">
      <c r="L3964" s="2"/>
      <c r="N3964" s="2"/>
      <c r="O3964" s="2"/>
    </row>
    <row r="3965" spans="12:15">
      <c r="L3965" s="2"/>
      <c r="N3965" s="2"/>
      <c r="O3965" s="2"/>
    </row>
    <row r="3966" spans="12:15">
      <c r="L3966" s="2"/>
      <c r="N3966" s="2"/>
      <c r="O3966" s="2"/>
    </row>
    <row r="3967" spans="12:15">
      <c r="L3967" s="2"/>
      <c r="N3967" s="2"/>
      <c r="O3967" s="2"/>
    </row>
    <row r="3968" spans="12:15">
      <c r="L3968" s="2"/>
      <c r="N3968" s="2"/>
      <c r="O3968" s="2"/>
    </row>
    <row r="3969" spans="12:15">
      <c r="L3969" s="2"/>
      <c r="N3969" s="2"/>
      <c r="O3969" s="2"/>
    </row>
    <row r="3970" spans="12:15">
      <c r="L3970" s="2"/>
      <c r="N3970" s="2"/>
      <c r="O3970" s="2"/>
    </row>
    <row r="3971" spans="12:15">
      <c r="L3971" s="2"/>
      <c r="N3971" s="2"/>
      <c r="O3971" s="2"/>
    </row>
    <row r="3972" spans="12:15">
      <c r="L3972" s="2"/>
      <c r="N3972" s="2"/>
      <c r="O3972" s="2"/>
    </row>
    <row r="3973" spans="12:15">
      <c r="L3973" s="2"/>
      <c r="N3973" s="2"/>
      <c r="O3973" s="2"/>
    </row>
    <row r="3974" spans="12:15">
      <c r="L3974" s="2"/>
      <c r="N3974" s="2"/>
      <c r="O3974" s="2"/>
    </row>
    <row r="3975" spans="12:15">
      <c r="L3975" s="2"/>
      <c r="N3975" s="2"/>
      <c r="O3975" s="2"/>
    </row>
    <row r="3976" spans="12:15">
      <c r="L3976" s="2"/>
      <c r="N3976" s="2"/>
      <c r="O3976" s="2"/>
    </row>
    <row r="3977" spans="12:15">
      <c r="L3977" s="2"/>
      <c r="N3977" s="2"/>
      <c r="O3977" s="2"/>
    </row>
    <row r="3978" spans="12:15">
      <c r="L3978" s="2"/>
      <c r="N3978" s="2"/>
      <c r="O3978" s="2"/>
    </row>
    <row r="3979" spans="12:15">
      <c r="L3979" s="2"/>
      <c r="N3979" s="2"/>
      <c r="O3979" s="2"/>
    </row>
    <row r="3980" spans="12:15">
      <c r="L3980" s="2"/>
      <c r="N3980" s="2"/>
      <c r="O3980" s="2"/>
    </row>
    <row r="3981" spans="12:15">
      <c r="L3981" s="2"/>
      <c r="N3981" s="2"/>
      <c r="O3981" s="2"/>
    </row>
    <row r="3982" spans="12:15">
      <c r="L3982" s="2"/>
      <c r="N3982" s="2"/>
      <c r="O3982" s="2"/>
    </row>
    <row r="3983" spans="12:15">
      <c r="L3983" s="2"/>
      <c r="N3983" s="2"/>
      <c r="O3983" s="2"/>
    </row>
    <row r="3984" spans="12:15">
      <c r="L3984" s="2"/>
      <c r="N3984" s="2"/>
      <c r="O3984" s="2"/>
    </row>
    <row r="3985" spans="12:15">
      <c r="L3985" s="2"/>
      <c r="N3985" s="2"/>
      <c r="O3985" s="2"/>
    </row>
    <row r="3986" spans="12:15">
      <c r="L3986" s="2"/>
      <c r="N3986" s="2"/>
      <c r="O3986" s="2"/>
    </row>
    <row r="3987" spans="12:15">
      <c r="L3987" s="2"/>
      <c r="N3987" s="2"/>
      <c r="O3987" s="2"/>
    </row>
    <row r="3988" spans="12:15">
      <c r="L3988" s="2"/>
      <c r="N3988" s="2"/>
      <c r="O3988" s="2"/>
    </row>
    <row r="3989" spans="12:15">
      <c r="L3989" s="2"/>
      <c r="N3989" s="2"/>
      <c r="O3989" s="2"/>
    </row>
    <row r="3990" spans="12:15">
      <c r="L3990" s="2"/>
      <c r="N3990" s="2"/>
      <c r="O3990" s="2"/>
    </row>
    <row r="3991" spans="12:15">
      <c r="L3991" s="2"/>
      <c r="N3991" s="2"/>
      <c r="O3991" s="2"/>
    </row>
    <row r="3992" spans="12:15">
      <c r="L3992" s="2"/>
      <c r="N3992" s="2"/>
      <c r="O3992" s="2"/>
    </row>
    <row r="3993" spans="12:15">
      <c r="L3993" s="2"/>
      <c r="N3993" s="2"/>
      <c r="O3993" s="2"/>
    </row>
    <row r="3994" spans="12:15">
      <c r="L3994" s="2"/>
      <c r="N3994" s="2"/>
      <c r="O3994" s="2"/>
    </row>
    <row r="3995" spans="12:15">
      <c r="L3995" s="2"/>
      <c r="N3995" s="2"/>
      <c r="O3995" s="2"/>
    </row>
    <row r="3996" spans="12:15">
      <c r="L3996" s="2"/>
      <c r="N3996" s="2"/>
      <c r="O3996" s="2"/>
    </row>
    <row r="3997" spans="12:15">
      <c r="L3997" s="2"/>
      <c r="N3997" s="2"/>
      <c r="O3997" s="2"/>
    </row>
    <row r="3998" spans="12:15">
      <c r="L3998" s="2"/>
      <c r="N3998" s="2"/>
      <c r="O3998" s="2"/>
    </row>
    <row r="3999" spans="12:15">
      <c r="L3999" s="2"/>
      <c r="N3999" s="2"/>
      <c r="O3999" s="2"/>
    </row>
    <row r="4000" spans="12:15">
      <c r="L4000" s="2"/>
      <c r="N4000" s="2"/>
      <c r="O4000" s="2"/>
    </row>
    <row r="4001" spans="12:15">
      <c r="L4001" s="2"/>
      <c r="N4001" s="2"/>
      <c r="O4001" s="2"/>
    </row>
    <row r="4002" spans="12:15">
      <c r="L4002" s="2"/>
      <c r="N4002" s="2"/>
      <c r="O4002" s="2"/>
    </row>
    <row r="4003" spans="12:15">
      <c r="L4003" s="2"/>
      <c r="N4003" s="2"/>
      <c r="O4003" s="2"/>
    </row>
    <row r="4004" spans="12:15">
      <c r="L4004" s="2"/>
      <c r="N4004" s="2"/>
      <c r="O4004" s="2"/>
    </row>
    <row r="4005" spans="12:15">
      <c r="L4005" s="2"/>
      <c r="N4005" s="2"/>
      <c r="O4005" s="2"/>
    </row>
    <row r="4006" spans="12:15">
      <c r="L4006" s="2"/>
      <c r="N4006" s="2"/>
      <c r="O4006" s="2"/>
    </row>
    <row r="4007" spans="12:15">
      <c r="L4007" s="2"/>
      <c r="N4007" s="2"/>
      <c r="O4007" s="2"/>
    </row>
    <row r="4008" spans="12:15">
      <c r="L4008" s="2"/>
      <c r="N4008" s="2"/>
      <c r="O4008" s="2"/>
    </row>
    <row r="4009" spans="12:15">
      <c r="L4009" s="2"/>
      <c r="N4009" s="2"/>
      <c r="O4009" s="2"/>
    </row>
    <row r="4010" spans="12:15">
      <c r="L4010" s="2"/>
      <c r="N4010" s="2"/>
      <c r="O4010" s="2"/>
    </row>
    <row r="4011" spans="12:15">
      <c r="L4011" s="2"/>
      <c r="N4011" s="2"/>
      <c r="O4011" s="2"/>
    </row>
    <row r="4012" spans="12:15">
      <c r="L4012" s="2"/>
      <c r="N4012" s="2"/>
      <c r="O4012" s="2"/>
    </row>
    <row r="4013" spans="12:15">
      <c r="L4013" s="2"/>
      <c r="N4013" s="2"/>
      <c r="O4013" s="2"/>
    </row>
    <row r="4014" spans="12:15">
      <c r="L4014" s="2"/>
      <c r="N4014" s="2"/>
      <c r="O4014" s="2"/>
    </row>
    <row r="4015" spans="12:15">
      <c r="L4015" s="2"/>
      <c r="N4015" s="2"/>
      <c r="O4015" s="2"/>
    </row>
    <row r="4016" spans="12:15">
      <c r="L4016" s="2"/>
      <c r="N4016" s="2"/>
      <c r="O4016" s="2"/>
    </row>
    <row r="4017" spans="12:15">
      <c r="L4017" s="2"/>
      <c r="N4017" s="2"/>
      <c r="O4017" s="2"/>
    </row>
    <row r="4018" spans="12:15">
      <c r="L4018" s="2"/>
      <c r="N4018" s="2"/>
      <c r="O4018" s="2"/>
    </row>
    <row r="4019" spans="12:15">
      <c r="L4019" s="2"/>
      <c r="N4019" s="2"/>
      <c r="O4019" s="2"/>
    </row>
    <row r="4020" spans="12:15">
      <c r="L4020" s="2"/>
      <c r="N4020" s="2"/>
      <c r="O4020" s="2"/>
    </row>
    <row r="4021" spans="12:15">
      <c r="L4021" s="2"/>
      <c r="N4021" s="2"/>
      <c r="O4021" s="2"/>
    </row>
    <row r="4022" spans="12:15">
      <c r="L4022" s="2"/>
      <c r="N4022" s="2"/>
      <c r="O4022" s="2"/>
    </row>
    <row r="4023" spans="12:15">
      <c r="L4023" s="2"/>
      <c r="N4023" s="2"/>
      <c r="O4023" s="2"/>
    </row>
    <row r="4024" spans="12:15">
      <c r="L4024" s="2"/>
      <c r="N4024" s="2"/>
      <c r="O4024" s="2"/>
    </row>
    <row r="4025" spans="12:15">
      <c r="L4025" s="2"/>
      <c r="N4025" s="2"/>
      <c r="O4025" s="2"/>
    </row>
    <row r="4026" spans="12:15">
      <c r="L4026" s="2"/>
      <c r="N4026" s="2"/>
      <c r="O4026" s="2"/>
    </row>
    <row r="4027" spans="12:15">
      <c r="L4027" s="2"/>
      <c r="N4027" s="2"/>
      <c r="O4027" s="2"/>
    </row>
    <row r="4028" spans="12:15">
      <c r="L4028" s="2"/>
      <c r="N4028" s="2"/>
      <c r="O4028" s="2"/>
    </row>
    <row r="4029" spans="12:15">
      <c r="L4029" s="2"/>
      <c r="N4029" s="2"/>
      <c r="O4029" s="2"/>
    </row>
    <row r="4030" spans="12:15">
      <c r="L4030" s="2"/>
      <c r="N4030" s="2"/>
      <c r="O4030" s="2"/>
    </row>
    <row r="4031" spans="12:15">
      <c r="L4031" s="2"/>
      <c r="N4031" s="2"/>
      <c r="O4031" s="2"/>
    </row>
    <row r="4032" spans="12:15">
      <c r="L4032" s="2"/>
      <c r="N4032" s="2"/>
      <c r="O4032" s="2"/>
    </row>
    <row r="4033" spans="12:15">
      <c r="L4033" s="2"/>
      <c r="N4033" s="2"/>
      <c r="O4033" s="2"/>
    </row>
    <row r="4034" spans="12:15">
      <c r="L4034" s="2"/>
      <c r="N4034" s="2"/>
      <c r="O4034" s="2"/>
    </row>
    <row r="4035" spans="12:15">
      <c r="L4035" s="2"/>
      <c r="N4035" s="2"/>
      <c r="O4035" s="2"/>
    </row>
    <row r="4036" spans="12:15">
      <c r="L4036" s="2"/>
      <c r="N4036" s="2"/>
      <c r="O4036" s="2"/>
    </row>
    <row r="4037" spans="12:15">
      <c r="L4037" s="2"/>
      <c r="N4037" s="2"/>
      <c r="O4037" s="2"/>
    </row>
    <row r="4038" spans="12:15">
      <c r="L4038" s="2"/>
      <c r="N4038" s="2"/>
      <c r="O4038" s="2"/>
    </row>
    <row r="4039" spans="12:15">
      <c r="L4039" s="2"/>
      <c r="N4039" s="2"/>
      <c r="O4039" s="2"/>
    </row>
    <row r="4040" spans="12:15">
      <c r="L4040" s="2"/>
      <c r="N4040" s="2"/>
      <c r="O4040" s="2"/>
    </row>
    <row r="4041" spans="12:15">
      <c r="L4041" s="2"/>
      <c r="N4041" s="2"/>
      <c r="O4041" s="2"/>
    </row>
    <row r="4042" spans="12:15">
      <c r="L4042" s="2"/>
      <c r="N4042" s="2"/>
      <c r="O4042" s="2"/>
    </row>
    <row r="4043" spans="12:15">
      <c r="L4043" s="2"/>
      <c r="N4043" s="2"/>
      <c r="O4043" s="2"/>
    </row>
    <row r="4044" spans="12:15">
      <c r="L4044" s="2"/>
      <c r="N4044" s="2"/>
      <c r="O4044" s="2"/>
    </row>
    <row r="4045" spans="12:15">
      <c r="L4045" s="2"/>
      <c r="N4045" s="2"/>
      <c r="O4045" s="2"/>
    </row>
    <row r="4046" spans="12:15">
      <c r="L4046" s="2"/>
      <c r="N4046" s="2"/>
      <c r="O4046" s="2"/>
    </row>
    <row r="4047" spans="12:15">
      <c r="L4047" s="2"/>
      <c r="N4047" s="2"/>
      <c r="O4047" s="2"/>
    </row>
    <row r="4048" spans="12:15">
      <c r="L4048" s="2"/>
      <c r="N4048" s="2"/>
      <c r="O4048" s="2"/>
    </row>
    <row r="4049" spans="12:15">
      <c r="L4049" s="2"/>
      <c r="N4049" s="2"/>
      <c r="O4049" s="2"/>
    </row>
    <row r="4050" spans="12:15">
      <c r="L4050" s="2"/>
      <c r="N4050" s="2"/>
      <c r="O4050" s="2"/>
    </row>
    <row r="4051" spans="12:15">
      <c r="L4051" s="2"/>
      <c r="N4051" s="2"/>
      <c r="O4051" s="2"/>
    </row>
    <row r="4052" spans="12:15">
      <c r="L4052" s="2"/>
      <c r="N4052" s="2"/>
      <c r="O4052" s="2"/>
    </row>
    <row r="4053" spans="12:15">
      <c r="L4053" s="2"/>
      <c r="N4053" s="2"/>
      <c r="O4053" s="2"/>
    </row>
    <row r="4054" spans="12:15">
      <c r="L4054" s="2"/>
      <c r="N4054" s="2"/>
      <c r="O4054" s="2"/>
    </row>
    <row r="4055" spans="12:15">
      <c r="L4055" s="2"/>
      <c r="N4055" s="2"/>
      <c r="O4055" s="2"/>
    </row>
    <row r="4056" spans="12:15">
      <c r="L4056" s="2"/>
      <c r="N4056" s="2"/>
      <c r="O4056" s="2"/>
    </row>
    <row r="4057" spans="12:15">
      <c r="L4057" s="2"/>
      <c r="N4057" s="2"/>
      <c r="O4057" s="2"/>
    </row>
    <row r="4058" spans="12:15">
      <c r="L4058" s="2"/>
      <c r="N4058" s="2"/>
      <c r="O4058" s="2"/>
    </row>
    <row r="4059" spans="12:15">
      <c r="L4059" s="2"/>
      <c r="N4059" s="2"/>
      <c r="O4059" s="2"/>
    </row>
    <row r="4060" spans="12:15">
      <c r="L4060" s="2"/>
      <c r="N4060" s="2"/>
      <c r="O4060" s="2"/>
    </row>
    <row r="4061" spans="12:15">
      <c r="L4061" s="2"/>
      <c r="N4061" s="2"/>
      <c r="O4061" s="2"/>
    </row>
    <row r="4062" spans="12:15">
      <c r="L4062" s="2"/>
      <c r="N4062" s="2"/>
      <c r="O4062" s="2"/>
    </row>
    <row r="4063" spans="12:15">
      <c r="L4063" s="2"/>
      <c r="N4063" s="2"/>
      <c r="O4063" s="2"/>
    </row>
    <row r="4064" spans="12:15">
      <c r="L4064" s="2"/>
      <c r="N4064" s="2"/>
      <c r="O4064" s="2"/>
    </row>
    <row r="4065" spans="12:15">
      <c r="L4065" s="2"/>
      <c r="N4065" s="2"/>
      <c r="O4065" s="2"/>
    </row>
    <row r="4066" spans="12:15">
      <c r="L4066" s="2"/>
      <c r="N4066" s="2"/>
      <c r="O4066" s="2"/>
    </row>
    <row r="4067" spans="12:15">
      <c r="L4067" s="2"/>
      <c r="N4067" s="2"/>
      <c r="O4067" s="2"/>
    </row>
    <row r="4068" spans="12:15">
      <c r="L4068" s="2"/>
      <c r="N4068" s="2"/>
      <c r="O4068" s="2"/>
    </row>
    <row r="4069" spans="12:15">
      <c r="L4069" s="2"/>
      <c r="N4069" s="2"/>
      <c r="O4069" s="2"/>
    </row>
    <row r="4070" spans="12:15">
      <c r="L4070" s="2"/>
      <c r="N4070" s="2"/>
      <c r="O4070" s="2"/>
    </row>
    <row r="4071" spans="12:15">
      <c r="L4071" s="2"/>
      <c r="N4071" s="2"/>
      <c r="O4071" s="2"/>
    </row>
    <row r="4072" spans="12:15">
      <c r="L4072" s="2"/>
      <c r="N4072" s="2"/>
      <c r="O4072" s="2"/>
    </row>
    <row r="4073" spans="12:15">
      <c r="L4073" s="2"/>
      <c r="N4073" s="2"/>
      <c r="O4073" s="2"/>
    </row>
    <row r="4074" spans="12:15">
      <c r="L4074" s="2"/>
      <c r="N4074" s="2"/>
      <c r="O4074" s="2"/>
    </row>
    <row r="4075" spans="12:15">
      <c r="L4075" s="2"/>
      <c r="N4075" s="2"/>
      <c r="O4075" s="2"/>
    </row>
    <row r="4076" spans="12:15">
      <c r="L4076" s="2"/>
      <c r="N4076" s="2"/>
      <c r="O4076" s="2"/>
    </row>
    <row r="4077" spans="12:15">
      <c r="L4077" s="2"/>
      <c r="N4077" s="2"/>
      <c r="O4077" s="2"/>
    </row>
    <row r="4078" spans="12:15">
      <c r="L4078" s="2"/>
      <c r="N4078" s="2"/>
      <c r="O4078" s="2"/>
    </row>
    <row r="4079" spans="12:15">
      <c r="L4079" s="2"/>
      <c r="N4079" s="2"/>
      <c r="O4079" s="2"/>
    </row>
    <row r="4080" spans="12:15">
      <c r="L4080" s="2"/>
      <c r="N4080" s="2"/>
      <c r="O4080" s="2"/>
    </row>
    <row r="4081" spans="12:15">
      <c r="L4081" s="2"/>
      <c r="N4081" s="2"/>
      <c r="O4081" s="2"/>
    </row>
    <row r="4082" spans="12:15">
      <c r="L4082" s="2"/>
      <c r="N4082" s="2"/>
      <c r="O4082" s="2"/>
    </row>
    <row r="4083" spans="12:15">
      <c r="L4083" s="2"/>
      <c r="N4083" s="2"/>
      <c r="O4083" s="2"/>
    </row>
    <row r="4084" spans="12:15">
      <c r="L4084" s="2"/>
      <c r="N4084" s="2"/>
      <c r="O4084" s="2"/>
    </row>
    <row r="4085" spans="12:15">
      <c r="L4085" s="2"/>
      <c r="N4085" s="2"/>
      <c r="O4085" s="2"/>
    </row>
    <row r="4086" spans="12:15">
      <c r="L4086" s="2"/>
      <c r="N4086" s="2"/>
      <c r="O4086" s="2"/>
    </row>
    <row r="4087" spans="12:15">
      <c r="L4087" s="2"/>
      <c r="N4087" s="2"/>
      <c r="O4087" s="2"/>
    </row>
    <row r="4088" spans="12:15">
      <c r="L4088" s="2"/>
      <c r="N4088" s="2"/>
      <c r="O4088" s="2"/>
    </row>
    <row r="4089" spans="12:15">
      <c r="L4089" s="2"/>
      <c r="N4089" s="2"/>
      <c r="O4089" s="2"/>
    </row>
    <row r="4090" spans="12:15">
      <c r="L4090" s="2"/>
      <c r="N4090" s="2"/>
      <c r="O4090" s="2"/>
    </row>
    <row r="4091" spans="12:15">
      <c r="L4091" s="2"/>
      <c r="N4091" s="2"/>
      <c r="O4091" s="2"/>
    </row>
    <row r="4092" spans="12:15">
      <c r="L4092" s="2"/>
      <c r="N4092" s="2"/>
      <c r="O4092" s="2"/>
    </row>
    <row r="4093" spans="12:15">
      <c r="L4093" s="2"/>
      <c r="N4093" s="2"/>
      <c r="O4093" s="2"/>
    </row>
    <row r="4094" spans="12:15">
      <c r="L4094" s="2"/>
      <c r="N4094" s="2"/>
      <c r="O4094" s="2"/>
    </row>
    <row r="4095" spans="12:15">
      <c r="L4095" s="2"/>
      <c r="N4095" s="2"/>
      <c r="O4095" s="2"/>
    </row>
    <row r="4096" spans="12:15">
      <c r="L4096" s="2"/>
      <c r="N4096" s="2"/>
      <c r="O4096" s="2"/>
    </row>
    <row r="4097" spans="12:15">
      <c r="L4097" s="2"/>
      <c r="N4097" s="2"/>
      <c r="O4097" s="2"/>
    </row>
    <row r="4098" spans="12:15">
      <c r="L4098" s="2"/>
      <c r="N4098" s="2"/>
      <c r="O4098" s="2"/>
    </row>
    <row r="4099" spans="12:15">
      <c r="L4099" s="2"/>
      <c r="N4099" s="2"/>
      <c r="O4099" s="2"/>
    </row>
    <row r="4100" spans="12:15">
      <c r="L4100" s="2"/>
      <c r="N4100" s="2"/>
      <c r="O4100" s="2"/>
    </row>
    <row r="4101" spans="12:15">
      <c r="L4101" s="2"/>
      <c r="N4101" s="2"/>
      <c r="O4101" s="2"/>
    </row>
    <row r="4102" spans="12:15">
      <c r="L4102" s="2"/>
      <c r="N4102" s="2"/>
      <c r="O4102" s="2"/>
    </row>
    <row r="4103" spans="12:15">
      <c r="L4103" s="2"/>
      <c r="N4103" s="2"/>
      <c r="O4103" s="2"/>
    </row>
    <row r="4104" spans="12:15">
      <c r="L4104" s="2"/>
      <c r="N4104" s="2"/>
      <c r="O4104" s="2"/>
    </row>
    <row r="4105" spans="12:15">
      <c r="L4105" s="2"/>
      <c r="N4105" s="2"/>
      <c r="O4105" s="2"/>
    </row>
    <row r="4106" spans="12:15">
      <c r="L4106" s="2"/>
      <c r="N4106" s="2"/>
      <c r="O4106" s="2"/>
    </row>
    <row r="4107" spans="12:15">
      <c r="L4107" s="2"/>
      <c r="N4107" s="2"/>
      <c r="O4107" s="2"/>
    </row>
    <row r="4108" spans="12:15">
      <c r="L4108" s="2"/>
      <c r="N4108" s="2"/>
      <c r="O4108" s="2"/>
    </row>
    <row r="4109" spans="12:15">
      <c r="L4109" s="2"/>
      <c r="N4109" s="2"/>
      <c r="O4109" s="2"/>
    </row>
    <row r="4110" spans="12:15">
      <c r="L4110" s="2"/>
      <c r="N4110" s="2"/>
      <c r="O4110" s="2"/>
    </row>
    <row r="4111" spans="12:15">
      <c r="L4111" s="2"/>
      <c r="N4111" s="2"/>
      <c r="O4111" s="2"/>
    </row>
    <row r="4112" spans="12:15">
      <c r="L4112" s="2"/>
      <c r="N4112" s="2"/>
      <c r="O4112" s="2"/>
    </row>
    <row r="4113" spans="12:15">
      <c r="L4113" s="2"/>
      <c r="N4113" s="2"/>
      <c r="O4113" s="2"/>
    </row>
    <row r="4114" spans="12:15">
      <c r="L4114" s="2"/>
      <c r="N4114" s="2"/>
      <c r="O4114" s="2"/>
    </row>
    <row r="4115" spans="12:15">
      <c r="L4115" s="2"/>
      <c r="N4115" s="2"/>
      <c r="O4115" s="2"/>
    </row>
    <row r="4116" spans="12:15">
      <c r="L4116" s="2"/>
      <c r="N4116" s="2"/>
      <c r="O4116" s="2"/>
    </row>
    <row r="4117" spans="12:15">
      <c r="L4117" s="2"/>
      <c r="N4117" s="2"/>
      <c r="O4117" s="2"/>
    </row>
    <row r="4118" spans="12:15">
      <c r="L4118" s="2"/>
      <c r="N4118" s="2"/>
      <c r="O4118" s="2"/>
    </row>
    <row r="4119" spans="12:15">
      <c r="L4119" s="2"/>
      <c r="N4119" s="2"/>
      <c r="O4119" s="2"/>
    </row>
    <row r="4120" spans="12:15">
      <c r="L4120" s="2"/>
      <c r="N4120" s="2"/>
      <c r="O4120" s="2"/>
    </row>
    <row r="4121" spans="12:15">
      <c r="L4121" s="2"/>
      <c r="N4121" s="2"/>
      <c r="O4121" s="2"/>
    </row>
    <row r="4122" spans="12:15">
      <c r="L4122" s="2"/>
      <c r="N4122" s="2"/>
      <c r="O4122" s="2"/>
    </row>
    <row r="4123" spans="12:15">
      <c r="L4123" s="2"/>
      <c r="N4123" s="2"/>
      <c r="O4123" s="2"/>
    </row>
    <row r="4124" spans="12:15">
      <c r="L4124" s="2"/>
      <c r="N4124" s="2"/>
      <c r="O4124" s="2"/>
    </row>
    <row r="4125" spans="12:15">
      <c r="L4125" s="2"/>
      <c r="N4125" s="2"/>
      <c r="O4125" s="2"/>
    </row>
    <row r="4126" spans="12:15">
      <c r="L4126" s="2"/>
      <c r="N4126" s="2"/>
      <c r="O4126" s="2"/>
    </row>
    <row r="4127" spans="12:15">
      <c r="L4127" s="2"/>
      <c r="N4127" s="2"/>
      <c r="O4127" s="2"/>
    </row>
    <row r="4128" spans="12:15">
      <c r="L4128" s="2"/>
      <c r="N4128" s="2"/>
      <c r="O4128" s="2"/>
    </row>
    <row r="4129" spans="12:15">
      <c r="L4129" s="2"/>
      <c r="N4129" s="2"/>
      <c r="O4129" s="2"/>
    </row>
    <row r="4130" spans="12:15">
      <c r="L4130" s="2"/>
      <c r="N4130" s="2"/>
      <c r="O4130" s="2"/>
    </row>
    <row r="4131" spans="12:15">
      <c r="L4131" s="2"/>
      <c r="N4131" s="2"/>
      <c r="O4131" s="2"/>
    </row>
    <row r="4132" spans="12:15">
      <c r="L4132" s="2"/>
      <c r="N4132" s="2"/>
      <c r="O4132" s="2"/>
    </row>
    <row r="4133" spans="12:15">
      <c r="L4133" s="2"/>
      <c r="N4133" s="2"/>
      <c r="O4133" s="2"/>
    </row>
    <row r="4134" spans="12:15">
      <c r="L4134" s="2"/>
      <c r="N4134" s="2"/>
      <c r="O4134" s="2"/>
    </row>
    <row r="4135" spans="12:15">
      <c r="L4135" s="2"/>
      <c r="N4135" s="2"/>
      <c r="O4135" s="2"/>
    </row>
    <row r="4136" spans="12:15">
      <c r="L4136" s="2"/>
      <c r="N4136" s="2"/>
      <c r="O4136" s="2"/>
    </row>
    <row r="4137" spans="12:15">
      <c r="L4137" s="2"/>
      <c r="N4137" s="2"/>
      <c r="O4137" s="2"/>
    </row>
    <row r="4138" spans="12:15">
      <c r="L4138" s="2"/>
      <c r="N4138" s="2"/>
      <c r="O4138" s="2"/>
    </row>
    <row r="4139" spans="12:15">
      <c r="L4139" s="2"/>
      <c r="N4139" s="2"/>
      <c r="O4139" s="2"/>
    </row>
    <row r="4140" spans="12:15">
      <c r="L4140" s="2"/>
      <c r="N4140" s="2"/>
      <c r="O4140" s="2"/>
    </row>
    <row r="4141" spans="12:15">
      <c r="L4141" s="2"/>
      <c r="N4141" s="2"/>
      <c r="O4141" s="2"/>
    </row>
    <row r="4142" spans="12:15">
      <c r="L4142" s="2"/>
      <c r="N4142" s="2"/>
      <c r="O4142" s="2"/>
    </row>
    <row r="4143" spans="12:15">
      <c r="L4143" s="2"/>
      <c r="N4143" s="2"/>
      <c r="O4143" s="2"/>
    </row>
    <row r="4144" spans="12:15">
      <c r="L4144" s="2"/>
      <c r="N4144" s="2"/>
      <c r="O4144" s="2"/>
    </row>
    <row r="4145" spans="12:15">
      <c r="L4145" s="2"/>
      <c r="N4145" s="2"/>
      <c r="O4145" s="2"/>
    </row>
    <row r="4146" spans="12:15">
      <c r="L4146" s="2"/>
      <c r="N4146" s="2"/>
      <c r="O4146" s="2"/>
    </row>
    <row r="4147" spans="12:15">
      <c r="L4147" s="2"/>
      <c r="N4147" s="2"/>
      <c r="O4147" s="2"/>
    </row>
    <row r="4148" spans="12:15">
      <c r="L4148" s="2"/>
      <c r="N4148" s="2"/>
      <c r="O4148" s="2"/>
    </row>
    <row r="4149" spans="12:15">
      <c r="L4149" s="2"/>
      <c r="N4149" s="2"/>
      <c r="O4149" s="2"/>
    </row>
    <row r="4150" spans="12:15">
      <c r="L4150" s="2"/>
      <c r="N4150" s="2"/>
      <c r="O4150" s="2"/>
    </row>
    <row r="4151" spans="12:15">
      <c r="L4151" s="2"/>
      <c r="N4151" s="2"/>
      <c r="O4151" s="2"/>
    </row>
    <row r="4152" spans="12:15">
      <c r="L4152" s="2"/>
      <c r="N4152" s="2"/>
      <c r="O4152" s="2"/>
    </row>
    <row r="4153" spans="12:15">
      <c r="L4153" s="2"/>
      <c r="N4153" s="2"/>
      <c r="O4153" s="2"/>
    </row>
    <row r="4154" spans="12:15">
      <c r="L4154" s="2"/>
      <c r="N4154" s="2"/>
      <c r="O4154" s="2"/>
    </row>
    <row r="4155" spans="12:15">
      <c r="L4155" s="2"/>
      <c r="N4155" s="2"/>
      <c r="O4155" s="2"/>
    </row>
    <row r="4156" spans="12:15">
      <c r="L4156" s="2"/>
      <c r="N4156" s="2"/>
      <c r="O4156" s="2"/>
    </row>
    <row r="4157" spans="12:15">
      <c r="L4157" s="2"/>
      <c r="N4157" s="2"/>
      <c r="O4157" s="2"/>
    </row>
    <row r="4158" spans="12:15">
      <c r="L4158" s="2"/>
      <c r="N4158" s="2"/>
      <c r="O4158" s="2"/>
    </row>
    <row r="4159" spans="12:15">
      <c r="L4159" s="2"/>
      <c r="N4159" s="2"/>
      <c r="O4159" s="2"/>
    </row>
    <row r="4160" spans="12:15">
      <c r="L4160" s="2"/>
      <c r="N4160" s="2"/>
      <c r="O4160" s="2"/>
    </row>
    <row r="4161" spans="12:15">
      <c r="L4161" s="2"/>
      <c r="N4161" s="2"/>
      <c r="O4161" s="2"/>
    </row>
    <row r="4162" spans="12:15">
      <c r="L4162" s="2"/>
      <c r="N4162" s="2"/>
      <c r="O4162" s="2"/>
    </row>
    <row r="4163" spans="12:15">
      <c r="L4163" s="2"/>
      <c r="N4163" s="2"/>
      <c r="O4163" s="2"/>
    </row>
    <row r="4164" spans="12:15">
      <c r="L4164" s="2"/>
      <c r="N4164" s="2"/>
      <c r="O4164" s="2"/>
    </row>
    <row r="4165" spans="12:15">
      <c r="L4165" s="2"/>
      <c r="N4165" s="2"/>
      <c r="O4165" s="2"/>
    </row>
    <row r="4166" spans="12:15">
      <c r="L4166" s="2"/>
      <c r="N4166" s="2"/>
      <c r="O4166" s="2"/>
    </row>
    <row r="4167" spans="12:15">
      <c r="L4167" s="2"/>
      <c r="N4167" s="2"/>
      <c r="O4167" s="2"/>
    </row>
    <row r="4168" spans="12:15">
      <c r="L4168" s="2"/>
      <c r="N4168" s="2"/>
      <c r="O4168" s="2"/>
    </row>
    <row r="4169" spans="12:15">
      <c r="L4169" s="2"/>
      <c r="N4169" s="2"/>
      <c r="O4169" s="2"/>
    </row>
    <row r="4170" spans="12:15">
      <c r="L4170" s="2"/>
      <c r="N4170" s="2"/>
      <c r="O4170" s="2"/>
    </row>
    <row r="4171" spans="12:15">
      <c r="L4171" s="2"/>
      <c r="N4171" s="2"/>
      <c r="O4171" s="2"/>
    </row>
    <row r="4172" spans="12:15">
      <c r="L4172" s="2"/>
      <c r="N4172" s="2"/>
      <c r="O4172" s="2"/>
    </row>
    <row r="4173" spans="12:15">
      <c r="L4173" s="2"/>
      <c r="N4173" s="2"/>
      <c r="O4173" s="2"/>
    </row>
    <row r="4174" spans="12:15">
      <c r="L4174" s="2"/>
      <c r="N4174" s="2"/>
      <c r="O4174" s="2"/>
    </row>
    <row r="4175" spans="12:15">
      <c r="L4175" s="2"/>
      <c r="N4175" s="2"/>
      <c r="O4175" s="2"/>
    </row>
    <row r="4176" spans="12:15">
      <c r="L4176" s="2"/>
      <c r="N4176" s="2"/>
      <c r="O4176" s="2"/>
    </row>
    <row r="4177" spans="12:15">
      <c r="L4177" s="2"/>
      <c r="N4177" s="2"/>
      <c r="O4177" s="2"/>
    </row>
    <row r="4178" spans="12:15">
      <c r="L4178" s="2"/>
      <c r="N4178" s="2"/>
      <c r="O4178" s="2"/>
    </row>
    <row r="4179" spans="12:15">
      <c r="L4179" s="2"/>
      <c r="N4179" s="2"/>
      <c r="O4179" s="2"/>
    </row>
    <row r="4180" spans="12:15">
      <c r="L4180" s="2"/>
      <c r="N4180" s="2"/>
      <c r="O4180" s="2"/>
    </row>
    <row r="4181" spans="12:15">
      <c r="L4181" s="2"/>
      <c r="N4181" s="2"/>
      <c r="O4181" s="2"/>
    </row>
    <row r="4182" spans="12:15">
      <c r="L4182" s="2"/>
      <c r="N4182" s="2"/>
      <c r="O4182" s="2"/>
    </row>
    <row r="4183" spans="12:15">
      <c r="L4183" s="2"/>
      <c r="N4183" s="2"/>
      <c r="O4183" s="2"/>
    </row>
    <row r="4184" spans="12:15">
      <c r="L4184" s="2"/>
      <c r="N4184" s="2"/>
      <c r="O4184" s="2"/>
    </row>
    <row r="4185" spans="12:15">
      <c r="L4185" s="2"/>
      <c r="N4185" s="2"/>
      <c r="O4185" s="2"/>
    </row>
    <row r="4186" spans="12:15">
      <c r="L4186" s="2"/>
      <c r="N4186" s="2"/>
      <c r="O4186" s="2"/>
    </row>
    <row r="4187" spans="12:15">
      <c r="L4187" s="2"/>
      <c r="N4187" s="2"/>
      <c r="O4187" s="2"/>
    </row>
    <row r="4188" spans="12:15">
      <c r="L4188" s="2"/>
      <c r="N4188" s="2"/>
      <c r="O4188" s="2"/>
    </row>
    <row r="4189" spans="12:15">
      <c r="L4189" s="2"/>
      <c r="N4189" s="2"/>
      <c r="O4189" s="2"/>
    </row>
    <row r="4190" spans="12:15">
      <c r="L4190" s="2"/>
      <c r="N4190" s="2"/>
      <c r="O4190" s="2"/>
    </row>
    <row r="4191" spans="12:15">
      <c r="L4191" s="2"/>
      <c r="N4191" s="2"/>
      <c r="O4191" s="2"/>
    </row>
    <row r="4192" spans="12:15">
      <c r="L4192" s="2"/>
      <c r="N4192" s="2"/>
      <c r="O4192" s="2"/>
    </row>
    <row r="4193" spans="12:15">
      <c r="L4193" s="2"/>
      <c r="N4193" s="2"/>
      <c r="O4193" s="2"/>
    </row>
    <row r="4194" spans="12:15">
      <c r="L4194" s="2"/>
      <c r="N4194" s="2"/>
      <c r="O4194" s="2"/>
    </row>
    <row r="4195" spans="12:15">
      <c r="L4195" s="2"/>
      <c r="N4195" s="2"/>
      <c r="O4195" s="2"/>
    </row>
    <row r="4196" spans="12:15">
      <c r="L4196" s="2"/>
      <c r="N4196" s="2"/>
      <c r="O4196" s="2"/>
    </row>
    <row r="4197" spans="12:15">
      <c r="L4197" s="2"/>
      <c r="N4197" s="2"/>
      <c r="O4197" s="2"/>
    </row>
    <row r="4198" spans="12:15">
      <c r="L4198" s="2"/>
      <c r="N4198" s="2"/>
      <c r="O4198" s="2"/>
    </row>
    <row r="4199" spans="12:15">
      <c r="L4199" s="2"/>
      <c r="N4199" s="2"/>
      <c r="O4199" s="2"/>
    </row>
    <row r="4200" spans="12:15">
      <c r="L4200" s="2"/>
      <c r="N4200" s="2"/>
      <c r="O4200" s="2"/>
    </row>
    <row r="4201" spans="12:15">
      <c r="L4201" s="2"/>
      <c r="N4201" s="2"/>
      <c r="O4201" s="2"/>
    </row>
    <row r="4202" spans="12:15">
      <c r="L4202" s="2"/>
      <c r="N4202" s="2"/>
      <c r="O4202" s="2"/>
    </row>
    <row r="4203" spans="12:15">
      <c r="L4203" s="2"/>
      <c r="N4203" s="2"/>
      <c r="O4203" s="2"/>
    </row>
    <row r="4204" spans="12:15">
      <c r="L4204" s="2"/>
      <c r="N4204" s="2"/>
      <c r="O4204" s="2"/>
    </row>
    <row r="4205" spans="12:15">
      <c r="L4205" s="2"/>
      <c r="N4205" s="2"/>
      <c r="O4205" s="2"/>
    </row>
    <row r="4206" spans="12:15">
      <c r="L4206" s="2"/>
      <c r="N4206" s="2"/>
      <c r="O4206" s="2"/>
    </row>
    <row r="4207" spans="12:15">
      <c r="L4207" s="2"/>
      <c r="N4207" s="2"/>
      <c r="O4207" s="2"/>
    </row>
    <row r="4208" spans="12:15">
      <c r="L4208" s="2"/>
      <c r="N4208" s="2"/>
      <c r="O4208" s="2"/>
    </row>
    <row r="4209" spans="12:15">
      <c r="L4209" s="2"/>
      <c r="N4209" s="2"/>
      <c r="O4209" s="2"/>
    </row>
    <row r="4210" spans="12:15">
      <c r="L4210" s="2"/>
      <c r="N4210" s="2"/>
      <c r="O4210" s="2"/>
    </row>
    <row r="4211" spans="12:15">
      <c r="L4211" s="2"/>
      <c r="N4211" s="2"/>
      <c r="O4211" s="2"/>
    </row>
    <row r="4212" spans="12:15">
      <c r="L4212" s="2"/>
      <c r="N4212" s="2"/>
      <c r="O4212" s="2"/>
    </row>
    <row r="4213" spans="12:15">
      <c r="L4213" s="2"/>
      <c r="N4213" s="2"/>
      <c r="O4213" s="2"/>
    </row>
    <row r="4214" spans="12:15">
      <c r="L4214" s="2"/>
      <c r="N4214" s="2"/>
      <c r="O4214" s="2"/>
    </row>
    <row r="4215" spans="12:15">
      <c r="L4215" s="2"/>
      <c r="N4215" s="2"/>
      <c r="O4215" s="2"/>
    </row>
    <row r="4216" spans="12:15">
      <c r="L4216" s="2"/>
      <c r="N4216" s="2"/>
      <c r="O4216" s="2"/>
    </row>
    <row r="4217" spans="12:15">
      <c r="L4217" s="2"/>
      <c r="N4217" s="2"/>
      <c r="O4217" s="2"/>
    </row>
    <row r="4218" spans="12:15">
      <c r="L4218" s="2"/>
      <c r="N4218" s="2"/>
      <c r="O4218" s="2"/>
    </row>
    <row r="4219" spans="12:15">
      <c r="L4219" s="2"/>
      <c r="N4219" s="2"/>
      <c r="O4219" s="2"/>
    </row>
    <row r="4220" spans="12:15">
      <c r="L4220" s="2"/>
      <c r="N4220" s="2"/>
      <c r="O4220" s="2"/>
    </row>
    <row r="4221" spans="12:15">
      <c r="L4221" s="2"/>
      <c r="N4221" s="2"/>
      <c r="O4221" s="2"/>
    </row>
    <row r="4222" spans="12:15">
      <c r="L4222" s="2"/>
      <c r="N4222" s="2"/>
      <c r="O4222" s="2"/>
    </row>
    <row r="4223" spans="12:15">
      <c r="L4223" s="2"/>
      <c r="N4223" s="2"/>
      <c r="O4223" s="2"/>
    </row>
    <row r="4224" spans="12:15">
      <c r="L4224" s="2"/>
      <c r="N4224" s="2"/>
      <c r="O4224" s="2"/>
    </row>
    <row r="4225" spans="12:15">
      <c r="L4225" s="2"/>
      <c r="N4225" s="2"/>
      <c r="O4225" s="2"/>
    </row>
    <row r="4226" spans="12:15">
      <c r="L4226" s="2"/>
      <c r="N4226" s="2"/>
      <c r="O4226" s="2"/>
    </row>
    <row r="4227" spans="12:15">
      <c r="L4227" s="2"/>
      <c r="N4227" s="2"/>
      <c r="O4227" s="2"/>
    </row>
    <row r="4228" spans="12:15">
      <c r="L4228" s="2"/>
      <c r="N4228" s="2"/>
      <c r="O4228" s="2"/>
    </row>
    <row r="4229" spans="12:15">
      <c r="L4229" s="2"/>
      <c r="N4229" s="2"/>
      <c r="O4229" s="2"/>
    </row>
    <row r="4230" spans="12:15">
      <c r="L4230" s="2"/>
      <c r="N4230" s="2"/>
      <c r="O4230" s="2"/>
    </row>
    <row r="4231" spans="12:15">
      <c r="L4231" s="2"/>
      <c r="N4231" s="2"/>
      <c r="O4231" s="2"/>
    </row>
    <row r="4232" spans="12:15">
      <c r="L4232" s="2"/>
      <c r="N4232" s="2"/>
      <c r="O4232" s="2"/>
    </row>
    <row r="4233" spans="12:15">
      <c r="L4233" s="2"/>
      <c r="N4233" s="2"/>
      <c r="O4233" s="2"/>
    </row>
    <row r="4234" spans="12:15">
      <c r="L4234" s="2"/>
      <c r="N4234" s="2"/>
      <c r="O4234" s="2"/>
    </row>
    <row r="4235" spans="12:15">
      <c r="L4235" s="2"/>
      <c r="N4235" s="2"/>
      <c r="O4235" s="2"/>
    </row>
    <row r="4236" spans="12:15">
      <c r="L4236" s="2"/>
      <c r="N4236" s="2"/>
      <c r="O4236" s="2"/>
    </row>
    <row r="4237" spans="12:15">
      <c r="L4237" s="2"/>
      <c r="N4237" s="2"/>
      <c r="O4237" s="2"/>
    </row>
    <row r="4238" spans="12:15">
      <c r="L4238" s="2"/>
      <c r="N4238" s="2"/>
      <c r="O4238" s="2"/>
    </row>
    <row r="4239" spans="12:15">
      <c r="L4239" s="2"/>
      <c r="N4239" s="2"/>
      <c r="O4239" s="2"/>
    </row>
    <row r="4240" spans="12:15">
      <c r="L4240" s="2"/>
      <c r="N4240" s="2"/>
      <c r="O4240" s="2"/>
    </row>
    <row r="4241" spans="12:15">
      <c r="L4241" s="2"/>
      <c r="N4241" s="2"/>
      <c r="O4241" s="2"/>
    </row>
    <row r="4242" spans="12:15">
      <c r="L4242" s="2"/>
      <c r="N4242" s="2"/>
      <c r="O4242" s="2"/>
    </row>
    <row r="4243" spans="12:15">
      <c r="L4243" s="2"/>
      <c r="N4243" s="2"/>
      <c r="O4243" s="2"/>
    </row>
    <row r="4244" spans="12:15">
      <c r="L4244" s="2"/>
      <c r="N4244" s="2"/>
      <c r="O4244" s="2"/>
    </row>
    <row r="4245" spans="12:15">
      <c r="L4245" s="2"/>
      <c r="N4245" s="2"/>
      <c r="O4245" s="2"/>
    </row>
    <row r="4246" spans="12:15">
      <c r="L4246" s="2"/>
      <c r="N4246" s="2"/>
      <c r="O4246" s="2"/>
    </row>
    <row r="4247" spans="12:15">
      <c r="L4247" s="2"/>
      <c r="N4247" s="2"/>
      <c r="O4247" s="2"/>
    </row>
    <row r="4248" spans="12:15">
      <c r="L4248" s="2"/>
      <c r="N4248" s="2"/>
      <c r="O4248" s="2"/>
    </row>
    <row r="4249" spans="12:15">
      <c r="L4249" s="2"/>
      <c r="N4249" s="2"/>
      <c r="O4249" s="2"/>
    </row>
    <row r="4250" spans="12:15">
      <c r="L4250" s="2"/>
      <c r="N4250" s="2"/>
      <c r="O4250" s="2"/>
    </row>
    <row r="4251" spans="12:15">
      <c r="L4251" s="2"/>
      <c r="N4251" s="2"/>
      <c r="O4251" s="2"/>
    </row>
    <row r="4252" spans="12:15">
      <c r="L4252" s="2"/>
      <c r="N4252" s="2"/>
      <c r="O4252" s="2"/>
    </row>
    <row r="4253" spans="12:15">
      <c r="L4253" s="2"/>
      <c r="N4253" s="2"/>
      <c r="O4253" s="2"/>
    </row>
    <row r="4254" spans="12:15">
      <c r="L4254" s="2"/>
      <c r="N4254" s="2"/>
      <c r="O4254" s="2"/>
    </row>
    <row r="4255" spans="12:15">
      <c r="L4255" s="2"/>
      <c r="N4255" s="2"/>
      <c r="O4255" s="2"/>
    </row>
    <row r="4256" spans="12:15">
      <c r="L4256" s="2"/>
      <c r="N4256" s="2"/>
      <c r="O4256" s="2"/>
    </row>
    <row r="4257" spans="12:15">
      <c r="L4257" s="2"/>
      <c r="N4257" s="2"/>
      <c r="O4257" s="2"/>
    </row>
    <row r="4258" spans="12:15">
      <c r="L4258" s="2"/>
      <c r="N4258" s="2"/>
      <c r="O4258" s="2"/>
    </row>
    <row r="4259" spans="12:15">
      <c r="L4259" s="2"/>
      <c r="N4259" s="2"/>
      <c r="O4259" s="2"/>
    </row>
    <row r="4260" spans="12:15">
      <c r="L4260" s="2"/>
      <c r="N4260" s="2"/>
      <c r="O4260" s="2"/>
    </row>
    <row r="4261" spans="12:15">
      <c r="L4261" s="2"/>
      <c r="N4261" s="2"/>
      <c r="O4261" s="2"/>
    </row>
    <row r="4262" spans="12:15">
      <c r="L4262" s="2"/>
      <c r="N4262" s="2"/>
      <c r="O4262" s="2"/>
    </row>
    <row r="4263" spans="12:15">
      <c r="L4263" s="2"/>
      <c r="N4263" s="2"/>
      <c r="O4263" s="2"/>
    </row>
    <row r="4264" spans="12:15">
      <c r="L4264" s="2"/>
      <c r="N4264" s="2"/>
      <c r="O4264" s="2"/>
    </row>
    <row r="4265" spans="12:15">
      <c r="L4265" s="2"/>
      <c r="N4265" s="2"/>
      <c r="O4265" s="2"/>
    </row>
    <row r="4266" spans="12:15">
      <c r="L4266" s="2"/>
      <c r="N4266" s="2"/>
      <c r="O4266" s="2"/>
    </row>
    <row r="4267" spans="12:15">
      <c r="L4267" s="2"/>
      <c r="N4267" s="2"/>
      <c r="O4267" s="2"/>
    </row>
    <row r="4268" spans="12:15">
      <c r="L4268" s="2"/>
      <c r="N4268" s="2"/>
      <c r="O4268" s="2"/>
    </row>
    <row r="4269" spans="12:15">
      <c r="L4269" s="2"/>
      <c r="N4269" s="2"/>
      <c r="O4269" s="2"/>
    </row>
    <row r="4270" spans="12:15">
      <c r="L4270" s="2"/>
      <c r="N4270" s="2"/>
      <c r="O4270" s="2"/>
    </row>
    <row r="4271" spans="12:15">
      <c r="L4271" s="2"/>
      <c r="N4271" s="2"/>
      <c r="O4271" s="2"/>
    </row>
    <row r="4272" spans="12:15">
      <c r="L4272" s="2"/>
      <c r="N4272" s="2"/>
      <c r="O4272" s="2"/>
    </row>
    <row r="4273" spans="12:15">
      <c r="L4273" s="2"/>
      <c r="N4273" s="2"/>
      <c r="O4273" s="2"/>
    </row>
    <row r="4274" spans="12:15">
      <c r="L4274" s="2"/>
      <c r="N4274" s="2"/>
      <c r="O4274" s="2"/>
    </row>
    <row r="4275" spans="12:15">
      <c r="L4275" s="2"/>
      <c r="N4275" s="2"/>
      <c r="O4275" s="2"/>
    </row>
    <row r="4276" spans="12:15">
      <c r="L4276" s="2"/>
      <c r="N4276" s="2"/>
      <c r="O4276" s="2"/>
    </row>
    <row r="4277" spans="12:15">
      <c r="L4277" s="2"/>
      <c r="N4277" s="2"/>
      <c r="O4277" s="2"/>
    </row>
    <row r="4278" spans="12:15">
      <c r="L4278" s="2"/>
      <c r="N4278" s="2"/>
      <c r="O4278" s="2"/>
    </row>
    <row r="4279" spans="12:15">
      <c r="L4279" s="2"/>
      <c r="N4279" s="2"/>
      <c r="O4279" s="2"/>
    </row>
    <row r="4280" spans="12:15">
      <c r="L4280" s="2"/>
      <c r="N4280" s="2"/>
      <c r="O4280" s="2"/>
    </row>
    <row r="4281" spans="12:15">
      <c r="L4281" s="2"/>
      <c r="N4281" s="2"/>
      <c r="O4281" s="2"/>
    </row>
    <row r="4282" spans="12:15">
      <c r="L4282" s="2"/>
      <c r="N4282" s="2"/>
      <c r="O4282" s="2"/>
    </row>
    <row r="4283" spans="12:15">
      <c r="L4283" s="2"/>
      <c r="N4283" s="2"/>
      <c r="O4283" s="2"/>
    </row>
    <row r="4284" spans="12:15">
      <c r="L4284" s="2"/>
      <c r="N4284" s="2"/>
      <c r="O4284" s="2"/>
    </row>
    <row r="4285" spans="12:15">
      <c r="L4285" s="2"/>
      <c r="N4285" s="2"/>
      <c r="O4285" s="2"/>
    </row>
    <row r="4286" spans="12:15">
      <c r="L4286" s="2"/>
      <c r="N4286" s="2"/>
      <c r="O4286" s="2"/>
    </row>
    <row r="4287" spans="12:15">
      <c r="L4287" s="2"/>
      <c r="N4287" s="2"/>
      <c r="O4287" s="2"/>
    </row>
    <row r="4288" spans="12:15">
      <c r="L4288" s="2"/>
      <c r="N4288" s="2"/>
      <c r="O4288" s="2"/>
    </row>
    <row r="4289" spans="12:15">
      <c r="L4289" s="2"/>
      <c r="N4289" s="2"/>
      <c r="O4289" s="2"/>
    </row>
    <row r="4290" spans="12:15">
      <c r="L4290" s="2"/>
      <c r="N4290" s="2"/>
      <c r="O4290" s="2"/>
    </row>
    <row r="4291" spans="12:15">
      <c r="L4291" s="2"/>
      <c r="N4291" s="2"/>
      <c r="O4291" s="2"/>
    </row>
    <row r="4292" spans="12:15">
      <c r="L4292" s="2"/>
      <c r="N4292" s="2"/>
      <c r="O4292" s="2"/>
    </row>
    <row r="4293" spans="12:15">
      <c r="L4293" s="2"/>
      <c r="N4293" s="2"/>
      <c r="O4293" s="2"/>
    </row>
    <row r="4294" spans="12:15">
      <c r="L4294" s="2"/>
      <c r="N4294" s="2"/>
      <c r="O4294" s="2"/>
    </row>
    <row r="4295" spans="12:15">
      <c r="L4295" s="2"/>
      <c r="N4295" s="2"/>
      <c r="O4295" s="2"/>
    </row>
    <row r="4296" spans="12:15">
      <c r="L4296" s="2"/>
      <c r="N4296" s="2"/>
      <c r="O4296" s="2"/>
    </row>
    <row r="4297" spans="12:15">
      <c r="L4297" s="2"/>
      <c r="N4297" s="2"/>
      <c r="O4297" s="2"/>
    </row>
    <row r="4298" spans="12:15">
      <c r="L4298" s="2"/>
      <c r="N4298" s="2"/>
      <c r="O4298" s="2"/>
    </row>
    <row r="4299" spans="12:15">
      <c r="L4299" s="2"/>
      <c r="N4299" s="2"/>
      <c r="O4299" s="2"/>
    </row>
    <row r="4300" spans="12:15">
      <c r="L4300" s="2"/>
      <c r="N4300" s="2"/>
      <c r="O4300" s="2"/>
    </row>
    <row r="4301" spans="12:15">
      <c r="L4301" s="2"/>
      <c r="N4301" s="2"/>
      <c r="O4301" s="2"/>
    </row>
    <row r="4302" spans="12:15">
      <c r="L4302" s="2"/>
      <c r="N4302" s="2"/>
      <c r="O4302" s="2"/>
    </row>
    <row r="4303" spans="12:15">
      <c r="L4303" s="2"/>
      <c r="N4303" s="2"/>
      <c r="O4303" s="2"/>
    </row>
    <row r="4304" spans="12:15">
      <c r="L4304" s="2"/>
      <c r="N4304" s="2"/>
      <c r="O4304" s="2"/>
    </row>
    <row r="4305" spans="12:15">
      <c r="L4305" s="2"/>
      <c r="N4305" s="2"/>
      <c r="O4305" s="2"/>
    </row>
    <row r="4306" spans="12:15">
      <c r="L4306" s="2"/>
      <c r="N4306" s="2"/>
      <c r="O4306" s="2"/>
    </row>
    <row r="4307" spans="12:15">
      <c r="L4307" s="2"/>
      <c r="N4307" s="2"/>
      <c r="O4307" s="2"/>
    </row>
    <row r="4308" spans="12:15">
      <c r="L4308" s="2"/>
      <c r="N4308" s="2"/>
      <c r="O4308" s="2"/>
    </row>
    <row r="4309" spans="12:15">
      <c r="L4309" s="2"/>
      <c r="N4309" s="2"/>
      <c r="O4309" s="2"/>
    </row>
    <row r="4310" spans="12:15">
      <c r="L4310" s="2"/>
      <c r="N4310" s="2"/>
      <c r="O4310" s="2"/>
    </row>
    <row r="4311" spans="12:15">
      <c r="L4311" s="2"/>
      <c r="N4311" s="2"/>
      <c r="O4311" s="2"/>
    </row>
    <row r="4312" spans="12:15">
      <c r="L4312" s="2"/>
      <c r="N4312" s="2"/>
      <c r="O4312" s="2"/>
    </row>
    <row r="4313" spans="12:15">
      <c r="L4313" s="2"/>
      <c r="N4313" s="2"/>
      <c r="O4313" s="2"/>
    </row>
    <row r="4314" spans="12:15">
      <c r="L4314" s="2"/>
      <c r="N4314" s="2"/>
      <c r="O4314" s="2"/>
    </row>
    <row r="4315" spans="12:15">
      <c r="L4315" s="2"/>
      <c r="N4315" s="2"/>
      <c r="O4315" s="2"/>
    </row>
    <row r="4316" spans="12:15">
      <c r="L4316" s="2"/>
      <c r="N4316" s="2"/>
      <c r="O4316" s="2"/>
    </row>
    <row r="4317" spans="12:15">
      <c r="L4317" s="2"/>
      <c r="N4317" s="2"/>
      <c r="O4317" s="2"/>
    </row>
    <row r="4318" spans="12:15">
      <c r="L4318" s="2"/>
      <c r="N4318" s="2"/>
      <c r="O4318" s="2"/>
    </row>
    <row r="4319" spans="12:15">
      <c r="L4319" s="2"/>
      <c r="N4319" s="2"/>
      <c r="O4319" s="2"/>
    </row>
    <row r="4320" spans="12:15">
      <c r="L4320" s="2"/>
      <c r="N4320" s="2"/>
      <c r="O4320" s="2"/>
    </row>
    <row r="4321" spans="12:15">
      <c r="L4321" s="2"/>
      <c r="N4321" s="2"/>
      <c r="O4321" s="2"/>
    </row>
    <row r="4322" spans="12:15">
      <c r="L4322" s="2"/>
      <c r="N4322" s="2"/>
      <c r="O4322" s="2"/>
    </row>
    <row r="4323" spans="12:15">
      <c r="L4323" s="2"/>
      <c r="N4323" s="2"/>
      <c r="O4323" s="2"/>
    </row>
    <row r="4324" spans="12:15">
      <c r="L4324" s="2"/>
      <c r="N4324" s="2"/>
      <c r="O4324" s="2"/>
    </row>
    <row r="4325" spans="12:15">
      <c r="L4325" s="2"/>
      <c r="N4325" s="2"/>
      <c r="O4325" s="2"/>
    </row>
    <row r="4326" spans="12:15">
      <c r="L4326" s="2"/>
      <c r="N4326" s="2"/>
      <c r="O4326" s="2"/>
    </row>
    <row r="4327" spans="12:15">
      <c r="L4327" s="2"/>
      <c r="N4327" s="2"/>
      <c r="O4327" s="2"/>
    </row>
    <row r="4328" spans="12:15">
      <c r="L4328" s="2"/>
      <c r="N4328" s="2"/>
      <c r="O4328" s="2"/>
    </row>
    <row r="4329" spans="12:15">
      <c r="L4329" s="2"/>
      <c r="N4329" s="2"/>
      <c r="O4329" s="2"/>
    </row>
    <row r="4330" spans="12:15">
      <c r="L4330" s="2"/>
      <c r="N4330" s="2"/>
      <c r="O4330" s="2"/>
    </row>
    <row r="4331" spans="12:15">
      <c r="L4331" s="2"/>
      <c r="N4331" s="2"/>
      <c r="O4331" s="2"/>
    </row>
    <row r="4332" spans="12:15">
      <c r="L4332" s="2"/>
      <c r="N4332" s="2"/>
      <c r="O4332" s="2"/>
    </row>
    <row r="4333" spans="12:15">
      <c r="L4333" s="2"/>
      <c r="N4333" s="2"/>
      <c r="O4333" s="2"/>
    </row>
    <row r="4334" spans="12:15">
      <c r="L4334" s="2"/>
      <c r="N4334" s="2"/>
      <c r="O4334" s="2"/>
    </row>
    <row r="4335" spans="12:15">
      <c r="L4335" s="2"/>
      <c r="N4335" s="2"/>
      <c r="O4335" s="2"/>
    </row>
    <row r="4336" spans="12:15">
      <c r="L4336" s="2"/>
      <c r="N4336" s="2"/>
      <c r="O4336" s="2"/>
    </row>
    <row r="4337" spans="12:15">
      <c r="L4337" s="2"/>
      <c r="N4337" s="2"/>
      <c r="O4337" s="2"/>
    </row>
    <row r="4338" spans="12:15">
      <c r="L4338" s="2"/>
      <c r="N4338" s="2"/>
      <c r="O4338" s="2"/>
    </row>
    <row r="4339" spans="12:15">
      <c r="L4339" s="2"/>
      <c r="N4339" s="2"/>
      <c r="O4339" s="2"/>
    </row>
    <row r="4340" spans="12:15">
      <c r="L4340" s="2"/>
      <c r="N4340" s="2"/>
      <c r="O4340" s="2"/>
    </row>
    <row r="4341" spans="12:15">
      <c r="L4341" s="2"/>
      <c r="N4341" s="2"/>
      <c r="O4341" s="2"/>
    </row>
    <row r="4342" spans="12:15">
      <c r="L4342" s="2"/>
      <c r="N4342" s="2"/>
      <c r="O4342" s="2"/>
    </row>
    <row r="4343" spans="12:15">
      <c r="L4343" s="2"/>
      <c r="N4343" s="2"/>
      <c r="O4343" s="2"/>
    </row>
    <row r="4344" spans="12:15">
      <c r="L4344" s="2"/>
      <c r="N4344" s="2"/>
      <c r="O4344" s="2"/>
    </row>
    <row r="4345" spans="12:15">
      <c r="L4345" s="2"/>
      <c r="N4345" s="2"/>
      <c r="O4345" s="2"/>
    </row>
    <row r="4346" spans="12:15">
      <c r="L4346" s="2"/>
      <c r="N4346" s="2"/>
      <c r="O4346" s="2"/>
    </row>
    <row r="4347" spans="12:15">
      <c r="L4347" s="2"/>
      <c r="N4347" s="2"/>
      <c r="O4347" s="2"/>
    </row>
    <row r="4348" spans="12:15">
      <c r="L4348" s="2"/>
      <c r="N4348" s="2"/>
      <c r="O4348" s="2"/>
    </row>
    <row r="4349" spans="12:15">
      <c r="L4349" s="2"/>
      <c r="N4349" s="2"/>
      <c r="O4349" s="2"/>
    </row>
    <row r="4350" spans="12:15">
      <c r="L4350" s="2"/>
      <c r="N4350" s="2"/>
      <c r="O4350" s="2"/>
    </row>
    <row r="4351" spans="12:15">
      <c r="L4351" s="2"/>
      <c r="N4351" s="2"/>
      <c r="O4351" s="2"/>
    </row>
    <row r="4352" spans="12:15">
      <c r="L4352" s="2"/>
      <c r="N4352" s="2"/>
      <c r="O4352" s="2"/>
    </row>
    <row r="4353" spans="12:15">
      <c r="L4353" s="2"/>
      <c r="N4353" s="2"/>
      <c r="O4353" s="2"/>
    </row>
    <row r="4354" spans="12:15">
      <c r="L4354" s="2"/>
      <c r="N4354" s="2"/>
      <c r="O4354" s="2"/>
    </row>
    <row r="4355" spans="12:15">
      <c r="L4355" s="2"/>
      <c r="N4355" s="2"/>
      <c r="O4355" s="2"/>
    </row>
    <row r="4356" spans="12:15">
      <c r="L4356" s="2"/>
      <c r="N4356" s="2"/>
      <c r="O4356" s="2"/>
    </row>
    <row r="4357" spans="12:15">
      <c r="L4357" s="2"/>
      <c r="N4357" s="2"/>
      <c r="O4357" s="2"/>
    </row>
    <row r="4358" spans="12:15">
      <c r="L4358" s="2"/>
      <c r="N4358" s="2"/>
      <c r="O4358" s="2"/>
    </row>
    <row r="4359" spans="12:15">
      <c r="L4359" s="2"/>
      <c r="N4359" s="2"/>
      <c r="O4359" s="2"/>
    </row>
    <row r="4360" spans="12:15">
      <c r="L4360" s="2"/>
      <c r="N4360" s="2"/>
      <c r="O4360" s="2"/>
    </row>
    <row r="4361" spans="12:15">
      <c r="L4361" s="2"/>
      <c r="N4361" s="2"/>
      <c r="O4361" s="2"/>
    </row>
    <row r="4362" spans="12:15">
      <c r="L4362" s="2"/>
      <c r="N4362" s="2"/>
      <c r="O4362" s="2"/>
    </row>
    <row r="4363" spans="12:15">
      <c r="L4363" s="2"/>
      <c r="N4363" s="2"/>
      <c r="O4363" s="2"/>
    </row>
    <row r="4364" spans="12:15">
      <c r="L4364" s="2"/>
      <c r="N4364" s="2"/>
      <c r="O4364" s="2"/>
    </row>
    <row r="4365" spans="12:15">
      <c r="L4365" s="2"/>
      <c r="N4365" s="2"/>
      <c r="O4365" s="2"/>
    </row>
    <row r="4366" spans="12:15">
      <c r="L4366" s="2"/>
      <c r="N4366" s="2"/>
      <c r="O4366" s="2"/>
    </row>
    <row r="4367" spans="12:15">
      <c r="L4367" s="2"/>
      <c r="N4367" s="2"/>
      <c r="O4367" s="2"/>
    </row>
    <row r="4368" spans="12:15">
      <c r="L4368" s="2"/>
      <c r="N4368" s="2"/>
      <c r="O4368" s="2"/>
    </row>
    <row r="4369" spans="12:15">
      <c r="L4369" s="2"/>
      <c r="N4369" s="2"/>
      <c r="O4369" s="2"/>
    </row>
    <row r="4370" spans="12:15">
      <c r="L4370" s="2"/>
      <c r="N4370" s="2"/>
      <c r="O4370" s="2"/>
    </row>
    <row r="4371" spans="12:15">
      <c r="L4371" s="2"/>
      <c r="N4371" s="2"/>
      <c r="O4371" s="2"/>
    </row>
    <row r="4372" spans="12:15">
      <c r="L4372" s="2"/>
      <c r="N4372" s="2"/>
      <c r="O4372" s="2"/>
    </row>
    <row r="4373" spans="12:15">
      <c r="L4373" s="2"/>
      <c r="N4373" s="2"/>
      <c r="O4373" s="2"/>
    </row>
    <row r="4374" spans="12:15">
      <c r="L4374" s="2"/>
      <c r="N4374" s="2"/>
      <c r="O4374" s="2"/>
    </row>
    <row r="4375" spans="12:15">
      <c r="L4375" s="2"/>
      <c r="N4375" s="2"/>
      <c r="O4375" s="2"/>
    </row>
    <row r="4376" spans="12:15">
      <c r="L4376" s="2"/>
      <c r="N4376" s="2"/>
      <c r="O4376" s="2"/>
    </row>
    <row r="4377" spans="12:15">
      <c r="L4377" s="2"/>
      <c r="N4377" s="2"/>
      <c r="O4377" s="2"/>
    </row>
    <row r="4378" spans="12:15">
      <c r="L4378" s="2"/>
      <c r="N4378" s="2"/>
      <c r="O4378" s="2"/>
    </row>
    <row r="4379" spans="12:15">
      <c r="L4379" s="2"/>
      <c r="N4379" s="2"/>
      <c r="O4379" s="2"/>
    </row>
    <row r="4380" spans="12:15">
      <c r="L4380" s="2"/>
      <c r="N4380" s="2"/>
      <c r="O4380" s="2"/>
    </row>
    <row r="4381" spans="12:15">
      <c r="L4381" s="2"/>
      <c r="N4381" s="2"/>
      <c r="O4381" s="2"/>
    </row>
    <row r="4382" spans="12:15">
      <c r="L4382" s="2"/>
      <c r="N4382" s="2"/>
      <c r="O4382" s="2"/>
    </row>
    <row r="4383" spans="12:15">
      <c r="L4383" s="2"/>
      <c r="N4383" s="2"/>
      <c r="O4383" s="2"/>
    </row>
    <row r="4384" spans="12:15">
      <c r="L4384" s="2"/>
      <c r="N4384" s="2"/>
      <c r="O4384" s="2"/>
    </row>
    <row r="4385" spans="12:15">
      <c r="L4385" s="2"/>
      <c r="N4385" s="2"/>
      <c r="O4385" s="2"/>
    </row>
    <row r="4386" spans="12:15">
      <c r="L4386" s="2"/>
      <c r="N4386" s="2"/>
      <c r="O4386" s="2"/>
    </row>
    <row r="4387" spans="12:15">
      <c r="L4387" s="2"/>
      <c r="N4387" s="2"/>
      <c r="O4387" s="2"/>
    </row>
    <row r="4388" spans="12:15">
      <c r="L4388" s="2"/>
      <c r="N4388" s="2"/>
      <c r="O4388" s="2"/>
    </row>
    <row r="4389" spans="12:15">
      <c r="L4389" s="2"/>
      <c r="N4389" s="2"/>
      <c r="O4389" s="2"/>
    </row>
    <row r="4390" spans="12:15">
      <c r="L4390" s="2"/>
      <c r="N4390" s="2"/>
      <c r="O4390" s="2"/>
    </row>
    <row r="4391" spans="12:15">
      <c r="L4391" s="2"/>
      <c r="N4391" s="2"/>
      <c r="O4391" s="2"/>
    </row>
    <row r="4392" spans="12:15">
      <c r="L4392" s="2"/>
      <c r="N4392" s="2"/>
      <c r="O4392" s="2"/>
    </row>
    <row r="4393" spans="12:15">
      <c r="L4393" s="2"/>
      <c r="N4393" s="2"/>
      <c r="O4393" s="2"/>
    </row>
    <row r="4394" spans="12:15">
      <c r="L4394" s="2"/>
      <c r="N4394" s="2"/>
      <c r="O4394" s="2"/>
    </row>
    <row r="4395" spans="12:15">
      <c r="L4395" s="2"/>
      <c r="N4395" s="2"/>
      <c r="O4395" s="2"/>
    </row>
    <row r="4396" spans="12:15">
      <c r="L4396" s="2"/>
      <c r="N4396" s="2"/>
      <c r="O4396" s="2"/>
    </row>
    <row r="4397" spans="12:15">
      <c r="L4397" s="2"/>
      <c r="N4397" s="2"/>
      <c r="O4397" s="2"/>
    </row>
    <row r="4398" spans="12:15">
      <c r="L4398" s="2"/>
      <c r="N4398" s="2"/>
      <c r="O4398" s="2"/>
    </row>
    <row r="4399" spans="12:15">
      <c r="L4399" s="2"/>
      <c r="N4399" s="2"/>
      <c r="O4399" s="2"/>
    </row>
    <row r="4400" spans="12:15">
      <c r="L4400" s="2"/>
      <c r="N4400" s="2"/>
      <c r="O4400" s="2"/>
    </row>
    <row r="4401" spans="12:15">
      <c r="L4401" s="2"/>
      <c r="N4401" s="2"/>
      <c r="O4401" s="2"/>
    </row>
    <row r="4402" spans="12:15">
      <c r="L4402" s="2"/>
      <c r="N4402" s="2"/>
      <c r="O4402" s="2"/>
    </row>
    <row r="4403" spans="12:15">
      <c r="L4403" s="2"/>
      <c r="N4403" s="2"/>
      <c r="O4403" s="2"/>
    </row>
    <row r="4404" spans="12:15">
      <c r="L4404" s="2"/>
      <c r="N4404" s="2"/>
      <c r="O4404" s="2"/>
    </row>
    <row r="4405" spans="12:15">
      <c r="L4405" s="2"/>
      <c r="N4405" s="2"/>
      <c r="O4405" s="2"/>
    </row>
    <row r="4406" spans="12:15">
      <c r="L4406" s="2"/>
      <c r="N4406" s="2"/>
      <c r="O4406" s="2"/>
    </row>
    <row r="4407" spans="12:15">
      <c r="L4407" s="2"/>
      <c r="N4407" s="2"/>
      <c r="O4407" s="2"/>
    </row>
    <row r="4408" spans="12:15">
      <c r="L4408" s="2"/>
      <c r="N4408" s="2"/>
      <c r="O4408" s="2"/>
    </row>
    <row r="4409" spans="12:15">
      <c r="L4409" s="2"/>
      <c r="N4409" s="2"/>
      <c r="O4409" s="2"/>
    </row>
    <row r="4410" spans="12:15">
      <c r="L4410" s="2"/>
      <c r="N4410" s="2"/>
      <c r="O4410" s="2"/>
    </row>
    <row r="4411" spans="12:15">
      <c r="L4411" s="2"/>
      <c r="N4411" s="2"/>
      <c r="O4411" s="2"/>
    </row>
    <row r="4412" spans="12:15">
      <c r="L4412" s="2"/>
      <c r="N4412" s="2"/>
      <c r="O4412" s="2"/>
    </row>
    <row r="4413" spans="12:15">
      <c r="L4413" s="2"/>
      <c r="N4413" s="2"/>
      <c r="O4413" s="2"/>
    </row>
    <row r="4414" spans="12:15">
      <c r="L4414" s="2"/>
      <c r="N4414" s="2"/>
      <c r="O4414" s="2"/>
    </row>
    <row r="4415" spans="12:15">
      <c r="L4415" s="2"/>
      <c r="N4415" s="2"/>
      <c r="O4415" s="2"/>
    </row>
    <row r="4416" spans="12:15">
      <c r="L4416" s="2"/>
      <c r="N4416" s="2"/>
      <c r="O4416" s="2"/>
    </row>
    <row r="4417" spans="12:15">
      <c r="L4417" s="2"/>
      <c r="N4417" s="2"/>
      <c r="O4417" s="2"/>
    </row>
    <row r="4418" spans="12:15">
      <c r="L4418" s="2"/>
      <c r="N4418" s="2"/>
      <c r="O4418" s="2"/>
    </row>
    <row r="4419" spans="12:15">
      <c r="L4419" s="2"/>
      <c r="N4419" s="2"/>
      <c r="O4419" s="2"/>
    </row>
    <row r="4420" spans="12:15">
      <c r="L4420" s="2"/>
      <c r="N4420" s="2"/>
      <c r="O4420" s="2"/>
    </row>
    <row r="4421" spans="12:15">
      <c r="L4421" s="2"/>
      <c r="N4421" s="2"/>
      <c r="O4421" s="2"/>
    </row>
    <row r="4422" spans="12:15">
      <c r="L4422" s="2"/>
      <c r="N4422" s="2"/>
      <c r="O4422" s="2"/>
    </row>
    <row r="4423" spans="12:15">
      <c r="L4423" s="2"/>
      <c r="N4423" s="2"/>
      <c r="O4423" s="2"/>
    </row>
    <row r="4424" spans="12:15">
      <c r="L4424" s="2"/>
      <c r="N4424" s="2"/>
      <c r="O4424" s="2"/>
    </row>
    <row r="4425" spans="12:15">
      <c r="L4425" s="2"/>
      <c r="N4425" s="2"/>
      <c r="O4425" s="2"/>
    </row>
    <row r="4426" spans="12:15">
      <c r="L4426" s="2"/>
      <c r="N4426" s="2"/>
      <c r="O4426" s="2"/>
    </row>
    <row r="4427" spans="12:15">
      <c r="L4427" s="2"/>
      <c r="N4427" s="2"/>
      <c r="O4427" s="2"/>
    </row>
    <row r="4428" spans="12:15">
      <c r="L4428" s="2"/>
      <c r="N4428" s="2"/>
      <c r="O4428" s="2"/>
    </row>
    <row r="4429" spans="12:15">
      <c r="L4429" s="2"/>
      <c r="N4429" s="2"/>
      <c r="O4429" s="2"/>
    </row>
    <row r="4430" spans="12:15">
      <c r="L4430" s="2"/>
      <c r="N4430" s="2"/>
      <c r="O4430" s="2"/>
    </row>
    <row r="4431" spans="12:15">
      <c r="L4431" s="2"/>
      <c r="N4431" s="2"/>
      <c r="O4431" s="2"/>
    </row>
    <row r="4432" spans="12:15">
      <c r="L4432" s="2"/>
      <c r="N4432" s="2"/>
      <c r="O4432" s="2"/>
    </row>
    <row r="4433" spans="12:15">
      <c r="L4433" s="2"/>
      <c r="N4433" s="2"/>
      <c r="O4433" s="2"/>
    </row>
    <row r="4434" spans="12:15">
      <c r="L4434" s="2"/>
      <c r="N4434" s="2"/>
      <c r="O4434" s="2"/>
    </row>
    <row r="4435" spans="12:15">
      <c r="L4435" s="2"/>
      <c r="N4435" s="2"/>
      <c r="O4435" s="2"/>
    </row>
    <row r="4436" spans="12:15">
      <c r="L4436" s="2"/>
      <c r="N4436" s="2"/>
      <c r="O4436" s="2"/>
    </row>
    <row r="4437" spans="12:15">
      <c r="L4437" s="2"/>
      <c r="N4437" s="2"/>
      <c r="O4437" s="2"/>
    </row>
    <row r="4438" spans="12:15">
      <c r="L4438" s="2"/>
      <c r="N4438" s="2"/>
      <c r="O4438" s="2"/>
    </row>
    <row r="4439" spans="12:15">
      <c r="L4439" s="2"/>
      <c r="N4439" s="2"/>
      <c r="O4439" s="2"/>
    </row>
    <row r="4440" spans="12:15">
      <c r="L4440" s="2"/>
      <c r="N4440" s="2"/>
      <c r="O4440" s="2"/>
    </row>
    <row r="4441" spans="12:15">
      <c r="L4441" s="2"/>
      <c r="N4441" s="2"/>
      <c r="O4441" s="2"/>
    </row>
    <row r="4442" spans="12:15">
      <c r="L4442" s="2"/>
      <c r="N4442" s="2"/>
      <c r="O4442" s="2"/>
    </row>
    <row r="4443" spans="12:15">
      <c r="L4443" s="2"/>
      <c r="N4443" s="2"/>
      <c r="O4443" s="2"/>
    </row>
    <row r="4444" spans="12:15">
      <c r="L4444" s="2"/>
      <c r="N4444" s="2"/>
      <c r="O4444" s="2"/>
    </row>
    <row r="4445" spans="12:15">
      <c r="L4445" s="2"/>
      <c r="N4445" s="2"/>
      <c r="O4445" s="2"/>
    </row>
    <row r="4446" spans="12:15">
      <c r="L4446" s="2"/>
      <c r="N4446" s="2"/>
      <c r="O4446" s="2"/>
    </row>
    <row r="4447" spans="12:15">
      <c r="L4447" s="2"/>
      <c r="N4447" s="2"/>
      <c r="O4447" s="2"/>
    </row>
    <row r="4448" spans="12:15">
      <c r="L4448" s="2"/>
      <c r="N4448" s="2"/>
      <c r="O4448" s="2"/>
    </row>
    <row r="4449" spans="12:15">
      <c r="L4449" s="2"/>
      <c r="N4449" s="2"/>
      <c r="O4449" s="2"/>
    </row>
    <row r="4450" spans="12:15">
      <c r="L4450" s="2"/>
      <c r="N4450" s="2"/>
      <c r="O4450" s="2"/>
    </row>
    <row r="4451" spans="12:15">
      <c r="L4451" s="2"/>
      <c r="N4451" s="2"/>
      <c r="O4451" s="2"/>
    </row>
    <row r="4452" spans="12:15">
      <c r="L4452" s="2"/>
      <c r="N4452" s="2"/>
      <c r="O4452" s="2"/>
    </row>
    <row r="4453" spans="12:15">
      <c r="L4453" s="2"/>
      <c r="N4453" s="2"/>
      <c r="O4453" s="2"/>
    </row>
    <row r="4454" spans="12:15">
      <c r="L4454" s="2"/>
      <c r="N4454" s="2"/>
      <c r="O4454" s="2"/>
    </row>
    <row r="4455" spans="12:15">
      <c r="L4455" s="2"/>
      <c r="N4455" s="2"/>
      <c r="O4455" s="2"/>
    </row>
    <row r="4456" spans="12:15">
      <c r="L4456" s="2"/>
      <c r="N4456" s="2"/>
      <c r="O4456" s="2"/>
    </row>
    <row r="4457" spans="12:15">
      <c r="L4457" s="2"/>
      <c r="N4457" s="2"/>
      <c r="O4457" s="2"/>
    </row>
    <row r="4458" spans="12:15">
      <c r="L4458" s="2"/>
      <c r="N4458" s="2"/>
      <c r="O4458" s="2"/>
    </row>
    <row r="4459" spans="12:15">
      <c r="L4459" s="2"/>
      <c r="N4459" s="2"/>
      <c r="O4459" s="2"/>
    </row>
    <row r="4460" spans="12:15">
      <c r="L4460" s="2"/>
      <c r="N4460" s="2"/>
      <c r="O4460" s="2"/>
    </row>
    <row r="4461" spans="12:15">
      <c r="L4461" s="2"/>
      <c r="N4461" s="2"/>
      <c r="O4461" s="2"/>
    </row>
    <row r="4462" spans="12:15">
      <c r="L4462" s="2"/>
      <c r="N4462" s="2"/>
      <c r="O4462" s="2"/>
    </row>
    <row r="4463" spans="12:15">
      <c r="L4463" s="2"/>
      <c r="N4463" s="2"/>
      <c r="O4463" s="2"/>
    </row>
    <row r="4464" spans="12:15">
      <c r="L4464" s="2"/>
      <c r="N4464" s="2"/>
      <c r="O4464" s="2"/>
    </row>
    <row r="4465" spans="12:15">
      <c r="L4465" s="2"/>
      <c r="N4465" s="2"/>
      <c r="O4465" s="2"/>
    </row>
    <row r="4466" spans="12:15">
      <c r="L4466" s="2"/>
      <c r="N4466" s="2"/>
      <c r="O4466" s="2"/>
    </row>
    <row r="4467" spans="12:15">
      <c r="L4467" s="2"/>
      <c r="N4467" s="2"/>
      <c r="O4467" s="2"/>
    </row>
    <row r="4468" spans="12:15">
      <c r="L4468" s="2"/>
      <c r="N4468" s="2"/>
      <c r="O4468" s="2"/>
    </row>
    <row r="4469" spans="12:15">
      <c r="L4469" s="2"/>
      <c r="N4469" s="2"/>
      <c r="O4469" s="2"/>
    </row>
    <row r="4470" spans="12:15">
      <c r="L4470" s="2"/>
      <c r="N4470" s="2"/>
      <c r="O4470" s="2"/>
    </row>
    <row r="4471" spans="12:15">
      <c r="L4471" s="2"/>
      <c r="N4471" s="2"/>
      <c r="O4471" s="2"/>
    </row>
    <row r="4472" spans="12:15">
      <c r="L4472" s="2"/>
      <c r="N4472" s="2"/>
      <c r="O4472" s="2"/>
    </row>
    <row r="4473" spans="12:15">
      <c r="L4473" s="2"/>
      <c r="N4473" s="2"/>
      <c r="O4473" s="2"/>
    </row>
    <row r="4474" spans="12:15">
      <c r="L4474" s="2"/>
      <c r="N4474" s="2"/>
      <c r="O4474" s="2"/>
    </row>
    <row r="4475" spans="12:15">
      <c r="L4475" s="2"/>
      <c r="N4475" s="2"/>
      <c r="O4475" s="2"/>
    </row>
    <row r="4476" spans="12:15">
      <c r="L4476" s="2"/>
      <c r="N4476" s="2"/>
      <c r="O4476" s="2"/>
    </row>
    <row r="4477" spans="12:15">
      <c r="L4477" s="2"/>
      <c r="N4477" s="2"/>
      <c r="O4477" s="2"/>
    </row>
    <row r="4478" spans="12:15">
      <c r="L4478" s="2"/>
      <c r="N4478" s="2"/>
      <c r="O4478" s="2"/>
    </row>
    <row r="4479" spans="12:15">
      <c r="L4479" s="2"/>
      <c r="N4479" s="2"/>
      <c r="O4479" s="2"/>
    </row>
    <row r="4480" spans="12:15">
      <c r="L4480" s="2"/>
      <c r="N4480" s="2"/>
      <c r="O4480" s="2"/>
    </row>
    <row r="4481" spans="12:15">
      <c r="L4481" s="2"/>
      <c r="N4481" s="2"/>
      <c r="O4481" s="2"/>
    </row>
    <row r="4482" spans="12:15">
      <c r="L4482" s="2"/>
      <c r="N4482" s="2"/>
      <c r="O4482" s="2"/>
    </row>
    <row r="4483" spans="12:15">
      <c r="L4483" s="2"/>
      <c r="N4483" s="2"/>
      <c r="O4483" s="2"/>
    </row>
    <row r="4484" spans="12:15">
      <c r="L4484" s="2"/>
      <c r="N4484" s="2"/>
      <c r="O4484" s="2"/>
    </row>
    <row r="4485" spans="12:15">
      <c r="L4485" s="2"/>
      <c r="N4485" s="2"/>
      <c r="O4485" s="2"/>
    </row>
    <row r="4486" spans="12:15">
      <c r="L4486" s="2"/>
      <c r="N4486" s="2"/>
      <c r="O4486" s="2"/>
    </row>
    <row r="4487" spans="12:15">
      <c r="L4487" s="2"/>
      <c r="N4487" s="2"/>
      <c r="O4487" s="2"/>
    </row>
    <row r="4488" spans="12:15">
      <c r="L4488" s="2"/>
      <c r="N4488" s="2"/>
      <c r="O4488" s="2"/>
    </row>
    <row r="4489" spans="12:15">
      <c r="L4489" s="2"/>
      <c r="N4489" s="2"/>
      <c r="O4489" s="2"/>
    </row>
    <row r="4490" spans="12:15">
      <c r="L4490" s="2"/>
      <c r="N4490" s="2"/>
      <c r="O4490" s="2"/>
    </row>
    <row r="4491" spans="12:15">
      <c r="L4491" s="2"/>
      <c r="N4491" s="2"/>
      <c r="O4491" s="2"/>
    </row>
    <row r="4492" spans="12:15">
      <c r="L4492" s="2"/>
      <c r="N4492" s="2"/>
      <c r="O4492" s="2"/>
    </row>
    <row r="4493" spans="12:15">
      <c r="L4493" s="2"/>
      <c r="N4493" s="2"/>
      <c r="O4493" s="2"/>
    </row>
    <row r="4494" spans="12:15">
      <c r="L4494" s="2"/>
      <c r="N4494" s="2"/>
      <c r="O4494" s="2"/>
    </row>
    <row r="4495" spans="12:15">
      <c r="L4495" s="2"/>
      <c r="N4495" s="2"/>
      <c r="O4495" s="2"/>
    </row>
    <row r="4496" spans="12:15">
      <c r="L4496" s="2"/>
      <c r="N4496" s="2"/>
      <c r="O4496" s="2"/>
    </row>
    <row r="4497" spans="12:15">
      <c r="L4497" s="2"/>
      <c r="N4497" s="2"/>
      <c r="O4497" s="2"/>
    </row>
    <row r="4498" spans="12:15">
      <c r="L4498" s="2"/>
      <c r="N4498" s="2"/>
      <c r="O4498" s="2"/>
    </row>
    <row r="4499" spans="12:15">
      <c r="L4499" s="2"/>
      <c r="N4499" s="2"/>
      <c r="O4499" s="2"/>
    </row>
    <row r="4500" spans="12:15">
      <c r="L4500" s="2"/>
      <c r="N4500" s="2"/>
      <c r="O4500" s="2"/>
    </row>
    <row r="4501" spans="12:15">
      <c r="L4501" s="2"/>
      <c r="N4501" s="2"/>
      <c r="O4501" s="2"/>
    </row>
    <row r="4502" spans="12:15">
      <c r="L4502" s="2"/>
      <c r="N4502" s="2"/>
      <c r="O4502" s="2"/>
    </row>
    <row r="4503" spans="12:15">
      <c r="L4503" s="2"/>
      <c r="N4503" s="2"/>
      <c r="O4503" s="2"/>
    </row>
    <row r="4504" spans="12:15">
      <c r="L4504" s="2"/>
      <c r="N4504" s="2"/>
      <c r="O4504" s="2"/>
    </row>
    <row r="4505" spans="12:15">
      <c r="L4505" s="2"/>
      <c r="N4505" s="2"/>
      <c r="O4505" s="2"/>
    </row>
    <row r="4506" spans="12:15">
      <c r="L4506" s="2"/>
      <c r="N4506" s="2"/>
      <c r="O4506" s="2"/>
    </row>
    <row r="4507" spans="12:15">
      <c r="L4507" s="2"/>
      <c r="N4507" s="2"/>
      <c r="O4507" s="2"/>
    </row>
    <row r="4508" spans="12:15">
      <c r="L4508" s="2"/>
      <c r="N4508" s="2"/>
      <c r="O4508" s="2"/>
    </row>
    <row r="4509" spans="12:15">
      <c r="L4509" s="2"/>
      <c r="N4509" s="2"/>
      <c r="O4509" s="2"/>
    </row>
    <row r="4510" spans="12:15">
      <c r="L4510" s="2"/>
      <c r="N4510" s="2"/>
      <c r="O4510" s="2"/>
    </row>
    <row r="4511" spans="12:15">
      <c r="L4511" s="2"/>
      <c r="N4511" s="2"/>
      <c r="O4511" s="2"/>
    </row>
    <row r="4512" spans="12:15">
      <c r="L4512" s="2"/>
      <c r="N4512" s="2"/>
      <c r="O4512" s="2"/>
    </row>
    <row r="4513" spans="12:15">
      <c r="L4513" s="2"/>
      <c r="N4513" s="2"/>
      <c r="O4513" s="2"/>
    </row>
    <row r="4514" spans="12:15">
      <c r="L4514" s="2"/>
      <c r="N4514" s="2"/>
      <c r="O4514" s="2"/>
    </row>
    <row r="4515" spans="12:15">
      <c r="L4515" s="2"/>
      <c r="N4515" s="2"/>
      <c r="O4515" s="2"/>
    </row>
    <row r="4516" spans="12:15">
      <c r="L4516" s="2"/>
      <c r="N4516" s="2"/>
      <c r="O4516" s="2"/>
    </row>
    <row r="4517" spans="12:15">
      <c r="L4517" s="2"/>
      <c r="N4517" s="2"/>
      <c r="O4517" s="2"/>
    </row>
    <row r="4518" spans="12:15">
      <c r="L4518" s="2"/>
      <c r="N4518" s="2"/>
      <c r="O4518" s="2"/>
    </row>
    <row r="4519" spans="12:15">
      <c r="L4519" s="2"/>
      <c r="N4519" s="2"/>
      <c r="O4519" s="2"/>
    </row>
    <row r="4520" spans="12:15">
      <c r="L4520" s="2"/>
      <c r="N4520" s="2"/>
      <c r="O4520" s="2"/>
    </row>
    <row r="4521" spans="12:15">
      <c r="L4521" s="2"/>
      <c r="N4521" s="2"/>
      <c r="O4521" s="2"/>
    </row>
    <row r="4522" spans="12:15">
      <c r="L4522" s="2"/>
      <c r="N4522" s="2"/>
      <c r="O4522" s="2"/>
    </row>
    <row r="4523" spans="12:15">
      <c r="L4523" s="2"/>
      <c r="N4523" s="2"/>
      <c r="O4523" s="2"/>
    </row>
    <row r="4524" spans="12:15">
      <c r="L4524" s="2"/>
      <c r="N4524" s="2"/>
      <c r="O4524" s="2"/>
    </row>
    <row r="4525" spans="12:15">
      <c r="L4525" s="2"/>
      <c r="N4525" s="2"/>
      <c r="O4525" s="2"/>
    </row>
    <row r="4526" spans="12:15">
      <c r="L4526" s="2"/>
      <c r="N4526" s="2"/>
      <c r="O4526" s="2"/>
    </row>
    <row r="4527" spans="12:15">
      <c r="L4527" s="2"/>
      <c r="N4527" s="2"/>
      <c r="O4527" s="2"/>
    </row>
    <row r="4528" spans="12:15">
      <c r="L4528" s="2"/>
      <c r="N4528" s="2"/>
      <c r="O4528" s="2"/>
    </row>
    <row r="4529" spans="12:15">
      <c r="L4529" s="2"/>
      <c r="N4529" s="2"/>
      <c r="O4529" s="2"/>
    </row>
    <row r="4530" spans="12:15">
      <c r="L4530" s="2"/>
      <c r="N4530" s="2"/>
      <c r="O4530" s="2"/>
    </row>
    <row r="4531" spans="12:15">
      <c r="L4531" s="2"/>
      <c r="N4531" s="2"/>
      <c r="O4531" s="2"/>
    </row>
    <row r="4532" spans="12:15">
      <c r="L4532" s="2"/>
      <c r="N4532" s="2"/>
      <c r="O4532" s="2"/>
    </row>
    <row r="4533" spans="12:15">
      <c r="L4533" s="2"/>
      <c r="N4533" s="2"/>
      <c r="O4533" s="2"/>
    </row>
    <row r="4534" spans="12:15">
      <c r="L4534" s="2"/>
      <c r="N4534" s="2"/>
      <c r="O4534" s="2"/>
    </row>
    <row r="4535" spans="12:15">
      <c r="L4535" s="2"/>
      <c r="N4535" s="2"/>
      <c r="O4535" s="2"/>
    </row>
    <row r="4536" spans="12:15">
      <c r="L4536" s="2"/>
      <c r="N4536" s="2"/>
      <c r="O4536" s="2"/>
    </row>
    <row r="4537" spans="12:15">
      <c r="L4537" s="2"/>
      <c r="N4537" s="2"/>
      <c r="O4537" s="2"/>
    </row>
    <row r="4538" spans="12:15">
      <c r="L4538" s="2"/>
      <c r="N4538" s="2"/>
      <c r="O4538" s="2"/>
    </row>
    <row r="4539" spans="12:15">
      <c r="L4539" s="2"/>
      <c r="N4539" s="2"/>
      <c r="O4539" s="2"/>
    </row>
    <row r="4540" spans="12:15">
      <c r="L4540" s="2"/>
      <c r="N4540" s="2"/>
      <c r="O4540" s="2"/>
    </row>
    <row r="4541" spans="12:15">
      <c r="L4541" s="2"/>
      <c r="N4541" s="2"/>
      <c r="O4541" s="2"/>
    </row>
    <row r="4542" spans="12:15">
      <c r="L4542" s="2"/>
      <c r="N4542" s="2"/>
      <c r="O4542" s="2"/>
    </row>
    <row r="4543" spans="12:15">
      <c r="L4543" s="2"/>
      <c r="N4543" s="2"/>
      <c r="O4543" s="2"/>
    </row>
    <row r="4544" spans="12:15">
      <c r="L4544" s="2"/>
      <c r="N4544" s="2"/>
      <c r="O4544" s="2"/>
    </row>
    <row r="4545" spans="12:15">
      <c r="L4545" s="2"/>
      <c r="N4545" s="2"/>
      <c r="O4545" s="2"/>
    </row>
    <row r="4546" spans="12:15">
      <c r="L4546" s="2"/>
      <c r="N4546" s="2"/>
      <c r="O4546" s="2"/>
    </row>
    <row r="4547" spans="12:15">
      <c r="L4547" s="2"/>
      <c r="N4547" s="2"/>
      <c r="O4547" s="2"/>
    </row>
    <row r="4548" spans="12:15">
      <c r="L4548" s="2"/>
      <c r="N4548" s="2"/>
      <c r="O4548" s="2"/>
    </row>
    <row r="4549" spans="12:15">
      <c r="L4549" s="2"/>
      <c r="N4549" s="2"/>
      <c r="O4549" s="2"/>
    </row>
    <row r="4550" spans="12:15">
      <c r="L4550" s="2"/>
      <c r="N4550" s="2"/>
      <c r="O4550" s="2"/>
    </row>
    <row r="4551" spans="12:15">
      <c r="L4551" s="2"/>
      <c r="N4551" s="2"/>
      <c r="O4551" s="2"/>
    </row>
    <row r="4552" spans="12:15">
      <c r="L4552" s="2"/>
      <c r="N4552" s="2"/>
      <c r="O4552" s="2"/>
    </row>
    <row r="4553" spans="12:15">
      <c r="L4553" s="2"/>
      <c r="N4553" s="2"/>
      <c r="O4553" s="2"/>
    </row>
    <row r="4554" spans="12:15">
      <c r="L4554" s="2"/>
      <c r="N4554" s="2"/>
      <c r="O4554" s="2"/>
    </row>
    <row r="4555" spans="12:15">
      <c r="L4555" s="2"/>
      <c r="N4555" s="2"/>
      <c r="O4555" s="2"/>
    </row>
    <row r="4556" spans="12:15">
      <c r="L4556" s="2"/>
      <c r="N4556" s="2"/>
      <c r="O4556" s="2"/>
    </row>
    <row r="4557" spans="12:15">
      <c r="L4557" s="2"/>
      <c r="N4557" s="2"/>
      <c r="O4557" s="2"/>
    </row>
    <row r="4558" spans="12:15">
      <c r="L4558" s="2"/>
      <c r="N4558" s="2"/>
      <c r="O4558" s="2"/>
    </row>
    <row r="4559" spans="12:15">
      <c r="L4559" s="2"/>
      <c r="N4559" s="2"/>
      <c r="O4559" s="2"/>
    </row>
    <row r="4560" spans="12:15">
      <c r="L4560" s="2"/>
      <c r="N4560" s="2"/>
      <c r="O4560" s="2"/>
    </row>
    <row r="4561" spans="12:15">
      <c r="L4561" s="2"/>
      <c r="N4561" s="2"/>
      <c r="O4561" s="2"/>
    </row>
    <row r="4562" spans="12:15">
      <c r="L4562" s="2"/>
      <c r="N4562" s="2"/>
      <c r="O4562" s="2"/>
    </row>
    <row r="4563" spans="12:15">
      <c r="L4563" s="2"/>
      <c r="N4563" s="2"/>
      <c r="O4563" s="2"/>
    </row>
    <row r="4564" spans="12:15">
      <c r="L4564" s="2"/>
      <c r="N4564" s="2"/>
      <c r="O4564" s="2"/>
    </row>
    <row r="4565" spans="12:15">
      <c r="L4565" s="2"/>
      <c r="N4565" s="2"/>
      <c r="O4565" s="2"/>
    </row>
    <row r="4566" spans="12:15">
      <c r="L4566" s="2"/>
      <c r="N4566" s="2"/>
      <c r="O4566" s="2"/>
    </row>
    <row r="4567" spans="12:15">
      <c r="L4567" s="2"/>
      <c r="N4567" s="2"/>
      <c r="O4567" s="2"/>
    </row>
    <row r="4568" spans="12:15">
      <c r="L4568" s="2"/>
      <c r="N4568" s="2"/>
      <c r="O4568" s="2"/>
    </row>
    <row r="4569" spans="12:15">
      <c r="L4569" s="2"/>
      <c r="N4569" s="2"/>
      <c r="O4569" s="2"/>
    </row>
    <row r="4570" spans="12:15">
      <c r="L4570" s="2"/>
      <c r="N4570" s="2"/>
      <c r="O4570" s="2"/>
    </row>
    <row r="4571" spans="12:15">
      <c r="L4571" s="2"/>
      <c r="N4571" s="2"/>
      <c r="O4571" s="2"/>
    </row>
    <row r="4572" spans="12:15">
      <c r="L4572" s="2"/>
      <c r="N4572" s="2"/>
      <c r="O4572" s="2"/>
    </row>
    <row r="4573" spans="12:15">
      <c r="L4573" s="2"/>
      <c r="N4573" s="2"/>
      <c r="O4573" s="2"/>
    </row>
    <row r="4574" spans="12:15">
      <c r="L4574" s="2"/>
      <c r="N4574" s="2"/>
      <c r="O4574" s="2"/>
    </row>
    <row r="4575" spans="12:15">
      <c r="L4575" s="2"/>
      <c r="N4575" s="2"/>
      <c r="O4575" s="2"/>
    </row>
    <row r="4576" spans="12:15">
      <c r="L4576" s="2"/>
      <c r="N4576" s="2"/>
      <c r="O4576" s="2"/>
    </row>
    <row r="4577" spans="12:15">
      <c r="L4577" s="2"/>
      <c r="N4577" s="2"/>
      <c r="O4577" s="2"/>
    </row>
    <row r="4578" spans="12:15">
      <c r="L4578" s="2"/>
      <c r="N4578" s="2"/>
      <c r="O4578" s="2"/>
    </row>
    <row r="4579" spans="12:15">
      <c r="L4579" s="2"/>
      <c r="N4579" s="2"/>
      <c r="O4579" s="2"/>
    </row>
    <row r="4580" spans="12:15">
      <c r="L4580" s="2"/>
      <c r="N4580" s="2"/>
      <c r="O4580" s="2"/>
    </row>
    <row r="4581" spans="12:15">
      <c r="L4581" s="2"/>
      <c r="N4581" s="2"/>
      <c r="O4581" s="2"/>
    </row>
    <row r="4582" spans="12:15">
      <c r="L4582" s="2"/>
      <c r="N4582" s="2"/>
      <c r="O4582" s="2"/>
    </row>
    <row r="4583" spans="12:15">
      <c r="L4583" s="2"/>
      <c r="N4583" s="2"/>
      <c r="O4583" s="2"/>
    </row>
    <row r="4584" spans="12:15">
      <c r="L4584" s="2"/>
      <c r="N4584" s="2"/>
      <c r="O4584" s="2"/>
    </row>
    <row r="4585" spans="12:15">
      <c r="L4585" s="2"/>
      <c r="N4585" s="2"/>
      <c r="O4585" s="2"/>
    </row>
    <row r="4586" spans="12:15">
      <c r="L4586" s="2"/>
      <c r="N4586" s="2"/>
      <c r="O4586" s="2"/>
    </row>
    <row r="4587" spans="12:15">
      <c r="L4587" s="2"/>
      <c r="N4587" s="2"/>
      <c r="O4587" s="2"/>
    </row>
    <row r="4588" spans="12:15">
      <c r="L4588" s="2"/>
      <c r="N4588" s="2"/>
      <c r="O4588" s="2"/>
    </row>
    <row r="4589" spans="12:15">
      <c r="L4589" s="2"/>
      <c r="N4589" s="2"/>
      <c r="O4589" s="2"/>
    </row>
    <row r="4590" spans="12:15">
      <c r="L4590" s="2"/>
      <c r="N4590" s="2"/>
      <c r="O4590" s="2"/>
    </row>
    <row r="4591" spans="12:15">
      <c r="L4591" s="2"/>
      <c r="N4591" s="2"/>
      <c r="O4591" s="2"/>
    </row>
    <row r="4592" spans="12:15">
      <c r="L4592" s="2"/>
      <c r="N4592" s="2"/>
      <c r="O4592" s="2"/>
    </row>
    <row r="4593" spans="12:15">
      <c r="L4593" s="2"/>
      <c r="N4593" s="2"/>
      <c r="O4593" s="2"/>
    </row>
    <row r="4594" spans="12:15">
      <c r="L4594" s="2"/>
      <c r="N4594" s="2"/>
      <c r="O4594" s="2"/>
    </row>
    <row r="4595" spans="12:15">
      <c r="L4595" s="2"/>
      <c r="N4595" s="2"/>
      <c r="O4595" s="2"/>
    </row>
    <row r="4596" spans="12:15">
      <c r="L4596" s="2"/>
      <c r="N4596" s="2"/>
      <c r="O4596" s="2"/>
    </row>
    <row r="4597" spans="12:15">
      <c r="L4597" s="2"/>
      <c r="N4597" s="2"/>
      <c r="O4597" s="2"/>
    </row>
    <row r="4598" spans="12:15">
      <c r="L4598" s="2"/>
      <c r="N4598" s="2"/>
      <c r="O4598" s="2"/>
    </row>
    <row r="4599" spans="12:15">
      <c r="L4599" s="2"/>
      <c r="N4599" s="2"/>
      <c r="O4599" s="2"/>
    </row>
    <row r="4600" spans="12:15">
      <c r="L4600" s="2"/>
      <c r="N4600" s="2"/>
      <c r="O4600" s="2"/>
    </row>
    <row r="4601" spans="12:15">
      <c r="L4601" s="2"/>
      <c r="N4601" s="2"/>
      <c r="O4601" s="2"/>
    </row>
    <row r="4602" spans="12:15">
      <c r="L4602" s="2"/>
      <c r="N4602" s="2"/>
      <c r="O4602" s="2"/>
    </row>
    <row r="4603" spans="12:15">
      <c r="L4603" s="2"/>
      <c r="N4603" s="2"/>
      <c r="O4603" s="2"/>
    </row>
    <row r="4604" spans="12:15">
      <c r="L4604" s="2"/>
      <c r="N4604" s="2"/>
      <c r="O4604" s="2"/>
    </row>
    <row r="4605" spans="12:15">
      <c r="L4605" s="2"/>
      <c r="N4605" s="2"/>
      <c r="O4605" s="2"/>
    </row>
    <row r="4606" spans="12:15">
      <c r="L4606" s="2"/>
      <c r="N4606" s="2"/>
      <c r="O4606" s="2"/>
    </row>
    <row r="4607" spans="12:15">
      <c r="L4607" s="2"/>
      <c r="N4607" s="2"/>
      <c r="O4607" s="2"/>
    </row>
    <row r="4608" spans="12:15">
      <c r="L4608" s="2"/>
      <c r="N4608" s="2"/>
      <c r="O4608" s="2"/>
    </row>
    <row r="4609" spans="12:15">
      <c r="L4609" s="2"/>
      <c r="N4609" s="2"/>
      <c r="O4609" s="2"/>
    </row>
    <row r="4610" spans="12:15">
      <c r="L4610" s="2"/>
      <c r="N4610" s="2"/>
      <c r="O4610" s="2"/>
    </row>
    <row r="4611" spans="12:15">
      <c r="L4611" s="2"/>
      <c r="N4611" s="2"/>
      <c r="O4611" s="2"/>
    </row>
    <row r="4612" spans="12:15">
      <c r="L4612" s="2"/>
      <c r="N4612" s="2"/>
      <c r="O4612" s="2"/>
    </row>
    <row r="4613" spans="12:15">
      <c r="L4613" s="2"/>
      <c r="N4613" s="2"/>
      <c r="O4613" s="2"/>
    </row>
    <row r="4614" spans="12:15">
      <c r="L4614" s="2"/>
      <c r="N4614" s="2"/>
      <c r="O4614" s="2"/>
    </row>
    <row r="4615" spans="12:15">
      <c r="L4615" s="2"/>
      <c r="N4615" s="2"/>
      <c r="O4615" s="2"/>
    </row>
    <row r="4616" spans="12:15">
      <c r="L4616" s="2"/>
      <c r="N4616" s="2"/>
      <c r="O4616" s="2"/>
    </row>
    <row r="4617" spans="12:15">
      <c r="L4617" s="2"/>
      <c r="N4617" s="2"/>
      <c r="O4617" s="2"/>
    </row>
    <row r="4618" spans="12:15">
      <c r="L4618" s="2"/>
      <c r="N4618" s="2"/>
      <c r="O4618" s="2"/>
    </row>
    <row r="4619" spans="12:15">
      <c r="L4619" s="2"/>
      <c r="N4619" s="2"/>
      <c r="O4619" s="2"/>
    </row>
    <row r="4620" spans="12:15">
      <c r="L4620" s="2"/>
      <c r="N4620" s="2"/>
      <c r="O4620" s="2"/>
    </row>
    <row r="4621" spans="12:15">
      <c r="L4621" s="2"/>
      <c r="N4621" s="2"/>
      <c r="O4621" s="2"/>
    </row>
    <row r="4622" spans="12:15">
      <c r="L4622" s="2"/>
      <c r="N4622" s="2"/>
      <c r="O4622" s="2"/>
    </row>
    <row r="4623" spans="12:15">
      <c r="L4623" s="2"/>
      <c r="N4623" s="2"/>
      <c r="O4623" s="2"/>
    </row>
    <row r="4624" spans="12:15">
      <c r="L4624" s="2"/>
      <c r="N4624" s="2"/>
      <c r="O4624" s="2"/>
    </row>
    <row r="4625" spans="12:15">
      <c r="L4625" s="2"/>
      <c r="N4625" s="2"/>
      <c r="O4625" s="2"/>
    </row>
    <row r="4626" spans="12:15">
      <c r="L4626" s="2"/>
      <c r="N4626" s="2"/>
      <c r="O4626" s="2"/>
    </row>
    <row r="4627" spans="12:15">
      <c r="L4627" s="2"/>
      <c r="N4627" s="2"/>
      <c r="O4627" s="2"/>
    </row>
    <row r="4628" spans="12:15">
      <c r="L4628" s="2"/>
      <c r="N4628" s="2"/>
      <c r="O4628" s="2"/>
    </row>
    <row r="4629" spans="12:15">
      <c r="L4629" s="2"/>
      <c r="N4629" s="2"/>
      <c r="O4629" s="2"/>
    </row>
    <row r="4630" spans="12:15">
      <c r="L4630" s="2"/>
      <c r="N4630" s="2"/>
      <c r="O4630" s="2"/>
    </row>
    <row r="4631" spans="12:15">
      <c r="L4631" s="2"/>
      <c r="N4631" s="2"/>
      <c r="O4631" s="2"/>
    </row>
    <row r="4632" spans="12:15">
      <c r="L4632" s="2"/>
      <c r="N4632" s="2"/>
      <c r="O4632" s="2"/>
    </row>
    <row r="4633" spans="12:15">
      <c r="L4633" s="2"/>
      <c r="N4633" s="2"/>
      <c r="O4633" s="2"/>
    </row>
    <row r="4634" spans="12:15">
      <c r="L4634" s="2"/>
      <c r="N4634" s="2"/>
      <c r="O4634" s="2"/>
    </row>
    <row r="4635" spans="12:15">
      <c r="L4635" s="2"/>
      <c r="N4635" s="2"/>
      <c r="O4635" s="2"/>
    </row>
    <row r="4636" spans="12:15">
      <c r="L4636" s="2"/>
      <c r="N4636" s="2"/>
      <c r="O4636" s="2"/>
    </row>
    <row r="4637" spans="12:15">
      <c r="L4637" s="2"/>
      <c r="N4637" s="2"/>
      <c r="O4637" s="2"/>
    </row>
    <row r="4638" spans="12:15">
      <c r="L4638" s="2"/>
      <c r="N4638" s="2"/>
      <c r="O4638" s="2"/>
    </row>
    <row r="4639" spans="12:15">
      <c r="L4639" s="2"/>
      <c r="N4639" s="2"/>
      <c r="O4639" s="2"/>
    </row>
    <row r="4640" spans="12:15">
      <c r="L4640" s="2"/>
      <c r="N4640" s="2"/>
      <c r="O4640" s="2"/>
    </row>
    <row r="4641" spans="12:15">
      <c r="L4641" s="2"/>
      <c r="N4641" s="2"/>
      <c r="O4641" s="2"/>
    </row>
    <row r="4642" spans="12:15">
      <c r="L4642" s="2"/>
      <c r="N4642" s="2"/>
      <c r="O4642" s="2"/>
    </row>
    <row r="4643" spans="12:15">
      <c r="L4643" s="2"/>
      <c r="N4643" s="2"/>
      <c r="O4643" s="2"/>
    </row>
    <row r="4644" spans="12:15">
      <c r="L4644" s="2"/>
      <c r="N4644" s="2"/>
      <c r="O4644" s="2"/>
    </row>
    <row r="4645" spans="12:15">
      <c r="L4645" s="2"/>
      <c r="N4645" s="2"/>
      <c r="O4645" s="2"/>
    </row>
    <row r="4646" spans="12:15">
      <c r="L4646" s="2"/>
      <c r="N4646" s="2"/>
      <c r="O4646" s="2"/>
    </row>
    <row r="4647" spans="12:15">
      <c r="L4647" s="2"/>
      <c r="N4647" s="2"/>
      <c r="O4647" s="2"/>
    </row>
    <row r="4648" spans="12:15">
      <c r="L4648" s="2"/>
      <c r="N4648" s="2"/>
      <c r="O4648" s="2"/>
    </row>
    <row r="4649" spans="12:15">
      <c r="L4649" s="2"/>
      <c r="N4649" s="2"/>
      <c r="O4649" s="2"/>
    </row>
    <row r="4650" spans="12:15">
      <c r="L4650" s="2"/>
      <c r="N4650" s="2"/>
      <c r="O4650" s="2"/>
    </row>
    <row r="4651" spans="12:15">
      <c r="L4651" s="2"/>
      <c r="N4651" s="2"/>
      <c r="O4651" s="2"/>
    </row>
    <row r="4652" spans="12:15">
      <c r="L4652" s="2"/>
      <c r="N4652" s="2"/>
      <c r="O4652" s="2"/>
    </row>
    <row r="4653" spans="12:15">
      <c r="L4653" s="2"/>
      <c r="N4653" s="2"/>
      <c r="O4653" s="2"/>
    </row>
    <row r="4654" spans="12:15">
      <c r="L4654" s="2"/>
      <c r="N4654" s="2"/>
      <c r="O4654" s="2"/>
    </row>
    <row r="4655" spans="12:15">
      <c r="L4655" s="2"/>
      <c r="N4655" s="2"/>
      <c r="O4655" s="2"/>
    </row>
    <row r="4656" spans="12:15">
      <c r="L4656" s="2"/>
      <c r="N4656" s="2"/>
      <c r="O4656" s="2"/>
    </row>
    <row r="4657" spans="12:15">
      <c r="L4657" s="2"/>
      <c r="N4657" s="2"/>
      <c r="O4657" s="2"/>
    </row>
    <row r="4658" spans="12:15">
      <c r="L4658" s="2"/>
      <c r="N4658" s="2"/>
      <c r="O4658" s="2"/>
    </row>
    <row r="4659" spans="12:15">
      <c r="L4659" s="2"/>
      <c r="N4659" s="2"/>
      <c r="O4659" s="2"/>
    </row>
    <row r="4660" spans="12:15">
      <c r="L4660" s="2"/>
      <c r="N4660" s="2"/>
      <c r="O4660" s="2"/>
    </row>
    <row r="4661" spans="12:15">
      <c r="L4661" s="2"/>
      <c r="N4661" s="2"/>
      <c r="O4661" s="2"/>
    </row>
    <row r="4662" spans="12:15">
      <c r="L4662" s="2"/>
      <c r="N4662" s="2"/>
      <c r="O4662" s="2"/>
    </row>
    <row r="4663" spans="12:15">
      <c r="L4663" s="2"/>
      <c r="N4663" s="2"/>
      <c r="O4663" s="2"/>
    </row>
    <row r="4664" spans="12:15">
      <c r="L4664" s="2"/>
      <c r="N4664" s="2"/>
      <c r="O4664" s="2"/>
    </row>
    <row r="4665" spans="12:15">
      <c r="L4665" s="2"/>
      <c r="N4665" s="2"/>
      <c r="O4665" s="2"/>
    </row>
    <row r="4666" spans="12:15">
      <c r="L4666" s="2"/>
      <c r="N4666" s="2"/>
      <c r="O4666" s="2"/>
    </row>
    <row r="4667" spans="12:15">
      <c r="L4667" s="2"/>
      <c r="N4667" s="2"/>
      <c r="O4667" s="2"/>
    </row>
    <row r="4668" spans="12:15">
      <c r="L4668" s="2"/>
      <c r="N4668" s="2"/>
      <c r="O4668" s="2"/>
    </row>
    <row r="4669" spans="12:15">
      <c r="L4669" s="2"/>
      <c r="N4669" s="2"/>
      <c r="O4669" s="2"/>
    </row>
    <row r="4670" spans="12:15">
      <c r="L4670" s="2"/>
      <c r="N4670" s="2"/>
      <c r="O4670" s="2"/>
    </row>
    <row r="4671" spans="12:15">
      <c r="L4671" s="2"/>
      <c r="N4671" s="2"/>
      <c r="O4671" s="2"/>
    </row>
    <row r="4672" spans="12:15">
      <c r="L4672" s="2"/>
      <c r="N4672" s="2"/>
      <c r="O4672" s="2"/>
    </row>
    <row r="4673" spans="12:15">
      <c r="L4673" s="2"/>
      <c r="N4673" s="2"/>
      <c r="O4673" s="2"/>
    </row>
    <row r="4674" spans="12:15">
      <c r="L4674" s="2"/>
      <c r="N4674" s="2"/>
      <c r="O4674" s="2"/>
    </row>
    <row r="4675" spans="12:15">
      <c r="L4675" s="2"/>
      <c r="N4675" s="2"/>
      <c r="O4675" s="2"/>
    </row>
    <row r="4676" spans="12:15">
      <c r="L4676" s="2"/>
      <c r="N4676" s="2"/>
      <c r="O4676" s="2"/>
    </row>
    <row r="4677" spans="12:15">
      <c r="L4677" s="2"/>
      <c r="N4677" s="2"/>
      <c r="O4677" s="2"/>
    </row>
    <row r="4678" spans="12:15">
      <c r="L4678" s="2"/>
      <c r="N4678" s="2"/>
      <c r="O4678" s="2"/>
    </row>
    <row r="4679" spans="12:15">
      <c r="L4679" s="2"/>
      <c r="N4679" s="2"/>
      <c r="O4679" s="2"/>
    </row>
    <row r="4680" spans="12:15">
      <c r="L4680" s="2"/>
      <c r="N4680" s="2"/>
      <c r="O4680" s="2"/>
    </row>
    <row r="4681" spans="12:15">
      <c r="L4681" s="2"/>
      <c r="N4681" s="2"/>
      <c r="O4681" s="2"/>
    </row>
    <row r="4682" spans="12:15">
      <c r="L4682" s="2"/>
      <c r="N4682" s="2"/>
      <c r="O4682" s="2"/>
    </row>
    <row r="4683" spans="12:15">
      <c r="L4683" s="2"/>
      <c r="N4683" s="2"/>
      <c r="O4683" s="2"/>
    </row>
    <row r="4684" spans="12:15">
      <c r="L4684" s="2"/>
      <c r="N4684" s="2"/>
      <c r="O4684" s="2"/>
    </row>
    <row r="4685" spans="12:15">
      <c r="L4685" s="2"/>
      <c r="N4685" s="2"/>
      <c r="O4685" s="2"/>
    </row>
    <row r="4686" spans="12:15">
      <c r="L4686" s="2"/>
      <c r="N4686" s="2"/>
      <c r="O4686" s="2"/>
    </row>
    <row r="4687" spans="12:15">
      <c r="L4687" s="2"/>
      <c r="N4687" s="2"/>
      <c r="O4687" s="2"/>
    </row>
    <row r="4688" spans="12:15">
      <c r="L4688" s="2"/>
      <c r="N4688" s="2"/>
      <c r="O4688" s="2"/>
    </row>
    <row r="4689" spans="12:15">
      <c r="L4689" s="2"/>
      <c r="N4689" s="2"/>
      <c r="O4689" s="2"/>
    </row>
    <row r="4690" spans="12:15">
      <c r="L4690" s="2"/>
      <c r="N4690" s="2"/>
      <c r="O4690" s="2"/>
    </row>
    <row r="4691" spans="12:15">
      <c r="L4691" s="2"/>
      <c r="N4691" s="2"/>
      <c r="O4691" s="2"/>
    </row>
    <row r="4692" spans="12:15">
      <c r="L4692" s="2"/>
      <c r="N4692" s="2"/>
      <c r="O4692" s="2"/>
    </row>
    <row r="4693" spans="12:15">
      <c r="L4693" s="2"/>
      <c r="N4693" s="2"/>
      <c r="O4693" s="2"/>
    </row>
    <row r="4694" spans="12:15">
      <c r="L4694" s="2"/>
      <c r="N4694" s="2"/>
      <c r="O4694" s="2"/>
    </row>
    <row r="4695" spans="12:15">
      <c r="L4695" s="2"/>
      <c r="N4695" s="2"/>
      <c r="O4695" s="2"/>
    </row>
    <row r="4696" spans="12:15">
      <c r="L4696" s="2"/>
      <c r="N4696" s="2"/>
      <c r="O4696" s="2"/>
    </row>
    <row r="4697" spans="12:15">
      <c r="L4697" s="2"/>
      <c r="N4697" s="2"/>
      <c r="O4697" s="2"/>
    </row>
    <row r="4698" spans="12:15">
      <c r="L4698" s="2"/>
      <c r="N4698" s="2"/>
      <c r="O4698" s="2"/>
    </row>
    <row r="4699" spans="12:15">
      <c r="L4699" s="2"/>
      <c r="N4699" s="2"/>
      <c r="O4699" s="2"/>
    </row>
    <row r="4700" spans="12:15">
      <c r="L4700" s="2"/>
      <c r="N4700" s="2"/>
      <c r="O4700" s="2"/>
    </row>
    <row r="4701" spans="12:15">
      <c r="L4701" s="2"/>
      <c r="N4701" s="2"/>
      <c r="O4701" s="2"/>
    </row>
    <row r="4702" spans="12:15">
      <c r="L4702" s="2"/>
      <c r="N4702" s="2"/>
      <c r="O4702" s="2"/>
    </row>
    <row r="4703" spans="12:15">
      <c r="L4703" s="2"/>
      <c r="N4703" s="2"/>
      <c r="O4703" s="2"/>
    </row>
    <row r="4704" spans="12:15">
      <c r="L4704" s="2"/>
      <c r="N4704" s="2"/>
      <c r="O4704" s="2"/>
    </row>
    <row r="4705" spans="12:15">
      <c r="L4705" s="2"/>
      <c r="N4705" s="2"/>
      <c r="O4705" s="2"/>
    </row>
    <row r="4706" spans="12:15">
      <c r="L4706" s="2"/>
      <c r="N4706" s="2"/>
      <c r="O4706" s="2"/>
    </row>
    <row r="4707" spans="12:15">
      <c r="L4707" s="2"/>
      <c r="N4707" s="2"/>
      <c r="O4707" s="2"/>
    </row>
    <row r="4708" spans="12:15">
      <c r="L4708" s="2"/>
      <c r="N4708" s="2"/>
      <c r="O4708" s="2"/>
    </row>
    <row r="4709" spans="12:15">
      <c r="L4709" s="2"/>
      <c r="N4709" s="2"/>
      <c r="O4709" s="2"/>
    </row>
    <row r="4710" spans="12:15">
      <c r="L4710" s="2"/>
      <c r="N4710" s="2"/>
      <c r="O4710" s="2"/>
    </row>
    <row r="4711" spans="12:15">
      <c r="L4711" s="2"/>
      <c r="N4711" s="2"/>
      <c r="O4711" s="2"/>
    </row>
    <row r="4712" spans="12:15">
      <c r="L4712" s="2"/>
      <c r="N4712" s="2"/>
      <c r="O4712" s="2"/>
    </row>
    <row r="4713" spans="12:15">
      <c r="L4713" s="2"/>
      <c r="N4713" s="2"/>
      <c r="O4713" s="2"/>
    </row>
    <row r="4714" spans="12:15">
      <c r="L4714" s="2"/>
      <c r="N4714" s="2"/>
      <c r="O4714" s="2"/>
    </row>
    <row r="4715" spans="12:15">
      <c r="L4715" s="2"/>
      <c r="N4715" s="2"/>
      <c r="O4715" s="2"/>
    </row>
    <row r="4716" spans="12:15">
      <c r="L4716" s="2"/>
      <c r="N4716" s="2"/>
      <c r="O4716" s="2"/>
    </row>
    <row r="4717" spans="12:15">
      <c r="L4717" s="2"/>
      <c r="N4717" s="2"/>
      <c r="O4717" s="2"/>
    </row>
    <row r="4718" spans="12:15">
      <c r="L4718" s="2"/>
      <c r="N4718" s="2"/>
      <c r="O4718" s="2"/>
    </row>
    <row r="4719" spans="12:15">
      <c r="L4719" s="2"/>
      <c r="N4719" s="2"/>
      <c r="O4719" s="2"/>
    </row>
    <row r="4720" spans="12:15">
      <c r="L4720" s="2"/>
      <c r="N4720" s="2"/>
      <c r="O4720" s="2"/>
    </row>
    <row r="4721" spans="12:15">
      <c r="L4721" s="2"/>
      <c r="N4721" s="2"/>
      <c r="O4721" s="2"/>
    </row>
    <row r="4722" spans="12:15">
      <c r="L4722" s="2"/>
      <c r="N4722" s="2"/>
      <c r="O4722" s="2"/>
    </row>
    <row r="4723" spans="12:15">
      <c r="L4723" s="2"/>
      <c r="N4723" s="2"/>
      <c r="O4723" s="2"/>
    </row>
    <row r="4724" spans="12:15">
      <c r="L4724" s="2"/>
      <c r="N4724" s="2"/>
      <c r="O4724" s="2"/>
    </row>
    <row r="4725" spans="12:15">
      <c r="L4725" s="2"/>
      <c r="N4725" s="2"/>
      <c r="O4725" s="2"/>
    </row>
    <row r="4726" spans="12:15">
      <c r="L4726" s="2"/>
      <c r="N4726" s="2"/>
      <c r="O4726" s="2"/>
    </row>
    <row r="4727" spans="12:15">
      <c r="L4727" s="2"/>
      <c r="N4727" s="2"/>
      <c r="O4727" s="2"/>
    </row>
    <row r="4728" spans="12:15">
      <c r="L4728" s="2"/>
      <c r="N4728" s="2"/>
      <c r="O4728" s="2"/>
    </row>
    <row r="4729" spans="12:15">
      <c r="L4729" s="2"/>
      <c r="N4729" s="2"/>
      <c r="O4729" s="2"/>
    </row>
    <row r="4730" spans="12:15">
      <c r="L4730" s="2"/>
      <c r="N4730" s="2"/>
      <c r="O4730" s="2"/>
    </row>
    <row r="4731" spans="12:15">
      <c r="L4731" s="2"/>
      <c r="N4731" s="2"/>
      <c r="O4731" s="2"/>
    </row>
    <row r="4732" spans="12:15">
      <c r="L4732" s="2"/>
      <c r="N4732" s="2"/>
      <c r="O4732" s="2"/>
    </row>
    <row r="4733" spans="12:15">
      <c r="L4733" s="2"/>
      <c r="N4733" s="2"/>
      <c r="O4733" s="2"/>
    </row>
    <row r="4734" spans="12:15">
      <c r="L4734" s="2"/>
      <c r="N4734" s="2"/>
      <c r="O4734" s="2"/>
    </row>
    <row r="4735" spans="12:15">
      <c r="L4735" s="2"/>
      <c r="N4735" s="2"/>
      <c r="O4735" s="2"/>
    </row>
    <row r="4736" spans="12:15">
      <c r="L4736" s="2"/>
      <c r="N4736" s="2"/>
      <c r="O4736" s="2"/>
    </row>
    <row r="4737" spans="12:15">
      <c r="L4737" s="2"/>
      <c r="N4737" s="2"/>
      <c r="O4737" s="2"/>
    </row>
    <row r="4738" spans="12:15">
      <c r="L4738" s="2"/>
      <c r="N4738" s="2"/>
      <c r="O4738" s="2"/>
    </row>
    <row r="4739" spans="12:15">
      <c r="L4739" s="2"/>
      <c r="N4739" s="2"/>
      <c r="O4739" s="2"/>
    </row>
    <row r="4740" spans="12:15">
      <c r="L4740" s="2"/>
      <c r="N4740" s="2"/>
      <c r="O4740" s="2"/>
    </row>
    <row r="4741" spans="12:15">
      <c r="L4741" s="2"/>
      <c r="N4741" s="2"/>
      <c r="O4741" s="2"/>
    </row>
    <row r="4742" spans="12:15">
      <c r="L4742" s="2"/>
      <c r="N4742" s="2"/>
      <c r="O4742" s="2"/>
    </row>
    <row r="4743" spans="12:15">
      <c r="L4743" s="2"/>
      <c r="N4743" s="2"/>
      <c r="O4743" s="2"/>
    </row>
    <row r="4744" spans="12:15">
      <c r="L4744" s="2"/>
      <c r="N4744" s="2"/>
      <c r="O4744" s="2"/>
    </row>
    <row r="4745" spans="12:15">
      <c r="L4745" s="2"/>
      <c r="N4745" s="2"/>
      <c r="O4745" s="2"/>
    </row>
    <row r="4746" spans="12:15">
      <c r="L4746" s="2"/>
      <c r="N4746" s="2"/>
      <c r="O4746" s="2"/>
    </row>
    <row r="4747" spans="12:15">
      <c r="L4747" s="2"/>
      <c r="N4747" s="2"/>
      <c r="O4747" s="2"/>
    </row>
    <row r="4748" spans="12:15">
      <c r="L4748" s="2"/>
      <c r="N4748" s="2"/>
      <c r="O4748" s="2"/>
    </row>
    <row r="4749" spans="12:15">
      <c r="L4749" s="2"/>
      <c r="N4749" s="2"/>
      <c r="O4749" s="2"/>
    </row>
    <row r="4750" spans="12:15">
      <c r="L4750" s="2"/>
      <c r="N4750" s="2"/>
      <c r="O4750" s="2"/>
    </row>
    <row r="4751" spans="12:15">
      <c r="L4751" s="2"/>
      <c r="N4751" s="2"/>
      <c r="O4751" s="2"/>
    </row>
    <row r="4752" spans="12:15">
      <c r="L4752" s="2"/>
      <c r="N4752" s="2"/>
      <c r="O4752" s="2"/>
    </row>
    <row r="4753" spans="12:15">
      <c r="L4753" s="2"/>
      <c r="N4753" s="2"/>
      <c r="O4753" s="2"/>
    </row>
    <row r="4754" spans="12:15">
      <c r="L4754" s="2"/>
      <c r="N4754" s="2"/>
      <c r="O4754" s="2"/>
    </row>
    <row r="4755" spans="12:15">
      <c r="L4755" s="2"/>
      <c r="N4755" s="2"/>
      <c r="O4755" s="2"/>
    </row>
    <row r="4756" spans="12:15">
      <c r="L4756" s="2"/>
      <c r="N4756" s="2"/>
      <c r="O4756" s="2"/>
    </row>
    <row r="4757" spans="12:15">
      <c r="L4757" s="2"/>
      <c r="N4757" s="2"/>
      <c r="O4757" s="2"/>
    </row>
    <row r="4758" spans="12:15">
      <c r="L4758" s="2"/>
      <c r="N4758" s="2"/>
      <c r="O4758" s="2"/>
    </row>
    <row r="4759" spans="12:15">
      <c r="L4759" s="2"/>
      <c r="N4759" s="2"/>
      <c r="O4759" s="2"/>
    </row>
    <row r="4760" spans="12:15">
      <c r="L4760" s="2"/>
      <c r="N4760" s="2"/>
      <c r="O4760" s="2"/>
    </row>
    <row r="4761" spans="12:15">
      <c r="L4761" s="2"/>
      <c r="N4761" s="2"/>
      <c r="O4761" s="2"/>
    </row>
    <row r="4762" spans="12:15">
      <c r="L4762" s="2"/>
      <c r="N4762" s="2"/>
      <c r="O4762" s="2"/>
    </row>
    <row r="4763" spans="12:15">
      <c r="L4763" s="2"/>
      <c r="N4763" s="2"/>
      <c r="O4763" s="2"/>
    </row>
    <row r="4764" spans="12:15">
      <c r="L4764" s="2"/>
      <c r="N4764" s="2"/>
      <c r="O4764" s="2"/>
    </row>
    <row r="4765" spans="12:15">
      <c r="L4765" s="2"/>
      <c r="N4765" s="2"/>
      <c r="O4765" s="2"/>
    </row>
    <row r="4766" spans="12:15">
      <c r="L4766" s="2"/>
      <c r="N4766" s="2"/>
      <c r="O4766" s="2"/>
    </row>
    <row r="4767" spans="12:15">
      <c r="L4767" s="2"/>
      <c r="N4767" s="2"/>
      <c r="O4767" s="2"/>
    </row>
    <row r="4768" spans="12:15">
      <c r="L4768" s="2"/>
      <c r="N4768" s="2"/>
      <c r="O4768" s="2"/>
    </row>
    <row r="4769" spans="12:15">
      <c r="L4769" s="2"/>
      <c r="N4769" s="2"/>
      <c r="O4769" s="2"/>
    </row>
    <row r="4770" spans="12:15">
      <c r="L4770" s="2"/>
      <c r="N4770" s="2"/>
      <c r="O4770" s="2"/>
    </row>
    <row r="4771" spans="12:15">
      <c r="L4771" s="2"/>
      <c r="N4771" s="2"/>
      <c r="O4771" s="2"/>
    </row>
    <row r="4772" spans="12:15">
      <c r="L4772" s="2"/>
      <c r="N4772" s="2"/>
      <c r="O4772" s="2"/>
    </row>
    <row r="4773" spans="12:15">
      <c r="L4773" s="2"/>
      <c r="N4773" s="2"/>
      <c r="O4773" s="2"/>
    </row>
    <row r="4774" spans="12:15">
      <c r="L4774" s="2"/>
      <c r="N4774" s="2"/>
      <c r="O4774" s="2"/>
    </row>
    <row r="4775" spans="12:15">
      <c r="L4775" s="2"/>
      <c r="N4775" s="2"/>
      <c r="O4775" s="2"/>
    </row>
    <row r="4776" spans="12:15">
      <c r="L4776" s="2"/>
      <c r="N4776" s="2"/>
      <c r="O4776" s="2"/>
    </row>
    <row r="4777" spans="12:15">
      <c r="L4777" s="2"/>
      <c r="N4777" s="2"/>
      <c r="O4777" s="2"/>
    </row>
    <row r="4778" spans="12:15">
      <c r="L4778" s="2"/>
      <c r="N4778" s="2"/>
      <c r="O4778" s="2"/>
    </row>
    <row r="4779" spans="12:15">
      <c r="L4779" s="2"/>
      <c r="N4779" s="2"/>
      <c r="O4779" s="2"/>
    </row>
    <row r="4780" spans="12:15">
      <c r="L4780" s="2"/>
      <c r="N4780" s="2"/>
      <c r="O4780" s="2"/>
    </row>
    <row r="4781" spans="12:15">
      <c r="L4781" s="2"/>
      <c r="N4781" s="2"/>
      <c r="O4781" s="2"/>
    </row>
    <row r="4782" spans="12:15">
      <c r="L4782" s="2"/>
      <c r="N4782" s="2"/>
      <c r="O4782" s="2"/>
    </row>
    <row r="4783" spans="12:15">
      <c r="L4783" s="2"/>
      <c r="N4783" s="2"/>
      <c r="O4783" s="2"/>
    </row>
    <row r="4784" spans="12:15">
      <c r="L4784" s="2"/>
      <c r="N4784" s="2"/>
      <c r="O4784" s="2"/>
    </row>
    <row r="4785" spans="12:15">
      <c r="L4785" s="2"/>
      <c r="N4785" s="2"/>
      <c r="O4785" s="2"/>
    </row>
    <row r="4786" spans="12:15">
      <c r="L4786" s="2"/>
      <c r="N4786" s="2"/>
      <c r="O4786" s="2"/>
    </row>
    <row r="4787" spans="12:15">
      <c r="L4787" s="2"/>
      <c r="N4787" s="2"/>
      <c r="O4787" s="2"/>
    </row>
    <row r="4788" spans="12:15">
      <c r="L4788" s="2"/>
      <c r="N4788" s="2"/>
      <c r="O4788" s="2"/>
    </row>
    <row r="4789" spans="12:15">
      <c r="L4789" s="2"/>
      <c r="N4789" s="2"/>
      <c r="O4789" s="2"/>
    </row>
    <row r="4790" spans="12:15">
      <c r="L4790" s="2"/>
      <c r="N4790" s="2"/>
      <c r="O4790" s="2"/>
    </row>
    <row r="4791" spans="12:15">
      <c r="L4791" s="2"/>
      <c r="N4791" s="2"/>
      <c r="O4791" s="2"/>
    </row>
    <row r="4792" spans="12:15">
      <c r="L4792" s="2"/>
      <c r="N4792" s="2"/>
      <c r="O4792" s="2"/>
    </row>
    <row r="4793" spans="12:15">
      <c r="L4793" s="2"/>
      <c r="N4793" s="2"/>
      <c r="O4793" s="2"/>
    </row>
    <row r="4794" spans="12:15">
      <c r="L4794" s="2"/>
      <c r="N4794" s="2"/>
      <c r="O4794" s="2"/>
    </row>
    <row r="4795" spans="12:15">
      <c r="L4795" s="2"/>
      <c r="N4795" s="2"/>
      <c r="O4795" s="2"/>
    </row>
    <row r="4796" spans="12:15">
      <c r="L4796" s="2"/>
      <c r="N4796" s="2"/>
      <c r="O4796" s="2"/>
    </row>
    <row r="4797" spans="12:15">
      <c r="L4797" s="2"/>
      <c r="N4797" s="2"/>
      <c r="O4797" s="2"/>
    </row>
    <row r="4798" spans="12:15">
      <c r="L4798" s="2"/>
      <c r="N4798" s="2"/>
      <c r="O4798" s="2"/>
    </row>
    <row r="4799" spans="12:15">
      <c r="L4799" s="2"/>
      <c r="N4799" s="2"/>
      <c r="O4799" s="2"/>
    </row>
    <row r="4800" spans="12:15">
      <c r="L4800" s="2"/>
      <c r="N4800" s="2"/>
      <c r="O4800" s="2"/>
    </row>
    <row r="4801" spans="12:15">
      <c r="L4801" s="2"/>
      <c r="N4801" s="2"/>
      <c r="O4801" s="2"/>
    </row>
    <row r="4802" spans="12:15">
      <c r="L4802" s="2"/>
      <c r="N4802" s="2"/>
      <c r="O4802" s="2"/>
    </row>
    <row r="4803" spans="12:15">
      <c r="L4803" s="2"/>
      <c r="N4803" s="2"/>
      <c r="O4803" s="2"/>
    </row>
    <row r="4804" spans="12:15">
      <c r="L4804" s="2"/>
      <c r="N4804" s="2"/>
      <c r="O4804" s="2"/>
    </row>
    <row r="4805" spans="12:15">
      <c r="L4805" s="2"/>
      <c r="N4805" s="2"/>
      <c r="O4805" s="2"/>
    </row>
    <row r="4806" spans="12:15">
      <c r="L4806" s="2"/>
      <c r="N4806" s="2"/>
      <c r="O4806" s="2"/>
    </row>
    <row r="4807" spans="12:15">
      <c r="L4807" s="2"/>
      <c r="N4807" s="2"/>
      <c r="O4807" s="2"/>
    </row>
    <row r="4808" spans="12:15">
      <c r="L4808" s="2"/>
      <c r="N4808" s="2"/>
      <c r="O4808" s="2"/>
    </row>
    <row r="4809" spans="12:15">
      <c r="L4809" s="2"/>
      <c r="N4809" s="2"/>
      <c r="O4809" s="2"/>
    </row>
    <row r="4810" spans="12:15">
      <c r="L4810" s="2"/>
      <c r="N4810" s="2"/>
      <c r="O4810" s="2"/>
    </row>
    <row r="4811" spans="12:15">
      <c r="L4811" s="2"/>
      <c r="N4811" s="2"/>
      <c r="O4811" s="2"/>
    </row>
    <row r="4812" spans="12:15">
      <c r="L4812" s="2"/>
      <c r="N4812" s="2"/>
      <c r="O4812" s="2"/>
    </row>
    <row r="4813" spans="12:15">
      <c r="L4813" s="2"/>
      <c r="N4813" s="2"/>
      <c r="O4813" s="2"/>
    </row>
    <row r="4814" spans="12:15">
      <c r="L4814" s="2"/>
      <c r="N4814" s="2"/>
      <c r="O4814" s="2"/>
    </row>
    <row r="4815" spans="12:15">
      <c r="L4815" s="2"/>
      <c r="N4815" s="2"/>
      <c r="O4815" s="2"/>
    </row>
    <row r="4816" spans="12:15">
      <c r="L4816" s="2"/>
      <c r="N4816" s="2"/>
      <c r="O4816" s="2"/>
    </row>
    <row r="4817" spans="12:15">
      <c r="L4817" s="2"/>
      <c r="N4817" s="2"/>
      <c r="O4817" s="2"/>
    </row>
    <row r="4818" spans="12:15">
      <c r="L4818" s="2"/>
      <c r="N4818" s="2"/>
      <c r="O4818" s="2"/>
    </row>
    <row r="4819" spans="12:15">
      <c r="L4819" s="2"/>
      <c r="N4819" s="2"/>
      <c r="O4819" s="2"/>
    </row>
    <row r="4820" spans="12:15">
      <c r="L4820" s="2"/>
      <c r="N4820" s="2"/>
      <c r="O4820" s="2"/>
    </row>
    <row r="4821" spans="12:15">
      <c r="L4821" s="2"/>
      <c r="N4821" s="2"/>
      <c r="O4821" s="2"/>
    </row>
    <row r="4822" spans="12:15">
      <c r="L4822" s="2"/>
      <c r="N4822" s="2"/>
      <c r="O4822" s="2"/>
    </row>
    <row r="4823" spans="12:15">
      <c r="L4823" s="2"/>
      <c r="N4823" s="2"/>
      <c r="O4823" s="2"/>
    </row>
    <row r="4824" spans="12:15">
      <c r="L4824" s="2"/>
      <c r="N4824" s="2"/>
      <c r="O4824" s="2"/>
    </row>
    <row r="4825" spans="12:15">
      <c r="L4825" s="2"/>
      <c r="N4825" s="2"/>
      <c r="O4825" s="2"/>
    </row>
    <row r="4826" spans="12:15">
      <c r="L4826" s="2"/>
      <c r="N4826" s="2"/>
      <c r="O4826" s="2"/>
    </row>
    <row r="4827" spans="12:15">
      <c r="L4827" s="2"/>
      <c r="N4827" s="2"/>
      <c r="O4827" s="2"/>
    </row>
    <row r="4828" spans="12:15">
      <c r="L4828" s="2"/>
      <c r="N4828" s="2"/>
      <c r="O4828" s="2"/>
    </row>
    <row r="4829" spans="12:15">
      <c r="L4829" s="2"/>
      <c r="N4829" s="2"/>
      <c r="O4829" s="2"/>
    </row>
    <row r="4830" spans="12:15">
      <c r="L4830" s="2"/>
      <c r="N4830" s="2"/>
      <c r="O4830" s="2"/>
    </row>
    <row r="4831" spans="12:15">
      <c r="L4831" s="2"/>
      <c r="N4831" s="2"/>
      <c r="O4831" s="2"/>
    </row>
    <row r="4832" spans="12:15">
      <c r="L4832" s="2"/>
      <c r="N4832" s="2"/>
      <c r="O4832" s="2"/>
    </row>
    <row r="4833" spans="12:15">
      <c r="L4833" s="2"/>
      <c r="N4833" s="2"/>
      <c r="O4833" s="2"/>
    </row>
    <row r="4834" spans="12:15">
      <c r="L4834" s="2"/>
      <c r="N4834" s="2"/>
      <c r="O4834" s="2"/>
    </row>
    <row r="4835" spans="12:15">
      <c r="L4835" s="2"/>
      <c r="N4835" s="2"/>
      <c r="O4835" s="2"/>
    </row>
    <row r="4836" spans="12:15">
      <c r="L4836" s="2"/>
      <c r="N4836" s="2"/>
      <c r="O4836" s="2"/>
    </row>
    <row r="4837" spans="12:15">
      <c r="L4837" s="2"/>
      <c r="N4837" s="2"/>
      <c r="O4837" s="2"/>
    </row>
    <row r="4838" spans="12:15">
      <c r="L4838" s="2"/>
      <c r="N4838" s="2"/>
      <c r="O4838" s="2"/>
    </row>
    <row r="4839" spans="12:15">
      <c r="L4839" s="2"/>
      <c r="N4839" s="2"/>
      <c r="O4839" s="2"/>
    </row>
    <row r="4840" spans="12:15">
      <c r="L4840" s="2"/>
      <c r="N4840" s="2"/>
      <c r="O4840" s="2"/>
    </row>
    <row r="4841" spans="12:15">
      <c r="L4841" s="2"/>
      <c r="N4841" s="2"/>
      <c r="O4841" s="2"/>
    </row>
    <row r="4842" spans="12:15">
      <c r="L4842" s="2"/>
      <c r="N4842" s="2"/>
      <c r="O4842" s="2"/>
    </row>
    <row r="4843" spans="12:15">
      <c r="L4843" s="2"/>
      <c r="N4843" s="2"/>
      <c r="O4843" s="2"/>
    </row>
    <row r="4844" spans="12:15">
      <c r="L4844" s="2"/>
      <c r="N4844" s="2"/>
      <c r="O4844" s="2"/>
    </row>
    <row r="4845" spans="12:15">
      <c r="L4845" s="2"/>
      <c r="N4845" s="2"/>
      <c r="O4845" s="2"/>
    </row>
    <row r="4846" spans="12:15">
      <c r="L4846" s="2"/>
      <c r="N4846" s="2"/>
      <c r="O4846" s="2"/>
    </row>
    <row r="4847" spans="12:15">
      <c r="L4847" s="2"/>
      <c r="N4847" s="2"/>
      <c r="O4847" s="2"/>
    </row>
    <row r="4848" spans="12:15">
      <c r="L4848" s="2"/>
      <c r="N4848" s="2"/>
      <c r="O4848" s="2"/>
    </row>
    <row r="4849" spans="12:15">
      <c r="L4849" s="2"/>
      <c r="N4849" s="2"/>
      <c r="O4849" s="2"/>
    </row>
    <row r="4850" spans="12:15">
      <c r="L4850" s="2"/>
      <c r="N4850" s="2"/>
      <c r="O4850" s="2"/>
    </row>
    <row r="4851" spans="12:15">
      <c r="L4851" s="2"/>
      <c r="N4851" s="2"/>
      <c r="O4851" s="2"/>
    </row>
    <row r="4852" spans="12:15">
      <c r="L4852" s="2"/>
      <c r="N4852" s="2"/>
      <c r="O4852" s="2"/>
    </row>
    <row r="4853" spans="12:15">
      <c r="L4853" s="2"/>
      <c r="N4853" s="2"/>
      <c r="O4853" s="2"/>
    </row>
    <row r="4854" spans="12:15">
      <c r="L4854" s="2"/>
      <c r="N4854" s="2"/>
      <c r="O4854" s="2"/>
    </row>
    <row r="4855" spans="12:15">
      <c r="L4855" s="2"/>
      <c r="N4855" s="2"/>
      <c r="O4855" s="2"/>
    </row>
    <row r="4856" spans="12:15">
      <c r="L4856" s="2"/>
      <c r="N4856" s="2"/>
      <c r="O4856" s="2"/>
    </row>
    <row r="4857" spans="12:15">
      <c r="L4857" s="2"/>
      <c r="N4857" s="2"/>
      <c r="O4857" s="2"/>
    </row>
    <row r="4858" spans="12:15">
      <c r="L4858" s="2"/>
      <c r="N4858" s="2"/>
      <c r="O4858" s="2"/>
    </row>
    <row r="4859" spans="12:15">
      <c r="L4859" s="2"/>
      <c r="N4859" s="2"/>
      <c r="O4859" s="2"/>
    </row>
    <row r="4860" spans="12:15">
      <c r="L4860" s="2"/>
      <c r="N4860" s="2"/>
      <c r="O4860" s="2"/>
    </row>
    <row r="4861" spans="12:15">
      <c r="L4861" s="2"/>
      <c r="N4861" s="2"/>
      <c r="O4861" s="2"/>
    </row>
    <row r="4862" spans="12:15">
      <c r="L4862" s="2"/>
      <c r="N4862" s="2"/>
      <c r="O4862" s="2"/>
    </row>
    <row r="4863" spans="12:15">
      <c r="L4863" s="2"/>
      <c r="N4863" s="2"/>
      <c r="O4863" s="2"/>
    </row>
    <row r="4864" spans="12:15">
      <c r="L4864" s="2"/>
      <c r="N4864" s="2"/>
      <c r="O4864" s="2"/>
    </row>
    <row r="4865" spans="12:15">
      <c r="L4865" s="2"/>
      <c r="N4865" s="2"/>
      <c r="O4865" s="2"/>
    </row>
    <row r="4866" spans="12:15">
      <c r="L4866" s="2"/>
      <c r="N4866" s="2"/>
      <c r="O4866" s="2"/>
    </row>
    <row r="4867" spans="12:15">
      <c r="L4867" s="2"/>
      <c r="N4867" s="2"/>
      <c r="O4867" s="2"/>
    </row>
    <row r="4868" spans="12:15">
      <c r="L4868" s="2"/>
      <c r="N4868" s="2"/>
      <c r="O4868" s="2"/>
    </row>
    <row r="4869" spans="12:15">
      <c r="L4869" s="2"/>
      <c r="N4869" s="2"/>
      <c r="O4869" s="2"/>
    </row>
    <row r="4870" spans="12:15">
      <c r="L4870" s="2"/>
      <c r="N4870" s="2"/>
      <c r="O4870" s="2"/>
    </row>
    <row r="4871" spans="12:15">
      <c r="L4871" s="2"/>
      <c r="N4871" s="2"/>
      <c r="O4871" s="2"/>
    </row>
    <row r="4872" spans="12:15">
      <c r="L4872" s="2"/>
      <c r="N4872" s="2"/>
      <c r="O4872" s="2"/>
    </row>
    <row r="4873" spans="12:15">
      <c r="L4873" s="2"/>
      <c r="N4873" s="2"/>
      <c r="O4873" s="2"/>
    </row>
    <row r="4874" spans="12:15">
      <c r="L4874" s="2"/>
      <c r="N4874" s="2"/>
      <c r="O4874" s="2"/>
    </row>
    <row r="4875" spans="12:15">
      <c r="L4875" s="2"/>
      <c r="N4875" s="2"/>
      <c r="O4875" s="2"/>
    </row>
    <row r="4876" spans="12:15">
      <c r="L4876" s="2"/>
      <c r="N4876" s="2"/>
      <c r="O4876" s="2"/>
    </row>
    <row r="4877" spans="12:15">
      <c r="L4877" s="2"/>
      <c r="N4877" s="2"/>
      <c r="O4877" s="2"/>
    </row>
    <row r="4878" spans="12:15">
      <c r="L4878" s="2"/>
      <c r="N4878" s="2"/>
      <c r="O4878" s="2"/>
    </row>
    <row r="4879" spans="12:15">
      <c r="L4879" s="2"/>
      <c r="N4879" s="2"/>
      <c r="O4879" s="2"/>
    </row>
    <row r="4880" spans="12:15">
      <c r="L4880" s="2"/>
      <c r="N4880" s="2"/>
      <c r="O4880" s="2"/>
    </row>
    <row r="4881" spans="12:15">
      <c r="L4881" s="2"/>
      <c r="N4881" s="2"/>
      <c r="O4881" s="2"/>
    </row>
    <row r="4882" spans="12:15">
      <c r="L4882" s="2"/>
      <c r="N4882" s="2"/>
      <c r="O4882" s="2"/>
    </row>
    <row r="4883" spans="12:15">
      <c r="L4883" s="2"/>
      <c r="N4883" s="2"/>
      <c r="O4883" s="2"/>
    </row>
    <row r="4884" spans="12:15">
      <c r="L4884" s="2"/>
      <c r="N4884" s="2"/>
      <c r="O4884" s="2"/>
    </row>
    <row r="4885" spans="12:15">
      <c r="L4885" s="2"/>
      <c r="N4885" s="2"/>
      <c r="O4885" s="2"/>
    </row>
    <row r="4886" spans="12:15">
      <c r="L4886" s="2"/>
      <c r="N4886" s="2"/>
      <c r="O4886" s="2"/>
    </row>
    <row r="4887" spans="12:15">
      <c r="L4887" s="2"/>
      <c r="N4887" s="2"/>
      <c r="O4887" s="2"/>
    </row>
    <row r="4888" spans="12:15">
      <c r="L4888" s="2"/>
      <c r="N4888" s="2"/>
      <c r="O4888" s="2"/>
    </row>
    <row r="4889" spans="12:15">
      <c r="L4889" s="2"/>
      <c r="N4889" s="2"/>
      <c r="O4889" s="2"/>
    </row>
    <row r="4890" spans="12:15">
      <c r="L4890" s="2"/>
      <c r="N4890" s="2"/>
      <c r="O4890" s="2"/>
    </row>
    <row r="4891" spans="12:15">
      <c r="L4891" s="2"/>
      <c r="N4891" s="2"/>
      <c r="O4891" s="2"/>
    </row>
    <row r="4892" spans="12:15">
      <c r="L4892" s="2"/>
      <c r="N4892" s="2"/>
      <c r="O4892" s="2"/>
    </row>
    <row r="4893" spans="12:15">
      <c r="L4893" s="2"/>
      <c r="N4893" s="2"/>
      <c r="O4893" s="2"/>
    </row>
    <row r="4894" spans="12:15">
      <c r="L4894" s="2"/>
      <c r="N4894" s="2"/>
      <c r="O4894" s="2"/>
    </row>
    <row r="4895" spans="12:15">
      <c r="L4895" s="2"/>
      <c r="N4895" s="2"/>
      <c r="O4895" s="2"/>
    </row>
    <row r="4896" spans="12:15">
      <c r="L4896" s="2"/>
      <c r="N4896" s="2"/>
      <c r="O4896" s="2"/>
    </row>
    <row r="4897" spans="12:15">
      <c r="L4897" s="2"/>
      <c r="N4897" s="2"/>
      <c r="O4897" s="2"/>
    </row>
    <row r="4898" spans="12:15">
      <c r="L4898" s="2"/>
      <c r="N4898" s="2"/>
      <c r="O4898" s="2"/>
    </row>
    <row r="4899" spans="12:15">
      <c r="L4899" s="2"/>
      <c r="N4899" s="2"/>
      <c r="O4899" s="2"/>
    </row>
    <row r="4900" spans="12:15">
      <c r="L4900" s="2"/>
      <c r="N4900" s="2"/>
      <c r="O4900" s="2"/>
    </row>
    <row r="4901" spans="12:15">
      <c r="L4901" s="2"/>
      <c r="N4901" s="2"/>
      <c r="O4901" s="2"/>
    </row>
    <row r="4902" spans="12:15">
      <c r="L4902" s="2"/>
      <c r="N4902" s="2"/>
      <c r="O4902" s="2"/>
    </row>
    <row r="4903" spans="12:15">
      <c r="L4903" s="2"/>
      <c r="N4903" s="2"/>
      <c r="O4903" s="2"/>
    </row>
    <row r="4904" spans="12:15">
      <c r="L4904" s="2"/>
      <c r="N4904" s="2"/>
      <c r="O4904" s="2"/>
    </row>
    <row r="4905" spans="12:15">
      <c r="L4905" s="2"/>
      <c r="N4905" s="2"/>
      <c r="O4905" s="2"/>
    </row>
    <row r="4906" spans="12:15">
      <c r="L4906" s="2"/>
      <c r="N4906" s="2"/>
      <c r="O4906" s="2"/>
    </row>
    <row r="4907" spans="12:15">
      <c r="L4907" s="2"/>
      <c r="N4907" s="2"/>
      <c r="O4907" s="2"/>
    </row>
    <row r="4908" spans="12:15">
      <c r="L4908" s="2"/>
      <c r="N4908" s="2"/>
      <c r="O4908" s="2"/>
    </row>
    <row r="4909" spans="12:15">
      <c r="L4909" s="2"/>
      <c r="N4909" s="2"/>
      <c r="O4909" s="2"/>
    </row>
    <row r="4910" spans="12:15">
      <c r="L4910" s="2"/>
      <c r="N4910" s="2"/>
      <c r="O4910" s="2"/>
    </row>
    <row r="4911" spans="12:15">
      <c r="L4911" s="2"/>
      <c r="N4911" s="2"/>
      <c r="O4911" s="2"/>
    </row>
    <row r="4912" spans="12:15">
      <c r="L4912" s="2"/>
      <c r="N4912" s="2"/>
      <c r="O4912" s="2"/>
    </row>
    <row r="4913" spans="12:15">
      <c r="L4913" s="2"/>
      <c r="N4913" s="2"/>
      <c r="O4913" s="2"/>
    </row>
    <row r="4914" spans="12:15">
      <c r="L4914" s="2"/>
      <c r="N4914" s="2"/>
      <c r="O4914" s="2"/>
    </row>
    <row r="4915" spans="12:15">
      <c r="L4915" s="2"/>
      <c r="N4915" s="2"/>
      <c r="O4915" s="2"/>
    </row>
    <row r="4916" spans="12:15">
      <c r="L4916" s="2"/>
      <c r="N4916" s="2"/>
      <c r="O4916" s="2"/>
    </row>
    <row r="4917" spans="12:15">
      <c r="L4917" s="2"/>
      <c r="N4917" s="2"/>
      <c r="O4917" s="2"/>
    </row>
    <row r="4918" spans="12:15">
      <c r="L4918" s="2"/>
      <c r="N4918" s="2"/>
      <c r="O4918" s="2"/>
    </row>
    <row r="4919" spans="12:15">
      <c r="L4919" s="2"/>
      <c r="N4919" s="2"/>
      <c r="O4919" s="2"/>
    </row>
    <row r="4920" spans="12:15">
      <c r="L4920" s="2"/>
      <c r="N4920" s="2"/>
      <c r="O4920" s="2"/>
    </row>
    <row r="4921" spans="12:15">
      <c r="L4921" s="2"/>
      <c r="N4921" s="2"/>
      <c r="O4921" s="2"/>
    </row>
    <row r="4922" spans="12:15">
      <c r="L4922" s="2"/>
      <c r="N4922" s="2"/>
      <c r="O4922" s="2"/>
    </row>
    <row r="4923" spans="12:15">
      <c r="L4923" s="2"/>
      <c r="N4923" s="2"/>
      <c r="O4923" s="2"/>
    </row>
    <row r="4924" spans="12:15">
      <c r="L4924" s="2"/>
      <c r="N4924" s="2"/>
      <c r="O4924" s="2"/>
    </row>
    <row r="4925" spans="12:15">
      <c r="L4925" s="2"/>
      <c r="N4925" s="2"/>
      <c r="O4925" s="2"/>
    </row>
    <row r="4926" spans="12:15">
      <c r="L4926" s="2"/>
      <c r="N4926" s="2"/>
      <c r="O4926" s="2"/>
    </row>
    <row r="4927" spans="12:15">
      <c r="L4927" s="2"/>
      <c r="N4927" s="2"/>
      <c r="O4927" s="2"/>
    </row>
    <row r="4928" spans="12:15">
      <c r="L4928" s="2"/>
      <c r="N4928" s="2"/>
      <c r="O4928" s="2"/>
    </row>
    <row r="4929" spans="12:15">
      <c r="L4929" s="2"/>
      <c r="N4929" s="2"/>
      <c r="O4929" s="2"/>
    </row>
    <row r="4930" spans="12:15">
      <c r="L4930" s="2"/>
      <c r="N4930" s="2"/>
      <c r="O4930" s="2"/>
    </row>
    <row r="4931" spans="12:15">
      <c r="L4931" s="2"/>
      <c r="N4931" s="2"/>
      <c r="O4931" s="2"/>
    </row>
    <row r="4932" spans="12:15">
      <c r="L4932" s="2"/>
      <c r="N4932" s="2"/>
      <c r="O4932" s="2"/>
    </row>
    <row r="4933" spans="12:15">
      <c r="L4933" s="2"/>
      <c r="N4933" s="2"/>
      <c r="O4933" s="2"/>
    </row>
    <row r="4934" spans="12:15">
      <c r="L4934" s="2"/>
      <c r="N4934" s="2"/>
      <c r="O4934" s="2"/>
    </row>
    <row r="4935" spans="12:15">
      <c r="L4935" s="2"/>
      <c r="N4935" s="2"/>
      <c r="O4935" s="2"/>
    </row>
    <row r="4936" spans="12:15">
      <c r="L4936" s="2"/>
      <c r="N4936" s="2"/>
      <c r="O4936" s="2"/>
    </row>
    <row r="4937" spans="12:15">
      <c r="L4937" s="2"/>
      <c r="N4937" s="2"/>
      <c r="O4937" s="2"/>
    </row>
    <row r="4938" spans="12:15">
      <c r="L4938" s="2"/>
      <c r="N4938" s="2"/>
      <c r="O4938" s="2"/>
    </row>
    <row r="4939" spans="12:15">
      <c r="L4939" s="2"/>
      <c r="N4939" s="2"/>
      <c r="O4939" s="2"/>
    </row>
    <row r="4940" spans="12:15">
      <c r="L4940" s="2"/>
      <c r="N4940" s="2"/>
      <c r="O4940" s="2"/>
    </row>
    <row r="4941" spans="12:15">
      <c r="L4941" s="2"/>
      <c r="N4941" s="2"/>
      <c r="O4941" s="2"/>
    </row>
    <row r="4942" spans="12:15">
      <c r="L4942" s="2"/>
      <c r="N4942" s="2"/>
      <c r="O4942" s="2"/>
    </row>
    <row r="4943" spans="12:15">
      <c r="L4943" s="2"/>
      <c r="N4943" s="2"/>
      <c r="O4943" s="2"/>
    </row>
    <row r="4944" spans="12:15">
      <c r="L4944" s="2"/>
      <c r="N4944" s="2"/>
      <c r="O4944" s="2"/>
    </row>
    <row r="4945" spans="12:15">
      <c r="L4945" s="2"/>
      <c r="N4945" s="2"/>
      <c r="O4945" s="2"/>
    </row>
    <row r="4946" spans="12:15">
      <c r="L4946" s="2"/>
      <c r="N4946" s="2"/>
      <c r="O4946" s="2"/>
    </row>
    <row r="4947" spans="12:15">
      <c r="L4947" s="2"/>
      <c r="N4947" s="2"/>
      <c r="O4947" s="2"/>
    </row>
    <row r="4948" spans="12:15">
      <c r="L4948" s="2"/>
      <c r="N4948" s="2"/>
      <c r="O4948" s="2"/>
    </row>
    <row r="4949" spans="12:15">
      <c r="L4949" s="2"/>
      <c r="N4949" s="2"/>
      <c r="O4949" s="2"/>
    </row>
    <row r="4950" spans="12:15">
      <c r="L4950" s="2"/>
      <c r="N4950" s="2"/>
      <c r="O4950" s="2"/>
    </row>
    <row r="4951" spans="12:15">
      <c r="L4951" s="2"/>
      <c r="N4951" s="2"/>
      <c r="O4951" s="2"/>
    </row>
    <row r="4952" spans="12:15">
      <c r="L4952" s="2"/>
      <c r="N4952" s="2"/>
      <c r="O4952" s="2"/>
    </row>
    <row r="4953" spans="12:15">
      <c r="L4953" s="2"/>
      <c r="N4953" s="2"/>
      <c r="O4953" s="2"/>
    </row>
    <row r="4954" spans="12:15">
      <c r="L4954" s="2"/>
      <c r="N4954" s="2"/>
      <c r="O4954" s="2"/>
    </row>
    <row r="4955" spans="12:15">
      <c r="L4955" s="2"/>
      <c r="N4955" s="2"/>
      <c r="O4955" s="2"/>
    </row>
    <row r="4956" spans="12:15">
      <c r="L4956" s="2"/>
      <c r="N4956" s="2"/>
      <c r="O4956" s="2"/>
    </row>
    <row r="4957" spans="12:15">
      <c r="L4957" s="2"/>
      <c r="N4957" s="2"/>
      <c r="O4957" s="2"/>
    </row>
    <row r="4958" spans="12:15">
      <c r="L4958" s="2"/>
      <c r="N4958" s="2"/>
      <c r="O4958" s="2"/>
    </row>
    <row r="4959" spans="12:15">
      <c r="L4959" s="2"/>
      <c r="N4959" s="2"/>
      <c r="O4959" s="2"/>
    </row>
    <row r="4960" spans="12:15">
      <c r="L4960" s="2"/>
      <c r="N4960" s="2"/>
      <c r="O4960" s="2"/>
    </row>
    <row r="4961" spans="12:15">
      <c r="L4961" s="2"/>
      <c r="N4961" s="2"/>
      <c r="O4961" s="2"/>
    </row>
    <row r="4962" spans="12:15">
      <c r="L4962" s="2"/>
      <c r="N4962" s="2"/>
      <c r="O4962" s="2"/>
    </row>
    <row r="4963" spans="12:15">
      <c r="L4963" s="2"/>
      <c r="N4963" s="2"/>
      <c r="O4963" s="2"/>
    </row>
    <row r="4964" spans="12:15">
      <c r="L4964" s="2"/>
      <c r="N4964" s="2"/>
      <c r="O4964" s="2"/>
    </row>
    <row r="4965" spans="12:15">
      <c r="L4965" s="2"/>
      <c r="N4965" s="2"/>
      <c r="O4965" s="2"/>
    </row>
    <row r="4966" spans="12:15">
      <c r="L4966" s="2"/>
      <c r="N4966" s="2"/>
      <c r="O4966" s="2"/>
    </row>
    <row r="4967" spans="12:15">
      <c r="L4967" s="2"/>
      <c r="N4967" s="2"/>
      <c r="O4967" s="2"/>
    </row>
    <row r="4968" spans="12:15">
      <c r="L4968" s="2"/>
      <c r="N4968" s="2"/>
      <c r="O4968" s="2"/>
    </row>
    <row r="4969" spans="12:15">
      <c r="L4969" s="2"/>
      <c r="N4969" s="2"/>
      <c r="O4969" s="2"/>
    </row>
    <row r="4970" spans="12:15">
      <c r="L4970" s="2"/>
      <c r="N4970" s="2"/>
      <c r="O4970" s="2"/>
    </row>
    <row r="4971" spans="12:15">
      <c r="L4971" s="2"/>
      <c r="N4971" s="2"/>
      <c r="O4971" s="2"/>
    </row>
    <row r="4972" spans="12:15">
      <c r="L4972" s="2"/>
      <c r="N4972" s="2"/>
      <c r="O4972" s="2"/>
    </row>
    <row r="4973" spans="12:15">
      <c r="L4973" s="2"/>
      <c r="N4973" s="2"/>
      <c r="O4973" s="2"/>
    </row>
    <row r="4974" spans="12:15">
      <c r="L4974" s="2"/>
      <c r="N4974" s="2"/>
      <c r="O4974" s="2"/>
    </row>
    <row r="4975" spans="12:15">
      <c r="L4975" s="2"/>
      <c r="N4975" s="2"/>
      <c r="O4975" s="2"/>
    </row>
    <row r="4976" spans="12:15">
      <c r="L4976" s="2"/>
      <c r="N4976" s="2"/>
      <c r="O4976" s="2"/>
    </row>
    <row r="4977" spans="12:15">
      <c r="L4977" s="2"/>
      <c r="N4977" s="2"/>
      <c r="O4977" s="2"/>
    </row>
    <row r="4978" spans="12:15">
      <c r="L4978" s="2"/>
      <c r="N4978" s="2"/>
      <c r="O4978" s="2"/>
    </row>
    <row r="4979" spans="12:15">
      <c r="L4979" s="2"/>
      <c r="N4979" s="2"/>
      <c r="O4979" s="2"/>
    </row>
    <row r="4980" spans="12:15">
      <c r="L4980" s="2"/>
      <c r="N4980" s="2"/>
      <c r="O4980" s="2"/>
    </row>
    <row r="4981" spans="12:15">
      <c r="L4981" s="2"/>
      <c r="N4981" s="2"/>
      <c r="O4981" s="2"/>
    </row>
    <row r="4982" spans="12:15">
      <c r="L4982" s="2"/>
      <c r="N4982" s="2"/>
      <c r="O4982" s="2"/>
    </row>
    <row r="4983" spans="12:15">
      <c r="L4983" s="2"/>
      <c r="N4983" s="2"/>
      <c r="O4983" s="2"/>
    </row>
    <row r="4984" spans="12:15">
      <c r="L4984" s="2"/>
      <c r="N4984" s="2"/>
      <c r="O4984" s="2"/>
    </row>
    <row r="4985" spans="12:15">
      <c r="L4985" s="2"/>
      <c r="N4985" s="2"/>
      <c r="O4985" s="2"/>
    </row>
    <row r="4986" spans="12:15">
      <c r="L4986" s="2"/>
      <c r="N4986" s="2"/>
      <c r="O4986" s="2"/>
    </row>
    <row r="4987" spans="12:15">
      <c r="L4987" s="2"/>
      <c r="N4987" s="2"/>
      <c r="O4987" s="2"/>
    </row>
    <row r="4988" spans="12:15">
      <c r="L4988" s="2"/>
      <c r="N4988" s="2"/>
      <c r="O4988" s="2"/>
    </row>
    <row r="4989" spans="12:15">
      <c r="L4989" s="2"/>
      <c r="N4989" s="2"/>
      <c r="O4989" s="2"/>
    </row>
    <row r="4990" spans="12:15">
      <c r="L4990" s="2"/>
      <c r="N4990" s="2"/>
      <c r="O4990" s="2"/>
    </row>
    <row r="4991" spans="12:15">
      <c r="L4991" s="2"/>
      <c r="N4991" s="2"/>
      <c r="O4991" s="2"/>
    </row>
    <row r="4992" spans="12:15">
      <c r="L4992" s="2"/>
      <c r="N4992" s="2"/>
      <c r="O4992" s="2"/>
    </row>
    <row r="4993" spans="12:15">
      <c r="L4993" s="2"/>
      <c r="N4993" s="2"/>
      <c r="O4993" s="2"/>
    </row>
    <row r="4994" spans="12:15">
      <c r="L4994" s="2"/>
      <c r="N4994" s="2"/>
      <c r="O4994" s="2"/>
    </row>
    <row r="4995" spans="12:15">
      <c r="L4995" s="2"/>
      <c r="N4995" s="2"/>
      <c r="O4995" s="2"/>
    </row>
    <row r="4996" spans="12:15">
      <c r="L4996" s="2"/>
      <c r="N4996" s="2"/>
      <c r="O4996" s="2"/>
    </row>
    <row r="4997" spans="12:15">
      <c r="L4997" s="2"/>
      <c r="N4997" s="2"/>
      <c r="O4997" s="2"/>
    </row>
    <row r="4998" spans="12:15">
      <c r="L4998" s="2"/>
      <c r="N4998" s="2"/>
      <c r="O4998" s="2"/>
    </row>
    <row r="4999" spans="12:15">
      <c r="L4999" s="2"/>
      <c r="N4999" s="2"/>
      <c r="O4999" s="2"/>
    </row>
    <row r="5000" spans="12:15">
      <c r="L5000" s="2"/>
      <c r="N5000" s="2"/>
      <c r="O5000" s="2"/>
    </row>
    <row r="5001" spans="12:15">
      <c r="L5001" s="2"/>
      <c r="N5001" s="2"/>
      <c r="O5001" s="2"/>
    </row>
    <row r="5002" spans="12:15">
      <c r="L5002" s="2"/>
      <c r="N5002" s="2"/>
      <c r="O5002" s="2"/>
    </row>
    <row r="5003" spans="12:15">
      <c r="L5003" s="2"/>
      <c r="N5003" s="2"/>
      <c r="O5003" s="2"/>
    </row>
    <row r="5004" spans="12:15">
      <c r="L5004" s="2"/>
      <c r="N5004" s="2"/>
      <c r="O5004" s="2"/>
    </row>
    <row r="5005" spans="12:15">
      <c r="L5005" s="2"/>
      <c r="N5005" s="2"/>
      <c r="O5005" s="2"/>
    </row>
    <row r="5006" spans="12:15">
      <c r="L5006" s="2"/>
      <c r="N5006" s="2"/>
      <c r="O5006" s="2"/>
    </row>
    <row r="5007" spans="12:15">
      <c r="L5007" s="2"/>
      <c r="N5007" s="2"/>
      <c r="O5007" s="2"/>
    </row>
    <row r="5008" spans="12:15">
      <c r="L5008" s="2"/>
      <c r="N5008" s="2"/>
      <c r="O5008" s="2"/>
    </row>
    <row r="5009" spans="12:15">
      <c r="L5009" s="2"/>
      <c r="N5009" s="2"/>
      <c r="O5009" s="2"/>
    </row>
    <row r="5010" spans="12:15">
      <c r="L5010" s="2"/>
      <c r="N5010" s="2"/>
      <c r="O5010" s="2"/>
    </row>
    <row r="5011" spans="12:15">
      <c r="L5011" s="2"/>
      <c r="N5011" s="2"/>
      <c r="O5011" s="2"/>
    </row>
    <row r="5012" spans="12:15">
      <c r="L5012" s="2"/>
      <c r="N5012" s="2"/>
      <c r="O5012" s="2"/>
    </row>
    <row r="5013" spans="12:15">
      <c r="L5013" s="2"/>
      <c r="N5013" s="2"/>
      <c r="O5013" s="2"/>
    </row>
    <row r="5014" spans="12:15">
      <c r="L5014" s="2"/>
      <c r="N5014" s="2"/>
      <c r="O5014" s="2"/>
    </row>
    <row r="5015" spans="12:15">
      <c r="L5015" s="2"/>
      <c r="N5015" s="2"/>
      <c r="O5015" s="2"/>
    </row>
    <row r="5016" spans="12:15">
      <c r="L5016" s="2"/>
      <c r="N5016" s="2"/>
      <c r="O5016" s="2"/>
    </row>
    <row r="5017" spans="12:15">
      <c r="L5017" s="2"/>
      <c r="N5017" s="2"/>
      <c r="O5017" s="2"/>
    </row>
    <row r="5018" spans="12:15">
      <c r="L5018" s="2"/>
      <c r="N5018" s="2"/>
      <c r="O5018" s="2"/>
    </row>
    <row r="5019" spans="12:15">
      <c r="L5019" s="2"/>
      <c r="N5019" s="2"/>
      <c r="O5019" s="2"/>
    </row>
    <row r="5020" spans="12:15">
      <c r="L5020" s="2"/>
      <c r="N5020" s="2"/>
      <c r="O5020" s="2"/>
    </row>
    <row r="5021" spans="12:15">
      <c r="L5021" s="2"/>
      <c r="N5021" s="2"/>
      <c r="O5021" s="2"/>
    </row>
    <row r="5022" spans="12:15">
      <c r="L5022" s="2"/>
      <c r="N5022" s="2"/>
      <c r="O5022" s="2"/>
    </row>
    <row r="5023" spans="12:15">
      <c r="L5023" s="2"/>
      <c r="N5023" s="2"/>
      <c r="O5023" s="2"/>
    </row>
    <row r="5024" spans="12:15">
      <c r="L5024" s="2"/>
      <c r="N5024" s="2"/>
      <c r="O5024" s="2"/>
    </row>
    <row r="5025" spans="12:15">
      <c r="L5025" s="2"/>
      <c r="N5025" s="2"/>
      <c r="O5025" s="2"/>
    </row>
    <row r="5026" spans="12:15">
      <c r="L5026" s="2"/>
      <c r="N5026" s="2"/>
      <c r="O5026" s="2"/>
    </row>
    <row r="5027" spans="12:15">
      <c r="L5027" s="2"/>
      <c r="N5027" s="2"/>
      <c r="O5027" s="2"/>
    </row>
    <row r="5028" spans="12:15">
      <c r="L5028" s="2"/>
      <c r="N5028" s="2"/>
      <c r="O5028" s="2"/>
    </row>
    <row r="5029" spans="12:15">
      <c r="L5029" s="2"/>
      <c r="N5029" s="2"/>
      <c r="O5029" s="2"/>
    </row>
    <row r="5030" spans="12:15">
      <c r="L5030" s="2"/>
      <c r="N5030" s="2"/>
      <c r="O5030" s="2"/>
    </row>
    <row r="5031" spans="12:15">
      <c r="L5031" s="2"/>
      <c r="N5031" s="2"/>
      <c r="O5031" s="2"/>
    </row>
    <row r="5032" spans="12:15">
      <c r="L5032" s="2"/>
      <c r="N5032" s="2"/>
      <c r="O5032" s="2"/>
    </row>
    <row r="5033" spans="12:15">
      <c r="L5033" s="2"/>
      <c r="N5033" s="2"/>
      <c r="O5033" s="2"/>
    </row>
    <row r="5034" spans="12:15">
      <c r="L5034" s="2"/>
      <c r="N5034" s="2"/>
      <c r="O5034" s="2"/>
    </row>
    <row r="5035" spans="12:15">
      <c r="L5035" s="2"/>
      <c r="N5035" s="2"/>
      <c r="O5035" s="2"/>
    </row>
    <row r="5036" spans="12:15">
      <c r="L5036" s="2"/>
      <c r="N5036" s="2"/>
      <c r="O5036" s="2"/>
    </row>
    <row r="5037" spans="12:15">
      <c r="L5037" s="2"/>
      <c r="N5037" s="2"/>
      <c r="O5037" s="2"/>
    </row>
    <row r="5038" spans="12:15">
      <c r="L5038" s="2"/>
      <c r="N5038" s="2"/>
      <c r="O5038" s="2"/>
    </row>
    <row r="5039" spans="12:15">
      <c r="L5039" s="2"/>
      <c r="N5039" s="2"/>
      <c r="O5039" s="2"/>
    </row>
    <row r="5040" spans="12:15">
      <c r="L5040" s="2"/>
      <c r="N5040" s="2"/>
      <c r="O5040" s="2"/>
    </row>
    <row r="5041" spans="12:15">
      <c r="L5041" s="2"/>
      <c r="N5041" s="2"/>
      <c r="O5041" s="2"/>
    </row>
    <row r="5042" spans="12:15">
      <c r="L5042" s="2"/>
      <c r="N5042" s="2"/>
      <c r="O5042" s="2"/>
    </row>
    <row r="5043" spans="12:15">
      <c r="L5043" s="2"/>
      <c r="N5043" s="2"/>
      <c r="O5043" s="2"/>
    </row>
    <row r="5044" spans="12:15">
      <c r="L5044" s="2"/>
      <c r="N5044" s="2"/>
      <c r="O5044" s="2"/>
    </row>
    <row r="5045" spans="12:15">
      <c r="L5045" s="2"/>
      <c r="N5045" s="2"/>
      <c r="O5045" s="2"/>
    </row>
    <row r="5046" spans="12:15">
      <c r="L5046" s="2"/>
      <c r="N5046" s="2"/>
      <c r="O5046" s="2"/>
    </row>
    <row r="5047" spans="12:15">
      <c r="L5047" s="2"/>
      <c r="N5047" s="2"/>
      <c r="O5047" s="2"/>
    </row>
    <row r="5048" spans="12:15">
      <c r="L5048" s="2"/>
      <c r="N5048" s="2"/>
      <c r="O5048" s="2"/>
    </row>
    <row r="5049" spans="12:15">
      <c r="L5049" s="2"/>
      <c r="N5049" s="2"/>
      <c r="O5049" s="2"/>
    </row>
    <row r="5050" spans="12:15">
      <c r="L5050" s="2"/>
      <c r="N5050" s="2"/>
      <c r="O5050" s="2"/>
    </row>
    <row r="5051" spans="12:15">
      <c r="L5051" s="2"/>
      <c r="N5051" s="2"/>
      <c r="O5051" s="2"/>
    </row>
    <row r="5052" spans="12:15">
      <c r="L5052" s="2"/>
      <c r="N5052" s="2"/>
      <c r="O5052" s="2"/>
    </row>
    <row r="5053" spans="12:15">
      <c r="L5053" s="2"/>
      <c r="N5053" s="2"/>
      <c r="O5053" s="2"/>
    </row>
    <row r="5054" spans="12:15">
      <c r="L5054" s="2"/>
      <c r="N5054" s="2"/>
      <c r="O5054" s="2"/>
    </row>
    <row r="5055" spans="12:15">
      <c r="L5055" s="2"/>
      <c r="N5055" s="2"/>
      <c r="O5055" s="2"/>
    </row>
    <row r="5056" spans="12:15">
      <c r="L5056" s="2"/>
      <c r="N5056" s="2"/>
      <c r="O5056" s="2"/>
    </row>
    <row r="5057" spans="12:15">
      <c r="L5057" s="2"/>
      <c r="N5057" s="2"/>
      <c r="O5057" s="2"/>
    </row>
    <row r="5058" spans="12:15">
      <c r="L5058" s="2"/>
      <c r="N5058" s="2"/>
      <c r="O5058" s="2"/>
    </row>
    <row r="5059" spans="12:15">
      <c r="L5059" s="2"/>
      <c r="N5059" s="2"/>
      <c r="O5059" s="2"/>
    </row>
    <row r="5060" spans="12:15">
      <c r="L5060" s="2"/>
      <c r="N5060" s="2"/>
      <c r="O5060" s="2"/>
    </row>
    <row r="5061" spans="12:15">
      <c r="L5061" s="2"/>
      <c r="N5061" s="2"/>
      <c r="O5061" s="2"/>
    </row>
    <row r="5062" spans="12:15">
      <c r="L5062" s="2"/>
      <c r="N5062" s="2"/>
      <c r="O5062" s="2"/>
    </row>
    <row r="5063" spans="12:15">
      <c r="L5063" s="2"/>
      <c r="N5063" s="2"/>
      <c r="O5063" s="2"/>
    </row>
    <row r="5064" spans="12:15">
      <c r="L5064" s="2"/>
      <c r="N5064" s="2"/>
      <c r="O5064" s="2"/>
    </row>
    <row r="5065" spans="12:15">
      <c r="L5065" s="2"/>
      <c r="N5065" s="2"/>
      <c r="O5065" s="2"/>
    </row>
    <row r="5066" spans="12:15">
      <c r="L5066" s="2"/>
      <c r="N5066" s="2"/>
      <c r="O5066" s="2"/>
    </row>
    <row r="5067" spans="12:15">
      <c r="L5067" s="2"/>
      <c r="N5067" s="2"/>
      <c r="O5067" s="2"/>
    </row>
    <row r="5068" spans="12:15">
      <c r="L5068" s="2"/>
      <c r="N5068" s="2"/>
      <c r="O5068" s="2"/>
    </row>
    <row r="5069" spans="12:15">
      <c r="L5069" s="2"/>
      <c r="N5069" s="2"/>
      <c r="O5069" s="2"/>
    </row>
    <row r="5070" spans="12:15">
      <c r="L5070" s="2"/>
      <c r="N5070" s="2"/>
      <c r="O5070" s="2"/>
    </row>
    <row r="5071" spans="12:15">
      <c r="L5071" s="2"/>
      <c r="N5071" s="2"/>
      <c r="O5071" s="2"/>
    </row>
    <row r="5072" spans="12:15">
      <c r="L5072" s="2"/>
      <c r="N5072" s="2"/>
      <c r="O5072" s="2"/>
    </row>
    <row r="5073" spans="12:15">
      <c r="L5073" s="2"/>
      <c r="N5073" s="2"/>
      <c r="O5073" s="2"/>
    </row>
    <row r="5074" spans="12:15">
      <c r="L5074" s="2"/>
      <c r="N5074" s="2"/>
      <c r="O5074" s="2"/>
    </row>
    <row r="5075" spans="12:15">
      <c r="L5075" s="2"/>
      <c r="N5075" s="2"/>
      <c r="O5075" s="2"/>
    </row>
    <row r="5076" spans="12:15">
      <c r="L5076" s="2"/>
      <c r="N5076" s="2"/>
      <c r="O5076" s="2"/>
    </row>
    <row r="5077" spans="12:15">
      <c r="L5077" s="2"/>
      <c r="N5077" s="2"/>
      <c r="O5077" s="2"/>
    </row>
    <row r="5078" spans="12:15">
      <c r="L5078" s="2"/>
      <c r="N5078" s="2"/>
      <c r="O5078" s="2"/>
    </row>
    <row r="5079" spans="12:15">
      <c r="L5079" s="2"/>
      <c r="N5079" s="2"/>
      <c r="O5079" s="2"/>
    </row>
    <row r="5080" spans="12:15">
      <c r="L5080" s="2"/>
      <c r="N5080" s="2"/>
      <c r="O5080" s="2"/>
    </row>
    <row r="5081" spans="12:15">
      <c r="L5081" s="2"/>
      <c r="N5081" s="2"/>
      <c r="O5081" s="2"/>
    </row>
    <row r="5082" spans="12:15">
      <c r="L5082" s="2"/>
      <c r="N5082" s="2"/>
      <c r="O5082" s="2"/>
    </row>
    <row r="5083" spans="12:15">
      <c r="L5083" s="2"/>
      <c r="N5083" s="2"/>
      <c r="O5083" s="2"/>
    </row>
    <row r="5084" spans="12:15">
      <c r="L5084" s="2"/>
      <c r="N5084" s="2"/>
      <c r="O5084" s="2"/>
    </row>
    <row r="5085" spans="12:15">
      <c r="L5085" s="2"/>
      <c r="N5085" s="2"/>
      <c r="O5085" s="2"/>
    </row>
    <row r="5086" spans="12:15">
      <c r="L5086" s="2"/>
      <c r="N5086" s="2"/>
      <c r="O5086" s="2"/>
    </row>
    <row r="5087" spans="12:15">
      <c r="L5087" s="2"/>
      <c r="N5087" s="2"/>
      <c r="O5087" s="2"/>
    </row>
    <row r="5088" spans="12:15">
      <c r="L5088" s="2"/>
      <c r="N5088" s="2"/>
      <c r="O5088" s="2"/>
    </row>
    <row r="5089" spans="12:15">
      <c r="L5089" s="2"/>
      <c r="N5089" s="2"/>
      <c r="O5089" s="2"/>
    </row>
    <row r="5090" spans="12:15">
      <c r="L5090" s="2"/>
      <c r="N5090" s="2"/>
      <c r="O5090" s="2"/>
    </row>
    <row r="5091" spans="12:15">
      <c r="L5091" s="2"/>
      <c r="N5091" s="2"/>
      <c r="O5091" s="2"/>
    </row>
    <row r="5092" spans="12:15">
      <c r="L5092" s="2"/>
      <c r="N5092" s="2"/>
      <c r="O5092" s="2"/>
    </row>
    <row r="5093" spans="12:15">
      <c r="L5093" s="2"/>
      <c r="N5093" s="2"/>
      <c r="O5093" s="2"/>
    </row>
    <row r="5094" spans="12:15">
      <c r="L5094" s="2"/>
      <c r="N5094" s="2"/>
      <c r="O5094" s="2"/>
    </row>
    <row r="5095" spans="12:15">
      <c r="L5095" s="2"/>
      <c r="N5095" s="2"/>
      <c r="O5095" s="2"/>
    </row>
    <row r="5096" spans="12:15">
      <c r="L5096" s="2"/>
      <c r="N5096" s="2"/>
      <c r="O5096" s="2"/>
    </row>
    <row r="5097" spans="12:15">
      <c r="L5097" s="2"/>
      <c r="N5097" s="2"/>
      <c r="O5097" s="2"/>
    </row>
    <row r="5098" spans="12:15">
      <c r="L5098" s="2"/>
      <c r="N5098" s="2"/>
      <c r="O5098" s="2"/>
    </row>
    <row r="5099" spans="12:15">
      <c r="L5099" s="2"/>
      <c r="N5099" s="2"/>
      <c r="O5099" s="2"/>
    </row>
    <row r="5100" spans="12:15">
      <c r="L5100" s="2"/>
      <c r="N5100" s="2"/>
      <c r="O5100" s="2"/>
    </row>
    <row r="5101" spans="12:15">
      <c r="L5101" s="2"/>
      <c r="N5101" s="2"/>
      <c r="O5101" s="2"/>
    </row>
    <row r="5102" spans="12:15">
      <c r="L5102" s="2"/>
      <c r="N5102" s="2"/>
      <c r="O5102" s="2"/>
    </row>
    <row r="5103" spans="12:15">
      <c r="L5103" s="2"/>
      <c r="N5103" s="2"/>
      <c r="O5103" s="2"/>
    </row>
    <row r="5104" spans="12:15">
      <c r="L5104" s="2"/>
      <c r="N5104" s="2"/>
      <c r="O5104" s="2"/>
    </row>
    <row r="5105" spans="12:15">
      <c r="L5105" s="2"/>
      <c r="N5105" s="2"/>
      <c r="O5105" s="2"/>
    </row>
    <row r="5106" spans="12:15">
      <c r="L5106" s="2"/>
      <c r="N5106" s="2"/>
      <c r="O5106" s="2"/>
    </row>
    <row r="5107" spans="12:15">
      <c r="L5107" s="2"/>
      <c r="N5107" s="2"/>
      <c r="O5107" s="2"/>
    </row>
    <row r="5108" spans="12:15">
      <c r="L5108" s="2"/>
      <c r="N5108" s="2"/>
      <c r="O5108" s="2"/>
    </row>
    <row r="5109" spans="12:15">
      <c r="L5109" s="2"/>
      <c r="N5109" s="2"/>
      <c r="O5109" s="2"/>
    </row>
    <row r="5110" spans="12:15">
      <c r="L5110" s="2"/>
      <c r="N5110" s="2"/>
      <c r="O5110" s="2"/>
    </row>
    <row r="5111" spans="12:15">
      <c r="L5111" s="2"/>
      <c r="N5111" s="2"/>
      <c r="O5111" s="2"/>
    </row>
    <row r="5112" spans="12:15">
      <c r="L5112" s="2"/>
      <c r="N5112" s="2"/>
      <c r="O5112" s="2"/>
    </row>
    <row r="5113" spans="12:15">
      <c r="L5113" s="2"/>
      <c r="N5113" s="2"/>
      <c r="O5113" s="2"/>
    </row>
    <row r="5114" spans="12:15">
      <c r="L5114" s="2"/>
      <c r="N5114" s="2"/>
      <c r="O5114" s="2"/>
    </row>
    <row r="5115" spans="12:15">
      <c r="L5115" s="2"/>
      <c r="N5115" s="2"/>
      <c r="O5115" s="2"/>
    </row>
    <row r="5116" spans="12:15">
      <c r="L5116" s="2"/>
      <c r="N5116" s="2"/>
      <c r="O5116" s="2"/>
    </row>
    <row r="5117" spans="12:15">
      <c r="L5117" s="2"/>
      <c r="N5117" s="2"/>
      <c r="O5117" s="2"/>
    </row>
    <row r="5118" spans="12:15">
      <c r="L5118" s="2"/>
      <c r="N5118" s="2"/>
      <c r="O5118" s="2"/>
    </row>
    <row r="5119" spans="12:15">
      <c r="L5119" s="2"/>
      <c r="N5119" s="2"/>
      <c r="O5119" s="2"/>
    </row>
    <row r="5120" spans="12:15">
      <c r="L5120" s="2"/>
      <c r="N5120" s="2"/>
      <c r="O5120" s="2"/>
    </row>
    <row r="5121" spans="12:15">
      <c r="L5121" s="2"/>
      <c r="N5121" s="2"/>
      <c r="O5121" s="2"/>
    </row>
    <row r="5122" spans="12:15">
      <c r="L5122" s="2"/>
      <c r="N5122" s="2"/>
      <c r="O5122" s="2"/>
    </row>
    <row r="5123" spans="12:15">
      <c r="L5123" s="2"/>
      <c r="N5123" s="2"/>
      <c r="O5123" s="2"/>
    </row>
    <row r="5124" spans="12:15">
      <c r="L5124" s="2"/>
      <c r="N5124" s="2"/>
      <c r="O5124" s="2"/>
    </row>
    <row r="5125" spans="12:15">
      <c r="L5125" s="2"/>
      <c r="N5125" s="2"/>
      <c r="O5125" s="2"/>
    </row>
    <row r="5126" spans="12:15">
      <c r="L5126" s="2"/>
      <c r="N5126" s="2"/>
      <c r="O5126" s="2"/>
    </row>
    <row r="5127" spans="12:15">
      <c r="L5127" s="2"/>
      <c r="N5127" s="2"/>
      <c r="O5127" s="2"/>
    </row>
    <row r="5128" spans="12:15">
      <c r="L5128" s="2"/>
      <c r="N5128" s="2"/>
      <c r="O5128" s="2"/>
    </row>
    <row r="5129" spans="12:15">
      <c r="L5129" s="2"/>
      <c r="N5129" s="2"/>
      <c r="O5129" s="2"/>
    </row>
    <row r="5130" spans="12:15">
      <c r="L5130" s="2"/>
      <c r="N5130" s="2"/>
      <c r="O5130" s="2"/>
    </row>
    <row r="5131" spans="12:15">
      <c r="L5131" s="2"/>
      <c r="N5131" s="2"/>
      <c r="O5131" s="2"/>
    </row>
    <row r="5132" spans="12:15">
      <c r="L5132" s="2"/>
      <c r="N5132" s="2"/>
      <c r="O5132" s="2"/>
    </row>
    <row r="5133" spans="12:15">
      <c r="L5133" s="2"/>
      <c r="N5133" s="2"/>
      <c r="O5133" s="2"/>
    </row>
    <row r="5134" spans="12:15">
      <c r="L5134" s="2"/>
      <c r="N5134" s="2"/>
      <c r="O5134" s="2"/>
    </row>
    <row r="5135" spans="12:15">
      <c r="L5135" s="2"/>
      <c r="N5135" s="2"/>
      <c r="O5135" s="2"/>
    </row>
    <row r="5136" spans="12:15">
      <c r="L5136" s="2"/>
      <c r="N5136" s="2"/>
      <c r="O5136" s="2"/>
    </row>
    <row r="5137" spans="12:15">
      <c r="L5137" s="2"/>
      <c r="N5137" s="2"/>
      <c r="O5137" s="2"/>
    </row>
    <row r="5138" spans="12:15">
      <c r="L5138" s="2"/>
      <c r="N5138" s="2"/>
      <c r="O5138" s="2"/>
    </row>
    <row r="5139" spans="12:15">
      <c r="L5139" s="2"/>
      <c r="N5139" s="2"/>
      <c r="O5139" s="2"/>
    </row>
    <row r="5140" spans="12:15">
      <c r="L5140" s="2"/>
      <c r="N5140" s="2"/>
      <c r="O5140" s="2"/>
    </row>
    <row r="5141" spans="12:15">
      <c r="L5141" s="2"/>
      <c r="N5141" s="2"/>
      <c r="O5141" s="2"/>
    </row>
    <row r="5142" spans="12:15">
      <c r="L5142" s="2"/>
      <c r="N5142" s="2"/>
      <c r="O5142" s="2"/>
    </row>
    <row r="5143" spans="12:15">
      <c r="L5143" s="2"/>
      <c r="N5143" s="2"/>
      <c r="O5143" s="2"/>
    </row>
    <row r="5144" spans="12:15">
      <c r="L5144" s="2"/>
      <c r="N5144" s="2"/>
      <c r="O5144" s="2"/>
    </row>
    <row r="5145" spans="12:15">
      <c r="L5145" s="2"/>
      <c r="N5145" s="2"/>
      <c r="O5145" s="2"/>
    </row>
    <row r="5146" spans="12:15">
      <c r="L5146" s="2"/>
      <c r="N5146" s="2"/>
      <c r="O5146" s="2"/>
    </row>
    <row r="5147" spans="12:15">
      <c r="L5147" s="2"/>
      <c r="N5147" s="2"/>
      <c r="O5147" s="2"/>
    </row>
    <row r="5148" spans="12:15">
      <c r="L5148" s="2"/>
      <c r="N5148" s="2"/>
      <c r="O5148" s="2"/>
    </row>
    <row r="5149" spans="12:15">
      <c r="L5149" s="2"/>
      <c r="N5149" s="2"/>
      <c r="O5149" s="2"/>
    </row>
    <row r="5150" spans="12:15">
      <c r="L5150" s="2"/>
      <c r="N5150" s="2"/>
      <c r="O5150" s="2"/>
    </row>
    <row r="5151" spans="12:15">
      <c r="L5151" s="2"/>
      <c r="N5151" s="2"/>
      <c r="O5151" s="2"/>
    </row>
    <row r="5152" spans="12:15">
      <c r="L5152" s="2"/>
      <c r="N5152" s="2"/>
      <c r="O5152" s="2"/>
    </row>
    <row r="5153" spans="12:15">
      <c r="L5153" s="2"/>
      <c r="N5153" s="2"/>
      <c r="O5153" s="2"/>
    </row>
    <row r="5154" spans="12:15">
      <c r="L5154" s="2"/>
      <c r="N5154" s="2"/>
      <c r="O5154" s="2"/>
    </row>
    <row r="5155" spans="12:15">
      <c r="L5155" s="2"/>
      <c r="N5155" s="2"/>
      <c r="O5155" s="2"/>
    </row>
    <row r="5156" spans="12:15">
      <c r="L5156" s="2"/>
      <c r="N5156" s="2"/>
      <c r="O5156" s="2"/>
    </row>
    <row r="5157" spans="12:15">
      <c r="L5157" s="2"/>
      <c r="N5157" s="2"/>
      <c r="O5157" s="2"/>
    </row>
    <row r="5158" spans="12:15">
      <c r="L5158" s="2"/>
      <c r="N5158" s="2"/>
      <c r="O5158" s="2"/>
    </row>
    <row r="5159" spans="12:15">
      <c r="L5159" s="2"/>
      <c r="N5159" s="2"/>
      <c r="O5159" s="2"/>
    </row>
    <row r="5160" spans="12:15">
      <c r="L5160" s="2"/>
      <c r="N5160" s="2"/>
      <c r="O5160" s="2"/>
    </row>
    <row r="5161" spans="12:15">
      <c r="L5161" s="2"/>
      <c r="N5161" s="2"/>
      <c r="O5161" s="2"/>
    </row>
    <row r="5162" spans="12:15">
      <c r="L5162" s="2"/>
      <c r="N5162" s="2"/>
      <c r="O5162" s="2"/>
    </row>
    <row r="5163" spans="12:15">
      <c r="L5163" s="2"/>
      <c r="N5163" s="2"/>
      <c r="O5163" s="2"/>
    </row>
    <row r="5164" spans="12:15">
      <c r="L5164" s="2"/>
      <c r="N5164" s="2"/>
      <c r="O5164" s="2"/>
    </row>
    <row r="5165" spans="12:15">
      <c r="L5165" s="2"/>
      <c r="N5165" s="2"/>
      <c r="O5165" s="2"/>
    </row>
    <row r="5166" spans="12:15">
      <c r="L5166" s="2"/>
      <c r="N5166" s="2"/>
      <c r="O5166" s="2"/>
    </row>
    <row r="5167" spans="12:15">
      <c r="L5167" s="2"/>
      <c r="N5167" s="2"/>
      <c r="O5167" s="2"/>
    </row>
    <row r="5168" spans="12:15">
      <c r="L5168" s="2"/>
      <c r="N5168" s="2"/>
      <c r="O5168" s="2"/>
    </row>
    <row r="5169" spans="12:15">
      <c r="L5169" s="2"/>
      <c r="N5169" s="2"/>
      <c r="O5169" s="2"/>
    </row>
    <row r="5170" spans="12:15">
      <c r="L5170" s="2"/>
      <c r="N5170" s="2"/>
      <c r="O5170" s="2"/>
    </row>
    <row r="5171" spans="12:15">
      <c r="L5171" s="2"/>
      <c r="N5171" s="2"/>
      <c r="O5171" s="2"/>
    </row>
    <row r="5172" spans="12:15">
      <c r="L5172" s="2"/>
      <c r="N5172" s="2"/>
      <c r="O5172" s="2"/>
    </row>
    <row r="5173" spans="12:15">
      <c r="L5173" s="2"/>
      <c r="N5173" s="2"/>
      <c r="O5173" s="2"/>
    </row>
    <row r="5174" spans="12:15">
      <c r="L5174" s="2"/>
      <c r="N5174" s="2"/>
      <c r="O5174" s="2"/>
    </row>
    <row r="5175" spans="12:15">
      <c r="L5175" s="2"/>
      <c r="N5175" s="2"/>
      <c r="O5175" s="2"/>
    </row>
    <row r="5176" spans="12:15">
      <c r="L5176" s="2"/>
      <c r="N5176" s="2"/>
      <c r="O5176" s="2"/>
    </row>
    <row r="5177" spans="12:15">
      <c r="L5177" s="2"/>
      <c r="N5177" s="2"/>
      <c r="O5177" s="2"/>
    </row>
    <row r="5178" spans="12:15">
      <c r="L5178" s="2"/>
      <c r="N5178" s="2"/>
      <c r="O5178" s="2"/>
    </row>
    <row r="5179" spans="12:15">
      <c r="L5179" s="2"/>
      <c r="N5179" s="2"/>
      <c r="O5179" s="2"/>
    </row>
    <row r="5180" spans="12:15">
      <c r="L5180" s="2"/>
      <c r="N5180" s="2"/>
      <c r="O5180" s="2"/>
    </row>
    <row r="5181" spans="12:15">
      <c r="L5181" s="2"/>
      <c r="N5181" s="2"/>
      <c r="O5181" s="2"/>
    </row>
    <row r="5182" spans="12:15">
      <c r="L5182" s="2"/>
      <c r="N5182" s="2"/>
      <c r="O5182" s="2"/>
    </row>
    <row r="5183" spans="12:15">
      <c r="L5183" s="2"/>
      <c r="N5183" s="2"/>
      <c r="O5183" s="2"/>
    </row>
    <row r="5184" spans="12:15">
      <c r="L5184" s="2"/>
      <c r="N5184" s="2"/>
      <c r="O5184" s="2"/>
    </row>
    <row r="5185" spans="12:15">
      <c r="L5185" s="2"/>
      <c r="N5185" s="2"/>
      <c r="O5185" s="2"/>
    </row>
    <row r="5186" spans="12:15">
      <c r="L5186" s="2"/>
      <c r="N5186" s="2"/>
      <c r="O5186" s="2"/>
    </row>
    <row r="5187" spans="12:15">
      <c r="L5187" s="2"/>
      <c r="N5187" s="2"/>
      <c r="O5187" s="2"/>
    </row>
    <row r="5188" spans="12:15">
      <c r="L5188" s="2"/>
      <c r="N5188" s="2"/>
      <c r="O5188" s="2"/>
    </row>
    <row r="5189" spans="12:15">
      <c r="L5189" s="2"/>
      <c r="N5189" s="2"/>
      <c r="O5189" s="2"/>
    </row>
    <row r="5190" spans="12:15">
      <c r="L5190" s="2"/>
      <c r="N5190" s="2"/>
      <c r="O5190" s="2"/>
    </row>
    <row r="5191" spans="12:15">
      <c r="L5191" s="2"/>
      <c r="N5191" s="2"/>
      <c r="O5191" s="2"/>
    </row>
    <row r="5192" spans="12:15">
      <c r="L5192" s="2"/>
      <c r="N5192" s="2"/>
      <c r="O5192" s="2"/>
    </row>
    <row r="5193" spans="12:15">
      <c r="L5193" s="2"/>
      <c r="N5193" s="2"/>
      <c r="O5193" s="2"/>
    </row>
    <row r="5194" spans="12:15">
      <c r="L5194" s="2"/>
      <c r="N5194" s="2"/>
      <c r="O5194" s="2"/>
    </row>
    <row r="5195" spans="12:15">
      <c r="L5195" s="2"/>
      <c r="N5195" s="2"/>
      <c r="O5195" s="2"/>
    </row>
    <row r="5196" spans="12:15">
      <c r="L5196" s="2"/>
      <c r="N5196" s="2"/>
      <c r="O5196" s="2"/>
    </row>
    <row r="5197" spans="12:15">
      <c r="L5197" s="2"/>
      <c r="N5197" s="2"/>
      <c r="O5197" s="2"/>
    </row>
    <row r="5198" spans="12:15">
      <c r="L5198" s="2"/>
      <c r="N5198" s="2"/>
      <c r="O5198" s="2"/>
    </row>
    <row r="5199" spans="12:15">
      <c r="L5199" s="2"/>
      <c r="N5199" s="2"/>
      <c r="O5199" s="2"/>
    </row>
    <row r="5200" spans="12:15">
      <c r="L5200" s="2"/>
      <c r="N5200" s="2"/>
      <c r="O5200" s="2"/>
    </row>
    <row r="5201" spans="12:15">
      <c r="L5201" s="2"/>
      <c r="N5201" s="2"/>
      <c r="O5201" s="2"/>
    </row>
    <row r="5202" spans="12:15">
      <c r="L5202" s="2"/>
      <c r="N5202" s="2"/>
      <c r="O5202" s="2"/>
    </row>
    <row r="5203" spans="12:15">
      <c r="L5203" s="2"/>
      <c r="N5203" s="2"/>
      <c r="O5203" s="2"/>
    </row>
    <row r="5204" spans="12:15">
      <c r="L5204" s="2"/>
      <c r="N5204" s="2"/>
      <c r="O5204" s="2"/>
    </row>
    <row r="5205" spans="12:15">
      <c r="L5205" s="2"/>
      <c r="N5205" s="2"/>
      <c r="O5205" s="2"/>
    </row>
    <row r="5206" spans="12:15">
      <c r="L5206" s="2"/>
      <c r="N5206" s="2"/>
      <c r="O5206" s="2"/>
    </row>
    <row r="5207" spans="12:15">
      <c r="L5207" s="2"/>
      <c r="N5207" s="2"/>
      <c r="O5207" s="2"/>
    </row>
    <row r="5208" spans="12:15">
      <c r="L5208" s="2"/>
      <c r="N5208" s="2"/>
      <c r="O5208" s="2"/>
    </row>
    <row r="5209" spans="12:15">
      <c r="L5209" s="2"/>
      <c r="N5209" s="2"/>
      <c r="O5209" s="2"/>
    </row>
    <row r="5210" spans="12:15">
      <c r="L5210" s="2"/>
      <c r="N5210" s="2"/>
      <c r="O5210" s="2"/>
    </row>
    <row r="5211" spans="12:15">
      <c r="L5211" s="2"/>
      <c r="N5211" s="2"/>
      <c r="O5211" s="2"/>
    </row>
    <row r="5212" spans="12:15">
      <c r="L5212" s="2"/>
      <c r="N5212" s="2"/>
      <c r="O5212" s="2"/>
    </row>
    <row r="5213" spans="12:15">
      <c r="L5213" s="2"/>
      <c r="N5213" s="2"/>
      <c r="O5213" s="2"/>
    </row>
    <row r="5214" spans="12:15">
      <c r="L5214" s="2"/>
      <c r="N5214" s="2"/>
      <c r="O5214" s="2"/>
    </row>
    <row r="5215" spans="12:15">
      <c r="L5215" s="2"/>
      <c r="N5215" s="2"/>
      <c r="O5215" s="2"/>
    </row>
    <row r="5216" spans="12:15">
      <c r="L5216" s="2"/>
      <c r="N5216" s="2"/>
      <c r="O5216" s="2"/>
    </row>
    <row r="5217" spans="12:15">
      <c r="L5217" s="2"/>
      <c r="N5217" s="2"/>
      <c r="O5217" s="2"/>
    </row>
    <row r="5218" spans="12:15">
      <c r="L5218" s="2"/>
      <c r="N5218" s="2"/>
      <c r="O5218" s="2"/>
    </row>
    <row r="5219" spans="12:15">
      <c r="L5219" s="2"/>
      <c r="N5219" s="2"/>
      <c r="O5219" s="2"/>
    </row>
    <row r="5220" spans="12:15">
      <c r="L5220" s="2"/>
      <c r="N5220" s="2"/>
      <c r="O5220" s="2"/>
    </row>
    <row r="5221" spans="12:15">
      <c r="L5221" s="2"/>
      <c r="N5221" s="2"/>
      <c r="O5221" s="2"/>
    </row>
    <row r="5222" spans="12:15">
      <c r="L5222" s="2"/>
      <c r="N5222" s="2"/>
      <c r="O5222" s="2"/>
    </row>
    <row r="5223" spans="12:15">
      <c r="L5223" s="2"/>
      <c r="N5223" s="2"/>
      <c r="O5223" s="2"/>
    </row>
    <row r="5224" spans="12:15">
      <c r="L5224" s="2"/>
      <c r="N5224" s="2"/>
      <c r="O5224" s="2"/>
    </row>
    <row r="5225" spans="12:15">
      <c r="L5225" s="2"/>
      <c r="N5225" s="2"/>
      <c r="O5225" s="2"/>
    </row>
    <row r="5226" spans="12:15">
      <c r="L5226" s="2"/>
      <c r="N5226" s="2"/>
      <c r="O5226" s="2"/>
    </row>
    <row r="5227" spans="12:15">
      <c r="L5227" s="2"/>
      <c r="N5227" s="2"/>
      <c r="O5227" s="2"/>
    </row>
    <row r="5228" spans="12:15">
      <c r="L5228" s="2"/>
      <c r="N5228" s="2"/>
      <c r="O5228" s="2"/>
    </row>
    <row r="5229" spans="12:15">
      <c r="L5229" s="2"/>
      <c r="N5229" s="2"/>
      <c r="O5229" s="2"/>
    </row>
    <row r="5230" spans="12:15">
      <c r="L5230" s="2"/>
      <c r="N5230" s="2"/>
      <c r="O5230" s="2"/>
    </row>
    <row r="5231" spans="12:15">
      <c r="L5231" s="2"/>
      <c r="N5231" s="2"/>
      <c r="O5231" s="2"/>
    </row>
    <row r="5232" spans="12:15">
      <c r="L5232" s="2"/>
      <c r="N5232" s="2"/>
      <c r="O5232" s="2"/>
    </row>
    <row r="5233" spans="12:15">
      <c r="L5233" s="2"/>
      <c r="N5233" s="2"/>
      <c r="O5233" s="2"/>
    </row>
    <row r="5234" spans="12:15">
      <c r="L5234" s="2"/>
      <c r="N5234" s="2"/>
      <c r="O5234" s="2"/>
    </row>
    <row r="5235" spans="12:15">
      <c r="L5235" s="2"/>
      <c r="N5235" s="2"/>
      <c r="O5235" s="2"/>
    </row>
    <row r="5236" spans="12:15">
      <c r="L5236" s="2"/>
      <c r="N5236" s="2"/>
      <c r="O5236" s="2"/>
    </row>
    <row r="5237" spans="12:15">
      <c r="L5237" s="2"/>
      <c r="N5237" s="2"/>
      <c r="O5237" s="2"/>
    </row>
    <row r="5238" spans="12:15">
      <c r="L5238" s="2"/>
      <c r="N5238" s="2"/>
      <c r="O5238" s="2"/>
    </row>
    <row r="5239" spans="12:15">
      <c r="L5239" s="2"/>
      <c r="N5239" s="2"/>
      <c r="O5239" s="2"/>
    </row>
    <row r="5240" spans="12:15">
      <c r="L5240" s="2"/>
      <c r="N5240" s="2"/>
      <c r="O5240" s="2"/>
    </row>
    <row r="5241" spans="12:15">
      <c r="L5241" s="2"/>
      <c r="N5241" s="2"/>
      <c r="O5241" s="2"/>
    </row>
    <row r="5242" spans="12:15">
      <c r="L5242" s="2"/>
      <c r="N5242" s="2"/>
      <c r="O5242" s="2"/>
    </row>
    <row r="5243" spans="12:15">
      <c r="L5243" s="2"/>
      <c r="N5243" s="2"/>
      <c r="O5243" s="2"/>
    </row>
    <row r="5244" spans="12:15">
      <c r="L5244" s="2"/>
      <c r="N5244" s="2"/>
      <c r="O5244" s="2"/>
    </row>
    <row r="5245" spans="12:15">
      <c r="L5245" s="2"/>
      <c r="N5245" s="2"/>
      <c r="O5245" s="2"/>
    </row>
    <row r="5246" spans="12:15">
      <c r="L5246" s="2"/>
      <c r="N5246" s="2"/>
      <c r="O5246" s="2"/>
    </row>
    <row r="5247" spans="12:15">
      <c r="L5247" s="2"/>
      <c r="N5247" s="2"/>
      <c r="O5247" s="2"/>
    </row>
    <row r="5248" spans="12:15">
      <c r="L5248" s="2"/>
      <c r="N5248" s="2"/>
      <c r="O5248" s="2"/>
    </row>
    <row r="5249" spans="12:15">
      <c r="L5249" s="2"/>
      <c r="N5249" s="2"/>
      <c r="O5249" s="2"/>
    </row>
    <row r="5250" spans="12:15">
      <c r="L5250" s="2"/>
      <c r="N5250" s="2"/>
      <c r="O5250" s="2"/>
    </row>
    <row r="5251" spans="12:15">
      <c r="L5251" s="2"/>
      <c r="N5251" s="2"/>
      <c r="O5251" s="2"/>
    </row>
    <row r="5252" spans="12:15">
      <c r="L5252" s="2"/>
      <c r="N5252" s="2"/>
      <c r="O5252" s="2"/>
    </row>
    <row r="5253" spans="12:15">
      <c r="L5253" s="2"/>
      <c r="N5253" s="2"/>
      <c r="O5253" s="2"/>
    </row>
    <row r="5254" spans="12:15">
      <c r="L5254" s="2"/>
      <c r="N5254" s="2"/>
      <c r="O5254" s="2"/>
    </row>
    <row r="5255" spans="12:15">
      <c r="L5255" s="2"/>
      <c r="N5255" s="2"/>
      <c r="O5255" s="2"/>
    </row>
    <row r="5256" spans="12:15">
      <c r="L5256" s="2"/>
      <c r="N5256" s="2"/>
      <c r="O5256" s="2"/>
    </row>
    <row r="5257" spans="12:15">
      <c r="L5257" s="2"/>
      <c r="N5257" s="2"/>
      <c r="O5257" s="2"/>
    </row>
    <row r="5258" spans="12:15">
      <c r="L5258" s="2"/>
      <c r="N5258" s="2"/>
      <c r="O5258" s="2"/>
    </row>
    <row r="5259" spans="12:15">
      <c r="L5259" s="2"/>
      <c r="N5259" s="2"/>
      <c r="O5259" s="2"/>
    </row>
    <row r="5260" spans="12:15">
      <c r="L5260" s="2"/>
      <c r="N5260" s="2"/>
      <c r="O5260" s="2"/>
    </row>
    <row r="5261" spans="12:15">
      <c r="L5261" s="2"/>
      <c r="N5261" s="2"/>
      <c r="O5261" s="2"/>
    </row>
    <row r="5262" spans="12:15">
      <c r="L5262" s="2"/>
      <c r="N5262" s="2"/>
      <c r="O5262" s="2"/>
    </row>
    <row r="5263" spans="12:15">
      <c r="L5263" s="2"/>
      <c r="N5263" s="2"/>
      <c r="O5263" s="2"/>
    </row>
    <row r="5264" spans="12:15">
      <c r="L5264" s="2"/>
      <c r="N5264" s="2"/>
      <c r="O5264" s="2"/>
    </row>
    <row r="5265" spans="12:15">
      <c r="L5265" s="2"/>
      <c r="N5265" s="2"/>
      <c r="O5265" s="2"/>
    </row>
    <row r="5266" spans="12:15">
      <c r="L5266" s="2"/>
      <c r="N5266" s="2"/>
      <c r="O5266" s="2"/>
    </row>
    <row r="5267" spans="12:15">
      <c r="L5267" s="2"/>
      <c r="N5267" s="2"/>
      <c r="O5267" s="2"/>
    </row>
    <row r="5268" spans="12:15">
      <c r="L5268" s="2"/>
      <c r="N5268" s="2"/>
      <c r="O5268" s="2"/>
    </row>
    <row r="5269" spans="12:15">
      <c r="L5269" s="2"/>
      <c r="N5269" s="2"/>
      <c r="O5269" s="2"/>
    </row>
    <row r="5270" spans="12:15">
      <c r="L5270" s="2"/>
      <c r="N5270" s="2"/>
      <c r="O5270" s="2"/>
    </row>
    <row r="5271" spans="12:15">
      <c r="L5271" s="2"/>
      <c r="N5271" s="2"/>
      <c r="O5271" s="2"/>
    </row>
    <row r="5272" spans="12:15">
      <c r="L5272" s="2"/>
      <c r="N5272" s="2"/>
      <c r="O5272" s="2"/>
    </row>
    <row r="5273" spans="12:15">
      <c r="L5273" s="2"/>
      <c r="N5273" s="2"/>
      <c r="O5273" s="2"/>
    </row>
    <row r="5274" spans="12:15">
      <c r="L5274" s="2"/>
      <c r="N5274" s="2"/>
      <c r="O5274" s="2"/>
    </row>
    <row r="5275" spans="12:15">
      <c r="L5275" s="2"/>
      <c r="N5275" s="2"/>
      <c r="O5275" s="2"/>
    </row>
    <row r="5276" spans="12:15">
      <c r="L5276" s="2"/>
      <c r="N5276" s="2"/>
      <c r="O5276" s="2"/>
    </row>
    <row r="5277" spans="12:15">
      <c r="L5277" s="2"/>
      <c r="N5277" s="2"/>
      <c r="O5277" s="2"/>
    </row>
    <row r="5278" spans="12:15">
      <c r="L5278" s="2"/>
      <c r="N5278" s="2"/>
      <c r="O5278" s="2"/>
    </row>
    <row r="5279" spans="12:15">
      <c r="L5279" s="2"/>
      <c r="N5279" s="2"/>
      <c r="O5279" s="2"/>
    </row>
    <row r="5280" spans="12:15">
      <c r="L5280" s="2"/>
      <c r="N5280" s="2"/>
      <c r="O5280" s="2"/>
    </row>
    <row r="5281" spans="12:15">
      <c r="L5281" s="2"/>
      <c r="N5281" s="2"/>
      <c r="O5281" s="2"/>
    </row>
    <row r="5282" spans="12:15">
      <c r="L5282" s="2"/>
      <c r="N5282" s="2"/>
      <c r="O5282" s="2"/>
    </row>
    <row r="5283" spans="12:15">
      <c r="L5283" s="2"/>
      <c r="N5283" s="2"/>
      <c r="O5283" s="2"/>
    </row>
    <row r="5284" spans="12:15">
      <c r="L5284" s="2"/>
      <c r="N5284" s="2"/>
      <c r="O5284" s="2"/>
    </row>
    <row r="5285" spans="12:15">
      <c r="L5285" s="2"/>
      <c r="N5285" s="2"/>
      <c r="O5285" s="2"/>
    </row>
    <row r="5286" spans="12:15">
      <c r="L5286" s="2"/>
      <c r="N5286" s="2"/>
      <c r="O5286" s="2"/>
    </row>
    <row r="5287" spans="12:15">
      <c r="L5287" s="2"/>
      <c r="N5287" s="2"/>
      <c r="O5287" s="2"/>
    </row>
    <row r="5288" spans="12:15">
      <c r="L5288" s="2"/>
      <c r="N5288" s="2"/>
      <c r="O5288" s="2"/>
    </row>
    <row r="5289" spans="12:15">
      <c r="L5289" s="2"/>
      <c r="N5289" s="2"/>
      <c r="O5289" s="2"/>
    </row>
    <row r="5290" spans="12:15">
      <c r="L5290" s="2"/>
      <c r="N5290" s="2"/>
      <c r="O5290" s="2"/>
    </row>
    <row r="5291" spans="12:15">
      <c r="L5291" s="2"/>
      <c r="N5291" s="2"/>
      <c r="O5291" s="2"/>
    </row>
    <row r="5292" spans="12:15">
      <c r="L5292" s="2"/>
      <c r="N5292" s="2"/>
      <c r="O5292" s="2"/>
    </row>
    <row r="5293" spans="12:15">
      <c r="L5293" s="2"/>
      <c r="N5293" s="2"/>
      <c r="O5293" s="2"/>
    </row>
    <row r="5294" spans="12:15">
      <c r="L5294" s="2"/>
      <c r="N5294" s="2"/>
      <c r="O5294" s="2"/>
    </row>
    <row r="5295" spans="12:15">
      <c r="L5295" s="2"/>
      <c r="N5295" s="2"/>
      <c r="O5295" s="2"/>
    </row>
    <row r="5296" spans="12:15">
      <c r="L5296" s="2"/>
      <c r="N5296" s="2"/>
      <c r="O5296" s="2"/>
    </row>
    <row r="5297" spans="12:15">
      <c r="L5297" s="2"/>
      <c r="N5297" s="2"/>
      <c r="O5297" s="2"/>
    </row>
    <row r="5298" spans="12:15">
      <c r="L5298" s="2"/>
      <c r="N5298" s="2"/>
      <c r="O5298" s="2"/>
    </row>
    <row r="5299" spans="12:15">
      <c r="L5299" s="2"/>
      <c r="N5299" s="2"/>
      <c r="O5299" s="2"/>
    </row>
    <row r="5300" spans="12:15">
      <c r="L5300" s="2"/>
      <c r="N5300" s="2"/>
      <c r="O5300" s="2"/>
    </row>
    <row r="5301" spans="12:15">
      <c r="L5301" s="2"/>
      <c r="N5301" s="2"/>
      <c r="O5301" s="2"/>
    </row>
    <row r="5302" spans="12:15">
      <c r="L5302" s="2"/>
      <c r="N5302" s="2"/>
      <c r="O5302" s="2"/>
    </row>
    <row r="5303" spans="12:15">
      <c r="L5303" s="2"/>
      <c r="N5303" s="2"/>
      <c r="O5303" s="2"/>
    </row>
    <row r="5304" spans="12:15">
      <c r="L5304" s="2"/>
      <c r="N5304" s="2"/>
      <c r="O5304" s="2"/>
    </row>
    <row r="5305" spans="12:15">
      <c r="L5305" s="2"/>
      <c r="N5305" s="2"/>
      <c r="O5305" s="2"/>
    </row>
    <row r="5306" spans="12:15">
      <c r="L5306" s="2"/>
      <c r="N5306" s="2"/>
      <c r="O5306" s="2"/>
    </row>
    <row r="5307" spans="12:15">
      <c r="L5307" s="2"/>
      <c r="N5307" s="2"/>
      <c r="O5307" s="2"/>
    </row>
    <row r="5308" spans="12:15">
      <c r="L5308" s="2"/>
      <c r="N5308" s="2"/>
      <c r="O5308" s="2"/>
    </row>
    <row r="5309" spans="12:15">
      <c r="L5309" s="2"/>
      <c r="N5309" s="2"/>
      <c r="O5309" s="2"/>
    </row>
    <row r="5310" spans="12:15">
      <c r="L5310" s="2"/>
      <c r="N5310" s="2"/>
      <c r="O5310" s="2"/>
    </row>
    <row r="5311" spans="12:15">
      <c r="L5311" s="2"/>
      <c r="N5311" s="2"/>
      <c r="O5311" s="2"/>
    </row>
    <row r="5312" spans="12:15">
      <c r="L5312" s="2"/>
      <c r="N5312" s="2"/>
      <c r="O5312" s="2"/>
    </row>
    <row r="5313" spans="12:15">
      <c r="L5313" s="2"/>
      <c r="N5313" s="2"/>
      <c r="O5313" s="2"/>
    </row>
    <row r="5314" spans="12:15">
      <c r="L5314" s="2"/>
      <c r="N5314" s="2"/>
      <c r="O5314" s="2"/>
    </row>
    <row r="5315" spans="12:15">
      <c r="L5315" s="2"/>
      <c r="N5315" s="2"/>
      <c r="O5315" s="2"/>
    </row>
    <row r="5316" spans="12:15">
      <c r="L5316" s="2"/>
      <c r="N5316" s="2"/>
      <c r="O5316" s="2"/>
    </row>
    <row r="5317" spans="12:15">
      <c r="L5317" s="2"/>
      <c r="N5317" s="2"/>
      <c r="O5317" s="2"/>
    </row>
    <row r="5318" spans="12:15">
      <c r="L5318" s="2"/>
      <c r="N5318" s="2"/>
      <c r="O5318" s="2"/>
    </row>
    <row r="5319" spans="12:15">
      <c r="L5319" s="2"/>
      <c r="N5319" s="2"/>
      <c r="O5319" s="2"/>
    </row>
    <row r="5320" spans="12:15">
      <c r="L5320" s="2"/>
      <c r="N5320" s="2"/>
      <c r="O5320" s="2"/>
    </row>
    <row r="5321" spans="12:15">
      <c r="L5321" s="2"/>
      <c r="N5321" s="2"/>
      <c r="O5321" s="2"/>
    </row>
    <row r="5322" spans="12:15">
      <c r="L5322" s="2"/>
      <c r="N5322" s="2"/>
      <c r="O5322" s="2"/>
    </row>
    <row r="5323" spans="12:15">
      <c r="L5323" s="2"/>
      <c r="N5323" s="2"/>
      <c r="O5323" s="2"/>
    </row>
    <row r="5324" spans="12:15">
      <c r="L5324" s="2"/>
      <c r="N5324" s="2"/>
      <c r="O5324" s="2"/>
    </row>
    <row r="5325" spans="12:15">
      <c r="L5325" s="2"/>
      <c r="N5325" s="2"/>
      <c r="O5325" s="2"/>
    </row>
    <row r="5326" spans="12:15">
      <c r="L5326" s="2"/>
      <c r="N5326" s="2"/>
      <c r="O5326" s="2"/>
    </row>
    <row r="5327" spans="12:15">
      <c r="L5327" s="2"/>
      <c r="N5327" s="2"/>
      <c r="O5327" s="2"/>
    </row>
    <row r="5328" spans="12:15">
      <c r="L5328" s="2"/>
      <c r="N5328" s="2"/>
      <c r="O5328" s="2"/>
    </row>
    <row r="5329" spans="12:15">
      <c r="L5329" s="2"/>
      <c r="N5329" s="2"/>
      <c r="O5329" s="2"/>
    </row>
    <row r="5330" spans="12:15">
      <c r="L5330" s="2"/>
      <c r="N5330" s="2"/>
      <c r="O5330" s="2"/>
    </row>
    <row r="5331" spans="12:15">
      <c r="L5331" s="2"/>
      <c r="N5331" s="2"/>
      <c r="O5331" s="2"/>
    </row>
    <row r="5332" spans="12:15">
      <c r="L5332" s="2"/>
      <c r="N5332" s="2"/>
      <c r="O5332" s="2"/>
    </row>
    <row r="5333" spans="12:15">
      <c r="L5333" s="2"/>
      <c r="N5333" s="2"/>
      <c r="O5333" s="2"/>
    </row>
    <row r="5334" spans="12:15">
      <c r="L5334" s="2"/>
      <c r="N5334" s="2"/>
      <c r="O5334" s="2"/>
    </row>
    <row r="5335" spans="12:15">
      <c r="L5335" s="2"/>
      <c r="N5335" s="2"/>
      <c r="O5335" s="2"/>
    </row>
    <row r="5336" spans="12:15">
      <c r="L5336" s="2"/>
      <c r="N5336" s="2"/>
      <c r="O5336" s="2"/>
    </row>
    <row r="5337" spans="12:15">
      <c r="L5337" s="2"/>
      <c r="N5337" s="2"/>
      <c r="O5337" s="2"/>
    </row>
    <row r="5338" spans="12:15">
      <c r="L5338" s="2"/>
      <c r="N5338" s="2"/>
      <c r="O5338" s="2"/>
    </row>
    <row r="5339" spans="12:15">
      <c r="L5339" s="2"/>
      <c r="N5339" s="2"/>
      <c r="O5339" s="2"/>
    </row>
    <row r="5340" spans="12:15">
      <c r="L5340" s="2"/>
      <c r="N5340" s="2"/>
      <c r="O5340" s="2"/>
    </row>
    <row r="5341" spans="12:15">
      <c r="L5341" s="2"/>
      <c r="N5341" s="2"/>
      <c r="O5341" s="2"/>
    </row>
    <row r="5342" spans="12:15">
      <c r="L5342" s="2"/>
      <c r="N5342" s="2"/>
      <c r="O5342" s="2"/>
    </row>
    <row r="5343" spans="12:15">
      <c r="L5343" s="2"/>
      <c r="N5343" s="2"/>
      <c r="O5343" s="2"/>
    </row>
    <row r="5344" spans="12:15">
      <c r="L5344" s="2"/>
      <c r="N5344" s="2"/>
      <c r="O5344" s="2"/>
    </row>
    <row r="5345" spans="12:15">
      <c r="L5345" s="2"/>
      <c r="N5345" s="2"/>
      <c r="O5345" s="2"/>
    </row>
    <row r="5346" spans="12:15">
      <c r="L5346" s="2"/>
      <c r="N5346" s="2"/>
      <c r="O5346" s="2"/>
    </row>
    <row r="5347" spans="12:15">
      <c r="L5347" s="2"/>
      <c r="N5347" s="2"/>
      <c r="O5347" s="2"/>
    </row>
    <row r="5348" spans="12:15">
      <c r="L5348" s="2"/>
      <c r="N5348" s="2"/>
      <c r="O5348" s="2"/>
    </row>
    <row r="5349" spans="12:15">
      <c r="L5349" s="2"/>
      <c r="N5349" s="2"/>
      <c r="O5349" s="2"/>
    </row>
    <row r="5350" spans="12:15">
      <c r="L5350" s="2"/>
      <c r="N5350" s="2"/>
      <c r="O5350" s="2"/>
    </row>
    <row r="5351" spans="12:15">
      <c r="L5351" s="2"/>
      <c r="N5351" s="2"/>
      <c r="O5351" s="2"/>
    </row>
    <row r="5352" spans="12:15">
      <c r="L5352" s="2"/>
      <c r="N5352" s="2"/>
      <c r="O5352" s="2"/>
    </row>
    <row r="5353" spans="12:15">
      <c r="L5353" s="2"/>
      <c r="N5353" s="2"/>
      <c r="O5353" s="2"/>
    </row>
    <row r="5354" spans="12:15">
      <c r="L5354" s="2"/>
      <c r="N5354" s="2"/>
      <c r="O5354" s="2"/>
    </row>
    <row r="5355" spans="12:15">
      <c r="L5355" s="2"/>
      <c r="N5355" s="2"/>
      <c r="O5355" s="2"/>
    </row>
    <row r="5356" spans="12:15">
      <c r="L5356" s="2"/>
      <c r="N5356" s="2"/>
      <c r="O5356" s="2"/>
    </row>
    <row r="5357" spans="12:15">
      <c r="L5357" s="2"/>
      <c r="N5357" s="2"/>
      <c r="O5357" s="2"/>
    </row>
    <row r="5358" spans="12:15">
      <c r="L5358" s="2"/>
      <c r="N5358" s="2"/>
      <c r="O5358" s="2"/>
    </row>
    <row r="5359" spans="12:15">
      <c r="L5359" s="2"/>
      <c r="N5359" s="2"/>
      <c r="O5359" s="2"/>
    </row>
    <row r="5360" spans="12:15">
      <c r="L5360" s="2"/>
      <c r="N5360" s="2"/>
      <c r="O5360" s="2"/>
    </row>
    <row r="5361" spans="12:15">
      <c r="L5361" s="2"/>
      <c r="N5361" s="2"/>
      <c r="O5361" s="2"/>
    </row>
    <row r="5362" spans="12:15">
      <c r="L5362" s="2"/>
      <c r="N5362" s="2"/>
      <c r="O5362" s="2"/>
    </row>
    <row r="5363" spans="12:15">
      <c r="L5363" s="2"/>
      <c r="N5363" s="2"/>
      <c r="O5363" s="2"/>
    </row>
    <row r="5364" spans="12:15">
      <c r="L5364" s="2"/>
      <c r="N5364" s="2"/>
      <c r="O5364" s="2"/>
    </row>
    <row r="5365" spans="12:15">
      <c r="L5365" s="2"/>
      <c r="N5365" s="2"/>
      <c r="O5365" s="2"/>
    </row>
    <row r="5366" spans="12:15">
      <c r="L5366" s="2"/>
      <c r="N5366" s="2"/>
      <c r="O5366" s="2"/>
    </row>
    <row r="5367" spans="12:15">
      <c r="L5367" s="2"/>
      <c r="N5367" s="2"/>
      <c r="O5367" s="2"/>
    </row>
    <row r="5368" spans="12:15">
      <c r="L5368" s="2"/>
      <c r="N5368" s="2"/>
      <c r="O5368" s="2"/>
    </row>
    <row r="5369" spans="12:15">
      <c r="L5369" s="2"/>
      <c r="N5369" s="2"/>
      <c r="O5369" s="2"/>
    </row>
    <row r="5370" spans="12:15">
      <c r="L5370" s="2"/>
      <c r="N5370" s="2"/>
      <c r="O5370" s="2"/>
    </row>
    <row r="5371" spans="12:15">
      <c r="L5371" s="2"/>
      <c r="N5371" s="2"/>
      <c r="O5371" s="2"/>
    </row>
    <row r="5372" spans="12:15">
      <c r="L5372" s="2"/>
      <c r="N5372" s="2"/>
      <c r="O5372" s="2"/>
    </row>
    <row r="5373" spans="12:15">
      <c r="L5373" s="2"/>
      <c r="N5373" s="2"/>
      <c r="O5373" s="2"/>
    </row>
    <row r="5374" spans="12:15">
      <c r="L5374" s="2"/>
      <c r="N5374" s="2"/>
      <c r="O5374" s="2"/>
    </row>
    <row r="5375" spans="12:15">
      <c r="L5375" s="2"/>
      <c r="N5375" s="2"/>
      <c r="O5375" s="2"/>
    </row>
    <row r="5376" spans="12:15">
      <c r="L5376" s="2"/>
      <c r="N5376" s="2"/>
      <c r="O5376" s="2"/>
    </row>
    <row r="5377" spans="12:15">
      <c r="L5377" s="2"/>
      <c r="N5377" s="2"/>
      <c r="O5377" s="2"/>
    </row>
    <row r="5378" spans="12:15">
      <c r="L5378" s="2"/>
      <c r="N5378" s="2"/>
      <c r="O5378" s="2"/>
    </row>
    <row r="5379" spans="12:15">
      <c r="L5379" s="2"/>
      <c r="N5379" s="2"/>
      <c r="O5379" s="2"/>
    </row>
    <row r="5380" spans="12:15">
      <c r="L5380" s="2"/>
      <c r="N5380" s="2"/>
      <c r="O5380" s="2"/>
    </row>
    <row r="5381" spans="12:15">
      <c r="L5381" s="2"/>
      <c r="N5381" s="2"/>
      <c r="O5381" s="2"/>
    </row>
    <row r="5382" spans="12:15">
      <c r="L5382" s="2"/>
      <c r="N5382" s="2"/>
      <c r="O5382" s="2"/>
    </row>
    <row r="5383" spans="12:15">
      <c r="L5383" s="2"/>
      <c r="N5383" s="2"/>
      <c r="O5383" s="2"/>
    </row>
    <row r="5384" spans="12:15">
      <c r="L5384" s="2"/>
      <c r="N5384" s="2"/>
      <c r="O5384" s="2"/>
    </row>
    <row r="5385" spans="12:15">
      <c r="L5385" s="2"/>
      <c r="N5385" s="2"/>
      <c r="O5385" s="2"/>
    </row>
    <row r="5386" spans="12:15">
      <c r="L5386" s="2"/>
      <c r="N5386" s="2"/>
      <c r="O5386" s="2"/>
    </row>
    <row r="5387" spans="12:15">
      <c r="L5387" s="2"/>
      <c r="N5387" s="2"/>
      <c r="O5387" s="2"/>
    </row>
    <row r="5388" spans="12:15">
      <c r="L5388" s="2"/>
      <c r="N5388" s="2"/>
      <c r="O5388" s="2"/>
    </row>
    <row r="5389" spans="12:15">
      <c r="L5389" s="2"/>
      <c r="N5389" s="2"/>
      <c r="O5389" s="2"/>
    </row>
    <row r="5390" spans="12:15">
      <c r="L5390" s="2"/>
      <c r="N5390" s="2"/>
      <c r="O5390" s="2"/>
    </row>
    <row r="5391" spans="12:15">
      <c r="L5391" s="2"/>
      <c r="N5391" s="2"/>
      <c r="O5391" s="2"/>
    </row>
    <row r="5392" spans="12:15">
      <c r="L5392" s="2"/>
      <c r="N5392" s="2"/>
      <c r="O5392" s="2"/>
    </row>
    <row r="5393" spans="12:15">
      <c r="L5393" s="2"/>
      <c r="N5393" s="2"/>
      <c r="O5393" s="2"/>
    </row>
    <row r="5394" spans="12:15">
      <c r="L5394" s="2"/>
      <c r="N5394" s="2"/>
      <c r="O5394" s="2"/>
    </row>
    <row r="5395" spans="12:15">
      <c r="L5395" s="2"/>
      <c r="N5395" s="2"/>
      <c r="O5395" s="2"/>
    </row>
    <row r="5396" spans="12:15">
      <c r="L5396" s="2"/>
      <c r="N5396" s="2"/>
      <c r="O5396" s="2"/>
    </row>
    <row r="5397" spans="12:15">
      <c r="L5397" s="2"/>
      <c r="N5397" s="2"/>
      <c r="O5397" s="2"/>
    </row>
    <row r="5398" spans="12:15">
      <c r="L5398" s="2"/>
      <c r="N5398" s="2"/>
      <c r="O5398" s="2"/>
    </row>
    <row r="5399" spans="12:15">
      <c r="L5399" s="2"/>
      <c r="N5399" s="2"/>
      <c r="O5399" s="2"/>
    </row>
    <row r="5400" spans="12:15">
      <c r="L5400" s="2"/>
      <c r="N5400" s="2"/>
      <c r="O5400" s="2"/>
    </row>
    <row r="5401" spans="12:15">
      <c r="L5401" s="2"/>
      <c r="N5401" s="2"/>
      <c r="O5401" s="2"/>
    </row>
    <row r="5402" spans="12:15">
      <c r="L5402" s="2"/>
      <c r="N5402" s="2"/>
      <c r="O5402" s="2"/>
    </row>
    <row r="5403" spans="12:15">
      <c r="L5403" s="2"/>
      <c r="N5403" s="2"/>
      <c r="O5403" s="2"/>
    </row>
    <row r="5404" spans="12:15">
      <c r="L5404" s="2"/>
      <c r="N5404" s="2"/>
      <c r="O5404" s="2"/>
    </row>
    <row r="5405" spans="12:15">
      <c r="L5405" s="2"/>
      <c r="N5405" s="2"/>
      <c r="O5405" s="2"/>
    </row>
    <row r="5406" spans="12:15">
      <c r="L5406" s="2"/>
      <c r="N5406" s="2"/>
      <c r="O5406" s="2"/>
    </row>
    <row r="5407" spans="12:15">
      <c r="L5407" s="2"/>
      <c r="N5407" s="2"/>
      <c r="O5407" s="2"/>
    </row>
    <row r="5408" spans="12:15">
      <c r="L5408" s="2"/>
      <c r="N5408" s="2"/>
      <c r="O5408" s="2"/>
    </row>
    <row r="5409" spans="12:15">
      <c r="L5409" s="2"/>
      <c r="N5409" s="2"/>
      <c r="O5409" s="2"/>
    </row>
    <row r="5410" spans="12:15">
      <c r="L5410" s="2"/>
      <c r="N5410" s="2"/>
      <c r="O5410" s="2"/>
    </row>
    <row r="5411" spans="12:15">
      <c r="L5411" s="2"/>
      <c r="N5411" s="2"/>
      <c r="O5411" s="2"/>
    </row>
    <row r="5412" spans="12:15">
      <c r="L5412" s="2"/>
      <c r="N5412" s="2"/>
      <c r="O5412" s="2"/>
    </row>
    <row r="5413" spans="12:15">
      <c r="L5413" s="2"/>
      <c r="N5413" s="2"/>
      <c r="O5413" s="2"/>
    </row>
    <row r="5414" spans="12:15">
      <c r="L5414" s="2"/>
      <c r="N5414" s="2"/>
      <c r="O5414" s="2"/>
    </row>
    <row r="5415" spans="12:15">
      <c r="L5415" s="2"/>
      <c r="N5415" s="2"/>
      <c r="O5415" s="2"/>
    </row>
    <row r="5416" spans="12:15">
      <c r="L5416" s="2"/>
      <c r="N5416" s="2"/>
      <c r="O5416" s="2"/>
    </row>
    <row r="5417" spans="12:15">
      <c r="L5417" s="2"/>
      <c r="N5417" s="2"/>
      <c r="O5417" s="2"/>
    </row>
    <row r="5418" spans="12:15">
      <c r="L5418" s="2"/>
      <c r="N5418" s="2"/>
      <c r="O5418" s="2"/>
    </row>
    <row r="5419" spans="12:15">
      <c r="L5419" s="2"/>
      <c r="N5419" s="2"/>
      <c r="O5419" s="2"/>
    </row>
    <row r="5420" spans="12:15">
      <c r="L5420" s="2"/>
      <c r="N5420" s="2"/>
      <c r="O5420" s="2"/>
    </row>
    <row r="5421" spans="12:15">
      <c r="L5421" s="2"/>
      <c r="N5421" s="2"/>
      <c r="O5421" s="2"/>
    </row>
    <row r="5422" spans="12:15">
      <c r="L5422" s="2"/>
      <c r="N5422" s="2"/>
      <c r="O5422" s="2"/>
    </row>
    <row r="5423" spans="12:15">
      <c r="L5423" s="2"/>
      <c r="N5423" s="2"/>
      <c r="O5423" s="2"/>
    </row>
    <row r="5424" spans="12:15">
      <c r="L5424" s="2"/>
      <c r="N5424" s="2"/>
      <c r="O5424" s="2"/>
    </row>
    <row r="5425" spans="12:15">
      <c r="L5425" s="2"/>
      <c r="N5425" s="2"/>
      <c r="O5425" s="2"/>
    </row>
    <row r="5426" spans="12:15">
      <c r="L5426" s="2"/>
      <c r="N5426" s="2"/>
      <c r="O5426" s="2"/>
    </row>
    <row r="5427" spans="12:15">
      <c r="L5427" s="2"/>
      <c r="N5427" s="2"/>
      <c r="O5427" s="2"/>
    </row>
    <row r="5428" spans="12:15">
      <c r="L5428" s="2"/>
      <c r="N5428" s="2"/>
      <c r="O5428" s="2"/>
    </row>
    <row r="5429" spans="12:15">
      <c r="L5429" s="2"/>
      <c r="N5429" s="2"/>
      <c r="O5429" s="2"/>
    </row>
    <row r="5430" spans="12:15">
      <c r="L5430" s="2"/>
      <c r="N5430" s="2"/>
      <c r="O5430" s="2"/>
    </row>
    <row r="5431" spans="12:15">
      <c r="L5431" s="2"/>
      <c r="N5431" s="2"/>
      <c r="O5431" s="2"/>
    </row>
    <row r="5432" spans="12:15">
      <c r="L5432" s="2"/>
      <c r="N5432" s="2"/>
      <c r="O5432" s="2"/>
    </row>
    <row r="5433" spans="12:15">
      <c r="L5433" s="2"/>
      <c r="N5433" s="2"/>
      <c r="O5433" s="2"/>
    </row>
    <row r="5434" spans="12:15">
      <c r="L5434" s="2"/>
      <c r="N5434" s="2"/>
      <c r="O5434" s="2"/>
    </row>
    <row r="5435" spans="12:15">
      <c r="L5435" s="2"/>
      <c r="N5435" s="2"/>
      <c r="O5435" s="2"/>
    </row>
    <row r="5436" spans="12:15">
      <c r="L5436" s="2"/>
      <c r="N5436" s="2"/>
      <c r="O5436" s="2"/>
    </row>
    <row r="5437" spans="12:15">
      <c r="L5437" s="2"/>
      <c r="N5437" s="2"/>
      <c r="O5437" s="2"/>
    </row>
    <row r="5438" spans="12:15">
      <c r="L5438" s="2"/>
      <c r="N5438" s="2"/>
      <c r="O5438" s="2"/>
    </row>
    <row r="5439" spans="12:15">
      <c r="L5439" s="2"/>
      <c r="N5439" s="2"/>
      <c r="O5439" s="2"/>
    </row>
    <row r="5440" spans="12:15">
      <c r="L5440" s="2"/>
      <c r="N5440" s="2"/>
      <c r="O5440" s="2"/>
    </row>
    <row r="5441" spans="12:15">
      <c r="L5441" s="2"/>
      <c r="N5441" s="2"/>
      <c r="O5441" s="2"/>
    </row>
    <row r="5442" spans="12:15">
      <c r="L5442" s="2"/>
      <c r="N5442" s="2"/>
      <c r="O5442" s="2"/>
    </row>
    <row r="5443" spans="12:15">
      <c r="L5443" s="2"/>
      <c r="N5443" s="2"/>
      <c r="O5443" s="2"/>
    </row>
    <row r="5444" spans="12:15">
      <c r="L5444" s="2"/>
      <c r="N5444" s="2"/>
      <c r="O5444" s="2"/>
    </row>
    <row r="5445" spans="12:15">
      <c r="L5445" s="2"/>
      <c r="N5445" s="2"/>
      <c r="O5445" s="2"/>
    </row>
    <row r="5446" spans="12:15">
      <c r="L5446" s="2"/>
      <c r="N5446" s="2"/>
      <c r="O5446" s="2"/>
    </row>
    <row r="5447" spans="12:15">
      <c r="L5447" s="2"/>
      <c r="N5447" s="2"/>
      <c r="O5447" s="2"/>
    </row>
    <row r="5448" spans="12:15">
      <c r="L5448" s="2"/>
      <c r="N5448" s="2"/>
      <c r="O5448" s="2"/>
    </row>
    <row r="5449" spans="12:15">
      <c r="L5449" s="2"/>
      <c r="N5449" s="2"/>
      <c r="O5449" s="2"/>
    </row>
    <row r="5450" spans="12:15">
      <c r="L5450" s="2"/>
      <c r="N5450" s="2"/>
      <c r="O5450" s="2"/>
    </row>
    <row r="5451" spans="12:15">
      <c r="L5451" s="2"/>
      <c r="N5451" s="2"/>
      <c r="O5451" s="2"/>
    </row>
    <row r="5452" spans="12:15">
      <c r="L5452" s="2"/>
      <c r="N5452" s="2"/>
      <c r="O5452" s="2"/>
    </row>
    <row r="5453" spans="12:15">
      <c r="L5453" s="2"/>
      <c r="N5453" s="2"/>
      <c r="O5453" s="2"/>
    </row>
    <row r="5454" spans="12:15">
      <c r="L5454" s="2"/>
      <c r="N5454" s="2"/>
      <c r="O5454" s="2"/>
    </row>
    <row r="5455" spans="12:15">
      <c r="L5455" s="2"/>
      <c r="N5455" s="2"/>
      <c r="O5455" s="2"/>
    </row>
    <row r="5456" spans="12:15">
      <c r="L5456" s="2"/>
      <c r="N5456" s="2"/>
      <c r="O5456" s="2"/>
    </row>
    <row r="5457" spans="12:15">
      <c r="L5457" s="2"/>
      <c r="N5457" s="2"/>
      <c r="O5457" s="2"/>
    </row>
    <row r="5458" spans="12:15">
      <c r="L5458" s="2"/>
      <c r="N5458" s="2"/>
      <c r="O5458" s="2"/>
    </row>
    <row r="5459" spans="12:15">
      <c r="L5459" s="2"/>
      <c r="N5459" s="2"/>
      <c r="O5459" s="2"/>
    </row>
    <row r="5460" spans="12:15">
      <c r="L5460" s="2"/>
      <c r="N5460" s="2"/>
      <c r="O5460" s="2"/>
    </row>
    <row r="5461" spans="12:15">
      <c r="L5461" s="2"/>
      <c r="N5461" s="2"/>
      <c r="O5461" s="2"/>
    </row>
    <row r="5462" spans="12:15">
      <c r="L5462" s="2"/>
      <c r="N5462" s="2"/>
      <c r="O5462" s="2"/>
    </row>
    <row r="5463" spans="12:15">
      <c r="L5463" s="2"/>
      <c r="N5463" s="2"/>
      <c r="O5463" s="2"/>
    </row>
    <row r="5464" spans="12:15">
      <c r="L5464" s="2"/>
      <c r="N5464" s="2"/>
      <c r="O5464" s="2"/>
    </row>
    <row r="5465" spans="12:15">
      <c r="L5465" s="2"/>
      <c r="N5465" s="2"/>
      <c r="O5465" s="2"/>
    </row>
    <row r="5466" spans="12:15">
      <c r="L5466" s="2"/>
      <c r="N5466" s="2"/>
      <c r="O5466" s="2"/>
    </row>
    <row r="5467" spans="12:15">
      <c r="L5467" s="2"/>
      <c r="N5467" s="2"/>
      <c r="O5467" s="2"/>
    </row>
    <row r="5468" spans="12:15">
      <c r="L5468" s="2"/>
      <c r="N5468" s="2"/>
      <c r="O5468" s="2"/>
    </row>
    <row r="5469" spans="12:15">
      <c r="L5469" s="2"/>
      <c r="N5469" s="2"/>
      <c r="O5469" s="2"/>
    </row>
    <row r="5470" spans="12:15">
      <c r="L5470" s="2"/>
      <c r="N5470" s="2"/>
      <c r="O5470" s="2"/>
    </row>
    <row r="5471" spans="12:15">
      <c r="L5471" s="2"/>
      <c r="N5471" s="2"/>
      <c r="O5471" s="2"/>
    </row>
    <row r="5472" spans="12:15">
      <c r="L5472" s="2"/>
      <c r="N5472" s="2"/>
      <c r="O5472" s="2"/>
    </row>
    <row r="5473" spans="12:15">
      <c r="L5473" s="2"/>
      <c r="N5473" s="2"/>
      <c r="O5473" s="2"/>
    </row>
    <row r="5474" spans="12:15">
      <c r="L5474" s="2"/>
      <c r="N5474" s="2"/>
      <c r="O5474" s="2"/>
    </row>
    <row r="5475" spans="12:15">
      <c r="L5475" s="2"/>
      <c r="N5475" s="2"/>
      <c r="O5475" s="2"/>
    </row>
    <row r="5476" spans="12:15">
      <c r="L5476" s="2"/>
      <c r="N5476" s="2"/>
      <c r="O5476" s="2"/>
    </row>
    <row r="5477" spans="12:15">
      <c r="L5477" s="2"/>
      <c r="N5477" s="2"/>
      <c r="O5477" s="2"/>
    </row>
    <row r="5478" spans="12:15">
      <c r="L5478" s="2"/>
      <c r="N5478" s="2"/>
      <c r="O5478" s="2"/>
    </row>
    <row r="5479" spans="12:15">
      <c r="L5479" s="2"/>
      <c r="N5479" s="2"/>
      <c r="O5479" s="2"/>
    </row>
    <row r="5480" spans="12:15">
      <c r="L5480" s="2"/>
      <c r="N5480" s="2"/>
      <c r="O5480" s="2"/>
    </row>
    <row r="5481" spans="12:15">
      <c r="L5481" s="2"/>
      <c r="N5481" s="2"/>
      <c r="O5481" s="2"/>
    </row>
    <row r="5482" spans="12:15">
      <c r="L5482" s="2"/>
      <c r="N5482" s="2"/>
      <c r="O5482" s="2"/>
    </row>
    <row r="5483" spans="12:15">
      <c r="L5483" s="2"/>
      <c r="N5483" s="2"/>
      <c r="O5483" s="2"/>
    </row>
    <row r="5484" spans="12:15">
      <c r="L5484" s="2"/>
      <c r="N5484" s="2"/>
      <c r="O5484" s="2"/>
    </row>
    <row r="5485" spans="12:15">
      <c r="L5485" s="2"/>
      <c r="N5485" s="2"/>
      <c r="O5485" s="2"/>
    </row>
    <row r="5486" spans="12:15">
      <c r="L5486" s="2"/>
      <c r="N5486" s="2"/>
      <c r="O5486" s="2"/>
    </row>
    <row r="5487" spans="12:15">
      <c r="L5487" s="2"/>
      <c r="N5487" s="2"/>
      <c r="O5487" s="2"/>
    </row>
    <row r="5488" spans="12:15">
      <c r="L5488" s="2"/>
      <c r="N5488" s="2"/>
      <c r="O5488" s="2"/>
    </row>
    <row r="5489" spans="12:15">
      <c r="L5489" s="2"/>
      <c r="N5489" s="2"/>
      <c r="O5489" s="2"/>
    </row>
    <row r="5490" spans="12:15">
      <c r="L5490" s="2"/>
      <c r="N5490" s="2"/>
      <c r="O5490" s="2"/>
    </row>
    <row r="5491" spans="12:15">
      <c r="L5491" s="2"/>
      <c r="N5491" s="2"/>
      <c r="O5491" s="2"/>
    </row>
    <row r="5492" spans="12:15">
      <c r="L5492" s="2"/>
      <c r="N5492" s="2"/>
      <c r="O5492" s="2"/>
    </row>
    <row r="5493" spans="12:15">
      <c r="L5493" s="2"/>
      <c r="N5493" s="2"/>
      <c r="O5493" s="2"/>
    </row>
    <row r="5494" spans="12:15">
      <c r="L5494" s="2"/>
      <c r="N5494" s="2"/>
      <c r="O5494" s="2"/>
    </row>
    <row r="5495" spans="12:15">
      <c r="L5495" s="2"/>
      <c r="N5495" s="2"/>
      <c r="O5495" s="2"/>
    </row>
    <row r="5496" spans="12:15">
      <c r="L5496" s="2"/>
      <c r="N5496" s="2"/>
      <c r="O5496" s="2"/>
    </row>
    <row r="5497" spans="12:15">
      <c r="L5497" s="2"/>
      <c r="N5497" s="2"/>
      <c r="O5497" s="2"/>
    </row>
    <row r="5498" spans="12:15">
      <c r="L5498" s="2"/>
      <c r="N5498" s="2"/>
      <c r="O5498" s="2"/>
    </row>
    <row r="5499" spans="12:15">
      <c r="L5499" s="2"/>
      <c r="N5499" s="2"/>
      <c r="O5499" s="2"/>
    </row>
    <row r="5500" spans="12:15">
      <c r="L5500" s="2"/>
      <c r="N5500" s="2"/>
      <c r="O5500" s="2"/>
    </row>
    <row r="5501" spans="12:15">
      <c r="L5501" s="2"/>
      <c r="N5501" s="2"/>
      <c r="O5501" s="2"/>
    </row>
    <row r="5502" spans="12:15">
      <c r="L5502" s="2"/>
      <c r="N5502" s="2"/>
      <c r="O5502" s="2"/>
    </row>
    <row r="5503" spans="12:15">
      <c r="L5503" s="2"/>
      <c r="N5503" s="2"/>
      <c r="O5503" s="2"/>
    </row>
    <row r="5504" spans="12:15">
      <c r="L5504" s="2"/>
      <c r="N5504" s="2"/>
      <c r="O5504" s="2"/>
    </row>
    <row r="5505" spans="12:15">
      <c r="L5505" s="2"/>
      <c r="N5505" s="2"/>
      <c r="O5505" s="2"/>
    </row>
    <row r="5506" spans="12:15">
      <c r="L5506" s="2"/>
      <c r="N5506" s="2"/>
      <c r="O5506" s="2"/>
    </row>
    <row r="5507" spans="12:15">
      <c r="L5507" s="2"/>
      <c r="N5507" s="2"/>
      <c r="O5507" s="2"/>
    </row>
    <row r="5508" spans="12:15">
      <c r="L5508" s="2"/>
      <c r="N5508" s="2"/>
      <c r="O5508" s="2"/>
    </row>
    <row r="5509" spans="12:15">
      <c r="L5509" s="2"/>
      <c r="N5509" s="2"/>
      <c r="O5509" s="2"/>
    </row>
    <row r="5510" spans="12:15">
      <c r="L5510" s="2"/>
      <c r="N5510" s="2"/>
      <c r="O5510" s="2"/>
    </row>
    <row r="5511" spans="12:15">
      <c r="L5511" s="2"/>
      <c r="N5511" s="2"/>
      <c r="O5511" s="2"/>
    </row>
    <row r="5512" spans="12:15">
      <c r="L5512" s="2"/>
      <c r="N5512" s="2"/>
      <c r="O5512" s="2"/>
    </row>
    <row r="5513" spans="12:15">
      <c r="L5513" s="2"/>
      <c r="N5513" s="2"/>
      <c r="O5513" s="2"/>
    </row>
    <row r="5514" spans="12:15">
      <c r="L5514" s="2"/>
      <c r="N5514" s="2"/>
      <c r="O5514" s="2"/>
    </row>
    <row r="5515" spans="12:15">
      <c r="L5515" s="2"/>
      <c r="N5515" s="2"/>
      <c r="O5515" s="2"/>
    </row>
    <row r="5516" spans="12:15">
      <c r="L5516" s="2"/>
      <c r="N5516" s="2"/>
      <c r="O5516" s="2"/>
    </row>
    <row r="5517" spans="12:15">
      <c r="L5517" s="2"/>
      <c r="N5517" s="2"/>
      <c r="O5517" s="2"/>
    </row>
    <row r="5518" spans="12:15">
      <c r="L5518" s="2"/>
      <c r="N5518" s="2"/>
      <c r="O5518" s="2"/>
    </row>
    <row r="5519" spans="12:15">
      <c r="L5519" s="2"/>
      <c r="N5519" s="2"/>
      <c r="O5519" s="2"/>
    </row>
    <row r="5520" spans="12:15">
      <c r="L5520" s="2"/>
      <c r="N5520" s="2"/>
      <c r="O5520" s="2"/>
    </row>
    <row r="5521" spans="12:15">
      <c r="L5521" s="2"/>
      <c r="N5521" s="2"/>
      <c r="O5521" s="2"/>
    </row>
    <row r="5522" spans="12:15">
      <c r="L5522" s="2"/>
      <c r="N5522" s="2"/>
      <c r="O5522" s="2"/>
    </row>
    <row r="5523" spans="12:15">
      <c r="L5523" s="2"/>
      <c r="N5523" s="2"/>
      <c r="O5523" s="2"/>
    </row>
    <row r="5524" spans="12:15">
      <c r="L5524" s="2"/>
      <c r="N5524" s="2"/>
      <c r="O5524" s="2"/>
    </row>
    <row r="5525" spans="12:15">
      <c r="L5525" s="2"/>
      <c r="N5525" s="2"/>
      <c r="O5525" s="2"/>
    </row>
    <row r="5526" spans="12:15">
      <c r="L5526" s="2"/>
      <c r="N5526" s="2"/>
      <c r="O5526" s="2"/>
    </row>
    <row r="5527" spans="12:15">
      <c r="L5527" s="2"/>
      <c r="N5527" s="2"/>
      <c r="O5527" s="2"/>
    </row>
    <row r="5528" spans="12:15">
      <c r="L5528" s="2"/>
      <c r="N5528" s="2"/>
      <c r="O5528" s="2"/>
    </row>
    <row r="5529" spans="12:15">
      <c r="L5529" s="2"/>
      <c r="N5529" s="2"/>
      <c r="O5529" s="2"/>
    </row>
    <row r="5530" spans="12:15">
      <c r="L5530" s="2"/>
      <c r="N5530" s="2"/>
      <c r="O5530" s="2"/>
    </row>
    <row r="5531" spans="12:15">
      <c r="L5531" s="2"/>
      <c r="N5531" s="2"/>
      <c r="O5531" s="2"/>
    </row>
    <row r="5532" spans="12:15">
      <c r="L5532" s="2"/>
      <c r="N5532" s="2"/>
      <c r="O5532" s="2"/>
    </row>
    <row r="5533" spans="12:15">
      <c r="L5533" s="2"/>
      <c r="N5533" s="2"/>
      <c r="O5533" s="2"/>
    </row>
    <row r="5534" spans="12:15">
      <c r="L5534" s="2"/>
      <c r="N5534" s="2"/>
      <c r="O5534" s="2"/>
    </row>
    <row r="5535" spans="12:15">
      <c r="L5535" s="2"/>
      <c r="N5535" s="2"/>
      <c r="O5535" s="2"/>
    </row>
    <row r="5536" spans="12:15">
      <c r="L5536" s="2"/>
      <c r="N5536" s="2"/>
      <c r="O5536" s="2"/>
    </row>
    <row r="5537" spans="12:15">
      <c r="L5537" s="2"/>
      <c r="N5537" s="2"/>
      <c r="O5537" s="2"/>
    </row>
    <row r="5538" spans="12:15">
      <c r="L5538" s="2"/>
      <c r="N5538" s="2"/>
      <c r="O5538" s="2"/>
    </row>
    <row r="5539" spans="12:15">
      <c r="L5539" s="2"/>
      <c r="N5539" s="2"/>
      <c r="O5539" s="2"/>
    </row>
    <row r="5540" spans="12:15">
      <c r="L5540" s="2"/>
      <c r="N5540" s="2"/>
      <c r="O5540" s="2"/>
    </row>
    <row r="5541" spans="12:15">
      <c r="L5541" s="2"/>
      <c r="N5541" s="2"/>
      <c r="O5541" s="2"/>
    </row>
    <row r="5542" spans="12:15">
      <c r="L5542" s="2"/>
      <c r="N5542" s="2"/>
      <c r="O5542" s="2"/>
    </row>
    <row r="5543" spans="12:15">
      <c r="L5543" s="2"/>
      <c r="N5543" s="2"/>
      <c r="O5543" s="2"/>
    </row>
    <row r="5544" spans="12:15">
      <c r="L5544" s="2"/>
      <c r="N5544" s="2"/>
      <c r="O5544" s="2"/>
    </row>
    <row r="5545" spans="12:15">
      <c r="L5545" s="2"/>
      <c r="N5545" s="2"/>
      <c r="O5545" s="2"/>
    </row>
    <row r="5546" spans="12:15">
      <c r="L5546" s="2"/>
      <c r="N5546" s="2"/>
      <c r="O5546" s="2"/>
    </row>
    <row r="5547" spans="12:15">
      <c r="L5547" s="2"/>
      <c r="N5547" s="2"/>
      <c r="O5547" s="2"/>
    </row>
    <row r="5548" spans="12:15">
      <c r="L5548" s="2"/>
      <c r="N5548" s="2"/>
      <c r="O5548" s="2"/>
    </row>
    <row r="5549" spans="12:15">
      <c r="L5549" s="2"/>
      <c r="N5549" s="2"/>
      <c r="O5549" s="2"/>
    </row>
    <row r="5550" spans="12:15">
      <c r="L5550" s="2"/>
      <c r="N5550" s="2"/>
      <c r="O5550" s="2"/>
    </row>
    <row r="5551" spans="12:15">
      <c r="L5551" s="2"/>
      <c r="N5551" s="2"/>
      <c r="O5551" s="2"/>
    </row>
    <row r="5552" spans="12:15">
      <c r="L5552" s="2"/>
      <c r="N5552" s="2"/>
      <c r="O5552" s="2"/>
    </row>
    <row r="5553" spans="12:15">
      <c r="L5553" s="2"/>
      <c r="N5553" s="2"/>
      <c r="O5553" s="2"/>
    </row>
    <row r="5554" spans="12:15">
      <c r="L5554" s="2"/>
      <c r="N5554" s="2"/>
      <c r="O5554" s="2"/>
    </row>
    <row r="5555" spans="12:15">
      <c r="L5555" s="2"/>
      <c r="N5555" s="2"/>
      <c r="O5555" s="2"/>
    </row>
    <row r="5556" spans="12:15">
      <c r="L5556" s="2"/>
      <c r="N5556" s="2"/>
      <c r="O5556" s="2"/>
    </row>
    <row r="5557" spans="12:15">
      <c r="L5557" s="2"/>
      <c r="N5557" s="2"/>
      <c r="O5557" s="2"/>
    </row>
    <row r="5558" spans="12:15">
      <c r="L5558" s="2"/>
      <c r="N5558" s="2"/>
      <c r="O5558" s="2"/>
    </row>
    <row r="5559" spans="12:15">
      <c r="L5559" s="2"/>
      <c r="N5559" s="2"/>
      <c r="O5559" s="2"/>
    </row>
    <row r="5560" spans="12:15">
      <c r="L5560" s="2"/>
      <c r="N5560" s="2"/>
      <c r="O5560" s="2"/>
    </row>
    <row r="5561" spans="12:15">
      <c r="L5561" s="2"/>
      <c r="N5561" s="2"/>
      <c r="O5561" s="2"/>
    </row>
    <row r="5562" spans="12:15">
      <c r="L5562" s="2"/>
      <c r="N5562" s="2"/>
      <c r="O5562" s="2"/>
    </row>
    <row r="5563" spans="12:15">
      <c r="L5563" s="2"/>
      <c r="N5563" s="2"/>
      <c r="O5563" s="2"/>
    </row>
    <row r="5564" spans="12:15">
      <c r="L5564" s="2"/>
      <c r="N5564" s="2"/>
      <c r="O5564" s="2"/>
    </row>
    <row r="5565" spans="12:15">
      <c r="L5565" s="2"/>
      <c r="N5565" s="2"/>
      <c r="O5565" s="2"/>
    </row>
    <row r="5566" spans="12:15">
      <c r="L5566" s="2"/>
      <c r="N5566" s="2"/>
      <c r="O5566" s="2"/>
    </row>
    <row r="5567" spans="12:15">
      <c r="L5567" s="2"/>
      <c r="N5567" s="2"/>
      <c r="O5567" s="2"/>
    </row>
    <row r="5568" spans="12:15">
      <c r="L5568" s="2"/>
      <c r="N5568" s="2"/>
      <c r="O5568" s="2"/>
    </row>
    <row r="5569" spans="12:15">
      <c r="L5569" s="2"/>
      <c r="N5569" s="2"/>
      <c r="O5569" s="2"/>
    </row>
    <row r="5570" spans="12:15">
      <c r="L5570" s="2"/>
      <c r="N5570" s="2"/>
      <c r="O5570" s="2"/>
    </row>
    <row r="5571" spans="12:15">
      <c r="L5571" s="2"/>
      <c r="N5571" s="2"/>
      <c r="O5571" s="2"/>
    </row>
    <row r="5572" spans="12:15">
      <c r="L5572" s="2"/>
      <c r="N5572" s="2"/>
      <c r="O5572" s="2"/>
    </row>
    <row r="5573" spans="12:15">
      <c r="L5573" s="2"/>
      <c r="N5573" s="2"/>
      <c r="O5573" s="2"/>
    </row>
    <row r="5574" spans="12:15">
      <c r="L5574" s="2"/>
      <c r="N5574" s="2"/>
      <c r="O5574" s="2"/>
    </row>
    <row r="5575" spans="12:15">
      <c r="L5575" s="2"/>
      <c r="N5575" s="2"/>
      <c r="O5575" s="2"/>
    </row>
    <row r="5576" spans="12:15">
      <c r="L5576" s="2"/>
      <c r="N5576" s="2"/>
      <c r="O5576" s="2"/>
    </row>
    <row r="5577" spans="12:15">
      <c r="L5577" s="2"/>
      <c r="N5577" s="2"/>
      <c r="O5577" s="2"/>
    </row>
    <row r="5578" spans="12:15">
      <c r="L5578" s="2"/>
      <c r="N5578" s="2"/>
      <c r="O5578" s="2"/>
    </row>
    <row r="5579" spans="12:15">
      <c r="L5579" s="2"/>
      <c r="N5579" s="2"/>
      <c r="O5579" s="2"/>
    </row>
    <row r="5580" spans="12:15">
      <c r="L5580" s="2"/>
      <c r="N5580" s="2"/>
      <c r="O5580" s="2"/>
    </row>
    <row r="5581" spans="12:15">
      <c r="L5581" s="2"/>
      <c r="N5581" s="2"/>
      <c r="O5581" s="2"/>
    </row>
    <row r="5582" spans="12:15">
      <c r="L5582" s="2"/>
      <c r="N5582" s="2"/>
      <c r="O5582" s="2"/>
    </row>
    <row r="5583" spans="12:15">
      <c r="L5583" s="2"/>
      <c r="N5583" s="2"/>
      <c r="O5583" s="2"/>
    </row>
    <row r="5584" spans="12:15">
      <c r="L5584" s="2"/>
      <c r="N5584" s="2"/>
      <c r="O5584" s="2"/>
    </row>
    <row r="5585" spans="12:15">
      <c r="L5585" s="2"/>
      <c r="N5585" s="2"/>
      <c r="O5585" s="2"/>
    </row>
    <row r="5586" spans="12:15">
      <c r="L5586" s="2"/>
      <c r="N5586" s="2"/>
      <c r="O5586" s="2"/>
    </row>
    <row r="5587" spans="12:15">
      <c r="L5587" s="2"/>
      <c r="N5587" s="2"/>
      <c r="O5587" s="2"/>
    </row>
    <row r="5588" spans="12:15">
      <c r="L5588" s="2"/>
      <c r="N5588" s="2"/>
      <c r="O5588" s="2"/>
    </row>
    <row r="5589" spans="12:15">
      <c r="L5589" s="2"/>
      <c r="N5589" s="2"/>
      <c r="O5589" s="2"/>
    </row>
    <row r="5590" spans="12:15">
      <c r="L5590" s="2"/>
      <c r="N5590" s="2"/>
      <c r="O5590" s="2"/>
    </row>
    <row r="5591" spans="12:15">
      <c r="L5591" s="2"/>
      <c r="N5591" s="2"/>
      <c r="O5591" s="2"/>
    </row>
    <row r="5592" spans="12:15">
      <c r="L5592" s="2"/>
      <c r="N5592" s="2"/>
      <c r="O5592" s="2"/>
    </row>
    <row r="5593" spans="12:15">
      <c r="L5593" s="2"/>
      <c r="N5593" s="2"/>
      <c r="O5593" s="2"/>
    </row>
    <row r="5594" spans="12:15">
      <c r="L5594" s="2"/>
      <c r="N5594" s="2"/>
      <c r="O5594" s="2"/>
    </row>
    <row r="5595" spans="12:15">
      <c r="L5595" s="2"/>
      <c r="N5595" s="2"/>
      <c r="O5595" s="2"/>
    </row>
    <row r="5596" spans="12:15">
      <c r="L5596" s="2"/>
      <c r="N5596" s="2"/>
      <c r="O5596" s="2"/>
    </row>
    <row r="5597" spans="12:15">
      <c r="L5597" s="2"/>
      <c r="N5597" s="2"/>
      <c r="O5597" s="2"/>
    </row>
    <row r="5598" spans="12:15">
      <c r="L5598" s="2"/>
      <c r="N5598" s="2"/>
      <c r="O5598" s="2"/>
    </row>
    <row r="5599" spans="12:15">
      <c r="L5599" s="2"/>
      <c r="N5599" s="2"/>
      <c r="O5599" s="2"/>
    </row>
    <row r="5600" spans="12:15">
      <c r="L5600" s="2"/>
      <c r="N5600" s="2"/>
      <c r="O5600" s="2"/>
    </row>
    <row r="5601" spans="12:15">
      <c r="L5601" s="2"/>
      <c r="N5601" s="2"/>
      <c r="O5601" s="2"/>
    </row>
    <row r="5602" spans="12:15">
      <c r="L5602" s="2"/>
      <c r="N5602" s="2"/>
      <c r="O5602" s="2"/>
    </row>
    <row r="5603" spans="12:15">
      <c r="L5603" s="2"/>
      <c r="N5603" s="2"/>
      <c r="O5603" s="2"/>
    </row>
    <row r="5604" spans="12:15">
      <c r="L5604" s="2"/>
      <c r="N5604" s="2"/>
      <c r="O5604" s="2"/>
    </row>
    <row r="5605" spans="12:15">
      <c r="L5605" s="2"/>
      <c r="N5605" s="2"/>
      <c r="O5605" s="2"/>
    </row>
    <row r="5606" spans="12:15">
      <c r="L5606" s="2"/>
      <c r="N5606" s="2"/>
      <c r="O5606" s="2"/>
    </row>
    <row r="5607" spans="12:15">
      <c r="L5607" s="2"/>
      <c r="N5607" s="2"/>
      <c r="O5607" s="2"/>
    </row>
    <row r="5608" spans="12:15">
      <c r="L5608" s="2"/>
      <c r="N5608" s="2"/>
      <c r="O5608" s="2"/>
    </row>
    <row r="5609" spans="12:15">
      <c r="L5609" s="2"/>
      <c r="N5609" s="2"/>
      <c r="O5609" s="2"/>
    </row>
    <row r="5610" spans="12:15">
      <c r="L5610" s="2"/>
      <c r="N5610" s="2"/>
      <c r="O5610" s="2"/>
    </row>
    <row r="5611" spans="12:15">
      <c r="L5611" s="2"/>
      <c r="N5611" s="2"/>
      <c r="O5611" s="2"/>
    </row>
    <row r="5612" spans="12:15">
      <c r="L5612" s="2"/>
      <c r="N5612" s="2"/>
      <c r="O5612" s="2"/>
    </row>
    <row r="5613" spans="12:15">
      <c r="L5613" s="2"/>
      <c r="N5613" s="2"/>
      <c r="O5613" s="2"/>
    </row>
    <row r="5614" spans="12:15">
      <c r="L5614" s="2"/>
      <c r="N5614" s="2"/>
      <c r="O5614" s="2"/>
    </row>
    <row r="5615" spans="12:15">
      <c r="L5615" s="2"/>
      <c r="N5615" s="2"/>
      <c r="O5615" s="2"/>
    </row>
    <row r="5616" spans="12:15">
      <c r="L5616" s="2"/>
      <c r="N5616" s="2"/>
      <c r="O5616" s="2"/>
    </row>
    <row r="5617" spans="12:15">
      <c r="L5617" s="2"/>
      <c r="N5617" s="2"/>
      <c r="O5617" s="2"/>
    </row>
    <row r="5618" spans="12:15">
      <c r="L5618" s="2"/>
      <c r="N5618" s="2"/>
      <c r="O5618" s="2"/>
    </row>
    <row r="5619" spans="12:15">
      <c r="L5619" s="2"/>
      <c r="N5619" s="2"/>
      <c r="O5619" s="2"/>
    </row>
    <row r="5620" spans="12:15">
      <c r="L5620" s="2"/>
      <c r="N5620" s="2"/>
      <c r="O5620" s="2"/>
    </row>
    <row r="5621" spans="12:15">
      <c r="L5621" s="2"/>
      <c r="N5621" s="2"/>
      <c r="O5621" s="2"/>
    </row>
    <row r="5622" spans="12:15">
      <c r="L5622" s="2"/>
      <c r="N5622" s="2"/>
      <c r="O5622" s="2"/>
    </row>
    <row r="5623" spans="12:15">
      <c r="L5623" s="2"/>
      <c r="N5623" s="2"/>
      <c r="O5623" s="2"/>
    </row>
    <row r="5624" spans="12:15">
      <c r="L5624" s="2"/>
      <c r="N5624" s="2"/>
      <c r="O5624" s="2"/>
    </row>
    <row r="5625" spans="12:15">
      <c r="L5625" s="2"/>
      <c r="N5625" s="2"/>
      <c r="O5625" s="2"/>
    </row>
    <row r="5626" spans="12:15">
      <c r="L5626" s="2"/>
      <c r="N5626" s="2"/>
      <c r="O5626" s="2"/>
    </row>
    <row r="5627" spans="12:15">
      <c r="L5627" s="2"/>
      <c r="N5627" s="2"/>
      <c r="O5627" s="2"/>
    </row>
    <row r="5628" spans="12:15">
      <c r="L5628" s="2"/>
      <c r="N5628" s="2"/>
      <c r="O5628" s="2"/>
    </row>
    <row r="5629" spans="12:15">
      <c r="L5629" s="2"/>
      <c r="N5629" s="2"/>
      <c r="O5629" s="2"/>
    </row>
    <row r="5630" spans="12:15">
      <c r="L5630" s="2"/>
      <c r="N5630" s="2"/>
      <c r="O5630" s="2"/>
    </row>
    <row r="5631" spans="12:15">
      <c r="L5631" s="2"/>
      <c r="N5631" s="2"/>
      <c r="O5631" s="2"/>
    </row>
    <row r="5632" spans="12:15">
      <c r="L5632" s="2"/>
      <c r="N5632" s="2"/>
      <c r="O5632" s="2"/>
    </row>
    <row r="5633" spans="12:15">
      <c r="L5633" s="2"/>
      <c r="N5633" s="2"/>
      <c r="O5633" s="2"/>
    </row>
    <row r="5634" spans="12:15">
      <c r="L5634" s="2"/>
      <c r="N5634" s="2"/>
      <c r="O5634" s="2"/>
    </row>
    <row r="5635" spans="12:15">
      <c r="L5635" s="2"/>
      <c r="N5635" s="2"/>
      <c r="O5635" s="2"/>
    </row>
    <row r="5636" spans="12:15">
      <c r="L5636" s="2"/>
      <c r="N5636" s="2"/>
      <c r="O5636" s="2"/>
    </row>
    <row r="5637" spans="12:15">
      <c r="L5637" s="2"/>
      <c r="N5637" s="2"/>
      <c r="O5637" s="2"/>
    </row>
    <row r="5638" spans="12:15">
      <c r="L5638" s="2"/>
      <c r="N5638" s="2"/>
      <c r="O5638" s="2"/>
    </row>
    <row r="5639" spans="12:15">
      <c r="L5639" s="2"/>
      <c r="N5639" s="2"/>
      <c r="O5639" s="2"/>
    </row>
    <row r="5640" spans="12:15">
      <c r="L5640" s="2"/>
      <c r="N5640" s="2"/>
      <c r="O5640" s="2"/>
    </row>
    <row r="5641" spans="12:15">
      <c r="L5641" s="2"/>
      <c r="N5641" s="2"/>
      <c r="O5641" s="2"/>
    </row>
    <row r="5642" spans="12:15">
      <c r="L5642" s="2"/>
      <c r="N5642" s="2"/>
      <c r="O5642" s="2"/>
    </row>
    <row r="5643" spans="12:15">
      <c r="L5643" s="2"/>
      <c r="N5643" s="2"/>
      <c r="O5643" s="2"/>
    </row>
    <row r="5644" spans="12:15">
      <c r="L5644" s="2"/>
      <c r="N5644" s="2"/>
      <c r="O5644" s="2"/>
    </row>
    <row r="5645" spans="12:15">
      <c r="L5645" s="2"/>
      <c r="N5645" s="2"/>
      <c r="O5645" s="2"/>
    </row>
    <row r="5646" spans="12:15">
      <c r="L5646" s="2"/>
      <c r="N5646" s="2"/>
      <c r="O5646" s="2"/>
    </row>
    <row r="5647" spans="12:15">
      <c r="L5647" s="2"/>
      <c r="N5647" s="2"/>
      <c r="O5647" s="2"/>
    </row>
    <row r="5648" spans="12:15">
      <c r="L5648" s="2"/>
      <c r="N5648" s="2"/>
      <c r="O5648" s="2"/>
    </row>
    <row r="5649" spans="12:15">
      <c r="L5649" s="2"/>
      <c r="N5649" s="2"/>
      <c r="O5649" s="2"/>
    </row>
    <row r="5650" spans="12:15">
      <c r="L5650" s="2"/>
      <c r="N5650" s="2"/>
      <c r="O5650" s="2"/>
    </row>
    <row r="5651" spans="12:15">
      <c r="L5651" s="2"/>
      <c r="N5651" s="2"/>
      <c r="O5651" s="2"/>
    </row>
    <row r="5652" spans="12:15">
      <c r="L5652" s="2"/>
      <c r="N5652" s="2"/>
      <c r="O5652" s="2"/>
    </row>
    <row r="5653" spans="12:15">
      <c r="L5653" s="2"/>
      <c r="N5653" s="2"/>
      <c r="O5653" s="2"/>
    </row>
    <row r="5654" spans="12:15">
      <c r="L5654" s="2"/>
      <c r="N5654" s="2"/>
      <c r="O5654" s="2"/>
    </row>
    <row r="5655" spans="12:15">
      <c r="L5655" s="2"/>
      <c r="N5655" s="2"/>
      <c r="O5655" s="2"/>
    </row>
    <row r="5656" spans="12:15">
      <c r="L5656" s="2"/>
      <c r="N5656" s="2"/>
      <c r="O5656" s="2"/>
    </row>
    <row r="5657" spans="12:15">
      <c r="L5657" s="2"/>
      <c r="N5657" s="2"/>
      <c r="O5657" s="2"/>
    </row>
    <row r="5658" spans="12:15">
      <c r="L5658" s="2"/>
      <c r="N5658" s="2"/>
      <c r="O5658" s="2"/>
    </row>
    <row r="5659" spans="12:15">
      <c r="L5659" s="2"/>
      <c r="N5659" s="2"/>
      <c r="O5659" s="2"/>
    </row>
    <row r="5660" spans="12:15">
      <c r="L5660" s="2"/>
      <c r="N5660" s="2"/>
      <c r="O5660" s="2"/>
    </row>
    <row r="5661" spans="12:15">
      <c r="L5661" s="2"/>
      <c r="N5661" s="2"/>
      <c r="O5661" s="2"/>
    </row>
    <row r="5662" spans="12:15">
      <c r="L5662" s="2"/>
      <c r="N5662" s="2"/>
      <c r="O5662" s="2"/>
    </row>
    <row r="5663" spans="12:15">
      <c r="L5663" s="2"/>
      <c r="N5663" s="2"/>
      <c r="O5663" s="2"/>
    </row>
    <row r="5664" spans="12:15">
      <c r="L5664" s="2"/>
      <c r="N5664" s="2"/>
      <c r="O5664" s="2"/>
    </row>
    <row r="5665" spans="12:15">
      <c r="L5665" s="2"/>
      <c r="N5665" s="2"/>
      <c r="O5665" s="2"/>
    </row>
    <row r="5666" spans="12:15">
      <c r="L5666" s="2"/>
      <c r="N5666" s="2"/>
      <c r="O5666" s="2"/>
    </row>
    <row r="5667" spans="12:15">
      <c r="L5667" s="2"/>
      <c r="N5667" s="2"/>
      <c r="O5667" s="2"/>
    </row>
    <row r="5668" spans="12:15">
      <c r="L5668" s="2"/>
      <c r="N5668" s="2"/>
      <c r="O5668" s="2"/>
    </row>
    <row r="5669" spans="12:15">
      <c r="L5669" s="2"/>
      <c r="N5669" s="2"/>
      <c r="O5669" s="2"/>
    </row>
    <row r="5670" spans="12:15">
      <c r="L5670" s="2"/>
      <c r="N5670" s="2"/>
      <c r="O5670" s="2"/>
    </row>
    <row r="5671" spans="12:15">
      <c r="L5671" s="2"/>
      <c r="N5671" s="2"/>
      <c r="O5671" s="2"/>
    </row>
    <row r="5672" spans="12:15">
      <c r="L5672" s="2"/>
      <c r="N5672" s="2"/>
      <c r="O5672" s="2"/>
    </row>
    <row r="5673" spans="12:15">
      <c r="L5673" s="2"/>
      <c r="N5673" s="2"/>
      <c r="O5673" s="2"/>
    </row>
    <row r="5674" spans="12:15">
      <c r="L5674" s="2"/>
      <c r="N5674" s="2"/>
      <c r="O5674" s="2"/>
    </row>
    <row r="5675" spans="12:15">
      <c r="L5675" s="2"/>
      <c r="N5675" s="2"/>
      <c r="O5675" s="2"/>
    </row>
    <row r="5676" spans="12:15">
      <c r="L5676" s="2"/>
      <c r="N5676" s="2"/>
      <c r="O5676" s="2"/>
    </row>
    <row r="5677" spans="12:15">
      <c r="L5677" s="2"/>
      <c r="N5677" s="2"/>
      <c r="O5677" s="2"/>
    </row>
    <row r="5678" spans="12:15">
      <c r="L5678" s="2"/>
      <c r="N5678" s="2"/>
      <c r="O5678" s="2"/>
    </row>
    <row r="5679" spans="12:15">
      <c r="L5679" s="2"/>
      <c r="N5679" s="2"/>
      <c r="O5679" s="2"/>
    </row>
    <row r="5680" spans="12:15">
      <c r="L5680" s="2"/>
      <c r="N5680" s="2"/>
      <c r="O5680" s="2"/>
    </row>
    <row r="5681" spans="12:15">
      <c r="L5681" s="2"/>
      <c r="N5681" s="2"/>
      <c r="O5681" s="2"/>
    </row>
    <row r="5682" spans="12:15">
      <c r="L5682" s="2"/>
      <c r="N5682" s="2"/>
      <c r="O5682" s="2"/>
    </row>
    <row r="5683" spans="12:15">
      <c r="L5683" s="2"/>
      <c r="N5683" s="2"/>
      <c r="O5683" s="2"/>
    </row>
    <row r="5684" spans="12:15">
      <c r="L5684" s="2"/>
      <c r="N5684" s="2"/>
      <c r="O5684" s="2"/>
    </row>
    <row r="5685" spans="12:15">
      <c r="L5685" s="2"/>
      <c r="N5685" s="2"/>
      <c r="O5685" s="2"/>
    </row>
    <row r="5686" spans="12:15">
      <c r="L5686" s="2"/>
      <c r="N5686" s="2"/>
      <c r="O5686" s="2"/>
    </row>
    <row r="5687" spans="12:15">
      <c r="L5687" s="2"/>
      <c r="N5687" s="2"/>
      <c r="O5687" s="2"/>
    </row>
    <row r="5688" spans="12:15">
      <c r="L5688" s="2"/>
      <c r="N5688" s="2"/>
      <c r="O5688" s="2"/>
    </row>
    <row r="5689" spans="12:15">
      <c r="L5689" s="2"/>
      <c r="N5689" s="2"/>
      <c r="O5689" s="2"/>
    </row>
    <row r="5690" spans="12:15">
      <c r="L5690" s="2"/>
      <c r="N5690" s="2"/>
      <c r="O5690" s="2"/>
    </row>
    <row r="5691" spans="12:15">
      <c r="L5691" s="2"/>
      <c r="N5691" s="2"/>
      <c r="O5691" s="2"/>
    </row>
    <row r="5692" spans="12:15">
      <c r="L5692" s="2"/>
      <c r="N5692" s="2"/>
      <c r="O5692" s="2"/>
    </row>
    <row r="5693" spans="12:15">
      <c r="L5693" s="2"/>
      <c r="N5693" s="2"/>
      <c r="O5693" s="2"/>
    </row>
    <row r="5694" spans="12:15">
      <c r="L5694" s="2"/>
      <c r="N5694" s="2"/>
      <c r="O5694" s="2"/>
    </row>
    <row r="5695" spans="12:15">
      <c r="L5695" s="2"/>
      <c r="N5695" s="2"/>
      <c r="O5695" s="2"/>
    </row>
    <row r="5696" spans="12:15">
      <c r="L5696" s="2"/>
      <c r="N5696" s="2"/>
      <c r="O5696" s="2"/>
    </row>
    <row r="5697" spans="12:15">
      <c r="L5697" s="2"/>
      <c r="N5697" s="2"/>
      <c r="O5697" s="2"/>
    </row>
    <row r="5698" spans="12:15">
      <c r="L5698" s="2"/>
      <c r="N5698" s="2"/>
      <c r="O5698" s="2"/>
    </row>
    <row r="5699" spans="12:15">
      <c r="L5699" s="2"/>
      <c r="N5699" s="2"/>
      <c r="O5699" s="2"/>
    </row>
    <row r="5700" spans="12:15">
      <c r="L5700" s="2"/>
      <c r="N5700" s="2"/>
      <c r="O5700" s="2"/>
    </row>
    <row r="5701" spans="12:15">
      <c r="L5701" s="2"/>
      <c r="N5701" s="2"/>
      <c r="O5701" s="2"/>
    </row>
    <row r="5702" spans="12:15">
      <c r="L5702" s="2"/>
      <c r="N5702" s="2"/>
      <c r="O5702" s="2"/>
    </row>
    <row r="5703" spans="12:15">
      <c r="L5703" s="2"/>
      <c r="N5703" s="2"/>
      <c r="O5703" s="2"/>
    </row>
    <row r="5704" spans="12:15">
      <c r="L5704" s="2"/>
      <c r="N5704" s="2"/>
      <c r="O5704" s="2"/>
    </row>
    <row r="5705" spans="12:15">
      <c r="L5705" s="2"/>
      <c r="N5705" s="2"/>
      <c r="O5705" s="2"/>
    </row>
    <row r="5706" spans="12:15">
      <c r="L5706" s="2"/>
      <c r="N5706" s="2"/>
      <c r="O5706" s="2"/>
    </row>
    <row r="5707" spans="12:15">
      <c r="L5707" s="2"/>
      <c r="N5707" s="2"/>
      <c r="O5707" s="2"/>
    </row>
    <row r="5708" spans="12:15">
      <c r="L5708" s="2"/>
      <c r="N5708" s="2"/>
      <c r="O5708" s="2"/>
    </row>
    <row r="5709" spans="12:15">
      <c r="L5709" s="2"/>
      <c r="N5709" s="2"/>
      <c r="O5709" s="2"/>
    </row>
    <row r="5710" spans="12:15">
      <c r="L5710" s="2"/>
      <c r="N5710" s="2"/>
      <c r="O5710" s="2"/>
    </row>
    <row r="5711" spans="12:15">
      <c r="L5711" s="2"/>
      <c r="N5711" s="2"/>
      <c r="O5711" s="2"/>
    </row>
    <row r="5712" spans="12:15">
      <c r="L5712" s="2"/>
      <c r="N5712" s="2"/>
      <c r="O5712" s="2"/>
    </row>
    <row r="5713" spans="12:15">
      <c r="L5713" s="2"/>
      <c r="N5713" s="2"/>
      <c r="O5713" s="2"/>
    </row>
    <row r="5714" spans="12:15">
      <c r="L5714" s="2"/>
      <c r="N5714" s="2"/>
      <c r="O5714" s="2"/>
    </row>
    <row r="5715" spans="12:15">
      <c r="L5715" s="2"/>
      <c r="N5715" s="2"/>
      <c r="O5715" s="2"/>
    </row>
    <row r="5716" spans="12:15">
      <c r="L5716" s="2"/>
      <c r="N5716" s="2"/>
      <c r="O5716" s="2"/>
    </row>
    <row r="5717" spans="12:15">
      <c r="L5717" s="2"/>
      <c r="N5717" s="2"/>
      <c r="O5717" s="2"/>
    </row>
    <row r="5718" spans="12:15">
      <c r="L5718" s="2"/>
      <c r="N5718" s="2"/>
      <c r="O5718" s="2"/>
    </row>
    <row r="5719" spans="12:15">
      <c r="L5719" s="2"/>
      <c r="N5719" s="2"/>
      <c r="O5719" s="2"/>
    </row>
    <row r="5720" spans="12:15">
      <c r="L5720" s="2"/>
      <c r="N5720" s="2"/>
      <c r="O5720" s="2"/>
    </row>
    <row r="5721" spans="12:15">
      <c r="L5721" s="2"/>
      <c r="N5721" s="2"/>
      <c r="O5721" s="2"/>
    </row>
    <row r="5722" spans="12:15">
      <c r="L5722" s="2"/>
      <c r="N5722" s="2"/>
      <c r="O5722" s="2"/>
    </row>
    <row r="5723" spans="12:15">
      <c r="L5723" s="2"/>
      <c r="N5723" s="2"/>
      <c r="O5723" s="2"/>
    </row>
    <row r="5724" spans="12:15">
      <c r="L5724" s="2"/>
      <c r="N5724" s="2"/>
      <c r="O5724" s="2"/>
    </row>
    <row r="5725" spans="12:15">
      <c r="L5725" s="2"/>
      <c r="N5725" s="2"/>
      <c r="O5725" s="2"/>
    </row>
    <row r="5726" spans="12:15">
      <c r="L5726" s="2"/>
      <c r="N5726" s="2"/>
      <c r="O5726" s="2"/>
    </row>
    <row r="5727" spans="12:15">
      <c r="L5727" s="2"/>
      <c r="N5727" s="2"/>
      <c r="O5727" s="2"/>
    </row>
    <row r="5728" spans="12:15">
      <c r="L5728" s="2"/>
      <c r="N5728" s="2"/>
      <c r="O5728" s="2"/>
    </row>
    <row r="5729" spans="12:15">
      <c r="L5729" s="2"/>
      <c r="N5729" s="2"/>
      <c r="O5729" s="2"/>
    </row>
    <row r="5730" spans="12:15">
      <c r="L5730" s="2"/>
      <c r="N5730" s="2"/>
      <c r="O5730" s="2"/>
    </row>
    <row r="5731" spans="12:15">
      <c r="L5731" s="2"/>
      <c r="N5731" s="2"/>
      <c r="O5731" s="2"/>
    </row>
    <row r="5732" spans="12:15">
      <c r="L5732" s="2"/>
      <c r="N5732" s="2"/>
      <c r="O5732" s="2"/>
    </row>
    <row r="5733" spans="12:15">
      <c r="L5733" s="2"/>
      <c r="N5733" s="2"/>
      <c r="O5733" s="2"/>
    </row>
    <row r="5734" spans="12:15">
      <c r="L5734" s="2"/>
      <c r="N5734" s="2"/>
      <c r="O5734" s="2"/>
    </row>
    <row r="5735" spans="12:15">
      <c r="L5735" s="2"/>
      <c r="N5735" s="2"/>
      <c r="O5735" s="2"/>
    </row>
    <row r="5736" spans="12:15">
      <c r="L5736" s="2"/>
      <c r="N5736" s="2"/>
      <c r="O5736" s="2"/>
    </row>
    <row r="5737" spans="12:15">
      <c r="L5737" s="2"/>
      <c r="N5737" s="2"/>
      <c r="O5737" s="2"/>
    </row>
    <row r="5738" spans="12:15">
      <c r="L5738" s="2"/>
      <c r="N5738" s="2"/>
      <c r="O5738" s="2"/>
    </row>
    <row r="5739" spans="12:15">
      <c r="L5739" s="2"/>
      <c r="N5739" s="2"/>
      <c r="O5739" s="2"/>
    </row>
    <row r="5740" spans="12:15">
      <c r="L5740" s="2"/>
      <c r="N5740" s="2"/>
      <c r="O5740" s="2"/>
    </row>
    <row r="5741" spans="12:15">
      <c r="L5741" s="2"/>
      <c r="N5741" s="2"/>
      <c r="O5741" s="2"/>
    </row>
    <row r="5742" spans="12:15">
      <c r="L5742" s="2"/>
      <c r="N5742" s="2"/>
      <c r="O5742" s="2"/>
    </row>
    <row r="5743" spans="12:15">
      <c r="L5743" s="2"/>
      <c r="N5743" s="2"/>
      <c r="O5743" s="2"/>
    </row>
    <row r="5744" spans="12:15">
      <c r="L5744" s="2"/>
      <c r="N5744" s="2"/>
      <c r="O5744" s="2"/>
    </row>
    <row r="5745" spans="12:15">
      <c r="L5745" s="2"/>
      <c r="N5745" s="2"/>
      <c r="O5745" s="2"/>
    </row>
    <row r="5746" spans="12:15">
      <c r="L5746" s="2"/>
      <c r="N5746" s="2"/>
      <c r="O5746" s="2"/>
    </row>
    <row r="5747" spans="12:15">
      <c r="L5747" s="2"/>
      <c r="N5747" s="2"/>
      <c r="O5747" s="2"/>
    </row>
    <row r="5748" spans="12:15">
      <c r="L5748" s="2"/>
      <c r="N5748" s="2"/>
      <c r="O5748" s="2"/>
    </row>
    <row r="5749" spans="12:15">
      <c r="L5749" s="2"/>
      <c r="N5749" s="2"/>
      <c r="O5749" s="2"/>
    </row>
    <row r="5750" spans="12:15">
      <c r="L5750" s="2"/>
      <c r="N5750" s="2"/>
      <c r="O5750" s="2"/>
    </row>
    <row r="5751" spans="12:15">
      <c r="L5751" s="2"/>
      <c r="N5751" s="2"/>
      <c r="O5751" s="2"/>
    </row>
    <row r="5752" spans="12:15">
      <c r="L5752" s="2"/>
      <c r="N5752" s="2"/>
      <c r="O5752" s="2"/>
    </row>
    <row r="5753" spans="12:15">
      <c r="L5753" s="2"/>
      <c r="N5753" s="2"/>
      <c r="O5753" s="2"/>
    </row>
    <row r="5754" spans="12:15">
      <c r="L5754" s="2"/>
      <c r="N5754" s="2"/>
      <c r="O5754" s="2"/>
    </row>
    <row r="5755" spans="12:15">
      <c r="L5755" s="2"/>
      <c r="N5755" s="2"/>
      <c r="O5755" s="2"/>
    </row>
    <row r="5756" spans="12:15">
      <c r="L5756" s="2"/>
      <c r="N5756" s="2"/>
      <c r="O5756" s="2"/>
    </row>
    <row r="5757" spans="12:15">
      <c r="L5757" s="2"/>
      <c r="N5757" s="2"/>
      <c r="O5757" s="2"/>
    </row>
    <row r="5758" spans="12:15">
      <c r="L5758" s="2"/>
      <c r="N5758" s="2"/>
      <c r="O5758" s="2"/>
    </row>
    <row r="5759" spans="12:15">
      <c r="L5759" s="2"/>
      <c r="N5759" s="2"/>
      <c r="O5759" s="2"/>
    </row>
    <row r="5760" spans="12:15">
      <c r="L5760" s="2"/>
      <c r="N5760" s="2"/>
      <c r="O5760" s="2"/>
    </row>
    <row r="5761" spans="12:15">
      <c r="L5761" s="2"/>
      <c r="N5761" s="2"/>
      <c r="O5761" s="2"/>
    </row>
    <row r="5762" spans="12:15">
      <c r="L5762" s="2"/>
      <c r="N5762" s="2"/>
      <c r="O5762" s="2"/>
    </row>
    <row r="5763" spans="12:15">
      <c r="L5763" s="2"/>
      <c r="N5763" s="2"/>
      <c r="O5763" s="2"/>
    </row>
    <row r="5764" spans="12:15">
      <c r="L5764" s="2"/>
      <c r="N5764" s="2"/>
      <c r="O5764" s="2"/>
    </row>
    <row r="5765" spans="12:15">
      <c r="L5765" s="2"/>
      <c r="N5765" s="2"/>
      <c r="O5765" s="2"/>
    </row>
    <row r="5766" spans="12:15">
      <c r="L5766" s="2"/>
      <c r="N5766" s="2"/>
      <c r="O5766" s="2"/>
    </row>
    <row r="5767" spans="12:15">
      <c r="L5767" s="2"/>
      <c r="N5767" s="2"/>
      <c r="O5767" s="2"/>
    </row>
    <row r="5768" spans="12:15">
      <c r="L5768" s="2"/>
      <c r="N5768" s="2"/>
      <c r="O5768" s="2"/>
    </row>
    <row r="5769" spans="12:15">
      <c r="L5769" s="2"/>
      <c r="N5769" s="2"/>
      <c r="O5769" s="2"/>
    </row>
    <row r="5770" spans="12:15">
      <c r="L5770" s="2"/>
      <c r="N5770" s="2"/>
      <c r="O5770" s="2"/>
    </row>
    <row r="5771" spans="12:15">
      <c r="L5771" s="2"/>
      <c r="N5771" s="2"/>
      <c r="O5771" s="2"/>
    </row>
    <row r="5772" spans="12:15">
      <c r="L5772" s="2"/>
      <c r="N5772" s="2"/>
      <c r="O5772" s="2"/>
    </row>
    <row r="5773" spans="12:15">
      <c r="L5773" s="2"/>
      <c r="N5773" s="2"/>
      <c r="O5773" s="2"/>
    </row>
    <row r="5774" spans="12:15">
      <c r="L5774" s="2"/>
      <c r="N5774" s="2"/>
      <c r="O5774" s="2"/>
    </row>
    <row r="5775" spans="12:15">
      <c r="L5775" s="2"/>
      <c r="N5775" s="2"/>
      <c r="O5775" s="2"/>
    </row>
    <row r="5776" spans="12:15">
      <c r="L5776" s="2"/>
      <c r="N5776" s="2"/>
      <c r="O5776" s="2"/>
    </row>
    <row r="5777" spans="12:15">
      <c r="L5777" s="2"/>
      <c r="N5777" s="2"/>
      <c r="O5777" s="2"/>
    </row>
    <row r="5778" spans="12:15">
      <c r="L5778" s="2"/>
      <c r="N5778" s="2"/>
      <c r="O5778" s="2"/>
    </row>
    <row r="5779" spans="12:15">
      <c r="L5779" s="2"/>
      <c r="N5779" s="2"/>
      <c r="O5779" s="2"/>
    </row>
    <row r="5780" spans="12:15">
      <c r="L5780" s="2"/>
      <c r="N5780" s="2"/>
      <c r="O5780" s="2"/>
    </row>
    <row r="5781" spans="12:15">
      <c r="L5781" s="2"/>
      <c r="N5781" s="2"/>
      <c r="O5781" s="2"/>
    </row>
    <row r="5782" spans="12:15">
      <c r="L5782" s="2"/>
      <c r="N5782" s="2"/>
      <c r="O5782" s="2"/>
    </row>
    <row r="5783" spans="12:15">
      <c r="L5783" s="2"/>
      <c r="N5783" s="2"/>
      <c r="O5783" s="2"/>
    </row>
    <row r="5784" spans="12:15">
      <c r="L5784" s="2"/>
      <c r="N5784" s="2"/>
      <c r="O5784" s="2"/>
    </row>
    <row r="5785" spans="12:15">
      <c r="L5785" s="2"/>
      <c r="N5785" s="2"/>
      <c r="O5785" s="2"/>
    </row>
    <row r="5786" spans="12:15">
      <c r="L5786" s="2"/>
      <c r="N5786" s="2"/>
      <c r="O5786" s="2"/>
    </row>
    <row r="5787" spans="12:15">
      <c r="L5787" s="2"/>
      <c r="N5787" s="2"/>
      <c r="O5787" s="2"/>
    </row>
    <row r="5788" spans="12:15">
      <c r="L5788" s="2"/>
      <c r="N5788" s="2"/>
      <c r="O5788" s="2"/>
    </row>
    <row r="5789" spans="12:15">
      <c r="L5789" s="2"/>
      <c r="N5789" s="2"/>
      <c r="O5789" s="2"/>
    </row>
    <row r="5790" spans="12:15">
      <c r="L5790" s="2"/>
      <c r="N5790" s="2"/>
      <c r="O5790" s="2"/>
    </row>
    <row r="5791" spans="12:15">
      <c r="L5791" s="2"/>
      <c r="N5791" s="2"/>
      <c r="O5791" s="2"/>
    </row>
    <row r="5792" spans="12:15">
      <c r="L5792" s="2"/>
      <c r="N5792" s="2"/>
      <c r="O5792" s="2"/>
    </row>
    <row r="5793" spans="12:15">
      <c r="L5793" s="2"/>
      <c r="N5793" s="2"/>
      <c r="O5793" s="2"/>
    </row>
    <row r="5794" spans="12:15">
      <c r="L5794" s="2"/>
      <c r="N5794" s="2"/>
      <c r="O5794" s="2"/>
    </row>
    <row r="5795" spans="12:15">
      <c r="L5795" s="2"/>
      <c r="N5795" s="2"/>
      <c r="O5795" s="2"/>
    </row>
    <row r="5796" spans="12:15">
      <c r="L5796" s="2"/>
      <c r="N5796" s="2"/>
      <c r="O5796" s="2"/>
    </row>
    <row r="5797" spans="12:15">
      <c r="L5797" s="2"/>
      <c r="N5797" s="2"/>
      <c r="O5797" s="2"/>
    </row>
    <row r="5798" spans="12:15">
      <c r="L5798" s="2"/>
      <c r="N5798" s="2"/>
      <c r="O5798" s="2"/>
    </row>
    <row r="5799" spans="12:15">
      <c r="L5799" s="2"/>
      <c r="N5799" s="2"/>
      <c r="O5799" s="2"/>
    </row>
    <row r="5800" spans="12:15">
      <c r="L5800" s="2"/>
      <c r="N5800" s="2"/>
      <c r="O5800" s="2"/>
    </row>
    <row r="5801" spans="12:15">
      <c r="L5801" s="2"/>
      <c r="N5801" s="2"/>
      <c r="O5801" s="2"/>
    </row>
    <row r="5802" spans="12:15">
      <c r="L5802" s="2"/>
      <c r="N5802" s="2"/>
      <c r="O5802" s="2"/>
    </row>
    <row r="5803" spans="12:15">
      <c r="L5803" s="2"/>
      <c r="N5803" s="2"/>
      <c r="O5803" s="2"/>
    </row>
    <row r="5804" spans="12:15">
      <c r="L5804" s="2"/>
      <c r="N5804" s="2"/>
      <c r="O5804" s="2"/>
    </row>
    <row r="5805" spans="12:15">
      <c r="L5805" s="2"/>
      <c r="N5805" s="2"/>
      <c r="O5805" s="2"/>
    </row>
    <row r="5806" spans="12:15">
      <c r="L5806" s="2"/>
      <c r="N5806" s="2"/>
      <c r="O5806" s="2"/>
    </row>
    <row r="5807" spans="12:15">
      <c r="L5807" s="2"/>
      <c r="N5807" s="2"/>
      <c r="O5807" s="2"/>
    </row>
    <row r="5808" spans="12:15">
      <c r="L5808" s="2"/>
      <c r="N5808" s="2"/>
      <c r="O5808" s="2"/>
    </row>
    <row r="5809" spans="12:15">
      <c r="L5809" s="2"/>
      <c r="N5809" s="2"/>
      <c r="O5809" s="2"/>
    </row>
    <row r="5810" spans="12:15">
      <c r="L5810" s="2"/>
      <c r="N5810" s="2"/>
      <c r="O5810" s="2"/>
    </row>
    <row r="5811" spans="12:15">
      <c r="L5811" s="2"/>
      <c r="N5811" s="2"/>
      <c r="O5811" s="2"/>
    </row>
    <row r="5812" spans="12:15">
      <c r="L5812" s="2"/>
      <c r="N5812" s="2"/>
      <c r="O5812" s="2"/>
    </row>
    <row r="5813" spans="12:15">
      <c r="L5813" s="2"/>
      <c r="N5813" s="2"/>
      <c r="O5813" s="2"/>
    </row>
    <row r="5814" spans="12:15">
      <c r="L5814" s="2"/>
      <c r="N5814" s="2"/>
      <c r="O5814" s="2"/>
    </row>
    <row r="5815" spans="12:15">
      <c r="L5815" s="2"/>
      <c r="N5815" s="2"/>
      <c r="O5815" s="2"/>
    </row>
    <row r="5816" spans="12:15">
      <c r="L5816" s="2"/>
      <c r="N5816" s="2"/>
      <c r="O5816" s="2"/>
    </row>
    <row r="5817" spans="12:15">
      <c r="L5817" s="2"/>
      <c r="N5817" s="2"/>
      <c r="O5817" s="2"/>
    </row>
    <row r="5818" spans="12:15">
      <c r="L5818" s="2"/>
      <c r="N5818" s="2"/>
      <c r="O5818" s="2"/>
    </row>
    <row r="5819" spans="12:15">
      <c r="L5819" s="2"/>
      <c r="N5819" s="2"/>
      <c r="O5819" s="2"/>
    </row>
    <row r="5820" spans="12:15">
      <c r="L5820" s="2"/>
      <c r="N5820" s="2"/>
      <c r="O5820" s="2"/>
    </row>
    <row r="5821" spans="12:15">
      <c r="L5821" s="2"/>
      <c r="N5821" s="2"/>
      <c r="O5821" s="2"/>
    </row>
    <row r="5822" spans="12:15">
      <c r="L5822" s="2"/>
      <c r="N5822" s="2"/>
      <c r="O5822" s="2"/>
    </row>
    <row r="5823" spans="12:15">
      <c r="L5823" s="2"/>
      <c r="N5823" s="2"/>
      <c r="O5823" s="2"/>
    </row>
    <row r="5824" spans="12:15">
      <c r="L5824" s="2"/>
      <c r="N5824" s="2"/>
      <c r="O5824" s="2"/>
    </row>
    <row r="5825" spans="12:15">
      <c r="L5825" s="2"/>
      <c r="N5825" s="2"/>
      <c r="O5825" s="2"/>
    </row>
    <row r="5826" spans="12:15">
      <c r="L5826" s="2"/>
      <c r="N5826" s="2"/>
      <c r="O5826" s="2"/>
    </row>
    <row r="5827" spans="12:15">
      <c r="L5827" s="2"/>
      <c r="N5827" s="2"/>
      <c r="O5827" s="2"/>
    </row>
    <row r="5828" spans="12:15">
      <c r="L5828" s="2"/>
      <c r="N5828" s="2"/>
      <c r="O5828" s="2"/>
    </row>
    <row r="5829" spans="12:15">
      <c r="L5829" s="2"/>
      <c r="N5829" s="2"/>
      <c r="O5829" s="2"/>
    </row>
    <row r="5830" spans="12:15">
      <c r="L5830" s="2"/>
      <c r="N5830" s="2"/>
      <c r="O5830" s="2"/>
    </row>
    <row r="5831" spans="12:15">
      <c r="L5831" s="2"/>
      <c r="N5831" s="2"/>
      <c r="O5831" s="2"/>
    </row>
    <row r="5832" spans="12:15">
      <c r="L5832" s="2"/>
      <c r="N5832" s="2"/>
      <c r="O5832" s="2"/>
    </row>
    <row r="5833" spans="12:15">
      <c r="L5833" s="2"/>
      <c r="N5833" s="2"/>
      <c r="O5833" s="2"/>
    </row>
    <row r="5834" spans="12:15">
      <c r="L5834" s="2"/>
      <c r="N5834" s="2"/>
      <c r="O5834" s="2"/>
    </row>
    <row r="5835" spans="12:15">
      <c r="L5835" s="2"/>
      <c r="N5835" s="2"/>
      <c r="O5835" s="2"/>
    </row>
    <row r="5836" spans="12:15">
      <c r="L5836" s="2"/>
      <c r="N5836" s="2"/>
      <c r="O5836" s="2"/>
    </row>
    <row r="5837" spans="12:15">
      <c r="L5837" s="2"/>
      <c r="N5837" s="2"/>
      <c r="O5837" s="2"/>
    </row>
    <row r="5838" spans="12:15">
      <c r="L5838" s="2"/>
      <c r="N5838" s="2"/>
      <c r="O5838" s="2"/>
    </row>
    <row r="5839" spans="12:15">
      <c r="L5839" s="2"/>
      <c r="N5839" s="2"/>
      <c r="O5839" s="2"/>
    </row>
    <row r="5840" spans="12:15">
      <c r="L5840" s="2"/>
      <c r="N5840" s="2"/>
      <c r="O5840" s="2"/>
    </row>
    <row r="5841" spans="12:15">
      <c r="L5841" s="2"/>
      <c r="N5841" s="2"/>
      <c r="O5841" s="2"/>
    </row>
    <row r="5842" spans="12:15">
      <c r="L5842" s="2"/>
      <c r="N5842" s="2"/>
      <c r="O5842" s="2"/>
    </row>
    <row r="5843" spans="12:15">
      <c r="L5843" s="2"/>
      <c r="N5843" s="2"/>
      <c r="O5843" s="2"/>
    </row>
    <row r="5844" spans="12:15">
      <c r="L5844" s="2"/>
      <c r="N5844" s="2"/>
      <c r="O5844" s="2"/>
    </row>
    <row r="5845" spans="12:15">
      <c r="L5845" s="2"/>
      <c r="N5845" s="2"/>
      <c r="O5845" s="2"/>
    </row>
    <row r="5846" spans="12:15">
      <c r="L5846" s="2"/>
      <c r="N5846" s="2"/>
      <c r="O5846" s="2"/>
    </row>
    <row r="5847" spans="12:15">
      <c r="L5847" s="2"/>
      <c r="N5847" s="2"/>
      <c r="O5847" s="2"/>
    </row>
    <row r="5848" spans="12:15">
      <c r="L5848" s="2"/>
      <c r="N5848" s="2"/>
      <c r="O5848" s="2"/>
    </row>
    <row r="5849" spans="12:15">
      <c r="L5849" s="2"/>
      <c r="N5849" s="2"/>
      <c r="O5849" s="2"/>
    </row>
    <row r="5850" spans="12:15">
      <c r="L5850" s="2"/>
      <c r="N5850" s="2"/>
      <c r="O5850" s="2"/>
    </row>
    <row r="5851" spans="12:15">
      <c r="L5851" s="2"/>
      <c r="N5851" s="2"/>
      <c r="O5851" s="2"/>
    </row>
    <row r="5852" spans="12:15">
      <c r="L5852" s="2"/>
      <c r="N5852" s="2"/>
      <c r="O5852" s="2"/>
    </row>
    <row r="5853" spans="12:15">
      <c r="L5853" s="2"/>
      <c r="N5853" s="2"/>
      <c r="O5853" s="2"/>
    </row>
    <row r="5854" spans="12:15">
      <c r="L5854" s="2"/>
      <c r="N5854" s="2"/>
      <c r="O5854" s="2"/>
    </row>
    <row r="5855" spans="12:15">
      <c r="L5855" s="2"/>
      <c r="N5855" s="2"/>
      <c r="O5855" s="2"/>
    </row>
    <row r="5856" spans="12:15">
      <c r="L5856" s="2"/>
      <c r="N5856" s="2"/>
      <c r="O5856" s="2"/>
    </row>
    <row r="5857" spans="12:15">
      <c r="L5857" s="2"/>
      <c r="N5857" s="2"/>
      <c r="O5857" s="2"/>
    </row>
    <row r="5858" spans="12:15">
      <c r="L5858" s="2"/>
      <c r="N5858" s="2"/>
      <c r="O5858" s="2"/>
    </row>
    <row r="5859" spans="12:15">
      <c r="L5859" s="2"/>
      <c r="N5859" s="2"/>
      <c r="O5859" s="2"/>
    </row>
    <row r="5860" spans="12:15">
      <c r="L5860" s="2"/>
      <c r="N5860" s="2"/>
      <c r="O5860" s="2"/>
    </row>
    <row r="5861" spans="12:15">
      <c r="L5861" s="2"/>
      <c r="N5861" s="2"/>
      <c r="O5861" s="2"/>
    </row>
    <row r="5862" spans="12:15">
      <c r="L5862" s="2"/>
      <c r="N5862" s="2"/>
      <c r="O5862" s="2"/>
    </row>
    <row r="5863" spans="12:15">
      <c r="L5863" s="2"/>
      <c r="N5863" s="2"/>
      <c r="O5863" s="2"/>
    </row>
    <row r="5864" spans="12:15">
      <c r="L5864" s="2"/>
      <c r="N5864" s="2"/>
      <c r="O5864" s="2"/>
    </row>
    <row r="5865" spans="12:15">
      <c r="L5865" s="2"/>
      <c r="N5865" s="2"/>
      <c r="O5865" s="2"/>
    </row>
    <row r="5866" spans="12:15">
      <c r="L5866" s="2"/>
      <c r="N5866" s="2"/>
      <c r="O5866" s="2"/>
    </row>
    <row r="5867" spans="12:15">
      <c r="L5867" s="2"/>
      <c r="N5867" s="2"/>
      <c r="O5867" s="2"/>
    </row>
    <row r="5868" spans="12:15">
      <c r="L5868" s="2"/>
      <c r="N5868" s="2"/>
      <c r="O5868" s="2"/>
    </row>
    <row r="5869" spans="12:15">
      <c r="L5869" s="2"/>
      <c r="N5869" s="2"/>
      <c r="O5869" s="2"/>
    </row>
    <row r="5870" spans="12:15">
      <c r="L5870" s="2"/>
      <c r="N5870" s="2"/>
      <c r="O5870" s="2"/>
    </row>
    <row r="5871" spans="12:15">
      <c r="L5871" s="2"/>
      <c r="N5871" s="2"/>
      <c r="O5871" s="2"/>
    </row>
    <row r="5872" spans="12:15">
      <c r="L5872" s="2"/>
      <c r="N5872" s="2"/>
      <c r="O5872" s="2"/>
    </row>
    <row r="5873" spans="12:15">
      <c r="L5873" s="2"/>
      <c r="N5873" s="2"/>
      <c r="O5873" s="2"/>
    </row>
    <row r="5874" spans="12:15">
      <c r="L5874" s="2"/>
      <c r="N5874" s="2"/>
      <c r="O5874" s="2"/>
    </row>
    <row r="5875" spans="12:15">
      <c r="L5875" s="2"/>
      <c r="N5875" s="2"/>
      <c r="O5875" s="2"/>
    </row>
    <row r="5876" spans="12:15">
      <c r="L5876" s="2"/>
      <c r="N5876" s="2"/>
      <c r="O5876" s="2"/>
    </row>
    <row r="5877" spans="12:15">
      <c r="L5877" s="2"/>
      <c r="N5877" s="2"/>
      <c r="O5877" s="2"/>
    </row>
    <row r="5878" spans="12:15">
      <c r="L5878" s="2"/>
      <c r="N5878" s="2"/>
      <c r="O5878" s="2"/>
    </row>
    <row r="5879" spans="12:15">
      <c r="L5879" s="2"/>
      <c r="N5879" s="2"/>
      <c r="O5879" s="2"/>
    </row>
    <row r="5880" spans="12:15">
      <c r="L5880" s="2"/>
      <c r="N5880" s="2"/>
      <c r="O5880" s="2"/>
    </row>
    <row r="5881" spans="12:15">
      <c r="L5881" s="2"/>
      <c r="N5881" s="2"/>
      <c r="O5881" s="2"/>
    </row>
    <row r="5882" spans="12:15">
      <c r="L5882" s="2"/>
      <c r="N5882" s="2"/>
      <c r="O5882" s="2"/>
    </row>
    <row r="5883" spans="12:15">
      <c r="L5883" s="2"/>
      <c r="N5883" s="2"/>
      <c r="O5883" s="2"/>
    </row>
    <row r="5884" spans="12:15">
      <c r="L5884" s="2"/>
      <c r="N5884" s="2"/>
      <c r="O5884" s="2"/>
    </row>
    <row r="5885" spans="12:15">
      <c r="L5885" s="2"/>
      <c r="N5885" s="2"/>
      <c r="O5885" s="2"/>
    </row>
    <row r="5886" spans="12:15">
      <c r="L5886" s="2"/>
      <c r="N5886" s="2"/>
      <c r="O5886" s="2"/>
    </row>
    <row r="5887" spans="12:15">
      <c r="L5887" s="2"/>
      <c r="N5887" s="2"/>
      <c r="O5887" s="2"/>
    </row>
    <row r="5888" spans="12:15">
      <c r="L5888" s="2"/>
      <c r="N5888" s="2"/>
      <c r="O5888" s="2"/>
    </row>
    <row r="5889" spans="12:15">
      <c r="L5889" s="2"/>
      <c r="N5889" s="2"/>
      <c r="O5889" s="2"/>
    </row>
    <row r="5890" spans="12:15">
      <c r="L5890" s="2"/>
      <c r="N5890" s="2"/>
      <c r="O5890" s="2"/>
    </row>
    <row r="5891" spans="12:15">
      <c r="L5891" s="2"/>
      <c r="N5891" s="2"/>
      <c r="O5891" s="2"/>
    </row>
    <row r="5892" spans="12:15">
      <c r="L5892" s="2"/>
      <c r="N5892" s="2"/>
      <c r="O5892" s="2"/>
    </row>
    <row r="5893" spans="12:15">
      <c r="L5893" s="2"/>
      <c r="N5893" s="2"/>
      <c r="O5893" s="2"/>
    </row>
    <row r="5894" spans="12:15">
      <c r="L5894" s="2"/>
      <c r="N5894" s="2"/>
      <c r="O5894" s="2"/>
    </row>
    <row r="5895" spans="12:15">
      <c r="L5895" s="2"/>
      <c r="N5895" s="2"/>
      <c r="O5895" s="2"/>
    </row>
    <row r="5896" spans="12:15">
      <c r="L5896" s="2"/>
      <c r="N5896" s="2"/>
      <c r="O5896" s="2"/>
    </row>
    <row r="5897" spans="12:15">
      <c r="L5897" s="2"/>
      <c r="N5897" s="2"/>
      <c r="O5897" s="2"/>
    </row>
    <row r="5898" spans="12:15">
      <c r="L5898" s="2"/>
      <c r="N5898" s="2"/>
      <c r="O5898" s="2"/>
    </row>
    <row r="5899" spans="12:15">
      <c r="L5899" s="2"/>
      <c r="N5899" s="2"/>
      <c r="O5899" s="2"/>
    </row>
    <row r="5900" spans="12:15">
      <c r="L5900" s="2"/>
      <c r="N5900" s="2"/>
      <c r="O5900" s="2"/>
    </row>
    <row r="5901" spans="12:15">
      <c r="L5901" s="2"/>
      <c r="N5901" s="2"/>
      <c r="O5901" s="2"/>
    </row>
    <row r="5902" spans="12:15">
      <c r="L5902" s="2"/>
      <c r="N5902" s="2"/>
      <c r="O5902" s="2"/>
    </row>
    <row r="5903" spans="12:15">
      <c r="L5903" s="2"/>
      <c r="N5903" s="2"/>
      <c r="O5903" s="2"/>
    </row>
    <row r="5904" spans="12:15">
      <c r="L5904" s="2"/>
      <c r="N5904" s="2"/>
      <c r="O5904" s="2"/>
    </row>
    <row r="5905" spans="12:15">
      <c r="L5905" s="2"/>
      <c r="N5905" s="2"/>
      <c r="O5905" s="2"/>
    </row>
    <row r="5906" spans="12:15">
      <c r="L5906" s="2"/>
      <c r="N5906" s="2"/>
      <c r="O5906" s="2"/>
    </row>
    <row r="5907" spans="12:15">
      <c r="L5907" s="2"/>
      <c r="N5907" s="2"/>
      <c r="O5907" s="2"/>
    </row>
    <row r="5908" spans="12:15">
      <c r="L5908" s="2"/>
      <c r="N5908" s="2"/>
      <c r="O5908" s="2"/>
    </row>
    <row r="5909" spans="12:15">
      <c r="L5909" s="2"/>
      <c r="N5909" s="2"/>
      <c r="O5909" s="2"/>
    </row>
    <row r="5910" spans="12:15">
      <c r="L5910" s="2"/>
      <c r="N5910" s="2"/>
      <c r="O5910" s="2"/>
    </row>
    <row r="5911" spans="12:15">
      <c r="L5911" s="2"/>
      <c r="N5911" s="2"/>
      <c r="O5911" s="2"/>
    </row>
    <row r="5912" spans="12:15">
      <c r="L5912" s="2"/>
      <c r="N5912" s="2"/>
      <c r="O5912" s="2"/>
    </row>
    <row r="5913" spans="12:15">
      <c r="L5913" s="2"/>
      <c r="N5913" s="2"/>
      <c r="O5913" s="2"/>
    </row>
    <row r="5914" spans="12:15">
      <c r="L5914" s="2"/>
      <c r="N5914" s="2"/>
      <c r="O5914" s="2"/>
    </row>
    <row r="5915" spans="12:15">
      <c r="L5915" s="2"/>
      <c r="N5915" s="2"/>
      <c r="O5915" s="2"/>
    </row>
    <row r="5916" spans="12:15">
      <c r="L5916" s="2"/>
      <c r="N5916" s="2"/>
      <c r="O5916" s="2"/>
    </row>
    <row r="5917" spans="12:15">
      <c r="L5917" s="2"/>
      <c r="N5917" s="2"/>
      <c r="O5917" s="2"/>
    </row>
    <row r="5918" spans="12:15">
      <c r="L5918" s="2"/>
      <c r="N5918" s="2"/>
      <c r="O5918" s="2"/>
    </row>
    <row r="5919" spans="12:15">
      <c r="L5919" s="2"/>
      <c r="N5919" s="2"/>
      <c r="O5919" s="2"/>
    </row>
    <row r="5920" spans="12:15">
      <c r="L5920" s="2"/>
      <c r="N5920" s="2"/>
      <c r="O5920" s="2"/>
    </row>
    <row r="5921" spans="12:15">
      <c r="L5921" s="2"/>
      <c r="N5921" s="2"/>
      <c r="O5921" s="2"/>
    </row>
    <row r="5922" spans="12:15">
      <c r="L5922" s="2"/>
      <c r="N5922" s="2"/>
      <c r="O5922" s="2"/>
    </row>
    <row r="5923" spans="12:15">
      <c r="L5923" s="2"/>
      <c r="N5923" s="2"/>
      <c r="O5923" s="2"/>
    </row>
    <row r="5924" spans="12:15">
      <c r="L5924" s="2"/>
      <c r="N5924" s="2"/>
      <c r="O5924" s="2"/>
    </row>
    <row r="5925" spans="12:15">
      <c r="L5925" s="2"/>
      <c r="N5925" s="2"/>
      <c r="O5925" s="2"/>
    </row>
    <row r="5926" spans="12:15">
      <c r="L5926" s="2"/>
      <c r="N5926" s="2"/>
      <c r="O5926" s="2"/>
    </row>
    <row r="5927" spans="12:15">
      <c r="L5927" s="2"/>
      <c r="N5927" s="2"/>
      <c r="O5927" s="2"/>
    </row>
    <row r="5928" spans="12:15">
      <c r="L5928" s="2"/>
      <c r="N5928" s="2"/>
      <c r="O5928" s="2"/>
    </row>
    <row r="5929" spans="12:15">
      <c r="L5929" s="2"/>
      <c r="N5929" s="2"/>
      <c r="O5929" s="2"/>
    </row>
    <row r="5930" spans="12:15">
      <c r="L5930" s="2"/>
      <c r="N5930" s="2"/>
      <c r="O5930" s="2"/>
    </row>
    <row r="5931" spans="12:15">
      <c r="L5931" s="2"/>
      <c r="N5931" s="2"/>
      <c r="O5931" s="2"/>
    </row>
    <row r="5932" spans="12:15">
      <c r="L5932" s="2"/>
      <c r="N5932" s="2"/>
      <c r="O5932" s="2"/>
    </row>
    <row r="5933" spans="12:15">
      <c r="L5933" s="2"/>
      <c r="N5933" s="2"/>
      <c r="O5933" s="2"/>
    </row>
    <row r="5934" spans="12:15">
      <c r="L5934" s="2"/>
      <c r="N5934" s="2"/>
      <c r="O5934" s="2"/>
    </row>
    <row r="5935" spans="12:15">
      <c r="L5935" s="2"/>
      <c r="N5935" s="2"/>
      <c r="O5935" s="2"/>
    </row>
    <row r="5936" spans="12:15">
      <c r="L5936" s="2"/>
      <c r="N5936" s="2"/>
      <c r="O5936" s="2"/>
    </row>
    <row r="5937" spans="12:15">
      <c r="L5937" s="2"/>
      <c r="N5937" s="2"/>
      <c r="O5937" s="2"/>
    </row>
    <row r="5938" spans="12:15">
      <c r="L5938" s="2"/>
      <c r="N5938" s="2"/>
      <c r="O5938" s="2"/>
    </row>
    <row r="5939" spans="12:15">
      <c r="L5939" s="2"/>
      <c r="N5939" s="2"/>
      <c r="O5939" s="2"/>
    </row>
    <row r="5940" spans="12:15">
      <c r="L5940" s="2"/>
      <c r="N5940" s="2"/>
      <c r="O5940" s="2"/>
    </row>
    <row r="5941" spans="12:15">
      <c r="L5941" s="2"/>
      <c r="N5941" s="2"/>
      <c r="O5941" s="2"/>
    </row>
    <row r="5942" spans="12:15">
      <c r="L5942" s="2"/>
      <c r="N5942" s="2"/>
      <c r="O5942" s="2"/>
    </row>
    <row r="5943" spans="12:15">
      <c r="L5943" s="2"/>
      <c r="N5943" s="2"/>
      <c r="O5943" s="2"/>
    </row>
    <row r="5944" spans="12:15">
      <c r="L5944" s="2"/>
      <c r="N5944" s="2"/>
      <c r="O5944" s="2"/>
    </row>
    <row r="5945" spans="12:15">
      <c r="L5945" s="2"/>
      <c r="N5945" s="2"/>
      <c r="O5945" s="2"/>
    </row>
    <row r="5946" spans="12:15">
      <c r="L5946" s="2"/>
      <c r="N5946" s="2"/>
      <c r="O5946" s="2"/>
    </row>
    <row r="5947" spans="12:15">
      <c r="L5947" s="2"/>
      <c r="N5947" s="2"/>
      <c r="O5947" s="2"/>
    </row>
    <row r="5948" spans="12:15">
      <c r="L5948" s="2"/>
      <c r="N5948" s="2"/>
      <c r="O5948" s="2"/>
    </row>
    <row r="5949" spans="12:15">
      <c r="L5949" s="2"/>
      <c r="N5949" s="2"/>
      <c r="O5949" s="2"/>
    </row>
    <row r="5950" spans="12:15">
      <c r="L5950" s="2"/>
      <c r="N5950" s="2"/>
      <c r="O5950" s="2"/>
    </row>
    <row r="5951" spans="12:15">
      <c r="L5951" s="2"/>
      <c r="N5951" s="2"/>
      <c r="O5951" s="2"/>
    </row>
    <row r="5952" spans="12:15">
      <c r="L5952" s="2"/>
      <c r="N5952" s="2"/>
      <c r="O5952" s="2"/>
    </row>
    <row r="5953" spans="12:15">
      <c r="L5953" s="2"/>
      <c r="N5953" s="2"/>
      <c r="O5953" s="2"/>
    </row>
    <row r="5954" spans="12:15">
      <c r="L5954" s="2"/>
      <c r="N5954" s="2"/>
      <c r="O5954" s="2"/>
    </row>
    <row r="5955" spans="12:15">
      <c r="L5955" s="2"/>
      <c r="N5955" s="2"/>
      <c r="O5955" s="2"/>
    </row>
    <row r="5956" spans="12:15">
      <c r="L5956" s="2"/>
      <c r="N5956" s="2"/>
      <c r="O5956" s="2"/>
    </row>
    <row r="5957" spans="12:15">
      <c r="L5957" s="2"/>
      <c r="N5957" s="2"/>
      <c r="O5957" s="2"/>
    </row>
    <row r="5958" spans="12:15">
      <c r="L5958" s="2"/>
      <c r="N5958" s="2"/>
      <c r="O5958" s="2"/>
    </row>
    <row r="5959" spans="12:15">
      <c r="L5959" s="2"/>
      <c r="N5959" s="2"/>
      <c r="O5959" s="2"/>
    </row>
    <row r="5960" spans="12:15">
      <c r="L5960" s="2"/>
      <c r="N5960" s="2"/>
      <c r="O5960" s="2"/>
    </row>
    <row r="5961" spans="12:15">
      <c r="L5961" s="2"/>
      <c r="N5961" s="2"/>
      <c r="O5961" s="2"/>
    </row>
    <row r="5962" spans="12:15">
      <c r="L5962" s="2"/>
      <c r="N5962" s="2"/>
      <c r="O5962" s="2"/>
    </row>
    <row r="5963" spans="12:15">
      <c r="L5963" s="2"/>
      <c r="N5963" s="2"/>
      <c r="O5963" s="2"/>
    </row>
    <row r="5964" spans="12:15">
      <c r="L5964" s="2"/>
      <c r="N5964" s="2"/>
      <c r="O5964" s="2"/>
    </row>
    <row r="5965" spans="12:15">
      <c r="L5965" s="2"/>
      <c r="N5965" s="2"/>
      <c r="O5965" s="2"/>
    </row>
    <row r="5966" spans="12:15">
      <c r="L5966" s="2"/>
      <c r="N5966" s="2"/>
      <c r="O5966" s="2"/>
    </row>
    <row r="5967" spans="12:15">
      <c r="L5967" s="2"/>
      <c r="N5967" s="2"/>
      <c r="O5967" s="2"/>
    </row>
    <row r="5968" spans="12:15">
      <c r="L5968" s="2"/>
      <c r="N5968" s="2"/>
      <c r="O5968" s="2"/>
    </row>
    <row r="5969" spans="12:15">
      <c r="L5969" s="2"/>
      <c r="N5969" s="2"/>
      <c r="O5969" s="2"/>
    </row>
    <row r="5970" spans="12:15">
      <c r="L5970" s="2"/>
      <c r="N5970" s="2"/>
      <c r="O5970" s="2"/>
    </row>
    <row r="5971" spans="12:15">
      <c r="L5971" s="2"/>
      <c r="N5971" s="2"/>
      <c r="O5971" s="2"/>
    </row>
    <row r="5972" spans="12:15">
      <c r="L5972" s="2"/>
      <c r="N5972" s="2"/>
      <c r="O5972" s="2"/>
    </row>
    <row r="5973" spans="12:15">
      <c r="L5973" s="2"/>
      <c r="N5973" s="2"/>
      <c r="O5973" s="2"/>
    </row>
    <row r="5974" spans="12:15">
      <c r="L5974" s="2"/>
      <c r="N5974" s="2"/>
      <c r="O5974" s="2"/>
    </row>
    <row r="5975" spans="12:15">
      <c r="L5975" s="2"/>
      <c r="N5975" s="2"/>
      <c r="O5975" s="2"/>
    </row>
    <row r="5976" spans="12:15">
      <c r="L5976" s="2"/>
      <c r="N5976" s="2"/>
      <c r="O5976" s="2"/>
    </row>
    <row r="5977" spans="12:15">
      <c r="L5977" s="2"/>
      <c r="N5977" s="2"/>
      <c r="O5977" s="2"/>
    </row>
    <row r="5978" spans="12:15">
      <c r="L5978" s="2"/>
      <c r="N5978" s="2"/>
      <c r="O5978" s="2"/>
    </row>
    <row r="5979" spans="12:15">
      <c r="L5979" s="2"/>
      <c r="N5979" s="2"/>
      <c r="O5979" s="2"/>
    </row>
    <row r="5980" spans="12:15">
      <c r="L5980" s="2"/>
      <c r="N5980" s="2"/>
      <c r="O5980" s="2"/>
    </row>
    <row r="5981" spans="12:15">
      <c r="L5981" s="2"/>
      <c r="N5981" s="2"/>
      <c r="O5981" s="2"/>
    </row>
    <row r="5982" spans="12:15">
      <c r="L5982" s="2"/>
      <c r="N5982" s="2"/>
      <c r="O5982" s="2"/>
    </row>
    <row r="5983" spans="12:15">
      <c r="L5983" s="2"/>
      <c r="N5983" s="2"/>
      <c r="O5983" s="2"/>
    </row>
    <row r="5984" spans="12:15">
      <c r="L5984" s="2"/>
      <c r="N5984" s="2"/>
      <c r="O5984" s="2"/>
    </row>
    <row r="5985" spans="12:15">
      <c r="L5985" s="2"/>
      <c r="N5985" s="2"/>
      <c r="O5985" s="2"/>
    </row>
    <row r="5986" spans="12:15">
      <c r="L5986" s="2"/>
      <c r="N5986" s="2"/>
      <c r="O5986" s="2"/>
    </row>
    <row r="5987" spans="12:15">
      <c r="L5987" s="2"/>
      <c r="N5987" s="2"/>
      <c r="O5987" s="2"/>
    </row>
    <row r="5988" spans="12:15">
      <c r="L5988" s="2"/>
      <c r="N5988" s="2"/>
      <c r="O5988" s="2"/>
    </row>
    <row r="5989" spans="12:15">
      <c r="L5989" s="2"/>
      <c r="N5989" s="2"/>
      <c r="O5989" s="2"/>
    </row>
    <row r="5990" spans="12:15">
      <c r="L5990" s="2"/>
      <c r="N5990" s="2"/>
      <c r="O5990" s="2"/>
    </row>
    <row r="5991" spans="12:15">
      <c r="L5991" s="2"/>
      <c r="N5991" s="2"/>
      <c r="O5991" s="2"/>
    </row>
    <row r="5992" spans="12:15">
      <c r="L5992" s="2"/>
      <c r="N5992" s="2"/>
      <c r="O5992" s="2"/>
    </row>
    <row r="5993" spans="12:15">
      <c r="L5993" s="2"/>
      <c r="N5993" s="2"/>
      <c r="O5993" s="2"/>
    </row>
    <row r="5994" spans="12:15">
      <c r="L5994" s="2"/>
      <c r="N5994" s="2"/>
      <c r="O5994" s="2"/>
    </row>
    <row r="5995" spans="12:15">
      <c r="L5995" s="2"/>
      <c r="N5995" s="2"/>
      <c r="O5995" s="2"/>
    </row>
    <row r="5996" spans="12:15">
      <c r="L5996" s="2"/>
      <c r="N5996" s="2"/>
      <c r="O5996" s="2"/>
    </row>
    <row r="5997" spans="12:15">
      <c r="L5997" s="2"/>
      <c r="N5997" s="2"/>
      <c r="O5997" s="2"/>
    </row>
    <row r="5998" spans="12:15">
      <c r="L5998" s="2"/>
      <c r="N5998" s="2"/>
      <c r="O5998" s="2"/>
    </row>
    <row r="5999" spans="12:15">
      <c r="L5999" s="2"/>
      <c r="N5999" s="2"/>
      <c r="O5999" s="2"/>
    </row>
    <row r="6000" spans="12:15">
      <c r="L6000" s="2"/>
      <c r="N6000" s="2"/>
      <c r="O6000" s="2"/>
    </row>
    <row r="6001" spans="12:15">
      <c r="L6001" s="2"/>
      <c r="N6001" s="2"/>
      <c r="O6001" s="2"/>
    </row>
    <row r="6002" spans="12:15">
      <c r="L6002" s="2"/>
      <c r="N6002" s="2"/>
      <c r="O6002" s="2"/>
    </row>
    <row r="6003" spans="12:15">
      <c r="L6003" s="2"/>
      <c r="N6003" s="2"/>
      <c r="O6003" s="2"/>
    </row>
    <row r="6004" spans="12:15">
      <c r="L6004" s="2"/>
      <c r="N6004" s="2"/>
      <c r="O6004" s="2"/>
    </row>
    <row r="6005" spans="12:15">
      <c r="L6005" s="2"/>
      <c r="N6005" s="2"/>
      <c r="O6005" s="2"/>
    </row>
    <row r="6006" spans="12:15">
      <c r="L6006" s="2"/>
      <c r="N6006" s="2"/>
      <c r="O6006" s="2"/>
    </row>
    <row r="6007" spans="12:15">
      <c r="L6007" s="2"/>
      <c r="N6007" s="2"/>
      <c r="O6007" s="2"/>
    </row>
    <row r="6008" spans="12:15">
      <c r="L6008" s="2"/>
      <c r="N6008" s="2"/>
      <c r="O6008" s="2"/>
    </row>
    <row r="6009" spans="12:15">
      <c r="L6009" s="2"/>
      <c r="N6009" s="2"/>
      <c r="O6009" s="2"/>
    </row>
    <row r="6010" spans="12:15">
      <c r="L6010" s="2"/>
      <c r="N6010" s="2"/>
      <c r="O6010" s="2"/>
    </row>
    <row r="6011" spans="12:15">
      <c r="L6011" s="2"/>
      <c r="N6011" s="2"/>
      <c r="O6011" s="2"/>
    </row>
    <row r="6012" spans="12:15">
      <c r="L6012" s="2"/>
      <c r="N6012" s="2"/>
      <c r="O6012" s="2"/>
    </row>
    <row r="6013" spans="12:15">
      <c r="L6013" s="2"/>
      <c r="N6013" s="2"/>
      <c r="O6013" s="2"/>
    </row>
    <row r="6014" spans="12:15">
      <c r="L6014" s="2"/>
      <c r="N6014" s="2"/>
      <c r="O6014" s="2"/>
    </row>
    <row r="6015" spans="12:15">
      <c r="L6015" s="2"/>
      <c r="N6015" s="2"/>
      <c r="O6015" s="2"/>
    </row>
    <row r="6016" spans="12:15">
      <c r="L6016" s="2"/>
      <c r="N6016" s="2"/>
      <c r="O6016" s="2"/>
    </row>
    <row r="6017" spans="12:15">
      <c r="L6017" s="2"/>
      <c r="N6017" s="2"/>
      <c r="O6017" s="2"/>
    </row>
    <row r="6018" spans="12:15">
      <c r="L6018" s="2"/>
      <c r="N6018" s="2"/>
      <c r="O6018" s="2"/>
    </row>
    <row r="6019" spans="12:15">
      <c r="L6019" s="2"/>
      <c r="N6019" s="2"/>
      <c r="O6019" s="2"/>
    </row>
    <row r="6020" spans="12:15">
      <c r="L6020" s="2"/>
      <c r="N6020" s="2"/>
      <c r="O6020" s="2"/>
    </row>
    <row r="6021" spans="12:15">
      <c r="L6021" s="2"/>
      <c r="N6021" s="2"/>
      <c r="O6021" s="2"/>
    </row>
    <row r="6022" spans="12:15">
      <c r="L6022" s="2"/>
      <c r="N6022" s="2"/>
      <c r="O6022" s="2"/>
    </row>
    <row r="6023" spans="12:15">
      <c r="L6023" s="2"/>
      <c r="N6023" s="2"/>
      <c r="O6023" s="2"/>
    </row>
    <row r="6024" spans="12:15">
      <c r="L6024" s="2"/>
      <c r="N6024" s="2"/>
      <c r="O6024" s="2"/>
    </row>
    <row r="6025" spans="12:15">
      <c r="L6025" s="2"/>
      <c r="N6025" s="2"/>
      <c r="O6025" s="2"/>
    </row>
    <row r="6026" spans="12:15">
      <c r="L6026" s="2"/>
      <c r="N6026" s="2"/>
      <c r="O6026" s="2"/>
    </row>
    <row r="6027" spans="12:15">
      <c r="L6027" s="2"/>
      <c r="N6027" s="2"/>
      <c r="O6027" s="2"/>
    </row>
    <row r="6028" spans="12:15">
      <c r="L6028" s="2"/>
      <c r="N6028" s="2"/>
      <c r="O6028" s="2"/>
    </row>
    <row r="6029" spans="12:15">
      <c r="L6029" s="2"/>
      <c r="N6029" s="2"/>
      <c r="O6029" s="2"/>
    </row>
    <row r="6030" spans="12:15">
      <c r="L6030" s="2"/>
      <c r="N6030" s="2"/>
      <c r="O6030" s="2"/>
    </row>
    <row r="6031" spans="12:15">
      <c r="L6031" s="2"/>
      <c r="N6031" s="2"/>
      <c r="O6031" s="2"/>
    </row>
    <row r="6032" spans="12:15">
      <c r="L6032" s="2"/>
      <c r="N6032" s="2"/>
      <c r="O6032" s="2"/>
    </row>
    <row r="6033" spans="12:15">
      <c r="L6033" s="2"/>
      <c r="N6033" s="2"/>
      <c r="O6033" s="2"/>
    </row>
    <row r="6034" spans="12:15">
      <c r="L6034" s="2"/>
      <c r="N6034" s="2"/>
      <c r="O6034" s="2"/>
    </row>
    <row r="6035" spans="12:15">
      <c r="L6035" s="2"/>
      <c r="N6035" s="2"/>
      <c r="O6035" s="2"/>
    </row>
    <row r="6036" spans="12:15">
      <c r="L6036" s="2"/>
      <c r="N6036" s="2"/>
      <c r="O6036" s="2"/>
    </row>
    <row r="6037" spans="12:15">
      <c r="L6037" s="2"/>
      <c r="N6037" s="2"/>
      <c r="O6037" s="2"/>
    </row>
    <row r="6038" spans="12:15">
      <c r="L6038" s="2"/>
      <c r="N6038" s="2"/>
      <c r="O6038" s="2"/>
    </row>
    <row r="6039" spans="12:15">
      <c r="L6039" s="2"/>
      <c r="N6039" s="2"/>
      <c r="O6039" s="2"/>
    </row>
    <row r="6040" spans="12:15">
      <c r="L6040" s="2"/>
      <c r="N6040" s="2"/>
      <c r="O6040" s="2"/>
    </row>
    <row r="6041" spans="12:15">
      <c r="L6041" s="2"/>
      <c r="N6041" s="2"/>
      <c r="O6041" s="2"/>
    </row>
    <row r="6042" spans="12:15">
      <c r="L6042" s="2"/>
      <c r="N6042" s="2"/>
      <c r="O6042" s="2"/>
    </row>
    <row r="6043" spans="12:15">
      <c r="L6043" s="2"/>
      <c r="N6043" s="2"/>
      <c r="O6043" s="2"/>
    </row>
    <row r="6044" spans="12:15">
      <c r="L6044" s="2"/>
      <c r="N6044" s="2"/>
      <c r="O6044" s="2"/>
    </row>
    <row r="6045" spans="12:15">
      <c r="L6045" s="2"/>
      <c r="N6045" s="2"/>
      <c r="O6045" s="2"/>
    </row>
    <row r="6046" spans="12:15">
      <c r="L6046" s="2"/>
      <c r="N6046" s="2"/>
      <c r="O6046" s="2"/>
    </row>
    <row r="6047" spans="12:15">
      <c r="L6047" s="2"/>
      <c r="N6047" s="2"/>
      <c r="O6047" s="2"/>
    </row>
    <row r="6048" spans="12:15">
      <c r="L6048" s="2"/>
      <c r="N6048" s="2"/>
      <c r="O6048" s="2"/>
    </row>
    <row r="6049" spans="12:15">
      <c r="L6049" s="2"/>
      <c r="N6049" s="2"/>
      <c r="O6049" s="2"/>
    </row>
    <row r="6050" spans="12:15">
      <c r="L6050" s="2"/>
      <c r="N6050" s="2"/>
      <c r="O6050" s="2"/>
    </row>
    <row r="6051" spans="12:15">
      <c r="L6051" s="2"/>
      <c r="N6051" s="2"/>
      <c r="O6051" s="2"/>
    </row>
    <row r="6052" spans="12:15">
      <c r="L6052" s="2"/>
      <c r="N6052" s="2"/>
      <c r="O6052" s="2"/>
    </row>
    <row r="6053" spans="12:15">
      <c r="L6053" s="2"/>
      <c r="N6053" s="2"/>
      <c r="O6053" s="2"/>
    </row>
    <row r="6054" spans="12:15">
      <c r="L6054" s="2"/>
      <c r="N6054" s="2"/>
      <c r="O6054" s="2"/>
    </row>
    <row r="6055" spans="12:15">
      <c r="L6055" s="2"/>
      <c r="N6055" s="2"/>
      <c r="O6055" s="2"/>
    </row>
    <row r="6056" spans="12:15">
      <c r="L6056" s="2"/>
      <c r="N6056" s="2"/>
      <c r="O6056" s="2"/>
    </row>
    <row r="6057" spans="12:15">
      <c r="L6057" s="2"/>
      <c r="N6057" s="2"/>
      <c r="O6057" s="2"/>
    </row>
    <row r="6058" spans="12:15">
      <c r="L6058" s="2"/>
      <c r="N6058" s="2"/>
      <c r="O6058" s="2"/>
    </row>
    <row r="6059" spans="12:15">
      <c r="L6059" s="2"/>
      <c r="N6059" s="2"/>
      <c r="O6059" s="2"/>
    </row>
    <row r="6060" spans="12:15">
      <c r="L6060" s="2"/>
      <c r="N6060" s="2"/>
      <c r="O6060" s="2"/>
    </row>
    <row r="6061" spans="12:15">
      <c r="L6061" s="2"/>
      <c r="N6061" s="2"/>
      <c r="O6061" s="2"/>
    </row>
    <row r="6062" spans="12:15">
      <c r="L6062" s="2"/>
      <c r="N6062" s="2"/>
      <c r="O6062" s="2"/>
    </row>
    <row r="6063" spans="12:15">
      <c r="L6063" s="2"/>
      <c r="N6063" s="2"/>
      <c r="O6063" s="2"/>
    </row>
    <row r="6064" spans="12:15">
      <c r="L6064" s="2"/>
      <c r="N6064" s="2"/>
      <c r="O6064" s="2"/>
    </row>
    <row r="6065" spans="12:15">
      <c r="L6065" s="2"/>
      <c r="N6065" s="2"/>
      <c r="O6065" s="2"/>
    </row>
    <row r="6066" spans="12:15">
      <c r="L6066" s="2"/>
      <c r="N6066" s="2"/>
      <c r="O6066" s="2"/>
    </row>
    <row r="6067" spans="12:15">
      <c r="L6067" s="2"/>
      <c r="N6067" s="2"/>
      <c r="O6067" s="2"/>
    </row>
    <row r="6068" spans="12:15">
      <c r="L6068" s="2"/>
      <c r="N6068" s="2"/>
      <c r="O6068" s="2"/>
    </row>
    <row r="6069" spans="12:15">
      <c r="L6069" s="2"/>
      <c r="N6069" s="2"/>
      <c r="O6069" s="2"/>
    </row>
    <row r="6070" spans="12:15">
      <c r="L6070" s="2"/>
      <c r="N6070" s="2"/>
      <c r="O6070" s="2"/>
    </row>
    <row r="6071" spans="12:15">
      <c r="L6071" s="2"/>
      <c r="N6071" s="2"/>
      <c r="O6071" s="2"/>
    </row>
    <row r="6072" spans="12:15">
      <c r="L6072" s="2"/>
      <c r="N6072" s="2"/>
      <c r="O6072" s="2"/>
    </row>
    <row r="6073" spans="12:15">
      <c r="L6073" s="2"/>
      <c r="N6073" s="2"/>
      <c r="O6073" s="2"/>
    </row>
    <row r="6074" spans="12:15">
      <c r="L6074" s="2"/>
      <c r="N6074" s="2"/>
      <c r="O6074" s="2"/>
    </row>
    <row r="6075" spans="12:15">
      <c r="L6075" s="2"/>
      <c r="N6075" s="2"/>
      <c r="O6075" s="2"/>
    </row>
    <row r="6076" spans="12:15">
      <c r="L6076" s="2"/>
      <c r="N6076" s="2"/>
      <c r="O6076" s="2"/>
    </row>
    <row r="6077" spans="12:15">
      <c r="L6077" s="2"/>
      <c r="N6077" s="2"/>
      <c r="O6077" s="2"/>
    </row>
    <row r="6078" spans="12:15">
      <c r="L6078" s="2"/>
      <c r="N6078" s="2"/>
      <c r="O6078" s="2"/>
    </row>
    <row r="6079" spans="12:15">
      <c r="L6079" s="2"/>
      <c r="N6079" s="2"/>
      <c r="O6079" s="2"/>
    </row>
    <row r="6080" spans="12:15">
      <c r="L6080" s="2"/>
      <c r="N6080" s="2"/>
      <c r="O6080" s="2"/>
    </row>
    <row r="6081" spans="12:15">
      <c r="L6081" s="2"/>
      <c r="N6081" s="2"/>
      <c r="O6081" s="2"/>
    </row>
    <row r="6082" spans="12:15">
      <c r="L6082" s="2"/>
      <c r="N6082" s="2"/>
      <c r="O6082" s="2"/>
    </row>
    <row r="6083" spans="12:15">
      <c r="L6083" s="2"/>
      <c r="N6083" s="2"/>
      <c r="O6083" s="2"/>
    </row>
    <row r="6084" spans="12:15">
      <c r="L6084" s="2"/>
      <c r="N6084" s="2"/>
      <c r="O6084" s="2"/>
    </row>
    <row r="6085" spans="12:15">
      <c r="L6085" s="2"/>
      <c r="N6085" s="2"/>
      <c r="O6085" s="2"/>
    </row>
    <row r="6086" spans="12:15">
      <c r="L6086" s="2"/>
      <c r="N6086" s="2"/>
      <c r="O6086" s="2"/>
    </row>
    <row r="6087" spans="12:15">
      <c r="L6087" s="2"/>
      <c r="N6087" s="2"/>
      <c r="O6087" s="2"/>
    </row>
    <row r="6088" spans="12:15">
      <c r="L6088" s="2"/>
      <c r="N6088" s="2"/>
      <c r="O6088" s="2"/>
    </row>
    <row r="6089" spans="12:15">
      <c r="L6089" s="2"/>
      <c r="N6089" s="2"/>
      <c r="O6089" s="2"/>
    </row>
    <row r="6090" spans="12:15">
      <c r="L6090" s="2"/>
      <c r="N6090" s="2"/>
      <c r="O6090" s="2"/>
    </row>
    <row r="6091" spans="12:15">
      <c r="L6091" s="2"/>
      <c r="N6091" s="2"/>
      <c r="O6091" s="2"/>
    </row>
    <row r="6092" spans="12:15">
      <c r="L6092" s="2"/>
      <c r="N6092" s="2"/>
      <c r="O6092" s="2"/>
    </row>
    <row r="6093" spans="12:15">
      <c r="L6093" s="2"/>
      <c r="N6093" s="2"/>
      <c r="O6093" s="2"/>
    </row>
    <row r="6094" spans="12:15">
      <c r="L6094" s="2"/>
      <c r="N6094" s="2"/>
      <c r="O6094" s="2"/>
    </row>
    <row r="6095" spans="12:15">
      <c r="L6095" s="2"/>
      <c r="N6095" s="2"/>
      <c r="O6095" s="2"/>
    </row>
    <row r="6096" spans="12:15">
      <c r="L6096" s="2"/>
      <c r="N6096" s="2"/>
      <c r="O6096" s="2"/>
    </row>
    <row r="6097" spans="12:15">
      <c r="L6097" s="2"/>
      <c r="N6097" s="2"/>
      <c r="O6097" s="2"/>
    </row>
    <row r="6098" spans="12:15">
      <c r="L6098" s="2"/>
      <c r="N6098" s="2"/>
      <c r="O6098" s="2"/>
    </row>
    <row r="6099" spans="12:15">
      <c r="L6099" s="2"/>
      <c r="N6099" s="2"/>
      <c r="O6099" s="2"/>
    </row>
    <row r="6100" spans="12:15">
      <c r="L6100" s="2"/>
      <c r="N6100" s="2"/>
      <c r="O6100" s="2"/>
    </row>
    <row r="6101" spans="12:15">
      <c r="L6101" s="2"/>
      <c r="N6101" s="2"/>
      <c r="O6101" s="2"/>
    </row>
    <row r="6102" spans="12:15">
      <c r="L6102" s="2"/>
      <c r="N6102" s="2"/>
      <c r="O6102" s="2"/>
    </row>
    <row r="6103" spans="12:15">
      <c r="L6103" s="2"/>
      <c r="N6103" s="2"/>
      <c r="O6103" s="2"/>
    </row>
    <row r="6104" spans="12:15">
      <c r="L6104" s="2"/>
      <c r="N6104" s="2"/>
      <c r="O6104" s="2"/>
    </row>
    <row r="6105" spans="12:15">
      <c r="L6105" s="2"/>
      <c r="N6105" s="2"/>
      <c r="O6105" s="2"/>
    </row>
    <row r="6106" spans="12:15">
      <c r="L6106" s="2"/>
      <c r="N6106" s="2"/>
      <c r="O6106" s="2"/>
    </row>
    <row r="6107" spans="12:15">
      <c r="L6107" s="2"/>
      <c r="N6107" s="2"/>
      <c r="O6107" s="2"/>
    </row>
    <row r="6108" spans="12:15">
      <c r="L6108" s="2"/>
      <c r="N6108" s="2"/>
      <c r="O6108" s="2"/>
    </row>
    <row r="6109" spans="12:15">
      <c r="L6109" s="2"/>
      <c r="N6109" s="2"/>
      <c r="O6109" s="2"/>
    </row>
    <row r="6110" spans="12:15">
      <c r="L6110" s="2"/>
      <c r="N6110" s="2"/>
      <c r="O6110" s="2"/>
    </row>
    <row r="6111" spans="12:15">
      <c r="L6111" s="2"/>
      <c r="N6111" s="2"/>
      <c r="O6111" s="2"/>
    </row>
    <row r="6112" spans="12:15">
      <c r="L6112" s="2"/>
      <c r="N6112" s="2"/>
      <c r="O6112" s="2"/>
    </row>
    <row r="6113" spans="12:15">
      <c r="L6113" s="2"/>
      <c r="N6113" s="2"/>
      <c r="O6113" s="2"/>
    </row>
    <row r="6114" spans="12:15">
      <c r="L6114" s="2"/>
      <c r="N6114" s="2"/>
      <c r="O6114" s="2"/>
    </row>
    <row r="6115" spans="12:15">
      <c r="L6115" s="2"/>
      <c r="N6115" s="2"/>
      <c r="O6115" s="2"/>
    </row>
    <row r="6116" spans="12:15">
      <c r="L6116" s="2"/>
      <c r="N6116" s="2"/>
      <c r="O6116" s="2"/>
    </row>
    <row r="6117" spans="12:15">
      <c r="L6117" s="2"/>
      <c r="N6117" s="2"/>
      <c r="O6117" s="2"/>
    </row>
    <row r="6118" spans="12:15">
      <c r="L6118" s="2"/>
      <c r="N6118" s="2"/>
      <c r="O6118" s="2"/>
    </row>
    <row r="6119" spans="12:15">
      <c r="L6119" s="2"/>
      <c r="N6119" s="2"/>
      <c r="O6119" s="2"/>
    </row>
    <row r="6120" spans="12:15">
      <c r="L6120" s="2"/>
      <c r="N6120" s="2"/>
      <c r="O6120" s="2"/>
    </row>
    <row r="6121" spans="12:15">
      <c r="L6121" s="2"/>
      <c r="N6121" s="2"/>
      <c r="O6121" s="2"/>
    </row>
    <row r="6122" spans="12:15">
      <c r="L6122" s="2"/>
      <c r="N6122" s="2"/>
      <c r="O6122" s="2"/>
    </row>
    <row r="6123" spans="12:15">
      <c r="L6123" s="2"/>
      <c r="N6123" s="2"/>
      <c r="O6123" s="2"/>
    </row>
    <row r="6124" spans="12:15">
      <c r="L6124" s="2"/>
      <c r="N6124" s="2"/>
      <c r="O6124" s="2"/>
    </row>
    <row r="6125" spans="12:15">
      <c r="L6125" s="2"/>
      <c r="N6125" s="2"/>
      <c r="O6125" s="2"/>
    </row>
    <row r="6126" spans="12:15">
      <c r="L6126" s="2"/>
      <c r="N6126" s="2"/>
      <c r="O6126" s="2"/>
    </row>
    <row r="6127" spans="12:15">
      <c r="L6127" s="2"/>
      <c r="N6127" s="2"/>
      <c r="O6127" s="2"/>
    </row>
    <row r="6128" spans="12:15">
      <c r="L6128" s="2"/>
      <c r="N6128" s="2"/>
      <c r="O6128" s="2"/>
    </row>
    <row r="6129" spans="12:15">
      <c r="L6129" s="2"/>
      <c r="N6129" s="2"/>
      <c r="O6129" s="2"/>
    </row>
    <row r="6130" spans="12:15">
      <c r="L6130" s="2"/>
      <c r="N6130" s="2"/>
      <c r="O6130" s="2"/>
    </row>
    <row r="6131" spans="12:15">
      <c r="L6131" s="2"/>
      <c r="N6131" s="2"/>
      <c r="O6131" s="2"/>
    </row>
    <row r="6132" spans="12:15">
      <c r="L6132" s="2"/>
      <c r="N6132" s="2"/>
      <c r="O6132" s="2"/>
    </row>
    <row r="6133" spans="12:15">
      <c r="L6133" s="2"/>
      <c r="N6133" s="2"/>
      <c r="O6133" s="2"/>
    </row>
    <row r="6134" spans="12:15">
      <c r="L6134" s="2"/>
      <c r="N6134" s="2"/>
      <c r="O6134" s="2"/>
    </row>
    <row r="6135" spans="12:15">
      <c r="L6135" s="2"/>
      <c r="N6135" s="2"/>
      <c r="O6135" s="2"/>
    </row>
    <row r="6136" spans="12:15">
      <c r="L6136" s="2"/>
      <c r="N6136" s="2"/>
      <c r="O6136" s="2"/>
    </row>
    <row r="6137" spans="12:15">
      <c r="L6137" s="2"/>
      <c r="N6137" s="2"/>
      <c r="O6137" s="2"/>
    </row>
    <row r="6138" spans="12:15">
      <c r="L6138" s="2"/>
      <c r="N6138" s="2"/>
      <c r="O6138" s="2"/>
    </row>
    <row r="6139" spans="12:15">
      <c r="L6139" s="2"/>
      <c r="N6139" s="2"/>
      <c r="O6139" s="2"/>
    </row>
    <row r="6140" spans="12:15">
      <c r="L6140" s="2"/>
      <c r="N6140" s="2"/>
      <c r="O6140" s="2"/>
    </row>
    <row r="6141" spans="12:15">
      <c r="L6141" s="2"/>
      <c r="N6141" s="2"/>
      <c r="O6141" s="2"/>
    </row>
    <row r="6142" spans="12:15">
      <c r="L6142" s="2"/>
      <c r="N6142" s="2"/>
      <c r="O6142" s="2"/>
    </row>
    <row r="6143" spans="12:15">
      <c r="L6143" s="2"/>
      <c r="N6143" s="2"/>
      <c r="O6143" s="2"/>
    </row>
    <row r="6144" spans="12:15">
      <c r="L6144" s="2"/>
      <c r="N6144" s="2"/>
      <c r="O6144" s="2"/>
    </row>
    <row r="6145" spans="12:15">
      <c r="L6145" s="2"/>
      <c r="N6145" s="2"/>
      <c r="O6145" s="2"/>
    </row>
    <row r="6146" spans="12:15">
      <c r="L6146" s="2"/>
      <c r="N6146" s="2"/>
      <c r="O6146" s="2"/>
    </row>
    <row r="6147" spans="12:15">
      <c r="L6147" s="2"/>
      <c r="N6147" s="2"/>
      <c r="O6147" s="2"/>
    </row>
    <row r="6148" spans="12:15">
      <c r="L6148" s="2"/>
      <c r="N6148" s="2"/>
      <c r="O6148" s="2"/>
    </row>
    <row r="6149" spans="12:15">
      <c r="L6149" s="2"/>
      <c r="N6149" s="2"/>
      <c r="O6149" s="2"/>
    </row>
    <row r="6150" spans="12:15">
      <c r="L6150" s="2"/>
      <c r="N6150" s="2"/>
      <c r="O6150" s="2"/>
    </row>
    <row r="6151" spans="12:15">
      <c r="L6151" s="2"/>
      <c r="N6151" s="2"/>
      <c r="O6151" s="2"/>
    </row>
    <row r="6152" spans="12:15">
      <c r="L6152" s="2"/>
      <c r="N6152" s="2"/>
      <c r="O6152" s="2"/>
    </row>
    <row r="6153" spans="12:15">
      <c r="L6153" s="2"/>
      <c r="N6153" s="2"/>
      <c r="O6153" s="2"/>
    </row>
    <row r="6154" spans="12:15">
      <c r="L6154" s="2"/>
      <c r="N6154" s="2"/>
      <c r="O6154" s="2"/>
    </row>
    <row r="6155" spans="12:15">
      <c r="L6155" s="2"/>
      <c r="N6155" s="2"/>
      <c r="O6155" s="2"/>
    </row>
    <row r="6156" spans="12:15">
      <c r="L6156" s="2"/>
      <c r="N6156" s="2"/>
      <c r="O6156" s="2"/>
    </row>
    <row r="6157" spans="12:15">
      <c r="L6157" s="2"/>
      <c r="N6157" s="2"/>
      <c r="O6157" s="2"/>
    </row>
    <row r="6158" spans="12:15">
      <c r="L6158" s="2"/>
      <c r="N6158" s="2"/>
      <c r="O6158" s="2"/>
    </row>
    <row r="6159" spans="12:15">
      <c r="L6159" s="2"/>
      <c r="N6159" s="2"/>
      <c r="O6159" s="2"/>
    </row>
    <row r="6160" spans="12:15">
      <c r="L6160" s="2"/>
      <c r="N6160" s="2"/>
      <c r="O6160" s="2"/>
    </row>
    <row r="6161" spans="12:15">
      <c r="L6161" s="2"/>
      <c r="N6161" s="2"/>
      <c r="O6161" s="2"/>
    </row>
    <row r="6162" spans="12:15">
      <c r="L6162" s="2"/>
      <c r="N6162" s="2"/>
      <c r="O6162" s="2"/>
    </row>
    <row r="6163" spans="12:15">
      <c r="L6163" s="2"/>
      <c r="N6163" s="2"/>
      <c r="O6163" s="2"/>
    </row>
    <row r="6164" spans="12:15">
      <c r="L6164" s="2"/>
      <c r="N6164" s="2"/>
      <c r="O6164" s="2"/>
    </row>
    <row r="6165" spans="12:15">
      <c r="L6165" s="2"/>
      <c r="N6165" s="2"/>
      <c r="O6165" s="2"/>
    </row>
    <row r="6166" spans="12:15">
      <c r="L6166" s="2"/>
      <c r="N6166" s="2"/>
      <c r="O6166" s="2"/>
    </row>
    <row r="6167" spans="12:15">
      <c r="L6167" s="2"/>
      <c r="N6167" s="2"/>
      <c r="O6167" s="2"/>
    </row>
    <row r="6168" spans="12:15">
      <c r="L6168" s="2"/>
      <c r="N6168" s="2"/>
      <c r="O6168" s="2"/>
    </row>
    <row r="6169" spans="12:15">
      <c r="L6169" s="2"/>
      <c r="N6169" s="2"/>
      <c r="O6169" s="2"/>
    </row>
    <row r="6170" spans="12:15">
      <c r="L6170" s="2"/>
      <c r="N6170" s="2"/>
      <c r="O6170" s="2"/>
    </row>
    <row r="6171" spans="12:15">
      <c r="L6171" s="2"/>
      <c r="N6171" s="2"/>
      <c r="O6171" s="2"/>
    </row>
    <row r="6172" spans="12:15">
      <c r="L6172" s="2"/>
      <c r="N6172" s="2"/>
      <c r="O6172" s="2"/>
    </row>
    <row r="6173" spans="12:15">
      <c r="L6173" s="2"/>
      <c r="N6173" s="2"/>
      <c r="O6173" s="2"/>
    </row>
    <row r="6174" spans="12:15">
      <c r="L6174" s="2"/>
      <c r="N6174" s="2"/>
      <c r="O6174" s="2"/>
    </row>
    <row r="6175" spans="12:15">
      <c r="L6175" s="2"/>
      <c r="N6175" s="2"/>
      <c r="O6175" s="2"/>
    </row>
    <row r="6176" spans="12:15">
      <c r="L6176" s="2"/>
      <c r="N6176" s="2"/>
      <c r="O6176" s="2"/>
    </row>
    <row r="6177" spans="12:15">
      <c r="L6177" s="2"/>
      <c r="N6177" s="2"/>
      <c r="O6177" s="2"/>
    </row>
    <row r="6178" spans="12:15">
      <c r="L6178" s="2"/>
      <c r="N6178" s="2"/>
      <c r="O6178" s="2"/>
    </row>
    <row r="6179" spans="12:15">
      <c r="L6179" s="2"/>
      <c r="N6179" s="2"/>
      <c r="O6179" s="2"/>
    </row>
    <row r="6180" spans="12:15">
      <c r="L6180" s="2"/>
      <c r="N6180" s="2"/>
      <c r="O6180" s="2"/>
    </row>
    <row r="6181" spans="12:15">
      <c r="L6181" s="2"/>
      <c r="N6181" s="2"/>
      <c r="O6181" s="2"/>
    </row>
    <row r="6182" spans="12:15">
      <c r="L6182" s="2"/>
      <c r="N6182" s="2"/>
      <c r="O6182" s="2"/>
    </row>
    <row r="6183" spans="12:15">
      <c r="L6183" s="2"/>
      <c r="N6183" s="2"/>
      <c r="O6183" s="2"/>
    </row>
    <row r="6184" spans="12:15">
      <c r="L6184" s="2"/>
      <c r="N6184" s="2"/>
      <c r="O6184" s="2"/>
    </row>
    <row r="6185" spans="12:15">
      <c r="L6185" s="2"/>
      <c r="N6185" s="2"/>
      <c r="O6185" s="2"/>
    </row>
    <row r="6186" spans="12:15">
      <c r="L6186" s="2"/>
      <c r="N6186" s="2"/>
      <c r="O6186" s="2"/>
    </row>
    <row r="6187" spans="12:15">
      <c r="L6187" s="2"/>
      <c r="N6187" s="2"/>
      <c r="O6187" s="2"/>
    </row>
    <row r="6188" spans="12:15">
      <c r="L6188" s="2"/>
      <c r="N6188" s="2"/>
      <c r="O6188" s="2"/>
    </row>
    <row r="6189" spans="12:15">
      <c r="L6189" s="2"/>
      <c r="N6189" s="2"/>
      <c r="O6189" s="2"/>
    </row>
    <row r="6190" spans="12:15">
      <c r="L6190" s="2"/>
      <c r="N6190" s="2"/>
      <c r="O6190" s="2"/>
    </row>
    <row r="6191" spans="12:15">
      <c r="L6191" s="2"/>
      <c r="N6191" s="2"/>
      <c r="O6191" s="2"/>
    </row>
    <row r="6192" spans="12:15">
      <c r="L6192" s="2"/>
      <c r="N6192" s="2"/>
      <c r="O6192" s="2"/>
    </row>
    <row r="6193" spans="12:15">
      <c r="L6193" s="2"/>
      <c r="N6193" s="2"/>
      <c r="O6193" s="2"/>
    </row>
    <row r="6194" spans="12:15">
      <c r="L6194" s="2"/>
      <c r="N6194" s="2"/>
      <c r="O6194" s="2"/>
    </row>
    <row r="6195" spans="12:15">
      <c r="L6195" s="2"/>
      <c r="N6195" s="2"/>
      <c r="O6195" s="2"/>
    </row>
    <row r="6196" spans="12:15">
      <c r="L6196" s="2"/>
      <c r="N6196" s="2"/>
      <c r="O6196" s="2"/>
    </row>
    <row r="6197" spans="12:15">
      <c r="L6197" s="2"/>
      <c r="N6197" s="2"/>
      <c r="O6197" s="2"/>
    </row>
    <row r="6198" spans="12:15">
      <c r="L6198" s="2"/>
      <c r="N6198" s="2"/>
      <c r="O6198" s="2"/>
    </row>
    <row r="6199" spans="12:15">
      <c r="L6199" s="2"/>
      <c r="N6199" s="2"/>
      <c r="O6199" s="2"/>
    </row>
    <row r="6200" spans="12:15">
      <c r="L6200" s="2"/>
      <c r="N6200" s="2"/>
      <c r="O6200" s="2"/>
    </row>
    <row r="6201" spans="12:15">
      <c r="L6201" s="2"/>
      <c r="N6201" s="2"/>
      <c r="O6201" s="2"/>
    </row>
    <row r="6202" spans="12:15">
      <c r="L6202" s="2"/>
      <c r="N6202" s="2"/>
      <c r="O6202" s="2"/>
    </row>
    <row r="6203" spans="12:15">
      <c r="L6203" s="2"/>
      <c r="N6203" s="2"/>
      <c r="O6203" s="2"/>
    </row>
    <row r="6204" spans="12:15">
      <c r="L6204" s="2"/>
      <c r="N6204" s="2"/>
      <c r="O6204" s="2"/>
    </row>
    <row r="6205" spans="12:15">
      <c r="L6205" s="2"/>
      <c r="N6205" s="2"/>
      <c r="O6205" s="2"/>
    </row>
    <row r="6206" spans="12:15">
      <c r="L6206" s="2"/>
      <c r="N6206" s="2"/>
      <c r="O6206" s="2"/>
    </row>
    <row r="6207" spans="12:15">
      <c r="L6207" s="2"/>
      <c r="N6207" s="2"/>
      <c r="O6207" s="2"/>
    </row>
    <row r="6208" spans="12:15">
      <c r="L6208" s="2"/>
      <c r="N6208" s="2"/>
      <c r="O6208" s="2"/>
    </row>
    <row r="6209" spans="12:15">
      <c r="L6209" s="2"/>
      <c r="N6209" s="2"/>
      <c r="O6209" s="2"/>
    </row>
    <row r="6210" spans="12:15">
      <c r="L6210" s="2"/>
      <c r="N6210" s="2"/>
      <c r="O6210" s="2"/>
    </row>
    <row r="6211" spans="12:15">
      <c r="L6211" s="2"/>
      <c r="N6211" s="2"/>
      <c r="O6211" s="2"/>
    </row>
    <row r="6212" spans="12:15">
      <c r="L6212" s="2"/>
      <c r="N6212" s="2"/>
      <c r="O6212" s="2"/>
    </row>
    <row r="6213" spans="12:15">
      <c r="L6213" s="2"/>
      <c r="N6213" s="2"/>
      <c r="O6213" s="2"/>
    </row>
    <row r="6214" spans="12:15">
      <c r="L6214" s="2"/>
      <c r="N6214" s="2"/>
      <c r="O6214" s="2"/>
    </row>
    <row r="6215" spans="12:15">
      <c r="L6215" s="2"/>
      <c r="N6215" s="2"/>
      <c r="O6215" s="2"/>
    </row>
    <row r="6216" spans="12:15">
      <c r="L6216" s="2"/>
      <c r="N6216" s="2"/>
      <c r="O6216" s="2"/>
    </row>
    <row r="6217" spans="12:15">
      <c r="L6217" s="2"/>
      <c r="N6217" s="2"/>
      <c r="O6217" s="2"/>
    </row>
    <row r="6218" spans="12:15">
      <c r="L6218" s="2"/>
      <c r="N6218" s="2"/>
      <c r="O6218" s="2"/>
    </row>
    <row r="6219" spans="12:15">
      <c r="L6219" s="2"/>
      <c r="N6219" s="2"/>
      <c r="O6219" s="2"/>
    </row>
    <row r="6220" spans="12:15">
      <c r="L6220" s="2"/>
      <c r="N6220" s="2"/>
      <c r="O6220" s="2"/>
    </row>
    <row r="6221" spans="12:15">
      <c r="L6221" s="2"/>
      <c r="N6221" s="2"/>
      <c r="O6221" s="2"/>
    </row>
    <row r="6222" spans="12:15">
      <c r="L6222" s="2"/>
      <c r="N6222" s="2"/>
      <c r="O6222" s="2"/>
    </row>
    <row r="6223" spans="12:15">
      <c r="L6223" s="2"/>
      <c r="N6223" s="2"/>
      <c r="O6223" s="2"/>
    </row>
    <row r="6224" spans="12:15">
      <c r="L6224" s="2"/>
      <c r="N6224" s="2"/>
      <c r="O6224" s="2"/>
    </row>
    <row r="6225" spans="12:15">
      <c r="L6225" s="2"/>
      <c r="N6225" s="2"/>
      <c r="O6225" s="2"/>
    </row>
    <row r="6226" spans="12:15">
      <c r="L6226" s="2"/>
      <c r="N6226" s="2"/>
      <c r="O6226" s="2"/>
    </row>
    <row r="6227" spans="12:15">
      <c r="L6227" s="2"/>
      <c r="N6227" s="2"/>
      <c r="O6227" s="2"/>
    </row>
    <row r="6228" spans="12:15">
      <c r="L6228" s="2"/>
      <c r="N6228" s="2"/>
      <c r="O6228" s="2"/>
    </row>
    <row r="6229" spans="12:15">
      <c r="L6229" s="2"/>
      <c r="N6229" s="2"/>
      <c r="O6229" s="2"/>
    </row>
    <row r="6230" spans="12:15">
      <c r="L6230" s="2"/>
      <c r="N6230" s="2"/>
      <c r="O6230" s="2"/>
    </row>
    <row r="6231" spans="12:15">
      <c r="L6231" s="2"/>
      <c r="N6231" s="2"/>
      <c r="O6231" s="2"/>
    </row>
    <row r="6232" spans="12:15">
      <c r="L6232" s="2"/>
      <c r="N6232" s="2"/>
      <c r="O6232" s="2"/>
    </row>
    <row r="6233" spans="12:15">
      <c r="L6233" s="2"/>
      <c r="N6233" s="2"/>
      <c r="O6233" s="2"/>
    </row>
    <row r="6234" spans="12:15">
      <c r="L6234" s="2"/>
      <c r="N6234" s="2"/>
      <c r="O6234" s="2"/>
    </row>
    <row r="6235" spans="12:15">
      <c r="L6235" s="2"/>
      <c r="N6235" s="2"/>
      <c r="O6235" s="2"/>
    </row>
    <row r="6236" spans="12:15">
      <c r="L6236" s="2"/>
      <c r="N6236" s="2"/>
      <c r="O6236" s="2"/>
    </row>
    <row r="6237" spans="12:15">
      <c r="L6237" s="2"/>
      <c r="N6237" s="2"/>
      <c r="O6237" s="2"/>
    </row>
    <row r="6238" spans="12:15">
      <c r="L6238" s="2"/>
      <c r="N6238" s="2"/>
      <c r="O6238" s="2"/>
    </row>
    <row r="6239" spans="12:15">
      <c r="L6239" s="2"/>
      <c r="N6239" s="2"/>
      <c r="O6239" s="2"/>
    </row>
    <row r="6240" spans="12:15">
      <c r="L6240" s="2"/>
      <c r="N6240" s="2"/>
      <c r="O6240" s="2"/>
    </row>
    <row r="6241" spans="12:15">
      <c r="L6241" s="2"/>
      <c r="N6241" s="2"/>
      <c r="O6241" s="2"/>
    </row>
    <row r="6242" spans="12:15">
      <c r="L6242" s="2"/>
      <c r="N6242" s="2"/>
      <c r="O6242" s="2"/>
    </row>
    <row r="6243" spans="12:15">
      <c r="L6243" s="2"/>
      <c r="N6243" s="2"/>
      <c r="O6243" s="2"/>
    </row>
    <row r="6244" spans="12:15">
      <c r="L6244" s="2"/>
      <c r="N6244" s="2"/>
      <c r="O6244" s="2"/>
    </row>
    <row r="6245" spans="12:15">
      <c r="L6245" s="2"/>
      <c r="N6245" s="2"/>
      <c r="O6245" s="2"/>
    </row>
    <row r="6246" spans="12:15">
      <c r="L6246" s="2"/>
      <c r="N6246" s="2"/>
      <c r="O6246" s="2"/>
    </row>
    <row r="6247" spans="12:15">
      <c r="L6247" s="2"/>
      <c r="N6247" s="2"/>
      <c r="O6247" s="2"/>
    </row>
    <row r="6248" spans="12:15">
      <c r="L6248" s="2"/>
      <c r="N6248" s="2"/>
      <c r="O6248" s="2"/>
    </row>
    <row r="6249" spans="12:15">
      <c r="L6249" s="2"/>
      <c r="N6249" s="2"/>
      <c r="O6249" s="2"/>
    </row>
    <row r="6250" spans="12:15">
      <c r="L6250" s="2"/>
      <c r="N6250" s="2"/>
      <c r="O6250" s="2"/>
    </row>
    <row r="6251" spans="12:15">
      <c r="L6251" s="2"/>
      <c r="N6251" s="2"/>
      <c r="O6251" s="2"/>
    </row>
    <row r="6252" spans="12:15">
      <c r="L6252" s="2"/>
      <c r="N6252" s="2"/>
      <c r="O6252" s="2"/>
    </row>
    <row r="6253" spans="12:15">
      <c r="L6253" s="2"/>
      <c r="N6253" s="2"/>
      <c r="O6253" s="2"/>
    </row>
    <row r="6254" spans="12:15">
      <c r="L6254" s="2"/>
      <c r="N6254" s="2"/>
      <c r="O6254" s="2"/>
    </row>
    <row r="6255" spans="12:15">
      <c r="L6255" s="2"/>
      <c r="N6255" s="2"/>
      <c r="O6255" s="2"/>
    </row>
    <row r="6256" spans="12:15">
      <c r="L6256" s="2"/>
      <c r="N6256" s="2"/>
      <c r="O6256" s="2"/>
    </row>
    <row r="6257" spans="12:15">
      <c r="L6257" s="2"/>
      <c r="N6257" s="2"/>
      <c r="O6257" s="2"/>
    </row>
    <row r="6258" spans="12:15">
      <c r="L6258" s="2"/>
      <c r="N6258" s="2"/>
      <c r="O6258" s="2"/>
    </row>
    <row r="6259" spans="12:15">
      <c r="L6259" s="2"/>
      <c r="N6259" s="2"/>
      <c r="O6259" s="2"/>
    </row>
    <row r="6260" spans="12:15">
      <c r="L6260" s="2"/>
      <c r="N6260" s="2"/>
      <c r="O6260" s="2"/>
    </row>
    <row r="6261" spans="12:15">
      <c r="L6261" s="2"/>
      <c r="N6261" s="2"/>
      <c r="O6261" s="2"/>
    </row>
    <row r="6262" spans="12:15">
      <c r="L6262" s="2"/>
      <c r="N6262" s="2"/>
      <c r="O6262" s="2"/>
    </row>
    <row r="6263" spans="12:15">
      <c r="L6263" s="2"/>
      <c r="N6263" s="2"/>
      <c r="O6263" s="2"/>
    </row>
    <row r="6264" spans="12:15">
      <c r="L6264" s="2"/>
      <c r="N6264" s="2"/>
      <c r="O6264" s="2"/>
    </row>
    <row r="6265" spans="12:15">
      <c r="L6265" s="2"/>
      <c r="N6265" s="2"/>
      <c r="O6265" s="2"/>
    </row>
    <row r="6266" spans="12:15">
      <c r="L6266" s="2"/>
      <c r="N6266" s="2"/>
      <c r="O6266" s="2"/>
    </row>
    <row r="6267" spans="12:15">
      <c r="L6267" s="2"/>
      <c r="N6267" s="2"/>
      <c r="O6267" s="2"/>
    </row>
    <row r="6268" spans="12:15">
      <c r="L6268" s="2"/>
      <c r="N6268" s="2"/>
      <c r="O6268" s="2"/>
    </row>
    <row r="6269" spans="12:15">
      <c r="L6269" s="2"/>
      <c r="N6269" s="2"/>
      <c r="O6269" s="2"/>
    </row>
    <row r="6270" spans="12:15">
      <c r="L6270" s="2"/>
      <c r="N6270" s="2"/>
      <c r="O6270" s="2"/>
    </row>
    <row r="6271" spans="12:15">
      <c r="L6271" s="2"/>
      <c r="N6271" s="2"/>
      <c r="O6271" s="2"/>
    </row>
    <row r="6272" spans="12:15">
      <c r="L6272" s="2"/>
      <c r="N6272" s="2"/>
      <c r="O6272" s="2"/>
    </row>
    <row r="6273" spans="12:15">
      <c r="L6273" s="2"/>
      <c r="N6273" s="2"/>
      <c r="O6273" s="2"/>
    </row>
    <row r="6274" spans="12:15">
      <c r="L6274" s="2"/>
      <c r="N6274" s="2"/>
      <c r="O6274" s="2"/>
    </row>
    <row r="6275" spans="12:15">
      <c r="L6275" s="2"/>
      <c r="N6275" s="2"/>
      <c r="O6275" s="2"/>
    </row>
    <row r="6276" spans="12:15">
      <c r="L6276" s="2"/>
      <c r="N6276" s="2"/>
      <c r="O6276" s="2"/>
    </row>
    <row r="6277" spans="12:15">
      <c r="L6277" s="2"/>
      <c r="N6277" s="2"/>
      <c r="O6277" s="2"/>
    </row>
    <row r="6278" spans="12:15">
      <c r="L6278" s="2"/>
      <c r="N6278" s="2"/>
      <c r="O6278" s="2"/>
    </row>
    <row r="6279" spans="12:15">
      <c r="L6279" s="2"/>
      <c r="N6279" s="2"/>
      <c r="O6279" s="2"/>
    </row>
    <row r="6280" spans="12:15">
      <c r="L6280" s="2"/>
      <c r="N6280" s="2"/>
      <c r="O6280" s="2"/>
    </row>
    <row r="6281" spans="12:15">
      <c r="L6281" s="2"/>
      <c r="N6281" s="2"/>
      <c r="O6281" s="2"/>
    </row>
    <row r="6282" spans="12:15">
      <c r="L6282" s="2"/>
      <c r="N6282" s="2"/>
      <c r="O6282" s="2"/>
    </row>
    <row r="6283" spans="12:15">
      <c r="L6283" s="2"/>
      <c r="N6283" s="2"/>
      <c r="O6283" s="2"/>
    </row>
    <row r="6284" spans="12:15">
      <c r="L6284" s="2"/>
      <c r="N6284" s="2"/>
      <c r="O6284" s="2"/>
    </row>
    <row r="6285" spans="12:15">
      <c r="L6285" s="2"/>
      <c r="N6285" s="2"/>
      <c r="O6285" s="2"/>
    </row>
    <row r="6286" spans="12:15">
      <c r="L6286" s="2"/>
      <c r="N6286" s="2"/>
      <c r="O6286" s="2"/>
    </row>
    <row r="6287" spans="12:15">
      <c r="L6287" s="2"/>
      <c r="N6287" s="2"/>
      <c r="O6287" s="2"/>
    </row>
    <row r="6288" spans="12:15">
      <c r="L6288" s="2"/>
      <c r="N6288" s="2"/>
      <c r="O6288" s="2"/>
    </row>
    <row r="6289" spans="12:15">
      <c r="L6289" s="2"/>
      <c r="N6289" s="2"/>
      <c r="O6289" s="2"/>
    </row>
    <row r="6290" spans="12:15">
      <c r="L6290" s="2"/>
      <c r="N6290" s="2"/>
      <c r="O6290" s="2"/>
    </row>
    <row r="6291" spans="12:15">
      <c r="L6291" s="2"/>
      <c r="N6291" s="2"/>
      <c r="O6291" s="2"/>
    </row>
    <row r="6292" spans="12:15">
      <c r="L6292" s="2"/>
      <c r="N6292" s="2"/>
      <c r="O6292" s="2"/>
    </row>
    <row r="6293" spans="12:15">
      <c r="L6293" s="2"/>
      <c r="N6293" s="2"/>
      <c r="O6293" s="2"/>
    </row>
    <row r="6294" spans="12:15">
      <c r="L6294" s="2"/>
      <c r="N6294" s="2"/>
      <c r="O6294" s="2"/>
    </row>
    <row r="6295" spans="12:15">
      <c r="L6295" s="2"/>
      <c r="N6295" s="2"/>
      <c r="O6295" s="2"/>
    </row>
    <row r="6296" spans="12:15">
      <c r="L6296" s="2"/>
      <c r="N6296" s="2"/>
      <c r="O6296" s="2"/>
    </row>
    <row r="6297" spans="12:15">
      <c r="L6297" s="2"/>
      <c r="N6297" s="2"/>
      <c r="O6297" s="2"/>
    </row>
    <row r="6298" spans="12:15">
      <c r="L6298" s="2"/>
      <c r="N6298" s="2"/>
      <c r="O6298" s="2"/>
    </row>
    <row r="6299" spans="12:15">
      <c r="L6299" s="2"/>
      <c r="N6299" s="2"/>
      <c r="O6299" s="2"/>
    </row>
    <row r="6300" spans="12:15">
      <c r="L6300" s="2"/>
      <c r="N6300" s="2"/>
      <c r="O6300" s="2"/>
    </row>
    <row r="6301" spans="12:15">
      <c r="L6301" s="2"/>
      <c r="N6301" s="2"/>
      <c r="O6301" s="2"/>
    </row>
    <row r="6302" spans="12:15">
      <c r="L6302" s="2"/>
      <c r="N6302" s="2"/>
      <c r="O6302" s="2"/>
    </row>
    <row r="6303" spans="12:15">
      <c r="L6303" s="2"/>
      <c r="N6303" s="2"/>
      <c r="O6303" s="2"/>
    </row>
    <row r="6304" spans="12:15">
      <c r="L6304" s="2"/>
      <c r="N6304" s="2"/>
      <c r="O6304" s="2"/>
    </row>
    <row r="6305" spans="12:15">
      <c r="L6305" s="2"/>
      <c r="N6305" s="2"/>
      <c r="O6305" s="2"/>
    </row>
    <row r="6306" spans="12:15">
      <c r="L6306" s="2"/>
      <c r="N6306" s="2"/>
      <c r="O6306" s="2"/>
    </row>
    <row r="6307" spans="12:15">
      <c r="L6307" s="2"/>
      <c r="N6307" s="2"/>
      <c r="O6307" s="2"/>
    </row>
    <row r="6308" spans="12:15">
      <c r="L6308" s="2"/>
      <c r="N6308" s="2"/>
      <c r="O6308" s="2"/>
    </row>
    <row r="6309" spans="12:15">
      <c r="L6309" s="2"/>
      <c r="N6309" s="2"/>
      <c r="O6309" s="2"/>
    </row>
    <row r="6310" spans="12:15">
      <c r="L6310" s="2"/>
      <c r="N6310" s="2"/>
      <c r="O6310" s="2"/>
    </row>
    <row r="6311" spans="12:15">
      <c r="L6311" s="2"/>
      <c r="N6311" s="2"/>
      <c r="O6311" s="2"/>
    </row>
    <row r="6312" spans="12:15">
      <c r="L6312" s="2"/>
      <c r="N6312" s="2"/>
      <c r="O6312" s="2"/>
    </row>
    <row r="6313" spans="12:15">
      <c r="L6313" s="2"/>
      <c r="N6313" s="2"/>
      <c r="O6313" s="2"/>
    </row>
    <row r="6314" spans="12:15">
      <c r="L6314" s="2"/>
      <c r="N6314" s="2"/>
      <c r="O6314" s="2"/>
    </row>
    <row r="6315" spans="12:15">
      <c r="L6315" s="2"/>
      <c r="N6315" s="2"/>
      <c r="O6315" s="2"/>
    </row>
    <row r="6316" spans="12:15">
      <c r="L6316" s="2"/>
      <c r="N6316" s="2"/>
      <c r="O6316" s="2"/>
    </row>
    <row r="6317" spans="12:15">
      <c r="L6317" s="2"/>
      <c r="N6317" s="2"/>
      <c r="O6317" s="2"/>
    </row>
    <row r="6318" spans="12:15">
      <c r="L6318" s="2"/>
      <c r="N6318" s="2"/>
      <c r="O6318" s="2"/>
    </row>
    <row r="6319" spans="12:15">
      <c r="L6319" s="2"/>
      <c r="N6319" s="2"/>
      <c r="O6319" s="2"/>
    </row>
    <row r="6320" spans="12:15">
      <c r="L6320" s="2"/>
      <c r="N6320" s="2"/>
      <c r="O6320" s="2"/>
    </row>
    <row r="6321" spans="12:15">
      <c r="L6321" s="2"/>
      <c r="N6321" s="2"/>
      <c r="O6321" s="2"/>
    </row>
    <row r="6322" spans="12:15">
      <c r="L6322" s="2"/>
      <c r="N6322" s="2"/>
      <c r="O6322" s="2"/>
    </row>
    <row r="6323" spans="12:15">
      <c r="L6323" s="2"/>
      <c r="N6323" s="2"/>
      <c r="O6323" s="2"/>
    </row>
    <row r="6324" spans="12:15">
      <c r="L6324" s="2"/>
      <c r="N6324" s="2"/>
      <c r="O6324" s="2"/>
    </row>
    <row r="6325" spans="12:15">
      <c r="L6325" s="2"/>
      <c r="N6325" s="2"/>
      <c r="O6325" s="2"/>
    </row>
    <row r="6326" spans="12:15">
      <c r="L6326" s="2"/>
      <c r="N6326" s="2"/>
      <c r="O6326" s="2"/>
    </row>
    <row r="6327" spans="12:15">
      <c r="L6327" s="2"/>
      <c r="N6327" s="2"/>
      <c r="O6327" s="2"/>
    </row>
    <row r="6328" spans="12:15">
      <c r="L6328" s="2"/>
      <c r="N6328" s="2"/>
      <c r="O6328" s="2"/>
    </row>
    <row r="6329" spans="12:15">
      <c r="L6329" s="2"/>
      <c r="N6329" s="2"/>
      <c r="O6329" s="2"/>
    </row>
    <row r="6330" spans="12:15">
      <c r="L6330" s="2"/>
      <c r="N6330" s="2"/>
      <c r="O6330" s="2"/>
    </row>
    <row r="6331" spans="12:15">
      <c r="L6331" s="2"/>
      <c r="N6331" s="2"/>
      <c r="O6331" s="2"/>
    </row>
    <row r="6332" spans="12:15">
      <c r="L6332" s="2"/>
      <c r="N6332" s="2"/>
      <c r="O6332" s="2"/>
    </row>
    <row r="6333" spans="12:15">
      <c r="L6333" s="2"/>
      <c r="N6333" s="2"/>
      <c r="O6333" s="2"/>
    </row>
    <row r="6334" spans="12:15">
      <c r="L6334" s="2"/>
      <c r="N6334" s="2"/>
      <c r="O6334" s="2"/>
    </row>
    <row r="6335" spans="12:15">
      <c r="L6335" s="2"/>
      <c r="N6335" s="2"/>
      <c r="O6335" s="2"/>
    </row>
    <row r="6336" spans="12:15">
      <c r="L6336" s="2"/>
      <c r="N6336" s="2"/>
      <c r="O6336" s="2"/>
    </row>
    <row r="6337" spans="12:15">
      <c r="L6337" s="2"/>
      <c r="N6337" s="2"/>
      <c r="O6337" s="2"/>
    </row>
    <row r="6338" spans="12:15">
      <c r="L6338" s="2"/>
      <c r="N6338" s="2"/>
      <c r="O6338" s="2"/>
    </row>
    <row r="6339" spans="12:15">
      <c r="L6339" s="2"/>
      <c r="N6339" s="2"/>
      <c r="O6339" s="2"/>
    </row>
    <row r="6340" spans="12:15">
      <c r="L6340" s="2"/>
      <c r="N6340" s="2"/>
      <c r="O6340" s="2"/>
    </row>
    <row r="6341" spans="12:15">
      <c r="L6341" s="2"/>
      <c r="N6341" s="2"/>
      <c r="O6341" s="2"/>
    </row>
    <row r="6342" spans="12:15">
      <c r="L6342" s="2"/>
      <c r="N6342" s="2"/>
      <c r="O6342" s="2"/>
    </row>
    <row r="6343" spans="12:15">
      <c r="L6343" s="2"/>
      <c r="N6343" s="2"/>
      <c r="O6343" s="2"/>
    </row>
    <row r="6344" spans="12:15">
      <c r="L6344" s="2"/>
      <c r="N6344" s="2"/>
      <c r="O6344" s="2"/>
    </row>
    <row r="6345" spans="12:15">
      <c r="L6345" s="2"/>
      <c r="N6345" s="2"/>
      <c r="O6345" s="2"/>
    </row>
    <row r="6346" spans="12:15">
      <c r="L6346" s="2"/>
      <c r="N6346" s="2"/>
      <c r="O6346" s="2"/>
    </row>
    <row r="6347" spans="12:15">
      <c r="L6347" s="2"/>
      <c r="N6347" s="2"/>
      <c r="O6347" s="2"/>
    </row>
    <row r="6348" spans="12:15">
      <c r="L6348" s="2"/>
      <c r="N6348" s="2"/>
      <c r="O6348" s="2"/>
    </row>
    <row r="6349" spans="12:15">
      <c r="L6349" s="2"/>
      <c r="N6349" s="2"/>
      <c r="O6349" s="2"/>
    </row>
    <row r="6350" spans="12:15">
      <c r="L6350" s="2"/>
      <c r="N6350" s="2"/>
      <c r="O6350" s="2"/>
    </row>
    <row r="6351" spans="12:15">
      <c r="L6351" s="2"/>
      <c r="N6351" s="2"/>
      <c r="O6351" s="2"/>
    </row>
    <row r="6352" spans="12:15">
      <c r="L6352" s="2"/>
      <c r="N6352" s="2"/>
      <c r="O6352" s="2"/>
    </row>
    <row r="6353" spans="12:15">
      <c r="L6353" s="2"/>
      <c r="N6353" s="2"/>
      <c r="O6353" s="2"/>
    </row>
    <row r="6354" spans="12:15">
      <c r="L6354" s="2"/>
      <c r="N6354" s="2"/>
      <c r="O6354" s="2"/>
    </row>
    <row r="6355" spans="12:15">
      <c r="L6355" s="2"/>
      <c r="N6355" s="2"/>
      <c r="O6355" s="2"/>
    </row>
    <row r="6356" spans="12:15">
      <c r="L6356" s="2"/>
      <c r="N6356" s="2"/>
      <c r="O6356" s="2"/>
    </row>
    <row r="6357" spans="12:15">
      <c r="L6357" s="2"/>
      <c r="N6357" s="2"/>
      <c r="O6357" s="2"/>
    </row>
    <row r="6358" spans="12:15">
      <c r="L6358" s="2"/>
      <c r="N6358" s="2"/>
      <c r="O6358" s="2"/>
    </row>
    <row r="6359" spans="12:15">
      <c r="L6359" s="2"/>
      <c r="N6359" s="2"/>
      <c r="O6359" s="2"/>
    </row>
    <row r="6360" spans="12:15">
      <c r="L6360" s="2"/>
      <c r="N6360" s="2"/>
      <c r="O6360" s="2"/>
    </row>
    <row r="6361" spans="12:15">
      <c r="L6361" s="2"/>
      <c r="N6361" s="2"/>
      <c r="O6361" s="2"/>
    </row>
    <row r="6362" spans="12:15">
      <c r="L6362" s="2"/>
      <c r="N6362" s="2"/>
      <c r="O6362" s="2"/>
    </row>
    <row r="6363" spans="12:15">
      <c r="L6363" s="2"/>
      <c r="N6363" s="2"/>
      <c r="O6363" s="2"/>
    </row>
    <row r="6364" spans="12:15">
      <c r="L6364" s="2"/>
      <c r="N6364" s="2"/>
      <c r="O6364" s="2"/>
    </row>
    <row r="6365" spans="12:15">
      <c r="L6365" s="2"/>
      <c r="N6365" s="2"/>
      <c r="O6365" s="2"/>
    </row>
    <row r="6366" spans="12:15">
      <c r="L6366" s="2"/>
      <c r="N6366" s="2"/>
      <c r="O6366" s="2"/>
    </row>
    <row r="6367" spans="12:15">
      <c r="L6367" s="2"/>
      <c r="N6367" s="2"/>
      <c r="O6367" s="2"/>
    </row>
    <row r="6368" spans="12:15">
      <c r="L6368" s="2"/>
      <c r="N6368" s="2"/>
      <c r="O6368" s="2"/>
    </row>
    <row r="6369" spans="12:15">
      <c r="L6369" s="2"/>
      <c r="N6369" s="2"/>
      <c r="O6369" s="2"/>
    </row>
    <row r="6370" spans="12:15">
      <c r="L6370" s="2"/>
      <c r="N6370" s="2"/>
      <c r="O6370" s="2"/>
    </row>
    <row r="6371" spans="12:15">
      <c r="L6371" s="2"/>
      <c r="N6371" s="2"/>
      <c r="O6371" s="2"/>
    </row>
    <row r="6372" spans="12:15">
      <c r="L6372" s="2"/>
      <c r="N6372" s="2"/>
      <c r="O6372" s="2"/>
    </row>
    <row r="6373" spans="12:15">
      <c r="L6373" s="2"/>
      <c r="N6373" s="2"/>
      <c r="O6373" s="2"/>
    </row>
    <row r="6374" spans="12:15">
      <c r="L6374" s="2"/>
      <c r="N6374" s="2"/>
      <c r="O6374" s="2"/>
    </row>
    <row r="6375" spans="12:15">
      <c r="L6375" s="2"/>
      <c r="N6375" s="2"/>
      <c r="O6375" s="2"/>
    </row>
    <row r="6376" spans="12:15">
      <c r="L6376" s="2"/>
      <c r="N6376" s="2"/>
      <c r="O6376" s="2"/>
    </row>
    <row r="6377" spans="12:15">
      <c r="L6377" s="2"/>
      <c r="N6377" s="2"/>
      <c r="O6377" s="2"/>
    </row>
    <row r="6378" spans="12:15">
      <c r="L6378" s="2"/>
      <c r="N6378" s="2"/>
      <c r="O6378" s="2"/>
    </row>
    <row r="6379" spans="12:15">
      <c r="L6379" s="2"/>
      <c r="N6379" s="2"/>
      <c r="O6379" s="2"/>
    </row>
    <row r="6380" spans="12:15">
      <c r="L6380" s="2"/>
      <c r="N6380" s="2"/>
      <c r="O6380" s="2"/>
    </row>
    <row r="6381" spans="12:15">
      <c r="L6381" s="2"/>
      <c r="N6381" s="2"/>
      <c r="O6381" s="2"/>
    </row>
    <row r="6382" spans="12:15">
      <c r="L6382" s="2"/>
      <c r="N6382" s="2"/>
      <c r="O6382" s="2"/>
    </row>
    <row r="6383" spans="12:15">
      <c r="L6383" s="2"/>
      <c r="N6383" s="2"/>
      <c r="O6383" s="2"/>
    </row>
    <row r="6384" spans="12:15">
      <c r="L6384" s="2"/>
      <c r="N6384" s="2"/>
      <c r="O6384" s="2"/>
    </row>
    <row r="6385" spans="12:15">
      <c r="L6385" s="2"/>
      <c r="N6385" s="2"/>
      <c r="O6385" s="2"/>
    </row>
    <row r="6386" spans="12:15">
      <c r="L6386" s="2"/>
      <c r="N6386" s="2"/>
      <c r="O6386" s="2"/>
    </row>
    <row r="6387" spans="12:15">
      <c r="L6387" s="2"/>
      <c r="N6387" s="2"/>
      <c r="O6387" s="2"/>
    </row>
    <row r="6388" spans="12:15">
      <c r="L6388" s="2"/>
      <c r="N6388" s="2"/>
      <c r="O6388" s="2"/>
    </row>
    <row r="6389" spans="12:15">
      <c r="L6389" s="2"/>
      <c r="N6389" s="2"/>
      <c r="O6389" s="2"/>
    </row>
    <row r="6390" spans="12:15">
      <c r="L6390" s="2"/>
      <c r="N6390" s="2"/>
      <c r="O6390" s="2"/>
    </row>
    <row r="6391" spans="12:15">
      <c r="L6391" s="2"/>
      <c r="N6391" s="2"/>
      <c r="O6391" s="2"/>
    </row>
    <row r="6392" spans="12:15">
      <c r="L6392" s="2"/>
      <c r="N6392" s="2"/>
      <c r="O6392" s="2"/>
    </row>
    <row r="6393" spans="12:15">
      <c r="L6393" s="2"/>
      <c r="N6393" s="2"/>
      <c r="O6393" s="2"/>
    </row>
    <row r="6394" spans="12:15">
      <c r="L6394" s="2"/>
      <c r="N6394" s="2"/>
      <c r="O6394" s="2"/>
    </row>
    <row r="6395" spans="12:15">
      <c r="L6395" s="2"/>
      <c r="N6395" s="2"/>
      <c r="O6395" s="2"/>
    </row>
    <row r="6396" spans="12:15">
      <c r="L6396" s="2"/>
      <c r="N6396" s="2"/>
      <c r="O6396" s="2"/>
    </row>
    <row r="6397" spans="12:15">
      <c r="L6397" s="2"/>
      <c r="N6397" s="2"/>
      <c r="O6397" s="2"/>
    </row>
    <row r="6398" spans="12:15">
      <c r="L6398" s="2"/>
      <c r="N6398" s="2"/>
      <c r="O6398" s="2"/>
    </row>
    <row r="6399" spans="12:15">
      <c r="L6399" s="2"/>
      <c r="N6399" s="2"/>
      <c r="O6399" s="2"/>
    </row>
    <row r="6400" spans="12:15">
      <c r="L6400" s="2"/>
      <c r="N6400" s="2"/>
      <c r="O6400" s="2"/>
    </row>
    <row r="6401" spans="12:15">
      <c r="L6401" s="2"/>
      <c r="N6401" s="2"/>
      <c r="O6401" s="2"/>
    </row>
    <row r="6402" spans="12:15">
      <c r="L6402" s="2"/>
      <c r="N6402" s="2"/>
      <c r="O6402" s="2"/>
    </row>
    <row r="6403" spans="12:15">
      <c r="L6403" s="2"/>
      <c r="N6403" s="2"/>
      <c r="O6403" s="2"/>
    </row>
    <row r="6404" spans="12:15">
      <c r="L6404" s="2"/>
      <c r="N6404" s="2"/>
      <c r="O6404" s="2"/>
    </row>
    <row r="6405" spans="12:15">
      <c r="L6405" s="2"/>
      <c r="N6405" s="2"/>
      <c r="O6405" s="2"/>
    </row>
    <row r="6406" spans="12:15">
      <c r="L6406" s="2"/>
      <c r="N6406" s="2"/>
      <c r="O6406" s="2"/>
    </row>
    <row r="6407" spans="12:15">
      <c r="L6407" s="2"/>
      <c r="N6407" s="2"/>
      <c r="O6407" s="2"/>
    </row>
    <row r="6408" spans="12:15">
      <c r="L6408" s="2"/>
      <c r="N6408" s="2"/>
      <c r="O6408" s="2"/>
    </row>
    <row r="6409" spans="12:15">
      <c r="L6409" s="2"/>
      <c r="N6409" s="2"/>
      <c r="O6409" s="2"/>
    </row>
    <row r="6410" spans="12:15">
      <c r="L6410" s="2"/>
      <c r="N6410" s="2"/>
      <c r="O6410" s="2"/>
    </row>
    <row r="6411" spans="12:15">
      <c r="L6411" s="2"/>
      <c r="N6411" s="2"/>
      <c r="O6411" s="2"/>
    </row>
    <row r="6412" spans="12:15">
      <c r="L6412" s="2"/>
      <c r="N6412" s="2"/>
      <c r="O6412" s="2"/>
    </row>
    <row r="6413" spans="12:15">
      <c r="L6413" s="2"/>
      <c r="N6413" s="2"/>
      <c r="O6413" s="2"/>
    </row>
    <row r="6414" spans="12:15">
      <c r="L6414" s="2"/>
      <c r="N6414" s="2"/>
      <c r="O6414" s="2"/>
    </row>
    <row r="6415" spans="12:15">
      <c r="L6415" s="2"/>
      <c r="N6415" s="2"/>
      <c r="O6415" s="2"/>
    </row>
    <row r="6416" spans="12:15">
      <c r="L6416" s="2"/>
      <c r="N6416" s="2"/>
      <c r="O6416" s="2"/>
    </row>
    <row r="6417" spans="12:15">
      <c r="L6417" s="2"/>
      <c r="N6417" s="2"/>
      <c r="O6417" s="2"/>
    </row>
    <row r="6418" spans="12:15">
      <c r="L6418" s="2"/>
      <c r="N6418" s="2"/>
      <c r="O6418" s="2"/>
    </row>
    <row r="6419" spans="12:15">
      <c r="L6419" s="2"/>
      <c r="N6419" s="2"/>
      <c r="O6419" s="2"/>
    </row>
    <row r="6420" spans="12:15">
      <c r="L6420" s="2"/>
      <c r="N6420" s="2"/>
      <c r="O6420" s="2"/>
    </row>
    <row r="6421" spans="12:15">
      <c r="L6421" s="2"/>
      <c r="N6421" s="2"/>
      <c r="O6421" s="2"/>
    </row>
    <row r="6422" spans="12:15">
      <c r="L6422" s="2"/>
      <c r="N6422" s="2"/>
      <c r="O6422" s="2"/>
    </row>
    <row r="6423" spans="12:15">
      <c r="L6423" s="2"/>
      <c r="N6423" s="2"/>
      <c r="O6423" s="2"/>
    </row>
    <row r="6424" spans="12:15">
      <c r="L6424" s="2"/>
      <c r="N6424" s="2"/>
      <c r="O6424" s="2"/>
    </row>
    <row r="6425" spans="12:15">
      <c r="L6425" s="2"/>
      <c r="N6425" s="2"/>
      <c r="O6425" s="2"/>
    </row>
    <row r="6426" spans="12:15">
      <c r="L6426" s="2"/>
      <c r="N6426" s="2"/>
      <c r="O6426" s="2"/>
    </row>
    <row r="6427" spans="12:15">
      <c r="L6427" s="2"/>
      <c r="N6427" s="2"/>
      <c r="O6427" s="2"/>
    </row>
    <row r="6428" spans="12:15">
      <c r="L6428" s="2"/>
      <c r="N6428" s="2"/>
      <c r="O6428" s="2"/>
    </row>
    <row r="6429" spans="12:15">
      <c r="L6429" s="2"/>
      <c r="N6429" s="2"/>
      <c r="O6429" s="2"/>
    </row>
    <row r="6430" spans="12:15">
      <c r="L6430" s="2"/>
      <c r="N6430" s="2"/>
      <c r="O6430" s="2"/>
    </row>
    <row r="6431" spans="12:15">
      <c r="L6431" s="2"/>
      <c r="N6431" s="2"/>
      <c r="O6431" s="2"/>
    </row>
    <row r="6432" spans="12:15">
      <c r="L6432" s="2"/>
      <c r="N6432" s="2"/>
      <c r="O6432" s="2"/>
    </row>
    <row r="6433" spans="12:15">
      <c r="L6433" s="2"/>
      <c r="N6433" s="2"/>
      <c r="O6433" s="2"/>
    </row>
    <row r="6434" spans="12:15">
      <c r="L6434" s="2"/>
      <c r="N6434" s="2"/>
      <c r="O6434" s="2"/>
    </row>
    <row r="6435" spans="12:15">
      <c r="L6435" s="2"/>
      <c r="N6435" s="2"/>
      <c r="O6435" s="2"/>
    </row>
    <row r="6436" spans="12:15">
      <c r="L6436" s="2"/>
      <c r="N6436" s="2"/>
      <c r="O6436" s="2"/>
    </row>
    <row r="6437" spans="12:15">
      <c r="L6437" s="2"/>
      <c r="N6437" s="2"/>
      <c r="O6437" s="2"/>
    </row>
    <row r="6438" spans="12:15">
      <c r="L6438" s="2"/>
      <c r="N6438" s="2"/>
      <c r="O6438" s="2"/>
    </row>
    <row r="6439" spans="12:15">
      <c r="L6439" s="2"/>
      <c r="N6439" s="2"/>
      <c r="O6439" s="2"/>
    </row>
    <row r="6440" spans="12:15">
      <c r="L6440" s="2"/>
      <c r="N6440" s="2"/>
      <c r="O6440" s="2"/>
    </row>
    <row r="6441" spans="12:15">
      <c r="L6441" s="2"/>
      <c r="N6441" s="2"/>
      <c r="O6441" s="2"/>
    </row>
    <row r="6442" spans="12:15">
      <c r="L6442" s="2"/>
      <c r="N6442" s="2"/>
      <c r="O6442" s="2"/>
    </row>
    <row r="6443" spans="12:15">
      <c r="L6443" s="2"/>
      <c r="N6443" s="2"/>
      <c r="O6443" s="2"/>
    </row>
    <row r="6444" spans="12:15">
      <c r="L6444" s="2"/>
      <c r="N6444" s="2"/>
      <c r="O6444" s="2"/>
    </row>
    <row r="6445" spans="12:15">
      <c r="L6445" s="2"/>
      <c r="N6445" s="2"/>
      <c r="O6445" s="2"/>
    </row>
    <row r="6446" spans="12:15">
      <c r="L6446" s="2"/>
      <c r="N6446" s="2"/>
      <c r="O6446" s="2"/>
    </row>
    <row r="6447" spans="12:15">
      <c r="L6447" s="2"/>
      <c r="N6447" s="2"/>
      <c r="O6447" s="2"/>
    </row>
    <row r="6448" spans="12:15">
      <c r="L6448" s="2"/>
      <c r="N6448" s="2"/>
      <c r="O6448" s="2"/>
    </row>
    <row r="6449" spans="12:15">
      <c r="L6449" s="2"/>
      <c r="N6449" s="2"/>
      <c r="O6449" s="2"/>
    </row>
    <row r="6450" spans="12:15">
      <c r="L6450" s="2"/>
      <c r="N6450" s="2"/>
      <c r="O6450" s="2"/>
    </row>
    <row r="6451" spans="12:15">
      <c r="L6451" s="2"/>
      <c r="N6451" s="2"/>
      <c r="O6451" s="2"/>
    </row>
    <row r="6452" spans="12:15">
      <c r="L6452" s="2"/>
      <c r="N6452" s="2"/>
      <c r="O6452" s="2"/>
    </row>
    <row r="6453" spans="12:15">
      <c r="L6453" s="2"/>
      <c r="N6453" s="2"/>
      <c r="O6453" s="2"/>
    </row>
    <row r="6454" spans="12:15">
      <c r="L6454" s="2"/>
      <c r="N6454" s="2"/>
      <c r="O6454" s="2"/>
    </row>
    <row r="6455" spans="12:15">
      <c r="L6455" s="2"/>
      <c r="N6455" s="2"/>
      <c r="O6455" s="2"/>
    </row>
    <row r="6456" spans="12:15">
      <c r="L6456" s="2"/>
      <c r="N6456" s="2"/>
      <c r="O6456" s="2"/>
    </row>
    <row r="6457" spans="12:15">
      <c r="L6457" s="2"/>
      <c r="N6457" s="2"/>
      <c r="O6457" s="2"/>
    </row>
    <row r="6458" spans="12:15">
      <c r="L6458" s="2"/>
      <c r="N6458" s="2"/>
      <c r="O6458" s="2"/>
    </row>
    <row r="6459" spans="12:15">
      <c r="L6459" s="2"/>
      <c r="N6459" s="2"/>
      <c r="O6459" s="2"/>
    </row>
    <row r="6460" spans="12:15">
      <c r="L6460" s="2"/>
      <c r="N6460" s="2"/>
      <c r="O6460" s="2"/>
    </row>
    <row r="6461" spans="12:15">
      <c r="L6461" s="2"/>
      <c r="N6461" s="2"/>
      <c r="O6461" s="2"/>
    </row>
    <row r="6462" spans="12:15">
      <c r="L6462" s="2"/>
      <c r="N6462" s="2"/>
      <c r="O6462" s="2"/>
    </row>
    <row r="6463" spans="12:15">
      <c r="L6463" s="2"/>
      <c r="N6463" s="2"/>
      <c r="O6463" s="2"/>
    </row>
    <row r="6464" spans="12:15">
      <c r="L6464" s="2"/>
      <c r="N6464" s="2"/>
      <c r="O6464" s="2"/>
    </row>
    <row r="6465" spans="12:15">
      <c r="L6465" s="2"/>
      <c r="N6465" s="2"/>
      <c r="O6465" s="2"/>
    </row>
    <row r="6466" spans="12:15">
      <c r="L6466" s="2"/>
      <c r="N6466" s="2"/>
      <c r="O6466" s="2"/>
    </row>
    <row r="6467" spans="12:15">
      <c r="L6467" s="2"/>
      <c r="N6467" s="2"/>
      <c r="O6467" s="2"/>
    </row>
    <row r="6468" spans="12:15">
      <c r="L6468" s="2"/>
      <c r="N6468" s="2"/>
      <c r="O6468" s="2"/>
    </row>
    <row r="6469" spans="12:15">
      <c r="L6469" s="2"/>
      <c r="N6469" s="2"/>
      <c r="O6469" s="2"/>
    </row>
    <row r="6470" spans="12:15">
      <c r="L6470" s="2"/>
      <c r="N6470" s="2"/>
      <c r="O6470" s="2"/>
    </row>
    <row r="6471" spans="12:15">
      <c r="L6471" s="2"/>
      <c r="N6471" s="2"/>
      <c r="O6471" s="2"/>
    </row>
    <row r="6472" spans="12:15">
      <c r="L6472" s="2"/>
      <c r="N6472" s="2"/>
      <c r="O6472" s="2"/>
    </row>
    <row r="6473" spans="12:15">
      <c r="L6473" s="2"/>
      <c r="N6473" s="2"/>
      <c r="O6473" s="2"/>
    </row>
    <row r="6474" spans="12:15">
      <c r="L6474" s="2"/>
      <c r="N6474" s="2"/>
      <c r="O6474" s="2"/>
    </row>
    <row r="6475" spans="12:15">
      <c r="L6475" s="2"/>
      <c r="N6475" s="2"/>
      <c r="O6475" s="2"/>
    </row>
    <row r="6476" spans="12:15">
      <c r="L6476" s="2"/>
      <c r="N6476" s="2"/>
      <c r="O6476" s="2"/>
    </row>
    <row r="6477" spans="12:15">
      <c r="L6477" s="2"/>
      <c r="N6477" s="2"/>
      <c r="O6477" s="2"/>
    </row>
    <row r="6478" spans="12:15">
      <c r="L6478" s="2"/>
      <c r="N6478" s="2"/>
      <c r="O6478" s="2"/>
    </row>
    <row r="6479" spans="12:15">
      <c r="L6479" s="2"/>
      <c r="N6479" s="2"/>
      <c r="O6479" s="2"/>
    </row>
    <row r="6480" spans="12:15">
      <c r="L6480" s="2"/>
      <c r="N6480" s="2"/>
      <c r="O6480" s="2"/>
    </row>
    <row r="6481" spans="12:15">
      <c r="L6481" s="2"/>
      <c r="N6481" s="2"/>
      <c r="O6481" s="2"/>
    </row>
    <row r="6482" spans="12:15">
      <c r="L6482" s="2"/>
      <c r="N6482" s="2"/>
      <c r="O6482" s="2"/>
    </row>
    <row r="6483" spans="12:15">
      <c r="L6483" s="2"/>
      <c r="N6483" s="2"/>
      <c r="O6483" s="2"/>
    </row>
    <row r="6484" spans="12:15">
      <c r="L6484" s="2"/>
      <c r="N6484" s="2"/>
      <c r="O6484" s="2"/>
    </row>
    <row r="6485" spans="12:15">
      <c r="L6485" s="2"/>
      <c r="N6485" s="2"/>
      <c r="O6485" s="2"/>
    </row>
    <row r="6486" spans="12:15">
      <c r="L6486" s="2"/>
      <c r="N6486" s="2"/>
      <c r="O6486" s="2"/>
    </row>
    <row r="6487" spans="12:15">
      <c r="L6487" s="2"/>
      <c r="N6487" s="2"/>
      <c r="O6487" s="2"/>
    </row>
    <row r="6488" spans="12:15">
      <c r="L6488" s="2"/>
      <c r="N6488" s="2"/>
      <c r="O6488" s="2"/>
    </row>
    <row r="6489" spans="12:15">
      <c r="L6489" s="2"/>
      <c r="N6489" s="2"/>
      <c r="O6489" s="2"/>
    </row>
    <row r="6490" spans="12:15">
      <c r="L6490" s="2"/>
      <c r="N6490" s="2"/>
      <c r="O6490" s="2"/>
    </row>
    <row r="6491" spans="12:15">
      <c r="L6491" s="2"/>
      <c r="N6491" s="2"/>
      <c r="O6491" s="2"/>
    </row>
    <row r="6492" spans="12:15">
      <c r="L6492" s="2"/>
      <c r="N6492" s="2"/>
      <c r="O6492" s="2"/>
    </row>
    <row r="6493" spans="12:15">
      <c r="L6493" s="2"/>
      <c r="N6493" s="2"/>
      <c r="O6493" s="2"/>
    </row>
    <row r="6494" spans="12:15">
      <c r="L6494" s="2"/>
      <c r="N6494" s="2"/>
      <c r="O6494" s="2"/>
    </row>
    <row r="6495" spans="12:15">
      <c r="L6495" s="2"/>
      <c r="N6495" s="2"/>
      <c r="O6495" s="2"/>
    </row>
    <row r="6496" spans="12:15">
      <c r="L6496" s="2"/>
      <c r="N6496" s="2"/>
      <c r="O6496" s="2"/>
    </row>
    <row r="6497" spans="12:15">
      <c r="L6497" s="2"/>
      <c r="N6497" s="2"/>
      <c r="O6497" s="2"/>
    </row>
    <row r="6498" spans="12:15">
      <c r="L6498" s="2"/>
      <c r="N6498" s="2"/>
      <c r="O6498" s="2"/>
    </row>
    <row r="6499" spans="12:15">
      <c r="L6499" s="2"/>
      <c r="N6499" s="2"/>
      <c r="O6499" s="2"/>
    </row>
    <row r="6500" spans="12:15">
      <c r="L6500" s="2"/>
      <c r="N6500" s="2"/>
      <c r="O6500" s="2"/>
    </row>
    <row r="6501" spans="12:15">
      <c r="L6501" s="2"/>
      <c r="N6501" s="2"/>
      <c r="O6501" s="2"/>
    </row>
    <row r="6502" spans="12:15">
      <c r="L6502" s="2"/>
      <c r="N6502" s="2"/>
      <c r="O6502" s="2"/>
    </row>
    <row r="6503" spans="12:15">
      <c r="L6503" s="2"/>
      <c r="N6503" s="2"/>
      <c r="O6503" s="2"/>
    </row>
    <row r="6504" spans="12:15">
      <c r="L6504" s="2"/>
      <c r="N6504" s="2"/>
      <c r="O6504" s="2"/>
    </row>
    <row r="6505" spans="12:15">
      <c r="L6505" s="2"/>
      <c r="N6505" s="2"/>
      <c r="O6505" s="2"/>
    </row>
    <row r="6506" spans="12:15">
      <c r="L6506" s="2"/>
      <c r="N6506" s="2"/>
      <c r="O6506" s="2"/>
    </row>
    <row r="6507" spans="12:15">
      <c r="L6507" s="2"/>
      <c r="N6507" s="2"/>
      <c r="O6507" s="2"/>
    </row>
    <row r="6508" spans="12:15">
      <c r="L6508" s="2"/>
      <c r="N6508" s="2"/>
      <c r="O6508" s="2"/>
    </row>
    <row r="6509" spans="12:15">
      <c r="L6509" s="2"/>
      <c r="N6509" s="2"/>
      <c r="O6509" s="2"/>
    </row>
    <row r="6510" spans="12:15">
      <c r="L6510" s="2"/>
      <c r="N6510" s="2"/>
      <c r="O6510" s="2"/>
    </row>
    <row r="6511" spans="12:15">
      <c r="L6511" s="2"/>
      <c r="N6511" s="2"/>
      <c r="O6511" s="2"/>
    </row>
    <row r="6512" spans="12:15">
      <c r="L6512" s="2"/>
      <c r="N6512" s="2"/>
      <c r="O6512" s="2"/>
    </row>
    <row r="6513" spans="12:15">
      <c r="L6513" s="2"/>
      <c r="N6513" s="2"/>
      <c r="O6513" s="2"/>
    </row>
    <row r="6514" spans="12:15">
      <c r="L6514" s="2"/>
      <c r="N6514" s="2"/>
      <c r="O6514" s="2"/>
    </row>
    <row r="6515" spans="12:15">
      <c r="L6515" s="2"/>
      <c r="N6515" s="2"/>
      <c r="O6515" s="2"/>
    </row>
    <row r="6516" spans="12:15">
      <c r="L6516" s="2"/>
      <c r="N6516" s="2"/>
      <c r="O6516" s="2"/>
    </row>
    <row r="6517" spans="12:15">
      <c r="L6517" s="2"/>
      <c r="N6517" s="2"/>
      <c r="O6517" s="2"/>
    </row>
    <row r="6518" spans="12:15">
      <c r="L6518" s="2"/>
      <c r="N6518" s="2"/>
      <c r="O6518" s="2"/>
    </row>
    <row r="6519" spans="12:15">
      <c r="L6519" s="2"/>
      <c r="N6519" s="2"/>
      <c r="O6519" s="2"/>
    </row>
    <row r="6520" spans="12:15">
      <c r="L6520" s="2"/>
      <c r="N6520" s="2"/>
      <c r="O6520" s="2"/>
    </row>
    <row r="6521" spans="12:15">
      <c r="L6521" s="2"/>
      <c r="N6521" s="2"/>
      <c r="O6521" s="2"/>
    </row>
    <row r="6522" spans="12:15">
      <c r="L6522" s="2"/>
      <c r="N6522" s="2"/>
      <c r="O6522" s="2"/>
    </row>
    <row r="6523" spans="12:15">
      <c r="L6523" s="2"/>
      <c r="N6523" s="2"/>
      <c r="O6523" s="2"/>
    </row>
    <row r="6524" spans="12:15">
      <c r="L6524" s="2"/>
      <c r="N6524" s="2"/>
      <c r="O6524" s="2"/>
    </row>
    <row r="6525" spans="12:15">
      <c r="L6525" s="2"/>
      <c r="N6525" s="2"/>
      <c r="O6525" s="2"/>
    </row>
    <row r="6526" spans="12:15">
      <c r="L6526" s="2"/>
      <c r="N6526" s="2"/>
      <c r="O6526" s="2"/>
    </row>
    <row r="6527" spans="12:15">
      <c r="L6527" s="2"/>
      <c r="N6527" s="2"/>
      <c r="O6527" s="2"/>
    </row>
    <row r="6528" spans="12:15">
      <c r="L6528" s="2"/>
      <c r="N6528" s="2"/>
      <c r="O6528" s="2"/>
    </row>
    <row r="6529" spans="12:15">
      <c r="L6529" s="2"/>
      <c r="N6529" s="2"/>
      <c r="O6529" s="2"/>
    </row>
    <row r="6530" spans="12:15">
      <c r="L6530" s="2"/>
      <c r="N6530" s="2"/>
      <c r="O6530" s="2"/>
    </row>
    <row r="6531" spans="12:15">
      <c r="L6531" s="2"/>
      <c r="N6531" s="2"/>
      <c r="O6531" s="2"/>
    </row>
    <row r="6532" spans="12:15">
      <c r="L6532" s="2"/>
      <c r="N6532" s="2"/>
      <c r="O6532" s="2"/>
    </row>
    <row r="6533" spans="12:15">
      <c r="L6533" s="2"/>
      <c r="N6533" s="2"/>
      <c r="O6533" s="2"/>
    </row>
    <row r="6534" spans="12:15">
      <c r="L6534" s="2"/>
      <c r="N6534" s="2"/>
      <c r="O6534" s="2"/>
    </row>
    <row r="6535" spans="12:15">
      <c r="L6535" s="2"/>
      <c r="N6535" s="2"/>
      <c r="O6535" s="2"/>
    </row>
    <row r="6536" spans="12:15">
      <c r="L6536" s="2"/>
      <c r="N6536" s="2"/>
      <c r="O6536" s="2"/>
    </row>
    <row r="6537" spans="12:15">
      <c r="L6537" s="2"/>
      <c r="N6537" s="2"/>
      <c r="O6537" s="2"/>
    </row>
    <row r="6538" spans="12:15">
      <c r="L6538" s="2"/>
      <c r="N6538" s="2"/>
      <c r="O6538" s="2"/>
    </row>
    <row r="6539" spans="12:15">
      <c r="L6539" s="2"/>
      <c r="N6539" s="2"/>
      <c r="O6539" s="2"/>
    </row>
    <row r="6540" spans="12:15">
      <c r="L6540" s="2"/>
      <c r="N6540" s="2"/>
      <c r="O6540" s="2"/>
    </row>
    <row r="6541" spans="12:15">
      <c r="L6541" s="2"/>
      <c r="N6541" s="2"/>
      <c r="O6541" s="2"/>
    </row>
    <row r="6542" spans="12:15">
      <c r="L6542" s="2"/>
      <c r="N6542" s="2"/>
      <c r="O6542" s="2"/>
    </row>
    <row r="6543" spans="12:15">
      <c r="L6543" s="2"/>
      <c r="N6543" s="2"/>
      <c r="O6543" s="2"/>
    </row>
    <row r="6544" spans="12:15">
      <c r="L6544" s="2"/>
      <c r="N6544" s="2"/>
      <c r="O6544" s="2"/>
    </row>
    <row r="6545" spans="12:15">
      <c r="L6545" s="2"/>
      <c r="N6545" s="2"/>
      <c r="O6545" s="2"/>
    </row>
    <row r="6546" spans="12:15">
      <c r="L6546" s="2"/>
      <c r="N6546" s="2"/>
      <c r="O6546" s="2"/>
    </row>
    <row r="6547" spans="12:15">
      <c r="L6547" s="2"/>
      <c r="N6547" s="2"/>
      <c r="O6547" s="2"/>
    </row>
    <row r="6548" spans="12:15">
      <c r="L6548" s="2"/>
      <c r="N6548" s="2"/>
      <c r="O6548" s="2"/>
    </row>
    <row r="6549" spans="12:15">
      <c r="L6549" s="2"/>
      <c r="N6549" s="2"/>
      <c r="O6549" s="2"/>
    </row>
    <row r="6550" spans="12:15">
      <c r="L6550" s="2"/>
      <c r="N6550" s="2"/>
      <c r="O6550" s="2"/>
    </row>
    <row r="6551" spans="12:15">
      <c r="L6551" s="2"/>
      <c r="N6551" s="2"/>
      <c r="O6551" s="2"/>
    </row>
    <row r="6552" spans="12:15">
      <c r="L6552" s="2"/>
      <c r="N6552" s="2"/>
      <c r="O6552" s="2"/>
    </row>
    <row r="6553" spans="12:15">
      <c r="L6553" s="2"/>
      <c r="N6553" s="2"/>
      <c r="O6553" s="2"/>
    </row>
    <row r="6554" spans="12:15">
      <c r="L6554" s="2"/>
      <c r="N6554" s="2"/>
      <c r="O6554" s="2"/>
    </row>
    <row r="6555" spans="12:15">
      <c r="L6555" s="2"/>
      <c r="N6555" s="2"/>
      <c r="O6555" s="2"/>
    </row>
    <row r="6556" spans="12:15">
      <c r="L6556" s="2"/>
      <c r="N6556" s="2"/>
      <c r="O6556" s="2"/>
    </row>
    <row r="6557" spans="12:15">
      <c r="L6557" s="2"/>
      <c r="N6557" s="2"/>
      <c r="O6557" s="2"/>
    </row>
    <row r="6558" spans="12:15">
      <c r="L6558" s="2"/>
      <c r="N6558" s="2"/>
      <c r="O6558" s="2"/>
    </row>
    <row r="6559" spans="12:15">
      <c r="L6559" s="2"/>
      <c r="N6559" s="2"/>
      <c r="O6559" s="2"/>
    </row>
    <row r="6560" spans="12:15">
      <c r="L6560" s="2"/>
      <c r="N6560" s="2"/>
      <c r="O6560" s="2"/>
    </row>
    <row r="6561" spans="12:15">
      <c r="L6561" s="2"/>
      <c r="N6561" s="2"/>
      <c r="O6561" s="2"/>
    </row>
    <row r="6562" spans="12:15">
      <c r="L6562" s="2"/>
      <c r="N6562" s="2"/>
      <c r="O6562" s="2"/>
    </row>
    <row r="6563" spans="12:15">
      <c r="L6563" s="2"/>
      <c r="N6563" s="2"/>
      <c r="O6563" s="2"/>
    </row>
    <row r="6564" spans="12:15">
      <c r="L6564" s="2"/>
      <c r="N6564" s="2"/>
      <c r="O6564" s="2"/>
    </row>
    <row r="6565" spans="12:15">
      <c r="L6565" s="2"/>
      <c r="N6565" s="2"/>
      <c r="O6565" s="2"/>
    </row>
    <row r="6566" spans="12:15">
      <c r="L6566" s="2"/>
      <c r="N6566" s="2"/>
      <c r="O6566" s="2"/>
    </row>
    <row r="6567" spans="12:15">
      <c r="L6567" s="2"/>
      <c r="N6567" s="2"/>
      <c r="O6567" s="2"/>
    </row>
    <row r="6568" spans="12:15">
      <c r="L6568" s="2"/>
      <c r="N6568" s="2"/>
      <c r="O6568" s="2"/>
    </row>
    <row r="6569" spans="12:15">
      <c r="L6569" s="2"/>
      <c r="N6569" s="2"/>
      <c r="O6569" s="2"/>
    </row>
    <row r="6570" spans="12:15">
      <c r="L6570" s="2"/>
      <c r="N6570" s="2"/>
      <c r="O6570" s="2"/>
    </row>
    <row r="6571" spans="12:15">
      <c r="L6571" s="2"/>
      <c r="N6571" s="2"/>
      <c r="O6571" s="2"/>
    </row>
    <row r="6572" spans="12:15">
      <c r="L6572" s="2"/>
      <c r="N6572" s="2"/>
      <c r="O6572" s="2"/>
    </row>
    <row r="6573" spans="12:15">
      <c r="L6573" s="2"/>
      <c r="N6573" s="2"/>
      <c r="O6573" s="2"/>
    </row>
    <row r="6574" spans="12:15">
      <c r="L6574" s="2"/>
      <c r="N6574" s="2"/>
      <c r="O6574" s="2"/>
    </row>
    <row r="6575" spans="12:15">
      <c r="L6575" s="2"/>
      <c r="N6575" s="2"/>
      <c r="O6575" s="2"/>
    </row>
    <row r="6576" spans="12:15">
      <c r="L6576" s="2"/>
      <c r="N6576" s="2"/>
      <c r="O6576" s="2"/>
    </row>
    <row r="6577" spans="12:15">
      <c r="L6577" s="2"/>
      <c r="N6577" s="2"/>
      <c r="O6577" s="2"/>
    </row>
    <row r="6578" spans="12:15">
      <c r="L6578" s="2"/>
      <c r="N6578" s="2"/>
      <c r="O6578" s="2"/>
    </row>
    <row r="6579" spans="12:15">
      <c r="L6579" s="2"/>
      <c r="N6579" s="2"/>
      <c r="O6579" s="2"/>
    </row>
    <row r="6580" spans="12:15">
      <c r="L6580" s="2"/>
      <c r="N6580" s="2"/>
      <c r="O6580" s="2"/>
    </row>
    <row r="6581" spans="12:15">
      <c r="L6581" s="2"/>
      <c r="N6581" s="2"/>
      <c r="O6581" s="2"/>
    </row>
    <row r="6582" spans="12:15">
      <c r="L6582" s="2"/>
      <c r="N6582" s="2"/>
      <c r="O6582" s="2"/>
    </row>
    <row r="6583" spans="12:15">
      <c r="L6583" s="2"/>
      <c r="N6583" s="2"/>
      <c r="O6583" s="2"/>
    </row>
    <row r="6584" spans="12:15">
      <c r="L6584" s="2"/>
      <c r="N6584" s="2"/>
      <c r="O6584" s="2"/>
    </row>
    <row r="6585" spans="12:15">
      <c r="L6585" s="2"/>
      <c r="N6585" s="2"/>
      <c r="O6585" s="2"/>
    </row>
    <row r="6586" spans="12:15">
      <c r="L6586" s="2"/>
      <c r="N6586" s="2"/>
      <c r="O6586" s="2"/>
    </row>
    <row r="6587" spans="12:15">
      <c r="L6587" s="2"/>
      <c r="N6587" s="2"/>
      <c r="O6587" s="2"/>
    </row>
    <row r="6588" spans="12:15">
      <c r="L6588" s="2"/>
      <c r="N6588" s="2"/>
      <c r="O6588" s="2"/>
    </row>
    <row r="6589" spans="12:15">
      <c r="L6589" s="2"/>
      <c r="N6589" s="2"/>
      <c r="O6589" s="2"/>
    </row>
    <row r="6590" spans="12:15">
      <c r="L6590" s="2"/>
      <c r="N6590" s="2"/>
      <c r="O6590" s="2"/>
    </row>
    <row r="6591" spans="12:15">
      <c r="L6591" s="2"/>
      <c r="N6591" s="2"/>
      <c r="O6591" s="2"/>
    </row>
    <row r="6592" spans="12:15">
      <c r="L6592" s="2"/>
      <c r="N6592" s="2"/>
      <c r="O6592" s="2"/>
    </row>
    <row r="6593" spans="12:15">
      <c r="L6593" s="2"/>
      <c r="N6593" s="2"/>
      <c r="O6593" s="2"/>
    </row>
    <row r="6594" spans="12:15">
      <c r="L6594" s="2"/>
      <c r="N6594" s="2"/>
      <c r="O6594" s="2"/>
    </row>
    <row r="6595" spans="12:15">
      <c r="L6595" s="2"/>
      <c r="N6595" s="2"/>
      <c r="O6595" s="2"/>
    </row>
    <row r="6596" spans="12:15">
      <c r="L6596" s="2"/>
      <c r="N6596" s="2"/>
      <c r="O6596" s="2"/>
    </row>
    <row r="6597" spans="12:15">
      <c r="L6597" s="2"/>
      <c r="N6597" s="2"/>
      <c r="O6597" s="2"/>
    </row>
    <row r="6598" spans="12:15">
      <c r="L6598" s="2"/>
      <c r="N6598" s="2"/>
      <c r="O6598" s="2"/>
    </row>
    <row r="6599" spans="12:15">
      <c r="L6599" s="2"/>
      <c r="N6599" s="2"/>
      <c r="O6599" s="2"/>
    </row>
    <row r="6600" spans="12:15">
      <c r="L6600" s="2"/>
      <c r="N6600" s="2"/>
      <c r="O6600" s="2"/>
    </row>
    <row r="6601" spans="12:15">
      <c r="L6601" s="2"/>
      <c r="N6601" s="2"/>
      <c r="O6601" s="2"/>
    </row>
    <row r="6602" spans="12:15">
      <c r="L6602" s="2"/>
      <c r="N6602" s="2"/>
      <c r="O6602" s="2"/>
    </row>
    <row r="6603" spans="12:15">
      <c r="L6603" s="2"/>
      <c r="N6603" s="2"/>
      <c r="O6603" s="2"/>
    </row>
    <row r="6604" spans="12:15">
      <c r="L6604" s="2"/>
      <c r="N6604" s="2"/>
      <c r="O6604" s="2"/>
    </row>
    <row r="6605" spans="12:15">
      <c r="L6605" s="2"/>
      <c r="N6605" s="2"/>
      <c r="O6605" s="2"/>
    </row>
    <row r="6606" spans="12:15">
      <c r="L6606" s="2"/>
      <c r="N6606" s="2"/>
      <c r="O6606" s="2"/>
    </row>
    <row r="6607" spans="12:15">
      <c r="L6607" s="2"/>
      <c r="N6607" s="2"/>
      <c r="O6607" s="2"/>
    </row>
    <row r="6608" spans="12:15">
      <c r="L6608" s="2"/>
      <c r="N6608" s="2"/>
      <c r="O6608" s="2"/>
    </row>
    <row r="6609" spans="12:15">
      <c r="L6609" s="2"/>
      <c r="N6609" s="2"/>
      <c r="O6609" s="2"/>
    </row>
    <row r="6610" spans="12:15">
      <c r="L6610" s="2"/>
      <c r="N6610" s="2"/>
      <c r="O6610" s="2"/>
    </row>
    <row r="6611" spans="12:15">
      <c r="L6611" s="2"/>
      <c r="N6611" s="2"/>
      <c r="O6611" s="2"/>
    </row>
    <row r="6612" spans="12:15">
      <c r="L6612" s="2"/>
      <c r="N6612" s="2"/>
      <c r="O6612" s="2"/>
    </row>
    <row r="6613" spans="12:15">
      <c r="L6613" s="2"/>
      <c r="N6613" s="2"/>
      <c r="O6613" s="2"/>
    </row>
    <row r="6614" spans="12:15">
      <c r="L6614" s="2"/>
      <c r="N6614" s="2"/>
      <c r="O6614" s="2"/>
    </row>
    <row r="6615" spans="12:15">
      <c r="L6615" s="2"/>
      <c r="N6615" s="2"/>
      <c r="O6615" s="2"/>
    </row>
    <row r="6616" spans="12:15">
      <c r="L6616" s="2"/>
      <c r="N6616" s="2"/>
      <c r="O6616" s="2"/>
    </row>
    <row r="6617" spans="12:15">
      <c r="L6617" s="2"/>
      <c r="N6617" s="2"/>
      <c r="O6617" s="2"/>
    </row>
    <row r="6618" spans="12:15">
      <c r="L6618" s="2"/>
      <c r="N6618" s="2"/>
      <c r="O6618" s="2"/>
    </row>
    <row r="6619" spans="12:15">
      <c r="L6619" s="2"/>
      <c r="N6619" s="2"/>
      <c r="O6619" s="2"/>
    </row>
    <row r="6620" spans="12:15">
      <c r="L6620" s="2"/>
      <c r="N6620" s="2"/>
      <c r="O6620" s="2"/>
    </row>
    <row r="6621" spans="12:15">
      <c r="L6621" s="2"/>
      <c r="N6621" s="2"/>
      <c r="O6621" s="2"/>
    </row>
    <row r="6622" spans="12:15">
      <c r="L6622" s="2"/>
      <c r="N6622" s="2"/>
      <c r="O6622" s="2"/>
    </row>
    <row r="6623" spans="12:15">
      <c r="L6623" s="2"/>
      <c r="N6623" s="2"/>
      <c r="O6623" s="2"/>
    </row>
    <row r="6624" spans="12:15">
      <c r="L6624" s="2"/>
      <c r="N6624" s="2"/>
      <c r="O6624" s="2"/>
    </row>
    <row r="6625" spans="12:15">
      <c r="L6625" s="2"/>
      <c r="N6625" s="2"/>
      <c r="O6625" s="2"/>
    </row>
    <row r="6626" spans="12:15">
      <c r="L6626" s="2"/>
      <c r="N6626" s="2"/>
      <c r="O6626" s="2"/>
    </row>
    <row r="6627" spans="12:15">
      <c r="L6627" s="2"/>
      <c r="N6627" s="2"/>
      <c r="O6627" s="2"/>
    </row>
    <row r="6628" spans="12:15">
      <c r="L6628" s="2"/>
      <c r="N6628" s="2"/>
      <c r="O6628" s="2"/>
    </row>
    <row r="6629" spans="12:15">
      <c r="L6629" s="2"/>
      <c r="N6629" s="2"/>
      <c r="O6629" s="2"/>
    </row>
    <row r="6630" spans="12:15">
      <c r="L6630" s="2"/>
      <c r="N6630" s="2"/>
      <c r="O6630" s="2"/>
    </row>
    <row r="6631" spans="12:15">
      <c r="L6631" s="2"/>
      <c r="N6631" s="2"/>
      <c r="O6631" s="2"/>
    </row>
    <row r="6632" spans="12:15">
      <c r="L6632" s="2"/>
      <c r="N6632" s="2"/>
      <c r="O6632" s="2"/>
    </row>
    <row r="6633" spans="12:15">
      <c r="L6633" s="2"/>
      <c r="N6633" s="2"/>
      <c r="O6633" s="2"/>
    </row>
    <row r="6634" spans="12:15">
      <c r="L6634" s="2"/>
      <c r="N6634" s="2"/>
      <c r="O6634" s="2"/>
    </row>
    <row r="6635" spans="12:15">
      <c r="L6635" s="2"/>
      <c r="N6635" s="2"/>
      <c r="O6635" s="2"/>
    </row>
    <row r="6636" spans="12:15">
      <c r="L6636" s="2"/>
      <c r="N6636" s="2"/>
      <c r="O6636" s="2"/>
    </row>
    <row r="6637" spans="12:15">
      <c r="L6637" s="2"/>
      <c r="N6637" s="2"/>
      <c r="O6637" s="2"/>
    </row>
    <row r="6638" spans="12:15">
      <c r="L6638" s="2"/>
      <c r="N6638" s="2"/>
      <c r="O6638" s="2"/>
    </row>
    <row r="6639" spans="12:15">
      <c r="L6639" s="2"/>
      <c r="N6639" s="2"/>
      <c r="O6639" s="2"/>
    </row>
    <row r="6640" spans="12:15">
      <c r="L6640" s="2"/>
      <c r="N6640" s="2"/>
      <c r="O6640" s="2"/>
    </row>
    <row r="6641" spans="12:15">
      <c r="L6641" s="2"/>
      <c r="N6641" s="2"/>
      <c r="O6641" s="2"/>
    </row>
    <row r="6642" spans="12:15">
      <c r="L6642" s="2"/>
      <c r="N6642" s="2"/>
      <c r="O6642" s="2"/>
    </row>
    <row r="6643" spans="12:15">
      <c r="L6643" s="2"/>
      <c r="N6643" s="2"/>
      <c r="O6643" s="2"/>
    </row>
    <row r="6644" spans="12:15">
      <c r="L6644" s="2"/>
      <c r="N6644" s="2"/>
      <c r="O6644" s="2"/>
    </row>
    <row r="6645" spans="12:15">
      <c r="L6645" s="2"/>
      <c r="N6645" s="2"/>
      <c r="O6645" s="2"/>
    </row>
    <row r="6646" spans="12:15">
      <c r="L6646" s="2"/>
      <c r="N6646" s="2"/>
      <c r="O6646" s="2"/>
    </row>
    <row r="6647" spans="12:15">
      <c r="L6647" s="2"/>
      <c r="N6647" s="2"/>
      <c r="O6647" s="2"/>
    </row>
    <row r="6648" spans="12:15">
      <c r="L6648" s="2"/>
      <c r="N6648" s="2"/>
      <c r="O6648" s="2"/>
    </row>
    <row r="6649" spans="12:15">
      <c r="L6649" s="2"/>
      <c r="N6649" s="2"/>
      <c r="O6649" s="2"/>
    </row>
    <row r="6650" spans="12:15">
      <c r="L6650" s="2"/>
      <c r="N6650" s="2"/>
      <c r="O6650" s="2"/>
    </row>
    <row r="6651" spans="12:15">
      <c r="L6651" s="2"/>
      <c r="N6651" s="2"/>
      <c r="O6651" s="2"/>
    </row>
    <row r="6652" spans="12:15">
      <c r="L6652" s="2"/>
      <c r="N6652" s="2"/>
      <c r="O6652" s="2"/>
    </row>
    <row r="6653" spans="12:15">
      <c r="L6653" s="2"/>
      <c r="N6653" s="2"/>
      <c r="O6653" s="2"/>
    </row>
    <row r="6654" spans="12:15">
      <c r="L6654" s="2"/>
      <c r="N6654" s="2"/>
      <c r="O6654" s="2"/>
    </row>
    <row r="6655" spans="12:15">
      <c r="L6655" s="2"/>
      <c r="N6655" s="2"/>
      <c r="O6655" s="2"/>
    </row>
    <row r="6656" spans="12:15">
      <c r="L6656" s="2"/>
      <c r="N6656" s="2"/>
      <c r="O6656" s="2"/>
    </row>
    <row r="6657" spans="12:15">
      <c r="L6657" s="2"/>
      <c r="N6657" s="2"/>
      <c r="O6657" s="2"/>
    </row>
    <row r="6658" spans="12:15">
      <c r="L6658" s="2"/>
      <c r="N6658" s="2"/>
      <c r="O6658" s="2"/>
    </row>
    <row r="6659" spans="12:15">
      <c r="L6659" s="2"/>
      <c r="N6659" s="2"/>
      <c r="O6659" s="2"/>
    </row>
    <row r="6660" spans="12:15">
      <c r="L6660" s="2"/>
      <c r="N6660" s="2"/>
      <c r="O6660" s="2"/>
    </row>
    <row r="6661" spans="12:15">
      <c r="L6661" s="2"/>
      <c r="N6661" s="2"/>
      <c r="O6661" s="2"/>
    </row>
    <row r="6662" spans="12:15">
      <c r="L6662" s="2"/>
      <c r="N6662" s="2"/>
      <c r="O6662" s="2"/>
    </row>
    <row r="6663" spans="12:15">
      <c r="L6663" s="2"/>
      <c r="N6663" s="2"/>
      <c r="O6663" s="2"/>
    </row>
    <row r="6664" spans="12:15">
      <c r="L6664" s="2"/>
      <c r="N6664" s="2"/>
      <c r="O6664" s="2"/>
    </row>
    <row r="6665" spans="12:15">
      <c r="L6665" s="2"/>
      <c r="N6665" s="2"/>
      <c r="O6665" s="2"/>
    </row>
    <row r="6666" spans="12:15">
      <c r="L6666" s="2"/>
      <c r="N6666" s="2"/>
      <c r="O6666" s="2"/>
    </row>
    <row r="6667" spans="12:15">
      <c r="L6667" s="2"/>
      <c r="N6667" s="2"/>
      <c r="O6667" s="2"/>
    </row>
    <row r="6668" spans="12:15">
      <c r="L6668" s="2"/>
      <c r="N6668" s="2"/>
      <c r="O6668" s="2"/>
    </row>
    <row r="6669" spans="12:15">
      <c r="L6669" s="2"/>
      <c r="N6669" s="2"/>
      <c r="O6669" s="2"/>
    </row>
    <row r="6670" spans="12:15">
      <c r="L6670" s="2"/>
      <c r="N6670" s="2"/>
      <c r="O6670" s="2"/>
    </row>
    <row r="6671" spans="12:15">
      <c r="L6671" s="2"/>
      <c r="N6671" s="2"/>
      <c r="O6671" s="2"/>
    </row>
    <row r="6672" spans="12:15">
      <c r="L6672" s="2"/>
      <c r="N6672" s="2"/>
      <c r="O6672" s="2"/>
    </row>
    <row r="6673" spans="12:15">
      <c r="L6673" s="2"/>
      <c r="N6673" s="2"/>
      <c r="O6673" s="2"/>
    </row>
    <row r="6674" spans="12:15">
      <c r="L6674" s="2"/>
      <c r="N6674" s="2"/>
      <c r="O6674" s="2"/>
    </row>
    <row r="6675" spans="12:15">
      <c r="L6675" s="2"/>
      <c r="N6675" s="2"/>
      <c r="O6675" s="2"/>
    </row>
    <row r="6676" spans="12:15">
      <c r="L6676" s="2"/>
      <c r="N6676" s="2"/>
      <c r="O6676" s="2"/>
    </row>
    <row r="6677" spans="12:15">
      <c r="L6677" s="2"/>
      <c r="N6677" s="2"/>
      <c r="O6677" s="2"/>
    </row>
    <row r="6678" spans="12:15">
      <c r="L6678" s="2"/>
      <c r="N6678" s="2"/>
      <c r="O6678" s="2"/>
    </row>
    <row r="6679" spans="12:15">
      <c r="L6679" s="2"/>
      <c r="N6679" s="2"/>
      <c r="O6679" s="2"/>
    </row>
    <row r="6680" spans="12:15">
      <c r="L6680" s="2"/>
      <c r="N6680" s="2"/>
      <c r="O6680" s="2"/>
    </row>
    <row r="6681" spans="12:15">
      <c r="L6681" s="2"/>
      <c r="N6681" s="2"/>
      <c r="O6681" s="2"/>
    </row>
    <row r="6682" spans="12:15">
      <c r="L6682" s="2"/>
      <c r="N6682" s="2"/>
      <c r="O6682" s="2"/>
    </row>
    <row r="6683" spans="12:15">
      <c r="L6683" s="2"/>
      <c r="N6683" s="2"/>
      <c r="O6683" s="2"/>
    </row>
    <row r="6684" spans="12:15">
      <c r="L6684" s="2"/>
      <c r="N6684" s="2"/>
      <c r="O6684" s="2"/>
    </row>
    <row r="6685" spans="12:15">
      <c r="L6685" s="2"/>
      <c r="N6685" s="2"/>
      <c r="O6685" s="2"/>
    </row>
    <row r="6686" spans="12:15">
      <c r="L6686" s="2"/>
      <c r="N6686" s="2"/>
      <c r="O6686" s="2"/>
    </row>
    <row r="6687" spans="12:15">
      <c r="L6687" s="2"/>
      <c r="N6687" s="2"/>
      <c r="O6687" s="2"/>
    </row>
    <row r="6688" spans="12:15">
      <c r="L6688" s="2"/>
      <c r="N6688" s="2"/>
      <c r="O6688" s="2"/>
    </row>
    <row r="6689" spans="12:15">
      <c r="L6689" s="2"/>
      <c r="N6689" s="2"/>
      <c r="O6689" s="2"/>
    </row>
    <row r="6690" spans="12:15">
      <c r="L6690" s="2"/>
      <c r="N6690" s="2"/>
      <c r="O6690" s="2"/>
    </row>
    <row r="6691" spans="12:15">
      <c r="L6691" s="2"/>
      <c r="N6691" s="2"/>
      <c r="O6691" s="2"/>
    </row>
    <row r="6692" spans="12:15">
      <c r="L6692" s="2"/>
      <c r="N6692" s="2"/>
      <c r="O6692" s="2"/>
    </row>
    <row r="6693" spans="12:15">
      <c r="L6693" s="2"/>
      <c r="N6693" s="2"/>
      <c r="O6693" s="2"/>
    </row>
    <row r="6694" spans="12:15">
      <c r="L6694" s="2"/>
      <c r="N6694" s="2"/>
      <c r="O6694" s="2"/>
    </row>
    <row r="6695" spans="12:15">
      <c r="L6695" s="2"/>
      <c r="N6695" s="2"/>
      <c r="O6695" s="2"/>
    </row>
    <row r="6696" spans="12:15">
      <c r="L6696" s="2"/>
      <c r="N6696" s="2"/>
      <c r="O6696" s="2"/>
    </row>
    <row r="6697" spans="12:15">
      <c r="L6697" s="2"/>
      <c r="N6697" s="2"/>
      <c r="O6697" s="2"/>
    </row>
    <row r="6698" spans="12:15">
      <c r="L6698" s="2"/>
      <c r="N6698" s="2"/>
      <c r="O6698" s="2"/>
    </row>
    <row r="6699" spans="12:15">
      <c r="L6699" s="2"/>
      <c r="N6699" s="2"/>
      <c r="O6699" s="2"/>
    </row>
    <row r="6700" spans="12:15">
      <c r="L6700" s="2"/>
      <c r="N6700" s="2"/>
      <c r="O6700" s="2"/>
    </row>
    <row r="6701" spans="12:15">
      <c r="L6701" s="2"/>
      <c r="N6701" s="2"/>
      <c r="O6701" s="2"/>
    </row>
    <row r="6702" spans="12:15">
      <c r="L6702" s="2"/>
      <c r="N6702" s="2"/>
      <c r="O6702" s="2"/>
    </row>
    <row r="6703" spans="12:15">
      <c r="L6703" s="2"/>
      <c r="N6703" s="2"/>
      <c r="O6703" s="2"/>
    </row>
    <row r="6704" spans="12:15">
      <c r="L6704" s="2"/>
      <c r="N6704" s="2"/>
      <c r="O6704" s="2"/>
    </row>
    <row r="6705" spans="12:15">
      <c r="L6705" s="2"/>
      <c r="N6705" s="2"/>
      <c r="O6705" s="2"/>
    </row>
    <row r="6706" spans="12:15">
      <c r="L6706" s="2"/>
      <c r="N6706" s="2"/>
      <c r="O6706" s="2"/>
    </row>
    <row r="6707" spans="12:15">
      <c r="L6707" s="2"/>
      <c r="N6707" s="2"/>
      <c r="O6707" s="2"/>
    </row>
    <row r="6708" spans="12:15">
      <c r="L6708" s="2"/>
      <c r="N6708" s="2"/>
      <c r="O6708" s="2"/>
    </row>
    <row r="6709" spans="12:15">
      <c r="L6709" s="2"/>
      <c r="N6709" s="2"/>
      <c r="O6709" s="2"/>
    </row>
    <row r="6710" spans="12:15">
      <c r="L6710" s="2"/>
      <c r="N6710" s="2"/>
      <c r="O6710" s="2"/>
    </row>
    <row r="6711" spans="12:15">
      <c r="L6711" s="2"/>
      <c r="N6711" s="2"/>
      <c r="O6711" s="2"/>
    </row>
    <row r="6712" spans="12:15">
      <c r="L6712" s="2"/>
      <c r="N6712" s="2"/>
      <c r="O6712" s="2"/>
    </row>
    <row r="6713" spans="12:15">
      <c r="L6713" s="2"/>
      <c r="N6713" s="2"/>
      <c r="O6713" s="2"/>
    </row>
    <row r="6714" spans="12:15">
      <c r="L6714" s="2"/>
      <c r="N6714" s="2"/>
      <c r="O6714" s="2"/>
    </row>
    <row r="6715" spans="12:15">
      <c r="L6715" s="2"/>
      <c r="N6715" s="2"/>
      <c r="O6715" s="2"/>
    </row>
    <row r="6716" spans="12:15">
      <c r="L6716" s="2"/>
      <c r="N6716" s="2"/>
      <c r="O6716" s="2"/>
    </row>
    <row r="6717" spans="12:15">
      <c r="L6717" s="2"/>
      <c r="N6717" s="2"/>
      <c r="O6717" s="2"/>
    </row>
    <row r="6718" spans="12:15">
      <c r="L6718" s="2"/>
      <c r="N6718" s="2"/>
      <c r="O6718" s="2"/>
    </row>
    <row r="6719" spans="12:15">
      <c r="L6719" s="2"/>
      <c r="N6719" s="2"/>
      <c r="O6719" s="2"/>
    </row>
    <row r="6720" spans="12:15">
      <c r="L6720" s="2"/>
      <c r="N6720" s="2"/>
      <c r="O6720" s="2"/>
    </row>
    <row r="6721" spans="12:15">
      <c r="L6721" s="2"/>
      <c r="N6721" s="2"/>
      <c r="O6721" s="2"/>
    </row>
    <row r="6722" spans="12:15">
      <c r="L6722" s="2"/>
      <c r="N6722" s="2"/>
      <c r="O6722" s="2"/>
    </row>
    <row r="6723" spans="12:15">
      <c r="L6723" s="2"/>
      <c r="N6723" s="2"/>
      <c r="O6723" s="2"/>
    </row>
    <row r="6724" spans="12:15">
      <c r="L6724" s="2"/>
      <c r="N6724" s="2"/>
      <c r="O6724" s="2"/>
    </row>
    <row r="6725" spans="12:15">
      <c r="L6725" s="2"/>
      <c r="N6725" s="2"/>
      <c r="O6725" s="2"/>
    </row>
    <row r="6726" spans="12:15">
      <c r="L6726" s="2"/>
      <c r="N6726" s="2"/>
      <c r="O6726" s="2"/>
    </row>
    <row r="6727" spans="12:15">
      <c r="L6727" s="2"/>
      <c r="N6727" s="2"/>
      <c r="O6727" s="2"/>
    </row>
    <row r="6728" spans="12:15">
      <c r="L6728" s="2"/>
      <c r="N6728" s="2"/>
      <c r="O6728" s="2"/>
    </row>
    <row r="6729" spans="12:15">
      <c r="L6729" s="2"/>
      <c r="N6729" s="2"/>
      <c r="O6729" s="2"/>
    </row>
    <row r="6730" spans="12:15">
      <c r="L6730" s="2"/>
      <c r="N6730" s="2"/>
      <c r="O6730" s="2"/>
    </row>
    <row r="6731" spans="12:15">
      <c r="L6731" s="2"/>
      <c r="N6731" s="2"/>
      <c r="O6731" s="2"/>
    </row>
    <row r="6732" spans="12:15">
      <c r="L6732" s="2"/>
      <c r="N6732" s="2"/>
      <c r="O6732" s="2"/>
    </row>
    <row r="6733" spans="12:15">
      <c r="L6733" s="2"/>
      <c r="N6733" s="2"/>
      <c r="O6733" s="2"/>
    </row>
    <row r="6734" spans="12:15">
      <c r="L6734" s="2"/>
      <c r="N6734" s="2"/>
      <c r="O6734" s="2"/>
    </row>
    <row r="6735" spans="12:15">
      <c r="L6735" s="2"/>
      <c r="N6735" s="2"/>
      <c r="O6735" s="2"/>
    </row>
    <row r="6736" spans="12:15">
      <c r="L6736" s="2"/>
      <c r="N6736" s="2"/>
      <c r="O6736" s="2"/>
    </row>
    <row r="6737" spans="12:15">
      <c r="L6737" s="2"/>
      <c r="N6737" s="2"/>
      <c r="O6737" s="2"/>
    </row>
    <row r="6738" spans="12:15">
      <c r="L6738" s="2"/>
      <c r="N6738" s="2"/>
      <c r="O6738" s="2"/>
    </row>
    <row r="6739" spans="12:15">
      <c r="L6739" s="2"/>
      <c r="N6739" s="2"/>
      <c r="O6739" s="2"/>
    </row>
    <row r="6740" spans="12:15">
      <c r="L6740" s="2"/>
      <c r="N6740" s="2"/>
      <c r="O6740" s="2"/>
    </row>
    <row r="6741" spans="12:15">
      <c r="L6741" s="2"/>
      <c r="N6741" s="2"/>
      <c r="O6741" s="2"/>
    </row>
    <row r="6742" spans="12:15">
      <c r="L6742" s="2"/>
      <c r="N6742" s="2"/>
      <c r="O6742" s="2"/>
    </row>
    <row r="6743" spans="12:15">
      <c r="L6743" s="2"/>
      <c r="N6743" s="2"/>
      <c r="O6743" s="2"/>
    </row>
    <row r="6744" spans="12:15">
      <c r="L6744" s="2"/>
      <c r="N6744" s="2"/>
      <c r="O6744" s="2"/>
    </row>
    <row r="6745" spans="12:15">
      <c r="L6745" s="2"/>
      <c r="N6745" s="2"/>
      <c r="O6745" s="2"/>
    </row>
    <row r="6746" spans="12:15">
      <c r="L6746" s="2"/>
      <c r="N6746" s="2"/>
      <c r="O6746" s="2"/>
    </row>
    <row r="6747" spans="12:15">
      <c r="L6747" s="2"/>
      <c r="N6747" s="2"/>
      <c r="O6747" s="2"/>
    </row>
    <row r="6748" spans="12:15">
      <c r="L6748" s="2"/>
      <c r="N6748" s="2"/>
      <c r="O6748" s="2"/>
    </row>
    <row r="6749" spans="12:15">
      <c r="L6749" s="2"/>
      <c r="N6749" s="2"/>
      <c r="O6749" s="2"/>
    </row>
    <row r="6750" spans="12:15">
      <c r="L6750" s="2"/>
      <c r="N6750" s="2"/>
      <c r="O6750" s="2"/>
    </row>
    <row r="6751" spans="12:15">
      <c r="L6751" s="2"/>
      <c r="N6751" s="2"/>
      <c r="O6751" s="2"/>
    </row>
    <row r="6752" spans="12:15">
      <c r="L6752" s="2"/>
      <c r="N6752" s="2"/>
      <c r="O6752" s="2"/>
    </row>
    <row r="6753" spans="12:15">
      <c r="L6753" s="2"/>
      <c r="N6753" s="2"/>
      <c r="O6753" s="2"/>
    </row>
    <row r="6754" spans="12:15">
      <c r="L6754" s="2"/>
      <c r="N6754" s="2"/>
      <c r="O6754" s="2"/>
    </row>
    <row r="6755" spans="12:15">
      <c r="L6755" s="2"/>
      <c r="N6755" s="2"/>
      <c r="O6755" s="2"/>
    </row>
    <row r="6756" spans="12:15">
      <c r="L6756" s="2"/>
      <c r="N6756" s="2"/>
      <c r="O6756" s="2"/>
    </row>
    <row r="6757" spans="12:15">
      <c r="L6757" s="2"/>
      <c r="N6757" s="2"/>
      <c r="O6757" s="2"/>
    </row>
    <row r="6758" spans="12:15">
      <c r="L6758" s="2"/>
      <c r="N6758" s="2"/>
      <c r="O6758" s="2"/>
    </row>
    <row r="6759" spans="12:15">
      <c r="L6759" s="2"/>
      <c r="N6759" s="2"/>
      <c r="O6759" s="2"/>
    </row>
    <row r="6760" spans="12:15">
      <c r="L6760" s="2"/>
      <c r="N6760" s="2"/>
      <c r="O6760" s="2"/>
    </row>
    <row r="6761" spans="12:15">
      <c r="L6761" s="2"/>
      <c r="N6761" s="2"/>
      <c r="O6761" s="2"/>
    </row>
    <row r="6762" spans="12:15">
      <c r="L6762" s="2"/>
      <c r="N6762" s="2"/>
      <c r="O6762" s="2"/>
    </row>
    <row r="6763" spans="12:15">
      <c r="L6763" s="2"/>
      <c r="N6763" s="2"/>
      <c r="O6763" s="2"/>
    </row>
    <row r="6764" spans="12:15">
      <c r="L6764" s="2"/>
      <c r="N6764" s="2"/>
      <c r="O6764" s="2"/>
    </row>
    <row r="6765" spans="12:15">
      <c r="L6765" s="2"/>
      <c r="N6765" s="2"/>
      <c r="O6765" s="2"/>
    </row>
    <row r="6766" spans="12:15">
      <c r="L6766" s="2"/>
      <c r="N6766" s="2"/>
      <c r="O6766" s="2"/>
    </row>
    <row r="6767" spans="12:15">
      <c r="L6767" s="2"/>
      <c r="N6767" s="2"/>
      <c r="O6767" s="2"/>
    </row>
    <row r="6768" spans="12:15">
      <c r="L6768" s="2"/>
      <c r="N6768" s="2"/>
      <c r="O6768" s="2"/>
    </row>
    <row r="6769" spans="12:15">
      <c r="L6769" s="2"/>
      <c r="N6769" s="2"/>
      <c r="O6769" s="2"/>
    </row>
    <row r="6770" spans="12:15">
      <c r="L6770" s="2"/>
      <c r="N6770" s="2"/>
      <c r="O6770" s="2"/>
    </row>
    <row r="6771" spans="12:15">
      <c r="L6771" s="2"/>
      <c r="N6771" s="2"/>
      <c r="O6771" s="2"/>
    </row>
    <row r="6772" spans="12:15">
      <c r="L6772" s="2"/>
      <c r="N6772" s="2"/>
      <c r="O6772" s="2"/>
    </row>
    <row r="6773" spans="12:15">
      <c r="L6773" s="2"/>
      <c r="N6773" s="2"/>
      <c r="O6773" s="2"/>
    </row>
    <row r="6774" spans="12:15">
      <c r="L6774" s="2"/>
      <c r="N6774" s="2"/>
      <c r="O6774" s="2"/>
    </row>
    <row r="6775" spans="12:15">
      <c r="L6775" s="2"/>
      <c r="N6775" s="2"/>
      <c r="O6775" s="2"/>
    </row>
    <row r="6776" spans="12:15">
      <c r="L6776" s="2"/>
      <c r="N6776" s="2"/>
      <c r="O6776" s="2"/>
    </row>
    <row r="6777" spans="12:15">
      <c r="L6777" s="2"/>
      <c r="N6777" s="2"/>
      <c r="O6777" s="2"/>
    </row>
    <row r="6778" spans="12:15">
      <c r="L6778" s="2"/>
      <c r="N6778" s="2"/>
      <c r="O6778" s="2"/>
    </row>
    <row r="6779" spans="12:15">
      <c r="L6779" s="2"/>
      <c r="N6779" s="2"/>
      <c r="O6779" s="2"/>
    </row>
    <row r="6780" spans="12:15">
      <c r="L6780" s="2"/>
      <c r="N6780" s="2"/>
      <c r="O6780" s="2"/>
    </row>
    <row r="6781" spans="12:15">
      <c r="L6781" s="2"/>
      <c r="N6781" s="2"/>
      <c r="O6781" s="2"/>
    </row>
    <row r="6782" spans="12:15">
      <c r="L6782" s="2"/>
      <c r="N6782" s="2"/>
      <c r="O6782" s="2"/>
    </row>
    <row r="6783" spans="12:15">
      <c r="L6783" s="2"/>
      <c r="N6783" s="2"/>
      <c r="O6783" s="2"/>
    </row>
    <row r="6784" spans="12:15">
      <c r="L6784" s="2"/>
      <c r="N6784" s="2"/>
      <c r="O6784" s="2"/>
    </row>
    <row r="6785" spans="12:15">
      <c r="L6785" s="2"/>
      <c r="N6785" s="2"/>
      <c r="O6785" s="2"/>
    </row>
    <row r="6786" spans="12:15">
      <c r="L6786" s="2"/>
      <c r="N6786" s="2"/>
      <c r="O6786" s="2"/>
    </row>
    <row r="6787" spans="12:15">
      <c r="L6787" s="2"/>
      <c r="N6787" s="2"/>
      <c r="O6787" s="2"/>
    </row>
    <row r="6788" spans="12:15">
      <c r="L6788" s="2"/>
      <c r="N6788" s="2"/>
      <c r="O6788" s="2"/>
    </row>
    <row r="6789" spans="12:15">
      <c r="L6789" s="2"/>
      <c r="N6789" s="2"/>
      <c r="O6789" s="2"/>
    </row>
    <row r="6790" spans="12:15">
      <c r="L6790" s="2"/>
      <c r="N6790" s="2"/>
      <c r="O6790" s="2"/>
    </row>
    <row r="6791" spans="12:15">
      <c r="L6791" s="2"/>
      <c r="N6791" s="2"/>
      <c r="O6791" s="2"/>
    </row>
    <row r="6792" spans="12:15">
      <c r="L6792" s="2"/>
      <c r="N6792" s="2"/>
      <c r="O6792" s="2"/>
    </row>
    <row r="6793" spans="12:15">
      <c r="L6793" s="2"/>
      <c r="N6793" s="2"/>
      <c r="O6793" s="2"/>
    </row>
    <row r="6794" spans="12:15">
      <c r="L6794" s="2"/>
      <c r="N6794" s="2"/>
      <c r="O6794" s="2"/>
    </row>
    <row r="6795" spans="12:15">
      <c r="L6795" s="2"/>
      <c r="N6795" s="2"/>
      <c r="O6795" s="2"/>
    </row>
    <row r="6796" spans="12:15">
      <c r="L6796" s="2"/>
      <c r="N6796" s="2"/>
      <c r="O6796" s="2"/>
    </row>
    <row r="6797" spans="12:15">
      <c r="L6797" s="2"/>
      <c r="N6797" s="2"/>
      <c r="O6797" s="2"/>
    </row>
    <row r="6798" spans="12:15">
      <c r="L6798" s="2"/>
      <c r="N6798" s="2"/>
      <c r="O6798" s="2"/>
    </row>
    <row r="6799" spans="12:15">
      <c r="L6799" s="2"/>
      <c r="N6799" s="2"/>
      <c r="O6799" s="2"/>
    </row>
    <row r="6800" spans="12:15">
      <c r="L6800" s="2"/>
      <c r="N6800" s="2"/>
      <c r="O6800" s="2"/>
    </row>
    <row r="6801" spans="12:15">
      <c r="L6801" s="2"/>
      <c r="N6801" s="2"/>
      <c r="O6801" s="2"/>
    </row>
    <row r="6802" spans="12:15">
      <c r="L6802" s="2"/>
      <c r="N6802" s="2"/>
      <c r="O6802" s="2"/>
    </row>
    <row r="6803" spans="12:15">
      <c r="L6803" s="2"/>
      <c r="N6803" s="2"/>
      <c r="O6803" s="2"/>
    </row>
    <row r="6804" spans="12:15">
      <c r="L6804" s="2"/>
      <c r="N6804" s="2"/>
      <c r="O6804" s="2"/>
    </row>
    <row r="6805" spans="12:15">
      <c r="L6805" s="2"/>
      <c r="N6805" s="2"/>
      <c r="O6805" s="2"/>
    </row>
    <row r="6806" spans="12:15">
      <c r="L6806" s="2"/>
      <c r="N6806" s="2"/>
      <c r="O6806" s="2"/>
    </row>
    <row r="6807" spans="12:15">
      <c r="L6807" s="2"/>
      <c r="N6807" s="2"/>
      <c r="O6807" s="2"/>
    </row>
    <row r="6808" spans="12:15">
      <c r="L6808" s="2"/>
      <c r="N6808" s="2"/>
      <c r="O6808" s="2"/>
    </row>
    <row r="6809" spans="12:15">
      <c r="L6809" s="2"/>
      <c r="N6809" s="2"/>
      <c r="O6809" s="2"/>
    </row>
    <row r="6810" spans="12:15">
      <c r="L6810" s="2"/>
      <c r="N6810" s="2"/>
      <c r="O6810" s="2"/>
    </row>
    <row r="6811" spans="12:15">
      <c r="L6811" s="2"/>
      <c r="N6811" s="2"/>
      <c r="O6811" s="2"/>
    </row>
    <row r="6812" spans="12:15">
      <c r="L6812" s="2"/>
      <c r="N6812" s="2"/>
      <c r="O6812" s="2"/>
    </row>
    <row r="6813" spans="12:15">
      <c r="L6813" s="2"/>
      <c r="N6813" s="2"/>
      <c r="O6813" s="2"/>
    </row>
    <row r="6814" spans="12:15">
      <c r="L6814" s="2"/>
      <c r="N6814" s="2"/>
      <c r="O6814" s="2"/>
    </row>
    <row r="6815" spans="12:15">
      <c r="L6815" s="2"/>
      <c r="N6815" s="2"/>
      <c r="O6815" s="2"/>
    </row>
    <row r="6816" spans="12:15">
      <c r="L6816" s="2"/>
      <c r="N6816" s="2"/>
      <c r="O6816" s="2"/>
    </row>
    <row r="6817" spans="12:15">
      <c r="L6817" s="2"/>
      <c r="N6817" s="2"/>
      <c r="O6817" s="2"/>
    </row>
    <row r="6818" spans="12:15">
      <c r="L6818" s="2"/>
      <c r="N6818" s="2"/>
      <c r="O6818" s="2"/>
    </row>
    <row r="6819" spans="12:15">
      <c r="L6819" s="2"/>
      <c r="N6819" s="2"/>
      <c r="O6819" s="2"/>
    </row>
    <row r="6820" spans="12:15">
      <c r="L6820" s="2"/>
      <c r="N6820" s="2"/>
      <c r="O6820" s="2"/>
    </row>
    <row r="6821" spans="12:15">
      <c r="L6821" s="2"/>
      <c r="N6821" s="2"/>
      <c r="O6821" s="2"/>
    </row>
    <row r="6822" spans="12:15">
      <c r="L6822" s="2"/>
      <c r="N6822" s="2"/>
      <c r="O6822" s="2"/>
    </row>
    <row r="6823" spans="12:15">
      <c r="L6823" s="2"/>
      <c r="N6823" s="2"/>
      <c r="O6823" s="2"/>
    </row>
    <row r="6824" spans="12:15">
      <c r="L6824" s="2"/>
      <c r="N6824" s="2"/>
      <c r="O6824" s="2"/>
    </row>
    <row r="6825" spans="12:15">
      <c r="L6825" s="2"/>
      <c r="N6825" s="2"/>
      <c r="O6825" s="2"/>
    </row>
    <row r="6826" spans="12:15">
      <c r="L6826" s="2"/>
      <c r="N6826" s="2"/>
      <c r="O6826" s="2"/>
    </row>
    <row r="6827" spans="12:15">
      <c r="L6827" s="2"/>
      <c r="N6827" s="2"/>
      <c r="O6827" s="2"/>
    </row>
    <row r="6828" spans="12:15">
      <c r="L6828" s="2"/>
      <c r="N6828" s="2"/>
      <c r="O6828" s="2"/>
    </row>
    <row r="6829" spans="12:15">
      <c r="L6829" s="2"/>
      <c r="N6829" s="2"/>
      <c r="O6829" s="2"/>
    </row>
    <row r="6830" spans="12:15">
      <c r="L6830" s="2"/>
      <c r="N6830" s="2"/>
      <c r="O6830" s="2"/>
    </row>
    <row r="6831" spans="12:15">
      <c r="L6831" s="2"/>
      <c r="N6831" s="2"/>
      <c r="O6831" s="2"/>
    </row>
    <row r="6832" spans="12:15">
      <c r="L6832" s="2"/>
      <c r="N6832" s="2"/>
      <c r="O6832" s="2"/>
    </row>
    <row r="6833" spans="12:15">
      <c r="L6833" s="2"/>
      <c r="N6833" s="2"/>
      <c r="O6833" s="2"/>
    </row>
    <row r="6834" spans="12:15">
      <c r="L6834" s="2"/>
      <c r="N6834" s="2"/>
      <c r="O6834" s="2"/>
    </row>
    <row r="6835" spans="12:15">
      <c r="L6835" s="2"/>
      <c r="N6835" s="2"/>
      <c r="O6835" s="2"/>
    </row>
    <row r="6836" spans="12:15">
      <c r="L6836" s="2"/>
      <c r="N6836" s="2"/>
      <c r="O6836" s="2"/>
    </row>
    <row r="6837" spans="12:15">
      <c r="L6837" s="2"/>
      <c r="N6837" s="2"/>
      <c r="O6837" s="2"/>
    </row>
    <row r="6838" spans="12:15">
      <c r="L6838" s="2"/>
      <c r="N6838" s="2"/>
      <c r="O6838" s="2"/>
    </row>
    <row r="6839" spans="12:15">
      <c r="L6839" s="2"/>
      <c r="N6839" s="2"/>
      <c r="O6839" s="2"/>
    </row>
    <row r="6840" spans="12:15">
      <c r="L6840" s="2"/>
      <c r="N6840" s="2"/>
      <c r="O6840" s="2"/>
    </row>
    <row r="6841" spans="12:15">
      <c r="L6841" s="2"/>
      <c r="N6841" s="2"/>
      <c r="O6841" s="2"/>
    </row>
    <row r="6842" spans="12:15">
      <c r="L6842" s="2"/>
      <c r="N6842" s="2"/>
      <c r="O6842" s="2"/>
    </row>
    <row r="6843" spans="12:15">
      <c r="L6843" s="2"/>
      <c r="N6843" s="2"/>
      <c r="O6843" s="2"/>
    </row>
    <row r="6844" spans="12:15">
      <c r="L6844" s="2"/>
      <c r="N6844" s="2"/>
      <c r="O6844" s="2"/>
    </row>
    <row r="6845" spans="12:15">
      <c r="L6845" s="2"/>
      <c r="N6845" s="2"/>
      <c r="O6845" s="2"/>
    </row>
    <row r="6846" spans="12:15">
      <c r="L6846" s="2"/>
      <c r="N6846" s="2"/>
      <c r="O6846" s="2"/>
    </row>
    <row r="6847" spans="12:15">
      <c r="L6847" s="2"/>
      <c r="N6847" s="2"/>
      <c r="O6847" s="2"/>
    </row>
    <row r="6848" spans="12:15">
      <c r="L6848" s="2"/>
      <c r="N6848" s="2"/>
      <c r="O6848" s="2"/>
    </row>
    <row r="6849" spans="12:15">
      <c r="L6849" s="2"/>
      <c r="N6849" s="2"/>
      <c r="O6849" s="2"/>
    </row>
    <row r="6850" spans="12:15">
      <c r="L6850" s="2"/>
      <c r="N6850" s="2"/>
      <c r="O6850" s="2"/>
    </row>
    <row r="6851" spans="12:15">
      <c r="L6851" s="2"/>
      <c r="N6851" s="2"/>
      <c r="O6851" s="2"/>
    </row>
    <row r="6852" spans="12:15">
      <c r="L6852" s="2"/>
      <c r="N6852" s="2"/>
      <c r="O6852" s="2"/>
    </row>
    <row r="6853" spans="12:15">
      <c r="L6853" s="2"/>
      <c r="N6853" s="2"/>
      <c r="O6853" s="2"/>
    </row>
    <row r="6854" spans="12:15">
      <c r="L6854" s="2"/>
      <c r="N6854" s="2"/>
      <c r="O6854" s="2"/>
    </row>
    <row r="6855" spans="12:15">
      <c r="L6855" s="2"/>
      <c r="N6855" s="2"/>
      <c r="O6855" s="2"/>
    </row>
    <row r="6856" spans="12:15">
      <c r="L6856" s="2"/>
      <c r="N6856" s="2"/>
      <c r="O6856" s="2"/>
    </row>
    <row r="6857" spans="12:15">
      <c r="L6857" s="2"/>
      <c r="N6857" s="2"/>
      <c r="O6857" s="2"/>
    </row>
    <row r="6858" spans="12:15">
      <c r="L6858" s="2"/>
      <c r="N6858" s="2"/>
      <c r="O6858" s="2"/>
    </row>
    <row r="6859" spans="12:15">
      <c r="L6859" s="2"/>
      <c r="N6859" s="2"/>
      <c r="O6859" s="2"/>
    </row>
    <row r="6860" spans="12:15">
      <c r="L6860" s="2"/>
      <c r="N6860" s="2"/>
      <c r="O6860" s="2"/>
    </row>
    <row r="6861" spans="12:15">
      <c r="L6861" s="2"/>
      <c r="N6861" s="2"/>
      <c r="O6861" s="2"/>
    </row>
    <row r="6862" spans="12:15">
      <c r="L6862" s="2"/>
      <c r="N6862" s="2"/>
      <c r="O6862" s="2"/>
    </row>
    <row r="6863" spans="12:15">
      <c r="L6863" s="2"/>
      <c r="N6863" s="2"/>
      <c r="O6863" s="2"/>
    </row>
    <row r="6864" spans="12:15">
      <c r="L6864" s="2"/>
      <c r="N6864" s="2"/>
      <c r="O6864" s="2"/>
    </row>
    <row r="6865" spans="12:15">
      <c r="L6865" s="2"/>
      <c r="N6865" s="2"/>
      <c r="O6865" s="2"/>
    </row>
    <row r="6866" spans="12:15">
      <c r="L6866" s="2"/>
      <c r="N6866" s="2"/>
      <c r="O6866" s="2"/>
    </row>
    <row r="6867" spans="12:15">
      <c r="L6867" s="2"/>
      <c r="N6867" s="2"/>
      <c r="O6867" s="2"/>
    </row>
    <row r="6868" spans="12:15">
      <c r="L6868" s="2"/>
      <c r="N6868" s="2"/>
      <c r="O6868" s="2"/>
    </row>
    <row r="6869" spans="12:15">
      <c r="L6869" s="2"/>
      <c r="N6869" s="2"/>
      <c r="O6869" s="2"/>
    </row>
    <row r="6870" spans="12:15">
      <c r="L6870" s="2"/>
      <c r="N6870" s="2"/>
      <c r="O6870" s="2"/>
    </row>
    <row r="6871" spans="12:15">
      <c r="L6871" s="2"/>
      <c r="N6871" s="2"/>
      <c r="O6871" s="2"/>
    </row>
    <row r="6872" spans="12:15">
      <c r="L6872" s="2"/>
      <c r="N6872" s="2"/>
      <c r="O6872" s="2"/>
    </row>
    <row r="6873" spans="12:15">
      <c r="L6873" s="2"/>
      <c r="N6873" s="2"/>
      <c r="O6873" s="2"/>
    </row>
    <row r="6874" spans="12:15">
      <c r="L6874" s="2"/>
      <c r="N6874" s="2"/>
      <c r="O6874" s="2"/>
    </row>
    <row r="6875" spans="12:15">
      <c r="L6875" s="2"/>
      <c r="N6875" s="2"/>
      <c r="O6875" s="2"/>
    </row>
    <row r="6876" spans="12:15">
      <c r="L6876" s="2"/>
      <c r="N6876" s="2"/>
      <c r="O6876" s="2"/>
    </row>
    <row r="6877" spans="12:15">
      <c r="L6877" s="2"/>
      <c r="N6877" s="2"/>
      <c r="O6877" s="2"/>
    </row>
    <row r="6878" spans="12:15">
      <c r="L6878" s="2"/>
      <c r="N6878" s="2"/>
      <c r="O6878" s="2"/>
    </row>
    <row r="6879" spans="12:15">
      <c r="L6879" s="2"/>
      <c r="N6879" s="2"/>
      <c r="O6879" s="2"/>
    </row>
    <row r="6880" spans="12:15">
      <c r="L6880" s="2"/>
      <c r="N6880" s="2"/>
      <c r="O6880" s="2"/>
    </row>
    <row r="6881" spans="12:15">
      <c r="L6881" s="2"/>
      <c r="N6881" s="2"/>
      <c r="O6881" s="2"/>
    </row>
    <row r="6882" spans="12:15">
      <c r="L6882" s="2"/>
      <c r="N6882" s="2"/>
      <c r="O6882" s="2"/>
    </row>
    <row r="6883" spans="12:15">
      <c r="L6883" s="2"/>
      <c r="N6883" s="2"/>
      <c r="O6883" s="2"/>
    </row>
    <row r="6884" spans="12:15">
      <c r="L6884" s="2"/>
      <c r="N6884" s="2"/>
      <c r="O6884" s="2"/>
    </row>
    <row r="6885" spans="12:15">
      <c r="L6885" s="2"/>
      <c r="N6885" s="2"/>
      <c r="O6885" s="2"/>
    </row>
    <row r="6886" spans="12:15">
      <c r="L6886" s="2"/>
      <c r="N6886" s="2"/>
      <c r="O6886" s="2"/>
    </row>
    <row r="6887" spans="12:15">
      <c r="L6887" s="2"/>
      <c r="N6887" s="2"/>
      <c r="O6887" s="2"/>
    </row>
    <row r="6888" spans="12:15">
      <c r="L6888" s="2"/>
      <c r="N6888" s="2"/>
      <c r="O6888" s="2"/>
    </row>
    <row r="6889" spans="12:15">
      <c r="L6889" s="2"/>
      <c r="N6889" s="2"/>
      <c r="O6889" s="2"/>
    </row>
    <row r="6890" spans="12:15">
      <c r="L6890" s="2"/>
      <c r="N6890" s="2"/>
      <c r="O6890" s="2"/>
    </row>
    <row r="6891" spans="12:15">
      <c r="L6891" s="2"/>
      <c r="N6891" s="2"/>
      <c r="O6891" s="2"/>
    </row>
    <row r="6892" spans="12:15">
      <c r="L6892" s="2"/>
      <c r="N6892" s="2"/>
      <c r="O6892" s="2"/>
    </row>
    <row r="6893" spans="12:15">
      <c r="L6893" s="2"/>
      <c r="N6893" s="2"/>
      <c r="O6893" s="2"/>
    </row>
    <row r="6894" spans="12:15">
      <c r="L6894" s="2"/>
      <c r="N6894" s="2"/>
      <c r="O6894" s="2"/>
    </row>
    <row r="6895" spans="12:15">
      <c r="L6895" s="2"/>
      <c r="N6895" s="2"/>
      <c r="O6895" s="2"/>
    </row>
    <row r="6896" spans="12:15">
      <c r="L6896" s="2"/>
      <c r="N6896" s="2"/>
      <c r="O6896" s="2"/>
    </row>
    <row r="6897" spans="12:15">
      <c r="L6897" s="2"/>
      <c r="N6897" s="2"/>
      <c r="O6897" s="2"/>
    </row>
    <row r="6898" spans="12:15">
      <c r="L6898" s="2"/>
      <c r="N6898" s="2"/>
      <c r="O6898" s="2"/>
    </row>
    <row r="6899" spans="12:15">
      <c r="L6899" s="2"/>
      <c r="N6899" s="2"/>
      <c r="O6899" s="2"/>
    </row>
    <row r="6900" spans="12:15">
      <c r="L6900" s="2"/>
      <c r="N6900" s="2"/>
      <c r="O6900" s="2"/>
    </row>
    <row r="6901" spans="12:15">
      <c r="L6901" s="2"/>
      <c r="N6901" s="2"/>
      <c r="O6901" s="2"/>
    </row>
    <row r="6902" spans="12:15">
      <c r="L6902" s="2"/>
      <c r="N6902" s="2"/>
      <c r="O6902" s="2"/>
    </row>
    <row r="6903" spans="12:15">
      <c r="L6903" s="2"/>
      <c r="N6903" s="2"/>
      <c r="O6903" s="2"/>
    </row>
    <row r="6904" spans="12:15">
      <c r="L6904" s="2"/>
      <c r="N6904" s="2"/>
      <c r="O6904" s="2"/>
    </row>
    <row r="6905" spans="12:15">
      <c r="L6905" s="2"/>
      <c r="N6905" s="2"/>
      <c r="O6905" s="2"/>
    </row>
    <row r="6906" spans="12:15">
      <c r="L6906" s="2"/>
      <c r="N6906" s="2"/>
      <c r="O6906" s="2"/>
    </row>
    <row r="6907" spans="12:15">
      <c r="L6907" s="2"/>
      <c r="N6907" s="2"/>
      <c r="O6907" s="2"/>
    </row>
    <row r="6908" spans="12:15">
      <c r="L6908" s="2"/>
      <c r="N6908" s="2"/>
      <c r="O6908" s="2"/>
    </row>
    <row r="6909" spans="12:15">
      <c r="L6909" s="2"/>
      <c r="N6909" s="2"/>
      <c r="O6909" s="2"/>
    </row>
    <row r="6910" spans="12:15">
      <c r="L6910" s="2"/>
      <c r="N6910" s="2"/>
      <c r="O6910" s="2"/>
    </row>
    <row r="6911" spans="12:15">
      <c r="L6911" s="2"/>
      <c r="N6911" s="2"/>
      <c r="O6911" s="2"/>
    </row>
    <row r="6912" spans="12:15">
      <c r="L6912" s="2"/>
      <c r="N6912" s="2"/>
      <c r="O6912" s="2"/>
    </row>
    <row r="6913" spans="12:15">
      <c r="L6913" s="2"/>
      <c r="N6913" s="2"/>
      <c r="O6913" s="2"/>
    </row>
    <row r="6914" spans="12:15">
      <c r="L6914" s="2"/>
      <c r="N6914" s="2"/>
      <c r="O6914" s="2"/>
    </row>
    <row r="6915" spans="12:15">
      <c r="L6915" s="2"/>
      <c r="N6915" s="2"/>
      <c r="O6915" s="2"/>
    </row>
    <row r="6916" spans="12:15">
      <c r="L6916" s="2"/>
      <c r="N6916" s="2"/>
      <c r="O6916" s="2"/>
    </row>
    <row r="6917" spans="12:15">
      <c r="L6917" s="2"/>
      <c r="N6917" s="2"/>
      <c r="O6917" s="2"/>
    </row>
    <row r="6918" spans="12:15">
      <c r="L6918" s="2"/>
      <c r="N6918" s="2"/>
      <c r="O6918" s="2"/>
    </row>
    <row r="6919" spans="12:15">
      <c r="L6919" s="2"/>
      <c r="N6919" s="2"/>
      <c r="O6919" s="2"/>
    </row>
    <row r="6920" spans="12:15">
      <c r="L6920" s="2"/>
      <c r="N6920" s="2"/>
      <c r="O6920" s="2"/>
    </row>
    <row r="6921" spans="12:15">
      <c r="L6921" s="2"/>
      <c r="N6921" s="2"/>
      <c r="O6921" s="2"/>
    </row>
    <row r="6922" spans="12:15">
      <c r="L6922" s="2"/>
      <c r="N6922" s="2"/>
      <c r="O6922" s="2"/>
    </row>
    <row r="6923" spans="12:15">
      <c r="L6923" s="2"/>
      <c r="N6923" s="2"/>
      <c r="O6923" s="2"/>
    </row>
    <row r="6924" spans="12:15">
      <c r="L6924" s="2"/>
      <c r="N6924" s="2"/>
      <c r="O6924" s="2"/>
    </row>
    <row r="6925" spans="12:15">
      <c r="L6925" s="2"/>
      <c r="N6925" s="2"/>
      <c r="O6925" s="2"/>
    </row>
    <row r="6926" spans="12:15">
      <c r="L6926" s="2"/>
      <c r="N6926" s="2"/>
      <c r="O6926" s="2"/>
    </row>
    <row r="6927" spans="12:15">
      <c r="L6927" s="2"/>
      <c r="N6927" s="2"/>
      <c r="O6927" s="2"/>
    </row>
    <row r="6928" spans="12:15">
      <c r="L6928" s="2"/>
      <c r="N6928" s="2"/>
      <c r="O6928" s="2"/>
    </row>
    <row r="6929" spans="12:15">
      <c r="L6929" s="2"/>
      <c r="N6929" s="2"/>
      <c r="O6929" s="2"/>
    </row>
    <row r="6930" spans="12:15">
      <c r="L6930" s="2"/>
      <c r="N6930" s="2"/>
      <c r="O6930" s="2"/>
    </row>
    <row r="6931" spans="12:15">
      <c r="L6931" s="2"/>
      <c r="N6931" s="2"/>
      <c r="O6931" s="2"/>
    </row>
    <row r="6932" spans="12:15">
      <c r="L6932" s="2"/>
      <c r="N6932" s="2"/>
      <c r="O6932" s="2"/>
    </row>
    <row r="6933" spans="12:15">
      <c r="L6933" s="2"/>
      <c r="N6933" s="2"/>
      <c r="O6933" s="2"/>
    </row>
    <row r="6934" spans="12:15">
      <c r="L6934" s="2"/>
      <c r="N6934" s="2"/>
      <c r="O6934" s="2"/>
    </row>
    <row r="6935" spans="12:15">
      <c r="L6935" s="2"/>
      <c r="N6935" s="2"/>
      <c r="O6935" s="2"/>
    </row>
    <row r="6936" spans="12:15">
      <c r="L6936" s="2"/>
      <c r="N6936" s="2"/>
      <c r="O6936" s="2"/>
    </row>
    <row r="6937" spans="12:15">
      <c r="L6937" s="2"/>
      <c r="N6937" s="2"/>
      <c r="O6937" s="2"/>
    </row>
    <row r="6938" spans="12:15">
      <c r="L6938" s="2"/>
      <c r="N6938" s="2"/>
      <c r="O6938" s="2"/>
    </row>
    <row r="6939" spans="12:15">
      <c r="L6939" s="2"/>
      <c r="N6939" s="2"/>
      <c r="O6939" s="2"/>
    </row>
    <row r="6940" spans="12:15">
      <c r="L6940" s="2"/>
      <c r="N6940" s="2"/>
      <c r="O6940" s="2"/>
    </row>
    <row r="6941" spans="12:15">
      <c r="L6941" s="2"/>
      <c r="N6941" s="2"/>
      <c r="O6941" s="2"/>
    </row>
    <row r="6942" spans="12:15">
      <c r="L6942" s="2"/>
      <c r="N6942" s="2"/>
      <c r="O6942" s="2"/>
    </row>
    <row r="6943" spans="12:15">
      <c r="L6943" s="2"/>
      <c r="N6943" s="2"/>
      <c r="O6943" s="2"/>
    </row>
    <row r="6944" spans="12:15">
      <c r="L6944" s="2"/>
      <c r="N6944" s="2"/>
      <c r="O6944" s="2"/>
    </row>
    <row r="6945" spans="12:15">
      <c r="L6945" s="2"/>
      <c r="N6945" s="2"/>
      <c r="O6945" s="2"/>
    </row>
    <row r="6946" spans="12:15">
      <c r="L6946" s="2"/>
      <c r="N6946" s="2"/>
      <c r="O6946" s="2"/>
    </row>
    <row r="6947" spans="12:15">
      <c r="L6947" s="2"/>
      <c r="N6947" s="2"/>
      <c r="O6947" s="2"/>
    </row>
    <row r="6948" spans="12:15">
      <c r="L6948" s="2"/>
      <c r="N6948" s="2"/>
      <c r="O6948" s="2"/>
    </row>
    <row r="6949" spans="12:15">
      <c r="L6949" s="2"/>
      <c r="N6949" s="2"/>
      <c r="O6949" s="2"/>
    </row>
    <row r="6950" spans="12:15">
      <c r="L6950" s="2"/>
      <c r="N6950" s="2"/>
      <c r="O6950" s="2"/>
    </row>
    <row r="6951" spans="12:15">
      <c r="L6951" s="2"/>
      <c r="N6951" s="2"/>
      <c r="O6951" s="2"/>
    </row>
    <row r="6952" spans="12:15">
      <c r="L6952" s="2"/>
      <c r="N6952" s="2"/>
      <c r="O6952" s="2"/>
    </row>
    <row r="6953" spans="12:15">
      <c r="L6953" s="2"/>
      <c r="N6953" s="2"/>
      <c r="O6953" s="2"/>
    </row>
    <row r="6954" spans="12:15">
      <c r="L6954" s="2"/>
      <c r="N6954" s="2"/>
      <c r="O6954" s="2"/>
    </row>
    <row r="6955" spans="12:15">
      <c r="L6955" s="2"/>
      <c r="N6955" s="2"/>
      <c r="O6955" s="2"/>
    </row>
    <row r="6956" spans="12:15">
      <c r="L6956" s="2"/>
      <c r="N6956" s="2"/>
      <c r="O6956" s="2"/>
    </row>
    <row r="6957" spans="12:15">
      <c r="L6957" s="2"/>
      <c r="N6957" s="2"/>
      <c r="O6957" s="2"/>
    </row>
    <row r="6958" spans="12:15">
      <c r="L6958" s="2"/>
      <c r="N6958" s="2"/>
      <c r="O6958" s="2"/>
    </row>
    <row r="6959" spans="12:15">
      <c r="L6959" s="2"/>
      <c r="N6959" s="2"/>
      <c r="O6959" s="2"/>
    </row>
    <row r="6960" spans="12:15">
      <c r="L6960" s="2"/>
      <c r="N6960" s="2"/>
      <c r="O6960" s="2"/>
    </row>
    <row r="6961" spans="12:15">
      <c r="L6961" s="2"/>
      <c r="N6961" s="2"/>
      <c r="O6961" s="2"/>
    </row>
    <row r="6962" spans="12:15">
      <c r="L6962" s="2"/>
      <c r="N6962" s="2"/>
      <c r="O6962" s="2"/>
    </row>
    <row r="6963" spans="12:15">
      <c r="L6963" s="2"/>
      <c r="N6963" s="2"/>
      <c r="O6963" s="2"/>
    </row>
    <row r="6964" spans="12:15">
      <c r="L6964" s="2"/>
      <c r="N6964" s="2"/>
      <c r="O6964" s="2"/>
    </row>
    <row r="6965" spans="12:15">
      <c r="L6965" s="2"/>
      <c r="N6965" s="2"/>
      <c r="O6965" s="2"/>
    </row>
    <row r="6966" spans="12:15">
      <c r="L6966" s="2"/>
      <c r="N6966" s="2"/>
      <c r="O6966" s="2"/>
    </row>
    <row r="6967" spans="12:15">
      <c r="L6967" s="2"/>
      <c r="N6967" s="2"/>
      <c r="O6967" s="2"/>
    </row>
    <row r="6968" spans="12:15">
      <c r="L6968" s="2"/>
      <c r="N6968" s="2"/>
      <c r="O6968" s="2"/>
    </row>
    <row r="6969" spans="12:15">
      <c r="L6969" s="2"/>
      <c r="N6969" s="2"/>
      <c r="O6969" s="2"/>
    </row>
    <row r="6970" spans="12:15">
      <c r="L6970" s="2"/>
      <c r="N6970" s="2"/>
      <c r="O6970" s="2"/>
    </row>
    <row r="6971" spans="12:15">
      <c r="L6971" s="2"/>
      <c r="N6971" s="2"/>
      <c r="O6971" s="2"/>
    </row>
    <row r="6972" spans="12:15">
      <c r="L6972" s="2"/>
      <c r="N6972" s="2"/>
      <c r="O6972" s="2"/>
    </row>
    <row r="6973" spans="12:15">
      <c r="L6973" s="2"/>
      <c r="N6973" s="2"/>
      <c r="O6973" s="2"/>
    </row>
    <row r="6974" spans="12:15">
      <c r="L6974" s="2"/>
      <c r="N6974" s="2"/>
      <c r="O6974" s="2"/>
    </row>
    <row r="6975" spans="12:15">
      <c r="L6975" s="2"/>
      <c r="N6975" s="2"/>
      <c r="O6975" s="2"/>
    </row>
    <row r="6976" spans="12:15">
      <c r="L6976" s="2"/>
      <c r="N6976" s="2"/>
      <c r="O6976" s="2"/>
    </row>
    <row r="6977" spans="12:15">
      <c r="L6977" s="2"/>
      <c r="N6977" s="2"/>
      <c r="O6977" s="2"/>
    </row>
    <row r="6978" spans="12:15">
      <c r="L6978" s="2"/>
      <c r="N6978" s="2"/>
      <c r="O6978" s="2"/>
    </row>
    <row r="6979" spans="12:15">
      <c r="L6979" s="2"/>
      <c r="N6979" s="2"/>
      <c r="O6979" s="2"/>
    </row>
    <row r="6980" spans="12:15">
      <c r="L6980" s="2"/>
      <c r="N6980" s="2"/>
      <c r="O6980" s="2"/>
    </row>
    <row r="6981" spans="12:15">
      <c r="L6981" s="2"/>
      <c r="N6981" s="2"/>
      <c r="O6981" s="2"/>
    </row>
    <row r="6982" spans="12:15">
      <c r="L6982" s="2"/>
      <c r="N6982" s="2"/>
      <c r="O6982" s="2"/>
    </row>
    <row r="6983" spans="12:15">
      <c r="L6983" s="2"/>
      <c r="N6983" s="2"/>
      <c r="O6983" s="2"/>
    </row>
    <row r="6984" spans="12:15">
      <c r="L6984" s="2"/>
      <c r="N6984" s="2"/>
      <c r="O6984" s="2"/>
    </row>
    <row r="6985" spans="12:15">
      <c r="L6985" s="2"/>
      <c r="N6985" s="2"/>
      <c r="O6985" s="2"/>
    </row>
    <row r="6986" spans="12:15">
      <c r="L6986" s="2"/>
      <c r="N6986" s="2"/>
      <c r="O6986" s="2"/>
    </row>
    <row r="6987" spans="12:15">
      <c r="L6987" s="2"/>
      <c r="N6987" s="2"/>
      <c r="O6987" s="2"/>
    </row>
    <row r="6988" spans="12:15">
      <c r="L6988" s="2"/>
      <c r="N6988" s="2"/>
      <c r="O6988" s="2"/>
    </row>
    <row r="6989" spans="12:15">
      <c r="L6989" s="2"/>
      <c r="N6989" s="2"/>
      <c r="O6989" s="2"/>
    </row>
    <row r="6990" spans="12:15">
      <c r="L6990" s="2"/>
      <c r="N6990" s="2"/>
      <c r="O6990" s="2"/>
    </row>
    <row r="6991" spans="12:15">
      <c r="L6991" s="2"/>
      <c r="N6991" s="2"/>
      <c r="O6991" s="2"/>
    </row>
    <row r="6992" spans="12:15">
      <c r="L6992" s="2"/>
      <c r="N6992" s="2"/>
      <c r="O6992" s="2"/>
    </row>
    <row r="6993" spans="12:15">
      <c r="L6993" s="2"/>
      <c r="N6993" s="2"/>
      <c r="O6993" s="2"/>
    </row>
    <row r="6994" spans="12:15">
      <c r="L6994" s="2"/>
      <c r="N6994" s="2"/>
      <c r="O6994" s="2"/>
    </row>
    <row r="6995" spans="12:15">
      <c r="L6995" s="2"/>
      <c r="N6995" s="2"/>
      <c r="O6995" s="2"/>
    </row>
    <row r="6996" spans="12:15">
      <c r="L6996" s="2"/>
      <c r="N6996" s="2"/>
      <c r="O6996" s="2"/>
    </row>
    <row r="6997" spans="12:15">
      <c r="L6997" s="2"/>
      <c r="N6997" s="2"/>
      <c r="O6997" s="2"/>
    </row>
    <row r="6998" spans="12:15">
      <c r="L6998" s="2"/>
      <c r="N6998" s="2"/>
      <c r="O6998" s="2"/>
    </row>
    <row r="6999" spans="12:15">
      <c r="L6999" s="2"/>
      <c r="N6999" s="2"/>
      <c r="O6999" s="2"/>
    </row>
    <row r="7000" spans="12:15">
      <c r="L7000" s="2"/>
      <c r="N7000" s="2"/>
      <c r="O7000" s="2"/>
    </row>
    <row r="7001" spans="12:15">
      <c r="L7001" s="2"/>
      <c r="N7001" s="2"/>
      <c r="O7001" s="2"/>
    </row>
    <row r="7002" spans="12:15">
      <c r="L7002" s="2"/>
      <c r="N7002" s="2"/>
      <c r="O7002" s="2"/>
    </row>
    <row r="7003" spans="12:15">
      <c r="L7003" s="2"/>
      <c r="N7003" s="2"/>
      <c r="O7003" s="2"/>
    </row>
    <row r="7004" spans="12:15">
      <c r="L7004" s="2"/>
      <c r="N7004" s="2"/>
      <c r="O7004" s="2"/>
    </row>
    <row r="7005" spans="12:15">
      <c r="L7005" s="2"/>
      <c r="N7005" s="2"/>
      <c r="O7005" s="2"/>
    </row>
    <row r="7006" spans="12:15">
      <c r="L7006" s="2"/>
      <c r="N7006" s="2"/>
      <c r="O7006" s="2"/>
    </row>
    <row r="7007" spans="12:15">
      <c r="L7007" s="2"/>
      <c r="N7007" s="2"/>
      <c r="O7007" s="2"/>
    </row>
    <row r="7008" spans="12:15">
      <c r="L7008" s="2"/>
      <c r="N7008" s="2"/>
      <c r="O7008" s="2"/>
    </row>
    <row r="7009" spans="12:15">
      <c r="L7009" s="2"/>
      <c r="N7009" s="2"/>
      <c r="O7009" s="2"/>
    </row>
    <row r="7010" spans="12:15">
      <c r="L7010" s="2"/>
      <c r="N7010" s="2"/>
      <c r="O7010" s="2"/>
    </row>
    <row r="7011" spans="12:15">
      <c r="L7011" s="2"/>
      <c r="N7011" s="2"/>
      <c r="O7011" s="2"/>
    </row>
    <row r="7012" spans="12:15">
      <c r="L7012" s="2"/>
      <c r="N7012" s="2"/>
      <c r="O7012" s="2"/>
    </row>
    <row r="7013" spans="12:15">
      <c r="L7013" s="2"/>
      <c r="N7013" s="2"/>
      <c r="O7013" s="2"/>
    </row>
    <row r="7014" spans="12:15">
      <c r="L7014" s="2"/>
      <c r="N7014" s="2"/>
      <c r="O7014" s="2"/>
    </row>
    <row r="7015" spans="12:15">
      <c r="L7015" s="2"/>
      <c r="N7015" s="2"/>
      <c r="O7015" s="2"/>
    </row>
    <row r="7016" spans="12:15">
      <c r="L7016" s="2"/>
      <c r="N7016" s="2"/>
      <c r="O7016" s="2"/>
    </row>
    <row r="7017" spans="12:15">
      <c r="L7017" s="2"/>
      <c r="N7017" s="2"/>
      <c r="O7017" s="2"/>
    </row>
    <row r="7018" spans="12:15">
      <c r="L7018" s="2"/>
      <c r="N7018" s="2"/>
      <c r="O7018" s="2"/>
    </row>
    <row r="7019" spans="12:15">
      <c r="L7019" s="2"/>
      <c r="N7019" s="2"/>
      <c r="O7019" s="2"/>
    </row>
    <row r="7020" spans="12:15">
      <c r="L7020" s="2"/>
      <c r="N7020" s="2"/>
      <c r="O7020" s="2"/>
    </row>
    <row r="7021" spans="12:15">
      <c r="L7021" s="2"/>
      <c r="N7021" s="2"/>
      <c r="O7021" s="2"/>
    </row>
    <row r="7022" spans="12:15">
      <c r="L7022" s="2"/>
      <c r="N7022" s="2"/>
      <c r="O7022" s="2"/>
    </row>
    <row r="7023" spans="12:15">
      <c r="L7023" s="2"/>
      <c r="N7023" s="2"/>
      <c r="O7023" s="2"/>
    </row>
    <row r="7024" spans="12:15">
      <c r="L7024" s="2"/>
      <c r="N7024" s="2"/>
      <c r="O7024" s="2"/>
    </row>
    <row r="7025" spans="12:15">
      <c r="L7025" s="2"/>
      <c r="N7025" s="2"/>
      <c r="O7025" s="2"/>
    </row>
    <row r="7026" spans="12:15">
      <c r="L7026" s="2"/>
      <c r="N7026" s="2"/>
      <c r="O7026" s="2"/>
    </row>
    <row r="7027" spans="12:15">
      <c r="L7027" s="2"/>
      <c r="N7027" s="2"/>
      <c r="O7027" s="2"/>
    </row>
    <row r="7028" spans="12:15">
      <c r="L7028" s="2"/>
      <c r="N7028" s="2"/>
      <c r="O7028" s="2"/>
    </row>
    <row r="7029" spans="12:15">
      <c r="L7029" s="2"/>
      <c r="N7029" s="2"/>
      <c r="O7029" s="2"/>
    </row>
    <row r="7030" spans="12:15">
      <c r="L7030" s="2"/>
      <c r="N7030" s="2"/>
      <c r="O7030" s="2"/>
    </row>
    <row r="7031" spans="12:15">
      <c r="L7031" s="2"/>
      <c r="N7031" s="2"/>
      <c r="O7031" s="2"/>
    </row>
    <row r="7032" spans="12:15">
      <c r="L7032" s="2"/>
      <c r="N7032" s="2"/>
      <c r="O7032" s="2"/>
    </row>
    <row r="7033" spans="12:15">
      <c r="L7033" s="2"/>
      <c r="N7033" s="2"/>
      <c r="O7033" s="2"/>
    </row>
    <row r="7034" spans="12:15">
      <c r="L7034" s="2"/>
      <c r="N7034" s="2"/>
      <c r="O7034" s="2"/>
    </row>
    <row r="7035" spans="12:15">
      <c r="L7035" s="2"/>
      <c r="N7035" s="2"/>
      <c r="O7035" s="2"/>
    </row>
    <row r="7036" spans="12:15">
      <c r="L7036" s="2"/>
      <c r="N7036" s="2"/>
      <c r="O7036" s="2"/>
    </row>
    <row r="7037" spans="12:15">
      <c r="L7037" s="2"/>
      <c r="N7037" s="2"/>
      <c r="O7037" s="2"/>
    </row>
    <row r="7038" spans="12:15">
      <c r="L7038" s="2"/>
      <c r="N7038" s="2"/>
      <c r="O7038" s="2"/>
    </row>
    <row r="7039" spans="12:15">
      <c r="L7039" s="2"/>
      <c r="N7039" s="2"/>
      <c r="O7039" s="2"/>
    </row>
    <row r="7040" spans="12:15">
      <c r="L7040" s="2"/>
      <c r="N7040" s="2"/>
      <c r="O7040" s="2"/>
    </row>
    <row r="7041" spans="12:15">
      <c r="L7041" s="2"/>
      <c r="N7041" s="2"/>
      <c r="O7041" s="2"/>
    </row>
    <row r="7042" spans="12:15">
      <c r="L7042" s="2"/>
      <c r="N7042" s="2"/>
      <c r="O7042" s="2"/>
    </row>
    <row r="7043" spans="12:15">
      <c r="L7043" s="2"/>
      <c r="N7043" s="2"/>
      <c r="O7043" s="2"/>
    </row>
    <row r="7044" spans="12:15">
      <c r="L7044" s="2"/>
      <c r="N7044" s="2"/>
      <c r="O7044" s="2"/>
    </row>
    <row r="7045" spans="12:15">
      <c r="L7045" s="2"/>
      <c r="N7045" s="2"/>
      <c r="O7045" s="2"/>
    </row>
    <row r="7046" spans="12:15">
      <c r="L7046" s="2"/>
      <c r="N7046" s="2"/>
      <c r="O7046" s="2"/>
    </row>
    <row r="7047" spans="12:15">
      <c r="L7047" s="2"/>
      <c r="N7047" s="2"/>
      <c r="O7047" s="2"/>
    </row>
    <row r="7048" spans="12:15">
      <c r="L7048" s="2"/>
      <c r="N7048" s="2"/>
      <c r="O7048" s="2"/>
    </row>
    <row r="7049" spans="12:15">
      <c r="L7049" s="2"/>
      <c r="N7049" s="2"/>
      <c r="O7049" s="2"/>
    </row>
    <row r="7050" spans="12:15">
      <c r="L7050" s="2"/>
      <c r="N7050" s="2"/>
      <c r="O7050" s="2"/>
    </row>
    <row r="7051" spans="12:15">
      <c r="L7051" s="2"/>
      <c r="N7051" s="2"/>
      <c r="O7051" s="2"/>
    </row>
    <row r="7052" spans="12:15">
      <c r="L7052" s="2"/>
      <c r="N7052" s="2"/>
      <c r="O7052" s="2"/>
    </row>
    <row r="7053" spans="12:15">
      <c r="L7053" s="2"/>
      <c r="N7053" s="2"/>
      <c r="O7053" s="2"/>
    </row>
    <row r="7054" spans="12:15">
      <c r="L7054" s="2"/>
      <c r="N7054" s="2"/>
      <c r="O7054" s="2"/>
    </row>
    <row r="7055" spans="12:15">
      <c r="L7055" s="2"/>
      <c r="N7055" s="2"/>
      <c r="O7055" s="2"/>
    </row>
    <row r="7056" spans="12:15">
      <c r="L7056" s="2"/>
      <c r="N7056" s="2"/>
      <c r="O7056" s="2"/>
    </row>
    <row r="7057" spans="12:15">
      <c r="L7057" s="2"/>
      <c r="N7057" s="2"/>
      <c r="O7057" s="2"/>
    </row>
    <row r="7058" spans="12:15">
      <c r="L7058" s="2"/>
      <c r="N7058" s="2"/>
      <c r="O7058" s="2"/>
    </row>
    <row r="7059" spans="12:15">
      <c r="L7059" s="2"/>
      <c r="N7059" s="2"/>
      <c r="O7059" s="2"/>
    </row>
    <row r="7060" spans="12:15">
      <c r="L7060" s="2"/>
      <c r="N7060" s="2"/>
      <c r="O7060" s="2"/>
    </row>
    <row r="7061" spans="12:15">
      <c r="L7061" s="2"/>
      <c r="N7061" s="2"/>
      <c r="O7061" s="2"/>
    </row>
    <row r="7062" spans="12:15">
      <c r="L7062" s="2"/>
      <c r="N7062" s="2"/>
      <c r="O7062" s="2"/>
    </row>
    <row r="7063" spans="12:15">
      <c r="L7063" s="2"/>
      <c r="N7063" s="2"/>
      <c r="O7063" s="2"/>
    </row>
    <row r="7064" spans="12:15">
      <c r="L7064" s="2"/>
      <c r="N7064" s="2"/>
      <c r="O7064" s="2"/>
    </row>
    <row r="7065" spans="12:15">
      <c r="L7065" s="2"/>
      <c r="N7065" s="2"/>
      <c r="O7065" s="2"/>
    </row>
    <row r="7066" spans="12:15">
      <c r="L7066" s="2"/>
      <c r="N7066" s="2"/>
      <c r="O7066" s="2"/>
    </row>
    <row r="7067" spans="12:15">
      <c r="L7067" s="2"/>
      <c r="N7067" s="2"/>
      <c r="O7067" s="2"/>
    </row>
    <row r="7068" spans="12:15">
      <c r="L7068" s="2"/>
      <c r="N7068" s="2"/>
      <c r="O7068" s="2"/>
    </row>
    <row r="7069" spans="12:15">
      <c r="L7069" s="2"/>
      <c r="N7069" s="2"/>
      <c r="O7069" s="2"/>
    </row>
    <row r="7070" spans="12:15">
      <c r="L7070" s="2"/>
      <c r="N7070" s="2"/>
      <c r="O7070" s="2"/>
    </row>
    <row r="7071" spans="12:15">
      <c r="L7071" s="2"/>
      <c r="N7071" s="2"/>
      <c r="O7071" s="2"/>
    </row>
    <row r="7072" spans="12:15">
      <c r="L7072" s="2"/>
      <c r="N7072" s="2"/>
      <c r="O7072" s="2"/>
    </row>
    <row r="7073" spans="12:15">
      <c r="L7073" s="2"/>
      <c r="N7073" s="2"/>
      <c r="O7073" s="2"/>
    </row>
    <row r="7074" spans="12:15">
      <c r="L7074" s="2"/>
      <c r="N7074" s="2"/>
      <c r="O7074" s="2"/>
    </row>
    <row r="7075" spans="12:15">
      <c r="L7075" s="2"/>
      <c r="N7075" s="2"/>
      <c r="O7075" s="2"/>
    </row>
    <row r="7076" spans="12:15">
      <c r="L7076" s="2"/>
      <c r="N7076" s="2"/>
      <c r="O7076" s="2"/>
    </row>
    <row r="7077" spans="12:15">
      <c r="L7077" s="2"/>
      <c r="N7077" s="2"/>
      <c r="O7077" s="2"/>
    </row>
    <row r="7078" spans="12:15">
      <c r="L7078" s="2"/>
      <c r="N7078" s="2"/>
      <c r="O7078" s="2"/>
    </row>
    <row r="7079" spans="12:15">
      <c r="L7079" s="2"/>
      <c r="N7079" s="2"/>
      <c r="O7079" s="2"/>
    </row>
    <row r="7080" spans="12:15">
      <c r="L7080" s="2"/>
      <c r="N7080" s="2"/>
      <c r="O7080" s="2"/>
    </row>
    <row r="7081" spans="12:15">
      <c r="L7081" s="2"/>
      <c r="N7081" s="2"/>
      <c r="O7081" s="2"/>
    </row>
    <row r="7082" spans="12:15">
      <c r="L7082" s="2"/>
      <c r="N7082" s="2"/>
      <c r="O7082" s="2"/>
    </row>
    <row r="7083" spans="12:15">
      <c r="L7083" s="2"/>
      <c r="N7083" s="2"/>
      <c r="O7083" s="2"/>
    </row>
    <row r="7084" spans="12:15">
      <c r="L7084" s="2"/>
      <c r="N7084" s="2"/>
      <c r="O7084" s="2"/>
    </row>
    <row r="7085" spans="12:15">
      <c r="L7085" s="2"/>
      <c r="N7085" s="2"/>
      <c r="O7085" s="2"/>
    </row>
    <row r="7086" spans="12:15">
      <c r="L7086" s="2"/>
      <c r="N7086" s="2"/>
      <c r="O7086" s="2"/>
    </row>
    <row r="7087" spans="12:15">
      <c r="L7087" s="2"/>
      <c r="N7087" s="2"/>
      <c r="O7087" s="2"/>
    </row>
    <row r="7088" spans="12:15">
      <c r="L7088" s="2"/>
      <c r="N7088" s="2"/>
      <c r="O7088" s="2"/>
    </row>
    <row r="7089" spans="12:15">
      <c r="L7089" s="2"/>
      <c r="N7089" s="2"/>
      <c r="O7089" s="2"/>
    </row>
    <row r="7090" spans="12:15">
      <c r="L7090" s="2"/>
      <c r="N7090" s="2"/>
      <c r="O7090" s="2"/>
    </row>
    <row r="7091" spans="12:15">
      <c r="L7091" s="2"/>
      <c r="N7091" s="2"/>
      <c r="O7091" s="2"/>
    </row>
    <row r="7092" spans="12:15">
      <c r="L7092" s="2"/>
      <c r="N7092" s="2"/>
      <c r="O7092" s="2"/>
    </row>
    <row r="7093" spans="12:15">
      <c r="L7093" s="2"/>
      <c r="N7093" s="2"/>
      <c r="O7093" s="2"/>
    </row>
    <row r="7094" spans="12:15">
      <c r="L7094" s="2"/>
      <c r="N7094" s="2"/>
      <c r="O7094" s="2"/>
    </row>
    <row r="7095" spans="12:15">
      <c r="L7095" s="2"/>
      <c r="N7095" s="2"/>
      <c r="O7095" s="2"/>
    </row>
    <row r="7096" spans="12:15">
      <c r="L7096" s="2"/>
      <c r="N7096" s="2"/>
      <c r="O7096" s="2"/>
    </row>
    <row r="7097" spans="12:15">
      <c r="L7097" s="2"/>
      <c r="N7097" s="2"/>
      <c r="O7097" s="2"/>
    </row>
    <row r="7098" spans="12:15">
      <c r="L7098" s="2"/>
      <c r="N7098" s="2"/>
      <c r="O7098" s="2"/>
    </row>
    <row r="7099" spans="12:15">
      <c r="L7099" s="2"/>
      <c r="N7099" s="2"/>
      <c r="O7099" s="2"/>
    </row>
    <row r="7100" spans="12:15">
      <c r="L7100" s="2"/>
      <c r="N7100" s="2"/>
      <c r="O7100" s="2"/>
    </row>
    <row r="7101" spans="12:15">
      <c r="L7101" s="2"/>
      <c r="N7101" s="2"/>
      <c r="O7101" s="2"/>
    </row>
    <row r="7102" spans="12:15">
      <c r="L7102" s="2"/>
      <c r="N7102" s="2"/>
      <c r="O7102" s="2"/>
    </row>
    <row r="7103" spans="12:15">
      <c r="L7103" s="2"/>
      <c r="N7103" s="2"/>
      <c r="O7103" s="2"/>
    </row>
    <row r="7104" spans="12:15">
      <c r="L7104" s="2"/>
      <c r="N7104" s="2"/>
      <c r="O7104" s="2"/>
    </row>
    <row r="7105" spans="12:15">
      <c r="L7105" s="2"/>
      <c r="N7105" s="2"/>
      <c r="O7105" s="2"/>
    </row>
    <row r="7106" spans="12:15">
      <c r="L7106" s="2"/>
      <c r="N7106" s="2"/>
      <c r="O7106" s="2"/>
    </row>
    <row r="7107" spans="12:15">
      <c r="L7107" s="2"/>
      <c r="N7107" s="2"/>
      <c r="O7107" s="2"/>
    </row>
    <row r="7108" spans="12:15">
      <c r="L7108" s="2"/>
      <c r="N7108" s="2"/>
      <c r="O7108" s="2"/>
    </row>
    <row r="7109" spans="12:15">
      <c r="L7109" s="2"/>
      <c r="N7109" s="2"/>
      <c r="O7109" s="2"/>
    </row>
    <row r="7110" spans="12:15">
      <c r="L7110" s="2"/>
      <c r="N7110" s="2"/>
      <c r="O7110" s="2"/>
    </row>
    <row r="7111" spans="12:15">
      <c r="L7111" s="2"/>
      <c r="N7111" s="2"/>
      <c r="O7111" s="2"/>
    </row>
    <row r="7112" spans="12:15">
      <c r="L7112" s="2"/>
      <c r="N7112" s="2"/>
      <c r="O7112" s="2"/>
    </row>
    <row r="7113" spans="12:15">
      <c r="L7113" s="2"/>
      <c r="N7113" s="2"/>
      <c r="O7113" s="2"/>
    </row>
    <row r="7114" spans="12:15">
      <c r="L7114" s="2"/>
      <c r="N7114" s="2"/>
      <c r="O7114" s="2"/>
    </row>
    <row r="7115" spans="12:15">
      <c r="L7115" s="2"/>
      <c r="N7115" s="2"/>
      <c r="O7115" s="2"/>
    </row>
    <row r="7116" spans="12:15">
      <c r="L7116" s="2"/>
      <c r="N7116" s="2"/>
      <c r="O7116" s="2"/>
    </row>
    <row r="7117" spans="12:15">
      <c r="L7117" s="2"/>
      <c r="N7117" s="2"/>
      <c r="O7117" s="2"/>
    </row>
    <row r="7118" spans="12:15">
      <c r="L7118" s="2"/>
      <c r="N7118" s="2"/>
      <c r="O7118" s="2"/>
    </row>
    <row r="7119" spans="12:15">
      <c r="L7119" s="2"/>
      <c r="N7119" s="2"/>
      <c r="O7119" s="2"/>
    </row>
    <row r="7120" spans="12:15">
      <c r="L7120" s="2"/>
      <c r="N7120" s="2"/>
      <c r="O7120" s="2"/>
    </row>
    <row r="7121" spans="12:15">
      <c r="L7121" s="2"/>
      <c r="N7121" s="2"/>
      <c r="O7121" s="2"/>
    </row>
    <row r="7122" spans="12:15">
      <c r="L7122" s="2"/>
      <c r="N7122" s="2"/>
      <c r="O7122" s="2"/>
    </row>
    <row r="7123" spans="12:15">
      <c r="L7123" s="2"/>
      <c r="N7123" s="2"/>
      <c r="O7123" s="2"/>
    </row>
    <row r="7124" spans="12:15">
      <c r="L7124" s="2"/>
      <c r="N7124" s="2"/>
      <c r="O7124" s="2"/>
    </row>
    <row r="7125" spans="12:15">
      <c r="L7125" s="2"/>
      <c r="N7125" s="2"/>
      <c r="O7125" s="2"/>
    </row>
    <row r="7126" spans="12:15">
      <c r="L7126" s="2"/>
      <c r="N7126" s="2"/>
      <c r="O7126" s="2"/>
    </row>
    <row r="7127" spans="12:15">
      <c r="L7127" s="2"/>
      <c r="N7127" s="2"/>
      <c r="O7127" s="2"/>
    </row>
    <row r="7128" spans="12:15">
      <c r="L7128" s="2"/>
      <c r="N7128" s="2"/>
      <c r="O7128" s="2"/>
    </row>
    <row r="7129" spans="12:15">
      <c r="L7129" s="2"/>
      <c r="N7129" s="2"/>
      <c r="O7129" s="2"/>
    </row>
    <row r="7130" spans="12:15">
      <c r="L7130" s="2"/>
      <c r="N7130" s="2"/>
      <c r="O7130" s="2"/>
    </row>
    <row r="7131" spans="12:15">
      <c r="L7131" s="2"/>
      <c r="N7131" s="2"/>
      <c r="O7131" s="2"/>
    </row>
    <row r="7132" spans="12:15">
      <c r="L7132" s="2"/>
      <c r="N7132" s="2"/>
      <c r="O7132" s="2"/>
    </row>
    <row r="7133" spans="12:15">
      <c r="L7133" s="2"/>
      <c r="N7133" s="2"/>
      <c r="O7133" s="2"/>
    </row>
    <row r="7134" spans="12:15">
      <c r="L7134" s="2"/>
      <c r="N7134" s="2"/>
      <c r="O7134" s="2"/>
    </row>
    <row r="7135" spans="12:15">
      <c r="L7135" s="2"/>
      <c r="N7135" s="2"/>
      <c r="O7135" s="2"/>
    </row>
    <row r="7136" spans="12:15">
      <c r="L7136" s="2"/>
      <c r="N7136" s="2"/>
      <c r="O7136" s="2"/>
    </row>
    <row r="7137" spans="12:15">
      <c r="L7137" s="2"/>
      <c r="N7137" s="2"/>
      <c r="O7137" s="2"/>
    </row>
    <row r="7138" spans="12:15">
      <c r="L7138" s="2"/>
      <c r="N7138" s="2"/>
      <c r="O7138" s="2"/>
    </row>
    <row r="7139" spans="12:15">
      <c r="L7139" s="2"/>
      <c r="N7139" s="2"/>
      <c r="O7139" s="2"/>
    </row>
    <row r="7140" spans="12:15">
      <c r="L7140" s="2"/>
      <c r="N7140" s="2"/>
      <c r="O7140" s="2"/>
    </row>
    <row r="7141" spans="12:15">
      <c r="L7141" s="2"/>
      <c r="N7141" s="2"/>
      <c r="O7141" s="2"/>
    </row>
    <row r="7142" spans="12:15">
      <c r="L7142" s="2"/>
      <c r="N7142" s="2"/>
      <c r="O7142" s="2"/>
    </row>
    <row r="7143" spans="12:15">
      <c r="L7143" s="2"/>
      <c r="N7143" s="2"/>
      <c r="O7143" s="2"/>
    </row>
    <row r="7144" spans="12:15">
      <c r="L7144" s="2"/>
      <c r="N7144" s="2"/>
      <c r="O7144" s="2"/>
    </row>
    <row r="7145" spans="12:15">
      <c r="L7145" s="2"/>
      <c r="N7145" s="2"/>
      <c r="O7145" s="2"/>
    </row>
    <row r="7146" spans="12:15">
      <c r="L7146" s="2"/>
      <c r="N7146" s="2"/>
      <c r="O7146" s="2"/>
    </row>
    <row r="7147" spans="12:15">
      <c r="L7147" s="2"/>
      <c r="N7147" s="2"/>
      <c r="O7147" s="2"/>
    </row>
    <row r="7148" spans="12:15">
      <c r="L7148" s="2"/>
      <c r="N7148" s="2"/>
      <c r="O7148" s="2"/>
    </row>
    <row r="7149" spans="12:15">
      <c r="L7149" s="2"/>
      <c r="N7149" s="2"/>
      <c r="O7149" s="2"/>
    </row>
    <row r="7150" spans="12:15">
      <c r="L7150" s="2"/>
      <c r="N7150" s="2"/>
      <c r="O7150" s="2"/>
    </row>
    <row r="7151" spans="12:15">
      <c r="L7151" s="2"/>
      <c r="N7151" s="2"/>
      <c r="O7151" s="2"/>
    </row>
    <row r="7152" spans="12:15">
      <c r="L7152" s="2"/>
      <c r="N7152" s="2"/>
      <c r="O7152" s="2"/>
    </row>
    <row r="7153" spans="12:15">
      <c r="L7153" s="2"/>
      <c r="N7153" s="2"/>
      <c r="O7153" s="2"/>
    </row>
    <row r="7154" spans="12:15">
      <c r="L7154" s="2"/>
      <c r="N7154" s="2"/>
      <c r="O7154" s="2"/>
    </row>
    <row r="7155" spans="12:15">
      <c r="L7155" s="2"/>
      <c r="N7155" s="2"/>
      <c r="O7155" s="2"/>
    </row>
    <row r="7156" spans="12:15">
      <c r="L7156" s="2"/>
      <c r="N7156" s="2"/>
      <c r="O7156" s="2"/>
    </row>
    <row r="7157" spans="12:15">
      <c r="L7157" s="2"/>
      <c r="N7157" s="2"/>
      <c r="O7157" s="2"/>
    </row>
    <row r="7158" spans="12:15">
      <c r="L7158" s="2"/>
      <c r="N7158" s="2"/>
      <c r="O7158" s="2"/>
    </row>
    <row r="7159" spans="12:15">
      <c r="L7159" s="2"/>
      <c r="N7159" s="2"/>
      <c r="O7159" s="2"/>
    </row>
    <row r="7160" spans="12:15">
      <c r="L7160" s="2"/>
      <c r="N7160" s="2"/>
      <c r="O7160" s="2"/>
    </row>
    <row r="7161" spans="12:15">
      <c r="L7161" s="2"/>
      <c r="N7161" s="2"/>
      <c r="O7161" s="2"/>
    </row>
    <row r="7162" spans="12:15">
      <c r="L7162" s="2"/>
      <c r="N7162" s="2"/>
      <c r="O7162" s="2"/>
    </row>
    <row r="7163" spans="12:15">
      <c r="L7163" s="2"/>
      <c r="N7163" s="2"/>
      <c r="O7163" s="2"/>
    </row>
    <row r="7164" spans="12:15">
      <c r="L7164" s="2"/>
      <c r="N7164" s="2"/>
      <c r="O7164" s="2"/>
    </row>
    <row r="7165" spans="12:15">
      <c r="L7165" s="2"/>
      <c r="N7165" s="2"/>
      <c r="O7165" s="2"/>
    </row>
    <row r="7166" spans="12:15">
      <c r="L7166" s="2"/>
      <c r="N7166" s="2"/>
      <c r="O7166" s="2"/>
    </row>
    <row r="7167" spans="12:15">
      <c r="L7167" s="2"/>
      <c r="N7167" s="2"/>
      <c r="O7167" s="2"/>
    </row>
    <row r="7168" spans="12:15">
      <c r="L7168" s="2"/>
      <c r="N7168" s="2"/>
      <c r="O7168" s="2"/>
    </row>
    <row r="7169" spans="12:15">
      <c r="L7169" s="2"/>
      <c r="N7169" s="2"/>
      <c r="O7169" s="2"/>
    </row>
    <row r="7170" spans="12:15">
      <c r="L7170" s="2"/>
      <c r="N7170" s="2"/>
      <c r="O7170" s="2"/>
    </row>
    <row r="7171" spans="12:15">
      <c r="L7171" s="2"/>
      <c r="N7171" s="2"/>
      <c r="O7171" s="2"/>
    </row>
    <row r="7172" spans="12:15">
      <c r="L7172" s="2"/>
      <c r="N7172" s="2"/>
      <c r="O7172" s="2"/>
    </row>
    <row r="7173" spans="12:15">
      <c r="L7173" s="2"/>
      <c r="N7173" s="2"/>
      <c r="O7173" s="2"/>
    </row>
    <row r="7174" spans="12:15">
      <c r="L7174" s="2"/>
      <c r="N7174" s="2"/>
      <c r="O7174" s="2"/>
    </row>
    <row r="7175" spans="12:15">
      <c r="L7175" s="2"/>
      <c r="N7175" s="2"/>
      <c r="O7175" s="2"/>
    </row>
    <row r="7176" spans="12:15">
      <c r="L7176" s="2"/>
      <c r="N7176" s="2"/>
      <c r="O7176" s="2"/>
    </row>
    <row r="7177" spans="12:15">
      <c r="L7177" s="2"/>
      <c r="N7177" s="2"/>
      <c r="O7177" s="2"/>
    </row>
    <row r="7178" spans="12:15">
      <c r="L7178" s="2"/>
      <c r="N7178" s="2"/>
      <c r="O7178" s="2"/>
    </row>
    <row r="7179" spans="12:15">
      <c r="L7179" s="2"/>
      <c r="N7179" s="2"/>
      <c r="O7179" s="2"/>
    </row>
    <row r="7180" spans="12:15">
      <c r="L7180" s="2"/>
      <c r="N7180" s="2"/>
      <c r="O7180" s="2"/>
    </row>
    <row r="7181" spans="12:15">
      <c r="L7181" s="2"/>
      <c r="N7181" s="2"/>
      <c r="O7181" s="2"/>
    </row>
    <row r="7182" spans="12:15">
      <c r="L7182" s="2"/>
      <c r="N7182" s="2"/>
      <c r="O7182" s="2"/>
    </row>
    <row r="7183" spans="12:15">
      <c r="L7183" s="2"/>
      <c r="N7183" s="2"/>
      <c r="O7183" s="2"/>
    </row>
    <row r="7184" spans="12:15">
      <c r="L7184" s="2"/>
      <c r="N7184" s="2"/>
      <c r="O7184" s="2"/>
    </row>
    <row r="7185" spans="12:15">
      <c r="L7185" s="2"/>
      <c r="N7185" s="2"/>
      <c r="O7185" s="2"/>
    </row>
    <row r="7186" spans="12:15">
      <c r="L7186" s="2"/>
      <c r="N7186" s="2"/>
      <c r="O7186" s="2"/>
    </row>
    <row r="7187" spans="12:15">
      <c r="L7187" s="2"/>
      <c r="N7187" s="2"/>
      <c r="O7187" s="2"/>
    </row>
    <row r="7188" spans="12:15">
      <c r="L7188" s="2"/>
      <c r="N7188" s="2"/>
      <c r="O7188" s="2"/>
    </row>
    <row r="7189" spans="12:15">
      <c r="L7189" s="2"/>
      <c r="N7189" s="2"/>
      <c r="O7189" s="2"/>
    </row>
    <row r="7190" spans="12:15">
      <c r="L7190" s="2"/>
      <c r="N7190" s="2"/>
      <c r="O7190" s="2"/>
    </row>
    <row r="7191" spans="12:15">
      <c r="L7191" s="2"/>
      <c r="N7191" s="2"/>
      <c r="O7191" s="2"/>
    </row>
    <row r="7192" spans="12:15">
      <c r="L7192" s="2"/>
      <c r="N7192" s="2"/>
      <c r="O7192" s="2"/>
    </row>
    <row r="7193" spans="12:15">
      <c r="L7193" s="2"/>
      <c r="N7193" s="2"/>
      <c r="O7193" s="2"/>
    </row>
    <row r="7194" spans="12:15">
      <c r="L7194" s="2"/>
      <c r="N7194" s="2"/>
      <c r="O7194" s="2"/>
    </row>
    <row r="7195" spans="12:15">
      <c r="L7195" s="2"/>
      <c r="N7195" s="2"/>
      <c r="O7195" s="2"/>
    </row>
    <row r="7196" spans="12:15">
      <c r="L7196" s="2"/>
      <c r="N7196" s="2"/>
      <c r="O7196" s="2"/>
    </row>
    <row r="7197" spans="12:15">
      <c r="L7197" s="2"/>
      <c r="N7197" s="2"/>
      <c r="O7197" s="2"/>
    </row>
    <row r="7198" spans="12:15">
      <c r="L7198" s="2"/>
      <c r="N7198" s="2"/>
      <c r="O7198" s="2"/>
    </row>
    <row r="7199" spans="12:15">
      <c r="L7199" s="2"/>
      <c r="N7199" s="2"/>
      <c r="O7199" s="2"/>
    </row>
    <row r="7200" spans="12:15">
      <c r="L7200" s="2"/>
      <c r="N7200" s="2"/>
      <c r="O7200" s="2"/>
    </row>
    <row r="7201" spans="12:15">
      <c r="L7201" s="2"/>
      <c r="N7201" s="2"/>
      <c r="O7201" s="2"/>
    </row>
    <row r="7202" spans="12:15">
      <c r="L7202" s="2"/>
      <c r="N7202" s="2"/>
      <c r="O7202" s="2"/>
    </row>
    <row r="7203" spans="12:15">
      <c r="L7203" s="2"/>
      <c r="N7203" s="2"/>
      <c r="O7203" s="2"/>
    </row>
    <row r="7204" spans="12:15">
      <c r="L7204" s="2"/>
      <c r="N7204" s="2"/>
      <c r="O7204" s="2"/>
    </row>
    <row r="7205" spans="12:15">
      <c r="L7205" s="2"/>
      <c r="N7205" s="2"/>
      <c r="O7205" s="2"/>
    </row>
    <row r="7206" spans="12:15">
      <c r="L7206" s="2"/>
      <c r="N7206" s="2"/>
      <c r="O7206" s="2"/>
    </row>
    <row r="7207" spans="12:15">
      <c r="L7207" s="2"/>
      <c r="N7207" s="2"/>
      <c r="O7207" s="2"/>
    </row>
    <row r="7208" spans="12:15">
      <c r="L7208" s="2"/>
      <c r="N7208" s="2"/>
      <c r="O7208" s="2"/>
    </row>
    <row r="7209" spans="12:15">
      <c r="L7209" s="2"/>
      <c r="N7209" s="2"/>
      <c r="O7209" s="2"/>
    </row>
    <row r="7210" spans="12:15">
      <c r="L7210" s="2"/>
      <c r="N7210" s="2"/>
      <c r="O7210" s="2"/>
    </row>
    <row r="7211" spans="12:15">
      <c r="L7211" s="2"/>
      <c r="N7211" s="2"/>
      <c r="O7211" s="2"/>
    </row>
    <row r="7212" spans="12:15">
      <c r="L7212" s="2"/>
      <c r="N7212" s="2"/>
      <c r="O7212" s="2"/>
    </row>
    <row r="7213" spans="12:15">
      <c r="L7213" s="2"/>
      <c r="N7213" s="2"/>
      <c r="O7213" s="2"/>
    </row>
    <row r="7214" spans="12:15">
      <c r="L7214" s="2"/>
      <c r="N7214" s="2"/>
      <c r="O7214" s="2"/>
    </row>
    <row r="7215" spans="12:15">
      <c r="L7215" s="2"/>
      <c r="N7215" s="2"/>
      <c r="O7215" s="2"/>
    </row>
    <row r="7216" spans="12:15">
      <c r="L7216" s="2"/>
      <c r="N7216" s="2"/>
      <c r="O7216" s="2"/>
    </row>
    <row r="7217" spans="12:15">
      <c r="L7217" s="2"/>
      <c r="N7217" s="2"/>
      <c r="O7217" s="2"/>
    </row>
    <row r="7218" spans="12:15">
      <c r="L7218" s="2"/>
      <c r="N7218" s="2"/>
      <c r="O7218" s="2"/>
    </row>
    <row r="7219" spans="12:15">
      <c r="L7219" s="2"/>
      <c r="N7219" s="2"/>
      <c r="O7219" s="2"/>
    </row>
    <row r="7220" spans="12:15">
      <c r="L7220" s="2"/>
      <c r="N7220" s="2"/>
      <c r="O7220" s="2"/>
    </row>
    <row r="7221" spans="12:15">
      <c r="L7221" s="2"/>
      <c r="N7221" s="2"/>
      <c r="O7221" s="2"/>
    </row>
    <row r="7222" spans="12:15">
      <c r="L7222" s="2"/>
      <c r="N7222" s="2"/>
      <c r="O7222" s="2"/>
    </row>
    <row r="7223" spans="12:15">
      <c r="L7223" s="2"/>
      <c r="N7223" s="2"/>
      <c r="O7223" s="2"/>
    </row>
    <row r="7224" spans="12:15">
      <c r="L7224" s="2"/>
      <c r="N7224" s="2"/>
      <c r="O7224" s="2"/>
    </row>
    <row r="7225" spans="12:15">
      <c r="L7225" s="2"/>
      <c r="N7225" s="2"/>
      <c r="O7225" s="2"/>
    </row>
    <row r="7226" spans="12:15">
      <c r="L7226" s="2"/>
      <c r="N7226" s="2"/>
      <c r="O7226" s="2"/>
    </row>
    <row r="7227" spans="12:15">
      <c r="L7227" s="2"/>
      <c r="N7227" s="2"/>
      <c r="O7227" s="2"/>
    </row>
    <row r="7228" spans="12:15">
      <c r="L7228" s="2"/>
      <c r="N7228" s="2"/>
      <c r="O7228" s="2"/>
    </row>
    <row r="7229" spans="12:15">
      <c r="L7229" s="2"/>
      <c r="N7229" s="2"/>
      <c r="O7229" s="2"/>
    </row>
    <row r="7230" spans="12:15">
      <c r="L7230" s="2"/>
      <c r="N7230" s="2"/>
      <c r="O7230" s="2"/>
    </row>
    <row r="7231" spans="12:15">
      <c r="L7231" s="2"/>
      <c r="N7231" s="2"/>
      <c r="O7231" s="2"/>
    </row>
    <row r="7232" spans="12:15">
      <c r="L7232" s="2"/>
      <c r="N7232" s="2"/>
      <c r="O7232" s="2"/>
    </row>
    <row r="7233" spans="12:15">
      <c r="L7233" s="2"/>
      <c r="N7233" s="2"/>
      <c r="O7233" s="2"/>
    </row>
    <row r="7234" spans="12:15">
      <c r="L7234" s="2"/>
      <c r="N7234" s="2"/>
      <c r="O7234" s="2"/>
    </row>
    <row r="7235" spans="12:15">
      <c r="L7235" s="2"/>
      <c r="N7235" s="2"/>
      <c r="O7235" s="2"/>
    </row>
    <row r="7236" spans="12:15">
      <c r="L7236" s="2"/>
      <c r="N7236" s="2"/>
      <c r="O7236" s="2"/>
    </row>
    <row r="7237" spans="12:15">
      <c r="L7237" s="2"/>
      <c r="N7237" s="2"/>
      <c r="O7237" s="2"/>
    </row>
    <row r="7238" spans="12:15">
      <c r="L7238" s="2"/>
      <c r="N7238" s="2"/>
      <c r="O7238" s="2"/>
    </row>
    <row r="7239" spans="12:15">
      <c r="L7239" s="2"/>
      <c r="N7239" s="2"/>
      <c r="O7239" s="2"/>
    </row>
    <row r="7240" spans="12:15">
      <c r="L7240" s="2"/>
      <c r="N7240" s="2"/>
      <c r="O7240" s="2"/>
    </row>
    <row r="7241" spans="12:15">
      <c r="L7241" s="2"/>
      <c r="N7241" s="2"/>
      <c r="O7241" s="2"/>
    </row>
    <row r="7242" spans="12:15">
      <c r="L7242" s="2"/>
      <c r="N7242" s="2"/>
      <c r="O7242" s="2"/>
    </row>
    <row r="7243" spans="12:15">
      <c r="L7243" s="2"/>
      <c r="N7243" s="2"/>
      <c r="O7243" s="2"/>
    </row>
    <row r="7244" spans="12:15">
      <c r="L7244" s="2"/>
      <c r="N7244" s="2"/>
      <c r="O7244" s="2"/>
    </row>
    <row r="7245" spans="12:15">
      <c r="L7245" s="2"/>
      <c r="N7245" s="2"/>
      <c r="O7245" s="2"/>
    </row>
    <row r="7246" spans="12:15">
      <c r="L7246" s="2"/>
      <c r="N7246" s="2"/>
      <c r="O7246" s="2"/>
    </row>
    <row r="7247" spans="12:15">
      <c r="L7247" s="2"/>
      <c r="N7247" s="2"/>
      <c r="O7247" s="2"/>
    </row>
    <row r="7248" spans="12:15">
      <c r="L7248" s="2"/>
      <c r="N7248" s="2"/>
      <c r="O7248" s="2"/>
    </row>
    <row r="7249" spans="12:15">
      <c r="L7249" s="2"/>
      <c r="N7249" s="2"/>
      <c r="O7249" s="2"/>
    </row>
    <row r="7250" spans="12:15">
      <c r="L7250" s="2"/>
      <c r="N7250" s="2"/>
      <c r="O7250" s="2"/>
    </row>
    <row r="7251" spans="12:15">
      <c r="L7251" s="2"/>
      <c r="N7251" s="2"/>
      <c r="O7251" s="2"/>
    </row>
    <row r="7252" spans="12:15">
      <c r="L7252" s="2"/>
      <c r="N7252" s="2"/>
      <c r="O7252" s="2"/>
    </row>
    <row r="7253" spans="12:15">
      <c r="L7253" s="2"/>
      <c r="N7253" s="2"/>
      <c r="O7253" s="2"/>
    </row>
    <row r="7254" spans="12:15">
      <c r="L7254" s="2"/>
      <c r="N7254" s="2"/>
      <c r="O7254" s="2"/>
    </row>
    <row r="7255" spans="12:15">
      <c r="L7255" s="2"/>
      <c r="N7255" s="2"/>
      <c r="O7255" s="2"/>
    </row>
    <row r="7256" spans="12:15">
      <c r="L7256" s="2"/>
      <c r="N7256" s="2"/>
      <c r="O7256" s="2"/>
    </row>
    <row r="7257" spans="12:15">
      <c r="L7257" s="2"/>
      <c r="N7257" s="2"/>
      <c r="O7257" s="2"/>
    </row>
    <row r="7258" spans="12:15">
      <c r="L7258" s="2"/>
      <c r="N7258" s="2"/>
      <c r="O7258" s="2"/>
    </row>
    <row r="7259" spans="12:15">
      <c r="L7259" s="2"/>
      <c r="N7259" s="2"/>
      <c r="O7259" s="2"/>
    </row>
    <row r="7260" spans="12:15">
      <c r="L7260" s="2"/>
      <c r="N7260" s="2"/>
      <c r="O7260" s="2"/>
    </row>
    <row r="7261" spans="12:15">
      <c r="L7261" s="2"/>
      <c r="N7261" s="2"/>
      <c r="O7261" s="2"/>
    </row>
    <row r="7262" spans="12:15">
      <c r="L7262" s="2"/>
      <c r="N7262" s="2"/>
      <c r="O7262" s="2"/>
    </row>
    <row r="7263" spans="12:15">
      <c r="L7263" s="2"/>
      <c r="N7263" s="2"/>
      <c r="O7263" s="2"/>
    </row>
    <row r="7264" spans="12:15">
      <c r="L7264" s="2"/>
      <c r="N7264" s="2"/>
      <c r="O7264" s="2"/>
    </row>
    <row r="7265" spans="12:15">
      <c r="L7265" s="2"/>
      <c r="N7265" s="2"/>
      <c r="O7265" s="2"/>
    </row>
    <row r="7266" spans="12:15">
      <c r="L7266" s="2"/>
      <c r="N7266" s="2"/>
      <c r="O7266" s="2"/>
    </row>
    <row r="7267" spans="12:15">
      <c r="L7267" s="2"/>
      <c r="N7267" s="2"/>
      <c r="O7267" s="2"/>
    </row>
    <row r="7268" spans="12:15">
      <c r="L7268" s="2"/>
      <c r="N7268" s="2"/>
      <c r="O7268" s="2"/>
    </row>
    <row r="7269" spans="12:15">
      <c r="L7269" s="2"/>
      <c r="N7269" s="2"/>
      <c r="O7269" s="2"/>
    </row>
    <row r="7270" spans="12:15">
      <c r="L7270" s="2"/>
      <c r="N7270" s="2"/>
      <c r="O7270" s="2"/>
    </row>
    <row r="7271" spans="12:15">
      <c r="L7271" s="2"/>
      <c r="N7271" s="2"/>
      <c r="O7271" s="2"/>
    </row>
    <row r="7272" spans="12:15">
      <c r="L7272" s="2"/>
      <c r="N7272" s="2"/>
      <c r="O7272" s="2"/>
    </row>
    <row r="7273" spans="12:15">
      <c r="L7273" s="2"/>
      <c r="N7273" s="2"/>
      <c r="O7273" s="2"/>
    </row>
    <row r="7274" spans="12:15">
      <c r="L7274" s="2"/>
      <c r="N7274" s="2"/>
      <c r="O7274" s="2"/>
    </row>
    <row r="7275" spans="12:15">
      <c r="L7275" s="2"/>
      <c r="N7275" s="2"/>
      <c r="O7275" s="2"/>
    </row>
    <row r="7276" spans="12:15">
      <c r="L7276" s="2"/>
      <c r="N7276" s="2"/>
      <c r="O7276" s="2"/>
    </row>
    <row r="7277" spans="12:15">
      <c r="L7277" s="2"/>
      <c r="N7277" s="2"/>
      <c r="O7277" s="2"/>
    </row>
    <row r="7278" spans="12:15">
      <c r="L7278" s="2"/>
      <c r="N7278" s="2"/>
      <c r="O7278" s="2"/>
    </row>
    <row r="7279" spans="12:15">
      <c r="L7279" s="2"/>
      <c r="N7279" s="2"/>
      <c r="O7279" s="2"/>
    </row>
    <row r="7280" spans="12:15">
      <c r="L7280" s="2"/>
      <c r="N7280" s="2"/>
      <c r="O7280" s="2"/>
    </row>
    <row r="7281" spans="12:15">
      <c r="L7281" s="2"/>
      <c r="N7281" s="2"/>
      <c r="O7281" s="2"/>
    </row>
    <row r="7282" spans="12:15">
      <c r="L7282" s="2"/>
      <c r="N7282" s="2"/>
      <c r="O7282" s="2"/>
    </row>
    <row r="7283" spans="12:15">
      <c r="L7283" s="2"/>
      <c r="N7283" s="2"/>
      <c r="O7283" s="2"/>
    </row>
    <row r="7284" spans="12:15">
      <c r="L7284" s="2"/>
      <c r="N7284" s="2"/>
      <c r="O7284" s="2"/>
    </row>
    <row r="7285" spans="12:15">
      <c r="L7285" s="2"/>
      <c r="N7285" s="2"/>
      <c r="O7285" s="2"/>
    </row>
    <row r="7286" spans="12:15">
      <c r="L7286" s="2"/>
      <c r="N7286" s="2"/>
      <c r="O7286" s="2"/>
    </row>
    <row r="7287" spans="12:15">
      <c r="L7287" s="2"/>
      <c r="N7287" s="2"/>
      <c r="O7287" s="2"/>
    </row>
    <row r="7288" spans="12:15">
      <c r="L7288" s="2"/>
      <c r="N7288" s="2"/>
      <c r="O7288" s="2"/>
    </row>
    <row r="7289" spans="12:15">
      <c r="L7289" s="2"/>
      <c r="N7289" s="2"/>
      <c r="O7289" s="2"/>
    </row>
    <row r="7290" spans="12:15">
      <c r="L7290" s="2"/>
      <c r="N7290" s="2"/>
      <c r="O7290" s="2"/>
    </row>
    <row r="7291" spans="12:15">
      <c r="L7291" s="2"/>
      <c r="N7291" s="2"/>
      <c r="O7291" s="2"/>
    </row>
    <row r="7292" spans="12:15">
      <c r="L7292" s="2"/>
      <c r="N7292" s="2"/>
      <c r="O7292" s="2"/>
    </row>
    <row r="7293" spans="12:15">
      <c r="L7293" s="2"/>
      <c r="N7293" s="2"/>
      <c r="O7293" s="2"/>
    </row>
    <row r="7294" spans="12:15">
      <c r="L7294" s="2"/>
      <c r="N7294" s="2"/>
      <c r="O7294" s="2"/>
    </row>
    <row r="7295" spans="12:15">
      <c r="L7295" s="2"/>
      <c r="N7295" s="2"/>
      <c r="O7295" s="2"/>
    </row>
    <row r="7296" spans="12:15">
      <c r="L7296" s="2"/>
      <c r="N7296" s="2"/>
      <c r="O7296" s="2"/>
    </row>
    <row r="7297" spans="12:15">
      <c r="L7297" s="2"/>
      <c r="N7297" s="2"/>
      <c r="O7297" s="2"/>
    </row>
    <row r="7298" spans="12:15">
      <c r="L7298" s="2"/>
      <c r="N7298" s="2"/>
      <c r="O7298" s="2"/>
    </row>
    <row r="7299" spans="12:15">
      <c r="L7299" s="2"/>
      <c r="N7299" s="2"/>
      <c r="O7299" s="2"/>
    </row>
    <row r="7300" spans="12:15">
      <c r="L7300" s="2"/>
      <c r="N7300" s="2"/>
      <c r="O7300" s="2"/>
    </row>
    <row r="7301" spans="12:15">
      <c r="L7301" s="2"/>
      <c r="N7301" s="2"/>
      <c r="O7301" s="2"/>
    </row>
    <row r="7302" spans="12:15">
      <c r="L7302" s="2"/>
      <c r="N7302" s="2"/>
      <c r="O7302" s="2"/>
    </row>
    <row r="7303" spans="12:15">
      <c r="L7303" s="2"/>
      <c r="N7303" s="2"/>
      <c r="O7303" s="2"/>
    </row>
    <row r="7304" spans="12:15">
      <c r="L7304" s="2"/>
      <c r="N7304" s="2"/>
      <c r="O7304" s="2"/>
    </row>
    <row r="7305" spans="12:15">
      <c r="L7305" s="2"/>
      <c r="N7305" s="2"/>
      <c r="O7305" s="2"/>
    </row>
    <row r="7306" spans="12:15">
      <c r="L7306" s="2"/>
      <c r="N7306" s="2"/>
      <c r="O7306" s="2"/>
    </row>
    <row r="7307" spans="12:15">
      <c r="L7307" s="2"/>
      <c r="N7307" s="2"/>
      <c r="O7307" s="2"/>
    </row>
    <row r="7308" spans="12:15">
      <c r="L7308" s="2"/>
      <c r="N7308" s="2"/>
      <c r="O7308" s="2"/>
    </row>
    <row r="7309" spans="12:15">
      <c r="L7309" s="2"/>
      <c r="N7309" s="2"/>
      <c r="O7309" s="2"/>
    </row>
    <row r="7310" spans="12:15">
      <c r="L7310" s="2"/>
      <c r="N7310" s="2"/>
      <c r="O7310" s="2"/>
    </row>
    <row r="7311" spans="12:15">
      <c r="L7311" s="2"/>
      <c r="N7311" s="2"/>
      <c r="O7311" s="2"/>
    </row>
    <row r="7312" spans="12:15">
      <c r="L7312" s="2"/>
      <c r="N7312" s="2"/>
      <c r="O7312" s="2"/>
    </row>
    <row r="7313" spans="12:15">
      <c r="L7313" s="2"/>
      <c r="N7313" s="2"/>
      <c r="O7313" s="2"/>
    </row>
    <row r="7314" spans="12:15">
      <c r="L7314" s="2"/>
      <c r="N7314" s="2"/>
      <c r="O7314" s="2"/>
    </row>
    <row r="7315" spans="12:15">
      <c r="L7315" s="2"/>
      <c r="N7315" s="2"/>
      <c r="O7315" s="2"/>
    </row>
    <row r="7316" spans="12:15">
      <c r="L7316" s="2"/>
      <c r="N7316" s="2"/>
      <c r="O7316" s="2"/>
    </row>
    <row r="7317" spans="12:15">
      <c r="L7317" s="2"/>
      <c r="N7317" s="2"/>
      <c r="O7317" s="2"/>
    </row>
    <row r="7318" spans="12:15">
      <c r="L7318" s="2"/>
      <c r="N7318" s="2"/>
      <c r="O7318" s="2"/>
    </row>
    <row r="7319" spans="12:15">
      <c r="L7319" s="2"/>
      <c r="N7319" s="2"/>
      <c r="O7319" s="2"/>
    </row>
    <row r="7320" spans="12:15">
      <c r="L7320" s="2"/>
      <c r="N7320" s="2"/>
      <c r="O7320" s="2"/>
    </row>
    <row r="7321" spans="12:15">
      <c r="L7321" s="2"/>
      <c r="N7321" s="2"/>
      <c r="O7321" s="2"/>
    </row>
    <row r="7322" spans="12:15">
      <c r="L7322" s="2"/>
      <c r="N7322" s="2"/>
      <c r="O7322" s="2"/>
    </row>
    <row r="7323" spans="12:15">
      <c r="L7323" s="2"/>
      <c r="N7323" s="2"/>
      <c r="O7323" s="2"/>
    </row>
    <row r="7324" spans="12:15">
      <c r="L7324" s="2"/>
      <c r="N7324" s="2"/>
      <c r="O7324" s="2"/>
    </row>
    <row r="7325" spans="12:15">
      <c r="L7325" s="2"/>
      <c r="N7325" s="2"/>
      <c r="O7325" s="2"/>
    </row>
    <row r="7326" spans="12:15">
      <c r="L7326" s="2"/>
      <c r="N7326" s="2"/>
      <c r="O7326" s="2"/>
    </row>
    <row r="7327" spans="12:15">
      <c r="L7327" s="2"/>
      <c r="N7327" s="2"/>
      <c r="O7327" s="2"/>
    </row>
    <row r="7328" spans="12:15">
      <c r="L7328" s="2"/>
      <c r="N7328" s="2"/>
      <c r="O7328" s="2"/>
    </row>
    <row r="7329" spans="12:15">
      <c r="L7329" s="2"/>
      <c r="N7329" s="2"/>
      <c r="O7329" s="2"/>
    </row>
    <row r="7330" spans="12:15">
      <c r="L7330" s="2"/>
      <c r="N7330" s="2"/>
      <c r="O7330" s="2"/>
    </row>
    <row r="7331" spans="12:15">
      <c r="L7331" s="2"/>
      <c r="N7331" s="2"/>
      <c r="O7331" s="2"/>
    </row>
    <row r="7332" spans="12:15">
      <c r="L7332" s="2"/>
      <c r="N7332" s="2"/>
      <c r="O7332" s="2"/>
    </row>
    <row r="7333" spans="12:15">
      <c r="L7333" s="2"/>
      <c r="N7333" s="2"/>
      <c r="O7333" s="2"/>
    </row>
    <row r="7334" spans="12:15">
      <c r="L7334" s="2"/>
      <c r="N7334" s="2"/>
      <c r="O7334" s="2"/>
    </row>
    <row r="7335" spans="12:15">
      <c r="L7335" s="2"/>
      <c r="N7335" s="2"/>
      <c r="O7335" s="2"/>
    </row>
    <row r="7336" spans="12:15">
      <c r="L7336" s="2"/>
      <c r="N7336" s="2"/>
      <c r="O7336" s="2"/>
    </row>
    <row r="7337" spans="12:15">
      <c r="L7337" s="2"/>
      <c r="N7337" s="2"/>
      <c r="O7337" s="2"/>
    </row>
    <row r="7338" spans="12:15">
      <c r="L7338" s="2"/>
      <c r="N7338" s="2"/>
      <c r="O7338" s="2"/>
    </row>
    <row r="7339" spans="12:15">
      <c r="L7339" s="2"/>
      <c r="N7339" s="2"/>
      <c r="O7339" s="2"/>
    </row>
    <row r="7340" spans="12:15">
      <c r="L7340" s="2"/>
      <c r="N7340" s="2"/>
      <c r="O7340" s="2"/>
    </row>
    <row r="7341" spans="12:15">
      <c r="L7341" s="2"/>
      <c r="N7341" s="2"/>
      <c r="O7341" s="2"/>
    </row>
    <row r="7342" spans="12:15">
      <c r="L7342" s="2"/>
      <c r="N7342" s="2"/>
      <c r="O7342" s="2"/>
    </row>
    <row r="7343" spans="12:15">
      <c r="L7343" s="2"/>
      <c r="N7343" s="2"/>
      <c r="O7343" s="2"/>
    </row>
    <row r="7344" spans="12:15">
      <c r="L7344" s="2"/>
      <c r="N7344" s="2"/>
      <c r="O7344" s="2"/>
    </row>
    <row r="7345" spans="12:15">
      <c r="L7345" s="2"/>
      <c r="N7345" s="2"/>
      <c r="O7345" s="2"/>
    </row>
    <row r="7346" spans="12:15">
      <c r="L7346" s="2"/>
      <c r="N7346" s="2"/>
      <c r="O7346" s="2"/>
    </row>
    <row r="7347" spans="12:15">
      <c r="L7347" s="2"/>
      <c r="N7347" s="2"/>
      <c r="O7347" s="2"/>
    </row>
    <row r="7348" spans="12:15">
      <c r="L7348" s="2"/>
      <c r="N7348" s="2"/>
      <c r="O7348" s="2"/>
    </row>
    <row r="7349" spans="12:15">
      <c r="L7349" s="2"/>
      <c r="N7349" s="2"/>
      <c r="O7349" s="2"/>
    </row>
    <row r="7350" spans="12:15">
      <c r="L7350" s="2"/>
      <c r="N7350" s="2"/>
      <c r="O7350" s="2"/>
    </row>
    <row r="7351" spans="12:15">
      <c r="L7351" s="2"/>
      <c r="N7351" s="2"/>
      <c r="O7351" s="2"/>
    </row>
    <row r="7352" spans="12:15">
      <c r="L7352" s="2"/>
      <c r="N7352" s="2"/>
      <c r="O7352" s="2"/>
    </row>
    <row r="7353" spans="12:15">
      <c r="L7353" s="2"/>
      <c r="N7353" s="2"/>
      <c r="O7353" s="2"/>
    </row>
    <row r="7354" spans="12:15">
      <c r="L7354" s="2"/>
      <c r="N7354" s="2"/>
      <c r="O7354" s="2"/>
    </row>
    <row r="7355" spans="12:15">
      <c r="L7355" s="2"/>
      <c r="N7355" s="2"/>
      <c r="O7355" s="2"/>
    </row>
    <row r="7356" spans="12:15">
      <c r="L7356" s="2"/>
      <c r="N7356" s="2"/>
      <c r="O7356" s="2"/>
    </row>
    <row r="7357" spans="12:15">
      <c r="L7357" s="2"/>
      <c r="N7357" s="2"/>
      <c r="O7357" s="2"/>
    </row>
    <row r="7358" spans="12:15">
      <c r="L7358" s="2"/>
      <c r="N7358" s="2"/>
      <c r="O7358" s="2"/>
    </row>
    <row r="7359" spans="12:15">
      <c r="L7359" s="2"/>
      <c r="N7359" s="2"/>
      <c r="O7359" s="2"/>
    </row>
    <row r="7360" spans="12:15">
      <c r="L7360" s="2"/>
      <c r="N7360" s="2"/>
      <c r="O7360" s="2"/>
    </row>
    <row r="7361" spans="12:15">
      <c r="L7361" s="2"/>
      <c r="N7361" s="2"/>
      <c r="O7361" s="2"/>
    </row>
    <row r="7362" spans="12:15">
      <c r="L7362" s="2"/>
      <c r="N7362" s="2"/>
      <c r="O7362" s="2"/>
    </row>
    <row r="7363" spans="12:15">
      <c r="L7363" s="2"/>
      <c r="N7363" s="2"/>
      <c r="O7363" s="2"/>
    </row>
    <row r="7364" spans="12:15">
      <c r="L7364" s="2"/>
      <c r="N7364" s="2"/>
      <c r="O7364" s="2"/>
    </row>
    <row r="7365" spans="12:15">
      <c r="L7365" s="2"/>
      <c r="N7365" s="2"/>
      <c r="O7365" s="2"/>
    </row>
    <row r="7366" spans="12:15">
      <c r="L7366" s="2"/>
      <c r="N7366" s="2"/>
      <c r="O7366" s="2"/>
    </row>
    <row r="7367" spans="12:15">
      <c r="L7367" s="2"/>
      <c r="N7367" s="2"/>
      <c r="O7367" s="2"/>
    </row>
    <row r="7368" spans="12:15">
      <c r="L7368" s="2"/>
      <c r="N7368" s="2"/>
      <c r="O7368" s="2"/>
    </row>
    <row r="7369" spans="12:15">
      <c r="L7369" s="2"/>
      <c r="N7369" s="2"/>
      <c r="O7369" s="2"/>
    </row>
    <row r="7370" spans="12:15">
      <c r="L7370" s="2"/>
      <c r="N7370" s="2"/>
      <c r="O7370" s="2"/>
    </row>
    <row r="7371" spans="12:15">
      <c r="L7371" s="2"/>
      <c r="N7371" s="2"/>
      <c r="O7371" s="2"/>
    </row>
    <row r="7372" spans="12:15">
      <c r="L7372" s="2"/>
      <c r="N7372" s="2"/>
      <c r="O7372" s="2"/>
    </row>
    <row r="7373" spans="12:15">
      <c r="L7373" s="2"/>
      <c r="N7373" s="2"/>
      <c r="O7373" s="2"/>
    </row>
    <row r="7374" spans="12:15">
      <c r="L7374" s="2"/>
      <c r="N7374" s="2"/>
      <c r="O7374" s="2"/>
    </row>
    <row r="7375" spans="12:15">
      <c r="L7375" s="2"/>
      <c r="N7375" s="2"/>
      <c r="O7375" s="2"/>
    </row>
    <row r="7376" spans="12:15">
      <c r="L7376" s="2"/>
      <c r="N7376" s="2"/>
      <c r="O7376" s="2"/>
    </row>
    <row r="7377" spans="12:15">
      <c r="L7377" s="2"/>
      <c r="N7377" s="2"/>
      <c r="O7377" s="2"/>
    </row>
    <row r="7378" spans="12:15">
      <c r="L7378" s="2"/>
      <c r="N7378" s="2"/>
      <c r="O7378" s="2"/>
    </row>
    <row r="7379" spans="12:15">
      <c r="L7379" s="2"/>
      <c r="N7379" s="2"/>
      <c r="O7379" s="2"/>
    </row>
    <row r="7380" spans="12:15">
      <c r="L7380" s="2"/>
      <c r="N7380" s="2"/>
      <c r="O7380" s="2"/>
    </row>
    <row r="7381" spans="12:15">
      <c r="L7381" s="2"/>
      <c r="N7381" s="2"/>
      <c r="O7381" s="2"/>
    </row>
    <row r="7382" spans="12:15">
      <c r="L7382" s="2"/>
      <c r="N7382" s="2"/>
      <c r="O7382" s="2"/>
    </row>
    <row r="7383" spans="12:15">
      <c r="L7383" s="2"/>
      <c r="N7383" s="2"/>
      <c r="O7383" s="2"/>
    </row>
    <row r="7384" spans="12:15">
      <c r="L7384" s="2"/>
      <c r="N7384" s="2"/>
      <c r="O7384" s="2"/>
    </row>
    <row r="7385" spans="12:15">
      <c r="L7385" s="2"/>
      <c r="N7385" s="2"/>
      <c r="O7385" s="2"/>
    </row>
    <row r="7386" spans="12:15">
      <c r="L7386" s="2"/>
      <c r="N7386" s="2"/>
      <c r="O7386" s="2"/>
    </row>
    <row r="7387" spans="12:15">
      <c r="L7387" s="2"/>
      <c r="N7387" s="2"/>
      <c r="O7387" s="2"/>
    </row>
    <row r="7388" spans="12:15">
      <c r="L7388" s="2"/>
      <c r="N7388" s="2"/>
      <c r="O7388" s="2"/>
    </row>
    <row r="7389" spans="12:15">
      <c r="L7389" s="2"/>
      <c r="N7389" s="2"/>
      <c r="O7389" s="2"/>
    </row>
    <row r="7390" spans="12:15">
      <c r="L7390" s="2"/>
      <c r="N7390" s="2"/>
      <c r="O7390" s="2"/>
    </row>
    <row r="7391" spans="12:15">
      <c r="L7391" s="2"/>
      <c r="N7391" s="2"/>
      <c r="O7391" s="2"/>
    </row>
    <row r="7392" spans="12:15">
      <c r="L7392" s="2"/>
      <c r="N7392" s="2"/>
      <c r="O7392" s="2"/>
    </row>
    <row r="7393" spans="12:15">
      <c r="L7393" s="2"/>
      <c r="N7393" s="2"/>
      <c r="O7393" s="2"/>
    </row>
    <row r="7394" spans="12:15">
      <c r="L7394" s="2"/>
      <c r="N7394" s="2"/>
      <c r="O7394" s="2"/>
    </row>
    <row r="7395" spans="12:15">
      <c r="L7395" s="2"/>
      <c r="N7395" s="2"/>
      <c r="O7395" s="2"/>
    </row>
    <row r="7396" spans="12:15">
      <c r="L7396" s="2"/>
      <c r="N7396" s="2"/>
      <c r="O7396" s="2"/>
    </row>
    <row r="7397" spans="12:15">
      <c r="L7397" s="2"/>
      <c r="N7397" s="2"/>
      <c r="O7397" s="2"/>
    </row>
    <row r="7398" spans="12:15">
      <c r="L7398" s="2"/>
      <c r="N7398" s="2"/>
      <c r="O7398" s="2"/>
    </row>
    <row r="7399" spans="12:15">
      <c r="L7399" s="2"/>
      <c r="N7399" s="2"/>
      <c r="O7399" s="2"/>
    </row>
    <row r="7400" spans="12:15">
      <c r="L7400" s="2"/>
      <c r="N7400" s="2"/>
      <c r="O7400" s="2"/>
    </row>
    <row r="7401" spans="12:15">
      <c r="L7401" s="2"/>
      <c r="N7401" s="2"/>
      <c r="O7401" s="2"/>
    </row>
    <row r="7402" spans="12:15">
      <c r="L7402" s="2"/>
      <c r="N7402" s="2"/>
      <c r="O7402" s="2"/>
    </row>
    <row r="7403" spans="12:15">
      <c r="L7403" s="2"/>
      <c r="N7403" s="2"/>
      <c r="O7403" s="2"/>
    </row>
    <row r="7404" spans="12:15">
      <c r="L7404" s="2"/>
      <c r="N7404" s="2"/>
      <c r="O7404" s="2"/>
    </row>
    <row r="7405" spans="12:15">
      <c r="L7405" s="2"/>
      <c r="N7405" s="2"/>
      <c r="O7405" s="2"/>
    </row>
    <row r="7406" spans="12:15">
      <c r="L7406" s="2"/>
      <c r="N7406" s="2"/>
      <c r="O7406" s="2"/>
    </row>
    <row r="7407" spans="12:15">
      <c r="L7407" s="2"/>
      <c r="N7407" s="2"/>
      <c r="O7407" s="2"/>
    </row>
    <row r="7408" spans="12:15">
      <c r="L7408" s="2"/>
      <c r="N7408" s="2"/>
      <c r="O7408" s="2"/>
    </row>
    <row r="7409" spans="12:15">
      <c r="L7409" s="2"/>
      <c r="N7409" s="2"/>
      <c r="O7409" s="2"/>
    </row>
    <row r="7410" spans="12:15">
      <c r="L7410" s="2"/>
      <c r="N7410" s="2"/>
      <c r="O7410" s="2"/>
    </row>
    <row r="7411" spans="12:15">
      <c r="L7411" s="2"/>
      <c r="N7411" s="2"/>
      <c r="O7411" s="2"/>
    </row>
    <row r="7412" spans="12:15">
      <c r="L7412" s="2"/>
      <c r="N7412" s="2"/>
      <c r="O7412" s="2"/>
    </row>
    <row r="7413" spans="12:15">
      <c r="L7413" s="2"/>
      <c r="N7413" s="2"/>
      <c r="O7413" s="2"/>
    </row>
    <row r="7414" spans="12:15">
      <c r="L7414" s="2"/>
      <c r="N7414" s="2"/>
      <c r="O7414" s="2"/>
    </row>
    <row r="7415" spans="12:15">
      <c r="L7415" s="2"/>
      <c r="N7415" s="2"/>
      <c r="O7415" s="2"/>
    </row>
    <row r="7416" spans="12:15">
      <c r="L7416" s="2"/>
      <c r="N7416" s="2"/>
      <c r="O7416" s="2"/>
    </row>
    <row r="7417" spans="12:15">
      <c r="L7417" s="2"/>
      <c r="N7417" s="2"/>
      <c r="O7417" s="2"/>
    </row>
    <row r="7418" spans="12:15">
      <c r="L7418" s="2"/>
      <c r="N7418" s="2"/>
      <c r="O7418" s="2"/>
    </row>
    <row r="7419" spans="12:15">
      <c r="L7419" s="2"/>
      <c r="N7419" s="2"/>
      <c r="O7419" s="2"/>
    </row>
    <row r="7420" spans="12:15">
      <c r="L7420" s="2"/>
      <c r="N7420" s="2"/>
      <c r="O7420" s="2"/>
    </row>
    <row r="7421" spans="12:15">
      <c r="L7421" s="2"/>
      <c r="N7421" s="2"/>
      <c r="O7421" s="2"/>
    </row>
    <row r="7422" spans="12:15">
      <c r="L7422" s="2"/>
      <c r="N7422" s="2"/>
      <c r="O7422" s="2"/>
    </row>
    <row r="7423" spans="12:15">
      <c r="L7423" s="2"/>
      <c r="N7423" s="2"/>
      <c r="O7423" s="2"/>
    </row>
    <row r="7424" spans="12:15">
      <c r="L7424" s="2"/>
      <c r="N7424" s="2"/>
      <c r="O7424" s="2"/>
    </row>
    <row r="7425" spans="12:15">
      <c r="L7425" s="2"/>
      <c r="N7425" s="2"/>
      <c r="O7425" s="2"/>
    </row>
    <row r="7426" spans="12:15">
      <c r="L7426" s="2"/>
      <c r="N7426" s="2"/>
      <c r="O7426" s="2"/>
    </row>
    <row r="7427" spans="12:15">
      <c r="L7427" s="2"/>
      <c r="N7427" s="2"/>
      <c r="O7427" s="2"/>
    </row>
    <row r="7428" spans="12:15">
      <c r="L7428" s="2"/>
      <c r="N7428" s="2"/>
      <c r="O7428" s="2"/>
    </row>
    <row r="7429" spans="12:15">
      <c r="L7429" s="2"/>
      <c r="N7429" s="2"/>
      <c r="O7429" s="2"/>
    </row>
    <row r="7430" spans="12:15">
      <c r="L7430" s="2"/>
      <c r="N7430" s="2"/>
      <c r="O7430" s="2"/>
    </row>
    <row r="7431" spans="12:15">
      <c r="L7431" s="2"/>
      <c r="N7431" s="2"/>
      <c r="O7431" s="2"/>
    </row>
    <row r="7432" spans="12:15">
      <c r="L7432" s="2"/>
      <c r="N7432" s="2"/>
      <c r="O7432" s="2"/>
    </row>
    <row r="7433" spans="12:15">
      <c r="L7433" s="2"/>
      <c r="N7433" s="2"/>
      <c r="O7433" s="2"/>
    </row>
    <row r="7434" spans="12:15">
      <c r="L7434" s="2"/>
      <c r="N7434" s="2"/>
      <c r="O7434" s="2"/>
    </row>
    <row r="7435" spans="12:15">
      <c r="L7435" s="2"/>
      <c r="N7435" s="2"/>
      <c r="O7435" s="2"/>
    </row>
    <row r="7436" spans="12:15">
      <c r="L7436" s="2"/>
      <c r="N7436" s="2"/>
      <c r="O7436" s="2"/>
    </row>
    <row r="7437" spans="12:15">
      <c r="L7437" s="2"/>
      <c r="N7437" s="2"/>
      <c r="O7437" s="2"/>
    </row>
    <row r="7438" spans="12:15">
      <c r="L7438" s="2"/>
      <c r="N7438" s="2"/>
      <c r="O7438" s="2"/>
    </row>
    <row r="7439" spans="12:15">
      <c r="L7439" s="2"/>
      <c r="N7439" s="2"/>
      <c r="O7439" s="2"/>
    </row>
    <row r="7440" spans="12:15">
      <c r="L7440" s="2"/>
      <c r="N7440" s="2"/>
      <c r="O7440" s="2"/>
    </row>
    <row r="7441" spans="12:15">
      <c r="L7441" s="2"/>
      <c r="N7441" s="2"/>
      <c r="O7441" s="2"/>
    </row>
    <row r="7442" spans="12:15">
      <c r="L7442" s="2"/>
      <c r="N7442" s="2"/>
      <c r="O7442" s="2"/>
    </row>
    <row r="7443" spans="12:15">
      <c r="L7443" s="2"/>
      <c r="N7443" s="2"/>
      <c r="O7443" s="2"/>
    </row>
    <row r="7444" spans="12:15">
      <c r="L7444" s="2"/>
      <c r="N7444" s="2"/>
      <c r="O7444" s="2"/>
    </row>
    <row r="7445" spans="12:15">
      <c r="L7445" s="2"/>
      <c r="N7445" s="2"/>
      <c r="O7445" s="2"/>
    </row>
    <row r="7446" spans="12:15">
      <c r="L7446" s="2"/>
      <c r="N7446" s="2"/>
      <c r="O7446" s="2"/>
    </row>
    <row r="7447" spans="12:15">
      <c r="L7447" s="2"/>
      <c r="N7447" s="2"/>
      <c r="O7447" s="2"/>
    </row>
    <row r="7448" spans="12:15">
      <c r="L7448" s="2"/>
      <c r="N7448" s="2"/>
      <c r="O7448" s="2"/>
    </row>
    <row r="7449" spans="12:15">
      <c r="L7449" s="2"/>
      <c r="N7449" s="2"/>
      <c r="O7449" s="2"/>
    </row>
    <row r="7450" spans="12:15">
      <c r="L7450" s="2"/>
      <c r="N7450" s="2"/>
      <c r="O7450" s="2"/>
    </row>
    <row r="7451" spans="12:15">
      <c r="L7451" s="2"/>
      <c r="N7451" s="2"/>
      <c r="O7451" s="2"/>
    </row>
    <row r="7452" spans="12:15">
      <c r="L7452" s="2"/>
      <c r="N7452" s="2"/>
      <c r="O7452" s="2"/>
    </row>
    <row r="7453" spans="12:15">
      <c r="L7453" s="2"/>
      <c r="N7453" s="2"/>
      <c r="O7453" s="2"/>
    </row>
    <row r="7454" spans="12:15">
      <c r="L7454" s="2"/>
      <c r="N7454" s="2"/>
      <c r="O7454" s="2"/>
    </row>
    <row r="7455" spans="12:15">
      <c r="L7455" s="2"/>
      <c r="N7455" s="2"/>
      <c r="O7455" s="2"/>
    </row>
    <row r="7456" spans="12:15">
      <c r="L7456" s="2"/>
      <c r="N7456" s="2"/>
      <c r="O7456" s="2"/>
    </row>
    <row r="7457" spans="12:15">
      <c r="L7457" s="2"/>
      <c r="N7457" s="2"/>
      <c r="O7457" s="2"/>
    </row>
    <row r="7458" spans="12:15">
      <c r="L7458" s="2"/>
      <c r="N7458" s="2"/>
      <c r="O7458" s="2"/>
    </row>
    <row r="7459" spans="12:15">
      <c r="L7459" s="2"/>
      <c r="N7459" s="2"/>
      <c r="O7459" s="2"/>
    </row>
    <row r="7460" spans="12:15">
      <c r="L7460" s="2"/>
      <c r="N7460" s="2"/>
      <c r="O7460" s="2"/>
    </row>
    <row r="7461" spans="12:15">
      <c r="L7461" s="2"/>
      <c r="N7461" s="2"/>
      <c r="O7461" s="2"/>
    </row>
    <row r="7462" spans="12:15">
      <c r="L7462" s="2"/>
      <c r="N7462" s="2"/>
      <c r="O7462" s="2"/>
    </row>
    <row r="7463" spans="12:15">
      <c r="L7463" s="2"/>
      <c r="N7463" s="2"/>
      <c r="O7463" s="2"/>
    </row>
    <row r="7464" spans="12:15">
      <c r="L7464" s="2"/>
      <c r="N7464" s="2"/>
      <c r="O7464" s="2"/>
    </row>
    <row r="7465" spans="12:15">
      <c r="L7465" s="2"/>
      <c r="N7465" s="2"/>
      <c r="O7465" s="2"/>
    </row>
    <row r="7466" spans="12:15">
      <c r="L7466" s="2"/>
      <c r="N7466" s="2"/>
      <c r="O7466" s="2"/>
    </row>
    <row r="7467" spans="12:15">
      <c r="L7467" s="2"/>
      <c r="N7467" s="2"/>
      <c r="O7467" s="2"/>
    </row>
    <row r="7468" spans="12:15">
      <c r="L7468" s="2"/>
      <c r="N7468" s="2"/>
      <c r="O7468" s="2"/>
    </row>
    <row r="7469" spans="12:15">
      <c r="L7469" s="2"/>
      <c r="N7469" s="2"/>
      <c r="O7469" s="2"/>
    </row>
    <row r="7470" spans="12:15">
      <c r="L7470" s="2"/>
      <c r="N7470" s="2"/>
      <c r="O7470" s="2"/>
    </row>
    <row r="7471" spans="12:15">
      <c r="L7471" s="2"/>
      <c r="N7471" s="2"/>
      <c r="O7471" s="2"/>
    </row>
    <row r="7472" spans="12:15">
      <c r="L7472" s="2"/>
      <c r="N7472" s="2"/>
      <c r="O7472" s="2"/>
    </row>
    <row r="7473" spans="12:15">
      <c r="L7473" s="2"/>
      <c r="N7473" s="2"/>
      <c r="O7473" s="2"/>
    </row>
    <row r="7474" spans="12:15">
      <c r="L7474" s="2"/>
      <c r="N7474" s="2"/>
      <c r="O7474" s="2"/>
    </row>
    <row r="7475" spans="12:15">
      <c r="L7475" s="2"/>
      <c r="N7475" s="2"/>
      <c r="O7475" s="2"/>
    </row>
    <row r="7476" spans="12:15">
      <c r="L7476" s="2"/>
      <c r="N7476" s="2"/>
      <c r="O7476" s="2"/>
    </row>
    <row r="7477" spans="12:15">
      <c r="L7477" s="2"/>
      <c r="N7477" s="2"/>
      <c r="O7477" s="2"/>
    </row>
    <row r="7478" spans="12:15">
      <c r="L7478" s="2"/>
      <c r="N7478" s="2"/>
      <c r="O7478" s="2"/>
    </row>
    <row r="7479" spans="12:15">
      <c r="L7479" s="2"/>
      <c r="N7479" s="2"/>
      <c r="O7479" s="2"/>
    </row>
    <row r="7480" spans="12:15">
      <c r="L7480" s="2"/>
      <c r="N7480" s="2"/>
      <c r="O7480" s="2"/>
    </row>
    <row r="7481" spans="12:15">
      <c r="L7481" s="2"/>
      <c r="N7481" s="2"/>
      <c r="O7481" s="2"/>
    </row>
    <row r="7482" spans="12:15">
      <c r="L7482" s="2"/>
      <c r="N7482" s="2"/>
      <c r="O7482" s="2"/>
    </row>
    <row r="7483" spans="12:15">
      <c r="L7483" s="2"/>
      <c r="N7483" s="2"/>
      <c r="O7483" s="2"/>
    </row>
    <row r="7484" spans="12:15">
      <c r="L7484" s="2"/>
      <c r="N7484" s="2"/>
      <c r="O7484" s="2"/>
    </row>
    <row r="7485" spans="12:15">
      <c r="L7485" s="2"/>
      <c r="N7485" s="2"/>
      <c r="O7485" s="2"/>
    </row>
    <row r="7486" spans="12:15">
      <c r="L7486" s="2"/>
      <c r="N7486" s="2"/>
      <c r="O7486" s="2"/>
    </row>
    <row r="7487" spans="12:15">
      <c r="L7487" s="2"/>
      <c r="N7487" s="2"/>
      <c r="O7487" s="2"/>
    </row>
    <row r="7488" spans="12:15">
      <c r="L7488" s="2"/>
      <c r="N7488" s="2"/>
      <c r="O7488" s="2"/>
    </row>
    <row r="7489" spans="12:15">
      <c r="L7489" s="2"/>
      <c r="N7489" s="2"/>
      <c r="O7489" s="2"/>
    </row>
    <row r="7490" spans="12:15">
      <c r="L7490" s="2"/>
      <c r="N7490" s="2"/>
      <c r="O7490" s="2"/>
    </row>
    <row r="7491" spans="12:15">
      <c r="L7491" s="2"/>
      <c r="N7491" s="2"/>
      <c r="O7491" s="2"/>
    </row>
    <row r="7492" spans="12:15">
      <c r="L7492" s="2"/>
      <c r="N7492" s="2"/>
      <c r="O7492" s="2"/>
    </row>
    <row r="7493" spans="12:15">
      <c r="L7493" s="2"/>
      <c r="N7493" s="2"/>
      <c r="O7493" s="2"/>
    </row>
    <row r="7494" spans="12:15">
      <c r="L7494" s="2"/>
      <c r="N7494" s="2"/>
      <c r="O7494" s="2"/>
    </row>
    <row r="7495" spans="12:15">
      <c r="L7495" s="2"/>
      <c r="N7495" s="2"/>
      <c r="O7495" s="2"/>
    </row>
    <row r="7496" spans="12:15">
      <c r="L7496" s="2"/>
      <c r="N7496" s="2"/>
      <c r="O7496" s="2"/>
    </row>
    <row r="7497" spans="12:15">
      <c r="L7497" s="2"/>
      <c r="N7497" s="2"/>
      <c r="O7497" s="2"/>
    </row>
    <row r="7498" spans="12:15">
      <c r="L7498" s="2"/>
      <c r="N7498" s="2"/>
      <c r="O7498" s="2"/>
    </row>
    <row r="7499" spans="12:15">
      <c r="L7499" s="2"/>
      <c r="N7499" s="2"/>
      <c r="O7499" s="2"/>
    </row>
    <row r="7500" spans="12:15">
      <c r="L7500" s="2"/>
      <c r="N7500" s="2"/>
      <c r="O7500" s="2"/>
    </row>
    <row r="7501" spans="12:15">
      <c r="L7501" s="2"/>
      <c r="N7501" s="2"/>
      <c r="O7501" s="2"/>
    </row>
    <row r="7502" spans="12:15">
      <c r="L7502" s="2"/>
      <c r="N7502" s="2"/>
      <c r="O7502" s="2"/>
    </row>
    <row r="7503" spans="12:15">
      <c r="L7503" s="2"/>
      <c r="N7503" s="2"/>
      <c r="O7503" s="2"/>
    </row>
    <row r="7504" spans="12:15">
      <c r="L7504" s="2"/>
      <c r="N7504" s="2"/>
      <c r="O7504" s="2"/>
    </row>
    <row r="7505" spans="12:15">
      <c r="L7505" s="2"/>
      <c r="N7505" s="2"/>
      <c r="O7505" s="2"/>
    </row>
    <row r="7506" spans="12:15">
      <c r="L7506" s="2"/>
      <c r="N7506" s="2"/>
      <c r="O7506" s="2"/>
    </row>
    <row r="7507" spans="12:15">
      <c r="L7507" s="2"/>
      <c r="N7507" s="2"/>
      <c r="O7507" s="2"/>
    </row>
    <row r="7508" spans="12:15">
      <c r="L7508" s="2"/>
      <c r="N7508" s="2"/>
      <c r="O7508" s="2"/>
    </row>
    <row r="7509" spans="12:15">
      <c r="L7509" s="2"/>
      <c r="N7509" s="2"/>
      <c r="O7509" s="2"/>
    </row>
    <row r="7510" spans="12:15">
      <c r="L7510" s="2"/>
      <c r="N7510" s="2"/>
      <c r="O7510" s="2"/>
    </row>
    <row r="7511" spans="12:15">
      <c r="L7511" s="2"/>
      <c r="N7511" s="2"/>
      <c r="O7511" s="2"/>
    </row>
    <row r="7512" spans="12:15">
      <c r="L7512" s="2"/>
      <c r="N7512" s="2"/>
      <c r="O7512" s="2"/>
    </row>
    <row r="7513" spans="12:15">
      <c r="L7513" s="2"/>
      <c r="N7513" s="2"/>
      <c r="O7513" s="2"/>
    </row>
    <row r="7514" spans="12:15">
      <c r="L7514" s="2"/>
      <c r="N7514" s="2"/>
      <c r="O7514" s="2"/>
    </row>
    <row r="7515" spans="12:15">
      <c r="L7515" s="2"/>
      <c r="N7515" s="2"/>
      <c r="O7515" s="2"/>
    </row>
    <row r="7516" spans="12:15">
      <c r="L7516" s="2"/>
      <c r="N7516" s="2"/>
      <c r="O7516" s="2"/>
    </row>
    <row r="7517" spans="12:15">
      <c r="L7517" s="2"/>
      <c r="N7517" s="2"/>
      <c r="O7517" s="2"/>
    </row>
    <row r="7518" spans="12:15">
      <c r="L7518" s="2"/>
      <c r="N7518" s="2"/>
      <c r="O7518" s="2"/>
    </row>
    <row r="7519" spans="12:15">
      <c r="L7519" s="2"/>
      <c r="N7519" s="2"/>
      <c r="O7519" s="2"/>
    </row>
    <row r="7520" spans="12:15">
      <c r="L7520" s="2"/>
      <c r="N7520" s="2"/>
      <c r="O7520" s="2"/>
    </row>
    <row r="7521" spans="12:15">
      <c r="L7521" s="2"/>
      <c r="N7521" s="2"/>
      <c r="O7521" s="2"/>
    </row>
    <row r="7522" spans="12:15">
      <c r="L7522" s="2"/>
      <c r="N7522" s="2"/>
      <c r="O7522" s="2"/>
    </row>
    <row r="7523" spans="12:15">
      <c r="L7523" s="2"/>
      <c r="N7523" s="2"/>
      <c r="O7523" s="2"/>
    </row>
    <row r="7524" spans="12:15">
      <c r="L7524" s="2"/>
      <c r="N7524" s="2"/>
      <c r="O7524" s="2"/>
    </row>
    <row r="7525" spans="12:15">
      <c r="L7525" s="2"/>
      <c r="N7525" s="2"/>
      <c r="O7525" s="2"/>
    </row>
    <row r="7526" spans="12:15">
      <c r="L7526" s="2"/>
      <c r="N7526" s="2"/>
      <c r="O7526" s="2"/>
    </row>
    <row r="7527" spans="12:15">
      <c r="L7527" s="2"/>
      <c r="N7527" s="2"/>
      <c r="O7527" s="2"/>
    </row>
    <row r="7528" spans="12:15">
      <c r="L7528" s="2"/>
      <c r="N7528" s="2"/>
      <c r="O7528" s="2"/>
    </row>
    <row r="7529" spans="12:15">
      <c r="L7529" s="2"/>
      <c r="N7529" s="2"/>
      <c r="O7529" s="2"/>
    </row>
    <row r="7530" spans="12:15">
      <c r="L7530" s="2"/>
      <c r="N7530" s="2"/>
      <c r="O7530" s="2"/>
    </row>
    <row r="7531" spans="12:15">
      <c r="L7531" s="2"/>
      <c r="N7531" s="2"/>
      <c r="O7531" s="2"/>
    </row>
    <row r="7532" spans="12:15">
      <c r="L7532" s="2"/>
      <c r="N7532" s="2"/>
      <c r="O7532" s="2"/>
    </row>
    <row r="7533" spans="12:15">
      <c r="L7533" s="2"/>
      <c r="N7533" s="2"/>
      <c r="O7533" s="2"/>
    </row>
    <row r="7534" spans="12:15">
      <c r="L7534" s="2"/>
      <c r="N7534" s="2"/>
      <c r="O7534" s="2"/>
    </row>
    <row r="7535" spans="12:15">
      <c r="L7535" s="2"/>
      <c r="N7535" s="2"/>
      <c r="O7535" s="2"/>
    </row>
    <row r="7536" spans="12:15">
      <c r="L7536" s="2"/>
      <c r="N7536" s="2"/>
      <c r="O7536" s="2"/>
    </row>
    <row r="7537" spans="12:15">
      <c r="L7537" s="2"/>
      <c r="N7537" s="2"/>
      <c r="O7537" s="2"/>
    </row>
    <row r="7538" spans="12:15">
      <c r="L7538" s="2"/>
      <c r="N7538" s="2"/>
      <c r="O7538" s="2"/>
    </row>
    <row r="7539" spans="12:15">
      <c r="L7539" s="2"/>
      <c r="N7539" s="2"/>
      <c r="O7539" s="2"/>
    </row>
    <row r="7540" spans="12:15">
      <c r="L7540" s="2"/>
      <c r="N7540" s="2"/>
      <c r="O7540" s="2"/>
    </row>
    <row r="7541" spans="12:15">
      <c r="L7541" s="2"/>
      <c r="N7541" s="2"/>
      <c r="O7541" s="2"/>
    </row>
    <row r="7542" spans="12:15">
      <c r="L7542" s="2"/>
      <c r="N7542" s="2"/>
      <c r="O7542" s="2"/>
    </row>
    <row r="7543" spans="12:15">
      <c r="L7543" s="2"/>
      <c r="N7543" s="2"/>
      <c r="O7543" s="2"/>
    </row>
    <row r="7544" spans="12:15">
      <c r="L7544" s="2"/>
      <c r="N7544" s="2"/>
      <c r="O7544" s="2"/>
    </row>
    <row r="7545" spans="12:15">
      <c r="L7545" s="2"/>
      <c r="N7545" s="2"/>
      <c r="O7545" s="2"/>
    </row>
    <row r="7546" spans="12:15">
      <c r="L7546" s="2"/>
      <c r="N7546" s="2"/>
      <c r="O7546" s="2"/>
    </row>
    <row r="7547" spans="12:15">
      <c r="L7547" s="2"/>
      <c r="N7547" s="2"/>
      <c r="O7547" s="2"/>
    </row>
    <row r="7548" spans="12:15">
      <c r="L7548" s="2"/>
      <c r="N7548" s="2"/>
      <c r="O7548" s="2"/>
    </row>
    <row r="7549" spans="12:15">
      <c r="L7549" s="2"/>
      <c r="N7549" s="2"/>
      <c r="O7549" s="2"/>
    </row>
    <row r="7550" spans="12:15">
      <c r="L7550" s="2"/>
      <c r="N7550" s="2"/>
      <c r="O7550" s="2"/>
    </row>
    <row r="7551" spans="12:15">
      <c r="L7551" s="2"/>
      <c r="N7551" s="2"/>
      <c r="O7551" s="2"/>
    </row>
    <row r="7552" spans="12:15">
      <c r="L7552" s="2"/>
      <c r="N7552" s="2"/>
      <c r="O7552" s="2"/>
    </row>
    <row r="7553" spans="12:15">
      <c r="L7553" s="2"/>
      <c r="N7553" s="2"/>
      <c r="O7553" s="2"/>
    </row>
    <row r="7554" spans="12:15">
      <c r="L7554" s="2"/>
      <c r="N7554" s="2"/>
      <c r="O7554" s="2"/>
    </row>
    <row r="7555" spans="12:15">
      <c r="L7555" s="2"/>
      <c r="N7555" s="2"/>
      <c r="O7555" s="2"/>
    </row>
    <row r="7556" spans="12:15">
      <c r="L7556" s="2"/>
      <c r="N7556" s="2"/>
      <c r="O7556" s="2"/>
    </row>
    <row r="7557" spans="12:15">
      <c r="L7557" s="2"/>
      <c r="N7557" s="2"/>
      <c r="O7557" s="2"/>
    </row>
    <row r="7558" spans="12:15">
      <c r="L7558" s="2"/>
      <c r="N7558" s="2"/>
      <c r="O7558" s="2"/>
    </row>
    <row r="7559" spans="12:15">
      <c r="L7559" s="2"/>
      <c r="N7559" s="2"/>
      <c r="O7559" s="2"/>
    </row>
    <row r="7560" spans="12:15">
      <c r="L7560" s="2"/>
      <c r="N7560" s="2"/>
      <c r="O7560" s="2"/>
    </row>
    <row r="7561" spans="12:15">
      <c r="L7561" s="2"/>
      <c r="N7561" s="2"/>
      <c r="O7561" s="2"/>
    </row>
    <row r="7562" spans="12:15">
      <c r="L7562" s="2"/>
      <c r="N7562" s="2"/>
      <c r="O7562" s="2"/>
    </row>
    <row r="7563" spans="12:15">
      <c r="L7563" s="2"/>
      <c r="N7563" s="2"/>
      <c r="O7563" s="2"/>
    </row>
    <row r="7564" spans="12:15">
      <c r="L7564" s="2"/>
      <c r="N7564" s="2"/>
      <c r="O7564" s="2"/>
    </row>
    <row r="7565" spans="12:15">
      <c r="L7565" s="2"/>
      <c r="N7565" s="2"/>
      <c r="O7565" s="2"/>
    </row>
    <row r="7566" spans="12:15">
      <c r="L7566" s="2"/>
      <c r="N7566" s="2"/>
      <c r="O7566" s="2"/>
    </row>
    <row r="7567" spans="12:15">
      <c r="L7567" s="2"/>
      <c r="N7567" s="2"/>
      <c r="O7567" s="2"/>
    </row>
    <row r="7568" spans="12:15">
      <c r="L7568" s="2"/>
      <c r="N7568" s="2"/>
      <c r="O7568" s="2"/>
    </row>
    <row r="7569" spans="12:15">
      <c r="L7569" s="2"/>
      <c r="N7569" s="2"/>
      <c r="O7569" s="2"/>
    </row>
    <row r="7570" spans="12:15">
      <c r="L7570" s="2"/>
      <c r="N7570" s="2"/>
      <c r="O7570" s="2"/>
    </row>
    <row r="7571" spans="12:15">
      <c r="L7571" s="2"/>
      <c r="N7571" s="2"/>
      <c r="O7571" s="2"/>
    </row>
    <row r="7572" spans="12:15">
      <c r="L7572" s="2"/>
      <c r="N7572" s="2"/>
      <c r="O7572" s="2"/>
    </row>
    <row r="7573" spans="12:15">
      <c r="L7573" s="2"/>
      <c r="N7573" s="2"/>
      <c r="O7573" s="2"/>
    </row>
    <row r="7574" spans="12:15">
      <c r="L7574" s="2"/>
      <c r="N7574" s="2"/>
      <c r="O7574" s="2"/>
    </row>
    <row r="7575" spans="12:15">
      <c r="L7575" s="2"/>
      <c r="N7575" s="2"/>
      <c r="O7575" s="2"/>
    </row>
    <row r="7576" spans="12:15">
      <c r="L7576" s="2"/>
      <c r="N7576" s="2"/>
      <c r="O7576" s="2"/>
    </row>
    <row r="7577" spans="12:15">
      <c r="L7577" s="2"/>
      <c r="N7577" s="2"/>
      <c r="O7577" s="2"/>
    </row>
    <row r="7578" spans="12:15">
      <c r="L7578" s="2"/>
      <c r="N7578" s="2"/>
      <c r="O7578" s="2"/>
    </row>
    <row r="7579" spans="12:15">
      <c r="L7579" s="2"/>
      <c r="N7579" s="2"/>
      <c r="O7579" s="2"/>
    </row>
    <row r="7580" spans="12:15">
      <c r="L7580" s="2"/>
      <c r="N7580" s="2"/>
      <c r="O7580" s="2"/>
    </row>
    <row r="7581" spans="12:15">
      <c r="L7581" s="2"/>
      <c r="N7581" s="2"/>
      <c r="O7581" s="2"/>
    </row>
    <row r="7582" spans="12:15">
      <c r="L7582" s="2"/>
      <c r="N7582" s="2"/>
      <c r="O7582" s="2"/>
    </row>
    <row r="7583" spans="12:15">
      <c r="L7583" s="2"/>
      <c r="N7583" s="2"/>
      <c r="O7583" s="2"/>
    </row>
    <row r="7584" spans="12:15">
      <c r="L7584" s="2"/>
      <c r="N7584" s="2"/>
      <c r="O7584" s="2"/>
    </row>
    <row r="7585" spans="12:15">
      <c r="L7585" s="2"/>
      <c r="N7585" s="2"/>
      <c r="O7585" s="2"/>
    </row>
    <row r="7586" spans="12:15">
      <c r="L7586" s="2"/>
      <c r="N7586" s="2"/>
      <c r="O7586" s="2"/>
    </row>
    <row r="7587" spans="12:15">
      <c r="L7587" s="2"/>
      <c r="N7587" s="2"/>
      <c r="O7587" s="2"/>
    </row>
    <row r="7588" spans="12:15">
      <c r="L7588" s="2"/>
      <c r="N7588" s="2"/>
      <c r="O7588" s="2"/>
    </row>
    <row r="7589" spans="12:15">
      <c r="L7589" s="2"/>
      <c r="N7589" s="2"/>
      <c r="O7589" s="2"/>
    </row>
    <row r="7590" spans="12:15">
      <c r="L7590" s="2"/>
      <c r="N7590" s="2"/>
      <c r="O7590" s="2"/>
    </row>
    <row r="7591" spans="12:15">
      <c r="L7591" s="2"/>
      <c r="N7591" s="2"/>
      <c r="O7591" s="2"/>
    </row>
    <row r="7592" spans="12:15">
      <c r="L7592" s="2"/>
      <c r="N7592" s="2"/>
      <c r="O7592" s="2"/>
    </row>
    <row r="7593" spans="12:15">
      <c r="L7593" s="2"/>
      <c r="N7593" s="2"/>
      <c r="O7593" s="2"/>
    </row>
    <row r="7594" spans="12:15">
      <c r="L7594" s="2"/>
      <c r="N7594" s="2"/>
      <c r="O7594" s="2"/>
    </row>
    <row r="7595" spans="12:15">
      <c r="L7595" s="2"/>
      <c r="N7595" s="2"/>
      <c r="O7595" s="2"/>
    </row>
    <row r="7596" spans="12:15">
      <c r="L7596" s="2"/>
      <c r="N7596" s="2"/>
      <c r="O7596" s="2"/>
    </row>
    <row r="7597" spans="12:15">
      <c r="L7597" s="2"/>
      <c r="N7597" s="2"/>
      <c r="O7597" s="2"/>
    </row>
    <row r="7598" spans="12:15">
      <c r="L7598" s="2"/>
      <c r="N7598" s="2"/>
      <c r="O7598" s="2"/>
    </row>
    <row r="7599" spans="12:15">
      <c r="L7599" s="2"/>
      <c r="N7599" s="2"/>
      <c r="O7599" s="2"/>
    </row>
    <row r="7600" spans="12:15">
      <c r="L7600" s="2"/>
      <c r="N7600" s="2"/>
      <c r="O7600" s="2"/>
    </row>
    <row r="7601" spans="12:15">
      <c r="L7601" s="2"/>
      <c r="N7601" s="2"/>
      <c r="O7601" s="2"/>
    </row>
    <row r="7602" spans="12:15">
      <c r="L7602" s="2"/>
      <c r="N7602" s="2"/>
      <c r="O7602" s="2"/>
    </row>
    <row r="7603" spans="12:15">
      <c r="L7603" s="2"/>
      <c r="N7603" s="2"/>
      <c r="O7603" s="2"/>
    </row>
    <row r="7604" spans="12:15">
      <c r="L7604" s="2"/>
      <c r="N7604" s="2"/>
      <c r="O7604" s="2"/>
    </row>
    <row r="7605" spans="12:15">
      <c r="L7605" s="2"/>
      <c r="N7605" s="2"/>
      <c r="O7605" s="2"/>
    </row>
    <row r="7606" spans="12:15">
      <c r="L7606" s="2"/>
      <c r="N7606" s="2"/>
      <c r="O7606" s="2"/>
    </row>
    <row r="7607" spans="12:15">
      <c r="L7607" s="2"/>
      <c r="N7607" s="2"/>
      <c r="O7607" s="2"/>
    </row>
    <row r="7608" spans="12:15">
      <c r="L7608" s="2"/>
      <c r="N7608" s="2"/>
      <c r="O7608" s="2"/>
    </row>
    <row r="7609" spans="12:15">
      <c r="L7609" s="2"/>
      <c r="N7609" s="2"/>
      <c r="O7609" s="2"/>
    </row>
    <row r="7610" spans="12:15">
      <c r="L7610" s="2"/>
      <c r="N7610" s="2"/>
      <c r="O7610" s="2"/>
    </row>
    <row r="7611" spans="12:15">
      <c r="L7611" s="2"/>
      <c r="N7611" s="2"/>
      <c r="O7611" s="2"/>
    </row>
    <row r="7612" spans="12:15">
      <c r="L7612" s="2"/>
      <c r="N7612" s="2"/>
      <c r="O7612" s="2"/>
    </row>
    <row r="7613" spans="12:15">
      <c r="L7613" s="2"/>
      <c r="N7613" s="2"/>
      <c r="O7613" s="2"/>
    </row>
    <row r="7614" spans="12:15">
      <c r="L7614" s="2"/>
      <c r="N7614" s="2"/>
      <c r="O7614" s="2"/>
    </row>
    <row r="7615" spans="12:15">
      <c r="L7615" s="2"/>
      <c r="N7615" s="2"/>
      <c r="O7615" s="2"/>
    </row>
    <row r="7616" spans="12:15">
      <c r="L7616" s="2"/>
      <c r="N7616" s="2"/>
      <c r="O7616" s="2"/>
    </row>
    <row r="7617" spans="12:15">
      <c r="L7617" s="2"/>
      <c r="N7617" s="2"/>
      <c r="O7617" s="2"/>
    </row>
    <row r="7618" spans="12:15">
      <c r="L7618" s="2"/>
      <c r="N7618" s="2"/>
      <c r="O7618" s="2"/>
    </row>
    <row r="7619" spans="12:15">
      <c r="L7619" s="2"/>
      <c r="N7619" s="2"/>
      <c r="O7619" s="2"/>
    </row>
    <row r="7620" spans="12:15">
      <c r="L7620" s="2"/>
      <c r="N7620" s="2"/>
      <c r="O7620" s="2"/>
    </row>
    <row r="7621" spans="12:15">
      <c r="L7621" s="2"/>
      <c r="N7621" s="2"/>
      <c r="O7621" s="2"/>
    </row>
    <row r="7622" spans="12:15">
      <c r="L7622" s="2"/>
      <c r="N7622" s="2"/>
      <c r="O7622" s="2"/>
    </row>
    <row r="7623" spans="12:15">
      <c r="L7623" s="2"/>
      <c r="N7623" s="2"/>
      <c r="O7623" s="2"/>
    </row>
    <row r="7624" spans="12:15">
      <c r="L7624" s="2"/>
      <c r="N7624" s="2"/>
      <c r="O7624" s="2"/>
    </row>
    <row r="7625" spans="12:15">
      <c r="L7625" s="2"/>
      <c r="N7625" s="2"/>
      <c r="O7625" s="2"/>
    </row>
    <row r="7626" spans="12:15">
      <c r="L7626" s="2"/>
      <c r="N7626" s="2"/>
      <c r="O7626" s="2"/>
    </row>
    <row r="7627" spans="12:15">
      <c r="L7627" s="2"/>
      <c r="N7627" s="2"/>
      <c r="O7627" s="2"/>
    </row>
    <row r="7628" spans="12:15">
      <c r="L7628" s="2"/>
      <c r="N7628" s="2"/>
      <c r="O7628" s="2"/>
    </row>
    <row r="7629" spans="12:15">
      <c r="L7629" s="2"/>
      <c r="N7629" s="2"/>
      <c r="O7629" s="2"/>
    </row>
    <row r="7630" spans="12:15">
      <c r="L7630" s="2"/>
      <c r="N7630" s="2"/>
      <c r="O7630" s="2"/>
    </row>
    <row r="7631" spans="12:15">
      <c r="L7631" s="2"/>
      <c r="N7631" s="2"/>
      <c r="O7631" s="2"/>
    </row>
    <row r="7632" spans="12:15">
      <c r="L7632" s="2"/>
      <c r="N7632" s="2"/>
      <c r="O7632" s="2"/>
    </row>
    <row r="7633" spans="12:15">
      <c r="L7633" s="2"/>
      <c r="N7633" s="2"/>
      <c r="O7633" s="2"/>
    </row>
    <row r="7634" spans="12:15">
      <c r="L7634" s="2"/>
      <c r="N7634" s="2"/>
      <c r="O7634" s="2"/>
    </row>
    <row r="7635" spans="12:15">
      <c r="L7635" s="2"/>
      <c r="N7635" s="2"/>
      <c r="O7635" s="2"/>
    </row>
    <row r="7636" spans="12:15">
      <c r="L7636" s="2"/>
      <c r="N7636" s="2"/>
      <c r="O7636" s="2"/>
    </row>
    <row r="7637" spans="12:15">
      <c r="L7637" s="2"/>
      <c r="N7637" s="2"/>
      <c r="O7637" s="2"/>
    </row>
    <row r="7638" spans="12:15">
      <c r="L7638" s="2"/>
      <c r="N7638" s="2"/>
      <c r="O7638" s="2"/>
    </row>
    <row r="7639" spans="12:15">
      <c r="L7639" s="2"/>
      <c r="N7639" s="2"/>
      <c r="O7639" s="2"/>
    </row>
    <row r="7640" spans="12:15">
      <c r="L7640" s="2"/>
      <c r="N7640" s="2"/>
      <c r="O7640" s="2"/>
    </row>
    <row r="7641" spans="12:15">
      <c r="L7641" s="2"/>
      <c r="N7641" s="2"/>
      <c r="O7641" s="2"/>
    </row>
    <row r="7642" spans="12:15">
      <c r="L7642" s="2"/>
      <c r="N7642" s="2"/>
      <c r="O7642" s="2"/>
    </row>
    <row r="7643" spans="12:15">
      <c r="L7643" s="2"/>
      <c r="N7643" s="2"/>
      <c r="O7643" s="2"/>
    </row>
    <row r="7644" spans="12:15">
      <c r="L7644" s="2"/>
      <c r="N7644" s="2"/>
      <c r="O7644" s="2"/>
    </row>
    <row r="7645" spans="12:15">
      <c r="L7645" s="2"/>
      <c r="N7645" s="2"/>
      <c r="O7645" s="2"/>
    </row>
    <row r="7646" spans="12:15">
      <c r="L7646" s="2"/>
      <c r="N7646" s="2"/>
      <c r="O7646" s="2"/>
    </row>
    <row r="7647" spans="12:15">
      <c r="L7647" s="2"/>
      <c r="N7647" s="2"/>
      <c r="O7647" s="2"/>
    </row>
    <row r="7648" spans="12:15">
      <c r="L7648" s="2"/>
      <c r="N7648" s="2"/>
      <c r="O7648" s="2"/>
    </row>
    <row r="7649" spans="12:15">
      <c r="L7649" s="2"/>
      <c r="N7649" s="2"/>
      <c r="O7649" s="2"/>
    </row>
    <row r="7650" spans="12:15">
      <c r="L7650" s="2"/>
      <c r="N7650" s="2"/>
      <c r="O7650" s="2"/>
    </row>
    <row r="7651" spans="12:15">
      <c r="L7651" s="2"/>
      <c r="N7651" s="2"/>
      <c r="O7651" s="2"/>
    </row>
    <row r="7652" spans="12:15">
      <c r="L7652" s="2"/>
      <c r="N7652" s="2"/>
      <c r="O7652" s="2"/>
    </row>
    <row r="7653" spans="12:15">
      <c r="L7653" s="2"/>
      <c r="N7653" s="2"/>
      <c r="O7653" s="2"/>
    </row>
    <row r="7654" spans="12:15">
      <c r="L7654" s="2"/>
      <c r="N7654" s="2"/>
      <c r="O7654" s="2"/>
    </row>
    <row r="7655" spans="12:15">
      <c r="L7655" s="2"/>
      <c r="N7655" s="2"/>
      <c r="O7655" s="2"/>
    </row>
    <row r="7656" spans="12:15">
      <c r="L7656" s="2"/>
      <c r="N7656" s="2"/>
      <c r="O7656" s="2"/>
    </row>
    <row r="7657" spans="12:15">
      <c r="L7657" s="2"/>
      <c r="N7657" s="2"/>
      <c r="O7657" s="2"/>
    </row>
    <row r="7658" spans="12:15">
      <c r="L7658" s="2"/>
      <c r="N7658" s="2"/>
      <c r="O7658" s="2"/>
    </row>
    <row r="7659" spans="12:15">
      <c r="L7659" s="2"/>
      <c r="N7659" s="2"/>
      <c r="O7659" s="2"/>
    </row>
    <row r="7660" spans="12:15">
      <c r="L7660" s="2"/>
      <c r="N7660" s="2"/>
      <c r="O7660" s="2"/>
    </row>
    <row r="7661" spans="12:15">
      <c r="L7661" s="2"/>
      <c r="N7661" s="2"/>
      <c r="O7661" s="2"/>
    </row>
    <row r="7662" spans="12:15">
      <c r="L7662" s="2"/>
      <c r="N7662" s="2"/>
      <c r="O7662" s="2"/>
    </row>
    <row r="7663" spans="12:15">
      <c r="L7663" s="2"/>
      <c r="N7663" s="2"/>
      <c r="O7663" s="2"/>
    </row>
    <row r="7664" spans="12:15">
      <c r="L7664" s="2"/>
      <c r="N7664" s="2"/>
      <c r="O7664" s="2"/>
    </row>
    <row r="7665" spans="12:15">
      <c r="L7665" s="2"/>
      <c r="N7665" s="2"/>
      <c r="O7665" s="2"/>
    </row>
    <row r="7666" spans="12:15">
      <c r="L7666" s="2"/>
      <c r="N7666" s="2"/>
      <c r="O7666" s="2"/>
    </row>
    <row r="7667" spans="12:15">
      <c r="L7667" s="2"/>
      <c r="N7667" s="2"/>
      <c r="O7667" s="2"/>
    </row>
    <row r="7668" spans="12:15">
      <c r="L7668" s="2"/>
      <c r="N7668" s="2"/>
      <c r="O7668" s="2"/>
    </row>
    <row r="7669" spans="12:15">
      <c r="L7669" s="2"/>
      <c r="N7669" s="2"/>
      <c r="O7669" s="2"/>
    </row>
    <row r="7670" spans="12:15">
      <c r="L7670" s="2"/>
      <c r="N7670" s="2"/>
      <c r="O7670" s="2"/>
    </row>
    <row r="7671" spans="12:15">
      <c r="L7671" s="2"/>
      <c r="N7671" s="2"/>
      <c r="O7671" s="2"/>
    </row>
    <row r="7672" spans="12:15">
      <c r="L7672" s="2"/>
      <c r="N7672" s="2"/>
      <c r="O7672" s="2"/>
    </row>
    <row r="7673" spans="12:15">
      <c r="L7673" s="2"/>
      <c r="N7673" s="2"/>
      <c r="O7673" s="2"/>
    </row>
    <row r="7674" spans="12:15">
      <c r="L7674" s="2"/>
      <c r="N7674" s="2"/>
      <c r="O7674" s="2"/>
    </row>
    <row r="7675" spans="12:15">
      <c r="L7675" s="2"/>
      <c r="N7675" s="2"/>
      <c r="O7675" s="2"/>
    </row>
    <row r="7676" spans="12:15">
      <c r="L7676" s="2"/>
      <c r="N7676" s="2"/>
      <c r="O7676" s="2"/>
    </row>
    <row r="7677" spans="12:15">
      <c r="L7677" s="2"/>
      <c r="N7677" s="2"/>
      <c r="O7677" s="2"/>
    </row>
    <row r="7678" spans="12:15">
      <c r="L7678" s="2"/>
      <c r="N7678" s="2"/>
      <c r="O7678" s="2"/>
    </row>
    <row r="7679" spans="12:15">
      <c r="L7679" s="2"/>
      <c r="N7679" s="2"/>
      <c r="O7679" s="2"/>
    </row>
    <row r="7680" spans="12:15">
      <c r="L7680" s="2"/>
      <c r="N7680" s="2"/>
      <c r="O7680" s="2"/>
    </row>
    <row r="7681" spans="12:15">
      <c r="L7681" s="2"/>
      <c r="N7681" s="2"/>
      <c r="O7681" s="2"/>
    </row>
    <row r="7682" spans="12:15">
      <c r="L7682" s="2"/>
      <c r="N7682" s="2"/>
      <c r="O7682" s="2"/>
    </row>
    <row r="7683" spans="12:15">
      <c r="L7683" s="2"/>
      <c r="N7683" s="2"/>
      <c r="O7683" s="2"/>
    </row>
    <row r="7684" spans="12:15">
      <c r="L7684" s="2"/>
      <c r="N7684" s="2"/>
      <c r="O7684" s="2"/>
    </row>
    <row r="7685" spans="12:15">
      <c r="L7685" s="2"/>
      <c r="N7685" s="2"/>
      <c r="O7685" s="2"/>
    </row>
    <row r="7686" spans="12:15">
      <c r="L7686" s="2"/>
      <c r="N7686" s="2"/>
      <c r="O7686" s="2"/>
    </row>
    <row r="7687" spans="12:15">
      <c r="L7687" s="2"/>
      <c r="N7687" s="2"/>
      <c r="O7687" s="2"/>
    </row>
    <row r="7688" spans="12:15">
      <c r="L7688" s="2"/>
      <c r="N7688" s="2"/>
      <c r="O7688" s="2"/>
    </row>
    <row r="7689" spans="12:15">
      <c r="L7689" s="2"/>
      <c r="N7689" s="2"/>
      <c r="O7689" s="2"/>
    </row>
    <row r="7690" spans="12:15">
      <c r="L7690" s="2"/>
      <c r="N7690" s="2"/>
      <c r="O7690" s="2"/>
    </row>
    <row r="7691" spans="12:15">
      <c r="L7691" s="2"/>
      <c r="N7691" s="2"/>
      <c r="O7691" s="2"/>
    </row>
    <row r="7692" spans="12:15">
      <c r="L7692" s="2"/>
      <c r="N7692" s="2"/>
      <c r="O7692" s="2"/>
    </row>
    <row r="7693" spans="12:15">
      <c r="L7693" s="2"/>
      <c r="N7693" s="2"/>
      <c r="O7693" s="2"/>
    </row>
    <row r="7694" spans="12:15">
      <c r="L7694" s="2"/>
      <c r="N7694" s="2"/>
      <c r="O7694" s="2"/>
    </row>
    <row r="7695" spans="12:15">
      <c r="L7695" s="2"/>
      <c r="N7695" s="2"/>
      <c r="O7695" s="2"/>
    </row>
    <row r="7696" spans="12:15">
      <c r="L7696" s="2"/>
      <c r="N7696" s="2"/>
      <c r="O7696" s="2"/>
    </row>
    <row r="7697" spans="12:15">
      <c r="L7697" s="2"/>
      <c r="N7697" s="2"/>
      <c r="O7697" s="2"/>
    </row>
    <row r="7698" spans="12:15">
      <c r="L7698" s="2"/>
      <c r="N7698" s="2"/>
      <c r="O7698" s="2"/>
    </row>
    <row r="7699" spans="12:15">
      <c r="L7699" s="2"/>
      <c r="N7699" s="2"/>
      <c r="O7699" s="2"/>
    </row>
    <row r="7700" spans="12:15">
      <c r="L7700" s="2"/>
      <c r="N7700" s="2"/>
      <c r="O7700" s="2"/>
    </row>
    <row r="7701" spans="12:15">
      <c r="L7701" s="2"/>
      <c r="N7701" s="2"/>
      <c r="O7701" s="2"/>
    </row>
    <row r="7702" spans="12:15">
      <c r="L7702" s="2"/>
      <c r="N7702" s="2"/>
      <c r="O7702" s="2"/>
    </row>
    <row r="7703" spans="12:15">
      <c r="L7703" s="2"/>
      <c r="N7703" s="2"/>
      <c r="O7703" s="2"/>
    </row>
    <row r="7704" spans="12:15">
      <c r="L7704" s="2"/>
      <c r="N7704" s="2"/>
      <c r="O7704" s="2"/>
    </row>
    <row r="7705" spans="12:15">
      <c r="L7705" s="2"/>
      <c r="N7705" s="2"/>
      <c r="O7705" s="2"/>
    </row>
    <row r="7706" spans="12:15">
      <c r="L7706" s="2"/>
      <c r="N7706" s="2"/>
      <c r="O7706" s="2"/>
    </row>
    <row r="7707" spans="12:15">
      <c r="L7707" s="2"/>
      <c r="N7707" s="2"/>
      <c r="O7707" s="2"/>
    </row>
    <row r="7708" spans="12:15">
      <c r="L7708" s="2"/>
      <c r="N7708" s="2"/>
      <c r="O7708" s="2"/>
    </row>
    <row r="7709" spans="12:15">
      <c r="L7709" s="2"/>
      <c r="N7709" s="2"/>
      <c r="O7709" s="2"/>
    </row>
    <row r="7710" spans="12:15">
      <c r="L7710" s="2"/>
      <c r="N7710" s="2"/>
      <c r="O7710" s="2"/>
    </row>
    <row r="7711" spans="12:15">
      <c r="L7711" s="2"/>
      <c r="N7711" s="2"/>
      <c r="O7711" s="2"/>
    </row>
    <row r="7712" spans="12:15">
      <c r="L7712" s="2"/>
      <c r="N7712" s="2"/>
      <c r="O7712" s="2"/>
    </row>
    <row r="7713" spans="12:15">
      <c r="L7713" s="2"/>
      <c r="N7713" s="2"/>
      <c r="O7713" s="2"/>
    </row>
    <row r="7714" spans="12:15">
      <c r="L7714" s="2"/>
      <c r="N7714" s="2"/>
      <c r="O7714" s="2"/>
    </row>
    <row r="7715" spans="12:15">
      <c r="L7715" s="2"/>
      <c r="N7715" s="2"/>
      <c r="O7715" s="2"/>
    </row>
    <row r="7716" spans="12:15">
      <c r="L7716" s="2"/>
      <c r="N7716" s="2"/>
      <c r="O7716" s="2"/>
    </row>
    <row r="7717" spans="12:15">
      <c r="L7717" s="2"/>
      <c r="N7717" s="2"/>
      <c r="O7717" s="2"/>
    </row>
    <row r="7718" spans="12:15">
      <c r="L7718" s="2"/>
      <c r="N7718" s="2"/>
      <c r="O7718" s="2"/>
    </row>
    <row r="7719" spans="12:15">
      <c r="L7719" s="2"/>
      <c r="N7719" s="2"/>
      <c r="O7719" s="2"/>
    </row>
    <row r="7720" spans="12:15">
      <c r="L7720" s="2"/>
      <c r="N7720" s="2"/>
      <c r="O7720" s="2"/>
    </row>
    <row r="7721" spans="12:15">
      <c r="L7721" s="2"/>
      <c r="N7721" s="2"/>
      <c r="O7721" s="2"/>
    </row>
    <row r="7722" spans="12:15">
      <c r="L7722" s="2"/>
      <c r="N7722" s="2"/>
      <c r="O7722" s="2"/>
    </row>
    <row r="7723" spans="12:15">
      <c r="L7723" s="2"/>
      <c r="N7723" s="2"/>
      <c r="O7723" s="2"/>
    </row>
    <row r="7724" spans="12:15">
      <c r="L7724" s="2"/>
      <c r="N7724" s="2"/>
      <c r="O7724" s="2"/>
    </row>
    <row r="7725" spans="12:15">
      <c r="L7725" s="2"/>
      <c r="N7725" s="2"/>
      <c r="O7725" s="2"/>
    </row>
    <row r="7726" spans="12:15">
      <c r="L7726" s="2"/>
      <c r="N7726" s="2"/>
      <c r="O7726" s="2"/>
    </row>
    <row r="7727" spans="12:15">
      <c r="L7727" s="2"/>
      <c r="N7727" s="2"/>
      <c r="O7727" s="2"/>
    </row>
    <row r="7728" spans="12:15">
      <c r="L7728" s="2"/>
      <c r="N7728" s="2"/>
      <c r="O7728" s="2"/>
    </row>
    <row r="7729" spans="12:15">
      <c r="L7729" s="2"/>
      <c r="N7729" s="2"/>
      <c r="O7729" s="2"/>
    </row>
    <row r="7730" spans="12:15">
      <c r="L7730" s="2"/>
      <c r="N7730" s="2"/>
      <c r="O7730" s="2"/>
    </row>
    <row r="7731" spans="12:15">
      <c r="L7731" s="2"/>
      <c r="N7731" s="2"/>
      <c r="O7731" s="2"/>
    </row>
    <row r="7732" spans="12:15">
      <c r="L7732" s="2"/>
      <c r="N7732" s="2"/>
      <c r="O7732" s="2"/>
    </row>
    <row r="7733" spans="12:15">
      <c r="L7733" s="2"/>
      <c r="N7733" s="2"/>
      <c r="O7733" s="2"/>
    </row>
    <row r="7734" spans="12:15">
      <c r="L7734" s="2"/>
      <c r="N7734" s="2"/>
      <c r="O7734" s="2"/>
    </row>
    <row r="7735" spans="12:15">
      <c r="L7735" s="2"/>
      <c r="N7735" s="2"/>
      <c r="O7735" s="2"/>
    </row>
    <row r="7736" spans="12:15">
      <c r="L7736" s="2"/>
      <c r="N7736" s="2"/>
      <c r="O7736" s="2"/>
    </row>
    <row r="7737" spans="12:15">
      <c r="L7737" s="2"/>
      <c r="N7737" s="2"/>
      <c r="O7737" s="2"/>
    </row>
    <row r="7738" spans="12:15">
      <c r="L7738" s="2"/>
      <c r="N7738" s="2"/>
      <c r="O7738" s="2"/>
    </row>
    <row r="7739" spans="12:15">
      <c r="L7739" s="2"/>
      <c r="N7739" s="2"/>
      <c r="O7739" s="2"/>
    </row>
    <row r="7740" spans="12:15">
      <c r="L7740" s="2"/>
      <c r="N7740" s="2"/>
      <c r="O7740" s="2"/>
    </row>
    <row r="7741" spans="12:15">
      <c r="L7741" s="2"/>
      <c r="N7741" s="2"/>
      <c r="O7741" s="2"/>
    </row>
    <row r="7742" spans="12:15">
      <c r="L7742" s="2"/>
      <c r="N7742" s="2"/>
      <c r="O7742" s="2"/>
    </row>
    <row r="7743" spans="12:15">
      <c r="L7743" s="2"/>
      <c r="N7743" s="2"/>
      <c r="O7743" s="2"/>
    </row>
    <row r="7744" spans="12:15">
      <c r="L7744" s="2"/>
      <c r="N7744" s="2"/>
      <c r="O7744" s="2"/>
    </row>
    <row r="7745" spans="12:15">
      <c r="L7745" s="2"/>
      <c r="N7745" s="2"/>
      <c r="O7745" s="2"/>
    </row>
    <row r="7746" spans="12:15">
      <c r="L7746" s="2"/>
      <c r="N7746" s="2"/>
      <c r="O7746" s="2"/>
    </row>
    <row r="7747" spans="12:15">
      <c r="L7747" s="2"/>
      <c r="N7747" s="2"/>
      <c r="O7747" s="2"/>
    </row>
    <row r="7748" spans="12:15">
      <c r="L7748" s="2"/>
      <c r="N7748" s="2"/>
      <c r="O7748" s="2"/>
    </row>
    <row r="7749" spans="12:15">
      <c r="L7749" s="2"/>
      <c r="N7749" s="2"/>
      <c r="O7749" s="2"/>
    </row>
    <row r="7750" spans="12:15">
      <c r="L7750" s="2"/>
      <c r="N7750" s="2"/>
      <c r="O7750" s="2"/>
    </row>
    <row r="7751" spans="12:15">
      <c r="L7751" s="2"/>
      <c r="N7751" s="2"/>
      <c r="O7751" s="2"/>
    </row>
    <row r="7752" spans="12:15">
      <c r="L7752" s="2"/>
      <c r="N7752" s="2"/>
      <c r="O7752" s="2"/>
    </row>
    <row r="7753" spans="12:15">
      <c r="L7753" s="2"/>
      <c r="N7753" s="2"/>
      <c r="O7753" s="2"/>
    </row>
    <row r="7754" spans="12:15">
      <c r="L7754" s="2"/>
      <c r="N7754" s="2"/>
      <c r="O7754" s="2"/>
    </row>
    <row r="7755" spans="12:15">
      <c r="L7755" s="2"/>
      <c r="N7755" s="2"/>
      <c r="O7755" s="2"/>
    </row>
    <row r="7756" spans="12:15">
      <c r="L7756" s="2"/>
      <c r="N7756" s="2"/>
      <c r="O7756" s="2"/>
    </row>
    <row r="7757" spans="12:15">
      <c r="L7757" s="2"/>
      <c r="N7757" s="2"/>
      <c r="O7757" s="2"/>
    </row>
    <row r="7758" spans="12:15">
      <c r="L7758" s="2"/>
      <c r="N7758" s="2"/>
      <c r="O7758" s="2"/>
    </row>
    <row r="7759" spans="12:15">
      <c r="L7759" s="2"/>
      <c r="N7759" s="2"/>
      <c r="O7759" s="2"/>
    </row>
    <row r="7760" spans="12:15">
      <c r="L7760" s="2"/>
      <c r="N7760" s="2"/>
      <c r="O7760" s="2"/>
    </row>
    <row r="7761" spans="12:15">
      <c r="L7761" s="2"/>
      <c r="N7761" s="2"/>
      <c r="O7761" s="2"/>
    </row>
    <row r="7762" spans="12:15">
      <c r="L7762" s="2"/>
      <c r="N7762" s="2"/>
      <c r="O7762" s="2"/>
    </row>
    <row r="7763" spans="12:15">
      <c r="L7763" s="2"/>
      <c r="N7763" s="2"/>
      <c r="O7763" s="2"/>
    </row>
    <row r="7764" spans="12:15">
      <c r="L7764" s="2"/>
      <c r="N7764" s="2"/>
      <c r="O7764" s="2"/>
    </row>
    <row r="7765" spans="12:15">
      <c r="L7765" s="2"/>
      <c r="N7765" s="2"/>
      <c r="O7765" s="2"/>
    </row>
    <row r="7766" spans="12:15">
      <c r="L7766" s="2"/>
      <c r="N7766" s="2"/>
      <c r="O7766" s="2"/>
    </row>
    <row r="7767" spans="12:15">
      <c r="L7767" s="2"/>
      <c r="N7767" s="2"/>
      <c r="O7767" s="2"/>
    </row>
    <row r="7768" spans="12:15">
      <c r="L7768" s="2"/>
      <c r="N7768" s="2"/>
      <c r="O7768" s="2"/>
    </row>
    <row r="7769" spans="12:15">
      <c r="L7769" s="2"/>
      <c r="N7769" s="2"/>
      <c r="O7769" s="2"/>
    </row>
    <row r="7770" spans="12:15">
      <c r="L7770" s="2"/>
      <c r="N7770" s="2"/>
      <c r="O7770" s="2"/>
    </row>
    <row r="7771" spans="12:15">
      <c r="L7771" s="2"/>
      <c r="N7771" s="2"/>
      <c r="O7771" s="2"/>
    </row>
    <row r="7772" spans="12:15">
      <c r="L7772" s="2"/>
      <c r="N7772" s="2"/>
      <c r="O7772" s="2"/>
    </row>
    <row r="7773" spans="12:15">
      <c r="L7773" s="2"/>
      <c r="N7773" s="2"/>
      <c r="O7773" s="2"/>
    </row>
    <row r="7774" spans="12:15">
      <c r="L7774" s="2"/>
      <c r="N7774" s="2"/>
      <c r="O7774" s="2"/>
    </row>
    <row r="7775" spans="12:15">
      <c r="L7775" s="2"/>
      <c r="N7775" s="2"/>
      <c r="O7775" s="2"/>
    </row>
    <row r="7776" spans="12:15">
      <c r="L7776" s="2"/>
      <c r="N7776" s="2"/>
      <c r="O7776" s="2"/>
    </row>
    <row r="7777" spans="12:15">
      <c r="L7777" s="2"/>
      <c r="N7777" s="2"/>
      <c r="O7777" s="2"/>
    </row>
    <row r="7778" spans="12:15">
      <c r="L7778" s="2"/>
      <c r="N7778" s="2"/>
      <c r="O7778" s="2"/>
    </row>
    <row r="7779" spans="12:15">
      <c r="L7779" s="2"/>
      <c r="N7779" s="2"/>
      <c r="O7779" s="2"/>
    </row>
    <row r="7780" spans="12:15">
      <c r="L7780" s="2"/>
      <c r="N7780" s="2"/>
      <c r="O7780" s="2"/>
    </row>
    <row r="7781" spans="12:15">
      <c r="L7781" s="2"/>
      <c r="N7781" s="2"/>
      <c r="O7781" s="2"/>
    </row>
    <row r="7782" spans="12:15">
      <c r="L7782" s="2"/>
      <c r="N7782" s="2"/>
      <c r="O7782" s="2"/>
    </row>
    <row r="7783" spans="12:15">
      <c r="L7783" s="2"/>
      <c r="N7783" s="2"/>
      <c r="O7783" s="2"/>
    </row>
    <row r="7784" spans="12:15">
      <c r="L7784" s="2"/>
      <c r="N7784" s="2"/>
      <c r="O7784" s="2"/>
    </row>
    <row r="7785" spans="12:15">
      <c r="L7785" s="2"/>
      <c r="N7785" s="2"/>
      <c r="O7785" s="2"/>
    </row>
    <row r="7786" spans="12:15">
      <c r="L7786" s="2"/>
      <c r="N7786" s="2"/>
      <c r="O7786" s="2"/>
    </row>
    <row r="7787" spans="12:15">
      <c r="L7787" s="2"/>
      <c r="N7787" s="2"/>
      <c r="O7787" s="2"/>
    </row>
    <row r="7788" spans="12:15">
      <c r="L7788" s="2"/>
      <c r="N7788" s="2"/>
      <c r="O7788" s="2"/>
    </row>
    <row r="7789" spans="12:15">
      <c r="L7789" s="2"/>
      <c r="N7789" s="2"/>
      <c r="O7789" s="2"/>
    </row>
    <row r="7790" spans="12:15">
      <c r="L7790" s="2"/>
      <c r="N7790" s="2"/>
      <c r="O7790" s="2"/>
    </row>
    <row r="7791" spans="12:15">
      <c r="L7791" s="2"/>
      <c r="N7791" s="2"/>
      <c r="O7791" s="2"/>
    </row>
    <row r="7792" spans="12:15">
      <c r="L7792" s="2"/>
      <c r="N7792" s="2"/>
      <c r="O7792" s="2"/>
    </row>
    <row r="7793" spans="12:15">
      <c r="L7793" s="2"/>
      <c r="N7793" s="2"/>
      <c r="O7793" s="2"/>
    </row>
    <row r="7794" spans="12:15">
      <c r="L7794" s="2"/>
      <c r="N7794" s="2"/>
      <c r="O7794" s="2"/>
    </row>
    <row r="7795" spans="12:15">
      <c r="L7795" s="2"/>
      <c r="N7795" s="2"/>
      <c r="O7795" s="2"/>
    </row>
    <row r="7796" spans="12:15">
      <c r="L7796" s="2"/>
      <c r="N7796" s="2"/>
      <c r="O7796" s="2"/>
    </row>
    <row r="7797" spans="12:15">
      <c r="L7797" s="2"/>
      <c r="N7797" s="2"/>
      <c r="O7797" s="2"/>
    </row>
    <row r="7798" spans="12:15">
      <c r="L7798" s="2"/>
      <c r="N7798" s="2"/>
      <c r="O7798" s="2"/>
    </row>
    <row r="7799" spans="12:15">
      <c r="L7799" s="2"/>
      <c r="N7799" s="2"/>
      <c r="O7799" s="2"/>
    </row>
    <row r="7800" spans="12:15">
      <c r="L7800" s="2"/>
      <c r="N7800" s="2"/>
      <c r="O7800" s="2"/>
    </row>
    <row r="7801" spans="12:15">
      <c r="L7801" s="2"/>
      <c r="N7801" s="2"/>
      <c r="O7801" s="2"/>
    </row>
    <row r="7802" spans="12:15">
      <c r="L7802" s="2"/>
      <c r="N7802" s="2"/>
      <c r="O7802" s="2"/>
    </row>
    <row r="7803" spans="12:15">
      <c r="L7803" s="2"/>
      <c r="N7803" s="2"/>
      <c r="O7803" s="2"/>
    </row>
    <row r="7804" spans="12:15">
      <c r="L7804" s="2"/>
      <c r="N7804" s="2"/>
      <c r="O7804" s="2"/>
    </row>
    <row r="7805" spans="12:15">
      <c r="L7805" s="2"/>
      <c r="N7805" s="2"/>
      <c r="O7805" s="2"/>
    </row>
    <row r="7806" spans="12:15">
      <c r="L7806" s="2"/>
      <c r="N7806" s="2"/>
      <c r="O7806" s="2"/>
    </row>
    <row r="7807" spans="12:15">
      <c r="L7807" s="2"/>
      <c r="N7807" s="2"/>
      <c r="O7807" s="2"/>
    </row>
    <row r="7808" spans="12:15">
      <c r="L7808" s="2"/>
      <c r="N7808" s="2"/>
      <c r="O7808" s="2"/>
    </row>
    <row r="7809" spans="12:15">
      <c r="L7809" s="2"/>
      <c r="N7809" s="2"/>
      <c r="O7809" s="2"/>
    </row>
    <row r="7810" spans="12:15">
      <c r="L7810" s="2"/>
      <c r="N7810" s="2"/>
      <c r="O7810" s="2"/>
    </row>
    <row r="7811" spans="12:15">
      <c r="L7811" s="2"/>
      <c r="N7811" s="2"/>
      <c r="O7811" s="2"/>
    </row>
    <row r="7812" spans="12:15">
      <c r="L7812" s="2"/>
      <c r="N7812" s="2"/>
      <c r="O7812" s="2"/>
    </row>
    <row r="7813" spans="12:15">
      <c r="L7813" s="2"/>
      <c r="N7813" s="2"/>
      <c r="O7813" s="2"/>
    </row>
    <row r="7814" spans="12:15">
      <c r="L7814" s="2"/>
      <c r="N7814" s="2"/>
      <c r="O7814" s="2"/>
    </row>
    <row r="7815" spans="12:15">
      <c r="L7815" s="2"/>
      <c r="N7815" s="2"/>
      <c r="O7815" s="2"/>
    </row>
    <row r="7816" spans="12:15">
      <c r="L7816" s="2"/>
      <c r="N7816" s="2"/>
      <c r="O7816" s="2"/>
    </row>
    <row r="7817" spans="12:15">
      <c r="L7817" s="2"/>
      <c r="N7817" s="2"/>
      <c r="O7817" s="2"/>
    </row>
    <row r="7818" spans="12:15">
      <c r="L7818" s="2"/>
      <c r="N7818" s="2"/>
      <c r="O7818" s="2"/>
    </row>
    <row r="7819" spans="12:15">
      <c r="L7819" s="2"/>
      <c r="N7819" s="2"/>
      <c r="O7819" s="2"/>
    </row>
    <row r="7820" spans="12:15">
      <c r="L7820" s="2"/>
      <c r="N7820" s="2"/>
      <c r="O7820" s="2"/>
    </row>
    <row r="7821" spans="12:15">
      <c r="L7821" s="2"/>
      <c r="N7821" s="2"/>
      <c r="O7821" s="2"/>
    </row>
    <row r="7822" spans="12:15">
      <c r="L7822" s="2"/>
      <c r="N7822" s="2"/>
      <c r="O7822" s="2"/>
    </row>
    <row r="7823" spans="12:15">
      <c r="L7823" s="2"/>
      <c r="N7823" s="2"/>
      <c r="O7823" s="2"/>
    </row>
    <row r="7824" spans="12:15">
      <c r="L7824" s="2"/>
      <c r="N7824" s="2"/>
      <c r="O7824" s="2"/>
    </row>
    <row r="7825" spans="12:15">
      <c r="L7825" s="2"/>
      <c r="N7825" s="2"/>
      <c r="O7825" s="2"/>
    </row>
    <row r="7826" spans="12:15">
      <c r="L7826" s="2"/>
      <c r="N7826" s="2"/>
      <c r="O7826" s="2"/>
    </row>
    <row r="7827" spans="12:15">
      <c r="L7827" s="2"/>
      <c r="N7827" s="2"/>
      <c r="O7827" s="2"/>
    </row>
    <row r="7828" spans="12:15">
      <c r="L7828" s="2"/>
      <c r="N7828" s="2"/>
      <c r="O7828" s="2"/>
    </row>
    <row r="7829" spans="12:15">
      <c r="L7829" s="2"/>
      <c r="N7829" s="2"/>
      <c r="O7829" s="2"/>
    </row>
    <row r="7830" spans="12:15">
      <c r="L7830" s="2"/>
      <c r="N7830" s="2"/>
      <c r="O7830" s="2"/>
    </row>
    <row r="7831" spans="12:15">
      <c r="L7831" s="2"/>
      <c r="N7831" s="2"/>
      <c r="O7831" s="2"/>
    </row>
    <row r="7832" spans="12:15">
      <c r="L7832" s="2"/>
      <c r="N7832" s="2"/>
      <c r="O7832" s="2"/>
    </row>
    <row r="7833" spans="12:15">
      <c r="L7833" s="2"/>
      <c r="N7833" s="2"/>
      <c r="O7833" s="2"/>
    </row>
    <row r="7834" spans="12:15">
      <c r="L7834" s="2"/>
      <c r="N7834" s="2"/>
      <c r="O7834" s="2"/>
    </row>
    <row r="7835" spans="12:15">
      <c r="L7835" s="2"/>
      <c r="N7835" s="2"/>
      <c r="O7835" s="2"/>
    </row>
    <row r="7836" spans="12:15">
      <c r="L7836" s="2"/>
      <c r="N7836" s="2"/>
      <c r="O7836" s="2"/>
    </row>
    <row r="7837" spans="12:15">
      <c r="L7837" s="2"/>
      <c r="N7837" s="2"/>
      <c r="O7837" s="2"/>
    </row>
    <row r="7838" spans="12:15">
      <c r="L7838" s="2"/>
      <c r="N7838" s="2"/>
      <c r="O7838" s="2"/>
    </row>
    <row r="7839" spans="12:15">
      <c r="L7839" s="2"/>
      <c r="N7839" s="2"/>
      <c r="O7839" s="2"/>
    </row>
    <row r="7840" spans="12:15">
      <c r="L7840" s="2"/>
      <c r="N7840" s="2"/>
      <c r="O7840" s="2"/>
    </row>
    <row r="7841" spans="12:15">
      <c r="L7841" s="2"/>
      <c r="N7841" s="2"/>
      <c r="O7841" s="2"/>
    </row>
    <row r="7842" spans="12:15">
      <c r="L7842" s="2"/>
      <c r="N7842" s="2"/>
      <c r="O7842" s="2"/>
    </row>
    <row r="7843" spans="12:15">
      <c r="L7843" s="2"/>
      <c r="N7843" s="2"/>
      <c r="O7843" s="2"/>
    </row>
    <row r="7844" spans="12:15">
      <c r="L7844" s="2"/>
      <c r="N7844" s="2"/>
      <c r="O7844" s="2"/>
    </row>
    <row r="7845" spans="12:15">
      <c r="L7845" s="2"/>
      <c r="N7845" s="2"/>
      <c r="O7845" s="2"/>
    </row>
    <row r="7846" spans="12:15">
      <c r="L7846" s="2"/>
      <c r="N7846" s="2"/>
      <c r="O7846" s="2"/>
    </row>
    <row r="7847" spans="12:15">
      <c r="L7847" s="2"/>
      <c r="N7847" s="2"/>
      <c r="O7847" s="2"/>
    </row>
    <row r="7848" spans="12:15">
      <c r="L7848" s="2"/>
      <c r="N7848" s="2"/>
      <c r="O7848" s="2"/>
    </row>
    <row r="7849" spans="12:15">
      <c r="L7849" s="2"/>
      <c r="N7849" s="2"/>
      <c r="O7849" s="2"/>
    </row>
    <row r="7850" spans="12:15">
      <c r="L7850" s="2"/>
      <c r="N7850" s="2"/>
      <c r="O7850" s="2"/>
    </row>
    <row r="7851" spans="12:15">
      <c r="L7851" s="2"/>
      <c r="N7851" s="2"/>
      <c r="O7851" s="2"/>
    </row>
    <row r="7852" spans="12:15">
      <c r="L7852" s="2"/>
      <c r="N7852" s="2"/>
      <c r="O7852" s="2"/>
    </row>
    <row r="7853" spans="12:15">
      <c r="L7853" s="2"/>
      <c r="N7853" s="2"/>
      <c r="O7853" s="2"/>
    </row>
    <row r="7854" spans="12:15">
      <c r="L7854" s="2"/>
      <c r="N7854" s="2"/>
      <c r="O7854" s="2"/>
    </row>
    <row r="7855" spans="12:15">
      <c r="L7855" s="2"/>
      <c r="N7855" s="2"/>
      <c r="O7855" s="2"/>
    </row>
    <row r="7856" spans="12:15">
      <c r="L7856" s="2"/>
      <c r="N7856" s="2"/>
      <c r="O7856" s="2"/>
    </row>
    <row r="7857" spans="12:15">
      <c r="L7857" s="2"/>
      <c r="N7857" s="2"/>
      <c r="O7857" s="2"/>
    </row>
    <row r="7858" spans="12:15">
      <c r="L7858" s="2"/>
      <c r="N7858" s="2"/>
      <c r="O7858" s="2"/>
    </row>
    <row r="7859" spans="12:15">
      <c r="L7859" s="2"/>
      <c r="N7859" s="2"/>
      <c r="O7859" s="2"/>
    </row>
    <row r="7860" spans="12:15">
      <c r="L7860" s="2"/>
      <c r="N7860" s="2"/>
      <c r="O7860" s="2"/>
    </row>
    <row r="7861" spans="12:15">
      <c r="L7861" s="2"/>
      <c r="N7861" s="2"/>
      <c r="O7861" s="2"/>
    </row>
    <row r="7862" spans="12:15">
      <c r="L7862" s="2"/>
      <c r="N7862" s="2"/>
      <c r="O7862" s="2"/>
    </row>
    <row r="7863" spans="12:15">
      <c r="L7863" s="2"/>
      <c r="N7863" s="2"/>
      <c r="O7863" s="2"/>
    </row>
    <row r="7864" spans="12:15">
      <c r="L7864" s="2"/>
      <c r="N7864" s="2"/>
      <c r="O7864" s="2"/>
    </row>
    <row r="7865" spans="12:15">
      <c r="L7865" s="2"/>
      <c r="N7865" s="2"/>
      <c r="O7865" s="2"/>
    </row>
    <row r="7866" spans="12:15">
      <c r="L7866" s="2"/>
      <c r="N7866" s="2"/>
      <c r="O7866" s="2"/>
    </row>
    <row r="7867" spans="12:15">
      <c r="L7867" s="2"/>
      <c r="N7867" s="2"/>
      <c r="O7867" s="2"/>
    </row>
    <row r="7868" spans="12:15">
      <c r="L7868" s="2"/>
      <c r="N7868" s="2"/>
      <c r="O7868" s="2"/>
    </row>
    <row r="7869" spans="12:15">
      <c r="L7869" s="2"/>
      <c r="N7869" s="2"/>
      <c r="O7869" s="2"/>
    </row>
    <row r="7870" spans="12:15">
      <c r="L7870" s="2"/>
      <c r="N7870" s="2"/>
      <c r="O7870" s="2"/>
    </row>
    <row r="7871" spans="12:15">
      <c r="L7871" s="2"/>
      <c r="N7871" s="2"/>
      <c r="O7871" s="2"/>
    </row>
    <row r="7872" spans="12:15">
      <c r="L7872" s="2"/>
      <c r="N7872" s="2"/>
      <c r="O7872" s="2"/>
    </row>
    <row r="7873" spans="12:15">
      <c r="L7873" s="2"/>
      <c r="N7873" s="2"/>
      <c r="O7873" s="2"/>
    </row>
    <row r="7874" spans="12:15">
      <c r="L7874" s="2"/>
      <c r="N7874" s="2"/>
      <c r="O7874" s="2"/>
    </row>
    <row r="7875" spans="12:15">
      <c r="L7875" s="2"/>
      <c r="N7875" s="2"/>
      <c r="O7875" s="2"/>
    </row>
    <row r="7876" spans="12:15">
      <c r="L7876" s="2"/>
      <c r="N7876" s="2"/>
      <c r="O7876" s="2"/>
    </row>
    <row r="7877" spans="12:15">
      <c r="L7877" s="2"/>
      <c r="N7877" s="2"/>
      <c r="O7877" s="2"/>
    </row>
    <row r="7878" spans="12:15">
      <c r="L7878" s="2"/>
      <c r="N7878" s="2"/>
      <c r="O7878" s="2"/>
    </row>
    <row r="7879" spans="12:15">
      <c r="L7879" s="2"/>
      <c r="N7879" s="2"/>
      <c r="O7879" s="2"/>
    </row>
    <row r="7880" spans="12:15">
      <c r="L7880" s="2"/>
      <c r="N7880" s="2"/>
      <c r="O7880" s="2"/>
    </row>
    <row r="7881" spans="12:15">
      <c r="L7881" s="2"/>
      <c r="N7881" s="2"/>
      <c r="O7881" s="2"/>
    </row>
    <row r="7882" spans="12:15">
      <c r="L7882" s="2"/>
      <c r="N7882" s="2"/>
      <c r="O7882" s="2"/>
    </row>
    <row r="7883" spans="12:15">
      <c r="L7883" s="2"/>
      <c r="N7883" s="2"/>
      <c r="O7883" s="2"/>
    </row>
    <row r="7884" spans="12:15">
      <c r="L7884" s="2"/>
      <c r="N7884" s="2"/>
      <c r="O7884" s="2"/>
    </row>
    <row r="7885" spans="12:15">
      <c r="L7885" s="2"/>
      <c r="N7885" s="2"/>
      <c r="O7885" s="2"/>
    </row>
    <row r="7886" spans="12:15">
      <c r="L7886" s="2"/>
      <c r="N7886" s="2"/>
      <c r="O7886" s="2"/>
    </row>
    <row r="7887" spans="12:15">
      <c r="L7887" s="2"/>
      <c r="N7887" s="2"/>
      <c r="O7887" s="2"/>
    </row>
    <row r="7888" spans="12:15">
      <c r="L7888" s="2"/>
      <c r="N7888" s="2"/>
      <c r="O7888" s="2"/>
    </row>
    <row r="7889" spans="12:15">
      <c r="L7889" s="2"/>
      <c r="N7889" s="2"/>
      <c r="O7889" s="2"/>
    </row>
    <row r="7890" spans="12:15">
      <c r="L7890" s="2"/>
      <c r="N7890" s="2"/>
      <c r="O7890" s="2"/>
    </row>
    <row r="7891" spans="12:15">
      <c r="L7891" s="2"/>
      <c r="N7891" s="2"/>
      <c r="O7891" s="2"/>
    </row>
    <row r="7892" spans="12:15">
      <c r="L7892" s="2"/>
      <c r="N7892" s="2"/>
      <c r="O7892" s="2"/>
    </row>
    <row r="7893" spans="12:15">
      <c r="L7893" s="2"/>
      <c r="N7893" s="2"/>
      <c r="O7893" s="2"/>
    </row>
    <row r="7894" spans="12:15">
      <c r="L7894" s="2"/>
      <c r="N7894" s="2"/>
      <c r="O7894" s="2"/>
    </row>
    <row r="7895" spans="12:15">
      <c r="L7895" s="2"/>
      <c r="N7895" s="2"/>
      <c r="O7895" s="2"/>
    </row>
    <row r="7896" spans="12:15">
      <c r="L7896" s="2"/>
      <c r="N7896" s="2"/>
      <c r="O7896" s="2"/>
    </row>
    <row r="7897" spans="12:15">
      <c r="L7897" s="2"/>
      <c r="N7897" s="2"/>
      <c r="O7897" s="2"/>
    </row>
    <row r="7898" spans="12:15">
      <c r="L7898" s="2"/>
      <c r="N7898" s="2"/>
      <c r="O7898" s="2"/>
    </row>
    <row r="7899" spans="12:15">
      <c r="L7899" s="2"/>
      <c r="N7899" s="2"/>
      <c r="O7899" s="2"/>
    </row>
    <row r="7900" spans="12:15">
      <c r="L7900" s="2"/>
      <c r="N7900" s="2"/>
      <c r="O7900" s="2"/>
    </row>
    <row r="7901" spans="12:15">
      <c r="L7901" s="2"/>
      <c r="N7901" s="2"/>
      <c r="O7901" s="2"/>
    </row>
    <row r="7902" spans="12:15">
      <c r="L7902" s="2"/>
      <c r="N7902" s="2"/>
      <c r="O7902" s="2"/>
    </row>
    <row r="7903" spans="12:15">
      <c r="L7903" s="2"/>
      <c r="N7903" s="2"/>
      <c r="O7903" s="2"/>
    </row>
    <row r="7904" spans="12:15">
      <c r="L7904" s="2"/>
      <c r="N7904" s="2"/>
      <c r="O7904" s="2"/>
    </row>
    <row r="7905" spans="12:15">
      <c r="L7905" s="2"/>
      <c r="N7905" s="2"/>
      <c r="O7905" s="2"/>
    </row>
    <row r="7906" spans="12:15">
      <c r="L7906" s="2"/>
      <c r="N7906" s="2"/>
      <c r="O7906" s="2"/>
    </row>
    <row r="7907" spans="12:15">
      <c r="L7907" s="2"/>
      <c r="N7907" s="2"/>
      <c r="O7907" s="2"/>
    </row>
    <row r="7908" spans="12:15">
      <c r="L7908" s="2"/>
      <c r="N7908" s="2"/>
      <c r="O7908" s="2"/>
    </row>
    <row r="7909" spans="12:15">
      <c r="L7909" s="2"/>
      <c r="N7909" s="2"/>
      <c r="O7909" s="2"/>
    </row>
    <row r="7910" spans="12:15">
      <c r="L7910" s="2"/>
      <c r="N7910" s="2"/>
      <c r="O7910" s="2"/>
    </row>
    <row r="7911" spans="12:15">
      <c r="L7911" s="2"/>
      <c r="N7911" s="2"/>
      <c r="O7911" s="2"/>
    </row>
    <row r="7912" spans="12:15">
      <c r="L7912" s="2"/>
      <c r="N7912" s="2"/>
      <c r="O7912" s="2"/>
    </row>
    <row r="7913" spans="12:15">
      <c r="L7913" s="2"/>
      <c r="N7913" s="2"/>
      <c r="O7913" s="2"/>
    </row>
    <row r="7914" spans="12:15">
      <c r="L7914" s="2"/>
      <c r="N7914" s="2"/>
      <c r="O7914" s="2"/>
    </row>
    <row r="7915" spans="12:15">
      <c r="L7915" s="2"/>
      <c r="N7915" s="2"/>
      <c r="O7915" s="2"/>
    </row>
    <row r="7916" spans="12:15">
      <c r="L7916" s="2"/>
      <c r="N7916" s="2"/>
      <c r="O7916" s="2"/>
    </row>
    <row r="7917" spans="12:15">
      <c r="L7917" s="2"/>
      <c r="N7917" s="2"/>
      <c r="O7917" s="2"/>
    </row>
    <row r="7918" spans="12:15">
      <c r="L7918" s="2"/>
      <c r="N7918" s="2"/>
      <c r="O7918" s="2"/>
    </row>
    <row r="7919" spans="12:15">
      <c r="L7919" s="2"/>
      <c r="N7919" s="2"/>
      <c r="O7919" s="2"/>
    </row>
    <row r="7920" spans="12:15">
      <c r="L7920" s="2"/>
      <c r="N7920" s="2"/>
      <c r="O7920" s="2"/>
    </row>
    <row r="7921" spans="12:15">
      <c r="L7921" s="2"/>
      <c r="N7921" s="2"/>
      <c r="O7921" s="2"/>
    </row>
    <row r="7922" spans="12:15">
      <c r="L7922" s="2"/>
      <c r="N7922" s="2"/>
      <c r="O7922" s="2"/>
    </row>
    <row r="7923" spans="12:15">
      <c r="L7923" s="2"/>
      <c r="N7923" s="2"/>
      <c r="O7923" s="2"/>
    </row>
    <row r="7924" spans="12:15">
      <c r="L7924" s="2"/>
      <c r="N7924" s="2"/>
      <c r="O7924" s="2"/>
    </row>
    <row r="7925" spans="12:15">
      <c r="L7925" s="2"/>
      <c r="N7925" s="2"/>
      <c r="O7925" s="2"/>
    </row>
    <row r="7926" spans="12:15">
      <c r="L7926" s="2"/>
      <c r="N7926" s="2"/>
      <c r="O7926" s="2"/>
    </row>
    <row r="7927" spans="12:15">
      <c r="L7927" s="2"/>
      <c r="N7927" s="2"/>
      <c r="O7927" s="2"/>
    </row>
    <row r="7928" spans="12:15">
      <c r="L7928" s="2"/>
      <c r="N7928" s="2"/>
      <c r="O7928" s="2"/>
    </row>
    <row r="7929" spans="12:15">
      <c r="L7929" s="2"/>
      <c r="N7929" s="2"/>
      <c r="O7929" s="2"/>
    </row>
    <row r="7930" spans="12:15">
      <c r="L7930" s="2"/>
      <c r="N7930" s="2"/>
      <c r="O7930" s="2"/>
    </row>
    <row r="7931" spans="12:15">
      <c r="L7931" s="2"/>
      <c r="N7931" s="2"/>
      <c r="O7931" s="2"/>
    </row>
    <row r="7932" spans="12:15">
      <c r="L7932" s="2"/>
      <c r="N7932" s="2"/>
      <c r="O7932" s="2"/>
    </row>
    <row r="7933" spans="12:15">
      <c r="L7933" s="2"/>
      <c r="N7933" s="2"/>
      <c r="O7933" s="2"/>
    </row>
    <row r="7934" spans="12:15">
      <c r="L7934" s="2"/>
      <c r="N7934" s="2"/>
      <c r="O7934" s="2"/>
    </row>
    <row r="7935" spans="12:15">
      <c r="L7935" s="2"/>
      <c r="N7935" s="2"/>
      <c r="O7935" s="2"/>
    </row>
    <row r="7936" spans="12:15">
      <c r="L7936" s="2"/>
      <c r="N7936" s="2"/>
      <c r="O7936" s="2"/>
    </row>
    <row r="7937" spans="12:15">
      <c r="L7937" s="2"/>
      <c r="N7937" s="2"/>
      <c r="O7937" s="2"/>
    </row>
    <row r="7938" spans="12:15">
      <c r="L7938" s="2"/>
      <c r="N7938" s="2"/>
      <c r="O7938" s="2"/>
    </row>
    <row r="7939" spans="12:15">
      <c r="L7939" s="2"/>
      <c r="N7939" s="2"/>
      <c r="O7939" s="2"/>
    </row>
    <row r="7940" spans="12:15">
      <c r="L7940" s="2"/>
      <c r="N7940" s="2"/>
      <c r="O7940" s="2"/>
    </row>
    <row r="7941" spans="12:15">
      <c r="L7941" s="2"/>
      <c r="N7941" s="2"/>
      <c r="O7941" s="2"/>
    </row>
    <row r="7942" spans="12:15">
      <c r="L7942" s="2"/>
      <c r="N7942" s="2"/>
      <c r="O7942" s="2"/>
    </row>
    <row r="7943" spans="12:15">
      <c r="L7943" s="2"/>
      <c r="N7943" s="2"/>
      <c r="O7943" s="2"/>
    </row>
    <row r="7944" spans="12:15">
      <c r="L7944" s="2"/>
      <c r="N7944" s="2"/>
      <c r="O7944" s="2"/>
    </row>
    <row r="7945" spans="12:15">
      <c r="L7945" s="2"/>
      <c r="N7945" s="2"/>
      <c r="O7945" s="2"/>
    </row>
    <row r="7946" spans="12:15">
      <c r="L7946" s="2"/>
      <c r="N7946" s="2"/>
      <c r="O7946" s="2"/>
    </row>
    <row r="7947" spans="12:15">
      <c r="L7947" s="2"/>
      <c r="N7947" s="2"/>
      <c r="O7947" s="2"/>
    </row>
    <row r="7948" spans="12:15">
      <c r="L7948" s="2"/>
      <c r="N7948" s="2"/>
      <c r="O7948" s="2"/>
    </row>
    <row r="7949" spans="12:15">
      <c r="L7949" s="2"/>
      <c r="N7949" s="2"/>
      <c r="O7949" s="2"/>
    </row>
    <row r="7950" spans="12:15">
      <c r="L7950" s="2"/>
      <c r="N7950" s="2"/>
      <c r="O7950" s="2"/>
    </row>
    <row r="7951" spans="12:15">
      <c r="L7951" s="2"/>
      <c r="N7951" s="2"/>
      <c r="O7951" s="2"/>
    </row>
    <row r="7952" spans="12:15">
      <c r="L7952" s="2"/>
      <c r="N7952" s="2"/>
      <c r="O7952" s="2"/>
    </row>
    <row r="7953" spans="12:15">
      <c r="L7953" s="2"/>
      <c r="N7953" s="2"/>
      <c r="O7953" s="2"/>
    </row>
    <row r="7954" spans="12:15">
      <c r="L7954" s="2"/>
      <c r="N7954" s="2"/>
      <c r="O7954" s="2"/>
    </row>
    <row r="7955" spans="12:15">
      <c r="L7955" s="2"/>
      <c r="N7955" s="2"/>
      <c r="O7955" s="2"/>
    </row>
    <row r="7956" spans="12:15">
      <c r="L7956" s="2"/>
      <c r="N7956" s="2"/>
      <c r="O7956" s="2"/>
    </row>
    <row r="7957" spans="12:15">
      <c r="L7957" s="2"/>
      <c r="N7957" s="2"/>
      <c r="O7957" s="2"/>
    </row>
    <row r="7958" spans="12:15">
      <c r="L7958" s="2"/>
      <c r="N7958" s="2"/>
      <c r="O7958" s="2"/>
    </row>
    <row r="7959" spans="12:15">
      <c r="L7959" s="2"/>
      <c r="N7959" s="2"/>
      <c r="O7959" s="2"/>
    </row>
    <row r="7960" spans="12:15">
      <c r="L7960" s="2"/>
      <c r="N7960" s="2"/>
      <c r="O7960" s="2"/>
    </row>
    <row r="7961" spans="12:15">
      <c r="L7961" s="2"/>
      <c r="N7961" s="2"/>
      <c r="O7961" s="2"/>
    </row>
    <row r="7962" spans="12:15">
      <c r="L7962" s="2"/>
      <c r="N7962" s="2"/>
      <c r="O7962" s="2"/>
    </row>
    <row r="7963" spans="12:15">
      <c r="L7963" s="2"/>
      <c r="N7963" s="2"/>
      <c r="O7963" s="2"/>
    </row>
    <row r="7964" spans="12:15">
      <c r="L7964" s="2"/>
      <c r="N7964" s="2"/>
      <c r="O7964" s="2"/>
    </row>
    <row r="7965" spans="12:15">
      <c r="L7965" s="2"/>
      <c r="N7965" s="2"/>
      <c r="O7965" s="2"/>
    </row>
    <row r="7966" spans="12:15">
      <c r="L7966" s="2"/>
      <c r="N7966" s="2"/>
      <c r="O7966" s="2"/>
    </row>
    <row r="7967" spans="12:15">
      <c r="L7967" s="2"/>
      <c r="N7967" s="2"/>
      <c r="O7967" s="2"/>
    </row>
    <row r="7968" spans="12:15">
      <c r="L7968" s="2"/>
      <c r="N7968" s="2"/>
      <c r="O7968" s="2"/>
    </row>
    <row r="7969" spans="12:15">
      <c r="L7969" s="2"/>
      <c r="N7969" s="2"/>
      <c r="O7969" s="2"/>
    </row>
    <row r="7970" spans="12:15">
      <c r="L7970" s="2"/>
      <c r="N7970" s="2"/>
      <c r="O7970" s="2"/>
    </row>
    <row r="7971" spans="12:15">
      <c r="L7971" s="2"/>
      <c r="N7971" s="2"/>
      <c r="O7971" s="2"/>
    </row>
    <row r="7972" spans="12:15">
      <c r="L7972" s="2"/>
      <c r="N7972" s="2"/>
      <c r="O7972" s="2"/>
    </row>
    <row r="7973" spans="12:15">
      <c r="L7973" s="2"/>
      <c r="N7973" s="2"/>
      <c r="O7973" s="2"/>
    </row>
    <row r="7974" spans="12:15">
      <c r="L7974" s="2"/>
      <c r="N7974" s="2"/>
      <c r="O7974" s="2"/>
    </row>
    <row r="7975" spans="12:15">
      <c r="L7975" s="2"/>
      <c r="N7975" s="2"/>
      <c r="O7975" s="2"/>
    </row>
    <row r="7976" spans="12:15">
      <c r="L7976" s="2"/>
      <c r="N7976" s="2"/>
      <c r="O7976" s="2"/>
    </row>
    <row r="7977" spans="12:15">
      <c r="L7977" s="2"/>
      <c r="N7977" s="2"/>
      <c r="O7977" s="2"/>
    </row>
    <row r="7978" spans="12:15">
      <c r="L7978" s="2"/>
      <c r="N7978" s="2"/>
      <c r="O7978" s="2"/>
    </row>
    <row r="7979" spans="12:15">
      <c r="L7979" s="2"/>
      <c r="N7979" s="2"/>
      <c r="O7979" s="2"/>
    </row>
    <row r="7980" spans="12:15">
      <c r="L7980" s="2"/>
      <c r="N7980" s="2"/>
      <c r="O7980" s="2"/>
    </row>
    <row r="7981" spans="12:15">
      <c r="L7981" s="2"/>
      <c r="N7981" s="2"/>
      <c r="O7981" s="2"/>
    </row>
    <row r="7982" spans="12:15">
      <c r="L7982" s="2"/>
      <c r="N7982" s="2"/>
      <c r="O7982" s="2"/>
    </row>
    <row r="7983" spans="12:15">
      <c r="L7983" s="2"/>
      <c r="N7983" s="2"/>
      <c r="O7983" s="2"/>
    </row>
    <row r="7984" spans="12:15">
      <c r="L7984" s="2"/>
      <c r="N7984" s="2"/>
      <c r="O7984" s="2"/>
    </row>
    <row r="7985" spans="12:15">
      <c r="L7985" s="2"/>
      <c r="N7985" s="2"/>
      <c r="O7985" s="2"/>
    </row>
    <row r="7986" spans="12:15">
      <c r="L7986" s="2"/>
      <c r="N7986" s="2"/>
      <c r="O7986" s="2"/>
    </row>
    <row r="7987" spans="12:15">
      <c r="L7987" s="2"/>
      <c r="N7987" s="2"/>
      <c r="O7987" s="2"/>
    </row>
    <row r="7988" spans="12:15">
      <c r="L7988" s="2"/>
      <c r="N7988" s="2"/>
      <c r="O7988" s="2"/>
    </row>
    <row r="7989" spans="12:15">
      <c r="L7989" s="2"/>
      <c r="N7989" s="2"/>
      <c r="O7989" s="2"/>
    </row>
    <row r="7990" spans="12:15">
      <c r="L7990" s="2"/>
      <c r="N7990" s="2"/>
      <c r="O7990" s="2"/>
    </row>
    <row r="7991" spans="12:15">
      <c r="L7991" s="2"/>
      <c r="N7991" s="2"/>
      <c r="O7991" s="2"/>
    </row>
    <row r="7992" spans="12:15">
      <c r="L7992" s="2"/>
      <c r="N7992" s="2"/>
      <c r="O7992" s="2"/>
    </row>
    <row r="7993" spans="12:15">
      <c r="L7993" s="2"/>
      <c r="N7993" s="2"/>
      <c r="O7993" s="2"/>
    </row>
    <row r="7994" spans="12:15">
      <c r="L7994" s="2"/>
      <c r="N7994" s="2"/>
      <c r="O7994" s="2"/>
    </row>
    <row r="7995" spans="12:15">
      <c r="L7995" s="2"/>
      <c r="N7995" s="2"/>
      <c r="O7995" s="2"/>
    </row>
    <row r="7996" spans="12:15">
      <c r="L7996" s="2"/>
      <c r="N7996" s="2"/>
      <c r="O7996" s="2"/>
    </row>
    <row r="7997" spans="12:15">
      <c r="L7997" s="2"/>
      <c r="N7997" s="2"/>
      <c r="O7997" s="2"/>
    </row>
    <row r="7998" spans="12:15">
      <c r="L7998" s="2"/>
      <c r="N7998" s="2"/>
      <c r="O7998" s="2"/>
    </row>
    <row r="7999" spans="12:15">
      <c r="L7999" s="2"/>
      <c r="N7999" s="2"/>
      <c r="O7999" s="2"/>
    </row>
    <row r="8000" spans="12:15">
      <c r="L8000" s="2"/>
      <c r="N8000" s="2"/>
      <c r="O8000" s="2"/>
    </row>
    <row r="8001" spans="12:15">
      <c r="L8001" s="2"/>
      <c r="N8001" s="2"/>
      <c r="O8001" s="2"/>
    </row>
    <row r="8002" spans="12:15">
      <c r="L8002" s="2"/>
      <c r="N8002" s="2"/>
      <c r="O8002" s="2"/>
    </row>
    <row r="8003" spans="12:15">
      <c r="L8003" s="2"/>
      <c r="N8003" s="2"/>
      <c r="O8003" s="2"/>
    </row>
    <row r="8004" spans="12:15">
      <c r="L8004" s="2"/>
      <c r="N8004" s="2"/>
      <c r="O8004" s="2"/>
    </row>
    <row r="8005" spans="12:15">
      <c r="L8005" s="2"/>
      <c r="N8005" s="2"/>
      <c r="O8005" s="2"/>
    </row>
    <row r="8006" spans="12:15">
      <c r="L8006" s="2"/>
      <c r="N8006" s="2"/>
      <c r="O8006" s="2"/>
    </row>
    <row r="8007" spans="12:15">
      <c r="L8007" s="2"/>
      <c r="N8007" s="2"/>
      <c r="O8007" s="2"/>
    </row>
    <row r="8008" spans="12:15">
      <c r="L8008" s="2"/>
      <c r="N8008" s="2"/>
      <c r="O8008" s="2"/>
    </row>
    <row r="8009" spans="12:15">
      <c r="L8009" s="2"/>
      <c r="N8009" s="2"/>
      <c r="O8009" s="2"/>
    </row>
    <row r="8010" spans="12:15">
      <c r="L8010" s="2"/>
      <c r="N8010" s="2"/>
      <c r="O8010" s="2"/>
    </row>
    <row r="8011" spans="12:15">
      <c r="L8011" s="2"/>
      <c r="N8011" s="2"/>
      <c r="O8011" s="2"/>
    </row>
    <row r="8012" spans="12:15">
      <c r="L8012" s="2"/>
      <c r="N8012" s="2"/>
      <c r="O8012" s="2"/>
    </row>
    <row r="8013" spans="12:15">
      <c r="L8013" s="2"/>
      <c r="N8013" s="2"/>
      <c r="O8013" s="2"/>
    </row>
    <row r="8014" spans="12:15">
      <c r="L8014" s="2"/>
      <c r="N8014" s="2"/>
      <c r="O8014" s="2"/>
    </row>
    <row r="8015" spans="12:15">
      <c r="L8015" s="2"/>
      <c r="N8015" s="2"/>
      <c r="O8015" s="2"/>
    </row>
    <row r="8016" spans="12:15">
      <c r="L8016" s="2"/>
      <c r="N8016" s="2"/>
      <c r="O8016" s="2"/>
    </row>
    <row r="8017" spans="12:15">
      <c r="L8017" s="2"/>
      <c r="N8017" s="2"/>
      <c r="O8017" s="2"/>
    </row>
    <row r="8018" spans="12:15">
      <c r="L8018" s="2"/>
      <c r="N8018" s="2"/>
      <c r="O8018" s="2"/>
    </row>
    <row r="8019" spans="12:15">
      <c r="L8019" s="2"/>
      <c r="N8019" s="2"/>
      <c r="O8019" s="2"/>
    </row>
    <row r="8020" spans="12:15">
      <c r="L8020" s="2"/>
      <c r="N8020" s="2"/>
      <c r="O8020" s="2"/>
    </row>
    <row r="8021" spans="12:15">
      <c r="L8021" s="2"/>
      <c r="N8021" s="2"/>
      <c r="O8021" s="2"/>
    </row>
    <row r="8022" spans="12:15">
      <c r="L8022" s="2"/>
      <c r="N8022" s="2"/>
      <c r="O8022" s="2"/>
    </row>
    <row r="8023" spans="12:15">
      <c r="L8023" s="2"/>
      <c r="N8023" s="2"/>
      <c r="O8023" s="2"/>
    </row>
    <row r="8024" spans="12:15">
      <c r="L8024" s="2"/>
      <c r="N8024" s="2"/>
      <c r="O8024" s="2"/>
    </row>
    <row r="8025" spans="12:15">
      <c r="L8025" s="2"/>
      <c r="N8025" s="2"/>
      <c r="O8025" s="2"/>
    </row>
    <row r="8026" spans="12:15">
      <c r="L8026" s="2"/>
      <c r="N8026" s="2"/>
      <c r="O8026" s="2"/>
    </row>
    <row r="8027" spans="12:15">
      <c r="L8027" s="2"/>
      <c r="N8027" s="2"/>
      <c r="O8027" s="2"/>
    </row>
    <row r="8028" spans="12:15">
      <c r="L8028" s="2"/>
      <c r="N8028" s="2"/>
      <c r="O8028" s="2"/>
    </row>
    <row r="8029" spans="12:15">
      <c r="L8029" s="2"/>
      <c r="N8029" s="2"/>
      <c r="O8029" s="2"/>
    </row>
    <row r="8030" spans="12:15">
      <c r="L8030" s="2"/>
      <c r="N8030" s="2"/>
      <c r="O8030" s="2"/>
    </row>
    <row r="8031" spans="12:15">
      <c r="L8031" s="2"/>
      <c r="N8031" s="2"/>
      <c r="O8031" s="2"/>
    </row>
    <row r="8032" spans="12:15">
      <c r="L8032" s="2"/>
      <c r="N8032" s="2"/>
      <c r="O8032" s="2"/>
    </row>
    <row r="8033" spans="12:15">
      <c r="L8033" s="2"/>
      <c r="N8033" s="2"/>
      <c r="O8033" s="2"/>
    </row>
    <row r="8034" spans="12:15">
      <c r="L8034" s="2"/>
      <c r="N8034" s="2"/>
      <c r="O8034" s="2"/>
    </row>
    <row r="8035" spans="12:15">
      <c r="L8035" s="2"/>
      <c r="N8035" s="2"/>
      <c r="O8035" s="2"/>
    </row>
    <row r="8036" spans="12:15">
      <c r="L8036" s="2"/>
      <c r="N8036" s="2"/>
      <c r="O8036" s="2"/>
    </row>
    <row r="8037" spans="12:15">
      <c r="L8037" s="2"/>
      <c r="N8037" s="2"/>
      <c r="O8037" s="2"/>
    </row>
    <row r="8038" spans="12:15">
      <c r="L8038" s="2"/>
      <c r="N8038" s="2"/>
      <c r="O8038" s="2"/>
    </row>
    <row r="8039" spans="12:15">
      <c r="L8039" s="2"/>
      <c r="N8039" s="2"/>
      <c r="O8039" s="2"/>
    </row>
    <row r="8040" spans="12:15">
      <c r="L8040" s="2"/>
      <c r="N8040" s="2"/>
      <c r="O8040" s="2"/>
    </row>
    <row r="8041" spans="12:15">
      <c r="L8041" s="2"/>
      <c r="N8041" s="2"/>
      <c r="O8041" s="2"/>
    </row>
    <row r="8042" spans="12:15">
      <c r="L8042" s="2"/>
      <c r="N8042" s="2"/>
      <c r="O8042" s="2"/>
    </row>
    <row r="8043" spans="12:15">
      <c r="L8043" s="2"/>
      <c r="N8043" s="2"/>
      <c r="O8043" s="2"/>
    </row>
    <row r="8044" spans="12:15">
      <c r="L8044" s="2"/>
      <c r="N8044" s="2"/>
      <c r="O8044" s="2"/>
    </row>
    <row r="8045" spans="12:15">
      <c r="L8045" s="2"/>
      <c r="N8045" s="2"/>
      <c r="O8045" s="2"/>
    </row>
    <row r="8046" spans="12:15">
      <c r="L8046" s="2"/>
      <c r="N8046" s="2"/>
      <c r="O8046" s="2"/>
    </row>
    <row r="8047" spans="12:15">
      <c r="L8047" s="2"/>
      <c r="N8047" s="2"/>
      <c r="O8047" s="2"/>
    </row>
    <row r="8048" spans="12:15">
      <c r="L8048" s="2"/>
      <c r="N8048" s="2"/>
      <c r="O8048" s="2"/>
    </row>
    <row r="8049" spans="12:15">
      <c r="L8049" s="2"/>
      <c r="N8049" s="2"/>
      <c r="O8049" s="2"/>
    </row>
    <row r="8050" spans="12:15">
      <c r="L8050" s="2"/>
      <c r="N8050" s="2"/>
      <c r="O8050" s="2"/>
    </row>
    <row r="8051" spans="12:15">
      <c r="L8051" s="2"/>
      <c r="N8051" s="2"/>
      <c r="O8051" s="2"/>
    </row>
    <row r="8052" spans="12:15">
      <c r="L8052" s="2"/>
      <c r="N8052" s="2"/>
      <c r="O8052" s="2"/>
    </row>
    <row r="8053" spans="12:15">
      <c r="L8053" s="2"/>
      <c r="N8053" s="2"/>
      <c r="O8053" s="2"/>
    </row>
    <row r="8054" spans="12:15">
      <c r="L8054" s="2"/>
      <c r="N8054" s="2"/>
      <c r="O8054" s="2"/>
    </row>
    <row r="8055" spans="12:15">
      <c r="L8055" s="2"/>
      <c r="N8055" s="2"/>
      <c r="O8055" s="2"/>
    </row>
    <row r="8056" spans="12:15">
      <c r="L8056" s="2"/>
      <c r="N8056" s="2"/>
      <c r="O8056" s="2"/>
    </row>
    <row r="8057" spans="12:15">
      <c r="L8057" s="2"/>
      <c r="N8057" s="2"/>
      <c r="O8057" s="2"/>
    </row>
    <row r="8058" spans="12:15">
      <c r="L8058" s="2"/>
      <c r="N8058" s="2"/>
      <c r="O8058" s="2"/>
    </row>
    <row r="8059" spans="12:15">
      <c r="L8059" s="2"/>
      <c r="N8059" s="2"/>
      <c r="O8059" s="2"/>
    </row>
    <row r="8060" spans="12:15">
      <c r="L8060" s="2"/>
      <c r="N8060" s="2"/>
      <c r="O8060" s="2"/>
    </row>
    <row r="8061" spans="12:15">
      <c r="L8061" s="2"/>
      <c r="N8061" s="2"/>
      <c r="O8061" s="2"/>
    </row>
    <row r="8062" spans="12:15">
      <c r="L8062" s="2"/>
      <c r="N8062" s="2"/>
      <c r="O8062" s="2"/>
    </row>
    <row r="8063" spans="12:15">
      <c r="L8063" s="2"/>
      <c r="N8063" s="2"/>
      <c r="O8063" s="2"/>
    </row>
    <row r="8064" spans="12:15">
      <c r="L8064" s="2"/>
      <c r="N8064" s="2"/>
      <c r="O8064" s="2"/>
    </row>
    <row r="8065" spans="12:15">
      <c r="L8065" s="2"/>
      <c r="N8065" s="2"/>
      <c r="O8065" s="2"/>
    </row>
    <row r="8066" spans="12:15">
      <c r="L8066" s="2"/>
      <c r="N8066" s="2"/>
      <c r="O8066" s="2"/>
    </row>
    <row r="8067" spans="12:15">
      <c r="L8067" s="2"/>
      <c r="N8067" s="2"/>
      <c r="O8067" s="2"/>
    </row>
    <row r="8068" spans="12:15">
      <c r="L8068" s="2"/>
      <c r="N8068" s="2"/>
      <c r="O8068" s="2"/>
    </row>
    <row r="8069" spans="12:15">
      <c r="L8069" s="2"/>
      <c r="N8069" s="2"/>
      <c r="O8069" s="2"/>
    </row>
    <row r="8070" spans="12:15">
      <c r="L8070" s="2"/>
      <c r="N8070" s="2"/>
      <c r="O8070" s="2"/>
    </row>
    <row r="8071" spans="12:15">
      <c r="L8071" s="2"/>
      <c r="N8071" s="2"/>
      <c r="O8071" s="2"/>
    </row>
    <row r="8072" spans="12:15">
      <c r="L8072" s="2"/>
      <c r="N8072" s="2"/>
      <c r="O8072" s="2"/>
    </row>
    <row r="8073" spans="12:15">
      <c r="L8073" s="2"/>
      <c r="N8073" s="2"/>
      <c r="O8073" s="2"/>
    </row>
    <row r="8074" spans="12:15">
      <c r="L8074" s="2"/>
      <c r="N8074" s="2"/>
      <c r="O8074" s="2"/>
    </row>
    <row r="8075" spans="12:15">
      <c r="L8075" s="2"/>
      <c r="N8075" s="2"/>
      <c r="O8075" s="2"/>
    </row>
    <row r="8076" spans="12:15">
      <c r="L8076" s="2"/>
      <c r="N8076" s="2"/>
      <c r="O8076" s="2"/>
    </row>
    <row r="8077" spans="12:15">
      <c r="L8077" s="2"/>
      <c r="N8077" s="2"/>
      <c r="O8077" s="2"/>
    </row>
    <row r="8078" spans="12:15">
      <c r="L8078" s="2"/>
      <c r="N8078" s="2"/>
      <c r="O8078" s="2"/>
    </row>
    <row r="8079" spans="12:15">
      <c r="L8079" s="2"/>
      <c r="N8079" s="2"/>
      <c r="O8079" s="2"/>
    </row>
    <row r="8080" spans="12:15">
      <c r="L8080" s="2"/>
      <c r="N8080" s="2"/>
      <c r="O8080" s="2"/>
    </row>
    <row r="8081" spans="12:15">
      <c r="L8081" s="2"/>
      <c r="N8081" s="2"/>
      <c r="O8081" s="2"/>
    </row>
    <row r="8082" spans="12:15">
      <c r="L8082" s="2"/>
      <c r="N8082" s="2"/>
      <c r="O8082" s="2"/>
    </row>
    <row r="8083" spans="12:15">
      <c r="L8083" s="2"/>
      <c r="N8083" s="2"/>
      <c r="O8083" s="2"/>
    </row>
    <row r="8084" spans="12:15">
      <c r="L8084" s="2"/>
      <c r="N8084" s="2"/>
      <c r="O8084" s="2"/>
    </row>
    <row r="8085" spans="12:15">
      <c r="L8085" s="2"/>
      <c r="N8085" s="2"/>
      <c r="O8085" s="2"/>
    </row>
    <row r="8086" spans="12:15">
      <c r="L8086" s="2"/>
      <c r="N8086" s="2"/>
      <c r="O8086" s="2"/>
    </row>
    <row r="8087" spans="12:15">
      <c r="L8087" s="2"/>
      <c r="N8087" s="2"/>
      <c r="O8087" s="2"/>
    </row>
    <row r="8088" spans="12:15">
      <c r="L8088" s="2"/>
      <c r="N8088" s="2"/>
      <c r="O8088" s="2"/>
    </row>
    <row r="8089" spans="12:15">
      <c r="L8089" s="2"/>
      <c r="N8089" s="2"/>
      <c r="O8089" s="2"/>
    </row>
    <row r="8090" spans="12:15">
      <c r="L8090" s="2"/>
      <c r="N8090" s="2"/>
      <c r="O8090" s="2"/>
    </row>
    <row r="8091" spans="12:15">
      <c r="L8091" s="2"/>
      <c r="N8091" s="2"/>
      <c r="O8091" s="2"/>
    </row>
    <row r="8092" spans="12:15">
      <c r="L8092" s="2"/>
      <c r="N8092" s="2"/>
      <c r="O8092" s="2"/>
    </row>
    <row r="8093" spans="12:15">
      <c r="L8093" s="2"/>
      <c r="N8093" s="2"/>
      <c r="O8093" s="2"/>
    </row>
    <row r="8094" spans="12:15">
      <c r="L8094" s="2"/>
      <c r="N8094" s="2"/>
      <c r="O8094" s="2"/>
    </row>
    <row r="8095" spans="12:15">
      <c r="L8095" s="2"/>
      <c r="N8095" s="2"/>
      <c r="O8095" s="2"/>
    </row>
    <row r="8096" spans="12:15">
      <c r="L8096" s="2"/>
      <c r="N8096" s="2"/>
      <c r="O8096" s="2"/>
    </row>
    <row r="8097" spans="12:15">
      <c r="L8097" s="2"/>
      <c r="N8097" s="2"/>
      <c r="O8097" s="2"/>
    </row>
    <row r="8098" spans="12:15">
      <c r="L8098" s="2"/>
      <c r="N8098" s="2"/>
      <c r="O8098" s="2"/>
    </row>
    <row r="8099" spans="12:15">
      <c r="L8099" s="2"/>
      <c r="N8099" s="2"/>
      <c r="O8099" s="2"/>
    </row>
    <row r="8100" spans="12:15">
      <c r="L8100" s="2"/>
      <c r="N8100" s="2"/>
      <c r="O8100" s="2"/>
    </row>
    <row r="8101" spans="12:15">
      <c r="L8101" s="2"/>
      <c r="N8101" s="2"/>
      <c r="O8101" s="2"/>
    </row>
    <row r="8102" spans="12:15">
      <c r="L8102" s="2"/>
      <c r="N8102" s="2"/>
      <c r="O8102" s="2"/>
    </row>
    <row r="8103" spans="12:15">
      <c r="L8103" s="2"/>
      <c r="N8103" s="2"/>
      <c r="O8103" s="2"/>
    </row>
    <row r="8104" spans="12:15">
      <c r="L8104" s="2"/>
      <c r="N8104" s="2"/>
      <c r="O8104" s="2"/>
    </row>
    <row r="8105" spans="12:15">
      <c r="L8105" s="2"/>
      <c r="N8105" s="2"/>
      <c r="O8105" s="2"/>
    </row>
    <row r="8106" spans="12:15">
      <c r="L8106" s="2"/>
      <c r="N8106" s="2"/>
      <c r="O8106" s="2"/>
    </row>
    <row r="8107" spans="12:15">
      <c r="L8107" s="2"/>
      <c r="N8107" s="2"/>
      <c r="O8107" s="2"/>
    </row>
    <row r="8108" spans="12:15">
      <c r="L8108" s="2"/>
      <c r="N8108" s="2"/>
      <c r="O8108" s="2"/>
    </row>
    <row r="8109" spans="12:15">
      <c r="L8109" s="2"/>
      <c r="N8109" s="2"/>
      <c r="O8109" s="2"/>
    </row>
    <row r="8110" spans="12:15">
      <c r="L8110" s="2"/>
      <c r="N8110" s="2"/>
      <c r="O8110" s="2"/>
    </row>
    <row r="8111" spans="12:15">
      <c r="L8111" s="2"/>
      <c r="N8111" s="2"/>
      <c r="O8111" s="2"/>
    </row>
    <row r="8112" spans="12:15">
      <c r="L8112" s="2"/>
      <c r="N8112" s="2"/>
      <c r="O8112" s="2"/>
    </row>
    <row r="8113" spans="12:15">
      <c r="L8113" s="2"/>
      <c r="N8113" s="2"/>
      <c r="O8113" s="2"/>
    </row>
    <row r="8114" spans="12:15">
      <c r="L8114" s="2"/>
      <c r="N8114" s="2"/>
      <c r="O8114" s="2"/>
    </row>
    <row r="8115" spans="12:15">
      <c r="L8115" s="2"/>
      <c r="N8115" s="2"/>
      <c r="O8115" s="2"/>
    </row>
    <row r="8116" spans="12:15">
      <c r="L8116" s="2"/>
      <c r="N8116" s="2"/>
      <c r="O8116" s="2"/>
    </row>
    <row r="8117" spans="12:15">
      <c r="L8117" s="2"/>
      <c r="N8117" s="2"/>
      <c r="O8117" s="2"/>
    </row>
    <row r="8118" spans="12:15">
      <c r="L8118" s="2"/>
      <c r="N8118" s="2"/>
      <c r="O8118" s="2"/>
    </row>
    <row r="8119" spans="12:15">
      <c r="L8119" s="2"/>
      <c r="N8119" s="2"/>
      <c r="O8119" s="2"/>
    </row>
    <row r="8120" spans="12:15">
      <c r="L8120" s="2"/>
      <c r="N8120" s="2"/>
      <c r="O8120" s="2"/>
    </row>
    <row r="8121" spans="12:15">
      <c r="L8121" s="2"/>
      <c r="N8121" s="2"/>
      <c r="O8121" s="2"/>
    </row>
    <row r="8122" spans="12:15">
      <c r="L8122" s="2"/>
      <c r="N8122" s="2"/>
      <c r="O8122" s="2"/>
    </row>
    <row r="8123" spans="12:15">
      <c r="L8123" s="2"/>
      <c r="N8123" s="2"/>
      <c r="O8123" s="2"/>
    </row>
    <row r="8124" spans="12:15">
      <c r="L8124" s="2"/>
      <c r="N8124" s="2"/>
      <c r="O8124" s="2"/>
    </row>
    <row r="8125" spans="12:15">
      <c r="L8125" s="2"/>
      <c r="N8125" s="2"/>
      <c r="O8125" s="2"/>
    </row>
    <row r="8126" spans="12:15">
      <c r="L8126" s="2"/>
      <c r="N8126" s="2"/>
      <c r="O8126" s="2"/>
    </row>
    <row r="8127" spans="12:15">
      <c r="L8127" s="2"/>
      <c r="N8127" s="2"/>
      <c r="O8127" s="2"/>
    </row>
    <row r="8128" spans="12:15">
      <c r="L8128" s="2"/>
      <c r="N8128" s="2"/>
      <c r="O8128" s="2"/>
    </row>
    <row r="8129" spans="12:15">
      <c r="L8129" s="2"/>
      <c r="N8129" s="2"/>
      <c r="O8129" s="2"/>
    </row>
    <row r="8130" spans="12:15">
      <c r="L8130" s="2"/>
      <c r="N8130" s="2"/>
      <c r="O8130" s="2"/>
    </row>
    <row r="8131" spans="12:15">
      <c r="L8131" s="2"/>
      <c r="N8131" s="2"/>
      <c r="O8131" s="2"/>
    </row>
    <row r="8132" spans="12:15">
      <c r="L8132" s="2"/>
      <c r="N8132" s="2"/>
      <c r="O8132" s="2"/>
    </row>
    <row r="8133" spans="12:15">
      <c r="L8133" s="2"/>
      <c r="N8133" s="2"/>
      <c r="O8133" s="2"/>
    </row>
    <row r="8134" spans="12:15">
      <c r="L8134" s="2"/>
      <c r="N8134" s="2"/>
      <c r="O8134" s="2"/>
    </row>
    <row r="8135" spans="12:15">
      <c r="L8135" s="2"/>
      <c r="N8135" s="2"/>
      <c r="O8135" s="2"/>
    </row>
    <row r="8136" spans="12:15">
      <c r="L8136" s="2"/>
      <c r="N8136" s="2"/>
      <c r="O8136" s="2"/>
    </row>
    <row r="8137" spans="12:15">
      <c r="L8137" s="2"/>
      <c r="N8137" s="2"/>
      <c r="O8137" s="2"/>
    </row>
    <row r="8138" spans="12:15">
      <c r="L8138" s="2"/>
      <c r="N8138" s="2"/>
      <c r="O8138" s="2"/>
    </row>
    <row r="8139" spans="12:15">
      <c r="L8139" s="2"/>
      <c r="N8139" s="2"/>
      <c r="O8139" s="2"/>
    </row>
    <row r="8140" spans="12:15">
      <c r="L8140" s="2"/>
      <c r="N8140" s="2"/>
      <c r="O8140" s="2"/>
    </row>
    <row r="8141" spans="12:15">
      <c r="L8141" s="2"/>
      <c r="N8141" s="2"/>
      <c r="O8141" s="2"/>
    </row>
    <row r="8142" spans="12:15">
      <c r="L8142" s="2"/>
      <c r="N8142" s="2"/>
      <c r="O8142" s="2"/>
    </row>
    <row r="8143" spans="12:15">
      <c r="L8143" s="2"/>
      <c r="N8143" s="2"/>
      <c r="O8143" s="2"/>
    </row>
    <row r="8144" spans="12:15">
      <c r="L8144" s="2"/>
      <c r="N8144" s="2"/>
      <c r="O8144" s="2"/>
    </row>
    <row r="8145" spans="12:15">
      <c r="L8145" s="2"/>
      <c r="N8145" s="2"/>
      <c r="O8145" s="2"/>
    </row>
    <row r="8146" spans="12:15">
      <c r="L8146" s="2"/>
      <c r="N8146" s="2"/>
      <c r="O8146" s="2"/>
    </row>
    <row r="8147" spans="12:15">
      <c r="L8147" s="2"/>
      <c r="N8147" s="2"/>
      <c r="O8147" s="2"/>
    </row>
    <row r="8148" spans="12:15">
      <c r="L8148" s="2"/>
      <c r="N8148" s="2"/>
      <c r="O8148" s="2"/>
    </row>
    <row r="8149" spans="12:15">
      <c r="L8149" s="2"/>
      <c r="N8149" s="2"/>
      <c r="O8149" s="2"/>
    </row>
    <row r="8150" spans="12:15">
      <c r="L8150" s="2"/>
      <c r="N8150" s="2"/>
      <c r="O8150" s="2"/>
    </row>
    <row r="8151" spans="12:15">
      <c r="L8151" s="2"/>
      <c r="N8151" s="2"/>
      <c r="O8151" s="2"/>
    </row>
    <row r="8152" spans="12:15">
      <c r="L8152" s="2"/>
      <c r="N8152" s="2"/>
      <c r="O8152" s="2"/>
    </row>
    <row r="8153" spans="12:15">
      <c r="L8153" s="2"/>
      <c r="N8153" s="2"/>
      <c r="O8153" s="2"/>
    </row>
    <row r="8154" spans="12:15">
      <c r="L8154" s="2"/>
      <c r="N8154" s="2"/>
      <c r="O8154" s="2"/>
    </row>
    <row r="8155" spans="12:15">
      <c r="L8155" s="2"/>
      <c r="N8155" s="2"/>
      <c r="O8155" s="2"/>
    </row>
    <row r="8156" spans="12:15">
      <c r="L8156" s="2"/>
      <c r="N8156" s="2"/>
      <c r="O8156" s="2"/>
    </row>
    <row r="8157" spans="12:15">
      <c r="L8157" s="2"/>
      <c r="N8157" s="2"/>
      <c r="O8157" s="2"/>
    </row>
    <row r="8158" spans="12:15">
      <c r="L8158" s="2"/>
      <c r="N8158" s="2"/>
      <c r="O8158" s="2"/>
    </row>
    <row r="8159" spans="12:15">
      <c r="L8159" s="2"/>
      <c r="N8159" s="2"/>
      <c r="O8159" s="2"/>
    </row>
    <row r="8160" spans="12:15">
      <c r="L8160" s="2"/>
      <c r="N8160" s="2"/>
      <c r="O8160" s="2"/>
    </row>
    <row r="8161" spans="12:15">
      <c r="L8161" s="2"/>
      <c r="N8161" s="2"/>
      <c r="O8161" s="2"/>
    </row>
    <row r="8162" spans="12:15">
      <c r="L8162" s="2"/>
      <c r="N8162" s="2"/>
      <c r="O8162" s="2"/>
    </row>
    <row r="8163" spans="12:15">
      <c r="L8163" s="2"/>
      <c r="N8163" s="2"/>
      <c r="O8163" s="2"/>
    </row>
    <row r="8164" spans="12:15">
      <c r="L8164" s="2"/>
      <c r="N8164" s="2"/>
      <c r="O8164" s="2"/>
    </row>
    <row r="8165" spans="12:15">
      <c r="L8165" s="2"/>
      <c r="N8165" s="2"/>
      <c r="O8165" s="2"/>
    </row>
    <row r="8166" spans="12:15">
      <c r="L8166" s="2"/>
      <c r="N8166" s="2"/>
      <c r="O8166" s="2"/>
    </row>
    <row r="8167" spans="12:15">
      <c r="L8167" s="2"/>
      <c r="N8167" s="2"/>
      <c r="O8167" s="2"/>
    </row>
    <row r="8168" spans="12:15">
      <c r="L8168" s="2"/>
      <c r="N8168" s="2"/>
      <c r="O8168" s="2"/>
    </row>
    <row r="8169" spans="12:15">
      <c r="L8169" s="2"/>
      <c r="N8169" s="2"/>
      <c r="O8169" s="2"/>
    </row>
    <row r="8170" spans="12:15">
      <c r="L8170" s="2"/>
      <c r="N8170" s="2"/>
      <c r="O8170" s="2"/>
    </row>
    <row r="8171" spans="12:15">
      <c r="L8171" s="2"/>
      <c r="N8171" s="2"/>
      <c r="O8171" s="2"/>
    </row>
    <row r="8172" spans="12:15">
      <c r="L8172" s="2"/>
      <c r="N8172" s="2"/>
      <c r="O8172" s="2"/>
    </row>
    <row r="8173" spans="12:15">
      <c r="L8173" s="2"/>
      <c r="N8173" s="2"/>
      <c r="O8173" s="2"/>
    </row>
    <row r="8174" spans="12:15">
      <c r="L8174" s="2"/>
      <c r="N8174" s="2"/>
      <c r="O8174" s="2"/>
    </row>
    <row r="8175" spans="12:15">
      <c r="L8175" s="2"/>
      <c r="N8175" s="2"/>
      <c r="O8175" s="2"/>
    </row>
    <row r="8176" spans="12:15">
      <c r="L8176" s="2"/>
      <c r="N8176" s="2"/>
      <c r="O8176" s="2"/>
    </row>
    <row r="8177" spans="12:15">
      <c r="L8177" s="2"/>
      <c r="N8177" s="2"/>
      <c r="O8177" s="2"/>
    </row>
    <row r="8178" spans="12:15">
      <c r="L8178" s="2"/>
      <c r="N8178" s="2"/>
      <c r="O8178" s="2"/>
    </row>
    <row r="8179" spans="12:15">
      <c r="L8179" s="2"/>
      <c r="N8179" s="2"/>
      <c r="O8179" s="2"/>
    </row>
    <row r="8180" spans="12:15">
      <c r="L8180" s="2"/>
      <c r="N8180" s="2"/>
      <c r="O8180" s="2"/>
    </row>
    <row r="8181" spans="12:15">
      <c r="L8181" s="2"/>
      <c r="N8181" s="2"/>
      <c r="O8181" s="2"/>
    </row>
    <row r="8182" spans="12:15">
      <c r="L8182" s="2"/>
      <c r="N8182" s="2"/>
      <c r="O8182" s="2"/>
    </row>
    <row r="8183" spans="12:15">
      <c r="L8183" s="2"/>
      <c r="N8183" s="2"/>
      <c r="O8183" s="2"/>
    </row>
    <row r="8184" spans="12:15">
      <c r="L8184" s="2"/>
      <c r="N8184" s="2"/>
      <c r="O8184" s="2"/>
    </row>
    <row r="8185" spans="12:15">
      <c r="L8185" s="2"/>
      <c r="N8185" s="2"/>
      <c r="O8185" s="2"/>
    </row>
    <row r="8186" spans="12:15">
      <c r="L8186" s="2"/>
      <c r="N8186" s="2"/>
      <c r="O8186" s="2"/>
    </row>
    <row r="8187" spans="12:15">
      <c r="L8187" s="2"/>
      <c r="N8187" s="2"/>
      <c r="O8187" s="2"/>
    </row>
    <row r="8188" spans="12:15">
      <c r="L8188" s="2"/>
      <c r="N8188" s="2"/>
      <c r="O8188" s="2"/>
    </row>
    <row r="8189" spans="12:15">
      <c r="L8189" s="2"/>
      <c r="N8189" s="2"/>
      <c r="O8189" s="2"/>
    </row>
    <row r="8190" spans="12:15">
      <c r="L8190" s="2"/>
      <c r="N8190" s="2"/>
      <c r="O8190" s="2"/>
    </row>
    <row r="8191" spans="12:15">
      <c r="L8191" s="2"/>
      <c r="N8191" s="2"/>
      <c r="O8191" s="2"/>
    </row>
    <row r="8192" spans="12:15">
      <c r="L8192" s="2"/>
      <c r="N8192" s="2"/>
      <c r="O8192" s="2"/>
    </row>
    <row r="8193" spans="12:15">
      <c r="L8193" s="2"/>
      <c r="N8193" s="2"/>
      <c r="O8193" s="2"/>
    </row>
    <row r="8194" spans="12:15">
      <c r="L8194" s="2"/>
      <c r="N8194" s="2"/>
      <c r="O8194" s="2"/>
    </row>
    <row r="8195" spans="12:15">
      <c r="L8195" s="2"/>
      <c r="N8195" s="2"/>
      <c r="O8195" s="2"/>
    </row>
    <row r="8196" spans="12:15">
      <c r="L8196" s="2"/>
      <c r="N8196" s="2"/>
      <c r="O8196" s="2"/>
    </row>
    <row r="8197" spans="12:15">
      <c r="L8197" s="2"/>
      <c r="N8197" s="2"/>
      <c r="O8197" s="2"/>
    </row>
    <row r="8198" spans="12:15">
      <c r="L8198" s="2"/>
      <c r="N8198" s="2"/>
      <c r="O8198" s="2"/>
    </row>
    <row r="8199" spans="12:15">
      <c r="L8199" s="2"/>
      <c r="N8199" s="2"/>
      <c r="O8199" s="2"/>
    </row>
    <row r="8200" spans="12:15">
      <c r="L8200" s="2"/>
      <c r="N8200" s="2"/>
      <c r="O8200" s="2"/>
    </row>
    <row r="8201" spans="12:15">
      <c r="L8201" s="2"/>
      <c r="N8201" s="2"/>
      <c r="O8201" s="2"/>
    </row>
    <row r="8202" spans="12:15">
      <c r="L8202" s="2"/>
      <c r="N8202" s="2"/>
      <c r="O8202" s="2"/>
    </row>
    <row r="8203" spans="12:15">
      <c r="L8203" s="2"/>
      <c r="N8203" s="2"/>
      <c r="O8203" s="2"/>
    </row>
    <row r="8204" spans="12:15">
      <c r="L8204" s="2"/>
      <c r="N8204" s="2"/>
      <c r="O8204" s="2"/>
    </row>
    <row r="8205" spans="12:15">
      <c r="L8205" s="2"/>
      <c r="N8205" s="2"/>
      <c r="O8205" s="2"/>
    </row>
    <row r="8206" spans="12:15">
      <c r="L8206" s="2"/>
      <c r="N8206" s="2"/>
      <c r="O8206" s="2"/>
    </row>
    <row r="8207" spans="12:15">
      <c r="L8207" s="2"/>
      <c r="N8207" s="2"/>
      <c r="O8207" s="2"/>
    </row>
    <row r="8208" spans="12:15">
      <c r="L8208" s="2"/>
      <c r="N8208" s="2"/>
      <c r="O8208" s="2"/>
    </row>
    <row r="8209" spans="12:15">
      <c r="L8209" s="2"/>
      <c r="N8209" s="2"/>
      <c r="O8209" s="2"/>
    </row>
    <row r="8210" spans="12:15">
      <c r="L8210" s="2"/>
      <c r="N8210" s="2"/>
      <c r="O8210" s="2"/>
    </row>
    <row r="8211" spans="12:15">
      <c r="L8211" s="2"/>
      <c r="N8211" s="2"/>
      <c r="O8211" s="2"/>
    </row>
    <row r="8212" spans="12:15">
      <c r="L8212" s="2"/>
      <c r="N8212" s="2"/>
      <c r="O8212" s="2"/>
    </row>
    <row r="8213" spans="12:15">
      <c r="L8213" s="2"/>
      <c r="N8213" s="2"/>
      <c r="O8213" s="2"/>
    </row>
    <row r="8214" spans="12:15">
      <c r="L8214" s="2"/>
      <c r="N8214" s="2"/>
      <c r="O8214" s="2"/>
    </row>
    <row r="8215" spans="12:15">
      <c r="L8215" s="2"/>
      <c r="N8215" s="2"/>
      <c r="O8215" s="2"/>
    </row>
    <row r="8216" spans="12:15">
      <c r="L8216" s="2"/>
      <c r="N8216" s="2"/>
      <c r="O8216" s="2"/>
    </row>
    <row r="8217" spans="12:15">
      <c r="L8217" s="2"/>
      <c r="N8217" s="2"/>
      <c r="O8217" s="2"/>
    </row>
    <row r="8218" spans="12:15">
      <c r="L8218" s="2"/>
      <c r="N8218" s="2"/>
      <c r="O8218" s="2"/>
    </row>
    <row r="8219" spans="12:15">
      <c r="L8219" s="2"/>
      <c r="N8219" s="2"/>
      <c r="O8219" s="2"/>
    </row>
    <row r="8220" spans="12:15">
      <c r="L8220" s="2"/>
      <c r="N8220" s="2"/>
      <c r="O8220" s="2"/>
    </row>
    <row r="8221" spans="12:15">
      <c r="L8221" s="2"/>
      <c r="N8221" s="2"/>
      <c r="O8221" s="2"/>
    </row>
    <row r="8222" spans="12:15">
      <c r="L8222" s="2"/>
      <c r="N8222" s="2"/>
      <c r="O8222" s="2"/>
    </row>
    <row r="8223" spans="12:15">
      <c r="L8223" s="2"/>
      <c r="N8223" s="2"/>
      <c r="O8223" s="2"/>
    </row>
    <row r="8224" spans="12:15">
      <c r="L8224" s="2"/>
      <c r="N8224" s="2"/>
      <c r="O8224" s="2"/>
    </row>
    <row r="8225" spans="12:15">
      <c r="L8225" s="2"/>
      <c r="N8225" s="2"/>
      <c r="O8225" s="2"/>
    </row>
    <row r="8226" spans="12:15">
      <c r="L8226" s="2"/>
      <c r="N8226" s="2"/>
      <c r="O8226" s="2"/>
    </row>
    <row r="8227" spans="12:15">
      <c r="L8227" s="2"/>
      <c r="N8227" s="2"/>
      <c r="O8227" s="2"/>
    </row>
    <row r="8228" spans="12:15">
      <c r="L8228" s="2"/>
      <c r="N8228" s="2"/>
      <c r="O8228" s="2"/>
    </row>
    <row r="8229" spans="12:15">
      <c r="L8229" s="2"/>
      <c r="N8229" s="2"/>
      <c r="O8229" s="2"/>
    </row>
    <row r="8230" spans="12:15">
      <c r="L8230" s="2"/>
      <c r="N8230" s="2"/>
      <c r="O8230" s="2"/>
    </row>
    <row r="8231" spans="12:15">
      <c r="L8231" s="2"/>
      <c r="N8231" s="2"/>
      <c r="O8231" s="2"/>
    </row>
    <row r="8232" spans="12:15">
      <c r="L8232" s="2"/>
      <c r="N8232" s="2"/>
      <c r="O8232" s="2"/>
    </row>
    <row r="8233" spans="12:15">
      <c r="L8233" s="2"/>
      <c r="N8233" s="2"/>
      <c r="O8233" s="2"/>
    </row>
    <row r="8234" spans="12:15">
      <c r="L8234" s="2"/>
      <c r="N8234" s="2"/>
      <c r="O8234" s="2"/>
    </row>
    <row r="8235" spans="12:15">
      <c r="L8235" s="2"/>
      <c r="N8235" s="2"/>
      <c r="O8235" s="2"/>
    </row>
    <row r="8236" spans="12:15">
      <c r="L8236" s="2"/>
      <c r="N8236" s="2"/>
      <c r="O8236" s="2"/>
    </row>
    <row r="8237" spans="12:15">
      <c r="L8237" s="2"/>
      <c r="N8237" s="2"/>
      <c r="O8237" s="2"/>
    </row>
    <row r="8238" spans="12:15">
      <c r="L8238" s="2"/>
      <c r="N8238" s="2"/>
      <c r="O8238" s="2"/>
    </row>
    <row r="8239" spans="12:15">
      <c r="L8239" s="2"/>
      <c r="N8239" s="2"/>
      <c r="O8239" s="2"/>
    </row>
    <row r="8240" spans="12:15">
      <c r="L8240" s="2"/>
      <c r="N8240" s="2"/>
      <c r="O8240" s="2"/>
    </row>
    <row r="8241" spans="12:15">
      <c r="L8241" s="2"/>
      <c r="N8241" s="2"/>
      <c r="O8241" s="2"/>
    </row>
    <row r="8242" spans="12:15">
      <c r="L8242" s="2"/>
      <c r="N8242" s="2"/>
      <c r="O8242" s="2"/>
    </row>
    <row r="8243" spans="12:15">
      <c r="L8243" s="2"/>
      <c r="N8243" s="2"/>
      <c r="O8243" s="2"/>
    </row>
    <row r="8244" spans="12:15">
      <c r="L8244" s="2"/>
      <c r="N8244" s="2"/>
      <c r="O8244" s="2"/>
    </row>
    <row r="8245" spans="12:15">
      <c r="L8245" s="2"/>
      <c r="N8245" s="2"/>
      <c r="O8245" s="2"/>
    </row>
    <row r="8246" spans="12:15">
      <c r="L8246" s="2"/>
      <c r="N8246" s="2"/>
      <c r="O8246" s="2"/>
    </row>
    <row r="8247" spans="12:15">
      <c r="L8247" s="2"/>
      <c r="N8247" s="2"/>
      <c r="O8247" s="2"/>
    </row>
    <row r="8248" spans="12:15">
      <c r="L8248" s="2"/>
      <c r="N8248" s="2"/>
      <c r="O8248" s="2"/>
    </row>
    <row r="8249" spans="12:15">
      <c r="L8249" s="2"/>
      <c r="N8249" s="2"/>
      <c r="O8249" s="2"/>
    </row>
    <row r="8250" spans="12:15">
      <c r="L8250" s="2"/>
      <c r="N8250" s="2"/>
      <c r="O8250" s="2"/>
    </row>
    <row r="8251" spans="12:15">
      <c r="L8251" s="2"/>
      <c r="N8251" s="2"/>
      <c r="O8251" s="2"/>
    </row>
    <row r="8252" spans="12:15">
      <c r="L8252" s="2"/>
      <c r="N8252" s="2"/>
      <c r="O8252" s="2"/>
    </row>
    <row r="8253" spans="12:15">
      <c r="L8253" s="2"/>
      <c r="N8253" s="2"/>
      <c r="O8253" s="2"/>
    </row>
    <row r="8254" spans="12:15">
      <c r="L8254" s="2"/>
      <c r="N8254" s="2"/>
      <c r="O8254" s="2"/>
    </row>
    <row r="8255" spans="12:15">
      <c r="L8255" s="2"/>
      <c r="N8255" s="2"/>
      <c r="O8255" s="2"/>
    </row>
    <row r="8256" spans="12:15">
      <c r="L8256" s="2"/>
      <c r="N8256" s="2"/>
      <c r="O8256" s="2"/>
    </row>
    <row r="8257" spans="12:15">
      <c r="L8257" s="2"/>
      <c r="N8257" s="2"/>
      <c r="O8257" s="2"/>
    </row>
    <row r="8258" spans="12:15">
      <c r="L8258" s="2"/>
      <c r="N8258" s="2"/>
      <c r="O8258" s="2"/>
    </row>
    <row r="8259" spans="12:15">
      <c r="L8259" s="2"/>
      <c r="N8259" s="2"/>
      <c r="O8259" s="2"/>
    </row>
    <row r="8260" spans="12:15">
      <c r="L8260" s="2"/>
      <c r="N8260" s="2"/>
      <c r="O8260" s="2"/>
    </row>
    <row r="8261" spans="12:15">
      <c r="L8261" s="2"/>
      <c r="N8261" s="2"/>
      <c r="O8261" s="2"/>
    </row>
    <row r="8262" spans="12:15">
      <c r="L8262" s="2"/>
      <c r="N8262" s="2"/>
      <c r="O8262" s="2"/>
    </row>
    <row r="8263" spans="12:15">
      <c r="L8263" s="2"/>
      <c r="N8263" s="2"/>
      <c r="O8263" s="2"/>
    </row>
    <row r="8264" spans="12:15">
      <c r="L8264" s="2"/>
      <c r="N8264" s="2"/>
      <c r="O8264" s="2"/>
    </row>
    <row r="8265" spans="12:15">
      <c r="L8265" s="2"/>
      <c r="N8265" s="2"/>
      <c r="O8265" s="2"/>
    </row>
    <row r="8266" spans="12:15">
      <c r="L8266" s="2"/>
      <c r="N8266" s="2"/>
      <c r="O8266" s="2"/>
    </row>
    <row r="8267" spans="12:15">
      <c r="L8267" s="2"/>
      <c r="N8267" s="2"/>
      <c r="O8267" s="2"/>
    </row>
    <row r="8268" spans="12:15">
      <c r="L8268" s="2"/>
      <c r="N8268" s="2"/>
      <c r="O8268" s="2"/>
    </row>
    <row r="8269" spans="12:15">
      <c r="L8269" s="2"/>
      <c r="N8269" s="2"/>
      <c r="O8269" s="2"/>
    </row>
    <row r="8270" spans="12:15">
      <c r="L8270" s="2"/>
      <c r="N8270" s="2"/>
      <c r="O8270" s="2"/>
    </row>
    <row r="8271" spans="12:15">
      <c r="L8271" s="2"/>
      <c r="N8271" s="2"/>
      <c r="O8271" s="2"/>
    </row>
    <row r="8272" spans="12:15">
      <c r="L8272" s="2"/>
      <c r="N8272" s="2"/>
      <c r="O8272" s="2"/>
    </row>
    <row r="8273" spans="12:15">
      <c r="L8273" s="2"/>
      <c r="N8273" s="2"/>
      <c r="O8273" s="2"/>
    </row>
    <row r="8274" spans="12:15">
      <c r="L8274" s="2"/>
      <c r="N8274" s="2"/>
      <c r="O8274" s="2"/>
    </row>
    <row r="8275" spans="12:15">
      <c r="L8275" s="2"/>
      <c r="N8275" s="2"/>
      <c r="O8275" s="2"/>
    </row>
    <row r="8276" spans="12:15">
      <c r="L8276" s="2"/>
      <c r="N8276" s="2"/>
      <c r="O8276" s="2"/>
    </row>
    <row r="8277" spans="12:15">
      <c r="L8277" s="2"/>
      <c r="N8277" s="2"/>
      <c r="O8277" s="2"/>
    </row>
    <row r="8278" spans="12:15">
      <c r="L8278" s="2"/>
      <c r="N8278" s="2"/>
      <c r="O8278" s="2"/>
    </row>
    <row r="8279" spans="12:15">
      <c r="L8279" s="2"/>
      <c r="N8279" s="2"/>
      <c r="O8279" s="2"/>
    </row>
    <row r="8280" spans="12:15">
      <c r="L8280" s="2"/>
      <c r="N8280" s="2"/>
      <c r="O8280" s="2"/>
    </row>
    <row r="8281" spans="12:15">
      <c r="L8281" s="2"/>
      <c r="N8281" s="2"/>
      <c r="O8281" s="2"/>
    </row>
    <row r="8282" spans="12:15">
      <c r="L8282" s="2"/>
      <c r="N8282" s="2"/>
      <c r="O8282" s="2"/>
    </row>
    <row r="8283" spans="12:15">
      <c r="L8283" s="2"/>
      <c r="N8283" s="2"/>
      <c r="O8283" s="2"/>
    </row>
    <row r="8284" spans="12:15">
      <c r="L8284" s="2"/>
      <c r="N8284" s="2"/>
      <c r="O8284" s="2"/>
    </row>
    <row r="8285" spans="12:15">
      <c r="L8285" s="2"/>
      <c r="N8285" s="2"/>
      <c r="O8285" s="2"/>
    </row>
    <row r="8286" spans="12:15">
      <c r="L8286" s="2"/>
      <c r="N8286" s="2"/>
      <c r="O8286" s="2"/>
    </row>
    <row r="8287" spans="12:15">
      <c r="L8287" s="2"/>
      <c r="N8287" s="2"/>
      <c r="O8287" s="2"/>
    </row>
    <row r="8288" spans="12:15">
      <c r="L8288" s="2"/>
      <c r="N8288" s="2"/>
      <c r="O8288" s="2"/>
    </row>
    <row r="8289" spans="12:15">
      <c r="L8289" s="2"/>
      <c r="N8289" s="2"/>
      <c r="O8289" s="2"/>
    </row>
    <row r="8290" spans="12:15">
      <c r="L8290" s="2"/>
      <c r="N8290" s="2"/>
      <c r="O8290" s="2"/>
    </row>
    <row r="8291" spans="12:15">
      <c r="L8291" s="2"/>
      <c r="N8291" s="2"/>
      <c r="O8291" s="2"/>
    </row>
    <row r="8292" spans="12:15">
      <c r="L8292" s="2"/>
      <c r="N8292" s="2"/>
      <c r="O8292" s="2"/>
    </row>
    <row r="8293" spans="12:15">
      <c r="L8293" s="2"/>
      <c r="N8293" s="2"/>
      <c r="O8293" s="2"/>
    </row>
    <row r="8294" spans="12:15">
      <c r="L8294" s="2"/>
      <c r="N8294" s="2"/>
      <c r="O8294" s="2"/>
    </row>
    <row r="8295" spans="12:15">
      <c r="L8295" s="2"/>
      <c r="N8295" s="2"/>
      <c r="O8295" s="2"/>
    </row>
    <row r="8296" spans="12:15">
      <c r="L8296" s="2"/>
      <c r="N8296" s="2"/>
      <c r="O8296" s="2"/>
    </row>
    <row r="8297" spans="12:15">
      <c r="L8297" s="2"/>
      <c r="N8297" s="2"/>
      <c r="O8297" s="2"/>
    </row>
    <row r="8298" spans="12:15">
      <c r="L8298" s="2"/>
      <c r="N8298" s="2"/>
      <c r="O8298" s="2"/>
    </row>
    <row r="8299" spans="12:15">
      <c r="L8299" s="2"/>
      <c r="N8299" s="2"/>
      <c r="O8299" s="2"/>
    </row>
    <row r="8300" spans="12:15">
      <c r="L8300" s="2"/>
      <c r="N8300" s="2"/>
      <c r="O8300" s="2"/>
    </row>
    <row r="8301" spans="12:15">
      <c r="L8301" s="2"/>
      <c r="N8301" s="2"/>
      <c r="O8301" s="2"/>
    </row>
    <row r="8302" spans="12:15">
      <c r="L8302" s="2"/>
      <c r="N8302" s="2"/>
      <c r="O8302" s="2"/>
    </row>
    <row r="8303" spans="12:15">
      <c r="L8303" s="2"/>
      <c r="N8303" s="2"/>
      <c r="O8303" s="2"/>
    </row>
    <row r="8304" spans="12:15">
      <c r="L8304" s="2"/>
      <c r="N8304" s="2"/>
      <c r="O8304" s="2"/>
    </row>
    <row r="8305" spans="12:15">
      <c r="L8305" s="2"/>
      <c r="N8305" s="2"/>
      <c r="O8305" s="2"/>
    </row>
    <row r="8306" spans="12:15">
      <c r="L8306" s="2"/>
      <c r="N8306" s="2"/>
      <c r="O8306" s="2"/>
    </row>
    <row r="8307" spans="12:15">
      <c r="L8307" s="2"/>
      <c r="N8307" s="2"/>
      <c r="O8307" s="2"/>
    </row>
    <row r="8308" spans="12:15">
      <c r="L8308" s="2"/>
      <c r="N8308" s="2"/>
      <c r="O8308" s="2"/>
    </row>
    <row r="8309" spans="12:15">
      <c r="L8309" s="2"/>
      <c r="N8309" s="2"/>
      <c r="O8309" s="2"/>
    </row>
    <row r="8310" spans="12:15">
      <c r="L8310" s="2"/>
      <c r="N8310" s="2"/>
      <c r="O8310" s="2"/>
    </row>
    <row r="8311" spans="12:15">
      <c r="L8311" s="2"/>
      <c r="N8311" s="2"/>
      <c r="O8311" s="2"/>
    </row>
    <row r="8312" spans="12:15">
      <c r="L8312" s="2"/>
      <c r="N8312" s="2"/>
      <c r="O8312" s="2"/>
    </row>
    <row r="8313" spans="12:15">
      <c r="L8313" s="2"/>
      <c r="N8313" s="2"/>
      <c r="O8313" s="2"/>
    </row>
    <row r="8314" spans="12:15">
      <c r="L8314" s="2"/>
      <c r="N8314" s="2"/>
      <c r="O8314" s="2"/>
    </row>
    <row r="8315" spans="12:15">
      <c r="L8315" s="2"/>
      <c r="N8315" s="2"/>
      <c r="O8315" s="2"/>
    </row>
    <row r="8316" spans="12:15">
      <c r="L8316" s="2"/>
      <c r="N8316" s="2"/>
      <c r="O8316" s="2"/>
    </row>
    <row r="8317" spans="12:15">
      <c r="L8317" s="2"/>
      <c r="N8317" s="2"/>
      <c r="O8317" s="2"/>
    </row>
    <row r="8318" spans="12:15">
      <c r="L8318" s="2"/>
      <c r="N8318" s="2"/>
      <c r="O8318" s="2"/>
    </row>
    <row r="8319" spans="12:15">
      <c r="L8319" s="2"/>
      <c r="N8319" s="2"/>
      <c r="O8319" s="2"/>
    </row>
    <row r="8320" spans="12:15">
      <c r="L8320" s="2"/>
      <c r="N8320" s="2"/>
      <c r="O8320" s="2"/>
    </row>
    <row r="8321" spans="12:15">
      <c r="L8321" s="2"/>
      <c r="N8321" s="2"/>
      <c r="O8321" s="2"/>
    </row>
    <row r="8322" spans="12:15">
      <c r="L8322" s="2"/>
      <c r="N8322" s="2"/>
      <c r="O8322" s="2"/>
    </row>
    <row r="8323" spans="12:15">
      <c r="L8323" s="2"/>
      <c r="N8323" s="2"/>
      <c r="O8323" s="2"/>
    </row>
    <row r="8324" spans="12:15">
      <c r="L8324" s="2"/>
      <c r="N8324" s="2"/>
      <c r="O8324" s="2"/>
    </row>
    <row r="8325" spans="12:15">
      <c r="L8325" s="2"/>
      <c r="N8325" s="2"/>
      <c r="O8325" s="2"/>
    </row>
    <row r="8326" spans="12:15">
      <c r="L8326" s="2"/>
      <c r="N8326" s="2"/>
      <c r="O8326" s="2"/>
    </row>
    <row r="8327" spans="12:15">
      <c r="L8327" s="2"/>
      <c r="N8327" s="2"/>
      <c r="O8327" s="2"/>
    </row>
    <row r="8328" spans="12:15">
      <c r="L8328" s="2"/>
      <c r="N8328" s="2"/>
      <c r="O8328" s="2"/>
    </row>
    <row r="8329" spans="12:15">
      <c r="L8329" s="2"/>
      <c r="N8329" s="2"/>
      <c r="O8329" s="2"/>
    </row>
    <row r="8330" spans="12:15">
      <c r="L8330" s="2"/>
      <c r="N8330" s="2"/>
      <c r="O8330" s="2"/>
    </row>
    <row r="8331" spans="12:15">
      <c r="L8331" s="2"/>
      <c r="N8331" s="2"/>
      <c r="O8331" s="2"/>
    </row>
    <row r="8332" spans="12:15">
      <c r="L8332" s="2"/>
      <c r="N8332" s="2"/>
      <c r="O8332" s="2"/>
    </row>
    <row r="8333" spans="12:15">
      <c r="L8333" s="2"/>
      <c r="N8333" s="2"/>
      <c r="O8333" s="2"/>
    </row>
    <row r="8334" spans="12:15">
      <c r="L8334" s="2"/>
      <c r="N8334" s="2"/>
      <c r="O8334" s="2"/>
    </row>
    <row r="8335" spans="12:15">
      <c r="L8335" s="2"/>
      <c r="N8335" s="2"/>
      <c r="O8335" s="2"/>
    </row>
    <row r="8336" spans="12:15">
      <c r="L8336" s="2"/>
      <c r="N8336" s="2"/>
      <c r="O8336" s="2"/>
    </row>
    <row r="8337" spans="12:15">
      <c r="L8337" s="2"/>
      <c r="N8337" s="2"/>
      <c r="O8337" s="2"/>
    </row>
    <row r="8338" spans="12:15">
      <c r="L8338" s="2"/>
      <c r="N8338" s="2"/>
      <c r="O8338" s="2"/>
    </row>
    <row r="8339" spans="12:15">
      <c r="L8339" s="2"/>
      <c r="N8339" s="2"/>
      <c r="O8339" s="2"/>
    </row>
    <row r="8340" spans="12:15">
      <c r="L8340" s="2"/>
      <c r="N8340" s="2"/>
      <c r="O8340" s="2"/>
    </row>
    <row r="8341" spans="12:15">
      <c r="L8341" s="2"/>
      <c r="N8341" s="2"/>
      <c r="O8341" s="2"/>
    </row>
    <row r="8342" spans="12:15">
      <c r="L8342" s="2"/>
      <c r="N8342" s="2"/>
      <c r="O8342" s="2"/>
    </row>
    <row r="8343" spans="12:15">
      <c r="L8343" s="2"/>
      <c r="N8343" s="2"/>
      <c r="O8343" s="2"/>
    </row>
    <row r="8344" spans="12:15">
      <c r="L8344" s="2"/>
      <c r="N8344" s="2"/>
      <c r="O8344" s="2"/>
    </row>
    <row r="8345" spans="12:15">
      <c r="L8345" s="2"/>
      <c r="N8345" s="2"/>
      <c r="O8345" s="2"/>
    </row>
    <row r="8346" spans="12:15">
      <c r="L8346" s="2"/>
      <c r="N8346" s="2"/>
      <c r="O8346" s="2"/>
    </row>
    <row r="8347" spans="12:15">
      <c r="L8347" s="2"/>
      <c r="N8347" s="2"/>
      <c r="O8347" s="2"/>
    </row>
    <row r="8348" spans="12:15">
      <c r="L8348" s="2"/>
      <c r="N8348" s="2"/>
      <c r="O8348" s="2"/>
    </row>
    <row r="8349" spans="12:15">
      <c r="L8349" s="2"/>
      <c r="N8349" s="2"/>
      <c r="O8349" s="2"/>
    </row>
    <row r="8350" spans="12:15">
      <c r="L8350" s="2"/>
      <c r="N8350" s="2"/>
      <c r="O8350" s="2"/>
    </row>
    <row r="8351" spans="12:15">
      <c r="L8351" s="2"/>
      <c r="N8351" s="2"/>
      <c r="O8351" s="2"/>
    </row>
    <row r="8352" spans="12:15">
      <c r="L8352" s="2"/>
      <c r="N8352" s="2"/>
      <c r="O8352" s="2"/>
    </row>
    <row r="8353" spans="12:15">
      <c r="L8353" s="2"/>
      <c r="N8353" s="2"/>
      <c r="O8353" s="2"/>
    </row>
    <row r="8354" spans="12:15">
      <c r="L8354" s="2"/>
      <c r="N8354" s="2"/>
      <c r="O8354" s="2"/>
    </row>
    <row r="8355" spans="12:15">
      <c r="L8355" s="2"/>
      <c r="N8355" s="2"/>
      <c r="O8355" s="2"/>
    </row>
    <row r="8356" spans="12:15">
      <c r="L8356" s="2"/>
      <c r="N8356" s="2"/>
      <c r="O8356" s="2"/>
    </row>
    <row r="8357" spans="12:15">
      <c r="L8357" s="2"/>
      <c r="N8357" s="2"/>
      <c r="O8357" s="2"/>
    </row>
    <row r="8358" spans="12:15">
      <c r="L8358" s="2"/>
      <c r="N8358" s="2"/>
      <c r="O8358" s="2"/>
    </row>
    <row r="8359" spans="12:15">
      <c r="L8359" s="2"/>
      <c r="N8359" s="2"/>
      <c r="O8359" s="2"/>
    </row>
    <row r="8360" spans="12:15">
      <c r="L8360" s="2"/>
      <c r="N8360" s="2"/>
      <c r="O8360" s="2"/>
    </row>
    <row r="8361" spans="12:15">
      <c r="L8361" s="2"/>
      <c r="N8361" s="2"/>
      <c r="O8361" s="2"/>
    </row>
    <row r="8362" spans="12:15">
      <c r="L8362" s="2"/>
      <c r="N8362" s="2"/>
      <c r="O8362" s="2"/>
    </row>
    <row r="8363" spans="12:15">
      <c r="L8363" s="2"/>
      <c r="N8363" s="2"/>
      <c r="O8363" s="2"/>
    </row>
    <row r="8364" spans="12:15">
      <c r="L8364" s="2"/>
      <c r="N8364" s="2"/>
      <c r="O8364" s="2"/>
    </row>
    <row r="8365" spans="12:15">
      <c r="L8365" s="2"/>
      <c r="N8365" s="2"/>
      <c r="O8365" s="2"/>
    </row>
    <row r="8366" spans="12:15">
      <c r="L8366" s="2"/>
      <c r="N8366" s="2"/>
      <c r="O8366" s="2"/>
    </row>
    <row r="8367" spans="12:15">
      <c r="L8367" s="2"/>
      <c r="N8367" s="2"/>
      <c r="O8367" s="2"/>
    </row>
    <row r="8368" spans="12:15">
      <c r="L8368" s="2"/>
      <c r="N8368" s="2"/>
      <c r="O8368" s="2"/>
    </row>
    <row r="8369" spans="12:15">
      <c r="L8369" s="2"/>
      <c r="N8369" s="2"/>
      <c r="O8369" s="2"/>
    </row>
    <row r="8370" spans="12:15">
      <c r="L8370" s="2"/>
      <c r="N8370" s="2"/>
      <c r="O8370" s="2"/>
    </row>
    <row r="8371" spans="12:15">
      <c r="L8371" s="2"/>
      <c r="N8371" s="2"/>
      <c r="O8371" s="2"/>
    </row>
    <row r="8372" spans="12:15">
      <c r="L8372" s="2"/>
      <c r="N8372" s="2"/>
      <c r="O8372" s="2"/>
    </row>
    <row r="8373" spans="12:15">
      <c r="L8373" s="2"/>
      <c r="N8373" s="2"/>
      <c r="O8373" s="2"/>
    </row>
    <row r="8374" spans="12:15">
      <c r="L8374" s="2"/>
      <c r="N8374" s="2"/>
      <c r="O8374" s="2"/>
    </row>
    <row r="8375" spans="12:15">
      <c r="L8375" s="2"/>
      <c r="N8375" s="2"/>
      <c r="O8375" s="2"/>
    </row>
    <row r="8376" spans="12:15">
      <c r="L8376" s="2"/>
      <c r="N8376" s="2"/>
      <c r="O8376" s="2"/>
    </row>
    <row r="8377" spans="12:15">
      <c r="L8377" s="2"/>
      <c r="N8377" s="2"/>
      <c r="O8377" s="2"/>
    </row>
    <row r="8378" spans="12:15">
      <c r="L8378" s="2"/>
      <c r="N8378" s="2"/>
      <c r="O8378" s="2"/>
    </row>
    <row r="8379" spans="12:15">
      <c r="L8379" s="2"/>
      <c r="N8379" s="2"/>
      <c r="O8379" s="2"/>
    </row>
    <row r="8380" spans="12:15">
      <c r="L8380" s="2"/>
      <c r="N8380" s="2"/>
      <c r="O8380" s="2"/>
    </row>
    <row r="8381" spans="12:15">
      <c r="L8381" s="2"/>
      <c r="N8381" s="2"/>
      <c r="O8381" s="2"/>
    </row>
    <row r="8382" spans="12:15">
      <c r="L8382" s="2"/>
      <c r="N8382" s="2"/>
      <c r="O8382" s="2"/>
    </row>
    <row r="8383" spans="12:15">
      <c r="L8383" s="2"/>
      <c r="N8383" s="2"/>
      <c r="O8383" s="2"/>
    </row>
    <row r="8384" spans="12:15">
      <c r="L8384" s="2"/>
      <c r="N8384" s="2"/>
      <c r="O8384" s="2"/>
    </row>
    <row r="8385" spans="12:15">
      <c r="L8385" s="2"/>
      <c r="N8385" s="2"/>
      <c r="O8385" s="2"/>
    </row>
    <row r="8386" spans="12:15">
      <c r="L8386" s="2"/>
      <c r="N8386" s="2"/>
      <c r="O8386" s="2"/>
    </row>
    <row r="8387" spans="12:15">
      <c r="L8387" s="2"/>
      <c r="N8387" s="2"/>
      <c r="O8387" s="2"/>
    </row>
    <row r="8388" spans="12:15">
      <c r="L8388" s="2"/>
      <c r="N8388" s="2"/>
      <c r="O8388" s="2"/>
    </row>
    <row r="8389" spans="12:15">
      <c r="L8389" s="2"/>
      <c r="N8389" s="2"/>
      <c r="O8389" s="2"/>
    </row>
    <row r="8390" spans="12:15">
      <c r="L8390" s="2"/>
      <c r="N8390" s="2"/>
      <c r="O8390" s="2"/>
    </row>
    <row r="8391" spans="12:15">
      <c r="L8391" s="2"/>
      <c r="N8391" s="2"/>
      <c r="O8391" s="2"/>
    </row>
    <row r="8392" spans="12:15">
      <c r="L8392" s="2"/>
      <c r="N8392" s="2"/>
      <c r="O8392" s="2"/>
    </row>
    <row r="8393" spans="12:15">
      <c r="L8393" s="2"/>
      <c r="N8393" s="2"/>
      <c r="O8393" s="2"/>
    </row>
    <row r="8394" spans="12:15">
      <c r="L8394" s="2"/>
      <c r="N8394" s="2"/>
      <c r="O8394" s="2"/>
    </row>
    <row r="8395" spans="12:15">
      <c r="L8395" s="2"/>
      <c r="N8395" s="2"/>
      <c r="O8395" s="2"/>
    </row>
    <row r="8396" spans="12:15">
      <c r="L8396" s="2"/>
      <c r="N8396" s="2"/>
      <c r="O8396" s="2"/>
    </row>
    <row r="8397" spans="12:15">
      <c r="L8397" s="2"/>
      <c r="N8397" s="2"/>
      <c r="O8397" s="2"/>
    </row>
    <row r="8398" spans="12:15">
      <c r="L8398" s="2"/>
      <c r="N8398" s="2"/>
      <c r="O8398" s="2"/>
    </row>
    <row r="8399" spans="12:15">
      <c r="L8399" s="2"/>
      <c r="N8399" s="2"/>
      <c r="O8399" s="2"/>
    </row>
    <row r="8400" spans="12:15">
      <c r="L8400" s="2"/>
      <c r="N8400" s="2"/>
      <c r="O8400" s="2"/>
    </row>
    <row r="8401" spans="12:15">
      <c r="L8401" s="2"/>
      <c r="N8401" s="2"/>
      <c r="O8401" s="2"/>
    </row>
    <row r="8402" spans="12:15">
      <c r="L8402" s="2"/>
      <c r="N8402" s="2"/>
      <c r="O8402" s="2"/>
    </row>
    <row r="8403" spans="12:15">
      <c r="L8403" s="2"/>
      <c r="N8403" s="2"/>
      <c r="O8403" s="2"/>
    </row>
    <row r="8404" spans="12:15">
      <c r="L8404" s="2"/>
      <c r="N8404" s="2"/>
      <c r="O8404" s="2"/>
    </row>
    <row r="8405" spans="12:15">
      <c r="L8405" s="2"/>
      <c r="N8405" s="2"/>
      <c r="O8405" s="2"/>
    </row>
    <row r="8406" spans="12:15">
      <c r="L8406" s="2"/>
      <c r="N8406" s="2"/>
      <c r="O8406" s="2"/>
    </row>
    <row r="8407" spans="12:15">
      <c r="L8407" s="2"/>
      <c r="N8407" s="2"/>
      <c r="O8407" s="2"/>
    </row>
    <row r="8408" spans="12:15">
      <c r="L8408" s="2"/>
      <c r="N8408" s="2"/>
      <c r="O8408" s="2"/>
    </row>
    <row r="8409" spans="12:15">
      <c r="L8409" s="2"/>
      <c r="N8409" s="2"/>
      <c r="O8409" s="2"/>
    </row>
    <row r="8410" spans="12:15">
      <c r="L8410" s="2"/>
      <c r="N8410" s="2"/>
      <c r="O8410" s="2"/>
    </row>
    <row r="8411" spans="12:15">
      <c r="L8411" s="2"/>
      <c r="N8411" s="2"/>
      <c r="O8411" s="2"/>
    </row>
    <row r="8412" spans="12:15">
      <c r="L8412" s="2"/>
      <c r="N8412" s="2"/>
      <c r="O8412" s="2"/>
    </row>
    <row r="8413" spans="12:15">
      <c r="L8413" s="2"/>
      <c r="N8413" s="2"/>
      <c r="O8413" s="2"/>
    </row>
    <row r="8414" spans="12:15">
      <c r="L8414" s="2"/>
      <c r="N8414" s="2"/>
      <c r="O8414" s="2"/>
    </row>
    <row r="8415" spans="12:15">
      <c r="L8415" s="2"/>
      <c r="N8415" s="2"/>
      <c r="O8415" s="2"/>
    </row>
    <row r="8416" spans="12:15">
      <c r="L8416" s="2"/>
      <c r="N8416" s="2"/>
      <c r="O8416" s="2"/>
    </row>
    <row r="8417" spans="12:15">
      <c r="L8417" s="2"/>
      <c r="N8417" s="2"/>
      <c r="O8417" s="2"/>
    </row>
    <row r="8418" spans="12:15">
      <c r="L8418" s="2"/>
      <c r="N8418" s="2"/>
      <c r="O8418" s="2"/>
    </row>
    <row r="8419" spans="12:15">
      <c r="L8419" s="2"/>
      <c r="N8419" s="2"/>
      <c r="O8419" s="2"/>
    </row>
    <row r="8420" spans="12:15">
      <c r="L8420" s="2"/>
      <c r="N8420" s="2"/>
      <c r="O8420" s="2"/>
    </row>
    <row r="8421" spans="12:15">
      <c r="L8421" s="2"/>
      <c r="N8421" s="2"/>
      <c r="O8421" s="2"/>
    </row>
    <row r="8422" spans="12:15">
      <c r="L8422" s="2"/>
      <c r="N8422" s="2"/>
      <c r="O8422" s="2"/>
    </row>
    <row r="8423" spans="12:15">
      <c r="L8423" s="2"/>
      <c r="N8423" s="2"/>
      <c r="O8423" s="2"/>
    </row>
    <row r="8424" spans="12:15">
      <c r="L8424" s="2"/>
      <c r="N8424" s="2"/>
      <c r="O8424" s="2"/>
    </row>
    <row r="8425" spans="12:15">
      <c r="L8425" s="2"/>
      <c r="N8425" s="2"/>
      <c r="O8425" s="2"/>
    </row>
    <row r="8426" spans="12:15">
      <c r="L8426" s="2"/>
      <c r="N8426" s="2"/>
      <c r="O8426" s="2"/>
    </row>
    <row r="8427" spans="12:15">
      <c r="L8427" s="2"/>
      <c r="N8427" s="2"/>
      <c r="O8427" s="2"/>
    </row>
    <row r="8428" spans="12:15">
      <c r="L8428" s="2"/>
      <c r="N8428" s="2"/>
      <c r="O8428" s="2"/>
    </row>
    <row r="8429" spans="12:15">
      <c r="L8429" s="2"/>
      <c r="N8429" s="2"/>
      <c r="O8429" s="2"/>
    </row>
    <row r="8430" spans="12:15">
      <c r="L8430" s="2"/>
      <c r="N8430" s="2"/>
      <c r="O8430" s="2"/>
    </row>
    <row r="8431" spans="12:15">
      <c r="L8431" s="2"/>
      <c r="N8431" s="2"/>
      <c r="O8431" s="2"/>
    </row>
    <row r="8432" spans="12:15">
      <c r="L8432" s="2"/>
      <c r="N8432" s="2"/>
      <c r="O8432" s="2"/>
    </row>
    <row r="8433" spans="12:15">
      <c r="L8433" s="2"/>
      <c r="N8433" s="2"/>
      <c r="O8433" s="2"/>
    </row>
    <row r="8434" spans="12:15">
      <c r="L8434" s="2"/>
      <c r="N8434" s="2"/>
      <c r="O8434" s="2"/>
    </row>
    <row r="8435" spans="12:15">
      <c r="L8435" s="2"/>
      <c r="N8435" s="2"/>
      <c r="O8435" s="2"/>
    </row>
    <row r="8436" spans="12:15">
      <c r="L8436" s="2"/>
      <c r="N8436" s="2"/>
      <c r="O8436" s="2"/>
    </row>
    <row r="8437" spans="12:15">
      <c r="L8437" s="2"/>
      <c r="N8437" s="2"/>
      <c r="O8437" s="2"/>
    </row>
    <row r="8438" spans="12:15">
      <c r="L8438" s="2"/>
      <c r="N8438" s="2"/>
      <c r="O8438" s="2"/>
    </row>
    <row r="8439" spans="12:15">
      <c r="L8439" s="2"/>
      <c r="N8439" s="2"/>
      <c r="O8439" s="2"/>
    </row>
    <row r="8440" spans="12:15">
      <c r="L8440" s="2"/>
      <c r="N8440" s="2"/>
      <c r="O8440" s="2"/>
    </row>
    <row r="8441" spans="12:15">
      <c r="L8441" s="2"/>
      <c r="N8441" s="2"/>
      <c r="O8441" s="2"/>
    </row>
    <row r="8442" spans="12:15">
      <c r="L8442" s="2"/>
      <c r="N8442" s="2"/>
      <c r="O8442" s="2"/>
    </row>
    <row r="8443" spans="12:15">
      <c r="L8443" s="2"/>
      <c r="N8443" s="2"/>
      <c r="O8443" s="2"/>
    </row>
    <row r="8444" spans="12:15">
      <c r="L8444" s="2"/>
      <c r="N8444" s="2"/>
      <c r="O8444" s="2"/>
    </row>
    <row r="8445" spans="12:15">
      <c r="L8445" s="2"/>
      <c r="N8445" s="2"/>
      <c r="O8445" s="2"/>
    </row>
    <row r="8446" spans="12:15">
      <c r="L8446" s="2"/>
      <c r="N8446" s="2"/>
      <c r="O8446" s="2"/>
    </row>
    <row r="8447" spans="12:15">
      <c r="L8447" s="2"/>
      <c r="N8447" s="2"/>
      <c r="O8447" s="2"/>
    </row>
    <row r="8448" spans="12:15">
      <c r="L8448" s="2"/>
      <c r="N8448" s="2"/>
      <c r="O8448" s="2"/>
    </row>
    <row r="8449" spans="12:15">
      <c r="L8449" s="2"/>
      <c r="N8449" s="2"/>
      <c r="O8449" s="2"/>
    </row>
    <row r="8450" spans="12:15">
      <c r="L8450" s="2"/>
      <c r="N8450" s="2"/>
      <c r="O8450" s="2"/>
    </row>
    <row r="8451" spans="12:15">
      <c r="L8451" s="2"/>
      <c r="N8451" s="2"/>
      <c r="O8451" s="2"/>
    </row>
    <row r="8452" spans="12:15">
      <c r="L8452" s="2"/>
      <c r="N8452" s="2"/>
      <c r="O8452" s="2"/>
    </row>
    <row r="8453" spans="12:15">
      <c r="L8453" s="2"/>
      <c r="N8453" s="2"/>
      <c r="O8453" s="2"/>
    </row>
    <row r="8454" spans="12:15">
      <c r="L8454" s="2"/>
      <c r="N8454" s="2"/>
      <c r="O8454" s="2"/>
    </row>
    <row r="8455" spans="12:15">
      <c r="L8455" s="2"/>
      <c r="N8455" s="2"/>
      <c r="O8455" s="2"/>
    </row>
    <row r="8456" spans="12:15">
      <c r="L8456" s="2"/>
      <c r="N8456" s="2"/>
      <c r="O8456" s="2"/>
    </row>
    <row r="8457" spans="12:15">
      <c r="L8457" s="2"/>
      <c r="N8457" s="2"/>
      <c r="O8457" s="2"/>
    </row>
    <row r="8458" spans="12:15">
      <c r="L8458" s="2"/>
      <c r="N8458" s="2"/>
      <c r="O8458" s="2"/>
    </row>
    <row r="8459" spans="12:15">
      <c r="L8459" s="2"/>
      <c r="N8459" s="2"/>
      <c r="O8459" s="2"/>
    </row>
    <row r="8460" spans="12:15">
      <c r="L8460" s="2"/>
      <c r="N8460" s="2"/>
      <c r="O8460" s="2"/>
    </row>
    <row r="8461" spans="12:15">
      <c r="L8461" s="2"/>
      <c r="N8461" s="2"/>
      <c r="O8461" s="2"/>
    </row>
    <row r="8462" spans="12:15">
      <c r="L8462" s="2"/>
      <c r="N8462" s="2"/>
      <c r="O8462" s="2"/>
    </row>
    <row r="8463" spans="12:15">
      <c r="L8463" s="2"/>
      <c r="N8463" s="2"/>
      <c r="O8463" s="2"/>
    </row>
    <row r="8464" spans="12:15">
      <c r="L8464" s="2"/>
      <c r="N8464" s="2"/>
      <c r="O8464" s="2"/>
    </row>
    <row r="8465" spans="12:15">
      <c r="L8465" s="2"/>
      <c r="N8465" s="2"/>
      <c r="O8465" s="2"/>
    </row>
    <row r="8466" spans="12:15">
      <c r="L8466" s="2"/>
      <c r="N8466" s="2"/>
      <c r="O8466" s="2"/>
    </row>
    <row r="8467" spans="12:15">
      <c r="L8467" s="2"/>
      <c r="N8467" s="2"/>
      <c r="O8467" s="2"/>
    </row>
    <row r="8468" spans="12:15">
      <c r="L8468" s="2"/>
      <c r="N8468" s="2"/>
      <c r="O8468" s="2"/>
    </row>
    <row r="8469" spans="12:15">
      <c r="L8469" s="2"/>
      <c r="N8469" s="2"/>
      <c r="O8469" s="2"/>
    </row>
    <row r="8470" spans="12:15">
      <c r="L8470" s="2"/>
      <c r="N8470" s="2"/>
      <c r="O8470" s="2"/>
    </row>
    <row r="8471" spans="12:15">
      <c r="L8471" s="2"/>
      <c r="N8471" s="2"/>
      <c r="O8471" s="2"/>
    </row>
    <row r="8472" spans="12:15">
      <c r="L8472" s="2"/>
      <c r="N8472" s="2"/>
      <c r="O8472" s="2"/>
    </row>
    <row r="8473" spans="12:15">
      <c r="L8473" s="2"/>
      <c r="N8473" s="2"/>
      <c r="O8473" s="2"/>
    </row>
    <row r="8474" spans="12:15">
      <c r="L8474" s="2"/>
      <c r="N8474" s="2"/>
      <c r="O8474" s="2"/>
    </row>
    <row r="8475" spans="12:15">
      <c r="L8475" s="2"/>
      <c r="N8475" s="2"/>
      <c r="O8475" s="2"/>
    </row>
    <row r="8476" spans="12:15">
      <c r="L8476" s="2"/>
      <c r="N8476" s="2"/>
      <c r="O8476" s="2"/>
    </row>
    <row r="8477" spans="12:15">
      <c r="L8477" s="2"/>
      <c r="N8477" s="2"/>
      <c r="O8477" s="2"/>
    </row>
    <row r="8478" spans="12:15">
      <c r="L8478" s="2"/>
      <c r="N8478" s="2"/>
      <c r="O8478" s="2"/>
    </row>
    <row r="8479" spans="12:15">
      <c r="L8479" s="2"/>
      <c r="N8479" s="2"/>
      <c r="O8479" s="2"/>
    </row>
    <row r="8480" spans="12:15">
      <c r="L8480" s="2"/>
      <c r="N8480" s="2"/>
      <c r="O8480" s="2"/>
    </row>
    <row r="8481" spans="12:15">
      <c r="L8481" s="2"/>
      <c r="N8481" s="2"/>
      <c r="O8481" s="2"/>
    </row>
    <row r="8482" spans="12:15">
      <c r="L8482" s="2"/>
      <c r="N8482" s="2"/>
      <c r="O8482" s="2"/>
    </row>
    <row r="8483" spans="12:15">
      <c r="L8483" s="2"/>
      <c r="N8483" s="2"/>
      <c r="O8483" s="2"/>
    </row>
    <row r="8484" spans="12:15">
      <c r="L8484" s="2"/>
      <c r="N8484" s="2"/>
      <c r="O8484" s="2"/>
    </row>
    <row r="8485" spans="12:15">
      <c r="L8485" s="2"/>
      <c r="N8485" s="2"/>
      <c r="O8485" s="2"/>
    </row>
    <row r="8486" spans="12:15">
      <c r="L8486" s="2"/>
      <c r="N8486" s="2"/>
      <c r="O8486" s="2"/>
    </row>
    <row r="8487" spans="12:15">
      <c r="L8487" s="2"/>
      <c r="N8487" s="2"/>
      <c r="O8487" s="2"/>
    </row>
    <row r="8488" spans="12:15">
      <c r="L8488" s="2"/>
      <c r="N8488" s="2"/>
      <c r="O8488" s="2"/>
    </row>
    <row r="8489" spans="12:15">
      <c r="L8489" s="2"/>
      <c r="N8489" s="2"/>
      <c r="O8489" s="2"/>
    </row>
    <row r="8490" spans="12:15">
      <c r="L8490" s="2"/>
      <c r="N8490" s="2"/>
      <c r="O8490" s="2"/>
    </row>
    <row r="8491" spans="12:15">
      <c r="L8491" s="2"/>
      <c r="N8491" s="2"/>
      <c r="O8491" s="2"/>
    </row>
    <row r="8492" spans="12:15">
      <c r="L8492" s="2"/>
      <c r="N8492" s="2"/>
      <c r="O8492" s="2"/>
    </row>
    <row r="8493" spans="12:15">
      <c r="L8493" s="2"/>
      <c r="N8493" s="2"/>
      <c r="O8493" s="2"/>
    </row>
    <row r="8494" spans="12:15">
      <c r="L8494" s="2"/>
      <c r="N8494" s="2"/>
      <c r="O8494" s="2"/>
    </row>
    <row r="8495" spans="12:15">
      <c r="L8495" s="2"/>
      <c r="N8495" s="2"/>
      <c r="O8495" s="2"/>
    </row>
    <row r="8496" spans="12:15">
      <c r="L8496" s="2"/>
      <c r="N8496" s="2"/>
      <c r="O8496" s="2"/>
    </row>
    <row r="8497" spans="12:15">
      <c r="L8497" s="2"/>
      <c r="N8497" s="2"/>
      <c r="O8497" s="2"/>
    </row>
    <row r="8498" spans="12:15">
      <c r="L8498" s="2"/>
      <c r="N8498" s="2"/>
      <c r="O8498" s="2"/>
    </row>
    <row r="8499" spans="12:15">
      <c r="L8499" s="2"/>
      <c r="N8499" s="2"/>
      <c r="O8499" s="2"/>
    </row>
    <row r="8500" spans="12:15">
      <c r="L8500" s="2"/>
      <c r="N8500" s="2"/>
      <c r="O8500" s="2"/>
    </row>
    <row r="8501" spans="12:15">
      <c r="L8501" s="2"/>
      <c r="N8501" s="2"/>
      <c r="O8501" s="2"/>
    </row>
    <row r="8502" spans="12:15">
      <c r="L8502" s="2"/>
      <c r="N8502" s="2"/>
      <c r="O8502" s="2"/>
    </row>
    <row r="8503" spans="12:15">
      <c r="L8503" s="2"/>
      <c r="N8503" s="2"/>
      <c r="O8503" s="2"/>
    </row>
    <row r="8504" spans="12:15">
      <c r="L8504" s="2"/>
      <c r="N8504" s="2"/>
      <c r="O8504" s="2"/>
    </row>
    <row r="8505" spans="12:15">
      <c r="L8505" s="2"/>
      <c r="N8505" s="2"/>
      <c r="O8505" s="2"/>
    </row>
    <row r="8506" spans="12:15">
      <c r="L8506" s="2"/>
      <c r="N8506" s="2"/>
      <c r="O8506" s="2"/>
    </row>
    <row r="8507" spans="12:15">
      <c r="L8507" s="2"/>
      <c r="N8507" s="2"/>
      <c r="O8507" s="2"/>
    </row>
    <row r="8508" spans="12:15">
      <c r="L8508" s="2"/>
      <c r="N8508" s="2"/>
      <c r="O8508" s="2"/>
    </row>
    <row r="8509" spans="12:15">
      <c r="L8509" s="2"/>
      <c r="N8509" s="2"/>
      <c r="O8509" s="2"/>
    </row>
    <row r="8510" spans="12:15">
      <c r="L8510" s="2"/>
      <c r="N8510" s="2"/>
      <c r="O8510" s="2"/>
    </row>
    <row r="8511" spans="12:15">
      <c r="L8511" s="2"/>
      <c r="N8511" s="2"/>
      <c r="O8511" s="2"/>
    </row>
    <row r="8512" spans="12:15">
      <c r="L8512" s="2"/>
      <c r="N8512" s="2"/>
      <c r="O8512" s="2"/>
    </row>
    <row r="8513" spans="12:15">
      <c r="L8513" s="2"/>
      <c r="N8513" s="2"/>
      <c r="O8513" s="2"/>
    </row>
    <row r="8514" spans="12:15">
      <c r="L8514" s="2"/>
      <c r="N8514" s="2"/>
      <c r="O8514" s="2"/>
    </row>
    <row r="8515" spans="12:15">
      <c r="L8515" s="2"/>
      <c r="N8515" s="2"/>
      <c r="O8515" s="2"/>
    </row>
    <row r="8516" spans="12:15">
      <c r="L8516" s="2"/>
      <c r="N8516" s="2"/>
      <c r="O8516" s="2"/>
    </row>
    <row r="8517" spans="12:15">
      <c r="L8517" s="2"/>
      <c r="N8517" s="2"/>
      <c r="O8517" s="2"/>
    </row>
    <row r="8518" spans="12:15">
      <c r="L8518" s="2"/>
      <c r="N8518" s="2"/>
      <c r="O8518" s="2"/>
    </row>
    <row r="8519" spans="12:15">
      <c r="L8519" s="2"/>
      <c r="N8519" s="2"/>
      <c r="O8519" s="2"/>
    </row>
    <row r="8520" spans="12:15">
      <c r="L8520" s="2"/>
      <c r="N8520" s="2"/>
      <c r="O8520" s="2"/>
    </row>
    <row r="8521" spans="12:15">
      <c r="L8521" s="2"/>
      <c r="N8521" s="2"/>
      <c r="O8521" s="2"/>
    </row>
    <row r="8522" spans="12:15">
      <c r="L8522" s="2"/>
      <c r="N8522" s="2"/>
      <c r="O8522" s="2"/>
    </row>
    <row r="8523" spans="12:15">
      <c r="L8523" s="2"/>
      <c r="N8523" s="2"/>
      <c r="O8523" s="2"/>
    </row>
    <row r="8524" spans="12:15">
      <c r="L8524" s="2"/>
      <c r="N8524" s="2"/>
      <c r="O8524" s="2"/>
    </row>
    <row r="8525" spans="12:15">
      <c r="L8525" s="2"/>
      <c r="N8525" s="2"/>
      <c r="O8525" s="2"/>
    </row>
    <row r="8526" spans="12:15">
      <c r="L8526" s="2"/>
      <c r="N8526" s="2"/>
      <c r="O8526" s="2"/>
    </row>
    <row r="8527" spans="12:15">
      <c r="L8527" s="2"/>
      <c r="N8527" s="2"/>
      <c r="O8527" s="2"/>
    </row>
    <row r="8528" spans="12:15">
      <c r="L8528" s="2"/>
      <c r="N8528" s="2"/>
      <c r="O8528" s="2"/>
    </row>
    <row r="8529" spans="12:15">
      <c r="L8529" s="2"/>
      <c r="N8529" s="2"/>
      <c r="O8529" s="2"/>
    </row>
    <row r="8530" spans="12:15">
      <c r="L8530" s="2"/>
      <c r="N8530" s="2"/>
      <c r="O8530" s="2"/>
    </row>
    <row r="8531" spans="12:15">
      <c r="L8531" s="2"/>
      <c r="N8531" s="2"/>
      <c r="O8531" s="2"/>
    </row>
    <row r="8532" spans="12:15">
      <c r="L8532" s="2"/>
      <c r="N8532" s="2"/>
      <c r="O8532" s="2"/>
    </row>
    <row r="8533" spans="12:15">
      <c r="L8533" s="2"/>
      <c r="N8533" s="2"/>
      <c r="O8533" s="2"/>
    </row>
    <row r="8534" spans="12:15">
      <c r="L8534" s="2"/>
      <c r="N8534" s="2"/>
      <c r="O8534" s="2"/>
    </row>
    <row r="8535" spans="12:15">
      <c r="L8535" s="2"/>
      <c r="N8535" s="2"/>
      <c r="O8535" s="2"/>
    </row>
    <row r="8536" spans="12:15">
      <c r="L8536" s="2"/>
      <c r="N8536" s="2"/>
      <c r="O8536" s="2"/>
    </row>
    <row r="8537" spans="12:15">
      <c r="L8537" s="2"/>
      <c r="N8537" s="2"/>
      <c r="O8537" s="2"/>
    </row>
    <row r="8538" spans="12:15">
      <c r="L8538" s="2"/>
      <c r="N8538" s="2"/>
      <c r="O8538" s="2"/>
    </row>
    <row r="8539" spans="12:15">
      <c r="L8539" s="2"/>
      <c r="N8539" s="2"/>
      <c r="O8539" s="2"/>
    </row>
    <row r="8540" spans="12:15">
      <c r="L8540" s="2"/>
      <c r="N8540" s="2"/>
      <c r="O8540" s="2"/>
    </row>
    <row r="8541" spans="12:15">
      <c r="L8541" s="2"/>
      <c r="N8541" s="2"/>
      <c r="O8541" s="2"/>
    </row>
    <row r="8542" spans="12:15">
      <c r="L8542" s="2"/>
      <c r="N8542" s="2"/>
      <c r="O8542" s="2"/>
    </row>
    <row r="8543" spans="12:15">
      <c r="L8543" s="2"/>
      <c r="N8543" s="2"/>
      <c r="O8543" s="2"/>
    </row>
    <row r="8544" spans="12:15">
      <c r="L8544" s="2"/>
      <c r="N8544" s="2"/>
      <c r="O8544" s="2"/>
    </row>
    <row r="8545" spans="12:15">
      <c r="L8545" s="2"/>
      <c r="N8545" s="2"/>
      <c r="O8545" s="2"/>
    </row>
    <row r="8546" spans="12:15">
      <c r="L8546" s="2"/>
      <c r="N8546" s="2"/>
      <c r="O8546" s="2"/>
    </row>
    <row r="8547" spans="12:15">
      <c r="L8547" s="2"/>
      <c r="N8547" s="2"/>
      <c r="O8547" s="2"/>
    </row>
    <row r="8548" spans="12:15">
      <c r="L8548" s="2"/>
      <c r="N8548" s="2"/>
      <c r="O8548" s="2"/>
    </row>
    <row r="8549" spans="12:15">
      <c r="L8549" s="2"/>
      <c r="N8549" s="2"/>
      <c r="O8549" s="2"/>
    </row>
    <row r="8550" spans="12:15">
      <c r="L8550" s="2"/>
      <c r="N8550" s="2"/>
      <c r="O8550" s="2"/>
    </row>
    <row r="8551" spans="12:15">
      <c r="L8551" s="2"/>
      <c r="N8551" s="2"/>
      <c r="O8551" s="2"/>
    </row>
    <row r="8552" spans="12:15">
      <c r="L8552" s="2"/>
      <c r="N8552" s="2"/>
      <c r="O8552" s="2"/>
    </row>
    <row r="8553" spans="12:15">
      <c r="L8553" s="2"/>
      <c r="N8553" s="2"/>
      <c r="O8553" s="2"/>
    </row>
    <row r="8554" spans="12:15">
      <c r="L8554" s="2"/>
      <c r="N8554" s="2"/>
      <c r="O8554" s="2"/>
    </row>
    <row r="8555" spans="12:15">
      <c r="L8555" s="2"/>
      <c r="N8555" s="2"/>
      <c r="O8555" s="2"/>
    </row>
    <row r="8556" spans="12:15">
      <c r="L8556" s="2"/>
      <c r="N8556" s="2"/>
      <c r="O8556" s="2"/>
    </row>
    <row r="8557" spans="12:15">
      <c r="L8557" s="2"/>
      <c r="N8557" s="2"/>
      <c r="O8557" s="2"/>
    </row>
    <row r="8558" spans="12:15">
      <c r="L8558" s="2"/>
      <c r="N8558" s="2"/>
      <c r="O8558" s="2"/>
    </row>
    <row r="8559" spans="12:15">
      <c r="L8559" s="2"/>
      <c r="N8559" s="2"/>
      <c r="O8559" s="2"/>
    </row>
    <row r="8560" spans="12:15">
      <c r="L8560" s="2"/>
      <c r="N8560" s="2"/>
      <c r="O8560" s="2"/>
    </row>
    <row r="8561" spans="12:15">
      <c r="L8561" s="2"/>
      <c r="N8561" s="2"/>
      <c r="O8561" s="2"/>
    </row>
    <row r="8562" spans="12:15">
      <c r="L8562" s="2"/>
      <c r="N8562" s="2"/>
      <c r="O8562" s="2"/>
    </row>
    <row r="8563" spans="12:15">
      <c r="L8563" s="2"/>
      <c r="N8563" s="2"/>
      <c r="O8563" s="2"/>
    </row>
    <row r="8564" spans="12:15">
      <c r="L8564" s="2"/>
      <c r="N8564" s="2"/>
      <c r="O8564" s="2"/>
    </row>
    <row r="8565" spans="12:15">
      <c r="L8565" s="2"/>
      <c r="N8565" s="2"/>
      <c r="O8565" s="2"/>
    </row>
    <row r="8566" spans="12:15">
      <c r="L8566" s="2"/>
      <c r="N8566" s="2"/>
      <c r="O8566" s="2"/>
    </row>
    <row r="8567" spans="12:15">
      <c r="L8567" s="2"/>
      <c r="N8567" s="2"/>
      <c r="O8567" s="2"/>
    </row>
    <row r="8568" spans="12:15">
      <c r="L8568" s="2"/>
      <c r="N8568" s="2"/>
      <c r="O8568" s="2"/>
    </row>
    <row r="8569" spans="12:15">
      <c r="L8569" s="2"/>
      <c r="N8569" s="2"/>
      <c r="O8569" s="2"/>
    </row>
    <row r="8570" spans="12:15">
      <c r="L8570" s="2"/>
      <c r="N8570" s="2"/>
      <c r="O8570" s="2"/>
    </row>
    <row r="8571" spans="12:15">
      <c r="L8571" s="2"/>
      <c r="N8571" s="2"/>
      <c r="O8571" s="2"/>
    </row>
    <row r="8572" spans="12:15">
      <c r="L8572" s="2"/>
      <c r="N8572" s="2"/>
      <c r="O8572" s="2"/>
    </row>
    <row r="8573" spans="12:15">
      <c r="L8573" s="2"/>
      <c r="N8573" s="2"/>
      <c r="O8573" s="2"/>
    </row>
    <row r="8574" spans="12:15">
      <c r="L8574" s="2"/>
      <c r="N8574" s="2"/>
      <c r="O8574" s="2"/>
    </row>
    <row r="8575" spans="12:15">
      <c r="L8575" s="2"/>
      <c r="N8575" s="2"/>
      <c r="O8575" s="2"/>
    </row>
    <row r="8576" spans="12:15">
      <c r="L8576" s="2"/>
      <c r="N8576" s="2"/>
      <c r="O8576" s="2"/>
    </row>
    <row r="8577" spans="12:15">
      <c r="L8577" s="2"/>
      <c r="N8577" s="2"/>
      <c r="O8577" s="2"/>
    </row>
    <row r="8578" spans="12:15">
      <c r="L8578" s="2"/>
      <c r="N8578" s="2"/>
      <c r="O8578" s="2"/>
    </row>
    <row r="8579" spans="12:15">
      <c r="L8579" s="2"/>
      <c r="N8579" s="2"/>
      <c r="O8579" s="2"/>
    </row>
    <row r="8580" spans="12:15">
      <c r="L8580" s="2"/>
      <c r="N8580" s="2"/>
      <c r="O8580" s="2"/>
    </row>
    <row r="8581" spans="12:15">
      <c r="L8581" s="2"/>
      <c r="N8581" s="2"/>
      <c r="O8581" s="2"/>
    </row>
    <row r="8582" spans="12:15">
      <c r="L8582" s="2"/>
      <c r="N8582" s="2"/>
      <c r="O8582" s="2"/>
    </row>
    <row r="8583" spans="12:15">
      <c r="L8583" s="2"/>
      <c r="N8583" s="2"/>
      <c r="O8583" s="2"/>
    </row>
    <row r="8584" spans="12:15">
      <c r="L8584" s="2"/>
      <c r="N8584" s="2"/>
      <c r="O8584" s="2"/>
    </row>
    <row r="8585" spans="12:15">
      <c r="L8585" s="2"/>
      <c r="N8585" s="2"/>
      <c r="O8585" s="2"/>
    </row>
    <row r="8586" spans="12:15">
      <c r="L8586" s="2"/>
      <c r="N8586" s="2"/>
      <c r="O8586" s="2"/>
    </row>
    <row r="8587" spans="12:15">
      <c r="L8587" s="2"/>
      <c r="N8587" s="2"/>
      <c r="O8587" s="2"/>
    </row>
    <row r="8588" spans="12:15">
      <c r="L8588" s="2"/>
      <c r="N8588" s="2"/>
      <c r="O8588" s="2"/>
    </row>
    <row r="8589" spans="12:15">
      <c r="L8589" s="2"/>
      <c r="N8589" s="2"/>
      <c r="O8589" s="2"/>
    </row>
    <row r="8590" spans="12:15">
      <c r="L8590" s="2"/>
      <c r="N8590" s="2"/>
      <c r="O8590" s="2"/>
    </row>
    <row r="8591" spans="12:15">
      <c r="L8591" s="2"/>
      <c r="N8591" s="2"/>
      <c r="O8591" s="2"/>
    </row>
    <row r="8592" spans="12:15">
      <c r="L8592" s="2"/>
      <c r="N8592" s="2"/>
      <c r="O8592" s="2"/>
    </row>
    <row r="8593" spans="12:15">
      <c r="L8593" s="2"/>
      <c r="N8593" s="2"/>
      <c r="O8593" s="2"/>
    </row>
    <row r="8594" spans="12:15">
      <c r="L8594" s="2"/>
      <c r="N8594" s="2"/>
      <c r="O8594" s="2"/>
    </row>
    <row r="8595" spans="12:15">
      <c r="L8595" s="2"/>
      <c r="N8595" s="2"/>
      <c r="O8595" s="2"/>
    </row>
    <row r="8596" spans="12:15">
      <c r="L8596" s="2"/>
      <c r="N8596" s="2"/>
      <c r="O8596" s="2"/>
    </row>
    <row r="8597" spans="12:15">
      <c r="L8597" s="2"/>
      <c r="N8597" s="2"/>
      <c r="O8597" s="2"/>
    </row>
    <row r="8598" spans="12:15">
      <c r="L8598" s="2"/>
      <c r="N8598" s="2"/>
      <c r="O8598" s="2"/>
    </row>
    <row r="8599" spans="12:15">
      <c r="L8599" s="2"/>
      <c r="N8599" s="2"/>
      <c r="O8599" s="2"/>
    </row>
    <row r="8600" spans="12:15">
      <c r="L8600" s="2"/>
      <c r="N8600" s="2"/>
      <c r="O8600" s="2"/>
    </row>
    <row r="8601" spans="12:15">
      <c r="L8601" s="2"/>
      <c r="N8601" s="2"/>
      <c r="O8601" s="2"/>
    </row>
    <row r="8602" spans="12:15">
      <c r="L8602" s="2"/>
      <c r="N8602" s="2"/>
      <c r="O8602" s="2"/>
    </row>
    <row r="8603" spans="12:15">
      <c r="L8603" s="2"/>
      <c r="N8603" s="2"/>
      <c r="O8603" s="2"/>
    </row>
    <row r="8604" spans="12:15">
      <c r="L8604" s="2"/>
      <c r="N8604" s="2"/>
      <c r="O8604" s="2"/>
    </row>
    <row r="8605" spans="12:15">
      <c r="L8605" s="2"/>
      <c r="N8605" s="2"/>
      <c r="O8605" s="2"/>
    </row>
    <row r="8606" spans="12:15">
      <c r="L8606" s="2"/>
      <c r="N8606" s="2"/>
      <c r="O8606" s="2"/>
    </row>
    <row r="8607" spans="12:15">
      <c r="L8607" s="2"/>
      <c r="N8607" s="2"/>
      <c r="O8607" s="2"/>
    </row>
    <row r="8608" spans="12:15">
      <c r="L8608" s="2"/>
      <c r="N8608" s="2"/>
      <c r="O8608" s="2"/>
    </row>
    <row r="8609" spans="12:15">
      <c r="L8609" s="2"/>
      <c r="N8609" s="2"/>
      <c r="O8609" s="2"/>
    </row>
    <row r="8610" spans="12:15">
      <c r="L8610" s="2"/>
      <c r="N8610" s="2"/>
      <c r="O8610" s="2"/>
    </row>
    <row r="8611" spans="12:15">
      <c r="L8611" s="2"/>
      <c r="N8611" s="2"/>
      <c r="O8611" s="2"/>
    </row>
    <row r="8612" spans="12:15">
      <c r="L8612" s="2"/>
      <c r="N8612" s="2"/>
      <c r="O8612" s="2"/>
    </row>
    <row r="8613" spans="12:15">
      <c r="L8613" s="2"/>
      <c r="N8613" s="2"/>
      <c r="O8613" s="2"/>
    </row>
    <row r="8614" spans="12:15">
      <c r="L8614" s="2"/>
      <c r="N8614" s="2"/>
      <c r="O8614" s="2"/>
    </row>
    <row r="8615" spans="12:15">
      <c r="L8615" s="2"/>
      <c r="N8615" s="2"/>
      <c r="O8615" s="2"/>
    </row>
    <row r="8616" spans="12:15">
      <c r="L8616" s="2"/>
      <c r="N8616" s="2"/>
      <c r="O8616" s="2"/>
    </row>
    <row r="8617" spans="12:15">
      <c r="L8617" s="2"/>
      <c r="N8617" s="2"/>
      <c r="O8617" s="2"/>
    </row>
    <row r="8618" spans="12:15">
      <c r="L8618" s="2"/>
      <c r="N8618" s="2"/>
      <c r="O8618" s="2"/>
    </row>
    <row r="8619" spans="12:15">
      <c r="L8619" s="2"/>
      <c r="N8619" s="2"/>
      <c r="O8619" s="2"/>
    </row>
    <row r="8620" spans="12:15">
      <c r="L8620" s="2"/>
      <c r="N8620" s="2"/>
      <c r="O8620" s="2"/>
    </row>
    <row r="8621" spans="12:15">
      <c r="L8621" s="2"/>
      <c r="N8621" s="2"/>
      <c r="O8621" s="2"/>
    </row>
    <row r="8622" spans="12:15">
      <c r="L8622" s="2"/>
      <c r="N8622" s="2"/>
      <c r="O8622" s="2"/>
    </row>
    <row r="8623" spans="12:15">
      <c r="L8623" s="2"/>
      <c r="N8623" s="2"/>
      <c r="O8623" s="2"/>
    </row>
    <row r="8624" spans="12:15">
      <c r="L8624" s="2"/>
      <c r="N8624" s="2"/>
      <c r="O8624" s="2"/>
    </row>
    <row r="8625" spans="12:15">
      <c r="L8625" s="2"/>
      <c r="N8625" s="2"/>
      <c r="O8625" s="2"/>
    </row>
    <row r="8626" spans="12:15">
      <c r="L8626" s="2"/>
      <c r="N8626" s="2"/>
      <c r="O8626" s="2"/>
    </row>
    <row r="8627" spans="12:15">
      <c r="L8627" s="2"/>
      <c r="N8627" s="2"/>
      <c r="O8627" s="2"/>
    </row>
    <row r="8628" spans="12:15">
      <c r="L8628" s="2"/>
      <c r="N8628" s="2"/>
      <c r="O8628" s="2"/>
    </row>
    <row r="8629" spans="12:15">
      <c r="L8629" s="2"/>
      <c r="N8629" s="2"/>
      <c r="O8629" s="2"/>
    </row>
    <row r="8630" spans="12:15">
      <c r="L8630" s="2"/>
      <c r="N8630" s="2"/>
      <c r="O8630" s="2"/>
    </row>
    <row r="8631" spans="12:15">
      <c r="L8631" s="2"/>
      <c r="N8631" s="2"/>
      <c r="O8631" s="2"/>
    </row>
    <row r="8632" spans="12:15">
      <c r="L8632" s="2"/>
      <c r="N8632" s="2"/>
      <c r="O8632" s="2"/>
    </row>
    <row r="8633" spans="12:15">
      <c r="L8633" s="2"/>
      <c r="N8633" s="2"/>
      <c r="O8633" s="2"/>
    </row>
    <row r="8634" spans="12:15">
      <c r="L8634" s="2"/>
      <c r="N8634" s="2"/>
      <c r="O8634" s="2"/>
    </row>
    <row r="8635" spans="12:15">
      <c r="L8635" s="2"/>
      <c r="N8635" s="2"/>
      <c r="O8635" s="2"/>
    </row>
    <row r="8636" spans="12:15">
      <c r="L8636" s="2"/>
      <c r="N8636" s="2"/>
      <c r="O8636" s="2"/>
    </row>
    <row r="8637" spans="12:15">
      <c r="L8637" s="2"/>
      <c r="N8637" s="2"/>
      <c r="O8637" s="2"/>
    </row>
    <row r="8638" spans="12:15">
      <c r="L8638" s="2"/>
      <c r="N8638" s="2"/>
      <c r="O8638" s="2"/>
    </row>
    <row r="8639" spans="12:15">
      <c r="L8639" s="2"/>
      <c r="N8639" s="2"/>
      <c r="O8639" s="2"/>
    </row>
    <row r="8640" spans="12:15">
      <c r="L8640" s="2"/>
      <c r="N8640" s="2"/>
      <c r="O8640" s="2"/>
    </row>
    <row r="8641" spans="12:15">
      <c r="L8641" s="2"/>
      <c r="N8641" s="2"/>
      <c r="O8641" s="2"/>
    </row>
    <row r="8642" spans="12:15">
      <c r="L8642" s="2"/>
      <c r="N8642" s="2"/>
      <c r="O8642" s="2"/>
    </row>
    <row r="8643" spans="12:15">
      <c r="L8643" s="2"/>
      <c r="N8643" s="2"/>
      <c r="O8643" s="2"/>
    </row>
    <row r="8644" spans="12:15">
      <c r="L8644" s="2"/>
      <c r="N8644" s="2"/>
      <c r="O8644" s="2"/>
    </row>
    <row r="8645" spans="12:15">
      <c r="L8645" s="2"/>
      <c r="N8645" s="2"/>
      <c r="O8645" s="2"/>
    </row>
    <row r="8646" spans="12:15">
      <c r="L8646" s="2"/>
      <c r="N8646" s="2"/>
      <c r="O8646" s="2"/>
    </row>
    <row r="8647" spans="12:15">
      <c r="L8647" s="2"/>
      <c r="N8647" s="2"/>
      <c r="O8647" s="2"/>
    </row>
    <row r="8648" spans="12:15">
      <c r="L8648" s="2"/>
      <c r="N8648" s="2"/>
      <c r="O8648" s="2"/>
    </row>
    <row r="8649" spans="12:15">
      <c r="L8649" s="2"/>
      <c r="N8649" s="2"/>
      <c r="O8649" s="2"/>
    </row>
    <row r="8650" spans="12:15">
      <c r="L8650" s="2"/>
      <c r="N8650" s="2"/>
      <c r="O8650" s="2"/>
    </row>
    <row r="8651" spans="12:15">
      <c r="L8651" s="2"/>
      <c r="N8651" s="2"/>
      <c r="O8651" s="2"/>
    </row>
    <row r="8652" spans="12:15">
      <c r="L8652" s="2"/>
      <c r="N8652" s="2"/>
      <c r="O8652" s="2"/>
    </row>
    <row r="8653" spans="12:15">
      <c r="L8653" s="2"/>
      <c r="N8653" s="2"/>
      <c r="O8653" s="2"/>
    </row>
    <row r="8654" spans="12:15">
      <c r="L8654" s="2"/>
      <c r="N8654" s="2"/>
      <c r="O8654" s="2"/>
    </row>
    <row r="8655" spans="12:15">
      <c r="L8655" s="2"/>
      <c r="N8655" s="2"/>
      <c r="O8655" s="2"/>
    </row>
    <row r="8656" spans="12:15">
      <c r="L8656" s="2"/>
      <c r="N8656" s="2"/>
      <c r="O8656" s="2"/>
    </row>
    <row r="8657" spans="12:15">
      <c r="L8657" s="2"/>
      <c r="N8657" s="2"/>
      <c r="O8657" s="2"/>
    </row>
    <row r="8658" spans="12:15">
      <c r="L8658" s="2"/>
      <c r="N8658" s="2"/>
      <c r="O8658" s="2"/>
    </row>
    <row r="8659" spans="12:15">
      <c r="L8659" s="2"/>
      <c r="N8659" s="2"/>
      <c r="O8659" s="2"/>
    </row>
    <row r="8660" spans="12:15">
      <c r="L8660" s="2"/>
      <c r="N8660" s="2"/>
      <c r="O8660" s="2"/>
    </row>
    <row r="8661" spans="12:15">
      <c r="L8661" s="2"/>
      <c r="N8661" s="2"/>
      <c r="O8661" s="2"/>
    </row>
    <row r="8662" spans="12:15">
      <c r="L8662" s="2"/>
      <c r="N8662" s="2"/>
      <c r="O8662" s="2"/>
    </row>
    <row r="8663" spans="12:15">
      <c r="L8663" s="2"/>
      <c r="N8663" s="2"/>
      <c r="O8663" s="2"/>
    </row>
    <row r="8664" spans="12:15">
      <c r="L8664" s="2"/>
      <c r="N8664" s="2"/>
      <c r="O8664" s="2"/>
    </row>
    <row r="8665" spans="12:15">
      <c r="L8665" s="2"/>
      <c r="N8665" s="2"/>
      <c r="O8665" s="2"/>
    </row>
    <row r="8666" spans="12:15">
      <c r="L8666" s="2"/>
      <c r="N8666" s="2"/>
      <c r="O8666" s="2"/>
    </row>
    <row r="8667" spans="12:15">
      <c r="L8667" s="2"/>
      <c r="N8667" s="2"/>
      <c r="O8667" s="2"/>
    </row>
    <row r="8668" spans="12:15">
      <c r="L8668" s="2"/>
      <c r="N8668" s="2"/>
      <c r="O8668" s="2"/>
    </row>
    <row r="8669" spans="12:15">
      <c r="L8669" s="2"/>
      <c r="N8669" s="2"/>
      <c r="O8669" s="2"/>
    </row>
    <row r="8670" spans="12:15">
      <c r="L8670" s="2"/>
      <c r="N8670" s="2"/>
      <c r="O8670" s="2"/>
    </row>
    <row r="8671" spans="12:15">
      <c r="L8671" s="2"/>
      <c r="N8671" s="2"/>
      <c r="O8671" s="2"/>
    </row>
    <row r="8672" spans="12:15">
      <c r="L8672" s="2"/>
      <c r="N8672" s="2"/>
      <c r="O8672" s="2"/>
    </row>
    <row r="8673" spans="12:15">
      <c r="L8673" s="2"/>
      <c r="N8673" s="2"/>
      <c r="O8673" s="2"/>
    </row>
    <row r="8674" spans="12:15">
      <c r="L8674" s="2"/>
      <c r="N8674" s="2"/>
      <c r="O8674" s="2"/>
    </row>
    <row r="8675" spans="12:15">
      <c r="L8675" s="2"/>
      <c r="N8675" s="2"/>
      <c r="O8675" s="2"/>
    </row>
    <row r="8676" spans="12:15">
      <c r="L8676" s="2"/>
      <c r="N8676" s="2"/>
      <c r="O8676" s="2"/>
    </row>
    <row r="8677" spans="12:15">
      <c r="L8677" s="2"/>
      <c r="N8677" s="2"/>
      <c r="O8677" s="2"/>
    </row>
    <row r="8678" spans="12:15">
      <c r="L8678" s="2"/>
      <c r="N8678" s="2"/>
      <c r="O8678" s="2"/>
    </row>
    <row r="8679" spans="12:15">
      <c r="L8679" s="2"/>
      <c r="N8679" s="2"/>
      <c r="O8679" s="2"/>
    </row>
    <row r="8680" spans="12:15">
      <c r="L8680" s="2"/>
      <c r="N8680" s="2"/>
      <c r="O8680" s="2"/>
    </row>
    <row r="8681" spans="12:15">
      <c r="L8681" s="2"/>
      <c r="N8681" s="2"/>
      <c r="O8681" s="2"/>
    </row>
    <row r="8682" spans="12:15">
      <c r="L8682" s="2"/>
      <c r="N8682" s="2"/>
      <c r="O8682" s="2"/>
    </row>
    <row r="8683" spans="12:15">
      <c r="L8683" s="2"/>
      <c r="N8683" s="2"/>
      <c r="O8683" s="2"/>
    </row>
    <row r="8684" spans="12:15">
      <c r="L8684" s="2"/>
      <c r="N8684" s="2"/>
      <c r="O8684" s="2"/>
    </row>
    <row r="8685" spans="12:15">
      <c r="L8685" s="2"/>
      <c r="N8685" s="2"/>
      <c r="O8685" s="2"/>
    </row>
    <row r="8686" spans="12:15">
      <c r="L8686" s="2"/>
      <c r="N8686" s="2"/>
      <c r="O8686" s="2"/>
    </row>
    <row r="8687" spans="12:15">
      <c r="L8687" s="2"/>
      <c r="N8687" s="2"/>
      <c r="O8687" s="2"/>
    </row>
    <row r="8688" spans="12:15">
      <c r="L8688" s="2"/>
      <c r="N8688" s="2"/>
      <c r="O8688" s="2"/>
    </row>
    <row r="8689" spans="12:15">
      <c r="L8689" s="2"/>
      <c r="N8689" s="2"/>
      <c r="O8689" s="2"/>
    </row>
    <row r="8690" spans="12:15">
      <c r="L8690" s="2"/>
      <c r="N8690" s="2"/>
      <c r="O8690" s="2"/>
    </row>
    <row r="8691" spans="12:15">
      <c r="L8691" s="2"/>
      <c r="N8691" s="2"/>
      <c r="O8691" s="2"/>
    </row>
    <row r="8692" spans="12:15">
      <c r="L8692" s="2"/>
      <c r="N8692" s="2"/>
      <c r="O8692" s="2"/>
    </row>
    <row r="8693" spans="12:15">
      <c r="L8693" s="2"/>
      <c r="N8693" s="2"/>
      <c r="O8693" s="2"/>
    </row>
    <row r="8694" spans="12:15">
      <c r="L8694" s="2"/>
      <c r="N8694" s="2"/>
      <c r="O8694" s="2"/>
    </row>
    <row r="8695" spans="12:15">
      <c r="L8695" s="2"/>
      <c r="N8695" s="2"/>
      <c r="O8695" s="2"/>
    </row>
    <row r="8696" spans="12:15">
      <c r="L8696" s="2"/>
      <c r="N8696" s="2"/>
      <c r="O8696" s="2"/>
    </row>
    <row r="8697" spans="12:15">
      <c r="L8697" s="2"/>
      <c r="N8697" s="2"/>
      <c r="O8697" s="2"/>
    </row>
    <row r="8698" spans="12:15">
      <c r="L8698" s="2"/>
      <c r="N8698" s="2"/>
      <c r="O8698" s="2"/>
    </row>
    <row r="8699" spans="12:15">
      <c r="L8699" s="2"/>
      <c r="N8699" s="2"/>
      <c r="O8699" s="2"/>
    </row>
    <row r="8700" spans="12:15">
      <c r="L8700" s="2"/>
      <c r="N8700" s="2"/>
      <c r="O8700" s="2"/>
    </row>
    <row r="8701" spans="12:15">
      <c r="L8701" s="2"/>
      <c r="N8701" s="2"/>
      <c r="O8701" s="2"/>
    </row>
    <row r="8702" spans="12:15">
      <c r="L8702" s="2"/>
      <c r="N8702" s="2"/>
      <c r="O8702" s="2"/>
    </row>
    <row r="8703" spans="12:15">
      <c r="L8703" s="2"/>
      <c r="N8703" s="2"/>
      <c r="O8703" s="2"/>
    </row>
    <row r="8704" spans="12:15">
      <c r="L8704" s="2"/>
      <c r="N8704" s="2"/>
      <c r="O8704" s="2"/>
    </row>
    <row r="8705" spans="12:15">
      <c r="L8705" s="2"/>
      <c r="N8705" s="2"/>
      <c r="O8705" s="2"/>
    </row>
    <row r="8706" spans="12:15">
      <c r="L8706" s="2"/>
      <c r="N8706" s="2"/>
      <c r="O8706" s="2"/>
    </row>
    <row r="8707" spans="12:15">
      <c r="L8707" s="2"/>
      <c r="N8707" s="2"/>
      <c r="O8707" s="2"/>
    </row>
    <row r="8708" spans="12:15">
      <c r="L8708" s="2"/>
      <c r="N8708" s="2"/>
      <c r="O8708" s="2"/>
    </row>
    <row r="8709" spans="12:15">
      <c r="L8709" s="2"/>
      <c r="N8709" s="2"/>
      <c r="O8709" s="2"/>
    </row>
    <row r="8710" spans="12:15">
      <c r="L8710" s="2"/>
      <c r="N8710" s="2"/>
      <c r="O8710" s="2"/>
    </row>
    <row r="8711" spans="12:15">
      <c r="L8711" s="2"/>
      <c r="N8711" s="2"/>
      <c r="O8711" s="2"/>
    </row>
    <row r="8712" spans="12:15">
      <c r="L8712" s="2"/>
      <c r="N8712" s="2"/>
      <c r="O8712" s="2"/>
    </row>
    <row r="8713" spans="12:15">
      <c r="L8713" s="2"/>
      <c r="N8713" s="2"/>
      <c r="O8713" s="2"/>
    </row>
    <row r="8714" spans="12:15">
      <c r="L8714" s="2"/>
      <c r="N8714" s="2"/>
      <c r="O8714" s="2"/>
    </row>
    <row r="8715" spans="12:15">
      <c r="L8715" s="2"/>
      <c r="N8715" s="2"/>
      <c r="O8715" s="2"/>
    </row>
    <row r="8716" spans="12:15">
      <c r="L8716" s="2"/>
      <c r="N8716" s="2"/>
      <c r="O8716" s="2"/>
    </row>
    <row r="8717" spans="12:15">
      <c r="L8717" s="2"/>
      <c r="N8717" s="2"/>
      <c r="O8717" s="2"/>
    </row>
    <row r="8718" spans="12:15">
      <c r="L8718" s="2"/>
      <c r="N8718" s="2"/>
      <c r="O8718" s="2"/>
    </row>
    <row r="8719" spans="12:15">
      <c r="L8719" s="2"/>
      <c r="N8719" s="2"/>
      <c r="O8719" s="2"/>
    </row>
    <row r="8720" spans="12:15">
      <c r="L8720" s="2"/>
      <c r="N8720" s="2"/>
      <c r="O8720" s="2"/>
    </row>
    <row r="8721" spans="12:15">
      <c r="L8721" s="2"/>
      <c r="N8721" s="2"/>
      <c r="O8721" s="2"/>
    </row>
    <row r="8722" spans="12:15">
      <c r="L8722" s="2"/>
      <c r="N8722" s="2"/>
      <c r="O8722" s="2"/>
    </row>
    <row r="8723" spans="12:15">
      <c r="L8723" s="2"/>
      <c r="N8723" s="2"/>
      <c r="O8723" s="2"/>
    </row>
    <row r="8724" spans="12:15">
      <c r="L8724" s="2"/>
      <c r="N8724" s="2"/>
      <c r="O8724" s="2"/>
    </row>
    <row r="8725" spans="12:15">
      <c r="L8725" s="2"/>
      <c r="N8725" s="2"/>
      <c r="O8725" s="2"/>
    </row>
    <row r="8726" spans="12:15">
      <c r="L8726" s="2"/>
      <c r="N8726" s="2"/>
      <c r="O8726" s="2"/>
    </row>
    <row r="8727" spans="12:15">
      <c r="L8727" s="2"/>
      <c r="N8727" s="2"/>
      <c r="O8727" s="2"/>
    </row>
    <row r="8728" spans="12:15">
      <c r="L8728" s="2"/>
      <c r="N8728" s="2"/>
      <c r="O8728" s="2"/>
    </row>
    <row r="8729" spans="12:15">
      <c r="L8729" s="2"/>
      <c r="N8729" s="2"/>
      <c r="O8729" s="2"/>
    </row>
    <row r="8730" spans="12:15">
      <c r="L8730" s="2"/>
      <c r="N8730" s="2"/>
      <c r="O8730" s="2"/>
    </row>
    <row r="8731" spans="12:15">
      <c r="L8731" s="2"/>
      <c r="N8731" s="2"/>
      <c r="O8731" s="2"/>
    </row>
    <row r="8732" spans="12:15">
      <c r="L8732" s="2"/>
      <c r="N8732" s="2"/>
      <c r="O8732" s="2"/>
    </row>
    <row r="8733" spans="12:15">
      <c r="L8733" s="2"/>
      <c r="N8733" s="2"/>
      <c r="O8733" s="2"/>
    </row>
    <row r="8734" spans="12:15">
      <c r="L8734" s="2"/>
      <c r="N8734" s="2"/>
      <c r="O8734" s="2"/>
    </row>
    <row r="8735" spans="12:15">
      <c r="L8735" s="2"/>
      <c r="N8735" s="2"/>
      <c r="O8735" s="2"/>
    </row>
    <row r="8736" spans="12:15">
      <c r="L8736" s="2"/>
      <c r="N8736" s="2"/>
      <c r="O8736" s="2"/>
    </row>
    <row r="8737" spans="12:15">
      <c r="L8737" s="2"/>
      <c r="N8737" s="2"/>
      <c r="O8737" s="2"/>
    </row>
    <row r="8738" spans="12:15">
      <c r="L8738" s="2"/>
      <c r="N8738" s="2"/>
      <c r="O8738" s="2"/>
    </row>
    <row r="8739" spans="12:15">
      <c r="L8739" s="2"/>
      <c r="N8739" s="2"/>
      <c r="O8739" s="2"/>
    </row>
    <row r="8740" spans="12:15">
      <c r="L8740" s="2"/>
      <c r="N8740" s="2"/>
      <c r="O8740" s="2"/>
    </row>
    <row r="8741" spans="12:15">
      <c r="L8741" s="2"/>
      <c r="N8741" s="2"/>
      <c r="O8741" s="2"/>
    </row>
    <row r="8742" spans="12:15">
      <c r="L8742" s="2"/>
      <c r="N8742" s="2"/>
      <c r="O8742" s="2"/>
    </row>
    <row r="8743" spans="12:15">
      <c r="L8743" s="2"/>
      <c r="N8743" s="2"/>
      <c r="O8743" s="2"/>
    </row>
    <row r="8744" spans="12:15">
      <c r="L8744" s="2"/>
      <c r="N8744" s="2"/>
      <c r="O8744" s="2"/>
    </row>
    <row r="8745" spans="12:15">
      <c r="L8745" s="2"/>
      <c r="N8745" s="2"/>
      <c r="O8745" s="2"/>
    </row>
    <row r="8746" spans="12:15">
      <c r="L8746" s="2"/>
      <c r="N8746" s="2"/>
      <c r="O8746" s="2"/>
    </row>
    <row r="8747" spans="12:15">
      <c r="L8747" s="2"/>
      <c r="N8747" s="2"/>
      <c r="O8747" s="2"/>
    </row>
    <row r="8748" spans="12:15">
      <c r="L8748" s="2"/>
      <c r="N8748" s="2"/>
      <c r="O8748" s="2"/>
    </row>
    <row r="8749" spans="12:15">
      <c r="L8749" s="2"/>
      <c r="N8749" s="2"/>
      <c r="O8749" s="2"/>
    </row>
    <row r="8750" spans="12:15">
      <c r="L8750" s="2"/>
      <c r="N8750" s="2"/>
      <c r="O8750" s="2"/>
    </row>
    <row r="8751" spans="12:15">
      <c r="L8751" s="2"/>
      <c r="N8751" s="2"/>
      <c r="O8751" s="2"/>
    </row>
    <row r="8752" spans="12:15">
      <c r="L8752" s="2"/>
      <c r="N8752" s="2"/>
      <c r="O8752" s="2"/>
    </row>
    <row r="8753" spans="12:15">
      <c r="L8753" s="2"/>
      <c r="N8753" s="2"/>
      <c r="O8753" s="2"/>
    </row>
    <row r="8754" spans="12:15">
      <c r="L8754" s="2"/>
      <c r="N8754" s="2"/>
      <c r="O8754" s="2"/>
    </row>
    <row r="8755" spans="12:15">
      <c r="L8755" s="2"/>
      <c r="N8755" s="2"/>
      <c r="O8755" s="2"/>
    </row>
    <row r="8756" spans="12:15">
      <c r="L8756" s="2"/>
      <c r="N8756" s="2"/>
      <c r="O8756" s="2"/>
    </row>
    <row r="8757" spans="12:15">
      <c r="L8757" s="2"/>
      <c r="N8757" s="2"/>
      <c r="O8757" s="2"/>
    </row>
    <row r="8758" spans="12:15">
      <c r="L8758" s="2"/>
      <c r="N8758" s="2"/>
      <c r="O8758" s="2"/>
    </row>
    <row r="8759" spans="12:15">
      <c r="L8759" s="2"/>
      <c r="N8759" s="2"/>
      <c r="O8759" s="2"/>
    </row>
    <row r="8760" spans="12:15">
      <c r="L8760" s="2"/>
      <c r="N8760" s="2"/>
      <c r="O8760" s="2"/>
    </row>
    <row r="8761" spans="12:15">
      <c r="L8761" s="2"/>
      <c r="N8761" s="2"/>
      <c r="O8761" s="2"/>
    </row>
    <row r="8762" spans="12:15">
      <c r="L8762" s="2"/>
      <c r="N8762" s="2"/>
      <c r="O8762" s="2"/>
    </row>
    <row r="8763" spans="12:15">
      <c r="L8763" s="2"/>
      <c r="N8763" s="2"/>
      <c r="O8763" s="2"/>
    </row>
    <row r="8764" spans="12:15">
      <c r="L8764" s="2"/>
      <c r="N8764" s="2"/>
      <c r="O8764" s="2"/>
    </row>
    <row r="8765" spans="12:15">
      <c r="L8765" s="2"/>
      <c r="N8765" s="2"/>
      <c r="O8765" s="2"/>
    </row>
    <row r="8766" spans="12:15">
      <c r="L8766" s="2"/>
      <c r="N8766" s="2"/>
      <c r="O8766" s="2"/>
    </row>
    <row r="8767" spans="12:15">
      <c r="L8767" s="2"/>
      <c r="N8767" s="2"/>
      <c r="O8767" s="2"/>
    </row>
    <row r="8768" spans="12:15">
      <c r="L8768" s="2"/>
      <c r="N8768" s="2"/>
      <c r="O8768" s="2"/>
    </row>
    <row r="8769" spans="12:15">
      <c r="L8769" s="2"/>
      <c r="N8769" s="2"/>
      <c r="O8769" s="2"/>
    </row>
    <row r="8770" spans="12:15">
      <c r="L8770" s="2"/>
      <c r="N8770" s="2"/>
      <c r="O8770" s="2"/>
    </row>
    <row r="8771" spans="12:15">
      <c r="L8771" s="2"/>
      <c r="N8771" s="2"/>
      <c r="O8771" s="2"/>
    </row>
    <row r="8772" spans="12:15">
      <c r="L8772" s="2"/>
      <c r="N8772" s="2"/>
      <c r="O8772" s="2"/>
    </row>
    <row r="8773" spans="12:15">
      <c r="L8773" s="2"/>
      <c r="N8773" s="2"/>
      <c r="O8773" s="2"/>
    </row>
    <row r="8774" spans="12:15">
      <c r="L8774" s="2"/>
      <c r="N8774" s="2"/>
      <c r="O8774" s="2"/>
    </row>
    <row r="8775" spans="12:15">
      <c r="L8775" s="2"/>
      <c r="N8775" s="2"/>
      <c r="O8775" s="2"/>
    </row>
    <row r="8776" spans="12:15">
      <c r="L8776" s="2"/>
      <c r="N8776" s="2"/>
      <c r="O8776" s="2"/>
    </row>
    <row r="8777" spans="12:15">
      <c r="L8777" s="2"/>
      <c r="N8777" s="2"/>
      <c r="O8777" s="2"/>
    </row>
    <row r="8778" spans="12:15">
      <c r="L8778" s="2"/>
      <c r="N8778" s="2"/>
      <c r="O8778" s="2"/>
    </row>
    <row r="8779" spans="12:15">
      <c r="L8779" s="2"/>
      <c r="N8779" s="2"/>
      <c r="O8779" s="2"/>
    </row>
    <row r="8780" spans="12:15">
      <c r="L8780" s="2"/>
      <c r="N8780" s="2"/>
      <c r="O8780" s="2"/>
    </row>
    <row r="8781" spans="12:15">
      <c r="L8781" s="2"/>
      <c r="N8781" s="2"/>
      <c r="O8781" s="2"/>
    </row>
    <row r="8782" spans="12:15">
      <c r="L8782" s="2"/>
      <c r="N8782" s="2"/>
      <c r="O8782" s="2"/>
    </row>
    <row r="8783" spans="12:15">
      <c r="L8783" s="2"/>
      <c r="N8783" s="2"/>
      <c r="O8783" s="2"/>
    </row>
    <row r="8784" spans="12:15">
      <c r="L8784" s="2"/>
      <c r="N8784" s="2"/>
      <c r="O8784" s="2"/>
    </row>
    <row r="8785" spans="12:15">
      <c r="L8785" s="2"/>
      <c r="N8785" s="2"/>
      <c r="O8785" s="2"/>
    </row>
    <row r="8786" spans="12:15">
      <c r="L8786" s="2"/>
      <c r="N8786" s="2"/>
      <c r="O8786" s="2"/>
    </row>
    <row r="8787" spans="12:15">
      <c r="L8787" s="2"/>
      <c r="N8787" s="2"/>
      <c r="O8787" s="2"/>
    </row>
    <row r="8788" spans="12:15">
      <c r="L8788" s="2"/>
      <c r="N8788" s="2"/>
      <c r="O8788" s="2"/>
    </row>
    <row r="8789" spans="12:15">
      <c r="L8789" s="2"/>
      <c r="N8789" s="2"/>
      <c r="O8789" s="2"/>
    </row>
    <row r="8790" spans="12:15">
      <c r="L8790" s="2"/>
      <c r="N8790" s="2"/>
      <c r="O8790" s="2"/>
    </row>
    <row r="8791" spans="12:15">
      <c r="L8791" s="2"/>
      <c r="N8791" s="2"/>
      <c r="O8791" s="2"/>
    </row>
    <row r="8792" spans="12:15">
      <c r="L8792" s="2"/>
      <c r="N8792" s="2"/>
      <c r="O8792" s="2"/>
    </row>
    <row r="8793" spans="12:15">
      <c r="L8793" s="2"/>
      <c r="N8793" s="2"/>
      <c r="O8793" s="2"/>
    </row>
    <row r="8794" spans="12:15">
      <c r="L8794" s="2"/>
      <c r="N8794" s="2"/>
      <c r="O8794" s="2"/>
    </row>
    <row r="8795" spans="12:15">
      <c r="L8795" s="2"/>
      <c r="N8795" s="2"/>
      <c r="O8795" s="2"/>
    </row>
    <row r="8796" spans="12:15">
      <c r="L8796" s="2"/>
      <c r="N8796" s="2"/>
      <c r="O8796" s="2"/>
    </row>
    <row r="8797" spans="12:15">
      <c r="L8797" s="2"/>
      <c r="N8797" s="2"/>
      <c r="O8797" s="2"/>
    </row>
    <row r="8798" spans="12:15">
      <c r="L8798" s="2"/>
      <c r="N8798" s="2"/>
      <c r="O8798" s="2"/>
    </row>
    <row r="8799" spans="12:15">
      <c r="L8799" s="2"/>
      <c r="N8799" s="2"/>
      <c r="O8799" s="2"/>
    </row>
    <row r="8800" spans="12:15">
      <c r="L8800" s="2"/>
      <c r="N8800" s="2"/>
      <c r="O8800" s="2"/>
    </row>
    <row r="8801" spans="12:15">
      <c r="L8801" s="2"/>
      <c r="N8801" s="2"/>
      <c r="O8801" s="2"/>
    </row>
    <row r="8802" spans="12:15">
      <c r="L8802" s="2"/>
      <c r="N8802" s="2"/>
      <c r="O8802" s="2"/>
    </row>
    <row r="8803" spans="12:15">
      <c r="L8803" s="2"/>
      <c r="N8803" s="2"/>
      <c r="O8803" s="2"/>
    </row>
    <row r="8804" spans="12:15">
      <c r="L8804" s="2"/>
      <c r="N8804" s="2"/>
      <c r="O8804" s="2"/>
    </row>
    <row r="8805" spans="12:15">
      <c r="L8805" s="2"/>
      <c r="N8805" s="2"/>
      <c r="O8805" s="2"/>
    </row>
    <row r="8806" spans="12:15">
      <c r="L8806" s="2"/>
      <c r="N8806" s="2"/>
      <c r="O8806" s="2"/>
    </row>
    <row r="8807" spans="12:15">
      <c r="L8807" s="2"/>
      <c r="N8807" s="2"/>
      <c r="O8807" s="2"/>
    </row>
    <row r="8808" spans="12:15">
      <c r="L8808" s="2"/>
      <c r="N8808" s="2"/>
      <c r="O8808" s="2"/>
    </row>
    <row r="8809" spans="12:15">
      <c r="L8809" s="2"/>
      <c r="N8809" s="2"/>
      <c r="O8809" s="2"/>
    </row>
    <row r="8810" spans="12:15">
      <c r="L8810" s="2"/>
      <c r="N8810" s="2"/>
      <c r="O8810" s="2"/>
    </row>
    <row r="8811" spans="12:15">
      <c r="L8811" s="2"/>
      <c r="N8811" s="2"/>
      <c r="O8811" s="2"/>
    </row>
    <row r="8812" spans="12:15">
      <c r="L8812" s="2"/>
      <c r="N8812" s="2"/>
      <c r="O8812" s="2"/>
    </row>
    <row r="8813" spans="12:15">
      <c r="L8813" s="2"/>
      <c r="N8813" s="2"/>
      <c r="O8813" s="2"/>
    </row>
    <row r="8814" spans="12:15">
      <c r="L8814" s="2"/>
      <c r="N8814" s="2"/>
      <c r="O8814" s="2"/>
    </row>
    <row r="8815" spans="12:15">
      <c r="L8815" s="2"/>
      <c r="N8815" s="2"/>
      <c r="O8815" s="2"/>
    </row>
    <row r="8816" spans="12:15">
      <c r="L8816" s="2"/>
      <c r="N8816" s="2"/>
      <c r="O8816" s="2"/>
    </row>
    <row r="8817" spans="12:15">
      <c r="L8817" s="2"/>
      <c r="N8817" s="2"/>
      <c r="O8817" s="2"/>
    </row>
    <row r="8818" spans="12:15">
      <c r="L8818" s="2"/>
      <c r="N8818" s="2"/>
      <c r="O8818" s="2"/>
    </row>
    <row r="8819" spans="12:15">
      <c r="L8819" s="2"/>
      <c r="N8819" s="2"/>
      <c r="O8819" s="2"/>
    </row>
    <row r="8820" spans="12:15">
      <c r="L8820" s="2"/>
      <c r="N8820" s="2"/>
      <c r="O8820" s="2"/>
    </row>
    <row r="8821" spans="12:15">
      <c r="L8821" s="2"/>
      <c r="N8821" s="2"/>
      <c r="O8821" s="2"/>
    </row>
    <row r="8822" spans="12:15">
      <c r="L8822" s="2"/>
      <c r="N8822" s="2"/>
      <c r="O8822" s="2"/>
    </row>
    <row r="8823" spans="12:15">
      <c r="L8823" s="2"/>
      <c r="N8823" s="2"/>
      <c r="O8823" s="2"/>
    </row>
    <row r="8824" spans="12:15">
      <c r="L8824" s="2"/>
      <c r="N8824" s="2"/>
      <c r="O8824" s="2"/>
    </row>
    <row r="8825" spans="12:15">
      <c r="L8825" s="2"/>
      <c r="N8825" s="2"/>
      <c r="O8825" s="2"/>
    </row>
    <row r="8826" spans="12:15">
      <c r="L8826" s="2"/>
      <c r="N8826" s="2"/>
      <c r="O8826" s="2"/>
    </row>
    <row r="8827" spans="12:15">
      <c r="L8827" s="2"/>
      <c r="N8827" s="2"/>
      <c r="O8827" s="2"/>
    </row>
    <row r="8828" spans="12:15">
      <c r="L8828" s="2"/>
      <c r="N8828" s="2"/>
      <c r="O8828" s="2"/>
    </row>
    <row r="8829" spans="12:15">
      <c r="L8829" s="2"/>
      <c r="N8829" s="2"/>
      <c r="O8829" s="2"/>
    </row>
    <row r="8830" spans="12:15">
      <c r="L8830" s="2"/>
      <c r="N8830" s="2"/>
      <c r="O8830" s="2"/>
    </row>
    <row r="8831" spans="12:15">
      <c r="L8831" s="2"/>
      <c r="N8831" s="2"/>
      <c r="O8831" s="2"/>
    </row>
    <row r="8832" spans="12:15">
      <c r="L8832" s="2"/>
      <c r="N8832" s="2"/>
      <c r="O8832" s="2"/>
    </row>
    <row r="8833" spans="12:15">
      <c r="L8833" s="2"/>
      <c r="N8833" s="2"/>
      <c r="O8833" s="2"/>
    </row>
    <row r="8834" spans="12:15">
      <c r="L8834" s="2"/>
      <c r="N8834" s="2"/>
      <c r="O8834" s="2"/>
    </row>
    <row r="8835" spans="12:15">
      <c r="L8835" s="2"/>
      <c r="N8835" s="2"/>
      <c r="O8835" s="2"/>
    </row>
    <row r="8836" spans="12:15">
      <c r="L8836" s="2"/>
      <c r="N8836" s="2"/>
      <c r="O8836" s="2"/>
    </row>
    <row r="8837" spans="12:15">
      <c r="L8837" s="2"/>
      <c r="N8837" s="2"/>
      <c r="O8837" s="2"/>
    </row>
    <row r="8838" spans="12:15">
      <c r="L8838" s="2"/>
      <c r="N8838" s="2"/>
      <c r="O8838" s="2"/>
    </row>
    <row r="8839" spans="12:15">
      <c r="L8839" s="2"/>
      <c r="N8839" s="2"/>
      <c r="O8839" s="2"/>
    </row>
    <row r="8840" spans="12:15">
      <c r="L8840" s="2"/>
      <c r="N8840" s="2"/>
      <c r="O8840" s="2"/>
    </row>
    <row r="8841" spans="12:15">
      <c r="L8841" s="2"/>
      <c r="N8841" s="2"/>
      <c r="O8841" s="2"/>
    </row>
    <row r="8842" spans="12:15">
      <c r="L8842" s="2"/>
      <c r="N8842" s="2"/>
      <c r="O8842" s="2"/>
    </row>
    <row r="8843" spans="12:15">
      <c r="L8843" s="2"/>
      <c r="N8843" s="2"/>
      <c r="O8843" s="2"/>
    </row>
    <row r="8844" spans="12:15">
      <c r="L8844" s="2"/>
      <c r="N8844" s="2"/>
      <c r="O8844" s="2"/>
    </row>
    <row r="8845" spans="12:15">
      <c r="L8845" s="2"/>
      <c r="N8845" s="2"/>
      <c r="O8845" s="2"/>
    </row>
    <row r="8846" spans="12:15">
      <c r="L8846" s="2"/>
      <c r="N8846" s="2"/>
      <c r="O8846" s="2"/>
    </row>
    <row r="8847" spans="12:15">
      <c r="L8847" s="2"/>
      <c r="N8847" s="2"/>
      <c r="O8847" s="2"/>
    </row>
    <row r="8848" spans="12:15">
      <c r="L8848" s="2"/>
      <c r="N8848" s="2"/>
      <c r="O8848" s="2"/>
    </row>
    <row r="8849" spans="12:15">
      <c r="L8849" s="2"/>
      <c r="N8849" s="2"/>
      <c r="O8849" s="2"/>
    </row>
    <row r="8850" spans="12:15">
      <c r="L8850" s="2"/>
      <c r="N8850" s="2"/>
      <c r="O8850" s="2"/>
    </row>
    <row r="8851" spans="12:15">
      <c r="L8851" s="2"/>
      <c r="N8851" s="2"/>
      <c r="O8851" s="2"/>
    </row>
    <row r="8852" spans="12:15">
      <c r="L8852" s="2"/>
      <c r="N8852" s="2"/>
      <c r="O8852" s="2"/>
    </row>
    <row r="8853" spans="12:15">
      <c r="L8853" s="2"/>
      <c r="N8853" s="2"/>
      <c r="O8853" s="2"/>
    </row>
    <row r="8854" spans="12:15">
      <c r="L8854" s="2"/>
      <c r="N8854" s="2"/>
      <c r="O8854" s="2"/>
    </row>
    <row r="8855" spans="12:15">
      <c r="L8855" s="2"/>
      <c r="N8855" s="2"/>
      <c r="O8855" s="2"/>
    </row>
    <row r="8856" spans="12:15">
      <c r="L8856" s="2"/>
      <c r="N8856" s="2"/>
      <c r="O8856" s="2"/>
    </row>
    <row r="8857" spans="12:15">
      <c r="L8857" s="2"/>
      <c r="N8857" s="2"/>
      <c r="O8857" s="2"/>
    </row>
    <row r="8858" spans="12:15">
      <c r="L8858" s="2"/>
      <c r="N8858" s="2"/>
      <c r="O8858" s="2"/>
    </row>
    <row r="8859" spans="12:15">
      <c r="L8859" s="2"/>
      <c r="N8859" s="2"/>
      <c r="O8859" s="2"/>
    </row>
    <row r="8860" spans="12:15">
      <c r="L8860" s="2"/>
      <c r="N8860" s="2"/>
      <c r="O8860" s="2"/>
    </row>
    <row r="8861" spans="12:15">
      <c r="L8861" s="2"/>
      <c r="N8861" s="2"/>
      <c r="O8861" s="2"/>
    </row>
    <row r="8862" spans="12:15">
      <c r="L8862" s="2"/>
      <c r="N8862" s="2"/>
      <c r="O8862" s="2"/>
    </row>
    <row r="8863" spans="12:15">
      <c r="L8863" s="2"/>
      <c r="N8863" s="2"/>
      <c r="O8863" s="2"/>
    </row>
    <row r="8864" spans="12:15">
      <c r="L8864" s="2"/>
      <c r="N8864" s="2"/>
      <c r="O8864" s="2"/>
    </row>
    <row r="8865" spans="12:15">
      <c r="L8865" s="2"/>
      <c r="N8865" s="2"/>
      <c r="O8865" s="2"/>
    </row>
    <row r="8866" spans="12:15">
      <c r="L8866" s="2"/>
      <c r="N8866" s="2"/>
      <c r="O8866" s="2"/>
    </row>
    <row r="8867" spans="12:15">
      <c r="L8867" s="2"/>
      <c r="N8867" s="2"/>
      <c r="O8867" s="2"/>
    </row>
    <row r="8868" spans="12:15">
      <c r="L8868" s="2"/>
      <c r="N8868" s="2"/>
      <c r="O8868" s="2"/>
    </row>
    <row r="8869" spans="12:15">
      <c r="L8869" s="2"/>
      <c r="N8869" s="2"/>
      <c r="O8869" s="2"/>
    </row>
    <row r="8870" spans="12:15">
      <c r="L8870" s="2"/>
      <c r="N8870" s="2"/>
      <c r="O8870" s="2"/>
    </row>
    <row r="8871" spans="12:15">
      <c r="L8871" s="2"/>
      <c r="N8871" s="2"/>
      <c r="O8871" s="2"/>
    </row>
    <row r="8872" spans="12:15">
      <c r="L8872" s="2"/>
      <c r="N8872" s="2"/>
      <c r="O8872" s="2"/>
    </row>
    <row r="8873" spans="12:15">
      <c r="L8873" s="2"/>
      <c r="N8873" s="2"/>
      <c r="O8873" s="2"/>
    </row>
    <row r="8874" spans="12:15">
      <c r="L8874" s="2"/>
      <c r="N8874" s="2"/>
      <c r="O8874" s="2"/>
    </row>
    <row r="8875" spans="12:15">
      <c r="L8875" s="2"/>
      <c r="N8875" s="2"/>
      <c r="O8875" s="2"/>
    </row>
    <row r="8876" spans="12:15">
      <c r="L8876" s="2"/>
      <c r="N8876" s="2"/>
      <c r="O8876" s="2"/>
    </row>
    <row r="8877" spans="12:15">
      <c r="L8877" s="2"/>
      <c r="N8877" s="2"/>
      <c r="O8877" s="2"/>
    </row>
    <row r="8878" spans="12:15">
      <c r="L8878" s="2"/>
      <c r="N8878" s="2"/>
      <c r="O8878" s="2"/>
    </row>
    <row r="8879" spans="12:15">
      <c r="L8879" s="2"/>
      <c r="N8879" s="2"/>
      <c r="O8879" s="2"/>
    </row>
    <row r="8880" spans="12:15">
      <c r="L8880" s="2"/>
      <c r="N8880" s="2"/>
      <c r="O8880" s="2"/>
    </row>
    <row r="8881" spans="12:15">
      <c r="L8881" s="2"/>
      <c r="N8881" s="2"/>
      <c r="O8881" s="2"/>
    </row>
    <row r="8882" spans="12:15">
      <c r="L8882" s="2"/>
      <c r="N8882" s="2"/>
      <c r="O8882" s="2"/>
    </row>
    <row r="8883" spans="12:15">
      <c r="L8883" s="2"/>
      <c r="N8883" s="2"/>
      <c r="O8883" s="2"/>
    </row>
    <row r="8884" spans="12:15">
      <c r="L8884" s="2"/>
      <c r="N8884" s="2"/>
      <c r="O8884" s="2"/>
    </row>
    <row r="8885" spans="12:15">
      <c r="L8885" s="2"/>
      <c r="N8885" s="2"/>
      <c r="O8885" s="2"/>
    </row>
    <row r="8886" spans="12:15">
      <c r="L8886" s="2"/>
      <c r="N8886" s="2"/>
      <c r="O8886" s="2"/>
    </row>
    <row r="8887" spans="12:15">
      <c r="L8887" s="2"/>
      <c r="N8887" s="2"/>
      <c r="O8887" s="2"/>
    </row>
    <row r="8888" spans="12:15">
      <c r="L8888" s="2"/>
      <c r="N8888" s="2"/>
      <c r="O8888" s="2"/>
    </row>
    <row r="8889" spans="12:15">
      <c r="L8889" s="2"/>
      <c r="N8889" s="2"/>
      <c r="O8889" s="2"/>
    </row>
    <row r="8890" spans="12:15">
      <c r="L8890" s="2"/>
      <c r="N8890" s="2"/>
      <c r="O8890" s="2"/>
    </row>
    <row r="8891" spans="12:15">
      <c r="L8891" s="2"/>
      <c r="N8891" s="2"/>
      <c r="O8891" s="2"/>
    </row>
    <row r="8892" spans="12:15">
      <c r="L8892" s="2"/>
      <c r="N8892" s="2"/>
      <c r="O8892" s="2"/>
    </row>
    <row r="8893" spans="12:15">
      <c r="L8893" s="2"/>
      <c r="N8893" s="2"/>
      <c r="O8893" s="2"/>
    </row>
    <row r="8894" spans="12:15">
      <c r="L8894" s="2"/>
      <c r="N8894" s="2"/>
      <c r="O8894" s="2"/>
    </row>
    <row r="8895" spans="12:15">
      <c r="L8895" s="2"/>
      <c r="N8895" s="2"/>
      <c r="O8895" s="2"/>
    </row>
    <row r="8896" spans="12:15">
      <c r="L8896" s="2"/>
      <c r="N8896" s="2"/>
      <c r="O8896" s="2"/>
    </row>
    <row r="8897" spans="12:15">
      <c r="L8897" s="2"/>
      <c r="N8897" s="2"/>
      <c r="O8897" s="2"/>
    </row>
    <row r="8898" spans="12:15">
      <c r="L8898" s="2"/>
      <c r="N8898" s="2"/>
      <c r="O8898" s="2"/>
    </row>
    <row r="8899" spans="12:15">
      <c r="L8899" s="2"/>
      <c r="N8899" s="2"/>
      <c r="O8899" s="2"/>
    </row>
    <row r="8900" spans="12:15">
      <c r="L8900" s="2"/>
      <c r="N8900" s="2"/>
      <c r="O8900" s="2"/>
    </row>
    <row r="8901" spans="12:15">
      <c r="L8901" s="2"/>
      <c r="N8901" s="2"/>
      <c r="O8901" s="2"/>
    </row>
    <row r="8902" spans="12:15">
      <c r="L8902" s="2"/>
      <c r="N8902" s="2"/>
      <c r="O8902" s="2"/>
    </row>
    <row r="8903" spans="12:15">
      <c r="L8903" s="2"/>
      <c r="N8903" s="2"/>
      <c r="O8903" s="2"/>
    </row>
    <row r="8904" spans="12:15">
      <c r="L8904" s="2"/>
      <c r="N8904" s="2"/>
      <c r="O8904" s="2"/>
    </row>
    <row r="8905" spans="12:15">
      <c r="L8905" s="2"/>
      <c r="N8905" s="2"/>
      <c r="O8905" s="2"/>
    </row>
    <row r="8906" spans="12:15">
      <c r="L8906" s="2"/>
      <c r="N8906" s="2"/>
      <c r="O8906" s="2"/>
    </row>
    <row r="8907" spans="12:15">
      <c r="L8907" s="2"/>
      <c r="N8907" s="2"/>
      <c r="O8907" s="2"/>
    </row>
    <row r="8908" spans="12:15">
      <c r="L8908" s="2"/>
      <c r="N8908" s="2"/>
      <c r="O8908" s="2"/>
    </row>
    <row r="8909" spans="12:15">
      <c r="L8909" s="2"/>
      <c r="N8909" s="2"/>
      <c r="O8909" s="2"/>
    </row>
    <row r="8910" spans="12:15">
      <c r="L8910" s="2"/>
      <c r="N8910" s="2"/>
      <c r="O8910" s="2"/>
    </row>
    <row r="8911" spans="12:15">
      <c r="L8911" s="2"/>
      <c r="N8911" s="2"/>
      <c r="O8911" s="2"/>
    </row>
    <row r="8912" spans="12:15">
      <c r="L8912" s="2"/>
      <c r="N8912" s="2"/>
      <c r="O8912" s="2"/>
    </row>
    <row r="8913" spans="12:15">
      <c r="L8913" s="2"/>
      <c r="N8913" s="2"/>
      <c r="O8913" s="2"/>
    </row>
    <row r="8914" spans="12:15">
      <c r="L8914" s="2"/>
      <c r="N8914" s="2"/>
      <c r="O8914" s="2"/>
    </row>
    <row r="8915" spans="12:15">
      <c r="L8915" s="2"/>
      <c r="N8915" s="2"/>
      <c r="O8915" s="2"/>
    </row>
    <row r="8916" spans="12:15">
      <c r="L8916" s="2"/>
      <c r="N8916" s="2"/>
      <c r="O8916" s="2"/>
    </row>
    <row r="8917" spans="12:15">
      <c r="L8917" s="2"/>
      <c r="N8917" s="2"/>
      <c r="O8917" s="2"/>
    </row>
    <row r="8918" spans="12:15">
      <c r="L8918" s="2"/>
      <c r="N8918" s="2"/>
      <c r="O8918" s="2"/>
    </row>
    <row r="8919" spans="12:15">
      <c r="L8919" s="2"/>
      <c r="N8919" s="2"/>
      <c r="O8919" s="2"/>
    </row>
    <row r="8920" spans="12:15">
      <c r="L8920" s="2"/>
      <c r="N8920" s="2"/>
      <c r="O8920" s="2"/>
    </row>
    <row r="8921" spans="12:15">
      <c r="L8921" s="2"/>
      <c r="N8921" s="2"/>
      <c r="O8921" s="2"/>
    </row>
    <row r="8922" spans="12:15">
      <c r="L8922" s="2"/>
      <c r="N8922" s="2"/>
      <c r="O8922" s="2"/>
    </row>
    <row r="8923" spans="12:15">
      <c r="L8923" s="2"/>
      <c r="N8923" s="2"/>
      <c r="O8923" s="2"/>
    </row>
    <row r="8924" spans="12:15">
      <c r="L8924" s="2"/>
      <c r="N8924" s="2"/>
      <c r="O8924" s="2"/>
    </row>
    <row r="8925" spans="12:15">
      <c r="L8925" s="2"/>
      <c r="N8925" s="2"/>
      <c r="O8925" s="2"/>
    </row>
    <row r="8926" spans="12:15">
      <c r="L8926" s="2"/>
      <c r="N8926" s="2"/>
      <c r="O8926" s="2"/>
    </row>
    <row r="8927" spans="12:15">
      <c r="L8927" s="2"/>
      <c r="N8927" s="2"/>
      <c r="O8927" s="2"/>
    </row>
    <row r="8928" spans="12:15">
      <c r="L8928" s="2"/>
      <c r="N8928" s="2"/>
      <c r="O8928" s="2"/>
    </row>
    <row r="8929" spans="12:15">
      <c r="L8929" s="2"/>
      <c r="N8929" s="2"/>
      <c r="O8929" s="2"/>
    </row>
    <row r="8930" spans="12:15">
      <c r="L8930" s="2"/>
      <c r="N8930" s="2"/>
      <c r="O8930" s="2"/>
    </row>
    <row r="8931" spans="12:15">
      <c r="L8931" s="2"/>
      <c r="N8931" s="2"/>
      <c r="O8931" s="2"/>
    </row>
    <row r="8932" spans="12:15">
      <c r="L8932" s="2"/>
      <c r="N8932" s="2"/>
      <c r="O8932" s="2"/>
    </row>
    <row r="8933" spans="12:15">
      <c r="L8933" s="2"/>
      <c r="N8933" s="2"/>
      <c r="O8933" s="2"/>
    </row>
    <row r="8934" spans="12:15">
      <c r="L8934" s="2"/>
      <c r="N8934" s="2"/>
      <c r="O8934" s="2"/>
    </row>
    <row r="8935" spans="12:15">
      <c r="L8935" s="2"/>
      <c r="N8935" s="2"/>
      <c r="O8935" s="2"/>
    </row>
    <row r="8936" spans="12:15">
      <c r="L8936" s="2"/>
      <c r="N8936" s="2"/>
      <c r="O8936" s="2"/>
    </row>
    <row r="8937" spans="12:15">
      <c r="L8937" s="2"/>
      <c r="N8937" s="2"/>
      <c r="O8937" s="2"/>
    </row>
    <row r="8938" spans="12:15">
      <c r="L8938" s="2"/>
      <c r="N8938" s="2"/>
      <c r="O8938" s="2"/>
    </row>
    <row r="8939" spans="12:15">
      <c r="L8939" s="2"/>
      <c r="N8939" s="2"/>
      <c r="O8939" s="2"/>
    </row>
    <row r="8940" spans="12:15">
      <c r="L8940" s="2"/>
      <c r="N8940" s="2"/>
      <c r="O8940" s="2"/>
    </row>
    <row r="8941" spans="12:15">
      <c r="L8941" s="2"/>
      <c r="N8941" s="2"/>
      <c r="O8941" s="2"/>
    </row>
    <row r="8942" spans="12:15">
      <c r="L8942" s="2"/>
      <c r="N8942" s="2"/>
      <c r="O8942" s="2"/>
    </row>
    <row r="8943" spans="12:15">
      <c r="L8943" s="2"/>
      <c r="N8943" s="2"/>
      <c r="O8943" s="2"/>
    </row>
    <row r="8944" spans="12:15">
      <c r="L8944" s="2"/>
      <c r="N8944" s="2"/>
      <c r="O8944" s="2"/>
    </row>
    <row r="8945" spans="12:15">
      <c r="L8945" s="2"/>
      <c r="N8945" s="2"/>
      <c r="O8945" s="2"/>
    </row>
    <row r="8946" spans="12:15">
      <c r="L8946" s="2"/>
      <c r="N8946" s="2"/>
      <c r="O8946" s="2"/>
    </row>
    <row r="8947" spans="12:15">
      <c r="L8947" s="2"/>
      <c r="N8947" s="2"/>
      <c r="O8947" s="2"/>
    </row>
    <row r="8948" spans="12:15">
      <c r="L8948" s="2"/>
      <c r="N8948" s="2"/>
      <c r="O8948" s="2"/>
    </row>
    <row r="8949" spans="12:15">
      <c r="L8949" s="2"/>
      <c r="N8949" s="2"/>
      <c r="O8949" s="2"/>
    </row>
    <row r="8950" spans="12:15">
      <c r="L8950" s="2"/>
      <c r="N8950" s="2"/>
      <c r="O8950" s="2"/>
    </row>
    <row r="8951" spans="12:15">
      <c r="L8951" s="2"/>
      <c r="N8951" s="2"/>
      <c r="O8951" s="2"/>
    </row>
    <row r="8952" spans="12:15">
      <c r="L8952" s="2"/>
      <c r="N8952" s="2"/>
      <c r="O8952" s="2"/>
    </row>
    <row r="8953" spans="12:15">
      <c r="L8953" s="2"/>
      <c r="N8953" s="2"/>
      <c r="O8953" s="2"/>
    </row>
    <row r="8954" spans="12:15">
      <c r="L8954" s="2"/>
      <c r="N8954" s="2"/>
      <c r="O8954" s="2"/>
    </row>
    <row r="8955" spans="12:15">
      <c r="L8955" s="2"/>
      <c r="N8955" s="2"/>
      <c r="O8955" s="2"/>
    </row>
    <row r="8956" spans="12:15">
      <c r="L8956" s="2"/>
      <c r="N8956" s="2"/>
      <c r="O8956" s="2"/>
    </row>
    <row r="8957" spans="12:15">
      <c r="L8957" s="2"/>
      <c r="N8957" s="2"/>
      <c r="O8957" s="2"/>
    </row>
    <row r="8958" spans="12:15">
      <c r="L8958" s="2"/>
      <c r="N8958" s="2"/>
      <c r="O8958" s="2"/>
    </row>
    <row r="8959" spans="12:15">
      <c r="L8959" s="2"/>
      <c r="N8959" s="2"/>
      <c r="O8959" s="2"/>
    </row>
    <row r="8960" spans="12:15">
      <c r="L8960" s="2"/>
      <c r="N8960" s="2"/>
      <c r="O8960" s="2"/>
    </row>
    <row r="8961" spans="12:15">
      <c r="L8961" s="2"/>
      <c r="N8961" s="2"/>
      <c r="O8961" s="2"/>
    </row>
    <row r="8962" spans="12:15">
      <c r="L8962" s="2"/>
      <c r="N8962" s="2"/>
      <c r="O8962" s="2"/>
    </row>
    <row r="8963" spans="12:15">
      <c r="L8963" s="2"/>
      <c r="N8963" s="2"/>
      <c r="O8963" s="2"/>
    </row>
    <row r="8964" spans="12:15">
      <c r="L8964" s="2"/>
      <c r="N8964" s="2"/>
      <c r="O8964" s="2"/>
    </row>
    <row r="8965" spans="12:15">
      <c r="L8965" s="2"/>
      <c r="N8965" s="2"/>
      <c r="O8965" s="2"/>
    </row>
    <row r="8966" spans="12:15">
      <c r="L8966" s="2"/>
      <c r="N8966" s="2"/>
      <c r="O8966" s="2"/>
    </row>
    <row r="8967" spans="12:15">
      <c r="L8967" s="2"/>
      <c r="N8967" s="2"/>
      <c r="O8967" s="2"/>
    </row>
    <row r="8968" spans="12:15">
      <c r="L8968" s="2"/>
      <c r="N8968" s="2"/>
      <c r="O8968" s="2"/>
    </row>
    <row r="8969" spans="12:15">
      <c r="L8969" s="2"/>
      <c r="N8969" s="2"/>
      <c r="O8969" s="2"/>
    </row>
    <row r="8970" spans="12:15">
      <c r="L8970" s="2"/>
      <c r="N8970" s="2"/>
      <c r="O8970" s="2"/>
    </row>
    <row r="8971" spans="12:15">
      <c r="L8971" s="2"/>
      <c r="N8971" s="2"/>
      <c r="O8971" s="2"/>
    </row>
    <row r="8972" spans="12:15">
      <c r="L8972" s="2"/>
      <c r="N8972" s="2"/>
      <c r="O8972" s="2"/>
    </row>
    <row r="8973" spans="12:15">
      <c r="L8973" s="2"/>
      <c r="N8973" s="2"/>
      <c r="O8973" s="2"/>
    </row>
    <row r="8974" spans="12:15">
      <c r="L8974" s="2"/>
      <c r="N8974" s="2"/>
      <c r="O8974" s="2"/>
    </row>
    <row r="8975" spans="12:15">
      <c r="L8975" s="2"/>
      <c r="N8975" s="2"/>
      <c r="O8975" s="2"/>
    </row>
    <row r="8976" spans="12:15">
      <c r="L8976" s="2"/>
      <c r="N8976" s="2"/>
      <c r="O8976" s="2"/>
    </row>
    <row r="8977" spans="12:15">
      <c r="L8977" s="2"/>
      <c r="N8977" s="2"/>
      <c r="O8977" s="2"/>
    </row>
    <row r="8978" spans="12:15">
      <c r="L8978" s="2"/>
      <c r="N8978" s="2"/>
      <c r="O8978" s="2"/>
    </row>
    <row r="8979" spans="12:15">
      <c r="L8979" s="2"/>
      <c r="N8979" s="2"/>
      <c r="O8979" s="2"/>
    </row>
    <row r="8980" spans="12:15">
      <c r="L8980" s="2"/>
      <c r="N8980" s="2"/>
      <c r="O8980" s="2"/>
    </row>
    <row r="8981" spans="12:15">
      <c r="L8981" s="2"/>
      <c r="N8981" s="2"/>
      <c r="O8981" s="2"/>
    </row>
    <row r="8982" spans="12:15">
      <c r="L8982" s="2"/>
      <c r="N8982" s="2"/>
      <c r="O8982" s="2"/>
    </row>
    <row r="8983" spans="12:15">
      <c r="L8983" s="2"/>
      <c r="N8983" s="2"/>
      <c r="O8983" s="2"/>
    </row>
    <row r="8984" spans="12:15">
      <c r="L8984" s="2"/>
      <c r="N8984" s="2"/>
      <c r="O8984" s="2"/>
    </row>
    <row r="8985" spans="12:15">
      <c r="L8985" s="2"/>
      <c r="N8985" s="2"/>
      <c r="O8985" s="2"/>
    </row>
    <row r="8986" spans="12:15">
      <c r="L8986" s="2"/>
      <c r="N8986" s="2"/>
      <c r="O8986" s="2"/>
    </row>
    <row r="8987" spans="12:15">
      <c r="L8987" s="2"/>
      <c r="N8987" s="2"/>
      <c r="O8987" s="2"/>
    </row>
    <row r="8988" spans="12:15">
      <c r="L8988" s="2"/>
      <c r="N8988" s="2"/>
      <c r="O8988" s="2"/>
    </row>
    <row r="8989" spans="12:15">
      <c r="L8989" s="2"/>
      <c r="N8989" s="2"/>
      <c r="O8989" s="2"/>
    </row>
    <row r="8990" spans="12:15">
      <c r="L8990" s="2"/>
      <c r="N8990" s="2"/>
      <c r="O8990" s="2"/>
    </row>
    <row r="8991" spans="12:15">
      <c r="L8991" s="2"/>
      <c r="N8991" s="2"/>
      <c r="O8991" s="2"/>
    </row>
    <row r="8992" spans="12:15">
      <c r="L8992" s="2"/>
      <c r="N8992" s="2"/>
      <c r="O8992" s="2"/>
    </row>
    <row r="8993" spans="12:15">
      <c r="L8993" s="2"/>
      <c r="N8993" s="2"/>
      <c r="O8993" s="2"/>
    </row>
    <row r="8994" spans="12:15">
      <c r="L8994" s="2"/>
      <c r="N8994" s="2"/>
      <c r="O8994" s="2"/>
    </row>
    <row r="8995" spans="12:15">
      <c r="L8995" s="2"/>
      <c r="N8995" s="2"/>
      <c r="O8995" s="2"/>
    </row>
    <row r="8996" spans="12:15">
      <c r="L8996" s="2"/>
      <c r="N8996" s="2"/>
      <c r="O8996" s="2"/>
    </row>
    <row r="8997" spans="12:15">
      <c r="L8997" s="2"/>
      <c r="N8997" s="2"/>
      <c r="O8997" s="2"/>
    </row>
    <row r="8998" spans="12:15">
      <c r="L8998" s="2"/>
      <c r="N8998" s="2"/>
      <c r="O8998" s="2"/>
    </row>
    <row r="8999" spans="12:15">
      <c r="L8999" s="2"/>
      <c r="N8999" s="2"/>
      <c r="O8999" s="2"/>
    </row>
    <row r="9000" spans="12:15">
      <c r="L9000" s="2"/>
      <c r="N9000" s="2"/>
      <c r="O9000" s="2"/>
    </row>
    <row r="9001" spans="12:15">
      <c r="L9001" s="2"/>
      <c r="N9001" s="2"/>
      <c r="O9001" s="2"/>
    </row>
    <row r="9002" spans="12:15">
      <c r="L9002" s="2"/>
      <c r="N9002" s="2"/>
      <c r="O9002" s="2"/>
    </row>
    <row r="9003" spans="12:15">
      <c r="L9003" s="2"/>
      <c r="N9003" s="2"/>
      <c r="O9003" s="2"/>
    </row>
    <row r="9004" spans="12:15">
      <c r="L9004" s="2"/>
      <c r="N9004" s="2"/>
      <c r="O9004" s="2"/>
    </row>
    <row r="9005" spans="12:15">
      <c r="L9005" s="2"/>
      <c r="N9005" s="2"/>
      <c r="O9005" s="2"/>
    </row>
    <row r="9006" spans="12:15">
      <c r="L9006" s="2"/>
      <c r="N9006" s="2"/>
      <c r="O9006" s="2"/>
    </row>
    <row r="9007" spans="12:15">
      <c r="L9007" s="2"/>
      <c r="N9007" s="2"/>
      <c r="O9007" s="2"/>
    </row>
    <row r="9008" spans="12:15">
      <c r="L9008" s="2"/>
      <c r="N9008" s="2"/>
      <c r="O9008" s="2"/>
    </row>
    <row r="9009" spans="12:15">
      <c r="L9009" s="2"/>
      <c r="N9009" s="2"/>
      <c r="O9009" s="2"/>
    </row>
    <row r="9010" spans="12:15">
      <c r="L9010" s="2"/>
      <c r="N9010" s="2"/>
      <c r="O9010" s="2"/>
    </row>
    <row r="9011" spans="12:15">
      <c r="L9011" s="2"/>
      <c r="N9011" s="2"/>
      <c r="O9011" s="2"/>
    </row>
    <row r="9012" spans="12:15">
      <c r="L9012" s="2"/>
      <c r="N9012" s="2"/>
      <c r="O9012" s="2"/>
    </row>
    <row r="9013" spans="12:15">
      <c r="L9013" s="2"/>
      <c r="N9013" s="2"/>
      <c r="O9013" s="2"/>
    </row>
    <row r="9014" spans="12:15">
      <c r="L9014" s="2"/>
      <c r="N9014" s="2"/>
      <c r="O9014" s="2"/>
    </row>
    <row r="9015" spans="12:15">
      <c r="L9015" s="2"/>
      <c r="N9015" s="2"/>
      <c r="O9015" s="2"/>
    </row>
    <row r="9016" spans="12:15">
      <c r="L9016" s="2"/>
      <c r="N9016" s="2"/>
      <c r="O9016" s="2"/>
    </row>
    <row r="9017" spans="12:15">
      <c r="L9017" s="2"/>
      <c r="N9017" s="2"/>
      <c r="O9017" s="2"/>
    </row>
    <row r="9018" spans="12:15">
      <c r="L9018" s="2"/>
      <c r="N9018" s="2"/>
      <c r="O9018" s="2"/>
    </row>
    <row r="9019" spans="12:15">
      <c r="L9019" s="2"/>
      <c r="N9019" s="2"/>
      <c r="O9019" s="2"/>
    </row>
    <row r="9020" spans="12:15">
      <c r="L9020" s="2"/>
      <c r="N9020" s="2"/>
      <c r="O9020" s="2"/>
    </row>
    <row r="9021" spans="12:15">
      <c r="L9021" s="2"/>
      <c r="N9021" s="2"/>
      <c r="O9021" s="2"/>
    </row>
    <row r="9022" spans="12:15">
      <c r="L9022" s="2"/>
      <c r="N9022" s="2"/>
      <c r="O9022" s="2"/>
    </row>
    <row r="9023" spans="12:15">
      <c r="L9023" s="2"/>
      <c r="N9023" s="2"/>
      <c r="O9023" s="2"/>
    </row>
    <row r="9024" spans="12:15">
      <c r="L9024" s="2"/>
      <c r="N9024" s="2"/>
      <c r="O9024" s="2"/>
    </row>
    <row r="9025" spans="12:15">
      <c r="L9025" s="2"/>
      <c r="N9025" s="2"/>
      <c r="O9025" s="2"/>
    </row>
    <row r="9026" spans="12:15">
      <c r="L9026" s="2"/>
      <c r="N9026" s="2"/>
      <c r="O9026" s="2"/>
    </row>
    <row r="9027" spans="12:15">
      <c r="L9027" s="2"/>
      <c r="N9027" s="2"/>
      <c r="O9027" s="2"/>
    </row>
    <row r="9028" spans="12:15">
      <c r="L9028" s="2"/>
      <c r="N9028" s="2"/>
      <c r="O9028" s="2"/>
    </row>
    <row r="9029" spans="12:15">
      <c r="L9029" s="2"/>
      <c r="N9029" s="2"/>
      <c r="O9029" s="2"/>
    </row>
    <row r="9030" spans="12:15">
      <c r="L9030" s="2"/>
      <c r="N9030" s="2"/>
      <c r="O9030" s="2"/>
    </row>
    <row r="9031" spans="12:15">
      <c r="L9031" s="2"/>
      <c r="N9031" s="2"/>
      <c r="O9031" s="2"/>
    </row>
    <row r="9032" spans="12:15">
      <c r="L9032" s="2"/>
      <c r="N9032" s="2"/>
      <c r="O9032" s="2"/>
    </row>
    <row r="9033" spans="12:15">
      <c r="L9033" s="2"/>
      <c r="N9033" s="2"/>
      <c r="O9033" s="2"/>
    </row>
    <row r="9034" spans="12:15">
      <c r="L9034" s="2"/>
      <c r="N9034" s="2"/>
      <c r="O9034" s="2"/>
    </row>
    <row r="9035" spans="12:15">
      <c r="L9035" s="2"/>
      <c r="N9035" s="2"/>
      <c r="O9035" s="2"/>
    </row>
    <row r="9036" spans="12:15">
      <c r="L9036" s="2"/>
      <c r="N9036" s="2"/>
      <c r="O9036" s="2"/>
    </row>
    <row r="9037" spans="12:15">
      <c r="L9037" s="2"/>
      <c r="N9037" s="2"/>
      <c r="O9037" s="2"/>
    </row>
    <row r="9038" spans="12:15">
      <c r="L9038" s="2"/>
      <c r="N9038" s="2"/>
      <c r="O9038" s="2"/>
    </row>
    <row r="9039" spans="12:15">
      <c r="L9039" s="2"/>
      <c r="N9039" s="2"/>
      <c r="O9039" s="2"/>
    </row>
    <row r="9040" spans="12:15">
      <c r="L9040" s="2"/>
      <c r="N9040" s="2"/>
      <c r="O9040" s="2"/>
    </row>
    <row r="9041" spans="12:15">
      <c r="L9041" s="2"/>
      <c r="N9041" s="2"/>
      <c r="O9041" s="2"/>
    </row>
    <row r="9042" spans="12:15">
      <c r="L9042" s="2"/>
      <c r="N9042" s="2"/>
      <c r="O9042" s="2"/>
    </row>
    <row r="9043" spans="12:15">
      <c r="L9043" s="2"/>
      <c r="N9043" s="2"/>
      <c r="O9043" s="2"/>
    </row>
    <row r="9044" spans="12:15">
      <c r="L9044" s="2"/>
      <c r="N9044" s="2"/>
      <c r="O9044" s="2"/>
    </row>
    <row r="9045" spans="12:15">
      <c r="L9045" s="2"/>
      <c r="N9045" s="2"/>
      <c r="O9045" s="2"/>
    </row>
    <row r="9046" spans="12:15">
      <c r="L9046" s="2"/>
      <c r="N9046" s="2"/>
      <c r="O9046" s="2"/>
    </row>
    <row r="9047" spans="12:15">
      <c r="L9047" s="2"/>
      <c r="N9047" s="2"/>
      <c r="O9047" s="2"/>
    </row>
    <row r="9048" spans="12:15">
      <c r="L9048" s="2"/>
      <c r="N9048" s="2"/>
      <c r="O9048" s="2"/>
    </row>
    <row r="9049" spans="12:15">
      <c r="L9049" s="2"/>
      <c r="N9049" s="2"/>
      <c r="O9049" s="2"/>
    </row>
    <row r="9050" spans="12:15">
      <c r="L9050" s="2"/>
      <c r="N9050" s="2"/>
      <c r="O9050" s="2"/>
    </row>
    <row r="9051" spans="12:15">
      <c r="L9051" s="2"/>
      <c r="N9051" s="2"/>
      <c r="O9051" s="2"/>
    </row>
    <row r="9052" spans="12:15">
      <c r="L9052" s="2"/>
      <c r="N9052" s="2"/>
      <c r="O9052" s="2"/>
    </row>
    <row r="9053" spans="12:15">
      <c r="L9053" s="2"/>
      <c r="N9053" s="2"/>
      <c r="O9053" s="2"/>
    </row>
    <row r="9054" spans="12:15">
      <c r="L9054" s="2"/>
      <c r="N9054" s="2"/>
      <c r="O9054" s="2"/>
    </row>
    <row r="9055" spans="12:15">
      <c r="L9055" s="2"/>
      <c r="N9055" s="2"/>
      <c r="O9055" s="2"/>
    </row>
    <row r="9056" spans="12:15">
      <c r="L9056" s="2"/>
      <c r="N9056" s="2"/>
      <c r="O9056" s="2"/>
    </row>
    <row r="9057" spans="12:15">
      <c r="L9057" s="2"/>
      <c r="N9057" s="2"/>
      <c r="O9057" s="2"/>
    </row>
    <row r="9058" spans="12:15">
      <c r="L9058" s="2"/>
      <c r="N9058" s="2"/>
      <c r="O9058" s="2"/>
    </row>
    <row r="9059" spans="12:15">
      <c r="L9059" s="2"/>
      <c r="N9059" s="2"/>
      <c r="O9059" s="2"/>
    </row>
    <row r="9060" spans="12:15">
      <c r="L9060" s="2"/>
      <c r="N9060" s="2"/>
      <c r="O9060" s="2"/>
    </row>
    <row r="9061" spans="12:15">
      <c r="L9061" s="2"/>
      <c r="N9061" s="2"/>
      <c r="O9061" s="2"/>
    </row>
    <row r="9062" spans="12:15">
      <c r="L9062" s="2"/>
      <c r="N9062" s="2"/>
      <c r="O9062" s="2"/>
    </row>
    <row r="9063" spans="12:15">
      <c r="L9063" s="2"/>
      <c r="N9063" s="2"/>
      <c r="O9063" s="2"/>
    </row>
    <row r="9064" spans="12:15">
      <c r="L9064" s="2"/>
      <c r="N9064" s="2"/>
      <c r="O9064" s="2"/>
    </row>
    <row r="9065" spans="12:15">
      <c r="L9065" s="2"/>
      <c r="N9065" s="2"/>
      <c r="O9065" s="2"/>
    </row>
    <row r="9066" spans="12:15">
      <c r="L9066" s="2"/>
      <c r="N9066" s="2"/>
      <c r="O9066" s="2"/>
    </row>
    <row r="9067" spans="12:15">
      <c r="L9067" s="2"/>
      <c r="N9067" s="2"/>
      <c r="O9067" s="2"/>
    </row>
    <row r="9068" spans="12:15">
      <c r="L9068" s="2"/>
      <c r="N9068" s="2"/>
      <c r="O9068" s="2"/>
    </row>
    <row r="9069" spans="12:15">
      <c r="L9069" s="2"/>
      <c r="N9069" s="2"/>
      <c r="O9069" s="2"/>
    </row>
    <row r="9070" spans="12:15">
      <c r="L9070" s="2"/>
      <c r="N9070" s="2"/>
      <c r="O9070" s="2"/>
    </row>
    <row r="9071" spans="12:15">
      <c r="L9071" s="2"/>
      <c r="N9071" s="2"/>
      <c r="O9071" s="2"/>
    </row>
    <row r="9072" spans="12:15">
      <c r="L9072" s="2"/>
      <c r="N9072" s="2"/>
      <c r="O9072" s="2"/>
    </row>
    <row r="9073" spans="12:15">
      <c r="L9073" s="2"/>
      <c r="N9073" s="2"/>
      <c r="O9073" s="2"/>
    </row>
    <row r="9074" spans="12:15">
      <c r="L9074" s="2"/>
      <c r="N9074" s="2"/>
      <c r="O9074" s="2"/>
    </row>
    <row r="9075" spans="12:15">
      <c r="L9075" s="2"/>
      <c r="N9075" s="2"/>
      <c r="O9075" s="2"/>
    </row>
    <row r="9076" spans="12:15">
      <c r="L9076" s="2"/>
      <c r="N9076" s="2"/>
      <c r="O9076" s="2"/>
    </row>
    <row r="9077" spans="12:15">
      <c r="L9077" s="2"/>
      <c r="N9077" s="2"/>
      <c r="O9077" s="2"/>
    </row>
    <row r="9078" spans="12:15">
      <c r="L9078" s="2"/>
      <c r="N9078" s="2"/>
      <c r="O9078" s="2"/>
    </row>
    <row r="9079" spans="12:15">
      <c r="L9079" s="2"/>
      <c r="N9079" s="2"/>
      <c r="O9079" s="2"/>
    </row>
    <row r="9080" spans="12:15">
      <c r="L9080" s="2"/>
      <c r="N9080" s="2"/>
      <c r="O9080" s="2"/>
    </row>
    <row r="9081" spans="12:15">
      <c r="L9081" s="2"/>
      <c r="N9081" s="2"/>
      <c r="O9081" s="2"/>
    </row>
    <row r="9082" spans="12:15">
      <c r="L9082" s="2"/>
      <c r="N9082" s="2"/>
      <c r="O9082" s="2"/>
    </row>
    <row r="9083" spans="12:15">
      <c r="L9083" s="2"/>
      <c r="N9083" s="2"/>
      <c r="O9083" s="2"/>
    </row>
    <row r="9084" spans="12:15">
      <c r="L9084" s="2"/>
      <c r="N9084" s="2"/>
      <c r="O9084" s="2"/>
    </row>
    <row r="9085" spans="12:15">
      <c r="L9085" s="2"/>
      <c r="N9085" s="2"/>
      <c r="O9085" s="2"/>
    </row>
    <row r="9086" spans="12:15">
      <c r="L9086" s="2"/>
      <c r="N9086" s="2"/>
      <c r="O9086" s="2"/>
    </row>
    <row r="9087" spans="12:15">
      <c r="L9087" s="2"/>
      <c r="N9087" s="2"/>
      <c r="O9087" s="2"/>
    </row>
    <row r="9088" spans="12:15">
      <c r="L9088" s="2"/>
      <c r="N9088" s="2"/>
      <c r="O9088" s="2"/>
    </row>
    <row r="9089" spans="12:15">
      <c r="L9089" s="2"/>
      <c r="N9089" s="2"/>
      <c r="O9089" s="2"/>
    </row>
    <row r="9090" spans="12:15">
      <c r="L9090" s="2"/>
      <c r="N9090" s="2"/>
      <c r="O9090" s="2"/>
    </row>
    <row r="9091" spans="12:15">
      <c r="L9091" s="2"/>
      <c r="N9091" s="2"/>
      <c r="O9091" s="2"/>
    </row>
    <row r="9092" spans="12:15">
      <c r="L9092" s="2"/>
      <c r="N9092" s="2"/>
      <c r="O9092" s="2"/>
    </row>
    <row r="9093" spans="12:15">
      <c r="L9093" s="2"/>
      <c r="N9093" s="2"/>
      <c r="O9093" s="2"/>
    </row>
    <row r="9094" spans="12:15">
      <c r="L9094" s="2"/>
      <c r="N9094" s="2"/>
      <c r="O9094" s="2"/>
    </row>
    <row r="9095" spans="12:15">
      <c r="L9095" s="2"/>
      <c r="N9095" s="2"/>
      <c r="O9095" s="2"/>
    </row>
    <row r="9096" spans="12:15">
      <c r="L9096" s="2"/>
      <c r="N9096" s="2"/>
      <c r="O9096" s="2"/>
    </row>
    <row r="9097" spans="12:15">
      <c r="L9097" s="2"/>
      <c r="N9097" s="2"/>
      <c r="O9097" s="2"/>
    </row>
    <row r="9098" spans="12:15">
      <c r="L9098" s="2"/>
      <c r="N9098" s="2"/>
      <c r="O9098" s="2"/>
    </row>
    <row r="9099" spans="12:15">
      <c r="L9099" s="2"/>
      <c r="N9099" s="2"/>
      <c r="O9099" s="2"/>
    </row>
    <row r="9100" spans="12:15">
      <c r="L9100" s="2"/>
      <c r="N9100" s="2"/>
      <c r="O9100" s="2"/>
    </row>
    <row r="9101" spans="12:15">
      <c r="L9101" s="2"/>
      <c r="N9101" s="2"/>
      <c r="O9101" s="2"/>
    </row>
    <row r="9102" spans="12:15">
      <c r="L9102" s="2"/>
      <c r="N9102" s="2"/>
      <c r="O9102" s="2"/>
    </row>
    <row r="9103" spans="12:15">
      <c r="L9103" s="2"/>
      <c r="N9103" s="2"/>
      <c r="O9103" s="2"/>
    </row>
    <row r="9104" spans="12:15">
      <c r="L9104" s="2"/>
      <c r="N9104" s="2"/>
      <c r="O9104" s="2"/>
    </row>
    <row r="9105" spans="12:15">
      <c r="L9105" s="2"/>
      <c r="N9105" s="2"/>
      <c r="O9105" s="2"/>
    </row>
    <row r="9106" spans="12:15">
      <c r="L9106" s="2"/>
      <c r="N9106" s="2"/>
      <c r="O9106" s="2"/>
    </row>
    <row r="9107" spans="12:15">
      <c r="L9107" s="2"/>
      <c r="N9107" s="2"/>
      <c r="O9107" s="2"/>
    </row>
    <row r="9108" spans="12:15">
      <c r="L9108" s="2"/>
      <c r="N9108" s="2"/>
      <c r="O9108" s="2"/>
    </row>
    <row r="9109" spans="12:15">
      <c r="L9109" s="2"/>
      <c r="N9109" s="2"/>
      <c r="O9109" s="2"/>
    </row>
    <row r="9110" spans="12:15">
      <c r="L9110" s="2"/>
      <c r="N9110" s="2"/>
      <c r="O9110" s="2"/>
    </row>
    <row r="9111" spans="12:15">
      <c r="L9111" s="2"/>
      <c r="N9111" s="2"/>
      <c r="O9111" s="2"/>
    </row>
    <row r="9112" spans="12:15">
      <c r="L9112" s="2"/>
      <c r="N9112" s="2"/>
      <c r="O9112" s="2"/>
    </row>
    <row r="9113" spans="12:15">
      <c r="L9113" s="2"/>
      <c r="N9113" s="2"/>
      <c r="O9113" s="2"/>
    </row>
    <row r="9114" spans="12:15">
      <c r="L9114" s="2"/>
      <c r="N9114" s="2"/>
      <c r="O9114" s="2"/>
    </row>
    <row r="9115" spans="12:15">
      <c r="L9115" s="2"/>
      <c r="N9115" s="2"/>
      <c r="O9115" s="2"/>
    </row>
    <row r="9116" spans="12:15">
      <c r="L9116" s="2"/>
      <c r="N9116" s="2"/>
      <c r="O9116" s="2"/>
    </row>
    <row r="9117" spans="12:15">
      <c r="L9117" s="2"/>
      <c r="N9117" s="2"/>
      <c r="O9117" s="2"/>
    </row>
    <row r="9118" spans="12:15">
      <c r="L9118" s="2"/>
      <c r="N9118" s="2"/>
      <c r="O9118" s="2"/>
    </row>
    <row r="9119" spans="12:15">
      <c r="L9119" s="2"/>
      <c r="N9119" s="2"/>
      <c r="O9119" s="2"/>
    </row>
    <row r="9120" spans="12:15">
      <c r="L9120" s="2"/>
      <c r="N9120" s="2"/>
      <c r="O9120" s="2"/>
    </row>
    <row r="9121" spans="12:15">
      <c r="L9121" s="2"/>
      <c r="N9121" s="2"/>
      <c r="O9121" s="2"/>
    </row>
    <row r="9122" spans="12:15">
      <c r="L9122" s="2"/>
      <c r="N9122" s="2"/>
      <c r="O9122" s="2"/>
    </row>
    <row r="9123" spans="12:15">
      <c r="L9123" s="2"/>
      <c r="N9123" s="2"/>
      <c r="O9123" s="2"/>
    </row>
    <row r="9124" spans="12:15">
      <c r="L9124" s="2"/>
      <c r="N9124" s="2"/>
      <c r="O9124" s="2"/>
    </row>
    <row r="9125" spans="12:15">
      <c r="L9125" s="2"/>
      <c r="N9125" s="2"/>
      <c r="O9125" s="2"/>
    </row>
    <row r="9126" spans="12:15">
      <c r="L9126" s="2"/>
      <c r="N9126" s="2"/>
      <c r="O9126" s="2"/>
    </row>
    <row r="9127" spans="12:15">
      <c r="L9127" s="2"/>
      <c r="N9127" s="2"/>
      <c r="O9127" s="2"/>
    </row>
    <row r="9128" spans="12:15">
      <c r="L9128" s="2"/>
      <c r="N9128" s="2"/>
      <c r="O9128" s="2"/>
    </row>
    <row r="9129" spans="12:15">
      <c r="L9129" s="2"/>
      <c r="N9129" s="2"/>
      <c r="O9129" s="2"/>
    </row>
    <row r="9130" spans="12:15">
      <c r="L9130" s="2"/>
      <c r="N9130" s="2"/>
      <c r="O9130" s="2"/>
    </row>
    <row r="9131" spans="12:15">
      <c r="L9131" s="2"/>
      <c r="N9131" s="2"/>
      <c r="O9131" s="2"/>
    </row>
    <row r="9132" spans="12:15">
      <c r="L9132" s="2"/>
      <c r="N9132" s="2"/>
      <c r="O9132" s="2"/>
    </row>
    <row r="9133" spans="12:15">
      <c r="L9133" s="2"/>
      <c r="N9133" s="2"/>
      <c r="O9133" s="2"/>
    </row>
    <row r="9134" spans="12:15">
      <c r="L9134" s="2"/>
      <c r="N9134" s="2"/>
      <c r="O9134" s="2"/>
    </row>
    <row r="9135" spans="12:15">
      <c r="L9135" s="2"/>
      <c r="N9135" s="2"/>
      <c r="O9135" s="2"/>
    </row>
    <row r="9136" spans="12:15">
      <c r="L9136" s="2"/>
      <c r="N9136" s="2"/>
      <c r="O9136" s="2"/>
    </row>
    <row r="9137" spans="12:15">
      <c r="L9137" s="2"/>
      <c r="N9137" s="2"/>
      <c r="O9137" s="2"/>
    </row>
    <row r="9138" spans="12:15">
      <c r="L9138" s="2"/>
      <c r="N9138" s="2"/>
      <c r="O9138" s="2"/>
    </row>
    <row r="9139" spans="12:15">
      <c r="L9139" s="2"/>
      <c r="N9139" s="2"/>
      <c r="O9139" s="2"/>
    </row>
    <row r="9140" spans="12:15">
      <c r="L9140" s="2"/>
      <c r="N9140" s="2"/>
      <c r="O9140" s="2"/>
    </row>
    <row r="9141" spans="12:15">
      <c r="L9141" s="2"/>
      <c r="N9141" s="2"/>
      <c r="O9141" s="2"/>
    </row>
    <row r="9142" spans="12:15">
      <c r="L9142" s="2"/>
      <c r="N9142" s="2"/>
      <c r="O9142" s="2"/>
    </row>
    <row r="9143" spans="12:15">
      <c r="L9143" s="2"/>
      <c r="N9143" s="2"/>
      <c r="O9143" s="2"/>
    </row>
    <row r="9144" spans="12:15">
      <c r="L9144" s="2"/>
      <c r="N9144" s="2"/>
      <c r="O9144" s="2"/>
    </row>
    <row r="9145" spans="12:15">
      <c r="L9145" s="2"/>
      <c r="N9145" s="2"/>
      <c r="O9145" s="2"/>
    </row>
    <row r="9146" spans="12:15">
      <c r="L9146" s="2"/>
      <c r="N9146" s="2"/>
      <c r="O9146" s="2"/>
    </row>
    <row r="9147" spans="12:15">
      <c r="L9147" s="2"/>
      <c r="N9147" s="2"/>
      <c r="O9147" s="2"/>
    </row>
    <row r="9148" spans="12:15">
      <c r="L9148" s="2"/>
      <c r="N9148" s="2"/>
      <c r="O9148" s="2"/>
    </row>
    <row r="9149" spans="12:15">
      <c r="L9149" s="2"/>
      <c r="N9149" s="2"/>
      <c r="O9149" s="2"/>
    </row>
    <row r="9150" spans="12:15">
      <c r="L9150" s="2"/>
      <c r="N9150" s="2"/>
      <c r="O9150" s="2"/>
    </row>
    <row r="9151" spans="12:15">
      <c r="L9151" s="2"/>
      <c r="N9151" s="2"/>
      <c r="O9151" s="2"/>
    </row>
    <row r="9152" spans="12:15">
      <c r="L9152" s="2"/>
      <c r="N9152" s="2"/>
      <c r="O9152" s="2"/>
    </row>
    <row r="9153" spans="12:15">
      <c r="L9153" s="2"/>
      <c r="N9153" s="2"/>
      <c r="O9153" s="2"/>
    </row>
    <row r="9154" spans="12:15">
      <c r="L9154" s="2"/>
      <c r="N9154" s="2"/>
      <c r="O9154" s="2"/>
    </row>
    <row r="9155" spans="12:15">
      <c r="L9155" s="2"/>
      <c r="N9155" s="2"/>
      <c r="O9155" s="2"/>
    </row>
    <row r="9156" spans="12:15">
      <c r="L9156" s="2"/>
      <c r="N9156" s="2"/>
      <c r="O9156" s="2"/>
    </row>
    <row r="9157" spans="12:15">
      <c r="L9157" s="2"/>
      <c r="N9157" s="2"/>
      <c r="O9157" s="2"/>
    </row>
    <row r="9158" spans="12:15">
      <c r="L9158" s="2"/>
      <c r="N9158" s="2"/>
      <c r="O9158" s="2"/>
    </row>
    <row r="9159" spans="12:15">
      <c r="L9159" s="2"/>
      <c r="N9159" s="2"/>
      <c r="O9159" s="2"/>
    </row>
    <row r="9160" spans="12:15">
      <c r="L9160" s="2"/>
      <c r="N9160" s="2"/>
      <c r="O9160" s="2"/>
    </row>
    <row r="9161" spans="12:15">
      <c r="L9161" s="2"/>
      <c r="N9161" s="2"/>
      <c r="O9161" s="2"/>
    </row>
    <row r="9162" spans="12:15">
      <c r="L9162" s="2"/>
      <c r="N9162" s="2"/>
      <c r="O9162" s="2"/>
    </row>
    <row r="9163" spans="12:15">
      <c r="L9163" s="2"/>
      <c r="N9163" s="2"/>
      <c r="O9163" s="2"/>
    </row>
    <row r="9164" spans="12:15">
      <c r="L9164" s="2"/>
      <c r="N9164" s="2"/>
      <c r="O9164" s="2"/>
    </row>
    <row r="9165" spans="12:15">
      <c r="L9165" s="2"/>
      <c r="N9165" s="2"/>
      <c r="O9165" s="2"/>
    </row>
    <row r="9166" spans="12:15">
      <c r="L9166" s="2"/>
      <c r="N9166" s="2"/>
      <c r="O9166" s="2"/>
    </row>
    <row r="9167" spans="12:15">
      <c r="L9167" s="2"/>
      <c r="N9167" s="2"/>
      <c r="O9167" s="2"/>
    </row>
    <row r="9168" spans="12:15">
      <c r="L9168" s="2"/>
      <c r="N9168" s="2"/>
      <c r="O9168" s="2"/>
    </row>
    <row r="9169" spans="12:15">
      <c r="L9169" s="2"/>
      <c r="N9169" s="2"/>
      <c r="O9169" s="2"/>
    </row>
    <row r="9170" spans="12:15">
      <c r="L9170" s="2"/>
      <c r="N9170" s="2"/>
      <c r="O9170" s="2"/>
    </row>
    <row r="9171" spans="12:15">
      <c r="L9171" s="2"/>
      <c r="N9171" s="2"/>
      <c r="O9171" s="2"/>
    </row>
    <row r="9172" spans="12:15">
      <c r="L9172" s="2"/>
      <c r="N9172" s="2"/>
      <c r="O9172" s="2"/>
    </row>
    <row r="9173" spans="12:15">
      <c r="L9173" s="2"/>
      <c r="N9173" s="2"/>
      <c r="O9173" s="2"/>
    </row>
    <row r="9174" spans="12:15">
      <c r="L9174" s="2"/>
      <c r="N9174" s="2"/>
      <c r="O9174" s="2"/>
    </row>
    <row r="9175" spans="12:15">
      <c r="L9175" s="2"/>
      <c r="N9175" s="2"/>
      <c r="O9175" s="2"/>
    </row>
    <row r="9176" spans="12:15">
      <c r="L9176" s="2"/>
      <c r="N9176" s="2"/>
      <c r="O9176" s="2"/>
    </row>
    <row r="9177" spans="12:15">
      <c r="L9177" s="2"/>
      <c r="N9177" s="2"/>
      <c r="O9177" s="2"/>
    </row>
    <row r="9178" spans="12:15">
      <c r="L9178" s="2"/>
      <c r="N9178" s="2"/>
      <c r="O9178" s="2"/>
    </row>
    <row r="9179" spans="12:15">
      <c r="L9179" s="2"/>
      <c r="N9179" s="2"/>
      <c r="O9179" s="2"/>
    </row>
    <row r="9180" spans="12:15">
      <c r="L9180" s="2"/>
      <c r="N9180" s="2"/>
      <c r="O9180" s="2"/>
    </row>
    <row r="9181" spans="12:15">
      <c r="L9181" s="2"/>
      <c r="N9181" s="2"/>
      <c r="O9181" s="2"/>
    </row>
    <row r="9182" spans="12:15">
      <c r="L9182" s="2"/>
      <c r="N9182" s="2"/>
      <c r="O9182" s="2"/>
    </row>
    <row r="9183" spans="12:15">
      <c r="L9183" s="2"/>
      <c r="N9183" s="2"/>
      <c r="O9183" s="2"/>
    </row>
    <row r="9184" spans="12:15">
      <c r="L9184" s="2"/>
      <c r="N9184" s="2"/>
      <c r="O9184" s="2"/>
    </row>
    <row r="9185" spans="12:15">
      <c r="L9185" s="2"/>
      <c r="N9185" s="2"/>
      <c r="O9185" s="2"/>
    </row>
    <row r="9186" spans="12:15">
      <c r="L9186" s="2"/>
      <c r="N9186" s="2"/>
      <c r="O9186" s="2"/>
    </row>
    <row r="9187" spans="12:15">
      <c r="L9187" s="2"/>
      <c r="N9187" s="2"/>
      <c r="O9187" s="2"/>
    </row>
    <row r="9188" spans="12:15">
      <c r="L9188" s="2"/>
      <c r="N9188" s="2"/>
      <c r="O9188" s="2"/>
    </row>
    <row r="9189" spans="12:15">
      <c r="L9189" s="2"/>
      <c r="N9189" s="2"/>
      <c r="O9189" s="2"/>
    </row>
    <row r="9190" spans="12:15">
      <c r="L9190" s="2"/>
      <c r="N9190" s="2"/>
      <c r="O9190" s="2"/>
    </row>
    <row r="9191" spans="12:15">
      <c r="L9191" s="2"/>
      <c r="N9191" s="2"/>
      <c r="O9191" s="2"/>
    </row>
    <row r="9192" spans="12:15">
      <c r="L9192" s="2"/>
      <c r="N9192" s="2"/>
      <c r="O9192" s="2"/>
    </row>
    <row r="9193" spans="12:15">
      <c r="L9193" s="2"/>
      <c r="N9193" s="2"/>
      <c r="O9193" s="2"/>
    </row>
    <row r="9194" spans="12:15">
      <c r="L9194" s="2"/>
      <c r="N9194" s="2"/>
      <c r="O9194" s="2"/>
    </row>
    <row r="9195" spans="12:15">
      <c r="L9195" s="2"/>
      <c r="N9195" s="2"/>
      <c r="O9195" s="2"/>
    </row>
    <row r="9196" spans="12:15">
      <c r="L9196" s="2"/>
      <c r="N9196" s="2"/>
      <c r="O9196" s="2"/>
    </row>
    <row r="9197" spans="12:15">
      <c r="L9197" s="2"/>
      <c r="N9197" s="2"/>
      <c r="O9197" s="2"/>
    </row>
    <row r="9198" spans="12:15">
      <c r="L9198" s="2"/>
      <c r="N9198" s="2"/>
      <c r="O9198" s="2"/>
    </row>
    <row r="9199" spans="12:15">
      <c r="L9199" s="2"/>
      <c r="N9199" s="2"/>
      <c r="O9199" s="2"/>
    </row>
    <row r="9200" spans="12:15">
      <c r="L9200" s="2"/>
      <c r="N9200" s="2"/>
      <c r="O9200" s="2"/>
    </row>
    <row r="9201" spans="12:15">
      <c r="L9201" s="2"/>
      <c r="N9201" s="2"/>
      <c r="O9201" s="2"/>
    </row>
    <row r="9202" spans="12:15">
      <c r="L9202" s="2"/>
      <c r="N9202" s="2"/>
      <c r="O9202" s="2"/>
    </row>
    <row r="9203" spans="12:15">
      <c r="L9203" s="2"/>
      <c r="N9203" s="2"/>
      <c r="O9203" s="2"/>
    </row>
    <row r="9204" spans="12:15">
      <c r="L9204" s="2"/>
      <c r="N9204" s="2"/>
      <c r="O9204" s="2"/>
    </row>
    <row r="9205" spans="12:15">
      <c r="L9205" s="2"/>
      <c r="N9205" s="2"/>
      <c r="O9205" s="2"/>
    </row>
    <row r="9206" spans="12:15">
      <c r="L9206" s="2"/>
      <c r="N9206" s="2"/>
      <c r="O9206" s="2"/>
    </row>
    <row r="9207" spans="12:15">
      <c r="L9207" s="2"/>
      <c r="N9207" s="2"/>
      <c r="O9207" s="2"/>
    </row>
    <row r="9208" spans="12:15">
      <c r="L9208" s="2"/>
      <c r="N9208" s="2"/>
      <c r="O9208" s="2"/>
    </row>
    <row r="9209" spans="12:15">
      <c r="L9209" s="2"/>
      <c r="N9209" s="2"/>
      <c r="O9209" s="2"/>
    </row>
    <row r="9210" spans="12:15">
      <c r="L9210" s="2"/>
      <c r="N9210" s="2"/>
      <c r="O9210" s="2"/>
    </row>
    <row r="9211" spans="12:15">
      <c r="L9211" s="2"/>
      <c r="N9211" s="2"/>
      <c r="O9211" s="2"/>
    </row>
    <row r="9212" spans="12:15">
      <c r="L9212" s="2"/>
      <c r="N9212" s="2"/>
      <c r="O9212" s="2"/>
    </row>
    <row r="9213" spans="12:15">
      <c r="L9213" s="2"/>
      <c r="N9213" s="2"/>
      <c r="O9213" s="2"/>
    </row>
    <row r="9214" spans="12:15">
      <c r="L9214" s="2"/>
      <c r="N9214" s="2"/>
      <c r="O9214" s="2"/>
    </row>
    <row r="9215" spans="12:15">
      <c r="L9215" s="2"/>
      <c r="N9215" s="2"/>
      <c r="O9215" s="2"/>
    </row>
    <row r="9216" spans="12:15">
      <c r="L9216" s="2"/>
      <c r="N9216" s="2"/>
      <c r="O9216" s="2"/>
    </row>
    <row r="9217" spans="12:15">
      <c r="L9217" s="2"/>
      <c r="N9217" s="2"/>
      <c r="O9217" s="2"/>
    </row>
    <row r="9218" spans="12:15">
      <c r="L9218" s="2"/>
      <c r="N9218" s="2"/>
      <c r="O9218" s="2"/>
    </row>
    <row r="9219" spans="12:15">
      <c r="L9219" s="2"/>
      <c r="N9219" s="2"/>
      <c r="O9219" s="2"/>
    </row>
    <row r="9220" spans="12:15">
      <c r="L9220" s="2"/>
      <c r="N9220" s="2"/>
      <c r="O9220" s="2"/>
    </row>
    <row r="9221" spans="12:15">
      <c r="L9221" s="2"/>
      <c r="N9221" s="2"/>
      <c r="O9221" s="2"/>
    </row>
    <row r="9222" spans="12:15">
      <c r="L9222" s="2"/>
      <c r="N9222" s="2"/>
      <c r="O9222" s="2"/>
    </row>
    <row r="9223" spans="12:15">
      <c r="L9223" s="2"/>
      <c r="N9223" s="2"/>
      <c r="O9223" s="2"/>
    </row>
    <row r="9224" spans="12:15">
      <c r="L9224" s="2"/>
      <c r="N9224" s="2"/>
      <c r="O9224" s="2"/>
    </row>
    <row r="9225" spans="12:15">
      <c r="L9225" s="2"/>
      <c r="N9225" s="2"/>
      <c r="O9225" s="2"/>
    </row>
    <row r="9226" spans="12:15">
      <c r="L9226" s="2"/>
      <c r="N9226" s="2"/>
      <c r="O9226" s="2"/>
    </row>
    <row r="9227" spans="12:15">
      <c r="L9227" s="2"/>
      <c r="N9227" s="2"/>
      <c r="O9227" s="2"/>
    </row>
    <row r="9228" spans="12:15">
      <c r="L9228" s="2"/>
      <c r="N9228" s="2"/>
      <c r="O9228" s="2"/>
    </row>
    <row r="9229" spans="12:15">
      <c r="L9229" s="2"/>
      <c r="N9229" s="2"/>
      <c r="O9229" s="2"/>
    </row>
    <row r="9230" spans="12:15">
      <c r="L9230" s="2"/>
      <c r="N9230" s="2"/>
      <c r="O9230" s="2"/>
    </row>
    <row r="9231" spans="12:15">
      <c r="L9231" s="2"/>
      <c r="N9231" s="2"/>
      <c r="O9231" s="2"/>
    </row>
    <row r="9232" spans="12:15">
      <c r="L9232" s="2"/>
      <c r="N9232" s="2"/>
      <c r="O9232" s="2"/>
    </row>
    <row r="9233" spans="12:15">
      <c r="L9233" s="2"/>
      <c r="N9233" s="2"/>
      <c r="O9233" s="2"/>
    </row>
    <row r="9234" spans="12:15">
      <c r="L9234" s="2"/>
      <c r="N9234" s="2"/>
      <c r="O9234" s="2"/>
    </row>
    <row r="9235" spans="12:15">
      <c r="L9235" s="2"/>
      <c r="N9235" s="2"/>
      <c r="O9235" s="2"/>
    </row>
    <row r="9236" spans="12:15">
      <c r="L9236" s="2"/>
      <c r="N9236" s="2"/>
      <c r="O9236" s="2"/>
    </row>
    <row r="9237" spans="12:15">
      <c r="L9237" s="2"/>
      <c r="N9237" s="2"/>
      <c r="O9237" s="2"/>
    </row>
    <row r="9238" spans="12:15">
      <c r="L9238" s="2"/>
      <c r="N9238" s="2"/>
      <c r="O9238" s="2"/>
    </row>
    <row r="9239" spans="12:15">
      <c r="L9239" s="2"/>
      <c r="N9239" s="2"/>
      <c r="O9239" s="2"/>
    </row>
    <row r="9240" spans="12:15">
      <c r="L9240" s="2"/>
      <c r="N9240" s="2"/>
      <c r="O9240" s="2"/>
    </row>
    <row r="9241" spans="12:15">
      <c r="L9241" s="2"/>
      <c r="N9241" s="2"/>
      <c r="O9241" s="2"/>
    </row>
    <row r="9242" spans="12:15">
      <c r="L9242" s="2"/>
      <c r="N9242" s="2"/>
      <c r="O9242" s="2"/>
    </row>
    <row r="9243" spans="12:15">
      <c r="L9243" s="2"/>
      <c r="N9243" s="2"/>
      <c r="O9243" s="2"/>
    </row>
    <row r="9244" spans="12:15">
      <c r="L9244" s="2"/>
      <c r="N9244" s="2"/>
      <c r="O9244" s="2"/>
    </row>
    <row r="9245" spans="12:15">
      <c r="L9245" s="2"/>
      <c r="N9245" s="2"/>
      <c r="O9245" s="2"/>
    </row>
    <row r="9246" spans="12:15">
      <c r="L9246" s="2"/>
      <c r="N9246" s="2"/>
      <c r="O9246" s="2"/>
    </row>
    <row r="9247" spans="12:15">
      <c r="L9247" s="2"/>
      <c r="N9247" s="2"/>
      <c r="O9247" s="2"/>
    </row>
    <row r="9248" spans="12:15">
      <c r="L9248" s="2"/>
      <c r="N9248" s="2"/>
      <c r="O9248" s="2"/>
    </row>
    <row r="9249" spans="12:15">
      <c r="L9249" s="2"/>
      <c r="N9249" s="2"/>
      <c r="O9249" s="2"/>
    </row>
    <row r="9250" spans="12:15">
      <c r="L9250" s="2"/>
      <c r="N9250" s="2"/>
      <c r="O9250" s="2"/>
    </row>
    <row r="9251" spans="12:15">
      <c r="L9251" s="2"/>
      <c r="N9251" s="2"/>
      <c r="O9251" s="2"/>
    </row>
    <row r="9252" spans="12:15">
      <c r="L9252" s="2"/>
      <c r="N9252" s="2"/>
      <c r="O9252" s="2"/>
    </row>
    <row r="9253" spans="12:15">
      <c r="L9253" s="2"/>
      <c r="N9253" s="2"/>
      <c r="O9253" s="2"/>
    </row>
    <row r="9254" spans="12:15">
      <c r="L9254" s="2"/>
      <c r="N9254" s="2"/>
      <c r="O9254" s="2"/>
    </row>
    <row r="9255" spans="12:15">
      <c r="L9255" s="2"/>
      <c r="N9255" s="2"/>
      <c r="O9255" s="2"/>
    </row>
    <row r="9256" spans="12:15">
      <c r="L9256" s="2"/>
      <c r="N9256" s="2"/>
      <c r="O9256" s="2"/>
    </row>
    <row r="9257" spans="12:15">
      <c r="L9257" s="2"/>
      <c r="N9257" s="2"/>
      <c r="O9257" s="2"/>
    </row>
    <row r="9258" spans="12:15">
      <c r="L9258" s="2"/>
      <c r="N9258" s="2"/>
      <c r="O9258" s="2"/>
    </row>
    <row r="9259" spans="12:15">
      <c r="L9259" s="2"/>
      <c r="N9259" s="2"/>
      <c r="O9259" s="2"/>
    </row>
    <row r="9260" spans="12:15">
      <c r="L9260" s="2"/>
      <c r="N9260" s="2"/>
      <c r="O9260" s="2"/>
    </row>
    <row r="9261" spans="12:15">
      <c r="L9261" s="2"/>
      <c r="N9261" s="2"/>
      <c r="O9261" s="2"/>
    </row>
    <row r="9262" spans="12:15">
      <c r="L9262" s="2"/>
      <c r="N9262" s="2"/>
      <c r="O9262" s="2"/>
    </row>
    <row r="9263" spans="12:15">
      <c r="L9263" s="2"/>
      <c r="N9263" s="2"/>
      <c r="O9263" s="2"/>
    </row>
    <row r="9264" spans="12:15">
      <c r="L9264" s="2"/>
      <c r="N9264" s="2"/>
      <c r="O9264" s="2"/>
    </row>
    <row r="9265" spans="12:15">
      <c r="L9265" s="2"/>
      <c r="N9265" s="2"/>
      <c r="O9265" s="2"/>
    </row>
    <row r="9266" spans="12:15">
      <c r="L9266" s="2"/>
      <c r="N9266" s="2"/>
      <c r="O9266" s="2"/>
    </row>
    <row r="9267" spans="12:15">
      <c r="L9267" s="2"/>
      <c r="N9267" s="2"/>
      <c r="O9267" s="2"/>
    </row>
    <row r="9268" spans="12:15">
      <c r="L9268" s="2"/>
      <c r="N9268" s="2"/>
      <c r="O9268" s="2"/>
    </row>
    <row r="9269" spans="12:15">
      <c r="L9269" s="2"/>
      <c r="N9269" s="2"/>
      <c r="O9269" s="2"/>
    </row>
    <row r="9270" spans="12:15">
      <c r="L9270" s="2"/>
      <c r="N9270" s="2"/>
      <c r="O9270" s="2"/>
    </row>
    <row r="9271" spans="12:15">
      <c r="L9271" s="2"/>
      <c r="N9271" s="2"/>
      <c r="O9271" s="2"/>
    </row>
    <row r="9272" spans="12:15">
      <c r="L9272" s="2"/>
      <c r="N9272" s="2"/>
      <c r="O9272" s="2"/>
    </row>
    <row r="9273" spans="12:15">
      <c r="L9273" s="2"/>
      <c r="N9273" s="2"/>
      <c r="O9273" s="2"/>
    </row>
    <row r="9274" spans="12:15">
      <c r="L9274" s="2"/>
      <c r="N9274" s="2"/>
      <c r="O9274" s="2"/>
    </row>
    <row r="9275" spans="12:15">
      <c r="L9275" s="2"/>
      <c r="N9275" s="2"/>
      <c r="O9275" s="2"/>
    </row>
    <row r="9276" spans="12:15">
      <c r="L9276" s="2"/>
      <c r="N9276" s="2"/>
      <c r="O9276" s="2"/>
    </row>
    <row r="9277" spans="12:15">
      <c r="L9277" s="2"/>
      <c r="N9277" s="2"/>
      <c r="O9277" s="2"/>
    </row>
    <row r="9278" spans="12:15">
      <c r="L9278" s="2"/>
      <c r="N9278" s="2"/>
      <c r="O9278" s="2"/>
    </row>
    <row r="9279" spans="12:15">
      <c r="L9279" s="2"/>
      <c r="N9279" s="2"/>
      <c r="O9279" s="2"/>
    </row>
    <row r="9280" spans="12:15">
      <c r="L9280" s="2"/>
      <c r="N9280" s="2"/>
      <c r="O9280" s="2"/>
    </row>
    <row r="9281" spans="12:15">
      <c r="L9281" s="2"/>
      <c r="N9281" s="2"/>
      <c r="O9281" s="2"/>
    </row>
    <row r="9282" spans="12:15">
      <c r="L9282" s="2"/>
      <c r="N9282" s="2"/>
      <c r="O9282" s="2"/>
    </row>
    <row r="9283" spans="12:15">
      <c r="L9283" s="2"/>
      <c r="N9283" s="2"/>
      <c r="O9283" s="2"/>
    </row>
    <row r="9284" spans="12:15">
      <c r="L9284" s="2"/>
      <c r="N9284" s="2"/>
      <c r="O9284" s="2"/>
    </row>
    <row r="9285" spans="12:15">
      <c r="L9285" s="2"/>
      <c r="N9285" s="2"/>
      <c r="O9285" s="2"/>
    </row>
    <row r="9286" spans="12:15">
      <c r="L9286" s="2"/>
      <c r="N9286" s="2"/>
      <c r="O9286" s="2"/>
    </row>
    <row r="9287" spans="12:15">
      <c r="L9287" s="2"/>
      <c r="N9287" s="2"/>
      <c r="O9287" s="2"/>
    </row>
    <row r="9288" spans="12:15">
      <c r="L9288" s="2"/>
      <c r="N9288" s="2"/>
      <c r="O9288" s="2"/>
    </row>
    <row r="9289" spans="12:15">
      <c r="L9289" s="2"/>
      <c r="N9289" s="2"/>
      <c r="O9289" s="2"/>
    </row>
    <row r="9290" spans="12:15">
      <c r="L9290" s="2"/>
      <c r="N9290" s="2"/>
      <c r="O9290" s="2"/>
    </row>
    <row r="9291" spans="12:15">
      <c r="L9291" s="2"/>
      <c r="N9291" s="2"/>
      <c r="O9291" s="2"/>
    </row>
    <row r="9292" spans="12:15">
      <c r="L9292" s="2"/>
      <c r="N9292" s="2"/>
      <c r="O9292" s="2"/>
    </row>
    <row r="9293" spans="12:15">
      <c r="L9293" s="2"/>
      <c r="N9293" s="2"/>
      <c r="O9293" s="2"/>
    </row>
    <row r="9294" spans="12:15">
      <c r="L9294" s="2"/>
      <c r="N9294" s="2"/>
      <c r="O9294" s="2"/>
    </row>
    <row r="9295" spans="12:15">
      <c r="L9295" s="2"/>
      <c r="N9295" s="2"/>
      <c r="O9295" s="2"/>
    </row>
    <row r="9296" spans="12:15">
      <c r="L9296" s="2"/>
      <c r="N9296" s="2"/>
      <c r="O9296" s="2"/>
    </row>
    <row r="9297" spans="12:15">
      <c r="L9297" s="2"/>
      <c r="N9297" s="2"/>
      <c r="O9297" s="2"/>
    </row>
    <row r="9298" spans="12:15">
      <c r="L9298" s="2"/>
      <c r="N9298" s="2"/>
      <c r="O9298" s="2"/>
    </row>
    <row r="9299" spans="12:15">
      <c r="L9299" s="2"/>
      <c r="N9299" s="2"/>
      <c r="O9299" s="2"/>
    </row>
    <row r="9300" spans="12:15">
      <c r="L9300" s="2"/>
      <c r="N9300" s="2"/>
      <c r="O9300" s="2"/>
    </row>
    <row r="9301" spans="12:15">
      <c r="L9301" s="2"/>
      <c r="N9301" s="2"/>
      <c r="O9301" s="2"/>
    </row>
    <row r="9302" spans="12:15">
      <c r="L9302" s="2"/>
      <c r="N9302" s="2"/>
      <c r="O9302" s="2"/>
    </row>
    <row r="9303" spans="12:15">
      <c r="L9303" s="2"/>
      <c r="N9303" s="2"/>
      <c r="O9303" s="2"/>
    </row>
    <row r="9304" spans="12:15">
      <c r="L9304" s="2"/>
      <c r="N9304" s="2"/>
      <c r="O9304" s="2"/>
    </row>
    <row r="9305" spans="12:15">
      <c r="L9305" s="2"/>
      <c r="N9305" s="2"/>
      <c r="O9305" s="2"/>
    </row>
    <row r="9306" spans="12:15">
      <c r="L9306" s="2"/>
      <c r="N9306" s="2"/>
      <c r="O9306" s="2"/>
    </row>
    <row r="9307" spans="12:15">
      <c r="L9307" s="2"/>
      <c r="N9307" s="2"/>
      <c r="O9307" s="2"/>
    </row>
    <row r="9308" spans="12:15">
      <c r="L9308" s="2"/>
      <c r="N9308" s="2"/>
      <c r="O9308" s="2"/>
    </row>
    <row r="9309" spans="12:15">
      <c r="L9309" s="2"/>
      <c r="N9309" s="2"/>
      <c r="O9309" s="2"/>
    </row>
    <row r="9310" spans="12:15">
      <c r="L9310" s="2"/>
      <c r="N9310" s="2"/>
      <c r="O9310" s="2"/>
    </row>
    <row r="9311" spans="12:15">
      <c r="L9311" s="2"/>
      <c r="N9311" s="2"/>
      <c r="O9311" s="2"/>
    </row>
    <row r="9312" spans="12:15">
      <c r="L9312" s="2"/>
      <c r="N9312" s="2"/>
      <c r="O9312" s="2"/>
    </row>
    <row r="9313" spans="12:15">
      <c r="L9313" s="2"/>
      <c r="N9313" s="2"/>
      <c r="O9313" s="2"/>
    </row>
    <row r="9314" spans="12:15">
      <c r="L9314" s="2"/>
      <c r="N9314" s="2"/>
      <c r="O9314" s="2"/>
    </row>
    <row r="9315" spans="12:15">
      <c r="L9315" s="2"/>
      <c r="N9315" s="2"/>
      <c r="O9315" s="2"/>
    </row>
    <row r="9316" spans="12:15">
      <c r="L9316" s="2"/>
      <c r="N9316" s="2"/>
      <c r="O9316" s="2"/>
    </row>
    <row r="9317" spans="12:15">
      <c r="L9317" s="2"/>
      <c r="N9317" s="2"/>
      <c r="O9317" s="2"/>
    </row>
    <row r="9318" spans="12:15">
      <c r="L9318" s="2"/>
      <c r="N9318" s="2"/>
      <c r="O9318" s="2"/>
    </row>
    <row r="9319" spans="12:15">
      <c r="L9319" s="2"/>
      <c r="N9319" s="2"/>
      <c r="O9319" s="2"/>
    </row>
    <row r="9320" spans="12:15">
      <c r="L9320" s="2"/>
      <c r="N9320" s="2"/>
      <c r="O9320" s="2"/>
    </row>
    <row r="9321" spans="12:15">
      <c r="L9321" s="2"/>
      <c r="N9321" s="2"/>
      <c r="O9321" s="2"/>
    </row>
    <row r="9322" spans="12:15">
      <c r="L9322" s="2"/>
      <c r="N9322" s="2"/>
      <c r="O9322" s="2"/>
    </row>
    <row r="9323" spans="12:15">
      <c r="L9323" s="2"/>
      <c r="N9323" s="2"/>
      <c r="O9323" s="2"/>
    </row>
    <row r="9324" spans="12:15">
      <c r="L9324" s="2"/>
      <c r="N9324" s="2"/>
      <c r="O9324" s="2"/>
    </row>
    <row r="9325" spans="12:15">
      <c r="L9325" s="2"/>
      <c r="N9325" s="2"/>
      <c r="O9325" s="2"/>
    </row>
    <row r="9326" spans="12:15">
      <c r="L9326" s="2"/>
      <c r="N9326" s="2"/>
      <c r="O9326" s="2"/>
    </row>
    <row r="9327" spans="12:15">
      <c r="L9327" s="2"/>
      <c r="N9327" s="2"/>
      <c r="O9327" s="2"/>
    </row>
    <row r="9328" spans="12:15">
      <c r="L9328" s="2"/>
      <c r="N9328" s="2"/>
      <c r="O9328" s="2"/>
    </row>
    <row r="9329" spans="12:15">
      <c r="L9329" s="2"/>
      <c r="N9329" s="2"/>
      <c r="O9329" s="2"/>
    </row>
    <row r="9330" spans="12:15">
      <c r="L9330" s="2"/>
      <c r="N9330" s="2"/>
      <c r="O9330" s="2"/>
    </row>
    <row r="9331" spans="12:15">
      <c r="L9331" s="2"/>
      <c r="N9331" s="2"/>
      <c r="O9331" s="2"/>
    </row>
    <row r="9332" spans="12:15">
      <c r="L9332" s="2"/>
      <c r="N9332" s="2"/>
      <c r="O9332" s="2"/>
    </row>
    <row r="9333" spans="12:15">
      <c r="L9333" s="2"/>
      <c r="N9333" s="2"/>
      <c r="O9333" s="2"/>
    </row>
    <row r="9334" spans="12:15">
      <c r="L9334" s="2"/>
      <c r="N9334" s="2"/>
      <c r="O9334" s="2"/>
    </row>
    <row r="9335" spans="12:15">
      <c r="L9335" s="2"/>
      <c r="N9335" s="2"/>
      <c r="O9335" s="2"/>
    </row>
    <row r="9336" spans="12:15">
      <c r="L9336" s="2"/>
      <c r="N9336" s="2"/>
      <c r="O9336" s="2"/>
    </row>
    <row r="9337" spans="12:15">
      <c r="L9337" s="2"/>
      <c r="N9337" s="2"/>
      <c r="O9337" s="2"/>
    </row>
    <row r="9338" spans="12:15">
      <c r="L9338" s="2"/>
      <c r="N9338" s="2"/>
      <c r="O9338" s="2"/>
    </row>
    <row r="9339" spans="12:15">
      <c r="L9339" s="2"/>
      <c r="N9339" s="2"/>
      <c r="O9339" s="2"/>
    </row>
    <row r="9340" spans="12:15">
      <c r="L9340" s="2"/>
      <c r="N9340" s="2"/>
      <c r="O9340" s="2"/>
    </row>
    <row r="9341" spans="12:15">
      <c r="L9341" s="2"/>
      <c r="N9341" s="2"/>
      <c r="O9341" s="2"/>
    </row>
    <row r="9342" spans="12:15">
      <c r="L9342" s="2"/>
      <c r="N9342" s="2"/>
      <c r="O9342" s="2"/>
    </row>
    <row r="9343" spans="12:15">
      <c r="L9343" s="2"/>
      <c r="N9343" s="2"/>
      <c r="O9343" s="2"/>
    </row>
    <row r="9344" spans="12:15">
      <c r="L9344" s="2"/>
      <c r="N9344" s="2"/>
      <c r="O9344" s="2"/>
    </row>
    <row r="9345" spans="12:15">
      <c r="L9345" s="2"/>
      <c r="N9345" s="2"/>
      <c r="O9345" s="2"/>
    </row>
    <row r="9346" spans="12:15">
      <c r="L9346" s="2"/>
      <c r="N9346" s="2"/>
      <c r="O9346" s="2"/>
    </row>
    <row r="9347" spans="12:15">
      <c r="L9347" s="2"/>
      <c r="N9347" s="2"/>
      <c r="O9347" s="2"/>
    </row>
    <row r="9348" spans="12:15">
      <c r="L9348" s="2"/>
      <c r="N9348" s="2"/>
      <c r="O9348" s="2"/>
    </row>
    <row r="9349" spans="12:15">
      <c r="L9349" s="2"/>
      <c r="N9349" s="2"/>
      <c r="O9349" s="2"/>
    </row>
    <row r="9350" spans="12:15">
      <c r="L9350" s="2"/>
      <c r="N9350" s="2"/>
      <c r="O9350" s="2"/>
    </row>
    <row r="9351" spans="12:15">
      <c r="L9351" s="2"/>
      <c r="N9351" s="2"/>
      <c r="O9351" s="2"/>
    </row>
    <row r="9352" spans="12:15">
      <c r="L9352" s="2"/>
      <c r="N9352" s="2"/>
      <c r="O9352" s="2"/>
    </row>
    <row r="9353" spans="12:15">
      <c r="L9353" s="2"/>
      <c r="N9353" s="2"/>
      <c r="O9353" s="2"/>
    </row>
    <row r="9354" spans="12:15">
      <c r="L9354" s="2"/>
      <c r="N9354" s="2"/>
      <c r="O9354" s="2"/>
    </row>
    <row r="9355" spans="12:15">
      <c r="L9355" s="2"/>
      <c r="N9355" s="2"/>
      <c r="O9355" s="2"/>
    </row>
    <row r="9356" spans="12:15">
      <c r="L9356" s="2"/>
      <c r="N9356" s="2"/>
      <c r="O9356" s="2"/>
    </row>
    <row r="9357" spans="12:15">
      <c r="L9357" s="2"/>
      <c r="N9357" s="2"/>
      <c r="O9357" s="2"/>
    </row>
    <row r="9358" spans="12:15">
      <c r="L9358" s="2"/>
      <c r="N9358" s="2"/>
      <c r="O9358" s="2"/>
    </row>
    <row r="9359" spans="12:15">
      <c r="L9359" s="2"/>
      <c r="N9359" s="2"/>
      <c r="O9359" s="2"/>
    </row>
    <row r="9360" spans="12:15">
      <c r="L9360" s="2"/>
      <c r="N9360" s="2"/>
      <c r="O9360" s="2"/>
    </row>
    <row r="9361" spans="12:15">
      <c r="L9361" s="2"/>
      <c r="N9361" s="2"/>
      <c r="O9361" s="2"/>
    </row>
    <row r="9362" spans="12:15">
      <c r="L9362" s="2"/>
      <c r="N9362" s="2"/>
      <c r="O9362" s="2"/>
    </row>
    <row r="9363" spans="12:15">
      <c r="L9363" s="2"/>
      <c r="N9363" s="2"/>
      <c r="O9363" s="2"/>
    </row>
    <row r="9364" spans="12:15">
      <c r="L9364" s="2"/>
      <c r="N9364" s="2"/>
      <c r="O9364" s="2"/>
    </row>
    <row r="9365" spans="12:15">
      <c r="L9365" s="2"/>
      <c r="N9365" s="2"/>
      <c r="O9365" s="2"/>
    </row>
    <row r="9366" spans="12:15">
      <c r="L9366" s="2"/>
      <c r="N9366" s="2"/>
      <c r="O9366" s="2"/>
    </row>
    <row r="9367" spans="12:15">
      <c r="L9367" s="2"/>
      <c r="N9367" s="2"/>
      <c r="O9367" s="2"/>
    </row>
    <row r="9368" spans="12:15">
      <c r="L9368" s="2"/>
      <c r="N9368" s="2"/>
      <c r="O9368" s="2"/>
    </row>
    <row r="9369" spans="12:15">
      <c r="L9369" s="2"/>
      <c r="N9369" s="2"/>
      <c r="O9369" s="2"/>
    </row>
    <row r="9370" spans="12:15">
      <c r="L9370" s="2"/>
      <c r="N9370" s="2"/>
      <c r="O9370" s="2"/>
    </row>
    <row r="9371" spans="12:15">
      <c r="L9371" s="2"/>
      <c r="N9371" s="2"/>
      <c r="O9371" s="2"/>
    </row>
    <row r="9372" spans="12:15">
      <c r="L9372" s="2"/>
      <c r="N9372" s="2"/>
      <c r="O9372" s="2"/>
    </row>
    <row r="9373" spans="12:15">
      <c r="L9373" s="2"/>
      <c r="N9373" s="2"/>
      <c r="O9373" s="2"/>
    </row>
    <row r="9374" spans="12:15">
      <c r="L9374" s="2"/>
      <c r="N9374" s="2"/>
      <c r="O9374" s="2"/>
    </row>
    <row r="9375" spans="12:15">
      <c r="L9375" s="2"/>
      <c r="N9375" s="2"/>
      <c r="O9375" s="2"/>
    </row>
    <row r="9376" spans="12:15">
      <c r="L9376" s="2"/>
      <c r="N9376" s="2"/>
      <c r="O9376" s="2"/>
    </row>
    <row r="9377" spans="12:15">
      <c r="L9377" s="2"/>
      <c r="N9377" s="2"/>
      <c r="O9377" s="2"/>
    </row>
    <row r="9378" spans="12:15">
      <c r="L9378" s="2"/>
      <c r="N9378" s="2"/>
      <c r="O9378" s="2"/>
    </row>
    <row r="9379" spans="12:15">
      <c r="L9379" s="2"/>
      <c r="N9379" s="2"/>
      <c r="O9379" s="2"/>
    </row>
    <row r="9380" spans="12:15">
      <c r="L9380" s="2"/>
      <c r="N9380" s="2"/>
      <c r="O9380" s="2"/>
    </row>
    <row r="9381" spans="12:15">
      <c r="L9381" s="2"/>
      <c r="N9381" s="2"/>
      <c r="O9381" s="2"/>
    </row>
    <row r="9382" spans="12:15">
      <c r="L9382" s="2"/>
      <c r="N9382" s="2"/>
      <c r="O9382" s="2"/>
    </row>
    <row r="9383" spans="12:15">
      <c r="L9383" s="2"/>
      <c r="N9383" s="2"/>
      <c r="O9383" s="2"/>
    </row>
    <row r="9384" spans="12:15">
      <c r="L9384" s="2"/>
      <c r="N9384" s="2"/>
      <c r="O9384" s="2"/>
    </row>
    <row r="9385" spans="12:15">
      <c r="L9385" s="2"/>
      <c r="N9385" s="2"/>
      <c r="O9385" s="2"/>
    </row>
    <row r="9386" spans="12:15">
      <c r="L9386" s="2"/>
      <c r="N9386" s="2"/>
      <c r="O9386" s="2"/>
    </row>
    <row r="9387" spans="12:15">
      <c r="L9387" s="2"/>
      <c r="N9387" s="2"/>
      <c r="O9387" s="2"/>
    </row>
    <row r="9388" spans="12:15">
      <c r="L9388" s="2"/>
      <c r="N9388" s="2"/>
      <c r="O9388" s="2"/>
    </row>
    <row r="9389" spans="12:15">
      <c r="L9389" s="2"/>
      <c r="N9389" s="2"/>
      <c r="O9389" s="2"/>
    </row>
    <row r="9390" spans="12:15">
      <c r="L9390" s="2"/>
      <c r="N9390" s="2"/>
      <c r="O9390" s="2"/>
    </row>
    <row r="9391" spans="12:15">
      <c r="L9391" s="2"/>
      <c r="N9391" s="2"/>
      <c r="O9391" s="2"/>
    </row>
    <row r="9392" spans="12:15">
      <c r="L9392" s="2"/>
      <c r="N9392" s="2"/>
      <c r="O9392" s="2"/>
    </row>
    <row r="9393" spans="12:15">
      <c r="L9393" s="2"/>
      <c r="N9393" s="2"/>
      <c r="O9393" s="2"/>
    </row>
    <row r="9394" spans="12:15">
      <c r="L9394" s="2"/>
      <c r="N9394" s="2"/>
      <c r="O9394" s="2"/>
    </row>
    <row r="9395" spans="12:15">
      <c r="L9395" s="2"/>
      <c r="N9395" s="2"/>
      <c r="O9395" s="2"/>
    </row>
    <row r="9396" spans="12:15">
      <c r="L9396" s="2"/>
      <c r="N9396" s="2"/>
      <c r="O9396" s="2"/>
    </row>
    <row r="9397" spans="12:15">
      <c r="L9397" s="2"/>
      <c r="N9397" s="2"/>
      <c r="O9397" s="2"/>
    </row>
    <row r="9398" spans="12:15">
      <c r="L9398" s="2"/>
      <c r="N9398" s="2"/>
      <c r="O9398" s="2"/>
    </row>
    <row r="9399" spans="12:15">
      <c r="L9399" s="2"/>
      <c r="N9399" s="2"/>
      <c r="O9399" s="2"/>
    </row>
    <row r="9400" spans="12:15">
      <c r="L9400" s="2"/>
      <c r="N9400" s="2"/>
      <c r="O9400" s="2"/>
    </row>
    <row r="9401" spans="12:15">
      <c r="L9401" s="2"/>
      <c r="N9401" s="2"/>
      <c r="O9401" s="2"/>
    </row>
    <row r="9402" spans="12:15">
      <c r="L9402" s="2"/>
      <c r="N9402" s="2"/>
      <c r="O9402" s="2"/>
    </row>
    <row r="9403" spans="12:15">
      <c r="L9403" s="2"/>
      <c r="N9403" s="2"/>
      <c r="O9403" s="2"/>
    </row>
    <row r="9404" spans="12:15">
      <c r="L9404" s="2"/>
      <c r="N9404" s="2"/>
      <c r="O9404" s="2"/>
    </row>
    <row r="9405" spans="12:15">
      <c r="L9405" s="2"/>
      <c r="N9405" s="2"/>
      <c r="O9405" s="2"/>
    </row>
    <row r="9406" spans="12:15">
      <c r="L9406" s="2"/>
      <c r="N9406" s="2"/>
      <c r="O9406" s="2"/>
    </row>
    <row r="9407" spans="12:15">
      <c r="L9407" s="2"/>
      <c r="N9407" s="2"/>
      <c r="O9407" s="2"/>
    </row>
    <row r="9408" spans="12:15">
      <c r="L9408" s="2"/>
      <c r="N9408" s="2"/>
      <c r="O9408" s="2"/>
    </row>
    <row r="9409" spans="12:15">
      <c r="L9409" s="2"/>
      <c r="N9409" s="2"/>
      <c r="O9409" s="2"/>
    </row>
    <row r="9410" spans="12:15">
      <c r="L9410" s="2"/>
      <c r="N9410" s="2"/>
      <c r="O9410" s="2"/>
    </row>
    <row r="9411" spans="12:15">
      <c r="L9411" s="2"/>
      <c r="N9411" s="2"/>
      <c r="O9411" s="2"/>
    </row>
    <row r="9412" spans="12:15">
      <c r="L9412" s="2"/>
      <c r="N9412" s="2"/>
      <c r="O9412" s="2"/>
    </row>
    <row r="9413" spans="12:15">
      <c r="L9413" s="2"/>
      <c r="N9413" s="2"/>
      <c r="O9413" s="2"/>
    </row>
    <row r="9414" spans="12:15">
      <c r="L9414" s="2"/>
      <c r="N9414" s="2"/>
      <c r="O9414" s="2"/>
    </row>
    <row r="9415" spans="12:15">
      <c r="L9415" s="2"/>
      <c r="N9415" s="2"/>
      <c r="O9415" s="2"/>
    </row>
    <row r="9416" spans="12:15">
      <c r="L9416" s="2"/>
      <c r="N9416" s="2"/>
      <c r="O9416" s="2"/>
    </row>
    <row r="9417" spans="12:15">
      <c r="L9417" s="2"/>
      <c r="N9417" s="2"/>
      <c r="O9417" s="2"/>
    </row>
    <row r="9418" spans="12:15">
      <c r="L9418" s="2"/>
      <c r="N9418" s="2"/>
      <c r="O9418" s="2"/>
    </row>
    <row r="9419" spans="12:15">
      <c r="L9419" s="2"/>
      <c r="N9419" s="2"/>
      <c r="O9419" s="2"/>
    </row>
    <row r="9420" spans="12:15">
      <c r="L9420" s="2"/>
      <c r="N9420" s="2"/>
      <c r="O9420" s="2"/>
    </row>
    <row r="9421" spans="12:15">
      <c r="L9421" s="2"/>
      <c r="N9421" s="2"/>
      <c r="O9421" s="2"/>
    </row>
    <row r="9422" spans="12:15">
      <c r="L9422" s="2"/>
      <c r="N9422" s="2"/>
      <c r="O9422" s="2"/>
    </row>
    <row r="9423" spans="12:15">
      <c r="L9423" s="2"/>
      <c r="N9423" s="2"/>
      <c r="O9423" s="2"/>
    </row>
    <row r="9424" spans="12:15">
      <c r="L9424" s="2"/>
      <c r="N9424" s="2"/>
      <c r="O9424" s="2"/>
    </row>
    <row r="9425" spans="12:15">
      <c r="L9425" s="2"/>
      <c r="N9425" s="2"/>
      <c r="O9425" s="2"/>
    </row>
    <row r="9426" spans="12:15">
      <c r="L9426" s="2"/>
      <c r="N9426" s="2"/>
      <c r="O9426" s="2"/>
    </row>
    <row r="9427" spans="12:15">
      <c r="L9427" s="2"/>
      <c r="N9427" s="2"/>
      <c r="O9427" s="2"/>
    </row>
    <row r="9428" spans="12:15">
      <c r="L9428" s="2"/>
      <c r="N9428" s="2"/>
      <c r="O9428" s="2"/>
    </row>
    <row r="9429" spans="12:15">
      <c r="L9429" s="2"/>
      <c r="N9429" s="2"/>
      <c r="O9429" s="2"/>
    </row>
    <row r="9430" spans="12:15">
      <c r="L9430" s="2"/>
      <c r="N9430" s="2"/>
      <c r="O9430" s="2"/>
    </row>
    <row r="9431" spans="12:15">
      <c r="L9431" s="2"/>
      <c r="N9431" s="2"/>
      <c r="O9431" s="2"/>
    </row>
    <row r="9432" spans="12:15">
      <c r="L9432" s="2"/>
      <c r="N9432" s="2"/>
      <c r="O9432" s="2"/>
    </row>
    <row r="9433" spans="12:15">
      <c r="L9433" s="2"/>
      <c r="N9433" s="2"/>
      <c r="O9433" s="2"/>
    </row>
    <row r="9434" spans="12:15">
      <c r="L9434" s="2"/>
      <c r="N9434" s="2"/>
      <c r="O9434" s="2"/>
    </row>
    <row r="9435" spans="12:15">
      <c r="L9435" s="2"/>
      <c r="N9435" s="2"/>
      <c r="O9435" s="2"/>
    </row>
    <row r="9436" spans="12:15">
      <c r="L9436" s="2"/>
      <c r="N9436" s="2"/>
      <c r="O9436" s="2"/>
    </row>
    <row r="9437" spans="12:15">
      <c r="L9437" s="2"/>
      <c r="N9437" s="2"/>
      <c r="O9437" s="2"/>
    </row>
    <row r="9438" spans="12:15">
      <c r="L9438" s="2"/>
      <c r="N9438" s="2"/>
      <c r="O9438" s="2"/>
    </row>
    <row r="9439" spans="12:15">
      <c r="L9439" s="2"/>
      <c r="N9439" s="2"/>
      <c r="O9439" s="2"/>
    </row>
    <row r="9440" spans="12:15">
      <c r="L9440" s="2"/>
      <c r="N9440" s="2"/>
      <c r="O9440" s="2"/>
    </row>
    <row r="9441" spans="12:15">
      <c r="L9441" s="2"/>
      <c r="N9441" s="2"/>
      <c r="O9441" s="2"/>
    </row>
    <row r="9442" spans="12:15">
      <c r="L9442" s="2"/>
      <c r="N9442" s="2"/>
      <c r="O9442" s="2"/>
    </row>
    <row r="9443" spans="12:15">
      <c r="L9443" s="2"/>
      <c r="N9443" s="2"/>
      <c r="O9443" s="2"/>
    </row>
    <row r="9444" spans="12:15">
      <c r="L9444" s="2"/>
      <c r="N9444" s="2"/>
      <c r="O9444" s="2"/>
    </row>
    <row r="9445" spans="12:15">
      <c r="L9445" s="2"/>
      <c r="N9445" s="2"/>
      <c r="O9445" s="2"/>
    </row>
    <row r="9446" spans="12:15">
      <c r="L9446" s="2"/>
      <c r="N9446" s="2"/>
      <c r="O9446" s="2"/>
    </row>
    <row r="9447" spans="12:15">
      <c r="L9447" s="2"/>
      <c r="N9447" s="2"/>
      <c r="O9447" s="2"/>
    </row>
    <row r="9448" spans="12:15">
      <c r="L9448" s="2"/>
      <c r="N9448" s="2"/>
      <c r="O9448" s="2"/>
    </row>
    <row r="9449" spans="12:15">
      <c r="L9449" s="2"/>
      <c r="N9449" s="2"/>
      <c r="O9449" s="2"/>
    </row>
    <row r="9450" spans="12:15">
      <c r="L9450" s="2"/>
      <c r="N9450" s="2"/>
      <c r="O9450" s="2"/>
    </row>
    <row r="9451" spans="12:15">
      <c r="L9451" s="2"/>
      <c r="N9451" s="2"/>
      <c r="O9451" s="2"/>
    </row>
    <row r="9452" spans="12:15">
      <c r="L9452" s="2"/>
      <c r="N9452" s="2"/>
      <c r="O9452" s="2"/>
    </row>
    <row r="9453" spans="12:15">
      <c r="L9453" s="2"/>
      <c r="N9453" s="2"/>
      <c r="O9453" s="2"/>
    </row>
    <row r="9454" spans="12:15">
      <c r="L9454" s="2"/>
      <c r="N9454" s="2"/>
      <c r="O9454" s="2"/>
    </row>
    <row r="9455" spans="12:15">
      <c r="L9455" s="2"/>
      <c r="N9455" s="2"/>
      <c r="O9455" s="2"/>
    </row>
    <row r="9456" spans="12:15">
      <c r="L9456" s="2"/>
      <c r="N9456" s="2"/>
      <c r="O9456" s="2"/>
    </row>
    <row r="9457" spans="12:15">
      <c r="L9457" s="2"/>
      <c r="N9457" s="2"/>
      <c r="O9457" s="2"/>
    </row>
    <row r="9458" spans="12:15">
      <c r="L9458" s="2"/>
      <c r="N9458" s="2"/>
      <c r="O9458" s="2"/>
    </row>
    <row r="9459" spans="12:15">
      <c r="L9459" s="2"/>
      <c r="N9459" s="2"/>
      <c r="O9459" s="2"/>
    </row>
    <row r="9460" spans="12:15">
      <c r="L9460" s="2"/>
      <c r="N9460" s="2"/>
      <c r="O9460" s="2"/>
    </row>
    <row r="9461" spans="12:15">
      <c r="L9461" s="2"/>
      <c r="N9461" s="2"/>
      <c r="O9461" s="2"/>
    </row>
    <row r="9462" spans="12:15">
      <c r="L9462" s="2"/>
      <c r="N9462" s="2"/>
      <c r="O9462" s="2"/>
    </row>
    <row r="9463" spans="12:15">
      <c r="L9463" s="2"/>
      <c r="N9463" s="2"/>
      <c r="O9463" s="2"/>
    </row>
    <row r="9464" spans="12:15">
      <c r="L9464" s="2"/>
      <c r="N9464" s="2"/>
      <c r="O9464" s="2"/>
    </row>
    <row r="9465" spans="12:15">
      <c r="L9465" s="2"/>
      <c r="N9465" s="2"/>
      <c r="O9465" s="2"/>
    </row>
    <row r="9466" spans="12:15">
      <c r="L9466" s="2"/>
      <c r="N9466" s="2"/>
      <c r="O9466" s="2"/>
    </row>
    <row r="9467" spans="12:15">
      <c r="L9467" s="2"/>
      <c r="N9467" s="2"/>
      <c r="O9467" s="2"/>
    </row>
    <row r="9468" spans="12:15">
      <c r="L9468" s="2"/>
      <c r="N9468" s="2"/>
      <c r="O9468" s="2"/>
    </row>
    <row r="9469" spans="12:15">
      <c r="L9469" s="2"/>
      <c r="N9469" s="2"/>
      <c r="O9469" s="2"/>
    </row>
    <row r="9470" spans="12:15">
      <c r="L9470" s="2"/>
      <c r="N9470" s="2"/>
      <c r="O9470" s="2"/>
    </row>
    <row r="9471" spans="12:15">
      <c r="L9471" s="2"/>
      <c r="N9471" s="2"/>
      <c r="O9471" s="2"/>
    </row>
    <row r="9472" spans="12:15">
      <c r="L9472" s="2"/>
      <c r="N9472" s="2"/>
      <c r="O9472" s="2"/>
    </row>
    <row r="9473" spans="12:15">
      <c r="L9473" s="2"/>
      <c r="N9473" s="2"/>
      <c r="O9473" s="2"/>
    </row>
    <row r="9474" spans="12:15">
      <c r="L9474" s="2"/>
      <c r="N9474" s="2"/>
      <c r="O9474" s="2"/>
    </row>
    <row r="9475" spans="12:15">
      <c r="L9475" s="2"/>
      <c r="N9475" s="2"/>
      <c r="O9475" s="2"/>
    </row>
    <row r="9476" spans="12:15">
      <c r="L9476" s="2"/>
      <c r="N9476" s="2"/>
      <c r="O9476" s="2"/>
    </row>
    <row r="9477" spans="12:15">
      <c r="L9477" s="2"/>
      <c r="N9477" s="2"/>
      <c r="O9477" s="2"/>
    </row>
    <row r="9478" spans="12:15">
      <c r="L9478" s="2"/>
      <c r="N9478" s="2"/>
      <c r="O9478" s="2"/>
    </row>
    <row r="9479" spans="12:15">
      <c r="L9479" s="2"/>
      <c r="N9479" s="2"/>
      <c r="O9479" s="2"/>
    </row>
    <row r="9480" spans="12:15">
      <c r="L9480" s="2"/>
      <c r="N9480" s="2"/>
      <c r="O9480" s="2"/>
    </row>
    <row r="9481" spans="12:15">
      <c r="L9481" s="2"/>
      <c r="N9481" s="2"/>
      <c r="O9481" s="2"/>
    </row>
    <row r="9482" spans="12:15">
      <c r="L9482" s="2"/>
      <c r="N9482" s="2"/>
      <c r="O9482" s="2"/>
    </row>
    <row r="9483" spans="12:15">
      <c r="L9483" s="2"/>
      <c r="N9483" s="2"/>
      <c r="O9483" s="2"/>
    </row>
    <row r="9484" spans="12:15">
      <c r="L9484" s="2"/>
      <c r="N9484" s="2"/>
      <c r="O9484" s="2"/>
    </row>
    <row r="9485" spans="12:15">
      <c r="L9485" s="2"/>
      <c r="N9485" s="2"/>
      <c r="O9485" s="2"/>
    </row>
    <row r="9486" spans="12:15">
      <c r="L9486" s="2"/>
      <c r="N9486" s="2"/>
      <c r="O9486" s="2"/>
    </row>
    <row r="9487" spans="12:15">
      <c r="L9487" s="2"/>
      <c r="N9487" s="2"/>
      <c r="O9487" s="2"/>
    </row>
    <row r="9488" spans="12:15">
      <c r="L9488" s="2"/>
      <c r="N9488" s="2"/>
      <c r="O9488" s="2"/>
    </row>
    <row r="9489" spans="12:15">
      <c r="L9489" s="2"/>
      <c r="N9489" s="2"/>
      <c r="O9489" s="2"/>
    </row>
    <row r="9490" spans="12:15">
      <c r="L9490" s="2"/>
      <c r="N9490" s="2"/>
      <c r="O9490" s="2"/>
    </row>
    <row r="9491" spans="12:15">
      <c r="L9491" s="2"/>
      <c r="N9491" s="2"/>
      <c r="O9491" s="2"/>
    </row>
    <row r="9492" spans="12:15">
      <c r="L9492" s="2"/>
      <c r="N9492" s="2"/>
      <c r="O9492" s="2"/>
    </row>
    <row r="9493" spans="12:15">
      <c r="L9493" s="2"/>
      <c r="N9493" s="2"/>
      <c r="O9493" s="2"/>
    </row>
    <row r="9494" spans="12:15">
      <c r="L9494" s="2"/>
      <c r="N9494" s="2"/>
      <c r="O9494" s="2"/>
    </row>
    <row r="9495" spans="12:15">
      <c r="L9495" s="2"/>
      <c r="N9495" s="2"/>
      <c r="O9495" s="2"/>
    </row>
    <row r="9496" spans="12:15">
      <c r="L9496" s="2"/>
      <c r="N9496" s="2"/>
      <c r="O9496" s="2"/>
    </row>
    <row r="9497" spans="12:15">
      <c r="L9497" s="2"/>
      <c r="N9497" s="2"/>
      <c r="O9497" s="2"/>
    </row>
    <row r="9498" spans="12:15">
      <c r="L9498" s="2"/>
      <c r="N9498" s="2"/>
      <c r="O9498" s="2"/>
    </row>
    <row r="9499" spans="12:15">
      <c r="L9499" s="2"/>
      <c r="N9499" s="2"/>
      <c r="O9499" s="2"/>
    </row>
    <row r="9500" spans="12:15">
      <c r="L9500" s="2"/>
      <c r="N9500" s="2"/>
      <c r="O9500" s="2"/>
    </row>
    <row r="9501" spans="12:15">
      <c r="L9501" s="2"/>
      <c r="N9501" s="2"/>
      <c r="O9501" s="2"/>
    </row>
    <row r="9502" spans="12:15">
      <c r="L9502" s="2"/>
      <c r="N9502" s="2"/>
      <c r="O9502" s="2"/>
    </row>
    <row r="9503" spans="12:15">
      <c r="L9503" s="2"/>
      <c r="N9503" s="2"/>
      <c r="O9503" s="2"/>
    </row>
    <row r="9504" spans="12:15">
      <c r="L9504" s="2"/>
      <c r="N9504" s="2"/>
      <c r="O9504" s="2"/>
    </row>
    <row r="9505" spans="12:15">
      <c r="L9505" s="2"/>
      <c r="N9505" s="2"/>
      <c r="O9505" s="2"/>
    </row>
    <row r="9506" spans="12:15">
      <c r="L9506" s="2"/>
      <c r="N9506" s="2"/>
      <c r="O9506" s="2"/>
    </row>
    <row r="9507" spans="12:15">
      <c r="L9507" s="2"/>
      <c r="N9507" s="2"/>
      <c r="O9507" s="2"/>
    </row>
    <row r="9508" spans="12:15">
      <c r="L9508" s="2"/>
      <c r="N9508" s="2"/>
      <c r="O9508" s="2"/>
    </row>
    <row r="9509" spans="12:15">
      <c r="L9509" s="2"/>
      <c r="N9509" s="2"/>
      <c r="O9509" s="2"/>
    </row>
    <row r="9510" spans="12:15">
      <c r="L9510" s="2"/>
      <c r="N9510" s="2"/>
      <c r="O9510" s="2"/>
    </row>
    <row r="9511" spans="12:15">
      <c r="L9511" s="2"/>
      <c r="N9511" s="2"/>
      <c r="O9511" s="2"/>
    </row>
    <row r="9512" spans="12:15">
      <c r="L9512" s="2"/>
      <c r="N9512" s="2"/>
      <c r="O9512" s="2"/>
    </row>
    <row r="9513" spans="12:15">
      <c r="L9513" s="2"/>
      <c r="N9513" s="2"/>
      <c r="O9513" s="2"/>
    </row>
    <row r="9514" spans="12:15">
      <c r="L9514" s="2"/>
      <c r="N9514" s="2"/>
      <c r="O9514" s="2"/>
    </row>
    <row r="9515" spans="12:15">
      <c r="L9515" s="2"/>
      <c r="N9515" s="2"/>
      <c r="O9515" s="2"/>
    </row>
    <row r="9516" spans="12:15">
      <c r="L9516" s="2"/>
      <c r="N9516" s="2"/>
      <c r="O9516" s="2"/>
    </row>
    <row r="9517" spans="12:15">
      <c r="L9517" s="2"/>
      <c r="N9517" s="2"/>
      <c r="O9517" s="2"/>
    </row>
    <row r="9518" spans="12:15">
      <c r="L9518" s="2"/>
      <c r="N9518" s="2"/>
      <c r="O9518" s="2"/>
    </row>
    <row r="9519" spans="12:15">
      <c r="L9519" s="2"/>
      <c r="N9519" s="2"/>
      <c r="O9519" s="2"/>
    </row>
    <row r="9520" spans="12:15">
      <c r="L9520" s="2"/>
      <c r="N9520" s="2"/>
      <c r="O9520" s="2"/>
    </row>
    <row r="9521" spans="12:15">
      <c r="L9521" s="2"/>
      <c r="N9521" s="2"/>
      <c r="O9521" s="2"/>
    </row>
    <row r="9522" spans="12:15">
      <c r="L9522" s="2"/>
      <c r="N9522" s="2"/>
      <c r="O9522" s="2"/>
    </row>
    <row r="9523" spans="12:15">
      <c r="L9523" s="2"/>
      <c r="N9523" s="2"/>
      <c r="O9523" s="2"/>
    </row>
    <row r="9524" spans="12:15">
      <c r="L9524" s="2"/>
      <c r="N9524" s="2"/>
      <c r="O9524" s="2"/>
    </row>
    <row r="9525" spans="12:15">
      <c r="L9525" s="2"/>
      <c r="N9525" s="2"/>
      <c r="O9525" s="2"/>
    </row>
    <row r="9526" spans="12:15">
      <c r="L9526" s="2"/>
      <c r="N9526" s="2"/>
      <c r="O9526" s="2"/>
    </row>
    <row r="9527" spans="12:15">
      <c r="L9527" s="2"/>
      <c r="N9527" s="2"/>
      <c r="O9527" s="2"/>
    </row>
    <row r="9528" spans="12:15">
      <c r="L9528" s="2"/>
      <c r="N9528" s="2"/>
      <c r="O9528" s="2"/>
    </row>
    <row r="9529" spans="12:15">
      <c r="L9529" s="2"/>
      <c r="N9529" s="2"/>
      <c r="O9529" s="2"/>
    </row>
    <row r="9530" spans="12:15">
      <c r="L9530" s="2"/>
      <c r="N9530" s="2"/>
      <c r="O9530" s="2"/>
    </row>
    <row r="9531" spans="12:15">
      <c r="L9531" s="2"/>
      <c r="N9531" s="2"/>
      <c r="O9531" s="2"/>
    </row>
    <row r="9532" spans="12:15">
      <c r="L9532" s="2"/>
      <c r="N9532" s="2"/>
      <c r="O9532" s="2"/>
    </row>
    <row r="9533" spans="12:15">
      <c r="L9533" s="2"/>
      <c r="N9533" s="2"/>
      <c r="O9533" s="2"/>
    </row>
    <row r="9534" spans="12:15">
      <c r="L9534" s="2"/>
      <c r="N9534" s="2"/>
      <c r="O9534" s="2"/>
    </row>
    <row r="9535" spans="12:15">
      <c r="L9535" s="2"/>
      <c r="N9535" s="2"/>
      <c r="O9535" s="2"/>
    </row>
    <row r="9536" spans="12:15">
      <c r="L9536" s="2"/>
      <c r="N9536" s="2"/>
      <c r="O9536" s="2"/>
    </row>
    <row r="9537" spans="12:15">
      <c r="L9537" s="2"/>
      <c r="N9537" s="2"/>
      <c r="O9537" s="2"/>
    </row>
    <row r="9538" spans="12:15">
      <c r="L9538" s="2"/>
      <c r="N9538" s="2"/>
      <c r="O9538" s="2"/>
    </row>
    <row r="9539" spans="12:15">
      <c r="L9539" s="2"/>
      <c r="N9539" s="2"/>
      <c r="O9539" s="2"/>
    </row>
    <row r="9540" spans="12:15">
      <c r="L9540" s="2"/>
      <c r="N9540" s="2"/>
      <c r="O9540" s="2"/>
    </row>
    <row r="9541" spans="12:15">
      <c r="L9541" s="2"/>
      <c r="N9541" s="2"/>
      <c r="O9541" s="2"/>
    </row>
    <row r="9542" spans="12:15">
      <c r="L9542" s="2"/>
      <c r="N9542" s="2"/>
      <c r="O9542" s="2"/>
    </row>
    <row r="9543" spans="12:15">
      <c r="L9543" s="2"/>
      <c r="N9543" s="2"/>
      <c r="O9543" s="2"/>
    </row>
    <row r="9544" spans="12:15">
      <c r="L9544" s="2"/>
      <c r="N9544" s="2"/>
      <c r="O9544" s="2"/>
    </row>
    <row r="9545" spans="12:15">
      <c r="L9545" s="2"/>
      <c r="N9545" s="2"/>
      <c r="O9545" s="2"/>
    </row>
    <row r="9546" spans="12:15">
      <c r="L9546" s="2"/>
      <c r="N9546" s="2"/>
      <c r="O9546" s="2"/>
    </row>
    <row r="9547" spans="12:15">
      <c r="L9547" s="2"/>
      <c r="N9547" s="2"/>
      <c r="O9547" s="2"/>
    </row>
    <row r="9548" spans="12:15">
      <c r="L9548" s="2"/>
      <c r="N9548" s="2"/>
      <c r="O9548" s="2"/>
    </row>
    <row r="9549" spans="12:15">
      <c r="L9549" s="2"/>
      <c r="N9549" s="2"/>
      <c r="O9549" s="2"/>
    </row>
    <row r="9550" spans="12:15">
      <c r="L9550" s="2"/>
      <c r="N9550" s="2"/>
      <c r="O9550" s="2"/>
    </row>
    <row r="9551" spans="12:15">
      <c r="L9551" s="2"/>
      <c r="N9551" s="2"/>
      <c r="O9551" s="2"/>
    </row>
    <row r="9552" spans="12:15">
      <c r="L9552" s="2"/>
      <c r="N9552" s="2"/>
      <c r="O9552" s="2"/>
    </row>
    <row r="9553" spans="12:15">
      <c r="L9553" s="2"/>
      <c r="N9553" s="2"/>
      <c r="O9553" s="2"/>
    </row>
    <row r="9554" spans="12:15">
      <c r="L9554" s="2"/>
      <c r="N9554" s="2"/>
      <c r="O9554" s="2"/>
    </row>
    <row r="9555" spans="12:15">
      <c r="L9555" s="2"/>
      <c r="N9555" s="2"/>
      <c r="O9555" s="2"/>
    </row>
    <row r="9556" spans="12:15">
      <c r="L9556" s="2"/>
      <c r="N9556" s="2"/>
      <c r="O9556" s="2"/>
    </row>
    <row r="9557" spans="12:15">
      <c r="L9557" s="2"/>
      <c r="N9557" s="2"/>
      <c r="O9557" s="2"/>
    </row>
    <row r="9558" spans="12:15">
      <c r="L9558" s="2"/>
      <c r="N9558" s="2"/>
      <c r="O9558" s="2"/>
    </row>
    <row r="9559" spans="12:15">
      <c r="L9559" s="2"/>
      <c r="N9559" s="2"/>
      <c r="O9559" s="2"/>
    </row>
    <row r="9560" spans="12:15">
      <c r="L9560" s="2"/>
      <c r="N9560" s="2"/>
      <c r="O9560" s="2"/>
    </row>
    <row r="9561" spans="12:15">
      <c r="L9561" s="2"/>
      <c r="N9561" s="2"/>
      <c r="O9561" s="2"/>
    </row>
    <row r="9562" spans="12:15">
      <c r="L9562" s="2"/>
      <c r="N9562" s="2"/>
      <c r="O9562" s="2"/>
    </row>
    <row r="9563" spans="12:15">
      <c r="L9563" s="2"/>
      <c r="N9563" s="2"/>
      <c r="O9563" s="2"/>
    </row>
    <row r="9564" spans="12:15">
      <c r="L9564" s="2"/>
      <c r="N9564" s="2"/>
      <c r="O9564" s="2"/>
    </row>
    <row r="9565" spans="12:15">
      <c r="L9565" s="2"/>
      <c r="N9565" s="2"/>
      <c r="O9565" s="2"/>
    </row>
    <row r="9566" spans="12:15">
      <c r="L9566" s="2"/>
      <c r="N9566" s="2"/>
      <c r="O9566" s="2"/>
    </row>
    <row r="9567" spans="12:15">
      <c r="L9567" s="2"/>
      <c r="N9567" s="2"/>
      <c r="O9567" s="2"/>
    </row>
    <row r="9568" spans="12:15">
      <c r="L9568" s="2"/>
      <c r="N9568" s="2"/>
      <c r="O9568" s="2"/>
    </row>
    <row r="9569" spans="12:15">
      <c r="L9569" s="2"/>
      <c r="N9569" s="2"/>
      <c r="O9569" s="2"/>
    </row>
    <row r="9570" spans="12:15">
      <c r="L9570" s="2"/>
      <c r="N9570" s="2"/>
      <c r="O9570" s="2"/>
    </row>
    <row r="9571" spans="12:15">
      <c r="L9571" s="2"/>
      <c r="N9571" s="2"/>
      <c r="O9571" s="2"/>
    </row>
    <row r="9572" spans="12:15">
      <c r="L9572" s="2"/>
      <c r="N9572" s="2"/>
      <c r="O9572" s="2"/>
    </row>
    <row r="9573" spans="12:15">
      <c r="L9573" s="2"/>
      <c r="N9573" s="2"/>
      <c r="O9573" s="2"/>
    </row>
    <row r="9574" spans="12:15">
      <c r="L9574" s="2"/>
      <c r="N9574" s="2"/>
      <c r="O9574" s="2"/>
    </row>
    <row r="9575" spans="12:15">
      <c r="L9575" s="2"/>
      <c r="N9575" s="2"/>
      <c r="O9575" s="2"/>
    </row>
    <row r="9576" spans="12:15">
      <c r="L9576" s="2"/>
      <c r="N9576" s="2"/>
      <c r="O9576" s="2"/>
    </row>
    <row r="9577" spans="12:15">
      <c r="L9577" s="2"/>
      <c r="N9577" s="2"/>
      <c r="O9577" s="2"/>
    </row>
    <row r="9578" spans="12:15">
      <c r="L9578" s="2"/>
      <c r="N9578" s="2"/>
      <c r="O9578" s="2"/>
    </row>
    <row r="9579" spans="12:15">
      <c r="L9579" s="2"/>
      <c r="N9579" s="2"/>
      <c r="O9579" s="2"/>
    </row>
    <row r="9580" spans="12:15">
      <c r="L9580" s="2"/>
      <c r="N9580" s="2"/>
      <c r="O9580" s="2"/>
    </row>
    <row r="9581" spans="12:15">
      <c r="L9581" s="2"/>
      <c r="N9581" s="2"/>
      <c r="O9581" s="2"/>
    </row>
    <row r="9582" spans="12:15">
      <c r="L9582" s="2"/>
      <c r="N9582" s="2"/>
      <c r="O9582" s="2"/>
    </row>
    <row r="9583" spans="12:15">
      <c r="L9583" s="2"/>
      <c r="N9583" s="2"/>
      <c r="O9583" s="2"/>
    </row>
    <row r="9584" spans="12:15">
      <c r="L9584" s="2"/>
      <c r="N9584" s="2"/>
      <c r="O9584" s="2"/>
    </row>
    <row r="9585" spans="12:15">
      <c r="L9585" s="2"/>
      <c r="N9585" s="2"/>
      <c r="O9585" s="2"/>
    </row>
    <row r="9586" spans="12:15">
      <c r="L9586" s="2"/>
      <c r="N9586" s="2"/>
      <c r="O9586" s="2"/>
    </row>
    <row r="9587" spans="12:15">
      <c r="L9587" s="2"/>
      <c r="N9587" s="2"/>
      <c r="O9587" s="2"/>
    </row>
    <row r="9588" spans="12:15">
      <c r="L9588" s="2"/>
      <c r="N9588" s="2"/>
      <c r="O9588" s="2"/>
    </row>
    <row r="9589" spans="12:15">
      <c r="L9589" s="2"/>
      <c r="N9589" s="2"/>
      <c r="O9589" s="2"/>
    </row>
    <row r="9590" spans="12:15">
      <c r="L9590" s="2"/>
      <c r="N9590" s="2"/>
      <c r="O9590" s="2"/>
    </row>
    <row r="9591" spans="12:15">
      <c r="L9591" s="2"/>
      <c r="N9591" s="2"/>
      <c r="O9591" s="2"/>
    </row>
    <row r="9592" spans="12:15">
      <c r="L9592" s="2"/>
      <c r="N9592" s="2"/>
      <c r="O9592" s="2"/>
    </row>
    <row r="9593" spans="12:15">
      <c r="L9593" s="2"/>
      <c r="N9593" s="2"/>
      <c r="O9593" s="2"/>
    </row>
    <row r="9594" spans="12:15">
      <c r="L9594" s="2"/>
      <c r="N9594" s="2"/>
      <c r="O9594" s="2"/>
    </row>
    <row r="9595" spans="12:15">
      <c r="L9595" s="2"/>
      <c r="N9595" s="2"/>
      <c r="O9595" s="2"/>
    </row>
    <row r="9596" spans="12:15">
      <c r="L9596" s="2"/>
      <c r="N9596" s="2"/>
      <c r="O9596" s="2"/>
    </row>
    <row r="9597" spans="12:15">
      <c r="L9597" s="2"/>
      <c r="N9597" s="2"/>
      <c r="O9597" s="2"/>
    </row>
    <row r="9598" spans="12:15">
      <c r="L9598" s="2"/>
      <c r="N9598" s="2"/>
      <c r="O9598" s="2"/>
    </row>
    <row r="9599" spans="12:15">
      <c r="L9599" s="2"/>
      <c r="N9599" s="2"/>
      <c r="O9599" s="2"/>
    </row>
    <row r="9600" spans="12:15">
      <c r="L9600" s="2"/>
      <c r="N9600" s="2"/>
      <c r="O9600" s="2"/>
    </row>
    <row r="9601" spans="12:15">
      <c r="L9601" s="2"/>
      <c r="N9601" s="2"/>
      <c r="O9601" s="2"/>
    </row>
    <row r="9602" spans="12:15">
      <c r="L9602" s="2"/>
      <c r="N9602" s="2"/>
      <c r="O9602" s="2"/>
    </row>
    <row r="9603" spans="12:15">
      <c r="L9603" s="2"/>
      <c r="N9603" s="2"/>
      <c r="O9603" s="2"/>
    </row>
    <row r="9604" spans="12:15">
      <c r="L9604" s="2"/>
      <c r="N9604" s="2"/>
      <c r="O9604" s="2"/>
    </row>
    <row r="9605" spans="12:15">
      <c r="L9605" s="2"/>
      <c r="N9605" s="2"/>
      <c r="O9605" s="2"/>
    </row>
    <row r="9606" spans="12:15">
      <c r="L9606" s="2"/>
      <c r="N9606" s="2"/>
      <c r="O9606" s="2"/>
    </row>
    <row r="9607" spans="12:15">
      <c r="L9607" s="2"/>
      <c r="N9607" s="2"/>
      <c r="O9607" s="2"/>
    </row>
    <row r="9608" spans="12:15">
      <c r="L9608" s="2"/>
      <c r="N9608" s="2"/>
      <c r="O9608" s="2"/>
    </row>
    <row r="9609" spans="12:15">
      <c r="L9609" s="2"/>
      <c r="N9609" s="2"/>
      <c r="O9609" s="2"/>
    </row>
    <row r="9610" spans="12:15">
      <c r="L9610" s="2"/>
      <c r="N9610" s="2"/>
      <c r="O9610" s="2"/>
    </row>
    <row r="9611" spans="12:15">
      <c r="L9611" s="2"/>
      <c r="N9611" s="2"/>
      <c r="O9611" s="2"/>
    </row>
    <row r="9612" spans="12:15">
      <c r="L9612" s="2"/>
      <c r="N9612" s="2"/>
      <c r="O9612" s="2"/>
    </row>
    <row r="9613" spans="12:15">
      <c r="L9613" s="2"/>
      <c r="N9613" s="2"/>
      <c r="O9613" s="2"/>
    </row>
    <row r="9614" spans="12:15">
      <c r="L9614" s="2"/>
      <c r="N9614" s="2"/>
      <c r="O9614" s="2"/>
    </row>
    <row r="9615" spans="12:15">
      <c r="L9615" s="2"/>
      <c r="N9615" s="2"/>
      <c r="O9615" s="2"/>
    </row>
    <row r="9616" spans="12:15">
      <c r="L9616" s="2"/>
      <c r="N9616" s="2"/>
      <c r="O9616" s="2"/>
    </row>
    <row r="9617" spans="12:15">
      <c r="L9617" s="2"/>
      <c r="N9617" s="2"/>
      <c r="O9617" s="2"/>
    </row>
    <row r="9618" spans="12:15">
      <c r="L9618" s="2"/>
      <c r="N9618" s="2"/>
      <c r="O9618" s="2"/>
    </row>
    <row r="9619" spans="12:15">
      <c r="L9619" s="2"/>
      <c r="N9619" s="2"/>
      <c r="O9619" s="2"/>
    </row>
    <row r="9620" spans="12:15">
      <c r="L9620" s="2"/>
      <c r="N9620" s="2"/>
      <c r="O9620" s="2"/>
    </row>
    <row r="9621" spans="12:15">
      <c r="L9621" s="2"/>
      <c r="N9621" s="2"/>
      <c r="O9621" s="2"/>
    </row>
    <row r="9622" spans="12:15">
      <c r="L9622" s="2"/>
      <c r="N9622" s="2"/>
      <c r="O9622" s="2"/>
    </row>
    <row r="9623" spans="12:15">
      <c r="L9623" s="2"/>
      <c r="N9623" s="2"/>
      <c r="O9623" s="2"/>
    </row>
    <row r="9624" spans="12:15">
      <c r="L9624" s="2"/>
      <c r="N9624" s="2"/>
      <c r="O9624" s="2"/>
    </row>
    <row r="9625" spans="12:15">
      <c r="L9625" s="2"/>
      <c r="N9625" s="2"/>
      <c r="O9625" s="2"/>
    </row>
    <row r="9626" spans="12:15">
      <c r="L9626" s="2"/>
      <c r="N9626" s="2"/>
      <c r="O9626" s="2"/>
    </row>
    <row r="9627" spans="12:15">
      <c r="L9627" s="2"/>
      <c r="N9627" s="2"/>
      <c r="O9627" s="2"/>
    </row>
    <row r="9628" spans="12:15">
      <c r="L9628" s="2"/>
      <c r="N9628" s="2"/>
      <c r="O9628" s="2"/>
    </row>
    <row r="9629" spans="12:15">
      <c r="L9629" s="2"/>
      <c r="N9629" s="2"/>
      <c r="O9629" s="2"/>
    </row>
    <row r="9630" spans="12:15">
      <c r="L9630" s="2"/>
      <c r="N9630" s="2"/>
      <c r="O9630" s="2"/>
    </row>
    <row r="9631" spans="12:15">
      <c r="L9631" s="2"/>
      <c r="N9631" s="2"/>
      <c r="O9631" s="2"/>
    </row>
    <row r="9632" spans="12:15">
      <c r="L9632" s="2"/>
      <c r="N9632" s="2"/>
      <c r="O9632" s="2"/>
    </row>
    <row r="9633" spans="12:15">
      <c r="L9633" s="2"/>
      <c r="N9633" s="2"/>
      <c r="O9633" s="2"/>
    </row>
    <row r="9634" spans="12:15">
      <c r="L9634" s="2"/>
      <c r="N9634" s="2"/>
      <c r="O9634" s="2"/>
    </row>
    <row r="9635" spans="12:15">
      <c r="L9635" s="2"/>
      <c r="N9635" s="2"/>
      <c r="O9635" s="2"/>
    </row>
    <row r="9636" spans="12:15">
      <c r="L9636" s="2"/>
      <c r="N9636" s="2"/>
      <c r="O9636" s="2"/>
    </row>
    <row r="9637" spans="12:15">
      <c r="L9637" s="2"/>
      <c r="N9637" s="2"/>
      <c r="O9637" s="2"/>
    </row>
    <row r="9638" spans="12:15">
      <c r="L9638" s="2"/>
      <c r="N9638" s="2"/>
      <c r="O9638" s="2"/>
    </row>
    <row r="9639" spans="12:15">
      <c r="L9639" s="2"/>
      <c r="N9639" s="2"/>
      <c r="O9639" s="2"/>
    </row>
    <row r="9640" spans="12:15">
      <c r="L9640" s="2"/>
      <c r="N9640" s="2"/>
      <c r="O9640" s="2"/>
    </row>
    <row r="9641" spans="12:15">
      <c r="L9641" s="2"/>
      <c r="N9641" s="2"/>
      <c r="O9641" s="2"/>
    </row>
    <row r="9642" spans="12:15">
      <c r="L9642" s="2"/>
      <c r="N9642" s="2"/>
      <c r="O9642" s="2"/>
    </row>
    <row r="9643" spans="12:15">
      <c r="L9643" s="2"/>
      <c r="N9643" s="2"/>
      <c r="O9643" s="2"/>
    </row>
    <row r="9644" spans="12:15">
      <c r="L9644" s="2"/>
      <c r="N9644" s="2"/>
      <c r="O9644" s="2"/>
    </row>
    <row r="9645" spans="12:15">
      <c r="L9645" s="2"/>
      <c r="N9645" s="2"/>
      <c r="O9645" s="2"/>
    </row>
    <row r="9646" spans="12:15">
      <c r="L9646" s="2"/>
      <c r="N9646" s="2"/>
      <c r="O9646" s="2"/>
    </row>
    <row r="9647" spans="12:15">
      <c r="L9647" s="2"/>
      <c r="N9647" s="2"/>
      <c r="O9647" s="2"/>
    </row>
    <row r="9648" spans="12:15">
      <c r="L9648" s="2"/>
      <c r="N9648" s="2"/>
      <c r="O9648" s="2"/>
    </row>
    <row r="9649" spans="12:15">
      <c r="L9649" s="2"/>
      <c r="N9649" s="2"/>
      <c r="O9649" s="2"/>
    </row>
    <row r="9650" spans="12:15">
      <c r="L9650" s="2"/>
      <c r="N9650" s="2"/>
      <c r="O9650" s="2"/>
    </row>
    <row r="9651" spans="12:15">
      <c r="L9651" s="2"/>
      <c r="N9651" s="2"/>
      <c r="O9651" s="2"/>
    </row>
    <row r="9652" spans="12:15">
      <c r="L9652" s="2"/>
      <c r="N9652" s="2"/>
      <c r="O9652" s="2"/>
    </row>
    <row r="9653" spans="12:15">
      <c r="L9653" s="2"/>
      <c r="N9653" s="2"/>
      <c r="O9653" s="2"/>
    </row>
    <row r="9654" spans="12:15">
      <c r="L9654" s="2"/>
      <c r="N9654" s="2"/>
      <c r="O9654" s="2"/>
    </row>
    <row r="9655" spans="12:15">
      <c r="L9655" s="2"/>
      <c r="N9655" s="2"/>
      <c r="O9655" s="2"/>
    </row>
    <row r="9656" spans="12:15">
      <c r="L9656" s="2"/>
      <c r="N9656" s="2"/>
      <c r="O9656" s="2"/>
    </row>
    <row r="9657" spans="12:15">
      <c r="L9657" s="2"/>
      <c r="N9657" s="2"/>
      <c r="O9657" s="2"/>
    </row>
    <row r="9658" spans="12:15">
      <c r="L9658" s="2"/>
      <c r="N9658" s="2"/>
      <c r="O9658" s="2"/>
    </row>
    <row r="9659" spans="12:15">
      <c r="L9659" s="2"/>
      <c r="N9659" s="2"/>
      <c r="O9659" s="2"/>
    </row>
    <row r="9660" spans="12:15">
      <c r="L9660" s="2"/>
      <c r="N9660" s="2"/>
      <c r="O9660" s="2"/>
    </row>
    <row r="9661" spans="12:15">
      <c r="L9661" s="2"/>
      <c r="N9661" s="2"/>
      <c r="O9661" s="2"/>
    </row>
    <row r="9662" spans="12:15">
      <c r="L9662" s="2"/>
      <c r="N9662" s="2"/>
      <c r="O9662" s="2"/>
    </row>
    <row r="9663" spans="12:15">
      <c r="L9663" s="2"/>
      <c r="N9663" s="2"/>
      <c r="O9663" s="2"/>
    </row>
    <row r="9664" spans="12:15">
      <c r="L9664" s="2"/>
      <c r="N9664" s="2"/>
      <c r="O9664" s="2"/>
    </row>
    <row r="9665" spans="12:15">
      <c r="L9665" s="2"/>
      <c r="N9665" s="2"/>
      <c r="O9665" s="2"/>
    </row>
    <row r="9666" spans="12:15">
      <c r="L9666" s="2"/>
      <c r="N9666" s="2"/>
      <c r="O9666" s="2"/>
    </row>
    <row r="9667" spans="12:15">
      <c r="L9667" s="2"/>
      <c r="N9667" s="2"/>
      <c r="O9667" s="2"/>
    </row>
    <row r="9668" spans="12:15">
      <c r="L9668" s="2"/>
      <c r="N9668" s="2"/>
      <c r="O9668" s="2"/>
    </row>
    <row r="9669" spans="12:15">
      <c r="L9669" s="2"/>
      <c r="N9669" s="2"/>
      <c r="O9669" s="2"/>
    </row>
    <row r="9670" spans="12:15">
      <c r="L9670" s="2"/>
      <c r="N9670" s="2"/>
      <c r="O9670" s="2"/>
    </row>
    <row r="9671" spans="12:15">
      <c r="L9671" s="2"/>
      <c r="N9671" s="2"/>
      <c r="O9671" s="2"/>
    </row>
    <row r="9672" spans="12:15">
      <c r="L9672" s="2"/>
      <c r="N9672" s="2"/>
      <c r="O9672" s="2"/>
    </row>
    <row r="9673" spans="12:15">
      <c r="L9673" s="2"/>
      <c r="N9673" s="2"/>
      <c r="O9673" s="2"/>
    </row>
    <row r="9674" spans="12:15">
      <c r="L9674" s="2"/>
      <c r="N9674" s="2"/>
      <c r="O9674" s="2"/>
    </row>
    <row r="9675" spans="12:15">
      <c r="L9675" s="2"/>
      <c r="N9675" s="2"/>
      <c r="O9675" s="2"/>
    </row>
    <row r="9676" spans="12:15">
      <c r="L9676" s="2"/>
      <c r="N9676" s="2"/>
      <c r="O9676" s="2"/>
    </row>
    <row r="9677" spans="12:15">
      <c r="L9677" s="2"/>
      <c r="N9677" s="2"/>
      <c r="O9677" s="2"/>
    </row>
    <row r="9678" spans="12:15">
      <c r="L9678" s="2"/>
      <c r="N9678" s="2"/>
      <c r="O9678" s="2"/>
    </row>
    <row r="9679" spans="12:15">
      <c r="L9679" s="2"/>
      <c r="N9679" s="2"/>
      <c r="O9679" s="2"/>
    </row>
    <row r="9680" spans="12:15">
      <c r="L9680" s="2"/>
      <c r="N9680" s="2"/>
      <c r="O9680" s="2"/>
    </row>
    <row r="9681" spans="12:15">
      <c r="L9681" s="2"/>
      <c r="N9681" s="2"/>
      <c r="O9681" s="2"/>
    </row>
    <row r="9682" spans="12:15">
      <c r="L9682" s="2"/>
      <c r="N9682" s="2"/>
      <c r="O9682" s="2"/>
    </row>
    <row r="9683" spans="12:15">
      <c r="L9683" s="2"/>
      <c r="N9683" s="2"/>
      <c r="O9683" s="2"/>
    </row>
    <row r="9684" spans="12:15">
      <c r="L9684" s="2"/>
      <c r="N9684" s="2"/>
      <c r="O9684" s="2"/>
    </row>
    <row r="9685" spans="12:15">
      <c r="L9685" s="2"/>
      <c r="N9685" s="2"/>
      <c r="O9685" s="2"/>
    </row>
    <row r="9686" spans="12:15">
      <c r="L9686" s="2"/>
      <c r="N9686" s="2"/>
      <c r="O9686" s="2"/>
    </row>
    <row r="9687" spans="12:15">
      <c r="L9687" s="2"/>
      <c r="N9687" s="2"/>
      <c r="O9687" s="2"/>
    </row>
    <row r="9688" spans="12:15">
      <c r="L9688" s="2"/>
      <c r="N9688" s="2"/>
      <c r="O9688" s="2"/>
    </row>
    <row r="9689" spans="12:15">
      <c r="L9689" s="2"/>
      <c r="N9689" s="2"/>
      <c r="O9689" s="2"/>
    </row>
    <row r="9690" spans="12:15">
      <c r="L9690" s="2"/>
      <c r="N9690" s="2"/>
      <c r="O9690" s="2"/>
    </row>
    <row r="9691" spans="12:15">
      <c r="L9691" s="2"/>
      <c r="N9691" s="2"/>
      <c r="O9691" s="2"/>
    </row>
    <row r="9692" spans="12:15">
      <c r="L9692" s="2"/>
      <c r="N9692" s="2"/>
      <c r="O9692" s="2"/>
    </row>
    <row r="9693" spans="12:15">
      <c r="L9693" s="2"/>
      <c r="N9693" s="2"/>
      <c r="O9693" s="2"/>
    </row>
    <row r="9694" spans="12:15">
      <c r="L9694" s="2"/>
      <c r="N9694" s="2"/>
      <c r="O9694" s="2"/>
    </row>
    <row r="9695" spans="12:15">
      <c r="L9695" s="2"/>
      <c r="N9695" s="2"/>
      <c r="O9695" s="2"/>
    </row>
    <row r="9696" spans="12:15">
      <c r="L9696" s="2"/>
      <c r="N9696" s="2"/>
      <c r="O9696" s="2"/>
    </row>
    <row r="9697" spans="12:15">
      <c r="L9697" s="2"/>
      <c r="N9697" s="2"/>
      <c r="O9697" s="2"/>
    </row>
    <row r="9698" spans="12:15">
      <c r="L9698" s="2"/>
      <c r="N9698" s="2"/>
      <c r="O9698" s="2"/>
    </row>
    <row r="9699" spans="12:15">
      <c r="L9699" s="2"/>
      <c r="N9699" s="2"/>
      <c r="O9699" s="2"/>
    </row>
    <row r="9700" spans="12:15">
      <c r="L9700" s="2"/>
      <c r="N9700" s="2"/>
      <c r="O9700" s="2"/>
    </row>
    <row r="9701" spans="12:15">
      <c r="L9701" s="2"/>
      <c r="N9701" s="2"/>
      <c r="O9701" s="2"/>
    </row>
    <row r="9702" spans="12:15">
      <c r="L9702" s="2"/>
      <c r="N9702" s="2"/>
      <c r="O9702" s="2"/>
    </row>
    <row r="9703" spans="12:15">
      <c r="L9703" s="2"/>
      <c r="N9703" s="2"/>
      <c r="O9703" s="2"/>
    </row>
    <row r="9704" spans="12:15">
      <c r="L9704" s="2"/>
      <c r="N9704" s="2"/>
      <c r="O9704" s="2"/>
    </row>
    <row r="9705" spans="12:15">
      <c r="L9705" s="2"/>
      <c r="N9705" s="2"/>
      <c r="O9705" s="2"/>
    </row>
    <row r="9706" spans="12:15">
      <c r="L9706" s="2"/>
      <c r="N9706" s="2"/>
      <c r="O9706" s="2"/>
    </row>
    <row r="9707" spans="12:15">
      <c r="L9707" s="2"/>
      <c r="N9707" s="2"/>
      <c r="O9707" s="2"/>
    </row>
    <row r="9708" spans="12:15">
      <c r="L9708" s="2"/>
      <c r="N9708" s="2"/>
      <c r="O9708" s="2"/>
    </row>
    <row r="9709" spans="12:15">
      <c r="L9709" s="2"/>
      <c r="N9709" s="2"/>
      <c r="O9709" s="2"/>
    </row>
    <row r="9710" spans="12:15">
      <c r="L9710" s="2"/>
      <c r="N9710" s="2"/>
      <c r="O9710" s="2"/>
    </row>
    <row r="9711" spans="12:15">
      <c r="L9711" s="2"/>
      <c r="N9711" s="2"/>
      <c r="O9711" s="2"/>
    </row>
    <row r="9712" spans="12:15">
      <c r="L9712" s="2"/>
      <c r="N9712" s="2"/>
      <c r="O9712" s="2"/>
    </row>
    <row r="9713" spans="12:15">
      <c r="L9713" s="2"/>
      <c r="N9713" s="2"/>
      <c r="O9713" s="2"/>
    </row>
    <row r="9714" spans="12:15">
      <c r="L9714" s="2"/>
      <c r="N9714" s="2"/>
      <c r="O9714" s="2"/>
    </row>
    <row r="9715" spans="12:15">
      <c r="L9715" s="2"/>
      <c r="N9715" s="2"/>
      <c r="O9715" s="2"/>
    </row>
    <row r="9716" spans="12:15">
      <c r="L9716" s="2"/>
      <c r="N9716" s="2"/>
      <c r="O9716" s="2"/>
    </row>
    <row r="9717" spans="12:15">
      <c r="L9717" s="2"/>
      <c r="N9717" s="2"/>
      <c r="O9717" s="2"/>
    </row>
    <row r="9718" spans="12:15">
      <c r="L9718" s="2"/>
      <c r="N9718" s="2"/>
      <c r="O9718" s="2"/>
    </row>
    <row r="9719" spans="12:15">
      <c r="L9719" s="2"/>
      <c r="N9719" s="2"/>
      <c r="O9719" s="2"/>
    </row>
    <row r="9720" spans="12:15">
      <c r="L9720" s="2"/>
      <c r="N9720" s="2"/>
      <c r="O9720" s="2"/>
    </row>
    <row r="9721" spans="12:15">
      <c r="L9721" s="2"/>
      <c r="N9721" s="2"/>
      <c r="O9721" s="2"/>
    </row>
    <row r="9722" spans="12:15">
      <c r="L9722" s="2"/>
      <c r="N9722" s="2"/>
      <c r="O9722" s="2"/>
    </row>
    <row r="9723" spans="12:15">
      <c r="L9723" s="2"/>
      <c r="N9723" s="2"/>
      <c r="O9723" s="2"/>
    </row>
    <row r="9724" spans="12:15">
      <c r="L9724" s="2"/>
      <c r="N9724" s="2"/>
      <c r="O9724" s="2"/>
    </row>
    <row r="9725" spans="12:15">
      <c r="L9725" s="2"/>
      <c r="N9725" s="2"/>
      <c r="O9725" s="2"/>
    </row>
    <row r="9726" spans="12:15">
      <c r="L9726" s="2"/>
      <c r="N9726" s="2"/>
      <c r="O9726" s="2"/>
    </row>
    <row r="9727" spans="12:15">
      <c r="L9727" s="2"/>
      <c r="N9727" s="2"/>
      <c r="O9727" s="2"/>
    </row>
    <row r="9728" spans="12:15">
      <c r="L9728" s="2"/>
      <c r="N9728" s="2"/>
      <c r="O9728" s="2"/>
    </row>
    <row r="9729" spans="12:15">
      <c r="L9729" s="2"/>
      <c r="N9729" s="2"/>
      <c r="O9729" s="2"/>
    </row>
    <row r="9730" spans="12:15">
      <c r="L9730" s="2"/>
      <c r="N9730" s="2"/>
      <c r="O9730" s="2"/>
    </row>
    <row r="9731" spans="12:15">
      <c r="L9731" s="2"/>
      <c r="N9731" s="2"/>
      <c r="O9731" s="2"/>
    </row>
    <row r="9732" spans="12:15">
      <c r="L9732" s="2"/>
      <c r="N9732" s="2"/>
      <c r="O9732" s="2"/>
    </row>
    <row r="9733" spans="12:15">
      <c r="L9733" s="2"/>
      <c r="N9733" s="2"/>
      <c r="O9733" s="2"/>
    </row>
    <row r="9734" spans="12:15">
      <c r="L9734" s="2"/>
      <c r="N9734" s="2"/>
      <c r="O9734" s="2"/>
    </row>
    <row r="9735" spans="12:15">
      <c r="L9735" s="2"/>
      <c r="N9735" s="2"/>
      <c r="O9735" s="2"/>
    </row>
    <row r="9736" spans="12:15">
      <c r="L9736" s="2"/>
      <c r="N9736" s="2"/>
      <c r="O9736" s="2"/>
    </row>
    <row r="9737" spans="12:15">
      <c r="L9737" s="2"/>
      <c r="N9737" s="2"/>
      <c r="O9737" s="2"/>
    </row>
    <row r="9738" spans="12:15">
      <c r="L9738" s="2"/>
      <c r="N9738" s="2"/>
      <c r="O9738" s="2"/>
    </row>
    <row r="9739" spans="12:15">
      <c r="L9739" s="2"/>
      <c r="N9739" s="2"/>
      <c r="O9739" s="2"/>
    </row>
    <row r="9740" spans="12:15">
      <c r="L9740" s="2"/>
      <c r="N9740" s="2"/>
      <c r="O9740" s="2"/>
    </row>
    <row r="9741" spans="12:15">
      <c r="L9741" s="2"/>
      <c r="N9741" s="2"/>
      <c r="O9741" s="2"/>
    </row>
    <row r="9742" spans="12:15">
      <c r="L9742" s="2"/>
      <c r="N9742" s="2"/>
      <c r="O9742" s="2"/>
    </row>
    <row r="9743" spans="12:15">
      <c r="L9743" s="2"/>
      <c r="N9743" s="2"/>
      <c r="O9743" s="2"/>
    </row>
    <row r="9744" spans="12:15">
      <c r="L9744" s="2"/>
      <c r="N9744" s="2"/>
      <c r="O9744" s="2"/>
    </row>
    <row r="9745" spans="12:15">
      <c r="L9745" s="2"/>
      <c r="N9745" s="2"/>
      <c r="O9745" s="2"/>
    </row>
    <row r="9746" spans="12:15">
      <c r="L9746" s="2"/>
      <c r="N9746" s="2"/>
      <c r="O9746" s="2"/>
    </row>
    <row r="9747" spans="12:15">
      <c r="L9747" s="2"/>
      <c r="N9747" s="2"/>
      <c r="O9747" s="2"/>
    </row>
    <row r="9748" spans="12:15">
      <c r="L9748" s="2"/>
      <c r="N9748" s="2"/>
      <c r="O9748" s="2"/>
    </row>
    <row r="9749" spans="12:15">
      <c r="L9749" s="2"/>
      <c r="N9749" s="2"/>
      <c r="O9749" s="2"/>
    </row>
    <row r="9750" spans="12:15">
      <c r="L9750" s="2"/>
      <c r="N9750" s="2"/>
      <c r="O9750" s="2"/>
    </row>
    <row r="9751" spans="12:15">
      <c r="L9751" s="2"/>
      <c r="N9751" s="2"/>
      <c r="O9751" s="2"/>
    </row>
    <row r="9752" spans="12:15">
      <c r="L9752" s="2"/>
      <c r="N9752" s="2"/>
      <c r="O9752" s="2"/>
    </row>
    <row r="9753" spans="12:15">
      <c r="L9753" s="2"/>
      <c r="N9753" s="2"/>
      <c r="O9753" s="2"/>
    </row>
    <row r="9754" spans="12:15">
      <c r="L9754" s="2"/>
      <c r="N9754" s="2"/>
      <c r="O9754" s="2"/>
    </row>
    <row r="9755" spans="12:15">
      <c r="L9755" s="2"/>
      <c r="N9755" s="2"/>
      <c r="O9755" s="2"/>
    </row>
    <row r="9756" spans="12:15">
      <c r="L9756" s="2"/>
      <c r="N9756" s="2"/>
      <c r="O9756" s="2"/>
    </row>
    <row r="9757" spans="12:15">
      <c r="L9757" s="2"/>
      <c r="N9757" s="2"/>
      <c r="O9757" s="2"/>
    </row>
    <row r="9758" spans="12:15">
      <c r="L9758" s="2"/>
      <c r="N9758" s="2"/>
      <c r="O9758" s="2"/>
    </row>
    <row r="9759" spans="12:15">
      <c r="L9759" s="2"/>
      <c r="N9759" s="2"/>
      <c r="O9759" s="2"/>
    </row>
    <row r="9760" spans="12:15">
      <c r="L9760" s="2"/>
      <c r="N9760" s="2"/>
      <c r="O9760" s="2"/>
    </row>
    <row r="9761" spans="12:15">
      <c r="L9761" s="2"/>
      <c r="N9761" s="2"/>
      <c r="O9761" s="2"/>
    </row>
    <row r="9762" spans="12:15">
      <c r="L9762" s="2"/>
      <c r="N9762" s="2"/>
      <c r="O9762" s="2"/>
    </row>
    <row r="9763" spans="12:15">
      <c r="L9763" s="2"/>
      <c r="N9763" s="2"/>
      <c r="O9763" s="2"/>
    </row>
    <row r="9764" spans="12:15">
      <c r="L9764" s="2"/>
      <c r="N9764" s="2"/>
      <c r="O9764" s="2"/>
    </row>
    <row r="9765" spans="12:15">
      <c r="L9765" s="2"/>
      <c r="N9765" s="2"/>
      <c r="O9765" s="2"/>
    </row>
    <row r="9766" spans="12:15">
      <c r="L9766" s="2"/>
      <c r="N9766" s="2"/>
      <c r="O9766" s="2"/>
    </row>
    <row r="9767" spans="12:15">
      <c r="L9767" s="2"/>
      <c r="N9767" s="2"/>
      <c r="O9767" s="2"/>
    </row>
    <row r="9768" spans="12:15">
      <c r="L9768" s="2"/>
      <c r="N9768" s="2"/>
      <c r="O9768" s="2"/>
    </row>
    <row r="9769" spans="12:15">
      <c r="L9769" s="2"/>
      <c r="N9769" s="2"/>
      <c r="O9769" s="2"/>
    </row>
    <row r="9770" spans="12:15">
      <c r="L9770" s="2"/>
      <c r="N9770" s="2"/>
      <c r="O9770" s="2"/>
    </row>
    <row r="9771" spans="12:15">
      <c r="L9771" s="2"/>
      <c r="N9771" s="2"/>
      <c r="O9771" s="2"/>
    </row>
    <row r="9772" spans="12:15">
      <c r="L9772" s="2"/>
      <c r="N9772" s="2"/>
      <c r="O9772" s="2"/>
    </row>
    <row r="9773" spans="12:15">
      <c r="L9773" s="2"/>
      <c r="N9773" s="2"/>
      <c r="O9773" s="2"/>
    </row>
    <row r="9774" spans="12:15">
      <c r="L9774" s="2"/>
      <c r="N9774" s="2"/>
      <c r="O9774" s="2"/>
    </row>
    <row r="9775" spans="12:15">
      <c r="L9775" s="2"/>
      <c r="N9775" s="2"/>
      <c r="O9775" s="2"/>
    </row>
    <row r="9776" spans="12:15">
      <c r="L9776" s="2"/>
      <c r="N9776" s="2"/>
      <c r="O9776" s="2"/>
    </row>
    <row r="9777" spans="12:15">
      <c r="L9777" s="2"/>
      <c r="N9777" s="2"/>
      <c r="O9777" s="2"/>
    </row>
    <row r="9778" spans="12:15">
      <c r="L9778" s="2"/>
      <c r="N9778" s="2"/>
      <c r="O9778" s="2"/>
    </row>
    <row r="9779" spans="12:15">
      <c r="L9779" s="2"/>
      <c r="N9779" s="2"/>
      <c r="O9779" s="2"/>
    </row>
    <row r="9780" spans="12:15">
      <c r="L9780" s="2"/>
      <c r="N9780" s="2"/>
      <c r="O9780" s="2"/>
    </row>
    <row r="9781" spans="12:15">
      <c r="L9781" s="2"/>
      <c r="N9781" s="2"/>
      <c r="O9781" s="2"/>
    </row>
    <row r="9782" spans="12:15">
      <c r="L9782" s="2"/>
      <c r="N9782" s="2"/>
      <c r="O9782" s="2"/>
    </row>
    <row r="9783" spans="12:15">
      <c r="L9783" s="2"/>
      <c r="N9783" s="2"/>
      <c r="O9783" s="2"/>
    </row>
    <row r="9784" spans="12:15">
      <c r="L9784" s="2"/>
      <c r="N9784" s="2"/>
      <c r="O9784" s="2"/>
    </row>
    <row r="9785" spans="12:15">
      <c r="L9785" s="2"/>
      <c r="N9785" s="2"/>
      <c r="O9785" s="2"/>
    </row>
    <row r="9786" spans="12:15">
      <c r="L9786" s="2"/>
      <c r="N9786" s="2"/>
      <c r="O9786" s="2"/>
    </row>
    <row r="9787" spans="12:15">
      <c r="L9787" s="2"/>
      <c r="N9787" s="2"/>
      <c r="O9787" s="2"/>
    </row>
    <row r="9788" spans="12:15">
      <c r="L9788" s="2"/>
      <c r="N9788" s="2"/>
      <c r="O9788" s="2"/>
    </row>
    <row r="9789" spans="12:15">
      <c r="L9789" s="2"/>
      <c r="N9789" s="2"/>
      <c r="O9789" s="2"/>
    </row>
    <row r="9790" spans="12:15">
      <c r="L9790" s="2"/>
      <c r="N9790" s="2"/>
      <c r="O9790" s="2"/>
    </row>
    <row r="9791" spans="12:15">
      <c r="L9791" s="2"/>
      <c r="N9791" s="2"/>
      <c r="O9791" s="2"/>
    </row>
    <row r="9792" spans="12:15">
      <c r="L9792" s="2"/>
      <c r="N9792" s="2"/>
      <c r="O9792" s="2"/>
    </row>
    <row r="9793" spans="12:15">
      <c r="L9793" s="2"/>
      <c r="N9793" s="2"/>
      <c r="O9793" s="2"/>
    </row>
    <row r="9794" spans="12:15">
      <c r="L9794" s="2"/>
      <c r="N9794" s="2"/>
      <c r="O9794" s="2"/>
    </row>
    <row r="9795" spans="12:15">
      <c r="L9795" s="2"/>
      <c r="N9795" s="2"/>
      <c r="O9795" s="2"/>
    </row>
    <row r="9796" spans="12:15">
      <c r="L9796" s="2"/>
      <c r="N9796" s="2"/>
      <c r="O9796" s="2"/>
    </row>
    <row r="9797" spans="12:15">
      <c r="L9797" s="2"/>
      <c r="N9797" s="2"/>
      <c r="O9797" s="2"/>
    </row>
    <row r="9798" spans="12:15">
      <c r="L9798" s="2"/>
      <c r="N9798" s="2"/>
      <c r="O9798" s="2"/>
    </row>
    <row r="9799" spans="12:15">
      <c r="L9799" s="2"/>
      <c r="N9799" s="2"/>
      <c r="O9799" s="2"/>
    </row>
    <row r="9800" spans="12:15">
      <c r="L9800" s="2"/>
      <c r="N9800" s="2"/>
      <c r="O9800" s="2"/>
    </row>
    <row r="9801" spans="12:15">
      <c r="L9801" s="2"/>
      <c r="N9801" s="2"/>
      <c r="O9801" s="2"/>
    </row>
    <row r="9802" spans="12:15">
      <c r="L9802" s="2"/>
      <c r="N9802" s="2"/>
      <c r="O9802" s="2"/>
    </row>
    <row r="9803" spans="12:15">
      <c r="L9803" s="2"/>
      <c r="N9803" s="2"/>
      <c r="O9803" s="2"/>
    </row>
    <row r="9804" spans="12:15">
      <c r="L9804" s="2"/>
      <c r="N9804" s="2"/>
      <c r="O9804" s="2"/>
    </row>
    <row r="9805" spans="12:15">
      <c r="L9805" s="2"/>
      <c r="N9805" s="2"/>
      <c r="O9805" s="2"/>
    </row>
    <row r="9806" spans="12:15">
      <c r="L9806" s="2"/>
      <c r="N9806" s="2"/>
      <c r="O9806" s="2"/>
    </row>
    <row r="9807" spans="12:15">
      <c r="L9807" s="2"/>
      <c r="N9807" s="2"/>
      <c r="O9807" s="2"/>
    </row>
    <row r="9808" spans="12:15">
      <c r="L9808" s="2"/>
      <c r="N9808" s="2"/>
      <c r="O9808" s="2"/>
    </row>
    <row r="9809" spans="12:15">
      <c r="L9809" s="2"/>
      <c r="N9809" s="2"/>
      <c r="O9809" s="2"/>
    </row>
    <row r="9810" spans="12:15">
      <c r="L9810" s="2"/>
      <c r="N9810" s="2"/>
      <c r="O9810" s="2"/>
    </row>
    <row r="9811" spans="12:15">
      <c r="L9811" s="2"/>
      <c r="N9811" s="2"/>
      <c r="O9811" s="2"/>
    </row>
    <row r="9812" spans="12:15">
      <c r="L9812" s="2"/>
      <c r="N9812" s="2"/>
      <c r="O9812" s="2"/>
    </row>
    <row r="9813" spans="12:15">
      <c r="L9813" s="2"/>
      <c r="N9813" s="2"/>
      <c r="O9813" s="2"/>
    </row>
    <row r="9814" spans="12:15">
      <c r="L9814" s="2"/>
      <c r="N9814" s="2"/>
      <c r="O9814" s="2"/>
    </row>
    <row r="9815" spans="12:15">
      <c r="L9815" s="2"/>
      <c r="N9815" s="2"/>
      <c r="O9815" s="2"/>
    </row>
    <row r="9816" spans="12:15">
      <c r="L9816" s="2"/>
      <c r="N9816" s="2"/>
      <c r="O9816" s="2"/>
    </row>
    <row r="9817" spans="12:15">
      <c r="L9817" s="2"/>
      <c r="N9817" s="2"/>
      <c r="O9817" s="2"/>
    </row>
    <row r="9818" spans="12:15">
      <c r="L9818" s="2"/>
      <c r="N9818" s="2"/>
      <c r="O9818" s="2"/>
    </row>
    <row r="9819" spans="12:15">
      <c r="L9819" s="2"/>
      <c r="N9819" s="2"/>
      <c r="O9819" s="2"/>
    </row>
    <row r="9820" spans="12:15">
      <c r="L9820" s="2"/>
      <c r="N9820" s="2"/>
      <c r="O9820" s="2"/>
    </row>
    <row r="9821" spans="12:15">
      <c r="L9821" s="2"/>
      <c r="N9821" s="2"/>
      <c r="O9821" s="2"/>
    </row>
    <row r="9822" spans="12:15">
      <c r="L9822" s="2"/>
      <c r="N9822" s="2"/>
      <c r="O9822" s="2"/>
    </row>
    <row r="9823" spans="12:15">
      <c r="L9823" s="2"/>
      <c r="N9823" s="2"/>
      <c r="O9823" s="2"/>
    </row>
    <row r="9824" spans="12:15">
      <c r="L9824" s="2"/>
      <c r="N9824" s="2"/>
      <c r="O9824" s="2"/>
    </row>
    <row r="9825" spans="12:15">
      <c r="L9825" s="2"/>
      <c r="N9825" s="2"/>
      <c r="O9825" s="2"/>
    </row>
    <row r="9826" spans="12:15">
      <c r="L9826" s="2"/>
      <c r="N9826" s="2"/>
      <c r="O9826" s="2"/>
    </row>
    <row r="9827" spans="12:15">
      <c r="L9827" s="2"/>
      <c r="N9827" s="2"/>
      <c r="O9827" s="2"/>
    </row>
    <row r="9828" spans="12:15">
      <c r="L9828" s="2"/>
      <c r="N9828" s="2"/>
      <c r="O9828" s="2"/>
    </row>
    <row r="9829" spans="12:15">
      <c r="L9829" s="2"/>
      <c r="N9829" s="2"/>
      <c r="O9829" s="2"/>
    </row>
    <row r="9830" spans="12:15">
      <c r="L9830" s="2"/>
      <c r="N9830" s="2"/>
      <c r="O9830" s="2"/>
    </row>
    <row r="9831" spans="12:15">
      <c r="L9831" s="2"/>
      <c r="N9831" s="2"/>
      <c r="O9831" s="2"/>
    </row>
    <row r="9832" spans="12:15">
      <c r="L9832" s="2"/>
      <c r="N9832" s="2"/>
      <c r="O9832" s="2"/>
    </row>
    <row r="9833" spans="12:15">
      <c r="L9833" s="2"/>
      <c r="N9833" s="2"/>
      <c r="O9833" s="2"/>
    </row>
    <row r="9834" spans="12:15">
      <c r="L9834" s="2"/>
      <c r="N9834" s="2"/>
      <c r="O9834" s="2"/>
    </row>
    <row r="9835" spans="12:15">
      <c r="L9835" s="2"/>
      <c r="N9835" s="2"/>
      <c r="O9835" s="2"/>
    </row>
    <row r="9836" spans="12:15">
      <c r="L9836" s="2"/>
      <c r="N9836" s="2"/>
      <c r="O9836" s="2"/>
    </row>
    <row r="9837" spans="12:15">
      <c r="L9837" s="2"/>
      <c r="N9837" s="2"/>
      <c r="O9837" s="2"/>
    </row>
    <row r="9838" spans="12:15">
      <c r="L9838" s="2"/>
      <c r="N9838" s="2"/>
      <c r="O9838" s="2"/>
    </row>
    <row r="9839" spans="12:15">
      <c r="L9839" s="2"/>
      <c r="N9839" s="2"/>
      <c r="O9839" s="2"/>
    </row>
    <row r="9840" spans="12:15">
      <c r="L9840" s="2"/>
      <c r="N9840" s="2"/>
      <c r="O9840" s="2"/>
    </row>
    <row r="9841" spans="12:15">
      <c r="L9841" s="2"/>
      <c r="N9841" s="2"/>
      <c r="O9841" s="2"/>
    </row>
    <row r="9842" spans="12:15">
      <c r="L9842" s="2"/>
      <c r="N9842" s="2"/>
      <c r="O9842" s="2"/>
    </row>
    <row r="9843" spans="12:15">
      <c r="L9843" s="2"/>
      <c r="N9843" s="2"/>
      <c r="O9843" s="2"/>
    </row>
    <row r="9844" spans="12:15">
      <c r="L9844" s="2"/>
      <c r="N9844" s="2"/>
      <c r="O9844" s="2"/>
    </row>
    <row r="9845" spans="12:15">
      <c r="L9845" s="2"/>
      <c r="N9845" s="2"/>
      <c r="O9845" s="2"/>
    </row>
    <row r="9846" spans="12:15">
      <c r="L9846" s="2"/>
      <c r="N9846" s="2"/>
      <c r="O9846" s="2"/>
    </row>
    <row r="9847" spans="12:15">
      <c r="L9847" s="2"/>
      <c r="N9847" s="2"/>
      <c r="O9847" s="2"/>
    </row>
    <row r="9848" spans="12:15">
      <c r="L9848" s="2"/>
      <c r="N9848" s="2"/>
      <c r="O9848" s="2"/>
    </row>
    <row r="9849" spans="12:15">
      <c r="L9849" s="2"/>
      <c r="N9849" s="2"/>
      <c r="O9849" s="2"/>
    </row>
    <row r="9850" spans="12:15">
      <c r="L9850" s="2"/>
      <c r="N9850" s="2"/>
      <c r="O9850" s="2"/>
    </row>
    <row r="9851" spans="12:15">
      <c r="L9851" s="2"/>
      <c r="N9851" s="2"/>
      <c r="O9851" s="2"/>
    </row>
    <row r="9852" spans="12:15">
      <c r="L9852" s="2"/>
      <c r="N9852" s="2"/>
      <c r="O9852" s="2"/>
    </row>
    <row r="9853" spans="12:15">
      <c r="L9853" s="2"/>
      <c r="N9853" s="2"/>
      <c r="O9853" s="2"/>
    </row>
    <row r="9854" spans="12:15">
      <c r="L9854" s="2"/>
      <c r="N9854" s="2"/>
      <c r="O9854" s="2"/>
    </row>
    <row r="9855" spans="12:15">
      <c r="L9855" s="2"/>
      <c r="N9855" s="2"/>
      <c r="O9855" s="2"/>
    </row>
    <row r="9856" spans="12:15">
      <c r="L9856" s="2"/>
      <c r="N9856" s="2"/>
      <c r="O9856" s="2"/>
    </row>
    <row r="9857" spans="12:15">
      <c r="L9857" s="2"/>
      <c r="N9857" s="2"/>
      <c r="O9857" s="2"/>
    </row>
    <row r="9858" spans="12:15">
      <c r="L9858" s="2"/>
      <c r="N9858" s="2"/>
      <c r="O9858" s="2"/>
    </row>
    <row r="9859" spans="12:15">
      <c r="L9859" s="2"/>
      <c r="N9859" s="2"/>
      <c r="O9859" s="2"/>
    </row>
    <row r="9860" spans="12:15">
      <c r="L9860" s="2"/>
      <c r="N9860" s="2"/>
      <c r="O9860" s="2"/>
    </row>
    <row r="9861" spans="12:15">
      <c r="L9861" s="2"/>
      <c r="N9861" s="2"/>
      <c r="O9861" s="2"/>
    </row>
    <row r="9862" spans="12:15">
      <c r="L9862" s="2"/>
      <c r="N9862" s="2"/>
      <c r="O9862" s="2"/>
    </row>
    <row r="9863" spans="12:15">
      <c r="L9863" s="2"/>
      <c r="N9863" s="2"/>
      <c r="O9863" s="2"/>
    </row>
    <row r="9864" spans="12:15">
      <c r="L9864" s="2"/>
      <c r="N9864" s="2"/>
      <c r="O9864" s="2"/>
    </row>
    <row r="9865" spans="12:15">
      <c r="L9865" s="2"/>
      <c r="N9865" s="2"/>
      <c r="O9865" s="2"/>
    </row>
    <row r="9866" spans="12:15">
      <c r="L9866" s="2"/>
      <c r="N9866" s="2"/>
      <c r="O9866" s="2"/>
    </row>
    <row r="9867" spans="12:15">
      <c r="L9867" s="2"/>
      <c r="N9867" s="2"/>
      <c r="O9867" s="2"/>
    </row>
    <row r="9868" spans="12:15">
      <c r="L9868" s="2"/>
      <c r="N9868" s="2"/>
      <c r="O9868" s="2"/>
    </row>
    <row r="9869" spans="12:15">
      <c r="L9869" s="2"/>
      <c r="N9869" s="2"/>
      <c r="O9869" s="2"/>
    </row>
    <row r="9870" spans="12:15">
      <c r="L9870" s="2"/>
      <c r="N9870" s="2"/>
      <c r="O9870" s="2"/>
    </row>
    <row r="9871" spans="12:15">
      <c r="L9871" s="2"/>
      <c r="N9871" s="2"/>
      <c r="O9871" s="2"/>
    </row>
    <row r="9872" spans="12:15">
      <c r="L9872" s="2"/>
      <c r="N9872" s="2"/>
      <c r="O9872" s="2"/>
    </row>
    <row r="9873" spans="12:15">
      <c r="L9873" s="2"/>
      <c r="N9873" s="2"/>
      <c r="O9873" s="2"/>
    </row>
    <row r="9874" spans="12:15">
      <c r="L9874" s="2"/>
      <c r="N9874" s="2"/>
      <c r="O9874" s="2"/>
    </row>
    <row r="9875" spans="12:15">
      <c r="L9875" s="2"/>
      <c r="N9875" s="2"/>
      <c r="O9875" s="2"/>
    </row>
    <row r="9876" spans="12:15">
      <c r="L9876" s="2"/>
      <c r="N9876" s="2"/>
      <c r="O9876" s="2"/>
    </row>
    <row r="9877" spans="12:15">
      <c r="L9877" s="2"/>
      <c r="N9877" s="2"/>
      <c r="O9877" s="2"/>
    </row>
    <row r="9878" spans="12:15">
      <c r="L9878" s="2"/>
      <c r="N9878" s="2"/>
      <c r="O9878" s="2"/>
    </row>
    <row r="9879" spans="12:15">
      <c r="L9879" s="2"/>
      <c r="N9879" s="2"/>
      <c r="O9879" s="2"/>
    </row>
    <row r="9880" spans="12:15">
      <c r="L9880" s="2"/>
      <c r="N9880" s="2"/>
      <c r="O9880" s="2"/>
    </row>
    <row r="9881" spans="12:15">
      <c r="L9881" s="2"/>
      <c r="N9881" s="2"/>
      <c r="O9881" s="2"/>
    </row>
    <row r="9882" spans="12:15">
      <c r="L9882" s="2"/>
      <c r="N9882" s="2"/>
      <c r="O9882" s="2"/>
    </row>
    <row r="9883" spans="12:15">
      <c r="L9883" s="2"/>
      <c r="N9883" s="2"/>
      <c r="O9883" s="2"/>
    </row>
    <row r="9884" spans="12:15">
      <c r="L9884" s="2"/>
      <c r="N9884" s="2"/>
      <c r="O9884" s="2"/>
    </row>
    <row r="9885" spans="12:15">
      <c r="L9885" s="2"/>
      <c r="N9885" s="2"/>
      <c r="O9885" s="2"/>
    </row>
    <row r="9886" spans="12:15">
      <c r="L9886" s="2"/>
      <c r="N9886" s="2"/>
      <c r="O9886" s="2"/>
    </row>
    <row r="9887" spans="12:15">
      <c r="L9887" s="2"/>
      <c r="N9887" s="2"/>
      <c r="O9887" s="2"/>
    </row>
    <row r="9888" spans="12:15">
      <c r="L9888" s="2"/>
      <c r="N9888" s="2"/>
      <c r="O9888" s="2"/>
    </row>
    <row r="9889" spans="12:15">
      <c r="L9889" s="2"/>
      <c r="N9889" s="2"/>
      <c r="O9889" s="2"/>
    </row>
    <row r="9890" spans="12:15">
      <c r="L9890" s="2"/>
      <c r="N9890" s="2"/>
      <c r="O9890" s="2"/>
    </row>
    <row r="9891" spans="12:15">
      <c r="L9891" s="2"/>
      <c r="N9891" s="2"/>
      <c r="O9891" s="2"/>
    </row>
    <row r="9892" spans="12:15">
      <c r="L9892" s="2"/>
      <c r="N9892" s="2"/>
      <c r="O9892" s="2"/>
    </row>
    <row r="9893" spans="12:15">
      <c r="L9893" s="2"/>
      <c r="N9893" s="2"/>
      <c r="O9893" s="2"/>
    </row>
    <row r="9894" spans="12:15">
      <c r="L9894" s="2"/>
      <c r="N9894" s="2"/>
      <c r="O9894" s="2"/>
    </row>
    <row r="9895" spans="12:15">
      <c r="L9895" s="2"/>
      <c r="N9895" s="2"/>
      <c r="O9895" s="2"/>
    </row>
    <row r="9896" spans="12:15">
      <c r="L9896" s="2"/>
      <c r="N9896" s="2"/>
      <c r="O9896" s="2"/>
    </row>
    <row r="9897" spans="12:15">
      <c r="L9897" s="2"/>
      <c r="N9897" s="2"/>
      <c r="O9897" s="2"/>
    </row>
    <row r="9898" spans="12:15">
      <c r="L9898" s="2"/>
      <c r="N9898" s="2"/>
      <c r="O9898" s="2"/>
    </row>
    <row r="9899" spans="12:15">
      <c r="L9899" s="2"/>
      <c r="N9899" s="2"/>
      <c r="O9899" s="2"/>
    </row>
    <row r="9900" spans="12:15">
      <c r="L9900" s="2"/>
      <c r="N9900" s="2"/>
      <c r="O9900" s="2"/>
    </row>
    <row r="9901" spans="12:15">
      <c r="L9901" s="2"/>
      <c r="N9901" s="2"/>
      <c r="O9901" s="2"/>
    </row>
    <row r="9902" spans="12:15">
      <c r="L9902" s="2"/>
      <c r="N9902" s="2"/>
      <c r="O9902" s="2"/>
    </row>
    <row r="9903" spans="12:15">
      <c r="L9903" s="2"/>
      <c r="N9903" s="2"/>
      <c r="O9903" s="2"/>
    </row>
    <row r="9904" spans="12:15">
      <c r="L9904" s="2"/>
      <c r="N9904" s="2"/>
      <c r="O9904" s="2"/>
    </row>
    <row r="9905" spans="12:15">
      <c r="L9905" s="2"/>
      <c r="N9905" s="2"/>
      <c r="O9905" s="2"/>
    </row>
    <row r="9906" spans="12:15">
      <c r="L9906" s="2"/>
      <c r="N9906" s="2"/>
      <c r="O9906" s="2"/>
    </row>
    <row r="9907" spans="12:15">
      <c r="L9907" s="2"/>
      <c r="N9907" s="2"/>
      <c r="O9907" s="2"/>
    </row>
    <row r="9908" spans="12:15">
      <c r="L9908" s="2"/>
      <c r="N9908" s="2"/>
      <c r="O9908" s="2"/>
    </row>
    <row r="9909" spans="12:15">
      <c r="L9909" s="2"/>
      <c r="N9909" s="2"/>
      <c r="O9909" s="2"/>
    </row>
    <row r="9910" spans="12:15">
      <c r="L9910" s="2"/>
      <c r="N9910" s="2"/>
      <c r="O9910" s="2"/>
    </row>
    <row r="9911" spans="12:15">
      <c r="L9911" s="2"/>
      <c r="N9911" s="2"/>
      <c r="O9911" s="2"/>
    </row>
    <row r="9912" spans="12:15">
      <c r="L9912" s="2"/>
      <c r="N9912" s="2"/>
      <c r="O9912" s="2"/>
    </row>
    <row r="9913" spans="12:15">
      <c r="L9913" s="2"/>
      <c r="N9913" s="2"/>
      <c r="O9913" s="2"/>
    </row>
    <row r="9914" spans="12:15">
      <c r="L9914" s="2"/>
      <c r="N9914" s="2"/>
      <c r="O9914" s="2"/>
    </row>
    <row r="9915" spans="12:15">
      <c r="L9915" s="2"/>
      <c r="N9915" s="2"/>
      <c r="O9915" s="2"/>
    </row>
    <row r="9916" spans="12:15">
      <c r="L9916" s="2"/>
      <c r="N9916" s="2"/>
      <c r="O9916" s="2"/>
    </row>
    <row r="9917" spans="12:15">
      <c r="L9917" s="2"/>
      <c r="N9917" s="2"/>
      <c r="O9917" s="2"/>
    </row>
    <row r="9918" spans="12:15">
      <c r="L9918" s="2"/>
      <c r="N9918" s="2"/>
      <c r="O9918" s="2"/>
    </row>
    <row r="9919" spans="12:15">
      <c r="L9919" s="2"/>
      <c r="N9919" s="2"/>
      <c r="O9919" s="2"/>
    </row>
    <row r="9920" spans="12:15">
      <c r="L9920" s="2"/>
      <c r="N9920" s="2"/>
      <c r="O9920" s="2"/>
    </row>
    <row r="9921" spans="12:15">
      <c r="L9921" s="2"/>
      <c r="N9921" s="2"/>
      <c r="O9921" s="2"/>
    </row>
    <row r="9922" spans="12:15">
      <c r="L9922" s="2"/>
      <c r="N9922" s="2"/>
      <c r="O9922" s="2"/>
    </row>
    <row r="9923" spans="12:15">
      <c r="L9923" s="2"/>
      <c r="N9923" s="2"/>
      <c r="O9923" s="2"/>
    </row>
    <row r="9924" spans="12:15">
      <c r="L9924" s="2"/>
      <c r="N9924" s="2"/>
      <c r="O9924" s="2"/>
    </row>
    <row r="9925" spans="12:15">
      <c r="L9925" s="2"/>
      <c r="N9925" s="2"/>
      <c r="O9925" s="2"/>
    </row>
    <row r="9926" spans="12:15">
      <c r="L9926" s="2"/>
      <c r="N9926" s="2"/>
      <c r="O9926" s="2"/>
    </row>
    <row r="9927" spans="12:15">
      <c r="L9927" s="2"/>
      <c r="N9927" s="2"/>
      <c r="O9927" s="2"/>
    </row>
    <row r="9928" spans="12:15">
      <c r="L9928" s="2"/>
      <c r="N9928" s="2"/>
      <c r="O9928" s="2"/>
    </row>
    <row r="9929" spans="12:15">
      <c r="L9929" s="2"/>
      <c r="N9929" s="2"/>
      <c r="O9929" s="2"/>
    </row>
    <row r="9930" spans="12:15">
      <c r="L9930" s="2"/>
      <c r="N9930" s="2"/>
      <c r="O9930" s="2"/>
    </row>
    <row r="9931" spans="12:15">
      <c r="L9931" s="2"/>
      <c r="N9931" s="2"/>
      <c r="O9931" s="2"/>
    </row>
    <row r="9932" spans="12:15">
      <c r="L9932" s="2"/>
      <c r="N9932" s="2"/>
      <c r="O9932" s="2"/>
    </row>
    <row r="9933" spans="12:15">
      <c r="L9933" s="2"/>
      <c r="N9933" s="2"/>
      <c r="O9933" s="2"/>
    </row>
    <row r="9934" spans="12:15">
      <c r="L9934" s="2"/>
      <c r="N9934" s="2"/>
      <c r="O9934" s="2"/>
    </row>
    <row r="9935" spans="12:15">
      <c r="L9935" s="2"/>
      <c r="N9935" s="2"/>
      <c r="O9935" s="2"/>
    </row>
    <row r="9936" spans="12:15">
      <c r="L9936" s="2"/>
      <c r="N9936" s="2"/>
      <c r="O9936" s="2"/>
    </row>
    <row r="9937" spans="12:15">
      <c r="L9937" s="2"/>
      <c r="N9937" s="2"/>
      <c r="O9937" s="2"/>
    </row>
    <row r="9938" spans="12:15">
      <c r="L9938" s="2"/>
      <c r="N9938" s="2"/>
      <c r="O9938" s="2"/>
    </row>
    <row r="9939" spans="12:15">
      <c r="L9939" s="2"/>
      <c r="N9939" s="2"/>
      <c r="O9939" s="2"/>
    </row>
    <row r="9940" spans="12:15">
      <c r="L9940" s="2"/>
      <c r="N9940" s="2"/>
      <c r="O9940" s="2"/>
    </row>
    <row r="9941" spans="12:15">
      <c r="L9941" s="2"/>
      <c r="N9941" s="2"/>
      <c r="O9941" s="2"/>
    </row>
    <row r="9942" spans="12:15">
      <c r="L9942" s="2"/>
      <c r="N9942" s="2"/>
      <c r="O9942" s="2"/>
    </row>
    <row r="9943" spans="12:15">
      <c r="L9943" s="2"/>
      <c r="N9943" s="2"/>
      <c r="O9943" s="2"/>
    </row>
    <row r="9944" spans="12:15">
      <c r="L9944" s="2"/>
      <c r="N9944" s="2"/>
      <c r="O9944" s="2"/>
    </row>
    <row r="9945" spans="12:15">
      <c r="L9945" s="2"/>
      <c r="N9945" s="2"/>
      <c r="O9945" s="2"/>
    </row>
    <row r="9946" spans="12:15">
      <c r="L9946" s="2"/>
      <c r="N9946" s="2"/>
      <c r="O9946" s="2"/>
    </row>
    <row r="9947" spans="12:15">
      <c r="L9947" s="2"/>
      <c r="N9947" s="2"/>
      <c r="O9947" s="2"/>
    </row>
    <row r="9948" spans="12:15">
      <c r="L9948" s="2"/>
      <c r="N9948" s="2"/>
      <c r="O9948" s="2"/>
    </row>
    <row r="9949" spans="12:15">
      <c r="L9949" s="2"/>
      <c r="N9949" s="2"/>
      <c r="O9949" s="2"/>
    </row>
    <row r="9950" spans="12:15">
      <c r="L9950" s="2"/>
      <c r="N9950" s="2"/>
      <c r="O9950" s="2"/>
    </row>
    <row r="9951" spans="12:15">
      <c r="L9951" s="2"/>
      <c r="N9951" s="2"/>
      <c r="O9951" s="2"/>
    </row>
    <row r="9952" spans="12:15">
      <c r="L9952" s="2"/>
      <c r="N9952" s="2"/>
      <c r="O9952" s="2"/>
    </row>
    <row r="9953" spans="12:15">
      <c r="L9953" s="2"/>
      <c r="N9953" s="2"/>
      <c r="O9953" s="2"/>
    </row>
    <row r="9954" spans="12:15">
      <c r="L9954" s="2"/>
      <c r="N9954" s="2"/>
      <c r="O9954" s="2"/>
    </row>
    <row r="9955" spans="12:15">
      <c r="L9955" s="2"/>
      <c r="N9955" s="2"/>
      <c r="O9955" s="2"/>
    </row>
    <row r="9956" spans="12:15">
      <c r="L9956" s="2"/>
      <c r="N9956" s="2"/>
      <c r="O9956" s="2"/>
    </row>
    <row r="9957" spans="12:15">
      <c r="L9957" s="2"/>
      <c r="N9957" s="2"/>
      <c r="O9957" s="2"/>
    </row>
    <row r="9958" spans="12:15">
      <c r="L9958" s="2"/>
      <c r="N9958" s="2"/>
      <c r="O9958" s="2"/>
    </row>
    <row r="9959" spans="12:15">
      <c r="L9959" s="2"/>
      <c r="N9959" s="2"/>
      <c r="O9959" s="2"/>
    </row>
    <row r="9960" spans="12:15">
      <c r="L9960" s="2"/>
      <c r="N9960" s="2"/>
      <c r="O9960" s="2"/>
    </row>
    <row r="9961" spans="12:15">
      <c r="L9961" s="2"/>
      <c r="N9961" s="2"/>
      <c r="O9961" s="2"/>
    </row>
    <row r="9962" spans="12:15">
      <c r="L9962" s="2"/>
      <c r="N9962" s="2"/>
      <c r="O9962" s="2"/>
    </row>
    <row r="9963" spans="12:15">
      <c r="L9963" s="2"/>
      <c r="N9963" s="2"/>
      <c r="O9963" s="2"/>
    </row>
    <row r="9964" spans="12:15">
      <c r="L9964" s="2"/>
      <c r="N9964" s="2"/>
      <c r="O9964" s="2"/>
    </row>
    <row r="9965" spans="12:15">
      <c r="L9965" s="2"/>
      <c r="N9965" s="2"/>
      <c r="O9965" s="2"/>
    </row>
    <row r="9966" spans="12:15">
      <c r="L9966" s="2"/>
      <c r="N9966" s="2"/>
      <c r="O9966" s="2"/>
    </row>
    <row r="9967" spans="12:15">
      <c r="L9967" s="2"/>
      <c r="N9967" s="2"/>
      <c r="O9967" s="2"/>
    </row>
    <row r="9968" spans="12:15">
      <c r="L9968" s="2"/>
      <c r="N9968" s="2"/>
      <c r="O9968" s="2"/>
    </row>
    <row r="9969" spans="12:15">
      <c r="L9969" s="2"/>
      <c r="N9969" s="2"/>
      <c r="O9969" s="2"/>
    </row>
    <row r="9970" spans="12:15">
      <c r="L9970" s="2"/>
      <c r="N9970" s="2"/>
      <c r="O9970" s="2"/>
    </row>
    <row r="9971" spans="12:15">
      <c r="L9971" s="2"/>
      <c r="N9971" s="2"/>
      <c r="O9971" s="2"/>
    </row>
    <row r="9972" spans="12:15">
      <c r="L9972" s="2"/>
      <c r="N9972" s="2"/>
      <c r="O9972" s="2"/>
    </row>
    <row r="9973" spans="12:15">
      <c r="L9973" s="2"/>
      <c r="N9973" s="2"/>
      <c r="O9973" s="2"/>
    </row>
    <row r="9974" spans="12:15">
      <c r="L9974" s="2"/>
      <c r="N9974" s="2"/>
      <c r="O9974" s="2"/>
    </row>
    <row r="9975" spans="12:15">
      <c r="L9975" s="2"/>
      <c r="N9975" s="2"/>
      <c r="O9975" s="2"/>
    </row>
    <row r="9976" spans="12:15">
      <c r="L9976" s="2"/>
      <c r="N9976" s="2"/>
      <c r="O9976" s="2"/>
    </row>
    <row r="9977" spans="12:15">
      <c r="L9977" s="2"/>
      <c r="N9977" s="2"/>
      <c r="O9977" s="2"/>
    </row>
    <row r="9978" spans="12:15">
      <c r="L9978" s="2"/>
      <c r="N9978" s="2"/>
      <c r="O9978" s="2"/>
    </row>
    <row r="9979" spans="12:15">
      <c r="L9979" s="2"/>
      <c r="N9979" s="2"/>
      <c r="O9979" s="2"/>
    </row>
    <row r="9980" spans="12:15">
      <c r="L9980" s="2"/>
      <c r="N9980" s="2"/>
      <c r="O9980" s="2"/>
    </row>
    <row r="9981" spans="12:15">
      <c r="L9981" s="2"/>
      <c r="N9981" s="2"/>
      <c r="O9981" s="2"/>
    </row>
    <row r="9982" spans="12:15">
      <c r="L9982" s="2"/>
      <c r="N9982" s="2"/>
      <c r="O9982" s="2"/>
    </row>
    <row r="9983" spans="12:15">
      <c r="L9983" s="2"/>
      <c r="N9983" s="2"/>
      <c r="O9983" s="2"/>
    </row>
    <row r="9984" spans="12:15">
      <c r="L9984" s="2"/>
      <c r="N9984" s="2"/>
      <c r="O9984" s="2"/>
    </row>
    <row r="9985" spans="12:15">
      <c r="L9985" s="2"/>
      <c r="N9985" s="2"/>
      <c r="O9985" s="2"/>
    </row>
    <row r="9986" spans="12:15">
      <c r="L9986" s="2"/>
      <c r="N9986" s="2"/>
      <c r="O9986" s="2"/>
    </row>
    <row r="9987" spans="12:15">
      <c r="L9987" s="2"/>
      <c r="N9987" s="2"/>
      <c r="O9987" s="2"/>
    </row>
    <row r="9988" spans="12:15">
      <c r="L9988" s="2"/>
      <c r="N9988" s="2"/>
      <c r="O9988" s="2"/>
    </row>
    <row r="9989" spans="12:15">
      <c r="L9989" s="2"/>
      <c r="N9989" s="2"/>
      <c r="O9989" s="2"/>
    </row>
    <row r="9990" spans="12:15">
      <c r="L9990" s="2"/>
      <c r="N9990" s="2"/>
      <c r="O9990" s="2"/>
    </row>
    <row r="9991" spans="12:15">
      <c r="L9991" s="2"/>
      <c r="N9991" s="2"/>
      <c r="O9991" s="2"/>
    </row>
    <row r="9992" spans="12:15">
      <c r="L9992" s="2"/>
      <c r="N9992" s="2"/>
      <c r="O9992" s="2"/>
    </row>
    <row r="9993" spans="12:15">
      <c r="L9993" s="2"/>
      <c r="N9993" s="2"/>
      <c r="O9993" s="2"/>
    </row>
    <row r="9994" spans="12:15">
      <c r="L9994" s="2"/>
      <c r="N9994" s="2"/>
      <c r="O9994" s="2"/>
    </row>
    <row r="9995" spans="12:15">
      <c r="L9995" s="2"/>
      <c r="N9995" s="2"/>
      <c r="O9995" s="2"/>
    </row>
    <row r="9996" spans="12:15">
      <c r="L9996" s="2"/>
      <c r="N9996" s="2"/>
      <c r="O9996" s="2"/>
    </row>
    <row r="9997" spans="12:15">
      <c r="L9997" s="2"/>
      <c r="N9997" s="2"/>
      <c r="O9997" s="2"/>
    </row>
    <row r="9998" spans="12:15">
      <c r="L9998" s="2"/>
      <c r="N9998" s="2"/>
      <c r="O9998" s="2"/>
    </row>
    <row r="9999" spans="12:15">
      <c r="L9999" s="2"/>
      <c r="N9999" s="2"/>
      <c r="O9999" s="2"/>
    </row>
    <row r="10000" spans="12:15">
      <c r="L10000" s="2"/>
      <c r="N10000" s="2"/>
      <c r="O10000" s="2"/>
    </row>
    <row r="10001" spans="12:15">
      <c r="L10001" s="2"/>
      <c r="N10001" s="2"/>
      <c r="O10001" s="2"/>
    </row>
    <row r="10002" spans="12:15">
      <c r="L10002" s="2"/>
      <c r="N10002" s="2"/>
      <c r="O10002" s="2"/>
    </row>
    <row r="10003" spans="12:15">
      <c r="L10003" s="2"/>
      <c r="N10003" s="2"/>
      <c r="O10003" s="2"/>
    </row>
    <row r="10004" spans="12:15">
      <c r="L10004" s="2"/>
      <c r="N10004" s="2"/>
      <c r="O10004" s="2"/>
    </row>
    <row r="10005" spans="12:15">
      <c r="L10005" s="2"/>
      <c r="N10005" s="2"/>
      <c r="O10005" s="2"/>
    </row>
    <row r="10006" spans="12:15">
      <c r="L10006" s="2"/>
      <c r="N10006" s="2"/>
      <c r="O10006" s="2"/>
    </row>
    <row r="10007" spans="12:15">
      <c r="L10007" s="2"/>
      <c r="N10007" s="2"/>
      <c r="O10007" s="2"/>
    </row>
    <row r="10008" spans="12:15">
      <c r="L10008" s="2"/>
      <c r="N10008" s="2"/>
      <c r="O10008" s="2"/>
    </row>
    <row r="10009" spans="12:15">
      <c r="L10009" s="2"/>
      <c r="N10009" s="2"/>
      <c r="O10009" s="2"/>
    </row>
    <row r="10010" spans="12:15">
      <c r="L10010" s="2"/>
      <c r="N10010" s="2"/>
      <c r="O10010" s="2"/>
    </row>
    <row r="10011" spans="12:15">
      <c r="L10011" s="2"/>
      <c r="N10011" s="2"/>
      <c r="O10011" s="2"/>
    </row>
    <row r="10012" spans="12:15">
      <c r="L10012" s="2"/>
      <c r="N10012" s="2"/>
      <c r="O10012" s="2"/>
    </row>
    <row r="10013" spans="12:15">
      <c r="L10013" s="2"/>
      <c r="N10013" s="2"/>
      <c r="O10013" s="2"/>
    </row>
    <row r="10014" spans="12:15">
      <c r="L10014" s="2"/>
      <c r="N10014" s="2"/>
      <c r="O10014" s="2"/>
    </row>
    <row r="10015" spans="12:15">
      <c r="L10015" s="2"/>
      <c r="N10015" s="2"/>
      <c r="O10015" s="2"/>
    </row>
    <row r="10016" spans="12:15">
      <c r="L10016" s="2"/>
      <c r="N10016" s="2"/>
      <c r="O10016" s="2"/>
    </row>
    <row r="10017" spans="12:15">
      <c r="L10017" s="2"/>
      <c r="N10017" s="2"/>
      <c r="O10017" s="2"/>
    </row>
    <row r="10018" spans="12:15">
      <c r="L10018" s="2"/>
      <c r="N10018" s="2"/>
      <c r="O10018" s="2"/>
    </row>
    <row r="10019" spans="12:15">
      <c r="L10019" s="2"/>
      <c r="N10019" s="2"/>
      <c r="O10019" s="2"/>
    </row>
    <row r="10020" spans="12:15">
      <c r="L10020" s="2"/>
      <c r="N10020" s="2"/>
      <c r="O10020" s="2"/>
    </row>
    <row r="10021" spans="12:15">
      <c r="L10021" s="2"/>
      <c r="N10021" s="2"/>
      <c r="O10021" s="2"/>
    </row>
    <row r="10022" spans="12:15">
      <c r="L10022" s="2"/>
      <c r="N10022" s="2"/>
      <c r="O10022" s="2"/>
    </row>
    <row r="10023" spans="12:15">
      <c r="L10023" s="2"/>
      <c r="N10023" s="2"/>
      <c r="O10023" s="2"/>
    </row>
    <row r="10024" spans="12:15">
      <c r="L10024" s="2"/>
      <c r="N10024" s="2"/>
      <c r="O10024" s="2"/>
    </row>
    <row r="10025" spans="12:15">
      <c r="L10025" s="2"/>
      <c r="N10025" s="2"/>
      <c r="O10025" s="2"/>
    </row>
    <row r="10026" spans="12:15">
      <c r="L10026" s="2"/>
      <c r="N10026" s="2"/>
      <c r="O10026" s="2"/>
    </row>
    <row r="10027" spans="12:15">
      <c r="L10027" s="2"/>
      <c r="N10027" s="2"/>
      <c r="O10027" s="2"/>
    </row>
    <row r="10028" spans="12:15">
      <c r="L10028" s="2"/>
      <c r="N10028" s="2"/>
      <c r="O10028" s="2"/>
    </row>
    <row r="10029" spans="12:15">
      <c r="L10029" s="2"/>
      <c r="N10029" s="2"/>
      <c r="O10029" s="2"/>
    </row>
    <row r="10030" spans="12:15">
      <c r="L10030" s="2"/>
      <c r="N10030" s="2"/>
      <c r="O10030" s="2"/>
    </row>
    <row r="10031" spans="12:15">
      <c r="L10031" s="2"/>
      <c r="N10031" s="2"/>
      <c r="O10031" s="2"/>
    </row>
    <row r="10032" spans="12:15">
      <c r="L10032" s="2"/>
      <c r="N10032" s="2"/>
      <c r="O10032" s="2"/>
    </row>
    <row r="10033" spans="12:15">
      <c r="L10033" s="2"/>
      <c r="N10033" s="2"/>
      <c r="O10033" s="2"/>
    </row>
    <row r="10034" spans="12:15">
      <c r="L10034" s="2"/>
      <c r="N10034" s="2"/>
      <c r="O10034" s="2"/>
    </row>
    <row r="10035" spans="12:15">
      <c r="L10035" s="2"/>
      <c r="N10035" s="2"/>
      <c r="O10035" s="2"/>
    </row>
    <row r="10036" spans="12:15">
      <c r="L10036" s="2"/>
      <c r="N10036" s="2"/>
      <c r="O10036" s="2"/>
    </row>
    <row r="10037" spans="12:15">
      <c r="L10037" s="2"/>
      <c r="N10037" s="2"/>
      <c r="O10037" s="2"/>
    </row>
    <row r="10038" spans="12:15">
      <c r="L10038" s="2"/>
      <c r="N10038" s="2"/>
      <c r="O10038" s="2"/>
    </row>
    <row r="10039" spans="12:15">
      <c r="L10039" s="2"/>
      <c r="N10039" s="2"/>
      <c r="O10039" s="2"/>
    </row>
    <row r="10040" spans="12:15">
      <c r="L10040" s="2"/>
      <c r="N10040" s="2"/>
      <c r="O10040" s="2"/>
    </row>
    <row r="10041" spans="12:15">
      <c r="L10041" s="2"/>
      <c r="N10041" s="2"/>
      <c r="O10041" s="2"/>
    </row>
    <row r="10042" spans="12:15">
      <c r="L10042" s="2"/>
      <c r="N10042" s="2"/>
      <c r="O10042" s="2"/>
    </row>
    <row r="10043" spans="12:15">
      <c r="L10043" s="2"/>
      <c r="N10043" s="2"/>
      <c r="O10043" s="2"/>
    </row>
    <row r="10044" spans="12:15">
      <c r="L10044" s="2"/>
      <c r="N10044" s="2"/>
      <c r="O10044" s="2"/>
    </row>
    <row r="10045" spans="12:15">
      <c r="L10045" s="2"/>
      <c r="N10045" s="2"/>
      <c r="O10045" s="2"/>
    </row>
    <row r="10046" spans="12:15">
      <c r="L10046" s="2"/>
      <c r="N10046" s="2"/>
      <c r="O10046" s="2"/>
    </row>
    <row r="10047" spans="12:15">
      <c r="L10047" s="2"/>
      <c r="N10047" s="2"/>
      <c r="O10047" s="2"/>
    </row>
    <row r="10048" spans="12:15">
      <c r="L10048" s="2"/>
      <c r="N10048" s="2"/>
      <c r="O10048" s="2"/>
    </row>
    <row r="10049" spans="12:15">
      <c r="L10049" s="2"/>
      <c r="N10049" s="2"/>
      <c r="O10049" s="2"/>
    </row>
    <row r="10050" spans="12:15">
      <c r="L10050" s="2"/>
      <c r="N10050" s="2"/>
      <c r="O10050" s="2"/>
    </row>
    <row r="10051" spans="12:15">
      <c r="L10051" s="2"/>
      <c r="N10051" s="2"/>
      <c r="O10051" s="2"/>
    </row>
    <row r="10052" spans="12:15">
      <c r="L10052" s="2"/>
      <c r="N10052" s="2"/>
      <c r="O10052" s="2"/>
    </row>
    <row r="10053" spans="12:15">
      <c r="L10053" s="2"/>
      <c r="N10053" s="2"/>
      <c r="O10053" s="2"/>
    </row>
    <row r="10054" spans="12:15">
      <c r="L10054" s="2"/>
      <c r="N10054" s="2"/>
      <c r="O10054" s="2"/>
    </row>
    <row r="10055" spans="12:15">
      <c r="L10055" s="2"/>
      <c r="N10055" s="2"/>
      <c r="O10055" s="2"/>
    </row>
    <row r="10056" spans="12:15">
      <c r="L10056" s="2"/>
      <c r="N10056" s="2"/>
      <c r="O10056" s="2"/>
    </row>
    <row r="10057" spans="12:15">
      <c r="L10057" s="2"/>
      <c r="N10057" s="2"/>
      <c r="O10057" s="2"/>
    </row>
    <row r="10058" spans="12:15">
      <c r="L10058" s="2"/>
      <c r="N10058" s="2"/>
      <c r="O10058" s="2"/>
    </row>
    <row r="10059" spans="12:15">
      <c r="L10059" s="2"/>
      <c r="N10059" s="2"/>
      <c r="O10059" s="2"/>
    </row>
    <row r="10060" spans="12:15">
      <c r="L10060" s="2"/>
      <c r="N10060" s="2"/>
      <c r="O10060" s="2"/>
    </row>
    <row r="10061" spans="12:15">
      <c r="L10061" s="2"/>
      <c r="N10061" s="2"/>
      <c r="O10061" s="2"/>
    </row>
    <row r="10062" spans="12:15">
      <c r="L10062" s="2"/>
      <c r="N10062" s="2"/>
      <c r="O10062" s="2"/>
    </row>
    <row r="10063" spans="12:15">
      <c r="L10063" s="2"/>
      <c r="N10063" s="2"/>
      <c r="O10063" s="2"/>
    </row>
    <row r="10064" spans="12:15">
      <c r="L10064" s="2"/>
      <c r="N10064" s="2"/>
      <c r="O10064" s="2"/>
    </row>
    <row r="10065" spans="12:15">
      <c r="L10065" s="2"/>
      <c r="N10065" s="2"/>
      <c r="O10065" s="2"/>
    </row>
    <row r="10066" spans="12:15">
      <c r="L10066" s="2"/>
      <c r="N10066" s="2"/>
      <c r="O10066" s="2"/>
    </row>
    <row r="10067" spans="12:15">
      <c r="L10067" s="2"/>
      <c r="N10067" s="2"/>
      <c r="O10067" s="2"/>
    </row>
    <row r="10068" spans="12:15">
      <c r="L10068" s="2"/>
      <c r="N10068" s="2"/>
      <c r="O10068" s="2"/>
    </row>
    <row r="10069" spans="12:15">
      <c r="L10069" s="2"/>
      <c r="N10069" s="2"/>
      <c r="O10069" s="2"/>
    </row>
    <row r="10070" spans="12:15">
      <c r="L10070" s="2"/>
      <c r="N10070" s="2"/>
      <c r="O10070" s="2"/>
    </row>
    <row r="10071" spans="12:15">
      <c r="L10071" s="2"/>
      <c r="N10071" s="2"/>
      <c r="O10071" s="2"/>
    </row>
    <row r="10072" spans="12:15">
      <c r="L10072" s="2"/>
      <c r="N10072" s="2"/>
      <c r="O10072" s="2"/>
    </row>
    <row r="10073" spans="12:15">
      <c r="L10073" s="2"/>
      <c r="N10073" s="2"/>
      <c r="O10073" s="2"/>
    </row>
    <row r="10074" spans="12:15">
      <c r="L10074" s="2"/>
      <c r="N10074" s="2"/>
      <c r="O10074" s="2"/>
    </row>
    <row r="10075" spans="12:15">
      <c r="L10075" s="2"/>
      <c r="N10075" s="2"/>
      <c r="O10075" s="2"/>
    </row>
    <row r="10076" spans="12:15">
      <c r="L10076" s="2"/>
      <c r="N10076" s="2"/>
      <c r="O10076" s="2"/>
    </row>
    <row r="10077" spans="12:15">
      <c r="L10077" s="2"/>
      <c r="N10077" s="2"/>
      <c r="O10077" s="2"/>
    </row>
    <row r="10078" spans="12:15">
      <c r="L10078" s="2"/>
      <c r="N10078" s="2"/>
      <c r="O10078" s="2"/>
    </row>
    <row r="10079" spans="12:15">
      <c r="L10079" s="2"/>
      <c r="N10079" s="2"/>
      <c r="O10079" s="2"/>
    </row>
    <row r="10080" spans="12:15">
      <c r="L10080" s="2"/>
      <c r="N10080" s="2"/>
      <c r="O10080" s="2"/>
    </row>
    <row r="10081" spans="12:15">
      <c r="L10081" s="2"/>
      <c r="N10081" s="2"/>
      <c r="O10081" s="2"/>
    </row>
    <row r="10082" spans="12:15">
      <c r="L10082" s="2"/>
      <c r="N10082" s="2"/>
      <c r="O10082" s="2"/>
    </row>
    <row r="10083" spans="12:15">
      <c r="L10083" s="2"/>
      <c r="N10083" s="2"/>
      <c r="O10083" s="2"/>
    </row>
    <row r="10084" spans="12:15">
      <c r="L10084" s="2"/>
      <c r="N10084" s="2"/>
      <c r="O10084" s="2"/>
    </row>
    <row r="10085" spans="12:15">
      <c r="L10085" s="2"/>
      <c r="N10085" s="2"/>
      <c r="O10085" s="2"/>
    </row>
    <row r="10086" spans="12:15">
      <c r="L10086" s="2"/>
      <c r="N10086" s="2"/>
      <c r="O10086" s="2"/>
    </row>
    <row r="10087" spans="12:15">
      <c r="L10087" s="2"/>
      <c r="N10087" s="2"/>
      <c r="O10087" s="2"/>
    </row>
    <row r="10088" spans="12:15">
      <c r="L10088" s="2"/>
      <c r="N10088" s="2"/>
      <c r="O10088" s="2"/>
    </row>
    <row r="10089" spans="12:15">
      <c r="L10089" s="2"/>
      <c r="N10089" s="2"/>
      <c r="O10089" s="2"/>
    </row>
    <row r="10090" spans="12:15">
      <c r="L10090" s="2"/>
      <c r="N10090" s="2"/>
      <c r="O10090" s="2"/>
    </row>
    <row r="10091" spans="12:15">
      <c r="L10091" s="2"/>
      <c r="N10091" s="2"/>
      <c r="O10091" s="2"/>
    </row>
    <row r="10092" spans="12:15">
      <c r="L10092" s="2"/>
      <c r="N10092" s="2"/>
      <c r="O10092" s="2"/>
    </row>
    <row r="10093" spans="12:15">
      <c r="L10093" s="2"/>
      <c r="N10093" s="2"/>
      <c r="O10093" s="2"/>
    </row>
    <row r="10094" spans="12:15">
      <c r="L10094" s="2"/>
      <c r="N10094" s="2"/>
      <c r="O10094" s="2"/>
    </row>
    <row r="10095" spans="12:15">
      <c r="L10095" s="2"/>
      <c r="N10095" s="2"/>
      <c r="O10095" s="2"/>
    </row>
    <row r="10096" spans="12:15">
      <c r="L10096" s="2"/>
      <c r="N10096" s="2"/>
      <c r="O10096" s="2"/>
    </row>
    <row r="10097" spans="12:15">
      <c r="L10097" s="2"/>
      <c r="N10097" s="2"/>
      <c r="O10097" s="2"/>
    </row>
    <row r="10098" spans="12:15">
      <c r="L10098" s="2"/>
      <c r="N10098" s="2"/>
      <c r="O10098" s="2"/>
    </row>
    <row r="10099" spans="12:15">
      <c r="L10099" s="2"/>
      <c r="N10099" s="2"/>
      <c r="O10099" s="2"/>
    </row>
    <row r="10100" spans="12:15">
      <c r="L10100" s="2"/>
      <c r="N10100" s="2"/>
      <c r="O10100" s="2"/>
    </row>
    <row r="10101" spans="12:15">
      <c r="L10101" s="2"/>
      <c r="N10101" s="2"/>
      <c r="O10101" s="2"/>
    </row>
    <row r="10102" spans="12:15">
      <c r="L10102" s="2"/>
      <c r="N10102" s="2"/>
      <c r="O10102" s="2"/>
    </row>
    <row r="10103" spans="12:15">
      <c r="L10103" s="2"/>
      <c r="N10103" s="2"/>
      <c r="O10103" s="2"/>
    </row>
    <row r="10104" spans="12:15">
      <c r="L10104" s="2"/>
      <c r="N10104" s="2"/>
      <c r="O10104" s="2"/>
    </row>
    <row r="10105" spans="12:15">
      <c r="L10105" s="2"/>
      <c r="N10105" s="2"/>
      <c r="O10105" s="2"/>
    </row>
    <row r="10106" spans="12:15">
      <c r="L10106" s="2"/>
      <c r="N10106" s="2"/>
      <c r="O10106" s="2"/>
    </row>
    <row r="10107" spans="12:15">
      <c r="L10107" s="2"/>
      <c r="N10107" s="2"/>
      <c r="O10107" s="2"/>
    </row>
    <row r="10108" spans="12:15">
      <c r="L10108" s="2"/>
      <c r="N10108" s="2"/>
      <c r="O10108" s="2"/>
    </row>
    <row r="10109" spans="12:15">
      <c r="L10109" s="2"/>
      <c r="N10109" s="2"/>
      <c r="O10109" s="2"/>
    </row>
    <row r="10110" spans="12:15">
      <c r="L10110" s="2"/>
      <c r="N10110" s="2"/>
      <c r="O10110" s="2"/>
    </row>
    <row r="10111" spans="12:15">
      <c r="L10111" s="2"/>
      <c r="N10111" s="2"/>
      <c r="O10111" s="2"/>
    </row>
    <row r="10112" spans="12:15">
      <c r="L10112" s="2"/>
      <c r="N10112" s="2"/>
      <c r="O10112" s="2"/>
    </row>
    <row r="10113" spans="12:15">
      <c r="L10113" s="2"/>
      <c r="N10113" s="2"/>
      <c r="O10113" s="2"/>
    </row>
    <row r="10114" spans="12:15">
      <c r="L10114" s="2"/>
      <c r="N10114" s="2"/>
      <c r="O10114" s="2"/>
    </row>
    <row r="10115" spans="12:15">
      <c r="L10115" s="2"/>
      <c r="N10115" s="2"/>
      <c r="O10115" s="2"/>
    </row>
    <row r="10116" spans="12:15">
      <c r="L10116" s="2"/>
      <c r="N10116" s="2"/>
      <c r="O10116" s="2"/>
    </row>
    <row r="10117" spans="12:15">
      <c r="L10117" s="2"/>
      <c r="N10117" s="2"/>
      <c r="O10117" s="2"/>
    </row>
    <row r="10118" spans="12:15">
      <c r="L10118" s="2"/>
      <c r="N10118" s="2"/>
      <c r="O10118" s="2"/>
    </row>
    <row r="10119" spans="12:15">
      <c r="L10119" s="2"/>
      <c r="N10119" s="2"/>
      <c r="O10119" s="2"/>
    </row>
    <row r="10120" spans="12:15">
      <c r="L10120" s="2"/>
      <c r="N10120" s="2"/>
      <c r="O10120" s="2"/>
    </row>
    <row r="10121" spans="12:15">
      <c r="L10121" s="2"/>
      <c r="N10121" s="2"/>
      <c r="O10121" s="2"/>
    </row>
    <row r="10122" spans="12:15">
      <c r="L10122" s="2"/>
      <c r="N10122" s="2"/>
      <c r="O10122" s="2"/>
    </row>
    <row r="10123" spans="12:15">
      <c r="L10123" s="2"/>
      <c r="N10123" s="2"/>
      <c r="O10123" s="2"/>
    </row>
    <row r="10124" spans="12:15">
      <c r="L10124" s="2"/>
      <c r="N10124" s="2"/>
      <c r="O10124" s="2"/>
    </row>
    <row r="10125" spans="12:15">
      <c r="L10125" s="2"/>
      <c r="N10125" s="2"/>
      <c r="O10125" s="2"/>
    </row>
    <row r="10126" spans="12:15">
      <c r="L10126" s="2"/>
      <c r="N10126" s="2"/>
      <c r="O10126" s="2"/>
    </row>
    <row r="10127" spans="12:15">
      <c r="L10127" s="2"/>
      <c r="N10127" s="2"/>
      <c r="O10127" s="2"/>
    </row>
    <row r="10128" spans="12:15">
      <c r="L10128" s="2"/>
      <c r="N10128" s="2"/>
      <c r="O10128" s="2"/>
    </row>
    <row r="10129" spans="12:15">
      <c r="L10129" s="2"/>
      <c r="N10129" s="2"/>
      <c r="O10129" s="2"/>
    </row>
    <row r="10130" spans="12:15">
      <c r="L10130" s="2"/>
      <c r="N10130" s="2"/>
      <c r="O10130" s="2"/>
    </row>
    <row r="10131" spans="12:15">
      <c r="L10131" s="2"/>
      <c r="N10131" s="2"/>
      <c r="O10131" s="2"/>
    </row>
    <row r="10132" spans="12:15">
      <c r="L10132" s="2"/>
      <c r="N10132" s="2"/>
      <c r="O10132" s="2"/>
    </row>
    <row r="10133" spans="12:15">
      <c r="L10133" s="2"/>
      <c r="N10133" s="2"/>
      <c r="O10133" s="2"/>
    </row>
    <row r="10134" spans="12:15">
      <c r="L10134" s="2"/>
      <c r="N10134" s="2"/>
      <c r="O10134" s="2"/>
    </row>
    <row r="10135" spans="12:15">
      <c r="L10135" s="2"/>
      <c r="N10135" s="2"/>
      <c r="O10135" s="2"/>
    </row>
    <row r="10136" spans="12:15">
      <c r="L10136" s="2"/>
      <c r="N10136" s="2"/>
      <c r="O10136" s="2"/>
    </row>
    <row r="10137" spans="12:15">
      <c r="L10137" s="2"/>
      <c r="N10137" s="2"/>
      <c r="O10137" s="2"/>
    </row>
    <row r="10138" spans="12:15">
      <c r="L10138" s="2"/>
      <c r="N10138" s="2"/>
      <c r="O10138" s="2"/>
    </row>
    <row r="10139" spans="12:15">
      <c r="L10139" s="2"/>
      <c r="N10139" s="2"/>
      <c r="O10139" s="2"/>
    </row>
    <row r="10140" spans="12:15">
      <c r="L10140" s="2"/>
      <c r="N10140" s="2"/>
      <c r="O10140" s="2"/>
    </row>
    <row r="10141" spans="12:15">
      <c r="L10141" s="2"/>
      <c r="N10141" s="2"/>
      <c r="O10141" s="2"/>
    </row>
    <row r="10142" spans="12:15">
      <c r="L10142" s="2"/>
      <c r="N10142" s="2"/>
      <c r="O10142" s="2"/>
    </row>
    <row r="10143" spans="12:15">
      <c r="L10143" s="2"/>
      <c r="N10143" s="2"/>
      <c r="O10143" s="2"/>
    </row>
    <row r="10144" spans="12:15">
      <c r="L10144" s="2"/>
      <c r="N10144" s="2"/>
      <c r="O10144" s="2"/>
    </row>
    <row r="10145" spans="12:15">
      <c r="L10145" s="2"/>
      <c r="N10145" s="2"/>
      <c r="O10145" s="2"/>
    </row>
    <row r="10146" spans="12:15">
      <c r="L10146" s="2"/>
      <c r="N10146" s="2"/>
      <c r="O10146" s="2"/>
    </row>
    <row r="10147" spans="12:15">
      <c r="L10147" s="2"/>
      <c r="N10147" s="2"/>
      <c r="O10147" s="2"/>
    </row>
    <row r="10148" spans="12:15">
      <c r="L10148" s="2"/>
      <c r="N10148" s="2"/>
      <c r="O10148" s="2"/>
    </row>
    <row r="10149" spans="12:15">
      <c r="L10149" s="2"/>
      <c r="N10149" s="2"/>
      <c r="O10149" s="2"/>
    </row>
    <row r="10150" spans="12:15">
      <c r="L10150" s="2"/>
      <c r="N10150" s="2"/>
      <c r="O10150" s="2"/>
    </row>
    <row r="10151" spans="12:15">
      <c r="L10151" s="2"/>
      <c r="N10151" s="2"/>
      <c r="O10151" s="2"/>
    </row>
    <row r="10152" spans="12:15">
      <c r="L10152" s="2"/>
      <c r="N10152" s="2"/>
      <c r="O10152" s="2"/>
    </row>
    <row r="10153" spans="12:15">
      <c r="L10153" s="2"/>
      <c r="N10153" s="2"/>
      <c r="O10153" s="2"/>
    </row>
    <row r="10154" spans="12:15">
      <c r="L10154" s="2"/>
      <c r="N10154" s="2"/>
      <c r="O10154" s="2"/>
    </row>
    <row r="10155" spans="12:15">
      <c r="L10155" s="2"/>
      <c r="N10155" s="2"/>
      <c r="O10155" s="2"/>
    </row>
    <row r="10156" spans="12:15">
      <c r="L10156" s="2"/>
      <c r="N10156" s="2"/>
      <c r="O10156" s="2"/>
    </row>
    <row r="10157" spans="12:15">
      <c r="L10157" s="2"/>
      <c r="N10157" s="2"/>
      <c r="O10157" s="2"/>
    </row>
    <row r="10158" spans="12:15">
      <c r="L10158" s="2"/>
      <c r="N10158" s="2"/>
      <c r="O10158" s="2"/>
    </row>
    <row r="10159" spans="12:15">
      <c r="L10159" s="2"/>
      <c r="N10159" s="2"/>
      <c r="O10159" s="2"/>
    </row>
    <row r="10160" spans="12:15">
      <c r="L10160" s="2"/>
      <c r="N10160" s="2"/>
      <c r="O10160" s="2"/>
    </row>
    <row r="10161" spans="12:15">
      <c r="L10161" s="2"/>
      <c r="N10161" s="2"/>
      <c r="O10161" s="2"/>
    </row>
    <row r="10162" spans="12:15">
      <c r="L10162" s="2"/>
      <c r="N10162" s="2"/>
      <c r="O10162" s="2"/>
    </row>
    <row r="10163" spans="12:15">
      <c r="L10163" s="2"/>
      <c r="N10163" s="2"/>
      <c r="O10163" s="2"/>
    </row>
    <row r="10164" spans="12:15">
      <c r="L10164" s="2"/>
      <c r="N10164" s="2"/>
      <c r="O10164" s="2"/>
    </row>
    <row r="10165" spans="12:15">
      <c r="L10165" s="2"/>
      <c r="N10165" s="2"/>
      <c r="O10165" s="2"/>
    </row>
    <row r="10166" spans="12:15">
      <c r="L10166" s="2"/>
      <c r="N10166" s="2"/>
      <c r="O10166" s="2"/>
    </row>
    <row r="10167" spans="12:15">
      <c r="L10167" s="2"/>
      <c r="N10167" s="2"/>
      <c r="O10167" s="2"/>
    </row>
    <row r="10168" spans="12:15">
      <c r="L10168" s="2"/>
      <c r="N10168" s="2"/>
      <c r="O10168" s="2"/>
    </row>
    <row r="10169" spans="12:15">
      <c r="L10169" s="2"/>
      <c r="N10169" s="2"/>
      <c r="O10169" s="2"/>
    </row>
    <row r="10170" spans="12:15">
      <c r="L10170" s="2"/>
      <c r="N10170" s="2"/>
      <c r="O10170" s="2"/>
    </row>
    <row r="10171" spans="12:15">
      <c r="L10171" s="2"/>
      <c r="N10171" s="2"/>
      <c r="O10171" s="2"/>
    </row>
    <row r="10172" spans="12:15">
      <c r="L10172" s="2"/>
      <c r="N10172" s="2"/>
      <c r="O10172" s="2"/>
    </row>
    <row r="10173" spans="12:15">
      <c r="L10173" s="2"/>
      <c r="N10173" s="2"/>
      <c r="O10173" s="2"/>
    </row>
    <row r="10174" spans="12:15">
      <c r="L10174" s="2"/>
      <c r="N10174" s="2"/>
      <c r="O10174" s="2"/>
    </row>
    <row r="10175" spans="12:15">
      <c r="L10175" s="2"/>
      <c r="N10175" s="2"/>
      <c r="O10175" s="2"/>
    </row>
    <row r="10176" spans="12:15">
      <c r="L10176" s="2"/>
      <c r="N10176" s="2"/>
      <c r="O10176" s="2"/>
    </row>
    <row r="10177" spans="12:15">
      <c r="L10177" s="2"/>
      <c r="N10177" s="2"/>
      <c r="O10177" s="2"/>
    </row>
    <row r="10178" spans="12:15">
      <c r="L10178" s="2"/>
      <c r="N10178" s="2"/>
      <c r="O10178" s="2"/>
    </row>
    <row r="10179" spans="12:15">
      <c r="L10179" s="2"/>
      <c r="N10179" s="2"/>
      <c r="O10179" s="2"/>
    </row>
    <row r="10180" spans="12:15">
      <c r="L10180" s="2"/>
      <c r="N10180" s="2"/>
      <c r="O10180" s="2"/>
    </row>
    <row r="10181" spans="12:15">
      <c r="L10181" s="2"/>
      <c r="N10181" s="2"/>
      <c r="O10181" s="2"/>
    </row>
    <row r="10182" spans="12:15">
      <c r="L10182" s="2"/>
      <c r="N10182" s="2"/>
      <c r="O10182" s="2"/>
    </row>
    <row r="10183" spans="12:15">
      <c r="L10183" s="2"/>
      <c r="N10183" s="2"/>
      <c r="O10183" s="2"/>
    </row>
    <row r="10184" spans="12:15">
      <c r="L10184" s="2"/>
      <c r="N10184" s="2"/>
      <c r="O10184" s="2"/>
    </row>
    <row r="10185" spans="12:15">
      <c r="L10185" s="2"/>
      <c r="N10185" s="2"/>
      <c r="O10185" s="2"/>
    </row>
    <row r="10186" spans="12:15">
      <c r="L10186" s="2"/>
      <c r="N10186" s="2"/>
      <c r="O10186" s="2"/>
    </row>
    <row r="10187" spans="12:15">
      <c r="L10187" s="2"/>
      <c r="N10187" s="2"/>
      <c r="O10187" s="2"/>
    </row>
    <row r="10188" spans="12:15">
      <c r="L10188" s="2"/>
      <c r="N10188" s="2"/>
      <c r="O10188" s="2"/>
    </row>
    <row r="10189" spans="12:15">
      <c r="L10189" s="2"/>
      <c r="N10189" s="2"/>
      <c r="O10189" s="2"/>
    </row>
    <row r="10190" spans="12:15">
      <c r="L10190" s="2"/>
      <c r="N10190" s="2"/>
      <c r="O10190" s="2"/>
    </row>
    <row r="10191" spans="12:15">
      <c r="L10191" s="2"/>
      <c r="N10191" s="2"/>
      <c r="O10191" s="2"/>
    </row>
    <row r="10192" spans="12:15">
      <c r="L10192" s="2"/>
      <c r="N10192" s="2"/>
      <c r="O10192" s="2"/>
    </row>
    <row r="10193" spans="12:15">
      <c r="L10193" s="2"/>
      <c r="N10193" s="2"/>
      <c r="O10193" s="2"/>
    </row>
    <row r="10194" spans="12:15">
      <c r="L10194" s="2"/>
      <c r="N10194" s="2"/>
      <c r="O10194" s="2"/>
    </row>
    <row r="10195" spans="12:15">
      <c r="L10195" s="2"/>
      <c r="N10195" s="2"/>
      <c r="O10195" s="2"/>
    </row>
    <row r="10196" spans="12:15">
      <c r="L10196" s="2"/>
      <c r="N10196" s="2"/>
      <c r="O10196" s="2"/>
    </row>
    <row r="10197" spans="12:15">
      <c r="L10197" s="2"/>
      <c r="N10197" s="2"/>
      <c r="O10197" s="2"/>
    </row>
    <row r="10198" spans="12:15">
      <c r="L10198" s="2"/>
      <c r="N10198" s="2"/>
      <c r="O10198" s="2"/>
    </row>
    <row r="10199" spans="12:15">
      <c r="L10199" s="2"/>
      <c r="N10199" s="2"/>
      <c r="O10199" s="2"/>
    </row>
    <row r="10200" spans="12:15">
      <c r="L10200" s="2"/>
      <c r="N10200" s="2"/>
      <c r="O10200" s="2"/>
    </row>
    <row r="10201" spans="12:15">
      <c r="L10201" s="2"/>
      <c r="N10201" s="2"/>
      <c r="O10201" s="2"/>
    </row>
    <row r="10202" spans="12:15">
      <c r="L10202" s="2"/>
      <c r="N10202" s="2"/>
      <c r="O10202" s="2"/>
    </row>
    <row r="10203" spans="12:15">
      <c r="L10203" s="2"/>
      <c r="N10203" s="2"/>
      <c r="O10203" s="2"/>
    </row>
    <row r="10204" spans="12:15">
      <c r="L10204" s="2"/>
      <c r="N10204" s="2"/>
      <c r="O10204" s="2"/>
    </row>
    <row r="10205" spans="12:15">
      <c r="L10205" s="2"/>
      <c r="N10205" s="2"/>
      <c r="O10205" s="2"/>
    </row>
    <row r="10206" spans="12:15">
      <c r="L10206" s="2"/>
      <c r="N10206" s="2"/>
      <c r="O10206" s="2"/>
    </row>
    <row r="10207" spans="12:15">
      <c r="L10207" s="2"/>
      <c r="N10207" s="2"/>
      <c r="O10207" s="2"/>
    </row>
    <row r="10208" spans="12:15">
      <c r="L10208" s="2"/>
      <c r="N10208" s="2"/>
      <c r="O10208" s="2"/>
    </row>
    <row r="10209" spans="12:15">
      <c r="L10209" s="2"/>
      <c r="N10209" s="2"/>
      <c r="O10209" s="2"/>
    </row>
    <row r="10210" spans="12:15">
      <c r="L10210" s="2"/>
      <c r="N10210" s="2"/>
      <c r="O10210" s="2"/>
    </row>
    <row r="10211" spans="12:15">
      <c r="L10211" s="2"/>
      <c r="N10211" s="2"/>
      <c r="O10211" s="2"/>
    </row>
    <row r="10212" spans="12:15">
      <c r="L10212" s="2"/>
      <c r="N10212" s="2"/>
      <c r="O10212" s="2"/>
    </row>
    <row r="10213" spans="12:15">
      <c r="L10213" s="2"/>
      <c r="N10213" s="2"/>
      <c r="O10213" s="2"/>
    </row>
    <row r="10214" spans="12:15">
      <c r="L10214" s="2"/>
      <c r="N10214" s="2"/>
      <c r="O10214" s="2"/>
    </row>
    <row r="10215" spans="12:15">
      <c r="L10215" s="2"/>
      <c r="N10215" s="2"/>
      <c r="O10215" s="2"/>
    </row>
    <row r="10216" spans="12:15">
      <c r="L10216" s="2"/>
      <c r="N10216" s="2"/>
      <c r="O10216" s="2"/>
    </row>
    <row r="10217" spans="12:15">
      <c r="L10217" s="2"/>
      <c r="N10217" s="2"/>
      <c r="O10217" s="2"/>
    </row>
    <row r="10218" spans="12:15">
      <c r="L10218" s="2"/>
      <c r="N10218" s="2"/>
      <c r="O10218" s="2"/>
    </row>
    <row r="10219" spans="12:15">
      <c r="L10219" s="2"/>
      <c r="N10219" s="2"/>
      <c r="O10219" s="2"/>
    </row>
    <row r="10220" spans="12:15">
      <c r="L10220" s="2"/>
      <c r="N10220" s="2"/>
      <c r="O10220" s="2"/>
    </row>
    <row r="10221" spans="12:15">
      <c r="L10221" s="2"/>
      <c r="N10221" s="2"/>
      <c r="O10221" s="2"/>
    </row>
    <row r="10222" spans="12:15">
      <c r="L10222" s="2"/>
      <c r="N10222" s="2"/>
      <c r="O10222" s="2"/>
    </row>
    <row r="10223" spans="12:15">
      <c r="L10223" s="2"/>
      <c r="N10223" s="2"/>
      <c r="O10223" s="2"/>
    </row>
    <row r="10224" spans="12:15">
      <c r="L10224" s="2"/>
      <c r="N10224" s="2"/>
      <c r="O10224" s="2"/>
    </row>
    <row r="10225" spans="12:15">
      <c r="L10225" s="2"/>
      <c r="N10225" s="2"/>
      <c r="O10225" s="2"/>
    </row>
    <row r="10226" spans="12:15">
      <c r="L10226" s="2"/>
      <c r="N10226" s="2"/>
      <c r="O10226" s="2"/>
    </row>
    <row r="10227" spans="12:15">
      <c r="L10227" s="2"/>
      <c r="N10227" s="2"/>
      <c r="O10227" s="2"/>
    </row>
    <row r="10228" spans="12:15">
      <c r="L10228" s="2"/>
      <c r="N10228" s="2"/>
      <c r="O10228" s="2"/>
    </row>
    <row r="10229" spans="12:15">
      <c r="L10229" s="2"/>
      <c r="N10229" s="2"/>
      <c r="O10229" s="2"/>
    </row>
    <row r="10230" spans="12:15">
      <c r="L10230" s="2"/>
      <c r="N10230" s="2"/>
      <c r="O10230" s="2"/>
    </row>
    <row r="10231" spans="12:15">
      <c r="L10231" s="2"/>
      <c r="N10231" s="2"/>
      <c r="O10231" s="2"/>
    </row>
    <row r="10232" spans="12:15">
      <c r="L10232" s="2"/>
      <c r="N10232" s="2"/>
      <c r="O10232" s="2"/>
    </row>
    <row r="10233" spans="12:15">
      <c r="L10233" s="2"/>
      <c r="N10233" s="2"/>
      <c r="O10233" s="2"/>
    </row>
    <row r="10234" spans="12:15">
      <c r="L10234" s="2"/>
      <c r="N10234" s="2"/>
      <c r="O10234" s="2"/>
    </row>
    <row r="10235" spans="12:15">
      <c r="L10235" s="2"/>
      <c r="N10235" s="2"/>
      <c r="O10235" s="2"/>
    </row>
    <row r="10236" spans="12:15">
      <c r="L10236" s="2"/>
      <c r="N10236" s="2"/>
      <c r="O10236" s="2"/>
    </row>
    <row r="10237" spans="12:15">
      <c r="L10237" s="2"/>
      <c r="N10237" s="2"/>
      <c r="O10237" s="2"/>
    </row>
    <row r="10238" spans="12:15">
      <c r="L10238" s="2"/>
      <c r="N10238" s="2"/>
      <c r="O10238" s="2"/>
    </row>
    <row r="10239" spans="12:15">
      <c r="L10239" s="2"/>
      <c r="N10239" s="2"/>
      <c r="O10239" s="2"/>
    </row>
    <row r="10240" spans="12:15">
      <c r="L10240" s="2"/>
      <c r="N10240" s="2"/>
      <c r="O10240" s="2"/>
    </row>
    <row r="10241" spans="12:15">
      <c r="L10241" s="2"/>
      <c r="N10241" s="2"/>
      <c r="O10241" s="2"/>
    </row>
    <row r="10242" spans="12:15">
      <c r="L10242" s="2"/>
      <c r="N10242" s="2"/>
      <c r="O10242" s="2"/>
    </row>
    <row r="10243" spans="12:15">
      <c r="L10243" s="2"/>
      <c r="N10243" s="2"/>
      <c r="O10243" s="2"/>
    </row>
    <row r="10244" spans="12:15">
      <c r="L10244" s="2"/>
      <c r="N10244" s="2"/>
      <c r="O10244" s="2"/>
    </row>
    <row r="10245" spans="12:15">
      <c r="L10245" s="2"/>
      <c r="N10245" s="2"/>
      <c r="O10245" s="2"/>
    </row>
    <row r="10246" spans="12:15">
      <c r="L10246" s="2"/>
      <c r="N10246" s="2"/>
      <c r="O10246" s="2"/>
    </row>
    <row r="10247" spans="12:15">
      <c r="L10247" s="2"/>
      <c r="N10247" s="2"/>
      <c r="O10247" s="2"/>
    </row>
    <row r="10248" spans="12:15">
      <c r="L10248" s="2"/>
      <c r="N10248" s="2"/>
      <c r="O10248" s="2"/>
    </row>
    <row r="10249" spans="12:15">
      <c r="L10249" s="2"/>
      <c r="N10249" s="2"/>
      <c r="O10249" s="2"/>
    </row>
    <row r="10250" spans="12:15">
      <c r="L10250" s="2"/>
      <c r="N10250" s="2"/>
      <c r="O10250" s="2"/>
    </row>
    <row r="10251" spans="12:15">
      <c r="L10251" s="2"/>
      <c r="N10251" s="2"/>
      <c r="O10251" s="2"/>
    </row>
    <row r="10252" spans="12:15">
      <c r="L10252" s="2"/>
      <c r="N10252" s="2"/>
      <c r="O10252" s="2"/>
    </row>
    <row r="10253" spans="12:15">
      <c r="L10253" s="2"/>
      <c r="N10253" s="2"/>
      <c r="O10253" s="2"/>
    </row>
    <row r="10254" spans="12:15">
      <c r="L10254" s="2"/>
      <c r="N10254" s="2"/>
      <c r="O10254" s="2"/>
    </row>
    <row r="10255" spans="12:15">
      <c r="L10255" s="2"/>
      <c r="N10255" s="2"/>
      <c r="O10255" s="2"/>
    </row>
    <row r="10256" spans="12:15">
      <c r="L10256" s="2"/>
      <c r="N10256" s="2"/>
      <c r="O10256" s="2"/>
    </row>
    <row r="10257" spans="12:15">
      <c r="L10257" s="2"/>
      <c r="N10257" s="2"/>
      <c r="O10257" s="2"/>
    </row>
    <row r="10258" spans="12:15">
      <c r="L10258" s="2"/>
      <c r="N10258" s="2"/>
      <c r="O10258" s="2"/>
    </row>
    <row r="10259" spans="12:15">
      <c r="L10259" s="2"/>
      <c r="N10259" s="2"/>
      <c r="O10259" s="2"/>
    </row>
    <row r="10260" spans="12:15">
      <c r="L10260" s="2"/>
      <c r="N10260" s="2"/>
      <c r="O10260" s="2"/>
    </row>
    <row r="10261" spans="12:15">
      <c r="L10261" s="2"/>
      <c r="N10261" s="2"/>
      <c r="O10261" s="2"/>
    </row>
    <row r="10262" spans="12:15">
      <c r="L10262" s="2"/>
      <c r="N10262" s="2"/>
      <c r="O10262" s="2"/>
    </row>
    <row r="10263" spans="12:15">
      <c r="L10263" s="2"/>
      <c r="N10263" s="2"/>
      <c r="O10263" s="2"/>
    </row>
    <row r="10264" spans="12:15">
      <c r="L10264" s="2"/>
      <c r="N10264" s="2"/>
      <c r="O10264" s="2"/>
    </row>
    <row r="10265" spans="12:15">
      <c r="L10265" s="2"/>
      <c r="N10265" s="2"/>
      <c r="O10265" s="2"/>
    </row>
    <row r="10266" spans="12:15">
      <c r="L10266" s="2"/>
      <c r="N10266" s="2"/>
      <c r="O10266" s="2"/>
    </row>
    <row r="10267" spans="12:15">
      <c r="L10267" s="2"/>
      <c r="N10267" s="2"/>
      <c r="O10267" s="2"/>
    </row>
    <row r="10268" spans="12:15">
      <c r="L10268" s="2"/>
      <c r="N10268" s="2"/>
      <c r="O10268" s="2"/>
    </row>
    <row r="10269" spans="12:15">
      <c r="L10269" s="2"/>
      <c r="N10269" s="2"/>
      <c r="O10269" s="2"/>
    </row>
    <row r="10270" spans="12:15">
      <c r="L10270" s="2"/>
      <c r="N10270" s="2"/>
      <c r="O10270" s="2"/>
    </row>
    <row r="10271" spans="12:15">
      <c r="L10271" s="2"/>
      <c r="N10271" s="2"/>
      <c r="O10271" s="2"/>
    </row>
    <row r="10272" spans="12:15">
      <c r="L10272" s="2"/>
      <c r="N10272" s="2"/>
      <c r="O10272" s="2"/>
    </row>
    <row r="10273" spans="12:15">
      <c r="L10273" s="2"/>
      <c r="N10273" s="2"/>
      <c r="O10273" s="2"/>
    </row>
    <row r="10274" spans="12:15">
      <c r="L10274" s="2"/>
      <c r="N10274" s="2"/>
      <c r="O10274" s="2"/>
    </row>
    <row r="10275" spans="12:15">
      <c r="L10275" s="2"/>
      <c r="N10275" s="2"/>
      <c r="O10275" s="2"/>
    </row>
    <row r="10276" spans="12:15">
      <c r="L10276" s="2"/>
      <c r="N10276" s="2"/>
      <c r="O10276" s="2"/>
    </row>
    <row r="10277" spans="12:15">
      <c r="L10277" s="2"/>
      <c r="N10277" s="2"/>
      <c r="O10277" s="2"/>
    </row>
    <row r="10278" spans="12:15">
      <c r="L10278" s="2"/>
      <c r="N10278" s="2"/>
      <c r="O10278" s="2"/>
    </row>
    <row r="10279" spans="12:15">
      <c r="L10279" s="2"/>
      <c r="N10279" s="2"/>
      <c r="O10279" s="2"/>
    </row>
    <row r="10280" spans="12:15">
      <c r="L10280" s="2"/>
      <c r="N10280" s="2"/>
      <c r="O10280" s="2"/>
    </row>
    <row r="10281" spans="12:15">
      <c r="L10281" s="2"/>
      <c r="N10281" s="2"/>
      <c r="O10281" s="2"/>
    </row>
    <row r="10282" spans="12:15">
      <c r="L10282" s="2"/>
      <c r="N10282" s="2"/>
      <c r="O10282" s="2"/>
    </row>
    <row r="10283" spans="12:15">
      <c r="L10283" s="2"/>
      <c r="N10283" s="2"/>
      <c r="O10283" s="2"/>
    </row>
    <row r="10284" spans="12:15">
      <c r="L10284" s="2"/>
      <c r="N10284" s="2"/>
      <c r="O10284" s="2"/>
    </row>
    <row r="10285" spans="12:15">
      <c r="L10285" s="2"/>
      <c r="N10285" s="2"/>
      <c r="O10285" s="2"/>
    </row>
    <row r="10286" spans="12:15">
      <c r="L10286" s="2"/>
      <c r="N10286" s="2"/>
      <c r="O10286" s="2"/>
    </row>
    <row r="10287" spans="12:15">
      <c r="L10287" s="2"/>
      <c r="N10287" s="2"/>
      <c r="O10287" s="2"/>
    </row>
    <row r="10288" spans="12:15">
      <c r="L10288" s="2"/>
      <c r="N10288" s="2"/>
      <c r="O10288" s="2"/>
    </row>
    <row r="10289" spans="12:15">
      <c r="L10289" s="2"/>
      <c r="N10289" s="2"/>
      <c r="O10289" s="2"/>
    </row>
    <row r="10290" spans="12:15">
      <c r="L10290" s="2"/>
      <c r="N10290" s="2"/>
      <c r="O10290" s="2"/>
    </row>
    <row r="10291" spans="12:15">
      <c r="L10291" s="2"/>
      <c r="N10291" s="2"/>
      <c r="O10291" s="2"/>
    </row>
    <row r="10292" spans="12:15">
      <c r="L10292" s="2"/>
      <c r="N10292" s="2"/>
      <c r="O10292" s="2"/>
    </row>
    <row r="10293" spans="12:15">
      <c r="L10293" s="2"/>
      <c r="N10293" s="2"/>
      <c r="O10293" s="2"/>
    </row>
    <row r="10294" spans="12:15">
      <c r="L10294" s="2"/>
      <c r="N10294" s="2"/>
      <c r="O10294" s="2"/>
    </row>
    <row r="10295" spans="12:15">
      <c r="L10295" s="2"/>
      <c r="N10295" s="2"/>
      <c r="O10295" s="2"/>
    </row>
    <row r="10296" spans="12:15">
      <c r="L10296" s="2"/>
      <c r="N10296" s="2"/>
      <c r="O10296" s="2"/>
    </row>
    <row r="10297" spans="12:15">
      <c r="L10297" s="2"/>
      <c r="N10297" s="2"/>
      <c r="O10297" s="2"/>
    </row>
    <row r="10298" spans="12:15">
      <c r="L10298" s="2"/>
      <c r="N10298" s="2"/>
      <c r="O10298" s="2"/>
    </row>
    <row r="10299" spans="12:15">
      <c r="L10299" s="2"/>
      <c r="N10299" s="2"/>
      <c r="O10299" s="2"/>
    </row>
    <row r="10300" spans="12:15">
      <c r="L10300" s="2"/>
      <c r="N10300" s="2"/>
      <c r="O10300" s="2"/>
    </row>
    <row r="10301" spans="12:15">
      <c r="L10301" s="2"/>
      <c r="N10301" s="2"/>
      <c r="O10301" s="2"/>
    </row>
    <row r="10302" spans="12:15">
      <c r="L10302" s="2"/>
      <c r="N10302" s="2"/>
      <c r="O10302" s="2"/>
    </row>
    <row r="10303" spans="12:15">
      <c r="L10303" s="2"/>
      <c r="N10303" s="2"/>
      <c r="O10303" s="2"/>
    </row>
    <row r="10304" spans="12:15">
      <c r="L10304" s="2"/>
      <c r="N10304" s="2"/>
      <c r="O10304" s="2"/>
    </row>
    <row r="10305" spans="12:15">
      <c r="L10305" s="2"/>
      <c r="N10305" s="2"/>
      <c r="O10305" s="2"/>
    </row>
    <row r="10306" spans="12:15">
      <c r="L10306" s="2"/>
      <c r="N10306" s="2"/>
      <c r="O10306" s="2"/>
    </row>
    <row r="10307" spans="12:15">
      <c r="L10307" s="2"/>
      <c r="N10307" s="2"/>
      <c r="O10307" s="2"/>
    </row>
    <row r="10308" spans="12:15">
      <c r="L10308" s="2"/>
      <c r="N10308" s="2"/>
      <c r="O10308" s="2"/>
    </row>
    <row r="10309" spans="12:15">
      <c r="L10309" s="2"/>
      <c r="N10309" s="2"/>
      <c r="O10309" s="2"/>
    </row>
    <row r="10310" spans="12:15">
      <c r="L10310" s="2"/>
      <c r="N10310" s="2"/>
      <c r="O10310" s="2"/>
    </row>
    <row r="10311" spans="12:15">
      <c r="L10311" s="2"/>
      <c r="N10311" s="2"/>
      <c r="O10311" s="2"/>
    </row>
    <row r="10312" spans="12:15">
      <c r="L10312" s="2"/>
      <c r="N10312" s="2"/>
      <c r="O10312" s="2"/>
    </row>
    <row r="10313" spans="12:15">
      <c r="L10313" s="2"/>
      <c r="N10313" s="2"/>
      <c r="O10313" s="2"/>
    </row>
    <row r="10314" spans="12:15">
      <c r="L10314" s="2"/>
      <c r="N10314" s="2"/>
      <c r="O10314" s="2"/>
    </row>
    <row r="10315" spans="12:15">
      <c r="L10315" s="2"/>
      <c r="N10315" s="2"/>
      <c r="O10315" s="2"/>
    </row>
    <row r="10316" spans="12:15">
      <c r="L10316" s="2"/>
      <c r="N10316" s="2"/>
      <c r="O10316" s="2"/>
    </row>
    <row r="10317" spans="12:15">
      <c r="L10317" s="2"/>
      <c r="N10317" s="2"/>
      <c r="O10317" s="2"/>
    </row>
    <row r="10318" spans="12:15">
      <c r="L10318" s="2"/>
      <c r="N10318" s="2"/>
      <c r="O10318" s="2"/>
    </row>
    <row r="10319" spans="12:15">
      <c r="L10319" s="2"/>
      <c r="N10319" s="2"/>
      <c r="O10319" s="2"/>
    </row>
    <row r="10320" spans="12:15">
      <c r="L10320" s="2"/>
      <c r="N10320" s="2"/>
      <c r="O10320" s="2"/>
    </row>
    <row r="10321" spans="12:15">
      <c r="L10321" s="2"/>
      <c r="N10321" s="2"/>
      <c r="O10321" s="2"/>
    </row>
    <row r="10322" spans="12:15">
      <c r="L10322" s="2"/>
      <c r="N10322" s="2"/>
      <c r="O10322" s="2"/>
    </row>
    <row r="10323" spans="12:15">
      <c r="L10323" s="2"/>
      <c r="N10323" s="2"/>
      <c r="O10323" s="2"/>
    </row>
    <row r="10324" spans="12:15">
      <c r="L10324" s="2"/>
      <c r="N10324" s="2"/>
      <c r="O10324" s="2"/>
    </row>
    <row r="10325" spans="12:15">
      <c r="L10325" s="2"/>
      <c r="N10325" s="2"/>
      <c r="O10325" s="2"/>
    </row>
    <row r="10326" spans="12:15">
      <c r="L10326" s="2"/>
      <c r="N10326" s="2"/>
      <c r="O10326" s="2"/>
    </row>
    <row r="10327" spans="12:15">
      <c r="L10327" s="2"/>
      <c r="N10327" s="2"/>
      <c r="O10327" s="2"/>
    </row>
    <row r="10328" spans="12:15">
      <c r="L10328" s="2"/>
      <c r="N10328" s="2"/>
      <c r="O10328" s="2"/>
    </row>
    <row r="10329" spans="12:15">
      <c r="L10329" s="2"/>
      <c r="N10329" s="2"/>
      <c r="O10329" s="2"/>
    </row>
    <row r="10330" spans="12:15">
      <c r="L10330" s="2"/>
      <c r="N10330" s="2"/>
      <c r="O10330" s="2"/>
    </row>
    <row r="10331" spans="12:15">
      <c r="L10331" s="2"/>
      <c r="N10331" s="2"/>
      <c r="O10331" s="2"/>
    </row>
    <row r="10332" spans="12:15">
      <c r="L10332" s="2"/>
      <c r="N10332" s="2"/>
      <c r="O10332" s="2"/>
    </row>
    <row r="10333" spans="12:15">
      <c r="L10333" s="2"/>
      <c r="N10333" s="2"/>
      <c r="O10333" s="2"/>
    </row>
    <row r="10334" spans="12:15">
      <c r="L10334" s="2"/>
      <c r="N10334" s="2"/>
      <c r="O10334" s="2"/>
    </row>
    <row r="10335" spans="12:15">
      <c r="L10335" s="2"/>
      <c r="N10335" s="2"/>
      <c r="O10335" s="2"/>
    </row>
    <row r="10336" spans="12:15">
      <c r="L10336" s="2"/>
      <c r="N10336" s="2"/>
      <c r="O10336" s="2"/>
    </row>
    <row r="10337" spans="12:15">
      <c r="L10337" s="2"/>
      <c r="N10337" s="2"/>
      <c r="O10337" s="2"/>
    </row>
    <row r="10338" spans="12:15">
      <c r="L10338" s="2"/>
      <c r="N10338" s="2"/>
      <c r="O10338" s="2"/>
    </row>
    <row r="10339" spans="12:15">
      <c r="L10339" s="2"/>
      <c r="N10339" s="2"/>
      <c r="O10339" s="2"/>
    </row>
    <row r="10340" spans="12:15">
      <c r="L10340" s="2"/>
      <c r="N10340" s="2"/>
      <c r="O10340" s="2"/>
    </row>
    <row r="10341" spans="12:15">
      <c r="L10341" s="2"/>
      <c r="N10341" s="2"/>
      <c r="O10341" s="2"/>
    </row>
    <row r="10342" spans="12:15">
      <c r="L10342" s="2"/>
      <c r="N10342" s="2"/>
      <c r="O10342" s="2"/>
    </row>
    <row r="10343" spans="12:15">
      <c r="L10343" s="2"/>
      <c r="N10343" s="2"/>
      <c r="O10343" s="2"/>
    </row>
    <row r="10344" spans="12:15">
      <c r="L10344" s="2"/>
      <c r="N10344" s="2"/>
      <c r="O10344" s="2"/>
    </row>
    <row r="10345" spans="12:15">
      <c r="L10345" s="2"/>
      <c r="N10345" s="2"/>
      <c r="O10345" s="2"/>
    </row>
    <row r="10346" spans="12:15">
      <c r="L10346" s="2"/>
      <c r="N10346" s="2"/>
      <c r="O10346" s="2"/>
    </row>
    <row r="10347" spans="12:15">
      <c r="L10347" s="2"/>
      <c r="N10347" s="2"/>
      <c r="O10347" s="2"/>
    </row>
    <row r="10348" spans="12:15">
      <c r="L10348" s="2"/>
      <c r="N10348" s="2"/>
      <c r="O10348" s="2"/>
    </row>
    <row r="10349" spans="12:15">
      <c r="L10349" s="2"/>
      <c r="N10349" s="2"/>
      <c r="O10349" s="2"/>
    </row>
    <row r="10350" spans="12:15">
      <c r="L10350" s="2"/>
      <c r="N10350" s="2"/>
      <c r="O10350" s="2"/>
    </row>
    <row r="10351" spans="12:15">
      <c r="L10351" s="2"/>
      <c r="N10351" s="2"/>
      <c r="O10351" s="2"/>
    </row>
    <row r="10352" spans="12:15">
      <c r="L10352" s="2"/>
      <c r="N10352" s="2"/>
      <c r="O10352" s="2"/>
    </row>
    <row r="10353" spans="12:15">
      <c r="L10353" s="2"/>
      <c r="N10353" s="2"/>
      <c r="O10353" s="2"/>
    </row>
    <row r="10354" spans="12:15">
      <c r="L10354" s="2"/>
      <c r="N10354" s="2"/>
      <c r="O10354" s="2"/>
    </row>
    <row r="10355" spans="12:15">
      <c r="L10355" s="2"/>
      <c r="N10355" s="2"/>
      <c r="O10355" s="2"/>
    </row>
    <row r="10356" spans="12:15">
      <c r="L10356" s="2"/>
      <c r="N10356" s="2"/>
      <c r="O10356" s="2"/>
    </row>
    <row r="10357" spans="12:15">
      <c r="L10357" s="2"/>
      <c r="N10357" s="2"/>
      <c r="O10357" s="2"/>
    </row>
    <row r="10358" spans="12:15">
      <c r="L10358" s="2"/>
      <c r="N10358" s="2"/>
      <c r="O10358" s="2"/>
    </row>
    <row r="10359" spans="12:15">
      <c r="L10359" s="2"/>
      <c r="N10359" s="2"/>
      <c r="O10359" s="2"/>
    </row>
    <row r="10360" spans="12:15">
      <c r="L10360" s="2"/>
      <c r="N10360" s="2"/>
      <c r="O10360" s="2"/>
    </row>
    <row r="10361" spans="12:15">
      <c r="L10361" s="2"/>
      <c r="N10361" s="2"/>
      <c r="O10361" s="2"/>
    </row>
    <row r="10362" spans="12:15">
      <c r="L10362" s="2"/>
      <c r="N10362" s="2"/>
      <c r="O10362" s="2"/>
    </row>
    <row r="10363" spans="12:15">
      <c r="L10363" s="2"/>
      <c r="N10363" s="2"/>
      <c r="O10363" s="2"/>
    </row>
    <row r="10364" spans="12:15">
      <c r="L10364" s="2"/>
      <c r="N10364" s="2"/>
      <c r="O10364" s="2"/>
    </row>
    <row r="10365" spans="12:15">
      <c r="L10365" s="2"/>
      <c r="N10365" s="2"/>
      <c r="O10365" s="2"/>
    </row>
    <row r="10366" spans="12:15">
      <c r="L10366" s="2"/>
      <c r="N10366" s="2"/>
      <c r="O10366" s="2"/>
    </row>
    <row r="10367" spans="12:15">
      <c r="L10367" s="2"/>
      <c r="N10367" s="2"/>
      <c r="O10367" s="2"/>
    </row>
    <row r="10368" spans="12:15">
      <c r="L10368" s="2"/>
      <c r="N10368" s="2"/>
      <c r="O10368" s="2"/>
    </row>
    <row r="10369" spans="12:15">
      <c r="L10369" s="2"/>
      <c r="N10369" s="2"/>
      <c r="O10369" s="2"/>
    </row>
    <row r="10370" spans="12:15">
      <c r="L10370" s="2"/>
      <c r="N10370" s="2"/>
      <c r="O10370" s="2"/>
    </row>
    <row r="10371" spans="12:15">
      <c r="L10371" s="2"/>
      <c r="N10371" s="2"/>
      <c r="O10371" s="2"/>
    </row>
    <row r="10372" spans="12:15">
      <c r="L10372" s="2"/>
      <c r="N10372" s="2"/>
      <c r="O10372" s="2"/>
    </row>
    <row r="10373" spans="12:15">
      <c r="L10373" s="2"/>
      <c r="N10373" s="2"/>
      <c r="O10373" s="2"/>
    </row>
    <row r="10374" spans="12:15">
      <c r="L10374" s="2"/>
      <c r="N10374" s="2"/>
      <c r="O10374" s="2"/>
    </row>
    <row r="10375" spans="12:15">
      <c r="L10375" s="2"/>
      <c r="N10375" s="2"/>
      <c r="O10375" s="2"/>
    </row>
    <row r="10376" spans="12:15">
      <c r="L10376" s="2"/>
      <c r="N10376" s="2"/>
      <c r="O10376" s="2"/>
    </row>
    <row r="10377" spans="12:15">
      <c r="L10377" s="2"/>
      <c r="N10377" s="2"/>
      <c r="O10377" s="2"/>
    </row>
    <row r="10378" spans="12:15">
      <c r="L10378" s="2"/>
      <c r="N10378" s="2"/>
      <c r="O10378" s="2"/>
    </row>
    <row r="10379" spans="12:15">
      <c r="L10379" s="2"/>
      <c r="N10379" s="2"/>
      <c r="O10379" s="2"/>
    </row>
    <row r="10380" spans="12:15">
      <c r="L10380" s="2"/>
      <c r="N10380" s="2"/>
      <c r="O10380" s="2"/>
    </row>
    <row r="10381" spans="12:15">
      <c r="L10381" s="2"/>
      <c r="N10381" s="2"/>
      <c r="O10381" s="2"/>
    </row>
    <row r="10382" spans="12:15">
      <c r="L10382" s="2"/>
      <c r="N10382" s="2"/>
      <c r="O10382" s="2"/>
    </row>
    <row r="10383" spans="12:15">
      <c r="L10383" s="2"/>
      <c r="N10383" s="2"/>
      <c r="O10383" s="2"/>
    </row>
    <row r="10384" spans="12:15">
      <c r="L10384" s="2"/>
      <c r="N10384" s="2"/>
      <c r="O10384" s="2"/>
    </row>
    <row r="10385" spans="12:15">
      <c r="L10385" s="2"/>
      <c r="N10385" s="2"/>
      <c r="O10385" s="2"/>
    </row>
    <row r="10386" spans="12:15">
      <c r="L10386" s="2"/>
      <c r="N10386" s="2"/>
      <c r="O10386" s="2"/>
    </row>
    <row r="10387" spans="12:15">
      <c r="L10387" s="2"/>
      <c r="N10387" s="2"/>
      <c r="O10387" s="2"/>
    </row>
    <row r="10388" spans="12:15">
      <c r="L10388" s="2"/>
      <c r="N10388" s="2"/>
      <c r="O10388" s="2"/>
    </row>
    <row r="10389" spans="12:15">
      <c r="L10389" s="2"/>
      <c r="N10389" s="2"/>
      <c r="O10389" s="2"/>
    </row>
    <row r="10390" spans="12:15">
      <c r="L10390" s="2"/>
      <c r="N10390" s="2"/>
      <c r="O10390" s="2"/>
    </row>
    <row r="10391" spans="12:15">
      <c r="L10391" s="2"/>
      <c r="N10391" s="2"/>
      <c r="O10391" s="2"/>
    </row>
    <row r="10392" spans="12:15">
      <c r="L10392" s="2"/>
      <c r="N10392" s="2"/>
      <c r="O10392" s="2"/>
    </row>
    <row r="10393" spans="12:15">
      <c r="L10393" s="2"/>
      <c r="N10393" s="2"/>
      <c r="O10393" s="2"/>
    </row>
    <row r="10394" spans="12:15">
      <c r="L10394" s="2"/>
      <c r="N10394" s="2"/>
      <c r="O10394" s="2"/>
    </row>
    <row r="10395" spans="12:15">
      <c r="L10395" s="2"/>
      <c r="N10395" s="2"/>
      <c r="O10395" s="2"/>
    </row>
    <row r="10396" spans="12:15">
      <c r="L10396" s="2"/>
      <c r="N10396" s="2"/>
      <c r="O10396" s="2"/>
    </row>
    <row r="10397" spans="12:15">
      <c r="L10397" s="2"/>
      <c r="N10397" s="2"/>
      <c r="O10397" s="2"/>
    </row>
    <row r="10398" spans="12:15">
      <c r="L10398" s="2"/>
      <c r="N10398" s="2"/>
      <c r="O10398" s="2"/>
    </row>
    <row r="10399" spans="12:15">
      <c r="L10399" s="2"/>
      <c r="N10399" s="2"/>
      <c r="O10399" s="2"/>
    </row>
    <row r="10400" spans="12:15">
      <c r="L10400" s="2"/>
      <c r="N10400" s="2"/>
      <c r="O10400" s="2"/>
    </row>
    <row r="10401" spans="12:15">
      <c r="L10401" s="2"/>
      <c r="N10401" s="2"/>
      <c r="O10401" s="2"/>
    </row>
    <row r="10402" spans="12:15">
      <c r="L10402" s="2"/>
      <c r="N10402" s="2"/>
      <c r="O10402" s="2"/>
    </row>
    <row r="10403" spans="12:15">
      <c r="L10403" s="2"/>
      <c r="N10403" s="2"/>
      <c r="O10403" s="2"/>
    </row>
    <row r="10404" spans="12:15">
      <c r="L10404" s="2"/>
      <c r="N10404" s="2"/>
      <c r="O10404" s="2"/>
    </row>
    <row r="10405" spans="12:15">
      <c r="L10405" s="2"/>
      <c r="N10405" s="2"/>
      <c r="O10405" s="2"/>
    </row>
    <row r="10406" spans="12:15">
      <c r="L10406" s="2"/>
      <c r="N10406" s="2"/>
      <c r="O10406" s="2"/>
    </row>
    <row r="10407" spans="12:15">
      <c r="L10407" s="2"/>
      <c r="N10407" s="2"/>
      <c r="O10407" s="2"/>
    </row>
    <row r="10408" spans="12:15">
      <c r="L10408" s="2"/>
      <c r="N10408" s="2"/>
      <c r="O10408" s="2"/>
    </row>
    <row r="10409" spans="12:15">
      <c r="L10409" s="2"/>
      <c r="N10409" s="2"/>
      <c r="O10409" s="2"/>
    </row>
    <row r="10410" spans="12:15">
      <c r="L10410" s="2"/>
      <c r="N10410" s="2"/>
      <c r="O10410" s="2"/>
    </row>
    <row r="10411" spans="12:15">
      <c r="L10411" s="2"/>
      <c r="N10411" s="2"/>
      <c r="O10411" s="2"/>
    </row>
    <row r="10412" spans="12:15">
      <c r="L10412" s="2"/>
      <c r="N10412" s="2"/>
      <c r="O10412" s="2"/>
    </row>
    <row r="10413" spans="12:15">
      <c r="L10413" s="2"/>
      <c r="N10413" s="2"/>
      <c r="O10413" s="2"/>
    </row>
    <row r="10414" spans="12:15">
      <c r="L10414" s="2"/>
      <c r="N10414" s="2"/>
      <c r="O10414" s="2"/>
    </row>
    <row r="10415" spans="12:15">
      <c r="L10415" s="2"/>
      <c r="N10415" s="2"/>
      <c r="O10415" s="2"/>
    </row>
    <row r="10416" spans="12:15">
      <c r="L10416" s="2"/>
      <c r="N10416" s="2"/>
      <c r="O10416" s="2"/>
    </row>
    <row r="10417" spans="12:15">
      <c r="L10417" s="2"/>
      <c r="N10417" s="2"/>
      <c r="O10417" s="2"/>
    </row>
    <row r="10418" spans="12:15">
      <c r="L10418" s="2"/>
      <c r="N10418" s="2"/>
      <c r="O10418" s="2"/>
    </row>
    <row r="10419" spans="12:15">
      <c r="L10419" s="2"/>
      <c r="N10419" s="2"/>
      <c r="O10419" s="2"/>
    </row>
    <row r="10420" spans="12:15">
      <c r="L10420" s="2"/>
      <c r="N10420" s="2"/>
      <c r="O10420" s="2"/>
    </row>
    <row r="10421" spans="12:15">
      <c r="L10421" s="2"/>
      <c r="N10421" s="2"/>
      <c r="O10421" s="2"/>
    </row>
    <row r="10422" spans="12:15">
      <c r="L10422" s="2"/>
      <c r="N10422" s="2"/>
      <c r="O10422" s="2"/>
    </row>
    <row r="10423" spans="12:15">
      <c r="L10423" s="2"/>
      <c r="N10423" s="2"/>
      <c r="O10423" s="2"/>
    </row>
    <row r="10424" spans="12:15">
      <c r="L10424" s="2"/>
      <c r="N10424" s="2"/>
      <c r="O10424" s="2"/>
    </row>
    <row r="10425" spans="12:15">
      <c r="L10425" s="2"/>
      <c r="N10425" s="2"/>
      <c r="O10425" s="2"/>
    </row>
    <row r="10426" spans="12:15">
      <c r="L10426" s="2"/>
      <c r="N10426" s="2"/>
      <c r="O10426" s="2"/>
    </row>
    <row r="10427" spans="12:15">
      <c r="L10427" s="2"/>
      <c r="N10427" s="2"/>
      <c r="O10427" s="2"/>
    </row>
    <row r="10428" spans="12:15">
      <c r="L10428" s="2"/>
      <c r="N10428" s="2"/>
      <c r="O10428" s="2"/>
    </row>
    <row r="10429" spans="12:15">
      <c r="L10429" s="2"/>
      <c r="N10429" s="2"/>
      <c r="O10429" s="2"/>
    </row>
    <row r="10430" spans="12:15">
      <c r="L10430" s="2"/>
      <c r="N10430" s="2"/>
      <c r="O10430" s="2"/>
    </row>
    <row r="10431" spans="12:15">
      <c r="L10431" s="2"/>
      <c r="N10431" s="2"/>
      <c r="O10431" s="2"/>
    </row>
    <row r="10432" spans="12:15">
      <c r="L10432" s="2"/>
      <c r="N10432" s="2"/>
      <c r="O10432" s="2"/>
    </row>
    <row r="10433" spans="12:15">
      <c r="L10433" s="2"/>
      <c r="N10433" s="2"/>
      <c r="O10433" s="2"/>
    </row>
    <row r="10434" spans="12:15">
      <c r="L10434" s="2"/>
      <c r="N10434" s="2"/>
      <c r="O10434" s="2"/>
    </row>
    <row r="10435" spans="12:15">
      <c r="L10435" s="2"/>
      <c r="N10435" s="2"/>
      <c r="O10435" s="2"/>
    </row>
    <row r="10436" spans="12:15">
      <c r="L10436" s="2"/>
      <c r="N10436" s="2"/>
      <c r="O10436" s="2"/>
    </row>
    <row r="10437" spans="12:15">
      <c r="L10437" s="2"/>
      <c r="N10437" s="2"/>
      <c r="O10437" s="2"/>
    </row>
    <row r="10438" spans="12:15">
      <c r="L10438" s="2"/>
      <c r="N10438" s="2"/>
      <c r="O10438" s="2"/>
    </row>
    <row r="10439" spans="12:15">
      <c r="L10439" s="2"/>
      <c r="N10439" s="2"/>
      <c r="O10439" s="2"/>
    </row>
    <row r="10440" spans="12:15">
      <c r="L10440" s="2"/>
      <c r="N10440" s="2"/>
      <c r="O10440" s="2"/>
    </row>
    <row r="10441" spans="12:15">
      <c r="L10441" s="2"/>
      <c r="N10441" s="2"/>
      <c r="O10441" s="2"/>
    </row>
    <row r="10442" spans="12:15">
      <c r="L10442" s="2"/>
      <c r="N10442" s="2"/>
      <c r="O10442" s="2"/>
    </row>
    <row r="10443" spans="12:15">
      <c r="L10443" s="2"/>
      <c r="N10443" s="2"/>
      <c r="O10443" s="2"/>
    </row>
    <row r="10444" spans="12:15">
      <c r="L10444" s="2"/>
      <c r="N10444" s="2"/>
      <c r="O10444" s="2"/>
    </row>
    <row r="10445" spans="12:15">
      <c r="L10445" s="2"/>
      <c r="N10445" s="2"/>
      <c r="O10445" s="2"/>
    </row>
    <row r="10446" spans="12:15">
      <c r="L10446" s="2"/>
      <c r="N10446" s="2"/>
      <c r="O10446" s="2"/>
    </row>
    <row r="10447" spans="12:15">
      <c r="L10447" s="2"/>
      <c r="N10447" s="2"/>
      <c r="O10447" s="2"/>
    </row>
    <row r="10448" spans="12:15">
      <c r="L10448" s="2"/>
      <c r="N10448" s="2"/>
      <c r="O10448" s="2"/>
    </row>
    <row r="10449" spans="12:15">
      <c r="L10449" s="2"/>
      <c r="N10449" s="2"/>
      <c r="O10449" s="2"/>
    </row>
    <row r="10450" spans="12:15">
      <c r="L10450" s="2"/>
      <c r="N10450" s="2"/>
      <c r="O10450" s="2"/>
    </row>
    <row r="10451" spans="12:15">
      <c r="L10451" s="2"/>
      <c r="N10451" s="2"/>
      <c r="O10451" s="2"/>
    </row>
    <row r="10452" spans="12:15">
      <c r="L10452" s="2"/>
      <c r="N10452" s="2"/>
      <c r="O10452" s="2"/>
    </row>
    <row r="10453" spans="12:15">
      <c r="L10453" s="2"/>
      <c r="N10453" s="2"/>
      <c r="O10453" s="2"/>
    </row>
    <row r="10454" spans="12:15">
      <c r="L10454" s="2"/>
      <c r="N10454" s="2"/>
      <c r="O10454" s="2"/>
    </row>
    <row r="10455" spans="12:15">
      <c r="L10455" s="2"/>
      <c r="N10455" s="2"/>
      <c r="O10455" s="2"/>
    </row>
    <row r="10456" spans="12:15">
      <c r="L10456" s="2"/>
      <c r="N10456" s="2"/>
      <c r="O10456" s="2"/>
    </row>
    <row r="10457" spans="12:15">
      <c r="L10457" s="2"/>
      <c r="N10457" s="2"/>
      <c r="O10457" s="2"/>
    </row>
    <row r="10458" spans="12:15">
      <c r="L10458" s="2"/>
      <c r="N10458" s="2"/>
      <c r="O10458" s="2"/>
    </row>
    <row r="10459" spans="12:15">
      <c r="L10459" s="2"/>
      <c r="N10459" s="2"/>
      <c r="O10459" s="2"/>
    </row>
    <row r="10460" spans="12:15">
      <c r="L10460" s="2"/>
      <c r="N10460" s="2"/>
      <c r="O10460" s="2"/>
    </row>
    <row r="10461" spans="12:15">
      <c r="L10461" s="2"/>
      <c r="N10461" s="2"/>
      <c r="O10461" s="2"/>
    </row>
    <row r="10462" spans="12:15">
      <c r="L10462" s="2"/>
      <c r="N10462" s="2"/>
      <c r="O10462" s="2"/>
    </row>
    <row r="10463" spans="12:15">
      <c r="L10463" s="2"/>
      <c r="N10463" s="2"/>
      <c r="O10463" s="2"/>
    </row>
    <row r="10464" spans="12:15">
      <c r="L10464" s="2"/>
      <c r="N10464" s="2"/>
      <c r="O10464" s="2"/>
    </row>
    <row r="10465" spans="12:15">
      <c r="L10465" s="2"/>
      <c r="N10465" s="2"/>
      <c r="O10465" s="2"/>
    </row>
    <row r="10466" spans="12:15">
      <c r="L10466" s="2"/>
      <c r="N10466" s="2"/>
      <c r="O10466" s="2"/>
    </row>
    <row r="10467" spans="12:15">
      <c r="L10467" s="2"/>
      <c r="N10467" s="2"/>
      <c r="O10467" s="2"/>
    </row>
    <row r="10468" spans="12:15">
      <c r="L10468" s="2"/>
      <c r="N10468" s="2"/>
      <c r="O10468" s="2"/>
    </row>
    <row r="10469" spans="12:15">
      <c r="L10469" s="2"/>
      <c r="N10469" s="2"/>
      <c r="O10469" s="2"/>
    </row>
    <row r="10470" spans="12:15">
      <c r="L10470" s="2"/>
      <c r="N10470" s="2"/>
      <c r="O10470" s="2"/>
    </row>
    <row r="10471" spans="12:15">
      <c r="L10471" s="2"/>
      <c r="N10471" s="2"/>
      <c r="O10471" s="2"/>
    </row>
    <row r="10472" spans="12:15">
      <c r="L10472" s="2"/>
      <c r="N10472" s="2"/>
      <c r="O10472" s="2"/>
    </row>
    <row r="10473" spans="12:15">
      <c r="L10473" s="2"/>
      <c r="N10473" s="2"/>
      <c r="O10473" s="2"/>
    </row>
    <row r="10474" spans="12:15">
      <c r="L10474" s="2"/>
      <c r="N10474" s="2"/>
      <c r="O10474" s="2"/>
    </row>
    <row r="10475" spans="12:15">
      <c r="L10475" s="2"/>
      <c r="N10475" s="2"/>
      <c r="O10475" s="2"/>
    </row>
    <row r="10476" spans="12:15">
      <c r="L10476" s="2"/>
      <c r="N10476" s="2"/>
      <c r="O10476" s="2"/>
    </row>
    <row r="10477" spans="12:15">
      <c r="L10477" s="2"/>
      <c r="N10477" s="2"/>
      <c r="O10477" s="2"/>
    </row>
    <row r="10478" spans="12:15">
      <c r="L10478" s="2"/>
      <c r="N10478" s="2"/>
      <c r="O10478" s="2"/>
    </row>
    <row r="10479" spans="12:15">
      <c r="L10479" s="2"/>
      <c r="N10479" s="2"/>
      <c r="O10479" s="2"/>
    </row>
    <row r="10480" spans="12:15">
      <c r="L10480" s="2"/>
      <c r="N10480" s="2"/>
      <c r="O10480" s="2"/>
    </row>
    <row r="10481" spans="12:15">
      <c r="L10481" s="2"/>
      <c r="N10481" s="2"/>
      <c r="O10481" s="2"/>
    </row>
    <row r="10482" spans="12:15">
      <c r="L10482" s="2"/>
      <c r="N10482" s="2"/>
      <c r="O10482" s="2"/>
    </row>
    <row r="10483" spans="12:15">
      <c r="L10483" s="2"/>
      <c r="N10483" s="2"/>
      <c r="O10483" s="2"/>
    </row>
    <row r="10484" spans="12:15">
      <c r="L10484" s="2"/>
      <c r="N10484" s="2"/>
      <c r="O10484" s="2"/>
    </row>
    <row r="10485" spans="12:15">
      <c r="L10485" s="2"/>
      <c r="N10485" s="2"/>
      <c r="O10485" s="2"/>
    </row>
    <row r="10486" spans="12:15">
      <c r="L10486" s="2"/>
      <c r="N10486" s="2"/>
      <c r="O10486" s="2"/>
    </row>
    <row r="10487" spans="12:15">
      <c r="L10487" s="2"/>
      <c r="N10487" s="2"/>
      <c r="O10487" s="2"/>
    </row>
    <row r="10488" spans="12:15">
      <c r="L10488" s="2"/>
      <c r="N10488" s="2"/>
      <c r="O10488" s="2"/>
    </row>
    <row r="10489" spans="12:15">
      <c r="L10489" s="2"/>
      <c r="N10489" s="2"/>
      <c r="O10489" s="2"/>
    </row>
    <row r="10490" spans="12:15">
      <c r="L10490" s="2"/>
      <c r="N10490" s="2"/>
      <c r="O10490" s="2"/>
    </row>
    <row r="10491" spans="12:15">
      <c r="L10491" s="2"/>
      <c r="N10491" s="2"/>
      <c r="O10491" s="2"/>
    </row>
    <row r="10492" spans="12:15">
      <c r="L10492" s="2"/>
      <c r="N10492" s="2"/>
      <c r="O10492" s="2"/>
    </row>
    <row r="10493" spans="12:15">
      <c r="L10493" s="2"/>
      <c r="N10493" s="2"/>
      <c r="O10493" s="2"/>
    </row>
    <row r="10494" spans="12:15">
      <c r="L10494" s="2"/>
      <c r="N10494" s="2"/>
      <c r="O10494" s="2"/>
    </row>
    <row r="10495" spans="12:15">
      <c r="L10495" s="2"/>
      <c r="N10495" s="2"/>
      <c r="O10495" s="2"/>
    </row>
    <row r="10496" spans="12:15">
      <c r="L10496" s="2"/>
      <c r="N10496" s="2"/>
      <c r="O10496" s="2"/>
    </row>
    <row r="10497" spans="12:15">
      <c r="L10497" s="2"/>
      <c r="N10497" s="2"/>
      <c r="O10497" s="2"/>
    </row>
    <row r="10498" spans="12:15">
      <c r="L10498" s="2"/>
      <c r="N10498" s="2"/>
      <c r="O10498" s="2"/>
    </row>
    <row r="10499" spans="12:15">
      <c r="L10499" s="2"/>
      <c r="N10499" s="2"/>
      <c r="O10499" s="2"/>
    </row>
    <row r="10500" spans="12:15">
      <c r="L10500" s="2"/>
      <c r="N10500" s="2"/>
      <c r="O10500" s="2"/>
    </row>
    <row r="10501" spans="12:15">
      <c r="L10501" s="2"/>
      <c r="N10501" s="2"/>
      <c r="O10501" s="2"/>
    </row>
    <row r="10502" spans="12:15">
      <c r="L10502" s="2"/>
      <c r="N10502" s="2"/>
      <c r="O10502" s="2"/>
    </row>
    <row r="10503" spans="12:15">
      <c r="L10503" s="2"/>
      <c r="N10503" s="2"/>
      <c r="O10503" s="2"/>
    </row>
    <row r="10504" spans="12:15">
      <c r="L10504" s="2"/>
      <c r="N10504" s="2"/>
      <c r="O10504" s="2"/>
    </row>
    <row r="10505" spans="12:15">
      <c r="L10505" s="2"/>
      <c r="N10505" s="2"/>
      <c r="O10505" s="2"/>
    </row>
    <row r="10506" spans="12:15">
      <c r="L10506" s="2"/>
      <c r="N10506" s="2"/>
      <c r="O10506" s="2"/>
    </row>
    <row r="10507" spans="12:15">
      <c r="L10507" s="2"/>
      <c r="N10507" s="2"/>
      <c r="O10507" s="2"/>
    </row>
    <row r="10508" spans="12:15">
      <c r="L10508" s="2"/>
      <c r="N10508" s="2"/>
      <c r="O10508" s="2"/>
    </row>
    <row r="10509" spans="12:15">
      <c r="L10509" s="2"/>
      <c r="N10509" s="2"/>
      <c r="O10509" s="2"/>
    </row>
    <row r="10510" spans="12:15">
      <c r="L10510" s="2"/>
      <c r="N10510" s="2"/>
      <c r="O10510" s="2"/>
    </row>
    <row r="10511" spans="12:15">
      <c r="L10511" s="2"/>
      <c r="N10511" s="2"/>
      <c r="O10511" s="2"/>
    </row>
    <row r="10512" spans="12:15">
      <c r="L10512" s="2"/>
      <c r="N10512" s="2"/>
      <c r="O10512" s="2"/>
    </row>
    <row r="10513" spans="12:15">
      <c r="L10513" s="2"/>
      <c r="N10513" s="2"/>
      <c r="O10513" s="2"/>
    </row>
    <row r="10514" spans="12:15">
      <c r="L10514" s="2"/>
      <c r="N10514" s="2"/>
      <c r="O10514" s="2"/>
    </row>
    <row r="10515" spans="12:15">
      <c r="L10515" s="2"/>
      <c r="N10515" s="2"/>
      <c r="O10515" s="2"/>
    </row>
    <row r="10516" spans="12:15">
      <c r="L10516" s="2"/>
      <c r="N10516" s="2"/>
      <c r="O10516" s="2"/>
    </row>
    <row r="10517" spans="12:15">
      <c r="L10517" s="2"/>
      <c r="N10517" s="2"/>
      <c r="O10517" s="2"/>
    </row>
    <row r="10518" spans="12:15">
      <c r="L10518" s="2"/>
      <c r="N10518" s="2"/>
      <c r="O10518" s="2"/>
    </row>
    <row r="10519" spans="12:15">
      <c r="L10519" s="2"/>
      <c r="N10519" s="2"/>
      <c r="O10519" s="2"/>
    </row>
    <row r="10520" spans="12:15">
      <c r="L10520" s="2"/>
      <c r="N10520" s="2"/>
      <c r="O10520" s="2"/>
    </row>
    <row r="10521" spans="12:15">
      <c r="L10521" s="2"/>
      <c r="N10521" s="2"/>
      <c r="O10521" s="2"/>
    </row>
    <row r="10522" spans="12:15">
      <c r="L10522" s="2"/>
      <c r="N10522" s="2"/>
      <c r="O10522" s="2"/>
    </row>
    <row r="10523" spans="12:15">
      <c r="L10523" s="2"/>
      <c r="N10523" s="2"/>
      <c r="O10523" s="2"/>
    </row>
    <row r="10524" spans="12:15">
      <c r="L10524" s="2"/>
      <c r="N10524" s="2"/>
      <c r="O10524" s="2"/>
    </row>
    <row r="10525" spans="12:15">
      <c r="L10525" s="2"/>
      <c r="N10525" s="2"/>
      <c r="O10525" s="2"/>
    </row>
    <row r="10526" spans="12:15">
      <c r="L10526" s="2"/>
      <c r="N10526" s="2"/>
      <c r="O10526" s="2"/>
    </row>
    <row r="10527" spans="12:15">
      <c r="L10527" s="2"/>
      <c r="N10527" s="2"/>
      <c r="O10527" s="2"/>
    </row>
    <row r="10528" spans="12:15">
      <c r="L10528" s="2"/>
      <c r="N10528" s="2"/>
      <c r="O10528" s="2"/>
    </row>
    <row r="10529" spans="12:15">
      <c r="L10529" s="2"/>
      <c r="N10529" s="2"/>
      <c r="O10529" s="2"/>
    </row>
    <row r="10530" spans="12:15">
      <c r="L10530" s="2"/>
      <c r="N10530" s="2"/>
      <c r="O10530" s="2"/>
    </row>
    <row r="10531" spans="12:15">
      <c r="L10531" s="2"/>
      <c r="N10531" s="2"/>
      <c r="O10531" s="2"/>
    </row>
    <row r="10532" spans="12:15">
      <c r="L10532" s="2"/>
      <c r="N10532" s="2"/>
      <c r="O10532" s="2"/>
    </row>
    <row r="10533" spans="12:15">
      <c r="L10533" s="2"/>
      <c r="N10533" s="2"/>
      <c r="O10533" s="2"/>
    </row>
    <row r="10534" spans="12:15">
      <c r="L10534" s="2"/>
      <c r="N10534" s="2"/>
      <c r="O10534" s="2"/>
    </row>
    <row r="10535" spans="12:15">
      <c r="L10535" s="2"/>
      <c r="N10535" s="2"/>
      <c r="O10535" s="2"/>
    </row>
    <row r="10536" spans="12:15">
      <c r="L10536" s="2"/>
      <c r="N10536" s="2"/>
      <c r="O10536" s="2"/>
    </row>
    <row r="10537" spans="12:15">
      <c r="L10537" s="2"/>
      <c r="N10537" s="2"/>
      <c r="O10537" s="2"/>
    </row>
    <row r="10538" spans="12:15">
      <c r="L10538" s="2"/>
      <c r="N10538" s="2"/>
      <c r="O10538" s="2"/>
    </row>
    <row r="10539" spans="12:15">
      <c r="L10539" s="2"/>
      <c r="N10539" s="2"/>
      <c r="O10539" s="2"/>
    </row>
    <row r="10540" spans="12:15">
      <c r="L10540" s="2"/>
      <c r="N10540" s="2"/>
      <c r="O10540" s="2"/>
    </row>
    <row r="10541" spans="12:15">
      <c r="L10541" s="2"/>
      <c r="N10541" s="2"/>
      <c r="O10541" s="2"/>
    </row>
    <row r="10542" spans="12:15">
      <c r="L10542" s="2"/>
      <c r="N10542" s="2"/>
      <c r="O10542" s="2"/>
    </row>
    <row r="10543" spans="12:15">
      <c r="L10543" s="2"/>
      <c r="N10543" s="2"/>
      <c r="O10543" s="2"/>
    </row>
    <row r="10544" spans="12:15">
      <c r="L10544" s="2"/>
      <c r="N10544" s="2"/>
      <c r="O10544" s="2"/>
    </row>
    <row r="10545" spans="12:15">
      <c r="L10545" s="2"/>
      <c r="N10545" s="2"/>
      <c r="O10545" s="2"/>
    </row>
    <row r="10546" spans="12:15">
      <c r="L10546" s="2"/>
      <c r="N10546" s="2"/>
      <c r="O10546" s="2"/>
    </row>
    <row r="10547" spans="12:15">
      <c r="L10547" s="2"/>
      <c r="N10547" s="2"/>
      <c r="O10547" s="2"/>
    </row>
    <row r="10548" spans="12:15">
      <c r="L10548" s="2"/>
      <c r="N10548" s="2"/>
      <c r="O10548" s="2"/>
    </row>
    <row r="10549" spans="12:15">
      <c r="L10549" s="2"/>
      <c r="N10549" s="2"/>
      <c r="O10549" s="2"/>
    </row>
    <row r="10550" spans="12:15">
      <c r="L10550" s="2"/>
      <c r="N10550" s="2"/>
      <c r="O10550" s="2"/>
    </row>
    <row r="10551" spans="12:15">
      <c r="L10551" s="2"/>
      <c r="N10551" s="2"/>
      <c r="O10551" s="2"/>
    </row>
    <row r="10552" spans="12:15">
      <c r="L10552" s="2"/>
      <c r="N10552" s="2"/>
      <c r="O10552" s="2"/>
    </row>
    <row r="10553" spans="12:15">
      <c r="L10553" s="2"/>
      <c r="N10553" s="2"/>
      <c r="O10553" s="2"/>
    </row>
    <row r="10554" spans="12:15">
      <c r="L10554" s="2"/>
      <c r="N10554" s="2"/>
      <c r="O10554" s="2"/>
    </row>
    <row r="10555" spans="12:15">
      <c r="L10555" s="2"/>
      <c r="N10555" s="2"/>
      <c r="O10555" s="2"/>
    </row>
    <row r="10556" spans="12:15">
      <c r="L10556" s="2"/>
      <c r="N10556" s="2"/>
      <c r="O10556" s="2"/>
    </row>
    <row r="10557" spans="12:15">
      <c r="L10557" s="2"/>
      <c r="N10557" s="2"/>
      <c r="O10557" s="2"/>
    </row>
    <row r="10558" spans="12:15">
      <c r="L10558" s="2"/>
      <c r="N10558" s="2"/>
      <c r="O10558" s="2"/>
    </row>
    <row r="10559" spans="12:15">
      <c r="L10559" s="2"/>
      <c r="N10559" s="2"/>
      <c r="O10559" s="2"/>
    </row>
    <row r="10560" spans="12:15">
      <c r="L10560" s="2"/>
      <c r="N10560" s="2"/>
      <c r="O10560" s="2"/>
    </row>
    <row r="10561" spans="12:15">
      <c r="L10561" s="2"/>
      <c r="N10561" s="2"/>
      <c r="O10561" s="2"/>
    </row>
    <row r="10562" spans="12:15">
      <c r="L10562" s="2"/>
      <c r="N10562" s="2"/>
      <c r="O10562" s="2"/>
    </row>
  </sheetData>
  <autoFilter ref="A13:P1011" xr:uid="{B50400E9-2726-47BD-BE2B-D03565512DBA}">
    <sortState xmlns:xlrd2="http://schemas.microsoft.com/office/spreadsheetml/2017/richdata2" ref="A14:O1011">
      <sortCondition ref="B13:B1011"/>
    </sortState>
  </autoFilter>
  <conditionalFormatting sqref="D13">
    <cfRule type="duplicateValues" dxfId="9" priority="1"/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0C2C01-BCA0-4A7E-A70E-05CE8F60FADF}">
  <dimension ref="A3:C9"/>
  <sheetViews>
    <sheetView workbookViewId="0">
      <selection activeCell="A3" sqref="A3"/>
    </sheetView>
  </sheetViews>
  <sheetFormatPr defaultRowHeight="15"/>
  <cols>
    <col min="1" max="1" width="25" bestFit="1" customWidth="1"/>
    <col min="2" max="2" width="24.5703125" bestFit="1" customWidth="1"/>
    <col min="3" max="3" width="20" bestFit="1" customWidth="1"/>
  </cols>
  <sheetData>
    <row r="3" spans="1:3">
      <c r="A3" s="15" t="s">
        <v>703</v>
      </c>
      <c r="B3" t="s">
        <v>34</v>
      </c>
      <c r="C3" t="s">
        <v>35</v>
      </c>
    </row>
    <row r="4" spans="1:3">
      <c r="A4" s="16" t="s">
        <v>699</v>
      </c>
      <c r="B4" s="17">
        <v>142.89944</v>
      </c>
      <c r="C4" s="17">
        <v>250.07402000000008</v>
      </c>
    </row>
    <row r="5" spans="1:3">
      <c r="A5" s="16" t="s">
        <v>702</v>
      </c>
      <c r="B5" s="17">
        <v>69.986720000000005</v>
      </c>
      <c r="C5" s="17">
        <v>122.47676000000001</v>
      </c>
    </row>
    <row r="6" spans="1:3">
      <c r="A6" s="16" t="s">
        <v>698</v>
      </c>
      <c r="B6" s="17">
        <v>2026.5446399999994</v>
      </c>
      <c r="C6" s="17">
        <v>3546.4531200000006</v>
      </c>
    </row>
    <row r="7" spans="1:3">
      <c r="A7" s="16" t="s">
        <v>700</v>
      </c>
      <c r="B7" s="17">
        <v>1665.6535200000005</v>
      </c>
      <c r="C7" s="17">
        <v>2914.8936600000015</v>
      </c>
    </row>
    <row r="8" spans="1:3">
      <c r="A8" s="16" t="s">
        <v>701</v>
      </c>
      <c r="B8" s="17">
        <v>5205.4689199999993</v>
      </c>
      <c r="C8" s="17">
        <v>8058.3509600000016</v>
      </c>
    </row>
    <row r="9" spans="1:3">
      <c r="A9" s="16" t="s">
        <v>33</v>
      </c>
      <c r="B9" s="17">
        <v>9110.5532399999993</v>
      </c>
      <c r="C9" s="17">
        <v>14892.248520000005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E7BA6F-E088-4B51-BF14-F6DC326FEE3C}">
  <dimension ref="A1"/>
  <sheetViews>
    <sheetView workbookViewId="0">
      <selection activeCell="I33" sqref="I33"/>
    </sheetView>
  </sheetViews>
  <sheetFormatPr defaultRowHeight="15"/>
  <sheetData/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D70D8B-F061-46D5-9618-4CA620A96529}">
  <sheetPr codeName="Planilha1"/>
  <dimension ref="A3:C17"/>
  <sheetViews>
    <sheetView workbookViewId="0">
      <selection activeCell="A3" sqref="A3"/>
    </sheetView>
  </sheetViews>
  <sheetFormatPr defaultRowHeight="15"/>
  <cols>
    <col min="1" max="1" width="39.42578125" bestFit="1" customWidth="1"/>
    <col min="2" max="2" width="24.5703125" bestFit="1" customWidth="1"/>
    <col min="3" max="3" width="20" bestFit="1" customWidth="1"/>
    <col min="4" max="4" width="14.7109375" bestFit="1" customWidth="1"/>
  </cols>
  <sheetData>
    <row r="3" spans="1:3">
      <c r="A3" s="15" t="s">
        <v>32</v>
      </c>
      <c r="B3" t="s">
        <v>34</v>
      </c>
      <c r="C3" t="s">
        <v>35</v>
      </c>
    </row>
    <row r="4" spans="1:3">
      <c r="A4" s="16" t="s">
        <v>698</v>
      </c>
      <c r="B4" s="17">
        <v>2026.5446399999996</v>
      </c>
      <c r="C4" s="17">
        <v>3546.4531200000006</v>
      </c>
    </row>
    <row r="5" spans="1:3">
      <c r="A5" s="22" t="s">
        <v>39</v>
      </c>
      <c r="B5" s="17">
        <v>19.697600000000001</v>
      </c>
      <c r="C5" s="17">
        <v>34.470800000000004</v>
      </c>
    </row>
    <row r="6" spans="1:3">
      <c r="A6" s="22" t="s">
        <v>55</v>
      </c>
      <c r="B6" s="17">
        <v>1984.4031599999996</v>
      </c>
      <c r="C6" s="17">
        <v>3472.7055300000006</v>
      </c>
    </row>
    <row r="7" spans="1:3">
      <c r="A7" s="22" t="s">
        <v>68</v>
      </c>
      <c r="B7" s="17">
        <v>22.44388</v>
      </c>
      <c r="C7" s="17">
        <v>39.276790000000005</v>
      </c>
    </row>
    <row r="8" spans="1:3">
      <c r="A8" s="16" t="s">
        <v>699</v>
      </c>
      <c r="B8" s="17">
        <v>108.44148000000001</v>
      </c>
      <c r="C8" s="17">
        <v>189.77259000000004</v>
      </c>
    </row>
    <row r="9" spans="1:3">
      <c r="A9" s="22" t="s">
        <v>75</v>
      </c>
      <c r="B9" s="17">
        <v>108.44148000000001</v>
      </c>
      <c r="C9" s="17">
        <v>189.77259000000004</v>
      </c>
    </row>
    <row r="10" spans="1:3">
      <c r="A10" s="16" t="s">
        <v>700</v>
      </c>
      <c r="B10" s="17">
        <v>375.44364000000002</v>
      </c>
      <c r="C10" s="17">
        <v>657.02637000000004</v>
      </c>
    </row>
    <row r="11" spans="1:3">
      <c r="A11" s="22" t="s">
        <v>75</v>
      </c>
      <c r="B11" s="17">
        <v>8.37256</v>
      </c>
      <c r="C11" s="17">
        <v>14.651980000000002</v>
      </c>
    </row>
    <row r="12" spans="1:3">
      <c r="A12" s="22" t="s">
        <v>100</v>
      </c>
      <c r="B12" s="17">
        <v>102.78743999999999</v>
      </c>
      <c r="C12" s="17">
        <v>179.87802000000005</v>
      </c>
    </row>
    <row r="13" spans="1:3">
      <c r="A13" s="22" t="s">
        <v>39</v>
      </c>
      <c r="B13" s="17">
        <v>244.10867999999999</v>
      </c>
      <c r="C13" s="17">
        <v>427.19018999999997</v>
      </c>
    </row>
    <row r="14" spans="1:3">
      <c r="A14" s="22" t="s">
        <v>55</v>
      </c>
      <c r="B14" s="17">
        <v>20.174960000000002</v>
      </c>
      <c r="C14" s="17">
        <v>35.306180000000005</v>
      </c>
    </row>
    <row r="15" spans="1:3">
      <c r="A15" s="16" t="s">
        <v>701</v>
      </c>
      <c r="B15" s="17">
        <v>954.60171999999989</v>
      </c>
      <c r="C15" s="17">
        <v>619.33336000000008</v>
      </c>
    </row>
    <row r="16" spans="1:3">
      <c r="A16" s="22" t="s">
        <v>39</v>
      </c>
      <c r="B16" s="17">
        <v>954.60171999999989</v>
      </c>
      <c r="C16" s="17">
        <v>619.33336000000008</v>
      </c>
    </row>
    <row r="17" spans="1:3">
      <c r="A17" s="16" t="s">
        <v>33</v>
      </c>
      <c r="B17" s="17">
        <v>3465.0314799999987</v>
      </c>
      <c r="C17" s="17">
        <v>5012.5854400000007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</vt:i4>
      </vt:variant>
      <vt:variant>
        <vt:lpstr>Intervalos Nomeados</vt:lpstr>
      </vt:variant>
      <vt:variant>
        <vt:i4>7</vt:i4>
      </vt:variant>
    </vt:vector>
  </HeadingPairs>
  <TitlesOfParts>
    <vt:vector size="11" baseType="lpstr">
      <vt:lpstr>Resumo</vt:lpstr>
      <vt:lpstr>Valores por Campanhas</vt:lpstr>
      <vt:lpstr>Planilha2</vt:lpstr>
      <vt:lpstr>aa</vt:lpstr>
      <vt:lpstr>adtype_filtrada</vt:lpstr>
      <vt:lpstr>Resumo!Area_de_extracao</vt:lpstr>
      <vt:lpstr>clicks_filtrada</vt:lpstr>
      <vt:lpstr>filtro</vt:lpstr>
      <vt:lpstr>impressoes_filtrada</vt:lpstr>
      <vt:lpstr>total_adops_filtrada</vt:lpstr>
      <vt:lpstr>total_ferramenta_filtrada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Silva, Wilson</dc:creator>
  <cp:lastModifiedBy>Ingrid Nayra de Camargo Ramirez - Almap BBDO</cp:lastModifiedBy>
  <dcterms:created xsi:type="dcterms:W3CDTF">2015-03-03T21:53:58Z</dcterms:created>
  <dcterms:modified xsi:type="dcterms:W3CDTF">2021-04-01T13:25:26Z</dcterms:modified>
</cp:coreProperties>
</file>