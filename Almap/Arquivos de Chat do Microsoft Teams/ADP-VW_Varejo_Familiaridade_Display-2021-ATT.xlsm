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Felipe Lima\Desktop\"/>
    </mc:Choice>
  </mc:AlternateContent>
  <xr:revisionPtr revIDLastSave="0" documentId="8_{25F84597-A8EE-4822-846C-6C8359798E61}" xr6:coauthVersionLast="46" xr6:coauthVersionMax="46" xr10:uidLastSave="{00000000-0000-0000-0000-000000000000}"/>
  <bookViews>
    <workbookView xWindow="-120" yWindow="-120" windowWidth="20730" windowHeight="11160" activeTab="1" xr2:uid="{5C905383-3BE9-4CDF-A385-B91C6C7CBA37}"/>
  </bookViews>
  <sheets>
    <sheet name="Campanha" sheetId="1" r:id="rId1"/>
    <sheet name="ADP" sheetId="2" r:id="rId2"/>
    <sheet name="ID's" sheetId="6" r:id="rId3"/>
    <sheet name="Contadores" sheetId="5" r:id="rId4"/>
    <sheet name="All Codes" sheetId="4" r:id="rId5"/>
  </sheets>
  <functionGroups builtInGroupCount="19"/>
  <definedNames>
    <definedName name="_xlnm._FilterDatabase" localSheetId="1" hidden="1">ADP!$B$4:$BI$129</definedName>
    <definedName name="_xlnm._FilterDatabase" localSheetId="4" hidden="1">'All Codes'!$BF$2:$BK$271</definedName>
    <definedName name="_xlnm._FilterDatabase" localSheetId="3" hidden="1">Contadores!$A$1:$B$1</definedName>
    <definedName name="_xlnm._FilterDatabase" localSheetId="2" hidden="1">'ID''s'!$A$1:$B$1</definedName>
    <definedName name="_Key1" hidden="1">#REF!</definedName>
    <definedName name="_Key2" hidden="1">#REF!</definedName>
    <definedName name="_Order1" hidden="1">255</definedName>
    <definedName name="_Order2" hidden="1">0</definedName>
    <definedName name="_Sort" hidden="1">#REF!</definedName>
    <definedName name="adchan">ADP!$AT:$AT</definedName>
    <definedName name="adcr">ADP!$BA:$BA</definedName>
    <definedName name="adpay">ADP!$BF:$BF</definedName>
    <definedName name="adpl">ADP!$AW:$AW</definedName>
    <definedName name="adplt">ADP!$AY:$AY</definedName>
    <definedName name="campaign">ADP!$AX:$AX</definedName>
    <definedName name="cel_campaing">Campanha!$B$14</definedName>
    <definedName name="cel_country">Campanha!$B$6</definedName>
    <definedName name="cel_freefield">Campanha!$B$16</definedName>
    <definedName name="cel_idcampaign">Campanha!$B$2</definedName>
    <definedName name="cel_idcampaignname">Campanha!$B$15</definedName>
    <definedName name="cel_mediachannel">Campanha!$B$8</definedName>
    <definedName name="cel_modelvariant">Campanha!$B$13</definedName>
    <definedName name="cel_name">Campanha!$B$3</definedName>
    <definedName name="cel_planningprinciple">Campanha!$B$7</definedName>
    <definedName name="cel_structurename">Campanha!$B$4</definedName>
    <definedName name="col_adlid">ADP!$BD:$BD</definedName>
    <definedName name="col_adname">ADP!$AJ:$AJ</definedName>
    <definedName name="col_buyingmetric">ADP!$N:$N</definedName>
    <definedName name="col_buyingtype">ADP!$M:$M</definedName>
    <definedName name="col_campanhaanunciante">ADP!$BL:$BL</definedName>
    <definedName name="col_device">ADP!$R:$R</definedName>
    <definedName name="col_grupoanunciante">ADP!$BM:$BM</definedName>
    <definedName name="col_keyword">ADP!$AR:$AR</definedName>
    <definedName name="col_linhacriativa2">ADP!$U:$U</definedName>
    <definedName name="col_localfreetype">ADP!$T:$T</definedName>
    <definedName name="col_objetivo">ADP!$S:$S</definedName>
    <definedName name="col_paidvsav">ADP!$X:$X</definedName>
    <definedName name="col_parametrizacao">ADP!$I:$I</definedName>
    <definedName name="col_placement">ADP!$AI:$AI</definedName>
    <definedName name="col_segmentacao">ADP!$V:$V</definedName>
    <definedName name="col_segmentacaodeanun">ADP!$W:$W</definedName>
    <definedName name="col_servidopor">ADP!$G:$G</definedName>
    <definedName name="col_sitesection">ADP!$Q:$Q</definedName>
    <definedName name="col_size">ADP!$Y:$Y</definedName>
    <definedName name="col_submediachannel">ADP!$L:$L</definedName>
    <definedName name="col_supplier">ADP!$J:$J</definedName>
    <definedName name="col_trackingtype">ADP!$O:$O</definedName>
    <definedName name="col_unitname">ADP!$P:$P</definedName>
    <definedName name="col_url">ADP!$H:$H</definedName>
    <definedName name="col_utmcampaign">ADP!$AP:$AP</definedName>
    <definedName name="col_utmcontent">ADP!$AQ:$AQ</definedName>
    <definedName name="col_utmmedium">ADP!$AO:$AO</definedName>
    <definedName name="col_utmsource">ADP!$AN:$AN</definedName>
    <definedName name="country">ADP!$AU:$AU</definedName>
    <definedName name="format">ADP!$AZ:$AZ</definedName>
    <definedName name="id_placement">'ID''s'!$A:$B</definedName>
    <definedName name="language">ADP!$BE:$BE</definedName>
    <definedName name="list_brand">'All Codes'!$B$3:$B$4</definedName>
    <definedName name="list_buyingmetric">'All Codes'!$E$3:$E$9</definedName>
    <definedName name="list_buyingtype">'All Codes'!$H$3:$H$5</definedName>
    <definedName name="list_campaigncategory">'All Codes'!$K$3:$K$7</definedName>
    <definedName name="list_campaigntype">'All Codes'!$O$3:$O$6</definedName>
    <definedName name="list_country">'All Codes'!$R$3:$R$34</definedName>
    <definedName name="list_date">'All Codes'!$U$3:$U$26</definedName>
    <definedName name="list_device">'All Codes'!$Y$3:$Y$7</definedName>
    <definedName name="list_mediachannel">'All Codes'!$AD$3:$AD$8</definedName>
    <definedName name="list_model">'All Codes'!$AH$3:$AH$51</definedName>
    <definedName name="list_modelvariant">'All Codes'!$AL$3:$AL$96</definedName>
    <definedName name="list_paidvsav">'All Codes'!$AP$3:$AP$7</definedName>
    <definedName name="list_planningprinciple">'All Codes'!$AS$3:$AS$6</definedName>
    <definedName name="list_servidopor">'All Codes'!$AW$3:$AW$7</definedName>
    <definedName name="list_site">'All Codes'!$AZ$3:$AZ$82</definedName>
    <definedName name="list_sitesection">'All Codes'!$BC$3:$BC$7</definedName>
    <definedName name="list_size">'All Codes'!$BF$3:$BF$285</definedName>
    <definedName name="list_strategyphase">'All Codes'!$BI$3:$BI$11</definedName>
    <definedName name="list_submediachannel">'All Codes'!$BM$3:$BM$10</definedName>
    <definedName name="list_trackingtype">'All Codes'!$BQ$3:$BQ$10</definedName>
    <definedName name="list_type">'All Codes'!$BT$3:$BT$5</definedName>
    <definedName name="list_unitname">'All Codes'!$BX$3:$BX$10</definedName>
    <definedName name="publisher">ADP!$AV:$AV</definedName>
    <definedName name="tab_buyingmetric">'All Codes'!$E:$F</definedName>
    <definedName name="tab_buyingtype">'All Codes'!$H:$I</definedName>
    <definedName name="tab_campaigncategory">'All Codes'!$K:$M</definedName>
    <definedName name="tab_campaigntype">'All Codes'!$O:$P</definedName>
    <definedName name="tab_contadores" localSheetId="2">'ID''s'!$A:$B</definedName>
    <definedName name="tab_contadores">Contadores!$A:$B</definedName>
    <definedName name="tab_country">'All Codes'!$R:$S</definedName>
    <definedName name="tab_date">'All Codes'!$U:$W</definedName>
    <definedName name="tab_device">'All Codes'!$Y:$Z</definedName>
    <definedName name="tab_mediachannel">'All Codes'!$AD:$AF</definedName>
    <definedName name="tab_model">'All Codes'!$AH:$AI</definedName>
    <definedName name="tab_modelvariant">'All Codes'!$AL:$AN</definedName>
    <definedName name="tab_objetivo">'All Codes'!$CA$3:$CA$18</definedName>
    <definedName name="tab_paidvsav">'All Codes'!$AP:$AQ</definedName>
    <definedName name="tab_parametrizacao">'All Codes'!$AB$3:$AB$6</definedName>
    <definedName name="tab_planningprinciple">'All Codes'!$AS:$AU</definedName>
    <definedName name="tab_sitesection">'All Codes'!$BC:$BD</definedName>
    <definedName name="tab_strategyphase">'All Codes'!$BI:$BK</definedName>
    <definedName name="tab_submediachannel">'All Codes'!$BM:$BN</definedName>
    <definedName name="tab_trackingtype">'All Codes'!$BQ:$BR</definedName>
    <definedName name="tab_type">'All Codes'!$BT:$BV</definedName>
    <definedName name="tab_unitname">'All Codes'!$BX:$BY</definedName>
    <definedName name="url_adobe">ADP!$BI:$BI</definedName>
    <definedName name="url_ga">ADP!$AS:$AS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M118" i="2" l="1"/>
  <c r="AN118" i="2"/>
  <c r="AO118" i="2"/>
  <c r="AT118" i="2"/>
  <c r="AU118" i="2"/>
  <c r="BE118" i="2" s="1"/>
  <c r="AV118" i="2"/>
  <c r="AW118" i="2"/>
  <c r="AX118" i="2"/>
  <c r="AZ118" i="2"/>
  <c r="BA118" i="2"/>
  <c r="BF118" i="2"/>
  <c r="BM118" i="2"/>
  <c r="AM119" i="2"/>
  <c r="AN119" i="2"/>
  <c r="AO119" i="2"/>
  <c r="AT119" i="2"/>
  <c r="AU119" i="2"/>
  <c r="BE119" i="2" s="1"/>
  <c r="AV119" i="2"/>
  <c r="AW119" i="2"/>
  <c r="AX119" i="2"/>
  <c r="AZ119" i="2"/>
  <c r="BA119" i="2"/>
  <c r="BF119" i="2"/>
  <c r="BM119" i="2"/>
  <c r="AM120" i="2"/>
  <c r="AN120" i="2"/>
  <c r="AO120" i="2"/>
  <c r="AT120" i="2"/>
  <c r="AU120" i="2"/>
  <c r="BE120" i="2" s="1"/>
  <c r="AV120" i="2"/>
  <c r="AW120" i="2"/>
  <c r="AX120" i="2"/>
  <c r="AZ120" i="2"/>
  <c r="BA120" i="2"/>
  <c r="BF120" i="2"/>
  <c r="BM120" i="2"/>
  <c r="AM121" i="2"/>
  <c r="AN121" i="2"/>
  <c r="AO121" i="2"/>
  <c r="AT121" i="2"/>
  <c r="AU121" i="2"/>
  <c r="BE121" i="2" s="1"/>
  <c r="AV121" i="2"/>
  <c r="AW121" i="2"/>
  <c r="AX121" i="2"/>
  <c r="AZ121" i="2"/>
  <c r="BA121" i="2"/>
  <c r="BF121" i="2"/>
  <c r="BM121" i="2"/>
  <c r="AM122" i="2"/>
  <c r="AN122" i="2"/>
  <c r="AO122" i="2"/>
  <c r="AT122" i="2"/>
  <c r="AU122" i="2"/>
  <c r="BE122" i="2" s="1"/>
  <c r="AV122" i="2"/>
  <c r="AW122" i="2"/>
  <c r="AX122" i="2"/>
  <c r="AZ122" i="2"/>
  <c r="BA122" i="2"/>
  <c r="BF122" i="2"/>
  <c r="BM122" i="2"/>
  <c r="AM123" i="2"/>
  <c r="AN123" i="2"/>
  <c r="AO123" i="2"/>
  <c r="AT123" i="2"/>
  <c r="AU123" i="2"/>
  <c r="BE123" i="2" s="1"/>
  <c r="AV123" i="2"/>
  <c r="AW123" i="2"/>
  <c r="AX123" i="2"/>
  <c r="AZ123" i="2"/>
  <c r="BA123" i="2"/>
  <c r="BF123" i="2"/>
  <c r="BM123" i="2"/>
  <c r="AM124" i="2"/>
  <c r="AN124" i="2"/>
  <c r="AO124" i="2"/>
  <c r="AT124" i="2"/>
  <c r="AU124" i="2"/>
  <c r="BE124" i="2" s="1"/>
  <c r="AV124" i="2"/>
  <c r="AW124" i="2"/>
  <c r="AX124" i="2"/>
  <c r="AZ124" i="2"/>
  <c r="BA124" i="2"/>
  <c r="BF124" i="2"/>
  <c r="BM124" i="2"/>
  <c r="AM125" i="2"/>
  <c r="AN125" i="2"/>
  <c r="AO125" i="2"/>
  <c r="AT125" i="2"/>
  <c r="AU125" i="2"/>
  <c r="AV125" i="2"/>
  <c r="AW125" i="2"/>
  <c r="AX125" i="2"/>
  <c r="AZ125" i="2"/>
  <c r="BA125" i="2"/>
  <c r="BE125" i="2"/>
  <c r="BF125" i="2"/>
  <c r="BM125" i="2"/>
  <c r="AM126" i="2"/>
  <c r="AN126" i="2"/>
  <c r="AO126" i="2"/>
  <c r="AT126" i="2"/>
  <c r="AU126" i="2"/>
  <c r="AV126" i="2"/>
  <c r="AW126" i="2"/>
  <c r="AX126" i="2"/>
  <c r="AZ126" i="2"/>
  <c r="BA126" i="2"/>
  <c r="BE126" i="2"/>
  <c r="BF126" i="2"/>
  <c r="BM126" i="2"/>
  <c r="AM127" i="2"/>
  <c r="AN127" i="2"/>
  <c r="AO127" i="2"/>
  <c r="AT127" i="2"/>
  <c r="AU127" i="2"/>
  <c r="AV127" i="2"/>
  <c r="AW127" i="2"/>
  <c r="AX127" i="2"/>
  <c r="AZ127" i="2"/>
  <c r="BA127" i="2"/>
  <c r="BE127" i="2"/>
  <c r="BF127" i="2"/>
  <c r="BM127" i="2"/>
  <c r="AM128" i="2"/>
  <c r="AN128" i="2"/>
  <c r="AO128" i="2"/>
  <c r="AT128" i="2"/>
  <c r="AU128" i="2"/>
  <c r="BE128" i="2" s="1"/>
  <c r="AV128" i="2"/>
  <c r="AW128" i="2"/>
  <c r="AX128" i="2"/>
  <c r="AZ128" i="2"/>
  <c r="BA128" i="2"/>
  <c r="BF128" i="2"/>
  <c r="BM128" i="2"/>
  <c r="AM129" i="2"/>
  <c r="AN129" i="2"/>
  <c r="AO129" i="2"/>
  <c r="AT129" i="2"/>
  <c r="AU129" i="2"/>
  <c r="BE129" i="2" s="1"/>
  <c r="AV129" i="2"/>
  <c r="AW129" i="2"/>
  <c r="AX129" i="2"/>
  <c r="AZ129" i="2"/>
  <c r="BA129" i="2"/>
  <c r="BF129" i="2"/>
  <c r="BM129" i="2"/>
  <c r="BM117" i="2"/>
  <c r="BF117" i="2"/>
  <c r="BA117" i="2"/>
  <c r="AZ117" i="2"/>
  <c r="AX117" i="2"/>
  <c r="AW117" i="2"/>
  <c r="AV117" i="2"/>
  <c r="AU117" i="2"/>
  <c r="BE117" i="2" s="1"/>
  <c r="AT117" i="2"/>
  <c r="AO117" i="2"/>
  <c r="AN117" i="2"/>
  <c r="BM116" i="2"/>
  <c r="BF116" i="2"/>
  <c r="BA116" i="2"/>
  <c r="AZ116" i="2"/>
  <c r="AX116" i="2"/>
  <c r="AW116" i="2"/>
  <c r="AV116" i="2"/>
  <c r="AU116" i="2"/>
  <c r="BE116" i="2" s="1"/>
  <c r="AT116" i="2"/>
  <c r="AO116" i="2"/>
  <c r="AN116" i="2"/>
  <c r="BM115" i="2"/>
  <c r="BF115" i="2"/>
  <c r="BA115" i="2"/>
  <c r="AZ115" i="2"/>
  <c r="AX115" i="2"/>
  <c r="AW115" i="2"/>
  <c r="AV115" i="2"/>
  <c r="AU115" i="2"/>
  <c r="BE115" i="2" s="1"/>
  <c r="AT115" i="2"/>
  <c r="AO115" i="2"/>
  <c r="AN115" i="2"/>
  <c r="BM114" i="2"/>
  <c r="BF114" i="2"/>
  <c r="BA114" i="2"/>
  <c r="AZ114" i="2"/>
  <c r="AX114" i="2"/>
  <c r="AW114" i="2"/>
  <c r="AV114" i="2"/>
  <c r="AU114" i="2"/>
  <c r="BE114" i="2" s="1"/>
  <c r="AT114" i="2"/>
  <c r="AO114" i="2"/>
  <c r="AN114" i="2"/>
  <c r="AK125" i="2"/>
  <c r="AK127" i="2"/>
  <c r="AK129" i="2"/>
  <c r="AK114" i="2"/>
  <c r="AK124" i="2"/>
  <c r="AK118" i="2"/>
  <c r="AK120" i="2"/>
  <c r="AK122" i="2"/>
  <c r="AK117" i="2"/>
  <c r="AK119" i="2"/>
  <c r="AK115" i="2"/>
  <c r="AK126" i="2"/>
  <c r="AK128" i="2"/>
  <c r="AK123" i="2"/>
  <c r="AK116" i="2"/>
  <c r="AK121" i="2"/>
  <c r="AM111" i="2" l="1"/>
  <c r="AN111" i="2"/>
  <c r="AO111" i="2"/>
  <c r="AT111" i="2"/>
  <c r="AU111" i="2"/>
  <c r="BE111" i="2" s="1"/>
  <c r="AV111" i="2"/>
  <c r="AW111" i="2"/>
  <c r="AX111" i="2"/>
  <c r="AZ111" i="2"/>
  <c r="BA111" i="2"/>
  <c r="BF111" i="2"/>
  <c r="BM111" i="2"/>
  <c r="AM112" i="2"/>
  <c r="AN112" i="2"/>
  <c r="AO112" i="2"/>
  <c r="AT112" i="2"/>
  <c r="AU112" i="2"/>
  <c r="BE112" i="2" s="1"/>
  <c r="AV112" i="2"/>
  <c r="AW112" i="2"/>
  <c r="AX112" i="2"/>
  <c r="AZ112" i="2"/>
  <c r="BA112" i="2"/>
  <c r="BF112" i="2"/>
  <c r="BM112" i="2"/>
  <c r="AM113" i="2"/>
  <c r="AN113" i="2"/>
  <c r="AO113" i="2"/>
  <c r="AT113" i="2"/>
  <c r="AU113" i="2"/>
  <c r="BE113" i="2" s="1"/>
  <c r="AV113" i="2"/>
  <c r="AW113" i="2"/>
  <c r="AX113" i="2"/>
  <c r="AZ113" i="2"/>
  <c r="BA113" i="2"/>
  <c r="BF113" i="2"/>
  <c r="BM113" i="2"/>
  <c r="AM96" i="2"/>
  <c r="AN96" i="2"/>
  <c r="AO96" i="2"/>
  <c r="AT96" i="2"/>
  <c r="AU96" i="2"/>
  <c r="BE96" i="2" s="1"/>
  <c r="AV96" i="2"/>
  <c r="AW96" i="2"/>
  <c r="AX96" i="2"/>
  <c r="AZ96" i="2"/>
  <c r="BA96" i="2"/>
  <c r="BF96" i="2"/>
  <c r="BM96" i="2"/>
  <c r="AM97" i="2"/>
  <c r="AN97" i="2"/>
  <c r="AO97" i="2"/>
  <c r="AT97" i="2"/>
  <c r="AU97" i="2"/>
  <c r="BE97" i="2" s="1"/>
  <c r="AV97" i="2"/>
  <c r="AW97" i="2"/>
  <c r="AX97" i="2"/>
  <c r="AZ97" i="2"/>
  <c r="BA97" i="2"/>
  <c r="BF97" i="2"/>
  <c r="BM97" i="2"/>
  <c r="AM98" i="2"/>
  <c r="AN98" i="2"/>
  <c r="AO98" i="2"/>
  <c r="AT98" i="2"/>
  <c r="AU98" i="2"/>
  <c r="BE98" i="2" s="1"/>
  <c r="AV98" i="2"/>
  <c r="AW98" i="2"/>
  <c r="AX98" i="2"/>
  <c r="AZ98" i="2"/>
  <c r="BA98" i="2"/>
  <c r="BF98" i="2"/>
  <c r="BM98" i="2"/>
  <c r="AM99" i="2"/>
  <c r="AN99" i="2"/>
  <c r="AO99" i="2"/>
  <c r="AT99" i="2"/>
  <c r="AU99" i="2"/>
  <c r="BE99" i="2" s="1"/>
  <c r="AV99" i="2"/>
  <c r="AW99" i="2"/>
  <c r="AX99" i="2"/>
  <c r="AZ99" i="2"/>
  <c r="BA99" i="2"/>
  <c r="BF99" i="2"/>
  <c r="BM99" i="2"/>
  <c r="AM100" i="2"/>
  <c r="AN100" i="2"/>
  <c r="AO100" i="2"/>
  <c r="AT100" i="2"/>
  <c r="AU100" i="2"/>
  <c r="BE100" i="2" s="1"/>
  <c r="AV100" i="2"/>
  <c r="AW100" i="2"/>
  <c r="AX100" i="2"/>
  <c r="AZ100" i="2"/>
  <c r="BA100" i="2"/>
  <c r="BF100" i="2"/>
  <c r="BM100" i="2"/>
  <c r="AM101" i="2"/>
  <c r="AN101" i="2"/>
  <c r="AO101" i="2"/>
  <c r="AT101" i="2"/>
  <c r="AU101" i="2"/>
  <c r="BE101" i="2" s="1"/>
  <c r="AV101" i="2"/>
  <c r="AW101" i="2"/>
  <c r="AX101" i="2"/>
  <c r="AZ101" i="2"/>
  <c r="BA101" i="2"/>
  <c r="BF101" i="2"/>
  <c r="BM101" i="2"/>
  <c r="AM102" i="2"/>
  <c r="AN102" i="2"/>
  <c r="AO102" i="2"/>
  <c r="AT102" i="2"/>
  <c r="AU102" i="2"/>
  <c r="BE102" i="2" s="1"/>
  <c r="AV102" i="2"/>
  <c r="AW102" i="2"/>
  <c r="AX102" i="2"/>
  <c r="AZ102" i="2"/>
  <c r="BA102" i="2"/>
  <c r="BF102" i="2"/>
  <c r="BM102" i="2"/>
  <c r="AM103" i="2"/>
  <c r="AN103" i="2"/>
  <c r="AO103" i="2"/>
  <c r="AT103" i="2"/>
  <c r="AU103" i="2"/>
  <c r="BE103" i="2" s="1"/>
  <c r="AV103" i="2"/>
  <c r="AW103" i="2"/>
  <c r="AX103" i="2"/>
  <c r="AZ103" i="2"/>
  <c r="BA103" i="2"/>
  <c r="BF103" i="2"/>
  <c r="BM103" i="2"/>
  <c r="AM104" i="2"/>
  <c r="AN104" i="2"/>
  <c r="AO104" i="2"/>
  <c r="AT104" i="2"/>
  <c r="AU104" i="2"/>
  <c r="BE104" i="2" s="1"/>
  <c r="AV104" i="2"/>
  <c r="AW104" i="2"/>
  <c r="AX104" i="2"/>
  <c r="AZ104" i="2"/>
  <c r="BA104" i="2"/>
  <c r="BF104" i="2"/>
  <c r="BM104" i="2"/>
  <c r="AM105" i="2"/>
  <c r="AN105" i="2"/>
  <c r="AO105" i="2"/>
  <c r="AT105" i="2"/>
  <c r="AU105" i="2"/>
  <c r="BE105" i="2" s="1"/>
  <c r="AV105" i="2"/>
  <c r="AW105" i="2"/>
  <c r="AX105" i="2"/>
  <c r="AZ105" i="2"/>
  <c r="BA105" i="2"/>
  <c r="BF105" i="2"/>
  <c r="BM105" i="2"/>
  <c r="AM106" i="2"/>
  <c r="AN106" i="2"/>
  <c r="AO106" i="2"/>
  <c r="AT106" i="2"/>
  <c r="AU106" i="2"/>
  <c r="BE106" i="2" s="1"/>
  <c r="AV106" i="2"/>
  <c r="AW106" i="2"/>
  <c r="AX106" i="2"/>
  <c r="AZ106" i="2"/>
  <c r="BA106" i="2"/>
  <c r="BF106" i="2"/>
  <c r="BM106" i="2"/>
  <c r="AM107" i="2"/>
  <c r="AN107" i="2"/>
  <c r="AO107" i="2"/>
  <c r="AT107" i="2"/>
  <c r="AU107" i="2"/>
  <c r="BE107" i="2" s="1"/>
  <c r="AV107" i="2"/>
  <c r="AW107" i="2"/>
  <c r="AX107" i="2"/>
  <c r="AZ107" i="2"/>
  <c r="BA107" i="2"/>
  <c r="BF107" i="2"/>
  <c r="BM107" i="2"/>
  <c r="AM108" i="2"/>
  <c r="AN108" i="2"/>
  <c r="AO108" i="2"/>
  <c r="AT108" i="2"/>
  <c r="AU108" i="2"/>
  <c r="BE108" i="2" s="1"/>
  <c r="AV108" i="2"/>
  <c r="AW108" i="2"/>
  <c r="AX108" i="2"/>
  <c r="AZ108" i="2"/>
  <c r="BA108" i="2"/>
  <c r="BF108" i="2"/>
  <c r="BM108" i="2"/>
  <c r="AM109" i="2"/>
  <c r="AN109" i="2"/>
  <c r="AO109" i="2"/>
  <c r="AT109" i="2"/>
  <c r="AU109" i="2"/>
  <c r="BE109" i="2" s="1"/>
  <c r="AV109" i="2"/>
  <c r="AW109" i="2"/>
  <c r="AX109" i="2"/>
  <c r="AZ109" i="2"/>
  <c r="BA109" i="2"/>
  <c r="BF109" i="2"/>
  <c r="BM109" i="2"/>
  <c r="AM110" i="2"/>
  <c r="AN110" i="2"/>
  <c r="AO110" i="2"/>
  <c r="AT110" i="2"/>
  <c r="AU110" i="2"/>
  <c r="BE110" i="2" s="1"/>
  <c r="AV110" i="2"/>
  <c r="AW110" i="2"/>
  <c r="AX110" i="2"/>
  <c r="AZ110" i="2"/>
  <c r="BA110" i="2"/>
  <c r="BF110" i="2"/>
  <c r="BM110" i="2"/>
  <c r="AK108" i="2"/>
  <c r="AK105" i="2"/>
  <c r="AK104" i="2"/>
  <c r="AK97" i="2"/>
  <c r="AK102" i="2"/>
  <c r="AK96" i="2"/>
  <c r="AK113" i="2"/>
  <c r="AK100" i="2"/>
  <c r="AK111" i="2"/>
  <c r="AK110" i="2"/>
  <c r="AK107" i="2"/>
  <c r="AK98" i="2"/>
  <c r="AK101" i="2"/>
  <c r="AK106" i="2"/>
  <c r="AK109" i="2"/>
  <c r="AK103" i="2"/>
  <c r="AK99" i="2"/>
  <c r="AK112" i="2"/>
  <c r="AM91" i="2" l="1"/>
  <c r="AN91" i="2"/>
  <c r="AO91" i="2"/>
  <c r="AT91" i="2"/>
  <c r="AU91" i="2"/>
  <c r="BE91" i="2" s="1"/>
  <c r="AV91" i="2"/>
  <c r="AW91" i="2"/>
  <c r="AX91" i="2"/>
  <c r="AZ91" i="2"/>
  <c r="BA91" i="2"/>
  <c r="BF91" i="2"/>
  <c r="BM91" i="2"/>
  <c r="AM92" i="2"/>
  <c r="AN92" i="2"/>
  <c r="AO92" i="2"/>
  <c r="AT92" i="2"/>
  <c r="AU92" i="2"/>
  <c r="BE92" i="2" s="1"/>
  <c r="AV92" i="2"/>
  <c r="AW92" i="2"/>
  <c r="AX92" i="2"/>
  <c r="AZ92" i="2"/>
  <c r="BA92" i="2"/>
  <c r="BF92" i="2"/>
  <c r="BM92" i="2"/>
  <c r="AM93" i="2"/>
  <c r="AN93" i="2"/>
  <c r="AO93" i="2"/>
  <c r="AT93" i="2"/>
  <c r="AU93" i="2"/>
  <c r="BE93" i="2" s="1"/>
  <c r="AV93" i="2"/>
  <c r="AW93" i="2"/>
  <c r="AX93" i="2"/>
  <c r="AZ93" i="2"/>
  <c r="BA93" i="2"/>
  <c r="BF93" i="2"/>
  <c r="BM93" i="2"/>
  <c r="AM94" i="2"/>
  <c r="AN94" i="2"/>
  <c r="AO94" i="2"/>
  <c r="AT94" i="2"/>
  <c r="AU94" i="2"/>
  <c r="BE94" i="2" s="1"/>
  <c r="AV94" i="2"/>
  <c r="AW94" i="2"/>
  <c r="AX94" i="2"/>
  <c r="AZ94" i="2"/>
  <c r="BA94" i="2"/>
  <c r="BF94" i="2"/>
  <c r="BM94" i="2"/>
  <c r="AM95" i="2"/>
  <c r="AN95" i="2"/>
  <c r="AO95" i="2"/>
  <c r="AT95" i="2"/>
  <c r="AU95" i="2"/>
  <c r="BE95" i="2" s="1"/>
  <c r="AV95" i="2"/>
  <c r="AW95" i="2"/>
  <c r="AX95" i="2"/>
  <c r="AZ95" i="2"/>
  <c r="BA95" i="2"/>
  <c r="BF95" i="2"/>
  <c r="BM95" i="2"/>
  <c r="AM86" i="2"/>
  <c r="AN86" i="2"/>
  <c r="AO86" i="2"/>
  <c r="AT86" i="2"/>
  <c r="AU86" i="2"/>
  <c r="BE86" i="2" s="1"/>
  <c r="AV86" i="2"/>
  <c r="AW86" i="2"/>
  <c r="AX86" i="2"/>
  <c r="AZ86" i="2"/>
  <c r="BA86" i="2"/>
  <c r="BF86" i="2"/>
  <c r="BM86" i="2"/>
  <c r="AM87" i="2"/>
  <c r="AN87" i="2"/>
  <c r="AO87" i="2"/>
  <c r="AT87" i="2"/>
  <c r="AU87" i="2"/>
  <c r="BE87" i="2" s="1"/>
  <c r="AV87" i="2"/>
  <c r="AW87" i="2"/>
  <c r="AX87" i="2"/>
  <c r="AZ87" i="2"/>
  <c r="BA87" i="2"/>
  <c r="BF87" i="2"/>
  <c r="BM87" i="2"/>
  <c r="AM88" i="2"/>
  <c r="AN88" i="2"/>
  <c r="AO88" i="2"/>
  <c r="AT88" i="2"/>
  <c r="AU88" i="2"/>
  <c r="BE88" i="2" s="1"/>
  <c r="AV88" i="2"/>
  <c r="AW88" i="2"/>
  <c r="AX88" i="2"/>
  <c r="AZ88" i="2"/>
  <c r="BA88" i="2"/>
  <c r="BF88" i="2"/>
  <c r="BM88" i="2"/>
  <c r="AM89" i="2"/>
  <c r="AN89" i="2"/>
  <c r="AO89" i="2"/>
  <c r="AT89" i="2"/>
  <c r="AU89" i="2"/>
  <c r="BE89" i="2" s="1"/>
  <c r="AV89" i="2"/>
  <c r="AW89" i="2"/>
  <c r="AX89" i="2"/>
  <c r="AZ89" i="2"/>
  <c r="BA89" i="2"/>
  <c r="BF89" i="2"/>
  <c r="BM89" i="2"/>
  <c r="AM90" i="2"/>
  <c r="AN90" i="2"/>
  <c r="AO90" i="2"/>
  <c r="AT90" i="2"/>
  <c r="AU90" i="2"/>
  <c r="BE90" i="2" s="1"/>
  <c r="AV90" i="2"/>
  <c r="AW90" i="2"/>
  <c r="AX90" i="2"/>
  <c r="AZ90" i="2"/>
  <c r="BA90" i="2"/>
  <c r="BF90" i="2"/>
  <c r="BM90" i="2"/>
  <c r="AK91" i="2"/>
  <c r="AK94" i="2"/>
  <c r="AK86" i="2"/>
  <c r="AK90" i="2"/>
  <c r="AK93" i="2"/>
  <c r="AK89" i="2"/>
  <c r="AK95" i="2"/>
  <c r="AK87" i="2"/>
  <c r="AK92" i="2"/>
  <c r="AK88" i="2"/>
  <c r="AM31" i="2" l="1"/>
  <c r="AN31" i="2"/>
  <c r="AO31" i="2"/>
  <c r="AT31" i="2"/>
  <c r="AU31" i="2"/>
  <c r="BE31" i="2" s="1"/>
  <c r="AV31" i="2"/>
  <c r="AW31" i="2"/>
  <c r="AX31" i="2"/>
  <c r="AZ31" i="2"/>
  <c r="BA31" i="2"/>
  <c r="BF31" i="2"/>
  <c r="BM31" i="2"/>
  <c r="AM32" i="2"/>
  <c r="AN32" i="2"/>
  <c r="AO32" i="2"/>
  <c r="AT32" i="2"/>
  <c r="AU32" i="2"/>
  <c r="BE32" i="2" s="1"/>
  <c r="AV32" i="2"/>
  <c r="AW32" i="2"/>
  <c r="AX32" i="2"/>
  <c r="AZ32" i="2"/>
  <c r="BA32" i="2"/>
  <c r="BF32" i="2"/>
  <c r="BM32" i="2"/>
  <c r="AM33" i="2"/>
  <c r="AN33" i="2"/>
  <c r="AO33" i="2"/>
  <c r="AT33" i="2"/>
  <c r="AU33" i="2"/>
  <c r="BE33" i="2" s="1"/>
  <c r="AV33" i="2"/>
  <c r="AW33" i="2"/>
  <c r="AX33" i="2"/>
  <c r="AZ33" i="2"/>
  <c r="BA33" i="2"/>
  <c r="BF33" i="2"/>
  <c r="BM33" i="2"/>
  <c r="AM34" i="2"/>
  <c r="AN34" i="2"/>
  <c r="AO34" i="2"/>
  <c r="AT34" i="2"/>
  <c r="AU34" i="2"/>
  <c r="BE34" i="2" s="1"/>
  <c r="AV34" i="2"/>
  <c r="AW34" i="2"/>
  <c r="AX34" i="2"/>
  <c r="AZ34" i="2"/>
  <c r="BA34" i="2"/>
  <c r="BF34" i="2"/>
  <c r="BM34" i="2"/>
  <c r="AM35" i="2"/>
  <c r="AN35" i="2"/>
  <c r="AO35" i="2"/>
  <c r="AT35" i="2"/>
  <c r="AU35" i="2"/>
  <c r="BE35" i="2" s="1"/>
  <c r="AV35" i="2"/>
  <c r="AW35" i="2"/>
  <c r="AX35" i="2"/>
  <c r="AZ35" i="2"/>
  <c r="BA35" i="2"/>
  <c r="BF35" i="2"/>
  <c r="BM35" i="2"/>
  <c r="AN36" i="2"/>
  <c r="AO36" i="2"/>
  <c r="AT36" i="2"/>
  <c r="AU36" i="2"/>
  <c r="BE36" i="2" s="1"/>
  <c r="AV36" i="2"/>
  <c r="AW36" i="2"/>
  <c r="AX36" i="2"/>
  <c r="AZ36" i="2"/>
  <c r="BA36" i="2"/>
  <c r="BF36" i="2"/>
  <c r="BM36" i="2"/>
  <c r="AN37" i="2"/>
  <c r="AO37" i="2"/>
  <c r="AT37" i="2"/>
  <c r="AU37" i="2"/>
  <c r="BE37" i="2" s="1"/>
  <c r="AV37" i="2"/>
  <c r="AW37" i="2"/>
  <c r="AX37" i="2"/>
  <c r="AZ37" i="2"/>
  <c r="BA37" i="2"/>
  <c r="BF37" i="2"/>
  <c r="BM37" i="2"/>
  <c r="AN38" i="2"/>
  <c r="AO38" i="2"/>
  <c r="AT38" i="2"/>
  <c r="AU38" i="2"/>
  <c r="BE38" i="2" s="1"/>
  <c r="AV38" i="2"/>
  <c r="AW38" i="2"/>
  <c r="AX38" i="2"/>
  <c r="AZ38" i="2"/>
  <c r="BA38" i="2"/>
  <c r="BF38" i="2"/>
  <c r="BM38" i="2"/>
  <c r="AN39" i="2"/>
  <c r="AO39" i="2"/>
  <c r="AT39" i="2"/>
  <c r="AU39" i="2"/>
  <c r="BE39" i="2" s="1"/>
  <c r="AV39" i="2"/>
  <c r="AW39" i="2"/>
  <c r="AX39" i="2"/>
  <c r="AZ39" i="2"/>
  <c r="BA39" i="2"/>
  <c r="BF39" i="2"/>
  <c r="BM39" i="2"/>
  <c r="AM40" i="2"/>
  <c r="AN40" i="2"/>
  <c r="AO40" i="2"/>
  <c r="AT40" i="2"/>
  <c r="AU40" i="2"/>
  <c r="BE40" i="2" s="1"/>
  <c r="AV40" i="2"/>
  <c r="AW40" i="2"/>
  <c r="AX40" i="2"/>
  <c r="AZ40" i="2"/>
  <c r="BA40" i="2"/>
  <c r="BF40" i="2"/>
  <c r="BM40" i="2"/>
  <c r="AM41" i="2"/>
  <c r="AN41" i="2"/>
  <c r="AO41" i="2"/>
  <c r="AT41" i="2"/>
  <c r="AU41" i="2"/>
  <c r="BE41" i="2" s="1"/>
  <c r="AV41" i="2"/>
  <c r="AW41" i="2"/>
  <c r="AX41" i="2"/>
  <c r="AZ41" i="2"/>
  <c r="BA41" i="2"/>
  <c r="BF41" i="2"/>
  <c r="BM41" i="2"/>
  <c r="AM42" i="2"/>
  <c r="AN42" i="2"/>
  <c r="AO42" i="2"/>
  <c r="AT42" i="2"/>
  <c r="AU42" i="2"/>
  <c r="BE42" i="2" s="1"/>
  <c r="AV42" i="2"/>
  <c r="AW42" i="2"/>
  <c r="AX42" i="2"/>
  <c r="AZ42" i="2"/>
  <c r="BA42" i="2"/>
  <c r="BF42" i="2"/>
  <c r="BM42" i="2"/>
  <c r="AM43" i="2"/>
  <c r="AN43" i="2"/>
  <c r="AO43" i="2"/>
  <c r="AT43" i="2"/>
  <c r="AU43" i="2"/>
  <c r="BE43" i="2" s="1"/>
  <c r="AV43" i="2"/>
  <c r="AW43" i="2"/>
  <c r="AX43" i="2"/>
  <c r="AZ43" i="2"/>
  <c r="BA43" i="2"/>
  <c r="BF43" i="2"/>
  <c r="BM43" i="2"/>
  <c r="AM44" i="2"/>
  <c r="AN44" i="2"/>
  <c r="AO44" i="2"/>
  <c r="AT44" i="2"/>
  <c r="AU44" i="2"/>
  <c r="BE44" i="2" s="1"/>
  <c r="AV44" i="2"/>
  <c r="AW44" i="2"/>
  <c r="AX44" i="2"/>
  <c r="AZ44" i="2"/>
  <c r="BA44" i="2"/>
  <c r="BF44" i="2"/>
  <c r="BM44" i="2"/>
  <c r="AM45" i="2"/>
  <c r="AN45" i="2"/>
  <c r="AO45" i="2"/>
  <c r="AT45" i="2"/>
  <c r="AU45" i="2"/>
  <c r="BE45" i="2" s="1"/>
  <c r="AV45" i="2"/>
  <c r="AW45" i="2"/>
  <c r="AX45" i="2"/>
  <c r="AZ45" i="2"/>
  <c r="BA45" i="2"/>
  <c r="BF45" i="2"/>
  <c r="BM45" i="2"/>
  <c r="AN46" i="2"/>
  <c r="AO46" i="2"/>
  <c r="AT46" i="2"/>
  <c r="AU46" i="2"/>
  <c r="BE46" i="2" s="1"/>
  <c r="AV46" i="2"/>
  <c r="AW46" i="2"/>
  <c r="AX46" i="2"/>
  <c r="AZ46" i="2"/>
  <c r="BA46" i="2"/>
  <c r="BF46" i="2"/>
  <c r="BM46" i="2"/>
  <c r="AN47" i="2"/>
  <c r="AO47" i="2"/>
  <c r="AT47" i="2"/>
  <c r="AU47" i="2"/>
  <c r="BE47" i="2" s="1"/>
  <c r="AV47" i="2"/>
  <c r="AW47" i="2"/>
  <c r="AX47" i="2"/>
  <c r="AZ47" i="2"/>
  <c r="BA47" i="2"/>
  <c r="BF47" i="2"/>
  <c r="BM47" i="2"/>
  <c r="AN48" i="2"/>
  <c r="AO48" i="2"/>
  <c r="AT48" i="2"/>
  <c r="AU48" i="2"/>
  <c r="AV48" i="2"/>
  <c r="AW48" i="2"/>
  <c r="AX48" i="2"/>
  <c r="AZ48" i="2"/>
  <c r="BA48" i="2"/>
  <c r="BE48" i="2"/>
  <c r="BF48" i="2"/>
  <c r="BM48" i="2"/>
  <c r="AN49" i="2"/>
  <c r="AO49" i="2"/>
  <c r="AT49" i="2"/>
  <c r="AU49" i="2"/>
  <c r="BE49" i="2" s="1"/>
  <c r="AV49" i="2"/>
  <c r="AW49" i="2"/>
  <c r="AX49" i="2"/>
  <c r="AZ49" i="2"/>
  <c r="BA49" i="2"/>
  <c r="BF49" i="2"/>
  <c r="BM49" i="2"/>
  <c r="AN50" i="2"/>
  <c r="AO50" i="2"/>
  <c r="AT50" i="2"/>
  <c r="AU50" i="2"/>
  <c r="BE50" i="2" s="1"/>
  <c r="AV50" i="2"/>
  <c r="AW50" i="2"/>
  <c r="AX50" i="2"/>
  <c r="AZ50" i="2"/>
  <c r="BA50" i="2"/>
  <c r="BF50" i="2"/>
  <c r="BM50" i="2"/>
  <c r="AN51" i="2"/>
  <c r="AO51" i="2"/>
  <c r="AT51" i="2"/>
  <c r="AU51" i="2"/>
  <c r="BE51" i="2" s="1"/>
  <c r="AV51" i="2"/>
  <c r="AW51" i="2"/>
  <c r="AX51" i="2"/>
  <c r="AZ51" i="2"/>
  <c r="BA51" i="2"/>
  <c r="BF51" i="2"/>
  <c r="BM51" i="2"/>
  <c r="AM52" i="2"/>
  <c r="AN52" i="2"/>
  <c r="AO52" i="2"/>
  <c r="AT52" i="2"/>
  <c r="AU52" i="2"/>
  <c r="BE52" i="2" s="1"/>
  <c r="AV52" i="2"/>
  <c r="AW52" i="2"/>
  <c r="AX52" i="2"/>
  <c r="AZ52" i="2"/>
  <c r="BA52" i="2"/>
  <c r="BF52" i="2"/>
  <c r="BM52" i="2"/>
  <c r="AM53" i="2"/>
  <c r="AN53" i="2"/>
  <c r="AO53" i="2"/>
  <c r="AT53" i="2"/>
  <c r="AU53" i="2"/>
  <c r="BE53" i="2" s="1"/>
  <c r="AV53" i="2"/>
  <c r="AW53" i="2"/>
  <c r="AX53" i="2"/>
  <c r="AZ53" i="2"/>
  <c r="BA53" i="2"/>
  <c r="BF53" i="2"/>
  <c r="BM53" i="2"/>
  <c r="AN54" i="2"/>
  <c r="AO54" i="2"/>
  <c r="AT54" i="2"/>
  <c r="AU54" i="2"/>
  <c r="BE54" i="2" s="1"/>
  <c r="AV54" i="2"/>
  <c r="AW54" i="2"/>
  <c r="AX54" i="2"/>
  <c r="AZ54" i="2"/>
  <c r="BA54" i="2"/>
  <c r="BF54" i="2"/>
  <c r="BM54" i="2"/>
  <c r="AM55" i="2"/>
  <c r="AN55" i="2"/>
  <c r="AO55" i="2"/>
  <c r="AT55" i="2"/>
  <c r="AU55" i="2"/>
  <c r="BE55" i="2" s="1"/>
  <c r="AV55" i="2"/>
  <c r="AW55" i="2"/>
  <c r="AX55" i="2"/>
  <c r="AZ55" i="2"/>
  <c r="BA55" i="2"/>
  <c r="BF55" i="2"/>
  <c r="BM55" i="2"/>
  <c r="AM56" i="2"/>
  <c r="AN56" i="2"/>
  <c r="AO56" i="2"/>
  <c r="AT56" i="2"/>
  <c r="AU56" i="2"/>
  <c r="BE56" i="2" s="1"/>
  <c r="AV56" i="2"/>
  <c r="AW56" i="2"/>
  <c r="AX56" i="2"/>
  <c r="AZ56" i="2"/>
  <c r="BA56" i="2"/>
  <c r="BF56" i="2"/>
  <c r="BM56" i="2"/>
  <c r="AM57" i="2"/>
  <c r="AN57" i="2"/>
  <c r="AO57" i="2"/>
  <c r="AT57" i="2"/>
  <c r="AU57" i="2"/>
  <c r="BE57" i="2" s="1"/>
  <c r="AV57" i="2"/>
  <c r="AW57" i="2"/>
  <c r="AX57" i="2"/>
  <c r="AZ57" i="2"/>
  <c r="BA57" i="2"/>
  <c r="BF57" i="2"/>
  <c r="BM57" i="2"/>
  <c r="AM58" i="2"/>
  <c r="AN58" i="2"/>
  <c r="AO58" i="2"/>
  <c r="AT58" i="2"/>
  <c r="AU58" i="2"/>
  <c r="BE58" i="2" s="1"/>
  <c r="AV58" i="2"/>
  <c r="AW58" i="2"/>
  <c r="AX58" i="2"/>
  <c r="AZ58" i="2"/>
  <c r="BA58" i="2"/>
  <c r="BF58" i="2"/>
  <c r="BM58" i="2"/>
  <c r="AM59" i="2"/>
  <c r="AN59" i="2"/>
  <c r="AO59" i="2"/>
  <c r="AT59" i="2"/>
  <c r="AU59" i="2"/>
  <c r="BE59" i="2" s="1"/>
  <c r="AV59" i="2"/>
  <c r="AW59" i="2"/>
  <c r="AX59" i="2"/>
  <c r="AZ59" i="2"/>
  <c r="BA59" i="2"/>
  <c r="BF59" i="2"/>
  <c r="BM59" i="2"/>
  <c r="AN60" i="2"/>
  <c r="AO60" i="2"/>
  <c r="AT60" i="2"/>
  <c r="AU60" i="2"/>
  <c r="BE60" i="2" s="1"/>
  <c r="AV60" i="2"/>
  <c r="AW60" i="2"/>
  <c r="AX60" i="2"/>
  <c r="AZ60" i="2"/>
  <c r="BA60" i="2"/>
  <c r="BF60" i="2"/>
  <c r="BM60" i="2"/>
  <c r="AM61" i="2"/>
  <c r="AN61" i="2"/>
  <c r="AO61" i="2"/>
  <c r="AT61" i="2"/>
  <c r="AU61" i="2"/>
  <c r="BE61" i="2" s="1"/>
  <c r="AV61" i="2"/>
  <c r="AW61" i="2"/>
  <c r="AX61" i="2"/>
  <c r="AZ61" i="2"/>
  <c r="BA61" i="2"/>
  <c r="BF61" i="2"/>
  <c r="BM61" i="2"/>
  <c r="AM62" i="2"/>
  <c r="AN62" i="2"/>
  <c r="AO62" i="2"/>
  <c r="AT62" i="2"/>
  <c r="AU62" i="2"/>
  <c r="BE62" i="2" s="1"/>
  <c r="AV62" i="2"/>
  <c r="AW62" i="2"/>
  <c r="AX62" i="2"/>
  <c r="AZ62" i="2"/>
  <c r="BA62" i="2"/>
  <c r="BF62" i="2"/>
  <c r="BM62" i="2"/>
  <c r="AM63" i="2"/>
  <c r="AN63" i="2"/>
  <c r="AO63" i="2"/>
  <c r="AT63" i="2"/>
  <c r="AU63" i="2"/>
  <c r="BE63" i="2" s="1"/>
  <c r="AV63" i="2"/>
  <c r="AW63" i="2"/>
  <c r="AX63" i="2"/>
  <c r="AZ63" i="2"/>
  <c r="BA63" i="2"/>
  <c r="BF63" i="2"/>
  <c r="BM63" i="2"/>
  <c r="AM64" i="2"/>
  <c r="AN64" i="2"/>
  <c r="AO64" i="2"/>
  <c r="AT64" i="2"/>
  <c r="AU64" i="2"/>
  <c r="BE64" i="2" s="1"/>
  <c r="AV64" i="2"/>
  <c r="AW64" i="2"/>
  <c r="AX64" i="2"/>
  <c r="AZ64" i="2"/>
  <c r="BA64" i="2"/>
  <c r="BF64" i="2"/>
  <c r="BM64" i="2"/>
  <c r="AM65" i="2"/>
  <c r="AN65" i="2"/>
  <c r="AO65" i="2"/>
  <c r="AT65" i="2"/>
  <c r="AU65" i="2"/>
  <c r="BE65" i="2" s="1"/>
  <c r="AV65" i="2"/>
  <c r="AW65" i="2"/>
  <c r="AX65" i="2"/>
  <c r="AZ65" i="2"/>
  <c r="BA65" i="2"/>
  <c r="BF65" i="2"/>
  <c r="BM65" i="2"/>
  <c r="AN66" i="2"/>
  <c r="AO66" i="2"/>
  <c r="AT66" i="2"/>
  <c r="AU66" i="2"/>
  <c r="BE66" i="2" s="1"/>
  <c r="AV66" i="2"/>
  <c r="AW66" i="2"/>
  <c r="AX66" i="2"/>
  <c r="AZ66" i="2"/>
  <c r="BA66" i="2"/>
  <c r="BF66" i="2"/>
  <c r="BM66" i="2"/>
  <c r="AN67" i="2"/>
  <c r="AO67" i="2"/>
  <c r="AT67" i="2"/>
  <c r="AU67" i="2"/>
  <c r="BE67" i="2" s="1"/>
  <c r="AV67" i="2"/>
  <c r="AW67" i="2"/>
  <c r="AX67" i="2"/>
  <c r="AZ67" i="2"/>
  <c r="BA67" i="2"/>
  <c r="BF67" i="2"/>
  <c r="BM67" i="2"/>
  <c r="AN68" i="2"/>
  <c r="AO68" i="2"/>
  <c r="AT68" i="2"/>
  <c r="AU68" i="2"/>
  <c r="AV68" i="2"/>
  <c r="AW68" i="2"/>
  <c r="AX68" i="2"/>
  <c r="AZ68" i="2"/>
  <c r="BA68" i="2"/>
  <c r="BE68" i="2"/>
  <c r="BF68" i="2"/>
  <c r="BM68" i="2"/>
  <c r="AN69" i="2"/>
  <c r="AO69" i="2"/>
  <c r="AT69" i="2"/>
  <c r="AU69" i="2"/>
  <c r="BE69" i="2" s="1"/>
  <c r="AV69" i="2"/>
  <c r="AW69" i="2"/>
  <c r="AX69" i="2"/>
  <c r="AZ69" i="2"/>
  <c r="BA69" i="2"/>
  <c r="BF69" i="2"/>
  <c r="BM69" i="2"/>
  <c r="AN70" i="2"/>
  <c r="AO70" i="2"/>
  <c r="AT70" i="2"/>
  <c r="AU70" i="2"/>
  <c r="BE70" i="2" s="1"/>
  <c r="AV70" i="2"/>
  <c r="AW70" i="2"/>
  <c r="AX70" i="2"/>
  <c r="AZ70" i="2"/>
  <c r="BA70" i="2"/>
  <c r="BF70" i="2"/>
  <c r="BM70" i="2"/>
  <c r="AN71" i="2"/>
  <c r="AO71" i="2"/>
  <c r="AT71" i="2"/>
  <c r="AU71" i="2"/>
  <c r="BE71" i="2" s="1"/>
  <c r="AV71" i="2"/>
  <c r="AW71" i="2"/>
  <c r="AX71" i="2"/>
  <c r="AZ71" i="2"/>
  <c r="BA71" i="2"/>
  <c r="BF71" i="2"/>
  <c r="BM71" i="2"/>
  <c r="AN72" i="2"/>
  <c r="AO72" i="2"/>
  <c r="AT72" i="2"/>
  <c r="AU72" i="2"/>
  <c r="BE72" i="2" s="1"/>
  <c r="AV72" i="2"/>
  <c r="AW72" i="2"/>
  <c r="AX72" i="2"/>
  <c r="AZ72" i="2"/>
  <c r="BA72" i="2"/>
  <c r="BF72" i="2"/>
  <c r="BM72" i="2"/>
  <c r="AN73" i="2"/>
  <c r="AO73" i="2"/>
  <c r="AT73" i="2"/>
  <c r="AU73" i="2"/>
  <c r="AV73" i="2"/>
  <c r="AW73" i="2"/>
  <c r="AX73" i="2"/>
  <c r="AZ73" i="2"/>
  <c r="BA73" i="2"/>
  <c r="BE73" i="2"/>
  <c r="BF73" i="2"/>
  <c r="BM73" i="2"/>
  <c r="AN74" i="2"/>
  <c r="AO74" i="2"/>
  <c r="AT74" i="2"/>
  <c r="AU74" i="2"/>
  <c r="BE74" i="2" s="1"/>
  <c r="AV74" i="2"/>
  <c r="AW74" i="2"/>
  <c r="AX74" i="2"/>
  <c r="AZ74" i="2"/>
  <c r="BA74" i="2"/>
  <c r="BF74" i="2"/>
  <c r="BM74" i="2"/>
  <c r="AN75" i="2"/>
  <c r="AO75" i="2"/>
  <c r="AT75" i="2"/>
  <c r="AU75" i="2"/>
  <c r="BE75" i="2" s="1"/>
  <c r="AV75" i="2"/>
  <c r="AW75" i="2"/>
  <c r="AX75" i="2"/>
  <c r="AZ75" i="2"/>
  <c r="BA75" i="2"/>
  <c r="BF75" i="2"/>
  <c r="BM75" i="2"/>
  <c r="AN76" i="2"/>
  <c r="AO76" i="2"/>
  <c r="AT76" i="2"/>
  <c r="AU76" i="2"/>
  <c r="BE76" i="2" s="1"/>
  <c r="AV76" i="2"/>
  <c r="AW76" i="2"/>
  <c r="AX76" i="2"/>
  <c r="AZ76" i="2"/>
  <c r="BA76" i="2"/>
  <c r="BF76" i="2"/>
  <c r="BM76" i="2"/>
  <c r="AN77" i="2"/>
  <c r="AO77" i="2"/>
  <c r="AT77" i="2"/>
  <c r="AU77" i="2"/>
  <c r="BE77" i="2" s="1"/>
  <c r="AV77" i="2"/>
  <c r="AW77" i="2"/>
  <c r="AX77" i="2"/>
  <c r="AZ77" i="2"/>
  <c r="BA77" i="2"/>
  <c r="BF77" i="2"/>
  <c r="BM77" i="2"/>
  <c r="AN78" i="2"/>
  <c r="AO78" i="2"/>
  <c r="AT78" i="2"/>
  <c r="AU78" i="2"/>
  <c r="BE78" i="2" s="1"/>
  <c r="AV78" i="2"/>
  <c r="AW78" i="2"/>
  <c r="AX78" i="2"/>
  <c r="AZ78" i="2"/>
  <c r="BA78" i="2"/>
  <c r="BF78" i="2"/>
  <c r="BM78" i="2"/>
  <c r="AN79" i="2"/>
  <c r="AO79" i="2"/>
  <c r="AT79" i="2"/>
  <c r="AU79" i="2"/>
  <c r="BE79" i="2" s="1"/>
  <c r="AV79" i="2"/>
  <c r="AW79" i="2"/>
  <c r="AX79" i="2"/>
  <c r="AZ79" i="2"/>
  <c r="BA79" i="2"/>
  <c r="BF79" i="2"/>
  <c r="BM79" i="2"/>
  <c r="AN80" i="2"/>
  <c r="AO80" i="2"/>
  <c r="AT80" i="2"/>
  <c r="AU80" i="2"/>
  <c r="BE80" i="2" s="1"/>
  <c r="AV80" i="2"/>
  <c r="AW80" i="2"/>
  <c r="AX80" i="2"/>
  <c r="AZ80" i="2"/>
  <c r="BA80" i="2"/>
  <c r="BF80" i="2"/>
  <c r="BM80" i="2"/>
  <c r="AN81" i="2"/>
  <c r="AO81" i="2"/>
  <c r="AT81" i="2"/>
  <c r="AU81" i="2"/>
  <c r="BE81" i="2" s="1"/>
  <c r="AV81" i="2"/>
  <c r="AW81" i="2"/>
  <c r="AX81" i="2"/>
  <c r="AZ81" i="2"/>
  <c r="BA81" i="2"/>
  <c r="BF81" i="2"/>
  <c r="BM81" i="2"/>
  <c r="AN82" i="2"/>
  <c r="AO82" i="2"/>
  <c r="AT82" i="2"/>
  <c r="AU82" i="2"/>
  <c r="AV82" i="2"/>
  <c r="AW82" i="2"/>
  <c r="AX82" i="2"/>
  <c r="AZ82" i="2"/>
  <c r="BA82" i="2"/>
  <c r="BE82" i="2"/>
  <c r="BF82" i="2"/>
  <c r="BM82" i="2"/>
  <c r="AN83" i="2"/>
  <c r="AO83" i="2"/>
  <c r="AT83" i="2"/>
  <c r="AU83" i="2"/>
  <c r="BE83" i="2" s="1"/>
  <c r="AV83" i="2"/>
  <c r="AW83" i="2"/>
  <c r="AX83" i="2"/>
  <c r="AZ83" i="2"/>
  <c r="BA83" i="2"/>
  <c r="BF83" i="2"/>
  <c r="BM83" i="2"/>
  <c r="AN84" i="2"/>
  <c r="AO84" i="2"/>
  <c r="AT84" i="2"/>
  <c r="AU84" i="2"/>
  <c r="BE84" i="2" s="1"/>
  <c r="AV84" i="2"/>
  <c r="AW84" i="2"/>
  <c r="AX84" i="2"/>
  <c r="AZ84" i="2"/>
  <c r="BA84" i="2"/>
  <c r="BF84" i="2"/>
  <c r="BM84" i="2"/>
  <c r="AN85" i="2"/>
  <c r="AO85" i="2"/>
  <c r="AT85" i="2"/>
  <c r="AU85" i="2"/>
  <c r="BE85" i="2" s="1"/>
  <c r="AV85" i="2"/>
  <c r="AW85" i="2"/>
  <c r="AX85" i="2"/>
  <c r="AZ85" i="2"/>
  <c r="BA85" i="2"/>
  <c r="BF85" i="2"/>
  <c r="BM85" i="2"/>
  <c r="AK77" i="2"/>
  <c r="AK82" i="2"/>
  <c r="AK83" i="2"/>
  <c r="AK54" i="2"/>
  <c r="AK40" i="2"/>
  <c r="AK46" i="2"/>
  <c r="AK59" i="2"/>
  <c r="AK34" i="2"/>
  <c r="AK35" i="2"/>
  <c r="AK66" i="2"/>
  <c r="AK61" i="2"/>
  <c r="AK69" i="2"/>
  <c r="AK78" i="2"/>
  <c r="AK67" i="2"/>
  <c r="AK39" i="2"/>
  <c r="AK80" i="2"/>
  <c r="AK64" i="2"/>
  <c r="AK52" i="2"/>
  <c r="AK41" i="2"/>
  <c r="AK33" i="2"/>
  <c r="AK32" i="2"/>
  <c r="AK74" i="2"/>
  <c r="AK71" i="2"/>
  <c r="AK81" i="2"/>
  <c r="AK31" i="2"/>
  <c r="AK44" i="2"/>
  <c r="AK55" i="2"/>
  <c r="AK56" i="2"/>
  <c r="AK70" i="2"/>
  <c r="AK51" i="2"/>
  <c r="AK84" i="2"/>
  <c r="AK57" i="2"/>
  <c r="AK68" i="2"/>
  <c r="AK45" i="2"/>
  <c r="AK53" i="2"/>
  <c r="AK50" i="2"/>
  <c r="AK73" i="2"/>
  <c r="AK63" i="2"/>
  <c r="AK58" i="2"/>
  <c r="AK43" i="2"/>
  <c r="AK49" i="2"/>
  <c r="AK42" i="2"/>
  <c r="AK62" i="2"/>
  <c r="AK37" i="2"/>
  <c r="AK47" i="2"/>
  <c r="AK60" i="2"/>
  <c r="AK36" i="2"/>
  <c r="AK72" i="2"/>
  <c r="AK38" i="2"/>
  <c r="AK65" i="2"/>
  <c r="AK75" i="2"/>
  <c r="AK85" i="2"/>
  <c r="AK76" i="2"/>
  <c r="AK48" i="2"/>
  <c r="AK79" i="2"/>
  <c r="AM30" i="2" l="1"/>
  <c r="AN30" i="2"/>
  <c r="AO30" i="2"/>
  <c r="AT30" i="2"/>
  <c r="AU30" i="2"/>
  <c r="BE30" i="2" s="1"/>
  <c r="AV30" i="2"/>
  <c r="AW30" i="2"/>
  <c r="AX30" i="2"/>
  <c r="AZ30" i="2"/>
  <c r="BA30" i="2"/>
  <c r="BF30" i="2"/>
  <c r="BM30" i="2"/>
  <c r="AK30" i="2"/>
  <c r="AN29" i="2" l="1"/>
  <c r="AO29" i="2"/>
  <c r="AT29" i="2"/>
  <c r="AU29" i="2"/>
  <c r="BE29" i="2" s="1"/>
  <c r="AV29" i="2"/>
  <c r="AW29" i="2"/>
  <c r="AX29" i="2"/>
  <c r="AZ29" i="2"/>
  <c r="BA29" i="2"/>
  <c r="BF29" i="2"/>
  <c r="BM29" i="2"/>
  <c r="AN28" i="2"/>
  <c r="AO28" i="2"/>
  <c r="AT28" i="2"/>
  <c r="AU28" i="2"/>
  <c r="BE28" i="2" s="1"/>
  <c r="AV28" i="2"/>
  <c r="AW28" i="2"/>
  <c r="AX28" i="2"/>
  <c r="AZ28" i="2"/>
  <c r="BA28" i="2"/>
  <c r="BF28" i="2"/>
  <c r="BM28" i="2"/>
  <c r="AK28" i="2"/>
  <c r="AK29" i="2"/>
  <c r="AN22" i="2" l="1"/>
  <c r="AO22" i="2"/>
  <c r="AT22" i="2"/>
  <c r="AU22" i="2"/>
  <c r="BE22" i="2" s="1"/>
  <c r="AV22" i="2"/>
  <c r="AW22" i="2"/>
  <c r="AX22" i="2"/>
  <c r="AZ22" i="2"/>
  <c r="BA22" i="2"/>
  <c r="BF22" i="2"/>
  <c r="BM22" i="2"/>
  <c r="AN23" i="2"/>
  <c r="AO23" i="2"/>
  <c r="AT23" i="2"/>
  <c r="AU23" i="2"/>
  <c r="BE23" i="2" s="1"/>
  <c r="AV23" i="2"/>
  <c r="AW23" i="2"/>
  <c r="AX23" i="2"/>
  <c r="AZ23" i="2"/>
  <c r="BA23" i="2"/>
  <c r="BF23" i="2"/>
  <c r="BM23" i="2"/>
  <c r="AN24" i="2"/>
  <c r="AO24" i="2"/>
  <c r="AT24" i="2"/>
  <c r="AU24" i="2"/>
  <c r="BE24" i="2" s="1"/>
  <c r="AV24" i="2"/>
  <c r="AW24" i="2"/>
  <c r="AX24" i="2"/>
  <c r="AZ24" i="2"/>
  <c r="BA24" i="2"/>
  <c r="BF24" i="2"/>
  <c r="BM24" i="2"/>
  <c r="AN25" i="2"/>
  <c r="AO25" i="2"/>
  <c r="AT25" i="2"/>
  <c r="AU25" i="2"/>
  <c r="BE25" i="2" s="1"/>
  <c r="AV25" i="2"/>
  <c r="AW25" i="2"/>
  <c r="AX25" i="2"/>
  <c r="AZ25" i="2"/>
  <c r="BA25" i="2"/>
  <c r="BF25" i="2"/>
  <c r="BM25" i="2"/>
  <c r="AN26" i="2"/>
  <c r="AO26" i="2"/>
  <c r="AT26" i="2"/>
  <c r="AU26" i="2"/>
  <c r="BE26" i="2" s="1"/>
  <c r="AV26" i="2"/>
  <c r="AW26" i="2"/>
  <c r="AX26" i="2"/>
  <c r="AZ26" i="2"/>
  <c r="BA26" i="2"/>
  <c r="BF26" i="2"/>
  <c r="BM26" i="2"/>
  <c r="AN27" i="2"/>
  <c r="AO27" i="2"/>
  <c r="AT27" i="2"/>
  <c r="AU27" i="2"/>
  <c r="BE27" i="2" s="1"/>
  <c r="AV27" i="2"/>
  <c r="AW27" i="2"/>
  <c r="AX27" i="2"/>
  <c r="AZ27" i="2"/>
  <c r="BA27" i="2"/>
  <c r="BF27" i="2"/>
  <c r="BM27" i="2"/>
  <c r="AM6" i="2"/>
  <c r="AN6" i="2"/>
  <c r="AO6" i="2"/>
  <c r="AT6" i="2"/>
  <c r="AU6" i="2"/>
  <c r="BE6" i="2" s="1"/>
  <c r="AV6" i="2"/>
  <c r="AW6" i="2"/>
  <c r="AX6" i="2"/>
  <c r="AZ6" i="2"/>
  <c r="BA6" i="2"/>
  <c r="BF6" i="2"/>
  <c r="BM6" i="2"/>
  <c r="AM7" i="2"/>
  <c r="AN7" i="2"/>
  <c r="AO7" i="2"/>
  <c r="AT7" i="2"/>
  <c r="AU7" i="2"/>
  <c r="BE7" i="2" s="1"/>
  <c r="AV7" i="2"/>
  <c r="AW7" i="2"/>
  <c r="AX7" i="2"/>
  <c r="AZ7" i="2"/>
  <c r="BA7" i="2"/>
  <c r="BF7" i="2"/>
  <c r="BM7" i="2"/>
  <c r="AM8" i="2"/>
  <c r="AN8" i="2"/>
  <c r="AO8" i="2"/>
  <c r="AT8" i="2"/>
  <c r="AU8" i="2"/>
  <c r="BE8" i="2" s="1"/>
  <c r="AV8" i="2"/>
  <c r="AW8" i="2"/>
  <c r="AX8" i="2"/>
  <c r="AZ8" i="2"/>
  <c r="BA8" i="2"/>
  <c r="BF8" i="2"/>
  <c r="BM8" i="2"/>
  <c r="AM9" i="2"/>
  <c r="AN9" i="2"/>
  <c r="AO9" i="2"/>
  <c r="AT9" i="2"/>
  <c r="AU9" i="2"/>
  <c r="BE9" i="2" s="1"/>
  <c r="AV9" i="2"/>
  <c r="AW9" i="2"/>
  <c r="AX9" i="2"/>
  <c r="AZ9" i="2"/>
  <c r="BA9" i="2"/>
  <c r="BF9" i="2"/>
  <c r="BM9" i="2"/>
  <c r="AM10" i="2"/>
  <c r="AN10" i="2"/>
  <c r="AO10" i="2"/>
  <c r="AT10" i="2"/>
  <c r="AU10" i="2"/>
  <c r="BE10" i="2" s="1"/>
  <c r="AV10" i="2"/>
  <c r="AW10" i="2"/>
  <c r="AX10" i="2"/>
  <c r="AZ10" i="2"/>
  <c r="BA10" i="2"/>
  <c r="BF10" i="2"/>
  <c r="BM10" i="2"/>
  <c r="AN11" i="2"/>
  <c r="AO11" i="2"/>
  <c r="AT11" i="2"/>
  <c r="AU11" i="2"/>
  <c r="BE11" i="2" s="1"/>
  <c r="AV11" i="2"/>
  <c r="AW11" i="2"/>
  <c r="AX11" i="2"/>
  <c r="AZ11" i="2"/>
  <c r="BA11" i="2"/>
  <c r="BF11" i="2"/>
  <c r="BM11" i="2"/>
  <c r="AN12" i="2"/>
  <c r="AO12" i="2"/>
  <c r="AT12" i="2"/>
  <c r="AU12" i="2"/>
  <c r="BE12" i="2" s="1"/>
  <c r="AV12" i="2"/>
  <c r="AW12" i="2"/>
  <c r="AX12" i="2"/>
  <c r="AZ12" i="2"/>
  <c r="BA12" i="2"/>
  <c r="BF12" i="2"/>
  <c r="BM12" i="2"/>
  <c r="AN13" i="2"/>
  <c r="AO13" i="2"/>
  <c r="AT13" i="2"/>
  <c r="AU13" i="2"/>
  <c r="BE13" i="2" s="1"/>
  <c r="AV13" i="2"/>
  <c r="AW13" i="2"/>
  <c r="AX13" i="2"/>
  <c r="AZ13" i="2"/>
  <c r="BA13" i="2"/>
  <c r="BF13" i="2"/>
  <c r="BM13" i="2"/>
  <c r="AN14" i="2"/>
  <c r="AO14" i="2"/>
  <c r="AT14" i="2"/>
  <c r="AU14" i="2"/>
  <c r="BE14" i="2" s="1"/>
  <c r="AV14" i="2"/>
  <c r="AW14" i="2"/>
  <c r="AX14" i="2"/>
  <c r="AZ14" i="2"/>
  <c r="BA14" i="2"/>
  <c r="BF14" i="2"/>
  <c r="BM14" i="2"/>
  <c r="AN15" i="2"/>
  <c r="AO15" i="2"/>
  <c r="AT15" i="2"/>
  <c r="AU15" i="2"/>
  <c r="BE15" i="2" s="1"/>
  <c r="AV15" i="2"/>
  <c r="AW15" i="2"/>
  <c r="AX15" i="2"/>
  <c r="AZ15" i="2"/>
  <c r="BA15" i="2"/>
  <c r="BF15" i="2"/>
  <c r="BM15" i="2"/>
  <c r="AN16" i="2"/>
  <c r="AO16" i="2"/>
  <c r="AT16" i="2"/>
  <c r="AU16" i="2"/>
  <c r="BE16" i="2" s="1"/>
  <c r="AV16" i="2"/>
  <c r="AW16" i="2"/>
  <c r="AX16" i="2"/>
  <c r="AZ16" i="2"/>
  <c r="BA16" i="2"/>
  <c r="BF16" i="2"/>
  <c r="BM16" i="2"/>
  <c r="AN17" i="2"/>
  <c r="AO17" i="2"/>
  <c r="AT17" i="2"/>
  <c r="AU17" i="2"/>
  <c r="BE17" i="2" s="1"/>
  <c r="AV17" i="2"/>
  <c r="AW17" i="2"/>
  <c r="AX17" i="2"/>
  <c r="AZ17" i="2"/>
  <c r="BA17" i="2"/>
  <c r="BF17" i="2"/>
  <c r="BM17" i="2"/>
  <c r="AN18" i="2"/>
  <c r="AO18" i="2"/>
  <c r="AT18" i="2"/>
  <c r="AU18" i="2"/>
  <c r="BE18" i="2" s="1"/>
  <c r="AV18" i="2"/>
  <c r="AW18" i="2"/>
  <c r="AX18" i="2"/>
  <c r="AZ18" i="2"/>
  <c r="BA18" i="2"/>
  <c r="BF18" i="2"/>
  <c r="BM18" i="2"/>
  <c r="AN19" i="2"/>
  <c r="AO19" i="2"/>
  <c r="AT19" i="2"/>
  <c r="AU19" i="2"/>
  <c r="BE19" i="2" s="1"/>
  <c r="AV19" i="2"/>
  <c r="AW19" i="2"/>
  <c r="AX19" i="2"/>
  <c r="AZ19" i="2"/>
  <c r="BA19" i="2"/>
  <c r="BF19" i="2"/>
  <c r="BM19" i="2"/>
  <c r="AN20" i="2"/>
  <c r="AO20" i="2"/>
  <c r="AT20" i="2"/>
  <c r="AU20" i="2"/>
  <c r="BE20" i="2" s="1"/>
  <c r="AV20" i="2"/>
  <c r="AW20" i="2"/>
  <c r="AX20" i="2"/>
  <c r="AZ20" i="2"/>
  <c r="BA20" i="2"/>
  <c r="BF20" i="2"/>
  <c r="BM20" i="2"/>
  <c r="AN21" i="2"/>
  <c r="AO21" i="2"/>
  <c r="AT21" i="2"/>
  <c r="AU21" i="2"/>
  <c r="BE21" i="2" s="1"/>
  <c r="AV21" i="2"/>
  <c r="AW21" i="2"/>
  <c r="AX21" i="2"/>
  <c r="AZ21" i="2"/>
  <c r="BA21" i="2"/>
  <c r="BF21" i="2"/>
  <c r="BM21" i="2"/>
  <c r="AK9" i="2"/>
  <c r="AK12" i="2"/>
  <c r="AK21" i="2"/>
  <c r="AK10" i="2"/>
  <c r="AK18" i="2"/>
  <c r="AK16" i="2"/>
  <c r="AK6" i="2"/>
  <c r="AK13" i="2"/>
  <c r="AK11" i="2"/>
  <c r="AK24" i="2"/>
  <c r="AK8" i="2"/>
  <c r="AK25" i="2"/>
  <c r="AK20" i="2"/>
  <c r="AK26" i="2"/>
  <c r="AK23" i="2"/>
  <c r="AK14" i="2"/>
  <c r="AK22" i="2"/>
  <c r="AK17" i="2"/>
  <c r="AK19" i="2"/>
  <c r="AK15" i="2"/>
  <c r="AK27" i="2"/>
  <c r="AK7" i="2"/>
  <c r="AM20" i="2" l="1"/>
  <c r="AM5" i="2"/>
  <c r="AN5" i="2"/>
  <c r="AO5" i="2"/>
  <c r="AT5" i="2"/>
  <c r="AU5" i="2"/>
  <c r="BE5" i="2" s="1"/>
  <c r="AV5" i="2"/>
  <c r="AW5" i="2"/>
  <c r="AX5" i="2"/>
  <c r="AZ5" i="2"/>
  <c r="BA5" i="2"/>
  <c r="BF5" i="2"/>
  <c r="BM5" i="2"/>
  <c r="AK5" i="2"/>
  <c r="B3" i="1"/>
  <c r="B4" i="1"/>
  <c r="B2" i="1"/>
  <c r="BL118" i="2" l="1"/>
  <c r="BL122" i="2"/>
  <c r="BL123" i="2"/>
  <c r="BL117" i="2"/>
  <c r="BL115" i="2"/>
  <c r="BL121" i="2"/>
  <c r="BL129" i="2"/>
  <c r="BL120" i="2"/>
  <c r="BL128" i="2"/>
  <c r="BL116" i="2"/>
  <c r="BL114" i="2"/>
  <c r="BL119" i="2"/>
  <c r="BL124" i="2"/>
  <c r="BL125" i="2"/>
  <c r="BL126" i="2"/>
  <c r="BL127" i="2"/>
  <c r="BL111" i="2"/>
  <c r="BL97" i="2"/>
  <c r="BL101" i="2"/>
  <c r="BL105" i="2"/>
  <c r="BL109" i="2"/>
  <c r="BL96" i="2"/>
  <c r="BL100" i="2"/>
  <c r="BL104" i="2"/>
  <c r="BL108" i="2"/>
  <c r="BL112" i="2"/>
  <c r="BL102" i="2"/>
  <c r="BL106" i="2"/>
  <c r="BL113" i="2"/>
  <c r="BL99" i="2"/>
  <c r="BL103" i="2"/>
  <c r="BL107" i="2"/>
  <c r="BL98" i="2"/>
  <c r="BL110" i="2"/>
  <c r="BL91" i="2"/>
  <c r="BL92" i="2"/>
  <c r="BL93" i="2"/>
  <c r="BL94" i="2"/>
  <c r="BL88" i="2"/>
  <c r="BL89" i="2"/>
  <c r="BL87" i="2"/>
  <c r="BL95" i="2"/>
  <c r="BL86" i="2"/>
  <c r="BL90" i="2"/>
  <c r="BL34" i="2"/>
  <c r="BL42" i="2"/>
  <c r="BL46" i="2"/>
  <c r="BL57" i="2"/>
  <c r="BL60" i="2"/>
  <c r="BL64" i="2"/>
  <c r="BL69" i="2"/>
  <c r="BL71" i="2"/>
  <c r="BL78" i="2"/>
  <c r="BL80" i="2"/>
  <c r="BL37" i="2"/>
  <c r="BL33" i="2"/>
  <c r="BL36" i="2"/>
  <c r="BL38" i="2"/>
  <c r="BL41" i="2"/>
  <c r="BL45" i="2"/>
  <c r="BL48" i="2"/>
  <c r="BL50" i="2"/>
  <c r="BL53" i="2"/>
  <c r="BL56" i="2"/>
  <c r="BL63" i="2"/>
  <c r="BL66" i="2"/>
  <c r="BL73" i="2"/>
  <c r="BL75" i="2"/>
  <c r="BL77" i="2"/>
  <c r="BL82" i="2"/>
  <c r="BL84" i="2"/>
  <c r="BL31" i="2"/>
  <c r="BL43" i="2"/>
  <c r="BL49" i="2"/>
  <c r="BL51" i="2"/>
  <c r="BL32" i="2"/>
  <c r="BL40" i="2"/>
  <c r="BL44" i="2"/>
  <c r="BL47" i="2"/>
  <c r="BL52" i="2"/>
  <c r="BL55" i="2"/>
  <c r="BL59" i="2"/>
  <c r="BL62" i="2"/>
  <c r="BL68" i="2"/>
  <c r="BL70" i="2"/>
  <c r="BL72" i="2"/>
  <c r="BL79" i="2"/>
  <c r="BL81" i="2"/>
  <c r="BL35" i="2"/>
  <c r="BL39" i="2"/>
  <c r="BL74" i="2"/>
  <c r="BL65" i="2"/>
  <c r="BL76" i="2"/>
  <c r="BL54" i="2"/>
  <c r="BL58" i="2"/>
  <c r="BL61" i="2"/>
  <c r="BL67" i="2"/>
  <c r="BL83" i="2"/>
  <c r="BL85" i="2"/>
  <c r="AP120" i="2"/>
  <c r="AP125" i="2"/>
  <c r="AP126" i="2"/>
  <c r="AP127" i="2"/>
  <c r="AP128" i="2"/>
  <c r="AP116" i="2"/>
  <c r="AP114" i="2"/>
  <c r="AP119" i="2"/>
  <c r="AP123" i="2"/>
  <c r="AP124" i="2"/>
  <c r="AP118" i="2"/>
  <c r="AP122" i="2"/>
  <c r="AP117" i="2"/>
  <c r="AP115" i="2"/>
  <c r="AP121" i="2"/>
  <c r="AP129" i="2"/>
  <c r="AP113" i="2"/>
  <c r="AP99" i="2"/>
  <c r="AP103" i="2"/>
  <c r="AP107" i="2"/>
  <c r="AP112" i="2"/>
  <c r="AP98" i="2"/>
  <c r="AP102" i="2"/>
  <c r="AP106" i="2"/>
  <c r="AP110" i="2"/>
  <c r="AP96" i="2"/>
  <c r="AP108" i="2"/>
  <c r="AP111" i="2"/>
  <c r="AP97" i="2"/>
  <c r="AP101" i="2"/>
  <c r="AP105" i="2"/>
  <c r="AP109" i="2"/>
  <c r="AP100" i="2"/>
  <c r="AP104" i="2"/>
  <c r="AP86" i="2"/>
  <c r="AP90" i="2"/>
  <c r="AP92" i="2"/>
  <c r="AP93" i="2"/>
  <c r="AP94" i="2"/>
  <c r="AP95" i="2"/>
  <c r="AP89" i="2"/>
  <c r="AP87" i="2"/>
  <c r="AP91" i="2"/>
  <c r="AP88" i="2"/>
  <c r="AP32" i="2"/>
  <c r="AP40" i="2"/>
  <c r="AP44" i="2"/>
  <c r="AP47" i="2"/>
  <c r="AP52" i="2"/>
  <c r="AP55" i="2"/>
  <c r="AP59" i="2"/>
  <c r="AP62" i="2"/>
  <c r="AP70" i="2"/>
  <c r="AP72" i="2"/>
  <c r="AP79" i="2"/>
  <c r="AP81" i="2"/>
  <c r="AP33" i="2"/>
  <c r="AP38" i="2"/>
  <c r="AP41" i="2"/>
  <c r="AP31" i="2"/>
  <c r="AP35" i="2"/>
  <c r="AP37" i="2"/>
  <c r="AP39" i="2"/>
  <c r="AP43" i="2"/>
  <c r="AP46" i="2"/>
  <c r="AP49" i="2"/>
  <c r="AP51" i="2"/>
  <c r="AP54" i="2"/>
  <c r="AP58" i="2"/>
  <c r="AP61" i="2"/>
  <c r="AP65" i="2"/>
  <c r="AP67" i="2"/>
  <c r="AP74" i="2"/>
  <c r="AP76" i="2"/>
  <c r="AP78" i="2"/>
  <c r="AP83" i="2"/>
  <c r="AP85" i="2"/>
  <c r="AP50" i="2"/>
  <c r="AP34" i="2"/>
  <c r="AP42" i="2"/>
  <c r="AP48" i="2"/>
  <c r="AP57" i="2"/>
  <c r="AP60" i="2"/>
  <c r="AP64" i="2"/>
  <c r="AP69" i="2"/>
  <c r="AP71" i="2"/>
  <c r="AP73" i="2"/>
  <c r="AP80" i="2"/>
  <c r="AP82" i="2"/>
  <c r="AP36" i="2"/>
  <c r="AP45" i="2"/>
  <c r="AP56" i="2"/>
  <c r="AP75" i="2"/>
  <c r="AP63" i="2"/>
  <c r="AP66" i="2"/>
  <c r="AP77" i="2"/>
  <c r="AP53" i="2"/>
  <c r="AP68" i="2"/>
  <c r="AP84" i="2"/>
  <c r="BD120" i="2"/>
  <c r="BD125" i="2"/>
  <c r="BD126" i="2"/>
  <c r="BD127" i="2"/>
  <c r="BD128" i="2"/>
  <c r="BD116" i="2"/>
  <c r="BD114" i="2"/>
  <c r="BD119" i="2"/>
  <c r="BD123" i="2"/>
  <c r="BD124" i="2"/>
  <c r="BD118" i="2"/>
  <c r="BD122" i="2"/>
  <c r="BD117" i="2"/>
  <c r="BD115" i="2"/>
  <c r="BD121" i="2"/>
  <c r="BD129" i="2"/>
  <c r="BD113" i="2"/>
  <c r="BD99" i="2"/>
  <c r="BD103" i="2"/>
  <c r="BD107" i="2"/>
  <c r="BD112" i="2"/>
  <c r="BD98" i="2"/>
  <c r="BD102" i="2"/>
  <c r="BD106" i="2"/>
  <c r="BD110" i="2"/>
  <c r="BD96" i="2"/>
  <c r="BD108" i="2"/>
  <c r="BD111" i="2"/>
  <c r="BD97" i="2"/>
  <c r="BD101" i="2"/>
  <c r="BD105" i="2"/>
  <c r="BD109" i="2"/>
  <c r="BD100" i="2"/>
  <c r="BD104" i="2"/>
  <c r="BD86" i="2"/>
  <c r="BD90" i="2"/>
  <c r="BD87" i="2"/>
  <c r="BD92" i="2"/>
  <c r="BD93" i="2"/>
  <c r="BD94" i="2"/>
  <c r="BD95" i="2"/>
  <c r="BD89" i="2"/>
  <c r="BD91" i="2"/>
  <c r="BD88" i="2"/>
  <c r="BD32" i="2"/>
  <c r="BD40" i="2"/>
  <c r="BD44" i="2"/>
  <c r="BD47" i="2"/>
  <c r="BD52" i="2"/>
  <c r="BD55" i="2"/>
  <c r="BD59" i="2"/>
  <c r="BD62" i="2"/>
  <c r="BD70" i="2"/>
  <c r="BD72" i="2"/>
  <c r="BD79" i="2"/>
  <c r="BD81" i="2"/>
  <c r="BD38" i="2"/>
  <c r="BD45" i="2"/>
  <c r="BD31" i="2"/>
  <c r="BD35" i="2"/>
  <c r="BD37" i="2"/>
  <c r="BD39" i="2"/>
  <c r="BD43" i="2"/>
  <c r="BD46" i="2"/>
  <c r="BD49" i="2"/>
  <c r="BD51" i="2"/>
  <c r="BD54" i="2"/>
  <c r="BD58" i="2"/>
  <c r="BD61" i="2"/>
  <c r="BD65" i="2"/>
  <c r="BD67" i="2"/>
  <c r="BD74" i="2"/>
  <c r="BD76" i="2"/>
  <c r="BD78" i="2"/>
  <c r="BD83" i="2"/>
  <c r="BD85" i="2"/>
  <c r="BD41" i="2"/>
  <c r="BD34" i="2"/>
  <c r="BD42" i="2"/>
  <c r="BD48" i="2"/>
  <c r="BD57" i="2"/>
  <c r="BD60" i="2"/>
  <c r="BD64" i="2"/>
  <c r="BD69" i="2"/>
  <c r="BD71" i="2"/>
  <c r="BD73" i="2"/>
  <c r="BD80" i="2"/>
  <c r="BD82" i="2"/>
  <c r="BD33" i="2"/>
  <c r="BD36" i="2"/>
  <c r="BD50" i="2"/>
  <c r="BD56" i="2"/>
  <c r="BD75" i="2"/>
  <c r="BD63" i="2"/>
  <c r="BD66" i="2"/>
  <c r="BD77" i="2"/>
  <c r="BD53" i="2"/>
  <c r="BD68" i="2"/>
  <c r="BD84" i="2"/>
  <c r="BD30" i="2"/>
  <c r="BD28" i="2"/>
  <c r="BD29" i="2"/>
  <c r="BL30" i="2"/>
  <c r="BL28" i="2"/>
  <c r="BL29" i="2"/>
  <c r="AP30" i="2"/>
  <c r="AP28" i="2"/>
  <c r="AP29" i="2"/>
  <c r="AP24" i="2"/>
  <c r="AP27" i="2"/>
  <c r="AP9" i="2"/>
  <c r="AP10" i="2"/>
  <c r="AP13" i="2"/>
  <c r="AP18" i="2"/>
  <c r="AP6" i="2"/>
  <c r="AP14" i="2"/>
  <c r="AP16" i="2"/>
  <c r="AP23" i="2"/>
  <c r="AP8" i="2"/>
  <c r="AP12" i="2"/>
  <c r="AP15" i="2"/>
  <c r="AP20" i="2"/>
  <c r="AP25" i="2"/>
  <c r="AP19" i="2"/>
  <c r="AP22" i="2"/>
  <c r="AP26" i="2"/>
  <c r="AP7" i="2"/>
  <c r="AP11" i="2"/>
  <c r="AP17" i="2"/>
  <c r="AP21" i="2"/>
  <c r="BD24" i="2"/>
  <c r="BD27" i="2"/>
  <c r="BD9" i="2"/>
  <c r="BD10" i="2"/>
  <c r="BD13" i="2"/>
  <c r="BD18" i="2"/>
  <c r="BD19" i="2"/>
  <c r="BD21" i="2"/>
  <c r="BD23" i="2"/>
  <c r="BD8" i="2"/>
  <c r="BD12" i="2"/>
  <c r="BD15" i="2"/>
  <c r="BD20" i="2"/>
  <c r="BD25" i="2"/>
  <c r="BD16" i="2"/>
  <c r="BD22" i="2"/>
  <c r="BD26" i="2"/>
  <c r="BD7" i="2"/>
  <c r="BD11" i="2"/>
  <c r="BD17" i="2"/>
  <c r="BD6" i="2"/>
  <c r="BD14" i="2"/>
  <c r="BD5" i="2"/>
  <c r="BL23" i="2"/>
  <c r="BL26" i="2"/>
  <c r="BL7" i="2"/>
  <c r="BL12" i="2"/>
  <c r="BL17" i="2"/>
  <c r="BL9" i="2"/>
  <c r="BL22" i="2"/>
  <c r="BL6" i="2"/>
  <c r="BL11" i="2"/>
  <c r="BL14" i="2"/>
  <c r="BL16" i="2"/>
  <c r="BL19" i="2"/>
  <c r="BL21" i="2"/>
  <c r="BL24" i="2"/>
  <c r="BL20" i="2"/>
  <c r="BL25" i="2"/>
  <c r="BL27" i="2"/>
  <c r="BL10" i="2"/>
  <c r="BL8" i="2"/>
  <c r="BL13" i="2"/>
  <c r="BL15" i="2"/>
  <c r="BL18" i="2"/>
  <c r="BL5" i="2"/>
  <c r="AP5" i="2"/>
  <c r="BN5" i="2"/>
  <c r="AJ61" i="2" l="1"/>
  <c r="AQ61" i="2" s="1"/>
  <c r="AI61" i="2"/>
  <c r="AY61" i="2" s="1"/>
  <c r="AI68" i="2"/>
  <c r="AJ68" i="2"/>
  <c r="AQ68" i="2" s="1"/>
  <c r="AI31" i="2"/>
  <c r="AY31" i="2" s="1"/>
  <c r="AJ31" i="2"/>
  <c r="AQ31" i="2" s="1"/>
  <c r="AJ45" i="2"/>
  <c r="AQ45" i="2" s="1"/>
  <c r="AI45" i="2"/>
  <c r="AY45" i="2" s="1"/>
  <c r="AJ57" i="2"/>
  <c r="AQ57" i="2" s="1"/>
  <c r="AI57" i="2"/>
  <c r="AY57" i="2" s="1"/>
  <c r="AI89" i="2"/>
  <c r="AY89" i="2" s="1"/>
  <c r="AJ89" i="2"/>
  <c r="AQ89" i="2" s="1"/>
  <c r="AJ106" i="2"/>
  <c r="AQ106" i="2" s="1"/>
  <c r="AI106" i="2"/>
  <c r="AY106" i="2" s="1"/>
  <c r="AI105" i="2"/>
  <c r="AY105" i="2" s="1"/>
  <c r="AJ105" i="2"/>
  <c r="AQ105" i="2" s="1"/>
  <c r="AJ127" i="2"/>
  <c r="AQ127" i="2" s="1"/>
  <c r="AI127" i="2"/>
  <c r="AY127" i="2" s="1"/>
  <c r="AJ117" i="2"/>
  <c r="AQ117" i="2" s="1"/>
  <c r="AI117" i="2"/>
  <c r="AJ85" i="2"/>
  <c r="AQ85" i="2" s="1"/>
  <c r="AI85" i="2"/>
  <c r="AI58" i="2"/>
  <c r="AY58" i="2" s="1"/>
  <c r="AJ58" i="2"/>
  <c r="AQ58" i="2" s="1"/>
  <c r="AJ74" i="2"/>
  <c r="AQ74" i="2" s="1"/>
  <c r="AI74" i="2"/>
  <c r="AI79" i="2"/>
  <c r="AJ79" i="2"/>
  <c r="AQ79" i="2" s="1"/>
  <c r="AI62" i="2"/>
  <c r="AY62" i="2" s="1"/>
  <c r="AJ62" i="2"/>
  <c r="AQ62" i="2" s="1"/>
  <c r="AI47" i="2"/>
  <c r="AJ47" i="2"/>
  <c r="AQ47" i="2" s="1"/>
  <c r="AJ51" i="2"/>
  <c r="AQ51" i="2" s="1"/>
  <c r="AI51" i="2"/>
  <c r="AJ84" i="2"/>
  <c r="AQ84" i="2" s="1"/>
  <c r="AI84" i="2"/>
  <c r="AJ73" i="2"/>
  <c r="AQ73" i="2" s="1"/>
  <c r="AI73" i="2"/>
  <c r="AJ53" i="2"/>
  <c r="AQ53" i="2" s="1"/>
  <c r="AI53" i="2"/>
  <c r="AY53" i="2" s="1"/>
  <c r="AI41" i="2"/>
  <c r="AY41" i="2" s="1"/>
  <c r="AJ41" i="2"/>
  <c r="AQ41" i="2" s="1"/>
  <c r="AJ37" i="2"/>
  <c r="AQ37" i="2" s="1"/>
  <c r="AI37" i="2"/>
  <c r="AJ69" i="2"/>
  <c r="AQ69" i="2" s="1"/>
  <c r="AI69" i="2"/>
  <c r="AI46" i="2"/>
  <c r="AJ46" i="2"/>
  <c r="AQ46" i="2" s="1"/>
  <c r="AI86" i="2"/>
  <c r="AY86" i="2" s="1"/>
  <c r="AJ86" i="2"/>
  <c r="AQ86" i="2" s="1"/>
  <c r="AJ88" i="2"/>
  <c r="AQ88" i="2" s="1"/>
  <c r="AI88" i="2"/>
  <c r="AY88" i="2" s="1"/>
  <c r="AI91" i="2"/>
  <c r="AY91" i="2" s="1"/>
  <c r="AJ91" i="2"/>
  <c r="AQ91" i="2" s="1"/>
  <c r="AI103" i="2"/>
  <c r="AY103" i="2" s="1"/>
  <c r="AJ103" i="2"/>
  <c r="AQ103" i="2" s="1"/>
  <c r="AJ102" i="2"/>
  <c r="AQ102" i="2" s="1"/>
  <c r="AI102" i="2"/>
  <c r="AY102" i="2" s="1"/>
  <c r="AJ100" i="2"/>
  <c r="AQ100" i="2" s="1"/>
  <c r="AI100" i="2"/>
  <c r="AY100" i="2" s="1"/>
  <c r="AJ101" i="2"/>
  <c r="AQ101" i="2" s="1"/>
  <c r="AI101" i="2"/>
  <c r="AY101" i="2" s="1"/>
  <c r="AI126" i="2"/>
  <c r="AY126" i="2" s="1"/>
  <c r="AJ126" i="2"/>
  <c r="AQ126" i="2" s="1"/>
  <c r="AI114" i="2"/>
  <c r="AJ114" i="2"/>
  <c r="AQ114" i="2" s="1"/>
  <c r="AI129" i="2"/>
  <c r="AY129" i="2" s="1"/>
  <c r="AJ129" i="2"/>
  <c r="AQ129" i="2" s="1"/>
  <c r="AI123" i="2"/>
  <c r="AY123" i="2" s="1"/>
  <c r="AJ123" i="2"/>
  <c r="AQ123" i="2" s="1"/>
  <c r="AJ81" i="2"/>
  <c r="AQ81" i="2" s="1"/>
  <c r="AI81" i="2"/>
  <c r="AI32" i="2"/>
  <c r="AY32" i="2" s="1"/>
  <c r="AJ32" i="2"/>
  <c r="AQ32" i="2" s="1"/>
  <c r="AI56" i="2"/>
  <c r="AY56" i="2" s="1"/>
  <c r="AJ56" i="2"/>
  <c r="AQ56" i="2" s="1"/>
  <c r="AJ71" i="2"/>
  <c r="AQ71" i="2" s="1"/>
  <c r="AI71" i="2"/>
  <c r="AI92" i="2"/>
  <c r="AY92" i="2" s="1"/>
  <c r="AJ92" i="2"/>
  <c r="AQ92" i="2" s="1"/>
  <c r="AJ120" i="2"/>
  <c r="AQ120" i="2" s="1"/>
  <c r="AI120" i="2"/>
  <c r="AY120" i="2" s="1"/>
  <c r="AJ83" i="2"/>
  <c r="AQ83" i="2" s="1"/>
  <c r="AI83" i="2"/>
  <c r="AI54" i="2"/>
  <c r="AJ54" i="2"/>
  <c r="AQ54" i="2" s="1"/>
  <c r="AJ39" i="2"/>
  <c r="AQ39" i="2" s="1"/>
  <c r="AI39" i="2"/>
  <c r="AI72" i="2"/>
  <c r="AJ72" i="2"/>
  <c r="AQ72" i="2" s="1"/>
  <c r="AJ59" i="2"/>
  <c r="AQ59" i="2" s="1"/>
  <c r="AI59" i="2"/>
  <c r="AY59" i="2" s="1"/>
  <c r="AJ44" i="2"/>
  <c r="AQ44" i="2" s="1"/>
  <c r="AI44" i="2"/>
  <c r="AY44" i="2" s="1"/>
  <c r="AJ49" i="2"/>
  <c r="AQ49" i="2" s="1"/>
  <c r="AI49" i="2"/>
  <c r="AJ82" i="2"/>
  <c r="AQ82" i="2" s="1"/>
  <c r="AI82" i="2"/>
  <c r="AI66" i="2"/>
  <c r="AJ66" i="2"/>
  <c r="AQ66" i="2" s="1"/>
  <c r="AJ50" i="2"/>
  <c r="AQ50" i="2" s="1"/>
  <c r="AI50" i="2"/>
  <c r="AJ38" i="2"/>
  <c r="AQ38" i="2" s="1"/>
  <c r="AI38" i="2"/>
  <c r="AI80" i="2"/>
  <c r="AJ80" i="2"/>
  <c r="AQ80" i="2" s="1"/>
  <c r="AI64" i="2"/>
  <c r="AY64" i="2" s="1"/>
  <c r="AJ64" i="2"/>
  <c r="AQ64" i="2" s="1"/>
  <c r="AJ42" i="2"/>
  <c r="AQ42" i="2" s="1"/>
  <c r="AI42" i="2"/>
  <c r="AY42" i="2" s="1"/>
  <c r="AI95" i="2"/>
  <c r="AY95" i="2" s="1"/>
  <c r="AJ95" i="2"/>
  <c r="AQ95" i="2" s="1"/>
  <c r="AI94" i="2"/>
  <c r="AY94" i="2" s="1"/>
  <c r="AJ94" i="2"/>
  <c r="AQ94" i="2" s="1"/>
  <c r="AI110" i="2"/>
  <c r="AY110" i="2" s="1"/>
  <c r="AJ110" i="2"/>
  <c r="AQ110" i="2" s="1"/>
  <c r="AJ99" i="2"/>
  <c r="AQ99" i="2" s="1"/>
  <c r="AI99" i="2"/>
  <c r="AY99" i="2" s="1"/>
  <c r="AJ112" i="2"/>
  <c r="AQ112" i="2" s="1"/>
  <c r="AI112" i="2"/>
  <c r="AY112" i="2" s="1"/>
  <c r="AJ96" i="2"/>
  <c r="AQ96" i="2" s="1"/>
  <c r="AI96" i="2"/>
  <c r="AY96" i="2" s="1"/>
  <c r="AI97" i="2"/>
  <c r="AY97" i="2" s="1"/>
  <c r="AJ97" i="2"/>
  <c r="AQ97" i="2" s="1"/>
  <c r="AI125" i="2"/>
  <c r="AY125" i="2" s="1"/>
  <c r="AJ125" i="2"/>
  <c r="AQ125" i="2" s="1"/>
  <c r="AJ116" i="2"/>
  <c r="AQ116" i="2" s="1"/>
  <c r="AI116" i="2"/>
  <c r="AI121" i="2"/>
  <c r="AY121" i="2" s="1"/>
  <c r="AJ121" i="2"/>
  <c r="AQ121" i="2" s="1"/>
  <c r="AI122" i="2"/>
  <c r="AY122" i="2" s="1"/>
  <c r="AJ122" i="2"/>
  <c r="AQ122" i="2" s="1"/>
  <c r="AI65" i="2"/>
  <c r="AY65" i="2" s="1"/>
  <c r="AJ65" i="2"/>
  <c r="AQ65" i="2" s="1"/>
  <c r="AI52" i="2"/>
  <c r="AY52" i="2" s="1"/>
  <c r="AJ52" i="2"/>
  <c r="AQ52" i="2" s="1"/>
  <c r="AI75" i="2"/>
  <c r="AJ75" i="2"/>
  <c r="AQ75" i="2" s="1"/>
  <c r="AJ33" i="2"/>
  <c r="AQ33" i="2" s="1"/>
  <c r="AI33" i="2"/>
  <c r="AY33" i="2" s="1"/>
  <c r="AI90" i="2"/>
  <c r="AY90" i="2" s="1"/>
  <c r="AJ90" i="2"/>
  <c r="AQ90" i="2" s="1"/>
  <c r="AI107" i="2"/>
  <c r="AY107" i="2" s="1"/>
  <c r="AJ107" i="2"/>
  <c r="AQ107" i="2" s="1"/>
  <c r="AJ104" i="2"/>
  <c r="AQ104" i="2" s="1"/>
  <c r="AI104" i="2"/>
  <c r="AY104" i="2" s="1"/>
  <c r="AI119" i="2"/>
  <c r="AY119" i="2" s="1"/>
  <c r="AJ119" i="2"/>
  <c r="AQ119" i="2" s="1"/>
  <c r="AI67" i="2"/>
  <c r="AJ67" i="2"/>
  <c r="AQ67" i="2" s="1"/>
  <c r="AJ76" i="2"/>
  <c r="AQ76" i="2" s="1"/>
  <c r="AI76" i="2"/>
  <c r="AI35" i="2"/>
  <c r="AY35" i="2" s="1"/>
  <c r="AJ35" i="2"/>
  <c r="AQ35" i="2" s="1"/>
  <c r="AI70" i="2"/>
  <c r="AJ70" i="2"/>
  <c r="AQ70" i="2" s="1"/>
  <c r="AI55" i="2"/>
  <c r="AY55" i="2" s="1"/>
  <c r="AJ55" i="2"/>
  <c r="AQ55" i="2" s="1"/>
  <c r="AI40" i="2"/>
  <c r="AY40" i="2" s="1"/>
  <c r="AJ40" i="2"/>
  <c r="AQ40" i="2" s="1"/>
  <c r="AI43" i="2"/>
  <c r="AY43" i="2" s="1"/>
  <c r="AJ43" i="2"/>
  <c r="AQ43" i="2" s="1"/>
  <c r="AJ77" i="2"/>
  <c r="AQ77" i="2" s="1"/>
  <c r="AI77" i="2"/>
  <c r="AJ63" i="2"/>
  <c r="AQ63" i="2" s="1"/>
  <c r="AI63" i="2"/>
  <c r="AY63" i="2" s="1"/>
  <c r="AI48" i="2"/>
  <c r="AJ48" i="2"/>
  <c r="AQ48" i="2" s="1"/>
  <c r="AI36" i="2"/>
  <c r="AJ36" i="2"/>
  <c r="AQ36" i="2" s="1"/>
  <c r="AI78" i="2"/>
  <c r="AJ78" i="2"/>
  <c r="AQ78" i="2" s="1"/>
  <c r="AI60" i="2"/>
  <c r="AJ60" i="2"/>
  <c r="AQ60" i="2" s="1"/>
  <c r="AI34" i="2"/>
  <c r="AY34" i="2" s="1"/>
  <c r="AJ34" i="2"/>
  <c r="AQ34" i="2" s="1"/>
  <c r="AI87" i="2"/>
  <c r="AY87" i="2" s="1"/>
  <c r="AJ87" i="2"/>
  <c r="AQ87" i="2" s="1"/>
  <c r="AJ93" i="2"/>
  <c r="AQ93" i="2" s="1"/>
  <c r="AI93" i="2"/>
  <c r="AY93" i="2" s="1"/>
  <c r="AJ98" i="2"/>
  <c r="AQ98" i="2" s="1"/>
  <c r="AI98" i="2"/>
  <c r="AY98" i="2" s="1"/>
  <c r="AI113" i="2"/>
  <c r="AY113" i="2" s="1"/>
  <c r="AJ113" i="2"/>
  <c r="AQ113" i="2" s="1"/>
  <c r="AJ108" i="2"/>
  <c r="AQ108" i="2" s="1"/>
  <c r="AI108" i="2"/>
  <c r="AY108" i="2" s="1"/>
  <c r="AI109" i="2"/>
  <c r="AY109" i="2" s="1"/>
  <c r="AJ109" i="2"/>
  <c r="AQ109" i="2" s="1"/>
  <c r="AJ111" i="2"/>
  <c r="AQ111" i="2" s="1"/>
  <c r="AI111" i="2"/>
  <c r="AY111" i="2" s="1"/>
  <c r="AJ124" i="2"/>
  <c r="AQ124" i="2" s="1"/>
  <c r="AI124" i="2"/>
  <c r="AY124" i="2" s="1"/>
  <c r="AI128" i="2"/>
  <c r="AY128" i="2" s="1"/>
  <c r="AJ128" i="2"/>
  <c r="AQ128" i="2" s="1"/>
  <c r="AI115" i="2"/>
  <c r="AJ115" i="2"/>
  <c r="AQ115" i="2" s="1"/>
  <c r="AJ118" i="2"/>
  <c r="AQ118" i="2" s="1"/>
  <c r="AI118" i="2"/>
  <c r="AY118" i="2" s="1"/>
  <c r="AI29" i="2"/>
  <c r="AJ29" i="2"/>
  <c r="AQ29" i="2" s="1"/>
  <c r="AJ28" i="2"/>
  <c r="AQ28" i="2" s="1"/>
  <c r="AI28" i="2"/>
  <c r="AI30" i="2"/>
  <c r="AY30" i="2" s="1"/>
  <c r="AJ30" i="2"/>
  <c r="AQ30" i="2" s="1"/>
  <c r="AI20" i="2"/>
  <c r="AJ20" i="2"/>
  <c r="AQ20" i="2" s="1"/>
  <c r="AI7" i="2"/>
  <c r="AJ7" i="2"/>
  <c r="AQ7" i="2" s="1"/>
  <c r="AJ18" i="2"/>
  <c r="AQ18" i="2" s="1"/>
  <c r="AI18" i="2"/>
  <c r="AH18" i="2" s="1"/>
  <c r="AJ10" i="2"/>
  <c r="AQ10" i="2" s="1"/>
  <c r="AI10" i="2"/>
  <c r="AI24" i="2"/>
  <c r="AH24" i="2" s="1"/>
  <c r="AJ24" i="2"/>
  <c r="AQ24" i="2" s="1"/>
  <c r="AJ14" i="2"/>
  <c r="AQ14" i="2" s="1"/>
  <c r="AI14" i="2"/>
  <c r="AH14" i="2" s="1"/>
  <c r="AI9" i="2"/>
  <c r="AJ9" i="2"/>
  <c r="AQ9" i="2" s="1"/>
  <c r="AJ26" i="2"/>
  <c r="AQ26" i="2" s="1"/>
  <c r="AI26" i="2"/>
  <c r="AH26" i="2" s="1"/>
  <c r="AI16" i="2"/>
  <c r="AH16" i="2" s="1"/>
  <c r="AJ16" i="2"/>
  <c r="AQ16" i="2" s="1"/>
  <c r="AI15" i="2"/>
  <c r="AH15" i="2" s="1"/>
  <c r="AJ15" i="2"/>
  <c r="AQ15" i="2" s="1"/>
  <c r="AI27" i="2"/>
  <c r="AH27" i="2" s="1"/>
  <c r="AJ27" i="2"/>
  <c r="AQ27" i="2" s="1"/>
  <c r="AI21" i="2"/>
  <c r="AH21" i="2" s="1"/>
  <c r="AJ21" i="2"/>
  <c r="AQ21" i="2" s="1"/>
  <c r="AJ11" i="2"/>
  <c r="AQ11" i="2" s="1"/>
  <c r="AI11" i="2"/>
  <c r="AH11" i="2" s="1"/>
  <c r="AI17" i="2"/>
  <c r="AH17" i="2" s="1"/>
  <c r="AJ17" i="2"/>
  <c r="AQ17" i="2" s="1"/>
  <c r="AI23" i="2"/>
  <c r="AH23" i="2" s="1"/>
  <c r="AJ23" i="2"/>
  <c r="AQ23" i="2" s="1"/>
  <c r="AI8" i="2"/>
  <c r="AJ8" i="2"/>
  <c r="AQ8" i="2" s="1"/>
  <c r="AJ22" i="2"/>
  <c r="AQ22" i="2" s="1"/>
  <c r="AI22" i="2"/>
  <c r="AH22" i="2" s="1"/>
  <c r="AJ13" i="2"/>
  <c r="AQ13" i="2" s="1"/>
  <c r="AI13" i="2"/>
  <c r="AH13" i="2" s="1"/>
  <c r="AI25" i="2"/>
  <c r="AH25" i="2" s="1"/>
  <c r="AJ25" i="2"/>
  <c r="AQ25" i="2" s="1"/>
  <c r="AI19" i="2"/>
  <c r="AH19" i="2" s="1"/>
  <c r="AJ19" i="2"/>
  <c r="AQ19" i="2" s="1"/>
  <c r="AJ6" i="2"/>
  <c r="AQ6" i="2" s="1"/>
  <c r="AI6" i="2"/>
  <c r="AI12" i="2"/>
  <c r="AH12" i="2" s="1"/>
  <c r="AJ12" i="2"/>
  <c r="AQ12" i="2" s="1"/>
  <c r="AJ5" i="2"/>
  <c r="AQ5" i="2" s="1"/>
  <c r="AI5" i="2"/>
  <c r="BI3" i="2"/>
  <c r="AS61" i="2"/>
  <c r="BN31" i="2"/>
  <c r="AS57" i="2"/>
  <c r="AS89" i="2"/>
  <c r="BN106" i="2"/>
  <c r="BN127" i="2"/>
  <c r="BN117" i="2"/>
  <c r="BN85" i="2"/>
  <c r="AS58" i="2"/>
  <c r="AS47" i="2"/>
  <c r="AS84" i="2"/>
  <c r="AS37" i="2"/>
  <c r="AS46" i="2"/>
  <c r="AS88" i="2"/>
  <c r="AS91" i="2"/>
  <c r="BN103" i="2"/>
  <c r="AS100" i="2"/>
  <c r="BN101" i="2"/>
  <c r="AS126" i="2"/>
  <c r="BN129" i="2"/>
  <c r="AS123" i="2"/>
  <c r="AS81" i="2"/>
  <c r="BN32" i="2"/>
  <c r="AS56" i="2"/>
  <c r="BI92" i="2"/>
  <c r="BI120" i="2"/>
  <c r="BI62" i="2"/>
  <c r="BI129" i="2"/>
  <c r="BN83" i="2"/>
  <c r="AS39" i="2"/>
  <c r="BN59" i="2"/>
  <c r="BN49" i="2"/>
  <c r="AS82" i="2"/>
  <c r="AS66" i="2"/>
  <c r="BN38" i="2"/>
  <c r="AS80" i="2"/>
  <c r="BN64" i="2"/>
  <c r="BI95" i="2"/>
  <c r="AS94" i="2"/>
  <c r="AS110" i="2"/>
  <c r="AS112" i="2"/>
  <c r="BN96" i="2"/>
  <c r="BN97" i="2"/>
  <c r="AS116" i="2"/>
  <c r="BI121" i="2"/>
  <c r="BN122" i="2"/>
  <c r="BI99" i="2"/>
  <c r="AS65" i="2"/>
  <c r="BN33" i="2"/>
  <c r="BN90" i="2"/>
  <c r="BN104" i="2"/>
  <c r="BN119" i="2"/>
  <c r="BI44" i="2"/>
  <c r="BI105" i="2"/>
  <c r="AS67" i="2"/>
  <c r="BN35" i="2"/>
  <c r="AS55" i="2"/>
  <c r="BI43" i="2"/>
  <c r="BI63" i="2"/>
  <c r="BN60" i="2"/>
  <c r="BI87" i="2"/>
  <c r="BN93" i="2"/>
  <c r="BI98" i="2"/>
  <c r="BN108" i="2"/>
  <c r="BN109" i="2"/>
  <c r="BI111" i="2"/>
  <c r="BN128" i="2"/>
  <c r="BN115" i="2"/>
  <c r="BI118" i="2"/>
  <c r="AS24" i="2"/>
  <c r="AS16" i="2"/>
  <c r="AS23" i="2"/>
  <c r="AS25" i="2"/>
  <c r="AS20" i="2"/>
  <c r="BN18" i="2"/>
  <c r="BN13" i="2"/>
  <c r="AS11" i="2"/>
  <c r="AS14" i="2"/>
  <c r="BN61" i="2"/>
  <c r="AS68" i="2"/>
  <c r="BN45" i="2"/>
  <c r="BN89" i="2"/>
  <c r="BN105" i="2"/>
  <c r="AS127" i="2"/>
  <c r="BN74" i="2"/>
  <c r="BN79" i="2"/>
  <c r="AS62" i="2"/>
  <c r="AS51" i="2"/>
  <c r="BN73" i="2"/>
  <c r="BI41" i="2"/>
  <c r="BN69" i="2"/>
  <c r="BN91" i="2"/>
  <c r="AS102" i="2"/>
  <c r="BI101" i="2"/>
  <c r="BN123" i="2"/>
  <c r="BN81" i="2"/>
  <c r="AS32" i="2"/>
  <c r="AS71" i="2"/>
  <c r="BN92" i="2"/>
  <c r="BN120" i="2"/>
  <c r="BI88" i="2"/>
  <c r="BN54" i="2"/>
  <c r="BN39" i="2"/>
  <c r="AS72" i="2"/>
  <c r="AS44" i="2"/>
  <c r="AS49" i="2"/>
  <c r="BN50" i="2"/>
  <c r="AS38" i="2"/>
  <c r="BN80" i="2"/>
  <c r="BN42" i="2"/>
  <c r="AS95" i="2"/>
  <c r="BN94" i="2"/>
  <c r="AS99" i="2"/>
  <c r="BI112" i="2"/>
  <c r="BI125" i="2"/>
  <c r="BN116" i="2"/>
  <c r="AS121" i="2"/>
  <c r="BN52" i="2"/>
  <c r="AS75" i="2"/>
  <c r="BI33" i="2"/>
  <c r="BN107" i="2"/>
  <c r="AS104" i="2"/>
  <c r="AS119" i="2"/>
  <c r="BI91" i="2"/>
  <c r="BI102" i="2"/>
  <c r="AS76" i="2"/>
  <c r="BI35" i="2"/>
  <c r="AS70" i="2"/>
  <c r="BN40" i="2"/>
  <c r="AS43" i="2"/>
  <c r="BN77" i="2"/>
  <c r="BN36" i="2"/>
  <c r="AS78" i="2"/>
  <c r="BN34" i="2"/>
  <c r="AS87" i="2"/>
  <c r="AS108" i="2"/>
  <c r="AS109" i="2"/>
  <c r="AS124" i="2"/>
  <c r="BI128" i="2"/>
  <c r="AS115" i="2"/>
  <c r="AS6" i="2"/>
  <c r="AS21" i="2"/>
  <c r="BN29" i="2"/>
  <c r="BN17" i="2"/>
  <c r="BN27" i="2"/>
  <c r="AS28" i="2"/>
  <c r="BN19" i="2"/>
  <c r="BN25" i="2"/>
  <c r="BN26" i="2"/>
  <c r="BN22" i="2"/>
  <c r="BN16" i="2"/>
  <c r="BN8" i="2"/>
  <c r="AS7" i="2"/>
  <c r="BN28" i="2"/>
  <c r="AS26" i="2"/>
  <c r="AS5" i="2"/>
  <c r="BI61" i="2"/>
  <c r="BI31" i="2"/>
  <c r="AS45" i="2"/>
  <c r="BN57" i="2"/>
  <c r="AS106" i="2"/>
  <c r="BI127" i="2"/>
  <c r="BN58" i="2"/>
  <c r="AS74" i="2"/>
  <c r="AS79" i="2"/>
  <c r="BN51" i="2"/>
  <c r="BN84" i="2"/>
  <c r="AS53" i="2"/>
  <c r="AS41" i="2"/>
  <c r="BN37" i="2"/>
  <c r="BN46" i="2"/>
  <c r="AS86" i="2"/>
  <c r="BN88" i="2"/>
  <c r="BI103" i="2"/>
  <c r="BN100" i="2"/>
  <c r="BI126" i="2"/>
  <c r="AS114" i="2"/>
  <c r="AS129" i="2"/>
  <c r="BI45" i="2"/>
  <c r="BN56" i="2"/>
  <c r="BN71" i="2"/>
  <c r="AS92" i="2"/>
  <c r="BI56" i="2"/>
  <c r="AS83" i="2"/>
  <c r="AS59" i="2"/>
  <c r="BN66" i="2"/>
  <c r="AS50" i="2"/>
  <c r="BI64" i="2"/>
  <c r="AS42" i="2"/>
  <c r="BN95" i="2"/>
  <c r="BI110" i="2"/>
  <c r="BN99" i="2"/>
  <c r="BN112" i="2"/>
  <c r="BI97" i="2"/>
  <c r="BN125" i="2"/>
  <c r="BI122" i="2"/>
  <c r="BI89" i="2"/>
  <c r="BI65" i="2"/>
  <c r="BN75" i="2"/>
  <c r="BI90" i="2"/>
  <c r="BI107" i="2"/>
  <c r="BI104" i="2"/>
  <c r="BI42" i="2"/>
  <c r="BN76" i="2"/>
  <c r="AS35" i="2"/>
  <c r="BN55" i="2"/>
  <c r="BN43" i="2"/>
  <c r="AS63" i="2"/>
  <c r="AS48" i="2"/>
  <c r="AS36" i="2"/>
  <c r="BI34" i="2"/>
  <c r="BN87" i="2"/>
  <c r="AS98" i="2"/>
  <c r="AS113" i="2"/>
  <c r="BI108" i="2"/>
  <c r="BN111" i="2"/>
  <c r="BN124" i="2"/>
  <c r="AS128" i="2"/>
  <c r="AS118" i="2"/>
  <c r="AS30" i="2"/>
  <c r="AS15" i="2"/>
  <c r="AS17" i="2"/>
  <c r="AS8" i="2"/>
  <c r="AS19" i="2"/>
  <c r="AS29" i="2"/>
  <c r="BN9" i="2"/>
  <c r="AS9" i="2"/>
  <c r="AS13" i="2"/>
  <c r="BN20" i="2"/>
  <c r="BN68" i="2"/>
  <c r="AS31" i="2"/>
  <c r="AS105" i="2"/>
  <c r="AS117" i="2"/>
  <c r="BI57" i="2"/>
  <c r="AS85" i="2"/>
  <c r="BN62" i="2"/>
  <c r="BN47" i="2"/>
  <c r="AS73" i="2"/>
  <c r="BN53" i="2"/>
  <c r="BN41" i="2"/>
  <c r="AS69" i="2"/>
  <c r="BN86" i="2"/>
  <c r="AS103" i="2"/>
  <c r="BN102" i="2"/>
  <c r="AS101" i="2"/>
  <c r="BN126" i="2"/>
  <c r="BN114" i="2"/>
  <c r="BI123" i="2"/>
  <c r="BI32" i="2"/>
  <c r="AS120" i="2"/>
  <c r="BI58" i="2"/>
  <c r="BI106" i="2"/>
  <c r="AS54" i="2"/>
  <c r="BN72" i="2"/>
  <c r="BN44" i="2"/>
  <c r="BN82" i="2"/>
  <c r="AS64" i="2"/>
  <c r="BN110" i="2"/>
  <c r="AS96" i="2"/>
  <c r="AS97" i="2"/>
  <c r="AS125" i="2"/>
  <c r="BN121" i="2"/>
  <c r="AS122" i="2"/>
  <c r="BI96" i="2"/>
  <c r="BN65" i="2"/>
  <c r="AS52" i="2"/>
  <c r="AS33" i="2"/>
  <c r="AS90" i="2"/>
  <c r="AS107" i="2"/>
  <c r="BI59" i="2"/>
  <c r="BI86" i="2"/>
  <c r="BN67" i="2"/>
  <c r="BN70" i="2"/>
  <c r="AS40" i="2"/>
  <c r="AS77" i="2"/>
  <c r="BN63" i="2"/>
  <c r="BN48" i="2"/>
  <c r="BN78" i="2"/>
  <c r="AS60" i="2"/>
  <c r="AS34" i="2"/>
  <c r="AS93" i="2"/>
  <c r="BN98" i="2"/>
  <c r="BN113" i="2"/>
  <c r="BI109" i="2"/>
  <c r="AS111" i="2"/>
  <c r="BN118" i="2"/>
  <c r="BN14" i="2"/>
  <c r="BN23" i="2"/>
  <c r="BN15" i="2"/>
  <c r="BI30" i="2"/>
  <c r="AS22" i="2"/>
  <c r="BN21" i="2"/>
  <c r="BN30" i="2"/>
  <c r="BN11" i="2"/>
  <c r="BN7" i="2"/>
  <c r="AS10" i="2"/>
  <c r="AS27" i="2"/>
  <c r="BN12" i="2"/>
  <c r="BN10" i="2"/>
  <c r="AS18" i="2"/>
  <c r="BN6" i="2"/>
  <c r="BN24" i="2"/>
  <c r="BI94" i="2"/>
  <c r="BI52" i="2"/>
  <c r="BI119" i="2"/>
  <c r="BI40" i="2"/>
  <c r="BI113" i="2"/>
  <c r="BI55" i="2"/>
  <c r="BI53" i="2"/>
  <c r="BI100" i="2"/>
  <c r="BI93" i="2"/>
  <c r="BI124" i="2"/>
  <c r="AS12" i="2"/>
  <c r="AL111" i="2" l="1"/>
  <c r="AL93" i="2"/>
  <c r="AL34" i="2"/>
  <c r="AL60" i="2"/>
  <c r="AL77" i="2"/>
  <c r="AL40" i="2"/>
  <c r="AL107" i="2"/>
  <c r="AL90" i="2"/>
  <c r="AL33" i="2"/>
  <c r="AL52" i="2"/>
  <c r="AL122" i="2"/>
  <c r="AL125" i="2"/>
  <c r="AL97" i="2"/>
  <c r="AL96" i="2"/>
  <c r="AL64" i="2"/>
  <c r="AL54" i="2"/>
  <c r="AL120" i="2"/>
  <c r="AL101" i="2"/>
  <c r="AL103" i="2"/>
  <c r="AL69" i="2"/>
  <c r="AL73" i="2"/>
  <c r="AL85" i="2"/>
  <c r="AL117" i="2"/>
  <c r="AL105" i="2"/>
  <c r="AL31" i="2"/>
  <c r="AL118" i="2"/>
  <c r="AL128" i="2"/>
  <c r="AL113" i="2"/>
  <c r="AL98" i="2"/>
  <c r="AL36" i="2"/>
  <c r="AL48" i="2"/>
  <c r="AL63" i="2"/>
  <c r="AL35" i="2"/>
  <c r="AL42" i="2"/>
  <c r="AL50" i="2"/>
  <c r="AL59" i="2"/>
  <c r="AL83" i="2"/>
  <c r="AL92" i="2"/>
  <c r="AL129" i="2"/>
  <c r="AL114" i="2"/>
  <c r="AL86" i="2"/>
  <c r="AL41" i="2"/>
  <c r="AL53" i="2"/>
  <c r="AL79" i="2"/>
  <c r="AL74" i="2"/>
  <c r="AL106" i="2"/>
  <c r="AL45" i="2"/>
  <c r="AL115" i="2"/>
  <c r="AL124" i="2"/>
  <c r="AL109" i="2"/>
  <c r="AL108" i="2"/>
  <c r="AL87" i="2"/>
  <c r="AL78" i="2"/>
  <c r="AL43" i="2"/>
  <c r="AL70" i="2"/>
  <c r="AL76" i="2"/>
  <c r="AL119" i="2"/>
  <c r="AL104" i="2"/>
  <c r="AL75" i="2"/>
  <c r="AL121" i="2"/>
  <c r="AL99" i="2"/>
  <c r="AL95" i="2"/>
  <c r="AL38" i="2"/>
  <c r="AL49" i="2"/>
  <c r="AL44" i="2"/>
  <c r="AL72" i="2"/>
  <c r="AL71" i="2"/>
  <c r="AL32" i="2"/>
  <c r="AL102" i="2"/>
  <c r="AL51" i="2"/>
  <c r="AL62" i="2"/>
  <c r="AL127" i="2"/>
  <c r="AL68" i="2"/>
  <c r="AL55" i="2"/>
  <c r="AL67" i="2"/>
  <c r="AL65" i="2"/>
  <c r="AL116" i="2"/>
  <c r="AL112" i="2"/>
  <c r="AL110" i="2"/>
  <c r="AL94" i="2"/>
  <c r="AL80" i="2"/>
  <c r="AL66" i="2"/>
  <c r="AL82" i="2"/>
  <c r="AL39" i="2"/>
  <c r="AL56" i="2"/>
  <c r="AL81" i="2"/>
  <c r="AL123" i="2"/>
  <c r="AL126" i="2"/>
  <c r="AL100" i="2"/>
  <c r="AL91" i="2"/>
  <c r="AL88" i="2"/>
  <c r="AL46" i="2"/>
  <c r="AL37" i="2"/>
  <c r="AL84" i="2"/>
  <c r="AL47" i="2"/>
  <c r="AL58" i="2"/>
  <c r="AL89" i="2"/>
  <c r="AL57" i="2"/>
  <c r="AL61" i="2"/>
  <c r="AM78" i="2"/>
  <c r="AY78" i="2"/>
  <c r="AM72" i="2"/>
  <c r="AY72" i="2"/>
  <c r="AY47" i="2"/>
  <c r="AM47" i="2"/>
  <c r="AY115" i="2"/>
  <c r="AM115" i="2"/>
  <c r="AM76" i="2"/>
  <c r="AY76" i="2"/>
  <c r="AM75" i="2"/>
  <c r="AY75" i="2"/>
  <c r="AY80" i="2"/>
  <c r="AM80" i="2"/>
  <c r="AM50" i="2"/>
  <c r="AY50" i="2"/>
  <c r="AY66" i="2"/>
  <c r="AM66" i="2"/>
  <c r="AM83" i="2"/>
  <c r="AY83" i="2"/>
  <c r="AY71" i="2"/>
  <c r="AM71" i="2"/>
  <c r="AM114" i="2"/>
  <c r="AY114" i="2"/>
  <c r="AM37" i="2"/>
  <c r="AY37" i="2"/>
  <c r="AM84" i="2"/>
  <c r="AY84" i="2"/>
  <c r="AM85" i="2"/>
  <c r="AY85" i="2"/>
  <c r="AY117" i="2"/>
  <c r="AM117" i="2"/>
  <c r="AM77" i="2"/>
  <c r="AY77" i="2"/>
  <c r="AM70" i="2"/>
  <c r="AY70" i="2"/>
  <c r="AY60" i="2"/>
  <c r="AM60" i="2"/>
  <c r="AY67" i="2"/>
  <c r="AM67" i="2"/>
  <c r="AY116" i="2"/>
  <c r="AM116" i="2"/>
  <c r="AM38" i="2"/>
  <c r="AY38" i="2"/>
  <c r="AY49" i="2"/>
  <c r="AM49" i="2"/>
  <c r="AM39" i="2"/>
  <c r="AY39" i="2"/>
  <c r="AM54" i="2"/>
  <c r="AY54" i="2"/>
  <c r="AM81" i="2"/>
  <c r="AY81" i="2"/>
  <c r="AM69" i="2"/>
  <c r="AY69" i="2"/>
  <c r="AY73" i="2"/>
  <c r="AM73" i="2"/>
  <c r="AM79" i="2"/>
  <c r="AY79" i="2"/>
  <c r="AM68" i="2"/>
  <c r="AY68" i="2"/>
  <c r="AM36" i="2"/>
  <c r="AY36" i="2"/>
  <c r="AM48" i="2"/>
  <c r="AY48" i="2"/>
  <c r="AY82" i="2"/>
  <c r="AM82" i="2"/>
  <c r="AM46" i="2"/>
  <c r="AY46" i="2"/>
  <c r="AM51" i="2"/>
  <c r="AY51" i="2"/>
  <c r="AY74" i="2"/>
  <c r="AM74" i="2"/>
  <c r="AL28" i="2"/>
  <c r="AL29" i="2"/>
  <c r="AL30" i="2"/>
  <c r="AM28" i="2"/>
  <c r="AY28" i="2"/>
  <c r="AM29" i="2"/>
  <c r="AY29" i="2"/>
  <c r="AY10" i="2"/>
  <c r="AH10" i="2"/>
  <c r="AY9" i="2"/>
  <c r="AH9" i="2"/>
  <c r="AY8" i="2"/>
  <c r="AH8" i="2"/>
  <c r="AY7" i="2"/>
  <c r="AH7" i="2"/>
  <c r="AY6" i="2"/>
  <c r="AH6" i="2"/>
  <c r="AY5" i="2"/>
  <c r="AH5" i="2"/>
  <c r="AY20" i="2"/>
  <c r="AH20" i="2"/>
  <c r="AL19" i="2"/>
  <c r="AL15" i="2"/>
  <c r="AL26" i="2"/>
  <c r="AL10" i="2"/>
  <c r="AL6" i="2"/>
  <c r="AL11" i="2"/>
  <c r="AL27" i="2"/>
  <c r="AL9" i="2"/>
  <c r="AL17" i="2"/>
  <c r="AL25" i="2"/>
  <c r="AL13" i="2"/>
  <c r="AL8" i="2"/>
  <c r="AL23" i="2"/>
  <c r="AL21" i="2"/>
  <c r="AL16" i="2"/>
  <c r="AL14" i="2"/>
  <c r="AL7" i="2"/>
  <c r="AL20" i="2"/>
  <c r="AL12" i="2"/>
  <c r="AL22" i="2"/>
  <c r="AL24" i="2"/>
  <c r="AL18" i="2"/>
  <c r="AM19" i="2"/>
  <c r="AY19" i="2"/>
  <c r="AM13" i="2"/>
  <c r="AY13" i="2"/>
  <c r="AY17" i="2"/>
  <c r="AM17" i="2"/>
  <c r="AM15" i="2"/>
  <c r="AY15" i="2"/>
  <c r="AY14" i="2"/>
  <c r="AM14" i="2"/>
  <c r="AM24" i="2"/>
  <c r="AY24" i="2"/>
  <c r="AM21" i="2"/>
  <c r="AY21" i="2"/>
  <c r="AY22" i="2"/>
  <c r="AM22" i="2"/>
  <c r="AM18" i="2"/>
  <c r="AY18" i="2"/>
  <c r="AM25" i="2"/>
  <c r="AY25" i="2"/>
  <c r="AY12" i="2"/>
  <c r="AM12" i="2"/>
  <c r="AY23" i="2"/>
  <c r="AM23" i="2"/>
  <c r="AM11" i="2"/>
  <c r="AY11" i="2"/>
  <c r="AM27" i="2"/>
  <c r="AY27" i="2"/>
  <c r="AY16" i="2"/>
  <c r="AM16" i="2"/>
  <c r="AM26" i="2"/>
  <c r="AY26" i="2"/>
  <c r="AL5" i="2"/>
  <c r="BI78" i="2"/>
  <c r="BI76" i="2"/>
  <c r="BI37" i="2"/>
  <c r="BI85" i="2"/>
  <c r="BI77" i="2"/>
  <c r="BI54" i="2"/>
  <c r="BI69" i="2"/>
  <c r="BI79" i="2"/>
  <c r="BI36" i="2"/>
  <c r="BI51" i="2"/>
  <c r="BI5" i="2"/>
  <c r="BI24" i="2"/>
  <c r="BI23" i="2"/>
  <c r="BI25" i="2"/>
  <c r="BI22" i="2"/>
  <c r="BI115" i="2"/>
  <c r="BI117" i="2"/>
  <c r="BI67" i="2"/>
  <c r="BI73" i="2"/>
  <c r="BI74" i="2"/>
  <c r="BI13" i="2"/>
  <c r="BI15" i="2"/>
  <c r="BI27" i="2"/>
  <c r="BI26" i="2"/>
  <c r="BI21" i="2"/>
  <c r="BI72" i="2"/>
  <c r="BI75" i="2"/>
  <c r="BI50" i="2"/>
  <c r="BI83" i="2"/>
  <c r="BI114" i="2"/>
  <c r="BI84" i="2"/>
  <c r="BI70" i="2"/>
  <c r="BI38" i="2"/>
  <c r="BI39" i="2"/>
  <c r="BI81" i="2"/>
  <c r="BI68" i="2"/>
  <c r="BI48" i="2"/>
  <c r="BI46" i="2"/>
  <c r="BI10" i="2"/>
  <c r="BI8" i="2"/>
  <c r="BI20" i="2"/>
  <c r="BI14" i="2"/>
  <c r="BI12" i="2"/>
  <c r="BI9" i="2"/>
  <c r="BI47" i="2"/>
  <c r="BI80" i="2"/>
  <c r="BI66" i="2"/>
  <c r="BI71" i="2"/>
  <c r="BI60" i="2"/>
  <c r="BI116" i="2"/>
  <c r="BI49" i="2"/>
  <c r="BI82" i="2"/>
  <c r="BI29" i="2"/>
  <c r="BI19" i="2"/>
  <c r="BI18" i="2"/>
  <c r="BI6" i="2"/>
  <c r="BI28" i="2"/>
  <c r="BI7" i="2"/>
  <c r="BI11" i="2"/>
  <c r="BI17" i="2"/>
  <c r="BI16" i="2"/>
</calcChain>
</file>

<file path=xl/sharedStrings.xml><?xml version="1.0" encoding="utf-8"?>
<sst xmlns="http://schemas.openxmlformats.org/spreadsheetml/2006/main" count="4891" uniqueCount="1285">
  <si>
    <t>Strategy Phase</t>
  </si>
  <si>
    <t>Type</t>
  </si>
  <si>
    <t>Campaign Category</t>
  </si>
  <si>
    <t>Date</t>
  </si>
  <si>
    <t>Model Variant</t>
  </si>
  <si>
    <t>Campaign Name</t>
  </si>
  <si>
    <t>Name</t>
  </si>
  <si>
    <t>Country</t>
  </si>
  <si>
    <t>Media Channel</t>
  </si>
  <si>
    <t>AE</t>
  </si>
  <si>
    <t>UAE</t>
  </si>
  <si>
    <t>AAF</t>
  </si>
  <si>
    <t>AFF</t>
  </si>
  <si>
    <t>Affiliate</t>
  </si>
  <si>
    <t>COMPR</t>
  </si>
  <si>
    <t>DL</t>
  </si>
  <si>
    <t>Dealer</t>
  </si>
  <si>
    <t>AS</t>
  </si>
  <si>
    <t>AFS</t>
  </si>
  <si>
    <t>AR</t>
  </si>
  <si>
    <t>Argentina</t>
  </si>
  <si>
    <t>IMC</t>
  </si>
  <si>
    <t>DSY</t>
  </si>
  <si>
    <t>Display</t>
  </si>
  <si>
    <t>LANCH</t>
  </si>
  <si>
    <t>Launch</t>
  </si>
  <si>
    <t>ND</t>
  </si>
  <si>
    <t>Non-Dealer</t>
  </si>
  <si>
    <t>ALS</t>
  </si>
  <si>
    <t>Atlas</t>
  </si>
  <si>
    <t>AU</t>
  </si>
  <si>
    <t>Australia</t>
  </si>
  <si>
    <t>TAT</t>
  </si>
  <si>
    <t>SEA</t>
  </si>
  <si>
    <t>Search</t>
  </si>
  <si>
    <t>MODNN</t>
  </si>
  <si>
    <t>NC</t>
  </si>
  <si>
    <t>ALT</t>
  </si>
  <si>
    <t>Alltrack</t>
  </si>
  <si>
    <t>BE</t>
  </si>
  <si>
    <t>Belgium</t>
  </si>
  <si>
    <t>SOC</t>
  </si>
  <si>
    <t>Social</t>
  </si>
  <si>
    <t>MTRSW</t>
  </si>
  <si>
    <t>UC</t>
  </si>
  <si>
    <t>AMK</t>
  </si>
  <si>
    <t>Amarok</t>
  </si>
  <si>
    <t>BR</t>
  </si>
  <si>
    <t>Brazil</t>
  </si>
  <si>
    <t>VID</t>
  </si>
  <si>
    <t>Video</t>
  </si>
  <si>
    <t>NONMS</t>
  </si>
  <si>
    <t>AMO</t>
  </si>
  <si>
    <t>Ameo</t>
  </si>
  <si>
    <t>CA</t>
  </si>
  <si>
    <t>Canada</t>
  </si>
  <si>
    <t>PRESA</t>
  </si>
  <si>
    <t>Pre-Sales</t>
  </si>
  <si>
    <t>AMV</t>
  </si>
  <si>
    <t>CH</t>
  </si>
  <si>
    <t>Switzerland</t>
  </si>
  <si>
    <t>RUNOT</t>
  </si>
  <si>
    <t>ATN</t>
  </si>
  <si>
    <t>Arteon</t>
  </si>
  <si>
    <t>CN</t>
  </si>
  <si>
    <t>China</t>
  </si>
  <si>
    <t>SUSTN</t>
  </si>
  <si>
    <t>Sustain</t>
  </si>
  <si>
    <t>BEE</t>
  </si>
  <si>
    <t>Beetle</t>
  </si>
  <si>
    <t>DE</t>
  </si>
  <si>
    <t>Germany</t>
  </si>
  <si>
    <t>BRO</t>
  </si>
  <si>
    <t>DK</t>
  </si>
  <si>
    <t>Denmark</t>
  </si>
  <si>
    <t>BSE</t>
  </si>
  <si>
    <t>B7</t>
  </si>
  <si>
    <t>ES</t>
  </si>
  <si>
    <t>Spain</t>
  </si>
  <si>
    <t>BTS</t>
  </si>
  <si>
    <t>Beats</t>
  </si>
  <si>
    <t>FR</t>
  </si>
  <si>
    <t>France</t>
  </si>
  <si>
    <t>CAB</t>
  </si>
  <si>
    <t>Cabriolet</t>
  </si>
  <si>
    <t>GB</t>
  </si>
  <si>
    <t>CAL</t>
  </si>
  <si>
    <t>California</t>
  </si>
  <si>
    <t>HK</t>
  </si>
  <si>
    <t>CAR</t>
  </si>
  <si>
    <t>Caravelle</t>
  </si>
  <si>
    <t>IE</t>
  </si>
  <si>
    <t>Ireland</t>
  </si>
  <si>
    <t>CCC</t>
  </si>
  <si>
    <t>CC</t>
  </si>
  <si>
    <t>IN</t>
  </si>
  <si>
    <t>India</t>
  </si>
  <si>
    <t>CCL</t>
  </si>
  <si>
    <t>IT</t>
  </si>
  <si>
    <t>Italy</t>
  </si>
  <si>
    <t>CDV</t>
  </si>
  <si>
    <t>JP</t>
  </si>
  <si>
    <t>Japan</t>
  </si>
  <si>
    <t>CDY</t>
  </si>
  <si>
    <t>Caddy</t>
  </si>
  <si>
    <t>KR</t>
  </si>
  <si>
    <t>Korea</t>
  </si>
  <si>
    <t>CPO</t>
  </si>
  <si>
    <t>MX</t>
  </si>
  <si>
    <t>Mexico</t>
  </si>
  <si>
    <t>CRA</t>
  </si>
  <si>
    <t>Crafter</t>
  </si>
  <si>
    <t>MY</t>
  </si>
  <si>
    <t>Malaysia</t>
  </si>
  <si>
    <t>CUP</t>
  </si>
  <si>
    <t>NL</t>
  </si>
  <si>
    <t>Netherlands</t>
  </si>
  <si>
    <t>DAD</t>
  </si>
  <si>
    <t>NO</t>
  </si>
  <si>
    <t>Norway</t>
  </si>
  <si>
    <t>DMA</t>
  </si>
  <si>
    <t>PL</t>
  </si>
  <si>
    <t>Poland</t>
  </si>
  <si>
    <t>DSA</t>
  </si>
  <si>
    <t>PT</t>
  </si>
  <si>
    <t>Portugal</t>
  </si>
  <si>
    <t>DWA</t>
  </si>
  <si>
    <t>RU</t>
  </si>
  <si>
    <t>Russia</t>
  </si>
  <si>
    <t>EDT</t>
  </si>
  <si>
    <t>Edition</t>
  </si>
  <si>
    <t>SE</t>
  </si>
  <si>
    <t>Sweden</t>
  </si>
  <si>
    <t>EGF</t>
  </si>
  <si>
    <t>E-Golf</t>
  </si>
  <si>
    <t>SG</t>
  </si>
  <si>
    <t>Singapore</t>
  </si>
  <si>
    <t>EUP</t>
  </si>
  <si>
    <t>E-Up!</t>
  </si>
  <si>
    <t>SK</t>
  </si>
  <si>
    <t>Slovakia</t>
  </si>
  <si>
    <t>EVS</t>
  </si>
  <si>
    <t>TW</t>
  </si>
  <si>
    <t>Taiwan</t>
  </si>
  <si>
    <t>FLT</t>
  </si>
  <si>
    <t>Fleet</t>
  </si>
  <si>
    <t>US</t>
  </si>
  <si>
    <t>FOX</t>
  </si>
  <si>
    <t>Fox</t>
  </si>
  <si>
    <t>ZA</t>
  </si>
  <si>
    <t>GLA</t>
  </si>
  <si>
    <t>GLF</t>
  </si>
  <si>
    <t>Golf</t>
  </si>
  <si>
    <t>GLG</t>
  </si>
  <si>
    <t>GLR</t>
  </si>
  <si>
    <t>GLW</t>
  </si>
  <si>
    <t>GOL</t>
  </si>
  <si>
    <t>Gol</t>
  </si>
  <si>
    <t>GTE</t>
  </si>
  <si>
    <t>GTI</t>
  </si>
  <si>
    <t>HCD</t>
  </si>
  <si>
    <t>HYB</t>
  </si>
  <si>
    <t>Hybrid</t>
  </si>
  <si>
    <t>IDC</t>
  </si>
  <si>
    <t>IDI</t>
  </si>
  <si>
    <t>ID</t>
  </si>
  <si>
    <t>IMG</t>
  </si>
  <si>
    <t>Image</t>
  </si>
  <si>
    <t>INC</t>
  </si>
  <si>
    <t>IST</t>
  </si>
  <si>
    <t>Institutional</t>
  </si>
  <si>
    <t>JET</t>
  </si>
  <si>
    <t>Jetta</t>
  </si>
  <si>
    <t>LAV</t>
  </si>
  <si>
    <t>Lavida</t>
  </si>
  <si>
    <t>MLV</t>
  </si>
  <si>
    <t>Multivan</t>
  </si>
  <si>
    <t>NMC</t>
  </si>
  <si>
    <t>OTH</t>
  </si>
  <si>
    <t>Other</t>
  </si>
  <si>
    <t>PAS</t>
  </si>
  <si>
    <t>PFM</t>
  </si>
  <si>
    <t>Performance</t>
  </si>
  <si>
    <t>PHT</t>
  </si>
  <si>
    <t>Phaeton</t>
  </si>
  <si>
    <t>POG</t>
  </si>
  <si>
    <t>POL</t>
  </si>
  <si>
    <t>Polo</t>
  </si>
  <si>
    <t>PRR</t>
  </si>
  <si>
    <t>PR</t>
  </si>
  <si>
    <t>PSA</t>
  </si>
  <si>
    <t>PST</t>
  </si>
  <si>
    <t>Passat</t>
  </si>
  <si>
    <t>PSW</t>
  </si>
  <si>
    <t>RBT</t>
  </si>
  <si>
    <t>RNG</t>
  </si>
  <si>
    <t>Range</t>
  </si>
  <si>
    <t>RRR</t>
  </si>
  <si>
    <t>R</t>
  </si>
  <si>
    <t>SAV</t>
  </si>
  <si>
    <t>Saveiro</t>
  </si>
  <si>
    <t>SBC</t>
  </si>
  <si>
    <t>SBUC</t>
  </si>
  <si>
    <t>SBE</t>
  </si>
  <si>
    <t>SBUE</t>
  </si>
  <si>
    <t>SBN</t>
  </si>
  <si>
    <t>SBUN</t>
  </si>
  <si>
    <t>SBS</t>
  </si>
  <si>
    <t>SBUS</t>
  </si>
  <si>
    <t>SBW</t>
  </si>
  <si>
    <t>SBUW</t>
  </si>
  <si>
    <t>SCR</t>
  </si>
  <si>
    <t>Scirocco</t>
  </si>
  <si>
    <t>SED</t>
  </si>
  <si>
    <t>Sedan</t>
  </si>
  <si>
    <t>SEV</t>
  </si>
  <si>
    <t>SHR</t>
  </si>
  <si>
    <t>Sharan</t>
  </si>
  <si>
    <t>SNT</t>
  </si>
  <si>
    <t>Santana</t>
  </si>
  <si>
    <t>SUR</t>
  </si>
  <si>
    <t>Suran</t>
  </si>
  <si>
    <t>SVC</t>
  </si>
  <si>
    <t>Service</t>
  </si>
  <si>
    <t>SWG</t>
  </si>
  <si>
    <t>Sportwagen</t>
  </si>
  <si>
    <t>TCC</t>
  </si>
  <si>
    <t>TCR</t>
  </si>
  <si>
    <t>T-Cross</t>
  </si>
  <si>
    <t>TER</t>
  </si>
  <si>
    <t>Teramont</t>
  </si>
  <si>
    <t>THB</t>
  </si>
  <si>
    <t>TIG</t>
  </si>
  <si>
    <t>Tiguan</t>
  </si>
  <si>
    <t>TRC</t>
  </si>
  <si>
    <t>T-Roc</t>
  </si>
  <si>
    <t>TRG</t>
  </si>
  <si>
    <t>Touareg</t>
  </si>
  <si>
    <t>TRN</t>
  </si>
  <si>
    <t>Touran</t>
  </si>
  <si>
    <t>TSP</t>
  </si>
  <si>
    <t>Transporter</t>
  </si>
  <si>
    <t>UPP</t>
  </si>
  <si>
    <t>Up!</t>
  </si>
  <si>
    <t>VAR</t>
  </si>
  <si>
    <t>Variant</t>
  </si>
  <si>
    <t>VIV</t>
  </si>
  <si>
    <t>Vivo</t>
  </si>
  <si>
    <t>VNT</t>
  </si>
  <si>
    <t>Vento</t>
  </si>
  <si>
    <t>VOY</t>
  </si>
  <si>
    <t>Voyage</t>
  </si>
  <si>
    <t>VWB</t>
  </si>
  <si>
    <t>WRC</t>
  </si>
  <si>
    <t>*Ação</t>
  </si>
  <si>
    <t>*Data_Inicial</t>
  </si>
  <si>
    <t>*Data_Final</t>
  </si>
  <si>
    <t>Veiculo</t>
  </si>
  <si>
    <t>Canal</t>
  </si>
  <si>
    <t>Device</t>
  </si>
  <si>
    <t>Size</t>
  </si>
  <si>
    <t>*Impressões/cliques_Período</t>
  </si>
  <si>
    <t>*Cliques_Período</t>
  </si>
  <si>
    <t>Custo_Unitário_Liquido</t>
  </si>
  <si>
    <t>*Valor_Negociado_Total</t>
  </si>
  <si>
    <t>utm_source</t>
  </si>
  <si>
    <t>utm_medium</t>
  </si>
  <si>
    <t>utm_campaign</t>
  </si>
  <si>
    <t>utm_content</t>
  </si>
  <si>
    <t>keyword</t>
  </si>
  <si>
    <t>Brand</t>
  </si>
  <si>
    <t>Model</t>
  </si>
  <si>
    <t>VW</t>
  </si>
  <si>
    <t>Volkswagen</t>
  </si>
  <si>
    <t>CPA</t>
  </si>
  <si>
    <t>DRCT</t>
  </si>
  <si>
    <t>Direct</t>
  </si>
  <si>
    <t>ALL</t>
  </si>
  <si>
    <t>All</t>
  </si>
  <si>
    <t>AV</t>
  </si>
  <si>
    <t>HTO</t>
  </si>
  <si>
    <t>DGA</t>
  </si>
  <si>
    <t>1X1</t>
  </si>
  <si>
    <t>LDR</t>
  </si>
  <si>
    <t>Leaderboard</t>
  </si>
  <si>
    <t>CPC</t>
  </si>
  <si>
    <t>PROG</t>
  </si>
  <si>
    <t>Programmatic</t>
  </si>
  <si>
    <t>BRD</t>
  </si>
  <si>
    <t>DSK</t>
  </si>
  <si>
    <t>DC</t>
  </si>
  <si>
    <t>OTR</t>
  </si>
  <si>
    <t>DIS</t>
  </si>
  <si>
    <t>CAI</t>
  </si>
  <si>
    <t>MBR</t>
  </si>
  <si>
    <t>CPM</t>
  </si>
  <si>
    <t>TCT</t>
  </si>
  <si>
    <t>Tactical</t>
  </si>
  <si>
    <t>MOB</t>
  </si>
  <si>
    <t>MG</t>
  </si>
  <si>
    <t>RON</t>
  </si>
  <si>
    <t>CLK</t>
  </si>
  <si>
    <t>Click</t>
  </si>
  <si>
    <t>MMP</t>
  </si>
  <si>
    <t>CPV</t>
  </si>
  <si>
    <t>TAB</t>
  </si>
  <si>
    <t>PD</t>
  </si>
  <si>
    <t>Paid</t>
  </si>
  <si>
    <t>ROS</t>
  </si>
  <si>
    <t>IMP</t>
  </si>
  <si>
    <t>Impression</t>
  </si>
  <si>
    <t>MPU</t>
  </si>
  <si>
    <t>MXD</t>
  </si>
  <si>
    <t>Mixed</t>
  </si>
  <si>
    <t>SPR</t>
  </si>
  <si>
    <t>Sponsorship</t>
  </si>
  <si>
    <t>STD</t>
  </si>
  <si>
    <t>Standard</t>
  </si>
  <si>
    <t>SKY</t>
  </si>
  <si>
    <t>Skyscraper</t>
  </si>
  <si>
    <t>TPE</t>
  </si>
  <si>
    <t>SRB</t>
  </si>
  <si>
    <t>EGL</t>
  </si>
  <si>
    <t>Plannig Principle</t>
  </si>
  <si>
    <t>Placement Name</t>
  </si>
  <si>
    <t>Site</t>
  </si>
  <si>
    <t>4x4-brasil</t>
  </si>
  <si>
    <t>agrishow</t>
  </si>
  <si>
    <t>aol</t>
  </si>
  <si>
    <t>auto-esporte</t>
  </si>
  <si>
    <t>auto-informe</t>
  </si>
  <si>
    <t>autopapo</t>
  </si>
  <si>
    <t>autopista</t>
  </si>
  <si>
    <t>buzzfeed</t>
  </si>
  <si>
    <t>campinas.com.br</t>
  </si>
  <si>
    <t>canaltech-auto</t>
  </si>
  <si>
    <t>cazamba</t>
  </si>
  <si>
    <t>cinemad</t>
  </si>
  <si>
    <t>cm</t>
  </si>
  <si>
    <t>comprecar</t>
  </si>
  <si>
    <t>decolar</t>
  </si>
  <si>
    <t>epoca</t>
  </si>
  <si>
    <t>estadao</t>
  </si>
  <si>
    <t>facebook</t>
  </si>
  <si>
    <t>faceinsta</t>
  </si>
  <si>
    <t>fullpower</t>
  </si>
  <si>
    <t>gdn</t>
  </si>
  <si>
    <t>gdn-youtube</t>
  </si>
  <si>
    <t>globo</t>
  </si>
  <si>
    <t>google</t>
  </si>
  <si>
    <t>hands</t>
  </si>
  <si>
    <t>huffpost</t>
  </si>
  <si>
    <t>icarros</t>
  </si>
  <si>
    <t>inloco</t>
  </si>
  <si>
    <t>instagram</t>
  </si>
  <si>
    <t>linkedin</t>
  </si>
  <si>
    <t>logan</t>
  </si>
  <si>
    <t>msn</t>
  </si>
  <si>
    <t>oath</t>
  </si>
  <si>
    <t>olx</t>
  </si>
  <si>
    <t>opera</t>
  </si>
  <si>
    <t>outlook</t>
  </si>
  <si>
    <t>planeta-offroad</t>
  </si>
  <si>
    <t>psafe</t>
  </si>
  <si>
    <t>r7</t>
  </si>
  <si>
    <t>sindloc</t>
  </si>
  <si>
    <t>spotify</t>
  </si>
  <si>
    <t>teads</t>
  </si>
  <si>
    <t>terra</t>
  </si>
  <si>
    <t>tvxtender</t>
  </si>
  <si>
    <t>twitter</t>
  </si>
  <si>
    <t>uol</t>
  </si>
  <si>
    <t>veja-exame</t>
  </si>
  <si>
    <t>waze</t>
  </si>
  <si>
    <t>webmotors</t>
  </si>
  <si>
    <t>wetransfer</t>
  </si>
  <si>
    <t>yahoo</t>
  </si>
  <si>
    <t>youtube</t>
  </si>
  <si>
    <t>1000x100</t>
  </si>
  <si>
    <t>video</t>
  </si>
  <si>
    <t>1000x250</t>
  </si>
  <si>
    <t>1000x300</t>
  </si>
  <si>
    <t>1000x600</t>
  </si>
  <si>
    <t>100x100</t>
  </si>
  <si>
    <t>100x13</t>
  </si>
  <si>
    <t>1024x768</t>
  </si>
  <si>
    <t>1050x250</t>
  </si>
  <si>
    <t>1080x1080</t>
  </si>
  <si>
    <t>1100x140</t>
  </si>
  <si>
    <t>1100x600</t>
  </si>
  <si>
    <t>1122x215</t>
  </si>
  <si>
    <t>1160x300</t>
  </si>
  <si>
    <t>1190x330</t>
  </si>
  <si>
    <t>1200x627</t>
  </si>
  <si>
    <t>1200x628</t>
  </si>
  <si>
    <t>1200x675</t>
  </si>
  <si>
    <t>1200x800</t>
  </si>
  <si>
    <t>120x120</t>
  </si>
  <si>
    <t>120x225</t>
  </si>
  <si>
    <t>120x240</t>
  </si>
  <si>
    <t>120x245</t>
  </si>
  <si>
    <t>120x60</t>
  </si>
  <si>
    <t>120x600</t>
  </si>
  <si>
    <t>120x90</t>
  </si>
  <si>
    <t>1280x752</t>
  </si>
  <si>
    <t>130x186</t>
  </si>
  <si>
    <t>135x102</t>
  </si>
  <si>
    <t>150x150</t>
  </si>
  <si>
    <t>152x112</t>
  </si>
  <si>
    <t>160x150</t>
  </si>
  <si>
    <t>160x185</t>
  </si>
  <si>
    <t>160x300</t>
  </si>
  <si>
    <t>160x600</t>
  </si>
  <si>
    <t>180x150</t>
  </si>
  <si>
    <t>1x1</t>
  </si>
  <si>
    <t>200x120</t>
  </si>
  <si>
    <t>200x200</t>
  </si>
  <si>
    <t>230x350</t>
  </si>
  <si>
    <t>234x60</t>
  </si>
  <si>
    <t>240x240</t>
  </si>
  <si>
    <t>240x400</t>
  </si>
  <si>
    <t>240x600</t>
  </si>
  <si>
    <t>250x250</t>
  </si>
  <si>
    <t>250x360</t>
  </si>
  <si>
    <t>250x600</t>
  </si>
  <si>
    <t>260x260</t>
  </si>
  <si>
    <t>278x95</t>
  </si>
  <si>
    <t>280x80</t>
  </si>
  <si>
    <t>300x100</t>
  </si>
  <si>
    <t>300x1000</t>
  </si>
  <si>
    <t>300x1050</t>
  </si>
  <si>
    <t>300x130</t>
  </si>
  <si>
    <t>300x150</t>
  </si>
  <si>
    <t>300x250</t>
  </si>
  <si>
    <t>300x300</t>
  </si>
  <si>
    <t>300x395</t>
  </si>
  <si>
    <t>300x400</t>
  </si>
  <si>
    <t>300x443</t>
  </si>
  <si>
    <t>300x460</t>
  </si>
  <si>
    <t>300x50</t>
  </si>
  <si>
    <t>300x520</t>
  </si>
  <si>
    <t>300x60</t>
  </si>
  <si>
    <t>300x600</t>
  </si>
  <si>
    <t>300x75</t>
  </si>
  <si>
    <t>300x800</t>
  </si>
  <si>
    <t>300x815</t>
  </si>
  <si>
    <t>300x90</t>
  </si>
  <si>
    <t>300x926</t>
  </si>
  <si>
    <t>320x100</t>
  </si>
  <si>
    <t>320x160</t>
  </si>
  <si>
    <t>320x165</t>
  </si>
  <si>
    <t>320x176</t>
  </si>
  <si>
    <t>320x250</t>
  </si>
  <si>
    <t>320x260</t>
  </si>
  <si>
    <t>320x265</t>
  </si>
  <si>
    <t>320x320</t>
  </si>
  <si>
    <t>320x480</t>
  </si>
  <si>
    <t>320x50</t>
  </si>
  <si>
    <t>320x568</t>
  </si>
  <si>
    <t>320x600</t>
  </si>
  <si>
    <t>320x70</t>
  </si>
  <si>
    <t>336x280</t>
  </si>
  <si>
    <t>336x400</t>
  </si>
  <si>
    <t>336x50</t>
  </si>
  <si>
    <t>336x600</t>
  </si>
  <si>
    <t>348x208</t>
  </si>
  <si>
    <t>360x640</t>
  </si>
  <si>
    <t>400x300</t>
  </si>
  <si>
    <t>430x343</t>
  </si>
  <si>
    <t>450x75</t>
  </si>
  <si>
    <t>460x175</t>
  </si>
  <si>
    <t>468x60</t>
  </si>
  <si>
    <t>475x300</t>
  </si>
  <si>
    <t>480x320</t>
  </si>
  <si>
    <t>480x70</t>
  </si>
  <si>
    <t>500x100</t>
  </si>
  <si>
    <t>525x80</t>
  </si>
  <si>
    <t>530x300</t>
  </si>
  <si>
    <t>540x544</t>
  </si>
  <si>
    <t>550x100</t>
  </si>
  <si>
    <t>550x220</t>
  </si>
  <si>
    <t>550x480</t>
  </si>
  <si>
    <t>550x90</t>
  </si>
  <si>
    <t>553x220</t>
  </si>
  <si>
    <t>555x240</t>
  </si>
  <si>
    <t>560x400</t>
  </si>
  <si>
    <t>578x60</t>
  </si>
  <si>
    <t>580x220</t>
  </si>
  <si>
    <t>590x147</t>
  </si>
  <si>
    <t>590x250</t>
  </si>
  <si>
    <t>600x100</t>
  </si>
  <si>
    <t>600x125</t>
  </si>
  <si>
    <t>600x150</t>
  </si>
  <si>
    <t>600x195</t>
  </si>
  <si>
    <t>600x200</t>
  </si>
  <si>
    <t>600x220</t>
  </si>
  <si>
    <t>600x250</t>
  </si>
  <si>
    <t>600x300</t>
  </si>
  <si>
    <t>600x335</t>
  </si>
  <si>
    <t>600x500</t>
  </si>
  <si>
    <t>600x80</t>
  </si>
  <si>
    <t>600x90</t>
  </si>
  <si>
    <t>608x220</t>
  </si>
  <si>
    <t>608x240</t>
  </si>
  <si>
    <t>610x220</t>
  </si>
  <si>
    <t>610x240</t>
  </si>
  <si>
    <t>610x270</t>
  </si>
  <si>
    <t>620x200</t>
  </si>
  <si>
    <t>620x250</t>
  </si>
  <si>
    <t>620x90</t>
  </si>
  <si>
    <t>630x180</t>
  </si>
  <si>
    <t>630x220</t>
  </si>
  <si>
    <t>630x242</t>
  </si>
  <si>
    <t>630x500</t>
  </si>
  <si>
    <t>635x210</t>
  </si>
  <si>
    <t>640x107</t>
  </si>
  <si>
    <t>640x200</t>
  </si>
  <si>
    <t>640x220</t>
  </si>
  <si>
    <t>640x250</t>
  </si>
  <si>
    <t>640x300</t>
  </si>
  <si>
    <t>640x332</t>
  </si>
  <si>
    <t>640x360</t>
  </si>
  <si>
    <t>640x480</t>
  </si>
  <si>
    <t>640x90</t>
  </si>
  <si>
    <t>640x960</t>
  </si>
  <si>
    <t>643x200</t>
  </si>
  <si>
    <t>643x220</t>
  </si>
  <si>
    <t>645x120</t>
  </si>
  <si>
    <t>645x75</t>
  </si>
  <si>
    <t>646x193</t>
  </si>
  <si>
    <t>648x140</t>
  </si>
  <si>
    <t>650x1100</t>
  </si>
  <si>
    <t>650x140</t>
  </si>
  <si>
    <t>650x200</t>
  </si>
  <si>
    <t>650x220</t>
  </si>
  <si>
    <t>650x240</t>
  </si>
  <si>
    <t>650x650</t>
  </si>
  <si>
    <t>652x200</t>
  </si>
  <si>
    <t>660x200</t>
  </si>
  <si>
    <t>660x230</t>
  </si>
  <si>
    <t>660x300</t>
  </si>
  <si>
    <t>660x370</t>
  </si>
  <si>
    <t>660x500</t>
  </si>
  <si>
    <t>670x200</t>
  </si>
  <si>
    <t>680x100</t>
  </si>
  <si>
    <t>680x220</t>
  </si>
  <si>
    <t>680x230</t>
  </si>
  <si>
    <t>680x360</t>
  </si>
  <si>
    <t>690x200</t>
  </si>
  <si>
    <t>690x380</t>
  </si>
  <si>
    <t>690x80</t>
  </si>
  <si>
    <t>695x200</t>
  </si>
  <si>
    <t>700x100</t>
  </si>
  <si>
    <t>700x150</t>
  </si>
  <si>
    <t>700x300</t>
  </si>
  <si>
    <t>700x40</t>
  </si>
  <si>
    <t>700x60</t>
  </si>
  <si>
    <t>710x95</t>
  </si>
  <si>
    <t>720x190</t>
  </si>
  <si>
    <t>720x300</t>
  </si>
  <si>
    <t>720x480</t>
  </si>
  <si>
    <t>720x540</t>
  </si>
  <si>
    <t>728x175</t>
  </si>
  <si>
    <t>728x195</t>
  </si>
  <si>
    <t>728x250</t>
  </si>
  <si>
    <t>728x280</t>
  </si>
  <si>
    <t>728x300</t>
  </si>
  <si>
    <t>728x600</t>
  </si>
  <si>
    <t>728x90</t>
  </si>
  <si>
    <t>730x100-1000x600</t>
  </si>
  <si>
    <t>730x50</t>
  </si>
  <si>
    <t>730x510</t>
  </si>
  <si>
    <t>735x180</t>
  </si>
  <si>
    <t>735x250</t>
  </si>
  <si>
    <t>744x666</t>
  </si>
  <si>
    <t>750x200</t>
  </si>
  <si>
    <t>750x280</t>
  </si>
  <si>
    <t>768x1024</t>
  </si>
  <si>
    <t>788x240</t>
  </si>
  <si>
    <t>800x120</t>
  </si>
  <si>
    <t>800x250</t>
  </si>
  <si>
    <t>800x300</t>
  </si>
  <si>
    <t>800x400</t>
  </si>
  <si>
    <t>800x418</t>
  </si>
  <si>
    <t>800x573</t>
  </si>
  <si>
    <t>800x600</t>
  </si>
  <si>
    <t>80x80</t>
  </si>
  <si>
    <t>820x385</t>
  </si>
  <si>
    <t>830x500</t>
  </si>
  <si>
    <t>840x150</t>
  </si>
  <si>
    <t>840x180</t>
  </si>
  <si>
    <t>850x175</t>
  </si>
  <si>
    <t>850x290</t>
  </si>
  <si>
    <t>870x250</t>
  </si>
  <si>
    <t>88x31</t>
  </si>
  <si>
    <t>900x600</t>
  </si>
  <si>
    <t>920x135</t>
  </si>
  <si>
    <t>930x120</t>
  </si>
  <si>
    <t>930x180</t>
  </si>
  <si>
    <t>930x95</t>
  </si>
  <si>
    <t>950x90</t>
  </si>
  <si>
    <t>960x1440</t>
  </si>
  <si>
    <t>960x150</t>
  </si>
  <si>
    <t>970x125</t>
  </si>
  <si>
    <t>970x150</t>
  </si>
  <si>
    <t>970x180</t>
  </si>
  <si>
    <t>970x250</t>
  </si>
  <si>
    <t>970x300</t>
  </si>
  <si>
    <t>970x500</t>
  </si>
  <si>
    <t>970x600</t>
  </si>
  <si>
    <t>970x90</t>
  </si>
  <si>
    <t>980x120</t>
  </si>
  <si>
    <t>980x240</t>
  </si>
  <si>
    <t>980x250</t>
  </si>
  <si>
    <t>988x60</t>
  </si>
  <si>
    <t>booking-bubble</t>
  </si>
  <si>
    <t>compare-to</t>
  </si>
  <si>
    <t>core</t>
  </si>
  <si>
    <t>featured-results</t>
  </si>
  <si>
    <t>front-door-check</t>
  </si>
  <si>
    <t>front-door-uncheck</t>
  </si>
  <si>
    <t>fullscreen</t>
  </si>
  <si>
    <t>in-line</t>
  </si>
  <si>
    <t>meta-search</t>
  </si>
  <si>
    <t>nativeads</t>
  </si>
  <si>
    <t>pagepost</t>
  </si>
  <si>
    <t>portal</t>
  </si>
  <si>
    <t>adserver-rotacionar</t>
  </si>
  <si>
    <t>adserver-única</t>
  </si>
  <si>
    <t>sem-adserver</t>
  </si>
  <si>
    <t>Awareness-Familiarity</t>
  </si>
  <si>
    <t>Trigger-Tactical</t>
  </si>
  <si>
    <t>Buying-Metric</t>
  </si>
  <si>
    <t>Buying-Type</t>
  </si>
  <si>
    <t>Campaign-Category</t>
  </si>
  <si>
    <t>Campaign-Type</t>
  </si>
  <si>
    <t>Media-Channel</t>
  </si>
  <si>
    <t>Model-Variant</t>
  </si>
  <si>
    <t>Paid-vs-AV</t>
  </si>
  <si>
    <t>Planning-Principle</t>
  </si>
  <si>
    <t>Servido-Por</t>
  </si>
  <si>
    <t>Site-Section</t>
  </si>
  <si>
    <t>Strategy-Phase</t>
  </si>
  <si>
    <t>Sub-Media-Channel</t>
  </si>
  <si>
    <t>Tracking-Type</t>
  </si>
  <si>
    <t>Unit-Name</t>
  </si>
  <si>
    <t>After-Sales</t>
  </si>
  <si>
    <t>Added-Value</t>
  </si>
  <si>
    <t>Homepage-Takeover</t>
  </si>
  <si>
    <t>Competitor-Response</t>
  </si>
  <si>
    <t>Digital-Audio</t>
  </si>
  <si>
    <t>Delete-&amp;-Charge</t>
  </si>
  <si>
    <t>In-Market-Consideration</t>
  </si>
  <si>
    <t>Paid-Display</t>
  </si>
  <si>
    <t>Click-&amp;-Impression</t>
  </si>
  <si>
    <t>Mobile-Banner</t>
  </si>
  <si>
    <t>New-Car</t>
  </si>
  <si>
    <t>Make-Good</t>
  </si>
  <si>
    <t>Run-of-Network</t>
  </si>
  <si>
    <t>Model-New-News</t>
  </si>
  <si>
    <t>Paid-Mobile</t>
  </si>
  <si>
    <t>Mobile-MPU</t>
  </si>
  <si>
    <t>Used-Car</t>
  </si>
  <si>
    <t>Run-of-Site</t>
  </si>
  <si>
    <t>Motor-Show</t>
  </si>
  <si>
    <t>Other-(Online)</t>
  </si>
  <si>
    <t>Non-Model-Specific</t>
  </si>
  <si>
    <t>Paid-Search</t>
  </si>
  <si>
    <t>Amarok-V6</t>
  </si>
  <si>
    <t>Paid-Social</t>
  </si>
  <si>
    <t>Run-Out</t>
  </si>
  <si>
    <t>3rd-Party-Engagement</t>
  </si>
  <si>
    <t>Standard-Roadblock</t>
  </si>
  <si>
    <t>Branch-Opening</t>
  </si>
  <si>
    <t>C-Class</t>
  </si>
  <si>
    <t>United-Kingdom</t>
  </si>
  <si>
    <t>Dealers-Advertisement</t>
  </si>
  <si>
    <t>Hong-Kong</t>
  </si>
  <si>
    <t>Golf-Alltrack</t>
  </si>
  <si>
    <t>Caddy-Van</t>
  </si>
  <si>
    <t>ID-Crozz</t>
  </si>
  <si>
    <t>Certified-Pre-Owned</t>
  </si>
  <si>
    <t>Cross-Up!</t>
  </si>
  <si>
    <t>Dealer-Marketing-Association</t>
  </si>
  <si>
    <t>Das-Auto</t>
  </si>
  <si>
    <t>Das-WeltAuto</t>
  </si>
  <si>
    <t>Passat-Alltrack</t>
  </si>
  <si>
    <t>Events-Sponsorship</t>
  </si>
  <si>
    <t>United-States</t>
  </si>
  <si>
    <t>South-Africa</t>
  </si>
  <si>
    <t>Golf-GTI</t>
  </si>
  <si>
    <t>Golf-R</t>
  </si>
  <si>
    <t>Golf-Wagon</t>
  </si>
  <si>
    <t>dinheiro-rural</t>
  </si>
  <si>
    <t>editora-globo</t>
  </si>
  <si>
    <t>Hatchback-CKD</t>
  </si>
  <si>
    <t>folha-de-sao-paulo</t>
  </si>
  <si>
    <t>Innovation-Campaign</t>
  </si>
  <si>
    <t>VW-Brand</t>
  </si>
  <si>
    <t>Parts-and-Service</t>
  </si>
  <si>
    <t>Polo-GTI</t>
  </si>
  <si>
    <t>Passat-Wagon</t>
  </si>
  <si>
    <t>ReBuild-Trust</t>
  </si>
  <si>
    <t>Sales-Event</t>
  </si>
  <si>
    <t>Transporter-Cab-Chassis</t>
  </si>
  <si>
    <t>Think-Blue</t>
  </si>
  <si>
    <t>scroller-square-</t>
  </si>
  <si>
    <t>scroller-landscape-</t>
  </si>
  <si>
    <t>carrossel-landscape-</t>
  </si>
  <si>
    <t>País</t>
  </si>
  <si>
    <t>Agrupamento da campanha, 3 grandes grupos de acordo com a estratégia. Pensem no objetivo e como ativam no usuário para fazer a classificaçaão</t>
  </si>
  <si>
    <t>Agrupamento de canais de midia. Video é apenas para plataforma de video, Teads e youtube por exemplo, entrega de video em facebook/instagram eles consideram como social</t>
  </si>
  <si>
    <t xml:space="preserve">Estrategia dessa campanha, para campanhas de always on podem usar Non Model Specific </t>
  </si>
  <si>
    <t>Aqui para indicar se é campanha de Dealers, no nosso caso em geral vai ser non-Dealer</t>
  </si>
  <si>
    <t>Definição de qual foco iremos ter na campanha, carros novos ou pós-venda é o nosso foco em geral</t>
  </si>
  <si>
    <t>Data de início da campanha. Para campanhas que rodam o ano inteiro pode ser quando subiu a estrutura no adserver</t>
  </si>
  <si>
    <t>modelo da campanha, quando não tiver apenas um modelo indicar como Range</t>
  </si>
  <si>
    <t>campo disponível para preencher com alguma outra info, tipo walk-around. NÃO USAR "_"</t>
  </si>
  <si>
    <t>Mpu</t>
  </si>
  <si>
    <t>Automatico</t>
  </si>
  <si>
    <t>Segmentação</t>
  </si>
  <si>
    <t>url</t>
  </si>
  <si>
    <t>%epid!_%ecid!_%eaid!</t>
  </si>
  <si>
    <t>Contadores</t>
  </si>
  <si>
    <t>627x627</t>
  </si>
  <si>
    <t>1080x1920</t>
  </si>
  <si>
    <t>1440x960</t>
  </si>
  <si>
    <t>900x750</t>
  </si>
  <si>
    <t>432x432</t>
  </si>
  <si>
    <t>LeadAD</t>
  </si>
  <si>
    <t>Stories</t>
  </si>
  <si>
    <t>Sequency-Stories</t>
  </si>
  <si>
    <t>BumperAD</t>
  </si>
  <si>
    <t>TrueView</t>
  </si>
  <si>
    <t>600x600</t>
  </si>
  <si>
    <t>2020-01-Jan</t>
  </si>
  <si>
    <t>2020Q1JAN</t>
  </si>
  <si>
    <t>2020-02-Feb</t>
  </si>
  <si>
    <t>2020Q1FEB</t>
  </si>
  <si>
    <t>2020-03-Mar</t>
  </si>
  <si>
    <t>2020Q1MAR</t>
  </si>
  <si>
    <t>2020-04-Apr</t>
  </si>
  <si>
    <t>2020Q2APR</t>
  </si>
  <si>
    <t>2020-05-May</t>
  </si>
  <si>
    <t>2020Q2MAY</t>
  </si>
  <si>
    <t>2020-06-Jun</t>
  </si>
  <si>
    <t>2020Q2JUN</t>
  </si>
  <si>
    <t>2020-07-Jul</t>
  </si>
  <si>
    <t>2020Q3JUL</t>
  </si>
  <si>
    <t>2020-08-Aug</t>
  </si>
  <si>
    <t>2020Q3AUG</t>
  </si>
  <si>
    <t>2020-09-Sep</t>
  </si>
  <si>
    <t>2020Q3SEP</t>
  </si>
  <si>
    <t>2020-10-Oct</t>
  </si>
  <si>
    <t>2020Q4OCT</t>
  </si>
  <si>
    <t>2020-11-Nov</t>
  </si>
  <si>
    <t>2020Q4NOV</t>
  </si>
  <si>
    <t>2020-12-Dec</t>
  </si>
  <si>
    <t>2020Q4DEC</t>
  </si>
  <si>
    <t>adchan</t>
  </si>
  <si>
    <t>campaign</t>
  </si>
  <si>
    <t>adgroup</t>
  </si>
  <si>
    <t>publisher</t>
  </si>
  <si>
    <t>adpl</t>
  </si>
  <si>
    <t>country</t>
  </si>
  <si>
    <t>language</t>
  </si>
  <si>
    <t>Publish</t>
  </si>
  <si>
    <t>adcr</t>
  </si>
  <si>
    <t>seatype</t>
  </si>
  <si>
    <t>adlid</t>
  </si>
  <si>
    <t>adpay</t>
  </si>
  <si>
    <t>adap</t>
  </si>
  <si>
    <t>admt</t>
  </si>
  <si>
    <t>adplt</t>
  </si>
  <si>
    <t>format</t>
  </si>
  <si>
    <t>no</t>
  </si>
  <si>
    <t>Parametrização</t>
  </si>
  <si>
    <t>GA</t>
  </si>
  <si>
    <t>ADOBE</t>
  </si>
  <si>
    <t>SA360</t>
  </si>
  <si>
    <t>GoogleAds</t>
  </si>
  <si>
    <t>ID's</t>
  </si>
  <si>
    <t>2021-01-Jan</t>
  </si>
  <si>
    <t>2021Q1JAN</t>
  </si>
  <si>
    <t>2021-02-Feb</t>
  </si>
  <si>
    <t>2021Q1FEB</t>
  </si>
  <si>
    <t>2021-03-Mar</t>
  </si>
  <si>
    <t>2021Q1MAR</t>
  </si>
  <si>
    <t>2021-04-Apr</t>
  </si>
  <si>
    <t>2021Q2APR</t>
  </si>
  <si>
    <t>2021-05-May</t>
  </si>
  <si>
    <t>2021Q2MAY</t>
  </si>
  <si>
    <t>2021-06-Jun</t>
  </si>
  <si>
    <t>2021Q2JUN</t>
  </si>
  <si>
    <t>2021-07-Jul</t>
  </si>
  <si>
    <t>2021Q3JUL</t>
  </si>
  <si>
    <t>2021-08-Aug</t>
  </si>
  <si>
    <t>2021Q3AUG</t>
  </si>
  <si>
    <t>2021-09-Sep</t>
  </si>
  <si>
    <t>2021Q3SEP</t>
  </si>
  <si>
    <t>2021-10-Oct</t>
  </si>
  <si>
    <t>2021Q4OCT</t>
  </si>
  <si>
    <t>2021-11-Nov</t>
  </si>
  <si>
    <t>2021Q4NOV</t>
  </si>
  <si>
    <t>2021-12-Dec</t>
  </si>
  <si>
    <t>2021Q4DEC</t>
  </si>
  <si>
    <t>ID Campaign</t>
  </si>
  <si>
    <t>ID Campaign Name</t>
  </si>
  <si>
    <t>abreviar em 3 caracteres o campaign name EX: BDC</t>
  </si>
  <si>
    <t>0120</t>
  </si>
  <si>
    <t>0220</t>
  </si>
  <si>
    <t>0320</t>
  </si>
  <si>
    <t>0420</t>
  </si>
  <si>
    <t>0520</t>
  </si>
  <si>
    <t>0620</t>
  </si>
  <si>
    <t>0720</t>
  </si>
  <si>
    <t>0820</t>
  </si>
  <si>
    <t>0920</t>
  </si>
  <si>
    <t>1020</t>
  </si>
  <si>
    <t>1120</t>
  </si>
  <si>
    <t>1220</t>
  </si>
  <si>
    <t>0121</t>
  </si>
  <si>
    <t>0221</t>
  </si>
  <si>
    <t>0321</t>
  </si>
  <si>
    <t>0421</t>
  </si>
  <si>
    <t>0521</t>
  </si>
  <si>
    <t>0621</t>
  </si>
  <si>
    <t>0721</t>
  </si>
  <si>
    <t>0821</t>
  </si>
  <si>
    <t>0921</t>
  </si>
  <si>
    <t>1021</t>
  </si>
  <si>
    <t>1121</t>
  </si>
  <si>
    <t>1221</t>
  </si>
  <si>
    <t>Free Field</t>
  </si>
  <si>
    <t>Campo disponível para preencher com alguma outra info que nenhum dos outros campos tenhas sido suficiente, caso não tenha nenhuma informação deixe como "NA" NÃO USAR "_"</t>
  </si>
  <si>
    <t>Name CM</t>
  </si>
  <si>
    <t>Structure Name</t>
  </si>
  <si>
    <t>NVS</t>
  </si>
  <si>
    <t>Nivus</t>
  </si>
  <si>
    <t>Objetivo</t>
  </si>
  <si>
    <t>alcance</t>
  </si>
  <si>
    <t>trafego</t>
  </si>
  <si>
    <t>na</t>
  </si>
  <si>
    <t>engajamento</t>
  </si>
  <si>
    <t>video-views</t>
  </si>
  <si>
    <t>app-installs</t>
  </si>
  <si>
    <t>leads</t>
  </si>
  <si>
    <t>conversoes</t>
  </si>
  <si>
    <t>brand</t>
  </si>
  <si>
    <t>visitas</t>
  </si>
  <si>
    <t>configuracao</t>
  </si>
  <si>
    <t>vendas</t>
  </si>
  <si>
    <t>336x450</t>
  </si>
  <si>
    <t>300x450</t>
  </si>
  <si>
    <t>Mobile-Moments</t>
  </si>
  <si>
    <t>Display-Interativo</t>
  </si>
  <si>
    <t>In-Article</t>
  </si>
  <si>
    <t>NativeAds-Carousel</t>
  </si>
  <si>
    <t>Indicação-de-como-a-peça-vai-ser-veiculada</t>
  </si>
  <si>
    <t>Nome-de-veiculo,-tentem-seguir-o-mesmo-nome-do-plano</t>
  </si>
  <si>
    <t>Classificação-de-midia,-novamente,-video-em-facebook-é-social,-o-mesmo-vale-para-instagram.-Se-entrega-para-mobile-e-desktop-em-mobile-utilizar-Paid-Display</t>
  </si>
  <si>
    <t>Tipo-de-compra,-direto-ou-programatica.-Compra-na-plataforma-de-Facebook,-Twitter-e-etc-são-consideradas-como-Direct</t>
  </si>
  <si>
    <t>Modelo-de-compra</t>
  </si>
  <si>
    <t>tipo-de-veiculação,-se-tiverem-dúvida-consultem-o-Dodo-para-explicar-as-diferenças</t>
  </si>
  <si>
    <t>local-onde-os-anúncios-vão-rodar</t>
  </si>
  <si>
    <t>indicação-se-é-compra-em-algum-device</t>
  </si>
  <si>
    <t>Objetivo-da-Campanha</t>
  </si>
  <si>
    <t>Nome-do-criativo,-dar-preferencia-para-o-nome-encaminhado-para-o-ORCA</t>
  </si>
  <si>
    <t>Inserir-apenas-informações-referente-ao-criativo,-esse-valor-que-estará-nas-urls-e-plataformas</t>
  </si>
  <si>
    <t>Indicar-a-segmentação-utilizada-para-a-entrega-de-midia,-ideal-é-não-ser-generico</t>
  </si>
  <si>
    <t>Campo-Livre-para-o-Campo-de-Anúncio</t>
  </si>
  <si>
    <t>Sem-definição-do-global,-inserir-como-Paid</t>
  </si>
  <si>
    <t>indicação-das-dimensões-da-peça</t>
  </si>
  <si>
    <t>Status-AdOps</t>
  </si>
  <si>
    <t>Status-Midia</t>
  </si>
  <si>
    <t>*Servido-Por</t>
  </si>
  <si>
    <t>Tipo-Midia</t>
  </si>
  <si>
    <t>Linha-Criativa</t>
  </si>
  <si>
    <t>Linha-Criativo-2</t>
  </si>
  <si>
    <t>Segmentação-de-Anúncio-(Campo-Livre)</t>
  </si>
  <si>
    <t>tipo-de-peça</t>
  </si>
  <si>
    <t>Categoria-de-Peça</t>
  </si>
  <si>
    <t>ID-Pacote</t>
  </si>
  <si>
    <t>Nome-Pacote</t>
  </si>
  <si>
    <t>Placement-Name</t>
  </si>
  <si>
    <t>AD-Name</t>
  </si>
  <si>
    <t>Criative-Name</t>
  </si>
  <si>
    <t>URL-Parametizada</t>
  </si>
  <si>
    <t>Url-GA</t>
  </si>
  <si>
    <t>CHANNEL-(c)</t>
  </si>
  <si>
    <t>COUNTRY-(co)</t>
  </si>
  <si>
    <t>PUBLISHER-(p)</t>
  </si>
  <si>
    <t>PLACEMENT-(pl)</t>
  </si>
  <si>
    <t>CAMPAIGN-NAME-(ca)</t>
  </si>
  <si>
    <t>PLACEMENT-TYPE-(pt)</t>
  </si>
  <si>
    <t>FORMAT-(ft)</t>
  </si>
  <si>
    <t>CREATIVE-ELEMENTS/Key-Words-(cr)</t>
  </si>
  <si>
    <t>SEA-Branded-vs.-Non-branded-(sb)</t>
  </si>
  <si>
    <t>SEA-AD-GROUP---a-must-for-SEA-(sg)</t>
  </si>
  <si>
    <t>UNIQUE-ID-(lid)</t>
  </si>
  <si>
    <t>LANGUAGE-(lg)</t>
  </si>
  <si>
    <t>PAID-vs.-NON-PAID-(py)</t>
  </si>
  <si>
    <t>Additional-Parameter-(ap)</t>
  </si>
  <si>
    <t>Booking-ID-for-Campaign-Monitoring-(mt)</t>
  </si>
  <si>
    <t>URL-ADOBE</t>
  </si>
  <si>
    <t>Campanha-ou-Insertion-Order</t>
  </si>
  <si>
    <t>Line-Item-ou-Grupo-de-anúncio</t>
  </si>
  <si>
    <t>Anúncio-ou-Criativo</t>
  </si>
  <si>
    <t>Search---Campanha</t>
  </si>
  <si>
    <t>Search---Grupo</t>
  </si>
  <si>
    <t>aol-dv360</t>
  </si>
  <si>
    <t>dv360</t>
  </si>
  <si>
    <t>dv360-aol</t>
  </si>
  <si>
    <t>dv360-estadao</t>
  </si>
  <si>
    <t>dv360-exame</t>
  </si>
  <si>
    <t>dv360-folha</t>
  </si>
  <si>
    <t>dv360-g1</t>
  </si>
  <si>
    <t>dv360-ge</t>
  </si>
  <si>
    <t>dv360-globo</t>
  </si>
  <si>
    <t>dv360-icarros</t>
  </si>
  <si>
    <t>dv360-msn</t>
  </si>
  <si>
    <t>dv360-olx</t>
  </si>
  <si>
    <t>dv360-r7</t>
  </si>
  <si>
    <t>dv360-terra</t>
  </si>
  <si>
    <t>dv360-uol</t>
  </si>
  <si>
    <t>dv360-valor</t>
  </si>
  <si>
    <t>dv360-valoreconomico</t>
  </si>
  <si>
    <t>dv360-veja</t>
  </si>
  <si>
    <t>dv360-webmotors</t>
  </si>
  <si>
    <t>dv360-youtube</t>
  </si>
  <si>
    <t>globo-dv360</t>
  </si>
  <si>
    <t>istoe-dv360</t>
  </si>
  <si>
    <t>NA</t>
  </si>
  <si>
    <t>verizon</t>
  </si>
  <si>
    <t>500x500</t>
  </si>
  <si>
    <t>Interesse-Autos</t>
  </si>
  <si>
    <t>amazon</t>
  </si>
  <si>
    <t>414x125</t>
  </si>
  <si>
    <t>Varejo-Familiaridade</t>
  </si>
  <si>
    <t>https://ofertas.vw.com.br</t>
  </si>
  <si>
    <t>TodaALinha-TaxaZero</t>
  </si>
  <si>
    <t>1260x400</t>
  </si>
  <si>
    <t>NC-3rd-Party</t>
  </si>
  <si>
    <t>NC-3rd-Party-Engine</t>
  </si>
  <si>
    <t>NC-InMarket</t>
  </si>
  <si>
    <t>NC-LaL</t>
  </si>
  <si>
    <t>NC-Deals</t>
  </si>
  <si>
    <t>NC-Rmkt-E-Store</t>
  </si>
  <si>
    <t>https://ad.doubleclick.net/ddm/trackclk/N9487.3350855AMAZONBRAZIL/B25333445.295678086;dc_trk_aid=488957625;dc_trk_cid=145996180;dc_lat=;dc_rdid=;tag_for_child_directed_treatment=;tfua=</t>
  </si>
  <si>
    <t>https://ad.doubleclick.net/ddm/trackclk/N9487.3350855AMAZONBRAZIL/B25333445.295678092;dc_trk_aid=488957631;dc_trk_cid=145996180;dc_lat=;dc_rdid=;tag_for_child_directed_treatment=;tfua=</t>
  </si>
  <si>
    <t>https://ad.doubleclick.net/ddm/trackclk/N9487.3350855AMAZONBRAZIL/B25333445.295678098;dc_trk_aid=488957637;dc_trk_cid=145996180;dc_lat=;dc_rdid=;tag_for_child_directed_treatment=;tfua=</t>
  </si>
  <si>
    <t>https://ad.doubleclick.net/ddm/trackclk/N9487.3350855AMAZONBRAZIL/B25333445.295839436;dc_trk_aid=488691293;dc_trk_cid=145996180;dc_lat=;dc_rdid=;tag_for_child_directed_treatment=;tfua=</t>
  </si>
  <si>
    <t>https://ad.doubleclick.net/ddm/trackclk/N9487.281608.GOOGLEBRASIL/B25333445.295653269;dc_trk_aid=488895721;dc_trk_cid=145996180;Audience_Id=${PIXEL_ID_COMMA};kw=${CAMPAIGN_ID}:${INSERTION_ORDER_ID};dc_lat=;dc_rdid=;tag_for_child_directed_treatment=;tfua=</t>
  </si>
  <si>
    <t>https://ad.doubleclick.net/ddm/trackclk/N9487.281608.GOOGLEBRASIL/B25333445.295678068;dc_trk_aid=488957607;dc_trk_cid=145996180;Audience_Id=${PIXEL_ID_COMMA};kw=${CAMPAIGN_ID}:${INSERTION_ORDER_ID};dc_lat=;dc_rdid=;tag_for_child_directed_treatment=;tfua=</t>
  </si>
  <si>
    <t>https://ad.doubleclick.net/ddm/trackclk/N9487.281608.GOOGLEBRASIL/B25333445.295678071;dc_trk_aid=488957610;dc_trk_cid=145996180;Audience_Id=${PIXEL_ID_COMMA};kw=${CAMPAIGN_ID}:${INSERTION_ORDER_ID};dc_lat=;dc_rdid=;tag_for_child_directed_treatment=;tfua=</t>
  </si>
  <si>
    <t>https://ad.doubleclick.net/ddm/trackclk/N9487.281608.GOOGLEBRASIL/B25333445.295678074;dc_trk_aid=488957613;dc_trk_cid=145996180;Audience_Id=${PIXEL_ID_COMMA};kw=${CAMPAIGN_ID}:${INSERTION_ORDER_ID};dc_lat=;dc_rdid=;tag_for_child_directed_treatment=;tfua=</t>
  </si>
  <si>
    <t>https://ad.doubleclick.net/ddm/trackclk/N9487.281608.GOOGLEBRASIL/B25333445.295678077;dc_trk_aid=488957616;dc_trk_cid=145996180;Audience_Id=${PIXEL_ID_COMMA};kw=${CAMPAIGN_ID}:${INSERTION_ORDER_ID};dc_lat=;dc_rdid=;tag_for_child_directed_treatment=;tfua=</t>
  </si>
  <si>
    <t>https://ad.doubleclick.net/ddm/trackclk/N9487.281608.GOOGLEBRASIL/B25333445.295678083;dc_trk_aid=488957622;dc_trk_cid=145996180;Audience_Id=${PIXEL_ID_COMMA};kw=${CAMPAIGN_ID}:${INSERTION_ORDER_ID};dc_lat=;dc_rdid=;tag_for_child_directed_treatment=;tfua=</t>
  </si>
  <si>
    <t>https://ad.doubleclick.net/ddm/trackclk/N9487.281608.GOOGLEBRASIL/B25333445.295678089;dc_trk_aid=488957628;dc_trk_cid=145996180;Audience_Id=${PIXEL_ID_COMMA};kw=${CAMPAIGN_ID}:${INSERTION_ORDER_ID};dc_lat=;dc_rdid=;tag_for_child_directed_treatment=;tfua=</t>
  </si>
  <si>
    <t>https://ad.doubleclick.net/ddm/trackclk/N9487.281608.GOOGLEBRASIL/B25333445.295678095;dc_trk_aid=488957634;dc_trk_cid=145996180;Audience_Id=${PIXEL_ID_COMMA};kw=${CAMPAIGN_ID}:${INSERTION_ORDER_ID};dc_lat=;dc_rdid=;tag_for_child_directed_treatment=;tfua=</t>
  </si>
  <si>
    <t>https://ad.doubleclick.net/ddm/trackclk/N9487.149977TERRA.BR/B25333445.295653506;dc_trk_aid=488694677;dc_trk_cid=145996180;Audience_Id=${PIXEL_ID_COMMA};dc_lat=;dc_rdid=;tag_for_child_directed_treatment=;tfua=</t>
  </si>
  <si>
    <t>https://ad.doubleclick.net/ddm/trackclk/N9487.3646218VERIZONBR/B25333445.295678080;dc_trk_aid=488957619;dc_trk_cid=145996180;dc_lat=;dc_rdid=;tag_for_child_directed_treatment=;tfua=</t>
  </si>
  <si>
    <t>https://ad.doubleclick.net/ddm/trackclk/N9487.3646218VERIZONBR/B25333445.295839760;dc_trk_aid=488891746;dc_trk_cid=145996180;dc_lat=;dc_rdid=;tag_for_child_directed_treatment=;tfua=</t>
  </si>
  <si>
    <t>alp_vw_amazon_aaf_dsy_nonms_nd_nc_rng_varejo-familiaridade_na_trafego_cpm_prog_all_728x90_interesse-autos_na_todaalinha-taxazero_var-rng-aaf-dsy-0221-10014</t>
  </si>
  <si>
    <t>alp_vw_amazon_aaf_dsy_nonms_nd_nc_rng_varejo-familiaridade_na_trafego_cpm_prog_all_414x125_interesse-autos_na_todaalinha-taxazero_var-rng-aaf-dsy-0221-10013</t>
  </si>
  <si>
    <t>alp_vw_amazon_aaf_dsy_nonms_nd_nc_rng_varejo-familiaridade_na_trafego_cpm_prog_all_320x50_interesse-autos_na_todaalinha-taxazero_var-rng-aaf-dsy-0221-10012</t>
  </si>
  <si>
    <t>alp_vw_amazon_aaf_dsy_nonms_nd_nc_rng_varejo-familiaridade_na_trafego_cpm_prog_all_300x250_interesse-autos_na_todaalinha-taxazero_var-rng-aaf-dsy-0221-10011</t>
  </si>
  <si>
    <t>alp_vw_dv360-uol_aaf_dsy_nonms_nd_nc_rng_varejo-familiaridade_na_trafego_cpm_prog_all_nativeads_interesse-autos_na_todaalinha-taxazero_var-rng-aaf-dsy-0221-10017</t>
  </si>
  <si>
    <t>alp_vw_dv360_aaf_dsy_nonms_nd_nc_rng_varejo-familiaridade_na_trafego_cpm_prog_all_nativeads_nc-inmarket_na_todaalinha-taxazero_var-rng-aaf-dsy-0221-10024</t>
  </si>
  <si>
    <t>alp_vw_dv360_aaf_dsy_nonms_nd_nc_rng_varejo-familiaridade_na_trafego_cpm_prog_all_nativeads_nc-3rd-party-engine_na_todaalinha-taxazero_var-rng-aaf-dsy-0221-10023</t>
  </si>
  <si>
    <t>alp_vw_dv360_aaf_dsy_nonms_nd_nc_rng_varejo-familiaridade_na_trafego_cpm_prog_all_nativeads_nc-3rd-party_na_todaalinha-taxazero_var-rng-aaf-dsy-0221-10022</t>
  </si>
  <si>
    <t>alp_vw_dv360-globo_aaf_dsy_nonms_nd_nc_rng_varejo-familiaridade_na_trafego_cpm_prog_all_nativeads_interesse-autos_na_todaalinha-taxazero_var-rng-aaf-dsy-0221-10018</t>
  </si>
  <si>
    <t>alp_vw_dv360_aaf_dsy_nonms_nd_nc_rng_varejo-familiaridade_na_trafego_cpm_prog_all_nativeads_nc-rmkt-e-store_na_todaalinha-taxazero_var-rng-aaf-dsy-0221-10027</t>
  </si>
  <si>
    <t>alp_vw_dv360_aaf_dsy_nonms_nd_nc_rng_varejo-familiaridade_na_trafego_cpm_prog_all_nativeads_nc-deals_na_todaalinha-taxazero_var-rng-aaf-dsy-0221-10026</t>
  </si>
  <si>
    <t>alp_vw_dv360_aaf_dsy_nonms_nd_nc_rng_varejo-familiaridade_na_trafego_cpm_prog_all_nativeads_nc-lal_na_todaalinha-taxazero_var-rng-aaf-dsy-0221-10025</t>
  </si>
  <si>
    <t>alp_vw_terra_aaf_dsy_nonms_nd_nc_rng_varejo-familiaridade_na_trafego_cpm_drct_all_nativeads_interesse-autos_na_todaalinha-taxazero_var-rng-aaf-dsy-0221-10021</t>
  </si>
  <si>
    <t>alp_vw_verizon_aaf_dsy_nonms_nd_nc_rng_varejo-familiaridade_na_trafego_cpm_drct_all_1080x1920_interesse-autos_na_todaalinha-taxazero_var-rng-aaf-dsy-0221-10016</t>
  </si>
  <si>
    <t>alp_vw_verizon_aaf_dsy_nonms_nd_nc_rng_varejo-familiaridade_na_trafego_cpm_drct_all_nativeads_interesse-autos_na_todaalinha-taxazero_var-rng-aaf-dsy-0221-10015</t>
  </si>
  <si>
    <t>296181907</t>
  </si>
  <si>
    <t>296181910</t>
  </si>
  <si>
    <t>296181913</t>
  </si>
  <si>
    <t>296181916</t>
  </si>
  <si>
    <t>296181919</t>
  </si>
  <si>
    <t>alp_vw_amazon_aaf_dsy_nonms_nd_nc_rng_varejo-familiaridade_na_trafego_cpm_prog_all_970x250_interesse-autos_na_todaalinha-taxazero_var-rng-aaf-dsy-0221-10010</t>
  </si>
  <si>
    <t>alp_vw_amazon_aaf_dsy_nonms_nd_nc_rng_varejo-familiaridade_na_trafego_cpm_prog_all_320x50_interesse-autos_na_todaalinha-taxazero_var-rng-aaf-dsy-0221-10009</t>
  </si>
  <si>
    <t>alp_vw_amazon_aaf_dsy_nonms_nd_nc_rng_varejo-familiaridade_na_trafego_cpm_prog_all_300x600_interesse-autos_na_todaalinha-taxazero_var-rng-aaf-dsy-0221-10007</t>
  </si>
  <si>
    <t>alp_vw_amazon_aaf_dsy_nonms_nd_nc_rng_varejo-familiaridade_na_trafego_cpm_prog_all_300x250_interesse-autos_na_todaalinha-taxazero_var-rng-aaf-dsy-0221-10006</t>
  </si>
  <si>
    <t>alp_vw_amazon_aaf_dsy_nonms_nd_nc_rng_varejo-familiaridade_na_trafego_cpm_prog_all_160x600_interesse-autos_na_todaalinha-taxazero_var-rng-aaf-dsy-0221-10005</t>
  </si>
  <si>
    <t>alp_vw_amazon_aaf_dsy_nonms_nd_nc_rng_varejo-familiaridade_na_trafego_cpm_prog_all_728x90_interesse-autos_na_todaalinha-taxazero_var-rng-aaf-dsy-0221-10008</t>
  </si>
  <si>
    <t>296183128</t>
  </si>
  <si>
    <t>alp_vw_dv360-terra_aaf_dsy_nonms_nd_nc_rng_varejo-familiaridade_na_trafego_cpm_prog_all_1260x400_interesse-autos_na_todaalinha-taxazero_var-rng-aaf-dsy-0221-10019</t>
  </si>
  <si>
    <t>alp_vw_dv360-terra_aaf_dsy_nonms_nd_nc_rng_varejo-familiaridade_na_trafego_cpm_prog_all_300x250_interesse-autos_na_todaalinha-taxazero_var-rng-aaf-dsy-0221-10020</t>
  </si>
  <si>
    <t>296481970</t>
  </si>
  <si>
    <t>296482357</t>
  </si>
  <si>
    <t>Solicitado 03/03</t>
  </si>
  <si>
    <t>Criado 09/02 | Atualizado 03/03</t>
  </si>
  <si>
    <t>Manter / No Ar</t>
  </si>
  <si>
    <t>Enviado 12/02 | Atualizado 03/03</t>
  </si>
  <si>
    <t>Enviado 17/02 | Atualizado 03/03</t>
  </si>
  <si>
    <t>Solicitado 08/03</t>
  </si>
  <si>
    <t>LaL-BaseCompradores</t>
  </si>
  <si>
    <t>https://ad.doubleclick.net/ddm/trackclk/N9487.3646218VERIZONBR/B25333445.297691235;dc_trk_aid=491050416;dc_trk_cid=145996180;dc_lat=;dc_rdid=;tag_for_child_directed_treatment=;tfua=</t>
  </si>
  <si>
    <t>https://ad.doubleclick.net/ddm/trackclk/N9487.3646218VERIZONBR/B25333445.297767613;dc_trk_aid=491050425;dc_trk_cid=145996180;dc_lat=;dc_rdid=;tag_for_child_directed_treatment=;tfua=</t>
  </si>
  <si>
    <t>alp_vw_verizon_aaf_dsy_nonms_nd_nc_rng_varejo-familiaridade_na_trafego_cpm_drct_all_nativeads_lal-basecompradores_nativeads_todaalinha-taxazero_var-rng-aaf-dsy-0221-10028</t>
  </si>
  <si>
    <t>alp_vw_verizon_aaf_dsy_nonms_nd_nc_rng_varejo-familiaridade_na_trafego_cpm_drct_all_1080x1920_lal-basecompradores_nativeads_todaalinha-taxazero_var-rng-aaf-dsy-0221-10029</t>
  </si>
  <si>
    <t>Criado 08/03</t>
  </si>
  <si>
    <t>Solicitado 08/04</t>
  </si>
  <si>
    <t>Polo-Virtus-Parcelas699</t>
  </si>
  <si>
    <t>Open-Auction</t>
  </si>
  <si>
    <t>Enviado 08/04</t>
  </si>
  <si>
    <t>alp_vw_amazon_aaf_dsy_nonms_nd_nc_rng_varejo-familiaridade_na_trafego_cpm_prog_all_728x90_open-auction_728x90_polo-virtus-parcelas699_var-rng-aaf-dsy-0221-10049</t>
  </si>
  <si>
    <t>alp_vw_amazon_aaf_dsy_nonms_nd_nc_rng_varejo-familiaridade_na_trafego_cpm_prog_all_414x125_open-auction_414x125_polo-virtus-parcelas699_var-rng-aaf-dsy-0221-10048</t>
  </si>
  <si>
    <t>alp_vw_amazon_aaf_dsy_nonms_nd_nc_rng_varejo-familiaridade_na_trafego_cpm_prog_all_320x50_open-auction_320x50_polo-virtus-parcelas699_var-rng-aaf-dsy-0221-10047</t>
  </si>
  <si>
    <t>alp_vw_amazon_aaf_dsy_nonms_nd_nc_rng_varejo-familiaridade_na_trafego_cpm_prog_all_300x250_open-auction_300x250_polo-virtus-parcelas699_var-rng-aaf-dsy-0221-10046</t>
  </si>
  <si>
    <t>alp_vw_amazon_aaf_dsy_nonms_nd_nc_rng_varejo-familiaridade_na_trafego_cpm_prog_all_728x90_interesse-autos_728x90_polo-virtus-parcelas699_var-rng-aaf-dsy-0221-10039</t>
  </si>
  <si>
    <t>alp_vw_amazon_aaf_dsy_nonms_nd_nc_rng_varejo-familiaridade_na_trafego_cpm_prog_all_414x125_interesse-autos_414x125_polo-virtus-parcelas699_var-rng-aaf-dsy-0221-10038</t>
  </si>
  <si>
    <t>alp_vw_amazon_aaf_dsy_nonms_nd_nc_rng_varejo-familiaridade_na_trafego_cpm_prog_all_320x50_interesse-autos_320x50_polo-virtus-parcelas699_var-rng-aaf-dsy-0221-10037</t>
  </si>
  <si>
    <t>alp_vw_amazon_aaf_dsy_nonms_nd_nc_rng_varejo-familiaridade_na_trafego_cpm_prog_all_300x250_interesse-autos_300x250_polo-virtus-parcelas699_var-rng-aaf-dsy-0221-10036</t>
  </si>
  <si>
    <t>alp_vw_dv360_aaf_dsy_nonms_nd_nc_rng_varejo-familiaridade_na_trafego_cpm_prog_all_nativeads_nc-deals_nativeads_polo-virtus-parcelas699_var-rng-aaf-dsy-0221-10070</t>
  </si>
  <si>
    <t>alp_vw_dv360_aaf_dsy_nonms_nd_nc_rng_varejo-familiaridade_na_trafego_cpm_prog_all_nativeads_nc-lal_nativeads_polo-virtus-parcelas699_var-rng-aaf-dsy-0221-10069</t>
  </si>
  <si>
    <t>alp_vw_dv360_aaf_dsy_nonms_nd_nc_rng_varejo-familiaridade_na_trafego_cpm_prog_all_nativeads_nc-inmarket_nativeads_polo-virtus-parcelas699_var-rng-aaf-dsy-0221-10068</t>
  </si>
  <si>
    <t>alp_vw_dv360_aaf_dsy_nonms_nd_nc_rng_varejo-familiaridade_na_trafego_cpm_prog_all_nativeads_nc-3rd-party_nativeads_polo-virtus-parcelas699_var-rng-aaf-dsy-0221-10067</t>
  </si>
  <si>
    <t>alp_vw_dv360-globo_aaf_dsy_nonms_nd_nc_rng_varejo-familiaridade_na_trafego_cpm_prog_all_nativeads_interesse-autos_nativeads_polo-virtus-parcelas699_var-rng-aaf-dsy-0221-10066</t>
  </si>
  <si>
    <t>alp_vw_dv360-uol_aaf_dsy_nonms_nd_nc_rng_varejo-familiaridade_na_trafego_cpm_prog_all_nativeads_interesse-autos_nativeads_polo-virtus-parcelas699_var-rng-aaf-dsy-0221-10060</t>
  </si>
  <si>
    <t>alp_vw_dv360_aaf_dsy_nonms_nd_nc_rng_varejo-familiaridade_na_trafego_cpm_prog_all_nativeads_nc-rmkt-e-store_nativeads_polo-virtus-parcelas699_var-rng-aaf-dsy-0221-10071</t>
  </si>
  <si>
    <t>alp_vw_terra_aaf_dsy_nonms_nd_nc_rng_varejo-familiaridade_na_trafego_cpm_drct_all_nativeads_interesse-autos_nativeads_polo-virtus-parcelas699_var-rng-aaf-dsy-0221-10054</t>
  </si>
  <si>
    <t>alp_vw_verizon_aaf_dsy_nonms_nd_nc_rng_varejo-familiaridade_na_trafego_cpm_drct_all_1080x1920_interesse-autos_1080x1920_polo-virtus-parcelas699_var-rng-aaf-dsy-0221-10051</t>
  </si>
  <si>
    <t>alp_vw_verizon_aaf_dsy_nonms_nd_nc_rng_varejo-familiaridade_na_trafego_cpm_drct_all_nativeads_interesse-autos_nativeads_polo-virtus-parcelas699_var-rng-aaf-dsy-0221-10050</t>
  </si>
  <si>
    <t>https://ad.doubleclick.net/ddm/trackclk/N9487.3350855AMAZONBRAZIL/B25333445.300533660;dc_trk_aid=493643689;dc_trk_cid=145996180;dc_lat=;dc_rdid=;tag_for_child_directed_treatment=;tfua=</t>
  </si>
  <si>
    <t>https://ad.doubleclick.net/ddm/trackclk/N9487.3350855AMAZONBRAZIL/B25333445.300533663;dc_trk_aid=493643686;dc_trk_cid=145996180;dc_lat=;dc_rdid=;tag_for_child_directed_treatment=;tfua=</t>
  </si>
  <si>
    <t>https://ad.doubleclick.net/ddm/trackclk/N9487.3350855AMAZONBRAZIL/B25333445.300533666;dc_trk_aid=493643683;dc_trk_cid=145996180;dc_lat=;dc_rdid=;tag_for_child_directed_treatment=;tfua=</t>
  </si>
  <si>
    <t>https://ad.doubleclick.net/ddm/trackclk/N9487.3350855AMAZONBRAZIL/B25333445.300533669;dc_trk_aid=493643680;dc_trk_cid=145996180;dc_lat=;dc_rdid=;tag_for_child_directed_treatment=;tfua=</t>
  </si>
  <si>
    <t>https://ad.doubleclick.net/ddm/trackclk/N9487.3350855AMAZONBRAZIL/B25333445.300533672;dc_trk_aid=493643677;dc_trk_cid=145996180;dc_lat=;dc_rdid=;tag_for_child_directed_treatment=;tfua=</t>
  </si>
  <si>
    <t>https://ad.doubleclick.net/ddm/trackclk/N9487.3350855AMAZONBRAZIL/B25333445.300533675;dc_trk_aid=493643674;dc_trk_cid=145996180;dc_lat=;dc_rdid=;tag_for_child_directed_treatment=;tfua=</t>
  </si>
  <si>
    <t>https://ad.doubleclick.net/ddm/trackclk/N9487.3350855AMAZONBRAZIL/B25333445.300533681;dc_trk_aid=493643668;dc_trk_cid=145996180;dc_lat=;dc_rdid=;tag_for_child_directed_treatment=;tfua=</t>
  </si>
  <si>
    <t>https://ad.doubleclick.net/ddm/trackclk/N9487.3350855AMAZONBRAZIL/B25333445.300625920;dc_trk_aid=489539011;dc_trk_cid=145996180;dc_lat=;dc_rdid=;tag_for_child_directed_treatment=;tfua=</t>
  </si>
  <si>
    <t>https://ad.doubleclick.net/ddm/trackclk/N9487.281608.GOOGLEBRASIL/B25333445.300533633;dc_trk_aid=493643716;dc_trk_cid=145996180;Audience_Id=${PIXEL_ID_COMMA};kw=${CAMPAIGN_ID}:${INSERTION_ORDER_ID};dc_lat=;dc_rdid=;tag_for_child_directed_treatment=;tfua=</t>
  </si>
  <si>
    <t>https://ad.doubleclick.net/ddm/trackclk/N9487.281608.GOOGLEBRASIL/B25333445.300533636;dc_trk_aid=493643713;dc_trk_cid=145996180;Audience_Id=${PIXEL_ID_COMMA};kw=${CAMPAIGN_ID}:${INSERTION_ORDER_ID};dc_lat=;dc_rdid=;tag_for_child_directed_treatment=;tfua=</t>
  </si>
  <si>
    <t>https://ad.doubleclick.net/ddm/trackclk/N9487.281608.GOOGLEBRASIL/B25333445.300533639;dc_trk_aid=493643710;dc_trk_cid=145996180;Audience_Id=${PIXEL_ID_COMMA};kw=${CAMPAIGN_ID}:${INSERTION_ORDER_ID};dc_lat=;dc_rdid=;tag_for_child_directed_treatment=;tfua=</t>
  </si>
  <si>
    <t>https://ad.doubleclick.net/ddm/trackclk/N9487.281608.GOOGLEBRASIL/B25333445.300533642;dc_trk_aid=493643707;dc_trk_cid=145996180;Audience_Id=${PIXEL_ID_COMMA};kw=${CAMPAIGN_ID}:${INSERTION_ORDER_ID};dc_lat=;dc_rdid=;tag_for_child_directed_treatment=;tfua=</t>
  </si>
  <si>
    <t>https://ad.doubleclick.net/ddm/trackclk/N9487.281608.GOOGLEBRASIL/B25333445.300533645;dc_trk_aid=493643704;dc_trk_cid=145996180;Audience_Id=${PIXEL_ID_COMMA};kw=${CAMPAIGN_ID}:${INSERTION_ORDER_ID};dc_lat=;dc_rdid=;tag_for_child_directed_treatment=;tfua=</t>
  </si>
  <si>
    <t>https://ad.doubleclick.net/ddm/trackclk/N9487.281608.GOOGLEBRASIL/B25333445.300533648;dc_trk_aid=493643701;dc_trk_cid=145996180;Audience_Id=${PIXEL_ID_COMMA};kw=${CAMPAIGN_ID}:${INSERTION_ORDER_ID};dc_lat=;dc_rdid=;tag_for_child_directed_treatment=;tfua=</t>
  </si>
  <si>
    <t>https://ad.doubleclick.net/ddm/trackclk/N9487.281608.GOOGLEBRASIL/B25333445.300533678;dc_trk_aid=493643671;dc_trk_cid=145996180;Audience_Id=${PIXEL_ID_COMMA};kw=${CAMPAIGN_ID}:${INSERTION_ORDER_ID};dc_lat=;dc_rdid=;tag_for_child_directed_treatment=;tfua=</t>
  </si>
  <si>
    <t>https://ad.doubleclick.net/ddm/trackclk/N9487.149977TERRA.BR/B25333445.300533651;dc_trk_aid=493643698;dc_trk_cid=145996180;Audience_Id=${PIXEL_ID_COMMA};dc_lat=;dc_rdid=;tag_for_child_directed_treatment=;tfua=</t>
  </si>
  <si>
    <t>https://ad.doubleclick.net/ddm/trackclk/N9487.3646218VERIZONBR/B25333445.300533654;dc_trk_aid=493643695;dc_trk_cid=145996180;dc_lat=;dc_rdid=;tag_for_child_directed_treatment=;tfua=</t>
  </si>
  <si>
    <t>https://ad.doubleclick.net/ddm/trackclk/N9487.3646218VERIZONBR/B25333445.300533657;dc_trk_aid=493643692;dc_trk_cid=145996180;dc_lat=;dc_rdid=;tag_for_child_directed_treatment=;tfua=</t>
  </si>
  <si>
    <t>vw_range_nativeads_polo-virtus-parcelas699_verizon</t>
  </si>
  <si>
    <t>https://ofertas.vw.com.br?utm_source=verizon&amp;utm_medium=Paid-Display&amp;utm_content=alp_vw_verizon_aaf_dsy_nonms_nd_nc_rng_varejo-familiaridade_na_trafego_cpm_drct_all_nativeads_interesse-autos_nativeads_polo-virtus-parcelas699_var-rng-aaf-dsy-0221-10050&amp;utm_campaign=BR_AAF_DSY_NONMS_ND_NC_2021Q1FEB_RNG_Varejo-Familiaridade&amp;utm_term=%epid!_%ecid!_%eaid!</t>
  </si>
  <si>
    <t>BR_AAF_DSY_NONMS_ND_NC_2021Q1FEB_RNG_Varejo-Familiaridade</t>
  </si>
  <si>
    <t>vw_range_1080x1920_polo-virtus-parcelas699_verizon</t>
  </si>
  <si>
    <t>https://ofertas.vw.com.br?utm_source=verizon&amp;utm_medium=Paid-Display&amp;utm_content=alp_vw_verizon_aaf_dsy_nonms_nd_nc_rng_varejo-familiaridade_na_trafego_cpm_drct_all_1080x1920_interesse-autos_1080x1920_polo-virtus-parcelas699_var-rng-aaf-dsy-0221-10051&amp;utm_campaign=BR_AAF_DSY_NONMS_ND_NC_2021Q1FEB_RNG_Varejo-Familiaridade&amp;utm_term=%epid!_%ecid!_%eaid!</t>
  </si>
  <si>
    <t>Solicitado 12/04</t>
  </si>
  <si>
    <t>https://ofertas.vw.com.br/modelo/?modelo=Amarok</t>
  </si>
  <si>
    <t>Interesse-PickUps</t>
  </si>
  <si>
    <t>Amarok-TaxaZero</t>
  </si>
  <si>
    <t>alp_vw_terra_aaf_dsy_nonms_nd_nc_rng_varejo-familiaridade_na_trafego_cpm_drct_all_nativeads_interesse-autos_nativeads_polo-virtus-parcelas699_var-rng-aaf-dsy-0221-10056</t>
  </si>
  <si>
    <t>vw_range_nativeads_polo-virtus-parcelas699_terra</t>
  </si>
  <si>
    <t>https://ofertas.vw.com.br?utm_source=terra&amp;utm_medium=Paid-Display&amp;utm_content=alp_vw_terra_aaf_dsy_nonms_nd_nc_rng_varejo-familiaridade_na_trafego_cpm_drct_all_nativeads_interesse-autos_nativeads_polo-virtus-parcelas699_var-rng-aaf-dsy-0221-10056&amp;utm_campaign=BR_AAF_DSY_NONMS_ND_NC_2021Q1FEB_RNG_Varejo-Familiaridade&amp;utm_term=%epid!_%ecid!_%eaid!</t>
  </si>
  <si>
    <t>Contador</t>
  </si>
  <si>
    <t>alp_vw_dv360-uol_aaf_dsy_nonms_nd_nc_rng_varejo-familiaridade_na_trafego_cpm_prog_all_nativeads_interesse-autos_nativeads_polo-virtus-parcelas699_var-rng-aaf-dsy-0221-10064</t>
  </si>
  <si>
    <t>vw_range_nativeads_polo-virtus-parcelas699_dv360-uol</t>
  </si>
  <si>
    <t>https://ofertas.vw.com.br?utm_source=dv360-uol&amp;utm_medium=Paid-Display&amp;utm_content=alp_vw_dv360-uol_aaf_dsy_nonms_nd_nc_rng_varejo-familiaridade_na_trafego_cpm_prog_all_nativeads_interesse-autos_nativeads_polo-virtus-parcelas699_var-rng-aaf-dsy-0221-10064&amp;utm_campaign=BR_AAF_DSY_NONMS_ND_NC_2021Q1FEB_RNG_Varejo-Familiaridade&amp;utm_term=%epid!_%ecid!_%eaid!</t>
  </si>
  <si>
    <t>alp_vw_dv360-globo_aaf_dsy_nonms_nd_nc_rng_varejo-familiaridade_na_trafego_cpm_prog_all_nativeads_interesse-autos_nativeads_polo-virtus-parcelas699_var-rng-aaf-dsy-0221-10070</t>
  </si>
  <si>
    <t>vw_range_nativeads_polo-virtus-parcelas699_dv360-globo</t>
  </si>
  <si>
    <t>https://ofertas.vw.com.br?utm_source=dv360-globo&amp;utm_medium=Paid-Display&amp;utm_content=alp_vw_dv360-globo_aaf_dsy_nonms_nd_nc_rng_varejo-familiaridade_na_trafego_cpm_prog_all_nativeads_interesse-autos_nativeads_polo-virtus-parcelas699_var-rng-aaf-dsy-0221-10070&amp;utm_campaign=BR_AAF_DSY_NONMS_ND_NC_2021Q1FEB_RNG_Varejo-Familiaridade&amp;utm_term=%epid!_%ecid!_%eaid!</t>
  </si>
  <si>
    <t>alp_vw_dv360_aaf_dsy_nonms_nd_nc_rng_varejo-familiaridade_na_trafego_cpm_prog_all_nativeads_nc-3rd-party_nativeads_polo-virtus-parcelas699_var-rng-aaf-dsy-0221-10072</t>
  </si>
  <si>
    <t>vw_range_nativeads_polo-virtus-parcelas699_dv360</t>
  </si>
  <si>
    <t>https://ofertas.vw.com.br?utm_source=dv360&amp;utm_medium=Paid-Display&amp;utm_content=alp_vw_dv360_aaf_dsy_nonms_nd_nc_rng_varejo-familiaridade_na_trafego_cpm_prog_all_nativeads_nc-3rd-party_nativeads_polo-virtus-parcelas699_var-rng-aaf-dsy-0221-10072&amp;utm_campaign=BR_AAF_DSY_NONMS_ND_NC_2021Q1FEB_RNG_Varejo-Familiaridade&amp;utm_term=%epid!_%ecid!_%eaid!</t>
  </si>
  <si>
    <t>alp_vw_dv360_aaf_dsy_nonms_nd_nc_rng_varejo-familiaridade_na_trafego_cpm_prog_all_nativeads_nc-inmarket_nativeads_polo-virtus-parcelas699_var-rng-aaf-dsy-0221-10073</t>
  </si>
  <si>
    <t>https://ofertas.vw.com.br?utm_source=dv360&amp;utm_medium=Paid-Display&amp;utm_content=alp_vw_dv360_aaf_dsy_nonms_nd_nc_rng_varejo-familiaridade_na_trafego_cpm_prog_all_nativeads_nc-inmarket_nativeads_polo-virtus-parcelas699_var-rng-aaf-dsy-0221-10073&amp;utm_campaign=BR_AAF_DSY_NONMS_ND_NC_2021Q1FEB_RNG_Varejo-Familiaridade&amp;utm_term=%epid!_%ecid!_%eaid!</t>
  </si>
  <si>
    <t>alp_vw_dv360_aaf_dsy_nonms_nd_nc_rng_varejo-familiaridade_na_trafego_cpm_prog_all_nativeads_nc-lal_nativeads_polo-virtus-parcelas699_var-rng-aaf-dsy-0221-10074</t>
  </si>
  <si>
    <t>https://ofertas.vw.com.br?utm_source=dv360&amp;utm_medium=Paid-Display&amp;utm_content=alp_vw_dv360_aaf_dsy_nonms_nd_nc_rng_varejo-familiaridade_na_trafego_cpm_prog_all_nativeads_nc-lal_nativeads_polo-virtus-parcelas699_var-rng-aaf-dsy-0221-10074&amp;utm_campaign=BR_AAF_DSY_NONMS_ND_NC_2021Q1FEB_RNG_Varejo-Familiaridade&amp;utm_term=%epid!_%ecid!_%eaid!</t>
  </si>
  <si>
    <t>alp_vw_dv360_aaf_dsy_nonms_nd_nc_rng_varejo-familiaridade_na_trafego_cpm_prog_all_nativeads_nc-deals_nativeads_polo-virtus-parcelas699_var-rng-aaf-dsy-0221-10075</t>
  </si>
  <si>
    <t>https://ofertas.vw.com.br?utm_source=dv360&amp;utm_medium=Paid-Display&amp;utm_content=alp_vw_dv360_aaf_dsy_nonms_nd_nc_rng_varejo-familiaridade_na_trafego_cpm_prog_all_nativeads_nc-deals_nativeads_polo-virtus-parcelas699_var-rng-aaf-dsy-0221-10075&amp;utm_campaign=BR_AAF_DSY_NONMS_ND_NC_2021Q1FEB_RNG_Varejo-Familiaridade&amp;utm_term=%epid!_%ecid!_%eaid!</t>
  </si>
  <si>
    <t>alp_vw_dv360_aaf_dsy_nonms_nd_nc_rng_varejo-familiaridade_na_trafego_cpm_prog_all_nativeads_nc-rmkt-e-store_nativeads_polo-virtus-parcelas699_var-rng-aaf-dsy-0221-10076</t>
  </si>
  <si>
    <t>https://ofertas.vw.com.br?utm_source=dv360&amp;utm_medium=Paid-Display&amp;utm_content=alp_vw_dv360_aaf_dsy_nonms_nd_nc_rng_varejo-familiaridade_na_trafego_cpm_prog_all_nativeads_nc-rmkt-e-store_nativeads_polo-virtus-parcelas699_var-rng-aaf-dsy-0221-10076&amp;utm_campaign=BR_AAF_DSY_NONMS_ND_NC_2021Q1FEB_RNG_Varejo-Familiaridade&amp;utm_term=%epid!_%ecid!_%eaid!</t>
  </si>
  <si>
    <t>vw_range_300x250_polo-virtus-parcelas699_amazon</t>
  </si>
  <si>
    <t>https://ofertas.vw.com.br?utm_source=amazon&amp;utm_medium=Paid-Display&amp;utm_content=alp_vw_amazon_aaf_dsy_nonms_nd_nc_rng_varejo-familiaridade_na_trafego_cpm_prog_all_300x250_interesse-autos_300x250_polo-virtus-parcelas699_var-rng-aaf-dsy-0221-10036&amp;utm_campaign=BR_AAF_DSY_NONMS_ND_NC_2021Q1FEB_RNG_Varejo-Familiaridade&amp;utm_term=%epid!_%ecid!_%eaid!</t>
  </si>
  <si>
    <t>vw_range_320x50_polo-virtus-parcelas699_amazon</t>
  </si>
  <si>
    <t>https://ofertas.vw.com.br?utm_source=amazon&amp;utm_medium=Paid-Display&amp;utm_content=alp_vw_amazon_aaf_dsy_nonms_nd_nc_rng_varejo-familiaridade_na_trafego_cpm_prog_all_320x50_interesse-autos_320x50_polo-virtus-parcelas699_var-rng-aaf-dsy-0221-10037&amp;utm_campaign=BR_AAF_DSY_NONMS_ND_NC_2021Q1FEB_RNG_Varejo-Familiaridade&amp;utm_term=%epid!_%ecid!_%eaid!</t>
  </si>
  <si>
    <t>vw_range_414x125_polo-virtus-parcelas699_amazon</t>
  </si>
  <si>
    <t>https://ofertas.vw.com.br?utm_source=amazon&amp;utm_medium=Paid-Display&amp;utm_content=alp_vw_amazon_aaf_dsy_nonms_nd_nc_rng_varejo-familiaridade_na_trafego_cpm_prog_all_414x125_interesse-autos_414x125_polo-virtus-parcelas699_var-rng-aaf-dsy-0221-10038&amp;utm_campaign=BR_AAF_DSY_NONMS_ND_NC_2021Q1FEB_RNG_Varejo-Familiaridade&amp;utm_term=%epid!_%ecid!_%eaid!</t>
  </si>
  <si>
    <t>vw_range_728x90_polo-virtus-parcelas699_amazon</t>
  </si>
  <si>
    <t>https://ofertas.vw.com.br?utm_source=amazon&amp;utm_medium=Paid-Display&amp;utm_content=alp_vw_amazon_aaf_dsy_nonms_nd_nc_rng_varejo-familiaridade_na_trafego_cpm_prog_all_728x90_interesse-autos_728x90_polo-virtus-parcelas699_var-rng-aaf-dsy-0221-10039&amp;utm_campaign=BR_AAF_DSY_NONMS_ND_NC_2021Q1FEB_RNG_Varejo-Familiaridade&amp;utm_term=%epid!_%ecid!_%eaid!</t>
  </si>
  <si>
    <t>https://ad.doubleclick.net/ddm/trackclk/N9487.3350855AMAZONBRAZIL/B25333445.300750734;dc_trk_aid=493902291;dc_trk_cid=145996180;dc_lat=;dc_rdid=;tag_for_child_directed_treatment=;tfua=</t>
  </si>
  <si>
    <t>https://ad.doubleclick.net/ddm/trackclk/N9487.3350855AMAZONBRAZIL/B25333445.300750737;dc_trk_aid=493902294;dc_trk_cid=145996180;dc_lat=;dc_rdid=;tag_for_child_directed_treatment=;tfua=</t>
  </si>
  <si>
    <t>https://ad.doubleclick.net/ddm/trackclk/N9487.3350855AMAZONBRAZIL/B25333445.300750740;dc_trk_aid=493902297;dc_trk_cid=145996180;dc_lat=;dc_rdid=;tag_for_child_directed_treatment=;tfua=</t>
  </si>
  <si>
    <t>https://ad.doubleclick.net/ddm/trackclk/N9487.3350855AMAZONBRAZIL/B25333445.300750743;dc_trk_aid=493902300;dc_trk_cid=145996180;dc_lat=;dc_rdid=;tag_for_child_directed_treatment=;tfua=</t>
  </si>
  <si>
    <t>https://ad.doubleclick.net/ddm/trackclk/N9487.281608.GOOGLEBRASIL/B25333445.300750719;dc_trk_aid=493902276;dc_trk_cid=145996180;Audience_Id=${PIXEL_ID_COMMA};kw=${CAMPAIGN_ID}:${INSERTION_ORDER_ID};dc_lat=;dc_rdid=;tag_for_child_directed_treatment=;tfua=</t>
  </si>
  <si>
    <t>https://ad.doubleclick.net/ddm/trackclk/N9487.281608.GOOGLEBRASIL/B25333445.300750722;dc_trk_aid=493902279;dc_trk_cid=145996180;Audience_Id=${PIXEL_ID_COMMA};kw=${CAMPAIGN_ID}:${INSERTION_ORDER_ID};dc_lat=;dc_rdid=;tag_for_child_directed_treatment=;tfua=</t>
  </si>
  <si>
    <t>https://ad.doubleclick.net/ddm/trackclk/N9487.281608.GOOGLEBRASIL/B25333445.300750746;dc_trk_aid=493902303;dc_trk_cid=145996180;Audience_Id=${PIXEL_ID_COMMA};kw=${CAMPAIGN_ID}:${INSERTION_ORDER_ID};dc_lat=;dc_rdid=;tag_for_child_directed_treatment=;tfua=</t>
  </si>
  <si>
    <t>https://ad.doubleclick.net/ddm/trackclk/N9487.281608.GOOGLEBRASIL/B25333445.300750749;dc_trk_aid=493902306;dc_trk_cid=145996180;Audience_Id=${PIXEL_ID_COMMA};kw=${CAMPAIGN_ID}:${INSERTION_ORDER_ID};dc_lat=;dc_rdid=;tag_for_child_directed_treatment=;tfua=</t>
  </si>
  <si>
    <t>https://ad.doubleclick.net/ddm/trackclk/N9487.281608.GOOGLEBRASIL/B25333445.300750752;dc_trk_aid=493902309;dc_trk_cid=145996180;Audience_Id=${PIXEL_ID_COMMA};kw=${CAMPAIGN_ID}:${INSERTION_ORDER_ID};dc_lat=;dc_rdid=;tag_for_child_directed_treatment=;tfua=</t>
  </si>
  <si>
    <t>https://ad.doubleclick.net/ddm/trackclk/N9487.281608.GOOGLEBRASIL/B25333445.300750755;dc_trk_aid=493902312;dc_trk_cid=145996180;Audience_Id=${PIXEL_ID_COMMA};kw=${CAMPAIGN_ID}:${INSERTION_ORDER_ID};dc_lat=;dc_rdid=;tag_for_child_directed_treatment=;tfua=</t>
  </si>
  <si>
    <t>https://ad.doubleclick.net/ddm/trackclk/N9487.281608.GOOGLEBRASIL/B25333445.300750758;dc_trk_aid=493902315;dc_trk_cid=145996180;Audience_Id=${PIXEL_ID_COMMA};kw=${CAMPAIGN_ID}:${INSERTION_ORDER_ID};dc_lat=;dc_rdid=;tag_for_child_directed_treatment=;tfua=</t>
  </si>
  <si>
    <t>https://ad.doubleclick.net/ddm/trackclk/N9487.149977TERRA.BR/B25333445.300750725;dc_trk_aid=493902282;dc_trk_cid=145996180;Audience_Id=${PIXEL_ID_COMMA};dc_lat=;dc_rdid=;tag_for_child_directed_treatment=;tfua=</t>
  </si>
  <si>
    <t>https://ad.doubleclick.net/ddm/trackclk/N9487.3646218VERIZONBR/B25333445.300750728;dc_trk_aid=493902285;dc_trk_cid=145996180;dc_lat=;dc_rdid=;tag_for_child_directed_treatment=;tfua=</t>
  </si>
  <si>
    <t>https://ad.doubleclick.net/ddm/trackclk/N9487.3646218VERIZONBR/B25333445.300750731;dc_trk_aid=493902288;dc_trk_cid=145996180;dc_lat=;dc_rdid=;tag_for_child_directed_treatment=;tfua=</t>
  </si>
  <si>
    <t>alp_vw_amazon_aaf_dsy_nonms_nd_nc_rng_varejo-familiaridade_na_trafego_cpm_prog_all_728x90_interesse-pickups_728x90_amarok-taxazero_var-rng-aaf-dsy-0221-10080</t>
  </si>
  <si>
    <t>alp_vw_amazon_aaf_dsy_nonms_nd_nc_rng_varejo-familiaridade_na_trafego_cpm_prog_all_414x125_interesse-pickups_414x125_amarok-taxazero_var-rng-aaf-dsy-0221-10079</t>
  </si>
  <si>
    <t>alp_vw_amazon_aaf_dsy_nonms_nd_nc_rng_varejo-familiaridade_na_trafego_cpm_prog_all_320x50_interesse-pickups_320x50_amarok-taxazero_var-rng-aaf-dsy-0221-10078</t>
  </si>
  <si>
    <t>alp_vw_amazon_aaf_dsy_nonms_nd_nc_rng_varejo-familiaridade_na_trafego_cpm_prog_all_300x250_interesse-pickups_300x250_amarok-taxazero_var-rng-aaf-dsy-0221-10077</t>
  </si>
  <si>
    <t>alp_vw_dv360-globo_aaf_dsy_nonms_nd_nc_rng_varejo-familiaridade_na_trafego_cpm_prog_all_nativeads_interesse-pickups_nativeads_amarok-taxazero_var-rng-aaf-dsy-0221-10085</t>
  </si>
  <si>
    <t>alp_vw_dv360-uol_aaf_dsy_nonms_nd_nc_rng_varejo-familiaridade_na_trafego_cpm_prog_all_nativeads_interesse-pickups_nativeads_amarok-taxazero_var-rng-aaf-dsy-0221-10084</t>
  </si>
  <si>
    <t>alp_vw_dv360_aaf_dsy_nonms_nd_nc_rng_varejo-familiaridade_na_trafego_cpm_prog_all_nativeads_nc-rmkt-e-store_nativeads_amarok-taxazero_var-rng-aaf-dsy-0221-10076</t>
  </si>
  <si>
    <t>alp_vw_dv360_aaf_dsy_nonms_nd_nc_rng_varejo-familiaridade_na_trafego_cpm_prog_all_nativeads_nc-deals_nativeads_amarok-taxazero_var-rng-aaf-dsy-0221-10075</t>
  </si>
  <si>
    <t>alp_vw_dv360_aaf_dsy_nonms_nd_nc_rng_varejo-familiaridade_na_trafego_cpm_prog_all_nativeads_nc-lal_nativeads_amarok-taxazero_var-rng-aaf-dsy-0221-10074</t>
  </si>
  <si>
    <t>alp_vw_dv360_aaf_dsy_nonms_nd_nc_rng_varejo-familiaridade_na_trafego_cpm_prog_all_nativeads_nc-inmarket_nativeads_amarok-taxazero_var-rng-aaf-dsy-0221-10073</t>
  </si>
  <si>
    <t>alp_vw_dv360_aaf_dsy_nonms_nd_nc_rng_varejo-familiaridade_na_trafego_cpm_prog_all_nativeads_nc-3rd-party_nativeads_amarok-taxazero_var-rng-aaf-dsy-0221-10072</t>
  </si>
  <si>
    <t>alp_vw_terra_aaf_dsy_nonms_nd_nc_rng_varejo-familiaridade_na_trafego_cpm_drct_all_nativeads_interesse-pickups_nativeads_amarok-taxazero_var-rng-aaf-dsy-0221-10083</t>
  </si>
  <si>
    <t>alp_vw_verizon_aaf_dsy_nonms_nd_nc_rng_varejo-familiaridade_na_trafego_cpm_drct_all_1080x1920_interesse-pickups_1080x1920_amarok-taxazero_var-rng-aaf-dsy-0221-10082</t>
  </si>
  <si>
    <t>alp_vw_verizon_aaf_dsy_nonms_nd_nc_rng_varejo-familiaridade_na_trafego_cpm_drct_all_nativeads_interesse-pickups_nativeads_amarok-taxazero_var-rng-aaf-dsy-0221-10081</t>
  </si>
  <si>
    <t>Criado 12/04</t>
  </si>
  <si>
    <t>alp_vw_amazon_aaf_dsy_nonms_nd_nc_rng_varejo-familiaridade_na_trafego_cpm_prog_all_970x250_open-auction_970x250_polo-virtus-parcelas699_var-rng-aaf-dsy-0221-10045</t>
  </si>
  <si>
    <t>alp_vw_amazon_aaf_dsy_nonms_nd_nc_rng_varejo-familiaridade_na_trafego_cpm_prog_all_320x50_open-auction_320x50_polo-virtus-parcelas699_var-rng-aaf-dsy-0221-10044</t>
  </si>
  <si>
    <t>alp_vw_amazon_aaf_dsy_nonms_nd_nc_rng_varejo-familiaridade_na_trafego_cpm_prog_all_728x90_open-auction_728x90_polo-virtus-parcelas699_var-rng-aaf-dsy-0221-10043</t>
  </si>
  <si>
    <t>alp_vw_amazon_aaf_dsy_nonms_nd_nc_rng_varejo-familiaridade_na_trafego_cpm_prog_all_300x600_open-auction_300x600_polo-virtus-parcelas699_var-rng-aaf-dsy-0221-10042</t>
  </si>
  <si>
    <t>alp_vw_amazon_aaf_dsy_nonms_nd_nc_rng_varejo-familiaridade_na_trafego_cpm_prog_all_300x250_open-auction_300x250_polo-virtus-parcelas699_var-rng-aaf-dsy-0221-10041</t>
  </si>
  <si>
    <t>alp_vw_amazon_aaf_dsy_nonms_nd_nc_rng_varejo-familiaridade_na_trafego_cpm_prog_all_160x600_open-auction_160x600_polo-virtus-parcelas699_var-rng-aaf-dsy-0221-10040</t>
  </si>
  <si>
    <t>alp_vw_amazon_aaf_dsy_nonms_nd_nc_rng_varejo-familiaridade_na_trafego_cpm_prog_all_970x250_interesse-autos_970x250_polo-virtus-parcelas699_var-rng-aaf-dsy-0221-10035</t>
  </si>
  <si>
    <t>alp_vw_amazon_aaf_dsy_nonms_nd_nc_rng_varejo-familiaridade_na_trafego_cpm_prog_all_320x50_interesse-autos_320x50_polo-virtus-parcelas699_var-rng-aaf-dsy-0221-10034</t>
  </si>
  <si>
    <t>alp_vw_amazon_aaf_dsy_nonms_nd_nc_rng_varejo-familiaridade_na_trafego_cpm_prog_all_728x90_interesse-autos_728x90_polo-virtus-parcelas699_var-rng-aaf-dsy-0221-10033</t>
  </si>
  <si>
    <t>alp_vw_amazon_aaf_dsy_nonms_nd_nc_rng_varejo-familiaridade_na_trafego_cpm_prog_all_300x600_interesse-autos_300x600_polo-virtus-parcelas699_var-rng-aaf-dsy-0221-10032</t>
  </si>
  <si>
    <t>alp_vw_amazon_aaf_dsy_nonms_nd_nc_rng_varejo-familiaridade_na_trafego_cpm_prog_all_300x250_interesse-autos_300x250_polo-virtus-parcelas699_var-rng-aaf-dsy-0221-10031</t>
  </si>
  <si>
    <t>alp_vw_amazon_aaf_dsy_nonms_nd_nc_rng_varejo-familiaridade_na_trafego_cpm_prog_all_160x600_interesse-autos_160x600_polo-virtus-parcelas699_var-rng-aaf-dsy-0221-10030</t>
  </si>
  <si>
    <t>alp_vw_dv360-uol_aaf_dsy_nonms_nd_nc_rng_varejo-familiaridade_na_trafego_cpm_prog_all_300x250_interesse-autos__polo-virtus-parcelas699_var-rng-aaf-dsy-0221-10056</t>
  </si>
  <si>
    <t>alp_vw_dv360-uol_aaf_dsy_nonms_nd_nc_rng_varejo-familiaridade_na_trafego_cpm_prog_all_970x250_interesse-autos_nativeads_polo-virtus-parcelas699_var-rng-aaf-dsy-0221-10055</t>
  </si>
  <si>
    <t>alp_vw_dv360-terra_aaf_dsy_nonms_nd_nc_rng_varejo-familiaridade_na_trafego_cpm_prog_all_300x250_interesse-autos_300x250_polo-virtus-parcelas699_var-rng-aaf-dsy-0221-10053</t>
  </si>
  <si>
    <t>alp_vw_dv360-terra_aaf_dsy_nonms_nd_nc_rng_varejo-familiaridade_na_trafego_cpm_prog_all_1260x400_interesse-autos_1260x400_polo-virtus-parcelas699_var-rng-aaf-dsy-0221-10052</t>
  </si>
  <si>
    <t>alp_vw_dv360-globo_aaf_dsy_nonms_nd_nc_rng_varejo-familiaridade_na_trafego_cpm_prog_all_970x250_interesse-autos_alp_vw_dv360-globo_aaf_dsy_nonms_nd_nc_rng_varejo-familiaridade_na_trafego_cpm_prog_all_nativeads_interesse-autos_na_todaalinha-taxazero_var-rng-aaf-dsy-0221-10018_polo-virtus-parcelas699_var-rng-aaf-dsy-0221-10065</t>
  </si>
  <si>
    <t>alp_vw_dv360-globo_aaf_dsy_nonms_nd_nc_rng_varejo-familiaridade_na_trafego_cpm_prog_all_970x150_interesse-autos_alp_vw_dv360-globo_aaf_dsy_nonms_nd_nc_rng_varejo-familiaridade_na_trafego_cpm_prog_all_nativeads_interesse-autos_na_todaalinha-taxazero_var-rng-aaf-dsy-0221-10018_polo-virtus-parcelas699_var-rng-aaf-dsy-0221-10064</t>
  </si>
  <si>
    <t>alp_vw_dv360-globo_aaf_dsy_nonms_nd_nc_rng_varejo-familiaridade_na_trafego_cpm_prog_all_300x600_interesse-autos_alp_vw_dv360-globo_aaf_dsy_nonms_nd_nc_rng_varejo-familiaridade_na_trafego_cpm_prog_all_nativeads_interesse-autos_na_todaalinha-taxazero_var-rng-aaf-dsy-0221-10018_polo-virtus-parcelas699_var-rng-aaf-dsy-0221-10063</t>
  </si>
  <si>
    <t>alp_vw_dv360-globo_aaf_dsy_nonms_nd_nc_rng_varejo-familiaridade_na_trafego_cpm_prog_all_970x90_interesse-autos_alp_vw_dv360-globo_aaf_dsy_nonms_nd_nc_rng_varejo-familiaridade_na_trafego_cpm_prog_all_nativeads_interesse-autos_na_todaalinha-taxazero_var-rng-aaf-dsy-0221-10018_polo-virtus-parcelas699_var-rng-aaf-dsy-0221-10062</t>
  </si>
  <si>
    <t>alp_vw_dv360-globo_aaf_dsy_nonms_nd_nc_rng_varejo-familiaridade_na_trafego_cpm_prog_all_300x250_interesse-autos_nativeads_polo-virtus-parcelas699_var-rng-aaf-dsy-0221-10061</t>
  </si>
  <si>
    <t>alp_vw_dv360-uol_aaf_dsy_nonms_nd_nc_rng_varejo-familiaridade_na_trafego_cpm_prog_all_320x50_interesse-autos__polo-virtus-parcelas699_var-rng-aaf-dsy-0221-10059</t>
  </si>
  <si>
    <t>alp_vw_dv360-uol_aaf_dsy_nonms_nd_nc_rng_varejo-familiaridade_na_trafego_cpm_prog_all_728x90_interesse-autos__polo-virtus-parcelas699_var-rng-aaf-dsy-0221-10058</t>
  </si>
  <si>
    <t>alp_vw_dv360-uol_aaf_dsy_nonms_nd_nc_rng_varejo-familiaridade_na_trafego_cpm_prog_all_300x600_interesse-autos__polo-virtus-parcelas699_var-rng-aaf-dsy-0221-10057</t>
  </si>
  <si>
    <t>300820554</t>
  </si>
  <si>
    <t>300820557</t>
  </si>
  <si>
    <t>300820560</t>
  </si>
  <si>
    <t>300820563</t>
  </si>
  <si>
    <t>300820569</t>
  </si>
  <si>
    <t>300820575</t>
  </si>
  <si>
    <t>300820581</t>
  </si>
  <si>
    <t>300820587</t>
  </si>
  <si>
    <t>300820593</t>
  </si>
  <si>
    <t>300820599</t>
  </si>
  <si>
    <t>300820605</t>
  </si>
  <si>
    <t>300820611</t>
  </si>
  <si>
    <t>300820542</t>
  </si>
  <si>
    <t>300820545</t>
  </si>
  <si>
    <t>300820548</t>
  </si>
  <si>
    <t>300820551</t>
  </si>
  <si>
    <t>300820566</t>
  </si>
  <si>
    <t>300820572</t>
  </si>
  <si>
    <t>300820578</t>
  </si>
  <si>
    <t>300820584</t>
  </si>
  <si>
    <t>300820590</t>
  </si>
  <si>
    <t>300820596</t>
  </si>
  <si>
    <t>300820602</t>
  </si>
  <si>
    <t>300820608</t>
  </si>
  <si>
    <t>vw_range_970x250_polo-virtus-parcelas699_adserver</t>
  </si>
  <si>
    <t>https://ofertas.vw.com.br?utm_source=dv360-uol&amp;utm_medium=Paid-Display&amp;utm_content=alp_vw_dv360-uol_aaf_dsy_nonms_nd_nc_rng_varejo-familiaridade_na_trafego_cpm_prog_all_970x250_interesse-autos_nativeads_polo-virtus-parcelas699_var-rng-aaf-dsy-0221-10055&amp;utm_campaign=BR_AAF_DSY_NONMS_ND_NC_2021Q1FEB_RNG_Varejo-Familiaridade&amp;utm_term=%epid!_%ecid!_%eaid!</t>
  </si>
  <si>
    <t>TAG</t>
  </si>
  <si>
    <t>vw_range_300x250_polo-virtus-parcelas699_adserver</t>
  </si>
  <si>
    <t>https://ofertas.vw.com.br?utm_source=dv360-uol&amp;utm_medium=Paid-Display&amp;utm_content=alp_vw_dv360-uol_aaf_dsy_nonms_nd_nc_rng_varejo-familiaridade_na_trafego_cpm_prog_all_300x250_interesse-autos__polo-virtus-parcelas699_var-rng-aaf-dsy-0221-10056&amp;utm_campaign=BR_AAF_DSY_NONMS_ND_NC_2021Q1FEB_RNG_Varejo-Familiaridade&amp;utm_term=%epid!_%ecid!_%eaid!</t>
  </si>
  <si>
    <t>vw_range_300x600_polo-virtus-parcelas699_adserver</t>
  </si>
  <si>
    <t>https://ofertas.vw.com.br?utm_source=dv360-uol&amp;utm_medium=Paid-Display&amp;utm_content=alp_vw_dv360-uol_aaf_dsy_nonms_nd_nc_rng_varejo-familiaridade_na_trafego_cpm_prog_all_300x600_interesse-autos__polo-virtus-parcelas699_var-rng-aaf-dsy-0221-10057&amp;utm_campaign=BR_AAF_DSY_NONMS_ND_NC_2021Q1FEB_RNG_Varejo-Familiaridade&amp;utm_term=%epid!_%ecid!_%eaid!</t>
  </si>
  <si>
    <t>vw_range_728x90_polo-virtus-parcelas699_adserver</t>
  </si>
  <si>
    <t>https://ofertas.vw.com.br?utm_source=dv360-uol&amp;utm_medium=Paid-Display&amp;utm_content=alp_vw_dv360-uol_aaf_dsy_nonms_nd_nc_rng_varejo-familiaridade_na_trafego_cpm_prog_all_728x90_interesse-autos__polo-virtus-parcelas699_var-rng-aaf-dsy-0221-10058&amp;utm_campaign=BR_AAF_DSY_NONMS_ND_NC_2021Q1FEB_RNG_Varejo-Familiaridade&amp;utm_term=%epid!_%ecid!_%eaid!</t>
  </si>
  <si>
    <t>vw_range_320x50_polo-virtus-parcelas699_adserver</t>
  </si>
  <si>
    <t>https://ofertas.vw.com.br?utm_source=dv360-uol&amp;utm_medium=Paid-Display&amp;utm_content=alp_vw_dv360-uol_aaf_dsy_nonms_nd_nc_rng_varejo-familiaridade_na_trafego_cpm_prog_all_320x50_interesse-autos__polo-virtus-parcelas699_var-rng-aaf-dsy-0221-10059&amp;utm_campaign=BR_AAF_DSY_NONMS_ND_NC_2021Q1FEB_RNG_Varejo-Familiaridade&amp;utm_term=%epid!_%ecid!_%eaid!</t>
  </si>
  <si>
    <t>Solicitado 13/04</t>
  </si>
  <si>
    <t>300916320</t>
  </si>
  <si>
    <t>300916323</t>
  </si>
  <si>
    <t>300916326</t>
  </si>
  <si>
    <t>300916329</t>
  </si>
  <si>
    <t>300916332</t>
  </si>
  <si>
    <t>300916335</t>
  </si>
  <si>
    <t>300916338</t>
  </si>
  <si>
    <t>300916341</t>
  </si>
  <si>
    <t>300916344</t>
  </si>
  <si>
    <t>300916347</t>
  </si>
  <si>
    <t>alp_vw_dv360-globo_aaf_dsy_nonms_nd_nc_rng_varejo-familiaridade_na_trafego_cpm_prog_all_300x600_interesse-pickups_300x600_amarok-taxazero_var-rng-aaf-dsy-0221-10093</t>
  </si>
  <si>
    <t>alp_vw_dv360-globo_aaf_dsy_nonms_nd_nc_rng_varejo-familiaridade_na_trafego_cpm_prog_all_970x90_interesse-pickups_970x90_amarok-taxazero_var-rng-aaf-dsy-0221-10092</t>
  </si>
  <si>
    <t>alp_vw_dv360-globo_aaf_dsy_nonms_nd_nc_rng_varejo-familiaridade_na_trafego_cpm_prog_all_300x250_interesse-pickups_300x250_amarok-taxazero_var-rng-aaf-dsy-0221-10091</t>
  </si>
  <si>
    <t>alp_vw_dv360-uol_aaf_dsy_nonms_nd_nc_rng_varejo-familiaridade_na_trafego_cpm_prog_all_320x50_interesse-pickups_320x50_amarok-taxazero_var-rng-aaf-dsy-0221-10090</t>
  </si>
  <si>
    <t>alp_vw_dv360-uol_aaf_dsy_nonms_nd_nc_rng_varejo-familiaridade_na_trafego_cpm_prog_all_728x90_interesse-pickups_728x90_amarok-taxazero_var-rng-aaf-dsy-0221-10089</t>
  </si>
  <si>
    <t>alp_vw_dv360-uol_aaf_dsy_nonms_nd_nc_rng_varejo-familiaridade_na_trafego_cpm_prog_all_300x600_interesse-pickups_300x600_amarok-taxazero_var-rng-aaf-dsy-0221-10088</t>
  </si>
  <si>
    <t>alp_vw_dv360-globo_aaf_dsy_nonms_nd_nc_rng_varejo-familiaridade_na_trafego_cpm_prog_all_970x250_interesse-pickups_970x250_amarok-taxazero_var-rng-aaf-dsy-0221-10095</t>
  </si>
  <si>
    <t>alp_vw_dv360-uol_aaf_dsy_nonms_nd_nc_rng_varejo-familiaridade_na_trafego_cpm_prog_all_300x250_interesse-pickups_300x250_amarok-taxazero_var-rng-aaf-dsy-0221-10087</t>
  </si>
  <si>
    <t>alp_vw_dv360-globo_aaf_dsy_nonms_nd_nc_rng_varejo-familiaridade_na_trafego_cpm_prog_all_970x150_interesse-pickups_970x150_amarok-taxazero_var-rng-aaf-dsy-0221-10094</t>
  </si>
  <si>
    <t>alp_vw_dv360-uol_aaf_dsy_nonms_nd_nc_rng_varejo-familiaridade_na_trafego_cpm_prog_all_970x250_interesse-pickups_970x250_amarok-taxazero_var-rng-aaf-dsy-0221-10086</t>
  </si>
  <si>
    <t>Criado 13/04</t>
  </si>
  <si>
    <t>vw_range_nativeads_amarok-taxazero_dv360</t>
  </si>
  <si>
    <t>https://ofertas.vw.com.br/modelo/?modelo=Amarok&amp;utm_source=dv360&amp;utm_medium=Paid-Display&amp;utm_content=alp_vw_dv360_aaf_dsy_nonms_nd_nc_rng_varejo-familiaridade_na_trafego_cpm_prog_all_nativeads_nc-3rd-party_nativeads_amarok-taxazero_var-rng-aaf-dsy-0221-10072&amp;utm_campaign=BR_AAF_DSY_NONMS_ND_NC_2021Q1FEB_RNG_Varejo-Familiaridade&amp;utm_term=%epid!_%ecid!_%eaid!</t>
  </si>
  <si>
    <t>run-of-network</t>
  </si>
  <si>
    <t>varejo-familiaridade</t>
  </si>
  <si>
    <t>https://ofertas.vw.com.br/modelo/?modelo=Amarok&amp;utm_source=dv360&amp;utm_medium=Paid-Display&amp;utm_content=alp_vw_dv360_aaf_dsy_nonms_nd_nc_rng_varejo-familiaridade_na_trafego_cpm_prog_all_nativeads_nc-inmarket_nativeads_amarok-taxazero_var-rng-aaf-dsy-0221-10073&amp;utm_campaign=BR_AAF_DSY_NONMS_ND_NC_2021Q1FEB_RNG_Varejo-Familiaridade&amp;utm_term=%epid!_%ecid!_%eaid!</t>
  </si>
  <si>
    <t>https://ofertas.vw.com.br/modelo/?modelo=Amarok&amp;utm_source=dv360&amp;utm_medium=Paid-Display&amp;utm_content=alp_vw_dv360_aaf_dsy_nonms_nd_nc_rng_varejo-familiaridade_na_trafego_cpm_prog_all_nativeads_nc-lal_nativeads_amarok-taxazero_var-rng-aaf-dsy-0221-10074&amp;utm_campaign=BR_AAF_DSY_NONMS_ND_NC_2021Q1FEB_RNG_Varejo-Familiaridade&amp;utm_term=%epid!_%ecid!_%eaid!</t>
  </si>
  <si>
    <t>300926670</t>
  </si>
  <si>
    <t>300926673</t>
  </si>
  <si>
    <t>300926679</t>
  </si>
  <si>
    <t>300926682</t>
  </si>
  <si>
    <t>300926685</t>
  </si>
  <si>
    <t>300926688</t>
  </si>
  <si>
    <t>300926691</t>
  </si>
  <si>
    <t>300926697</t>
  </si>
  <si>
    <t>300926700</t>
  </si>
  <si>
    <t>300926703</t>
  </si>
  <si>
    <t>300926706</t>
  </si>
  <si>
    <t>300926709</t>
  </si>
  <si>
    <t>300926712</t>
  </si>
  <si>
    <t>300926718</t>
  </si>
  <si>
    <t>300926721</t>
  </si>
  <si>
    <t>alp_vw_dv360_aaf_dsy_nonms_nd_nc_rng_varejo-familiaridade_na_trafego_cpm_prog_all_300x600_nc-lal__amarok-taxazero_var-rng-aaf-dsy-0221-10111</t>
  </si>
  <si>
    <t>alp_vw_dv360_aaf_dsy_nonms_nd_nc_rng_varejo-familiaridade_na_trafego_cpm_prog_all_300x250_nc-lal__amarok-taxazero_var-rng-aaf-dsy-0221-10110</t>
  </si>
  <si>
    <t>alp_vw_dv360_aaf_dsy_nonms_nd_nc_rng_varejo-familiaridade_na_trafego_cpm_prog_all_160x600_nc-lal_nativeads_amarok-taxazero_var-rng-aaf-dsy-0221-10108</t>
  </si>
  <si>
    <t>alp_vw_dv360_aaf_dsy_nonms_nd_nc_rng_varejo-familiaridade_na_trafego_cpm_prog_all_728x90_nc-inmarket__amarok-taxazero_var-rng-aaf-dsy-0221-10107</t>
  </si>
  <si>
    <t>alp_vw_dv360_aaf_dsy_nonms_nd_nc_rng_varejo-familiaridade_na_trafego_cpm_prog_all_320x50_nc-inmarket__amarok-taxazero_var-rng-aaf-dsy-0221-10106</t>
  </si>
  <si>
    <t>alp_vw_dv360_aaf_dsy_nonms_nd_nc_rng_varejo-familiaridade_na_trafego_cpm_prog_all_300x600_nc-inmarket__amarok-taxazero_var-rng-aaf-dsy-0221-10105</t>
  </si>
  <si>
    <t>alp_vw_dv360_aaf_dsy_nonms_nd_nc_rng_varejo-familiaridade_na_trafego_cpm_prog_all_300x250_nc-inmarket__amarok-taxazero_var-rng-aaf-dsy-0221-10104</t>
  </si>
  <si>
    <t>alp_vw_dv360_aaf_dsy_nonms_nd_nc_rng_varejo-familiaridade_na_trafego_cpm_prog_all_160x600_nc-inmarket_nativeads_amarok-taxazero_var-rng-aaf-dsy-0221-10102</t>
  </si>
  <si>
    <t>alp_vw_dv360_aaf_dsy_nonms_nd_nc_rng_varejo-familiaridade_na_trafego_cpm_prog_all_728x90_nc-3rd-party__amarok-taxazero_var-rng-aaf-dsy-0221-10101</t>
  </si>
  <si>
    <t>alp_vw_dv360_aaf_dsy_nonms_nd_nc_rng_varejo-familiaridade_na_trafego_cpm_prog_all_320x50_nc-3rd-party__amarok-taxazero_var-rng-aaf-dsy-0221-10100</t>
  </si>
  <si>
    <t>alp_vw_dv360_aaf_dsy_nonms_nd_nc_rng_varejo-familiaridade_na_trafego_cpm_prog_all_300x600_nc-3rd-party__amarok-taxazero_var-rng-aaf-dsy-0221-10099</t>
  </si>
  <si>
    <t>alp_vw_dv360_aaf_dsy_nonms_nd_nc_rng_varejo-familiaridade_na_trafego_cpm_prog_all_300x250_nc-3rd-party__amarok-taxazero_var-rng-aaf-dsy-0221-10098</t>
  </si>
  <si>
    <t>alp_vw_dv360_aaf_dsy_nonms_nd_nc_rng_varejo-familiaridade_na_trafego_cpm_prog_all_728x90_nc-lal__amarok-taxazero_var-rng-aaf-dsy-0221-10113</t>
  </si>
  <si>
    <t>alp_vw_dv360_aaf_dsy_nonms_nd_nc_rng_varejo-familiaridade_na_trafego_cpm_prog_all_320x50_nc-lal__amarok-taxazero_var-rng-aaf-dsy-0221-10112</t>
  </si>
  <si>
    <t>alp_vw_dv360_aaf_dsy_nonms_nd_nc_rng_varejo-familiaridade_na_trafego_cpm_prog_all_160x600_nc-3rd-party_nativeads_amarok-taxazero_var-rng-aaf-dsy-0221-10096</t>
  </si>
  <si>
    <t>301006938</t>
  </si>
  <si>
    <t>301006941</t>
  </si>
  <si>
    <t>301006944</t>
  </si>
  <si>
    <t>301006947</t>
  </si>
  <si>
    <t>301006950</t>
  </si>
  <si>
    <t>301006953</t>
  </si>
  <si>
    <t>301006956</t>
  </si>
  <si>
    <t>301006959</t>
  </si>
  <si>
    <t>301006962</t>
  </si>
  <si>
    <t>301006965</t>
  </si>
  <si>
    <t>alp_vw_dv360-globo_aaf_dsy_nonms_nd_nc_rng_varejo-familiaridade_na_trafego_cpm_prog_all_300x600_interesse-pickups__amarok-taxazero_var-rng-aaf-dsy-0221-10093</t>
  </si>
  <si>
    <t>alp_vw_dv360-globo_aaf_dsy_nonms_nd_nc_rng_varejo-familiaridade_na_trafego_cpm_prog_all_970x90_interesse-pickups__amarok-taxazero_var-rng-aaf-dsy-0221-10092</t>
  </si>
  <si>
    <t>alp_vw_dv360-globo_aaf_dsy_nonms_nd_nc_rng_varejo-familiaridade_na_trafego_cpm_prog_all_300x250_interesse-pickups__amarok-taxazero_var-rng-aaf-dsy-0221-10091</t>
  </si>
  <si>
    <t>alp_vw_dv360-globo_aaf_dsy_nonms_nd_nc_rng_varejo-familiaridade_na_trafego_cpm_prog_all_970x250_interesse-autos__polo-virtus-parcelas699_var-rng-aaf-dsy-0221-10065</t>
  </si>
  <si>
    <t>alp_vw_dv360-globo_aaf_dsy_nonms_nd_nc_rng_varejo-familiaridade_na_trafego_cpm_prog_all_970x150_interesse-autos__polo-virtus-parcelas699_var-rng-aaf-dsy-0221-10064</t>
  </si>
  <si>
    <t>alp_vw_dv360-globo_aaf_dsy_nonms_nd_nc_rng_varejo-familiaridade_na_trafego_cpm_prog_all_300x600_interesse-autos__polo-virtus-parcelas699_var-rng-aaf-dsy-0221-10063</t>
  </si>
  <si>
    <t>alp_vw_dv360-globo_aaf_dsy_nonms_nd_nc_rng_varejo-familiaridade_na_trafego_cpm_prog_all_970x250_interesse-pickups__amarok-taxazero_var-rng-aaf-dsy-0221-10095</t>
  </si>
  <si>
    <t>alp_vw_dv360-globo_aaf_dsy_nonms_nd_nc_rng_varejo-familiaridade_na_trafego_cpm_prog_all_970x90_interesse-autos__polo-virtus-parcelas699_var-rng-aaf-dsy-0221-10062</t>
  </si>
  <si>
    <t>alp_vw_dv360-globo_aaf_dsy_nonms_nd_nc_rng_varejo-familiaridade_na_trafego_cpm_prog_all_970x150_interesse-pickups__amarok-taxazero_var-rng-aaf-dsy-0221-10094</t>
  </si>
  <si>
    <t>alp_vw_dv360-globo_aaf_dsy_nonms_nd_nc_rng_varejo-familiaridade_na_trafego_cpm_prog_all_300x250_interesse-autos__polo-virtus-parcelas699_var-rng-aaf-dsy-0221-10061</t>
  </si>
  <si>
    <t>Criado 14/04</t>
  </si>
  <si>
    <t>Solicitado 14/04</t>
  </si>
  <si>
    <t>Enviado 14/04</t>
  </si>
  <si>
    <t>alp_vw_amazon_aaf_dsy_nonms_nd_nc_rng_varejo-familiaridade_na_trafego_cpm_prog_all_970x250_open-auction_970x250_amarok-taxazero_var-rng-aaf-dsy-0221-10129</t>
  </si>
  <si>
    <t>alp_vw_amazon_aaf_dsy_nonms_nd_nc_rng_varejo-familiaridade_na_trafego_cpm_prog_all_320x50_open-auction_320x50_amarok-taxazero_var-rng-aaf-dsy-0221-10128</t>
  </si>
  <si>
    <t>alp_vw_amazon_aaf_dsy_nonms_nd_nc_rng_varejo-familiaridade_na_trafego_cpm_prog_all_728x90_open-auction_728x90_amarok-taxazero_var-rng-aaf-dsy-0221-10127</t>
  </si>
  <si>
    <t>alp_vw_amazon_aaf_dsy_nonms_nd_nc_rng_varejo-familiaridade_na_trafego_cpm_prog_all_300x600_open-auction_300x600_amarok-taxazero_var-rng-aaf-dsy-0221-10126</t>
  </si>
  <si>
    <t>alp_vw_amazon_aaf_dsy_nonms_nd_nc_rng_varejo-familiaridade_na_trafego_cpm_prog_all_300x250_open-auction_300x250_amarok-taxazero_var-rng-aaf-dsy-0221-10125</t>
  </si>
  <si>
    <t>alp_vw_amazon_aaf_dsy_nonms_nd_nc_rng_varejo-familiaridade_na_trafego_cpm_prog_all_160x600_open-auction_160x600_amarok-taxazero_var-rng-aaf-dsy-0221-10124</t>
  </si>
  <si>
    <t>alp_vw_amazon_aaf_dsy_nonms_nd_nc_rng_varejo-familiaridade_na_trafego_cpm_prog_all_970x250_interesse-pickups_970x250_amarok-taxazero_var-rng-aaf-dsy-0221-10123</t>
  </si>
  <si>
    <t>alp_vw_amazon_aaf_dsy_nonms_nd_nc_rng_varejo-familiaridade_na_trafego_cpm_prog_all_320x50_interesse-pickups_320x50_amarok-taxazero_var-rng-aaf-dsy-0221-10122</t>
  </si>
  <si>
    <t>alp_vw_amazon_aaf_dsy_nonms_nd_nc_rng_varejo-familiaridade_na_trafego_cpm_prog_all_728x90_interesse-pickups_728x90_amarok-taxazero_var-rng-aaf-dsy-0221-10121</t>
  </si>
  <si>
    <t>alp_vw_amazon_aaf_dsy_nonms_nd_nc_rng_varejo-familiaridade_na_trafego_cpm_prog_all_300x600_interesse-pickups_300x600_amarok-taxazero_var-rng-aaf-dsy-0221-10120</t>
  </si>
  <si>
    <t>alp_vw_amazon_aaf_dsy_nonms_nd_nc_rng_varejo-familiaridade_na_trafego_cpm_prog_all_300x250_interesse-pickups_300x250_amarok-taxazero_var-rng-aaf-dsy-0221-10119</t>
  </si>
  <si>
    <t>alp_vw_amazon_aaf_dsy_nonms_nd_nc_rng_varejo-familiaridade_na_trafego_cpm_prog_all_160x600_interesse-pickups_160x600_amarok-taxazero_var-rng-aaf-dsy-0221-10118</t>
  </si>
  <si>
    <t>300945068</t>
  </si>
  <si>
    <t>300945071</t>
  </si>
  <si>
    <t>300945074</t>
  </si>
  <si>
    <t>300945077</t>
  </si>
  <si>
    <t>300945080</t>
  </si>
  <si>
    <t>300945083</t>
  </si>
  <si>
    <t>300945086</t>
  </si>
  <si>
    <t>300945089</t>
  </si>
  <si>
    <t>301025109</t>
  </si>
  <si>
    <t>301025112</t>
  </si>
  <si>
    <t>301025115</t>
  </si>
  <si>
    <t>301025118</t>
  </si>
  <si>
    <t>alp_vw_amazon_aaf_dsy_nonms_nd_nc_rng_varejo-familiaridade_na_trafego_cpm_prog_all_728x90_open-auction_728x90_amarok-taxazero_var-rng-aaf-dsy-0221-10117</t>
  </si>
  <si>
    <t>alp_vw_amazon_aaf_dsy_nonms_nd_nc_rng_varejo-familiaridade_na_trafego_cpm_prog_all_414x125_open-auction_414x125_amarok-taxazero_var-rng-aaf-dsy-0221-10116</t>
  </si>
  <si>
    <t>alp_vw_amazon_aaf_dsy_nonms_nd_nc_rng_varejo-familiaridade_na_trafego_cpm_prog_all_320x50_open-auction_320x50_amarok-taxazero_var-rng-aaf-dsy-0221-10115</t>
  </si>
  <si>
    <t>alp_vw_amazon_aaf_dsy_nonms_nd_nc_rng_varejo-familiaridade_na_trafego_cpm_prog_all_300x250_open-auction_300x250_amarok-taxazero_var-rng-aaf-dsy-0221-10114</t>
  </si>
  <si>
    <t>https://ad.doubleclick.net/ddm/trackclk/N9487.3350855AMAZONBRAZIL/B25333445.301025121;dc_trk_aid=493709579;dc_trk_cid=145996180;dc_lat=;dc_rdid=;tag_for_child_directed_treatment=;tfua=</t>
  </si>
  <si>
    <t>https://ad.doubleclick.net/ddm/trackclk/N9487.3350855AMAZONBRAZIL/B25333445.301025124;dc_trk_aid=493709582;dc_trk_cid=145996180;dc_lat=;dc_rdid=;tag_for_child_directed_treatment=;tfua=</t>
  </si>
  <si>
    <t>https://ad.doubleclick.net/ddm/trackclk/N9487.3350855AMAZONBRAZIL/B25333445.301025127;dc_trk_aid=493709585;dc_trk_cid=145996180;dc_lat=;dc_rdid=;tag_for_child_directed_treatment=;tfua=</t>
  </si>
  <si>
    <t>https://ad.doubleclick.net/ddm/trackclk/N9487.3350855AMAZONBRAZIL/B25333445.301025130;dc_trk_aid=493709588;dc_trk_cid=145996180;dc_lat=;dc_rdid=;tag_for_child_directed_treatment=;tfua=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</si>
</sst>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name val="Arial"/>
      <family val="2"/>
    </font>
    <font>
      <b/>
      <sz val="10"/>
      <color theme="0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rgb="FF0070C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theme="0" tint="-0.24994659260841701"/>
      </left>
      <right style="hair">
        <color theme="0" tint="-0.24994659260841701"/>
      </right>
      <top style="hair">
        <color theme="0" tint="-0.24994659260841701"/>
      </top>
      <bottom style="hair">
        <color theme="0" tint="-0.24994659260841701"/>
      </bottom>
      <diagonal/>
    </border>
    <border>
      <left style="hair">
        <color theme="0" tint="-0.24994659260841701"/>
      </left>
      <right style="hair">
        <color theme="0" tint="-0.24994659260841701"/>
      </right>
      <top/>
      <bottom style="hair">
        <color theme="0" tint="-0.24994659260841701"/>
      </bottom>
      <diagonal/>
    </border>
    <border>
      <left style="hair">
        <color theme="0" tint="-0.24994659260841701"/>
      </left>
      <right style="hair">
        <color theme="0" tint="-0.24994659260841701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</borders>
  <cellStyleXfs count="3">
    <xf numFmtId="0" fontId="0" fillId="0" borderId="0"/>
    <xf numFmtId="0" fontId="6" fillId="0" borderId="0"/>
    <xf numFmtId="0" fontId="9" fillId="0" borderId="0" applyNumberFormat="0" applyFill="0" applyBorder="0" applyAlignment="0" applyProtection="0"/>
  </cellStyleXfs>
  <cellXfs count="65">
    <xf numFmtId="0" fontId="0" fillId="0" borderId="0" xfId="0"/>
    <xf numFmtId="0" fontId="2" fillId="3" borderId="3" xfId="0" applyFont="1" applyFill="1" applyBorder="1" applyAlignment="1">
      <alignment horizontal="center" vertical="center" wrapText="1"/>
    </xf>
    <xf numFmtId="0" fontId="2" fillId="4" borderId="3" xfId="0" applyFont="1" applyFill="1" applyBorder="1" applyAlignment="1">
      <alignment horizontal="center" vertical="center" wrapText="1"/>
    </xf>
    <xf numFmtId="0" fontId="2" fillId="5" borderId="3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3" fillId="0" borderId="0" xfId="0" applyFont="1" applyAlignment="1">
      <alignment vertical="center"/>
    </xf>
    <xf numFmtId="0" fontId="1" fillId="4" borderId="6" xfId="0" applyFont="1" applyFill="1" applyBorder="1" applyAlignment="1">
      <alignment horizontal="left" vertical="center"/>
    </xf>
    <xf numFmtId="0" fontId="1" fillId="4" borderId="1" xfId="0" applyFont="1" applyFill="1" applyBorder="1" applyAlignment="1">
      <alignment horizontal="left" vertical="center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2" xfId="0" applyBorder="1"/>
    <xf numFmtId="0" fontId="0" fillId="0" borderId="10" xfId="0" applyBorder="1"/>
    <xf numFmtId="0" fontId="0" fillId="0" borderId="11" xfId="0" applyBorder="1"/>
    <xf numFmtId="0" fontId="5" fillId="0" borderId="0" xfId="0" applyFont="1" applyAlignment="1">
      <alignment vertical="top" wrapText="1"/>
    </xf>
    <xf numFmtId="0" fontId="1" fillId="0" borderId="0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vertical="center"/>
    </xf>
    <xf numFmtId="0" fontId="2" fillId="4" borderId="5" xfId="0" applyFont="1" applyFill="1" applyBorder="1" applyAlignment="1">
      <alignment horizontal="center" vertical="center" wrapText="1"/>
    </xf>
    <xf numFmtId="0" fontId="2" fillId="4" borderId="5" xfId="0" quotePrefix="1" applyFont="1" applyFill="1" applyBorder="1" applyAlignment="1">
      <alignment horizontal="center" vertical="center" wrapText="1"/>
    </xf>
    <xf numFmtId="0" fontId="0" fillId="0" borderId="0" xfId="0" applyFill="1"/>
    <xf numFmtId="0" fontId="1" fillId="2" borderId="0" xfId="0" applyFont="1" applyFill="1" applyBorder="1" applyAlignment="1">
      <alignment horizontal="center" vertical="center"/>
    </xf>
    <xf numFmtId="0" fontId="2" fillId="7" borderId="5" xfId="0" applyFont="1" applyFill="1" applyBorder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 wrapText="1"/>
    </xf>
    <xf numFmtId="0" fontId="3" fillId="0" borderId="0" xfId="0" applyFont="1" applyAlignment="1">
      <alignment vertical="center" wrapText="1"/>
    </xf>
    <xf numFmtId="0" fontId="0" fillId="6" borderId="0" xfId="0" applyFill="1"/>
    <xf numFmtId="0" fontId="1" fillId="6" borderId="0" xfId="0" applyFont="1" applyFill="1" applyBorder="1" applyAlignment="1">
      <alignment horizontal="center" vertical="center"/>
    </xf>
    <xf numFmtId="0" fontId="2" fillId="8" borderId="3" xfId="0" applyFont="1" applyFill="1" applyBorder="1" applyAlignment="1">
      <alignment horizontal="center" vertical="center" wrapText="1"/>
    </xf>
    <xf numFmtId="0" fontId="2" fillId="8" borderId="5" xfId="0" applyFont="1" applyFill="1" applyBorder="1" applyAlignment="1">
      <alignment horizontal="center" vertical="center" wrapText="1"/>
    </xf>
    <xf numFmtId="0" fontId="7" fillId="4" borderId="12" xfId="0" quotePrefix="1" applyFont="1" applyFill="1" applyBorder="1" applyAlignment="1">
      <alignment horizontal="center" vertical="center" wrapText="1"/>
    </xf>
    <xf numFmtId="0" fontId="2" fillId="9" borderId="5" xfId="0" quotePrefix="1" applyFont="1" applyFill="1" applyBorder="1" applyAlignment="1">
      <alignment horizontal="center" vertical="center" wrapText="1"/>
    </xf>
    <xf numFmtId="0" fontId="1" fillId="2" borderId="0" xfId="0" applyFont="1" applyFill="1" applyBorder="1" applyAlignment="1">
      <alignment horizontal="center" vertical="center"/>
    </xf>
    <xf numFmtId="0" fontId="0" fillId="0" borderId="0" xfId="0" quotePrefix="1"/>
    <xf numFmtId="0" fontId="2" fillId="10" borderId="5" xfId="0" applyFont="1" applyFill="1" applyBorder="1" applyAlignment="1">
      <alignment horizontal="center" vertical="center" wrapText="1"/>
    </xf>
    <xf numFmtId="0" fontId="0" fillId="0" borderId="0" xfId="0" applyBorder="1"/>
    <xf numFmtId="0" fontId="0" fillId="0" borderId="0" xfId="0" applyAlignment="1">
      <alignment wrapText="1"/>
    </xf>
    <xf numFmtId="0" fontId="0" fillId="0" borderId="12" xfId="0" applyBorder="1"/>
    <xf numFmtId="0" fontId="4" fillId="11" borderId="3" xfId="0" applyFont="1" applyFill="1" applyBorder="1" applyAlignment="1">
      <alignment horizontal="center" vertical="center"/>
    </xf>
    <xf numFmtId="0" fontId="4" fillId="11" borderId="3" xfId="0" applyFont="1" applyFill="1" applyBorder="1" applyAlignment="1">
      <alignment horizontal="left" vertical="center"/>
    </xf>
    <xf numFmtId="0" fontId="4" fillId="11" borderId="3" xfId="0" quotePrefix="1" applyFont="1" applyFill="1" applyBorder="1" applyAlignment="1">
      <alignment horizontal="left" vertical="center"/>
    </xf>
    <xf numFmtId="0" fontId="4" fillId="6" borderId="3" xfId="0" applyFont="1" applyFill="1" applyBorder="1" applyAlignment="1">
      <alignment horizontal="center" vertical="center"/>
    </xf>
    <xf numFmtId="0" fontId="4" fillId="6" borderId="3" xfId="0" applyFont="1" applyFill="1" applyBorder="1" applyAlignment="1">
      <alignment horizontal="left" vertical="center"/>
    </xf>
    <xf numFmtId="0" fontId="4" fillId="6" borderId="3" xfId="0" applyFont="1" applyFill="1" applyBorder="1" applyAlignment="1">
      <alignment vertical="top" wrapText="1"/>
    </xf>
    <xf numFmtId="0" fontId="9" fillId="11" borderId="3" xfId="2" applyFill="1" applyBorder="1" applyAlignment="1">
      <alignment horizontal="left" vertical="center"/>
    </xf>
    <xf numFmtId="0" fontId="0" fillId="11" borderId="0" xfId="0" applyFill="1"/>
    <xf numFmtId="14" fontId="4" fillId="11" borderId="3" xfId="0" applyNumberFormat="1" applyFont="1" applyFill="1" applyBorder="1" applyAlignment="1">
      <alignment horizontal="center" vertical="center"/>
    </xf>
    <xf numFmtId="0" fontId="10" fillId="11" borderId="3" xfId="0" applyFont="1" applyFill="1" applyBorder="1" applyAlignment="1">
      <alignment horizontal="center" vertical="center"/>
    </xf>
    <xf numFmtId="0" fontId="4" fillId="11" borderId="3" xfId="0" applyFont="1" applyFill="1" applyBorder="1" applyAlignment="1">
      <alignment vertical="top" wrapText="1"/>
    </xf>
    <xf numFmtId="0" fontId="4" fillId="6" borderId="3" xfId="0" quotePrefix="1" applyFont="1" applyFill="1" applyBorder="1" applyAlignment="1">
      <alignment horizontal="left" vertical="center"/>
    </xf>
    <xf numFmtId="14" fontId="4" fillId="6" borderId="3" xfId="0" applyNumberFormat="1" applyFont="1" applyFill="1" applyBorder="1" applyAlignment="1">
      <alignment horizontal="center" vertical="center"/>
    </xf>
    <xf numFmtId="0" fontId="9" fillId="6" borderId="3" xfId="2" applyFill="1" applyBorder="1" applyAlignment="1">
      <alignment horizontal="left" vertical="center"/>
    </xf>
    <xf numFmtId="0" fontId="10" fillId="6" borderId="3" xfId="0" applyFont="1" applyFill="1" applyBorder="1" applyAlignment="1">
      <alignment horizontal="center" vertical="center"/>
    </xf>
    <xf numFmtId="0" fontId="0" fillId="6" borderId="0" xfId="0" applyFill="1" applyAlignment="1">
      <alignment wrapText="1"/>
    </xf>
    <xf numFmtId="0" fontId="4" fillId="0" borderId="3" xfId="0" applyFont="1" applyFill="1" applyBorder="1" applyAlignment="1">
      <alignment horizontal="center" vertical="center"/>
    </xf>
    <xf numFmtId="14" fontId="4" fillId="0" borderId="3" xfId="0" applyNumberFormat="1" applyFont="1" applyFill="1" applyBorder="1" applyAlignment="1">
      <alignment horizontal="center" vertical="center"/>
    </xf>
    <xf numFmtId="0" fontId="9" fillId="0" borderId="3" xfId="2" applyFill="1" applyBorder="1" applyAlignment="1">
      <alignment horizontal="left" vertical="center"/>
    </xf>
    <xf numFmtId="0" fontId="10" fillId="0" borderId="3" xfId="0" applyFont="1" applyFill="1" applyBorder="1" applyAlignment="1">
      <alignment horizontal="center" vertical="center"/>
    </xf>
    <xf numFmtId="0" fontId="4" fillId="0" borderId="3" xfId="0" applyFont="1" applyFill="1" applyBorder="1" applyAlignment="1">
      <alignment horizontal="left" vertical="center"/>
    </xf>
    <xf numFmtId="0" fontId="4" fillId="0" borderId="3" xfId="0" quotePrefix="1" applyFont="1" applyFill="1" applyBorder="1" applyAlignment="1">
      <alignment horizontal="left" vertical="center"/>
    </xf>
    <xf numFmtId="0" fontId="4" fillId="0" borderId="3" xfId="0" applyFont="1" applyFill="1" applyBorder="1" applyAlignment="1">
      <alignment vertical="top" wrapText="1"/>
    </xf>
    <xf numFmtId="0" fontId="5" fillId="0" borderId="0" xfId="0" applyFont="1" applyFill="1" applyAlignment="1">
      <alignment vertical="top" wrapText="1"/>
    </xf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13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</cellXfs>
  <cellStyles count="3">
    <cellStyle name="Hiperlink" xfId="2" builtinId="8"/>
    <cellStyle name="Normal" xfId="0" builtinId="0"/>
    <cellStyle name="Normal 2" xfId="1" xr:uid="{3881D5BE-8688-4766-9992-BC3031218A30}"/>
  </cellStyles>
  <dxfs count="16">
    <dxf>
      <font>
        <b val="0"/>
        <i val="0"/>
        <color theme="0"/>
      </font>
      <fill>
        <patternFill>
          <bgColor theme="8"/>
        </patternFill>
      </fill>
    </dxf>
    <dxf>
      <fill>
        <patternFill>
          <bgColor theme="5"/>
        </patternFill>
      </fill>
    </dxf>
    <dxf>
      <font>
        <b val="0"/>
        <i val="0"/>
        <color theme="0"/>
      </font>
      <fill>
        <patternFill>
          <bgColor theme="8"/>
        </patternFill>
      </fill>
    </dxf>
    <dxf>
      <fill>
        <patternFill>
          <bgColor theme="5"/>
        </patternFill>
      </fill>
    </dxf>
    <dxf>
      <font>
        <b val="0"/>
        <i val="0"/>
        <color theme="0"/>
      </font>
      <fill>
        <patternFill>
          <bgColor theme="8"/>
        </patternFill>
      </fill>
    </dxf>
    <dxf>
      <fill>
        <patternFill>
          <bgColor theme="5"/>
        </patternFill>
      </fill>
    </dxf>
    <dxf>
      <font>
        <b val="0"/>
        <i val="0"/>
        <color theme="0"/>
      </font>
      <fill>
        <patternFill>
          <bgColor theme="8"/>
        </patternFill>
      </fill>
    </dxf>
    <dxf>
      <fill>
        <patternFill>
          <bgColor theme="5"/>
        </patternFill>
      </fill>
    </dxf>
    <dxf>
      <font>
        <b val="0"/>
        <i val="0"/>
        <color theme="0"/>
      </font>
      <fill>
        <patternFill>
          <bgColor theme="8"/>
        </patternFill>
      </fill>
    </dxf>
    <dxf>
      <fill>
        <patternFill>
          <bgColor theme="5"/>
        </patternFill>
      </fill>
    </dxf>
    <dxf>
      <font>
        <b val="0"/>
        <i val="0"/>
        <color theme="0"/>
      </font>
      <fill>
        <patternFill>
          <bgColor theme="8"/>
        </patternFill>
      </fill>
    </dxf>
    <dxf>
      <fill>
        <patternFill>
          <bgColor theme="5"/>
        </patternFill>
      </fill>
    </dxf>
    <dxf>
      <font>
        <b val="0"/>
        <i val="0"/>
        <color theme="0"/>
      </font>
      <fill>
        <patternFill>
          <bgColor theme="8"/>
        </patternFill>
      </fill>
    </dxf>
    <dxf>
      <fill>
        <patternFill>
          <bgColor theme="5"/>
        </patternFill>
      </fill>
    </dxf>
    <dxf>
      <font>
        <b val="0"/>
        <i val="0"/>
        <color theme="0"/>
      </font>
      <fill>
        <patternFill>
          <bgColor theme="8"/>
        </patternFill>
      </fill>
    </dxf>
    <dxf>
      <fill>
        <patternFill>
          <bgColor theme="5"/>
        </patternFill>
      </fill>
    </dxf>
  </dxfs>
  <tableStyles count="0" defaultTableStyle="TableStyleMedium2" defaultPivotStyle="PivotStyleLight16"/>
  <colors>
    <mruColors>
      <color rgb="FFEE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hyperlink" Target="https://ofertas.vw.com.br/" TargetMode="External"/><Relationship Id="rId21" Type="http://schemas.openxmlformats.org/officeDocument/2006/relationships/hyperlink" Target="https://ofertas.vw.com.br/" TargetMode="External"/><Relationship Id="rId34" Type="http://schemas.openxmlformats.org/officeDocument/2006/relationships/hyperlink" Target="https://ofertas.vw.com.br/" TargetMode="External"/><Relationship Id="rId42" Type="http://schemas.openxmlformats.org/officeDocument/2006/relationships/hyperlink" Target="https://ofertas.vw.com.br/" TargetMode="External"/><Relationship Id="rId47" Type="http://schemas.openxmlformats.org/officeDocument/2006/relationships/hyperlink" Target="https://ofertas.vw.com.br/" TargetMode="External"/><Relationship Id="rId50" Type="http://schemas.openxmlformats.org/officeDocument/2006/relationships/hyperlink" Target="https://ofertas.vw.com.br/" TargetMode="External"/><Relationship Id="rId55" Type="http://schemas.openxmlformats.org/officeDocument/2006/relationships/hyperlink" Target="https://ofertas.vw.com.br/" TargetMode="External"/><Relationship Id="rId63" Type="http://schemas.openxmlformats.org/officeDocument/2006/relationships/hyperlink" Target="https://ofertas.vw.com.br/" TargetMode="External"/><Relationship Id="rId68" Type="http://schemas.openxmlformats.org/officeDocument/2006/relationships/printerSettings" Target="../printerSettings/printerSettings2.bin"/><Relationship Id="rId7" Type="http://schemas.openxmlformats.org/officeDocument/2006/relationships/hyperlink" Target="https://ofertas.vw.com.br/" TargetMode="External"/><Relationship Id="rId2" Type="http://schemas.openxmlformats.org/officeDocument/2006/relationships/hyperlink" Target="https://ofertas.vw.com.br/" TargetMode="External"/><Relationship Id="rId16" Type="http://schemas.openxmlformats.org/officeDocument/2006/relationships/hyperlink" Target="https://ofertas.vw.com.br/" TargetMode="External"/><Relationship Id="rId29" Type="http://schemas.openxmlformats.org/officeDocument/2006/relationships/hyperlink" Target="https://ofertas.vw.com.br/" TargetMode="External"/><Relationship Id="rId11" Type="http://schemas.openxmlformats.org/officeDocument/2006/relationships/hyperlink" Target="https://ofertas.vw.com.br/" TargetMode="External"/><Relationship Id="rId24" Type="http://schemas.openxmlformats.org/officeDocument/2006/relationships/hyperlink" Target="https://ofertas.vw.com.br/" TargetMode="External"/><Relationship Id="rId32" Type="http://schemas.openxmlformats.org/officeDocument/2006/relationships/hyperlink" Target="https://ofertas.vw.com.br/" TargetMode="External"/><Relationship Id="rId37" Type="http://schemas.openxmlformats.org/officeDocument/2006/relationships/hyperlink" Target="https://ofertas.vw.com.br/" TargetMode="External"/><Relationship Id="rId40" Type="http://schemas.openxmlformats.org/officeDocument/2006/relationships/hyperlink" Target="https://ofertas.vw.com.br/" TargetMode="External"/><Relationship Id="rId45" Type="http://schemas.openxmlformats.org/officeDocument/2006/relationships/hyperlink" Target="https://ofertas.vw.com.br/" TargetMode="External"/><Relationship Id="rId53" Type="http://schemas.openxmlformats.org/officeDocument/2006/relationships/hyperlink" Target="https://ofertas.vw.com.br/" TargetMode="External"/><Relationship Id="rId58" Type="http://schemas.openxmlformats.org/officeDocument/2006/relationships/hyperlink" Target="https://ofertas.vw.com.br/" TargetMode="External"/><Relationship Id="rId66" Type="http://schemas.openxmlformats.org/officeDocument/2006/relationships/hyperlink" Target="https://ofertas.vw.com.br/" TargetMode="External"/><Relationship Id="rId5" Type="http://schemas.openxmlformats.org/officeDocument/2006/relationships/hyperlink" Target="https://ofertas.vw.com.br/" TargetMode="External"/><Relationship Id="rId61" Type="http://schemas.openxmlformats.org/officeDocument/2006/relationships/hyperlink" Target="https://ofertas.vw.com.br/" TargetMode="External"/><Relationship Id="rId19" Type="http://schemas.openxmlformats.org/officeDocument/2006/relationships/hyperlink" Target="https://ofertas.vw.com.br/" TargetMode="External"/><Relationship Id="rId14" Type="http://schemas.openxmlformats.org/officeDocument/2006/relationships/hyperlink" Target="https://ofertas.vw.com.br/" TargetMode="External"/><Relationship Id="rId22" Type="http://schemas.openxmlformats.org/officeDocument/2006/relationships/hyperlink" Target="https://ofertas.vw.com.br/" TargetMode="External"/><Relationship Id="rId27" Type="http://schemas.openxmlformats.org/officeDocument/2006/relationships/hyperlink" Target="https://ofertas.vw.com.br/" TargetMode="External"/><Relationship Id="rId30" Type="http://schemas.openxmlformats.org/officeDocument/2006/relationships/hyperlink" Target="https://ofertas.vw.com.br/" TargetMode="External"/><Relationship Id="rId35" Type="http://schemas.openxmlformats.org/officeDocument/2006/relationships/hyperlink" Target="https://ofertas.vw.com.br/" TargetMode="External"/><Relationship Id="rId43" Type="http://schemas.openxmlformats.org/officeDocument/2006/relationships/hyperlink" Target="https://ofertas.vw.com.br/" TargetMode="External"/><Relationship Id="rId48" Type="http://schemas.openxmlformats.org/officeDocument/2006/relationships/hyperlink" Target="https://ofertas.vw.com.br/" TargetMode="External"/><Relationship Id="rId56" Type="http://schemas.openxmlformats.org/officeDocument/2006/relationships/hyperlink" Target="https://ofertas.vw.com.br/" TargetMode="External"/><Relationship Id="rId64" Type="http://schemas.openxmlformats.org/officeDocument/2006/relationships/hyperlink" Target="https://ofertas.vw.com.br/" TargetMode="External"/><Relationship Id="rId8" Type="http://schemas.openxmlformats.org/officeDocument/2006/relationships/hyperlink" Target="https://ofertas.vw.com.br/" TargetMode="External"/><Relationship Id="rId51" Type="http://schemas.openxmlformats.org/officeDocument/2006/relationships/hyperlink" Target="https://ofertas.vw.com.br/" TargetMode="External"/><Relationship Id="rId3" Type="http://schemas.openxmlformats.org/officeDocument/2006/relationships/hyperlink" Target="https://ofertas.vw.com.br/" TargetMode="External"/><Relationship Id="rId12" Type="http://schemas.openxmlformats.org/officeDocument/2006/relationships/hyperlink" Target="https://ofertas.vw.com.br/" TargetMode="External"/><Relationship Id="rId17" Type="http://schemas.openxmlformats.org/officeDocument/2006/relationships/hyperlink" Target="https://ofertas.vw.com.br/" TargetMode="External"/><Relationship Id="rId25" Type="http://schemas.openxmlformats.org/officeDocument/2006/relationships/hyperlink" Target="https://ofertas.vw.com.br/" TargetMode="External"/><Relationship Id="rId33" Type="http://schemas.openxmlformats.org/officeDocument/2006/relationships/hyperlink" Target="https://ofertas.vw.com.br/" TargetMode="External"/><Relationship Id="rId38" Type="http://schemas.openxmlformats.org/officeDocument/2006/relationships/hyperlink" Target="https://ofertas.vw.com.br/" TargetMode="External"/><Relationship Id="rId46" Type="http://schemas.openxmlformats.org/officeDocument/2006/relationships/hyperlink" Target="https://ofertas.vw.com.br/" TargetMode="External"/><Relationship Id="rId59" Type="http://schemas.openxmlformats.org/officeDocument/2006/relationships/hyperlink" Target="https://ofertas.vw.com.br/" TargetMode="External"/><Relationship Id="rId67" Type="http://schemas.openxmlformats.org/officeDocument/2006/relationships/hyperlink" Target="https://ofertas.vw.com.br/" TargetMode="External"/><Relationship Id="rId20" Type="http://schemas.openxmlformats.org/officeDocument/2006/relationships/hyperlink" Target="https://ofertas.vw.com.br/" TargetMode="External"/><Relationship Id="rId41" Type="http://schemas.openxmlformats.org/officeDocument/2006/relationships/hyperlink" Target="https://ofertas.vw.com.br/" TargetMode="External"/><Relationship Id="rId54" Type="http://schemas.openxmlformats.org/officeDocument/2006/relationships/hyperlink" Target="https://ofertas.vw.com.br/" TargetMode="External"/><Relationship Id="rId62" Type="http://schemas.openxmlformats.org/officeDocument/2006/relationships/hyperlink" Target="https://ofertas.vw.com.br/" TargetMode="External"/><Relationship Id="rId1" Type="http://schemas.openxmlformats.org/officeDocument/2006/relationships/hyperlink" Target="https://ofertas.vw.com.br/" TargetMode="External"/><Relationship Id="rId6" Type="http://schemas.openxmlformats.org/officeDocument/2006/relationships/hyperlink" Target="https://ofertas.vw.com.br/" TargetMode="External"/><Relationship Id="rId15" Type="http://schemas.openxmlformats.org/officeDocument/2006/relationships/hyperlink" Target="https://ofertas.vw.com.br/" TargetMode="External"/><Relationship Id="rId23" Type="http://schemas.openxmlformats.org/officeDocument/2006/relationships/hyperlink" Target="https://ofertas.vw.com.br/" TargetMode="External"/><Relationship Id="rId28" Type="http://schemas.openxmlformats.org/officeDocument/2006/relationships/hyperlink" Target="https://ofertas.vw.com.br/" TargetMode="External"/><Relationship Id="rId36" Type="http://schemas.openxmlformats.org/officeDocument/2006/relationships/hyperlink" Target="https://ofertas.vw.com.br/" TargetMode="External"/><Relationship Id="rId49" Type="http://schemas.openxmlformats.org/officeDocument/2006/relationships/hyperlink" Target="https://ofertas.vw.com.br/" TargetMode="External"/><Relationship Id="rId57" Type="http://schemas.openxmlformats.org/officeDocument/2006/relationships/hyperlink" Target="https://ofertas.vw.com.br/" TargetMode="External"/><Relationship Id="rId10" Type="http://schemas.openxmlformats.org/officeDocument/2006/relationships/hyperlink" Target="https://ofertas.vw.com.br/" TargetMode="External"/><Relationship Id="rId31" Type="http://schemas.openxmlformats.org/officeDocument/2006/relationships/hyperlink" Target="https://ofertas.vw.com.br/" TargetMode="External"/><Relationship Id="rId44" Type="http://schemas.openxmlformats.org/officeDocument/2006/relationships/hyperlink" Target="https://ofertas.vw.com.br/" TargetMode="External"/><Relationship Id="rId52" Type="http://schemas.openxmlformats.org/officeDocument/2006/relationships/hyperlink" Target="https://ofertas.vw.com.br/" TargetMode="External"/><Relationship Id="rId60" Type="http://schemas.openxmlformats.org/officeDocument/2006/relationships/hyperlink" Target="https://ofertas.vw.com.br/" TargetMode="External"/><Relationship Id="rId65" Type="http://schemas.openxmlformats.org/officeDocument/2006/relationships/hyperlink" Target="https://ofertas.vw.com.br/" TargetMode="External"/><Relationship Id="rId4" Type="http://schemas.openxmlformats.org/officeDocument/2006/relationships/hyperlink" Target="https://ofertas.vw.com.br/" TargetMode="External"/><Relationship Id="rId9" Type="http://schemas.openxmlformats.org/officeDocument/2006/relationships/hyperlink" Target="https://ofertas.vw.com.br/" TargetMode="External"/><Relationship Id="rId13" Type="http://schemas.openxmlformats.org/officeDocument/2006/relationships/hyperlink" Target="https://ofertas.vw.com.br/" TargetMode="External"/><Relationship Id="rId18" Type="http://schemas.openxmlformats.org/officeDocument/2006/relationships/hyperlink" Target="https://ofertas.vw.com.br/" TargetMode="External"/><Relationship Id="rId39" Type="http://schemas.openxmlformats.org/officeDocument/2006/relationships/hyperlink" Target="https://ofertas.vw.com.br/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957FB-7196-4E06-A4D9-175195763223}">
  <sheetPr codeName="Planilha1"/>
  <dimension ref="A1:G16"/>
  <sheetViews>
    <sheetView showGridLines="0" zoomScale="110" zoomScaleNormal="110" workbookViewId="0">
      <selection activeCell="B3" sqref="B3"/>
    </sheetView>
  </sheetViews>
  <sheetFormatPr defaultRowHeight="15" x14ac:dyDescent="0.25"/>
  <cols>
    <col min="1" max="1" width="18.7109375" customWidth="1"/>
    <col min="2" max="2" width="64.42578125" bestFit="1" customWidth="1"/>
    <col min="7" max="7" width="13.140625" customWidth="1"/>
  </cols>
  <sheetData>
    <row r="1" spans="1:7" ht="15.75" thickBot="1" x14ac:dyDescent="0.3">
      <c r="A1" s="13"/>
      <c r="B1" s="14"/>
      <c r="C1" s="34"/>
      <c r="D1" s="34"/>
      <c r="E1" s="34"/>
      <c r="F1" s="34"/>
      <c r="G1" s="34"/>
    </row>
    <row r="2" spans="1:7" ht="15.75" thickBot="1" x14ac:dyDescent="0.3">
      <c r="A2" s="7" t="s">
        <v>806</v>
      </c>
      <c r="B2" s="12" t="str">
        <f>faxineiro(CONCATENATE($B$15,"-",VLOOKUP($B$13,tab_modelvariant,2,FALSE),"-",VLOOKUP($B$7,tab_planningprinciple,2,FALSE),"-",VLOOKUP($B$8,tab_mediachannel,2,FALSE),"-",VLOOKUP($B$12,tab_date,3,FALSE)))</f>
        <v>VAR-RNG-AAF-DSY-0221</v>
      </c>
      <c r="C2" s="34"/>
      <c r="D2" s="34"/>
      <c r="E2" s="34"/>
      <c r="F2" s="34"/>
      <c r="G2" s="34"/>
    </row>
    <row r="3" spans="1:7" ht="15.75" thickBot="1" x14ac:dyDescent="0.3">
      <c r="A3" s="7" t="s">
        <v>835</v>
      </c>
      <c r="B3" s="12" t="str">
        <f>faxineiro(CONCATENATE(VLOOKUP(B6,tab_country,2,FALSE),"_",VLOOKUP(B7,tab_planningprinciple,2,FALSE),"_",VLOOKUP(B8,tab_mediachannel,2,FALSE),"_",VLOOKUP(B9,tab_strategyphase,2,FALSE),"_",VLOOKUP(B10,tab_type,2,FALSE),"_",VLOOKUP(B11,tab_campaigncategory,2,FALSE),"_",VLOOKUP(B12,tab_date,2,FALSE),"_",VLOOKUP(B13,tab_modelvariant,2,FALSE),"_",B14))</f>
        <v>BR_AAF_DSY_NONMS_ND_NC_2021Q1FEB_RNG_Varejo-Familiaridade</v>
      </c>
    </row>
    <row r="4" spans="1:7" ht="15.75" thickBot="1" x14ac:dyDescent="0.3">
      <c r="A4" s="7" t="s">
        <v>836</v>
      </c>
      <c r="B4" s="12" t="str">
        <f>faxineiro(CONCATENATE(VLOOKUP(B7,tab_planningprinciple,2,FALSE),"_",VLOOKUP(B8,tab_mediachannel,2,FALSE),"_",VLOOKUP(B9,tab_strategyphase,2,FALSE),"_",VLOOKUP(B10,tab_type,2,FALSE),"_",VLOOKUP(B11,tab_campaigncategory,2,FALSE),"_",VLOOKUP(B13,tab_modelvariant,2,FALSE),"_",B14,"_",cel_freefield))</f>
        <v>AAF_DSY_NONMS_ND_NC_RNG_Varejo-Familiaridade_NA</v>
      </c>
    </row>
    <row r="5" spans="1:7" ht="15.75" thickBot="1" x14ac:dyDescent="0.3"/>
    <row r="6" spans="1:7" ht="15.75" thickBot="1" x14ac:dyDescent="0.3">
      <c r="A6" s="8" t="s">
        <v>7</v>
      </c>
      <c r="B6" s="9" t="s">
        <v>48</v>
      </c>
      <c r="C6" t="s">
        <v>709</v>
      </c>
    </row>
    <row r="7" spans="1:7" ht="15.75" thickBot="1" x14ac:dyDescent="0.3">
      <c r="A7" s="8" t="s">
        <v>323</v>
      </c>
      <c r="B7" s="10" t="s">
        <v>630</v>
      </c>
      <c r="C7" t="s">
        <v>710</v>
      </c>
    </row>
    <row r="8" spans="1:7" ht="15.75" thickBot="1" x14ac:dyDescent="0.3">
      <c r="A8" s="8" t="s">
        <v>8</v>
      </c>
      <c r="B8" s="10" t="s">
        <v>23</v>
      </c>
      <c r="C8" t="s">
        <v>711</v>
      </c>
    </row>
    <row r="9" spans="1:7" ht="15.75" thickBot="1" x14ac:dyDescent="0.3">
      <c r="A9" s="8" t="s">
        <v>0</v>
      </c>
      <c r="B9" s="10" t="s">
        <v>666</v>
      </c>
      <c r="C9" t="s">
        <v>712</v>
      </c>
    </row>
    <row r="10" spans="1:7" ht="15.75" thickBot="1" x14ac:dyDescent="0.3">
      <c r="A10" s="8" t="s">
        <v>1</v>
      </c>
      <c r="B10" s="10" t="s">
        <v>27</v>
      </c>
      <c r="C10" t="s">
        <v>713</v>
      </c>
    </row>
    <row r="11" spans="1:7" ht="15.75" thickBot="1" x14ac:dyDescent="0.3">
      <c r="A11" s="8" t="s">
        <v>2</v>
      </c>
      <c r="B11" s="10" t="s">
        <v>656</v>
      </c>
      <c r="C11" t="s">
        <v>714</v>
      </c>
    </row>
    <row r="12" spans="1:7" ht="15.75" thickBot="1" x14ac:dyDescent="0.3">
      <c r="A12" s="8" t="s">
        <v>3</v>
      </c>
      <c r="B12" s="10" t="s">
        <v>784</v>
      </c>
      <c r="C12" t="s">
        <v>715</v>
      </c>
    </row>
    <row r="13" spans="1:7" ht="15.75" thickBot="1" x14ac:dyDescent="0.3">
      <c r="A13" s="8" t="s">
        <v>4</v>
      </c>
      <c r="B13" s="10" t="s">
        <v>196</v>
      </c>
      <c r="C13" t="s">
        <v>716</v>
      </c>
    </row>
    <row r="14" spans="1:7" ht="15.75" thickBot="1" x14ac:dyDescent="0.3">
      <c r="A14" s="8" t="s">
        <v>5</v>
      </c>
      <c r="B14" s="10" t="s">
        <v>938</v>
      </c>
      <c r="C14" t="s">
        <v>717</v>
      </c>
    </row>
    <row r="15" spans="1:7" ht="15.75" thickBot="1" x14ac:dyDescent="0.3">
      <c r="A15" s="8" t="s">
        <v>807</v>
      </c>
      <c r="B15" s="10" t="s">
        <v>244</v>
      </c>
      <c r="C15" t="s">
        <v>808</v>
      </c>
    </row>
    <row r="16" spans="1:7" ht="15.75" thickBot="1" x14ac:dyDescent="0.3">
      <c r="A16" s="8" t="s">
        <v>833</v>
      </c>
      <c r="B16" s="11" t="s">
        <v>932</v>
      </c>
      <c r="C16" t="s">
        <v>834</v>
      </c>
    </row>
  </sheetData>
  <dataConsolidate/>
  <dataValidations count="7">
    <dataValidation type="list" allowBlank="1" showInputMessage="1" showErrorMessage="1" sqref="B6" xr:uid="{2484C9F9-215F-451D-BBF9-D650B0257667}">
      <formula1>list_country</formula1>
    </dataValidation>
    <dataValidation type="list" allowBlank="1" showInputMessage="1" showErrorMessage="1" sqref="B7" xr:uid="{6606435C-7903-4499-BF69-F3C78B1A60FF}">
      <formula1>list_planningprinciple</formula1>
    </dataValidation>
    <dataValidation type="list" allowBlank="1" showInputMessage="1" showErrorMessage="1" sqref="B8" xr:uid="{B9B5561E-E221-47D9-8AFD-8309D01B2FD0}">
      <formula1>list_mediachannel</formula1>
    </dataValidation>
    <dataValidation type="list" allowBlank="1" showInputMessage="1" showErrorMessage="1" sqref="B9" xr:uid="{A3BEC352-BC69-4F87-ABE8-AE3475F6A09B}">
      <formula1>list_strategyphase</formula1>
    </dataValidation>
    <dataValidation type="list" allowBlank="1" showInputMessage="1" showErrorMessage="1" sqref="B10" xr:uid="{F4B7E40E-D9BE-4D83-A655-4F158B57713D}">
      <formula1>list_type</formula1>
    </dataValidation>
    <dataValidation type="list" allowBlank="1" showInputMessage="1" showErrorMessage="1" sqref="B11" xr:uid="{C81A4306-4304-4643-85BF-73268B49E00E}">
      <formula1>list_campaigncategory</formula1>
    </dataValidation>
    <dataValidation type="list" allowBlank="1" showInputMessage="1" showErrorMessage="1" sqref="B13" xr:uid="{DD9A9470-E534-4186-A7EB-AB744D0179DD}">
      <formula1>list_modelvariant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0B6B3D0-4B1F-4A69-928A-BA9EAE25BEA5}">
          <x14:formula1>
            <xm:f>'All Codes'!$U$3:$U$257</xm:f>
          </x14:formula1>
          <xm:sqref>B12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2066DC-E7C3-46F6-84DB-B38FB5736D92}">
  <sheetPr codeName="Planilha2" filterMode="1"/>
  <dimension ref="B1:BP129"/>
  <sheetViews>
    <sheetView showGridLines="0" tabSelected="1" zoomScale="80" zoomScaleNormal="80" workbookViewId="0">
      <selection activeCell="A115" sqref="A115"/>
    </sheetView>
  </sheetViews>
  <sheetFormatPr defaultRowHeight="15" customHeight="1" x14ac:dyDescent="0.25"/>
  <cols>
    <col min="1" max="1" width="2.28515625" style="20" customWidth="1"/>
    <col min="2" max="2" width="19.42578125" style="25" bestFit="1" customWidth="1"/>
    <col min="3" max="3" width="14.140625" style="25" customWidth="1"/>
    <col min="4" max="4" width="22.42578125" style="25" customWidth="1"/>
    <col min="5" max="6" width="14.140625" style="25" customWidth="1"/>
    <col min="7" max="7" width="17.85546875" style="25" customWidth="1"/>
    <col min="8" max="8" width="53.42578125" style="25" bestFit="1" customWidth="1"/>
    <col min="9" max="9" width="20.5703125" style="25" bestFit="1" customWidth="1"/>
    <col min="10" max="10" width="13.28515625" style="25" customWidth="1"/>
    <col min="11" max="11" width="13.140625" style="25" bestFit="1" customWidth="1"/>
    <col min="12" max="12" width="28.7109375" style="25" bestFit="1" customWidth="1"/>
    <col min="13" max="13" width="22.7109375" style="25" bestFit="1" customWidth="1"/>
    <col min="14" max="14" width="18.5703125" style="25" bestFit="1" customWidth="1"/>
    <col min="15" max="15" width="21" style="25" bestFit="1" customWidth="1"/>
    <col min="16" max="16" width="18.42578125" style="25" bestFit="1" customWidth="1"/>
    <col min="17" max="17" width="16.28515625" style="25" bestFit="1" customWidth="1"/>
    <col min="18" max="18" width="15.85546875" style="25" bestFit="1" customWidth="1"/>
    <col min="19" max="19" width="14.140625" style="25" bestFit="1" customWidth="1"/>
    <col min="20" max="20" width="39.85546875" style="25" bestFit="1" customWidth="1"/>
    <col min="21" max="21" width="24.85546875" style="25" customWidth="1"/>
    <col min="22" max="22" width="33" style="25" customWidth="1"/>
    <col min="23" max="23" width="41.42578125" hidden="1" customWidth="1"/>
    <col min="24" max="24" width="19.28515625" hidden="1" customWidth="1"/>
    <col min="25" max="25" width="32.28515625" style="25" bestFit="1" customWidth="1"/>
    <col min="26" max="26" width="164.28515625" hidden="1" customWidth="1"/>
    <col min="27" max="27" width="52.42578125" hidden="1" customWidth="1"/>
    <col min="28" max="28" width="255.7109375" hidden="1" customWidth="1"/>
    <col min="29" max="29" width="246" hidden="1" customWidth="1"/>
    <col min="30" max="30" width="32.42578125" hidden="1" customWidth="1"/>
    <col min="31" max="31" width="151.5703125" hidden="1" customWidth="1"/>
    <col min="32" max="32" width="60.5703125" hidden="1" customWidth="1"/>
    <col min="33" max="33" width="166.42578125" hidden="1" customWidth="1"/>
    <col min="34" max="34" width="10.85546875" style="25" bestFit="1" customWidth="1"/>
    <col min="35" max="35" width="255.7109375" style="52" bestFit="1" customWidth="1"/>
    <col min="36" max="36" width="255.7109375" style="25" customWidth="1"/>
    <col min="37" max="37" width="49.28515625" style="25" bestFit="1" customWidth="1"/>
    <col min="38" max="38" width="255.7109375" style="25" bestFit="1" customWidth="1"/>
    <col min="39" max="39" width="246" style="25" bestFit="1" customWidth="1"/>
    <col min="40" max="40" width="18.140625" style="25" customWidth="1"/>
    <col min="41" max="41" width="19.28515625" style="25" customWidth="1"/>
    <col min="42" max="42" width="78.42578125" style="25" bestFit="1" customWidth="1"/>
    <col min="43" max="43" width="23.85546875" style="25" customWidth="1"/>
    <col min="44" max="44" width="25.28515625" style="25" customWidth="1"/>
    <col min="45" max="45" width="40.28515625" style="25" customWidth="1"/>
    <col min="46" max="46" width="15.7109375" style="25" customWidth="1"/>
    <col min="47" max="47" width="12" style="25" customWidth="1"/>
    <col min="48" max="48" width="23.140625" style="25" customWidth="1"/>
    <col min="49" max="49" width="15.85546875" style="25" customWidth="1"/>
    <col min="50" max="50" width="25.140625" style="25" customWidth="1"/>
    <col min="51" max="51" width="26.42578125" style="25" customWidth="1"/>
    <col min="52" max="55" width="15.85546875" style="25" customWidth="1"/>
    <col min="56" max="56" width="33" style="25" customWidth="1"/>
    <col min="57" max="59" width="13.140625" style="25" customWidth="1"/>
    <col min="60" max="60" width="12.28515625" style="25" customWidth="1"/>
    <col min="61" max="61" width="200.7109375" style="25" customWidth="1"/>
    <col min="62" max="62" width="9.140625" style="20" customWidth="1"/>
    <col min="63" max="63" width="5.140625" style="20" customWidth="1"/>
    <col min="64" max="64" width="94.28515625" style="25" customWidth="1"/>
    <col min="65" max="65" width="90.5703125" style="25" bestFit="1" customWidth="1"/>
    <col min="66" max="66" width="155.28515625" style="25" bestFit="1" customWidth="1"/>
    <col min="67" max="67" width="87.140625" style="25" bestFit="1" customWidth="1"/>
    <col min="68" max="68" width="70.28515625" style="25" customWidth="1"/>
    <col min="69" max="16384" width="9.140625" style="20"/>
  </cols>
  <sheetData>
    <row r="1" spans="2:68" ht="15.75" customHeight="1" x14ac:dyDescent="0.25"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Y1"/>
      <c r="AH1"/>
      <c r="AI1" s="35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L1"/>
      <c r="BM1"/>
      <c r="BN1"/>
      <c r="BO1"/>
      <c r="BP1"/>
    </row>
    <row r="2" spans="2:68" ht="14.25" customHeight="1" x14ac:dyDescent="0.25">
      <c r="B2"/>
      <c r="C2" s="20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Y2"/>
      <c r="AH2"/>
      <c r="AI2" s="35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L2"/>
      <c r="BM2"/>
      <c r="BN2"/>
      <c r="BO2"/>
      <c r="BP2"/>
    </row>
    <row r="3" spans="2:68" s="60" customFormat="1" ht="72" x14ac:dyDescent="0.25">
      <c r="B3" s="15"/>
      <c r="C3" s="15"/>
      <c r="D3" s="15"/>
      <c r="E3" s="15"/>
      <c r="F3" s="15"/>
      <c r="G3" s="15" t="s">
        <v>858</v>
      </c>
      <c r="H3" s="15"/>
      <c r="I3" s="15"/>
      <c r="J3" s="15" t="s">
        <v>859</v>
      </c>
      <c r="K3" s="15"/>
      <c r="L3" s="15" t="s">
        <v>860</v>
      </c>
      <c r="M3" s="15" t="s">
        <v>861</v>
      </c>
      <c r="N3" s="15" t="s">
        <v>862</v>
      </c>
      <c r="O3" s="15" t="s">
        <v>863</v>
      </c>
      <c r="P3" s="15" t="s">
        <v>719</v>
      </c>
      <c r="Q3" s="15" t="s">
        <v>864</v>
      </c>
      <c r="R3" s="15" t="s">
        <v>865</v>
      </c>
      <c r="S3" s="15" t="s">
        <v>866</v>
      </c>
      <c r="T3" s="15" t="s">
        <v>867</v>
      </c>
      <c r="U3" s="15" t="s">
        <v>868</v>
      </c>
      <c r="V3" s="15" t="s">
        <v>869</v>
      </c>
      <c r="W3" s="15" t="s">
        <v>870</v>
      </c>
      <c r="X3" s="15" t="s">
        <v>871</v>
      </c>
      <c r="Y3" s="15" t="s">
        <v>872</v>
      </c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15"/>
      <c r="AM3" s="15"/>
      <c r="AN3" s="15"/>
      <c r="AO3" s="15"/>
      <c r="AP3" s="15"/>
      <c r="AQ3" s="15"/>
      <c r="AR3" s="15"/>
      <c r="AS3" s="15"/>
      <c r="AT3" s="24" t="s">
        <v>759</v>
      </c>
      <c r="AU3" s="24" t="s">
        <v>764</v>
      </c>
      <c r="AV3" s="24" t="s">
        <v>762</v>
      </c>
      <c r="AW3" s="24" t="s">
        <v>763</v>
      </c>
      <c r="AX3" s="24" t="s">
        <v>760</v>
      </c>
      <c r="AY3" s="24" t="s">
        <v>773</v>
      </c>
      <c r="AZ3" s="24" t="s">
        <v>774</v>
      </c>
      <c r="BA3" s="24" t="s">
        <v>767</v>
      </c>
      <c r="BB3" s="24" t="s">
        <v>768</v>
      </c>
      <c r="BC3" s="24" t="s">
        <v>761</v>
      </c>
      <c r="BD3" s="24" t="s">
        <v>769</v>
      </c>
      <c r="BE3" s="24" t="s">
        <v>765</v>
      </c>
      <c r="BF3" s="24" t="s">
        <v>770</v>
      </c>
      <c r="BG3" s="24" t="s">
        <v>771</v>
      </c>
      <c r="BH3" s="24" t="s">
        <v>772</v>
      </c>
      <c r="BI3" s="15" t="e">
        <f>LEN(#REF!)</f>
        <v>#REF!</v>
      </c>
      <c r="BL3" s="15"/>
      <c r="BM3" s="15"/>
      <c r="BN3" s="15"/>
      <c r="BO3" s="15"/>
      <c r="BP3" s="15"/>
    </row>
    <row r="4" spans="2:68" ht="51" x14ac:dyDescent="0.25">
      <c r="B4" s="1" t="s">
        <v>254</v>
      </c>
      <c r="C4" s="2" t="s">
        <v>873</v>
      </c>
      <c r="D4" s="3" t="s">
        <v>874</v>
      </c>
      <c r="E4" s="1" t="s">
        <v>255</v>
      </c>
      <c r="F4" s="1" t="s">
        <v>256</v>
      </c>
      <c r="G4" s="4" t="s">
        <v>875</v>
      </c>
      <c r="H4" s="28" t="s">
        <v>721</v>
      </c>
      <c r="I4" s="27" t="s">
        <v>776</v>
      </c>
      <c r="J4" s="5" t="s">
        <v>257</v>
      </c>
      <c r="K4" s="23" t="s">
        <v>766</v>
      </c>
      <c r="L4" s="5" t="s">
        <v>876</v>
      </c>
      <c r="M4" s="5" t="s">
        <v>633</v>
      </c>
      <c r="N4" s="5" t="s">
        <v>632</v>
      </c>
      <c r="O4" s="5" t="s">
        <v>644</v>
      </c>
      <c r="P4" s="18" t="s">
        <v>645</v>
      </c>
      <c r="Q4" s="5" t="s">
        <v>258</v>
      </c>
      <c r="R4" s="5" t="s">
        <v>259</v>
      </c>
      <c r="S4" s="5" t="s">
        <v>839</v>
      </c>
      <c r="T4" s="5" t="s">
        <v>877</v>
      </c>
      <c r="U4" s="5" t="s">
        <v>878</v>
      </c>
      <c r="V4" s="5" t="s">
        <v>720</v>
      </c>
      <c r="W4" s="33" t="s">
        <v>879</v>
      </c>
      <c r="X4" s="5" t="s">
        <v>638</v>
      </c>
      <c r="Y4" s="5" t="s">
        <v>260</v>
      </c>
      <c r="Z4" s="5" t="s">
        <v>880</v>
      </c>
      <c r="AA4" s="5" t="s">
        <v>881</v>
      </c>
      <c r="AB4" s="5" t="s">
        <v>882</v>
      </c>
      <c r="AC4" s="5" t="s">
        <v>883</v>
      </c>
      <c r="AD4" s="5" t="s">
        <v>261</v>
      </c>
      <c r="AE4" s="5" t="s">
        <v>262</v>
      </c>
      <c r="AF4" s="5" t="s">
        <v>263</v>
      </c>
      <c r="AG4" s="5" t="s">
        <v>264</v>
      </c>
      <c r="AH4" s="19" t="s">
        <v>781</v>
      </c>
      <c r="AI4" s="19" t="s">
        <v>884</v>
      </c>
      <c r="AJ4" s="19" t="s">
        <v>885</v>
      </c>
      <c r="AK4" s="19" t="s">
        <v>886</v>
      </c>
      <c r="AL4" s="19" t="s">
        <v>887</v>
      </c>
      <c r="AM4" s="18" t="s">
        <v>723</v>
      </c>
      <c r="AN4" s="18" t="s">
        <v>265</v>
      </c>
      <c r="AO4" s="18" t="s">
        <v>266</v>
      </c>
      <c r="AP4" s="18" t="s">
        <v>267</v>
      </c>
      <c r="AQ4" s="18" t="s">
        <v>268</v>
      </c>
      <c r="AR4" s="18" t="s">
        <v>269</v>
      </c>
      <c r="AS4" s="18" t="s">
        <v>888</v>
      </c>
      <c r="AT4" s="22" t="s">
        <v>889</v>
      </c>
      <c r="AU4" s="22" t="s">
        <v>890</v>
      </c>
      <c r="AV4" s="22" t="s">
        <v>891</v>
      </c>
      <c r="AW4" s="22" t="s">
        <v>892</v>
      </c>
      <c r="AX4" s="22" t="s">
        <v>893</v>
      </c>
      <c r="AY4" s="22" t="s">
        <v>894</v>
      </c>
      <c r="AZ4" s="22" t="s">
        <v>895</v>
      </c>
      <c r="BA4" s="22" t="s">
        <v>896</v>
      </c>
      <c r="BB4" s="22" t="s">
        <v>897</v>
      </c>
      <c r="BC4" s="22" t="s">
        <v>898</v>
      </c>
      <c r="BD4" s="22" t="s">
        <v>899</v>
      </c>
      <c r="BE4" s="22" t="s">
        <v>900</v>
      </c>
      <c r="BF4" s="22" t="s">
        <v>901</v>
      </c>
      <c r="BG4" s="22" t="s">
        <v>902</v>
      </c>
      <c r="BH4" s="22" t="s">
        <v>903</v>
      </c>
      <c r="BI4" s="22" t="s">
        <v>904</v>
      </c>
      <c r="BL4" s="30" t="s">
        <v>905</v>
      </c>
      <c r="BM4" s="30" t="s">
        <v>906</v>
      </c>
      <c r="BN4" s="30" t="s">
        <v>907</v>
      </c>
      <c r="BO4" s="30" t="s">
        <v>908</v>
      </c>
      <c r="BP4" s="30" t="s">
        <v>909</v>
      </c>
    </row>
    <row r="5" spans="2:68" ht="15" hidden="1" customHeight="1" x14ac:dyDescent="0.25">
      <c r="B5" s="40" t="s">
        <v>996</v>
      </c>
      <c r="C5" s="40" t="s">
        <v>997</v>
      </c>
      <c r="D5" s="40" t="s">
        <v>994</v>
      </c>
      <c r="E5" s="49">
        <v>44236</v>
      </c>
      <c r="F5" s="49">
        <v>44286</v>
      </c>
      <c r="G5" s="40" t="s">
        <v>628</v>
      </c>
      <c r="H5" s="50" t="s">
        <v>939</v>
      </c>
      <c r="I5" s="40" t="s">
        <v>777</v>
      </c>
      <c r="J5" s="51" t="s">
        <v>936</v>
      </c>
      <c r="K5" s="51" t="s">
        <v>936</v>
      </c>
      <c r="L5" s="40" t="s">
        <v>653</v>
      </c>
      <c r="M5" s="40" t="s">
        <v>287</v>
      </c>
      <c r="N5" s="40" t="s">
        <v>295</v>
      </c>
      <c r="O5" s="40" t="s">
        <v>317</v>
      </c>
      <c r="P5" s="40" t="s">
        <v>319</v>
      </c>
      <c r="Q5" s="40" t="s">
        <v>658</v>
      </c>
      <c r="R5" s="40" t="s">
        <v>277</v>
      </c>
      <c r="S5" s="40" t="s">
        <v>841</v>
      </c>
      <c r="T5" s="40" t="s">
        <v>938</v>
      </c>
      <c r="U5" s="40" t="s">
        <v>940</v>
      </c>
      <c r="V5" s="40" t="s">
        <v>935</v>
      </c>
      <c r="W5" s="40" t="s">
        <v>842</v>
      </c>
      <c r="X5" s="40"/>
      <c r="Y5" s="40" t="s">
        <v>412</v>
      </c>
      <c r="Z5" s="39"/>
      <c r="AA5" s="41"/>
      <c r="AB5" s="41"/>
      <c r="AC5" s="41"/>
      <c r="AD5" s="40"/>
      <c r="AE5" s="40"/>
      <c r="AF5" s="41"/>
      <c r="AG5" s="41"/>
      <c r="AH5" s="40" t="str">
        <f t="shared" ref="AH5:AH27" si="0">VLOOKUP(AI5,id_placement,2,FALSE)</f>
        <v>296181919</v>
      </c>
      <c r="AI5" s="41" t="str">
        <f t="shared" ref="AI5:AI86" si="1">LOWER(CONCATENATE(col_campanhaanunciante,"_",col_grupoanunciante,"_",col_linhacriativa2,"_",col_adlid))</f>
        <v>alp_vw_amazon_aaf_dsy_nonms_nd_nc_rng_varejo-familiaridade_na_trafego_cpm_prog_all_160x600_interesse-autos_na_todaalinha-taxazero_var-rng-aaf-dsy-0221-10005</v>
      </c>
      <c r="AJ5" s="48" t="str">
        <f t="shared" ref="AJ5:AJ86" si="2">LOWER(CONCATENATE(col_campanhaanunciante,"_",col_grupoanunciante,"_",col_linhacriativa2,"_",col_adlid))</f>
        <v>alp_vw_amazon_aaf_dsy_nonms_nd_nc_rng_varejo-familiaridade_na_trafego_cpm_prog_all_160x600_interesse-autos_na_todaalinha-taxazero_var-rng-aaf-dsy-0221-10005</v>
      </c>
      <c r="AK5" s="41" t="str">
        <f t="shared" ref="AK5:AK86" si="3">LOWER(faxineiro(CONCATENATE("VW","_",cel_modelvariant,"_",col_size,"_",col_linhacriativa2,"_",IF(col_servidopor="portal",col_supplier,"adserver"))))</f>
        <v>vw_range_160x600_todaalinha-taxazero_adserver</v>
      </c>
      <c r="AL5" s="41" t="str">
        <f t="shared" ref="AL5" si="4">IF(col_parametrizacao="GA",AS5,IF(CONCATENATE(col_parametrizacao,col_supplier)="ADOBESA360",CONCATENATE(col_url,"?ds_p=[*Part_Site*]&amp;ds_e=[*Part_Comp*]&amp;ds_c={_dscampaign}&amp;ds_ag={_dsadgroup}&amp;ds_k={_dssearchterm}&amp;ds_e={_dsaccounttype}&amp;ds_kid={_dstrackerid}&amp;country=BR&amp;language=BR"),IF(CONCATENATE(col_parametrizacao,col_supplier)="ADOBEGoogleAds",CONCATENATE(H5,"?","adlid=",col_adlid,"&amp;adplt=",col_placement,"adchan=[*channel*]&amp;campaign=[*Campaign*]","&amp;adgroup=[*Adgroup*]&amp;publisher=[*EngineAccountType*]&amp;adpl=[*EngineAccountType*]&amp;country=BR&amp;format=",col_size,"&amp;language=BR","&amp;adcr=[*searchterm*]",),url_adobe)))</f>
        <v>https://ofertas.vw.com.br?utm_source=amazon&amp;utm_medium=Paid-Display&amp;utm_content=alp_vw_amazon_aaf_dsy_nonms_nd_nc_rng_varejo-familiaridade_na_trafego_cpm_prog_all_160x600_interesse-autos_na_todaalinha-taxazero_var-rng-aaf-dsy-0221-10005&amp;utm_campaign=BR_AAF_DSY_NONMS_ND_NC_2021Q1FEB_RNG_Varejo-Familiaridade&amp;utm_term=%epid!_%ecid!_%eaid!</v>
      </c>
      <c r="AM5" s="41" t="str">
        <f t="shared" ref="AM5:AM86" si="5">IFERROR(IF(col_servidopor="portal",VLOOKUP(col_placement,tab_contadores,2,FALSE),"TAG"),"Contador")</f>
        <v>TAG</v>
      </c>
      <c r="AN5" s="40" t="str">
        <f t="shared" ref="AN5" si="6">J5</f>
        <v>amazon</v>
      </c>
      <c r="AO5" s="40" t="str">
        <f t="shared" ref="AO5" si="7">L5</f>
        <v>Paid-Display</v>
      </c>
      <c r="AP5" s="41" t="str">
        <f>Campanha!$B$3</f>
        <v>BR_AAF_DSY_NONMS_ND_NC_2021Q1FEB_RNG_Varejo-Familiaridade</v>
      </c>
      <c r="AQ5" s="41" t="str">
        <f t="shared" ref="AQ5:AQ86" si="8">col_adname</f>
        <v>alp_vw_amazon_aaf_dsy_nonms_nd_nc_rng_varejo-familiaridade_na_trafego_cpm_prog_all_160x600_interesse-autos_na_todaalinha-taxazero_var-rng-aaf-dsy-0221-10005</v>
      </c>
      <c r="AR5" s="40" t="s">
        <v>722</v>
      </c>
      <c r="AS5" s="41" t="str">
        <f t="shared" ref="AS5:AS86" si="9">faxineiro(CONCATENATE(col_url,IF(ISNUMBER(FIND("?",col_url)),"&amp;","?"),"utm_source=",col_utmsource,"&amp;utm_medium=",col_utmmedium,"&amp;utm_content=",col_utmcontent,"&amp;utm_campaign=",col_utmcampaign,"&amp;utm_term=",col_keyword))</f>
        <v>https://ofertas.vw.com.br?utm_source=amazon&amp;utm_medium=Paid-Display&amp;utm_content=alp_vw_amazon_aaf_dsy_nonms_nd_nc_rng_varejo-familiaridade_na_trafego_cpm_prog_all_160x600_interesse-autos_na_todaalinha-taxazero_var-rng-aaf-dsy-0221-10005&amp;utm_campaign=BR_AAF_DSY_NONMS_ND_NC_2021Q1FEB_RNG_Varejo-Familiaridade&amp;utm_term=%epid!_%ecid!_%eaid!</v>
      </c>
      <c r="AT5" s="40" t="str">
        <f t="shared" ref="AT5" si="10">LOWER(Q5)</f>
        <v>run-of-network</v>
      </c>
      <c r="AU5" s="40" t="str">
        <f t="shared" ref="AU5:AU86" si="11">VLOOKUP(cel_country,tab_country,2,FALSE)</f>
        <v>BR</v>
      </c>
      <c r="AV5" s="40" t="str">
        <f t="shared" ref="AV5" si="12">LOWER(K5)</f>
        <v>amazon</v>
      </c>
      <c r="AW5" s="40" t="str">
        <f t="shared" ref="AW5" si="13">LOWER(J5)</f>
        <v>amazon</v>
      </c>
      <c r="AX5" s="40" t="str">
        <f t="shared" ref="AX5:AX86" si="14">LOWER(cel_campaing)</f>
        <v>varejo-familiaridade</v>
      </c>
      <c r="AY5" s="40" t="str">
        <f t="shared" ref="AY5" si="15">LOWER(AI5)</f>
        <v>alp_vw_amazon_aaf_dsy_nonms_nd_nc_rng_varejo-familiaridade_na_trafego_cpm_prog_all_160x600_interesse-autos_na_todaalinha-taxazero_var-rng-aaf-dsy-0221-10005</v>
      </c>
      <c r="AZ5" s="40" t="str">
        <f t="shared" ref="AZ5" si="16">LOWER(Y5)</f>
        <v>160x600</v>
      </c>
      <c r="BA5" s="40" t="str">
        <f t="shared" ref="BA5" si="17">LOWER(T5)</f>
        <v>varejo-familiaridade</v>
      </c>
      <c r="BB5" s="40" t="s">
        <v>775</v>
      </c>
      <c r="BC5" s="40" t="s">
        <v>775</v>
      </c>
      <c r="BD5" s="40" t="str">
        <f t="shared" ref="BD5" si="18">LOWER(CONCATENATE(cel_idcampaign,"-",SUM(10000+ROW(A5))))</f>
        <v>var-rng-aaf-dsy-0221-10005</v>
      </c>
      <c r="BE5" s="40" t="str">
        <f>AU5</f>
        <v>BR</v>
      </c>
      <c r="BF5" s="40" t="str">
        <f>LOWER(X5)</f>
        <v/>
      </c>
      <c r="BG5" s="40"/>
      <c r="BH5" s="40"/>
      <c r="BI5" s="42" t="str">
        <f t="shared" ref="BI5:BI86" si="19">faxineiro(CONCATENATE(col_url,IF(ISNUMBER(FIND("?",col_url)),"&amp;","?"),CONCATENATE("adlid=",col_adlid,"&amp;adplt=",adplt)))</f>
        <v>https://ofertas.vw.com.br?adlid=var-rng-aaf-dsy-0221-10005&amp;adplt=alp_vw_amazon_aaf_dsy_nonms_nd_nc_rng_varejo-familiaridade_na_trafego_cpm_prog_all_160x600_interesse-autos_na_todaalinha-taxazero_var-rng-aaf-dsy-0221-10005</v>
      </c>
      <c r="BL5" s="25" t="str">
        <f t="shared" ref="BL5:BL86" si="20">LOWER(CONCATENATE("alp","_","vw","_",col_supplier,"_",cel_structurename,"_",col_objetivo))</f>
        <v>alp_vw_amazon_aaf_dsy_nonms_nd_nc_rng_varejo-familiaridade_na_trafego</v>
      </c>
      <c r="BM5" s="25" t="str">
        <f t="shared" ref="BM5:BM86" si="21">LOWER(CONCATENATE(col_buyingmetric,"_",VLOOKUP(col_buyingtype,tab_buyingtype,2,FALSE),"_",col_device,"_",col_size,"_",col_segmentacao,"_",col_segmentacaodeanun))</f>
        <v>cpm_prog_all_160x600_interesse-autos_na</v>
      </c>
      <c r="BN5" s="25" t="str">
        <f t="shared" ref="BN5:BN86" si="22">faxineiro(LOWER(CONCATENATE(col_campanhaanunciante,"_",col_grupoanunciante,"_",col_linhacriativa2,"_",col_adlid)))</f>
        <v>alp_vw_amazon_aaf_dsy_nonms_nd_nc_rng_varejo-familiaridade_na_trafego_cpm_prog_all_160x600_interesse-autos_na_todaalinha-taxazero_var-rng-aaf-dsy-0221-10005</v>
      </c>
    </row>
    <row r="6" spans="2:68" ht="15" hidden="1" customHeight="1" x14ac:dyDescent="0.25">
      <c r="B6" s="40" t="s">
        <v>996</v>
      </c>
      <c r="C6" s="40" t="s">
        <v>997</v>
      </c>
      <c r="D6" s="40" t="s">
        <v>994</v>
      </c>
      <c r="E6" s="49">
        <v>44236</v>
      </c>
      <c r="F6" s="49">
        <v>44286</v>
      </c>
      <c r="G6" s="40" t="s">
        <v>628</v>
      </c>
      <c r="H6" s="50" t="s">
        <v>939</v>
      </c>
      <c r="I6" s="40" t="s">
        <v>777</v>
      </c>
      <c r="J6" s="51" t="s">
        <v>936</v>
      </c>
      <c r="K6" s="51" t="s">
        <v>936</v>
      </c>
      <c r="L6" s="40" t="s">
        <v>653</v>
      </c>
      <c r="M6" s="40" t="s">
        <v>287</v>
      </c>
      <c r="N6" s="40" t="s">
        <v>295</v>
      </c>
      <c r="O6" s="40" t="s">
        <v>317</v>
      </c>
      <c r="P6" s="40" t="s">
        <v>311</v>
      </c>
      <c r="Q6" s="40" t="s">
        <v>658</v>
      </c>
      <c r="R6" s="40" t="s">
        <v>277</v>
      </c>
      <c r="S6" s="40" t="s">
        <v>841</v>
      </c>
      <c r="T6" s="40" t="s">
        <v>938</v>
      </c>
      <c r="U6" s="40" t="s">
        <v>940</v>
      </c>
      <c r="V6" s="40" t="s">
        <v>935</v>
      </c>
      <c r="W6" s="40" t="s">
        <v>842</v>
      </c>
      <c r="X6" s="40"/>
      <c r="Y6" s="40" t="s">
        <v>433</v>
      </c>
      <c r="Z6" s="39"/>
      <c r="AA6" s="41"/>
      <c r="AB6" s="41"/>
      <c r="AC6" s="41"/>
      <c r="AD6" s="40"/>
      <c r="AE6" s="40"/>
      <c r="AF6" s="41"/>
      <c r="AG6" s="41"/>
      <c r="AH6" s="40" t="str">
        <f t="shared" si="0"/>
        <v>296181916</v>
      </c>
      <c r="AI6" s="41" t="str">
        <f t="shared" si="1"/>
        <v>alp_vw_amazon_aaf_dsy_nonms_nd_nc_rng_varejo-familiaridade_na_trafego_cpm_prog_all_300x250_interesse-autos_na_todaalinha-taxazero_var-rng-aaf-dsy-0221-10006</v>
      </c>
      <c r="AJ6" s="48" t="str">
        <f t="shared" si="2"/>
        <v>alp_vw_amazon_aaf_dsy_nonms_nd_nc_rng_varejo-familiaridade_na_trafego_cpm_prog_all_300x250_interesse-autos_na_todaalinha-taxazero_var-rng-aaf-dsy-0221-10006</v>
      </c>
      <c r="AK6" s="41" t="str">
        <f t="shared" si="3"/>
        <v>vw_range_300x250_todaalinha-taxazero_adserver</v>
      </c>
      <c r="AL6" s="41" t="str">
        <f t="shared" ref="AL6:AL21" si="23">IF(col_parametrizacao="GA",AS6,IF(CONCATENATE(col_parametrizacao,col_supplier)="ADOBESA360",CONCATENATE(col_url,"?ds_p=[*Part_Site*]&amp;ds_e=[*Part_Comp*]&amp;ds_c={_dscampaign}&amp;ds_ag={_dsadgroup}&amp;ds_k={_dssearchterm}&amp;ds_e={_dsaccounttype}&amp;ds_kid={_dstrackerid}&amp;country=BR&amp;language=BR"),IF(CONCATENATE(col_parametrizacao,col_supplier)="ADOBEGoogleAds",CONCATENATE(H6,"?","adlid=",col_adlid,"&amp;adplt=",col_placement,"adchan=[*channel*]&amp;campaign=[*Campaign*]","&amp;adgroup=[*Adgroup*]&amp;publisher=[*EngineAccountType*]&amp;adpl=[*EngineAccountType*]&amp;country=BR&amp;format=",col_size,"&amp;language=BR","&amp;adcr=[*searchterm*]",),url_adobe)))</f>
        <v>https://ofertas.vw.com.br?utm_source=amazon&amp;utm_medium=Paid-Display&amp;utm_content=alp_vw_amazon_aaf_dsy_nonms_nd_nc_rng_varejo-familiaridade_na_trafego_cpm_prog_all_300x250_interesse-autos_na_todaalinha-taxazero_var-rng-aaf-dsy-0221-10006&amp;utm_campaign=BR_AAF_DSY_NONMS_ND_NC_2021Q1FEB_RNG_Varejo-Familiaridade&amp;utm_term=%epid!_%ecid!_%eaid!</v>
      </c>
      <c r="AM6" s="41" t="str">
        <f t="shared" si="5"/>
        <v>TAG</v>
      </c>
      <c r="AN6" s="40" t="str">
        <f t="shared" ref="AN6:AN21" si="24">J6</f>
        <v>amazon</v>
      </c>
      <c r="AO6" s="40" t="str">
        <f t="shared" ref="AO6:AO21" si="25">L6</f>
        <v>Paid-Display</v>
      </c>
      <c r="AP6" s="41" t="str">
        <f>Campanha!$B$3</f>
        <v>BR_AAF_DSY_NONMS_ND_NC_2021Q1FEB_RNG_Varejo-Familiaridade</v>
      </c>
      <c r="AQ6" s="41" t="str">
        <f t="shared" si="8"/>
        <v>alp_vw_amazon_aaf_dsy_nonms_nd_nc_rng_varejo-familiaridade_na_trafego_cpm_prog_all_300x250_interesse-autos_na_todaalinha-taxazero_var-rng-aaf-dsy-0221-10006</v>
      </c>
      <c r="AR6" s="40" t="s">
        <v>722</v>
      </c>
      <c r="AS6" s="41" t="str">
        <f t="shared" si="9"/>
        <v>https://ofertas.vw.com.br?utm_source=amazon&amp;utm_medium=Paid-Display&amp;utm_content=alp_vw_amazon_aaf_dsy_nonms_nd_nc_rng_varejo-familiaridade_na_trafego_cpm_prog_all_300x250_interesse-autos_na_todaalinha-taxazero_var-rng-aaf-dsy-0221-10006&amp;utm_campaign=BR_AAF_DSY_NONMS_ND_NC_2021Q1FEB_RNG_Varejo-Familiaridade&amp;utm_term=%epid!_%ecid!_%eaid!</v>
      </c>
      <c r="AT6" s="40" t="str">
        <f t="shared" ref="AT6:AT21" si="26">LOWER(Q6)</f>
        <v>run-of-network</v>
      </c>
      <c r="AU6" s="40" t="str">
        <f t="shared" si="11"/>
        <v>BR</v>
      </c>
      <c r="AV6" s="40" t="str">
        <f t="shared" ref="AV6:AV21" si="27">LOWER(K6)</f>
        <v>amazon</v>
      </c>
      <c r="AW6" s="40" t="str">
        <f t="shared" ref="AW6:AW21" si="28">LOWER(J6)</f>
        <v>amazon</v>
      </c>
      <c r="AX6" s="40" t="str">
        <f t="shared" si="14"/>
        <v>varejo-familiaridade</v>
      </c>
      <c r="AY6" s="40" t="str">
        <f t="shared" ref="AY6:AY21" si="29">LOWER(AI6)</f>
        <v>alp_vw_amazon_aaf_dsy_nonms_nd_nc_rng_varejo-familiaridade_na_trafego_cpm_prog_all_300x250_interesse-autos_na_todaalinha-taxazero_var-rng-aaf-dsy-0221-10006</v>
      </c>
      <c r="AZ6" s="40" t="str">
        <f t="shared" ref="AZ6:AZ21" si="30">LOWER(Y6)</f>
        <v>300x250</v>
      </c>
      <c r="BA6" s="40" t="str">
        <f t="shared" ref="BA6:BA21" si="31">LOWER(T6)</f>
        <v>varejo-familiaridade</v>
      </c>
      <c r="BB6" s="40" t="s">
        <v>775</v>
      </c>
      <c r="BC6" s="40" t="s">
        <v>775</v>
      </c>
      <c r="BD6" s="40" t="str">
        <f t="shared" ref="BD6:BD21" si="32">LOWER(CONCATENATE(cel_idcampaign,"-",SUM(10000+ROW(A6))))</f>
        <v>var-rng-aaf-dsy-0221-10006</v>
      </c>
      <c r="BE6" s="40" t="str">
        <f t="shared" ref="BE6:BE21" si="33">AU6</f>
        <v>BR</v>
      </c>
      <c r="BF6" s="40" t="str">
        <f t="shared" ref="BF6:BF21" si="34">LOWER(X6)</f>
        <v/>
      </c>
      <c r="BG6" s="40"/>
      <c r="BH6" s="40"/>
      <c r="BI6" s="42" t="str">
        <f t="shared" si="19"/>
        <v>https://ofertas.vw.com.br?adlid=var-rng-aaf-dsy-0221-10006&amp;adplt=alp_vw_amazon_aaf_dsy_nonms_nd_nc_rng_varejo-familiaridade_na_trafego_cpm_prog_all_300x250_interesse-autos_na_todaalinha-taxazero_var-rng-aaf-dsy-0221-10006</v>
      </c>
      <c r="BL6" s="25" t="str">
        <f t="shared" si="20"/>
        <v>alp_vw_amazon_aaf_dsy_nonms_nd_nc_rng_varejo-familiaridade_na_trafego</v>
      </c>
      <c r="BM6" s="25" t="str">
        <f t="shared" si="21"/>
        <v>cpm_prog_all_300x250_interesse-autos_na</v>
      </c>
      <c r="BN6" s="25" t="str">
        <f t="shared" si="22"/>
        <v>alp_vw_amazon_aaf_dsy_nonms_nd_nc_rng_varejo-familiaridade_na_trafego_cpm_prog_all_300x250_interesse-autos_na_todaalinha-taxazero_var-rng-aaf-dsy-0221-10006</v>
      </c>
    </row>
    <row r="7" spans="2:68" ht="15" hidden="1" customHeight="1" x14ac:dyDescent="0.25">
      <c r="B7" s="40" t="s">
        <v>996</v>
      </c>
      <c r="C7" s="40" t="s">
        <v>997</v>
      </c>
      <c r="D7" s="40" t="s">
        <v>994</v>
      </c>
      <c r="E7" s="49">
        <v>44236</v>
      </c>
      <c r="F7" s="49">
        <v>44286</v>
      </c>
      <c r="G7" s="40" t="s">
        <v>628</v>
      </c>
      <c r="H7" s="50" t="s">
        <v>939</v>
      </c>
      <c r="I7" s="40" t="s">
        <v>777</v>
      </c>
      <c r="J7" s="51" t="s">
        <v>936</v>
      </c>
      <c r="K7" s="51" t="s">
        <v>936</v>
      </c>
      <c r="L7" s="40" t="s">
        <v>653</v>
      </c>
      <c r="M7" s="40" t="s">
        <v>287</v>
      </c>
      <c r="N7" s="40" t="s">
        <v>295</v>
      </c>
      <c r="O7" s="40" t="s">
        <v>317</v>
      </c>
      <c r="P7" s="40" t="s">
        <v>319</v>
      </c>
      <c r="Q7" s="40" t="s">
        <v>658</v>
      </c>
      <c r="R7" s="40" t="s">
        <v>277</v>
      </c>
      <c r="S7" s="40" t="s">
        <v>841</v>
      </c>
      <c r="T7" s="40" t="s">
        <v>938</v>
      </c>
      <c r="U7" s="40" t="s">
        <v>940</v>
      </c>
      <c r="V7" s="40" t="s">
        <v>935</v>
      </c>
      <c r="W7" s="40" t="s">
        <v>842</v>
      </c>
      <c r="X7" s="40"/>
      <c r="Y7" s="40" t="s">
        <v>442</v>
      </c>
      <c r="Z7" s="39"/>
      <c r="AA7" s="41"/>
      <c r="AB7" s="41"/>
      <c r="AC7" s="41"/>
      <c r="AD7" s="40"/>
      <c r="AE7" s="40"/>
      <c r="AF7" s="41"/>
      <c r="AG7" s="41"/>
      <c r="AH7" s="40" t="str">
        <f t="shared" si="0"/>
        <v>296181913</v>
      </c>
      <c r="AI7" s="41" t="str">
        <f t="shared" si="1"/>
        <v>alp_vw_amazon_aaf_dsy_nonms_nd_nc_rng_varejo-familiaridade_na_trafego_cpm_prog_all_300x600_interesse-autos_na_todaalinha-taxazero_var-rng-aaf-dsy-0221-10007</v>
      </c>
      <c r="AJ7" s="48" t="str">
        <f t="shared" si="2"/>
        <v>alp_vw_amazon_aaf_dsy_nonms_nd_nc_rng_varejo-familiaridade_na_trafego_cpm_prog_all_300x600_interesse-autos_na_todaalinha-taxazero_var-rng-aaf-dsy-0221-10007</v>
      </c>
      <c r="AK7" s="41" t="str">
        <f t="shared" si="3"/>
        <v>vw_range_300x600_todaalinha-taxazero_adserver</v>
      </c>
      <c r="AL7" s="41" t="str">
        <f t="shared" si="23"/>
        <v>https://ofertas.vw.com.br?utm_source=amazon&amp;utm_medium=Paid-Display&amp;utm_content=alp_vw_amazon_aaf_dsy_nonms_nd_nc_rng_varejo-familiaridade_na_trafego_cpm_prog_all_300x600_interesse-autos_na_todaalinha-taxazero_var-rng-aaf-dsy-0221-10007&amp;utm_campaign=BR_AAF_DSY_NONMS_ND_NC_2021Q1FEB_RNG_Varejo-Familiaridade&amp;utm_term=%epid!_%ecid!_%eaid!</v>
      </c>
      <c r="AM7" s="41" t="str">
        <f t="shared" si="5"/>
        <v>TAG</v>
      </c>
      <c r="AN7" s="40" t="str">
        <f t="shared" si="24"/>
        <v>amazon</v>
      </c>
      <c r="AO7" s="40" t="str">
        <f t="shared" si="25"/>
        <v>Paid-Display</v>
      </c>
      <c r="AP7" s="41" t="str">
        <f>Campanha!$B$3</f>
        <v>BR_AAF_DSY_NONMS_ND_NC_2021Q1FEB_RNG_Varejo-Familiaridade</v>
      </c>
      <c r="AQ7" s="41" t="str">
        <f t="shared" si="8"/>
        <v>alp_vw_amazon_aaf_dsy_nonms_nd_nc_rng_varejo-familiaridade_na_trafego_cpm_prog_all_300x600_interesse-autos_na_todaalinha-taxazero_var-rng-aaf-dsy-0221-10007</v>
      </c>
      <c r="AR7" s="40" t="s">
        <v>722</v>
      </c>
      <c r="AS7" s="41" t="str">
        <f t="shared" si="9"/>
        <v>https://ofertas.vw.com.br?utm_source=amazon&amp;utm_medium=Paid-Display&amp;utm_content=alp_vw_amazon_aaf_dsy_nonms_nd_nc_rng_varejo-familiaridade_na_trafego_cpm_prog_all_300x600_interesse-autos_na_todaalinha-taxazero_var-rng-aaf-dsy-0221-10007&amp;utm_campaign=BR_AAF_DSY_NONMS_ND_NC_2021Q1FEB_RNG_Varejo-Familiaridade&amp;utm_term=%epid!_%ecid!_%eaid!</v>
      </c>
      <c r="AT7" s="40" t="str">
        <f t="shared" si="26"/>
        <v>run-of-network</v>
      </c>
      <c r="AU7" s="40" t="str">
        <f t="shared" si="11"/>
        <v>BR</v>
      </c>
      <c r="AV7" s="40" t="str">
        <f t="shared" si="27"/>
        <v>amazon</v>
      </c>
      <c r="AW7" s="40" t="str">
        <f t="shared" si="28"/>
        <v>amazon</v>
      </c>
      <c r="AX7" s="40" t="str">
        <f t="shared" si="14"/>
        <v>varejo-familiaridade</v>
      </c>
      <c r="AY7" s="40" t="str">
        <f t="shared" si="29"/>
        <v>alp_vw_amazon_aaf_dsy_nonms_nd_nc_rng_varejo-familiaridade_na_trafego_cpm_prog_all_300x600_interesse-autos_na_todaalinha-taxazero_var-rng-aaf-dsy-0221-10007</v>
      </c>
      <c r="AZ7" s="40" t="str">
        <f t="shared" si="30"/>
        <v>300x600</v>
      </c>
      <c r="BA7" s="40" t="str">
        <f t="shared" si="31"/>
        <v>varejo-familiaridade</v>
      </c>
      <c r="BB7" s="40" t="s">
        <v>775</v>
      </c>
      <c r="BC7" s="40" t="s">
        <v>775</v>
      </c>
      <c r="BD7" s="40" t="str">
        <f t="shared" si="32"/>
        <v>var-rng-aaf-dsy-0221-10007</v>
      </c>
      <c r="BE7" s="40" t="str">
        <f t="shared" si="33"/>
        <v>BR</v>
      </c>
      <c r="BF7" s="40" t="str">
        <f t="shared" si="34"/>
        <v/>
      </c>
      <c r="BG7" s="40"/>
      <c r="BH7" s="40"/>
      <c r="BI7" s="42" t="str">
        <f t="shared" si="19"/>
        <v>https://ofertas.vw.com.br?adlid=var-rng-aaf-dsy-0221-10007&amp;adplt=alp_vw_amazon_aaf_dsy_nonms_nd_nc_rng_varejo-familiaridade_na_trafego_cpm_prog_all_300x600_interesse-autos_na_todaalinha-taxazero_var-rng-aaf-dsy-0221-10007</v>
      </c>
      <c r="BL7" s="25" t="str">
        <f t="shared" si="20"/>
        <v>alp_vw_amazon_aaf_dsy_nonms_nd_nc_rng_varejo-familiaridade_na_trafego</v>
      </c>
      <c r="BM7" s="25" t="str">
        <f t="shared" si="21"/>
        <v>cpm_prog_all_300x600_interesse-autos_na</v>
      </c>
      <c r="BN7" s="25" t="str">
        <f t="shared" si="22"/>
        <v>alp_vw_amazon_aaf_dsy_nonms_nd_nc_rng_varejo-familiaridade_na_trafego_cpm_prog_all_300x600_interesse-autos_na_todaalinha-taxazero_var-rng-aaf-dsy-0221-10007</v>
      </c>
    </row>
    <row r="8" spans="2:68" ht="15" hidden="1" customHeight="1" x14ac:dyDescent="0.25">
      <c r="B8" s="40" t="s">
        <v>996</v>
      </c>
      <c r="C8" s="40" t="s">
        <v>997</v>
      </c>
      <c r="D8" s="40" t="s">
        <v>994</v>
      </c>
      <c r="E8" s="49">
        <v>44236</v>
      </c>
      <c r="F8" s="49">
        <v>44286</v>
      </c>
      <c r="G8" s="40" t="s">
        <v>628</v>
      </c>
      <c r="H8" s="50" t="s">
        <v>939</v>
      </c>
      <c r="I8" s="40" t="s">
        <v>777</v>
      </c>
      <c r="J8" s="51" t="s">
        <v>936</v>
      </c>
      <c r="K8" s="51" t="s">
        <v>936</v>
      </c>
      <c r="L8" s="40" t="s">
        <v>653</v>
      </c>
      <c r="M8" s="40" t="s">
        <v>287</v>
      </c>
      <c r="N8" s="40" t="s">
        <v>295</v>
      </c>
      <c r="O8" s="40" t="s">
        <v>317</v>
      </c>
      <c r="P8" s="40" t="s">
        <v>284</v>
      </c>
      <c r="Q8" s="40" t="s">
        <v>658</v>
      </c>
      <c r="R8" s="40" t="s">
        <v>277</v>
      </c>
      <c r="S8" s="40" t="s">
        <v>841</v>
      </c>
      <c r="T8" s="40" t="s">
        <v>938</v>
      </c>
      <c r="U8" s="40" t="s">
        <v>940</v>
      </c>
      <c r="V8" s="40" t="s">
        <v>935</v>
      </c>
      <c r="W8" s="40" t="s">
        <v>842</v>
      </c>
      <c r="X8" s="40"/>
      <c r="Y8" s="40" t="s">
        <v>568</v>
      </c>
      <c r="Z8" s="39"/>
      <c r="AA8" s="41"/>
      <c r="AB8" s="41"/>
      <c r="AC8" s="41"/>
      <c r="AD8" s="40"/>
      <c r="AE8" s="40"/>
      <c r="AF8" s="41"/>
      <c r="AG8" s="41"/>
      <c r="AH8" s="40" t="str">
        <f t="shared" si="0"/>
        <v>296183128</v>
      </c>
      <c r="AI8" s="41" t="str">
        <f t="shared" si="1"/>
        <v>alp_vw_amazon_aaf_dsy_nonms_nd_nc_rng_varejo-familiaridade_na_trafego_cpm_prog_all_728x90_interesse-autos_na_todaalinha-taxazero_var-rng-aaf-dsy-0221-10008</v>
      </c>
      <c r="AJ8" s="48" t="str">
        <f t="shared" si="2"/>
        <v>alp_vw_amazon_aaf_dsy_nonms_nd_nc_rng_varejo-familiaridade_na_trafego_cpm_prog_all_728x90_interesse-autos_na_todaalinha-taxazero_var-rng-aaf-dsy-0221-10008</v>
      </c>
      <c r="AK8" s="41" t="str">
        <f>LOWER(faxineiro(CONCATENATE("VW","_",cel_modelvariant,"_",col_size,"_",col_linhacriativa2,"_",IF(col_servidopor="portal",col_supplier,"adserver"))))</f>
        <v>vw_range_728x90_todaalinha-taxazero_adserver</v>
      </c>
      <c r="AL8" s="41" t="str">
        <f t="shared" si="23"/>
        <v>https://ofertas.vw.com.br?utm_source=amazon&amp;utm_medium=Paid-Display&amp;utm_content=alp_vw_amazon_aaf_dsy_nonms_nd_nc_rng_varejo-familiaridade_na_trafego_cpm_prog_all_728x90_interesse-autos_na_todaalinha-taxazero_var-rng-aaf-dsy-0221-10008&amp;utm_campaign=BR_AAF_DSY_NONMS_ND_NC_2021Q1FEB_RNG_Varejo-Familiaridade&amp;utm_term=%epid!_%ecid!_%eaid!</v>
      </c>
      <c r="AM8" s="41" t="str">
        <f t="shared" si="5"/>
        <v>TAG</v>
      </c>
      <c r="AN8" s="40" t="str">
        <f t="shared" si="24"/>
        <v>amazon</v>
      </c>
      <c r="AO8" s="40" t="str">
        <f t="shared" si="25"/>
        <v>Paid-Display</v>
      </c>
      <c r="AP8" s="41" t="str">
        <f>Campanha!$B$3</f>
        <v>BR_AAF_DSY_NONMS_ND_NC_2021Q1FEB_RNG_Varejo-Familiaridade</v>
      </c>
      <c r="AQ8" s="41" t="str">
        <f t="shared" si="8"/>
        <v>alp_vw_amazon_aaf_dsy_nonms_nd_nc_rng_varejo-familiaridade_na_trafego_cpm_prog_all_728x90_interesse-autos_na_todaalinha-taxazero_var-rng-aaf-dsy-0221-10008</v>
      </c>
      <c r="AR8" s="40" t="s">
        <v>722</v>
      </c>
      <c r="AS8" s="41" t="str">
        <f t="shared" si="9"/>
        <v>https://ofertas.vw.com.br?utm_source=amazon&amp;utm_medium=Paid-Display&amp;utm_content=alp_vw_amazon_aaf_dsy_nonms_nd_nc_rng_varejo-familiaridade_na_trafego_cpm_prog_all_728x90_interesse-autos_na_todaalinha-taxazero_var-rng-aaf-dsy-0221-10008&amp;utm_campaign=BR_AAF_DSY_NONMS_ND_NC_2021Q1FEB_RNG_Varejo-Familiaridade&amp;utm_term=%epid!_%ecid!_%eaid!</v>
      </c>
      <c r="AT8" s="40" t="str">
        <f t="shared" si="26"/>
        <v>run-of-network</v>
      </c>
      <c r="AU8" s="40" t="str">
        <f t="shared" si="11"/>
        <v>BR</v>
      </c>
      <c r="AV8" s="40" t="str">
        <f t="shared" si="27"/>
        <v>amazon</v>
      </c>
      <c r="AW8" s="40" t="str">
        <f t="shared" si="28"/>
        <v>amazon</v>
      </c>
      <c r="AX8" s="40" t="str">
        <f t="shared" si="14"/>
        <v>varejo-familiaridade</v>
      </c>
      <c r="AY8" s="40" t="str">
        <f t="shared" si="29"/>
        <v>alp_vw_amazon_aaf_dsy_nonms_nd_nc_rng_varejo-familiaridade_na_trafego_cpm_prog_all_728x90_interesse-autos_na_todaalinha-taxazero_var-rng-aaf-dsy-0221-10008</v>
      </c>
      <c r="AZ8" s="40" t="str">
        <f t="shared" si="30"/>
        <v>728x90</v>
      </c>
      <c r="BA8" s="40" t="str">
        <f t="shared" si="31"/>
        <v>varejo-familiaridade</v>
      </c>
      <c r="BB8" s="40" t="s">
        <v>775</v>
      </c>
      <c r="BC8" s="40" t="s">
        <v>775</v>
      </c>
      <c r="BD8" s="40" t="str">
        <f t="shared" si="32"/>
        <v>var-rng-aaf-dsy-0221-10008</v>
      </c>
      <c r="BE8" s="40" t="str">
        <f t="shared" si="33"/>
        <v>BR</v>
      </c>
      <c r="BF8" s="40" t="str">
        <f t="shared" si="34"/>
        <v/>
      </c>
      <c r="BG8" s="40"/>
      <c r="BH8" s="40"/>
      <c r="BI8" s="42" t="str">
        <f t="shared" si="19"/>
        <v>https://ofertas.vw.com.br?adlid=var-rng-aaf-dsy-0221-10008&amp;adplt=alp_vw_amazon_aaf_dsy_nonms_nd_nc_rng_varejo-familiaridade_na_trafego_cpm_prog_all_728x90_interesse-autos_na_todaalinha-taxazero_var-rng-aaf-dsy-0221-10008</v>
      </c>
      <c r="BL8" s="25" t="str">
        <f t="shared" si="20"/>
        <v>alp_vw_amazon_aaf_dsy_nonms_nd_nc_rng_varejo-familiaridade_na_trafego</v>
      </c>
      <c r="BM8" s="25" t="str">
        <f t="shared" si="21"/>
        <v>cpm_prog_all_728x90_interesse-autos_na</v>
      </c>
      <c r="BN8" s="25" t="str">
        <f t="shared" si="22"/>
        <v>alp_vw_amazon_aaf_dsy_nonms_nd_nc_rng_varejo-familiaridade_na_trafego_cpm_prog_all_728x90_interesse-autos_na_todaalinha-taxazero_var-rng-aaf-dsy-0221-10008</v>
      </c>
    </row>
    <row r="9" spans="2:68" ht="15" hidden="1" customHeight="1" x14ac:dyDescent="0.25">
      <c r="B9" s="40" t="s">
        <v>996</v>
      </c>
      <c r="C9" s="40" t="s">
        <v>997</v>
      </c>
      <c r="D9" s="40" t="s">
        <v>994</v>
      </c>
      <c r="E9" s="49">
        <v>44236</v>
      </c>
      <c r="F9" s="49">
        <v>44286</v>
      </c>
      <c r="G9" s="40" t="s">
        <v>628</v>
      </c>
      <c r="H9" s="50" t="s">
        <v>939</v>
      </c>
      <c r="I9" s="40" t="s">
        <v>777</v>
      </c>
      <c r="J9" s="51" t="s">
        <v>936</v>
      </c>
      <c r="K9" s="51" t="s">
        <v>936</v>
      </c>
      <c r="L9" s="40" t="s">
        <v>653</v>
      </c>
      <c r="M9" s="40" t="s">
        <v>287</v>
      </c>
      <c r="N9" s="40" t="s">
        <v>295</v>
      </c>
      <c r="O9" s="40" t="s">
        <v>317</v>
      </c>
      <c r="P9" s="40" t="s">
        <v>311</v>
      </c>
      <c r="Q9" s="40" t="s">
        <v>658</v>
      </c>
      <c r="R9" s="40" t="s">
        <v>277</v>
      </c>
      <c r="S9" s="40" t="s">
        <v>841</v>
      </c>
      <c r="T9" s="40" t="s">
        <v>938</v>
      </c>
      <c r="U9" s="40" t="s">
        <v>940</v>
      </c>
      <c r="V9" s="40" t="s">
        <v>935</v>
      </c>
      <c r="W9" s="40" t="s">
        <v>842</v>
      </c>
      <c r="X9" s="40"/>
      <c r="Y9" s="40" t="s">
        <v>457</v>
      </c>
      <c r="Z9" s="39"/>
      <c r="AA9" s="41"/>
      <c r="AB9" s="41"/>
      <c r="AC9" s="41"/>
      <c r="AD9" s="40"/>
      <c r="AE9" s="40"/>
      <c r="AF9" s="41"/>
      <c r="AG9" s="41"/>
      <c r="AH9" s="40" t="str">
        <f t="shared" si="0"/>
        <v>296181910</v>
      </c>
      <c r="AI9" s="41" t="str">
        <f t="shared" si="1"/>
        <v>alp_vw_amazon_aaf_dsy_nonms_nd_nc_rng_varejo-familiaridade_na_trafego_cpm_prog_all_320x50_interesse-autos_na_todaalinha-taxazero_var-rng-aaf-dsy-0221-10009</v>
      </c>
      <c r="AJ9" s="48" t="str">
        <f t="shared" si="2"/>
        <v>alp_vw_amazon_aaf_dsy_nonms_nd_nc_rng_varejo-familiaridade_na_trafego_cpm_prog_all_320x50_interesse-autos_na_todaalinha-taxazero_var-rng-aaf-dsy-0221-10009</v>
      </c>
      <c r="AK9" s="41" t="str">
        <f t="shared" si="3"/>
        <v>vw_range_320x50_todaalinha-taxazero_adserver</v>
      </c>
      <c r="AL9" s="41" t="str">
        <f t="shared" si="23"/>
        <v>https://ofertas.vw.com.br?utm_source=amazon&amp;utm_medium=Paid-Display&amp;utm_content=alp_vw_amazon_aaf_dsy_nonms_nd_nc_rng_varejo-familiaridade_na_trafego_cpm_prog_all_320x50_interesse-autos_na_todaalinha-taxazero_var-rng-aaf-dsy-0221-10009&amp;utm_campaign=BR_AAF_DSY_NONMS_ND_NC_2021Q1FEB_RNG_Varejo-Familiaridade&amp;utm_term=%epid!_%ecid!_%eaid!</v>
      </c>
      <c r="AM9" s="41" t="str">
        <f t="shared" si="5"/>
        <v>TAG</v>
      </c>
      <c r="AN9" s="40" t="str">
        <f t="shared" si="24"/>
        <v>amazon</v>
      </c>
      <c r="AO9" s="40" t="str">
        <f t="shared" si="25"/>
        <v>Paid-Display</v>
      </c>
      <c r="AP9" s="41" t="str">
        <f>Campanha!$B$3</f>
        <v>BR_AAF_DSY_NONMS_ND_NC_2021Q1FEB_RNG_Varejo-Familiaridade</v>
      </c>
      <c r="AQ9" s="41" t="str">
        <f t="shared" si="8"/>
        <v>alp_vw_amazon_aaf_dsy_nonms_nd_nc_rng_varejo-familiaridade_na_trafego_cpm_prog_all_320x50_interesse-autos_na_todaalinha-taxazero_var-rng-aaf-dsy-0221-10009</v>
      </c>
      <c r="AR9" s="40" t="s">
        <v>722</v>
      </c>
      <c r="AS9" s="41" t="str">
        <f t="shared" si="9"/>
        <v>https://ofertas.vw.com.br?utm_source=amazon&amp;utm_medium=Paid-Display&amp;utm_content=alp_vw_amazon_aaf_dsy_nonms_nd_nc_rng_varejo-familiaridade_na_trafego_cpm_prog_all_320x50_interesse-autos_na_todaalinha-taxazero_var-rng-aaf-dsy-0221-10009&amp;utm_campaign=BR_AAF_DSY_NONMS_ND_NC_2021Q1FEB_RNG_Varejo-Familiaridade&amp;utm_term=%epid!_%ecid!_%eaid!</v>
      </c>
      <c r="AT9" s="40" t="str">
        <f t="shared" si="26"/>
        <v>run-of-network</v>
      </c>
      <c r="AU9" s="40" t="str">
        <f t="shared" si="11"/>
        <v>BR</v>
      </c>
      <c r="AV9" s="40" t="str">
        <f t="shared" si="27"/>
        <v>amazon</v>
      </c>
      <c r="AW9" s="40" t="str">
        <f t="shared" si="28"/>
        <v>amazon</v>
      </c>
      <c r="AX9" s="40" t="str">
        <f t="shared" si="14"/>
        <v>varejo-familiaridade</v>
      </c>
      <c r="AY9" s="40" t="str">
        <f t="shared" si="29"/>
        <v>alp_vw_amazon_aaf_dsy_nonms_nd_nc_rng_varejo-familiaridade_na_trafego_cpm_prog_all_320x50_interesse-autos_na_todaalinha-taxazero_var-rng-aaf-dsy-0221-10009</v>
      </c>
      <c r="AZ9" s="40" t="str">
        <f t="shared" si="30"/>
        <v>320x50</v>
      </c>
      <c r="BA9" s="40" t="str">
        <f t="shared" si="31"/>
        <v>varejo-familiaridade</v>
      </c>
      <c r="BB9" s="40" t="s">
        <v>775</v>
      </c>
      <c r="BC9" s="40" t="s">
        <v>775</v>
      </c>
      <c r="BD9" s="40" t="str">
        <f t="shared" si="32"/>
        <v>var-rng-aaf-dsy-0221-10009</v>
      </c>
      <c r="BE9" s="40" t="str">
        <f t="shared" si="33"/>
        <v>BR</v>
      </c>
      <c r="BF9" s="40" t="str">
        <f t="shared" si="34"/>
        <v/>
      </c>
      <c r="BG9" s="40"/>
      <c r="BH9" s="40"/>
      <c r="BI9" s="42" t="str">
        <f t="shared" si="19"/>
        <v>https://ofertas.vw.com.br?adlid=var-rng-aaf-dsy-0221-10009&amp;adplt=alp_vw_amazon_aaf_dsy_nonms_nd_nc_rng_varejo-familiaridade_na_trafego_cpm_prog_all_320x50_interesse-autos_na_todaalinha-taxazero_var-rng-aaf-dsy-0221-10009</v>
      </c>
      <c r="BL9" s="25" t="str">
        <f t="shared" si="20"/>
        <v>alp_vw_amazon_aaf_dsy_nonms_nd_nc_rng_varejo-familiaridade_na_trafego</v>
      </c>
      <c r="BM9" s="25" t="str">
        <f t="shared" si="21"/>
        <v>cpm_prog_all_320x50_interesse-autos_na</v>
      </c>
      <c r="BN9" s="25" t="str">
        <f t="shared" si="22"/>
        <v>alp_vw_amazon_aaf_dsy_nonms_nd_nc_rng_varejo-familiaridade_na_trafego_cpm_prog_all_320x50_interesse-autos_na_todaalinha-taxazero_var-rng-aaf-dsy-0221-10009</v>
      </c>
    </row>
    <row r="10" spans="2:68" ht="15" hidden="1" customHeight="1" x14ac:dyDescent="0.25">
      <c r="B10" s="40" t="s">
        <v>996</v>
      </c>
      <c r="C10" s="40" t="s">
        <v>997</v>
      </c>
      <c r="D10" s="40" t="s">
        <v>994</v>
      </c>
      <c r="E10" s="49">
        <v>44236</v>
      </c>
      <c r="F10" s="49">
        <v>44286</v>
      </c>
      <c r="G10" s="40" t="s">
        <v>628</v>
      </c>
      <c r="H10" s="50" t="s">
        <v>939</v>
      </c>
      <c r="I10" s="40" t="s">
        <v>777</v>
      </c>
      <c r="J10" s="51" t="s">
        <v>936</v>
      </c>
      <c r="K10" s="51" t="s">
        <v>936</v>
      </c>
      <c r="L10" s="40" t="s">
        <v>653</v>
      </c>
      <c r="M10" s="40" t="s">
        <v>287</v>
      </c>
      <c r="N10" s="40" t="s">
        <v>295</v>
      </c>
      <c r="O10" s="40" t="s">
        <v>654</v>
      </c>
      <c r="P10" s="40" t="s">
        <v>284</v>
      </c>
      <c r="Q10" s="40" t="s">
        <v>658</v>
      </c>
      <c r="R10" s="40" t="s">
        <v>277</v>
      </c>
      <c r="S10" s="40" t="s">
        <v>841</v>
      </c>
      <c r="T10" s="40" t="s">
        <v>938</v>
      </c>
      <c r="U10" s="40" t="s">
        <v>940</v>
      </c>
      <c r="V10" s="40" t="s">
        <v>935</v>
      </c>
      <c r="W10" s="40" t="s">
        <v>842</v>
      </c>
      <c r="X10" s="40"/>
      <c r="Y10" s="40" t="s">
        <v>606</v>
      </c>
      <c r="Z10" s="39"/>
      <c r="AA10" s="41"/>
      <c r="AB10" s="41"/>
      <c r="AC10" s="41"/>
      <c r="AD10" s="40"/>
      <c r="AE10" s="40"/>
      <c r="AF10" s="41"/>
      <c r="AG10" s="41"/>
      <c r="AH10" s="40" t="str">
        <f t="shared" si="0"/>
        <v>296181907</v>
      </c>
      <c r="AI10" s="41" t="str">
        <f t="shared" si="1"/>
        <v>alp_vw_amazon_aaf_dsy_nonms_nd_nc_rng_varejo-familiaridade_na_trafego_cpm_prog_all_970x250_interesse-autos_na_todaalinha-taxazero_var-rng-aaf-dsy-0221-10010</v>
      </c>
      <c r="AJ10" s="48" t="str">
        <f t="shared" si="2"/>
        <v>alp_vw_amazon_aaf_dsy_nonms_nd_nc_rng_varejo-familiaridade_na_trafego_cpm_prog_all_970x250_interesse-autos_na_todaalinha-taxazero_var-rng-aaf-dsy-0221-10010</v>
      </c>
      <c r="AK10" s="41" t="str">
        <f t="shared" si="3"/>
        <v>vw_range_970x250_todaalinha-taxazero_adserver</v>
      </c>
      <c r="AL10" s="41" t="str">
        <f t="shared" si="23"/>
        <v>https://ofertas.vw.com.br?utm_source=amazon&amp;utm_medium=Paid-Display&amp;utm_content=alp_vw_amazon_aaf_dsy_nonms_nd_nc_rng_varejo-familiaridade_na_trafego_cpm_prog_all_970x250_interesse-autos_na_todaalinha-taxazero_var-rng-aaf-dsy-0221-10010&amp;utm_campaign=BR_AAF_DSY_NONMS_ND_NC_2021Q1FEB_RNG_Varejo-Familiaridade&amp;utm_term=%epid!_%ecid!_%eaid!</v>
      </c>
      <c r="AM10" s="41" t="str">
        <f t="shared" si="5"/>
        <v>TAG</v>
      </c>
      <c r="AN10" s="40" t="str">
        <f t="shared" si="24"/>
        <v>amazon</v>
      </c>
      <c r="AO10" s="40" t="str">
        <f t="shared" si="25"/>
        <v>Paid-Display</v>
      </c>
      <c r="AP10" s="41" t="str">
        <f>Campanha!$B$3</f>
        <v>BR_AAF_DSY_NONMS_ND_NC_2021Q1FEB_RNG_Varejo-Familiaridade</v>
      </c>
      <c r="AQ10" s="41" t="str">
        <f t="shared" si="8"/>
        <v>alp_vw_amazon_aaf_dsy_nonms_nd_nc_rng_varejo-familiaridade_na_trafego_cpm_prog_all_970x250_interesse-autos_na_todaalinha-taxazero_var-rng-aaf-dsy-0221-10010</v>
      </c>
      <c r="AR10" s="40" t="s">
        <v>722</v>
      </c>
      <c r="AS10" s="41" t="str">
        <f t="shared" si="9"/>
        <v>https://ofertas.vw.com.br?utm_source=amazon&amp;utm_medium=Paid-Display&amp;utm_content=alp_vw_amazon_aaf_dsy_nonms_nd_nc_rng_varejo-familiaridade_na_trafego_cpm_prog_all_970x250_interesse-autos_na_todaalinha-taxazero_var-rng-aaf-dsy-0221-10010&amp;utm_campaign=BR_AAF_DSY_NONMS_ND_NC_2021Q1FEB_RNG_Varejo-Familiaridade&amp;utm_term=%epid!_%ecid!_%eaid!</v>
      </c>
      <c r="AT10" s="40" t="str">
        <f t="shared" si="26"/>
        <v>run-of-network</v>
      </c>
      <c r="AU10" s="40" t="str">
        <f t="shared" si="11"/>
        <v>BR</v>
      </c>
      <c r="AV10" s="40" t="str">
        <f t="shared" si="27"/>
        <v>amazon</v>
      </c>
      <c r="AW10" s="40" t="str">
        <f t="shared" si="28"/>
        <v>amazon</v>
      </c>
      <c r="AX10" s="40" t="str">
        <f t="shared" si="14"/>
        <v>varejo-familiaridade</v>
      </c>
      <c r="AY10" s="40" t="str">
        <f t="shared" si="29"/>
        <v>alp_vw_amazon_aaf_dsy_nonms_nd_nc_rng_varejo-familiaridade_na_trafego_cpm_prog_all_970x250_interesse-autos_na_todaalinha-taxazero_var-rng-aaf-dsy-0221-10010</v>
      </c>
      <c r="AZ10" s="40" t="str">
        <f t="shared" si="30"/>
        <v>970x250</v>
      </c>
      <c r="BA10" s="40" t="str">
        <f t="shared" si="31"/>
        <v>varejo-familiaridade</v>
      </c>
      <c r="BB10" s="40" t="s">
        <v>775</v>
      </c>
      <c r="BC10" s="40" t="s">
        <v>775</v>
      </c>
      <c r="BD10" s="40" t="str">
        <f t="shared" si="32"/>
        <v>var-rng-aaf-dsy-0221-10010</v>
      </c>
      <c r="BE10" s="40" t="str">
        <f t="shared" si="33"/>
        <v>BR</v>
      </c>
      <c r="BF10" s="40" t="str">
        <f t="shared" si="34"/>
        <v/>
      </c>
      <c r="BG10" s="40"/>
      <c r="BH10" s="40"/>
      <c r="BI10" s="42" t="str">
        <f t="shared" si="19"/>
        <v>https://ofertas.vw.com.br?adlid=var-rng-aaf-dsy-0221-10010&amp;adplt=alp_vw_amazon_aaf_dsy_nonms_nd_nc_rng_varejo-familiaridade_na_trafego_cpm_prog_all_970x250_interesse-autos_na_todaalinha-taxazero_var-rng-aaf-dsy-0221-10010</v>
      </c>
      <c r="BL10" s="25" t="str">
        <f t="shared" si="20"/>
        <v>alp_vw_amazon_aaf_dsy_nonms_nd_nc_rng_varejo-familiaridade_na_trafego</v>
      </c>
      <c r="BM10" s="25" t="str">
        <f t="shared" si="21"/>
        <v>cpm_prog_all_970x250_interesse-autos_na</v>
      </c>
      <c r="BN10" s="25" t="str">
        <f t="shared" si="22"/>
        <v>alp_vw_amazon_aaf_dsy_nonms_nd_nc_rng_varejo-familiaridade_na_trafego_cpm_prog_all_970x250_interesse-autos_na_todaalinha-taxazero_var-rng-aaf-dsy-0221-10010</v>
      </c>
    </row>
    <row r="11" spans="2:68" ht="15" hidden="1" customHeight="1" x14ac:dyDescent="0.25">
      <c r="B11" s="40" t="s">
        <v>996</v>
      </c>
      <c r="C11" s="40" t="s">
        <v>995</v>
      </c>
      <c r="D11" s="40" t="s">
        <v>994</v>
      </c>
      <c r="E11" s="49">
        <v>44236</v>
      </c>
      <c r="F11" s="49">
        <v>44286</v>
      </c>
      <c r="G11" s="40" t="s">
        <v>626</v>
      </c>
      <c r="H11" s="50" t="s">
        <v>939</v>
      </c>
      <c r="I11" s="40" t="s">
        <v>777</v>
      </c>
      <c r="J11" s="51" t="s">
        <v>936</v>
      </c>
      <c r="K11" s="51" t="s">
        <v>936</v>
      </c>
      <c r="L11" s="40" t="s">
        <v>653</v>
      </c>
      <c r="M11" s="40" t="s">
        <v>287</v>
      </c>
      <c r="N11" s="40" t="s">
        <v>295</v>
      </c>
      <c r="O11" s="40" t="s">
        <v>654</v>
      </c>
      <c r="P11" s="40" t="s">
        <v>311</v>
      </c>
      <c r="Q11" s="40" t="s">
        <v>658</v>
      </c>
      <c r="R11" s="40" t="s">
        <v>277</v>
      </c>
      <c r="S11" s="40" t="s">
        <v>841</v>
      </c>
      <c r="T11" s="40" t="s">
        <v>938</v>
      </c>
      <c r="U11" s="40" t="s">
        <v>940</v>
      </c>
      <c r="V11" s="40" t="s">
        <v>935</v>
      </c>
      <c r="W11" s="40" t="s">
        <v>842</v>
      </c>
      <c r="X11" s="40"/>
      <c r="Y11" s="40" t="s">
        <v>433</v>
      </c>
      <c r="Z11" s="48"/>
      <c r="AA11" s="41"/>
      <c r="AB11" s="41"/>
      <c r="AC11" s="41"/>
      <c r="AD11" s="40"/>
      <c r="AE11" s="40"/>
      <c r="AF11" s="41"/>
      <c r="AG11" s="41"/>
      <c r="AH11" s="40" t="e">
        <f t="shared" si="0"/>
        <v>#N/A</v>
      </c>
      <c r="AI11" s="41" t="str">
        <f t="shared" si="1"/>
        <v>alp_vw_amazon_aaf_dsy_nonms_nd_nc_rng_varejo-familiaridade_na_trafego_cpm_prog_all_300x250_interesse-autos_na_todaalinha-taxazero_var-rng-aaf-dsy-0221-10011</v>
      </c>
      <c r="AJ11" s="48" t="str">
        <f t="shared" si="2"/>
        <v>alp_vw_amazon_aaf_dsy_nonms_nd_nc_rng_varejo-familiaridade_na_trafego_cpm_prog_all_300x250_interesse-autos_na_todaalinha-taxazero_var-rng-aaf-dsy-0221-10011</v>
      </c>
      <c r="AK11" s="41" t="str">
        <f t="shared" si="3"/>
        <v>vw_range_300x250_todaalinha-taxazero_amazon</v>
      </c>
      <c r="AL11" s="41" t="str">
        <f t="shared" si="23"/>
        <v>https://ofertas.vw.com.br?utm_source=amazon&amp;utm_medium=Paid-Display&amp;utm_content=alp_vw_amazon_aaf_dsy_nonms_nd_nc_rng_varejo-familiaridade_na_trafego_cpm_prog_all_300x250_interesse-autos_na_todaalinha-taxazero_var-rng-aaf-dsy-0221-10011&amp;utm_campaign=BR_AAF_DSY_NONMS_ND_NC_2021Q1FEB_RNG_Varejo-Familiaridade&amp;utm_term=%epid!_%ecid!_%eaid!</v>
      </c>
      <c r="AM11" s="41" t="str">
        <f t="shared" si="5"/>
        <v>https://ad.doubleclick.net/ddm/trackclk/N9487.3350855AMAZONBRAZIL/B25333445.295839436;dc_trk_aid=488691293;dc_trk_cid=145996180;dc_lat=;dc_rdid=;tag_for_child_directed_treatment=;tfua=</v>
      </c>
      <c r="AN11" s="40" t="str">
        <f t="shared" si="24"/>
        <v>amazon</v>
      </c>
      <c r="AO11" s="40" t="str">
        <f t="shared" si="25"/>
        <v>Paid-Display</v>
      </c>
      <c r="AP11" s="41" t="str">
        <f>Campanha!$B$3</f>
        <v>BR_AAF_DSY_NONMS_ND_NC_2021Q1FEB_RNG_Varejo-Familiaridade</v>
      </c>
      <c r="AQ11" s="41" t="str">
        <f t="shared" si="8"/>
        <v>alp_vw_amazon_aaf_dsy_nonms_nd_nc_rng_varejo-familiaridade_na_trafego_cpm_prog_all_300x250_interesse-autos_na_todaalinha-taxazero_var-rng-aaf-dsy-0221-10011</v>
      </c>
      <c r="AR11" s="40" t="s">
        <v>722</v>
      </c>
      <c r="AS11" s="41" t="str">
        <f t="shared" si="9"/>
        <v>https://ofertas.vw.com.br?utm_source=amazon&amp;utm_medium=Paid-Display&amp;utm_content=alp_vw_amazon_aaf_dsy_nonms_nd_nc_rng_varejo-familiaridade_na_trafego_cpm_prog_all_300x250_interesse-autos_na_todaalinha-taxazero_var-rng-aaf-dsy-0221-10011&amp;utm_campaign=BR_AAF_DSY_NONMS_ND_NC_2021Q1FEB_RNG_Varejo-Familiaridade&amp;utm_term=%epid!_%ecid!_%eaid!</v>
      </c>
      <c r="AT11" s="40" t="str">
        <f t="shared" si="26"/>
        <v>run-of-network</v>
      </c>
      <c r="AU11" s="40" t="str">
        <f t="shared" si="11"/>
        <v>BR</v>
      </c>
      <c r="AV11" s="40" t="str">
        <f t="shared" si="27"/>
        <v>amazon</v>
      </c>
      <c r="AW11" s="40" t="str">
        <f t="shared" si="28"/>
        <v>amazon</v>
      </c>
      <c r="AX11" s="40" t="str">
        <f t="shared" si="14"/>
        <v>varejo-familiaridade</v>
      </c>
      <c r="AY11" s="40" t="str">
        <f t="shared" si="29"/>
        <v>alp_vw_amazon_aaf_dsy_nonms_nd_nc_rng_varejo-familiaridade_na_trafego_cpm_prog_all_300x250_interesse-autos_na_todaalinha-taxazero_var-rng-aaf-dsy-0221-10011</v>
      </c>
      <c r="AZ11" s="40" t="str">
        <f t="shared" si="30"/>
        <v>300x250</v>
      </c>
      <c r="BA11" s="40" t="str">
        <f t="shared" si="31"/>
        <v>varejo-familiaridade</v>
      </c>
      <c r="BB11" s="40" t="s">
        <v>775</v>
      </c>
      <c r="BC11" s="40" t="s">
        <v>775</v>
      </c>
      <c r="BD11" s="40" t="str">
        <f t="shared" si="32"/>
        <v>var-rng-aaf-dsy-0221-10011</v>
      </c>
      <c r="BE11" s="40" t="str">
        <f t="shared" si="33"/>
        <v>BR</v>
      </c>
      <c r="BF11" s="40" t="str">
        <f t="shared" si="34"/>
        <v/>
      </c>
      <c r="BG11" s="40"/>
      <c r="BH11" s="40"/>
      <c r="BI11" s="42" t="str">
        <f t="shared" si="19"/>
        <v>https://ofertas.vw.com.br?adlid=var-rng-aaf-dsy-0221-10011&amp;adplt=alp_vw_amazon_aaf_dsy_nonms_nd_nc_rng_varejo-familiaridade_na_trafego_cpm_prog_all_300x250_interesse-autos_na_todaalinha-taxazero_var-rng-aaf-dsy-0221-10011</v>
      </c>
      <c r="BL11" s="25" t="str">
        <f t="shared" si="20"/>
        <v>alp_vw_amazon_aaf_dsy_nonms_nd_nc_rng_varejo-familiaridade_na_trafego</v>
      </c>
      <c r="BM11" s="25" t="str">
        <f t="shared" si="21"/>
        <v>cpm_prog_all_300x250_interesse-autos_na</v>
      </c>
      <c r="BN11" s="25" t="str">
        <f t="shared" si="22"/>
        <v>alp_vw_amazon_aaf_dsy_nonms_nd_nc_rng_varejo-familiaridade_na_trafego_cpm_prog_all_300x250_interesse-autos_na_todaalinha-taxazero_var-rng-aaf-dsy-0221-10011</v>
      </c>
    </row>
    <row r="12" spans="2:68" ht="15" hidden="1" customHeight="1" x14ac:dyDescent="0.25">
      <c r="B12" s="40" t="s">
        <v>996</v>
      </c>
      <c r="C12" s="40" t="s">
        <v>995</v>
      </c>
      <c r="D12" s="40" t="s">
        <v>994</v>
      </c>
      <c r="E12" s="49">
        <v>44236</v>
      </c>
      <c r="F12" s="49">
        <v>44286</v>
      </c>
      <c r="G12" s="40" t="s">
        <v>626</v>
      </c>
      <c r="H12" s="50" t="s">
        <v>939</v>
      </c>
      <c r="I12" s="40" t="s">
        <v>777</v>
      </c>
      <c r="J12" s="51" t="s">
        <v>936</v>
      </c>
      <c r="K12" s="51" t="s">
        <v>936</v>
      </c>
      <c r="L12" s="40" t="s">
        <v>653</v>
      </c>
      <c r="M12" s="40" t="s">
        <v>287</v>
      </c>
      <c r="N12" s="40" t="s">
        <v>295</v>
      </c>
      <c r="O12" s="40" t="s">
        <v>654</v>
      </c>
      <c r="P12" s="40" t="s">
        <v>311</v>
      </c>
      <c r="Q12" s="40" t="s">
        <v>658</v>
      </c>
      <c r="R12" s="40" t="s">
        <v>277</v>
      </c>
      <c r="S12" s="40" t="s">
        <v>841</v>
      </c>
      <c r="T12" s="40" t="s">
        <v>938</v>
      </c>
      <c r="U12" s="40" t="s">
        <v>940</v>
      </c>
      <c r="V12" s="40" t="s">
        <v>935</v>
      </c>
      <c r="W12" s="40" t="s">
        <v>842</v>
      </c>
      <c r="X12" s="40"/>
      <c r="Y12" s="40" t="s">
        <v>457</v>
      </c>
      <c r="Z12" s="48"/>
      <c r="AA12" s="41"/>
      <c r="AB12" s="41"/>
      <c r="AC12" s="41"/>
      <c r="AD12" s="40"/>
      <c r="AE12" s="40"/>
      <c r="AF12" s="41"/>
      <c r="AG12" s="41"/>
      <c r="AH12" s="40" t="e">
        <f t="shared" si="0"/>
        <v>#N/A</v>
      </c>
      <c r="AI12" s="41" t="str">
        <f t="shared" si="1"/>
        <v>alp_vw_amazon_aaf_dsy_nonms_nd_nc_rng_varejo-familiaridade_na_trafego_cpm_prog_all_320x50_interesse-autos_na_todaalinha-taxazero_var-rng-aaf-dsy-0221-10012</v>
      </c>
      <c r="AJ12" s="48" t="str">
        <f t="shared" si="2"/>
        <v>alp_vw_amazon_aaf_dsy_nonms_nd_nc_rng_varejo-familiaridade_na_trafego_cpm_prog_all_320x50_interesse-autos_na_todaalinha-taxazero_var-rng-aaf-dsy-0221-10012</v>
      </c>
      <c r="AK12" s="41" t="str">
        <f t="shared" si="3"/>
        <v>vw_range_320x50_todaalinha-taxazero_amazon</v>
      </c>
      <c r="AL12" s="41" t="str">
        <f t="shared" si="23"/>
        <v>https://ofertas.vw.com.br?utm_source=amazon&amp;utm_medium=Paid-Display&amp;utm_content=alp_vw_amazon_aaf_dsy_nonms_nd_nc_rng_varejo-familiaridade_na_trafego_cpm_prog_all_320x50_interesse-autos_na_todaalinha-taxazero_var-rng-aaf-dsy-0221-10012&amp;utm_campaign=BR_AAF_DSY_NONMS_ND_NC_2021Q1FEB_RNG_Varejo-Familiaridade&amp;utm_term=%epid!_%ecid!_%eaid!</v>
      </c>
      <c r="AM12" s="41" t="str">
        <f t="shared" si="5"/>
        <v>https://ad.doubleclick.net/ddm/trackclk/N9487.3350855AMAZONBRAZIL/B25333445.295678098;dc_trk_aid=488957637;dc_trk_cid=145996180;dc_lat=;dc_rdid=;tag_for_child_directed_treatment=;tfua=</v>
      </c>
      <c r="AN12" s="40" t="str">
        <f t="shared" si="24"/>
        <v>amazon</v>
      </c>
      <c r="AO12" s="40" t="str">
        <f t="shared" si="25"/>
        <v>Paid-Display</v>
      </c>
      <c r="AP12" s="41" t="str">
        <f>Campanha!$B$3</f>
        <v>BR_AAF_DSY_NONMS_ND_NC_2021Q1FEB_RNG_Varejo-Familiaridade</v>
      </c>
      <c r="AQ12" s="41" t="str">
        <f t="shared" si="8"/>
        <v>alp_vw_amazon_aaf_dsy_nonms_nd_nc_rng_varejo-familiaridade_na_trafego_cpm_prog_all_320x50_interesse-autos_na_todaalinha-taxazero_var-rng-aaf-dsy-0221-10012</v>
      </c>
      <c r="AR12" s="40" t="s">
        <v>722</v>
      </c>
      <c r="AS12" s="41" t="str">
        <f t="shared" si="9"/>
        <v>https://ofertas.vw.com.br?utm_source=amazon&amp;utm_medium=Paid-Display&amp;utm_content=alp_vw_amazon_aaf_dsy_nonms_nd_nc_rng_varejo-familiaridade_na_trafego_cpm_prog_all_320x50_interesse-autos_na_todaalinha-taxazero_var-rng-aaf-dsy-0221-10012&amp;utm_campaign=BR_AAF_DSY_NONMS_ND_NC_2021Q1FEB_RNG_Varejo-Familiaridade&amp;utm_term=%epid!_%ecid!_%eaid!</v>
      </c>
      <c r="AT12" s="40" t="str">
        <f t="shared" si="26"/>
        <v>run-of-network</v>
      </c>
      <c r="AU12" s="40" t="str">
        <f t="shared" si="11"/>
        <v>BR</v>
      </c>
      <c r="AV12" s="40" t="str">
        <f t="shared" si="27"/>
        <v>amazon</v>
      </c>
      <c r="AW12" s="40" t="str">
        <f t="shared" si="28"/>
        <v>amazon</v>
      </c>
      <c r="AX12" s="40" t="str">
        <f t="shared" si="14"/>
        <v>varejo-familiaridade</v>
      </c>
      <c r="AY12" s="40" t="str">
        <f t="shared" si="29"/>
        <v>alp_vw_amazon_aaf_dsy_nonms_nd_nc_rng_varejo-familiaridade_na_trafego_cpm_prog_all_320x50_interesse-autos_na_todaalinha-taxazero_var-rng-aaf-dsy-0221-10012</v>
      </c>
      <c r="AZ12" s="40" t="str">
        <f t="shared" si="30"/>
        <v>320x50</v>
      </c>
      <c r="BA12" s="40" t="str">
        <f t="shared" si="31"/>
        <v>varejo-familiaridade</v>
      </c>
      <c r="BB12" s="40" t="s">
        <v>775</v>
      </c>
      <c r="BC12" s="40" t="s">
        <v>775</v>
      </c>
      <c r="BD12" s="40" t="str">
        <f t="shared" si="32"/>
        <v>var-rng-aaf-dsy-0221-10012</v>
      </c>
      <c r="BE12" s="40" t="str">
        <f t="shared" si="33"/>
        <v>BR</v>
      </c>
      <c r="BF12" s="40" t="str">
        <f t="shared" si="34"/>
        <v/>
      </c>
      <c r="BG12" s="40"/>
      <c r="BH12" s="40"/>
      <c r="BI12" s="42" t="str">
        <f t="shared" si="19"/>
        <v>https://ofertas.vw.com.br?adlid=var-rng-aaf-dsy-0221-10012&amp;adplt=alp_vw_amazon_aaf_dsy_nonms_nd_nc_rng_varejo-familiaridade_na_trafego_cpm_prog_all_320x50_interesse-autos_na_todaalinha-taxazero_var-rng-aaf-dsy-0221-10012</v>
      </c>
      <c r="BL12" s="25" t="str">
        <f t="shared" si="20"/>
        <v>alp_vw_amazon_aaf_dsy_nonms_nd_nc_rng_varejo-familiaridade_na_trafego</v>
      </c>
      <c r="BM12" s="25" t="str">
        <f t="shared" si="21"/>
        <v>cpm_prog_all_320x50_interesse-autos_na</v>
      </c>
      <c r="BN12" s="25" t="str">
        <f t="shared" si="22"/>
        <v>alp_vw_amazon_aaf_dsy_nonms_nd_nc_rng_varejo-familiaridade_na_trafego_cpm_prog_all_320x50_interesse-autos_na_todaalinha-taxazero_var-rng-aaf-dsy-0221-10012</v>
      </c>
    </row>
    <row r="13" spans="2:68" ht="15" hidden="1" customHeight="1" x14ac:dyDescent="0.25">
      <c r="B13" s="40" t="s">
        <v>996</v>
      </c>
      <c r="C13" s="40" t="s">
        <v>995</v>
      </c>
      <c r="D13" s="40" t="s">
        <v>994</v>
      </c>
      <c r="E13" s="49">
        <v>44236</v>
      </c>
      <c r="F13" s="49">
        <v>44286</v>
      </c>
      <c r="G13" s="40" t="s">
        <v>626</v>
      </c>
      <c r="H13" s="50" t="s">
        <v>939</v>
      </c>
      <c r="I13" s="40" t="s">
        <v>777</v>
      </c>
      <c r="J13" s="51" t="s">
        <v>936</v>
      </c>
      <c r="K13" s="51" t="s">
        <v>936</v>
      </c>
      <c r="L13" s="40" t="s">
        <v>653</v>
      </c>
      <c r="M13" s="40" t="s">
        <v>287</v>
      </c>
      <c r="N13" s="40" t="s">
        <v>295</v>
      </c>
      <c r="O13" s="40" t="s">
        <v>654</v>
      </c>
      <c r="P13" s="40" t="s">
        <v>311</v>
      </c>
      <c r="Q13" s="40" t="s">
        <v>658</v>
      </c>
      <c r="R13" s="40" t="s">
        <v>277</v>
      </c>
      <c r="S13" s="40" t="s">
        <v>841</v>
      </c>
      <c r="T13" s="40" t="s">
        <v>938</v>
      </c>
      <c r="U13" s="40" t="s">
        <v>940</v>
      </c>
      <c r="V13" s="40" t="s">
        <v>935</v>
      </c>
      <c r="W13" s="40" t="s">
        <v>842</v>
      </c>
      <c r="X13" s="40"/>
      <c r="Y13" s="40" t="s">
        <v>937</v>
      </c>
      <c r="Z13" s="48"/>
      <c r="AA13" s="41"/>
      <c r="AB13" s="41"/>
      <c r="AC13" s="41"/>
      <c r="AD13" s="40"/>
      <c r="AE13" s="40"/>
      <c r="AF13" s="41"/>
      <c r="AG13" s="41"/>
      <c r="AH13" s="40" t="e">
        <f t="shared" si="0"/>
        <v>#N/A</v>
      </c>
      <c r="AI13" s="41" t="str">
        <f t="shared" si="1"/>
        <v>alp_vw_amazon_aaf_dsy_nonms_nd_nc_rng_varejo-familiaridade_na_trafego_cpm_prog_all_414x125_interesse-autos_na_todaalinha-taxazero_var-rng-aaf-dsy-0221-10013</v>
      </c>
      <c r="AJ13" s="48" t="str">
        <f t="shared" si="2"/>
        <v>alp_vw_amazon_aaf_dsy_nonms_nd_nc_rng_varejo-familiaridade_na_trafego_cpm_prog_all_414x125_interesse-autos_na_todaalinha-taxazero_var-rng-aaf-dsy-0221-10013</v>
      </c>
      <c r="AK13" s="41" t="str">
        <f t="shared" si="3"/>
        <v>vw_range_414x125_todaalinha-taxazero_amazon</v>
      </c>
      <c r="AL13" s="41" t="str">
        <f t="shared" si="23"/>
        <v>https://ofertas.vw.com.br?utm_source=amazon&amp;utm_medium=Paid-Display&amp;utm_content=alp_vw_amazon_aaf_dsy_nonms_nd_nc_rng_varejo-familiaridade_na_trafego_cpm_prog_all_414x125_interesse-autos_na_todaalinha-taxazero_var-rng-aaf-dsy-0221-10013&amp;utm_campaign=BR_AAF_DSY_NONMS_ND_NC_2021Q1FEB_RNG_Varejo-Familiaridade&amp;utm_term=%epid!_%ecid!_%eaid!</v>
      </c>
      <c r="AM13" s="41" t="str">
        <f t="shared" si="5"/>
        <v>https://ad.doubleclick.net/ddm/trackclk/N9487.3350855AMAZONBRAZIL/B25333445.295678092;dc_trk_aid=488957631;dc_trk_cid=145996180;dc_lat=;dc_rdid=;tag_for_child_directed_treatment=;tfua=</v>
      </c>
      <c r="AN13" s="40" t="str">
        <f t="shared" si="24"/>
        <v>amazon</v>
      </c>
      <c r="AO13" s="40" t="str">
        <f t="shared" si="25"/>
        <v>Paid-Display</v>
      </c>
      <c r="AP13" s="41" t="str">
        <f>Campanha!$B$3</f>
        <v>BR_AAF_DSY_NONMS_ND_NC_2021Q1FEB_RNG_Varejo-Familiaridade</v>
      </c>
      <c r="AQ13" s="41" t="str">
        <f t="shared" si="8"/>
        <v>alp_vw_amazon_aaf_dsy_nonms_nd_nc_rng_varejo-familiaridade_na_trafego_cpm_prog_all_414x125_interesse-autos_na_todaalinha-taxazero_var-rng-aaf-dsy-0221-10013</v>
      </c>
      <c r="AR13" s="40" t="s">
        <v>722</v>
      </c>
      <c r="AS13" s="41" t="str">
        <f t="shared" si="9"/>
        <v>https://ofertas.vw.com.br?utm_source=amazon&amp;utm_medium=Paid-Display&amp;utm_content=alp_vw_amazon_aaf_dsy_nonms_nd_nc_rng_varejo-familiaridade_na_trafego_cpm_prog_all_414x125_interesse-autos_na_todaalinha-taxazero_var-rng-aaf-dsy-0221-10013&amp;utm_campaign=BR_AAF_DSY_NONMS_ND_NC_2021Q1FEB_RNG_Varejo-Familiaridade&amp;utm_term=%epid!_%ecid!_%eaid!</v>
      </c>
      <c r="AT13" s="40" t="str">
        <f t="shared" si="26"/>
        <v>run-of-network</v>
      </c>
      <c r="AU13" s="40" t="str">
        <f t="shared" si="11"/>
        <v>BR</v>
      </c>
      <c r="AV13" s="40" t="str">
        <f t="shared" si="27"/>
        <v>amazon</v>
      </c>
      <c r="AW13" s="40" t="str">
        <f t="shared" si="28"/>
        <v>amazon</v>
      </c>
      <c r="AX13" s="40" t="str">
        <f t="shared" si="14"/>
        <v>varejo-familiaridade</v>
      </c>
      <c r="AY13" s="40" t="str">
        <f t="shared" si="29"/>
        <v>alp_vw_amazon_aaf_dsy_nonms_nd_nc_rng_varejo-familiaridade_na_trafego_cpm_prog_all_414x125_interesse-autos_na_todaalinha-taxazero_var-rng-aaf-dsy-0221-10013</v>
      </c>
      <c r="AZ13" s="40" t="str">
        <f t="shared" si="30"/>
        <v>414x125</v>
      </c>
      <c r="BA13" s="40" t="str">
        <f t="shared" si="31"/>
        <v>varejo-familiaridade</v>
      </c>
      <c r="BB13" s="40" t="s">
        <v>775</v>
      </c>
      <c r="BC13" s="40" t="s">
        <v>775</v>
      </c>
      <c r="BD13" s="40" t="str">
        <f t="shared" si="32"/>
        <v>var-rng-aaf-dsy-0221-10013</v>
      </c>
      <c r="BE13" s="40" t="str">
        <f t="shared" si="33"/>
        <v>BR</v>
      </c>
      <c r="BF13" s="40" t="str">
        <f t="shared" si="34"/>
        <v/>
      </c>
      <c r="BG13" s="40"/>
      <c r="BH13" s="40"/>
      <c r="BI13" s="42" t="str">
        <f t="shared" si="19"/>
        <v>https://ofertas.vw.com.br?adlid=var-rng-aaf-dsy-0221-10013&amp;adplt=alp_vw_amazon_aaf_dsy_nonms_nd_nc_rng_varejo-familiaridade_na_trafego_cpm_prog_all_414x125_interesse-autos_na_todaalinha-taxazero_var-rng-aaf-dsy-0221-10013</v>
      </c>
      <c r="BL13" s="25" t="str">
        <f t="shared" si="20"/>
        <v>alp_vw_amazon_aaf_dsy_nonms_nd_nc_rng_varejo-familiaridade_na_trafego</v>
      </c>
      <c r="BM13" s="25" t="str">
        <f t="shared" si="21"/>
        <v>cpm_prog_all_414x125_interesse-autos_na</v>
      </c>
      <c r="BN13" s="25" t="str">
        <f t="shared" si="22"/>
        <v>alp_vw_amazon_aaf_dsy_nonms_nd_nc_rng_varejo-familiaridade_na_trafego_cpm_prog_all_414x125_interesse-autos_na_todaalinha-taxazero_var-rng-aaf-dsy-0221-10013</v>
      </c>
    </row>
    <row r="14" spans="2:68" ht="15" hidden="1" customHeight="1" x14ac:dyDescent="0.25">
      <c r="B14" s="40" t="s">
        <v>996</v>
      </c>
      <c r="C14" s="40" t="s">
        <v>995</v>
      </c>
      <c r="D14" s="40" t="s">
        <v>994</v>
      </c>
      <c r="E14" s="49">
        <v>44236</v>
      </c>
      <c r="F14" s="49">
        <v>44286</v>
      </c>
      <c r="G14" s="40" t="s">
        <v>626</v>
      </c>
      <c r="H14" s="50" t="s">
        <v>939</v>
      </c>
      <c r="I14" s="40" t="s">
        <v>777</v>
      </c>
      <c r="J14" s="51" t="s">
        <v>936</v>
      </c>
      <c r="K14" s="51" t="s">
        <v>936</v>
      </c>
      <c r="L14" s="40" t="s">
        <v>653</v>
      </c>
      <c r="M14" s="40" t="s">
        <v>287</v>
      </c>
      <c r="N14" s="40" t="s">
        <v>295</v>
      </c>
      <c r="O14" s="40" t="s">
        <v>654</v>
      </c>
      <c r="P14" s="40" t="s">
        <v>284</v>
      </c>
      <c r="Q14" s="40" t="s">
        <v>658</v>
      </c>
      <c r="R14" s="40" t="s">
        <v>277</v>
      </c>
      <c r="S14" s="40" t="s">
        <v>841</v>
      </c>
      <c r="T14" s="40" t="s">
        <v>938</v>
      </c>
      <c r="U14" s="40" t="s">
        <v>940</v>
      </c>
      <c r="V14" s="40" t="s">
        <v>935</v>
      </c>
      <c r="W14" s="40" t="s">
        <v>842</v>
      </c>
      <c r="X14" s="40"/>
      <c r="Y14" s="40" t="s">
        <v>568</v>
      </c>
      <c r="Z14" s="48"/>
      <c r="AA14" s="41"/>
      <c r="AB14" s="41"/>
      <c r="AC14" s="41"/>
      <c r="AD14" s="40"/>
      <c r="AE14" s="40"/>
      <c r="AF14" s="41"/>
      <c r="AG14" s="41"/>
      <c r="AH14" s="40" t="e">
        <f t="shared" si="0"/>
        <v>#N/A</v>
      </c>
      <c r="AI14" s="41" t="str">
        <f t="shared" si="1"/>
        <v>alp_vw_amazon_aaf_dsy_nonms_nd_nc_rng_varejo-familiaridade_na_trafego_cpm_prog_all_728x90_interesse-autos_na_todaalinha-taxazero_var-rng-aaf-dsy-0221-10014</v>
      </c>
      <c r="AJ14" s="48" t="str">
        <f t="shared" si="2"/>
        <v>alp_vw_amazon_aaf_dsy_nonms_nd_nc_rng_varejo-familiaridade_na_trafego_cpm_prog_all_728x90_interesse-autos_na_todaalinha-taxazero_var-rng-aaf-dsy-0221-10014</v>
      </c>
      <c r="AK14" s="41" t="str">
        <f t="shared" si="3"/>
        <v>vw_range_728x90_todaalinha-taxazero_amazon</v>
      </c>
      <c r="AL14" s="41" t="str">
        <f t="shared" si="23"/>
        <v>https://ofertas.vw.com.br?utm_source=amazon&amp;utm_medium=Paid-Display&amp;utm_content=alp_vw_amazon_aaf_dsy_nonms_nd_nc_rng_varejo-familiaridade_na_trafego_cpm_prog_all_728x90_interesse-autos_na_todaalinha-taxazero_var-rng-aaf-dsy-0221-10014&amp;utm_campaign=BR_AAF_DSY_NONMS_ND_NC_2021Q1FEB_RNG_Varejo-Familiaridade&amp;utm_term=%epid!_%ecid!_%eaid!</v>
      </c>
      <c r="AM14" s="41" t="str">
        <f t="shared" si="5"/>
        <v>https://ad.doubleclick.net/ddm/trackclk/N9487.3350855AMAZONBRAZIL/B25333445.295678086;dc_trk_aid=488957625;dc_trk_cid=145996180;dc_lat=;dc_rdid=;tag_for_child_directed_treatment=;tfua=</v>
      </c>
      <c r="AN14" s="40" t="str">
        <f t="shared" si="24"/>
        <v>amazon</v>
      </c>
      <c r="AO14" s="40" t="str">
        <f t="shared" si="25"/>
        <v>Paid-Display</v>
      </c>
      <c r="AP14" s="41" t="str">
        <f>Campanha!$B$3</f>
        <v>BR_AAF_DSY_NONMS_ND_NC_2021Q1FEB_RNG_Varejo-Familiaridade</v>
      </c>
      <c r="AQ14" s="41" t="str">
        <f t="shared" si="8"/>
        <v>alp_vw_amazon_aaf_dsy_nonms_nd_nc_rng_varejo-familiaridade_na_trafego_cpm_prog_all_728x90_interesse-autos_na_todaalinha-taxazero_var-rng-aaf-dsy-0221-10014</v>
      </c>
      <c r="AR14" s="40" t="s">
        <v>722</v>
      </c>
      <c r="AS14" s="41" t="str">
        <f t="shared" si="9"/>
        <v>https://ofertas.vw.com.br?utm_source=amazon&amp;utm_medium=Paid-Display&amp;utm_content=alp_vw_amazon_aaf_dsy_nonms_nd_nc_rng_varejo-familiaridade_na_trafego_cpm_prog_all_728x90_interesse-autos_na_todaalinha-taxazero_var-rng-aaf-dsy-0221-10014&amp;utm_campaign=BR_AAF_DSY_NONMS_ND_NC_2021Q1FEB_RNG_Varejo-Familiaridade&amp;utm_term=%epid!_%ecid!_%eaid!</v>
      </c>
      <c r="AT14" s="40" t="str">
        <f t="shared" si="26"/>
        <v>run-of-network</v>
      </c>
      <c r="AU14" s="40" t="str">
        <f t="shared" si="11"/>
        <v>BR</v>
      </c>
      <c r="AV14" s="40" t="str">
        <f t="shared" si="27"/>
        <v>amazon</v>
      </c>
      <c r="AW14" s="40" t="str">
        <f t="shared" si="28"/>
        <v>amazon</v>
      </c>
      <c r="AX14" s="40" t="str">
        <f t="shared" si="14"/>
        <v>varejo-familiaridade</v>
      </c>
      <c r="AY14" s="40" t="str">
        <f t="shared" si="29"/>
        <v>alp_vw_amazon_aaf_dsy_nonms_nd_nc_rng_varejo-familiaridade_na_trafego_cpm_prog_all_728x90_interesse-autos_na_todaalinha-taxazero_var-rng-aaf-dsy-0221-10014</v>
      </c>
      <c r="AZ14" s="40" t="str">
        <f t="shared" si="30"/>
        <v>728x90</v>
      </c>
      <c r="BA14" s="40" t="str">
        <f t="shared" si="31"/>
        <v>varejo-familiaridade</v>
      </c>
      <c r="BB14" s="40" t="s">
        <v>775</v>
      </c>
      <c r="BC14" s="40" t="s">
        <v>775</v>
      </c>
      <c r="BD14" s="40" t="str">
        <f t="shared" si="32"/>
        <v>var-rng-aaf-dsy-0221-10014</v>
      </c>
      <c r="BE14" s="40" t="str">
        <f t="shared" si="33"/>
        <v>BR</v>
      </c>
      <c r="BF14" s="40" t="str">
        <f t="shared" si="34"/>
        <v/>
      </c>
      <c r="BG14" s="40"/>
      <c r="BH14" s="40"/>
      <c r="BI14" s="42" t="str">
        <f t="shared" si="19"/>
        <v>https://ofertas.vw.com.br?adlid=var-rng-aaf-dsy-0221-10014&amp;adplt=alp_vw_amazon_aaf_dsy_nonms_nd_nc_rng_varejo-familiaridade_na_trafego_cpm_prog_all_728x90_interesse-autos_na_todaalinha-taxazero_var-rng-aaf-dsy-0221-10014</v>
      </c>
      <c r="BL14" s="25" t="str">
        <f t="shared" si="20"/>
        <v>alp_vw_amazon_aaf_dsy_nonms_nd_nc_rng_varejo-familiaridade_na_trafego</v>
      </c>
      <c r="BM14" s="25" t="str">
        <f t="shared" si="21"/>
        <v>cpm_prog_all_728x90_interesse-autos_na</v>
      </c>
      <c r="BN14" s="25" t="str">
        <f t="shared" si="22"/>
        <v>alp_vw_amazon_aaf_dsy_nonms_nd_nc_rng_varejo-familiaridade_na_trafego_cpm_prog_all_728x90_interesse-autos_na_todaalinha-taxazero_var-rng-aaf-dsy-0221-10014</v>
      </c>
    </row>
    <row r="15" spans="2:68" ht="15" hidden="1" customHeight="1" x14ac:dyDescent="0.25">
      <c r="B15" s="40" t="s">
        <v>996</v>
      </c>
      <c r="C15" s="40" t="s">
        <v>995</v>
      </c>
      <c r="D15" s="40" t="s">
        <v>994</v>
      </c>
      <c r="E15" s="49">
        <v>44236</v>
      </c>
      <c r="F15" s="49">
        <v>44286</v>
      </c>
      <c r="G15" s="40" t="s">
        <v>626</v>
      </c>
      <c r="H15" s="50" t="s">
        <v>939</v>
      </c>
      <c r="I15" s="40" t="s">
        <v>777</v>
      </c>
      <c r="J15" s="51" t="s">
        <v>933</v>
      </c>
      <c r="K15" s="51" t="s">
        <v>933</v>
      </c>
      <c r="L15" s="40" t="s">
        <v>653</v>
      </c>
      <c r="M15" s="40" t="s">
        <v>276</v>
      </c>
      <c r="N15" s="40" t="s">
        <v>295</v>
      </c>
      <c r="O15" s="40" t="s">
        <v>654</v>
      </c>
      <c r="P15" s="40" t="s">
        <v>313</v>
      </c>
      <c r="Q15" s="40" t="s">
        <v>658</v>
      </c>
      <c r="R15" s="40" t="s">
        <v>277</v>
      </c>
      <c r="S15" s="40" t="s">
        <v>841</v>
      </c>
      <c r="T15" s="40" t="s">
        <v>938</v>
      </c>
      <c r="U15" s="40" t="s">
        <v>940</v>
      </c>
      <c r="V15" s="40" t="s">
        <v>935</v>
      </c>
      <c r="W15" s="40" t="s">
        <v>842</v>
      </c>
      <c r="X15" s="40"/>
      <c r="Y15" s="40" t="s">
        <v>624</v>
      </c>
      <c r="Z15" s="40"/>
      <c r="AA15" s="40"/>
      <c r="AB15" s="40"/>
      <c r="AC15" s="40"/>
      <c r="AD15" s="40"/>
      <c r="AE15" s="40"/>
      <c r="AF15" s="40"/>
      <c r="AG15" s="40"/>
      <c r="AH15" s="40" t="e">
        <f t="shared" si="0"/>
        <v>#N/A</v>
      </c>
      <c r="AI15" s="41" t="str">
        <f t="shared" si="1"/>
        <v>alp_vw_verizon_aaf_dsy_nonms_nd_nc_rng_varejo-familiaridade_na_trafego_cpm_drct_all_nativeads_interesse-autos_na_todaalinha-taxazero_var-rng-aaf-dsy-0221-10015</v>
      </c>
      <c r="AJ15" s="48" t="str">
        <f t="shared" si="2"/>
        <v>alp_vw_verizon_aaf_dsy_nonms_nd_nc_rng_varejo-familiaridade_na_trafego_cpm_drct_all_nativeads_interesse-autos_na_todaalinha-taxazero_var-rng-aaf-dsy-0221-10015</v>
      </c>
      <c r="AK15" s="41" t="str">
        <f t="shared" si="3"/>
        <v>vw_range_nativeads_todaalinha-taxazero_verizon</v>
      </c>
      <c r="AL15" s="41" t="str">
        <f t="shared" si="23"/>
        <v>https://ofertas.vw.com.br?utm_source=verizon&amp;utm_medium=Paid-Display&amp;utm_content=alp_vw_verizon_aaf_dsy_nonms_nd_nc_rng_varejo-familiaridade_na_trafego_cpm_drct_all_nativeads_interesse-autos_na_todaalinha-taxazero_var-rng-aaf-dsy-0221-10015&amp;utm_campaign=BR_AAF_DSY_NONMS_ND_NC_2021Q1FEB_RNG_Varejo-Familiaridade&amp;utm_term=%epid!_%ecid!_%eaid!</v>
      </c>
      <c r="AM15" s="41" t="str">
        <f t="shared" si="5"/>
        <v>https://ad.doubleclick.net/ddm/trackclk/N9487.3646218VERIZONBR/B25333445.295839760;dc_trk_aid=488891746;dc_trk_cid=145996180;dc_lat=;dc_rdid=;tag_for_child_directed_treatment=;tfua=</v>
      </c>
      <c r="AN15" s="40" t="str">
        <f t="shared" si="24"/>
        <v>verizon</v>
      </c>
      <c r="AO15" s="40" t="str">
        <f t="shared" si="25"/>
        <v>Paid-Display</v>
      </c>
      <c r="AP15" s="41" t="str">
        <f>Campanha!$B$3</f>
        <v>BR_AAF_DSY_NONMS_ND_NC_2021Q1FEB_RNG_Varejo-Familiaridade</v>
      </c>
      <c r="AQ15" s="41" t="str">
        <f t="shared" si="8"/>
        <v>alp_vw_verizon_aaf_dsy_nonms_nd_nc_rng_varejo-familiaridade_na_trafego_cpm_drct_all_nativeads_interesse-autos_na_todaalinha-taxazero_var-rng-aaf-dsy-0221-10015</v>
      </c>
      <c r="AR15" s="40" t="s">
        <v>722</v>
      </c>
      <c r="AS15" s="41" t="str">
        <f t="shared" si="9"/>
        <v>https://ofertas.vw.com.br?utm_source=verizon&amp;utm_medium=Paid-Display&amp;utm_content=alp_vw_verizon_aaf_dsy_nonms_nd_nc_rng_varejo-familiaridade_na_trafego_cpm_drct_all_nativeads_interesse-autos_na_todaalinha-taxazero_var-rng-aaf-dsy-0221-10015&amp;utm_campaign=BR_AAF_DSY_NONMS_ND_NC_2021Q1FEB_RNG_Varejo-Familiaridade&amp;utm_term=%epid!_%ecid!_%eaid!</v>
      </c>
      <c r="AT15" s="40" t="str">
        <f t="shared" si="26"/>
        <v>run-of-network</v>
      </c>
      <c r="AU15" s="40" t="str">
        <f t="shared" si="11"/>
        <v>BR</v>
      </c>
      <c r="AV15" s="40" t="str">
        <f t="shared" si="27"/>
        <v>verizon</v>
      </c>
      <c r="AW15" s="40" t="str">
        <f t="shared" si="28"/>
        <v>verizon</v>
      </c>
      <c r="AX15" s="40" t="str">
        <f t="shared" si="14"/>
        <v>varejo-familiaridade</v>
      </c>
      <c r="AY15" s="40" t="str">
        <f t="shared" si="29"/>
        <v>alp_vw_verizon_aaf_dsy_nonms_nd_nc_rng_varejo-familiaridade_na_trafego_cpm_drct_all_nativeads_interesse-autos_na_todaalinha-taxazero_var-rng-aaf-dsy-0221-10015</v>
      </c>
      <c r="AZ15" s="40" t="str">
        <f t="shared" si="30"/>
        <v>nativeads</v>
      </c>
      <c r="BA15" s="40" t="str">
        <f t="shared" si="31"/>
        <v>varejo-familiaridade</v>
      </c>
      <c r="BB15" s="40" t="s">
        <v>775</v>
      </c>
      <c r="BC15" s="40" t="s">
        <v>775</v>
      </c>
      <c r="BD15" s="40" t="str">
        <f t="shared" si="32"/>
        <v>var-rng-aaf-dsy-0221-10015</v>
      </c>
      <c r="BE15" s="40" t="str">
        <f t="shared" si="33"/>
        <v>BR</v>
      </c>
      <c r="BF15" s="40" t="str">
        <f t="shared" si="34"/>
        <v/>
      </c>
      <c r="BG15" s="40"/>
      <c r="BH15" s="40"/>
      <c r="BI15" s="42" t="str">
        <f t="shared" si="19"/>
        <v>https://ofertas.vw.com.br?adlid=var-rng-aaf-dsy-0221-10015&amp;adplt=alp_vw_verizon_aaf_dsy_nonms_nd_nc_rng_varejo-familiaridade_na_trafego_cpm_drct_all_nativeads_interesse-autos_na_todaalinha-taxazero_var-rng-aaf-dsy-0221-10015</v>
      </c>
      <c r="BL15" s="25" t="str">
        <f t="shared" si="20"/>
        <v>alp_vw_verizon_aaf_dsy_nonms_nd_nc_rng_varejo-familiaridade_na_trafego</v>
      </c>
      <c r="BM15" s="25" t="str">
        <f t="shared" si="21"/>
        <v>cpm_drct_all_nativeads_interesse-autos_na</v>
      </c>
      <c r="BN15" s="25" t="str">
        <f t="shared" si="22"/>
        <v>alp_vw_verizon_aaf_dsy_nonms_nd_nc_rng_varejo-familiaridade_na_trafego_cpm_drct_all_nativeads_interesse-autos_na_todaalinha-taxazero_var-rng-aaf-dsy-0221-10015</v>
      </c>
    </row>
    <row r="16" spans="2:68" ht="15" hidden="1" customHeight="1" x14ac:dyDescent="0.25">
      <c r="B16" s="40" t="s">
        <v>996</v>
      </c>
      <c r="C16" s="40" t="s">
        <v>995</v>
      </c>
      <c r="D16" s="40" t="s">
        <v>994</v>
      </c>
      <c r="E16" s="49">
        <v>44236</v>
      </c>
      <c r="F16" s="49">
        <v>44286</v>
      </c>
      <c r="G16" s="40" t="s">
        <v>626</v>
      </c>
      <c r="H16" s="50" t="s">
        <v>939</v>
      </c>
      <c r="I16" s="40" t="s">
        <v>777</v>
      </c>
      <c r="J16" s="51" t="s">
        <v>933</v>
      </c>
      <c r="K16" s="51" t="s">
        <v>933</v>
      </c>
      <c r="L16" s="40" t="s">
        <v>653</v>
      </c>
      <c r="M16" s="40" t="s">
        <v>276</v>
      </c>
      <c r="N16" s="40" t="s">
        <v>295</v>
      </c>
      <c r="O16" s="40" t="s">
        <v>654</v>
      </c>
      <c r="P16" s="40" t="s">
        <v>672</v>
      </c>
      <c r="Q16" s="40" t="s">
        <v>658</v>
      </c>
      <c r="R16" s="40" t="s">
        <v>277</v>
      </c>
      <c r="S16" s="40" t="s">
        <v>841</v>
      </c>
      <c r="T16" s="40" t="s">
        <v>938</v>
      </c>
      <c r="U16" s="40" t="s">
        <v>940</v>
      </c>
      <c r="V16" s="40" t="s">
        <v>935</v>
      </c>
      <c r="W16" s="40" t="s">
        <v>842</v>
      </c>
      <c r="X16" s="40"/>
      <c r="Y16" s="40" t="s">
        <v>725</v>
      </c>
      <c r="Z16" s="40"/>
      <c r="AA16" s="40"/>
      <c r="AB16" s="40"/>
      <c r="AC16" s="40"/>
      <c r="AD16" s="40"/>
      <c r="AE16" s="40"/>
      <c r="AF16" s="40"/>
      <c r="AG16" s="40"/>
      <c r="AH16" s="40" t="e">
        <f t="shared" si="0"/>
        <v>#N/A</v>
      </c>
      <c r="AI16" s="41" t="str">
        <f t="shared" si="1"/>
        <v>alp_vw_verizon_aaf_dsy_nonms_nd_nc_rng_varejo-familiaridade_na_trafego_cpm_drct_all_1080x1920_interesse-autos_na_todaalinha-taxazero_var-rng-aaf-dsy-0221-10016</v>
      </c>
      <c r="AJ16" s="48" t="str">
        <f t="shared" si="2"/>
        <v>alp_vw_verizon_aaf_dsy_nonms_nd_nc_rng_varejo-familiaridade_na_trafego_cpm_drct_all_1080x1920_interesse-autos_na_todaalinha-taxazero_var-rng-aaf-dsy-0221-10016</v>
      </c>
      <c r="AK16" s="41" t="str">
        <f t="shared" si="3"/>
        <v>vw_range_1080x1920_todaalinha-taxazero_verizon</v>
      </c>
      <c r="AL16" s="41" t="str">
        <f t="shared" si="23"/>
        <v>https://ofertas.vw.com.br?utm_source=verizon&amp;utm_medium=Paid-Display&amp;utm_content=alp_vw_verizon_aaf_dsy_nonms_nd_nc_rng_varejo-familiaridade_na_trafego_cpm_drct_all_1080x1920_interesse-autos_na_todaalinha-taxazero_var-rng-aaf-dsy-0221-10016&amp;utm_campaign=BR_AAF_DSY_NONMS_ND_NC_2021Q1FEB_RNG_Varejo-Familiaridade&amp;utm_term=%epid!_%ecid!_%eaid!</v>
      </c>
      <c r="AM16" s="41" t="str">
        <f t="shared" si="5"/>
        <v>https://ad.doubleclick.net/ddm/trackclk/N9487.3646218VERIZONBR/B25333445.295678080;dc_trk_aid=488957619;dc_trk_cid=145996180;dc_lat=;dc_rdid=;tag_for_child_directed_treatment=;tfua=</v>
      </c>
      <c r="AN16" s="40" t="str">
        <f t="shared" si="24"/>
        <v>verizon</v>
      </c>
      <c r="AO16" s="40" t="str">
        <f t="shared" si="25"/>
        <v>Paid-Display</v>
      </c>
      <c r="AP16" s="41" t="str">
        <f>Campanha!$B$3</f>
        <v>BR_AAF_DSY_NONMS_ND_NC_2021Q1FEB_RNG_Varejo-Familiaridade</v>
      </c>
      <c r="AQ16" s="41" t="str">
        <f t="shared" si="8"/>
        <v>alp_vw_verizon_aaf_dsy_nonms_nd_nc_rng_varejo-familiaridade_na_trafego_cpm_drct_all_1080x1920_interesse-autos_na_todaalinha-taxazero_var-rng-aaf-dsy-0221-10016</v>
      </c>
      <c r="AR16" s="40" t="s">
        <v>722</v>
      </c>
      <c r="AS16" s="41" t="str">
        <f t="shared" si="9"/>
        <v>https://ofertas.vw.com.br?utm_source=verizon&amp;utm_medium=Paid-Display&amp;utm_content=alp_vw_verizon_aaf_dsy_nonms_nd_nc_rng_varejo-familiaridade_na_trafego_cpm_drct_all_1080x1920_interesse-autos_na_todaalinha-taxazero_var-rng-aaf-dsy-0221-10016&amp;utm_campaign=BR_AAF_DSY_NONMS_ND_NC_2021Q1FEB_RNG_Varejo-Familiaridade&amp;utm_term=%epid!_%ecid!_%eaid!</v>
      </c>
      <c r="AT16" s="40" t="str">
        <f t="shared" si="26"/>
        <v>run-of-network</v>
      </c>
      <c r="AU16" s="40" t="str">
        <f t="shared" si="11"/>
        <v>BR</v>
      </c>
      <c r="AV16" s="40" t="str">
        <f t="shared" si="27"/>
        <v>verizon</v>
      </c>
      <c r="AW16" s="40" t="str">
        <f t="shared" si="28"/>
        <v>verizon</v>
      </c>
      <c r="AX16" s="40" t="str">
        <f t="shared" si="14"/>
        <v>varejo-familiaridade</v>
      </c>
      <c r="AY16" s="40" t="str">
        <f t="shared" si="29"/>
        <v>alp_vw_verizon_aaf_dsy_nonms_nd_nc_rng_varejo-familiaridade_na_trafego_cpm_drct_all_1080x1920_interesse-autos_na_todaalinha-taxazero_var-rng-aaf-dsy-0221-10016</v>
      </c>
      <c r="AZ16" s="40" t="str">
        <f t="shared" si="30"/>
        <v>1080x1920</v>
      </c>
      <c r="BA16" s="40" t="str">
        <f t="shared" si="31"/>
        <v>varejo-familiaridade</v>
      </c>
      <c r="BB16" s="40" t="s">
        <v>775</v>
      </c>
      <c r="BC16" s="40" t="s">
        <v>775</v>
      </c>
      <c r="BD16" s="40" t="str">
        <f t="shared" si="32"/>
        <v>var-rng-aaf-dsy-0221-10016</v>
      </c>
      <c r="BE16" s="40" t="str">
        <f t="shared" si="33"/>
        <v>BR</v>
      </c>
      <c r="BF16" s="40" t="str">
        <f t="shared" si="34"/>
        <v/>
      </c>
      <c r="BG16" s="40"/>
      <c r="BH16" s="40"/>
      <c r="BI16" s="42" t="str">
        <f t="shared" si="19"/>
        <v>https://ofertas.vw.com.br?adlid=var-rng-aaf-dsy-0221-10016&amp;adplt=alp_vw_verizon_aaf_dsy_nonms_nd_nc_rng_varejo-familiaridade_na_trafego_cpm_drct_all_1080x1920_interesse-autos_na_todaalinha-taxazero_var-rng-aaf-dsy-0221-10016</v>
      </c>
      <c r="BL16" s="25" t="str">
        <f t="shared" si="20"/>
        <v>alp_vw_verizon_aaf_dsy_nonms_nd_nc_rng_varejo-familiaridade_na_trafego</v>
      </c>
      <c r="BM16" s="25" t="str">
        <f t="shared" si="21"/>
        <v>cpm_drct_all_1080x1920_interesse-autos_na</v>
      </c>
      <c r="BN16" s="25" t="str">
        <f t="shared" si="22"/>
        <v>alp_vw_verizon_aaf_dsy_nonms_nd_nc_rng_varejo-familiaridade_na_trafego_cpm_drct_all_1080x1920_interesse-autos_na_todaalinha-taxazero_var-rng-aaf-dsy-0221-10016</v>
      </c>
    </row>
    <row r="17" spans="2:68" ht="15" hidden="1" customHeight="1" x14ac:dyDescent="0.25">
      <c r="B17" s="40" t="s">
        <v>996</v>
      </c>
      <c r="C17" s="40" t="s">
        <v>995</v>
      </c>
      <c r="D17" s="40" t="s">
        <v>994</v>
      </c>
      <c r="E17" s="49">
        <v>44236</v>
      </c>
      <c r="F17" s="49">
        <v>44286</v>
      </c>
      <c r="G17" s="40" t="s">
        <v>626</v>
      </c>
      <c r="H17" s="50" t="s">
        <v>939</v>
      </c>
      <c r="I17" s="40" t="s">
        <v>777</v>
      </c>
      <c r="J17" s="51" t="s">
        <v>924</v>
      </c>
      <c r="K17" s="51" t="s">
        <v>924</v>
      </c>
      <c r="L17" s="40" t="s">
        <v>653</v>
      </c>
      <c r="M17" s="40" t="s">
        <v>287</v>
      </c>
      <c r="N17" s="40" t="s">
        <v>295</v>
      </c>
      <c r="O17" s="40" t="s">
        <v>654</v>
      </c>
      <c r="P17" s="40" t="s">
        <v>313</v>
      </c>
      <c r="Q17" s="40" t="s">
        <v>658</v>
      </c>
      <c r="R17" s="40" t="s">
        <v>277</v>
      </c>
      <c r="S17" s="40" t="s">
        <v>841</v>
      </c>
      <c r="T17" s="40" t="s">
        <v>938</v>
      </c>
      <c r="U17" s="40" t="s">
        <v>940</v>
      </c>
      <c r="V17" s="40" t="s">
        <v>935</v>
      </c>
      <c r="W17" s="40" t="s">
        <v>842</v>
      </c>
      <c r="X17" s="40"/>
      <c r="Y17" s="40" t="s">
        <v>624</v>
      </c>
      <c r="Z17" s="40"/>
      <c r="AA17" s="40"/>
      <c r="AB17" s="40"/>
      <c r="AC17" s="40"/>
      <c r="AD17" s="40"/>
      <c r="AE17" s="42"/>
      <c r="AF17" s="25"/>
      <c r="AG17" s="25"/>
      <c r="AH17" s="40" t="e">
        <f t="shared" si="0"/>
        <v>#N/A</v>
      </c>
      <c r="AI17" s="41" t="str">
        <f t="shared" si="1"/>
        <v>alp_vw_dv360-uol_aaf_dsy_nonms_nd_nc_rng_varejo-familiaridade_na_trafego_cpm_prog_all_nativeads_interesse-autos_na_todaalinha-taxazero_var-rng-aaf-dsy-0221-10017</v>
      </c>
      <c r="AJ17" s="48" t="str">
        <f t="shared" si="2"/>
        <v>alp_vw_dv360-uol_aaf_dsy_nonms_nd_nc_rng_varejo-familiaridade_na_trafego_cpm_prog_all_nativeads_interesse-autos_na_todaalinha-taxazero_var-rng-aaf-dsy-0221-10017</v>
      </c>
      <c r="AK17" s="41" t="str">
        <f t="shared" si="3"/>
        <v>vw_range_nativeads_todaalinha-taxazero_dv360-uol</v>
      </c>
      <c r="AL17" s="41" t="str">
        <f t="shared" si="23"/>
        <v>https://ofertas.vw.com.br?utm_source=dv360-uol&amp;utm_medium=Paid-Display&amp;utm_content=alp_vw_dv360-uol_aaf_dsy_nonms_nd_nc_rng_varejo-familiaridade_na_trafego_cpm_prog_all_nativeads_interesse-autos_na_todaalinha-taxazero_var-rng-aaf-dsy-0221-10017&amp;utm_campaign=BR_AAF_DSY_NONMS_ND_NC_2021Q1FEB_RNG_Varejo-Familiaridade&amp;utm_term=%epid!_%ecid!_%eaid!</v>
      </c>
      <c r="AM17" s="41" t="str">
        <f t="shared" si="5"/>
        <v>https://ad.doubleclick.net/ddm/trackclk/N9487.281608.GOOGLEBRASIL/B25333445.295653269;dc_trk_aid=488895721;dc_trk_cid=145996180;Audience_Id=${PIXEL_ID_COMMA};kw=${CAMPAIGN_ID}:${INSERTION_ORDER_ID};dc_lat=;dc_rdid=;tag_for_child_directed_treatment=;tfua=</v>
      </c>
      <c r="AN17" s="40" t="str">
        <f t="shared" si="24"/>
        <v>dv360-uol</v>
      </c>
      <c r="AO17" s="40" t="str">
        <f t="shared" si="25"/>
        <v>Paid-Display</v>
      </c>
      <c r="AP17" s="41" t="str">
        <f>Campanha!$B$3</f>
        <v>BR_AAF_DSY_NONMS_ND_NC_2021Q1FEB_RNG_Varejo-Familiaridade</v>
      </c>
      <c r="AQ17" s="41" t="str">
        <f t="shared" si="8"/>
        <v>alp_vw_dv360-uol_aaf_dsy_nonms_nd_nc_rng_varejo-familiaridade_na_trafego_cpm_prog_all_nativeads_interesse-autos_na_todaalinha-taxazero_var-rng-aaf-dsy-0221-10017</v>
      </c>
      <c r="AR17" s="40" t="s">
        <v>722</v>
      </c>
      <c r="AS17" s="41" t="str">
        <f t="shared" si="9"/>
        <v>https://ofertas.vw.com.br?utm_source=dv360-uol&amp;utm_medium=Paid-Display&amp;utm_content=alp_vw_dv360-uol_aaf_dsy_nonms_nd_nc_rng_varejo-familiaridade_na_trafego_cpm_prog_all_nativeads_interesse-autos_na_todaalinha-taxazero_var-rng-aaf-dsy-0221-10017&amp;utm_campaign=BR_AAF_DSY_NONMS_ND_NC_2021Q1FEB_RNG_Varejo-Familiaridade&amp;utm_term=%epid!_%ecid!_%eaid!</v>
      </c>
      <c r="AT17" s="40" t="str">
        <f t="shared" si="26"/>
        <v>run-of-network</v>
      </c>
      <c r="AU17" s="40" t="str">
        <f t="shared" si="11"/>
        <v>BR</v>
      </c>
      <c r="AV17" s="40" t="str">
        <f t="shared" si="27"/>
        <v>dv360-uol</v>
      </c>
      <c r="AW17" s="40" t="str">
        <f t="shared" si="28"/>
        <v>dv360-uol</v>
      </c>
      <c r="AX17" s="40" t="str">
        <f t="shared" si="14"/>
        <v>varejo-familiaridade</v>
      </c>
      <c r="AY17" s="40" t="str">
        <f t="shared" si="29"/>
        <v>alp_vw_dv360-uol_aaf_dsy_nonms_nd_nc_rng_varejo-familiaridade_na_trafego_cpm_prog_all_nativeads_interesse-autos_na_todaalinha-taxazero_var-rng-aaf-dsy-0221-10017</v>
      </c>
      <c r="AZ17" s="40" t="str">
        <f t="shared" si="30"/>
        <v>nativeads</v>
      </c>
      <c r="BA17" s="40" t="str">
        <f t="shared" si="31"/>
        <v>varejo-familiaridade</v>
      </c>
      <c r="BB17" s="40" t="s">
        <v>775</v>
      </c>
      <c r="BC17" s="40" t="s">
        <v>775</v>
      </c>
      <c r="BD17" s="40" t="str">
        <f t="shared" si="32"/>
        <v>var-rng-aaf-dsy-0221-10017</v>
      </c>
      <c r="BE17" s="40" t="str">
        <f t="shared" si="33"/>
        <v>BR</v>
      </c>
      <c r="BF17" s="40" t="str">
        <f t="shared" si="34"/>
        <v/>
      </c>
      <c r="BG17" s="40"/>
      <c r="BH17" s="40"/>
      <c r="BI17" s="42" t="str">
        <f t="shared" si="19"/>
        <v>https://ofertas.vw.com.br?adlid=var-rng-aaf-dsy-0221-10017&amp;adplt=alp_vw_dv360-uol_aaf_dsy_nonms_nd_nc_rng_varejo-familiaridade_na_trafego_cpm_prog_all_nativeads_interesse-autos_na_todaalinha-taxazero_var-rng-aaf-dsy-0221-10017</v>
      </c>
      <c r="BL17" s="25" t="str">
        <f t="shared" si="20"/>
        <v>alp_vw_dv360-uol_aaf_dsy_nonms_nd_nc_rng_varejo-familiaridade_na_trafego</v>
      </c>
      <c r="BM17" s="25" t="str">
        <f t="shared" si="21"/>
        <v>cpm_prog_all_nativeads_interesse-autos_na</v>
      </c>
      <c r="BN17" s="25" t="str">
        <f t="shared" si="22"/>
        <v>alp_vw_dv360-uol_aaf_dsy_nonms_nd_nc_rng_varejo-familiaridade_na_trafego_cpm_prog_all_nativeads_interesse-autos_na_todaalinha-taxazero_var-rng-aaf-dsy-0221-10017</v>
      </c>
    </row>
    <row r="18" spans="2:68" ht="15" hidden="1" customHeight="1" x14ac:dyDescent="0.25">
      <c r="B18" s="40" t="s">
        <v>996</v>
      </c>
      <c r="C18" s="40" t="s">
        <v>995</v>
      </c>
      <c r="D18" s="40" t="s">
        <v>994</v>
      </c>
      <c r="E18" s="49">
        <v>44236</v>
      </c>
      <c r="F18" s="49">
        <v>44286</v>
      </c>
      <c r="G18" s="40" t="s">
        <v>626</v>
      </c>
      <c r="H18" s="50" t="s">
        <v>939</v>
      </c>
      <c r="I18" s="40" t="s">
        <v>777</v>
      </c>
      <c r="J18" s="51" t="s">
        <v>918</v>
      </c>
      <c r="K18" s="51" t="s">
        <v>918</v>
      </c>
      <c r="L18" s="40" t="s">
        <v>653</v>
      </c>
      <c r="M18" s="40" t="s">
        <v>287</v>
      </c>
      <c r="N18" s="40" t="s">
        <v>295</v>
      </c>
      <c r="O18" s="40" t="s">
        <v>654</v>
      </c>
      <c r="P18" s="40" t="s">
        <v>313</v>
      </c>
      <c r="Q18" s="40" t="s">
        <v>658</v>
      </c>
      <c r="R18" s="40" t="s">
        <v>277</v>
      </c>
      <c r="S18" s="40" t="s">
        <v>841</v>
      </c>
      <c r="T18" s="40" t="s">
        <v>938</v>
      </c>
      <c r="U18" s="40" t="s">
        <v>940</v>
      </c>
      <c r="V18" s="40" t="s">
        <v>935</v>
      </c>
      <c r="W18" s="40" t="s">
        <v>842</v>
      </c>
      <c r="X18" s="25"/>
      <c r="Y18" s="40" t="s">
        <v>624</v>
      </c>
      <c r="Z18" s="25"/>
      <c r="AA18" s="25"/>
      <c r="AB18" s="25"/>
      <c r="AC18" s="25"/>
      <c r="AD18" s="25"/>
      <c r="AE18" s="25"/>
      <c r="AF18" s="25"/>
      <c r="AG18" s="25"/>
      <c r="AH18" s="40" t="e">
        <f t="shared" si="0"/>
        <v>#N/A</v>
      </c>
      <c r="AI18" s="41" t="str">
        <f t="shared" si="1"/>
        <v>alp_vw_dv360-globo_aaf_dsy_nonms_nd_nc_rng_varejo-familiaridade_na_trafego_cpm_prog_all_nativeads_interesse-autos_na_todaalinha-taxazero_var-rng-aaf-dsy-0221-10018</v>
      </c>
      <c r="AJ18" s="48" t="str">
        <f t="shared" si="2"/>
        <v>alp_vw_dv360-globo_aaf_dsy_nonms_nd_nc_rng_varejo-familiaridade_na_trafego_cpm_prog_all_nativeads_interesse-autos_na_todaalinha-taxazero_var-rng-aaf-dsy-0221-10018</v>
      </c>
      <c r="AK18" s="41" t="str">
        <f t="shared" si="3"/>
        <v>vw_range_nativeads_todaalinha-taxazero_dv360-globo</v>
      </c>
      <c r="AL18" s="41" t="str">
        <f t="shared" si="23"/>
        <v>https://ofertas.vw.com.br?utm_source=dv360-globo&amp;utm_medium=Paid-Display&amp;utm_content=alp_vw_dv360-globo_aaf_dsy_nonms_nd_nc_rng_varejo-familiaridade_na_trafego_cpm_prog_all_nativeads_interesse-autos_na_todaalinha-taxazero_var-rng-aaf-dsy-0221-10018&amp;utm_campaign=BR_AAF_DSY_NONMS_ND_NC_2021Q1FEB_RNG_Varejo-Familiaridade&amp;utm_term=%epid!_%ecid!_%eaid!</v>
      </c>
      <c r="AM18" s="41" t="str">
        <f t="shared" si="5"/>
        <v>https://ad.doubleclick.net/ddm/trackclk/N9487.281608.GOOGLEBRASIL/B25333445.295678077;dc_trk_aid=488957616;dc_trk_cid=145996180;Audience_Id=${PIXEL_ID_COMMA};kw=${CAMPAIGN_ID}:${INSERTION_ORDER_ID};dc_lat=;dc_rdid=;tag_for_child_directed_treatment=;tfua=</v>
      </c>
      <c r="AN18" s="40" t="str">
        <f t="shared" si="24"/>
        <v>dv360-globo</v>
      </c>
      <c r="AO18" s="40" t="str">
        <f t="shared" si="25"/>
        <v>Paid-Display</v>
      </c>
      <c r="AP18" s="41" t="str">
        <f>Campanha!$B$3</f>
        <v>BR_AAF_DSY_NONMS_ND_NC_2021Q1FEB_RNG_Varejo-Familiaridade</v>
      </c>
      <c r="AQ18" s="41" t="str">
        <f t="shared" si="8"/>
        <v>alp_vw_dv360-globo_aaf_dsy_nonms_nd_nc_rng_varejo-familiaridade_na_trafego_cpm_prog_all_nativeads_interesse-autos_na_todaalinha-taxazero_var-rng-aaf-dsy-0221-10018</v>
      </c>
      <c r="AR18" s="40" t="s">
        <v>722</v>
      </c>
      <c r="AS18" s="41" t="str">
        <f t="shared" si="9"/>
        <v>https://ofertas.vw.com.br?utm_source=dv360-globo&amp;utm_medium=Paid-Display&amp;utm_content=alp_vw_dv360-globo_aaf_dsy_nonms_nd_nc_rng_varejo-familiaridade_na_trafego_cpm_prog_all_nativeads_interesse-autos_na_todaalinha-taxazero_var-rng-aaf-dsy-0221-10018&amp;utm_campaign=BR_AAF_DSY_NONMS_ND_NC_2021Q1FEB_RNG_Varejo-Familiaridade&amp;utm_term=%epid!_%ecid!_%eaid!</v>
      </c>
      <c r="AT18" s="40" t="str">
        <f t="shared" si="26"/>
        <v>run-of-network</v>
      </c>
      <c r="AU18" s="40" t="str">
        <f t="shared" si="11"/>
        <v>BR</v>
      </c>
      <c r="AV18" s="40" t="str">
        <f t="shared" si="27"/>
        <v>dv360-globo</v>
      </c>
      <c r="AW18" s="40" t="str">
        <f t="shared" si="28"/>
        <v>dv360-globo</v>
      </c>
      <c r="AX18" s="40" t="str">
        <f t="shared" si="14"/>
        <v>varejo-familiaridade</v>
      </c>
      <c r="AY18" s="40" t="str">
        <f t="shared" si="29"/>
        <v>alp_vw_dv360-globo_aaf_dsy_nonms_nd_nc_rng_varejo-familiaridade_na_trafego_cpm_prog_all_nativeads_interesse-autos_na_todaalinha-taxazero_var-rng-aaf-dsy-0221-10018</v>
      </c>
      <c r="AZ18" s="40" t="str">
        <f t="shared" si="30"/>
        <v>nativeads</v>
      </c>
      <c r="BA18" s="40" t="str">
        <f t="shared" si="31"/>
        <v>varejo-familiaridade</v>
      </c>
      <c r="BB18" s="40" t="s">
        <v>775</v>
      </c>
      <c r="BC18" s="40" t="s">
        <v>775</v>
      </c>
      <c r="BD18" s="40" t="str">
        <f t="shared" si="32"/>
        <v>var-rng-aaf-dsy-0221-10018</v>
      </c>
      <c r="BE18" s="40" t="str">
        <f t="shared" si="33"/>
        <v>BR</v>
      </c>
      <c r="BF18" s="40" t="str">
        <f t="shared" si="34"/>
        <v/>
      </c>
      <c r="BG18" s="40"/>
      <c r="BH18" s="40"/>
      <c r="BI18" s="42" t="str">
        <f t="shared" si="19"/>
        <v>https://ofertas.vw.com.br?adlid=var-rng-aaf-dsy-0221-10018&amp;adplt=alp_vw_dv360-globo_aaf_dsy_nonms_nd_nc_rng_varejo-familiaridade_na_trafego_cpm_prog_all_nativeads_interesse-autos_na_todaalinha-taxazero_var-rng-aaf-dsy-0221-10018</v>
      </c>
      <c r="BL18" s="25" t="str">
        <f t="shared" si="20"/>
        <v>alp_vw_dv360-globo_aaf_dsy_nonms_nd_nc_rng_varejo-familiaridade_na_trafego</v>
      </c>
      <c r="BM18" s="25" t="str">
        <f t="shared" si="21"/>
        <v>cpm_prog_all_nativeads_interesse-autos_na</v>
      </c>
      <c r="BN18" s="25" t="str">
        <f t="shared" si="22"/>
        <v>alp_vw_dv360-globo_aaf_dsy_nonms_nd_nc_rng_varejo-familiaridade_na_trafego_cpm_prog_all_nativeads_interesse-autos_na_todaalinha-taxazero_var-rng-aaf-dsy-0221-10018</v>
      </c>
    </row>
    <row r="19" spans="2:68" ht="15" hidden="1" customHeight="1" x14ac:dyDescent="0.25">
      <c r="B19" s="40" t="s">
        <v>996</v>
      </c>
      <c r="C19" s="40" t="s">
        <v>998</v>
      </c>
      <c r="D19" s="40" t="s">
        <v>994</v>
      </c>
      <c r="E19" s="49">
        <v>44236</v>
      </c>
      <c r="F19" s="49">
        <v>44286</v>
      </c>
      <c r="G19" s="40" t="s">
        <v>628</v>
      </c>
      <c r="H19" s="50" t="s">
        <v>939</v>
      </c>
      <c r="I19" s="40" t="s">
        <v>777</v>
      </c>
      <c r="J19" s="51" t="s">
        <v>923</v>
      </c>
      <c r="K19" s="51" t="s">
        <v>923</v>
      </c>
      <c r="L19" s="40" t="s">
        <v>653</v>
      </c>
      <c r="M19" s="40" t="s">
        <v>287</v>
      </c>
      <c r="N19" s="40" t="s">
        <v>295</v>
      </c>
      <c r="O19" s="40" t="s">
        <v>317</v>
      </c>
      <c r="P19" s="40" t="s">
        <v>311</v>
      </c>
      <c r="Q19" s="40" t="s">
        <v>648</v>
      </c>
      <c r="R19" s="40" t="s">
        <v>277</v>
      </c>
      <c r="S19" s="40" t="s">
        <v>841</v>
      </c>
      <c r="T19" s="40" t="s">
        <v>938</v>
      </c>
      <c r="U19" s="40" t="s">
        <v>940</v>
      </c>
      <c r="V19" s="40" t="s">
        <v>935</v>
      </c>
      <c r="W19" s="40" t="s">
        <v>842</v>
      </c>
      <c r="X19" s="25"/>
      <c r="Y19" s="40" t="s">
        <v>941</v>
      </c>
      <c r="Z19" s="25"/>
      <c r="AA19" s="25"/>
      <c r="AB19" s="25"/>
      <c r="AC19" s="25"/>
      <c r="AD19" s="25"/>
      <c r="AE19" s="25"/>
      <c r="AF19" s="25"/>
      <c r="AG19" s="25"/>
      <c r="AH19" s="40" t="str">
        <f t="shared" si="0"/>
        <v>296481970</v>
      </c>
      <c r="AI19" s="41" t="str">
        <f t="shared" si="1"/>
        <v>alp_vw_dv360-terra_aaf_dsy_nonms_nd_nc_rng_varejo-familiaridade_na_trafego_cpm_prog_all_1260x400_interesse-autos_na_todaalinha-taxazero_var-rng-aaf-dsy-0221-10019</v>
      </c>
      <c r="AJ19" s="48" t="str">
        <f t="shared" si="2"/>
        <v>alp_vw_dv360-terra_aaf_dsy_nonms_nd_nc_rng_varejo-familiaridade_na_trafego_cpm_prog_all_1260x400_interesse-autos_na_todaalinha-taxazero_var-rng-aaf-dsy-0221-10019</v>
      </c>
      <c r="AK19" s="41" t="str">
        <f t="shared" si="3"/>
        <v>vw_range_1260x400_todaalinha-taxazero_adserver</v>
      </c>
      <c r="AL19" s="41" t="str">
        <f t="shared" si="23"/>
        <v>https://ofertas.vw.com.br?utm_source=dv360-terra&amp;utm_medium=Paid-Display&amp;utm_content=alp_vw_dv360-terra_aaf_dsy_nonms_nd_nc_rng_varejo-familiaridade_na_trafego_cpm_prog_all_1260x400_interesse-autos_na_todaalinha-taxazero_var-rng-aaf-dsy-0221-10019&amp;utm_campaign=BR_AAF_DSY_NONMS_ND_NC_2021Q1FEB_RNG_Varejo-Familiaridade&amp;utm_term=%epid!_%ecid!_%eaid!</v>
      </c>
      <c r="AM19" s="41" t="str">
        <f t="shared" si="5"/>
        <v>TAG</v>
      </c>
      <c r="AN19" s="40" t="str">
        <f t="shared" si="24"/>
        <v>dv360-terra</v>
      </c>
      <c r="AO19" s="40" t="str">
        <f t="shared" si="25"/>
        <v>Paid-Display</v>
      </c>
      <c r="AP19" s="41" t="str">
        <f>Campanha!$B$3</f>
        <v>BR_AAF_DSY_NONMS_ND_NC_2021Q1FEB_RNG_Varejo-Familiaridade</v>
      </c>
      <c r="AQ19" s="41" t="str">
        <f t="shared" si="8"/>
        <v>alp_vw_dv360-terra_aaf_dsy_nonms_nd_nc_rng_varejo-familiaridade_na_trafego_cpm_prog_all_1260x400_interesse-autos_na_todaalinha-taxazero_var-rng-aaf-dsy-0221-10019</v>
      </c>
      <c r="AR19" s="40" t="s">
        <v>722</v>
      </c>
      <c r="AS19" s="41" t="str">
        <f t="shared" si="9"/>
        <v>https://ofertas.vw.com.br?utm_source=dv360-terra&amp;utm_medium=Paid-Display&amp;utm_content=alp_vw_dv360-terra_aaf_dsy_nonms_nd_nc_rng_varejo-familiaridade_na_trafego_cpm_prog_all_1260x400_interesse-autos_na_todaalinha-taxazero_var-rng-aaf-dsy-0221-10019&amp;utm_campaign=BR_AAF_DSY_NONMS_ND_NC_2021Q1FEB_RNG_Varejo-Familiaridade&amp;utm_term=%epid!_%ecid!_%eaid!</v>
      </c>
      <c r="AT19" s="40" t="str">
        <f t="shared" si="26"/>
        <v>homepage-takeover</v>
      </c>
      <c r="AU19" s="40" t="str">
        <f t="shared" si="11"/>
        <v>BR</v>
      </c>
      <c r="AV19" s="40" t="str">
        <f t="shared" si="27"/>
        <v>dv360-terra</v>
      </c>
      <c r="AW19" s="40" t="str">
        <f t="shared" si="28"/>
        <v>dv360-terra</v>
      </c>
      <c r="AX19" s="40" t="str">
        <f t="shared" si="14"/>
        <v>varejo-familiaridade</v>
      </c>
      <c r="AY19" s="40" t="str">
        <f t="shared" si="29"/>
        <v>alp_vw_dv360-terra_aaf_dsy_nonms_nd_nc_rng_varejo-familiaridade_na_trafego_cpm_prog_all_1260x400_interesse-autos_na_todaalinha-taxazero_var-rng-aaf-dsy-0221-10019</v>
      </c>
      <c r="AZ19" s="40" t="str">
        <f t="shared" si="30"/>
        <v>1260x400</v>
      </c>
      <c r="BA19" s="40" t="str">
        <f t="shared" si="31"/>
        <v>varejo-familiaridade</v>
      </c>
      <c r="BB19" s="40" t="s">
        <v>775</v>
      </c>
      <c r="BC19" s="40" t="s">
        <v>775</v>
      </c>
      <c r="BD19" s="40" t="str">
        <f t="shared" si="32"/>
        <v>var-rng-aaf-dsy-0221-10019</v>
      </c>
      <c r="BE19" s="40" t="str">
        <f t="shared" si="33"/>
        <v>BR</v>
      </c>
      <c r="BF19" s="40" t="str">
        <f t="shared" si="34"/>
        <v/>
      </c>
      <c r="BG19" s="40"/>
      <c r="BH19" s="40"/>
      <c r="BI19" s="42" t="str">
        <f t="shared" si="19"/>
        <v>https://ofertas.vw.com.br?adlid=var-rng-aaf-dsy-0221-10019&amp;adplt=alp_vw_dv360-terra_aaf_dsy_nonms_nd_nc_rng_varejo-familiaridade_na_trafego_cpm_prog_all_1260x400_interesse-autos_na_todaalinha-taxazero_var-rng-aaf-dsy-0221-10019</v>
      </c>
      <c r="BL19" s="25" t="str">
        <f t="shared" si="20"/>
        <v>alp_vw_dv360-terra_aaf_dsy_nonms_nd_nc_rng_varejo-familiaridade_na_trafego</v>
      </c>
      <c r="BM19" s="25" t="str">
        <f t="shared" si="21"/>
        <v>cpm_prog_all_1260x400_interesse-autos_na</v>
      </c>
      <c r="BN19" s="25" t="str">
        <f t="shared" si="22"/>
        <v>alp_vw_dv360-terra_aaf_dsy_nonms_nd_nc_rng_varejo-familiaridade_na_trafego_cpm_prog_all_1260x400_interesse-autos_na_todaalinha-taxazero_var-rng-aaf-dsy-0221-10019</v>
      </c>
    </row>
    <row r="20" spans="2:68" ht="15" hidden="1" customHeight="1" x14ac:dyDescent="0.25">
      <c r="B20" s="40" t="s">
        <v>996</v>
      </c>
      <c r="C20" s="40" t="s">
        <v>998</v>
      </c>
      <c r="D20" s="40" t="s">
        <v>994</v>
      </c>
      <c r="E20" s="49">
        <v>44236</v>
      </c>
      <c r="F20" s="49">
        <v>44286</v>
      </c>
      <c r="G20" s="40" t="s">
        <v>628</v>
      </c>
      <c r="H20" s="50" t="s">
        <v>939</v>
      </c>
      <c r="I20" s="40" t="s">
        <v>777</v>
      </c>
      <c r="J20" s="51" t="s">
        <v>923</v>
      </c>
      <c r="K20" s="51" t="s">
        <v>923</v>
      </c>
      <c r="L20" s="40" t="s">
        <v>653</v>
      </c>
      <c r="M20" s="40" t="s">
        <v>287</v>
      </c>
      <c r="N20" s="40" t="s">
        <v>295</v>
      </c>
      <c r="O20" s="40" t="s">
        <v>317</v>
      </c>
      <c r="P20" s="40" t="s">
        <v>311</v>
      </c>
      <c r="Q20" s="40" t="s">
        <v>648</v>
      </c>
      <c r="R20" s="40" t="s">
        <v>277</v>
      </c>
      <c r="S20" s="40" t="s">
        <v>841</v>
      </c>
      <c r="T20" s="40" t="s">
        <v>938</v>
      </c>
      <c r="U20" s="40" t="s">
        <v>940</v>
      </c>
      <c r="V20" s="40" t="s">
        <v>935</v>
      </c>
      <c r="W20" s="40" t="s">
        <v>842</v>
      </c>
      <c r="X20" s="25"/>
      <c r="Y20" s="40" t="s">
        <v>433</v>
      </c>
      <c r="Z20" s="25"/>
      <c r="AA20" s="25"/>
      <c r="AB20" s="25"/>
      <c r="AC20" s="25"/>
      <c r="AD20" s="25"/>
      <c r="AE20" s="25"/>
      <c r="AF20" s="25"/>
      <c r="AG20" s="25"/>
      <c r="AH20" s="40" t="str">
        <f t="shared" si="0"/>
        <v>296482357</v>
      </c>
      <c r="AI20" s="41" t="str">
        <f t="shared" si="1"/>
        <v>alp_vw_dv360-terra_aaf_dsy_nonms_nd_nc_rng_varejo-familiaridade_na_trafego_cpm_prog_all_300x250_interesse-autos_na_todaalinha-taxazero_var-rng-aaf-dsy-0221-10020</v>
      </c>
      <c r="AJ20" s="48" t="str">
        <f t="shared" si="2"/>
        <v>alp_vw_dv360-terra_aaf_dsy_nonms_nd_nc_rng_varejo-familiaridade_na_trafego_cpm_prog_all_300x250_interesse-autos_na_todaalinha-taxazero_var-rng-aaf-dsy-0221-10020</v>
      </c>
      <c r="AK20" s="41" t="str">
        <f t="shared" si="3"/>
        <v>vw_range_300x250_todaalinha-taxazero_adserver</v>
      </c>
      <c r="AL20" s="41" t="str">
        <f t="shared" si="23"/>
        <v>https://ofertas.vw.com.br?utm_source=dv360-terra&amp;utm_medium=Paid-Display&amp;utm_content=alp_vw_dv360-terra_aaf_dsy_nonms_nd_nc_rng_varejo-familiaridade_na_trafego_cpm_prog_all_300x250_interesse-autos_na_todaalinha-taxazero_var-rng-aaf-dsy-0221-10020&amp;utm_campaign=BR_AAF_DSY_NONMS_ND_NC_2021Q1FEB_RNG_Varejo-Familiaridade&amp;utm_term=%epid!_%ecid!_%eaid!</v>
      </c>
      <c r="AM20" s="41" t="str">
        <f t="shared" si="5"/>
        <v>TAG</v>
      </c>
      <c r="AN20" s="40" t="str">
        <f t="shared" si="24"/>
        <v>dv360-terra</v>
      </c>
      <c r="AO20" s="40" t="str">
        <f t="shared" si="25"/>
        <v>Paid-Display</v>
      </c>
      <c r="AP20" s="41" t="str">
        <f>Campanha!$B$3</f>
        <v>BR_AAF_DSY_NONMS_ND_NC_2021Q1FEB_RNG_Varejo-Familiaridade</v>
      </c>
      <c r="AQ20" s="41" t="str">
        <f t="shared" si="8"/>
        <v>alp_vw_dv360-terra_aaf_dsy_nonms_nd_nc_rng_varejo-familiaridade_na_trafego_cpm_prog_all_300x250_interesse-autos_na_todaalinha-taxazero_var-rng-aaf-dsy-0221-10020</v>
      </c>
      <c r="AR20" s="40" t="s">
        <v>722</v>
      </c>
      <c r="AS20" s="41" t="str">
        <f t="shared" si="9"/>
        <v>https://ofertas.vw.com.br?utm_source=dv360-terra&amp;utm_medium=Paid-Display&amp;utm_content=alp_vw_dv360-terra_aaf_dsy_nonms_nd_nc_rng_varejo-familiaridade_na_trafego_cpm_prog_all_300x250_interesse-autos_na_todaalinha-taxazero_var-rng-aaf-dsy-0221-10020&amp;utm_campaign=BR_AAF_DSY_NONMS_ND_NC_2021Q1FEB_RNG_Varejo-Familiaridade&amp;utm_term=%epid!_%ecid!_%eaid!</v>
      </c>
      <c r="AT20" s="40" t="str">
        <f t="shared" si="26"/>
        <v>homepage-takeover</v>
      </c>
      <c r="AU20" s="40" t="str">
        <f t="shared" si="11"/>
        <v>BR</v>
      </c>
      <c r="AV20" s="40" t="str">
        <f t="shared" si="27"/>
        <v>dv360-terra</v>
      </c>
      <c r="AW20" s="40" t="str">
        <f t="shared" si="28"/>
        <v>dv360-terra</v>
      </c>
      <c r="AX20" s="40" t="str">
        <f t="shared" si="14"/>
        <v>varejo-familiaridade</v>
      </c>
      <c r="AY20" s="40" t="str">
        <f t="shared" si="29"/>
        <v>alp_vw_dv360-terra_aaf_dsy_nonms_nd_nc_rng_varejo-familiaridade_na_trafego_cpm_prog_all_300x250_interesse-autos_na_todaalinha-taxazero_var-rng-aaf-dsy-0221-10020</v>
      </c>
      <c r="AZ20" s="40" t="str">
        <f t="shared" si="30"/>
        <v>300x250</v>
      </c>
      <c r="BA20" s="40" t="str">
        <f t="shared" si="31"/>
        <v>varejo-familiaridade</v>
      </c>
      <c r="BB20" s="40" t="s">
        <v>775</v>
      </c>
      <c r="BC20" s="40" t="s">
        <v>775</v>
      </c>
      <c r="BD20" s="40" t="str">
        <f t="shared" si="32"/>
        <v>var-rng-aaf-dsy-0221-10020</v>
      </c>
      <c r="BE20" s="40" t="str">
        <f t="shared" si="33"/>
        <v>BR</v>
      </c>
      <c r="BF20" s="40" t="str">
        <f t="shared" si="34"/>
        <v/>
      </c>
      <c r="BG20" s="40"/>
      <c r="BH20" s="40"/>
      <c r="BI20" s="42" t="str">
        <f t="shared" si="19"/>
        <v>https://ofertas.vw.com.br?adlid=var-rng-aaf-dsy-0221-10020&amp;adplt=alp_vw_dv360-terra_aaf_dsy_nonms_nd_nc_rng_varejo-familiaridade_na_trafego_cpm_prog_all_300x250_interesse-autos_na_todaalinha-taxazero_var-rng-aaf-dsy-0221-10020</v>
      </c>
      <c r="BL20" s="25" t="str">
        <f t="shared" si="20"/>
        <v>alp_vw_dv360-terra_aaf_dsy_nonms_nd_nc_rng_varejo-familiaridade_na_trafego</v>
      </c>
      <c r="BM20" s="25" t="str">
        <f t="shared" si="21"/>
        <v>cpm_prog_all_300x250_interesse-autos_na</v>
      </c>
      <c r="BN20" s="25" t="str">
        <f t="shared" si="22"/>
        <v>alp_vw_dv360-terra_aaf_dsy_nonms_nd_nc_rng_varejo-familiaridade_na_trafego_cpm_prog_all_300x250_interesse-autos_na_todaalinha-taxazero_var-rng-aaf-dsy-0221-10020</v>
      </c>
    </row>
    <row r="21" spans="2:68" ht="15" hidden="1" customHeight="1" x14ac:dyDescent="0.25">
      <c r="B21" s="40" t="s">
        <v>996</v>
      </c>
      <c r="C21" s="40" t="s">
        <v>995</v>
      </c>
      <c r="D21" s="40" t="s">
        <v>994</v>
      </c>
      <c r="E21" s="49">
        <v>44236</v>
      </c>
      <c r="F21" s="49">
        <v>44286</v>
      </c>
      <c r="G21" s="40" t="s">
        <v>626</v>
      </c>
      <c r="H21" s="50" t="s">
        <v>939</v>
      </c>
      <c r="I21" s="40" t="s">
        <v>777</v>
      </c>
      <c r="J21" s="51" t="s">
        <v>368</v>
      </c>
      <c r="K21" s="51" t="s">
        <v>368</v>
      </c>
      <c r="L21" s="40" t="s">
        <v>653</v>
      </c>
      <c r="M21" s="40" t="s">
        <v>276</v>
      </c>
      <c r="N21" s="40" t="s">
        <v>295</v>
      </c>
      <c r="O21" s="40" t="s">
        <v>654</v>
      </c>
      <c r="P21" s="40" t="s">
        <v>313</v>
      </c>
      <c r="Q21" s="40" t="s">
        <v>658</v>
      </c>
      <c r="R21" s="40" t="s">
        <v>277</v>
      </c>
      <c r="S21" s="40" t="s">
        <v>841</v>
      </c>
      <c r="T21" s="40" t="s">
        <v>938</v>
      </c>
      <c r="U21" s="40" t="s">
        <v>940</v>
      </c>
      <c r="V21" s="40" t="s">
        <v>935</v>
      </c>
      <c r="W21" s="40" t="s">
        <v>842</v>
      </c>
      <c r="X21" s="40"/>
      <c r="Y21" s="40" t="s">
        <v>624</v>
      </c>
      <c r="Z21" s="25"/>
      <c r="AA21" s="25"/>
      <c r="AB21" s="25"/>
      <c r="AC21" s="25"/>
      <c r="AD21" s="25"/>
      <c r="AE21" s="25"/>
      <c r="AF21" s="25"/>
      <c r="AG21" s="25"/>
      <c r="AH21" s="40" t="e">
        <f t="shared" si="0"/>
        <v>#N/A</v>
      </c>
      <c r="AI21" s="41" t="str">
        <f t="shared" si="1"/>
        <v>alp_vw_terra_aaf_dsy_nonms_nd_nc_rng_varejo-familiaridade_na_trafego_cpm_drct_all_nativeads_interesse-autos_na_todaalinha-taxazero_var-rng-aaf-dsy-0221-10021</v>
      </c>
      <c r="AJ21" s="48" t="str">
        <f t="shared" si="2"/>
        <v>alp_vw_terra_aaf_dsy_nonms_nd_nc_rng_varejo-familiaridade_na_trafego_cpm_drct_all_nativeads_interesse-autos_na_todaalinha-taxazero_var-rng-aaf-dsy-0221-10021</v>
      </c>
      <c r="AK21" s="41" t="str">
        <f t="shared" si="3"/>
        <v>vw_range_nativeads_todaalinha-taxazero_terra</v>
      </c>
      <c r="AL21" s="41" t="str">
        <f t="shared" si="23"/>
        <v>https://ofertas.vw.com.br?utm_source=terra&amp;utm_medium=Paid-Display&amp;utm_content=alp_vw_terra_aaf_dsy_nonms_nd_nc_rng_varejo-familiaridade_na_trafego_cpm_drct_all_nativeads_interesse-autos_na_todaalinha-taxazero_var-rng-aaf-dsy-0221-10021&amp;utm_campaign=BR_AAF_DSY_NONMS_ND_NC_2021Q1FEB_RNG_Varejo-Familiaridade&amp;utm_term=%epid!_%ecid!_%eaid!</v>
      </c>
      <c r="AM21" s="41" t="str">
        <f t="shared" si="5"/>
        <v>https://ad.doubleclick.net/ddm/trackclk/N9487.149977TERRA.BR/B25333445.295653506;dc_trk_aid=488694677;dc_trk_cid=145996180;Audience_Id=${PIXEL_ID_COMMA};dc_lat=;dc_rdid=;tag_for_child_directed_treatment=;tfua=</v>
      </c>
      <c r="AN21" s="40" t="str">
        <f t="shared" si="24"/>
        <v>terra</v>
      </c>
      <c r="AO21" s="40" t="str">
        <f t="shared" si="25"/>
        <v>Paid-Display</v>
      </c>
      <c r="AP21" s="41" t="str">
        <f>Campanha!$B$3</f>
        <v>BR_AAF_DSY_NONMS_ND_NC_2021Q1FEB_RNG_Varejo-Familiaridade</v>
      </c>
      <c r="AQ21" s="41" t="str">
        <f t="shared" si="8"/>
        <v>alp_vw_terra_aaf_dsy_nonms_nd_nc_rng_varejo-familiaridade_na_trafego_cpm_drct_all_nativeads_interesse-autos_na_todaalinha-taxazero_var-rng-aaf-dsy-0221-10021</v>
      </c>
      <c r="AR21" s="40" t="s">
        <v>722</v>
      </c>
      <c r="AS21" s="41" t="str">
        <f t="shared" si="9"/>
        <v>https://ofertas.vw.com.br?utm_source=terra&amp;utm_medium=Paid-Display&amp;utm_content=alp_vw_terra_aaf_dsy_nonms_nd_nc_rng_varejo-familiaridade_na_trafego_cpm_drct_all_nativeads_interesse-autos_na_todaalinha-taxazero_var-rng-aaf-dsy-0221-10021&amp;utm_campaign=BR_AAF_DSY_NONMS_ND_NC_2021Q1FEB_RNG_Varejo-Familiaridade&amp;utm_term=%epid!_%ecid!_%eaid!</v>
      </c>
      <c r="AT21" s="40" t="str">
        <f t="shared" si="26"/>
        <v>run-of-network</v>
      </c>
      <c r="AU21" s="40" t="str">
        <f t="shared" si="11"/>
        <v>BR</v>
      </c>
      <c r="AV21" s="40" t="str">
        <f t="shared" si="27"/>
        <v>terra</v>
      </c>
      <c r="AW21" s="40" t="str">
        <f t="shared" si="28"/>
        <v>terra</v>
      </c>
      <c r="AX21" s="40" t="str">
        <f t="shared" si="14"/>
        <v>varejo-familiaridade</v>
      </c>
      <c r="AY21" s="40" t="str">
        <f t="shared" si="29"/>
        <v>alp_vw_terra_aaf_dsy_nonms_nd_nc_rng_varejo-familiaridade_na_trafego_cpm_drct_all_nativeads_interesse-autos_na_todaalinha-taxazero_var-rng-aaf-dsy-0221-10021</v>
      </c>
      <c r="AZ21" s="40" t="str">
        <f t="shared" si="30"/>
        <v>nativeads</v>
      </c>
      <c r="BA21" s="40" t="str">
        <f t="shared" si="31"/>
        <v>varejo-familiaridade</v>
      </c>
      <c r="BB21" s="40" t="s">
        <v>775</v>
      </c>
      <c r="BC21" s="40" t="s">
        <v>775</v>
      </c>
      <c r="BD21" s="40" t="str">
        <f t="shared" si="32"/>
        <v>var-rng-aaf-dsy-0221-10021</v>
      </c>
      <c r="BE21" s="40" t="str">
        <f t="shared" si="33"/>
        <v>BR</v>
      </c>
      <c r="BF21" s="40" t="str">
        <f t="shared" si="34"/>
        <v/>
      </c>
      <c r="BG21" s="40"/>
      <c r="BH21" s="40"/>
      <c r="BI21" s="42" t="str">
        <f t="shared" si="19"/>
        <v>https://ofertas.vw.com.br?adlid=var-rng-aaf-dsy-0221-10021&amp;adplt=alp_vw_terra_aaf_dsy_nonms_nd_nc_rng_varejo-familiaridade_na_trafego_cpm_drct_all_nativeads_interesse-autos_na_todaalinha-taxazero_var-rng-aaf-dsy-0221-10021</v>
      </c>
      <c r="BL21" s="25" t="str">
        <f t="shared" si="20"/>
        <v>alp_vw_terra_aaf_dsy_nonms_nd_nc_rng_varejo-familiaridade_na_trafego</v>
      </c>
      <c r="BM21" s="25" t="str">
        <f t="shared" si="21"/>
        <v>cpm_drct_all_nativeads_interesse-autos_na</v>
      </c>
      <c r="BN21" s="25" t="str">
        <f t="shared" si="22"/>
        <v>alp_vw_terra_aaf_dsy_nonms_nd_nc_rng_varejo-familiaridade_na_trafego_cpm_drct_all_nativeads_interesse-autos_na_todaalinha-taxazero_var-rng-aaf-dsy-0221-10021</v>
      </c>
    </row>
    <row r="22" spans="2:68" ht="15" hidden="1" customHeight="1" x14ac:dyDescent="0.25">
      <c r="B22" s="40" t="s">
        <v>996</v>
      </c>
      <c r="C22" s="40" t="s">
        <v>995</v>
      </c>
      <c r="D22" s="40" t="s">
        <v>994</v>
      </c>
      <c r="E22" s="49">
        <v>44236</v>
      </c>
      <c r="F22" s="49">
        <v>44286</v>
      </c>
      <c r="G22" s="40" t="s">
        <v>626</v>
      </c>
      <c r="H22" s="50" t="s">
        <v>939</v>
      </c>
      <c r="I22" s="40" t="s">
        <v>777</v>
      </c>
      <c r="J22" s="51" t="s">
        <v>911</v>
      </c>
      <c r="K22" s="51" t="s">
        <v>911</v>
      </c>
      <c r="L22" s="40" t="s">
        <v>653</v>
      </c>
      <c r="M22" s="40" t="s">
        <v>287</v>
      </c>
      <c r="N22" s="40" t="s">
        <v>295</v>
      </c>
      <c r="O22" s="40" t="s">
        <v>654</v>
      </c>
      <c r="P22" s="40" t="s">
        <v>313</v>
      </c>
      <c r="Q22" s="40" t="s">
        <v>658</v>
      </c>
      <c r="R22" s="40" t="s">
        <v>277</v>
      </c>
      <c r="S22" s="40" t="s">
        <v>841</v>
      </c>
      <c r="T22" s="40" t="s">
        <v>938</v>
      </c>
      <c r="U22" s="40" t="s">
        <v>940</v>
      </c>
      <c r="V22" s="40" t="s">
        <v>942</v>
      </c>
      <c r="W22" s="40" t="s">
        <v>842</v>
      </c>
      <c r="X22" s="40"/>
      <c r="Y22" s="40" t="s">
        <v>624</v>
      </c>
      <c r="Z22" s="48"/>
      <c r="AA22" s="41"/>
      <c r="AB22" s="41"/>
      <c r="AC22" s="41"/>
      <c r="AD22" s="40"/>
      <c r="AE22" s="40"/>
      <c r="AF22" s="41"/>
      <c r="AG22" s="41"/>
      <c r="AH22" s="40" t="e">
        <f t="shared" si="0"/>
        <v>#N/A</v>
      </c>
      <c r="AI22" s="41" t="str">
        <f t="shared" si="1"/>
        <v>alp_vw_dv360_aaf_dsy_nonms_nd_nc_rng_varejo-familiaridade_na_trafego_cpm_prog_all_nativeads_nc-3rd-party_na_todaalinha-taxazero_var-rng-aaf-dsy-0221-10022</v>
      </c>
      <c r="AJ22" s="48" t="str">
        <f t="shared" si="2"/>
        <v>alp_vw_dv360_aaf_dsy_nonms_nd_nc_rng_varejo-familiaridade_na_trafego_cpm_prog_all_nativeads_nc-3rd-party_na_todaalinha-taxazero_var-rng-aaf-dsy-0221-10022</v>
      </c>
      <c r="AK22" s="41" t="str">
        <f t="shared" si="3"/>
        <v>vw_range_nativeads_todaalinha-taxazero_dv360</v>
      </c>
      <c r="AL22" s="41" t="str">
        <f t="shared" ref="AL22:AL27" si="35">IF(col_parametrizacao="GA",AS22,IF(CONCATENATE(col_parametrizacao,col_supplier)="ADOBESA360",CONCATENATE(col_url,"?ds_p=[*Part_Site*]&amp;ds_e=[*Part_Comp*]&amp;ds_c={_dscampaign}&amp;ds_ag={_dsadgroup}&amp;ds_k={_dssearchterm}&amp;ds_e={_dsaccounttype}&amp;ds_kid={_dstrackerid}&amp;country=BR&amp;language=BR"),IF(CONCATENATE(col_parametrizacao,col_supplier)="ADOBEGoogleAds",CONCATENATE(H22,"?","adlid=",col_adlid,"&amp;adplt=",col_placement,"adchan=[*channel*]&amp;campaign=[*Campaign*]","&amp;adgroup=[*Adgroup*]&amp;publisher=[*EngineAccountType*]&amp;adpl=[*EngineAccountType*]&amp;country=BR&amp;format=",col_size,"&amp;language=BR","&amp;adcr=[*searchterm*]",),url_adobe)))</f>
        <v>https://ofertas.vw.com.br?utm_source=dv360&amp;utm_medium=Paid-Display&amp;utm_content=alp_vw_dv360_aaf_dsy_nonms_nd_nc_rng_varejo-familiaridade_na_trafego_cpm_prog_all_nativeads_nc-3rd-party_na_todaalinha-taxazero_var-rng-aaf-dsy-0221-10022&amp;utm_campaign=BR_AAF_DSY_NONMS_ND_NC_2021Q1FEB_RNG_Varejo-Familiaridade&amp;utm_term=%epid!_%ecid!_%eaid!</v>
      </c>
      <c r="AM22" s="41" t="str">
        <f t="shared" si="5"/>
        <v>https://ad.doubleclick.net/ddm/trackclk/N9487.281608.GOOGLEBRASIL/B25333445.295678074;dc_trk_aid=488957613;dc_trk_cid=145996180;Audience_Id=${PIXEL_ID_COMMA};kw=${CAMPAIGN_ID}:${INSERTION_ORDER_ID};dc_lat=;dc_rdid=;tag_for_child_directed_treatment=;tfua=</v>
      </c>
      <c r="AN22" s="40" t="str">
        <f t="shared" ref="AN22:AN27" si="36">J22</f>
        <v>dv360</v>
      </c>
      <c r="AO22" s="40" t="str">
        <f t="shared" ref="AO22:AO27" si="37">L22</f>
        <v>Paid-Display</v>
      </c>
      <c r="AP22" s="41" t="str">
        <f>Campanha!$B$3</f>
        <v>BR_AAF_DSY_NONMS_ND_NC_2021Q1FEB_RNG_Varejo-Familiaridade</v>
      </c>
      <c r="AQ22" s="41" t="str">
        <f t="shared" si="8"/>
        <v>alp_vw_dv360_aaf_dsy_nonms_nd_nc_rng_varejo-familiaridade_na_trafego_cpm_prog_all_nativeads_nc-3rd-party_na_todaalinha-taxazero_var-rng-aaf-dsy-0221-10022</v>
      </c>
      <c r="AR22" s="40" t="s">
        <v>722</v>
      </c>
      <c r="AS22" s="41" t="str">
        <f t="shared" si="9"/>
        <v>https://ofertas.vw.com.br?utm_source=dv360&amp;utm_medium=Paid-Display&amp;utm_content=alp_vw_dv360_aaf_dsy_nonms_nd_nc_rng_varejo-familiaridade_na_trafego_cpm_prog_all_nativeads_nc-3rd-party_na_todaalinha-taxazero_var-rng-aaf-dsy-0221-10022&amp;utm_campaign=BR_AAF_DSY_NONMS_ND_NC_2021Q1FEB_RNG_Varejo-Familiaridade&amp;utm_term=%epid!_%ecid!_%eaid!</v>
      </c>
      <c r="AT22" s="40" t="str">
        <f t="shared" ref="AT22:AT27" si="38">LOWER(Q22)</f>
        <v>run-of-network</v>
      </c>
      <c r="AU22" s="40" t="str">
        <f t="shared" si="11"/>
        <v>BR</v>
      </c>
      <c r="AV22" s="40" t="str">
        <f t="shared" ref="AV22:AV27" si="39">LOWER(K22)</f>
        <v>dv360</v>
      </c>
      <c r="AW22" s="40" t="str">
        <f t="shared" ref="AW22:AW27" si="40">LOWER(J22)</f>
        <v>dv360</v>
      </c>
      <c r="AX22" s="40" t="str">
        <f t="shared" si="14"/>
        <v>varejo-familiaridade</v>
      </c>
      <c r="AY22" s="40" t="str">
        <f t="shared" ref="AY22:AY27" si="41">LOWER(AI22)</f>
        <v>alp_vw_dv360_aaf_dsy_nonms_nd_nc_rng_varejo-familiaridade_na_trafego_cpm_prog_all_nativeads_nc-3rd-party_na_todaalinha-taxazero_var-rng-aaf-dsy-0221-10022</v>
      </c>
      <c r="AZ22" s="40" t="str">
        <f t="shared" ref="AZ22:AZ27" si="42">LOWER(Y22)</f>
        <v>nativeads</v>
      </c>
      <c r="BA22" s="40" t="str">
        <f t="shared" ref="BA22:BA27" si="43">LOWER(T22)</f>
        <v>varejo-familiaridade</v>
      </c>
      <c r="BB22" s="40" t="s">
        <v>775</v>
      </c>
      <c r="BC22" s="40" t="s">
        <v>775</v>
      </c>
      <c r="BD22" s="40" t="str">
        <f t="shared" ref="BD22:BD27" si="44">LOWER(CONCATENATE(cel_idcampaign,"-",SUM(10000+ROW(A22))))</f>
        <v>var-rng-aaf-dsy-0221-10022</v>
      </c>
      <c r="BE22" s="40" t="str">
        <f t="shared" ref="BE22:BE27" si="45">AU22</f>
        <v>BR</v>
      </c>
      <c r="BF22" s="40" t="str">
        <f t="shared" ref="BF22:BF27" si="46">LOWER(X22)</f>
        <v/>
      </c>
      <c r="BG22" s="40"/>
      <c r="BH22" s="40"/>
      <c r="BI22" s="42" t="str">
        <f t="shared" si="19"/>
        <v>https://ofertas.vw.com.br?adlid=var-rng-aaf-dsy-0221-10022&amp;adplt=alp_vw_dv360_aaf_dsy_nonms_nd_nc_rng_varejo-familiaridade_na_trafego_cpm_prog_all_nativeads_nc-3rd-party_na_todaalinha-taxazero_var-rng-aaf-dsy-0221-10022</v>
      </c>
      <c r="BL22" s="25" t="str">
        <f t="shared" si="20"/>
        <v>alp_vw_dv360_aaf_dsy_nonms_nd_nc_rng_varejo-familiaridade_na_trafego</v>
      </c>
      <c r="BM22" s="25" t="str">
        <f t="shared" si="21"/>
        <v>cpm_prog_all_nativeads_nc-3rd-party_na</v>
      </c>
      <c r="BN22" s="25" t="str">
        <f t="shared" si="22"/>
        <v>alp_vw_dv360_aaf_dsy_nonms_nd_nc_rng_varejo-familiaridade_na_trafego_cpm_prog_all_nativeads_nc-3rd-party_na_todaalinha-taxazero_var-rng-aaf-dsy-0221-10022</v>
      </c>
    </row>
    <row r="23" spans="2:68" ht="15" hidden="1" customHeight="1" x14ac:dyDescent="0.25">
      <c r="B23" s="40" t="s">
        <v>996</v>
      </c>
      <c r="C23" s="40" t="s">
        <v>995</v>
      </c>
      <c r="D23" s="40" t="s">
        <v>994</v>
      </c>
      <c r="E23" s="49">
        <v>44236</v>
      </c>
      <c r="F23" s="49">
        <v>44286</v>
      </c>
      <c r="G23" s="40" t="s">
        <v>626</v>
      </c>
      <c r="H23" s="50" t="s">
        <v>939</v>
      </c>
      <c r="I23" s="40" t="s">
        <v>777</v>
      </c>
      <c r="J23" s="51" t="s">
        <v>911</v>
      </c>
      <c r="K23" s="51" t="s">
        <v>911</v>
      </c>
      <c r="L23" s="40" t="s">
        <v>653</v>
      </c>
      <c r="M23" s="40" t="s">
        <v>287</v>
      </c>
      <c r="N23" s="40" t="s">
        <v>295</v>
      </c>
      <c r="O23" s="40" t="s">
        <v>654</v>
      </c>
      <c r="P23" s="40" t="s">
        <v>313</v>
      </c>
      <c r="Q23" s="40" t="s">
        <v>658</v>
      </c>
      <c r="R23" s="40" t="s">
        <v>277</v>
      </c>
      <c r="S23" s="40" t="s">
        <v>841</v>
      </c>
      <c r="T23" s="40" t="s">
        <v>938</v>
      </c>
      <c r="U23" s="40" t="s">
        <v>940</v>
      </c>
      <c r="V23" s="40" t="s">
        <v>943</v>
      </c>
      <c r="W23" s="40" t="s">
        <v>842</v>
      </c>
      <c r="X23" s="40"/>
      <c r="Y23" s="40" t="s">
        <v>624</v>
      </c>
      <c r="Z23" s="48"/>
      <c r="AA23" s="41"/>
      <c r="AB23" s="41"/>
      <c r="AC23" s="41"/>
      <c r="AD23" s="40"/>
      <c r="AE23" s="40"/>
      <c r="AF23" s="41"/>
      <c r="AG23" s="41"/>
      <c r="AH23" s="40" t="e">
        <f t="shared" si="0"/>
        <v>#N/A</v>
      </c>
      <c r="AI23" s="41" t="str">
        <f t="shared" si="1"/>
        <v>alp_vw_dv360_aaf_dsy_nonms_nd_nc_rng_varejo-familiaridade_na_trafego_cpm_prog_all_nativeads_nc-3rd-party-engine_na_todaalinha-taxazero_var-rng-aaf-dsy-0221-10023</v>
      </c>
      <c r="AJ23" s="48" t="str">
        <f t="shared" si="2"/>
        <v>alp_vw_dv360_aaf_dsy_nonms_nd_nc_rng_varejo-familiaridade_na_trafego_cpm_prog_all_nativeads_nc-3rd-party-engine_na_todaalinha-taxazero_var-rng-aaf-dsy-0221-10023</v>
      </c>
      <c r="AK23" s="41" t="str">
        <f t="shared" si="3"/>
        <v>vw_range_nativeads_todaalinha-taxazero_dv360</v>
      </c>
      <c r="AL23" s="41" t="str">
        <f t="shared" si="35"/>
        <v>https://ofertas.vw.com.br?utm_source=dv360&amp;utm_medium=Paid-Display&amp;utm_content=alp_vw_dv360_aaf_dsy_nonms_nd_nc_rng_varejo-familiaridade_na_trafego_cpm_prog_all_nativeads_nc-3rd-party-engine_na_todaalinha-taxazero_var-rng-aaf-dsy-0221-10023&amp;utm_campaign=BR_AAF_DSY_NONMS_ND_NC_2021Q1FEB_RNG_Varejo-Familiaridade&amp;utm_term=%epid!_%ecid!_%eaid!</v>
      </c>
      <c r="AM23" s="41" t="str">
        <f t="shared" si="5"/>
        <v>https://ad.doubleclick.net/ddm/trackclk/N9487.281608.GOOGLEBRASIL/B25333445.295678071;dc_trk_aid=488957610;dc_trk_cid=145996180;Audience_Id=${PIXEL_ID_COMMA};kw=${CAMPAIGN_ID}:${INSERTION_ORDER_ID};dc_lat=;dc_rdid=;tag_for_child_directed_treatment=;tfua=</v>
      </c>
      <c r="AN23" s="40" t="str">
        <f t="shared" si="36"/>
        <v>dv360</v>
      </c>
      <c r="AO23" s="40" t="str">
        <f t="shared" si="37"/>
        <v>Paid-Display</v>
      </c>
      <c r="AP23" s="41" t="str">
        <f>Campanha!$B$3</f>
        <v>BR_AAF_DSY_NONMS_ND_NC_2021Q1FEB_RNG_Varejo-Familiaridade</v>
      </c>
      <c r="AQ23" s="41" t="str">
        <f t="shared" si="8"/>
        <v>alp_vw_dv360_aaf_dsy_nonms_nd_nc_rng_varejo-familiaridade_na_trafego_cpm_prog_all_nativeads_nc-3rd-party-engine_na_todaalinha-taxazero_var-rng-aaf-dsy-0221-10023</v>
      </c>
      <c r="AR23" s="40" t="s">
        <v>722</v>
      </c>
      <c r="AS23" s="41" t="str">
        <f t="shared" si="9"/>
        <v>https://ofertas.vw.com.br?utm_source=dv360&amp;utm_medium=Paid-Display&amp;utm_content=alp_vw_dv360_aaf_dsy_nonms_nd_nc_rng_varejo-familiaridade_na_trafego_cpm_prog_all_nativeads_nc-3rd-party-engine_na_todaalinha-taxazero_var-rng-aaf-dsy-0221-10023&amp;utm_campaign=BR_AAF_DSY_NONMS_ND_NC_2021Q1FEB_RNG_Varejo-Familiaridade&amp;utm_term=%epid!_%ecid!_%eaid!</v>
      </c>
      <c r="AT23" s="40" t="str">
        <f t="shared" si="38"/>
        <v>run-of-network</v>
      </c>
      <c r="AU23" s="40" t="str">
        <f t="shared" si="11"/>
        <v>BR</v>
      </c>
      <c r="AV23" s="40" t="str">
        <f t="shared" si="39"/>
        <v>dv360</v>
      </c>
      <c r="AW23" s="40" t="str">
        <f t="shared" si="40"/>
        <v>dv360</v>
      </c>
      <c r="AX23" s="40" t="str">
        <f t="shared" si="14"/>
        <v>varejo-familiaridade</v>
      </c>
      <c r="AY23" s="40" t="str">
        <f t="shared" si="41"/>
        <v>alp_vw_dv360_aaf_dsy_nonms_nd_nc_rng_varejo-familiaridade_na_trafego_cpm_prog_all_nativeads_nc-3rd-party-engine_na_todaalinha-taxazero_var-rng-aaf-dsy-0221-10023</v>
      </c>
      <c r="AZ23" s="40" t="str">
        <f t="shared" si="42"/>
        <v>nativeads</v>
      </c>
      <c r="BA23" s="40" t="str">
        <f t="shared" si="43"/>
        <v>varejo-familiaridade</v>
      </c>
      <c r="BB23" s="40" t="s">
        <v>775</v>
      </c>
      <c r="BC23" s="40" t="s">
        <v>775</v>
      </c>
      <c r="BD23" s="40" t="str">
        <f t="shared" si="44"/>
        <v>var-rng-aaf-dsy-0221-10023</v>
      </c>
      <c r="BE23" s="40" t="str">
        <f t="shared" si="45"/>
        <v>BR</v>
      </c>
      <c r="BF23" s="40" t="str">
        <f t="shared" si="46"/>
        <v/>
      </c>
      <c r="BG23" s="40"/>
      <c r="BH23" s="40"/>
      <c r="BI23" s="42" t="str">
        <f t="shared" si="19"/>
        <v>https://ofertas.vw.com.br?adlid=var-rng-aaf-dsy-0221-10023&amp;adplt=alp_vw_dv360_aaf_dsy_nonms_nd_nc_rng_varejo-familiaridade_na_trafego_cpm_prog_all_nativeads_nc-3rd-party-engine_na_todaalinha-taxazero_var-rng-aaf-dsy-0221-10023</v>
      </c>
      <c r="BL23" s="25" t="str">
        <f t="shared" si="20"/>
        <v>alp_vw_dv360_aaf_dsy_nonms_nd_nc_rng_varejo-familiaridade_na_trafego</v>
      </c>
      <c r="BM23" s="25" t="str">
        <f t="shared" si="21"/>
        <v>cpm_prog_all_nativeads_nc-3rd-party-engine_na</v>
      </c>
      <c r="BN23" s="25" t="str">
        <f t="shared" si="22"/>
        <v>alp_vw_dv360_aaf_dsy_nonms_nd_nc_rng_varejo-familiaridade_na_trafego_cpm_prog_all_nativeads_nc-3rd-party-engine_na_todaalinha-taxazero_var-rng-aaf-dsy-0221-10023</v>
      </c>
    </row>
    <row r="24" spans="2:68" ht="15" hidden="1" customHeight="1" x14ac:dyDescent="0.25">
      <c r="B24" s="40" t="s">
        <v>996</v>
      </c>
      <c r="C24" s="40" t="s">
        <v>995</v>
      </c>
      <c r="D24" s="40" t="s">
        <v>994</v>
      </c>
      <c r="E24" s="49">
        <v>44236</v>
      </c>
      <c r="F24" s="49">
        <v>44286</v>
      </c>
      <c r="G24" s="40" t="s">
        <v>626</v>
      </c>
      <c r="H24" s="50" t="s">
        <v>939</v>
      </c>
      <c r="I24" s="40" t="s">
        <v>777</v>
      </c>
      <c r="J24" s="51" t="s">
        <v>911</v>
      </c>
      <c r="K24" s="51" t="s">
        <v>911</v>
      </c>
      <c r="L24" s="40" t="s">
        <v>653</v>
      </c>
      <c r="M24" s="40" t="s">
        <v>287</v>
      </c>
      <c r="N24" s="40" t="s">
        <v>295</v>
      </c>
      <c r="O24" s="40" t="s">
        <v>654</v>
      </c>
      <c r="P24" s="40" t="s">
        <v>313</v>
      </c>
      <c r="Q24" s="40" t="s">
        <v>658</v>
      </c>
      <c r="R24" s="40" t="s">
        <v>277</v>
      </c>
      <c r="S24" s="40" t="s">
        <v>841</v>
      </c>
      <c r="T24" s="40" t="s">
        <v>938</v>
      </c>
      <c r="U24" s="40" t="s">
        <v>940</v>
      </c>
      <c r="V24" s="40" t="s">
        <v>944</v>
      </c>
      <c r="W24" s="40" t="s">
        <v>842</v>
      </c>
      <c r="X24" s="40"/>
      <c r="Y24" s="40" t="s">
        <v>624</v>
      </c>
      <c r="Z24" s="48"/>
      <c r="AA24" s="41"/>
      <c r="AB24" s="41"/>
      <c r="AC24" s="41"/>
      <c r="AD24" s="40"/>
      <c r="AE24" s="40"/>
      <c r="AF24" s="41"/>
      <c r="AG24" s="41"/>
      <c r="AH24" s="40" t="e">
        <f t="shared" si="0"/>
        <v>#N/A</v>
      </c>
      <c r="AI24" s="41" t="str">
        <f t="shared" si="1"/>
        <v>alp_vw_dv360_aaf_dsy_nonms_nd_nc_rng_varejo-familiaridade_na_trafego_cpm_prog_all_nativeads_nc-inmarket_na_todaalinha-taxazero_var-rng-aaf-dsy-0221-10024</v>
      </c>
      <c r="AJ24" s="48" t="str">
        <f t="shared" si="2"/>
        <v>alp_vw_dv360_aaf_dsy_nonms_nd_nc_rng_varejo-familiaridade_na_trafego_cpm_prog_all_nativeads_nc-inmarket_na_todaalinha-taxazero_var-rng-aaf-dsy-0221-10024</v>
      </c>
      <c r="AK24" s="41" t="str">
        <f t="shared" si="3"/>
        <v>vw_range_nativeads_todaalinha-taxazero_dv360</v>
      </c>
      <c r="AL24" s="41" t="str">
        <f t="shared" si="35"/>
        <v>https://ofertas.vw.com.br?utm_source=dv360&amp;utm_medium=Paid-Display&amp;utm_content=alp_vw_dv360_aaf_dsy_nonms_nd_nc_rng_varejo-familiaridade_na_trafego_cpm_prog_all_nativeads_nc-inmarket_na_todaalinha-taxazero_var-rng-aaf-dsy-0221-10024&amp;utm_campaign=BR_AAF_DSY_NONMS_ND_NC_2021Q1FEB_RNG_Varejo-Familiaridade&amp;utm_term=%epid!_%ecid!_%eaid!</v>
      </c>
      <c r="AM24" s="41" t="str">
        <f t="shared" si="5"/>
        <v>https://ad.doubleclick.net/ddm/trackclk/N9487.281608.GOOGLEBRASIL/B25333445.295678068;dc_trk_aid=488957607;dc_trk_cid=145996180;Audience_Id=${PIXEL_ID_COMMA};kw=${CAMPAIGN_ID}:${INSERTION_ORDER_ID};dc_lat=;dc_rdid=;tag_for_child_directed_treatment=;tfua=</v>
      </c>
      <c r="AN24" s="40" t="str">
        <f t="shared" si="36"/>
        <v>dv360</v>
      </c>
      <c r="AO24" s="40" t="str">
        <f t="shared" si="37"/>
        <v>Paid-Display</v>
      </c>
      <c r="AP24" s="41" t="str">
        <f>Campanha!$B$3</f>
        <v>BR_AAF_DSY_NONMS_ND_NC_2021Q1FEB_RNG_Varejo-Familiaridade</v>
      </c>
      <c r="AQ24" s="41" t="str">
        <f t="shared" si="8"/>
        <v>alp_vw_dv360_aaf_dsy_nonms_nd_nc_rng_varejo-familiaridade_na_trafego_cpm_prog_all_nativeads_nc-inmarket_na_todaalinha-taxazero_var-rng-aaf-dsy-0221-10024</v>
      </c>
      <c r="AR24" s="40" t="s">
        <v>722</v>
      </c>
      <c r="AS24" s="41" t="str">
        <f t="shared" si="9"/>
        <v>https://ofertas.vw.com.br?utm_source=dv360&amp;utm_medium=Paid-Display&amp;utm_content=alp_vw_dv360_aaf_dsy_nonms_nd_nc_rng_varejo-familiaridade_na_trafego_cpm_prog_all_nativeads_nc-inmarket_na_todaalinha-taxazero_var-rng-aaf-dsy-0221-10024&amp;utm_campaign=BR_AAF_DSY_NONMS_ND_NC_2021Q1FEB_RNG_Varejo-Familiaridade&amp;utm_term=%epid!_%ecid!_%eaid!</v>
      </c>
      <c r="AT24" s="40" t="str">
        <f t="shared" si="38"/>
        <v>run-of-network</v>
      </c>
      <c r="AU24" s="40" t="str">
        <f t="shared" si="11"/>
        <v>BR</v>
      </c>
      <c r="AV24" s="40" t="str">
        <f t="shared" si="39"/>
        <v>dv360</v>
      </c>
      <c r="AW24" s="40" t="str">
        <f t="shared" si="40"/>
        <v>dv360</v>
      </c>
      <c r="AX24" s="40" t="str">
        <f t="shared" si="14"/>
        <v>varejo-familiaridade</v>
      </c>
      <c r="AY24" s="40" t="str">
        <f t="shared" si="41"/>
        <v>alp_vw_dv360_aaf_dsy_nonms_nd_nc_rng_varejo-familiaridade_na_trafego_cpm_prog_all_nativeads_nc-inmarket_na_todaalinha-taxazero_var-rng-aaf-dsy-0221-10024</v>
      </c>
      <c r="AZ24" s="40" t="str">
        <f t="shared" si="42"/>
        <v>nativeads</v>
      </c>
      <c r="BA24" s="40" t="str">
        <f t="shared" si="43"/>
        <v>varejo-familiaridade</v>
      </c>
      <c r="BB24" s="40" t="s">
        <v>775</v>
      </c>
      <c r="BC24" s="40" t="s">
        <v>775</v>
      </c>
      <c r="BD24" s="40" t="str">
        <f t="shared" si="44"/>
        <v>var-rng-aaf-dsy-0221-10024</v>
      </c>
      <c r="BE24" s="40" t="str">
        <f t="shared" si="45"/>
        <v>BR</v>
      </c>
      <c r="BF24" s="40" t="str">
        <f t="shared" si="46"/>
        <v/>
      </c>
      <c r="BG24" s="40"/>
      <c r="BH24" s="40"/>
      <c r="BI24" s="42" t="str">
        <f t="shared" si="19"/>
        <v>https://ofertas.vw.com.br?adlid=var-rng-aaf-dsy-0221-10024&amp;adplt=alp_vw_dv360_aaf_dsy_nonms_nd_nc_rng_varejo-familiaridade_na_trafego_cpm_prog_all_nativeads_nc-inmarket_na_todaalinha-taxazero_var-rng-aaf-dsy-0221-10024</v>
      </c>
      <c r="BL24" s="25" t="str">
        <f t="shared" si="20"/>
        <v>alp_vw_dv360_aaf_dsy_nonms_nd_nc_rng_varejo-familiaridade_na_trafego</v>
      </c>
      <c r="BM24" s="25" t="str">
        <f t="shared" si="21"/>
        <v>cpm_prog_all_nativeads_nc-inmarket_na</v>
      </c>
      <c r="BN24" s="25" t="str">
        <f t="shared" si="22"/>
        <v>alp_vw_dv360_aaf_dsy_nonms_nd_nc_rng_varejo-familiaridade_na_trafego_cpm_prog_all_nativeads_nc-inmarket_na_todaalinha-taxazero_var-rng-aaf-dsy-0221-10024</v>
      </c>
    </row>
    <row r="25" spans="2:68" ht="15" hidden="1" customHeight="1" x14ac:dyDescent="0.25">
      <c r="B25" s="40" t="s">
        <v>996</v>
      </c>
      <c r="C25" s="40" t="s">
        <v>995</v>
      </c>
      <c r="D25" s="40" t="s">
        <v>994</v>
      </c>
      <c r="E25" s="49">
        <v>44236</v>
      </c>
      <c r="F25" s="49">
        <v>44286</v>
      </c>
      <c r="G25" s="40" t="s">
        <v>626</v>
      </c>
      <c r="H25" s="50" t="s">
        <v>939</v>
      </c>
      <c r="I25" s="40" t="s">
        <v>777</v>
      </c>
      <c r="J25" s="51" t="s">
        <v>911</v>
      </c>
      <c r="K25" s="51" t="s">
        <v>911</v>
      </c>
      <c r="L25" s="40" t="s">
        <v>653</v>
      </c>
      <c r="M25" s="40" t="s">
        <v>287</v>
      </c>
      <c r="N25" s="40" t="s">
        <v>295</v>
      </c>
      <c r="O25" s="40" t="s">
        <v>654</v>
      </c>
      <c r="P25" s="40" t="s">
        <v>313</v>
      </c>
      <c r="Q25" s="40" t="s">
        <v>658</v>
      </c>
      <c r="R25" s="40" t="s">
        <v>277</v>
      </c>
      <c r="S25" s="40" t="s">
        <v>841</v>
      </c>
      <c r="T25" s="40" t="s">
        <v>938</v>
      </c>
      <c r="U25" s="40" t="s">
        <v>940</v>
      </c>
      <c r="V25" s="40" t="s">
        <v>945</v>
      </c>
      <c r="W25" s="40" t="s">
        <v>842</v>
      </c>
      <c r="X25" s="40"/>
      <c r="Y25" s="40" t="s">
        <v>624</v>
      </c>
      <c r="Z25" s="48"/>
      <c r="AA25" s="41"/>
      <c r="AB25" s="41"/>
      <c r="AC25" s="41"/>
      <c r="AD25" s="40"/>
      <c r="AE25" s="40"/>
      <c r="AF25" s="41"/>
      <c r="AG25" s="41"/>
      <c r="AH25" s="40" t="e">
        <f t="shared" si="0"/>
        <v>#N/A</v>
      </c>
      <c r="AI25" s="41" t="str">
        <f t="shared" si="1"/>
        <v>alp_vw_dv360_aaf_dsy_nonms_nd_nc_rng_varejo-familiaridade_na_trafego_cpm_prog_all_nativeads_nc-lal_na_todaalinha-taxazero_var-rng-aaf-dsy-0221-10025</v>
      </c>
      <c r="AJ25" s="48" t="str">
        <f t="shared" si="2"/>
        <v>alp_vw_dv360_aaf_dsy_nonms_nd_nc_rng_varejo-familiaridade_na_trafego_cpm_prog_all_nativeads_nc-lal_na_todaalinha-taxazero_var-rng-aaf-dsy-0221-10025</v>
      </c>
      <c r="AK25" s="41" t="str">
        <f t="shared" si="3"/>
        <v>vw_range_nativeads_todaalinha-taxazero_dv360</v>
      </c>
      <c r="AL25" s="41" t="str">
        <f t="shared" si="35"/>
        <v>https://ofertas.vw.com.br?utm_source=dv360&amp;utm_medium=Paid-Display&amp;utm_content=alp_vw_dv360_aaf_dsy_nonms_nd_nc_rng_varejo-familiaridade_na_trafego_cpm_prog_all_nativeads_nc-lal_na_todaalinha-taxazero_var-rng-aaf-dsy-0221-10025&amp;utm_campaign=BR_AAF_DSY_NONMS_ND_NC_2021Q1FEB_RNG_Varejo-Familiaridade&amp;utm_term=%epid!_%ecid!_%eaid!</v>
      </c>
      <c r="AM25" s="41" t="str">
        <f t="shared" si="5"/>
        <v>https://ad.doubleclick.net/ddm/trackclk/N9487.281608.GOOGLEBRASIL/B25333445.295678095;dc_trk_aid=488957634;dc_trk_cid=145996180;Audience_Id=${PIXEL_ID_COMMA};kw=${CAMPAIGN_ID}:${INSERTION_ORDER_ID};dc_lat=;dc_rdid=;tag_for_child_directed_treatment=;tfua=</v>
      </c>
      <c r="AN25" s="40" t="str">
        <f t="shared" si="36"/>
        <v>dv360</v>
      </c>
      <c r="AO25" s="40" t="str">
        <f t="shared" si="37"/>
        <v>Paid-Display</v>
      </c>
      <c r="AP25" s="41" t="str">
        <f>Campanha!$B$3</f>
        <v>BR_AAF_DSY_NONMS_ND_NC_2021Q1FEB_RNG_Varejo-Familiaridade</v>
      </c>
      <c r="AQ25" s="41" t="str">
        <f t="shared" si="8"/>
        <v>alp_vw_dv360_aaf_dsy_nonms_nd_nc_rng_varejo-familiaridade_na_trafego_cpm_prog_all_nativeads_nc-lal_na_todaalinha-taxazero_var-rng-aaf-dsy-0221-10025</v>
      </c>
      <c r="AR25" s="40" t="s">
        <v>722</v>
      </c>
      <c r="AS25" s="41" t="str">
        <f t="shared" si="9"/>
        <v>https://ofertas.vw.com.br?utm_source=dv360&amp;utm_medium=Paid-Display&amp;utm_content=alp_vw_dv360_aaf_dsy_nonms_nd_nc_rng_varejo-familiaridade_na_trafego_cpm_prog_all_nativeads_nc-lal_na_todaalinha-taxazero_var-rng-aaf-dsy-0221-10025&amp;utm_campaign=BR_AAF_DSY_NONMS_ND_NC_2021Q1FEB_RNG_Varejo-Familiaridade&amp;utm_term=%epid!_%ecid!_%eaid!</v>
      </c>
      <c r="AT25" s="40" t="str">
        <f t="shared" si="38"/>
        <v>run-of-network</v>
      </c>
      <c r="AU25" s="40" t="str">
        <f t="shared" si="11"/>
        <v>BR</v>
      </c>
      <c r="AV25" s="40" t="str">
        <f t="shared" si="39"/>
        <v>dv360</v>
      </c>
      <c r="AW25" s="40" t="str">
        <f t="shared" si="40"/>
        <v>dv360</v>
      </c>
      <c r="AX25" s="40" t="str">
        <f t="shared" si="14"/>
        <v>varejo-familiaridade</v>
      </c>
      <c r="AY25" s="40" t="str">
        <f t="shared" si="41"/>
        <v>alp_vw_dv360_aaf_dsy_nonms_nd_nc_rng_varejo-familiaridade_na_trafego_cpm_prog_all_nativeads_nc-lal_na_todaalinha-taxazero_var-rng-aaf-dsy-0221-10025</v>
      </c>
      <c r="AZ25" s="40" t="str">
        <f t="shared" si="42"/>
        <v>nativeads</v>
      </c>
      <c r="BA25" s="40" t="str">
        <f t="shared" si="43"/>
        <v>varejo-familiaridade</v>
      </c>
      <c r="BB25" s="40" t="s">
        <v>775</v>
      </c>
      <c r="BC25" s="40" t="s">
        <v>775</v>
      </c>
      <c r="BD25" s="40" t="str">
        <f t="shared" si="44"/>
        <v>var-rng-aaf-dsy-0221-10025</v>
      </c>
      <c r="BE25" s="40" t="str">
        <f t="shared" si="45"/>
        <v>BR</v>
      </c>
      <c r="BF25" s="40" t="str">
        <f t="shared" si="46"/>
        <v/>
      </c>
      <c r="BG25" s="40"/>
      <c r="BH25" s="40"/>
      <c r="BI25" s="42" t="str">
        <f t="shared" si="19"/>
        <v>https://ofertas.vw.com.br?adlid=var-rng-aaf-dsy-0221-10025&amp;adplt=alp_vw_dv360_aaf_dsy_nonms_nd_nc_rng_varejo-familiaridade_na_trafego_cpm_prog_all_nativeads_nc-lal_na_todaalinha-taxazero_var-rng-aaf-dsy-0221-10025</v>
      </c>
      <c r="BL25" s="25" t="str">
        <f t="shared" si="20"/>
        <v>alp_vw_dv360_aaf_dsy_nonms_nd_nc_rng_varejo-familiaridade_na_trafego</v>
      </c>
      <c r="BM25" s="25" t="str">
        <f t="shared" si="21"/>
        <v>cpm_prog_all_nativeads_nc-lal_na</v>
      </c>
      <c r="BN25" s="25" t="str">
        <f t="shared" si="22"/>
        <v>alp_vw_dv360_aaf_dsy_nonms_nd_nc_rng_varejo-familiaridade_na_trafego_cpm_prog_all_nativeads_nc-lal_na_todaalinha-taxazero_var-rng-aaf-dsy-0221-10025</v>
      </c>
    </row>
    <row r="26" spans="2:68" ht="15" hidden="1" customHeight="1" x14ac:dyDescent="0.25">
      <c r="B26" s="40" t="s">
        <v>996</v>
      </c>
      <c r="C26" s="40" t="s">
        <v>995</v>
      </c>
      <c r="D26" s="40" t="s">
        <v>994</v>
      </c>
      <c r="E26" s="49">
        <v>44236</v>
      </c>
      <c r="F26" s="49">
        <v>44286</v>
      </c>
      <c r="G26" s="40" t="s">
        <v>626</v>
      </c>
      <c r="H26" s="50" t="s">
        <v>939</v>
      </c>
      <c r="I26" s="40" t="s">
        <v>777</v>
      </c>
      <c r="J26" s="51" t="s">
        <v>911</v>
      </c>
      <c r="K26" s="51" t="s">
        <v>911</v>
      </c>
      <c r="L26" s="40" t="s">
        <v>653</v>
      </c>
      <c r="M26" s="40" t="s">
        <v>287</v>
      </c>
      <c r="N26" s="40" t="s">
        <v>295</v>
      </c>
      <c r="O26" s="40" t="s">
        <v>654</v>
      </c>
      <c r="P26" s="40" t="s">
        <v>313</v>
      </c>
      <c r="Q26" s="40" t="s">
        <v>658</v>
      </c>
      <c r="R26" s="40" t="s">
        <v>277</v>
      </c>
      <c r="S26" s="40" t="s">
        <v>841</v>
      </c>
      <c r="T26" s="40" t="s">
        <v>938</v>
      </c>
      <c r="U26" s="40" t="s">
        <v>940</v>
      </c>
      <c r="V26" s="40" t="s">
        <v>946</v>
      </c>
      <c r="W26" s="40" t="s">
        <v>842</v>
      </c>
      <c r="X26" s="40"/>
      <c r="Y26" s="40" t="s">
        <v>624</v>
      </c>
      <c r="Z26" s="48"/>
      <c r="AA26" s="41"/>
      <c r="AB26" s="41"/>
      <c r="AC26" s="41"/>
      <c r="AD26" s="40"/>
      <c r="AE26" s="40"/>
      <c r="AF26" s="41"/>
      <c r="AG26" s="41"/>
      <c r="AH26" s="40" t="e">
        <f t="shared" si="0"/>
        <v>#N/A</v>
      </c>
      <c r="AI26" s="41" t="str">
        <f t="shared" si="1"/>
        <v>alp_vw_dv360_aaf_dsy_nonms_nd_nc_rng_varejo-familiaridade_na_trafego_cpm_prog_all_nativeads_nc-deals_na_todaalinha-taxazero_var-rng-aaf-dsy-0221-10026</v>
      </c>
      <c r="AJ26" s="48" t="str">
        <f t="shared" si="2"/>
        <v>alp_vw_dv360_aaf_dsy_nonms_nd_nc_rng_varejo-familiaridade_na_trafego_cpm_prog_all_nativeads_nc-deals_na_todaalinha-taxazero_var-rng-aaf-dsy-0221-10026</v>
      </c>
      <c r="AK26" s="41" t="str">
        <f t="shared" si="3"/>
        <v>vw_range_nativeads_todaalinha-taxazero_dv360</v>
      </c>
      <c r="AL26" s="41" t="str">
        <f t="shared" si="35"/>
        <v>https://ofertas.vw.com.br?utm_source=dv360&amp;utm_medium=Paid-Display&amp;utm_content=alp_vw_dv360_aaf_dsy_nonms_nd_nc_rng_varejo-familiaridade_na_trafego_cpm_prog_all_nativeads_nc-deals_na_todaalinha-taxazero_var-rng-aaf-dsy-0221-10026&amp;utm_campaign=BR_AAF_DSY_NONMS_ND_NC_2021Q1FEB_RNG_Varejo-Familiaridade&amp;utm_term=%epid!_%ecid!_%eaid!</v>
      </c>
      <c r="AM26" s="41" t="str">
        <f t="shared" si="5"/>
        <v>https://ad.doubleclick.net/ddm/trackclk/N9487.281608.GOOGLEBRASIL/B25333445.295678089;dc_trk_aid=488957628;dc_trk_cid=145996180;Audience_Id=${PIXEL_ID_COMMA};kw=${CAMPAIGN_ID}:${INSERTION_ORDER_ID};dc_lat=;dc_rdid=;tag_for_child_directed_treatment=;tfua=</v>
      </c>
      <c r="AN26" s="40" t="str">
        <f t="shared" si="36"/>
        <v>dv360</v>
      </c>
      <c r="AO26" s="40" t="str">
        <f t="shared" si="37"/>
        <v>Paid-Display</v>
      </c>
      <c r="AP26" s="41" t="str">
        <f>Campanha!$B$3</f>
        <v>BR_AAF_DSY_NONMS_ND_NC_2021Q1FEB_RNG_Varejo-Familiaridade</v>
      </c>
      <c r="AQ26" s="41" t="str">
        <f t="shared" si="8"/>
        <v>alp_vw_dv360_aaf_dsy_nonms_nd_nc_rng_varejo-familiaridade_na_trafego_cpm_prog_all_nativeads_nc-deals_na_todaalinha-taxazero_var-rng-aaf-dsy-0221-10026</v>
      </c>
      <c r="AR26" s="40" t="s">
        <v>722</v>
      </c>
      <c r="AS26" s="41" t="str">
        <f t="shared" si="9"/>
        <v>https://ofertas.vw.com.br?utm_source=dv360&amp;utm_medium=Paid-Display&amp;utm_content=alp_vw_dv360_aaf_dsy_nonms_nd_nc_rng_varejo-familiaridade_na_trafego_cpm_prog_all_nativeads_nc-deals_na_todaalinha-taxazero_var-rng-aaf-dsy-0221-10026&amp;utm_campaign=BR_AAF_DSY_NONMS_ND_NC_2021Q1FEB_RNG_Varejo-Familiaridade&amp;utm_term=%epid!_%ecid!_%eaid!</v>
      </c>
      <c r="AT26" s="40" t="str">
        <f t="shared" si="38"/>
        <v>run-of-network</v>
      </c>
      <c r="AU26" s="40" t="str">
        <f t="shared" si="11"/>
        <v>BR</v>
      </c>
      <c r="AV26" s="40" t="str">
        <f t="shared" si="39"/>
        <v>dv360</v>
      </c>
      <c r="AW26" s="40" t="str">
        <f t="shared" si="40"/>
        <v>dv360</v>
      </c>
      <c r="AX26" s="40" t="str">
        <f t="shared" si="14"/>
        <v>varejo-familiaridade</v>
      </c>
      <c r="AY26" s="40" t="str">
        <f t="shared" si="41"/>
        <v>alp_vw_dv360_aaf_dsy_nonms_nd_nc_rng_varejo-familiaridade_na_trafego_cpm_prog_all_nativeads_nc-deals_na_todaalinha-taxazero_var-rng-aaf-dsy-0221-10026</v>
      </c>
      <c r="AZ26" s="40" t="str">
        <f t="shared" si="42"/>
        <v>nativeads</v>
      </c>
      <c r="BA26" s="40" t="str">
        <f t="shared" si="43"/>
        <v>varejo-familiaridade</v>
      </c>
      <c r="BB26" s="40" t="s">
        <v>775</v>
      </c>
      <c r="BC26" s="40" t="s">
        <v>775</v>
      </c>
      <c r="BD26" s="40" t="str">
        <f t="shared" si="44"/>
        <v>var-rng-aaf-dsy-0221-10026</v>
      </c>
      <c r="BE26" s="40" t="str">
        <f t="shared" si="45"/>
        <v>BR</v>
      </c>
      <c r="BF26" s="40" t="str">
        <f t="shared" si="46"/>
        <v/>
      </c>
      <c r="BG26" s="40"/>
      <c r="BH26" s="40"/>
      <c r="BI26" s="42" t="str">
        <f t="shared" si="19"/>
        <v>https://ofertas.vw.com.br?adlid=var-rng-aaf-dsy-0221-10026&amp;adplt=alp_vw_dv360_aaf_dsy_nonms_nd_nc_rng_varejo-familiaridade_na_trafego_cpm_prog_all_nativeads_nc-deals_na_todaalinha-taxazero_var-rng-aaf-dsy-0221-10026</v>
      </c>
      <c r="BL26" s="25" t="str">
        <f t="shared" si="20"/>
        <v>alp_vw_dv360_aaf_dsy_nonms_nd_nc_rng_varejo-familiaridade_na_trafego</v>
      </c>
      <c r="BM26" s="25" t="str">
        <f t="shared" si="21"/>
        <v>cpm_prog_all_nativeads_nc-deals_na</v>
      </c>
      <c r="BN26" s="25" t="str">
        <f t="shared" si="22"/>
        <v>alp_vw_dv360_aaf_dsy_nonms_nd_nc_rng_varejo-familiaridade_na_trafego_cpm_prog_all_nativeads_nc-deals_na_todaalinha-taxazero_var-rng-aaf-dsy-0221-10026</v>
      </c>
    </row>
    <row r="27" spans="2:68" ht="15" hidden="1" customHeight="1" x14ac:dyDescent="0.25">
      <c r="B27" s="40" t="s">
        <v>996</v>
      </c>
      <c r="C27" s="40" t="s">
        <v>995</v>
      </c>
      <c r="D27" s="40" t="s">
        <v>994</v>
      </c>
      <c r="E27" s="49">
        <v>44236</v>
      </c>
      <c r="F27" s="49">
        <v>44286</v>
      </c>
      <c r="G27" s="40" t="s">
        <v>626</v>
      </c>
      <c r="H27" s="50" t="s">
        <v>939</v>
      </c>
      <c r="I27" s="40" t="s">
        <v>777</v>
      </c>
      <c r="J27" s="51" t="s">
        <v>911</v>
      </c>
      <c r="K27" s="51" t="s">
        <v>911</v>
      </c>
      <c r="L27" s="40" t="s">
        <v>653</v>
      </c>
      <c r="M27" s="40" t="s">
        <v>287</v>
      </c>
      <c r="N27" s="40" t="s">
        <v>295</v>
      </c>
      <c r="O27" s="40" t="s">
        <v>654</v>
      </c>
      <c r="P27" s="40" t="s">
        <v>313</v>
      </c>
      <c r="Q27" s="40" t="s">
        <v>658</v>
      </c>
      <c r="R27" s="40" t="s">
        <v>277</v>
      </c>
      <c r="S27" s="40" t="s">
        <v>841</v>
      </c>
      <c r="T27" s="40" t="s">
        <v>938</v>
      </c>
      <c r="U27" s="40" t="s">
        <v>940</v>
      </c>
      <c r="V27" s="40" t="s">
        <v>947</v>
      </c>
      <c r="W27" s="40" t="s">
        <v>842</v>
      </c>
      <c r="X27" s="40"/>
      <c r="Y27" s="40" t="s">
        <v>624</v>
      </c>
      <c r="Z27" s="48"/>
      <c r="AA27" s="41"/>
      <c r="AB27" s="41"/>
      <c r="AC27" s="41"/>
      <c r="AD27" s="40"/>
      <c r="AE27" s="40"/>
      <c r="AF27" s="41"/>
      <c r="AG27" s="41"/>
      <c r="AH27" s="40" t="e">
        <f t="shared" si="0"/>
        <v>#N/A</v>
      </c>
      <c r="AI27" s="41" t="str">
        <f t="shared" si="1"/>
        <v>alp_vw_dv360_aaf_dsy_nonms_nd_nc_rng_varejo-familiaridade_na_trafego_cpm_prog_all_nativeads_nc-rmkt-e-store_na_todaalinha-taxazero_var-rng-aaf-dsy-0221-10027</v>
      </c>
      <c r="AJ27" s="48" t="str">
        <f t="shared" si="2"/>
        <v>alp_vw_dv360_aaf_dsy_nonms_nd_nc_rng_varejo-familiaridade_na_trafego_cpm_prog_all_nativeads_nc-rmkt-e-store_na_todaalinha-taxazero_var-rng-aaf-dsy-0221-10027</v>
      </c>
      <c r="AK27" s="41" t="str">
        <f t="shared" si="3"/>
        <v>vw_range_nativeads_todaalinha-taxazero_dv360</v>
      </c>
      <c r="AL27" s="41" t="str">
        <f t="shared" si="35"/>
        <v>https://ofertas.vw.com.br?utm_source=dv360&amp;utm_medium=Paid-Display&amp;utm_content=alp_vw_dv360_aaf_dsy_nonms_nd_nc_rng_varejo-familiaridade_na_trafego_cpm_prog_all_nativeads_nc-rmkt-e-store_na_todaalinha-taxazero_var-rng-aaf-dsy-0221-10027&amp;utm_campaign=BR_AAF_DSY_NONMS_ND_NC_2021Q1FEB_RNG_Varejo-Familiaridade&amp;utm_term=%epid!_%ecid!_%eaid!</v>
      </c>
      <c r="AM27" s="41" t="str">
        <f t="shared" si="5"/>
        <v>https://ad.doubleclick.net/ddm/trackclk/N9487.281608.GOOGLEBRASIL/B25333445.295678083;dc_trk_aid=488957622;dc_trk_cid=145996180;Audience_Id=${PIXEL_ID_COMMA};kw=${CAMPAIGN_ID}:${INSERTION_ORDER_ID};dc_lat=;dc_rdid=;tag_for_child_directed_treatment=;tfua=</v>
      </c>
      <c r="AN27" s="40" t="str">
        <f t="shared" si="36"/>
        <v>dv360</v>
      </c>
      <c r="AO27" s="40" t="str">
        <f t="shared" si="37"/>
        <v>Paid-Display</v>
      </c>
      <c r="AP27" s="41" t="str">
        <f>Campanha!$B$3</f>
        <v>BR_AAF_DSY_NONMS_ND_NC_2021Q1FEB_RNG_Varejo-Familiaridade</v>
      </c>
      <c r="AQ27" s="41" t="str">
        <f t="shared" si="8"/>
        <v>alp_vw_dv360_aaf_dsy_nonms_nd_nc_rng_varejo-familiaridade_na_trafego_cpm_prog_all_nativeads_nc-rmkt-e-store_na_todaalinha-taxazero_var-rng-aaf-dsy-0221-10027</v>
      </c>
      <c r="AR27" s="40" t="s">
        <v>722</v>
      </c>
      <c r="AS27" s="41" t="str">
        <f t="shared" si="9"/>
        <v>https://ofertas.vw.com.br?utm_source=dv360&amp;utm_medium=Paid-Display&amp;utm_content=alp_vw_dv360_aaf_dsy_nonms_nd_nc_rng_varejo-familiaridade_na_trafego_cpm_prog_all_nativeads_nc-rmkt-e-store_na_todaalinha-taxazero_var-rng-aaf-dsy-0221-10027&amp;utm_campaign=BR_AAF_DSY_NONMS_ND_NC_2021Q1FEB_RNG_Varejo-Familiaridade&amp;utm_term=%epid!_%ecid!_%eaid!</v>
      </c>
      <c r="AT27" s="40" t="str">
        <f t="shared" si="38"/>
        <v>run-of-network</v>
      </c>
      <c r="AU27" s="40" t="str">
        <f t="shared" si="11"/>
        <v>BR</v>
      </c>
      <c r="AV27" s="40" t="str">
        <f t="shared" si="39"/>
        <v>dv360</v>
      </c>
      <c r="AW27" s="40" t="str">
        <f t="shared" si="40"/>
        <v>dv360</v>
      </c>
      <c r="AX27" s="40" t="str">
        <f t="shared" si="14"/>
        <v>varejo-familiaridade</v>
      </c>
      <c r="AY27" s="40" t="str">
        <f t="shared" si="41"/>
        <v>alp_vw_dv360_aaf_dsy_nonms_nd_nc_rng_varejo-familiaridade_na_trafego_cpm_prog_all_nativeads_nc-rmkt-e-store_na_todaalinha-taxazero_var-rng-aaf-dsy-0221-10027</v>
      </c>
      <c r="AZ27" s="40" t="str">
        <f t="shared" si="42"/>
        <v>nativeads</v>
      </c>
      <c r="BA27" s="40" t="str">
        <f t="shared" si="43"/>
        <v>varejo-familiaridade</v>
      </c>
      <c r="BB27" s="40" t="s">
        <v>775</v>
      </c>
      <c r="BC27" s="40" t="s">
        <v>775</v>
      </c>
      <c r="BD27" s="40" t="str">
        <f t="shared" si="44"/>
        <v>var-rng-aaf-dsy-0221-10027</v>
      </c>
      <c r="BE27" s="40" t="str">
        <f t="shared" si="45"/>
        <v>BR</v>
      </c>
      <c r="BF27" s="40" t="str">
        <f t="shared" si="46"/>
        <v/>
      </c>
      <c r="BG27" s="40"/>
      <c r="BH27" s="40"/>
      <c r="BI27" s="42" t="str">
        <f t="shared" si="19"/>
        <v>https://ofertas.vw.com.br?adlid=var-rng-aaf-dsy-0221-10027&amp;adplt=alp_vw_dv360_aaf_dsy_nonms_nd_nc_rng_varejo-familiaridade_na_trafego_cpm_prog_all_nativeads_nc-rmkt-e-store_na_todaalinha-taxazero_var-rng-aaf-dsy-0221-10027</v>
      </c>
      <c r="BL27" s="25" t="str">
        <f t="shared" si="20"/>
        <v>alp_vw_dv360_aaf_dsy_nonms_nd_nc_rng_varejo-familiaridade_na_trafego</v>
      </c>
      <c r="BM27" s="25" t="str">
        <f t="shared" si="21"/>
        <v>cpm_prog_all_nativeads_nc-rmkt-e-store_na</v>
      </c>
      <c r="BN27" s="25" t="str">
        <f t="shared" si="22"/>
        <v>alp_vw_dv360_aaf_dsy_nonms_nd_nc_rng_varejo-familiaridade_na_trafego_cpm_prog_all_nativeads_nc-rmkt-e-store_na_todaalinha-taxazero_var-rng-aaf-dsy-0221-10027</v>
      </c>
    </row>
    <row r="28" spans="2:68" ht="15" hidden="1" customHeight="1" x14ac:dyDescent="0.25">
      <c r="B28" s="53" t="s">
        <v>996</v>
      </c>
      <c r="C28" s="53" t="s">
        <v>1005</v>
      </c>
      <c r="D28" s="53" t="s">
        <v>999</v>
      </c>
      <c r="E28" s="54">
        <v>44263</v>
      </c>
      <c r="F28" s="54">
        <v>44286</v>
      </c>
      <c r="G28" s="53" t="s">
        <v>626</v>
      </c>
      <c r="H28" s="55" t="s">
        <v>939</v>
      </c>
      <c r="I28" s="53" t="s">
        <v>777</v>
      </c>
      <c r="J28" s="56" t="s">
        <v>933</v>
      </c>
      <c r="K28" s="56" t="s">
        <v>933</v>
      </c>
      <c r="L28" s="53" t="s">
        <v>653</v>
      </c>
      <c r="M28" s="53" t="s">
        <v>276</v>
      </c>
      <c r="N28" s="53" t="s">
        <v>295</v>
      </c>
      <c r="O28" s="53" t="s">
        <v>654</v>
      </c>
      <c r="P28" s="53" t="s">
        <v>313</v>
      </c>
      <c r="Q28" s="53" t="s">
        <v>658</v>
      </c>
      <c r="R28" s="53" t="s">
        <v>277</v>
      </c>
      <c r="S28" s="53" t="s">
        <v>841</v>
      </c>
      <c r="T28" s="53" t="s">
        <v>938</v>
      </c>
      <c r="U28" s="53" t="s">
        <v>940</v>
      </c>
      <c r="V28" s="53" t="s">
        <v>1000</v>
      </c>
      <c r="W28" s="37" t="s">
        <v>624</v>
      </c>
      <c r="X28" s="37" t="e">
        <v>#N/A</v>
      </c>
      <c r="Y28" s="53" t="s">
        <v>624</v>
      </c>
      <c r="Z28" s="39"/>
      <c r="AA28" s="38"/>
      <c r="AB28" s="38"/>
      <c r="AC28" s="38"/>
      <c r="AD28" s="37"/>
      <c r="AE28" s="37"/>
      <c r="AF28" s="38"/>
      <c r="AG28" s="38"/>
      <c r="AH28" s="53"/>
      <c r="AI28" s="57" t="str">
        <f t="shared" si="1"/>
        <v>alp_vw_verizon_aaf_dsy_nonms_nd_nc_rng_varejo-familiaridade_na_trafego_cpm_drct_all_nativeads_lal-basecompradores_nativeads_todaalinha-taxazero_var-rng-aaf-dsy-0221-10028</v>
      </c>
      <c r="AJ28" s="58" t="str">
        <f t="shared" si="2"/>
        <v>alp_vw_verizon_aaf_dsy_nonms_nd_nc_rng_varejo-familiaridade_na_trafego_cpm_drct_all_nativeads_lal-basecompradores_nativeads_todaalinha-taxazero_var-rng-aaf-dsy-0221-10028</v>
      </c>
      <c r="AK28" s="57" t="str">
        <f t="shared" si="3"/>
        <v>vw_range_nativeads_todaalinha-taxazero_verizon</v>
      </c>
      <c r="AL28" s="57" t="str">
        <f t="shared" ref="AL28" si="47">IF(col_parametrizacao="GA",AS28,IF(CONCATENATE(col_parametrizacao,col_supplier)="ADOBESA360",CONCATENATE(col_url,"?ds_p=[*Part_Site*]&amp;ds_e=[*Part_Comp*]&amp;ds_c={_dscampaign}&amp;ds_ag={_dsadgroup}&amp;ds_k={_dssearchterm}&amp;ds_e={_dsaccounttype}&amp;ds_kid={_dstrackerid}&amp;country=BR&amp;language=BR"),IF(CONCATENATE(col_parametrizacao,col_supplier)="ADOBEGoogleAds",CONCATENATE(H28,"?","adlid=",col_adlid,"&amp;adplt=",col_placement,"adchan=[*channel*]&amp;campaign=[*Campaign*]","&amp;adgroup=[*Adgroup*]&amp;publisher=[*EngineAccountType*]&amp;adpl=[*EngineAccountType*]&amp;country=BR&amp;format=",col_size,"&amp;language=BR","&amp;adcr=[*searchterm*]",),url_adobe)))</f>
        <v>https://ofertas.vw.com.br?utm_source=verizon&amp;utm_medium=Paid-Display&amp;utm_content=alp_vw_verizon_aaf_dsy_nonms_nd_nc_rng_varejo-familiaridade_na_trafego_cpm_drct_all_nativeads_lal-basecompradores_nativeads_todaalinha-taxazero_var-rng-aaf-dsy-0221-10028&amp;utm_campaign=BR_AAF_DSY_NONMS_ND_NC_2021Q1FEB_RNG_Varejo-Familiaridade&amp;utm_term=%epid!_%ecid!_%eaid!</v>
      </c>
      <c r="AM28" s="57" t="str">
        <f t="shared" si="5"/>
        <v>https://ad.doubleclick.net/ddm/trackclk/N9487.3646218VERIZONBR/B25333445.297691235;dc_trk_aid=491050416;dc_trk_cid=145996180;dc_lat=;dc_rdid=;tag_for_child_directed_treatment=;tfua=</v>
      </c>
      <c r="AN28" s="53" t="str">
        <f t="shared" ref="AN28" si="48">J28</f>
        <v>verizon</v>
      </c>
      <c r="AO28" s="53" t="str">
        <f t="shared" ref="AO28" si="49">L28</f>
        <v>Paid-Display</v>
      </c>
      <c r="AP28" s="57" t="str">
        <f>Campanha!$B$3</f>
        <v>BR_AAF_DSY_NONMS_ND_NC_2021Q1FEB_RNG_Varejo-Familiaridade</v>
      </c>
      <c r="AQ28" s="57" t="str">
        <f t="shared" si="8"/>
        <v>alp_vw_verizon_aaf_dsy_nonms_nd_nc_rng_varejo-familiaridade_na_trafego_cpm_drct_all_nativeads_lal-basecompradores_nativeads_todaalinha-taxazero_var-rng-aaf-dsy-0221-10028</v>
      </c>
      <c r="AR28" s="53" t="s">
        <v>722</v>
      </c>
      <c r="AS28" s="57" t="str">
        <f t="shared" si="9"/>
        <v>https://ofertas.vw.com.br?utm_source=verizon&amp;utm_medium=Paid-Display&amp;utm_content=alp_vw_verizon_aaf_dsy_nonms_nd_nc_rng_varejo-familiaridade_na_trafego_cpm_drct_all_nativeads_lal-basecompradores_nativeads_todaalinha-taxazero_var-rng-aaf-dsy-0221-10028&amp;utm_campaign=BR_AAF_DSY_NONMS_ND_NC_2021Q1FEB_RNG_Varejo-Familiaridade&amp;utm_term=%epid!_%ecid!_%eaid!</v>
      </c>
      <c r="AT28" s="53" t="str">
        <f t="shared" ref="AT28" si="50">LOWER(Q28)</f>
        <v>run-of-network</v>
      </c>
      <c r="AU28" s="53" t="str">
        <f t="shared" si="11"/>
        <v>BR</v>
      </c>
      <c r="AV28" s="53" t="str">
        <f t="shared" ref="AV28" si="51">LOWER(K28)</f>
        <v>verizon</v>
      </c>
      <c r="AW28" s="53" t="str">
        <f t="shared" ref="AW28" si="52">LOWER(J28)</f>
        <v>verizon</v>
      </c>
      <c r="AX28" s="53" t="str">
        <f t="shared" si="14"/>
        <v>varejo-familiaridade</v>
      </c>
      <c r="AY28" s="53" t="str">
        <f t="shared" ref="AY28" si="53">LOWER(AI28)</f>
        <v>alp_vw_verizon_aaf_dsy_nonms_nd_nc_rng_varejo-familiaridade_na_trafego_cpm_drct_all_nativeads_lal-basecompradores_nativeads_todaalinha-taxazero_var-rng-aaf-dsy-0221-10028</v>
      </c>
      <c r="AZ28" s="53" t="str">
        <f t="shared" ref="AZ28" si="54">LOWER(Y28)</f>
        <v>nativeads</v>
      </c>
      <c r="BA28" s="53" t="str">
        <f t="shared" ref="BA28" si="55">LOWER(T28)</f>
        <v>varejo-familiaridade</v>
      </c>
      <c r="BB28" s="53" t="s">
        <v>775</v>
      </c>
      <c r="BC28" s="53" t="s">
        <v>775</v>
      </c>
      <c r="BD28" s="53" t="str">
        <f t="shared" ref="BD28" si="56">LOWER(CONCATENATE(cel_idcampaign,"-",SUM(10000+ROW(A28))))</f>
        <v>var-rng-aaf-dsy-0221-10028</v>
      </c>
      <c r="BE28" s="53" t="str">
        <f t="shared" ref="BE28" si="57">AU28</f>
        <v>BR</v>
      </c>
      <c r="BF28" s="53" t="e">
        <f t="shared" ref="BF28" si="58">LOWER(X28)</f>
        <v>#N/A</v>
      </c>
      <c r="BG28" s="53"/>
      <c r="BH28" s="53"/>
      <c r="BI28" s="59" t="str">
        <f t="shared" si="19"/>
        <v>https://ofertas.vw.com.br?adlid=var-rng-aaf-dsy-0221-10028&amp;adplt=alp_vw_verizon_aaf_dsy_nonms_nd_nc_rng_varejo-familiaridade_na_trafego_cpm_drct_all_nativeads_lal-basecompradores_nativeads_todaalinha-taxazero_var-rng-aaf-dsy-0221-10028</v>
      </c>
      <c r="BL28" s="20" t="str">
        <f t="shared" si="20"/>
        <v>alp_vw_verizon_aaf_dsy_nonms_nd_nc_rng_varejo-familiaridade_na_trafego</v>
      </c>
      <c r="BM28" s="20" t="str">
        <f t="shared" si="21"/>
        <v>cpm_drct_all_nativeads_lal-basecompradores_nativeads</v>
      </c>
      <c r="BN28" s="20" t="str">
        <f t="shared" si="22"/>
        <v>alp_vw_verizon_aaf_dsy_nonms_nd_nc_rng_varejo-familiaridade_na_trafego_cpm_drct_all_nativeads_lal-basecompradores_nativeads_todaalinha-taxazero_var-rng-aaf-dsy-0221-10028</v>
      </c>
      <c r="BO28" s="20"/>
      <c r="BP28" s="20"/>
    </row>
    <row r="29" spans="2:68" ht="15" hidden="1" customHeight="1" x14ac:dyDescent="0.25">
      <c r="B29" s="53" t="s">
        <v>996</v>
      </c>
      <c r="C29" s="53" t="s">
        <v>1005</v>
      </c>
      <c r="D29" s="53" t="s">
        <v>999</v>
      </c>
      <c r="E29" s="54">
        <v>44263</v>
      </c>
      <c r="F29" s="54">
        <v>44286</v>
      </c>
      <c r="G29" s="53" t="s">
        <v>626</v>
      </c>
      <c r="H29" s="55" t="s">
        <v>939</v>
      </c>
      <c r="I29" s="53" t="s">
        <v>777</v>
      </c>
      <c r="J29" s="56" t="s">
        <v>933</v>
      </c>
      <c r="K29" s="56" t="s">
        <v>933</v>
      </c>
      <c r="L29" s="53" t="s">
        <v>653</v>
      </c>
      <c r="M29" s="53" t="s">
        <v>276</v>
      </c>
      <c r="N29" s="53" t="s">
        <v>295</v>
      </c>
      <c r="O29" s="53" t="s">
        <v>654</v>
      </c>
      <c r="P29" s="53" t="s">
        <v>313</v>
      </c>
      <c r="Q29" s="53" t="s">
        <v>658</v>
      </c>
      <c r="R29" s="53" t="s">
        <v>277</v>
      </c>
      <c r="S29" s="53" t="s">
        <v>841</v>
      </c>
      <c r="T29" s="53" t="s">
        <v>938</v>
      </c>
      <c r="U29" s="53" t="s">
        <v>940</v>
      </c>
      <c r="V29" s="53" t="s">
        <v>1000</v>
      </c>
      <c r="W29" s="37" t="s">
        <v>624</v>
      </c>
      <c r="X29" s="37"/>
      <c r="Y29" s="53" t="s">
        <v>725</v>
      </c>
      <c r="Z29" s="39"/>
      <c r="AA29" s="38"/>
      <c r="AB29" s="38"/>
      <c r="AC29" s="38"/>
      <c r="AD29" s="37"/>
      <c r="AE29" s="37"/>
      <c r="AF29" s="38"/>
      <c r="AG29" s="38"/>
      <c r="AH29" s="53"/>
      <c r="AI29" s="57" t="str">
        <f t="shared" si="1"/>
        <v>alp_vw_verizon_aaf_dsy_nonms_nd_nc_rng_varejo-familiaridade_na_trafego_cpm_drct_all_1080x1920_lal-basecompradores_nativeads_todaalinha-taxazero_var-rng-aaf-dsy-0221-10029</v>
      </c>
      <c r="AJ29" s="58" t="str">
        <f t="shared" si="2"/>
        <v>alp_vw_verizon_aaf_dsy_nonms_nd_nc_rng_varejo-familiaridade_na_trafego_cpm_drct_all_1080x1920_lal-basecompradores_nativeads_todaalinha-taxazero_var-rng-aaf-dsy-0221-10029</v>
      </c>
      <c r="AK29" s="57" t="str">
        <f t="shared" si="3"/>
        <v>vw_range_1080x1920_todaalinha-taxazero_verizon</v>
      </c>
      <c r="AL29" s="57" t="str">
        <f t="shared" ref="AL29" si="59">IF(col_parametrizacao="GA",AS29,IF(CONCATENATE(col_parametrizacao,col_supplier)="ADOBESA360",CONCATENATE(col_url,"?ds_p=[*Part_Site*]&amp;ds_e=[*Part_Comp*]&amp;ds_c={_dscampaign}&amp;ds_ag={_dsadgroup}&amp;ds_k={_dssearchterm}&amp;ds_e={_dsaccounttype}&amp;ds_kid={_dstrackerid}&amp;country=BR&amp;language=BR"),IF(CONCATENATE(col_parametrizacao,col_supplier)="ADOBEGoogleAds",CONCATENATE(H29,"?","adlid=",col_adlid,"&amp;adplt=",col_placement,"adchan=[*channel*]&amp;campaign=[*Campaign*]","&amp;adgroup=[*Adgroup*]&amp;publisher=[*EngineAccountType*]&amp;adpl=[*EngineAccountType*]&amp;country=BR&amp;format=",col_size,"&amp;language=BR","&amp;adcr=[*searchterm*]",),url_adobe)))</f>
        <v>https://ofertas.vw.com.br?utm_source=verizon&amp;utm_medium=Paid-Display&amp;utm_content=alp_vw_verizon_aaf_dsy_nonms_nd_nc_rng_varejo-familiaridade_na_trafego_cpm_drct_all_1080x1920_lal-basecompradores_nativeads_todaalinha-taxazero_var-rng-aaf-dsy-0221-10029&amp;utm_campaign=BR_AAF_DSY_NONMS_ND_NC_2021Q1FEB_RNG_Varejo-Familiaridade&amp;utm_term=%epid!_%ecid!_%eaid!</v>
      </c>
      <c r="AM29" s="57" t="str">
        <f t="shared" si="5"/>
        <v>https://ad.doubleclick.net/ddm/trackclk/N9487.3646218VERIZONBR/B25333445.297767613;dc_trk_aid=491050425;dc_trk_cid=145996180;dc_lat=;dc_rdid=;tag_for_child_directed_treatment=;tfua=</v>
      </c>
      <c r="AN29" s="53" t="str">
        <f t="shared" ref="AN29" si="60">J29</f>
        <v>verizon</v>
      </c>
      <c r="AO29" s="53" t="str">
        <f t="shared" ref="AO29" si="61">L29</f>
        <v>Paid-Display</v>
      </c>
      <c r="AP29" s="57" t="str">
        <f>Campanha!$B$3</f>
        <v>BR_AAF_DSY_NONMS_ND_NC_2021Q1FEB_RNG_Varejo-Familiaridade</v>
      </c>
      <c r="AQ29" s="57" t="str">
        <f t="shared" si="8"/>
        <v>alp_vw_verizon_aaf_dsy_nonms_nd_nc_rng_varejo-familiaridade_na_trafego_cpm_drct_all_1080x1920_lal-basecompradores_nativeads_todaalinha-taxazero_var-rng-aaf-dsy-0221-10029</v>
      </c>
      <c r="AR29" s="53" t="s">
        <v>722</v>
      </c>
      <c r="AS29" s="57" t="str">
        <f t="shared" si="9"/>
        <v>https://ofertas.vw.com.br?utm_source=verizon&amp;utm_medium=Paid-Display&amp;utm_content=alp_vw_verizon_aaf_dsy_nonms_nd_nc_rng_varejo-familiaridade_na_trafego_cpm_drct_all_1080x1920_lal-basecompradores_nativeads_todaalinha-taxazero_var-rng-aaf-dsy-0221-10029&amp;utm_campaign=BR_AAF_DSY_NONMS_ND_NC_2021Q1FEB_RNG_Varejo-Familiaridade&amp;utm_term=%epid!_%ecid!_%eaid!</v>
      </c>
      <c r="AT29" s="53" t="str">
        <f t="shared" ref="AT29" si="62">LOWER(Q29)</f>
        <v>run-of-network</v>
      </c>
      <c r="AU29" s="53" t="str">
        <f t="shared" si="11"/>
        <v>BR</v>
      </c>
      <c r="AV29" s="53" t="str">
        <f t="shared" ref="AV29" si="63">LOWER(K29)</f>
        <v>verizon</v>
      </c>
      <c r="AW29" s="53" t="str">
        <f t="shared" ref="AW29" si="64">LOWER(J29)</f>
        <v>verizon</v>
      </c>
      <c r="AX29" s="53" t="str">
        <f t="shared" si="14"/>
        <v>varejo-familiaridade</v>
      </c>
      <c r="AY29" s="53" t="str">
        <f t="shared" ref="AY29" si="65">LOWER(AI29)</f>
        <v>alp_vw_verizon_aaf_dsy_nonms_nd_nc_rng_varejo-familiaridade_na_trafego_cpm_drct_all_1080x1920_lal-basecompradores_nativeads_todaalinha-taxazero_var-rng-aaf-dsy-0221-10029</v>
      </c>
      <c r="AZ29" s="53" t="str">
        <f t="shared" ref="AZ29" si="66">LOWER(Y29)</f>
        <v>1080x1920</v>
      </c>
      <c r="BA29" s="53" t="str">
        <f t="shared" ref="BA29" si="67">LOWER(T29)</f>
        <v>varejo-familiaridade</v>
      </c>
      <c r="BB29" s="53" t="s">
        <v>775</v>
      </c>
      <c r="BC29" s="53" t="s">
        <v>775</v>
      </c>
      <c r="BD29" s="53" t="str">
        <f t="shared" ref="BD29" si="68">LOWER(CONCATENATE(cel_idcampaign,"-",SUM(10000+ROW(A29))))</f>
        <v>var-rng-aaf-dsy-0221-10029</v>
      </c>
      <c r="BE29" s="53" t="str">
        <f t="shared" ref="BE29" si="69">AU29</f>
        <v>BR</v>
      </c>
      <c r="BF29" s="53" t="str">
        <f t="shared" ref="BF29" si="70">LOWER(X29)</f>
        <v/>
      </c>
      <c r="BG29" s="53"/>
      <c r="BH29" s="53"/>
      <c r="BI29" s="59" t="str">
        <f t="shared" si="19"/>
        <v>https://ofertas.vw.com.br?adlid=var-rng-aaf-dsy-0221-10029&amp;adplt=alp_vw_verizon_aaf_dsy_nonms_nd_nc_rng_varejo-familiaridade_na_trafego_cpm_drct_all_1080x1920_lal-basecompradores_nativeads_todaalinha-taxazero_var-rng-aaf-dsy-0221-10029</v>
      </c>
      <c r="BL29" s="20" t="str">
        <f t="shared" si="20"/>
        <v>alp_vw_verizon_aaf_dsy_nonms_nd_nc_rng_varejo-familiaridade_na_trafego</v>
      </c>
      <c r="BM29" s="20" t="str">
        <f t="shared" si="21"/>
        <v>cpm_drct_all_1080x1920_lal-basecompradores_nativeads</v>
      </c>
      <c r="BN29" s="20" t="str">
        <f t="shared" si="22"/>
        <v>alp_vw_verizon_aaf_dsy_nonms_nd_nc_rng_varejo-familiaridade_na_trafego_cpm_drct_all_1080x1920_lal-basecompradores_nativeads_todaalinha-taxazero_var-rng-aaf-dsy-0221-10029</v>
      </c>
      <c r="BO29" s="20"/>
      <c r="BP29" s="20"/>
    </row>
    <row r="30" spans="2:68" ht="15" hidden="1" customHeight="1" x14ac:dyDescent="0.25">
      <c r="B30" s="53" t="s">
        <v>996</v>
      </c>
      <c r="C30" s="53" t="s">
        <v>1112</v>
      </c>
      <c r="D30" s="53" t="s">
        <v>1051</v>
      </c>
      <c r="E30" s="54">
        <v>44294</v>
      </c>
      <c r="F30" s="54">
        <v>44316</v>
      </c>
      <c r="G30" s="53" t="s">
        <v>628</v>
      </c>
      <c r="H30" s="55" t="s">
        <v>939</v>
      </c>
      <c r="I30" s="53" t="s">
        <v>777</v>
      </c>
      <c r="J30" s="56" t="s">
        <v>936</v>
      </c>
      <c r="K30" s="56" t="s">
        <v>936</v>
      </c>
      <c r="L30" s="53" t="s">
        <v>653</v>
      </c>
      <c r="M30" s="53" t="s">
        <v>287</v>
      </c>
      <c r="N30" s="53" t="s">
        <v>295</v>
      </c>
      <c r="O30" s="53" t="s">
        <v>317</v>
      </c>
      <c r="P30" s="53" t="s">
        <v>319</v>
      </c>
      <c r="Q30" s="53" t="s">
        <v>658</v>
      </c>
      <c r="R30" s="53" t="s">
        <v>277</v>
      </c>
      <c r="S30" s="53" t="s">
        <v>841</v>
      </c>
      <c r="T30" s="53" t="s">
        <v>938</v>
      </c>
      <c r="U30" s="53" t="s">
        <v>1007</v>
      </c>
      <c r="V30" s="53" t="s">
        <v>935</v>
      </c>
      <c r="W30" s="40" t="s">
        <v>412</v>
      </c>
      <c r="X30" s="40" t="s">
        <v>982</v>
      </c>
      <c r="Y30" s="53" t="s">
        <v>412</v>
      </c>
      <c r="Z30" s="48"/>
      <c r="AA30" s="41"/>
      <c r="AB30" s="41"/>
      <c r="AC30" s="41"/>
      <c r="AD30" s="40"/>
      <c r="AE30" s="40"/>
      <c r="AF30" s="41"/>
      <c r="AG30" s="41"/>
      <c r="AH30" s="53"/>
      <c r="AI30" s="57" t="str">
        <f t="shared" si="1"/>
        <v>alp_vw_amazon_aaf_dsy_nonms_nd_nc_rng_varejo-familiaridade_na_trafego_cpm_prog_all_160x600_interesse-autos_160x600_polo-virtus-parcelas699_var-rng-aaf-dsy-0221-10030</v>
      </c>
      <c r="AJ30" s="58" t="str">
        <f t="shared" si="2"/>
        <v>alp_vw_amazon_aaf_dsy_nonms_nd_nc_rng_varejo-familiaridade_na_trafego_cpm_prog_all_160x600_interesse-autos_160x600_polo-virtus-parcelas699_var-rng-aaf-dsy-0221-10030</v>
      </c>
      <c r="AK30" s="57" t="str">
        <f t="shared" si="3"/>
        <v>vw_range_160x600_polo-virtus-parcelas699_adserver</v>
      </c>
      <c r="AL30" s="57" t="str">
        <f t="shared" ref="AL30" si="71">IF(col_parametrizacao="GA",AS30,IF(CONCATENATE(col_parametrizacao,col_supplier)="ADOBESA360",CONCATENATE(col_url,"?ds_p=[*Part_Site*]&amp;ds_e=[*Part_Comp*]&amp;ds_c={_dscampaign}&amp;ds_ag={_dsadgroup}&amp;ds_k={_dssearchterm}&amp;ds_e={_dsaccounttype}&amp;ds_kid={_dstrackerid}&amp;country=BR&amp;language=BR"),IF(CONCATENATE(col_parametrizacao,col_supplier)="ADOBEGoogleAds",CONCATENATE(H30,"?","adlid=",col_adlid,"&amp;adplt=",col_placement,"adchan=[*channel*]&amp;campaign=[*Campaign*]","&amp;adgroup=[*Adgroup*]&amp;publisher=[*EngineAccountType*]&amp;adpl=[*EngineAccountType*]&amp;country=BR&amp;format=",col_size,"&amp;language=BR","&amp;adcr=[*searchterm*]",),url_adobe)))</f>
        <v>https://ofertas.vw.com.br?utm_source=amazon&amp;utm_medium=Paid-Display&amp;utm_content=alp_vw_amazon_aaf_dsy_nonms_nd_nc_rng_varejo-familiaridade_na_trafego_cpm_prog_all_160x600_interesse-autos_160x600_polo-virtus-parcelas699_var-rng-aaf-dsy-0221-10030&amp;utm_campaign=BR_AAF_DSY_NONMS_ND_NC_2021Q1FEB_RNG_Varejo-Familiaridade&amp;utm_term=%epid!_%ecid!_%eaid!</v>
      </c>
      <c r="AM30" s="57" t="str">
        <f t="shared" si="5"/>
        <v>TAG</v>
      </c>
      <c r="AN30" s="53" t="str">
        <f t="shared" ref="AN30" si="72">J30</f>
        <v>amazon</v>
      </c>
      <c r="AO30" s="53" t="str">
        <f t="shared" ref="AO30" si="73">L30</f>
        <v>Paid-Display</v>
      </c>
      <c r="AP30" s="57" t="str">
        <f>Campanha!$B$3</f>
        <v>BR_AAF_DSY_NONMS_ND_NC_2021Q1FEB_RNG_Varejo-Familiaridade</v>
      </c>
      <c r="AQ30" s="57" t="str">
        <f t="shared" si="8"/>
        <v>alp_vw_amazon_aaf_dsy_nonms_nd_nc_rng_varejo-familiaridade_na_trafego_cpm_prog_all_160x600_interesse-autos_160x600_polo-virtus-parcelas699_var-rng-aaf-dsy-0221-10030</v>
      </c>
      <c r="AR30" s="53" t="s">
        <v>722</v>
      </c>
      <c r="AS30" s="57" t="str">
        <f t="shared" si="9"/>
        <v>https://ofertas.vw.com.br?utm_source=amazon&amp;utm_medium=Paid-Display&amp;utm_content=alp_vw_amazon_aaf_dsy_nonms_nd_nc_rng_varejo-familiaridade_na_trafego_cpm_prog_all_160x600_interesse-autos_160x600_polo-virtus-parcelas699_var-rng-aaf-dsy-0221-10030&amp;utm_campaign=BR_AAF_DSY_NONMS_ND_NC_2021Q1FEB_RNG_Varejo-Familiaridade&amp;utm_term=%epid!_%ecid!_%eaid!</v>
      </c>
      <c r="AT30" s="53" t="str">
        <f t="shared" ref="AT30" si="74">LOWER(Q30)</f>
        <v>run-of-network</v>
      </c>
      <c r="AU30" s="53" t="str">
        <f t="shared" si="11"/>
        <v>BR</v>
      </c>
      <c r="AV30" s="53" t="str">
        <f t="shared" ref="AV30" si="75">LOWER(K30)</f>
        <v>amazon</v>
      </c>
      <c r="AW30" s="53" t="str">
        <f t="shared" ref="AW30" si="76">LOWER(J30)</f>
        <v>amazon</v>
      </c>
      <c r="AX30" s="53" t="str">
        <f t="shared" si="14"/>
        <v>varejo-familiaridade</v>
      </c>
      <c r="AY30" s="53" t="str">
        <f t="shared" ref="AY30" si="77">LOWER(AI30)</f>
        <v>alp_vw_amazon_aaf_dsy_nonms_nd_nc_rng_varejo-familiaridade_na_trafego_cpm_prog_all_160x600_interesse-autos_160x600_polo-virtus-parcelas699_var-rng-aaf-dsy-0221-10030</v>
      </c>
      <c r="AZ30" s="53" t="str">
        <f t="shared" ref="AZ30" si="78">LOWER(Y30)</f>
        <v>160x600</v>
      </c>
      <c r="BA30" s="53" t="str">
        <f t="shared" ref="BA30" si="79">LOWER(T30)</f>
        <v>varejo-familiaridade</v>
      </c>
      <c r="BB30" s="53" t="s">
        <v>775</v>
      </c>
      <c r="BC30" s="53" t="s">
        <v>775</v>
      </c>
      <c r="BD30" s="53" t="str">
        <f t="shared" ref="BD30" si="80">LOWER(CONCATENATE(cel_idcampaign,"-",SUM(10000+ROW(A30))))</f>
        <v>var-rng-aaf-dsy-0221-10030</v>
      </c>
      <c r="BE30" s="53" t="str">
        <f t="shared" ref="BE30" si="81">AU30</f>
        <v>BR</v>
      </c>
      <c r="BF30" s="53" t="str">
        <f t="shared" ref="BF30" si="82">LOWER(X30)</f>
        <v>296181919</v>
      </c>
      <c r="BG30" s="53"/>
      <c r="BH30" s="53"/>
      <c r="BI30" s="59" t="str">
        <f t="shared" si="19"/>
        <v>https://ofertas.vw.com.br?adlid=var-rng-aaf-dsy-0221-10030&amp;adplt=alp_vw_amazon_aaf_dsy_nonms_nd_nc_rng_varejo-familiaridade_na_trafego_cpm_prog_all_160x600_interesse-autos_160x600_polo-virtus-parcelas699_var-rng-aaf-dsy-0221-10030</v>
      </c>
      <c r="BL30" s="20" t="str">
        <f t="shared" si="20"/>
        <v>alp_vw_amazon_aaf_dsy_nonms_nd_nc_rng_varejo-familiaridade_na_trafego</v>
      </c>
      <c r="BM30" s="20" t="str">
        <f t="shared" si="21"/>
        <v>cpm_prog_all_160x600_interesse-autos_160x600</v>
      </c>
      <c r="BN30" s="20" t="str">
        <f t="shared" si="22"/>
        <v>alp_vw_amazon_aaf_dsy_nonms_nd_nc_rng_varejo-familiaridade_na_trafego_cpm_prog_all_160x600_interesse-autos_160x600_polo-virtus-parcelas699_var-rng-aaf-dsy-0221-10030</v>
      </c>
      <c r="BO30" s="20"/>
      <c r="BP30" s="20"/>
    </row>
    <row r="31" spans="2:68" ht="15" hidden="1" customHeight="1" x14ac:dyDescent="0.25">
      <c r="B31" s="53" t="s">
        <v>996</v>
      </c>
      <c r="C31" s="53" t="s">
        <v>1112</v>
      </c>
      <c r="D31" s="53" t="s">
        <v>1051</v>
      </c>
      <c r="E31" s="54">
        <v>44294</v>
      </c>
      <c r="F31" s="54">
        <v>44316</v>
      </c>
      <c r="G31" s="53" t="s">
        <v>628</v>
      </c>
      <c r="H31" s="55" t="s">
        <v>939</v>
      </c>
      <c r="I31" s="53" t="s">
        <v>777</v>
      </c>
      <c r="J31" s="56" t="s">
        <v>936</v>
      </c>
      <c r="K31" s="56" t="s">
        <v>936</v>
      </c>
      <c r="L31" s="53" t="s">
        <v>653</v>
      </c>
      <c r="M31" s="53" t="s">
        <v>287</v>
      </c>
      <c r="N31" s="53" t="s">
        <v>295</v>
      </c>
      <c r="O31" s="53" t="s">
        <v>317</v>
      </c>
      <c r="P31" s="53" t="s">
        <v>311</v>
      </c>
      <c r="Q31" s="53" t="s">
        <v>658</v>
      </c>
      <c r="R31" s="53" t="s">
        <v>277</v>
      </c>
      <c r="S31" s="53" t="s">
        <v>841</v>
      </c>
      <c r="T31" s="53" t="s">
        <v>938</v>
      </c>
      <c r="U31" s="53" t="s">
        <v>1007</v>
      </c>
      <c r="V31" s="53" t="s">
        <v>935</v>
      </c>
      <c r="W31" s="40" t="s">
        <v>433</v>
      </c>
      <c r="X31" s="40" t="s">
        <v>981</v>
      </c>
      <c r="Y31" s="53" t="s">
        <v>433</v>
      </c>
      <c r="Z31" s="48"/>
      <c r="AA31" s="41"/>
      <c r="AB31" s="41"/>
      <c r="AC31" s="41"/>
      <c r="AD31" s="40"/>
      <c r="AE31" s="40"/>
      <c r="AF31" s="41"/>
      <c r="AG31" s="41"/>
      <c r="AH31" s="53"/>
      <c r="AI31" s="57" t="str">
        <f t="shared" si="1"/>
        <v>alp_vw_amazon_aaf_dsy_nonms_nd_nc_rng_varejo-familiaridade_na_trafego_cpm_prog_all_300x250_interesse-autos_300x250_polo-virtus-parcelas699_var-rng-aaf-dsy-0221-10031</v>
      </c>
      <c r="AJ31" s="58" t="str">
        <f t="shared" si="2"/>
        <v>alp_vw_amazon_aaf_dsy_nonms_nd_nc_rng_varejo-familiaridade_na_trafego_cpm_prog_all_300x250_interesse-autos_300x250_polo-virtus-parcelas699_var-rng-aaf-dsy-0221-10031</v>
      </c>
      <c r="AK31" s="57" t="str">
        <f t="shared" si="3"/>
        <v>vw_range_300x250_polo-virtus-parcelas699_adserver</v>
      </c>
      <c r="AL31" s="57" t="str">
        <f t="shared" ref="AL31:AL85" si="83">IF(col_parametrizacao="GA",AS31,IF(CONCATENATE(col_parametrizacao,col_supplier)="ADOBESA360",CONCATENATE(col_url,"?ds_p=[*Part_Site*]&amp;ds_e=[*Part_Comp*]&amp;ds_c={_dscampaign}&amp;ds_ag={_dsadgroup}&amp;ds_k={_dssearchterm}&amp;ds_e={_dsaccounttype}&amp;ds_kid={_dstrackerid}&amp;country=BR&amp;language=BR"),IF(CONCATENATE(col_parametrizacao,col_supplier)="ADOBEGoogleAds",CONCATENATE(H31,"?","adlid=",col_adlid,"&amp;adplt=",col_placement,"adchan=[*channel*]&amp;campaign=[*Campaign*]","&amp;adgroup=[*Adgroup*]&amp;publisher=[*EngineAccountType*]&amp;adpl=[*EngineAccountType*]&amp;country=BR&amp;format=",col_size,"&amp;language=BR","&amp;adcr=[*searchterm*]",),url_adobe)))</f>
        <v>https://ofertas.vw.com.br?utm_source=amazon&amp;utm_medium=Paid-Display&amp;utm_content=alp_vw_amazon_aaf_dsy_nonms_nd_nc_rng_varejo-familiaridade_na_trafego_cpm_prog_all_300x250_interesse-autos_300x250_polo-virtus-parcelas699_var-rng-aaf-dsy-0221-10031&amp;utm_campaign=BR_AAF_DSY_NONMS_ND_NC_2021Q1FEB_RNG_Varejo-Familiaridade&amp;utm_term=%epid!_%ecid!_%eaid!</v>
      </c>
      <c r="AM31" s="57" t="str">
        <f t="shared" si="5"/>
        <v>TAG</v>
      </c>
      <c r="AN31" s="53" t="str">
        <f t="shared" ref="AN31:AN85" si="84">J31</f>
        <v>amazon</v>
      </c>
      <c r="AO31" s="53" t="str">
        <f t="shared" ref="AO31:AO85" si="85">L31</f>
        <v>Paid-Display</v>
      </c>
      <c r="AP31" s="57" t="str">
        <f>Campanha!$B$3</f>
        <v>BR_AAF_DSY_NONMS_ND_NC_2021Q1FEB_RNG_Varejo-Familiaridade</v>
      </c>
      <c r="AQ31" s="57" t="str">
        <f t="shared" si="8"/>
        <v>alp_vw_amazon_aaf_dsy_nonms_nd_nc_rng_varejo-familiaridade_na_trafego_cpm_prog_all_300x250_interesse-autos_300x250_polo-virtus-parcelas699_var-rng-aaf-dsy-0221-10031</v>
      </c>
      <c r="AR31" s="53" t="s">
        <v>722</v>
      </c>
      <c r="AS31" s="57" t="str">
        <f t="shared" si="9"/>
        <v>https://ofertas.vw.com.br?utm_source=amazon&amp;utm_medium=Paid-Display&amp;utm_content=alp_vw_amazon_aaf_dsy_nonms_nd_nc_rng_varejo-familiaridade_na_trafego_cpm_prog_all_300x250_interesse-autos_300x250_polo-virtus-parcelas699_var-rng-aaf-dsy-0221-10031&amp;utm_campaign=BR_AAF_DSY_NONMS_ND_NC_2021Q1FEB_RNG_Varejo-Familiaridade&amp;utm_term=%epid!_%ecid!_%eaid!</v>
      </c>
      <c r="AT31" s="53" t="str">
        <f t="shared" ref="AT31:AT85" si="86">LOWER(Q31)</f>
        <v>run-of-network</v>
      </c>
      <c r="AU31" s="53" t="str">
        <f t="shared" si="11"/>
        <v>BR</v>
      </c>
      <c r="AV31" s="53" t="str">
        <f t="shared" ref="AV31:AV85" si="87">LOWER(K31)</f>
        <v>amazon</v>
      </c>
      <c r="AW31" s="53" t="str">
        <f t="shared" ref="AW31:AW85" si="88">LOWER(J31)</f>
        <v>amazon</v>
      </c>
      <c r="AX31" s="53" t="str">
        <f t="shared" si="14"/>
        <v>varejo-familiaridade</v>
      </c>
      <c r="AY31" s="53" t="str">
        <f t="shared" ref="AY31:AY85" si="89">LOWER(AI31)</f>
        <v>alp_vw_amazon_aaf_dsy_nonms_nd_nc_rng_varejo-familiaridade_na_trafego_cpm_prog_all_300x250_interesse-autos_300x250_polo-virtus-parcelas699_var-rng-aaf-dsy-0221-10031</v>
      </c>
      <c r="AZ31" s="53" t="str">
        <f t="shared" ref="AZ31:AZ85" si="90">LOWER(Y31)</f>
        <v>300x250</v>
      </c>
      <c r="BA31" s="53" t="str">
        <f t="shared" ref="BA31:BA85" si="91">LOWER(T31)</f>
        <v>varejo-familiaridade</v>
      </c>
      <c r="BB31" s="53" t="s">
        <v>775</v>
      </c>
      <c r="BC31" s="53" t="s">
        <v>775</v>
      </c>
      <c r="BD31" s="53" t="str">
        <f t="shared" ref="BD31:BD85" si="92">LOWER(CONCATENATE(cel_idcampaign,"-",SUM(10000+ROW(A31))))</f>
        <v>var-rng-aaf-dsy-0221-10031</v>
      </c>
      <c r="BE31" s="53" t="str">
        <f t="shared" ref="BE31:BE85" si="93">AU31</f>
        <v>BR</v>
      </c>
      <c r="BF31" s="53" t="str">
        <f t="shared" ref="BF31:BF85" si="94">LOWER(X31)</f>
        <v>296181916</v>
      </c>
      <c r="BG31" s="53"/>
      <c r="BH31" s="53"/>
      <c r="BI31" s="59" t="str">
        <f t="shared" si="19"/>
        <v>https://ofertas.vw.com.br?adlid=var-rng-aaf-dsy-0221-10031&amp;adplt=alp_vw_amazon_aaf_dsy_nonms_nd_nc_rng_varejo-familiaridade_na_trafego_cpm_prog_all_300x250_interesse-autos_300x250_polo-virtus-parcelas699_var-rng-aaf-dsy-0221-10031</v>
      </c>
      <c r="BL31" s="20" t="str">
        <f t="shared" si="20"/>
        <v>alp_vw_amazon_aaf_dsy_nonms_nd_nc_rng_varejo-familiaridade_na_trafego</v>
      </c>
      <c r="BM31" s="20" t="str">
        <f t="shared" si="21"/>
        <v>cpm_prog_all_300x250_interesse-autos_300x250</v>
      </c>
      <c r="BN31" s="20" t="str">
        <f t="shared" si="22"/>
        <v>alp_vw_amazon_aaf_dsy_nonms_nd_nc_rng_varejo-familiaridade_na_trafego_cpm_prog_all_300x250_interesse-autos_300x250_polo-virtus-parcelas699_var-rng-aaf-dsy-0221-10031</v>
      </c>
      <c r="BO31" s="20"/>
      <c r="BP31" s="20"/>
    </row>
    <row r="32" spans="2:68" ht="15" hidden="1" customHeight="1" x14ac:dyDescent="0.25">
      <c r="B32" s="53" t="s">
        <v>996</v>
      </c>
      <c r="C32" s="53" t="s">
        <v>1112</v>
      </c>
      <c r="D32" s="53" t="s">
        <v>1051</v>
      </c>
      <c r="E32" s="54">
        <v>44294</v>
      </c>
      <c r="F32" s="54">
        <v>44316</v>
      </c>
      <c r="G32" s="53" t="s">
        <v>628</v>
      </c>
      <c r="H32" s="55" t="s">
        <v>939</v>
      </c>
      <c r="I32" s="53" t="s">
        <v>777</v>
      </c>
      <c r="J32" s="56" t="s">
        <v>936</v>
      </c>
      <c r="K32" s="56" t="s">
        <v>936</v>
      </c>
      <c r="L32" s="53" t="s">
        <v>653</v>
      </c>
      <c r="M32" s="53" t="s">
        <v>287</v>
      </c>
      <c r="N32" s="53" t="s">
        <v>295</v>
      </c>
      <c r="O32" s="53" t="s">
        <v>317</v>
      </c>
      <c r="P32" s="53" t="s">
        <v>319</v>
      </c>
      <c r="Q32" s="53" t="s">
        <v>658</v>
      </c>
      <c r="R32" s="53" t="s">
        <v>277</v>
      </c>
      <c r="S32" s="53" t="s">
        <v>841</v>
      </c>
      <c r="T32" s="53" t="s">
        <v>938</v>
      </c>
      <c r="U32" s="53" t="s">
        <v>1007</v>
      </c>
      <c r="V32" s="53" t="s">
        <v>935</v>
      </c>
      <c r="W32" s="40" t="s">
        <v>442</v>
      </c>
      <c r="X32" s="40" t="s">
        <v>980</v>
      </c>
      <c r="Y32" s="53" t="s">
        <v>442</v>
      </c>
      <c r="Z32" s="48"/>
      <c r="AA32" s="41"/>
      <c r="AB32" s="41"/>
      <c r="AC32" s="41"/>
      <c r="AD32" s="40"/>
      <c r="AE32" s="40"/>
      <c r="AF32" s="41"/>
      <c r="AG32" s="41"/>
      <c r="AH32" s="53"/>
      <c r="AI32" s="57" t="str">
        <f t="shared" si="1"/>
        <v>alp_vw_amazon_aaf_dsy_nonms_nd_nc_rng_varejo-familiaridade_na_trafego_cpm_prog_all_300x600_interesse-autos_300x600_polo-virtus-parcelas699_var-rng-aaf-dsy-0221-10032</v>
      </c>
      <c r="AJ32" s="58" t="str">
        <f t="shared" si="2"/>
        <v>alp_vw_amazon_aaf_dsy_nonms_nd_nc_rng_varejo-familiaridade_na_trafego_cpm_prog_all_300x600_interesse-autos_300x600_polo-virtus-parcelas699_var-rng-aaf-dsy-0221-10032</v>
      </c>
      <c r="AK32" s="57" t="str">
        <f t="shared" si="3"/>
        <v>vw_range_300x600_polo-virtus-parcelas699_adserver</v>
      </c>
      <c r="AL32" s="57" t="str">
        <f t="shared" si="83"/>
        <v>https://ofertas.vw.com.br?utm_source=amazon&amp;utm_medium=Paid-Display&amp;utm_content=alp_vw_amazon_aaf_dsy_nonms_nd_nc_rng_varejo-familiaridade_na_trafego_cpm_prog_all_300x600_interesse-autos_300x600_polo-virtus-parcelas699_var-rng-aaf-dsy-0221-10032&amp;utm_campaign=BR_AAF_DSY_NONMS_ND_NC_2021Q1FEB_RNG_Varejo-Familiaridade&amp;utm_term=%epid!_%ecid!_%eaid!</v>
      </c>
      <c r="AM32" s="57" t="str">
        <f t="shared" si="5"/>
        <v>TAG</v>
      </c>
      <c r="AN32" s="53" t="str">
        <f t="shared" si="84"/>
        <v>amazon</v>
      </c>
      <c r="AO32" s="53" t="str">
        <f t="shared" si="85"/>
        <v>Paid-Display</v>
      </c>
      <c r="AP32" s="57" t="str">
        <f>Campanha!$B$3</f>
        <v>BR_AAF_DSY_NONMS_ND_NC_2021Q1FEB_RNG_Varejo-Familiaridade</v>
      </c>
      <c r="AQ32" s="57" t="str">
        <f t="shared" si="8"/>
        <v>alp_vw_amazon_aaf_dsy_nonms_nd_nc_rng_varejo-familiaridade_na_trafego_cpm_prog_all_300x600_interesse-autos_300x600_polo-virtus-parcelas699_var-rng-aaf-dsy-0221-10032</v>
      </c>
      <c r="AR32" s="53" t="s">
        <v>722</v>
      </c>
      <c r="AS32" s="57" t="str">
        <f t="shared" si="9"/>
        <v>https://ofertas.vw.com.br?utm_source=amazon&amp;utm_medium=Paid-Display&amp;utm_content=alp_vw_amazon_aaf_dsy_nonms_nd_nc_rng_varejo-familiaridade_na_trafego_cpm_prog_all_300x600_interesse-autos_300x600_polo-virtus-parcelas699_var-rng-aaf-dsy-0221-10032&amp;utm_campaign=BR_AAF_DSY_NONMS_ND_NC_2021Q1FEB_RNG_Varejo-Familiaridade&amp;utm_term=%epid!_%ecid!_%eaid!</v>
      </c>
      <c r="AT32" s="53" t="str">
        <f t="shared" si="86"/>
        <v>run-of-network</v>
      </c>
      <c r="AU32" s="53" t="str">
        <f t="shared" si="11"/>
        <v>BR</v>
      </c>
      <c r="AV32" s="53" t="str">
        <f t="shared" si="87"/>
        <v>amazon</v>
      </c>
      <c r="AW32" s="53" t="str">
        <f t="shared" si="88"/>
        <v>amazon</v>
      </c>
      <c r="AX32" s="53" t="str">
        <f t="shared" si="14"/>
        <v>varejo-familiaridade</v>
      </c>
      <c r="AY32" s="53" t="str">
        <f t="shared" si="89"/>
        <v>alp_vw_amazon_aaf_dsy_nonms_nd_nc_rng_varejo-familiaridade_na_trafego_cpm_prog_all_300x600_interesse-autos_300x600_polo-virtus-parcelas699_var-rng-aaf-dsy-0221-10032</v>
      </c>
      <c r="AZ32" s="53" t="str">
        <f t="shared" si="90"/>
        <v>300x600</v>
      </c>
      <c r="BA32" s="53" t="str">
        <f t="shared" si="91"/>
        <v>varejo-familiaridade</v>
      </c>
      <c r="BB32" s="53" t="s">
        <v>775</v>
      </c>
      <c r="BC32" s="53" t="s">
        <v>775</v>
      </c>
      <c r="BD32" s="53" t="str">
        <f t="shared" si="92"/>
        <v>var-rng-aaf-dsy-0221-10032</v>
      </c>
      <c r="BE32" s="53" t="str">
        <f t="shared" si="93"/>
        <v>BR</v>
      </c>
      <c r="BF32" s="53" t="str">
        <f t="shared" si="94"/>
        <v>296181913</v>
      </c>
      <c r="BG32" s="53"/>
      <c r="BH32" s="53"/>
      <c r="BI32" s="59" t="str">
        <f t="shared" si="19"/>
        <v>https://ofertas.vw.com.br?adlid=var-rng-aaf-dsy-0221-10032&amp;adplt=alp_vw_amazon_aaf_dsy_nonms_nd_nc_rng_varejo-familiaridade_na_trafego_cpm_prog_all_300x600_interesse-autos_300x600_polo-virtus-parcelas699_var-rng-aaf-dsy-0221-10032</v>
      </c>
      <c r="BL32" s="20" t="str">
        <f t="shared" si="20"/>
        <v>alp_vw_amazon_aaf_dsy_nonms_nd_nc_rng_varejo-familiaridade_na_trafego</v>
      </c>
      <c r="BM32" s="20" t="str">
        <f t="shared" si="21"/>
        <v>cpm_prog_all_300x600_interesse-autos_300x600</v>
      </c>
      <c r="BN32" s="20" t="str">
        <f t="shared" si="22"/>
        <v>alp_vw_amazon_aaf_dsy_nonms_nd_nc_rng_varejo-familiaridade_na_trafego_cpm_prog_all_300x600_interesse-autos_300x600_polo-virtus-parcelas699_var-rng-aaf-dsy-0221-10032</v>
      </c>
      <c r="BO32" s="20"/>
      <c r="BP32" s="20"/>
    </row>
    <row r="33" spans="2:68" ht="15" hidden="1" customHeight="1" x14ac:dyDescent="0.25">
      <c r="B33" s="53" t="s">
        <v>996</v>
      </c>
      <c r="C33" s="53" t="s">
        <v>1112</v>
      </c>
      <c r="D33" s="53" t="s">
        <v>1051</v>
      </c>
      <c r="E33" s="54">
        <v>44294</v>
      </c>
      <c r="F33" s="54">
        <v>44316</v>
      </c>
      <c r="G33" s="53" t="s">
        <v>628</v>
      </c>
      <c r="H33" s="55" t="s">
        <v>939</v>
      </c>
      <c r="I33" s="53" t="s">
        <v>777</v>
      </c>
      <c r="J33" s="56" t="s">
        <v>936</v>
      </c>
      <c r="K33" s="56" t="s">
        <v>936</v>
      </c>
      <c r="L33" s="53" t="s">
        <v>653</v>
      </c>
      <c r="M33" s="53" t="s">
        <v>287</v>
      </c>
      <c r="N33" s="53" t="s">
        <v>295</v>
      </c>
      <c r="O33" s="53" t="s">
        <v>317</v>
      </c>
      <c r="P33" s="53" t="s">
        <v>284</v>
      </c>
      <c r="Q33" s="53" t="s">
        <v>658</v>
      </c>
      <c r="R33" s="53" t="s">
        <v>277</v>
      </c>
      <c r="S33" s="53" t="s">
        <v>841</v>
      </c>
      <c r="T33" s="53" t="s">
        <v>938</v>
      </c>
      <c r="U33" s="53" t="s">
        <v>1007</v>
      </c>
      <c r="V33" s="53" t="s">
        <v>935</v>
      </c>
      <c r="W33" s="40" t="s">
        <v>568</v>
      </c>
      <c r="X33" s="40" t="s">
        <v>989</v>
      </c>
      <c r="Y33" s="53" t="s">
        <v>568</v>
      </c>
      <c r="Z33" s="48"/>
      <c r="AA33" s="41"/>
      <c r="AB33" s="41"/>
      <c r="AC33" s="41"/>
      <c r="AD33" s="40"/>
      <c r="AE33" s="40"/>
      <c r="AF33" s="41"/>
      <c r="AG33" s="41"/>
      <c r="AH33" s="53"/>
      <c r="AI33" s="57" t="str">
        <f t="shared" si="1"/>
        <v>alp_vw_amazon_aaf_dsy_nonms_nd_nc_rng_varejo-familiaridade_na_trafego_cpm_prog_all_728x90_interesse-autos_728x90_polo-virtus-parcelas699_var-rng-aaf-dsy-0221-10033</v>
      </c>
      <c r="AJ33" s="58" t="str">
        <f t="shared" si="2"/>
        <v>alp_vw_amazon_aaf_dsy_nonms_nd_nc_rng_varejo-familiaridade_na_trafego_cpm_prog_all_728x90_interesse-autos_728x90_polo-virtus-parcelas699_var-rng-aaf-dsy-0221-10033</v>
      </c>
      <c r="AK33" s="57" t="str">
        <f t="shared" si="3"/>
        <v>vw_range_728x90_polo-virtus-parcelas699_adserver</v>
      </c>
      <c r="AL33" s="57" t="str">
        <f t="shared" si="83"/>
        <v>https://ofertas.vw.com.br?utm_source=amazon&amp;utm_medium=Paid-Display&amp;utm_content=alp_vw_amazon_aaf_dsy_nonms_nd_nc_rng_varejo-familiaridade_na_trafego_cpm_prog_all_728x90_interesse-autos_728x90_polo-virtus-parcelas699_var-rng-aaf-dsy-0221-10033&amp;utm_campaign=BR_AAF_DSY_NONMS_ND_NC_2021Q1FEB_RNG_Varejo-Familiaridade&amp;utm_term=%epid!_%ecid!_%eaid!</v>
      </c>
      <c r="AM33" s="57" t="str">
        <f t="shared" si="5"/>
        <v>TAG</v>
      </c>
      <c r="AN33" s="53" t="str">
        <f t="shared" si="84"/>
        <v>amazon</v>
      </c>
      <c r="AO33" s="53" t="str">
        <f t="shared" si="85"/>
        <v>Paid-Display</v>
      </c>
      <c r="AP33" s="57" t="str">
        <f>Campanha!$B$3</f>
        <v>BR_AAF_DSY_NONMS_ND_NC_2021Q1FEB_RNG_Varejo-Familiaridade</v>
      </c>
      <c r="AQ33" s="57" t="str">
        <f t="shared" si="8"/>
        <v>alp_vw_amazon_aaf_dsy_nonms_nd_nc_rng_varejo-familiaridade_na_trafego_cpm_prog_all_728x90_interesse-autos_728x90_polo-virtus-parcelas699_var-rng-aaf-dsy-0221-10033</v>
      </c>
      <c r="AR33" s="53" t="s">
        <v>722</v>
      </c>
      <c r="AS33" s="57" t="str">
        <f t="shared" si="9"/>
        <v>https://ofertas.vw.com.br?utm_source=amazon&amp;utm_medium=Paid-Display&amp;utm_content=alp_vw_amazon_aaf_dsy_nonms_nd_nc_rng_varejo-familiaridade_na_trafego_cpm_prog_all_728x90_interesse-autos_728x90_polo-virtus-parcelas699_var-rng-aaf-dsy-0221-10033&amp;utm_campaign=BR_AAF_DSY_NONMS_ND_NC_2021Q1FEB_RNG_Varejo-Familiaridade&amp;utm_term=%epid!_%ecid!_%eaid!</v>
      </c>
      <c r="AT33" s="53" t="str">
        <f t="shared" si="86"/>
        <v>run-of-network</v>
      </c>
      <c r="AU33" s="53" t="str">
        <f t="shared" si="11"/>
        <v>BR</v>
      </c>
      <c r="AV33" s="53" t="str">
        <f t="shared" si="87"/>
        <v>amazon</v>
      </c>
      <c r="AW33" s="53" t="str">
        <f t="shared" si="88"/>
        <v>amazon</v>
      </c>
      <c r="AX33" s="53" t="str">
        <f t="shared" si="14"/>
        <v>varejo-familiaridade</v>
      </c>
      <c r="AY33" s="53" t="str">
        <f t="shared" si="89"/>
        <v>alp_vw_amazon_aaf_dsy_nonms_nd_nc_rng_varejo-familiaridade_na_trafego_cpm_prog_all_728x90_interesse-autos_728x90_polo-virtus-parcelas699_var-rng-aaf-dsy-0221-10033</v>
      </c>
      <c r="AZ33" s="53" t="str">
        <f t="shared" si="90"/>
        <v>728x90</v>
      </c>
      <c r="BA33" s="53" t="str">
        <f t="shared" si="91"/>
        <v>varejo-familiaridade</v>
      </c>
      <c r="BB33" s="53" t="s">
        <v>775</v>
      </c>
      <c r="BC33" s="53" t="s">
        <v>775</v>
      </c>
      <c r="BD33" s="53" t="str">
        <f t="shared" si="92"/>
        <v>var-rng-aaf-dsy-0221-10033</v>
      </c>
      <c r="BE33" s="53" t="str">
        <f t="shared" si="93"/>
        <v>BR</v>
      </c>
      <c r="BF33" s="53" t="str">
        <f t="shared" si="94"/>
        <v>296183128</v>
      </c>
      <c r="BG33" s="53"/>
      <c r="BH33" s="53"/>
      <c r="BI33" s="59" t="str">
        <f t="shared" si="19"/>
        <v>https://ofertas.vw.com.br?adlid=var-rng-aaf-dsy-0221-10033&amp;adplt=alp_vw_amazon_aaf_dsy_nonms_nd_nc_rng_varejo-familiaridade_na_trafego_cpm_prog_all_728x90_interesse-autos_728x90_polo-virtus-parcelas699_var-rng-aaf-dsy-0221-10033</v>
      </c>
      <c r="BL33" s="20" t="str">
        <f t="shared" si="20"/>
        <v>alp_vw_amazon_aaf_dsy_nonms_nd_nc_rng_varejo-familiaridade_na_trafego</v>
      </c>
      <c r="BM33" s="20" t="str">
        <f t="shared" si="21"/>
        <v>cpm_prog_all_728x90_interesse-autos_728x90</v>
      </c>
      <c r="BN33" s="20" t="str">
        <f t="shared" si="22"/>
        <v>alp_vw_amazon_aaf_dsy_nonms_nd_nc_rng_varejo-familiaridade_na_trafego_cpm_prog_all_728x90_interesse-autos_728x90_polo-virtus-parcelas699_var-rng-aaf-dsy-0221-10033</v>
      </c>
      <c r="BO33" s="20"/>
      <c r="BP33" s="20"/>
    </row>
    <row r="34" spans="2:68" ht="15" hidden="1" customHeight="1" x14ac:dyDescent="0.25">
      <c r="B34" s="53" t="s">
        <v>996</v>
      </c>
      <c r="C34" s="53" t="s">
        <v>1112</v>
      </c>
      <c r="D34" s="53" t="s">
        <v>1051</v>
      </c>
      <c r="E34" s="54">
        <v>44294</v>
      </c>
      <c r="F34" s="54">
        <v>44316</v>
      </c>
      <c r="G34" s="53" t="s">
        <v>628</v>
      </c>
      <c r="H34" s="55" t="s">
        <v>939</v>
      </c>
      <c r="I34" s="53" t="s">
        <v>777</v>
      </c>
      <c r="J34" s="56" t="s">
        <v>936</v>
      </c>
      <c r="K34" s="56" t="s">
        <v>936</v>
      </c>
      <c r="L34" s="53" t="s">
        <v>653</v>
      </c>
      <c r="M34" s="53" t="s">
        <v>287</v>
      </c>
      <c r="N34" s="53" t="s">
        <v>295</v>
      </c>
      <c r="O34" s="53" t="s">
        <v>317</v>
      </c>
      <c r="P34" s="53" t="s">
        <v>311</v>
      </c>
      <c r="Q34" s="53" t="s">
        <v>658</v>
      </c>
      <c r="R34" s="53" t="s">
        <v>277</v>
      </c>
      <c r="S34" s="53" t="s">
        <v>841</v>
      </c>
      <c r="T34" s="53" t="s">
        <v>938</v>
      </c>
      <c r="U34" s="53" t="s">
        <v>1007</v>
      </c>
      <c r="V34" s="53" t="s">
        <v>935</v>
      </c>
      <c r="W34" s="40" t="s">
        <v>457</v>
      </c>
      <c r="X34" s="40" t="s">
        <v>979</v>
      </c>
      <c r="Y34" s="53" t="s">
        <v>457</v>
      </c>
      <c r="Z34" s="48"/>
      <c r="AA34" s="41"/>
      <c r="AB34" s="41"/>
      <c r="AC34" s="41"/>
      <c r="AD34" s="40"/>
      <c r="AE34" s="40"/>
      <c r="AF34" s="41"/>
      <c r="AG34" s="41"/>
      <c r="AH34" s="53"/>
      <c r="AI34" s="57" t="str">
        <f t="shared" si="1"/>
        <v>alp_vw_amazon_aaf_dsy_nonms_nd_nc_rng_varejo-familiaridade_na_trafego_cpm_prog_all_320x50_interesse-autos_320x50_polo-virtus-parcelas699_var-rng-aaf-dsy-0221-10034</v>
      </c>
      <c r="AJ34" s="58" t="str">
        <f t="shared" si="2"/>
        <v>alp_vw_amazon_aaf_dsy_nonms_nd_nc_rng_varejo-familiaridade_na_trafego_cpm_prog_all_320x50_interesse-autos_320x50_polo-virtus-parcelas699_var-rng-aaf-dsy-0221-10034</v>
      </c>
      <c r="AK34" s="57" t="str">
        <f t="shared" si="3"/>
        <v>vw_range_320x50_polo-virtus-parcelas699_adserver</v>
      </c>
      <c r="AL34" s="57" t="str">
        <f t="shared" si="83"/>
        <v>https://ofertas.vw.com.br?utm_source=amazon&amp;utm_medium=Paid-Display&amp;utm_content=alp_vw_amazon_aaf_dsy_nonms_nd_nc_rng_varejo-familiaridade_na_trafego_cpm_prog_all_320x50_interesse-autos_320x50_polo-virtus-parcelas699_var-rng-aaf-dsy-0221-10034&amp;utm_campaign=BR_AAF_DSY_NONMS_ND_NC_2021Q1FEB_RNG_Varejo-Familiaridade&amp;utm_term=%epid!_%ecid!_%eaid!</v>
      </c>
      <c r="AM34" s="57" t="str">
        <f t="shared" si="5"/>
        <v>TAG</v>
      </c>
      <c r="AN34" s="53" t="str">
        <f t="shared" si="84"/>
        <v>amazon</v>
      </c>
      <c r="AO34" s="53" t="str">
        <f t="shared" si="85"/>
        <v>Paid-Display</v>
      </c>
      <c r="AP34" s="57" t="str">
        <f>Campanha!$B$3</f>
        <v>BR_AAF_DSY_NONMS_ND_NC_2021Q1FEB_RNG_Varejo-Familiaridade</v>
      </c>
      <c r="AQ34" s="57" t="str">
        <f t="shared" si="8"/>
        <v>alp_vw_amazon_aaf_dsy_nonms_nd_nc_rng_varejo-familiaridade_na_trafego_cpm_prog_all_320x50_interesse-autos_320x50_polo-virtus-parcelas699_var-rng-aaf-dsy-0221-10034</v>
      </c>
      <c r="AR34" s="53" t="s">
        <v>722</v>
      </c>
      <c r="AS34" s="57" t="str">
        <f t="shared" si="9"/>
        <v>https://ofertas.vw.com.br?utm_source=amazon&amp;utm_medium=Paid-Display&amp;utm_content=alp_vw_amazon_aaf_dsy_nonms_nd_nc_rng_varejo-familiaridade_na_trafego_cpm_prog_all_320x50_interesse-autos_320x50_polo-virtus-parcelas699_var-rng-aaf-dsy-0221-10034&amp;utm_campaign=BR_AAF_DSY_NONMS_ND_NC_2021Q1FEB_RNG_Varejo-Familiaridade&amp;utm_term=%epid!_%ecid!_%eaid!</v>
      </c>
      <c r="AT34" s="53" t="str">
        <f t="shared" si="86"/>
        <v>run-of-network</v>
      </c>
      <c r="AU34" s="53" t="str">
        <f t="shared" si="11"/>
        <v>BR</v>
      </c>
      <c r="AV34" s="53" t="str">
        <f t="shared" si="87"/>
        <v>amazon</v>
      </c>
      <c r="AW34" s="53" t="str">
        <f t="shared" si="88"/>
        <v>amazon</v>
      </c>
      <c r="AX34" s="53" t="str">
        <f t="shared" si="14"/>
        <v>varejo-familiaridade</v>
      </c>
      <c r="AY34" s="53" t="str">
        <f t="shared" si="89"/>
        <v>alp_vw_amazon_aaf_dsy_nonms_nd_nc_rng_varejo-familiaridade_na_trafego_cpm_prog_all_320x50_interesse-autos_320x50_polo-virtus-parcelas699_var-rng-aaf-dsy-0221-10034</v>
      </c>
      <c r="AZ34" s="53" t="str">
        <f t="shared" si="90"/>
        <v>320x50</v>
      </c>
      <c r="BA34" s="53" t="str">
        <f t="shared" si="91"/>
        <v>varejo-familiaridade</v>
      </c>
      <c r="BB34" s="53" t="s">
        <v>775</v>
      </c>
      <c r="BC34" s="53" t="s">
        <v>775</v>
      </c>
      <c r="BD34" s="53" t="str">
        <f t="shared" si="92"/>
        <v>var-rng-aaf-dsy-0221-10034</v>
      </c>
      <c r="BE34" s="53" t="str">
        <f t="shared" si="93"/>
        <v>BR</v>
      </c>
      <c r="BF34" s="53" t="str">
        <f t="shared" si="94"/>
        <v>296181910</v>
      </c>
      <c r="BG34" s="53"/>
      <c r="BH34" s="53"/>
      <c r="BI34" s="59" t="str">
        <f t="shared" si="19"/>
        <v>https://ofertas.vw.com.br?adlid=var-rng-aaf-dsy-0221-10034&amp;adplt=alp_vw_amazon_aaf_dsy_nonms_nd_nc_rng_varejo-familiaridade_na_trafego_cpm_prog_all_320x50_interesse-autos_320x50_polo-virtus-parcelas699_var-rng-aaf-dsy-0221-10034</v>
      </c>
      <c r="BL34" s="20" t="str">
        <f t="shared" si="20"/>
        <v>alp_vw_amazon_aaf_dsy_nonms_nd_nc_rng_varejo-familiaridade_na_trafego</v>
      </c>
      <c r="BM34" s="20" t="str">
        <f t="shared" si="21"/>
        <v>cpm_prog_all_320x50_interesse-autos_320x50</v>
      </c>
      <c r="BN34" s="20" t="str">
        <f t="shared" si="22"/>
        <v>alp_vw_amazon_aaf_dsy_nonms_nd_nc_rng_varejo-familiaridade_na_trafego_cpm_prog_all_320x50_interesse-autos_320x50_polo-virtus-parcelas699_var-rng-aaf-dsy-0221-10034</v>
      </c>
      <c r="BO34" s="20"/>
      <c r="BP34" s="20"/>
    </row>
    <row r="35" spans="2:68" ht="15" hidden="1" customHeight="1" x14ac:dyDescent="0.25">
      <c r="B35" s="53" t="s">
        <v>996</v>
      </c>
      <c r="C35" s="53" t="s">
        <v>1112</v>
      </c>
      <c r="D35" s="53" t="s">
        <v>1051</v>
      </c>
      <c r="E35" s="54">
        <v>44294</v>
      </c>
      <c r="F35" s="54">
        <v>44316</v>
      </c>
      <c r="G35" s="53" t="s">
        <v>628</v>
      </c>
      <c r="H35" s="55" t="s">
        <v>939</v>
      </c>
      <c r="I35" s="53" t="s">
        <v>777</v>
      </c>
      <c r="J35" s="56" t="s">
        <v>936</v>
      </c>
      <c r="K35" s="56" t="s">
        <v>936</v>
      </c>
      <c r="L35" s="53" t="s">
        <v>653</v>
      </c>
      <c r="M35" s="53" t="s">
        <v>287</v>
      </c>
      <c r="N35" s="53" t="s">
        <v>295</v>
      </c>
      <c r="O35" s="53" t="s">
        <v>654</v>
      </c>
      <c r="P35" s="53" t="s">
        <v>284</v>
      </c>
      <c r="Q35" s="53" t="s">
        <v>658</v>
      </c>
      <c r="R35" s="53" t="s">
        <v>277</v>
      </c>
      <c r="S35" s="53" t="s">
        <v>841</v>
      </c>
      <c r="T35" s="53" t="s">
        <v>938</v>
      </c>
      <c r="U35" s="53" t="s">
        <v>1007</v>
      </c>
      <c r="V35" s="53" t="s">
        <v>935</v>
      </c>
      <c r="W35" s="40" t="s">
        <v>606</v>
      </c>
      <c r="X35" s="40" t="s">
        <v>978</v>
      </c>
      <c r="Y35" s="53" t="s">
        <v>606</v>
      </c>
      <c r="Z35" s="48"/>
      <c r="AA35" s="41"/>
      <c r="AB35" s="41"/>
      <c r="AC35" s="41"/>
      <c r="AD35" s="40"/>
      <c r="AE35" s="40"/>
      <c r="AF35" s="41"/>
      <c r="AG35" s="41"/>
      <c r="AH35" s="53"/>
      <c r="AI35" s="57" t="str">
        <f t="shared" si="1"/>
        <v>alp_vw_amazon_aaf_dsy_nonms_nd_nc_rng_varejo-familiaridade_na_trafego_cpm_prog_all_970x250_interesse-autos_970x250_polo-virtus-parcelas699_var-rng-aaf-dsy-0221-10035</v>
      </c>
      <c r="AJ35" s="58" t="str">
        <f t="shared" si="2"/>
        <v>alp_vw_amazon_aaf_dsy_nonms_nd_nc_rng_varejo-familiaridade_na_trafego_cpm_prog_all_970x250_interesse-autos_970x250_polo-virtus-parcelas699_var-rng-aaf-dsy-0221-10035</v>
      </c>
      <c r="AK35" s="57" t="str">
        <f t="shared" si="3"/>
        <v>vw_range_970x250_polo-virtus-parcelas699_adserver</v>
      </c>
      <c r="AL35" s="57" t="str">
        <f t="shared" si="83"/>
        <v>https://ofertas.vw.com.br?utm_source=amazon&amp;utm_medium=Paid-Display&amp;utm_content=alp_vw_amazon_aaf_dsy_nonms_nd_nc_rng_varejo-familiaridade_na_trafego_cpm_prog_all_970x250_interesse-autos_970x250_polo-virtus-parcelas699_var-rng-aaf-dsy-0221-10035&amp;utm_campaign=BR_AAF_DSY_NONMS_ND_NC_2021Q1FEB_RNG_Varejo-Familiaridade&amp;utm_term=%epid!_%ecid!_%eaid!</v>
      </c>
      <c r="AM35" s="57" t="str">
        <f t="shared" si="5"/>
        <v>TAG</v>
      </c>
      <c r="AN35" s="53" t="str">
        <f t="shared" si="84"/>
        <v>amazon</v>
      </c>
      <c r="AO35" s="53" t="str">
        <f t="shared" si="85"/>
        <v>Paid-Display</v>
      </c>
      <c r="AP35" s="57" t="str">
        <f>Campanha!$B$3</f>
        <v>BR_AAF_DSY_NONMS_ND_NC_2021Q1FEB_RNG_Varejo-Familiaridade</v>
      </c>
      <c r="AQ35" s="57" t="str">
        <f t="shared" si="8"/>
        <v>alp_vw_amazon_aaf_dsy_nonms_nd_nc_rng_varejo-familiaridade_na_trafego_cpm_prog_all_970x250_interesse-autos_970x250_polo-virtus-parcelas699_var-rng-aaf-dsy-0221-10035</v>
      </c>
      <c r="AR35" s="53" t="s">
        <v>722</v>
      </c>
      <c r="AS35" s="57" t="str">
        <f t="shared" si="9"/>
        <v>https://ofertas.vw.com.br?utm_source=amazon&amp;utm_medium=Paid-Display&amp;utm_content=alp_vw_amazon_aaf_dsy_nonms_nd_nc_rng_varejo-familiaridade_na_trafego_cpm_prog_all_970x250_interesse-autos_970x250_polo-virtus-parcelas699_var-rng-aaf-dsy-0221-10035&amp;utm_campaign=BR_AAF_DSY_NONMS_ND_NC_2021Q1FEB_RNG_Varejo-Familiaridade&amp;utm_term=%epid!_%ecid!_%eaid!</v>
      </c>
      <c r="AT35" s="53" t="str">
        <f t="shared" si="86"/>
        <v>run-of-network</v>
      </c>
      <c r="AU35" s="53" t="str">
        <f t="shared" si="11"/>
        <v>BR</v>
      </c>
      <c r="AV35" s="53" t="str">
        <f t="shared" si="87"/>
        <v>amazon</v>
      </c>
      <c r="AW35" s="53" t="str">
        <f t="shared" si="88"/>
        <v>amazon</v>
      </c>
      <c r="AX35" s="53" t="str">
        <f t="shared" si="14"/>
        <v>varejo-familiaridade</v>
      </c>
      <c r="AY35" s="53" t="str">
        <f t="shared" si="89"/>
        <v>alp_vw_amazon_aaf_dsy_nonms_nd_nc_rng_varejo-familiaridade_na_trafego_cpm_prog_all_970x250_interesse-autos_970x250_polo-virtus-parcelas699_var-rng-aaf-dsy-0221-10035</v>
      </c>
      <c r="AZ35" s="53" t="str">
        <f t="shared" si="90"/>
        <v>970x250</v>
      </c>
      <c r="BA35" s="53" t="str">
        <f t="shared" si="91"/>
        <v>varejo-familiaridade</v>
      </c>
      <c r="BB35" s="53" t="s">
        <v>775</v>
      </c>
      <c r="BC35" s="53" t="s">
        <v>775</v>
      </c>
      <c r="BD35" s="53" t="str">
        <f t="shared" si="92"/>
        <v>var-rng-aaf-dsy-0221-10035</v>
      </c>
      <c r="BE35" s="53" t="str">
        <f t="shared" si="93"/>
        <v>BR</v>
      </c>
      <c r="BF35" s="53" t="str">
        <f t="shared" si="94"/>
        <v>296181907</v>
      </c>
      <c r="BG35" s="53"/>
      <c r="BH35" s="53"/>
      <c r="BI35" s="59" t="str">
        <f t="shared" si="19"/>
        <v>https://ofertas.vw.com.br?adlid=var-rng-aaf-dsy-0221-10035&amp;adplt=alp_vw_amazon_aaf_dsy_nonms_nd_nc_rng_varejo-familiaridade_na_trafego_cpm_prog_all_970x250_interesse-autos_970x250_polo-virtus-parcelas699_var-rng-aaf-dsy-0221-10035</v>
      </c>
      <c r="BL35" s="20" t="str">
        <f t="shared" si="20"/>
        <v>alp_vw_amazon_aaf_dsy_nonms_nd_nc_rng_varejo-familiaridade_na_trafego</v>
      </c>
      <c r="BM35" s="20" t="str">
        <f t="shared" si="21"/>
        <v>cpm_prog_all_970x250_interesse-autos_970x250</v>
      </c>
      <c r="BN35" s="20" t="str">
        <f t="shared" si="22"/>
        <v>alp_vw_amazon_aaf_dsy_nonms_nd_nc_rng_varejo-familiaridade_na_trafego_cpm_prog_all_970x250_interesse-autos_970x250_polo-virtus-parcelas699_var-rng-aaf-dsy-0221-10035</v>
      </c>
      <c r="BO35" s="20"/>
      <c r="BP35" s="20"/>
    </row>
    <row r="36" spans="2:68" ht="15" hidden="1" customHeight="1" x14ac:dyDescent="0.25">
      <c r="B36" s="53" t="s">
        <v>996</v>
      </c>
      <c r="C36" s="53" t="s">
        <v>1009</v>
      </c>
      <c r="D36" s="53" t="s">
        <v>1006</v>
      </c>
      <c r="E36" s="54">
        <v>44294</v>
      </c>
      <c r="F36" s="54">
        <v>44316</v>
      </c>
      <c r="G36" s="53" t="s">
        <v>626</v>
      </c>
      <c r="H36" s="55" t="s">
        <v>939</v>
      </c>
      <c r="I36" s="53" t="s">
        <v>777</v>
      </c>
      <c r="J36" s="56" t="s">
        <v>936</v>
      </c>
      <c r="K36" s="56" t="s">
        <v>936</v>
      </c>
      <c r="L36" s="53" t="s">
        <v>653</v>
      </c>
      <c r="M36" s="53" t="s">
        <v>287</v>
      </c>
      <c r="N36" s="53" t="s">
        <v>295</v>
      </c>
      <c r="O36" s="53" t="s">
        <v>654</v>
      </c>
      <c r="P36" s="53" t="s">
        <v>311</v>
      </c>
      <c r="Q36" s="53" t="s">
        <v>658</v>
      </c>
      <c r="R36" s="53" t="s">
        <v>277</v>
      </c>
      <c r="S36" s="53" t="s">
        <v>841</v>
      </c>
      <c r="T36" s="53" t="s">
        <v>938</v>
      </c>
      <c r="U36" s="53" t="s">
        <v>1007</v>
      </c>
      <c r="V36" s="53" t="s">
        <v>935</v>
      </c>
      <c r="W36" s="40" t="s">
        <v>433</v>
      </c>
      <c r="X36" s="40" t="e">
        <v>#N/A</v>
      </c>
      <c r="Y36" s="53" t="s">
        <v>433</v>
      </c>
      <c r="Z36" s="48"/>
      <c r="AA36" s="41"/>
      <c r="AB36" s="41"/>
      <c r="AC36" s="41"/>
      <c r="AD36" s="40"/>
      <c r="AE36" s="40"/>
      <c r="AF36" s="41"/>
      <c r="AG36" s="41"/>
      <c r="AH36" s="53"/>
      <c r="AI36" s="57" t="str">
        <f t="shared" si="1"/>
        <v>alp_vw_amazon_aaf_dsy_nonms_nd_nc_rng_varejo-familiaridade_na_trafego_cpm_prog_all_300x250_interesse-autos_300x250_polo-virtus-parcelas699_var-rng-aaf-dsy-0221-10036</v>
      </c>
      <c r="AJ36" s="58" t="str">
        <f t="shared" si="2"/>
        <v>alp_vw_amazon_aaf_dsy_nonms_nd_nc_rng_varejo-familiaridade_na_trafego_cpm_prog_all_300x250_interesse-autos_300x250_polo-virtus-parcelas699_var-rng-aaf-dsy-0221-10036</v>
      </c>
      <c r="AK36" s="57" t="str">
        <f t="shared" si="3"/>
        <v>vw_range_300x250_polo-virtus-parcelas699_amazon</v>
      </c>
      <c r="AL36" s="57" t="str">
        <f t="shared" si="83"/>
        <v>https://ofertas.vw.com.br?utm_source=amazon&amp;utm_medium=Paid-Display&amp;utm_content=alp_vw_amazon_aaf_dsy_nonms_nd_nc_rng_varejo-familiaridade_na_trafego_cpm_prog_all_300x250_interesse-autos_300x250_polo-virtus-parcelas699_var-rng-aaf-dsy-0221-10036&amp;utm_campaign=BR_AAF_DSY_NONMS_ND_NC_2021Q1FEB_RNG_Varejo-Familiaridade&amp;utm_term=%epid!_%ecid!_%eaid!</v>
      </c>
      <c r="AM36" s="57" t="str">
        <f t="shared" si="5"/>
        <v>https://ad.doubleclick.net/ddm/trackclk/N9487.3350855AMAZONBRAZIL/B25333445.300625920;dc_trk_aid=489539011;dc_trk_cid=145996180;dc_lat=;dc_rdid=;tag_for_child_directed_treatment=;tfua=</v>
      </c>
      <c r="AN36" s="53" t="str">
        <f t="shared" si="84"/>
        <v>amazon</v>
      </c>
      <c r="AO36" s="53" t="str">
        <f t="shared" si="85"/>
        <v>Paid-Display</v>
      </c>
      <c r="AP36" s="57" t="str">
        <f>Campanha!$B$3</f>
        <v>BR_AAF_DSY_NONMS_ND_NC_2021Q1FEB_RNG_Varejo-Familiaridade</v>
      </c>
      <c r="AQ36" s="57" t="str">
        <f t="shared" si="8"/>
        <v>alp_vw_amazon_aaf_dsy_nonms_nd_nc_rng_varejo-familiaridade_na_trafego_cpm_prog_all_300x250_interesse-autos_300x250_polo-virtus-parcelas699_var-rng-aaf-dsy-0221-10036</v>
      </c>
      <c r="AR36" s="53" t="s">
        <v>722</v>
      </c>
      <c r="AS36" s="57" t="str">
        <f t="shared" si="9"/>
        <v>https://ofertas.vw.com.br?utm_source=amazon&amp;utm_medium=Paid-Display&amp;utm_content=alp_vw_amazon_aaf_dsy_nonms_nd_nc_rng_varejo-familiaridade_na_trafego_cpm_prog_all_300x250_interesse-autos_300x250_polo-virtus-parcelas699_var-rng-aaf-dsy-0221-10036&amp;utm_campaign=BR_AAF_DSY_NONMS_ND_NC_2021Q1FEB_RNG_Varejo-Familiaridade&amp;utm_term=%epid!_%ecid!_%eaid!</v>
      </c>
      <c r="AT36" s="53" t="str">
        <f t="shared" si="86"/>
        <v>run-of-network</v>
      </c>
      <c r="AU36" s="53" t="str">
        <f t="shared" si="11"/>
        <v>BR</v>
      </c>
      <c r="AV36" s="53" t="str">
        <f t="shared" si="87"/>
        <v>amazon</v>
      </c>
      <c r="AW36" s="53" t="str">
        <f t="shared" si="88"/>
        <v>amazon</v>
      </c>
      <c r="AX36" s="53" t="str">
        <f t="shared" si="14"/>
        <v>varejo-familiaridade</v>
      </c>
      <c r="AY36" s="53" t="str">
        <f t="shared" si="89"/>
        <v>alp_vw_amazon_aaf_dsy_nonms_nd_nc_rng_varejo-familiaridade_na_trafego_cpm_prog_all_300x250_interesse-autos_300x250_polo-virtus-parcelas699_var-rng-aaf-dsy-0221-10036</v>
      </c>
      <c r="AZ36" s="53" t="str">
        <f t="shared" si="90"/>
        <v>300x250</v>
      </c>
      <c r="BA36" s="53" t="str">
        <f t="shared" si="91"/>
        <v>varejo-familiaridade</v>
      </c>
      <c r="BB36" s="53" t="s">
        <v>775</v>
      </c>
      <c r="BC36" s="53" t="s">
        <v>775</v>
      </c>
      <c r="BD36" s="53" t="str">
        <f t="shared" si="92"/>
        <v>var-rng-aaf-dsy-0221-10036</v>
      </c>
      <c r="BE36" s="53" t="str">
        <f t="shared" si="93"/>
        <v>BR</v>
      </c>
      <c r="BF36" s="53" t="e">
        <f t="shared" si="94"/>
        <v>#N/A</v>
      </c>
      <c r="BG36" s="53"/>
      <c r="BH36" s="53"/>
      <c r="BI36" s="59" t="str">
        <f t="shared" si="19"/>
        <v>https://ofertas.vw.com.br?adlid=var-rng-aaf-dsy-0221-10036&amp;adplt=alp_vw_amazon_aaf_dsy_nonms_nd_nc_rng_varejo-familiaridade_na_trafego_cpm_prog_all_300x250_interesse-autos_300x250_polo-virtus-parcelas699_var-rng-aaf-dsy-0221-10036</v>
      </c>
      <c r="BL36" s="20" t="str">
        <f t="shared" si="20"/>
        <v>alp_vw_amazon_aaf_dsy_nonms_nd_nc_rng_varejo-familiaridade_na_trafego</v>
      </c>
      <c r="BM36" s="20" t="str">
        <f t="shared" si="21"/>
        <v>cpm_prog_all_300x250_interesse-autos_300x250</v>
      </c>
      <c r="BN36" s="20" t="str">
        <f t="shared" si="22"/>
        <v>alp_vw_amazon_aaf_dsy_nonms_nd_nc_rng_varejo-familiaridade_na_trafego_cpm_prog_all_300x250_interesse-autos_300x250_polo-virtus-parcelas699_var-rng-aaf-dsy-0221-10036</v>
      </c>
      <c r="BO36" s="20"/>
      <c r="BP36" s="20"/>
    </row>
    <row r="37" spans="2:68" ht="15" hidden="1" customHeight="1" x14ac:dyDescent="0.25">
      <c r="B37" s="53" t="s">
        <v>996</v>
      </c>
      <c r="C37" s="53" t="s">
        <v>1009</v>
      </c>
      <c r="D37" s="53" t="s">
        <v>1006</v>
      </c>
      <c r="E37" s="54">
        <v>44294</v>
      </c>
      <c r="F37" s="54">
        <v>44316</v>
      </c>
      <c r="G37" s="53" t="s">
        <v>626</v>
      </c>
      <c r="H37" s="55" t="s">
        <v>939</v>
      </c>
      <c r="I37" s="53" t="s">
        <v>777</v>
      </c>
      <c r="J37" s="56" t="s">
        <v>936</v>
      </c>
      <c r="K37" s="56" t="s">
        <v>936</v>
      </c>
      <c r="L37" s="53" t="s">
        <v>653</v>
      </c>
      <c r="M37" s="53" t="s">
        <v>287</v>
      </c>
      <c r="N37" s="53" t="s">
        <v>295</v>
      </c>
      <c r="O37" s="53" t="s">
        <v>654</v>
      </c>
      <c r="P37" s="53" t="s">
        <v>311</v>
      </c>
      <c r="Q37" s="53" t="s">
        <v>658</v>
      </c>
      <c r="R37" s="53" t="s">
        <v>277</v>
      </c>
      <c r="S37" s="53" t="s">
        <v>841</v>
      </c>
      <c r="T37" s="53" t="s">
        <v>938</v>
      </c>
      <c r="U37" s="53" t="s">
        <v>1007</v>
      </c>
      <c r="V37" s="53" t="s">
        <v>935</v>
      </c>
      <c r="W37" s="40" t="s">
        <v>457</v>
      </c>
      <c r="X37" s="40" t="e">
        <v>#N/A</v>
      </c>
      <c r="Y37" s="53" t="s">
        <v>457</v>
      </c>
      <c r="Z37" s="48"/>
      <c r="AA37" s="41"/>
      <c r="AB37" s="41"/>
      <c r="AC37" s="41"/>
      <c r="AD37" s="40"/>
      <c r="AE37" s="40"/>
      <c r="AF37" s="41"/>
      <c r="AG37" s="41"/>
      <c r="AH37" s="53"/>
      <c r="AI37" s="57" t="str">
        <f t="shared" si="1"/>
        <v>alp_vw_amazon_aaf_dsy_nonms_nd_nc_rng_varejo-familiaridade_na_trafego_cpm_prog_all_320x50_interesse-autos_320x50_polo-virtus-parcelas699_var-rng-aaf-dsy-0221-10037</v>
      </c>
      <c r="AJ37" s="58" t="str">
        <f t="shared" si="2"/>
        <v>alp_vw_amazon_aaf_dsy_nonms_nd_nc_rng_varejo-familiaridade_na_trafego_cpm_prog_all_320x50_interesse-autos_320x50_polo-virtus-parcelas699_var-rng-aaf-dsy-0221-10037</v>
      </c>
      <c r="AK37" s="57" t="str">
        <f t="shared" si="3"/>
        <v>vw_range_320x50_polo-virtus-parcelas699_amazon</v>
      </c>
      <c r="AL37" s="57" t="str">
        <f t="shared" si="83"/>
        <v>https://ofertas.vw.com.br?utm_source=amazon&amp;utm_medium=Paid-Display&amp;utm_content=alp_vw_amazon_aaf_dsy_nonms_nd_nc_rng_varejo-familiaridade_na_trafego_cpm_prog_all_320x50_interesse-autos_320x50_polo-virtus-parcelas699_var-rng-aaf-dsy-0221-10037&amp;utm_campaign=BR_AAF_DSY_NONMS_ND_NC_2021Q1FEB_RNG_Varejo-Familiaridade&amp;utm_term=%epid!_%ecid!_%eaid!</v>
      </c>
      <c r="AM37" s="57" t="str">
        <f t="shared" si="5"/>
        <v>https://ad.doubleclick.net/ddm/trackclk/N9487.3350855AMAZONBRAZIL/B25333445.300533681;dc_trk_aid=493643668;dc_trk_cid=145996180;dc_lat=;dc_rdid=;tag_for_child_directed_treatment=;tfua=</v>
      </c>
      <c r="AN37" s="53" t="str">
        <f t="shared" si="84"/>
        <v>amazon</v>
      </c>
      <c r="AO37" s="53" t="str">
        <f t="shared" si="85"/>
        <v>Paid-Display</v>
      </c>
      <c r="AP37" s="57" t="str">
        <f>Campanha!$B$3</f>
        <v>BR_AAF_DSY_NONMS_ND_NC_2021Q1FEB_RNG_Varejo-Familiaridade</v>
      </c>
      <c r="AQ37" s="57" t="str">
        <f t="shared" si="8"/>
        <v>alp_vw_amazon_aaf_dsy_nonms_nd_nc_rng_varejo-familiaridade_na_trafego_cpm_prog_all_320x50_interesse-autos_320x50_polo-virtus-parcelas699_var-rng-aaf-dsy-0221-10037</v>
      </c>
      <c r="AR37" s="53" t="s">
        <v>722</v>
      </c>
      <c r="AS37" s="57" t="str">
        <f t="shared" si="9"/>
        <v>https://ofertas.vw.com.br?utm_source=amazon&amp;utm_medium=Paid-Display&amp;utm_content=alp_vw_amazon_aaf_dsy_nonms_nd_nc_rng_varejo-familiaridade_na_trafego_cpm_prog_all_320x50_interesse-autos_320x50_polo-virtus-parcelas699_var-rng-aaf-dsy-0221-10037&amp;utm_campaign=BR_AAF_DSY_NONMS_ND_NC_2021Q1FEB_RNG_Varejo-Familiaridade&amp;utm_term=%epid!_%ecid!_%eaid!</v>
      </c>
      <c r="AT37" s="53" t="str">
        <f t="shared" si="86"/>
        <v>run-of-network</v>
      </c>
      <c r="AU37" s="53" t="str">
        <f t="shared" si="11"/>
        <v>BR</v>
      </c>
      <c r="AV37" s="53" t="str">
        <f t="shared" si="87"/>
        <v>amazon</v>
      </c>
      <c r="AW37" s="53" t="str">
        <f t="shared" si="88"/>
        <v>amazon</v>
      </c>
      <c r="AX37" s="53" t="str">
        <f t="shared" si="14"/>
        <v>varejo-familiaridade</v>
      </c>
      <c r="AY37" s="53" t="str">
        <f t="shared" si="89"/>
        <v>alp_vw_amazon_aaf_dsy_nonms_nd_nc_rng_varejo-familiaridade_na_trafego_cpm_prog_all_320x50_interesse-autos_320x50_polo-virtus-parcelas699_var-rng-aaf-dsy-0221-10037</v>
      </c>
      <c r="AZ37" s="53" t="str">
        <f t="shared" si="90"/>
        <v>320x50</v>
      </c>
      <c r="BA37" s="53" t="str">
        <f t="shared" si="91"/>
        <v>varejo-familiaridade</v>
      </c>
      <c r="BB37" s="53" t="s">
        <v>775</v>
      </c>
      <c r="BC37" s="53" t="s">
        <v>775</v>
      </c>
      <c r="BD37" s="53" t="str">
        <f t="shared" si="92"/>
        <v>var-rng-aaf-dsy-0221-10037</v>
      </c>
      <c r="BE37" s="53" t="str">
        <f t="shared" si="93"/>
        <v>BR</v>
      </c>
      <c r="BF37" s="53" t="e">
        <f t="shared" si="94"/>
        <v>#N/A</v>
      </c>
      <c r="BG37" s="53"/>
      <c r="BH37" s="53"/>
      <c r="BI37" s="59" t="str">
        <f t="shared" si="19"/>
        <v>https://ofertas.vw.com.br?adlid=var-rng-aaf-dsy-0221-10037&amp;adplt=alp_vw_amazon_aaf_dsy_nonms_nd_nc_rng_varejo-familiaridade_na_trafego_cpm_prog_all_320x50_interesse-autos_320x50_polo-virtus-parcelas699_var-rng-aaf-dsy-0221-10037</v>
      </c>
      <c r="BL37" s="20" t="str">
        <f t="shared" si="20"/>
        <v>alp_vw_amazon_aaf_dsy_nonms_nd_nc_rng_varejo-familiaridade_na_trafego</v>
      </c>
      <c r="BM37" s="20" t="str">
        <f t="shared" si="21"/>
        <v>cpm_prog_all_320x50_interesse-autos_320x50</v>
      </c>
      <c r="BN37" s="20" t="str">
        <f t="shared" si="22"/>
        <v>alp_vw_amazon_aaf_dsy_nonms_nd_nc_rng_varejo-familiaridade_na_trafego_cpm_prog_all_320x50_interesse-autos_320x50_polo-virtus-parcelas699_var-rng-aaf-dsy-0221-10037</v>
      </c>
      <c r="BO37" s="20"/>
      <c r="BP37" s="20"/>
    </row>
    <row r="38" spans="2:68" ht="15" hidden="1" customHeight="1" x14ac:dyDescent="0.25">
      <c r="B38" s="53" t="s">
        <v>996</v>
      </c>
      <c r="C38" s="53" t="s">
        <v>1009</v>
      </c>
      <c r="D38" s="53" t="s">
        <v>1006</v>
      </c>
      <c r="E38" s="54">
        <v>44294</v>
      </c>
      <c r="F38" s="54">
        <v>44316</v>
      </c>
      <c r="G38" s="53" t="s">
        <v>626</v>
      </c>
      <c r="H38" s="55" t="s">
        <v>939</v>
      </c>
      <c r="I38" s="53" t="s">
        <v>777</v>
      </c>
      <c r="J38" s="56" t="s">
        <v>936</v>
      </c>
      <c r="K38" s="56" t="s">
        <v>936</v>
      </c>
      <c r="L38" s="53" t="s">
        <v>653</v>
      </c>
      <c r="M38" s="53" t="s">
        <v>287</v>
      </c>
      <c r="N38" s="53" t="s">
        <v>295</v>
      </c>
      <c r="O38" s="53" t="s">
        <v>654</v>
      </c>
      <c r="P38" s="53" t="s">
        <v>311</v>
      </c>
      <c r="Q38" s="53" t="s">
        <v>658</v>
      </c>
      <c r="R38" s="53" t="s">
        <v>277</v>
      </c>
      <c r="S38" s="53" t="s">
        <v>841</v>
      </c>
      <c r="T38" s="53" t="s">
        <v>938</v>
      </c>
      <c r="U38" s="53" t="s">
        <v>1007</v>
      </c>
      <c r="V38" s="53" t="s">
        <v>935</v>
      </c>
      <c r="W38" s="40" t="s">
        <v>937</v>
      </c>
      <c r="X38" s="40" t="e">
        <v>#N/A</v>
      </c>
      <c r="Y38" s="53" t="s">
        <v>937</v>
      </c>
      <c r="Z38" s="48"/>
      <c r="AA38" s="41"/>
      <c r="AB38" s="41"/>
      <c r="AC38" s="41"/>
      <c r="AD38" s="40"/>
      <c r="AE38" s="40"/>
      <c r="AF38" s="41"/>
      <c r="AG38" s="41"/>
      <c r="AH38" s="53"/>
      <c r="AI38" s="57" t="str">
        <f t="shared" si="1"/>
        <v>alp_vw_amazon_aaf_dsy_nonms_nd_nc_rng_varejo-familiaridade_na_trafego_cpm_prog_all_414x125_interesse-autos_414x125_polo-virtus-parcelas699_var-rng-aaf-dsy-0221-10038</v>
      </c>
      <c r="AJ38" s="58" t="str">
        <f t="shared" si="2"/>
        <v>alp_vw_amazon_aaf_dsy_nonms_nd_nc_rng_varejo-familiaridade_na_trafego_cpm_prog_all_414x125_interesse-autos_414x125_polo-virtus-parcelas699_var-rng-aaf-dsy-0221-10038</v>
      </c>
      <c r="AK38" s="57" t="str">
        <f t="shared" si="3"/>
        <v>vw_range_414x125_polo-virtus-parcelas699_amazon</v>
      </c>
      <c r="AL38" s="57" t="str">
        <f t="shared" si="83"/>
        <v>https://ofertas.vw.com.br?utm_source=amazon&amp;utm_medium=Paid-Display&amp;utm_content=alp_vw_amazon_aaf_dsy_nonms_nd_nc_rng_varejo-familiaridade_na_trafego_cpm_prog_all_414x125_interesse-autos_414x125_polo-virtus-parcelas699_var-rng-aaf-dsy-0221-10038&amp;utm_campaign=BR_AAF_DSY_NONMS_ND_NC_2021Q1FEB_RNG_Varejo-Familiaridade&amp;utm_term=%epid!_%ecid!_%eaid!</v>
      </c>
      <c r="AM38" s="57" t="str">
        <f t="shared" si="5"/>
        <v>https://ad.doubleclick.net/ddm/trackclk/N9487.3350855AMAZONBRAZIL/B25333445.300533675;dc_trk_aid=493643674;dc_trk_cid=145996180;dc_lat=;dc_rdid=;tag_for_child_directed_treatment=;tfua=</v>
      </c>
      <c r="AN38" s="53" t="str">
        <f t="shared" si="84"/>
        <v>amazon</v>
      </c>
      <c r="AO38" s="53" t="str">
        <f t="shared" si="85"/>
        <v>Paid-Display</v>
      </c>
      <c r="AP38" s="57" t="str">
        <f>Campanha!$B$3</f>
        <v>BR_AAF_DSY_NONMS_ND_NC_2021Q1FEB_RNG_Varejo-Familiaridade</v>
      </c>
      <c r="AQ38" s="57" t="str">
        <f t="shared" si="8"/>
        <v>alp_vw_amazon_aaf_dsy_nonms_nd_nc_rng_varejo-familiaridade_na_trafego_cpm_prog_all_414x125_interesse-autos_414x125_polo-virtus-parcelas699_var-rng-aaf-dsy-0221-10038</v>
      </c>
      <c r="AR38" s="53" t="s">
        <v>722</v>
      </c>
      <c r="AS38" s="57" t="str">
        <f t="shared" si="9"/>
        <v>https://ofertas.vw.com.br?utm_source=amazon&amp;utm_medium=Paid-Display&amp;utm_content=alp_vw_amazon_aaf_dsy_nonms_nd_nc_rng_varejo-familiaridade_na_trafego_cpm_prog_all_414x125_interesse-autos_414x125_polo-virtus-parcelas699_var-rng-aaf-dsy-0221-10038&amp;utm_campaign=BR_AAF_DSY_NONMS_ND_NC_2021Q1FEB_RNG_Varejo-Familiaridade&amp;utm_term=%epid!_%ecid!_%eaid!</v>
      </c>
      <c r="AT38" s="53" t="str">
        <f t="shared" si="86"/>
        <v>run-of-network</v>
      </c>
      <c r="AU38" s="53" t="str">
        <f t="shared" si="11"/>
        <v>BR</v>
      </c>
      <c r="AV38" s="53" t="str">
        <f t="shared" si="87"/>
        <v>amazon</v>
      </c>
      <c r="AW38" s="53" t="str">
        <f t="shared" si="88"/>
        <v>amazon</v>
      </c>
      <c r="AX38" s="53" t="str">
        <f t="shared" si="14"/>
        <v>varejo-familiaridade</v>
      </c>
      <c r="AY38" s="53" t="str">
        <f t="shared" si="89"/>
        <v>alp_vw_amazon_aaf_dsy_nonms_nd_nc_rng_varejo-familiaridade_na_trafego_cpm_prog_all_414x125_interesse-autos_414x125_polo-virtus-parcelas699_var-rng-aaf-dsy-0221-10038</v>
      </c>
      <c r="AZ38" s="53" t="str">
        <f t="shared" si="90"/>
        <v>414x125</v>
      </c>
      <c r="BA38" s="53" t="str">
        <f t="shared" si="91"/>
        <v>varejo-familiaridade</v>
      </c>
      <c r="BB38" s="53" t="s">
        <v>775</v>
      </c>
      <c r="BC38" s="53" t="s">
        <v>775</v>
      </c>
      <c r="BD38" s="53" t="str">
        <f t="shared" si="92"/>
        <v>var-rng-aaf-dsy-0221-10038</v>
      </c>
      <c r="BE38" s="53" t="str">
        <f t="shared" si="93"/>
        <v>BR</v>
      </c>
      <c r="BF38" s="53" t="e">
        <f t="shared" si="94"/>
        <v>#N/A</v>
      </c>
      <c r="BG38" s="53"/>
      <c r="BH38" s="53"/>
      <c r="BI38" s="59" t="str">
        <f t="shared" si="19"/>
        <v>https://ofertas.vw.com.br?adlid=var-rng-aaf-dsy-0221-10038&amp;adplt=alp_vw_amazon_aaf_dsy_nonms_nd_nc_rng_varejo-familiaridade_na_trafego_cpm_prog_all_414x125_interesse-autos_414x125_polo-virtus-parcelas699_var-rng-aaf-dsy-0221-10038</v>
      </c>
      <c r="BL38" s="20" t="str">
        <f t="shared" si="20"/>
        <v>alp_vw_amazon_aaf_dsy_nonms_nd_nc_rng_varejo-familiaridade_na_trafego</v>
      </c>
      <c r="BM38" s="20" t="str">
        <f t="shared" si="21"/>
        <v>cpm_prog_all_414x125_interesse-autos_414x125</v>
      </c>
      <c r="BN38" s="20" t="str">
        <f t="shared" si="22"/>
        <v>alp_vw_amazon_aaf_dsy_nonms_nd_nc_rng_varejo-familiaridade_na_trafego_cpm_prog_all_414x125_interesse-autos_414x125_polo-virtus-parcelas699_var-rng-aaf-dsy-0221-10038</v>
      </c>
      <c r="BO38" s="20"/>
      <c r="BP38" s="20"/>
    </row>
    <row r="39" spans="2:68" ht="15" hidden="1" customHeight="1" x14ac:dyDescent="0.25">
      <c r="B39" s="53" t="s">
        <v>996</v>
      </c>
      <c r="C39" s="53" t="s">
        <v>1009</v>
      </c>
      <c r="D39" s="53" t="s">
        <v>1006</v>
      </c>
      <c r="E39" s="54">
        <v>44294</v>
      </c>
      <c r="F39" s="54">
        <v>44316</v>
      </c>
      <c r="G39" s="53" t="s">
        <v>626</v>
      </c>
      <c r="H39" s="55" t="s">
        <v>939</v>
      </c>
      <c r="I39" s="53" t="s">
        <v>777</v>
      </c>
      <c r="J39" s="56" t="s">
        <v>936</v>
      </c>
      <c r="K39" s="56" t="s">
        <v>936</v>
      </c>
      <c r="L39" s="53" t="s">
        <v>653</v>
      </c>
      <c r="M39" s="53" t="s">
        <v>287</v>
      </c>
      <c r="N39" s="53" t="s">
        <v>295</v>
      </c>
      <c r="O39" s="53" t="s">
        <v>654</v>
      </c>
      <c r="P39" s="53" t="s">
        <v>284</v>
      </c>
      <c r="Q39" s="53" t="s">
        <v>658</v>
      </c>
      <c r="R39" s="53" t="s">
        <v>277</v>
      </c>
      <c r="S39" s="53" t="s">
        <v>841</v>
      </c>
      <c r="T39" s="53" t="s">
        <v>938</v>
      </c>
      <c r="U39" s="53" t="s">
        <v>1007</v>
      </c>
      <c r="V39" s="53" t="s">
        <v>935</v>
      </c>
      <c r="W39" s="40" t="s">
        <v>568</v>
      </c>
      <c r="X39" s="40" t="e">
        <v>#N/A</v>
      </c>
      <c r="Y39" s="53" t="s">
        <v>568</v>
      </c>
      <c r="Z39" s="48"/>
      <c r="AA39" s="41"/>
      <c r="AB39" s="41"/>
      <c r="AC39" s="41"/>
      <c r="AD39" s="40"/>
      <c r="AE39" s="40"/>
      <c r="AF39" s="41"/>
      <c r="AG39" s="41"/>
      <c r="AH39" s="53"/>
      <c r="AI39" s="57" t="str">
        <f t="shared" si="1"/>
        <v>alp_vw_amazon_aaf_dsy_nonms_nd_nc_rng_varejo-familiaridade_na_trafego_cpm_prog_all_728x90_interesse-autos_728x90_polo-virtus-parcelas699_var-rng-aaf-dsy-0221-10039</v>
      </c>
      <c r="AJ39" s="58" t="str">
        <f t="shared" si="2"/>
        <v>alp_vw_amazon_aaf_dsy_nonms_nd_nc_rng_varejo-familiaridade_na_trafego_cpm_prog_all_728x90_interesse-autos_728x90_polo-virtus-parcelas699_var-rng-aaf-dsy-0221-10039</v>
      </c>
      <c r="AK39" s="57" t="str">
        <f t="shared" si="3"/>
        <v>vw_range_728x90_polo-virtus-parcelas699_amazon</v>
      </c>
      <c r="AL39" s="57" t="str">
        <f t="shared" si="83"/>
        <v>https://ofertas.vw.com.br?utm_source=amazon&amp;utm_medium=Paid-Display&amp;utm_content=alp_vw_amazon_aaf_dsy_nonms_nd_nc_rng_varejo-familiaridade_na_trafego_cpm_prog_all_728x90_interesse-autos_728x90_polo-virtus-parcelas699_var-rng-aaf-dsy-0221-10039&amp;utm_campaign=BR_AAF_DSY_NONMS_ND_NC_2021Q1FEB_RNG_Varejo-Familiaridade&amp;utm_term=%epid!_%ecid!_%eaid!</v>
      </c>
      <c r="AM39" s="57" t="str">
        <f t="shared" si="5"/>
        <v>https://ad.doubleclick.net/ddm/trackclk/N9487.3350855AMAZONBRAZIL/B25333445.300533672;dc_trk_aid=493643677;dc_trk_cid=145996180;dc_lat=;dc_rdid=;tag_for_child_directed_treatment=;tfua=</v>
      </c>
      <c r="AN39" s="53" t="str">
        <f t="shared" si="84"/>
        <v>amazon</v>
      </c>
      <c r="AO39" s="53" t="str">
        <f t="shared" si="85"/>
        <v>Paid-Display</v>
      </c>
      <c r="AP39" s="57" t="str">
        <f>Campanha!$B$3</f>
        <v>BR_AAF_DSY_NONMS_ND_NC_2021Q1FEB_RNG_Varejo-Familiaridade</v>
      </c>
      <c r="AQ39" s="57" t="str">
        <f t="shared" si="8"/>
        <v>alp_vw_amazon_aaf_dsy_nonms_nd_nc_rng_varejo-familiaridade_na_trafego_cpm_prog_all_728x90_interesse-autos_728x90_polo-virtus-parcelas699_var-rng-aaf-dsy-0221-10039</v>
      </c>
      <c r="AR39" s="53" t="s">
        <v>722</v>
      </c>
      <c r="AS39" s="57" t="str">
        <f t="shared" si="9"/>
        <v>https://ofertas.vw.com.br?utm_source=amazon&amp;utm_medium=Paid-Display&amp;utm_content=alp_vw_amazon_aaf_dsy_nonms_nd_nc_rng_varejo-familiaridade_na_trafego_cpm_prog_all_728x90_interesse-autos_728x90_polo-virtus-parcelas699_var-rng-aaf-dsy-0221-10039&amp;utm_campaign=BR_AAF_DSY_NONMS_ND_NC_2021Q1FEB_RNG_Varejo-Familiaridade&amp;utm_term=%epid!_%ecid!_%eaid!</v>
      </c>
      <c r="AT39" s="53" t="str">
        <f t="shared" si="86"/>
        <v>run-of-network</v>
      </c>
      <c r="AU39" s="53" t="str">
        <f t="shared" si="11"/>
        <v>BR</v>
      </c>
      <c r="AV39" s="53" t="str">
        <f t="shared" si="87"/>
        <v>amazon</v>
      </c>
      <c r="AW39" s="53" t="str">
        <f t="shared" si="88"/>
        <v>amazon</v>
      </c>
      <c r="AX39" s="53" t="str">
        <f t="shared" si="14"/>
        <v>varejo-familiaridade</v>
      </c>
      <c r="AY39" s="53" t="str">
        <f t="shared" si="89"/>
        <v>alp_vw_amazon_aaf_dsy_nonms_nd_nc_rng_varejo-familiaridade_na_trafego_cpm_prog_all_728x90_interesse-autos_728x90_polo-virtus-parcelas699_var-rng-aaf-dsy-0221-10039</v>
      </c>
      <c r="AZ39" s="53" t="str">
        <f t="shared" si="90"/>
        <v>728x90</v>
      </c>
      <c r="BA39" s="53" t="str">
        <f t="shared" si="91"/>
        <v>varejo-familiaridade</v>
      </c>
      <c r="BB39" s="53" t="s">
        <v>775</v>
      </c>
      <c r="BC39" s="53" t="s">
        <v>775</v>
      </c>
      <c r="BD39" s="53" t="str">
        <f t="shared" si="92"/>
        <v>var-rng-aaf-dsy-0221-10039</v>
      </c>
      <c r="BE39" s="53" t="str">
        <f t="shared" si="93"/>
        <v>BR</v>
      </c>
      <c r="BF39" s="53" t="e">
        <f t="shared" si="94"/>
        <v>#N/A</v>
      </c>
      <c r="BG39" s="53"/>
      <c r="BH39" s="53"/>
      <c r="BI39" s="59" t="str">
        <f t="shared" si="19"/>
        <v>https://ofertas.vw.com.br?adlid=var-rng-aaf-dsy-0221-10039&amp;adplt=alp_vw_amazon_aaf_dsy_nonms_nd_nc_rng_varejo-familiaridade_na_trafego_cpm_prog_all_728x90_interesse-autos_728x90_polo-virtus-parcelas699_var-rng-aaf-dsy-0221-10039</v>
      </c>
      <c r="BL39" s="20" t="str">
        <f t="shared" si="20"/>
        <v>alp_vw_amazon_aaf_dsy_nonms_nd_nc_rng_varejo-familiaridade_na_trafego</v>
      </c>
      <c r="BM39" s="20" t="str">
        <f t="shared" si="21"/>
        <v>cpm_prog_all_728x90_interesse-autos_728x90</v>
      </c>
      <c r="BN39" s="20" t="str">
        <f t="shared" si="22"/>
        <v>alp_vw_amazon_aaf_dsy_nonms_nd_nc_rng_varejo-familiaridade_na_trafego_cpm_prog_all_728x90_interesse-autos_728x90_polo-virtus-parcelas699_var-rng-aaf-dsy-0221-10039</v>
      </c>
      <c r="BO39" s="20"/>
      <c r="BP39" s="20"/>
    </row>
    <row r="40" spans="2:68" ht="15" hidden="1" customHeight="1" x14ac:dyDescent="0.25">
      <c r="B40" s="53" t="s">
        <v>996</v>
      </c>
      <c r="C40" s="53" t="s">
        <v>1112</v>
      </c>
      <c r="D40" s="53" t="s">
        <v>1051</v>
      </c>
      <c r="E40" s="54">
        <v>44294</v>
      </c>
      <c r="F40" s="54">
        <v>44316</v>
      </c>
      <c r="G40" s="53" t="s">
        <v>628</v>
      </c>
      <c r="H40" s="55" t="s">
        <v>939</v>
      </c>
      <c r="I40" s="53" t="s">
        <v>777</v>
      </c>
      <c r="J40" s="56" t="s">
        <v>936</v>
      </c>
      <c r="K40" s="56" t="s">
        <v>936</v>
      </c>
      <c r="L40" s="53" t="s">
        <v>653</v>
      </c>
      <c r="M40" s="53" t="s">
        <v>287</v>
      </c>
      <c r="N40" s="53" t="s">
        <v>295</v>
      </c>
      <c r="O40" s="53" t="s">
        <v>317</v>
      </c>
      <c r="P40" s="53" t="s">
        <v>319</v>
      </c>
      <c r="Q40" s="53" t="s">
        <v>658</v>
      </c>
      <c r="R40" s="53" t="s">
        <v>277</v>
      </c>
      <c r="S40" s="53" t="s">
        <v>841</v>
      </c>
      <c r="T40" s="53" t="s">
        <v>938</v>
      </c>
      <c r="U40" s="53" t="s">
        <v>1007</v>
      </c>
      <c r="V40" s="53" t="s">
        <v>1008</v>
      </c>
      <c r="W40" s="40" t="s">
        <v>412</v>
      </c>
      <c r="X40" s="40"/>
      <c r="Y40" s="53" t="s">
        <v>412</v>
      </c>
      <c r="Z40" s="39"/>
      <c r="AA40" s="38"/>
      <c r="AB40" s="38"/>
      <c r="AC40" s="38"/>
      <c r="AD40" s="37"/>
      <c r="AE40" s="37"/>
      <c r="AF40" s="38"/>
      <c r="AG40" s="38"/>
      <c r="AH40" s="53"/>
      <c r="AI40" s="57" t="str">
        <f t="shared" si="1"/>
        <v>alp_vw_amazon_aaf_dsy_nonms_nd_nc_rng_varejo-familiaridade_na_trafego_cpm_prog_all_160x600_open-auction_160x600_polo-virtus-parcelas699_var-rng-aaf-dsy-0221-10040</v>
      </c>
      <c r="AJ40" s="58" t="str">
        <f t="shared" si="2"/>
        <v>alp_vw_amazon_aaf_dsy_nonms_nd_nc_rng_varejo-familiaridade_na_trafego_cpm_prog_all_160x600_open-auction_160x600_polo-virtus-parcelas699_var-rng-aaf-dsy-0221-10040</v>
      </c>
      <c r="AK40" s="57" t="str">
        <f t="shared" si="3"/>
        <v>vw_range_160x600_polo-virtus-parcelas699_adserver</v>
      </c>
      <c r="AL40" s="57" t="str">
        <f t="shared" si="83"/>
        <v>https://ofertas.vw.com.br?utm_source=amazon&amp;utm_medium=Paid-Display&amp;utm_content=alp_vw_amazon_aaf_dsy_nonms_nd_nc_rng_varejo-familiaridade_na_trafego_cpm_prog_all_160x600_open-auction_160x600_polo-virtus-parcelas699_var-rng-aaf-dsy-0221-10040&amp;utm_campaign=BR_AAF_DSY_NONMS_ND_NC_2021Q1FEB_RNG_Varejo-Familiaridade&amp;utm_term=%epid!_%ecid!_%eaid!</v>
      </c>
      <c r="AM40" s="57" t="str">
        <f t="shared" si="5"/>
        <v>TAG</v>
      </c>
      <c r="AN40" s="53" t="str">
        <f t="shared" si="84"/>
        <v>amazon</v>
      </c>
      <c r="AO40" s="53" t="str">
        <f t="shared" si="85"/>
        <v>Paid-Display</v>
      </c>
      <c r="AP40" s="57" t="str">
        <f>Campanha!$B$3</f>
        <v>BR_AAF_DSY_NONMS_ND_NC_2021Q1FEB_RNG_Varejo-Familiaridade</v>
      </c>
      <c r="AQ40" s="57" t="str">
        <f t="shared" si="8"/>
        <v>alp_vw_amazon_aaf_dsy_nonms_nd_nc_rng_varejo-familiaridade_na_trafego_cpm_prog_all_160x600_open-auction_160x600_polo-virtus-parcelas699_var-rng-aaf-dsy-0221-10040</v>
      </c>
      <c r="AR40" s="53" t="s">
        <v>722</v>
      </c>
      <c r="AS40" s="57" t="str">
        <f t="shared" si="9"/>
        <v>https://ofertas.vw.com.br?utm_source=amazon&amp;utm_medium=Paid-Display&amp;utm_content=alp_vw_amazon_aaf_dsy_nonms_nd_nc_rng_varejo-familiaridade_na_trafego_cpm_prog_all_160x600_open-auction_160x600_polo-virtus-parcelas699_var-rng-aaf-dsy-0221-10040&amp;utm_campaign=BR_AAF_DSY_NONMS_ND_NC_2021Q1FEB_RNG_Varejo-Familiaridade&amp;utm_term=%epid!_%ecid!_%eaid!</v>
      </c>
      <c r="AT40" s="53" t="str">
        <f t="shared" si="86"/>
        <v>run-of-network</v>
      </c>
      <c r="AU40" s="53" t="str">
        <f t="shared" si="11"/>
        <v>BR</v>
      </c>
      <c r="AV40" s="53" t="str">
        <f t="shared" si="87"/>
        <v>amazon</v>
      </c>
      <c r="AW40" s="53" t="str">
        <f t="shared" si="88"/>
        <v>amazon</v>
      </c>
      <c r="AX40" s="53" t="str">
        <f t="shared" si="14"/>
        <v>varejo-familiaridade</v>
      </c>
      <c r="AY40" s="53" t="str">
        <f t="shared" si="89"/>
        <v>alp_vw_amazon_aaf_dsy_nonms_nd_nc_rng_varejo-familiaridade_na_trafego_cpm_prog_all_160x600_open-auction_160x600_polo-virtus-parcelas699_var-rng-aaf-dsy-0221-10040</v>
      </c>
      <c r="AZ40" s="53" t="str">
        <f t="shared" si="90"/>
        <v>160x600</v>
      </c>
      <c r="BA40" s="53" t="str">
        <f t="shared" si="91"/>
        <v>varejo-familiaridade</v>
      </c>
      <c r="BB40" s="53" t="s">
        <v>775</v>
      </c>
      <c r="BC40" s="53" t="s">
        <v>775</v>
      </c>
      <c r="BD40" s="53" t="str">
        <f t="shared" si="92"/>
        <v>var-rng-aaf-dsy-0221-10040</v>
      </c>
      <c r="BE40" s="53" t="str">
        <f t="shared" si="93"/>
        <v>BR</v>
      </c>
      <c r="BF40" s="53" t="str">
        <f t="shared" si="94"/>
        <v/>
      </c>
      <c r="BG40" s="53"/>
      <c r="BH40" s="53"/>
      <c r="BI40" s="59" t="str">
        <f t="shared" si="19"/>
        <v>https://ofertas.vw.com.br?adlid=var-rng-aaf-dsy-0221-10040&amp;adplt=alp_vw_amazon_aaf_dsy_nonms_nd_nc_rng_varejo-familiaridade_na_trafego_cpm_prog_all_160x600_open-auction_160x600_polo-virtus-parcelas699_var-rng-aaf-dsy-0221-10040</v>
      </c>
      <c r="BL40" s="20" t="str">
        <f t="shared" si="20"/>
        <v>alp_vw_amazon_aaf_dsy_nonms_nd_nc_rng_varejo-familiaridade_na_trafego</v>
      </c>
      <c r="BM40" s="20" t="str">
        <f t="shared" si="21"/>
        <v>cpm_prog_all_160x600_open-auction_160x600</v>
      </c>
      <c r="BN40" s="20" t="str">
        <f t="shared" si="22"/>
        <v>alp_vw_amazon_aaf_dsy_nonms_nd_nc_rng_varejo-familiaridade_na_trafego_cpm_prog_all_160x600_open-auction_160x600_polo-virtus-parcelas699_var-rng-aaf-dsy-0221-10040</v>
      </c>
      <c r="BO40" s="20"/>
      <c r="BP40" s="20"/>
    </row>
    <row r="41" spans="2:68" ht="15" hidden="1" customHeight="1" x14ac:dyDescent="0.25">
      <c r="B41" s="53" t="s">
        <v>996</v>
      </c>
      <c r="C41" s="53" t="s">
        <v>1112</v>
      </c>
      <c r="D41" s="53" t="s">
        <v>1051</v>
      </c>
      <c r="E41" s="54">
        <v>44294</v>
      </c>
      <c r="F41" s="54">
        <v>44316</v>
      </c>
      <c r="G41" s="53" t="s">
        <v>628</v>
      </c>
      <c r="H41" s="55" t="s">
        <v>939</v>
      </c>
      <c r="I41" s="53" t="s">
        <v>777</v>
      </c>
      <c r="J41" s="56" t="s">
        <v>936</v>
      </c>
      <c r="K41" s="56" t="s">
        <v>936</v>
      </c>
      <c r="L41" s="53" t="s">
        <v>653</v>
      </c>
      <c r="M41" s="53" t="s">
        <v>287</v>
      </c>
      <c r="N41" s="53" t="s">
        <v>295</v>
      </c>
      <c r="O41" s="53" t="s">
        <v>317</v>
      </c>
      <c r="P41" s="53" t="s">
        <v>311</v>
      </c>
      <c r="Q41" s="53" t="s">
        <v>658</v>
      </c>
      <c r="R41" s="53" t="s">
        <v>277</v>
      </c>
      <c r="S41" s="53" t="s">
        <v>841</v>
      </c>
      <c r="T41" s="53" t="s">
        <v>938</v>
      </c>
      <c r="U41" s="53" t="s">
        <v>1007</v>
      </c>
      <c r="V41" s="53" t="s">
        <v>1008</v>
      </c>
      <c r="W41" s="40" t="s">
        <v>433</v>
      </c>
      <c r="X41" s="40"/>
      <c r="Y41" s="53" t="s">
        <v>433</v>
      </c>
      <c r="Z41" s="39"/>
      <c r="AA41" s="38"/>
      <c r="AB41" s="38"/>
      <c r="AC41" s="38"/>
      <c r="AD41" s="37"/>
      <c r="AE41" s="37"/>
      <c r="AF41" s="38"/>
      <c r="AG41" s="38"/>
      <c r="AH41" s="53"/>
      <c r="AI41" s="57" t="str">
        <f t="shared" si="1"/>
        <v>alp_vw_amazon_aaf_dsy_nonms_nd_nc_rng_varejo-familiaridade_na_trafego_cpm_prog_all_300x250_open-auction_300x250_polo-virtus-parcelas699_var-rng-aaf-dsy-0221-10041</v>
      </c>
      <c r="AJ41" s="58" t="str">
        <f t="shared" si="2"/>
        <v>alp_vw_amazon_aaf_dsy_nonms_nd_nc_rng_varejo-familiaridade_na_trafego_cpm_prog_all_300x250_open-auction_300x250_polo-virtus-parcelas699_var-rng-aaf-dsy-0221-10041</v>
      </c>
      <c r="AK41" s="57" t="str">
        <f t="shared" si="3"/>
        <v>vw_range_300x250_polo-virtus-parcelas699_adserver</v>
      </c>
      <c r="AL41" s="57" t="str">
        <f t="shared" si="83"/>
        <v>https://ofertas.vw.com.br?utm_source=amazon&amp;utm_medium=Paid-Display&amp;utm_content=alp_vw_amazon_aaf_dsy_nonms_nd_nc_rng_varejo-familiaridade_na_trafego_cpm_prog_all_300x250_open-auction_300x250_polo-virtus-parcelas699_var-rng-aaf-dsy-0221-10041&amp;utm_campaign=BR_AAF_DSY_NONMS_ND_NC_2021Q1FEB_RNG_Varejo-Familiaridade&amp;utm_term=%epid!_%ecid!_%eaid!</v>
      </c>
      <c r="AM41" s="57" t="str">
        <f t="shared" si="5"/>
        <v>TAG</v>
      </c>
      <c r="AN41" s="53" t="str">
        <f t="shared" si="84"/>
        <v>amazon</v>
      </c>
      <c r="AO41" s="53" t="str">
        <f t="shared" si="85"/>
        <v>Paid-Display</v>
      </c>
      <c r="AP41" s="57" t="str">
        <f>Campanha!$B$3</f>
        <v>BR_AAF_DSY_NONMS_ND_NC_2021Q1FEB_RNG_Varejo-Familiaridade</v>
      </c>
      <c r="AQ41" s="57" t="str">
        <f t="shared" si="8"/>
        <v>alp_vw_amazon_aaf_dsy_nonms_nd_nc_rng_varejo-familiaridade_na_trafego_cpm_prog_all_300x250_open-auction_300x250_polo-virtus-parcelas699_var-rng-aaf-dsy-0221-10041</v>
      </c>
      <c r="AR41" s="53" t="s">
        <v>722</v>
      </c>
      <c r="AS41" s="57" t="str">
        <f t="shared" si="9"/>
        <v>https://ofertas.vw.com.br?utm_source=amazon&amp;utm_medium=Paid-Display&amp;utm_content=alp_vw_amazon_aaf_dsy_nonms_nd_nc_rng_varejo-familiaridade_na_trafego_cpm_prog_all_300x250_open-auction_300x250_polo-virtus-parcelas699_var-rng-aaf-dsy-0221-10041&amp;utm_campaign=BR_AAF_DSY_NONMS_ND_NC_2021Q1FEB_RNG_Varejo-Familiaridade&amp;utm_term=%epid!_%ecid!_%eaid!</v>
      </c>
      <c r="AT41" s="53" t="str">
        <f t="shared" si="86"/>
        <v>run-of-network</v>
      </c>
      <c r="AU41" s="53" t="str">
        <f t="shared" si="11"/>
        <v>BR</v>
      </c>
      <c r="AV41" s="53" t="str">
        <f t="shared" si="87"/>
        <v>amazon</v>
      </c>
      <c r="AW41" s="53" t="str">
        <f t="shared" si="88"/>
        <v>amazon</v>
      </c>
      <c r="AX41" s="53" t="str">
        <f t="shared" si="14"/>
        <v>varejo-familiaridade</v>
      </c>
      <c r="AY41" s="53" t="str">
        <f t="shared" si="89"/>
        <v>alp_vw_amazon_aaf_dsy_nonms_nd_nc_rng_varejo-familiaridade_na_trafego_cpm_prog_all_300x250_open-auction_300x250_polo-virtus-parcelas699_var-rng-aaf-dsy-0221-10041</v>
      </c>
      <c r="AZ41" s="53" t="str">
        <f t="shared" si="90"/>
        <v>300x250</v>
      </c>
      <c r="BA41" s="53" t="str">
        <f t="shared" si="91"/>
        <v>varejo-familiaridade</v>
      </c>
      <c r="BB41" s="53" t="s">
        <v>775</v>
      </c>
      <c r="BC41" s="53" t="s">
        <v>775</v>
      </c>
      <c r="BD41" s="53" t="str">
        <f t="shared" si="92"/>
        <v>var-rng-aaf-dsy-0221-10041</v>
      </c>
      <c r="BE41" s="53" t="str">
        <f t="shared" si="93"/>
        <v>BR</v>
      </c>
      <c r="BF41" s="53" t="str">
        <f t="shared" si="94"/>
        <v/>
      </c>
      <c r="BG41" s="53"/>
      <c r="BH41" s="53"/>
      <c r="BI41" s="59" t="str">
        <f t="shared" si="19"/>
        <v>https://ofertas.vw.com.br?adlid=var-rng-aaf-dsy-0221-10041&amp;adplt=alp_vw_amazon_aaf_dsy_nonms_nd_nc_rng_varejo-familiaridade_na_trafego_cpm_prog_all_300x250_open-auction_300x250_polo-virtus-parcelas699_var-rng-aaf-dsy-0221-10041</v>
      </c>
      <c r="BL41" s="20" t="str">
        <f t="shared" si="20"/>
        <v>alp_vw_amazon_aaf_dsy_nonms_nd_nc_rng_varejo-familiaridade_na_trafego</v>
      </c>
      <c r="BM41" s="20" t="str">
        <f t="shared" si="21"/>
        <v>cpm_prog_all_300x250_open-auction_300x250</v>
      </c>
      <c r="BN41" s="20" t="str">
        <f t="shared" si="22"/>
        <v>alp_vw_amazon_aaf_dsy_nonms_nd_nc_rng_varejo-familiaridade_na_trafego_cpm_prog_all_300x250_open-auction_300x250_polo-virtus-parcelas699_var-rng-aaf-dsy-0221-10041</v>
      </c>
      <c r="BO41" s="20"/>
      <c r="BP41" s="20"/>
    </row>
    <row r="42" spans="2:68" ht="15" hidden="1" customHeight="1" x14ac:dyDescent="0.25">
      <c r="B42" s="53" t="s">
        <v>996</v>
      </c>
      <c r="C42" s="53" t="s">
        <v>1112</v>
      </c>
      <c r="D42" s="53" t="s">
        <v>1051</v>
      </c>
      <c r="E42" s="54">
        <v>44294</v>
      </c>
      <c r="F42" s="54">
        <v>44316</v>
      </c>
      <c r="G42" s="53" t="s">
        <v>628</v>
      </c>
      <c r="H42" s="55" t="s">
        <v>939</v>
      </c>
      <c r="I42" s="53" t="s">
        <v>777</v>
      </c>
      <c r="J42" s="56" t="s">
        <v>936</v>
      </c>
      <c r="K42" s="56" t="s">
        <v>936</v>
      </c>
      <c r="L42" s="53" t="s">
        <v>653</v>
      </c>
      <c r="M42" s="53" t="s">
        <v>287</v>
      </c>
      <c r="N42" s="53" t="s">
        <v>295</v>
      </c>
      <c r="O42" s="53" t="s">
        <v>317</v>
      </c>
      <c r="P42" s="53" t="s">
        <v>319</v>
      </c>
      <c r="Q42" s="53" t="s">
        <v>658</v>
      </c>
      <c r="R42" s="53" t="s">
        <v>277</v>
      </c>
      <c r="S42" s="53" t="s">
        <v>841</v>
      </c>
      <c r="T42" s="53" t="s">
        <v>938</v>
      </c>
      <c r="U42" s="53" t="s">
        <v>1007</v>
      </c>
      <c r="V42" s="53" t="s">
        <v>1008</v>
      </c>
      <c r="W42" s="40" t="s">
        <v>442</v>
      </c>
      <c r="X42" s="40"/>
      <c r="Y42" s="53" t="s">
        <v>442</v>
      </c>
      <c r="Z42" s="39"/>
      <c r="AA42" s="38"/>
      <c r="AB42" s="38"/>
      <c r="AC42" s="38"/>
      <c r="AD42" s="37"/>
      <c r="AE42" s="37"/>
      <c r="AF42" s="38"/>
      <c r="AG42" s="38"/>
      <c r="AH42" s="53"/>
      <c r="AI42" s="57" t="str">
        <f t="shared" si="1"/>
        <v>alp_vw_amazon_aaf_dsy_nonms_nd_nc_rng_varejo-familiaridade_na_trafego_cpm_prog_all_300x600_open-auction_300x600_polo-virtus-parcelas699_var-rng-aaf-dsy-0221-10042</v>
      </c>
      <c r="AJ42" s="58" t="str">
        <f t="shared" si="2"/>
        <v>alp_vw_amazon_aaf_dsy_nonms_nd_nc_rng_varejo-familiaridade_na_trafego_cpm_prog_all_300x600_open-auction_300x600_polo-virtus-parcelas699_var-rng-aaf-dsy-0221-10042</v>
      </c>
      <c r="AK42" s="57" t="str">
        <f t="shared" si="3"/>
        <v>vw_range_300x600_polo-virtus-parcelas699_adserver</v>
      </c>
      <c r="AL42" s="57" t="str">
        <f t="shared" si="83"/>
        <v>https://ofertas.vw.com.br?utm_source=amazon&amp;utm_medium=Paid-Display&amp;utm_content=alp_vw_amazon_aaf_dsy_nonms_nd_nc_rng_varejo-familiaridade_na_trafego_cpm_prog_all_300x600_open-auction_300x600_polo-virtus-parcelas699_var-rng-aaf-dsy-0221-10042&amp;utm_campaign=BR_AAF_DSY_NONMS_ND_NC_2021Q1FEB_RNG_Varejo-Familiaridade&amp;utm_term=%epid!_%ecid!_%eaid!</v>
      </c>
      <c r="AM42" s="57" t="str">
        <f t="shared" si="5"/>
        <v>TAG</v>
      </c>
      <c r="AN42" s="53" t="str">
        <f t="shared" si="84"/>
        <v>amazon</v>
      </c>
      <c r="AO42" s="53" t="str">
        <f t="shared" si="85"/>
        <v>Paid-Display</v>
      </c>
      <c r="AP42" s="57" t="str">
        <f>Campanha!$B$3</f>
        <v>BR_AAF_DSY_NONMS_ND_NC_2021Q1FEB_RNG_Varejo-Familiaridade</v>
      </c>
      <c r="AQ42" s="57" t="str">
        <f t="shared" si="8"/>
        <v>alp_vw_amazon_aaf_dsy_nonms_nd_nc_rng_varejo-familiaridade_na_trafego_cpm_prog_all_300x600_open-auction_300x600_polo-virtus-parcelas699_var-rng-aaf-dsy-0221-10042</v>
      </c>
      <c r="AR42" s="53" t="s">
        <v>722</v>
      </c>
      <c r="AS42" s="57" t="str">
        <f t="shared" si="9"/>
        <v>https://ofertas.vw.com.br?utm_source=amazon&amp;utm_medium=Paid-Display&amp;utm_content=alp_vw_amazon_aaf_dsy_nonms_nd_nc_rng_varejo-familiaridade_na_trafego_cpm_prog_all_300x600_open-auction_300x600_polo-virtus-parcelas699_var-rng-aaf-dsy-0221-10042&amp;utm_campaign=BR_AAF_DSY_NONMS_ND_NC_2021Q1FEB_RNG_Varejo-Familiaridade&amp;utm_term=%epid!_%ecid!_%eaid!</v>
      </c>
      <c r="AT42" s="53" t="str">
        <f t="shared" si="86"/>
        <v>run-of-network</v>
      </c>
      <c r="AU42" s="53" t="str">
        <f t="shared" si="11"/>
        <v>BR</v>
      </c>
      <c r="AV42" s="53" t="str">
        <f t="shared" si="87"/>
        <v>amazon</v>
      </c>
      <c r="AW42" s="53" t="str">
        <f t="shared" si="88"/>
        <v>amazon</v>
      </c>
      <c r="AX42" s="53" t="str">
        <f t="shared" si="14"/>
        <v>varejo-familiaridade</v>
      </c>
      <c r="AY42" s="53" t="str">
        <f t="shared" si="89"/>
        <v>alp_vw_amazon_aaf_dsy_nonms_nd_nc_rng_varejo-familiaridade_na_trafego_cpm_prog_all_300x600_open-auction_300x600_polo-virtus-parcelas699_var-rng-aaf-dsy-0221-10042</v>
      </c>
      <c r="AZ42" s="53" t="str">
        <f t="shared" si="90"/>
        <v>300x600</v>
      </c>
      <c r="BA42" s="53" t="str">
        <f t="shared" si="91"/>
        <v>varejo-familiaridade</v>
      </c>
      <c r="BB42" s="53" t="s">
        <v>775</v>
      </c>
      <c r="BC42" s="53" t="s">
        <v>775</v>
      </c>
      <c r="BD42" s="53" t="str">
        <f t="shared" si="92"/>
        <v>var-rng-aaf-dsy-0221-10042</v>
      </c>
      <c r="BE42" s="53" t="str">
        <f t="shared" si="93"/>
        <v>BR</v>
      </c>
      <c r="BF42" s="53" t="str">
        <f t="shared" si="94"/>
        <v/>
      </c>
      <c r="BG42" s="53"/>
      <c r="BH42" s="53"/>
      <c r="BI42" s="59" t="str">
        <f t="shared" si="19"/>
        <v>https://ofertas.vw.com.br?adlid=var-rng-aaf-dsy-0221-10042&amp;adplt=alp_vw_amazon_aaf_dsy_nonms_nd_nc_rng_varejo-familiaridade_na_trafego_cpm_prog_all_300x600_open-auction_300x600_polo-virtus-parcelas699_var-rng-aaf-dsy-0221-10042</v>
      </c>
      <c r="BL42" s="20" t="str">
        <f t="shared" si="20"/>
        <v>alp_vw_amazon_aaf_dsy_nonms_nd_nc_rng_varejo-familiaridade_na_trafego</v>
      </c>
      <c r="BM42" s="20" t="str">
        <f t="shared" si="21"/>
        <v>cpm_prog_all_300x600_open-auction_300x600</v>
      </c>
      <c r="BN42" s="20" t="str">
        <f t="shared" si="22"/>
        <v>alp_vw_amazon_aaf_dsy_nonms_nd_nc_rng_varejo-familiaridade_na_trafego_cpm_prog_all_300x600_open-auction_300x600_polo-virtus-parcelas699_var-rng-aaf-dsy-0221-10042</v>
      </c>
      <c r="BO42" s="20"/>
      <c r="BP42" s="20"/>
    </row>
    <row r="43" spans="2:68" ht="15" hidden="1" customHeight="1" x14ac:dyDescent="0.25">
      <c r="B43" s="53" t="s">
        <v>996</v>
      </c>
      <c r="C43" s="53" t="s">
        <v>1112</v>
      </c>
      <c r="D43" s="53" t="s">
        <v>1051</v>
      </c>
      <c r="E43" s="54">
        <v>44294</v>
      </c>
      <c r="F43" s="54">
        <v>44316</v>
      </c>
      <c r="G43" s="53" t="s">
        <v>628</v>
      </c>
      <c r="H43" s="55" t="s">
        <v>939</v>
      </c>
      <c r="I43" s="53" t="s">
        <v>777</v>
      </c>
      <c r="J43" s="56" t="s">
        <v>936</v>
      </c>
      <c r="K43" s="56" t="s">
        <v>936</v>
      </c>
      <c r="L43" s="53" t="s">
        <v>653</v>
      </c>
      <c r="M43" s="53" t="s">
        <v>287</v>
      </c>
      <c r="N43" s="53" t="s">
        <v>295</v>
      </c>
      <c r="O43" s="53" t="s">
        <v>317</v>
      </c>
      <c r="P43" s="53" t="s">
        <v>284</v>
      </c>
      <c r="Q43" s="53" t="s">
        <v>658</v>
      </c>
      <c r="R43" s="53" t="s">
        <v>277</v>
      </c>
      <c r="S43" s="53" t="s">
        <v>841</v>
      </c>
      <c r="T43" s="53" t="s">
        <v>938</v>
      </c>
      <c r="U43" s="53" t="s">
        <v>1007</v>
      </c>
      <c r="V43" s="53" t="s">
        <v>1008</v>
      </c>
      <c r="W43" s="40" t="s">
        <v>568</v>
      </c>
      <c r="X43" s="40"/>
      <c r="Y43" s="53" t="s">
        <v>568</v>
      </c>
      <c r="Z43" s="39"/>
      <c r="AA43" s="38"/>
      <c r="AB43" s="38"/>
      <c r="AC43" s="38"/>
      <c r="AD43" s="37"/>
      <c r="AE43" s="37"/>
      <c r="AF43" s="38"/>
      <c r="AG43" s="38"/>
      <c r="AH43" s="53"/>
      <c r="AI43" s="57" t="str">
        <f t="shared" si="1"/>
        <v>alp_vw_amazon_aaf_dsy_nonms_nd_nc_rng_varejo-familiaridade_na_trafego_cpm_prog_all_728x90_open-auction_728x90_polo-virtus-parcelas699_var-rng-aaf-dsy-0221-10043</v>
      </c>
      <c r="AJ43" s="58" t="str">
        <f t="shared" si="2"/>
        <v>alp_vw_amazon_aaf_dsy_nonms_nd_nc_rng_varejo-familiaridade_na_trafego_cpm_prog_all_728x90_open-auction_728x90_polo-virtus-parcelas699_var-rng-aaf-dsy-0221-10043</v>
      </c>
      <c r="AK43" s="57" t="str">
        <f t="shared" si="3"/>
        <v>vw_range_728x90_polo-virtus-parcelas699_adserver</v>
      </c>
      <c r="AL43" s="57" t="str">
        <f t="shared" si="83"/>
        <v>https://ofertas.vw.com.br?utm_source=amazon&amp;utm_medium=Paid-Display&amp;utm_content=alp_vw_amazon_aaf_dsy_nonms_nd_nc_rng_varejo-familiaridade_na_trafego_cpm_prog_all_728x90_open-auction_728x90_polo-virtus-parcelas699_var-rng-aaf-dsy-0221-10043&amp;utm_campaign=BR_AAF_DSY_NONMS_ND_NC_2021Q1FEB_RNG_Varejo-Familiaridade&amp;utm_term=%epid!_%ecid!_%eaid!</v>
      </c>
      <c r="AM43" s="57" t="str">
        <f t="shared" si="5"/>
        <v>TAG</v>
      </c>
      <c r="AN43" s="53" t="str">
        <f t="shared" si="84"/>
        <v>amazon</v>
      </c>
      <c r="AO43" s="53" t="str">
        <f t="shared" si="85"/>
        <v>Paid-Display</v>
      </c>
      <c r="AP43" s="57" t="str">
        <f>Campanha!$B$3</f>
        <v>BR_AAF_DSY_NONMS_ND_NC_2021Q1FEB_RNG_Varejo-Familiaridade</v>
      </c>
      <c r="AQ43" s="57" t="str">
        <f t="shared" si="8"/>
        <v>alp_vw_amazon_aaf_dsy_nonms_nd_nc_rng_varejo-familiaridade_na_trafego_cpm_prog_all_728x90_open-auction_728x90_polo-virtus-parcelas699_var-rng-aaf-dsy-0221-10043</v>
      </c>
      <c r="AR43" s="53" t="s">
        <v>722</v>
      </c>
      <c r="AS43" s="57" t="str">
        <f t="shared" si="9"/>
        <v>https://ofertas.vw.com.br?utm_source=amazon&amp;utm_medium=Paid-Display&amp;utm_content=alp_vw_amazon_aaf_dsy_nonms_nd_nc_rng_varejo-familiaridade_na_trafego_cpm_prog_all_728x90_open-auction_728x90_polo-virtus-parcelas699_var-rng-aaf-dsy-0221-10043&amp;utm_campaign=BR_AAF_DSY_NONMS_ND_NC_2021Q1FEB_RNG_Varejo-Familiaridade&amp;utm_term=%epid!_%ecid!_%eaid!</v>
      </c>
      <c r="AT43" s="53" t="str">
        <f t="shared" si="86"/>
        <v>run-of-network</v>
      </c>
      <c r="AU43" s="53" t="str">
        <f t="shared" si="11"/>
        <v>BR</v>
      </c>
      <c r="AV43" s="53" t="str">
        <f t="shared" si="87"/>
        <v>amazon</v>
      </c>
      <c r="AW43" s="53" t="str">
        <f t="shared" si="88"/>
        <v>amazon</v>
      </c>
      <c r="AX43" s="53" t="str">
        <f t="shared" si="14"/>
        <v>varejo-familiaridade</v>
      </c>
      <c r="AY43" s="53" t="str">
        <f t="shared" si="89"/>
        <v>alp_vw_amazon_aaf_dsy_nonms_nd_nc_rng_varejo-familiaridade_na_trafego_cpm_prog_all_728x90_open-auction_728x90_polo-virtus-parcelas699_var-rng-aaf-dsy-0221-10043</v>
      </c>
      <c r="AZ43" s="53" t="str">
        <f t="shared" si="90"/>
        <v>728x90</v>
      </c>
      <c r="BA43" s="53" t="str">
        <f t="shared" si="91"/>
        <v>varejo-familiaridade</v>
      </c>
      <c r="BB43" s="53" t="s">
        <v>775</v>
      </c>
      <c r="BC43" s="53" t="s">
        <v>775</v>
      </c>
      <c r="BD43" s="53" t="str">
        <f t="shared" si="92"/>
        <v>var-rng-aaf-dsy-0221-10043</v>
      </c>
      <c r="BE43" s="53" t="str">
        <f t="shared" si="93"/>
        <v>BR</v>
      </c>
      <c r="BF43" s="53" t="str">
        <f t="shared" si="94"/>
        <v/>
      </c>
      <c r="BG43" s="53"/>
      <c r="BH43" s="53"/>
      <c r="BI43" s="59" t="str">
        <f t="shared" si="19"/>
        <v>https://ofertas.vw.com.br?adlid=var-rng-aaf-dsy-0221-10043&amp;adplt=alp_vw_amazon_aaf_dsy_nonms_nd_nc_rng_varejo-familiaridade_na_trafego_cpm_prog_all_728x90_open-auction_728x90_polo-virtus-parcelas699_var-rng-aaf-dsy-0221-10043</v>
      </c>
      <c r="BL43" s="20" t="str">
        <f t="shared" si="20"/>
        <v>alp_vw_amazon_aaf_dsy_nonms_nd_nc_rng_varejo-familiaridade_na_trafego</v>
      </c>
      <c r="BM43" s="20" t="str">
        <f t="shared" si="21"/>
        <v>cpm_prog_all_728x90_open-auction_728x90</v>
      </c>
      <c r="BN43" s="20" t="str">
        <f t="shared" si="22"/>
        <v>alp_vw_amazon_aaf_dsy_nonms_nd_nc_rng_varejo-familiaridade_na_trafego_cpm_prog_all_728x90_open-auction_728x90_polo-virtus-parcelas699_var-rng-aaf-dsy-0221-10043</v>
      </c>
      <c r="BO43" s="20"/>
      <c r="BP43" s="20"/>
    </row>
    <row r="44" spans="2:68" ht="15" hidden="1" customHeight="1" x14ac:dyDescent="0.25">
      <c r="B44" s="53" t="s">
        <v>996</v>
      </c>
      <c r="C44" s="53" t="s">
        <v>1112</v>
      </c>
      <c r="D44" s="53" t="s">
        <v>1051</v>
      </c>
      <c r="E44" s="54">
        <v>44294</v>
      </c>
      <c r="F44" s="54">
        <v>44316</v>
      </c>
      <c r="G44" s="53" t="s">
        <v>628</v>
      </c>
      <c r="H44" s="55" t="s">
        <v>939</v>
      </c>
      <c r="I44" s="53" t="s">
        <v>777</v>
      </c>
      <c r="J44" s="56" t="s">
        <v>936</v>
      </c>
      <c r="K44" s="56" t="s">
        <v>936</v>
      </c>
      <c r="L44" s="53" t="s">
        <v>653</v>
      </c>
      <c r="M44" s="53" t="s">
        <v>287</v>
      </c>
      <c r="N44" s="53" t="s">
        <v>295</v>
      </c>
      <c r="O44" s="53" t="s">
        <v>317</v>
      </c>
      <c r="P44" s="53" t="s">
        <v>311</v>
      </c>
      <c r="Q44" s="53" t="s">
        <v>658</v>
      </c>
      <c r="R44" s="53" t="s">
        <v>277</v>
      </c>
      <c r="S44" s="53" t="s">
        <v>841</v>
      </c>
      <c r="T44" s="53" t="s">
        <v>938</v>
      </c>
      <c r="U44" s="53" t="s">
        <v>1007</v>
      </c>
      <c r="V44" s="53" t="s">
        <v>1008</v>
      </c>
      <c r="W44" s="40" t="s">
        <v>457</v>
      </c>
      <c r="X44" s="40"/>
      <c r="Y44" s="53" t="s">
        <v>457</v>
      </c>
      <c r="Z44" s="39"/>
      <c r="AA44" s="38"/>
      <c r="AB44" s="38"/>
      <c r="AC44" s="38"/>
      <c r="AD44" s="37"/>
      <c r="AE44" s="37"/>
      <c r="AF44" s="38"/>
      <c r="AG44" s="38"/>
      <c r="AH44" s="53"/>
      <c r="AI44" s="57" t="str">
        <f t="shared" si="1"/>
        <v>alp_vw_amazon_aaf_dsy_nonms_nd_nc_rng_varejo-familiaridade_na_trafego_cpm_prog_all_320x50_open-auction_320x50_polo-virtus-parcelas699_var-rng-aaf-dsy-0221-10044</v>
      </c>
      <c r="AJ44" s="58" t="str">
        <f t="shared" si="2"/>
        <v>alp_vw_amazon_aaf_dsy_nonms_nd_nc_rng_varejo-familiaridade_na_trafego_cpm_prog_all_320x50_open-auction_320x50_polo-virtus-parcelas699_var-rng-aaf-dsy-0221-10044</v>
      </c>
      <c r="AK44" s="57" t="str">
        <f t="shared" si="3"/>
        <v>vw_range_320x50_polo-virtus-parcelas699_adserver</v>
      </c>
      <c r="AL44" s="57" t="str">
        <f t="shared" si="83"/>
        <v>https://ofertas.vw.com.br?utm_source=amazon&amp;utm_medium=Paid-Display&amp;utm_content=alp_vw_amazon_aaf_dsy_nonms_nd_nc_rng_varejo-familiaridade_na_trafego_cpm_prog_all_320x50_open-auction_320x50_polo-virtus-parcelas699_var-rng-aaf-dsy-0221-10044&amp;utm_campaign=BR_AAF_DSY_NONMS_ND_NC_2021Q1FEB_RNG_Varejo-Familiaridade&amp;utm_term=%epid!_%ecid!_%eaid!</v>
      </c>
      <c r="AM44" s="57" t="str">
        <f t="shared" si="5"/>
        <v>TAG</v>
      </c>
      <c r="AN44" s="53" t="str">
        <f t="shared" si="84"/>
        <v>amazon</v>
      </c>
      <c r="AO44" s="53" t="str">
        <f t="shared" si="85"/>
        <v>Paid-Display</v>
      </c>
      <c r="AP44" s="57" t="str">
        <f>Campanha!$B$3</f>
        <v>BR_AAF_DSY_NONMS_ND_NC_2021Q1FEB_RNG_Varejo-Familiaridade</v>
      </c>
      <c r="AQ44" s="57" t="str">
        <f t="shared" si="8"/>
        <v>alp_vw_amazon_aaf_dsy_nonms_nd_nc_rng_varejo-familiaridade_na_trafego_cpm_prog_all_320x50_open-auction_320x50_polo-virtus-parcelas699_var-rng-aaf-dsy-0221-10044</v>
      </c>
      <c r="AR44" s="53" t="s">
        <v>722</v>
      </c>
      <c r="AS44" s="57" t="str">
        <f t="shared" si="9"/>
        <v>https://ofertas.vw.com.br?utm_source=amazon&amp;utm_medium=Paid-Display&amp;utm_content=alp_vw_amazon_aaf_dsy_nonms_nd_nc_rng_varejo-familiaridade_na_trafego_cpm_prog_all_320x50_open-auction_320x50_polo-virtus-parcelas699_var-rng-aaf-dsy-0221-10044&amp;utm_campaign=BR_AAF_DSY_NONMS_ND_NC_2021Q1FEB_RNG_Varejo-Familiaridade&amp;utm_term=%epid!_%ecid!_%eaid!</v>
      </c>
      <c r="AT44" s="53" t="str">
        <f t="shared" si="86"/>
        <v>run-of-network</v>
      </c>
      <c r="AU44" s="53" t="str">
        <f t="shared" si="11"/>
        <v>BR</v>
      </c>
      <c r="AV44" s="53" t="str">
        <f t="shared" si="87"/>
        <v>amazon</v>
      </c>
      <c r="AW44" s="53" t="str">
        <f t="shared" si="88"/>
        <v>amazon</v>
      </c>
      <c r="AX44" s="53" t="str">
        <f t="shared" si="14"/>
        <v>varejo-familiaridade</v>
      </c>
      <c r="AY44" s="53" t="str">
        <f t="shared" si="89"/>
        <v>alp_vw_amazon_aaf_dsy_nonms_nd_nc_rng_varejo-familiaridade_na_trafego_cpm_prog_all_320x50_open-auction_320x50_polo-virtus-parcelas699_var-rng-aaf-dsy-0221-10044</v>
      </c>
      <c r="AZ44" s="53" t="str">
        <f t="shared" si="90"/>
        <v>320x50</v>
      </c>
      <c r="BA44" s="53" t="str">
        <f t="shared" si="91"/>
        <v>varejo-familiaridade</v>
      </c>
      <c r="BB44" s="53" t="s">
        <v>775</v>
      </c>
      <c r="BC44" s="53" t="s">
        <v>775</v>
      </c>
      <c r="BD44" s="53" t="str">
        <f t="shared" si="92"/>
        <v>var-rng-aaf-dsy-0221-10044</v>
      </c>
      <c r="BE44" s="53" t="str">
        <f t="shared" si="93"/>
        <v>BR</v>
      </c>
      <c r="BF44" s="53" t="str">
        <f t="shared" si="94"/>
        <v/>
      </c>
      <c r="BG44" s="53"/>
      <c r="BH44" s="53"/>
      <c r="BI44" s="59" t="str">
        <f t="shared" si="19"/>
        <v>https://ofertas.vw.com.br?adlid=var-rng-aaf-dsy-0221-10044&amp;adplt=alp_vw_amazon_aaf_dsy_nonms_nd_nc_rng_varejo-familiaridade_na_trafego_cpm_prog_all_320x50_open-auction_320x50_polo-virtus-parcelas699_var-rng-aaf-dsy-0221-10044</v>
      </c>
      <c r="BL44" s="20" t="str">
        <f t="shared" si="20"/>
        <v>alp_vw_amazon_aaf_dsy_nonms_nd_nc_rng_varejo-familiaridade_na_trafego</v>
      </c>
      <c r="BM44" s="20" t="str">
        <f t="shared" si="21"/>
        <v>cpm_prog_all_320x50_open-auction_320x50</v>
      </c>
      <c r="BN44" s="20" t="str">
        <f t="shared" si="22"/>
        <v>alp_vw_amazon_aaf_dsy_nonms_nd_nc_rng_varejo-familiaridade_na_trafego_cpm_prog_all_320x50_open-auction_320x50_polo-virtus-parcelas699_var-rng-aaf-dsy-0221-10044</v>
      </c>
      <c r="BO44" s="20"/>
      <c r="BP44" s="20"/>
    </row>
    <row r="45" spans="2:68" ht="15" hidden="1" customHeight="1" x14ac:dyDescent="0.25">
      <c r="B45" s="53" t="s">
        <v>996</v>
      </c>
      <c r="C45" s="53" t="s">
        <v>1112</v>
      </c>
      <c r="D45" s="53" t="s">
        <v>1051</v>
      </c>
      <c r="E45" s="54">
        <v>44294</v>
      </c>
      <c r="F45" s="54">
        <v>44316</v>
      </c>
      <c r="G45" s="53" t="s">
        <v>628</v>
      </c>
      <c r="H45" s="55" t="s">
        <v>939</v>
      </c>
      <c r="I45" s="53" t="s">
        <v>777</v>
      </c>
      <c r="J45" s="56" t="s">
        <v>936</v>
      </c>
      <c r="K45" s="56" t="s">
        <v>936</v>
      </c>
      <c r="L45" s="53" t="s">
        <v>653</v>
      </c>
      <c r="M45" s="53" t="s">
        <v>287</v>
      </c>
      <c r="N45" s="53" t="s">
        <v>295</v>
      </c>
      <c r="O45" s="53" t="s">
        <v>654</v>
      </c>
      <c r="P45" s="53" t="s">
        <v>284</v>
      </c>
      <c r="Q45" s="53" t="s">
        <v>658</v>
      </c>
      <c r="R45" s="53" t="s">
        <v>277</v>
      </c>
      <c r="S45" s="53" t="s">
        <v>841</v>
      </c>
      <c r="T45" s="53" t="s">
        <v>938</v>
      </c>
      <c r="U45" s="53" t="s">
        <v>1007</v>
      </c>
      <c r="V45" s="53" t="s">
        <v>1008</v>
      </c>
      <c r="W45" s="40" t="s">
        <v>606</v>
      </c>
      <c r="X45" s="40"/>
      <c r="Y45" s="53" t="s">
        <v>606</v>
      </c>
      <c r="Z45" s="39"/>
      <c r="AA45" s="38"/>
      <c r="AB45" s="38"/>
      <c r="AC45" s="38"/>
      <c r="AD45" s="37"/>
      <c r="AE45" s="37"/>
      <c r="AF45" s="38"/>
      <c r="AG45" s="38"/>
      <c r="AH45" s="53"/>
      <c r="AI45" s="57" t="str">
        <f t="shared" si="1"/>
        <v>alp_vw_amazon_aaf_dsy_nonms_nd_nc_rng_varejo-familiaridade_na_trafego_cpm_prog_all_970x250_open-auction_970x250_polo-virtus-parcelas699_var-rng-aaf-dsy-0221-10045</v>
      </c>
      <c r="AJ45" s="58" t="str">
        <f t="shared" si="2"/>
        <v>alp_vw_amazon_aaf_dsy_nonms_nd_nc_rng_varejo-familiaridade_na_trafego_cpm_prog_all_970x250_open-auction_970x250_polo-virtus-parcelas699_var-rng-aaf-dsy-0221-10045</v>
      </c>
      <c r="AK45" s="57" t="str">
        <f t="shared" si="3"/>
        <v>vw_range_970x250_polo-virtus-parcelas699_adserver</v>
      </c>
      <c r="AL45" s="57" t="str">
        <f t="shared" si="83"/>
        <v>https://ofertas.vw.com.br?utm_source=amazon&amp;utm_medium=Paid-Display&amp;utm_content=alp_vw_amazon_aaf_dsy_nonms_nd_nc_rng_varejo-familiaridade_na_trafego_cpm_prog_all_970x250_open-auction_970x250_polo-virtus-parcelas699_var-rng-aaf-dsy-0221-10045&amp;utm_campaign=BR_AAF_DSY_NONMS_ND_NC_2021Q1FEB_RNG_Varejo-Familiaridade&amp;utm_term=%epid!_%ecid!_%eaid!</v>
      </c>
      <c r="AM45" s="57" t="str">
        <f t="shared" si="5"/>
        <v>TAG</v>
      </c>
      <c r="AN45" s="53" t="str">
        <f t="shared" si="84"/>
        <v>amazon</v>
      </c>
      <c r="AO45" s="53" t="str">
        <f t="shared" si="85"/>
        <v>Paid-Display</v>
      </c>
      <c r="AP45" s="57" t="str">
        <f>Campanha!$B$3</f>
        <v>BR_AAF_DSY_NONMS_ND_NC_2021Q1FEB_RNG_Varejo-Familiaridade</v>
      </c>
      <c r="AQ45" s="57" t="str">
        <f t="shared" si="8"/>
        <v>alp_vw_amazon_aaf_dsy_nonms_nd_nc_rng_varejo-familiaridade_na_trafego_cpm_prog_all_970x250_open-auction_970x250_polo-virtus-parcelas699_var-rng-aaf-dsy-0221-10045</v>
      </c>
      <c r="AR45" s="53" t="s">
        <v>722</v>
      </c>
      <c r="AS45" s="57" t="str">
        <f t="shared" si="9"/>
        <v>https://ofertas.vw.com.br?utm_source=amazon&amp;utm_medium=Paid-Display&amp;utm_content=alp_vw_amazon_aaf_dsy_nonms_nd_nc_rng_varejo-familiaridade_na_trafego_cpm_prog_all_970x250_open-auction_970x250_polo-virtus-parcelas699_var-rng-aaf-dsy-0221-10045&amp;utm_campaign=BR_AAF_DSY_NONMS_ND_NC_2021Q1FEB_RNG_Varejo-Familiaridade&amp;utm_term=%epid!_%ecid!_%eaid!</v>
      </c>
      <c r="AT45" s="53" t="str">
        <f t="shared" si="86"/>
        <v>run-of-network</v>
      </c>
      <c r="AU45" s="53" t="str">
        <f t="shared" si="11"/>
        <v>BR</v>
      </c>
      <c r="AV45" s="53" t="str">
        <f t="shared" si="87"/>
        <v>amazon</v>
      </c>
      <c r="AW45" s="53" t="str">
        <f t="shared" si="88"/>
        <v>amazon</v>
      </c>
      <c r="AX45" s="53" t="str">
        <f t="shared" si="14"/>
        <v>varejo-familiaridade</v>
      </c>
      <c r="AY45" s="53" t="str">
        <f t="shared" si="89"/>
        <v>alp_vw_amazon_aaf_dsy_nonms_nd_nc_rng_varejo-familiaridade_na_trafego_cpm_prog_all_970x250_open-auction_970x250_polo-virtus-parcelas699_var-rng-aaf-dsy-0221-10045</v>
      </c>
      <c r="AZ45" s="53" t="str">
        <f t="shared" si="90"/>
        <v>970x250</v>
      </c>
      <c r="BA45" s="53" t="str">
        <f t="shared" si="91"/>
        <v>varejo-familiaridade</v>
      </c>
      <c r="BB45" s="53" t="s">
        <v>775</v>
      </c>
      <c r="BC45" s="53" t="s">
        <v>775</v>
      </c>
      <c r="BD45" s="53" t="str">
        <f t="shared" si="92"/>
        <v>var-rng-aaf-dsy-0221-10045</v>
      </c>
      <c r="BE45" s="53" t="str">
        <f t="shared" si="93"/>
        <v>BR</v>
      </c>
      <c r="BF45" s="53" t="str">
        <f t="shared" si="94"/>
        <v/>
      </c>
      <c r="BG45" s="53"/>
      <c r="BH45" s="53"/>
      <c r="BI45" s="59" t="str">
        <f t="shared" si="19"/>
        <v>https://ofertas.vw.com.br?adlid=var-rng-aaf-dsy-0221-10045&amp;adplt=alp_vw_amazon_aaf_dsy_nonms_nd_nc_rng_varejo-familiaridade_na_trafego_cpm_prog_all_970x250_open-auction_970x250_polo-virtus-parcelas699_var-rng-aaf-dsy-0221-10045</v>
      </c>
      <c r="BL45" s="20" t="str">
        <f t="shared" si="20"/>
        <v>alp_vw_amazon_aaf_dsy_nonms_nd_nc_rng_varejo-familiaridade_na_trafego</v>
      </c>
      <c r="BM45" s="20" t="str">
        <f t="shared" si="21"/>
        <v>cpm_prog_all_970x250_open-auction_970x250</v>
      </c>
      <c r="BN45" s="20" t="str">
        <f t="shared" si="22"/>
        <v>alp_vw_amazon_aaf_dsy_nonms_nd_nc_rng_varejo-familiaridade_na_trafego_cpm_prog_all_970x250_open-auction_970x250_polo-virtus-parcelas699_var-rng-aaf-dsy-0221-10045</v>
      </c>
      <c r="BO45" s="20"/>
      <c r="BP45" s="20"/>
    </row>
    <row r="46" spans="2:68" ht="15" hidden="1" customHeight="1" x14ac:dyDescent="0.25">
      <c r="B46" s="53" t="s">
        <v>996</v>
      </c>
      <c r="C46" s="53" t="s">
        <v>1009</v>
      </c>
      <c r="D46" s="53" t="s">
        <v>1006</v>
      </c>
      <c r="E46" s="54">
        <v>44294</v>
      </c>
      <c r="F46" s="54">
        <v>44316</v>
      </c>
      <c r="G46" s="53" t="s">
        <v>626</v>
      </c>
      <c r="H46" s="55" t="s">
        <v>939</v>
      </c>
      <c r="I46" s="53" t="s">
        <v>777</v>
      </c>
      <c r="J46" s="56" t="s">
        <v>936</v>
      </c>
      <c r="K46" s="56" t="s">
        <v>936</v>
      </c>
      <c r="L46" s="53" t="s">
        <v>653</v>
      </c>
      <c r="M46" s="53" t="s">
        <v>287</v>
      </c>
      <c r="N46" s="53" t="s">
        <v>295</v>
      </c>
      <c r="O46" s="53" t="s">
        <v>654</v>
      </c>
      <c r="P46" s="53" t="s">
        <v>311</v>
      </c>
      <c r="Q46" s="53" t="s">
        <v>658</v>
      </c>
      <c r="R46" s="53" t="s">
        <v>277</v>
      </c>
      <c r="S46" s="53" t="s">
        <v>841</v>
      </c>
      <c r="T46" s="53" t="s">
        <v>938</v>
      </c>
      <c r="U46" s="53" t="s">
        <v>1007</v>
      </c>
      <c r="V46" s="53" t="s">
        <v>1008</v>
      </c>
      <c r="W46" s="40" t="s">
        <v>433</v>
      </c>
      <c r="X46" s="40"/>
      <c r="Y46" s="53" t="s">
        <v>433</v>
      </c>
      <c r="Z46" s="39"/>
      <c r="AA46" s="38"/>
      <c r="AB46" s="38"/>
      <c r="AC46" s="38"/>
      <c r="AD46" s="37"/>
      <c r="AE46" s="37"/>
      <c r="AF46" s="38"/>
      <c r="AG46" s="38"/>
      <c r="AH46" s="53"/>
      <c r="AI46" s="57" t="str">
        <f t="shared" si="1"/>
        <v>alp_vw_amazon_aaf_dsy_nonms_nd_nc_rng_varejo-familiaridade_na_trafego_cpm_prog_all_300x250_open-auction_300x250_polo-virtus-parcelas699_var-rng-aaf-dsy-0221-10046</v>
      </c>
      <c r="AJ46" s="58" t="str">
        <f t="shared" si="2"/>
        <v>alp_vw_amazon_aaf_dsy_nonms_nd_nc_rng_varejo-familiaridade_na_trafego_cpm_prog_all_300x250_open-auction_300x250_polo-virtus-parcelas699_var-rng-aaf-dsy-0221-10046</v>
      </c>
      <c r="AK46" s="57" t="str">
        <f t="shared" si="3"/>
        <v>vw_range_300x250_polo-virtus-parcelas699_amazon</v>
      </c>
      <c r="AL46" s="57" t="str">
        <f t="shared" si="83"/>
        <v>https://ofertas.vw.com.br?utm_source=amazon&amp;utm_medium=Paid-Display&amp;utm_content=alp_vw_amazon_aaf_dsy_nonms_nd_nc_rng_varejo-familiaridade_na_trafego_cpm_prog_all_300x250_open-auction_300x250_polo-virtus-parcelas699_var-rng-aaf-dsy-0221-10046&amp;utm_campaign=BR_AAF_DSY_NONMS_ND_NC_2021Q1FEB_RNG_Varejo-Familiaridade&amp;utm_term=%epid!_%ecid!_%eaid!</v>
      </c>
      <c r="AM46" s="57" t="str">
        <f t="shared" si="5"/>
        <v>https://ad.doubleclick.net/ddm/trackclk/N9487.3350855AMAZONBRAZIL/B25333445.300533669;dc_trk_aid=493643680;dc_trk_cid=145996180;dc_lat=;dc_rdid=;tag_for_child_directed_treatment=;tfua=</v>
      </c>
      <c r="AN46" s="53" t="str">
        <f t="shared" si="84"/>
        <v>amazon</v>
      </c>
      <c r="AO46" s="53" t="str">
        <f t="shared" si="85"/>
        <v>Paid-Display</v>
      </c>
      <c r="AP46" s="57" t="str">
        <f>Campanha!$B$3</f>
        <v>BR_AAF_DSY_NONMS_ND_NC_2021Q1FEB_RNG_Varejo-Familiaridade</v>
      </c>
      <c r="AQ46" s="57" t="str">
        <f t="shared" si="8"/>
        <v>alp_vw_amazon_aaf_dsy_nonms_nd_nc_rng_varejo-familiaridade_na_trafego_cpm_prog_all_300x250_open-auction_300x250_polo-virtus-parcelas699_var-rng-aaf-dsy-0221-10046</v>
      </c>
      <c r="AR46" s="53" t="s">
        <v>722</v>
      </c>
      <c r="AS46" s="57" t="str">
        <f t="shared" si="9"/>
        <v>https://ofertas.vw.com.br?utm_source=amazon&amp;utm_medium=Paid-Display&amp;utm_content=alp_vw_amazon_aaf_dsy_nonms_nd_nc_rng_varejo-familiaridade_na_trafego_cpm_prog_all_300x250_open-auction_300x250_polo-virtus-parcelas699_var-rng-aaf-dsy-0221-10046&amp;utm_campaign=BR_AAF_DSY_NONMS_ND_NC_2021Q1FEB_RNG_Varejo-Familiaridade&amp;utm_term=%epid!_%ecid!_%eaid!</v>
      </c>
      <c r="AT46" s="53" t="str">
        <f t="shared" si="86"/>
        <v>run-of-network</v>
      </c>
      <c r="AU46" s="53" t="str">
        <f t="shared" si="11"/>
        <v>BR</v>
      </c>
      <c r="AV46" s="53" t="str">
        <f t="shared" si="87"/>
        <v>amazon</v>
      </c>
      <c r="AW46" s="53" t="str">
        <f t="shared" si="88"/>
        <v>amazon</v>
      </c>
      <c r="AX46" s="53" t="str">
        <f t="shared" si="14"/>
        <v>varejo-familiaridade</v>
      </c>
      <c r="AY46" s="53" t="str">
        <f t="shared" si="89"/>
        <v>alp_vw_amazon_aaf_dsy_nonms_nd_nc_rng_varejo-familiaridade_na_trafego_cpm_prog_all_300x250_open-auction_300x250_polo-virtus-parcelas699_var-rng-aaf-dsy-0221-10046</v>
      </c>
      <c r="AZ46" s="53" t="str">
        <f t="shared" si="90"/>
        <v>300x250</v>
      </c>
      <c r="BA46" s="53" t="str">
        <f t="shared" si="91"/>
        <v>varejo-familiaridade</v>
      </c>
      <c r="BB46" s="53" t="s">
        <v>775</v>
      </c>
      <c r="BC46" s="53" t="s">
        <v>775</v>
      </c>
      <c r="BD46" s="53" t="str">
        <f t="shared" si="92"/>
        <v>var-rng-aaf-dsy-0221-10046</v>
      </c>
      <c r="BE46" s="53" t="str">
        <f t="shared" si="93"/>
        <v>BR</v>
      </c>
      <c r="BF46" s="53" t="str">
        <f t="shared" si="94"/>
        <v/>
      </c>
      <c r="BG46" s="53"/>
      <c r="BH46" s="53"/>
      <c r="BI46" s="59" t="str">
        <f t="shared" si="19"/>
        <v>https://ofertas.vw.com.br?adlid=var-rng-aaf-dsy-0221-10046&amp;adplt=alp_vw_amazon_aaf_dsy_nonms_nd_nc_rng_varejo-familiaridade_na_trafego_cpm_prog_all_300x250_open-auction_300x250_polo-virtus-parcelas699_var-rng-aaf-dsy-0221-10046</v>
      </c>
      <c r="BL46" s="20" t="str">
        <f t="shared" si="20"/>
        <v>alp_vw_amazon_aaf_dsy_nonms_nd_nc_rng_varejo-familiaridade_na_trafego</v>
      </c>
      <c r="BM46" s="20" t="str">
        <f t="shared" si="21"/>
        <v>cpm_prog_all_300x250_open-auction_300x250</v>
      </c>
      <c r="BN46" s="20" t="str">
        <f t="shared" si="22"/>
        <v>alp_vw_amazon_aaf_dsy_nonms_nd_nc_rng_varejo-familiaridade_na_trafego_cpm_prog_all_300x250_open-auction_300x250_polo-virtus-parcelas699_var-rng-aaf-dsy-0221-10046</v>
      </c>
      <c r="BO46" s="20"/>
      <c r="BP46" s="20"/>
    </row>
    <row r="47" spans="2:68" ht="15" hidden="1" customHeight="1" x14ac:dyDescent="0.25">
      <c r="B47" s="53" t="s">
        <v>996</v>
      </c>
      <c r="C47" s="53" t="s">
        <v>1009</v>
      </c>
      <c r="D47" s="53" t="s">
        <v>1006</v>
      </c>
      <c r="E47" s="54">
        <v>44294</v>
      </c>
      <c r="F47" s="54">
        <v>44316</v>
      </c>
      <c r="G47" s="53" t="s">
        <v>626</v>
      </c>
      <c r="H47" s="55" t="s">
        <v>939</v>
      </c>
      <c r="I47" s="53" t="s">
        <v>777</v>
      </c>
      <c r="J47" s="56" t="s">
        <v>936</v>
      </c>
      <c r="K47" s="56" t="s">
        <v>936</v>
      </c>
      <c r="L47" s="53" t="s">
        <v>653</v>
      </c>
      <c r="M47" s="53" t="s">
        <v>287</v>
      </c>
      <c r="N47" s="53" t="s">
        <v>295</v>
      </c>
      <c r="O47" s="53" t="s">
        <v>654</v>
      </c>
      <c r="P47" s="53" t="s">
        <v>311</v>
      </c>
      <c r="Q47" s="53" t="s">
        <v>658</v>
      </c>
      <c r="R47" s="53" t="s">
        <v>277</v>
      </c>
      <c r="S47" s="53" t="s">
        <v>841</v>
      </c>
      <c r="T47" s="53" t="s">
        <v>938</v>
      </c>
      <c r="U47" s="53" t="s">
        <v>1007</v>
      </c>
      <c r="V47" s="53" t="s">
        <v>1008</v>
      </c>
      <c r="W47" s="40" t="s">
        <v>457</v>
      </c>
      <c r="X47" s="40"/>
      <c r="Y47" s="53" t="s">
        <v>457</v>
      </c>
      <c r="Z47" s="39"/>
      <c r="AA47" s="38"/>
      <c r="AB47" s="38"/>
      <c r="AC47" s="38"/>
      <c r="AD47" s="37"/>
      <c r="AE47" s="37"/>
      <c r="AF47" s="38"/>
      <c r="AG47" s="38"/>
      <c r="AH47" s="53"/>
      <c r="AI47" s="57" t="str">
        <f t="shared" si="1"/>
        <v>alp_vw_amazon_aaf_dsy_nonms_nd_nc_rng_varejo-familiaridade_na_trafego_cpm_prog_all_320x50_open-auction_320x50_polo-virtus-parcelas699_var-rng-aaf-dsy-0221-10047</v>
      </c>
      <c r="AJ47" s="58" t="str">
        <f t="shared" si="2"/>
        <v>alp_vw_amazon_aaf_dsy_nonms_nd_nc_rng_varejo-familiaridade_na_trafego_cpm_prog_all_320x50_open-auction_320x50_polo-virtus-parcelas699_var-rng-aaf-dsy-0221-10047</v>
      </c>
      <c r="AK47" s="57" t="str">
        <f t="shared" si="3"/>
        <v>vw_range_320x50_polo-virtus-parcelas699_amazon</v>
      </c>
      <c r="AL47" s="57" t="str">
        <f t="shared" si="83"/>
        <v>https://ofertas.vw.com.br?utm_source=amazon&amp;utm_medium=Paid-Display&amp;utm_content=alp_vw_amazon_aaf_dsy_nonms_nd_nc_rng_varejo-familiaridade_na_trafego_cpm_prog_all_320x50_open-auction_320x50_polo-virtus-parcelas699_var-rng-aaf-dsy-0221-10047&amp;utm_campaign=BR_AAF_DSY_NONMS_ND_NC_2021Q1FEB_RNG_Varejo-Familiaridade&amp;utm_term=%epid!_%ecid!_%eaid!</v>
      </c>
      <c r="AM47" s="57" t="str">
        <f t="shared" si="5"/>
        <v>https://ad.doubleclick.net/ddm/trackclk/N9487.3350855AMAZONBRAZIL/B25333445.300533666;dc_trk_aid=493643683;dc_trk_cid=145996180;dc_lat=;dc_rdid=;tag_for_child_directed_treatment=;tfua=</v>
      </c>
      <c r="AN47" s="53" t="str">
        <f t="shared" si="84"/>
        <v>amazon</v>
      </c>
      <c r="AO47" s="53" t="str">
        <f t="shared" si="85"/>
        <v>Paid-Display</v>
      </c>
      <c r="AP47" s="57" t="str">
        <f>Campanha!$B$3</f>
        <v>BR_AAF_DSY_NONMS_ND_NC_2021Q1FEB_RNG_Varejo-Familiaridade</v>
      </c>
      <c r="AQ47" s="57" t="str">
        <f t="shared" si="8"/>
        <v>alp_vw_amazon_aaf_dsy_nonms_nd_nc_rng_varejo-familiaridade_na_trafego_cpm_prog_all_320x50_open-auction_320x50_polo-virtus-parcelas699_var-rng-aaf-dsy-0221-10047</v>
      </c>
      <c r="AR47" s="53" t="s">
        <v>722</v>
      </c>
      <c r="AS47" s="57" t="str">
        <f t="shared" si="9"/>
        <v>https://ofertas.vw.com.br?utm_source=amazon&amp;utm_medium=Paid-Display&amp;utm_content=alp_vw_amazon_aaf_dsy_nonms_nd_nc_rng_varejo-familiaridade_na_trafego_cpm_prog_all_320x50_open-auction_320x50_polo-virtus-parcelas699_var-rng-aaf-dsy-0221-10047&amp;utm_campaign=BR_AAF_DSY_NONMS_ND_NC_2021Q1FEB_RNG_Varejo-Familiaridade&amp;utm_term=%epid!_%ecid!_%eaid!</v>
      </c>
      <c r="AT47" s="53" t="str">
        <f t="shared" si="86"/>
        <v>run-of-network</v>
      </c>
      <c r="AU47" s="53" t="str">
        <f t="shared" si="11"/>
        <v>BR</v>
      </c>
      <c r="AV47" s="53" t="str">
        <f t="shared" si="87"/>
        <v>amazon</v>
      </c>
      <c r="AW47" s="53" t="str">
        <f t="shared" si="88"/>
        <v>amazon</v>
      </c>
      <c r="AX47" s="53" t="str">
        <f t="shared" si="14"/>
        <v>varejo-familiaridade</v>
      </c>
      <c r="AY47" s="53" t="str">
        <f t="shared" si="89"/>
        <v>alp_vw_amazon_aaf_dsy_nonms_nd_nc_rng_varejo-familiaridade_na_trafego_cpm_prog_all_320x50_open-auction_320x50_polo-virtus-parcelas699_var-rng-aaf-dsy-0221-10047</v>
      </c>
      <c r="AZ47" s="53" t="str">
        <f t="shared" si="90"/>
        <v>320x50</v>
      </c>
      <c r="BA47" s="53" t="str">
        <f t="shared" si="91"/>
        <v>varejo-familiaridade</v>
      </c>
      <c r="BB47" s="53" t="s">
        <v>775</v>
      </c>
      <c r="BC47" s="53" t="s">
        <v>775</v>
      </c>
      <c r="BD47" s="53" t="str">
        <f t="shared" si="92"/>
        <v>var-rng-aaf-dsy-0221-10047</v>
      </c>
      <c r="BE47" s="53" t="str">
        <f t="shared" si="93"/>
        <v>BR</v>
      </c>
      <c r="BF47" s="53" t="str">
        <f t="shared" si="94"/>
        <v/>
      </c>
      <c r="BG47" s="53"/>
      <c r="BH47" s="53"/>
      <c r="BI47" s="59" t="str">
        <f t="shared" si="19"/>
        <v>https://ofertas.vw.com.br?adlid=var-rng-aaf-dsy-0221-10047&amp;adplt=alp_vw_amazon_aaf_dsy_nonms_nd_nc_rng_varejo-familiaridade_na_trafego_cpm_prog_all_320x50_open-auction_320x50_polo-virtus-parcelas699_var-rng-aaf-dsy-0221-10047</v>
      </c>
      <c r="BL47" s="20" t="str">
        <f t="shared" si="20"/>
        <v>alp_vw_amazon_aaf_dsy_nonms_nd_nc_rng_varejo-familiaridade_na_trafego</v>
      </c>
      <c r="BM47" s="20" t="str">
        <f t="shared" si="21"/>
        <v>cpm_prog_all_320x50_open-auction_320x50</v>
      </c>
      <c r="BN47" s="20" t="str">
        <f t="shared" si="22"/>
        <v>alp_vw_amazon_aaf_dsy_nonms_nd_nc_rng_varejo-familiaridade_na_trafego_cpm_prog_all_320x50_open-auction_320x50_polo-virtus-parcelas699_var-rng-aaf-dsy-0221-10047</v>
      </c>
      <c r="BO47" s="20"/>
      <c r="BP47" s="20"/>
    </row>
    <row r="48" spans="2:68" ht="15" hidden="1" customHeight="1" x14ac:dyDescent="0.25">
      <c r="B48" s="53" t="s">
        <v>996</v>
      </c>
      <c r="C48" s="53" t="s">
        <v>1009</v>
      </c>
      <c r="D48" s="53" t="s">
        <v>1006</v>
      </c>
      <c r="E48" s="54">
        <v>44294</v>
      </c>
      <c r="F48" s="54">
        <v>44316</v>
      </c>
      <c r="G48" s="53" t="s">
        <v>626</v>
      </c>
      <c r="H48" s="55" t="s">
        <v>939</v>
      </c>
      <c r="I48" s="53" t="s">
        <v>777</v>
      </c>
      <c r="J48" s="56" t="s">
        <v>936</v>
      </c>
      <c r="K48" s="56" t="s">
        <v>936</v>
      </c>
      <c r="L48" s="53" t="s">
        <v>653</v>
      </c>
      <c r="M48" s="53" t="s">
        <v>287</v>
      </c>
      <c r="N48" s="53" t="s">
        <v>295</v>
      </c>
      <c r="O48" s="53" t="s">
        <v>654</v>
      </c>
      <c r="P48" s="53" t="s">
        <v>311</v>
      </c>
      <c r="Q48" s="53" t="s">
        <v>658</v>
      </c>
      <c r="R48" s="53" t="s">
        <v>277</v>
      </c>
      <c r="S48" s="53" t="s">
        <v>841</v>
      </c>
      <c r="T48" s="53" t="s">
        <v>938</v>
      </c>
      <c r="U48" s="53" t="s">
        <v>1007</v>
      </c>
      <c r="V48" s="53" t="s">
        <v>1008</v>
      </c>
      <c r="W48" s="40" t="s">
        <v>937</v>
      </c>
      <c r="X48" s="40"/>
      <c r="Y48" s="53" t="s">
        <v>937</v>
      </c>
      <c r="Z48" s="39"/>
      <c r="AA48" s="38"/>
      <c r="AB48" s="38"/>
      <c r="AC48" s="38"/>
      <c r="AD48" s="37"/>
      <c r="AE48" s="37"/>
      <c r="AF48" s="38"/>
      <c r="AG48" s="38"/>
      <c r="AH48" s="53"/>
      <c r="AI48" s="57" t="str">
        <f t="shared" si="1"/>
        <v>alp_vw_amazon_aaf_dsy_nonms_nd_nc_rng_varejo-familiaridade_na_trafego_cpm_prog_all_414x125_open-auction_414x125_polo-virtus-parcelas699_var-rng-aaf-dsy-0221-10048</v>
      </c>
      <c r="AJ48" s="58" t="str">
        <f t="shared" si="2"/>
        <v>alp_vw_amazon_aaf_dsy_nonms_nd_nc_rng_varejo-familiaridade_na_trafego_cpm_prog_all_414x125_open-auction_414x125_polo-virtus-parcelas699_var-rng-aaf-dsy-0221-10048</v>
      </c>
      <c r="AK48" s="57" t="str">
        <f t="shared" si="3"/>
        <v>vw_range_414x125_polo-virtus-parcelas699_amazon</v>
      </c>
      <c r="AL48" s="57" t="str">
        <f t="shared" si="83"/>
        <v>https://ofertas.vw.com.br?utm_source=amazon&amp;utm_medium=Paid-Display&amp;utm_content=alp_vw_amazon_aaf_dsy_nonms_nd_nc_rng_varejo-familiaridade_na_trafego_cpm_prog_all_414x125_open-auction_414x125_polo-virtus-parcelas699_var-rng-aaf-dsy-0221-10048&amp;utm_campaign=BR_AAF_DSY_NONMS_ND_NC_2021Q1FEB_RNG_Varejo-Familiaridade&amp;utm_term=%epid!_%ecid!_%eaid!</v>
      </c>
      <c r="AM48" s="57" t="str">
        <f t="shared" si="5"/>
        <v>https://ad.doubleclick.net/ddm/trackclk/N9487.3350855AMAZONBRAZIL/B25333445.300533663;dc_trk_aid=493643686;dc_trk_cid=145996180;dc_lat=;dc_rdid=;tag_for_child_directed_treatment=;tfua=</v>
      </c>
      <c r="AN48" s="53" t="str">
        <f t="shared" si="84"/>
        <v>amazon</v>
      </c>
      <c r="AO48" s="53" t="str">
        <f t="shared" si="85"/>
        <v>Paid-Display</v>
      </c>
      <c r="AP48" s="57" t="str">
        <f>Campanha!$B$3</f>
        <v>BR_AAF_DSY_NONMS_ND_NC_2021Q1FEB_RNG_Varejo-Familiaridade</v>
      </c>
      <c r="AQ48" s="57" t="str">
        <f t="shared" si="8"/>
        <v>alp_vw_amazon_aaf_dsy_nonms_nd_nc_rng_varejo-familiaridade_na_trafego_cpm_prog_all_414x125_open-auction_414x125_polo-virtus-parcelas699_var-rng-aaf-dsy-0221-10048</v>
      </c>
      <c r="AR48" s="53" t="s">
        <v>722</v>
      </c>
      <c r="AS48" s="57" t="str">
        <f t="shared" si="9"/>
        <v>https://ofertas.vw.com.br?utm_source=amazon&amp;utm_medium=Paid-Display&amp;utm_content=alp_vw_amazon_aaf_dsy_nonms_nd_nc_rng_varejo-familiaridade_na_trafego_cpm_prog_all_414x125_open-auction_414x125_polo-virtus-parcelas699_var-rng-aaf-dsy-0221-10048&amp;utm_campaign=BR_AAF_DSY_NONMS_ND_NC_2021Q1FEB_RNG_Varejo-Familiaridade&amp;utm_term=%epid!_%ecid!_%eaid!</v>
      </c>
      <c r="AT48" s="53" t="str">
        <f t="shared" si="86"/>
        <v>run-of-network</v>
      </c>
      <c r="AU48" s="53" t="str">
        <f t="shared" si="11"/>
        <v>BR</v>
      </c>
      <c r="AV48" s="53" t="str">
        <f t="shared" si="87"/>
        <v>amazon</v>
      </c>
      <c r="AW48" s="53" t="str">
        <f t="shared" si="88"/>
        <v>amazon</v>
      </c>
      <c r="AX48" s="53" t="str">
        <f t="shared" si="14"/>
        <v>varejo-familiaridade</v>
      </c>
      <c r="AY48" s="53" t="str">
        <f t="shared" si="89"/>
        <v>alp_vw_amazon_aaf_dsy_nonms_nd_nc_rng_varejo-familiaridade_na_trafego_cpm_prog_all_414x125_open-auction_414x125_polo-virtus-parcelas699_var-rng-aaf-dsy-0221-10048</v>
      </c>
      <c r="AZ48" s="53" t="str">
        <f t="shared" si="90"/>
        <v>414x125</v>
      </c>
      <c r="BA48" s="53" t="str">
        <f t="shared" si="91"/>
        <v>varejo-familiaridade</v>
      </c>
      <c r="BB48" s="53" t="s">
        <v>775</v>
      </c>
      <c r="BC48" s="53" t="s">
        <v>775</v>
      </c>
      <c r="BD48" s="53" t="str">
        <f t="shared" si="92"/>
        <v>var-rng-aaf-dsy-0221-10048</v>
      </c>
      <c r="BE48" s="53" t="str">
        <f t="shared" si="93"/>
        <v>BR</v>
      </c>
      <c r="BF48" s="53" t="str">
        <f t="shared" si="94"/>
        <v/>
      </c>
      <c r="BG48" s="53"/>
      <c r="BH48" s="53"/>
      <c r="BI48" s="59" t="str">
        <f t="shared" si="19"/>
        <v>https://ofertas.vw.com.br?adlid=var-rng-aaf-dsy-0221-10048&amp;adplt=alp_vw_amazon_aaf_dsy_nonms_nd_nc_rng_varejo-familiaridade_na_trafego_cpm_prog_all_414x125_open-auction_414x125_polo-virtus-parcelas699_var-rng-aaf-dsy-0221-10048</v>
      </c>
      <c r="BL48" s="20" t="str">
        <f t="shared" si="20"/>
        <v>alp_vw_amazon_aaf_dsy_nonms_nd_nc_rng_varejo-familiaridade_na_trafego</v>
      </c>
      <c r="BM48" s="20" t="str">
        <f t="shared" si="21"/>
        <v>cpm_prog_all_414x125_open-auction_414x125</v>
      </c>
      <c r="BN48" s="20" t="str">
        <f t="shared" si="22"/>
        <v>alp_vw_amazon_aaf_dsy_nonms_nd_nc_rng_varejo-familiaridade_na_trafego_cpm_prog_all_414x125_open-auction_414x125_polo-virtus-parcelas699_var-rng-aaf-dsy-0221-10048</v>
      </c>
      <c r="BO48" s="20"/>
      <c r="BP48" s="20"/>
    </row>
    <row r="49" spans="2:68" ht="15" hidden="1" customHeight="1" x14ac:dyDescent="0.25">
      <c r="B49" s="53" t="s">
        <v>996</v>
      </c>
      <c r="C49" s="53" t="s">
        <v>1009</v>
      </c>
      <c r="D49" s="53" t="s">
        <v>1006</v>
      </c>
      <c r="E49" s="54">
        <v>44294</v>
      </c>
      <c r="F49" s="54">
        <v>44316</v>
      </c>
      <c r="G49" s="53" t="s">
        <v>626</v>
      </c>
      <c r="H49" s="55" t="s">
        <v>939</v>
      </c>
      <c r="I49" s="53" t="s">
        <v>777</v>
      </c>
      <c r="J49" s="56" t="s">
        <v>936</v>
      </c>
      <c r="K49" s="56" t="s">
        <v>936</v>
      </c>
      <c r="L49" s="53" t="s">
        <v>653</v>
      </c>
      <c r="M49" s="53" t="s">
        <v>287</v>
      </c>
      <c r="N49" s="53" t="s">
        <v>295</v>
      </c>
      <c r="O49" s="53" t="s">
        <v>654</v>
      </c>
      <c r="P49" s="53" t="s">
        <v>284</v>
      </c>
      <c r="Q49" s="53" t="s">
        <v>658</v>
      </c>
      <c r="R49" s="53" t="s">
        <v>277</v>
      </c>
      <c r="S49" s="53" t="s">
        <v>841</v>
      </c>
      <c r="T49" s="53" t="s">
        <v>938</v>
      </c>
      <c r="U49" s="53" t="s">
        <v>1007</v>
      </c>
      <c r="V49" s="53" t="s">
        <v>1008</v>
      </c>
      <c r="W49" s="40" t="s">
        <v>568</v>
      </c>
      <c r="X49" s="40"/>
      <c r="Y49" s="53" t="s">
        <v>568</v>
      </c>
      <c r="Z49" s="39"/>
      <c r="AA49" s="38"/>
      <c r="AB49" s="38"/>
      <c r="AC49" s="38"/>
      <c r="AD49" s="37"/>
      <c r="AE49" s="37"/>
      <c r="AF49" s="38"/>
      <c r="AG49" s="38"/>
      <c r="AH49" s="53"/>
      <c r="AI49" s="57" t="str">
        <f t="shared" si="1"/>
        <v>alp_vw_amazon_aaf_dsy_nonms_nd_nc_rng_varejo-familiaridade_na_trafego_cpm_prog_all_728x90_open-auction_728x90_polo-virtus-parcelas699_var-rng-aaf-dsy-0221-10049</v>
      </c>
      <c r="AJ49" s="58" t="str">
        <f t="shared" si="2"/>
        <v>alp_vw_amazon_aaf_dsy_nonms_nd_nc_rng_varejo-familiaridade_na_trafego_cpm_prog_all_728x90_open-auction_728x90_polo-virtus-parcelas699_var-rng-aaf-dsy-0221-10049</v>
      </c>
      <c r="AK49" s="57" t="str">
        <f t="shared" si="3"/>
        <v>vw_range_728x90_polo-virtus-parcelas699_amazon</v>
      </c>
      <c r="AL49" s="57" t="str">
        <f t="shared" si="83"/>
        <v>https://ofertas.vw.com.br?utm_source=amazon&amp;utm_medium=Paid-Display&amp;utm_content=alp_vw_amazon_aaf_dsy_nonms_nd_nc_rng_varejo-familiaridade_na_trafego_cpm_prog_all_728x90_open-auction_728x90_polo-virtus-parcelas699_var-rng-aaf-dsy-0221-10049&amp;utm_campaign=BR_AAF_DSY_NONMS_ND_NC_2021Q1FEB_RNG_Varejo-Familiaridade&amp;utm_term=%epid!_%ecid!_%eaid!</v>
      </c>
      <c r="AM49" s="57" t="str">
        <f t="shared" si="5"/>
        <v>https://ad.doubleclick.net/ddm/trackclk/N9487.3350855AMAZONBRAZIL/B25333445.300533660;dc_trk_aid=493643689;dc_trk_cid=145996180;dc_lat=;dc_rdid=;tag_for_child_directed_treatment=;tfua=</v>
      </c>
      <c r="AN49" s="53" t="str">
        <f t="shared" si="84"/>
        <v>amazon</v>
      </c>
      <c r="AO49" s="53" t="str">
        <f t="shared" si="85"/>
        <v>Paid-Display</v>
      </c>
      <c r="AP49" s="57" t="str">
        <f>Campanha!$B$3</f>
        <v>BR_AAF_DSY_NONMS_ND_NC_2021Q1FEB_RNG_Varejo-Familiaridade</v>
      </c>
      <c r="AQ49" s="57" t="str">
        <f t="shared" si="8"/>
        <v>alp_vw_amazon_aaf_dsy_nonms_nd_nc_rng_varejo-familiaridade_na_trafego_cpm_prog_all_728x90_open-auction_728x90_polo-virtus-parcelas699_var-rng-aaf-dsy-0221-10049</v>
      </c>
      <c r="AR49" s="53" t="s">
        <v>722</v>
      </c>
      <c r="AS49" s="57" t="str">
        <f t="shared" si="9"/>
        <v>https://ofertas.vw.com.br?utm_source=amazon&amp;utm_medium=Paid-Display&amp;utm_content=alp_vw_amazon_aaf_dsy_nonms_nd_nc_rng_varejo-familiaridade_na_trafego_cpm_prog_all_728x90_open-auction_728x90_polo-virtus-parcelas699_var-rng-aaf-dsy-0221-10049&amp;utm_campaign=BR_AAF_DSY_NONMS_ND_NC_2021Q1FEB_RNG_Varejo-Familiaridade&amp;utm_term=%epid!_%ecid!_%eaid!</v>
      </c>
      <c r="AT49" s="53" t="str">
        <f t="shared" si="86"/>
        <v>run-of-network</v>
      </c>
      <c r="AU49" s="53" t="str">
        <f t="shared" si="11"/>
        <v>BR</v>
      </c>
      <c r="AV49" s="53" t="str">
        <f t="shared" si="87"/>
        <v>amazon</v>
      </c>
      <c r="AW49" s="53" t="str">
        <f t="shared" si="88"/>
        <v>amazon</v>
      </c>
      <c r="AX49" s="53" t="str">
        <f t="shared" si="14"/>
        <v>varejo-familiaridade</v>
      </c>
      <c r="AY49" s="53" t="str">
        <f t="shared" si="89"/>
        <v>alp_vw_amazon_aaf_dsy_nonms_nd_nc_rng_varejo-familiaridade_na_trafego_cpm_prog_all_728x90_open-auction_728x90_polo-virtus-parcelas699_var-rng-aaf-dsy-0221-10049</v>
      </c>
      <c r="AZ49" s="53" t="str">
        <f t="shared" si="90"/>
        <v>728x90</v>
      </c>
      <c r="BA49" s="53" t="str">
        <f t="shared" si="91"/>
        <v>varejo-familiaridade</v>
      </c>
      <c r="BB49" s="53" t="s">
        <v>775</v>
      </c>
      <c r="BC49" s="53" t="s">
        <v>775</v>
      </c>
      <c r="BD49" s="53" t="str">
        <f t="shared" si="92"/>
        <v>var-rng-aaf-dsy-0221-10049</v>
      </c>
      <c r="BE49" s="53" t="str">
        <f t="shared" si="93"/>
        <v>BR</v>
      </c>
      <c r="BF49" s="53" t="str">
        <f t="shared" si="94"/>
        <v/>
      </c>
      <c r="BG49" s="53"/>
      <c r="BH49" s="53"/>
      <c r="BI49" s="59" t="str">
        <f t="shared" si="19"/>
        <v>https://ofertas.vw.com.br?adlid=var-rng-aaf-dsy-0221-10049&amp;adplt=alp_vw_amazon_aaf_dsy_nonms_nd_nc_rng_varejo-familiaridade_na_trafego_cpm_prog_all_728x90_open-auction_728x90_polo-virtus-parcelas699_var-rng-aaf-dsy-0221-10049</v>
      </c>
      <c r="BL49" s="20" t="str">
        <f t="shared" si="20"/>
        <v>alp_vw_amazon_aaf_dsy_nonms_nd_nc_rng_varejo-familiaridade_na_trafego</v>
      </c>
      <c r="BM49" s="20" t="str">
        <f t="shared" si="21"/>
        <v>cpm_prog_all_728x90_open-auction_728x90</v>
      </c>
      <c r="BN49" s="20" t="str">
        <f t="shared" si="22"/>
        <v>alp_vw_amazon_aaf_dsy_nonms_nd_nc_rng_varejo-familiaridade_na_trafego_cpm_prog_all_728x90_open-auction_728x90_polo-virtus-parcelas699_var-rng-aaf-dsy-0221-10049</v>
      </c>
      <c r="BO49" s="20"/>
      <c r="BP49" s="20"/>
    </row>
    <row r="50" spans="2:68" ht="15" hidden="1" customHeight="1" x14ac:dyDescent="0.25">
      <c r="B50" s="53" t="s">
        <v>996</v>
      </c>
      <c r="C50" s="53" t="s">
        <v>1009</v>
      </c>
      <c r="D50" s="53" t="s">
        <v>1006</v>
      </c>
      <c r="E50" s="54">
        <v>44294</v>
      </c>
      <c r="F50" s="54">
        <v>44316</v>
      </c>
      <c r="G50" s="53" t="s">
        <v>626</v>
      </c>
      <c r="H50" s="55" t="s">
        <v>939</v>
      </c>
      <c r="I50" s="53" t="s">
        <v>777</v>
      </c>
      <c r="J50" s="56" t="s">
        <v>933</v>
      </c>
      <c r="K50" s="56" t="s">
        <v>933</v>
      </c>
      <c r="L50" s="53" t="s">
        <v>653</v>
      </c>
      <c r="M50" s="53" t="s">
        <v>276</v>
      </c>
      <c r="N50" s="53" t="s">
        <v>295</v>
      </c>
      <c r="O50" s="53" t="s">
        <v>654</v>
      </c>
      <c r="P50" s="53" t="s">
        <v>313</v>
      </c>
      <c r="Q50" s="53" t="s">
        <v>658</v>
      </c>
      <c r="R50" s="53" t="s">
        <v>277</v>
      </c>
      <c r="S50" s="53" t="s">
        <v>841</v>
      </c>
      <c r="T50" s="53" t="s">
        <v>938</v>
      </c>
      <c r="U50" s="53" t="s">
        <v>1007</v>
      </c>
      <c r="V50" s="53" t="s">
        <v>935</v>
      </c>
      <c r="W50" s="40" t="s">
        <v>624</v>
      </c>
      <c r="X50" s="40" t="e">
        <v>#N/A</v>
      </c>
      <c r="Y50" s="53" t="s">
        <v>624</v>
      </c>
      <c r="Z50" s="48"/>
      <c r="AA50" s="41"/>
      <c r="AB50" s="41"/>
      <c r="AC50" s="41"/>
      <c r="AD50" s="40"/>
      <c r="AE50" s="40"/>
      <c r="AF50" s="41"/>
      <c r="AG50" s="41"/>
      <c r="AH50" s="53"/>
      <c r="AI50" s="57" t="str">
        <f t="shared" si="1"/>
        <v>alp_vw_verizon_aaf_dsy_nonms_nd_nc_rng_varejo-familiaridade_na_trafego_cpm_drct_all_nativeads_interesse-autos_nativeads_polo-virtus-parcelas699_var-rng-aaf-dsy-0221-10050</v>
      </c>
      <c r="AJ50" s="58" t="str">
        <f t="shared" si="2"/>
        <v>alp_vw_verizon_aaf_dsy_nonms_nd_nc_rng_varejo-familiaridade_na_trafego_cpm_drct_all_nativeads_interesse-autos_nativeads_polo-virtus-parcelas699_var-rng-aaf-dsy-0221-10050</v>
      </c>
      <c r="AK50" s="57" t="str">
        <f t="shared" si="3"/>
        <v>vw_range_nativeads_polo-virtus-parcelas699_verizon</v>
      </c>
      <c r="AL50" s="57" t="str">
        <f t="shared" si="83"/>
        <v>https://ofertas.vw.com.br?utm_source=verizon&amp;utm_medium=Paid-Display&amp;utm_content=alp_vw_verizon_aaf_dsy_nonms_nd_nc_rng_varejo-familiaridade_na_trafego_cpm_drct_all_nativeads_interesse-autos_nativeads_polo-virtus-parcelas699_var-rng-aaf-dsy-0221-10050&amp;utm_campaign=BR_AAF_DSY_NONMS_ND_NC_2021Q1FEB_RNG_Varejo-Familiaridade&amp;utm_term=%epid!_%ecid!_%eaid!</v>
      </c>
      <c r="AM50" s="57" t="str">
        <f t="shared" si="5"/>
        <v>https://ad.doubleclick.net/ddm/trackclk/N9487.3646218VERIZONBR/B25333445.300533657;dc_trk_aid=493643692;dc_trk_cid=145996180;dc_lat=;dc_rdid=;tag_for_child_directed_treatment=;tfua=</v>
      </c>
      <c r="AN50" s="53" t="str">
        <f t="shared" si="84"/>
        <v>verizon</v>
      </c>
      <c r="AO50" s="53" t="str">
        <f t="shared" si="85"/>
        <v>Paid-Display</v>
      </c>
      <c r="AP50" s="57" t="str">
        <f>Campanha!$B$3</f>
        <v>BR_AAF_DSY_NONMS_ND_NC_2021Q1FEB_RNG_Varejo-Familiaridade</v>
      </c>
      <c r="AQ50" s="57" t="str">
        <f t="shared" si="8"/>
        <v>alp_vw_verizon_aaf_dsy_nonms_nd_nc_rng_varejo-familiaridade_na_trafego_cpm_drct_all_nativeads_interesse-autos_nativeads_polo-virtus-parcelas699_var-rng-aaf-dsy-0221-10050</v>
      </c>
      <c r="AR50" s="53" t="s">
        <v>722</v>
      </c>
      <c r="AS50" s="57" t="str">
        <f t="shared" si="9"/>
        <v>https://ofertas.vw.com.br?utm_source=verizon&amp;utm_medium=Paid-Display&amp;utm_content=alp_vw_verizon_aaf_dsy_nonms_nd_nc_rng_varejo-familiaridade_na_trafego_cpm_drct_all_nativeads_interesse-autos_nativeads_polo-virtus-parcelas699_var-rng-aaf-dsy-0221-10050&amp;utm_campaign=BR_AAF_DSY_NONMS_ND_NC_2021Q1FEB_RNG_Varejo-Familiaridade&amp;utm_term=%epid!_%ecid!_%eaid!</v>
      </c>
      <c r="AT50" s="53" t="str">
        <f t="shared" si="86"/>
        <v>run-of-network</v>
      </c>
      <c r="AU50" s="53" t="str">
        <f t="shared" si="11"/>
        <v>BR</v>
      </c>
      <c r="AV50" s="53" t="str">
        <f t="shared" si="87"/>
        <v>verizon</v>
      </c>
      <c r="AW50" s="53" t="str">
        <f t="shared" si="88"/>
        <v>verizon</v>
      </c>
      <c r="AX50" s="53" t="str">
        <f t="shared" si="14"/>
        <v>varejo-familiaridade</v>
      </c>
      <c r="AY50" s="53" t="str">
        <f t="shared" si="89"/>
        <v>alp_vw_verizon_aaf_dsy_nonms_nd_nc_rng_varejo-familiaridade_na_trafego_cpm_drct_all_nativeads_interesse-autos_nativeads_polo-virtus-parcelas699_var-rng-aaf-dsy-0221-10050</v>
      </c>
      <c r="AZ50" s="53" t="str">
        <f t="shared" si="90"/>
        <v>nativeads</v>
      </c>
      <c r="BA50" s="53" t="str">
        <f t="shared" si="91"/>
        <v>varejo-familiaridade</v>
      </c>
      <c r="BB50" s="53" t="s">
        <v>775</v>
      </c>
      <c r="BC50" s="53" t="s">
        <v>775</v>
      </c>
      <c r="BD50" s="53" t="str">
        <f t="shared" si="92"/>
        <v>var-rng-aaf-dsy-0221-10050</v>
      </c>
      <c r="BE50" s="53" t="str">
        <f t="shared" si="93"/>
        <v>BR</v>
      </c>
      <c r="BF50" s="53" t="e">
        <f t="shared" si="94"/>
        <v>#N/A</v>
      </c>
      <c r="BG50" s="53"/>
      <c r="BH50" s="53"/>
      <c r="BI50" s="59" t="str">
        <f t="shared" si="19"/>
        <v>https://ofertas.vw.com.br?adlid=var-rng-aaf-dsy-0221-10050&amp;adplt=alp_vw_verizon_aaf_dsy_nonms_nd_nc_rng_varejo-familiaridade_na_trafego_cpm_drct_all_nativeads_interesse-autos_nativeads_polo-virtus-parcelas699_var-rng-aaf-dsy-0221-10050</v>
      </c>
      <c r="BL50" s="20" t="str">
        <f t="shared" si="20"/>
        <v>alp_vw_verizon_aaf_dsy_nonms_nd_nc_rng_varejo-familiaridade_na_trafego</v>
      </c>
      <c r="BM50" s="20" t="str">
        <f t="shared" si="21"/>
        <v>cpm_drct_all_nativeads_interesse-autos_nativeads</v>
      </c>
      <c r="BN50" s="20" t="str">
        <f t="shared" si="22"/>
        <v>alp_vw_verizon_aaf_dsy_nonms_nd_nc_rng_varejo-familiaridade_na_trafego_cpm_drct_all_nativeads_interesse-autos_nativeads_polo-virtus-parcelas699_var-rng-aaf-dsy-0221-10050</v>
      </c>
      <c r="BO50" s="20"/>
      <c r="BP50" s="20"/>
    </row>
    <row r="51" spans="2:68" ht="15" hidden="1" customHeight="1" x14ac:dyDescent="0.25">
      <c r="B51" s="53" t="s">
        <v>996</v>
      </c>
      <c r="C51" s="53" t="s">
        <v>1009</v>
      </c>
      <c r="D51" s="53" t="s">
        <v>1006</v>
      </c>
      <c r="E51" s="54">
        <v>44294</v>
      </c>
      <c r="F51" s="54">
        <v>44316</v>
      </c>
      <c r="G51" s="53" t="s">
        <v>626</v>
      </c>
      <c r="H51" s="55" t="s">
        <v>939</v>
      </c>
      <c r="I51" s="53" t="s">
        <v>777</v>
      </c>
      <c r="J51" s="56" t="s">
        <v>933</v>
      </c>
      <c r="K51" s="56" t="s">
        <v>933</v>
      </c>
      <c r="L51" s="53" t="s">
        <v>653</v>
      </c>
      <c r="M51" s="53" t="s">
        <v>276</v>
      </c>
      <c r="N51" s="53" t="s">
        <v>295</v>
      </c>
      <c r="O51" s="53" t="s">
        <v>654</v>
      </c>
      <c r="P51" s="53" t="s">
        <v>672</v>
      </c>
      <c r="Q51" s="53" t="s">
        <v>658</v>
      </c>
      <c r="R51" s="53" t="s">
        <v>277</v>
      </c>
      <c r="S51" s="53" t="s">
        <v>841</v>
      </c>
      <c r="T51" s="53" t="s">
        <v>938</v>
      </c>
      <c r="U51" s="53" t="s">
        <v>1007</v>
      </c>
      <c r="V51" s="53" t="s">
        <v>935</v>
      </c>
      <c r="W51" s="40" t="s">
        <v>725</v>
      </c>
      <c r="X51" s="40" t="e">
        <v>#N/A</v>
      </c>
      <c r="Y51" s="53" t="s">
        <v>725</v>
      </c>
      <c r="Z51" s="48"/>
      <c r="AA51" s="41"/>
      <c r="AB51" s="41"/>
      <c r="AC51" s="41"/>
      <c r="AD51" s="40"/>
      <c r="AE51" s="40"/>
      <c r="AF51" s="41"/>
      <c r="AG51" s="41"/>
      <c r="AH51" s="53"/>
      <c r="AI51" s="57" t="str">
        <f t="shared" si="1"/>
        <v>alp_vw_verizon_aaf_dsy_nonms_nd_nc_rng_varejo-familiaridade_na_trafego_cpm_drct_all_1080x1920_interesse-autos_1080x1920_polo-virtus-parcelas699_var-rng-aaf-dsy-0221-10051</v>
      </c>
      <c r="AJ51" s="58" t="str">
        <f t="shared" si="2"/>
        <v>alp_vw_verizon_aaf_dsy_nonms_nd_nc_rng_varejo-familiaridade_na_trafego_cpm_drct_all_1080x1920_interesse-autos_1080x1920_polo-virtus-parcelas699_var-rng-aaf-dsy-0221-10051</v>
      </c>
      <c r="AK51" s="57" t="str">
        <f t="shared" si="3"/>
        <v>vw_range_1080x1920_polo-virtus-parcelas699_verizon</v>
      </c>
      <c r="AL51" s="57" t="str">
        <f t="shared" si="83"/>
        <v>https://ofertas.vw.com.br?utm_source=verizon&amp;utm_medium=Paid-Display&amp;utm_content=alp_vw_verizon_aaf_dsy_nonms_nd_nc_rng_varejo-familiaridade_na_trafego_cpm_drct_all_1080x1920_interesse-autos_1080x1920_polo-virtus-parcelas699_var-rng-aaf-dsy-0221-10051&amp;utm_campaign=BR_AAF_DSY_NONMS_ND_NC_2021Q1FEB_RNG_Varejo-Familiaridade&amp;utm_term=%epid!_%ecid!_%eaid!</v>
      </c>
      <c r="AM51" s="57" t="str">
        <f t="shared" si="5"/>
        <v>https://ad.doubleclick.net/ddm/trackclk/N9487.3646218VERIZONBR/B25333445.300533654;dc_trk_aid=493643695;dc_trk_cid=145996180;dc_lat=;dc_rdid=;tag_for_child_directed_treatment=;tfua=</v>
      </c>
      <c r="AN51" s="53" t="str">
        <f t="shared" si="84"/>
        <v>verizon</v>
      </c>
      <c r="AO51" s="53" t="str">
        <f t="shared" si="85"/>
        <v>Paid-Display</v>
      </c>
      <c r="AP51" s="57" t="str">
        <f>Campanha!$B$3</f>
        <v>BR_AAF_DSY_NONMS_ND_NC_2021Q1FEB_RNG_Varejo-Familiaridade</v>
      </c>
      <c r="AQ51" s="57" t="str">
        <f t="shared" si="8"/>
        <v>alp_vw_verizon_aaf_dsy_nonms_nd_nc_rng_varejo-familiaridade_na_trafego_cpm_drct_all_1080x1920_interesse-autos_1080x1920_polo-virtus-parcelas699_var-rng-aaf-dsy-0221-10051</v>
      </c>
      <c r="AR51" s="53" t="s">
        <v>722</v>
      </c>
      <c r="AS51" s="57" t="str">
        <f t="shared" si="9"/>
        <v>https://ofertas.vw.com.br?utm_source=verizon&amp;utm_medium=Paid-Display&amp;utm_content=alp_vw_verizon_aaf_dsy_nonms_nd_nc_rng_varejo-familiaridade_na_trafego_cpm_drct_all_1080x1920_interesse-autos_1080x1920_polo-virtus-parcelas699_var-rng-aaf-dsy-0221-10051&amp;utm_campaign=BR_AAF_DSY_NONMS_ND_NC_2021Q1FEB_RNG_Varejo-Familiaridade&amp;utm_term=%epid!_%ecid!_%eaid!</v>
      </c>
      <c r="AT51" s="53" t="str">
        <f t="shared" si="86"/>
        <v>run-of-network</v>
      </c>
      <c r="AU51" s="53" t="str">
        <f t="shared" si="11"/>
        <v>BR</v>
      </c>
      <c r="AV51" s="53" t="str">
        <f t="shared" si="87"/>
        <v>verizon</v>
      </c>
      <c r="AW51" s="53" t="str">
        <f t="shared" si="88"/>
        <v>verizon</v>
      </c>
      <c r="AX51" s="53" t="str">
        <f t="shared" si="14"/>
        <v>varejo-familiaridade</v>
      </c>
      <c r="AY51" s="53" t="str">
        <f t="shared" si="89"/>
        <v>alp_vw_verizon_aaf_dsy_nonms_nd_nc_rng_varejo-familiaridade_na_trafego_cpm_drct_all_1080x1920_interesse-autos_1080x1920_polo-virtus-parcelas699_var-rng-aaf-dsy-0221-10051</v>
      </c>
      <c r="AZ51" s="53" t="str">
        <f t="shared" si="90"/>
        <v>1080x1920</v>
      </c>
      <c r="BA51" s="53" t="str">
        <f t="shared" si="91"/>
        <v>varejo-familiaridade</v>
      </c>
      <c r="BB51" s="53" t="s">
        <v>775</v>
      </c>
      <c r="BC51" s="53" t="s">
        <v>775</v>
      </c>
      <c r="BD51" s="53" t="str">
        <f t="shared" si="92"/>
        <v>var-rng-aaf-dsy-0221-10051</v>
      </c>
      <c r="BE51" s="53" t="str">
        <f t="shared" si="93"/>
        <v>BR</v>
      </c>
      <c r="BF51" s="53" t="e">
        <f t="shared" si="94"/>
        <v>#N/A</v>
      </c>
      <c r="BG51" s="53"/>
      <c r="BH51" s="53"/>
      <c r="BI51" s="59" t="str">
        <f t="shared" si="19"/>
        <v>https://ofertas.vw.com.br?adlid=var-rng-aaf-dsy-0221-10051&amp;adplt=alp_vw_verizon_aaf_dsy_nonms_nd_nc_rng_varejo-familiaridade_na_trafego_cpm_drct_all_1080x1920_interesse-autos_1080x1920_polo-virtus-parcelas699_var-rng-aaf-dsy-0221-10051</v>
      </c>
      <c r="BL51" s="20" t="str">
        <f t="shared" si="20"/>
        <v>alp_vw_verizon_aaf_dsy_nonms_nd_nc_rng_varejo-familiaridade_na_trafego</v>
      </c>
      <c r="BM51" s="20" t="str">
        <f t="shared" si="21"/>
        <v>cpm_drct_all_1080x1920_interesse-autos_1080x1920</v>
      </c>
      <c r="BN51" s="20" t="str">
        <f t="shared" si="22"/>
        <v>alp_vw_verizon_aaf_dsy_nonms_nd_nc_rng_varejo-familiaridade_na_trafego_cpm_drct_all_1080x1920_interesse-autos_1080x1920_polo-virtus-parcelas699_var-rng-aaf-dsy-0221-10051</v>
      </c>
      <c r="BO51" s="20"/>
      <c r="BP51" s="20"/>
    </row>
    <row r="52" spans="2:68" ht="15" hidden="1" customHeight="1" x14ac:dyDescent="0.25">
      <c r="B52" s="53" t="s">
        <v>996</v>
      </c>
      <c r="C52" s="53" t="s">
        <v>1112</v>
      </c>
      <c r="D52" s="53" t="s">
        <v>1051</v>
      </c>
      <c r="E52" s="54">
        <v>44294</v>
      </c>
      <c r="F52" s="54">
        <v>44316</v>
      </c>
      <c r="G52" s="53" t="s">
        <v>628</v>
      </c>
      <c r="H52" s="55" t="s">
        <v>939</v>
      </c>
      <c r="I52" s="53" t="s">
        <v>777</v>
      </c>
      <c r="J52" s="56" t="s">
        <v>923</v>
      </c>
      <c r="K52" s="56" t="s">
        <v>923</v>
      </c>
      <c r="L52" s="53" t="s">
        <v>653</v>
      </c>
      <c r="M52" s="53" t="s">
        <v>287</v>
      </c>
      <c r="N52" s="53" t="s">
        <v>295</v>
      </c>
      <c r="O52" s="53" t="s">
        <v>317</v>
      </c>
      <c r="P52" s="53" t="s">
        <v>311</v>
      </c>
      <c r="Q52" s="53" t="s">
        <v>648</v>
      </c>
      <c r="R52" s="53" t="s">
        <v>277</v>
      </c>
      <c r="S52" s="53" t="s">
        <v>841</v>
      </c>
      <c r="T52" s="53" t="s">
        <v>938</v>
      </c>
      <c r="U52" s="53" t="s">
        <v>1007</v>
      </c>
      <c r="V52" s="53" t="s">
        <v>935</v>
      </c>
      <c r="W52" s="40" t="s">
        <v>941</v>
      </c>
      <c r="X52" s="40" t="s">
        <v>992</v>
      </c>
      <c r="Y52" s="53" t="s">
        <v>941</v>
      </c>
      <c r="Z52" s="48"/>
      <c r="AA52" s="41"/>
      <c r="AB52" s="41"/>
      <c r="AC52" s="41"/>
      <c r="AD52" s="40"/>
      <c r="AE52" s="40"/>
      <c r="AF52" s="41"/>
      <c r="AG52" s="41"/>
      <c r="AH52" s="53"/>
      <c r="AI52" s="57" t="str">
        <f t="shared" si="1"/>
        <v>alp_vw_dv360-terra_aaf_dsy_nonms_nd_nc_rng_varejo-familiaridade_na_trafego_cpm_prog_all_1260x400_interesse-autos_1260x400_polo-virtus-parcelas699_var-rng-aaf-dsy-0221-10052</v>
      </c>
      <c r="AJ52" s="58" t="str">
        <f t="shared" si="2"/>
        <v>alp_vw_dv360-terra_aaf_dsy_nonms_nd_nc_rng_varejo-familiaridade_na_trafego_cpm_prog_all_1260x400_interesse-autos_1260x400_polo-virtus-parcelas699_var-rng-aaf-dsy-0221-10052</v>
      </c>
      <c r="AK52" s="57" t="str">
        <f t="shared" si="3"/>
        <v>vw_range_1260x400_polo-virtus-parcelas699_adserver</v>
      </c>
      <c r="AL52" s="57" t="str">
        <f t="shared" si="83"/>
        <v>https://ofertas.vw.com.br?utm_source=dv360-terra&amp;utm_medium=Paid-Display&amp;utm_content=alp_vw_dv360-terra_aaf_dsy_nonms_nd_nc_rng_varejo-familiaridade_na_trafego_cpm_prog_all_1260x400_interesse-autos_1260x400_polo-virtus-parcelas699_var-rng-aaf-dsy-0221-10052&amp;utm_campaign=BR_AAF_DSY_NONMS_ND_NC_2021Q1FEB_RNG_Varejo-Familiaridade&amp;utm_term=%epid!_%ecid!_%eaid!</v>
      </c>
      <c r="AM52" s="57" t="str">
        <f t="shared" si="5"/>
        <v>TAG</v>
      </c>
      <c r="AN52" s="53" t="str">
        <f t="shared" si="84"/>
        <v>dv360-terra</v>
      </c>
      <c r="AO52" s="53" t="str">
        <f t="shared" si="85"/>
        <v>Paid-Display</v>
      </c>
      <c r="AP52" s="57" t="str">
        <f>Campanha!$B$3</f>
        <v>BR_AAF_DSY_NONMS_ND_NC_2021Q1FEB_RNG_Varejo-Familiaridade</v>
      </c>
      <c r="AQ52" s="57" t="str">
        <f t="shared" si="8"/>
        <v>alp_vw_dv360-terra_aaf_dsy_nonms_nd_nc_rng_varejo-familiaridade_na_trafego_cpm_prog_all_1260x400_interesse-autos_1260x400_polo-virtus-parcelas699_var-rng-aaf-dsy-0221-10052</v>
      </c>
      <c r="AR52" s="53" t="s">
        <v>722</v>
      </c>
      <c r="AS52" s="57" t="str">
        <f t="shared" si="9"/>
        <v>https://ofertas.vw.com.br?utm_source=dv360-terra&amp;utm_medium=Paid-Display&amp;utm_content=alp_vw_dv360-terra_aaf_dsy_nonms_nd_nc_rng_varejo-familiaridade_na_trafego_cpm_prog_all_1260x400_interesse-autos_1260x400_polo-virtus-parcelas699_var-rng-aaf-dsy-0221-10052&amp;utm_campaign=BR_AAF_DSY_NONMS_ND_NC_2021Q1FEB_RNG_Varejo-Familiaridade&amp;utm_term=%epid!_%ecid!_%eaid!</v>
      </c>
      <c r="AT52" s="53" t="str">
        <f t="shared" si="86"/>
        <v>homepage-takeover</v>
      </c>
      <c r="AU52" s="53" t="str">
        <f t="shared" si="11"/>
        <v>BR</v>
      </c>
      <c r="AV52" s="53" t="str">
        <f t="shared" si="87"/>
        <v>dv360-terra</v>
      </c>
      <c r="AW52" s="53" t="str">
        <f t="shared" si="88"/>
        <v>dv360-terra</v>
      </c>
      <c r="AX52" s="53" t="str">
        <f t="shared" si="14"/>
        <v>varejo-familiaridade</v>
      </c>
      <c r="AY52" s="53" t="str">
        <f t="shared" si="89"/>
        <v>alp_vw_dv360-terra_aaf_dsy_nonms_nd_nc_rng_varejo-familiaridade_na_trafego_cpm_prog_all_1260x400_interesse-autos_1260x400_polo-virtus-parcelas699_var-rng-aaf-dsy-0221-10052</v>
      </c>
      <c r="AZ52" s="53" t="str">
        <f t="shared" si="90"/>
        <v>1260x400</v>
      </c>
      <c r="BA52" s="53" t="str">
        <f t="shared" si="91"/>
        <v>varejo-familiaridade</v>
      </c>
      <c r="BB52" s="53" t="s">
        <v>775</v>
      </c>
      <c r="BC52" s="53" t="s">
        <v>775</v>
      </c>
      <c r="BD52" s="53" t="str">
        <f t="shared" si="92"/>
        <v>var-rng-aaf-dsy-0221-10052</v>
      </c>
      <c r="BE52" s="53" t="str">
        <f t="shared" si="93"/>
        <v>BR</v>
      </c>
      <c r="BF52" s="53" t="str">
        <f t="shared" si="94"/>
        <v>296481970</v>
      </c>
      <c r="BG52" s="53"/>
      <c r="BH52" s="53"/>
      <c r="BI52" s="59" t="str">
        <f t="shared" si="19"/>
        <v>https://ofertas.vw.com.br?adlid=var-rng-aaf-dsy-0221-10052&amp;adplt=alp_vw_dv360-terra_aaf_dsy_nonms_nd_nc_rng_varejo-familiaridade_na_trafego_cpm_prog_all_1260x400_interesse-autos_1260x400_polo-virtus-parcelas699_var-rng-aaf-dsy-0221-10052</v>
      </c>
      <c r="BL52" s="20" t="str">
        <f t="shared" si="20"/>
        <v>alp_vw_dv360-terra_aaf_dsy_nonms_nd_nc_rng_varejo-familiaridade_na_trafego</v>
      </c>
      <c r="BM52" s="20" t="str">
        <f t="shared" si="21"/>
        <v>cpm_prog_all_1260x400_interesse-autos_1260x400</v>
      </c>
      <c r="BN52" s="20" t="str">
        <f t="shared" si="22"/>
        <v>alp_vw_dv360-terra_aaf_dsy_nonms_nd_nc_rng_varejo-familiaridade_na_trafego_cpm_prog_all_1260x400_interesse-autos_1260x400_polo-virtus-parcelas699_var-rng-aaf-dsy-0221-10052</v>
      </c>
      <c r="BO52" s="20"/>
      <c r="BP52" s="20"/>
    </row>
    <row r="53" spans="2:68" ht="15" hidden="1" customHeight="1" x14ac:dyDescent="0.25">
      <c r="B53" s="53" t="s">
        <v>996</v>
      </c>
      <c r="C53" s="53" t="s">
        <v>1112</v>
      </c>
      <c r="D53" s="53" t="s">
        <v>1051</v>
      </c>
      <c r="E53" s="54">
        <v>44294</v>
      </c>
      <c r="F53" s="54">
        <v>44316</v>
      </c>
      <c r="G53" s="53" t="s">
        <v>628</v>
      </c>
      <c r="H53" s="55" t="s">
        <v>939</v>
      </c>
      <c r="I53" s="53" t="s">
        <v>777</v>
      </c>
      <c r="J53" s="56" t="s">
        <v>923</v>
      </c>
      <c r="K53" s="56" t="s">
        <v>923</v>
      </c>
      <c r="L53" s="53" t="s">
        <v>653</v>
      </c>
      <c r="M53" s="53" t="s">
        <v>287</v>
      </c>
      <c r="N53" s="53" t="s">
        <v>295</v>
      </c>
      <c r="O53" s="53" t="s">
        <v>317</v>
      </c>
      <c r="P53" s="53" t="s">
        <v>311</v>
      </c>
      <c r="Q53" s="53" t="s">
        <v>648</v>
      </c>
      <c r="R53" s="53" t="s">
        <v>277</v>
      </c>
      <c r="S53" s="53" t="s">
        <v>841</v>
      </c>
      <c r="T53" s="53" t="s">
        <v>938</v>
      </c>
      <c r="U53" s="53" t="s">
        <v>1007</v>
      </c>
      <c r="V53" s="53" t="s">
        <v>935</v>
      </c>
      <c r="W53" s="40" t="s">
        <v>433</v>
      </c>
      <c r="X53" s="40" t="s">
        <v>993</v>
      </c>
      <c r="Y53" s="53" t="s">
        <v>433</v>
      </c>
      <c r="Z53" s="48"/>
      <c r="AA53" s="41"/>
      <c r="AB53" s="41"/>
      <c r="AC53" s="41"/>
      <c r="AD53" s="40"/>
      <c r="AE53" s="40"/>
      <c r="AF53" s="41"/>
      <c r="AG53" s="41"/>
      <c r="AH53" s="53"/>
      <c r="AI53" s="57" t="str">
        <f t="shared" si="1"/>
        <v>alp_vw_dv360-terra_aaf_dsy_nonms_nd_nc_rng_varejo-familiaridade_na_trafego_cpm_prog_all_300x250_interesse-autos_300x250_polo-virtus-parcelas699_var-rng-aaf-dsy-0221-10053</v>
      </c>
      <c r="AJ53" s="58" t="str">
        <f t="shared" si="2"/>
        <v>alp_vw_dv360-terra_aaf_dsy_nonms_nd_nc_rng_varejo-familiaridade_na_trafego_cpm_prog_all_300x250_interesse-autos_300x250_polo-virtus-parcelas699_var-rng-aaf-dsy-0221-10053</v>
      </c>
      <c r="AK53" s="57" t="str">
        <f t="shared" si="3"/>
        <v>vw_range_300x250_polo-virtus-parcelas699_adserver</v>
      </c>
      <c r="AL53" s="57" t="str">
        <f t="shared" si="83"/>
        <v>https://ofertas.vw.com.br?utm_source=dv360-terra&amp;utm_medium=Paid-Display&amp;utm_content=alp_vw_dv360-terra_aaf_dsy_nonms_nd_nc_rng_varejo-familiaridade_na_trafego_cpm_prog_all_300x250_interesse-autos_300x250_polo-virtus-parcelas699_var-rng-aaf-dsy-0221-10053&amp;utm_campaign=BR_AAF_DSY_NONMS_ND_NC_2021Q1FEB_RNG_Varejo-Familiaridade&amp;utm_term=%epid!_%ecid!_%eaid!</v>
      </c>
      <c r="AM53" s="57" t="str">
        <f t="shared" si="5"/>
        <v>TAG</v>
      </c>
      <c r="AN53" s="53" t="str">
        <f t="shared" si="84"/>
        <v>dv360-terra</v>
      </c>
      <c r="AO53" s="53" t="str">
        <f t="shared" si="85"/>
        <v>Paid-Display</v>
      </c>
      <c r="AP53" s="57" t="str">
        <f>Campanha!$B$3</f>
        <v>BR_AAF_DSY_NONMS_ND_NC_2021Q1FEB_RNG_Varejo-Familiaridade</v>
      </c>
      <c r="AQ53" s="57" t="str">
        <f t="shared" si="8"/>
        <v>alp_vw_dv360-terra_aaf_dsy_nonms_nd_nc_rng_varejo-familiaridade_na_trafego_cpm_prog_all_300x250_interesse-autos_300x250_polo-virtus-parcelas699_var-rng-aaf-dsy-0221-10053</v>
      </c>
      <c r="AR53" s="53" t="s">
        <v>722</v>
      </c>
      <c r="AS53" s="57" t="str">
        <f t="shared" si="9"/>
        <v>https://ofertas.vw.com.br?utm_source=dv360-terra&amp;utm_medium=Paid-Display&amp;utm_content=alp_vw_dv360-terra_aaf_dsy_nonms_nd_nc_rng_varejo-familiaridade_na_trafego_cpm_prog_all_300x250_interesse-autos_300x250_polo-virtus-parcelas699_var-rng-aaf-dsy-0221-10053&amp;utm_campaign=BR_AAF_DSY_NONMS_ND_NC_2021Q1FEB_RNG_Varejo-Familiaridade&amp;utm_term=%epid!_%ecid!_%eaid!</v>
      </c>
      <c r="AT53" s="53" t="str">
        <f t="shared" si="86"/>
        <v>homepage-takeover</v>
      </c>
      <c r="AU53" s="53" t="str">
        <f t="shared" si="11"/>
        <v>BR</v>
      </c>
      <c r="AV53" s="53" t="str">
        <f t="shared" si="87"/>
        <v>dv360-terra</v>
      </c>
      <c r="AW53" s="53" t="str">
        <f t="shared" si="88"/>
        <v>dv360-terra</v>
      </c>
      <c r="AX53" s="53" t="str">
        <f t="shared" si="14"/>
        <v>varejo-familiaridade</v>
      </c>
      <c r="AY53" s="53" t="str">
        <f t="shared" si="89"/>
        <v>alp_vw_dv360-terra_aaf_dsy_nonms_nd_nc_rng_varejo-familiaridade_na_trafego_cpm_prog_all_300x250_interesse-autos_300x250_polo-virtus-parcelas699_var-rng-aaf-dsy-0221-10053</v>
      </c>
      <c r="AZ53" s="53" t="str">
        <f t="shared" si="90"/>
        <v>300x250</v>
      </c>
      <c r="BA53" s="53" t="str">
        <f t="shared" si="91"/>
        <v>varejo-familiaridade</v>
      </c>
      <c r="BB53" s="53" t="s">
        <v>775</v>
      </c>
      <c r="BC53" s="53" t="s">
        <v>775</v>
      </c>
      <c r="BD53" s="53" t="str">
        <f t="shared" si="92"/>
        <v>var-rng-aaf-dsy-0221-10053</v>
      </c>
      <c r="BE53" s="53" t="str">
        <f t="shared" si="93"/>
        <v>BR</v>
      </c>
      <c r="BF53" s="53" t="str">
        <f t="shared" si="94"/>
        <v>296482357</v>
      </c>
      <c r="BG53" s="53"/>
      <c r="BH53" s="53"/>
      <c r="BI53" s="59" t="str">
        <f t="shared" si="19"/>
        <v>https://ofertas.vw.com.br?adlid=var-rng-aaf-dsy-0221-10053&amp;adplt=alp_vw_dv360-terra_aaf_dsy_nonms_nd_nc_rng_varejo-familiaridade_na_trafego_cpm_prog_all_300x250_interesse-autos_300x250_polo-virtus-parcelas699_var-rng-aaf-dsy-0221-10053</v>
      </c>
      <c r="BL53" s="20" t="str">
        <f t="shared" si="20"/>
        <v>alp_vw_dv360-terra_aaf_dsy_nonms_nd_nc_rng_varejo-familiaridade_na_trafego</v>
      </c>
      <c r="BM53" s="20" t="str">
        <f t="shared" si="21"/>
        <v>cpm_prog_all_300x250_interesse-autos_300x250</v>
      </c>
      <c r="BN53" s="20" t="str">
        <f t="shared" si="22"/>
        <v>alp_vw_dv360-terra_aaf_dsy_nonms_nd_nc_rng_varejo-familiaridade_na_trafego_cpm_prog_all_300x250_interesse-autos_300x250_polo-virtus-parcelas699_var-rng-aaf-dsy-0221-10053</v>
      </c>
      <c r="BO53" s="20"/>
      <c r="BP53" s="20"/>
    </row>
    <row r="54" spans="2:68" ht="15" hidden="1" customHeight="1" x14ac:dyDescent="0.25">
      <c r="B54" s="53" t="s">
        <v>996</v>
      </c>
      <c r="C54" s="53" t="s">
        <v>1009</v>
      </c>
      <c r="D54" s="53" t="s">
        <v>1006</v>
      </c>
      <c r="E54" s="54">
        <v>44294</v>
      </c>
      <c r="F54" s="54">
        <v>44316</v>
      </c>
      <c r="G54" s="53" t="s">
        <v>626</v>
      </c>
      <c r="H54" s="55" t="s">
        <v>939</v>
      </c>
      <c r="I54" s="53" t="s">
        <v>777</v>
      </c>
      <c r="J54" s="56" t="s">
        <v>368</v>
      </c>
      <c r="K54" s="56" t="s">
        <v>368</v>
      </c>
      <c r="L54" s="53" t="s">
        <v>653</v>
      </c>
      <c r="M54" s="53" t="s">
        <v>276</v>
      </c>
      <c r="N54" s="53" t="s">
        <v>295</v>
      </c>
      <c r="O54" s="53" t="s">
        <v>654</v>
      </c>
      <c r="P54" s="53" t="s">
        <v>313</v>
      </c>
      <c r="Q54" s="53" t="s">
        <v>658</v>
      </c>
      <c r="R54" s="53" t="s">
        <v>277</v>
      </c>
      <c r="S54" s="53" t="s">
        <v>841</v>
      </c>
      <c r="T54" s="53" t="s">
        <v>938</v>
      </c>
      <c r="U54" s="53" t="s">
        <v>1007</v>
      </c>
      <c r="V54" s="53" t="s">
        <v>935</v>
      </c>
      <c r="W54" s="40" t="s">
        <v>624</v>
      </c>
      <c r="X54" s="40" t="e">
        <v>#N/A</v>
      </c>
      <c r="Y54" s="53" t="s">
        <v>624</v>
      </c>
      <c r="Z54" s="48"/>
      <c r="AA54" s="41"/>
      <c r="AB54" s="41"/>
      <c r="AC54" s="41"/>
      <c r="AD54" s="40"/>
      <c r="AE54" s="40"/>
      <c r="AF54" s="41"/>
      <c r="AG54" s="41"/>
      <c r="AH54" s="53"/>
      <c r="AI54" s="57" t="str">
        <f t="shared" si="1"/>
        <v>alp_vw_terra_aaf_dsy_nonms_nd_nc_rng_varejo-familiaridade_na_trafego_cpm_drct_all_nativeads_interesse-autos_nativeads_polo-virtus-parcelas699_var-rng-aaf-dsy-0221-10054</v>
      </c>
      <c r="AJ54" s="58" t="str">
        <f t="shared" si="2"/>
        <v>alp_vw_terra_aaf_dsy_nonms_nd_nc_rng_varejo-familiaridade_na_trafego_cpm_drct_all_nativeads_interesse-autos_nativeads_polo-virtus-parcelas699_var-rng-aaf-dsy-0221-10054</v>
      </c>
      <c r="AK54" s="57" t="str">
        <f t="shared" si="3"/>
        <v>vw_range_nativeads_polo-virtus-parcelas699_terra</v>
      </c>
      <c r="AL54" s="57" t="str">
        <f t="shared" si="83"/>
        <v>https://ofertas.vw.com.br?utm_source=terra&amp;utm_medium=Paid-Display&amp;utm_content=alp_vw_terra_aaf_dsy_nonms_nd_nc_rng_varejo-familiaridade_na_trafego_cpm_drct_all_nativeads_interesse-autos_nativeads_polo-virtus-parcelas699_var-rng-aaf-dsy-0221-10054&amp;utm_campaign=BR_AAF_DSY_NONMS_ND_NC_2021Q1FEB_RNG_Varejo-Familiaridade&amp;utm_term=%epid!_%ecid!_%eaid!</v>
      </c>
      <c r="AM54" s="57" t="str">
        <f t="shared" si="5"/>
        <v>https://ad.doubleclick.net/ddm/trackclk/N9487.149977TERRA.BR/B25333445.300533651;dc_trk_aid=493643698;dc_trk_cid=145996180;Audience_Id=${PIXEL_ID_COMMA};dc_lat=;dc_rdid=;tag_for_child_directed_treatment=;tfua=</v>
      </c>
      <c r="AN54" s="53" t="str">
        <f t="shared" si="84"/>
        <v>terra</v>
      </c>
      <c r="AO54" s="53" t="str">
        <f t="shared" si="85"/>
        <v>Paid-Display</v>
      </c>
      <c r="AP54" s="57" t="str">
        <f>Campanha!$B$3</f>
        <v>BR_AAF_DSY_NONMS_ND_NC_2021Q1FEB_RNG_Varejo-Familiaridade</v>
      </c>
      <c r="AQ54" s="57" t="str">
        <f t="shared" si="8"/>
        <v>alp_vw_terra_aaf_dsy_nonms_nd_nc_rng_varejo-familiaridade_na_trafego_cpm_drct_all_nativeads_interesse-autos_nativeads_polo-virtus-parcelas699_var-rng-aaf-dsy-0221-10054</v>
      </c>
      <c r="AR54" s="53" t="s">
        <v>722</v>
      </c>
      <c r="AS54" s="57" t="str">
        <f t="shared" si="9"/>
        <v>https://ofertas.vw.com.br?utm_source=terra&amp;utm_medium=Paid-Display&amp;utm_content=alp_vw_terra_aaf_dsy_nonms_nd_nc_rng_varejo-familiaridade_na_trafego_cpm_drct_all_nativeads_interesse-autos_nativeads_polo-virtus-parcelas699_var-rng-aaf-dsy-0221-10054&amp;utm_campaign=BR_AAF_DSY_NONMS_ND_NC_2021Q1FEB_RNG_Varejo-Familiaridade&amp;utm_term=%epid!_%ecid!_%eaid!</v>
      </c>
      <c r="AT54" s="53" t="str">
        <f t="shared" si="86"/>
        <v>run-of-network</v>
      </c>
      <c r="AU54" s="53" t="str">
        <f t="shared" si="11"/>
        <v>BR</v>
      </c>
      <c r="AV54" s="53" t="str">
        <f t="shared" si="87"/>
        <v>terra</v>
      </c>
      <c r="AW54" s="53" t="str">
        <f t="shared" si="88"/>
        <v>terra</v>
      </c>
      <c r="AX54" s="53" t="str">
        <f t="shared" si="14"/>
        <v>varejo-familiaridade</v>
      </c>
      <c r="AY54" s="53" t="str">
        <f t="shared" si="89"/>
        <v>alp_vw_terra_aaf_dsy_nonms_nd_nc_rng_varejo-familiaridade_na_trafego_cpm_drct_all_nativeads_interesse-autos_nativeads_polo-virtus-parcelas699_var-rng-aaf-dsy-0221-10054</v>
      </c>
      <c r="AZ54" s="53" t="str">
        <f t="shared" si="90"/>
        <v>nativeads</v>
      </c>
      <c r="BA54" s="53" t="str">
        <f t="shared" si="91"/>
        <v>varejo-familiaridade</v>
      </c>
      <c r="BB54" s="53" t="s">
        <v>775</v>
      </c>
      <c r="BC54" s="53" t="s">
        <v>775</v>
      </c>
      <c r="BD54" s="53" t="str">
        <f t="shared" si="92"/>
        <v>var-rng-aaf-dsy-0221-10054</v>
      </c>
      <c r="BE54" s="53" t="str">
        <f t="shared" si="93"/>
        <v>BR</v>
      </c>
      <c r="BF54" s="53" t="e">
        <f t="shared" si="94"/>
        <v>#N/A</v>
      </c>
      <c r="BG54" s="53"/>
      <c r="BH54" s="53"/>
      <c r="BI54" s="59" t="str">
        <f t="shared" si="19"/>
        <v>https://ofertas.vw.com.br?adlid=var-rng-aaf-dsy-0221-10054&amp;adplt=alp_vw_terra_aaf_dsy_nonms_nd_nc_rng_varejo-familiaridade_na_trafego_cpm_drct_all_nativeads_interesse-autos_nativeads_polo-virtus-parcelas699_var-rng-aaf-dsy-0221-10054</v>
      </c>
      <c r="BL54" s="20" t="str">
        <f t="shared" si="20"/>
        <v>alp_vw_terra_aaf_dsy_nonms_nd_nc_rng_varejo-familiaridade_na_trafego</v>
      </c>
      <c r="BM54" s="20" t="str">
        <f t="shared" si="21"/>
        <v>cpm_drct_all_nativeads_interesse-autos_nativeads</v>
      </c>
      <c r="BN54" s="20" t="str">
        <f t="shared" si="22"/>
        <v>alp_vw_terra_aaf_dsy_nonms_nd_nc_rng_varejo-familiaridade_na_trafego_cpm_drct_all_nativeads_interesse-autos_nativeads_polo-virtus-parcelas699_var-rng-aaf-dsy-0221-10054</v>
      </c>
      <c r="BO54" s="20"/>
      <c r="BP54" s="20"/>
    </row>
    <row r="55" spans="2:68" ht="15" hidden="1" customHeight="1" x14ac:dyDescent="0.25">
      <c r="B55" s="53" t="s">
        <v>996</v>
      </c>
      <c r="C55" s="53" t="s">
        <v>1112</v>
      </c>
      <c r="D55" s="53" t="s">
        <v>1051</v>
      </c>
      <c r="E55" s="54">
        <v>44294</v>
      </c>
      <c r="F55" s="54">
        <v>44316</v>
      </c>
      <c r="G55" s="53" t="s">
        <v>628</v>
      </c>
      <c r="H55" s="55" t="s">
        <v>939</v>
      </c>
      <c r="I55" s="53" t="s">
        <v>777</v>
      </c>
      <c r="J55" s="56" t="s">
        <v>924</v>
      </c>
      <c r="K55" s="56" t="s">
        <v>924</v>
      </c>
      <c r="L55" s="53" t="s">
        <v>653</v>
      </c>
      <c r="M55" s="53" t="s">
        <v>287</v>
      </c>
      <c r="N55" s="53" t="s">
        <v>295</v>
      </c>
      <c r="O55" s="53" t="s">
        <v>317</v>
      </c>
      <c r="P55" s="53" t="s">
        <v>313</v>
      </c>
      <c r="Q55" s="53" t="s">
        <v>658</v>
      </c>
      <c r="R55" s="53" t="s">
        <v>277</v>
      </c>
      <c r="S55" s="53" t="s">
        <v>841</v>
      </c>
      <c r="T55" s="53" t="s">
        <v>938</v>
      </c>
      <c r="U55" s="53" t="s">
        <v>1007</v>
      </c>
      <c r="V55" s="53" t="s">
        <v>935</v>
      </c>
      <c r="W55" s="40" t="s">
        <v>624</v>
      </c>
      <c r="X55" s="40" t="e">
        <v>#N/A</v>
      </c>
      <c r="Y55" s="53" t="s">
        <v>606</v>
      </c>
      <c r="Z55" s="48"/>
      <c r="AA55" s="41"/>
      <c r="AB55" s="41"/>
      <c r="AC55" s="41"/>
      <c r="AD55" s="40"/>
      <c r="AE55" s="40"/>
      <c r="AF55" s="41"/>
      <c r="AG55" s="41"/>
      <c r="AH55" s="53"/>
      <c r="AI55" s="57" t="str">
        <f t="shared" si="1"/>
        <v>alp_vw_dv360-uol_aaf_dsy_nonms_nd_nc_rng_varejo-familiaridade_na_trafego_cpm_prog_all_970x250_interesse-autos_nativeads_polo-virtus-parcelas699_var-rng-aaf-dsy-0221-10055</v>
      </c>
      <c r="AJ55" s="58" t="str">
        <f t="shared" si="2"/>
        <v>alp_vw_dv360-uol_aaf_dsy_nonms_nd_nc_rng_varejo-familiaridade_na_trafego_cpm_prog_all_970x250_interesse-autos_nativeads_polo-virtus-parcelas699_var-rng-aaf-dsy-0221-10055</v>
      </c>
      <c r="AK55" s="57" t="str">
        <f t="shared" si="3"/>
        <v>vw_range_970x250_polo-virtus-parcelas699_adserver</v>
      </c>
      <c r="AL55" s="57" t="str">
        <f t="shared" si="83"/>
        <v>https://ofertas.vw.com.br?utm_source=dv360-uol&amp;utm_medium=Paid-Display&amp;utm_content=alp_vw_dv360-uol_aaf_dsy_nonms_nd_nc_rng_varejo-familiaridade_na_trafego_cpm_prog_all_970x250_interesse-autos_nativeads_polo-virtus-parcelas699_var-rng-aaf-dsy-0221-10055&amp;utm_campaign=BR_AAF_DSY_NONMS_ND_NC_2021Q1FEB_RNG_Varejo-Familiaridade&amp;utm_term=%epid!_%ecid!_%eaid!</v>
      </c>
      <c r="AM55" s="57" t="str">
        <f t="shared" si="5"/>
        <v>TAG</v>
      </c>
      <c r="AN55" s="53" t="str">
        <f t="shared" si="84"/>
        <v>dv360-uol</v>
      </c>
      <c r="AO55" s="53" t="str">
        <f t="shared" si="85"/>
        <v>Paid-Display</v>
      </c>
      <c r="AP55" s="57" t="str">
        <f>Campanha!$B$3</f>
        <v>BR_AAF_DSY_NONMS_ND_NC_2021Q1FEB_RNG_Varejo-Familiaridade</v>
      </c>
      <c r="AQ55" s="57" t="str">
        <f t="shared" si="8"/>
        <v>alp_vw_dv360-uol_aaf_dsy_nonms_nd_nc_rng_varejo-familiaridade_na_trafego_cpm_prog_all_970x250_interesse-autos_nativeads_polo-virtus-parcelas699_var-rng-aaf-dsy-0221-10055</v>
      </c>
      <c r="AR55" s="53" t="s">
        <v>722</v>
      </c>
      <c r="AS55" s="57" t="str">
        <f t="shared" si="9"/>
        <v>https://ofertas.vw.com.br?utm_source=dv360-uol&amp;utm_medium=Paid-Display&amp;utm_content=alp_vw_dv360-uol_aaf_dsy_nonms_nd_nc_rng_varejo-familiaridade_na_trafego_cpm_prog_all_970x250_interesse-autos_nativeads_polo-virtus-parcelas699_var-rng-aaf-dsy-0221-10055&amp;utm_campaign=BR_AAF_DSY_NONMS_ND_NC_2021Q1FEB_RNG_Varejo-Familiaridade&amp;utm_term=%epid!_%ecid!_%eaid!</v>
      </c>
      <c r="AT55" s="53" t="str">
        <f t="shared" si="86"/>
        <v>run-of-network</v>
      </c>
      <c r="AU55" s="53" t="str">
        <f t="shared" si="11"/>
        <v>BR</v>
      </c>
      <c r="AV55" s="53" t="str">
        <f t="shared" si="87"/>
        <v>dv360-uol</v>
      </c>
      <c r="AW55" s="53" t="str">
        <f t="shared" si="88"/>
        <v>dv360-uol</v>
      </c>
      <c r="AX55" s="53" t="str">
        <f t="shared" si="14"/>
        <v>varejo-familiaridade</v>
      </c>
      <c r="AY55" s="53" t="str">
        <f t="shared" si="89"/>
        <v>alp_vw_dv360-uol_aaf_dsy_nonms_nd_nc_rng_varejo-familiaridade_na_trafego_cpm_prog_all_970x250_interesse-autos_nativeads_polo-virtus-parcelas699_var-rng-aaf-dsy-0221-10055</v>
      </c>
      <c r="AZ55" s="53" t="str">
        <f t="shared" si="90"/>
        <v>970x250</v>
      </c>
      <c r="BA55" s="53" t="str">
        <f t="shared" si="91"/>
        <v>varejo-familiaridade</v>
      </c>
      <c r="BB55" s="53" t="s">
        <v>775</v>
      </c>
      <c r="BC55" s="53" t="s">
        <v>775</v>
      </c>
      <c r="BD55" s="53" t="str">
        <f t="shared" si="92"/>
        <v>var-rng-aaf-dsy-0221-10055</v>
      </c>
      <c r="BE55" s="53" t="str">
        <f t="shared" si="93"/>
        <v>BR</v>
      </c>
      <c r="BF55" s="53" t="e">
        <f t="shared" si="94"/>
        <v>#N/A</v>
      </c>
      <c r="BG55" s="53"/>
      <c r="BH55" s="53"/>
      <c r="BI55" s="59" t="str">
        <f t="shared" si="19"/>
        <v>https://ofertas.vw.com.br?adlid=var-rng-aaf-dsy-0221-10055&amp;adplt=alp_vw_dv360-uol_aaf_dsy_nonms_nd_nc_rng_varejo-familiaridade_na_trafego_cpm_prog_all_970x250_interesse-autos_nativeads_polo-virtus-parcelas699_var-rng-aaf-dsy-0221-10055</v>
      </c>
      <c r="BL55" s="20" t="str">
        <f t="shared" si="20"/>
        <v>alp_vw_dv360-uol_aaf_dsy_nonms_nd_nc_rng_varejo-familiaridade_na_trafego</v>
      </c>
      <c r="BM55" s="20" t="str">
        <f t="shared" si="21"/>
        <v>cpm_prog_all_970x250_interesse-autos_nativeads</v>
      </c>
      <c r="BN55" s="20" t="str">
        <f t="shared" si="22"/>
        <v>alp_vw_dv360-uol_aaf_dsy_nonms_nd_nc_rng_varejo-familiaridade_na_trafego_cpm_prog_all_970x250_interesse-autos_nativeads_polo-virtus-parcelas699_var-rng-aaf-dsy-0221-10055</v>
      </c>
      <c r="BO55" s="20"/>
      <c r="BP55" s="20"/>
    </row>
    <row r="56" spans="2:68" ht="15" hidden="1" customHeight="1" x14ac:dyDescent="0.25">
      <c r="B56" s="53" t="s">
        <v>996</v>
      </c>
      <c r="C56" s="53" t="s">
        <v>1112</v>
      </c>
      <c r="D56" s="53" t="s">
        <v>1051</v>
      </c>
      <c r="E56" s="54">
        <v>44294</v>
      </c>
      <c r="F56" s="54">
        <v>44316</v>
      </c>
      <c r="G56" s="53" t="s">
        <v>628</v>
      </c>
      <c r="H56" s="55" t="s">
        <v>939</v>
      </c>
      <c r="I56" s="53" t="s">
        <v>777</v>
      </c>
      <c r="J56" s="56" t="s">
        <v>924</v>
      </c>
      <c r="K56" s="56" t="s">
        <v>924</v>
      </c>
      <c r="L56" s="53" t="s">
        <v>653</v>
      </c>
      <c r="M56" s="53" t="s">
        <v>287</v>
      </c>
      <c r="N56" s="53" t="s">
        <v>295</v>
      </c>
      <c r="O56" s="53" t="s">
        <v>317</v>
      </c>
      <c r="P56" s="53" t="s">
        <v>313</v>
      </c>
      <c r="Q56" s="53" t="s">
        <v>658</v>
      </c>
      <c r="R56" s="53" t="s">
        <v>277</v>
      </c>
      <c r="S56" s="53" t="s">
        <v>841</v>
      </c>
      <c r="T56" s="53" t="s">
        <v>938</v>
      </c>
      <c r="U56" s="53" t="s">
        <v>1007</v>
      </c>
      <c r="V56" s="53" t="s">
        <v>935</v>
      </c>
      <c r="W56" s="41"/>
      <c r="X56" s="40"/>
      <c r="Y56" s="53" t="s">
        <v>433</v>
      </c>
      <c r="Z56" s="40"/>
      <c r="AA56" s="40"/>
      <c r="AB56" s="40"/>
      <c r="AC56" s="40"/>
      <c r="AD56" s="40"/>
      <c r="AE56" s="40"/>
      <c r="AF56" s="40"/>
      <c r="AG56" s="40"/>
      <c r="AH56" s="53"/>
      <c r="AI56" s="57" t="str">
        <f t="shared" si="1"/>
        <v>alp_vw_dv360-uol_aaf_dsy_nonms_nd_nc_rng_varejo-familiaridade_na_trafego_cpm_prog_all_300x250_interesse-autos__polo-virtus-parcelas699_var-rng-aaf-dsy-0221-10056</v>
      </c>
      <c r="AJ56" s="58" t="str">
        <f t="shared" si="2"/>
        <v>alp_vw_dv360-uol_aaf_dsy_nonms_nd_nc_rng_varejo-familiaridade_na_trafego_cpm_prog_all_300x250_interesse-autos__polo-virtus-parcelas699_var-rng-aaf-dsy-0221-10056</v>
      </c>
      <c r="AK56" s="57" t="str">
        <f t="shared" si="3"/>
        <v>vw_range_300x250_polo-virtus-parcelas699_adserver</v>
      </c>
      <c r="AL56" s="57" t="str">
        <f t="shared" si="83"/>
        <v>https://ofertas.vw.com.br?utm_source=dv360-uol&amp;utm_medium=Paid-Display&amp;utm_content=alp_vw_dv360-uol_aaf_dsy_nonms_nd_nc_rng_varejo-familiaridade_na_trafego_cpm_prog_all_300x250_interesse-autos__polo-virtus-parcelas699_var-rng-aaf-dsy-0221-10056&amp;utm_campaign=BR_AAF_DSY_NONMS_ND_NC_2021Q1FEB_RNG_Varejo-Familiaridade&amp;utm_term=%epid!_%ecid!_%eaid!</v>
      </c>
      <c r="AM56" s="57" t="str">
        <f t="shared" si="5"/>
        <v>TAG</v>
      </c>
      <c r="AN56" s="53" t="str">
        <f t="shared" si="84"/>
        <v>dv360-uol</v>
      </c>
      <c r="AO56" s="53" t="str">
        <f t="shared" si="85"/>
        <v>Paid-Display</v>
      </c>
      <c r="AP56" s="57" t="str">
        <f>Campanha!$B$3</f>
        <v>BR_AAF_DSY_NONMS_ND_NC_2021Q1FEB_RNG_Varejo-Familiaridade</v>
      </c>
      <c r="AQ56" s="57" t="str">
        <f t="shared" si="8"/>
        <v>alp_vw_dv360-uol_aaf_dsy_nonms_nd_nc_rng_varejo-familiaridade_na_trafego_cpm_prog_all_300x250_interesse-autos__polo-virtus-parcelas699_var-rng-aaf-dsy-0221-10056</v>
      </c>
      <c r="AR56" s="53" t="s">
        <v>722</v>
      </c>
      <c r="AS56" s="57" t="str">
        <f t="shared" si="9"/>
        <v>https://ofertas.vw.com.br?utm_source=dv360-uol&amp;utm_medium=Paid-Display&amp;utm_content=alp_vw_dv360-uol_aaf_dsy_nonms_nd_nc_rng_varejo-familiaridade_na_trafego_cpm_prog_all_300x250_interesse-autos__polo-virtus-parcelas699_var-rng-aaf-dsy-0221-10056&amp;utm_campaign=BR_AAF_DSY_NONMS_ND_NC_2021Q1FEB_RNG_Varejo-Familiaridade&amp;utm_term=%epid!_%ecid!_%eaid!</v>
      </c>
      <c r="AT56" s="53" t="str">
        <f t="shared" si="86"/>
        <v>run-of-network</v>
      </c>
      <c r="AU56" s="53" t="str">
        <f t="shared" si="11"/>
        <v>BR</v>
      </c>
      <c r="AV56" s="53" t="str">
        <f t="shared" si="87"/>
        <v>dv360-uol</v>
      </c>
      <c r="AW56" s="53" t="str">
        <f t="shared" si="88"/>
        <v>dv360-uol</v>
      </c>
      <c r="AX56" s="53" t="str">
        <f t="shared" si="14"/>
        <v>varejo-familiaridade</v>
      </c>
      <c r="AY56" s="53" t="str">
        <f t="shared" si="89"/>
        <v>alp_vw_dv360-uol_aaf_dsy_nonms_nd_nc_rng_varejo-familiaridade_na_trafego_cpm_prog_all_300x250_interesse-autos__polo-virtus-parcelas699_var-rng-aaf-dsy-0221-10056</v>
      </c>
      <c r="AZ56" s="53" t="str">
        <f t="shared" si="90"/>
        <v>300x250</v>
      </c>
      <c r="BA56" s="53" t="str">
        <f t="shared" si="91"/>
        <v>varejo-familiaridade</v>
      </c>
      <c r="BB56" s="53" t="s">
        <v>775</v>
      </c>
      <c r="BC56" s="53" t="s">
        <v>775</v>
      </c>
      <c r="BD56" s="53" t="str">
        <f t="shared" si="92"/>
        <v>var-rng-aaf-dsy-0221-10056</v>
      </c>
      <c r="BE56" s="53" t="str">
        <f t="shared" si="93"/>
        <v>BR</v>
      </c>
      <c r="BF56" s="53" t="str">
        <f t="shared" si="94"/>
        <v/>
      </c>
      <c r="BG56" s="53"/>
      <c r="BH56" s="53"/>
      <c r="BI56" s="59" t="str">
        <f t="shared" si="19"/>
        <v>https://ofertas.vw.com.br?adlid=var-rng-aaf-dsy-0221-10056&amp;adplt=alp_vw_dv360-uol_aaf_dsy_nonms_nd_nc_rng_varejo-familiaridade_na_trafego_cpm_prog_all_300x250_interesse-autos__polo-virtus-parcelas699_var-rng-aaf-dsy-0221-10056</v>
      </c>
      <c r="BL56" s="20" t="str">
        <f t="shared" si="20"/>
        <v>alp_vw_dv360-uol_aaf_dsy_nonms_nd_nc_rng_varejo-familiaridade_na_trafego</v>
      </c>
      <c r="BM56" s="20" t="str">
        <f t="shared" si="21"/>
        <v>cpm_prog_all_300x250_interesse-autos_</v>
      </c>
      <c r="BN56" s="20" t="str">
        <f t="shared" si="22"/>
        <v>alp_vw_dv360-uol_aaf_dsy_nonms_nd_nc_rng_varejo-familiaridade_na_trafego_cpm_prog_all_300x250_interesse-autos__polo-virtus-parcelas699_var-rng-aaf-dsy-0221-10056</v>
      </c>
      <c r="BO56" s="20"/>
      <c r="BP56" s="20"/>
    </row>
    <row r="57" spans="2:68" ht="15" hidden="1" customHeight="1" x14ac:dyDescent="0.25">
      <c r="B57" s="53" t="s">
        <v>996</v>
      </c>
      <c r="C57" s="53" t="s">
        <v>1112</v>
      </c>
      <c r="D57" s="53" t="s">
        <v>1051</v>
      </c>
      <c r="E57" s="54">
        <v>44294</v>
      </c>
      <c r="F57" s="54">
        <v>44316</v>
      </c>
      <c r="G57" s="53" t="s">
        <v>628</v>
      </c>
      <c r="H57" s="55" t="s">
        <v>939</v>
      </c>
      <c r="I57" s="53" t="s">
        <v>777</v>
      </c>
      <c r="J57" s="56" t="s">
        <v>924</v>
      </c>
      <c r="K57" s="56" t="s">
        <v>924</v>
      </c>
      <c r="L57" s="53" t="s">
        <v>653</v>
      </c>
      <c r="M57" s="53" t="s">
        <v>287</v>
      </c>
      <c r="N57" s="53" t="s">
        <v>295</v>
      </c>
      <c r="O57" s="53" t="s">
        <v>317</v>
      </c>
      <c r="P57" s="53" t="s">
        <v>313</v>
      </c>
      <c r="Q57" s="53" t="s">
        <v>658</v>
      </c>
      <c r="R57" s="53" t="s">
        <v>277</v>
      </c>
      <c r="S57" s="53" t="s">
        <v>841</v>
      </c>
      <c r="T57" s="53" t="s">
        <v>938</v>
      </c>
      <c r="U57" s="53" t="s">
        <v>1007</v>
      </c>
      <c r="V57" s="53" t="s">
        <v>935</v>
      </c>
      <c r="W57" s="41"/>
      <c r="X57" s="40"/>
      <c r="Y57" s="53" t="s">
        <v>442</v>
      </c>
      <c r="Z57" s="40"/>
      <c r="AA57" s="40"/>
      <c r="AB57" s="40"/>
      <c r="AC57" s="40"/>
      <c r="AD57" s="40"/>
      <c r="AE57" s="40"/>
      <c r="AF57" s="40"/>
      <c r="AG57" s="40"/>
      <c r="AH57" s="53"/>
      <c r="AI57" s="57" t="str">
        <f t="shared" si="1"/>
        <v>alp_vw_dv360-uol_aaf_dsy_nonms_nd_nc_rng_varejo-familiaridade_na_trafego_cpm_prog_all_300x600_interesse-autos__polo-virtus-parcelas699_var-rng-aaf-dsy-0221-10057</v>
      </c>
      <c r="AJ57" s="58" t="str">
        <f t="shared" si="2"/>
        <v>alp_vw_dv360-uol_aaf_dsy_nonms_nd_nc_rng_varejo-familiaridade_na_trafego_cpm_prog_all_300x600_interesse-autos__polo-virtus-parcelas699_var-rng-aaf-dsy-0221-10057</v>
      </c>
      <c r="AK57" s="57" t="str">
        <f t="shared" si="3"/>
        <v>vw_range_300x600_polo-virtus-parcelas699_adserver</v>
      </c>
      <c r="AL57" s="57" t="str">
        <f t="shared" si="83"/>
        <v>https://ofertas.vw.com.br?utm_source=dv360-uol&amp;utm_medium=Paid-Display&amp;utm_content=alp_vw_dv360-uol_aaf_dsy_nonms_nd_nc_rng_varejo-familiaridade_na_trafego_cpm_prog_all_300x600_interesse-autos__polo-virtus-parcelas699_var-rng-aaf-dsy-0221-10057&amp;utm_campaign=BR_AAF_DSY_NONMS_ND_NC_2021Q1FEB_RNG_Varejo-Familiaridade&amp;utm_term=%epid!_%ecid!_%eaid!</v>
      </c>
      <c r="AM57" s="57" t="str">
        <f t="shared" si="5"/>
        <v>TAG</v>
      </c>
      <c r="AN57" s="53" t="str">
        <f t="shared" si="84"/>
        <v>dv360-uol</v>
      </c>
      <c r="AO57" s="53" t="str">
        <f t="shared" si="85"/>
        <v>Paid-Display</v>
      </c>
      <c r="AP57" s="57" t="str">
        <f>Campanha!$B$3</f>
        <v>BR_AAF_DSY_NONMS_ND_NC_2021Q1FEB_RNG_Varejo-Familiaridade</v>
      </c>
      <c r="AQ57" s="57" t="str">
        <f t="shared" si="8"/>
        <v>alp_vw_dv360-uol_aaf_dsy_nonms_nd_nc_rng_varejo-familiaridade_na_trafego_cpm_prog_all_300x600_interesse-autos__polo-virtus-parcelas699_var-rng-aaf-dsy-0221-10057</v>
      </c>
      <c r="AR57" s="53" t="s">
        <v>722</v>
      </c>
      <c r="AS57" s="57" t="str">
        <f t="shared" si="9"/>
        <v>https://ofertas.vw.com.br?utm_source=dv360-uol&amp;utm_medium=Paid-Display&amp;utm_content=alp_vw_dv360-uol_aaf_dsy_nonms_nd_nc_rng_varejo-familiaridade_na_trafego_cpm_prog_all_300x600_interesse-autos__polo-virtus-parcelas699_var-rng-aaf-dsy-0221-10057&amp;utm_campaign=BR_AAF_DSY_NONMS_ND_NC_2021Q1FEB_RNG_Varejo-Familiaridade&amp;utm_term=%epid!_%ecid!_%eaid!</v>
      </c>
      <c r="AT57" s="53" t="str">
        <f t="shared" si="86"/>
        <v>run-of-network</v>
      </c>
      <c r="AU57" s="53" t="str">
        <f t="shared" si="11"/>
        <v>BR</v>
      </c>
      <c r="AV57" s="53" t="str">
        <f t="shared" si="87"/>
        <v>dv360-uol</v>
      </c>
      <c r="AW57" s="53" t="str">
        <f t="shared" si="88"/>
        <v>dv360-uol</v>
      </c>
      <c r="AX57" s="53" t="str">
        <f t="shared" si="14"/>
        <v>varejo-familiaridade</v>
      </c>
      <c r="AY57" s="53" t="str">
        <f t="shared" si="89"/>
        <v>alp_vw_dv360-uol_aaf_dsy_nonms_nd_nc_rng_varejo-familiaridade_na_trafego_cpm_prog_all_300x600_interesse-autos__polo-virtus-parcelas699_var-rng-aaf-dsy-0221-10057</v>
      </c>
      <c r="AZ57" s="53" t="str">
        <f t="shared" si="90"/>
        <v>300x600</v>
      </c>
      <c r="BA57" s="53" t="str">
        <f t="shared" si="91"/>
        <v>varejo-familiaridade</v>
      </c>
      <c r="BB57" s="53" t="s">
        <v>775</v>
      </c>
      <c r="BC57" s="53" t="s">
        <v>775</v>
      </c>
      <c r="BD57" s="53" t="str">
        <f t="shared" si="92"/>
        <v>var-rng-aaf-dsy-0221-10057</v>
      </c>
      <c r="BE57" s="53" t="str">
        <f t="shared" si="93"/>
        <v>BR</v>
      </c>
      <c r="BF57" s="53" t="str">
        <f t="shared" si="94"/>
        <v/>
      </c>
      <c r="BG57" s="53"/>
      <c r="BH57" s="53"/>
      <c r="BI57" s="59" t="str">
        <f t="shared" si="19"/>
        <v>https://ofertas.vw.com.br?adlid=var-rng-aaf-dsy-0221-10057&amp;adplt=alp_vw_dv360-uol_aaf_dsy_nonms_nd_nc_rng_varejo-familiaridade_na_trafego_cpm_prog_all_300x600_interesse-autos__polo-virtus-parcelas699_var-rng-aaf-dsy-0221-10057</v>
      </c>
      <c r="BL57" s="20" t="str">
        <f t="shared" si="20"/>
        <v>alp_vw_dv360-uol_aaf_dsy_nonms_nd_nc_rng_varejo-familiaridade_na_trafego</v>
      </c>
      <c r="BM57" s="20" t="str">
        <f t="shared" si="21"/>
        <v>cpm_prog_all_300x600_interesse-autos_</v>
      </c>
      <c r="BN57" s="20" t="str">
        <f t="shared" si="22"/>
        <v>alp_vw_dv360-uol_aaf_dsy_nonms_nd_nc_rng_varejo-familiaridade_na_trafego_cpm_prog_all_300x600_interesse-autos__polo-virtus-parcelas699_var-rng-aaf-dsy-0221-10057</v>
      </c>
      <c r="BO57" s="20"/>
      <c r="BP57" s="20"/>
    </row>
    <row r="58" spans="2:68" ht="15" hidden="1" customHeight="1" x14ac:dyDescent="0.25">
      <c r="B58" s="53" t="s">
        <v>996</v>
      </c>
      <c r="C58" s="53" t="s">
        <v>1112</v>
      </c>
      <c r="D58" s="53" t="s">
        <v>1051</v>
      </c>
      <c r="E58" s="54">
        <v>44294</v>
      </c>
      <c r="F58" s="54">
        <v>44316</v>
      </c>
      <c r="G58" s="53" t="s">
        <v>628</v>
      </c>
      <c r="H58" s="55" t="s">
        <v>939</v>
      </c>
      <c r="I58" s="53" t="s">
        <v>777</v>
      </c>
      <c r="J58" s="56" t="s">
        <v>924</v>
      </c>
      <c r="K58" s="56" t="s">
        <v>924</v>
      </c>
      <c r="L58" s="53" t="s">
        <v>653</v>
      </c>
      <c r="M58" s="53" t="s">
        <v>287</v>
      </c>
      <c r="N58" s="53" t="s">
        <v>295</v>
      </c>
      <c r="O58" s="53" t="s">
        <v>317</v>
      </c>
      <c r="P58" s="53" t="s">
        <v>313</v>
      </c>
      <c r="Q58" s="53" t="s">
        <v>658</v>
      </c>
      <c r="R58" s="53" t="s">
        <v>277</v>
      </c>
      <c r="S58" s="53" t="s">
        <v>841</v>
      </c>
      <c r="T58" s="53" t="s">
        <v>938</v>
      </c>
      <c r="U58" s="53" t="s">
        <v>1007</v>
      </c>
      <c r="V58" s="53" t="s">
        <v>935</v>
      </c>
      <c r="W58" s="41"/>
      <c r="X58" s="40"/>
      <c r="Y58" s="53" t="s">
        <v>568</v>
      </c>
      <c r="Z58" s="40"/>
      <c r="AA58" s="40"/>
      <c r="AB58" s="40"/>
      <c r="AC58" s="40"/>
      <c r="AD58" s="40"/>
      <c r="AE58" s="40"/>
      <c r="AF58" s="40"/>
      <c r="AG58" s="40"/>
      <c r="AH58" s="53"/>
      <c r="AI58" s="57" t="str">
        <f t="shared" si="1"/>
        <v>alp_vw_dv360-uol_aaf_dsy_nonms_nd_nc_rng_varejo-familiaridade_na_trafego_cpm_prog_all_728x90_interesse-autos__polo-virtus-parcelas699_var-rng-aaf-dsy-0221-10058</v>
      </c>
      <c r="AJ58" s="58" t="str">
        <f t="shared" si="2"/>
        <v>alp_vw_dv360-uol_aaf_dsy_nonms_nd_nc_rng_varejo-familiaridade_na_trafego_cpm_prog_all_728x90_interesse-autos__polo-virtus-parcelas699_var-rng-aaf-dsy-0221-10058</v>
      </c>
      <c r="AK58" s="57" t="str">
        <f t="shared" si="3"/>
        <v>vw_range_728x90_polo-virtus-parcelas699_adserver</v>
      </c>
      <c r="AL58" s="57" t="str">
        <f t="shared" si="83"/>
        <v>https://ofertas.vw.com.br?utm_source=dv360-uol&amp;utm_medium=Paid-Display&amp;utm_content=alp_vw_dv360-uol_aaf_dsy_nonms_nd_nc_rng_varejo-familiaridade_na_trafego_cpm_prog_all_728x90_interesse-autos__polo-virtus-parcelas699_var-rng-aaf-dsy-0221-10058&amp;utm_campaign=BR_AAF_DSY_NONMS_ND_NC_2021Q1FEB_RNG_Varejo-Familiaridade&amp;utm_term=%epid!_%ecid!_%eaid!</v>
      </c>
      <c r="AM58" s="57" t="str">
        <f t="shared" si="5"/>
        <v>TAG</v>
      </c>
      <c r="AN58" s="53" t="str">
        <f t="shared" si="84"/>
        <v>dv360-uol</v>
      </c>
      <c r="AO58" s="53" t="str">
        <f t="shared" si="85"/>
        <v>Paid-Display</v>
      </c>
      <c r="AP58" s="57" t="str">
        <f>Campanha!$B$3</f>
        <v>BR_AAF_DSY_NONMS_ND_NC_2021Q1FEB_RNG_Varejo-Familiaridade</v>
      </c>
      <c r="AQ58" s="57" t="str">
        <f t="shared" si="8"/>
        <v>alp_vw_dv360-uol_aaf_dsy_nonms_nd_nc_rng_varejo-familiaridade_na_trafego_cpm_prog_all_728x90_interesse-autos__polo-virtus-parcelas699_var-rng-aaf-dsy-0221-10058</v>
      </c>
      <c r="AR58" s="53" t="s">
        <v>722</v>
      </c>
      <c r="AS58" s="57" t="str">
        <f t="shared" si="9"/>
        <v>https://ofertas.vw.com.br?utm_source=dv360-uol&amp;utm_medium=Paid-Display&amp;utm_content=alp_vw_dv360-uol_aaf_dsy_nonms_nd_nc_rng_varejo-familiaridade_na_trafego_cpm_prog_all_728x90_interesse-autos__polo-virtus-parcelas699_var-rng-aaf-dsy-0221-10058&amp;utm_campaign=BR_AAF_DSY_NONMS_ND_NC_2021Q1FEB_RNG_Varejo-Familiaridade&amp;utm_term=%epid!_%ecid!_%eaid!</v>
      </c>
      <c r="AT58" s="53" t="str">
        <f t="shared" si="86"/>
        <v>run-of-network</v>
      </c>
      <c r="AU58" s="53" t="str">
        <f t="shared" si="11"/>
        <v>BR</v>
      </c>
      <c r="AV58" s="53" t="str">
        <f t="shared" si="87"/>
        <v>dv360-uol</v>
      </c>
      <c r="AW58" s="53" t="str">
        <f t="shared" si="88"/>
        <v>dv360-uol</v>
      </c>
      <c r="AX58" s="53" t="str">
        <f t="shared" si="14"/>
        <v>varejo-familiaridade</v>
      </c>
      <c r="AY58" s="53" t="str">
        <f t="shared" si="89"/>
        <v>alp_vw_dv360-uol_aaf_dsy_nonms_nd_nc_rng_varejo-familiaridade_na_trafego_cpm_prog_all_728x90_interesse-autos__polo-virtus-parcelas699_var-rng-aaf-dsy-0221-10058</v>
      </c>
      <c r="AZ58" s="53" t="str">
        <f t="shared" si="90"/>
        <v>728x90</v>
      </c>
      <c r="BA58" s="53" t="str">
        <f t="shared" si="91"/>
        <v>varejo-familiaridade</v>
      </c>
      <c r="BB58" s="53" t="s">
        <v>775</v>
      </c>
      <c r="BC58" s="53" t="s">
        <v>775</v>
      </c>
      <c r="BD58" s="53" t="str">
        <f t="shared" si="92"/>
        <v>var-rng-aaf-dsy-0221-10058</v>
      </c>
      <c r="BE58" s="53" t="str">
        <f t="shared" si="93"/>
        <v>BR</v>
      </c>
      <c r="BF58" s="53" t="str">
        <f t="shared" si="94"/>
        <v/>
      </c>
      <c r="BG58" s="53"/>
      <c r="BH58" s="53"/>
      <c r="BI58" s="59" t="str">
        <f t="shared" si="19"/>
        <v>https://ofertas.vw.com.br?adlid=var-rng-aaf-dsy-0221-10058&amp;adplt=alp_vw_dv360-uol_aaf_dsy_nonms_nd_nc_rng_varejo-familiaridade_na_trafego_cpm_prog_all_728x90_interesse-autos__polo-virtus-parcelas699_var-rng-aaf-dsy-0221-10058</v>
      </c>
      <c r="BL58" s="20" t="str">
        <f t="shared" si="20"/>
        <v>alp_vw_dv360-uol_aaf_dsy_nonms_nd_nc_rng_varejo-familiaridade_na_trafego</v>
      </c>
      <c r="BM58" s="20" t="str">
        <f t="shared" si="21"/>
        <v>cpm_prog_all_728x90_interesse-autos_</v>
      </c>
      <c r="BN58" s="20" t="str">
        <f t="shared" si="22"/>
        <v>alp_vw_dv360-uol_aaf_dsy_nonms_nd_nc_rng_varejo-familiaridade_na_trafego_cpm_prog_all_728x90_interesse-autos__polo-virtus-parcelas699_var-rng-aaf-dsy-0221-10058</v>
      </c>
      <c r="BO58" s="20"/>
      <c r="BP58" s="20"/>
    </row>
    <row r="59" spans="2:68" ht="15" hidden="1" customHeight="1" x14ac:dyDescent="0.25">
      <c r="B59" s="53" t="s">
        <v>996</v>
      </c>
      <c r="C59" s="53" t="s">
        <v>1112</v>
      </c>
      <c r="D59" s="53" t="s">
        <v>1051</v>
      </c>
      <c r="E59" s="54">
        <v>44294</v>
      </c>
      <c r="F59" s="54">
        <v>44316</v>
      </c>
      <c r="G59" s="53" t="s">
        <v>628</v>
      </c>
      <c r="H59" s="55" t="s">
        <v>939</v>
      </c>
      <c r="I59" s="53" t="s">
        <v>777</v>
      </c>
      <c r="J59" s="56" t="s">
        <v>924</v>
      </c>
      <c r="K59" s="56" t="s">
        <v>924</v>
      </c>
      <c r="L59" s="53" t="s">
        <v>653</v>
      </c>
      <c r="M59" s="53" t="s">
        <v>287</v>
      </c>
      <c r="N59" s="53" t="s">
        <v>295</v>
      </c>
      <c r="O59" s="53" t="s">
        <v>317</v>
      </c>
      <c r="P59" s="53" t="s">
        <v>313</v>
      </c>
      <c r="Q59" s="53" t="s">
        <v>658</v>
      </c>
      <c r="R59" s="53" t="s">
        <v>277</v>
      </c>
      <c r="S59" s="53" t="s">
        <v>841</v>
      </c>
      <c r="T59" s="53" t="s">
        <v>938</v>
      </c>
      <c r="U59" s="53" t="s">
        <v>1007</v>
      </c>
      <c r="V59" s="53" t="s">
        <v>935</v>
      </c>
      <c r="W59" s="41"/>
      <c r="X59" s="40"/>
      <c r="Y59" s="53" t="s">
        <v>457</v>
      </c>
      <c r="Z59" s="40"/>
      <c r="AA59" s="40"/>
      <c r="AB59" s="40"/>
      <c r="AC59" s="40"/>
      <c r="AD59" s="40"/>
      <c r="AE59" s="40"/>
      <c r="AF59" s="40"/>
      <c r="AG59" s="40"/>
      <c r="AH59" s="53"/>
      <c r="AI59" s="57" t="str">
        <f t="shared" si="1"/>
        <v>alp_vw_dv360-uol_aaf_dsy_nonms_nd_nc_rng_varejo-familiaridade_na_trafego_cpm_prog_all_320x50_interesse-autos__polo-virtus-parcelas699_var-rng-aaf-dsy-0221-10059</v>
      </c>
      <c r="AJ59" s="58" t="str">
        <f t="shared" si="2"/>
        <v>alp_vw_dv360-uol_aaf_dsy_nonms_nd_nc_rng_varejo-familiaridade_na_trafego_cpm_prog_all_320x50_interesse-autos__polo-virtus-parcelas699_var-rng-aaf-dsy-0221-10059</v>
      </c>
      <c r="AK59" s="57" t="str">
        <f t="shared" si="3"/>
        <v>vw_range_320x50_polo-virtus-parcelas699_adserver</v>
      </c>
      <c r="AL59" s="57" t="str">
        <f t="shared" si="83"/>
        <v>https://ofertas.vw.com.br?utm_source=dv360-uol&amp;utm_medium=Paid-Display&amp;utm_content=alp_vw_dv360-uol_aaf_dsy_nonms_nd_nc_rng_varejo-familiaridade_na_trafego_cpm_prog_all_320x50_interesse-autos__polo-virtus-parcelas699_var-rng-aaf-dsy-0221-10059&amp;utm_campaign=BR_AAF_DSY_NONMS_ND_NC_2021Q1FEB_RNG_Varejo-Familiaridade&amp;utm_term=%epid!_%ecid!_%eaid!</v>
      </c>
      <c r="AM59" s="57" t="str">
        <f t="shared" si="5"/>
        <v>TAG</v>
      </c>
      <c r="AN59" s="53" t="str">
        <f t="shared" si="84"/>
        <v>dv360-uol</v>
      </c>
      <c r="AO59" s="53" t="str">
        <f t="shared" si="85"/>
        <v>Paid-Display</v>
      </c>
      <c r="AP59" s="57" t="str">
        <f>Campanha!$B$3</f>
        <v>BR_AAF_DSY_NONMS_ND_NC_2021Q1FEB_RNG_Varejo-Familiaridade</v>
      </c>
      <c r="AQ59" s="57" t="str">
        <f t="shared" si="8"/>
        <v>alp_vw_dv360-uol_aaf_dsy_nonms_nd_nc_rng_varejo-familiaridade_na_trafego_cpm_prog_all_320x50_interesse-autos__polo-virtus-parcelas699_var-rng-aaf-dsy-0221-10059</v>
      </c>
      <c r="AR59" s="53" t="s">
        <v>722</v>
      </c>
      <c r="AS59" s="57" t="str">
        <f t="shared" si="9"/>
        <v>https://ofertas.vw.com.br?utm_source=dv360-uol&amp;utm_medium=Paid-Display&amp;utm_content=alp_vw_dv360-uol_aaf_dsy_nonms_nd_nc_rng_varejo-familiaridade_na_trafego_cpm_prog_all_320x50_interesse-autos__polo-virtus-parcelas699_var-rng-aaf-dsy-0221-10059&amp;utm_campaign=BR_AAF_DSY_NONMS_ND_NC_2021Q1FEB_RNG_Varejo-Familiaridade&amp;utm_term=%epid!_%ecid!_%eaid!</v>
      </c>
      <c r="AT59" s="53" t="str">
        <f t="shared" si="86"/>
        <v>run-of-network</v>
      </c>
      <c r="AU59" s="53" t="str">
        <f t="shared" si="11"/>
        <v>BR</v>
      </c>
      <c r="AV59" s="53" t="str">
        <f t="shared" si="87"/>
        <v>dv360-uol</v>
      </c>
      <c r="AW59" s="53" t="str">
        <f t="shared" si="88"/>
        <v>dv360-uol</v>
      </c>
      <c r="AX59" s="53" t="str">
        <f t="shared" si="14"/>
        <v>varejo-familiaridade</v>
      </c>
      <c r="AY59" s="53" t="str">
        <f t="shared" si="89"/>
        <v>alp_vw_dv360-uol_aaf_dsy_nonms_nd_nc_rng_varejo-familiaridade_na_trafego_cpm_prog_all_320x50_interesse-autos__polo-virtus-parcelas699_var-rng-aaf-dsy-0221-10059</v>
      </c>
      <c r="AZ59" s="53" t="str">
        <f t="shared" si="90"/>
        <v>320x50</v>
      </c>
      <c r="BA59" s="53" t="str">
        <f t="shared" si="91"/>
        <v>varejo-familiaridade</v>
      </c>
      <c r="BB59" s="53" t="s">
        <v>775</v>
      </c>
      <c r="BC59" s="53" t="s">
        <v>775</v>
      </c>
      <c r="BD59" s="53" t="str">
        <f t="shared" si="92"/>
        <v>var-rng-aaf-dsy-0221-10059</v>
      </c>
      <c r="BE59" s="53" t="str">
        <f t="shared" si="93"/>
        <v>BR</v>
      </c>
      <c r="BF59" s="53" t="str">
        <f t="shared" si="94"/>
        <v/>
      </c>
      <c r="BG59" s="53"/>
      <c r="BH59" s="53"/>
      <c r="BI59" s="59" t="str">
        <f t="shared" si="19"/>
        <v>https://ofertas.vw.com.br?adlid=var-rng-aaf-dsy-0221-10059&amp;adplt=alp_vw_dv360-uol_aaf_dsy_nonms_nd_nc_rng_varejo-familiaridade_na_trafego_cpm_prog_all_320x50_interesse-autos__polo-virtus-parcelas699_var-rng-aaf-dsy-0221-10059</v>
      </c>
      <c r="BL59" s="20" t="str">
        <f t="shared" si="20"/>
        <v>alp_vw_dv360-uol_aaf_dsy_nonms_nd_nc_rng_varejo-familiaridade_na_trafego</v>
      </c>
      <c r="BM59" s="20" t="str">
        <f t="shared" si="21"/>
        <v>cpm_prog_all_320x50_interesse-autos_</v>
      </c>
      <c r="BN59" s="20" t="str">
        <f t="shared" si="22"/>
        <v>alp_vw_dv360-uol_aaf_dsy_nonms_nd_nc_rng_varejo-familiaridade_na_trafego_cpm_prog_all_320x50_interesse-autos__polo-virtus-parcelas699_var-rng-aaf-dsy-0221-10059</v>
      </c>
      <c r="BO59" s="20"/>
      <c r="BP59" s="20"/>
    </row>
    <row r="60" spans="2:68" ht="15" hidden="1" customHeight="1" x14ac:dyDescent="0.25">
      <c r="B60" s="53" t="s">
        <v>996</v>
      </c>
      <c r="C60" s="53" t="s">
        <v>1009</v>
      </c>
      <c r="D60" s="53" t="s">
        <v>1006</v>
      </c>
      <c r="E60" s="54">
        <v>44294</v>
      </c>
      <c r="F60" s="54">
        <v>44316</v>
      </c>
      <c r="G60" s="53" t="s">
        <v>626</v>
      </c>
      <c r="H60" s="55" t="s">
        <v>939</v>
      </c>
      <c r="I60" s="53" t="s">
        <v>777</v>
      </c>
      <c r="J60" s="56" t="s">
        <v>924</v>
      </c>
      <c r="K60" s="56" t="s">
        <v>924</v>
      </c>
      <c r="L60" s="53" t="s">
        <v>653</v>
      </c>
      <c r="M60" s="53" t="s">
        <v>287</v>
      </c>
      <c r="N60" s="53" t="s">
        <v>295</v>
      </c>
      <c r="O60" s="53" t="s">
        <v>654</v>
      </c>
      <c r="P60" s="53" t="s">
        <v>313</v>
      </c>
      <c r="Q60" s="53" t="s">
        <v>658</v>
      </c>
      <c r="R60" s="53" t="s">
        <v>277</v>
      </c>
      <c r="S60" s="53" t="s">
        <v>841</v>
      </c>
      <c r="T60" s="53" t="s">
        <v>938</v>
      </c>
      <c r="U60" s="53" t="s">
        <v>1007</v>
      </c>
      <c r="V60" s="53" t="s">
        <v>935</v>
      </c>
      <c r="W60" s="40" t="s">
        <v>624</v>
      </c>
      <c r="X60" s="40" t="e">
        <v>#N/A</v>
      </c>
      <c r="Y60" s="53" t="s">
        <v>624</v>
      </c>
      <c r="Z60" s="48"/>
      <c r="AA60" s="41"/>
      <c r="AB60" s="41"/>
      <c r="AC60" s="41"/>
      <c r="AD60" s="40"/>
      <c r="AE60" s="40"/>
      <c r="AF60" s="41"/>
      <c r="AG60" s="41"/>
      <c r="AH60" s="53"/>
      <c r="AI60" s="57" t="str">
        <f t="shared" si="1"/>
        <v>alp_vw_dv360-uol_aaf_dsy_nonms_nd_nc_rng_varejo-familiaridade_na_trafego_cpm_prog_all_nativeads_interesse-autos_nativeads_polo-virtus-parcelas699_var-rng-aaf-dsy-0221-10060</v>
      </c>
      <c r="AJ60" s="58" t="str">
        <f t="shared" si="2"/>
        <v>alp_vw_dv360-uol_aaf_dsy_nonms_nd_nc_rng_varejo-familiaridade_na_trafego_cpm_prog_all_nativeads_interesse-autos_nativeads_polo-virtus-parcelas699_var-rng-aaf-dsy-0221-10060</v>
      </c>
      <c r="AK60" s="57" t="str">
        <f t="shared" si="3"/>
        <v>vw_range_nativeads_polo-virtus-parcelas699_dv360-uol</v>
      </c>
      <c r="AL60" s="57" t="str">
        <f t="shared" si="83"/>
        <v>https://ofertas.vw.com.br?utm_source=dv360-uol&amp;utm_medium=Paid-Display&amp;utm_content=alp_vw_dv360-uol_aaf_dsy_nonms_nd_nc_rng_varejo-familiaridade_na_trafego_cpm_prog_all_nativeads_interesse-autos_nativeads_polo-virtus-parcelas699_var-rng-aaf-dsy-0221-10060&amp;utm_campaign=BR_AAF_DSY_NONMS_ND_NC_2021Q1FEB_RNG_Varejo-Familiaridade&amp;utm_term=%epid!_%ecid!_%eaid!</v>
      </c>
      <c r="AM60" s="57" t="str">
        <f t="shared" si="5"/>
        <v>https://ad.doubleclick.net/ddm/trackclk/N9487.281608.GOOGLEBRASIL/B25333445.300533648;dc_trk_aid=493643701;dc_trk_cid=145996180;Audience_Id=${PIXEL_ID_COMMA};kw=${CAMPAIGN_ID}:${INSERTION_ORDER_ID};dc_lat=;dc_rdid=;tag_for_child_directed_treatment=;tfua=</v>
      </c>
      <c r="AN60" s="53" t="str">
        <f t="shared" si="84"/>
        <v>dv360-uol</v>
      </c>
      <c r="AO60" s="53" t="str">
        <f t="shared" si="85"/>
        <v>Paid-Display</v>
      </c>
      <c r="AP60" s="57" t="str">
        <f>Campanha!$B$3</f>
        <v>BR_AAF_DSY_NONMS_ND_NC_2021Q1FEB_RNG_Varejo-Familiaridade</v>
      </c>
      <c r="AQ60" s="57" t="str">
        <f t="shared" si="8"/>
        <v>alp_vw_dv360-uol_aaf_dsy_nonms_nd_nc_rng_varejo-familiaridade_na_trafego_cpm_prog_all_nativeads_interesse-autos_nativeads_polo-virtus-parcelas699_var-rng-aaf-dsy-0221-10060</v>
      </c>
      <c r="AR60" s="53" t="s">
        <v>722</v>
      </c>
      <c r="AS60" s="57" t="str">
        <f t="shared" si="9"/>
        <v>https://ofertas.vw.com.br?utm_source=dv360-uol&amp;utm_medium=Paid-Display&amp;utm_content=alp_vw_dv360-uol_aaf_dsy_nonms_nd_nc_rng_varejo-familiaridade_na_trafego_cpm_prog_all_nativeads_interesse-autos_nativeads_polo-virtus-parcelas699_var-rng-aaf-dsy-0221-10060&amp;utm_campaign=BR_AAF_DSY_NONMS_ND_NC_2021Q1FEB_RNG_Varejo-Familiaridade&amp;utm_term=%epid!_%ecid!_%eaid!</v>
      </c>
      <c r="AT60" s="53" t="str">
        <f t="shared" si="86"/>
        <v>run-of-network</v>
      </c>
      <c r="AU60" s="53" t="str">
        <f t="shared" si="11"/>
        <v>BR</v>
      </c>
      <c r="AV60" s="53" t="str">
        <f t="shared" si="87"/>
        <v>dv360-uol</v>
      </c>
      <c r="AW60" s="53" t="str">
        <f t="shared" si="88"/>
        <v>dv360-uol</v>
      </c>
      <c r="AX60" s="53" t="str">
        <f t="shared" si="14"/>
        <v>varejo-familiaridade</v>
      </c>
      <c r="AY60" s="53" t="str">
        <f t="shared" si="89"/>
        <v>alp_vw_dv360-uol_aaf_dsy_nonms_nd_nc_rng_varejo-familiaridade_na_trafego_cpm_prog_all_nativeads_interesse-autos_nativeads_polo-virtus-parcelas699_var-rng-aaf-dsy-0221-10060</v>
      </c>
      <c r="AZ60" s="53" t="str">
        <f t="shared" si="90"/>
        <v>nativeads</v>
      </c>
      <c r="BA60" s="53" t="str">
        <f t="shared" si="91"/>
        <v>varejo-familiaridade</v>
      </c>
      <c r="BB60" s="53" t="s">
        <v>775</v>
      </c>
      <c r="BC60" s="53" t="s">
        <v>775</v>
      </c>
      <c r="BD60" s="53" t="str">
        <f t="shared" si="92"/>
        <v>var-rng-aaf-dsy-0221-10060</v>
      </c>
      <c r="BE60" s="53" t="str">
        <f t="shared" si="93"/>
        <v>BR</v>
      </c>
      <c r="BF60" s="53" t="e">
        <f t="shared" si="94"/>
        <v>#N/A</v>
      </c>
      <c r="BG60" s="53"/>
      <c r="BH60" s="53"/>
      <c r="BI60" s="59" t="str">
        <f t="shared" si="19"/>
        <v>https://ofertas.vw.com.br?adlid=var-rng-aaf-dsy-0221-10060&amp;adplt=alp_vw_dv360-uol_aaf_dsy_nonms_nd_nc_rng_varejo-familiaridade_na_trafego_cpm_prog_all_nativeads_interesse-autos_nativeads_polo-virtus-parcelas699_var-rng-aaf-dsy-0221-10060</v>
      </c>
      <c r="BL60" s="20" t="str">
        <f t="shared" si="20"/>
        <v>alp_vw_dv360-uol_aaf_dsy_nonms_nd_nc_rng_varejo-familiaridade_na_trafego</v>
      </c>
      <c r="BM60" s="20" t="str">
        <f t="shared" si="21"/>
        <v>cpm_prog_all_nativeads_interesse-autos_nativeads</v>
      </c>
      <c r="BN60" s="20" t="str">
        <f t="shared" si="22"/>
        <v>alp_vw_dv360-uol_aaf_dsy_nonms_nd_nc_rng_varejo-familiaridade_na_trafego_cpm_prog_all_nativeads_interesse-autos_nativeads_polo-virtus-parcelas699_var-rng-aaf-dsy-0221-10060</v>
      </c>
      <c r="BO60" s="20"/>
      <c r="BP60" s="20"/>
    </row>
    <row r="61" spans="2:68" ht="15" hidden="1" customHeight="1" x14ac:dyDescent="0.25">
      <c r="B61" s="53" t="s">
        <v>996</v>
      </c>
      <c r="C61" s="53" t="s">
        <v>1250</v>
      </c>
      <c r="D61" s="53" t="s">
        <v>1051</v>
      </c>
      <c r="E61" s="54">
        <v>44294</v>
      </c>
      <c r="F61" s="54">
        <v>44316</v>
      </c>
      <c r="G61" s="53" t="s">
        <v>628</v>
      </c>
      <c r="H61" s="55" t="s">
        <v>939</v>
      </c>
      <c r="I61" s="53" t="s">
        <v>777</v>
      </c>
      <c r="J61" s="56" t="s">
        <v>918</v>
      </c>
      <c r="K61" s="56" t="s">
        <v>918</v>
      </c>
      <c r="L61" s="53" t="s">
        <v>653</v>
      </c>
      <c r="M61" s="53" t="s">
        <v>287</v>
      </c>
      <c r="N61" s="53" t="s">
        <v>295</v>
      </c>
      <c r="O61" s="53" t="s">
        <v>317</v>
      </c>
      <c r="P61" s="53" t="s">
        <v>313</v>
      </c>
      <c r="Q61" s="53" t="s">
        <v>658</v>
      </c>
      <c r="R61" s="53" t="s">
        <v>277</v>
      </c>
      <c r="S61" s="53" t="s">
        <v>841</v>
      </c>
      <c r="T61" s="53" t="s">
        <v>938</v>
      </c>
      <c r="U61" s="53" t="s">
        <v>1007</v>
      </c>
      <c r="V61" s="53" t="s">
        <v>935</v>
      </c>
      <c r="W61" s="40"/>
      <c r="X61" s="40"/>
      <c r="Y61" s="53" t="s">
        <v>433</v>
      </c>
      <c r="Z61" s="48"/>
      <c r="AA61" s="41"/>
      <c r="AB61" s="41"/>
      <c r="AC61" s="41"/>
      <c r="AD61" s="40"/>
      <c r="AE61" s="40"/>
      <c r="AF61" s="41"/>
      <c r="AG61" s="41"/>
      <c r="AH61" s="53"/>
      <c r="AI61" s="57" t="str">
        <f t="shared" si="1"/>
        <v>alp_vw_dv360-globo_aaf_dsy_nonms_nd_nc_rng_varejo-familiaridade_na_trafego_cpm_prog_all_300x250_interesse-autos__polo-virtus-parcelas699_var-rng-aaf-dsy-0221-10061</v>
      </c>
      <c r="AJ61" s="58" t="str">
        <f t="shared" si="2"/>
        <v>alp_vw_dv360-globo_aaf_dsy_nonms_nd_nc_rng_varejo-familiaridade_na_trafego_cpm_prog_all_300x250_interesse-autos__polo-virtus-parcelas699_var-rng-aaf-dsy-0221-10061</v>
      </c>
      <c r="AK61" s="57" t="str">
        <f t="shared" si="3"/>
        <v>vw_range_300x250_polo-virtus-parcelas699_adserver</v>
      </c>
      <c r="AL61" s="57" t="str">
        <f t="shared" si="83"/>
        <v>https://ofertas.vw.com.br?utm_source=dv360-globo&amp;utm_medium=Paid-Display&amp;utm_content=alp_vw_dv360-globo_aaf_dsy_nonms_nd_nc_rng_varejo-familiaridade_na_trafego_cpm_prog_all_300x250_interesse-autos__polo-virtus-parcelas699_var-rng-aaf-dsy-0221-10061&amp;utm_campaign=BR_AAF_DSY_NONMS_ND_NC_2021Q1FEB_RNG_Varejo-Familiaridade&amp;utm_term=%epid!_%ecid!_%eaid!</v>
      </c>
      <c r="AM61" s="57" t="str">
        <f t="shared" si="5"/>
        <v>TAG</v>
      </c>
      <c r="AN61" s="53" t="str">
        <f t="shared" si="84"/>
        <v>dv360-globo</v>
      </c>
      <c r="AO61" s="53" t="str">
        <f t="shared" si="85"/>
        <v>Paid-Display</v>
      </c>
      <c r="AP61" s="57" t="str">
        <f>Campanha!$B$3</f>
        <v>BR_AAF_DSY_NONMS_ND_NC_2021Q1FEB_RNG_Varejo-Familiaridade</v>
      </c>
      <c r="AQ61" s="57" t="str">
        <f t="shared" si="8"/>
        <v>alp_vw_dv360-globo_aaf_dsy_nonms_nd_nc_rng_varejo-familiaridade_na_trafego_cpm_prog_all_300x250_interesse-autos__polo-virtus-parcelas699_var-rng-aaf-dsy-0221-10061</v>
      </c>
      <c r="AR61" s="53" t="s">
        <v>722</v>
      </c>
      <c r="AS61" s="57" t="str">
        <f t="shared" si="9"/>
        <v>https://ofertas.vw.com.br?utm_source=dv360-globo&amp;utm_medium=Paid-Display&amp;utm_content=alp_vw_dv360-globo_aaf_dsy_nonms_nd_nc_rng_varejo-familiaridade_na_trafego_cpm_prog_all_300x250_interesse-autos__polo-virtus-parcelas699_var-rng-aaf-dsy-0221-10061&amp;utm_campaign=BR_AAF_DSY_NONMS_ND_NC_2021Q1FEB_RNG_Varejo-Familiaridade&amp;utm_term=%epid!_%ecid!_%eaid!</v>
      </c>
      <c r="AT61" s="53" t="str">
        <f t="shared" si="86"/>
        <v>run-of-network</v>
      </c>
      <c r="AU61" s="53" t="str">
        <f t="shared" si="11"/>
        <v>BR</v>
      </c>
      <c r="AV61" s="53" t="str">
        <f t="shared" si="87"/>
        <v>dv360-globo</v>
      </c>
      <c r="AW61" s="53" t="str">
        <f t="shared" si="88"/>
        <v>dv360-globo</v>
      </c>
      <c r="AX61" s="53" t="str">
        <f t="shared" si="14"/>
        <v>varejo-familiaridade</v>
      </c>
      <c r="AY61" s="53" t="str">
        <f t="shared" si="89"/>
        <v>alp_vw_dv360-globo_aaf_dsy_nonms_nd_nc_rng_varejo-familiaridade_na_trafego_cpm_prog_all_300x250_interesse-autos__polo-virtus-parcelas699_var-rng-aaf-dsy-0221-10061</v>
      </c>
      <c r="AZ61" s="53" t="str">
        <f t="shared" si="90"/>
        <v>300x250</v>
      </c>
      <c r="BA61" s="53" t="str">
        <f t="shared" si="91"/>
        <v>varejo-familiaridade</v>
      </c>
      <c r="BB61" s="53" t="s">
        <v>775</v>
      </c>
      <c r="BC61" s="53" t="s">
        <v>775</v>
      </c>
      <c r="BD61" s="53" t="str">
        <f t="shared" si="92"/>
        <v>var-rng-aaf-dsy-0221-10061</v>
      </c>
      <c r="BE61" s="53" t="str">
        <f t="shared" si="93"/>
        <v>BR</v>
      </c>
      <c r="BF61" s="53" t="str">
        <f t="shared" si="94"/>
        <v/>
      </c>
      <c r="BG61" s="53"/>
      <c r="BH61" s="53"/>
      <c r="BI61" s="59" t="str">
        <f t="shared" si="19"/>
        <v>https://ofertas.vw.com.br?adlid=var-rng-aaf-dsy-0221-10061&amp;adplt=alp_vw_dv360-globo_aaf_dsy_nonms_nd_nc_rng_varejo-familiaridade_na_trafego_cpm_prog_all_300x250_interesse-autos__polo-virtus-parcelas699_var-rng-aaf-dsy-0221-10061</v>
      </c>
      <c r="BL61" s="20" t="str">
        <f t="shared" si="20"/>
        <v>alp_vw_dv360-globo_aaf_dsy_nonms_nd_nc_rng_varejo-familiaridade_na_trafego</v>
      </c>
      <c r="BM61" s="20" t="str">
        <f t="shared" si="21"/>
        <v>cpm_prog_all_300x250_interesse-autos_</v>
      </c>
      <c r="BN61" s="20" t="str">
        <f t="shared" si="22"/>
        <v>alp_vw_dv360-globo_aaf_dsy_nonms_nd_nc_rng_varejo-familiaridade_na_trafego_cpm_prog_all_300x250_interesse-autos__polo-virtus-parcelas699_var-rng-aaf-dsy-0221-10061</v>
      </c>
      <c r="BO61" s="20"/>
      <c r="BP61" s="20"/>
    </row>
    <row r="62" spans="2:68" ht="15" hidden="1" customHeight="1" x14ac:dyDescent="0.25">
      <c r="B62" s="53" t="s">
        <v>996</v>
      </c>
      <c r="C62" s="53" t="s">
        <v>1250</v>
      </c>
      <c r="D62" s="53" t="s">
        <v>1051</v>
      </c>
      <c r="E62" s="54">
        <v>44294</v>
      </c>
      <c r="F62" s="54">
        <v>44316</v>
      </c>
      <c r="G62" s="53" t="s">
        <v>628</v>
      </c>
      <c r="H62" s="55" t="s">
        <v>939</v>
      </c>
      <c r="I62" s="53" t="s">
        <v>777</v>
      </c>
      <c r="J62" s="56" t="s">
        <v>918</v>
      </c>
      <c r="K62" s="56" t="s">
        <v>918</v>
      </c>
      <c r="L62" s="53" t="s">
        <v>653</v>
      </c>
      <c r="M62" s="53" t="s">
        <v>287</v>
      </c>
      <c r="N62" s="53" t="s">
        <v>295</v>
      </c>
      <c r="O62" s="53" t="s">
        <v>317</v>
      </c>
      <c r="P62" s="53" t="s">
        <v>313</v>
      </c>
      <c r="Q62" s="53" t="s">
        <v>658</v>
      </c>
      <c r="R62" s="53" t="s">
        <v>277</v>
      </c>
      <c r="S62" s="53" t="s">
        <v>841</v>
      </c>
      <c r="T62" s="53" t="s">
        <v>938</v>
      </c>
      <c r="U62" s="53" t="s">
        <v>1007</v>
      </c>
      <c r="V62" s="53" t="s">
        <v>935</v>
      </c>
      <c r="W62" s="41"/>
      <c r="X62" s="40"/>
      <c r="Y62" s="53" t="s">
        <v>610</v>
      </c>
      <c r="Z62" s="40"/>
      <c r="AA62" s="40"/>
      <c r="AB62" s="40"/>
      <c r="AC62" s="40"/>
      <c r="AD62" s="40"/>
      <c r="AE62" s="40"/>
      <c r="AF62" s="40"/>
      <c r="AG62" s="40"/>
      <c r="AH62" s="53"/>
      <c r="AI62" s="57" t="str">
        <f t="shared" si="1"/>
        <v>alp_vw_dv360-globo_aaf_dsy_nonms_nd_nc_rng_varejo-familiaridade_na_trafego_cpm_prog_all_970x90_interesse-autos__polo-virtus-parcelas699_var-rng-aaf-dsy-0221-10062</v>
      </c>
      <c r="AJ62" s="58" t="str">
        <f t="shared" si="2"/>
        <v>alp_vw_dv360-globo_aaf_dsy_nonms_nd_nc_rng_varejo-familiaridade_na_trafego_cpm_prog_all_970x90_interesse-autos__polo-virtus-parcelas699_var-rng-aaf-dsy-0221-10062</v>
      </c>
      <c r="AK62" s="57" t="str">
        <f t="shared" si="3"/>
        <v>vw_range_970x90_polo-virtus-parcelas699_adserver</v>
      </c>
      <c r="AL62" s="57" t="str">
        <f t="shared" si="83"/>
        <v>https://ofertas.vw.com.br?utm_source=dv360-globo&amp;utm_medium=Paid-Display&amp;utm_content=alp_vw_dv360-globo_aaf_dsy_nonms_nd_nc_rng_varejo-familiaridade_na_trafego_cpm_prog_all_970x90_interesse-autos__polo-virtus-parcelas699_var-rng-aaf-dsy-0221-10062&amp;utm_campaign=BR_AAF_DSY_NONMS_ND_NC_2021Q1FEB_RNG_Varejo-Familiaridade&amp;utm_term=%epid!_%ecid!_%eaid!</v>
      </c>
      <c r="AM62" s="57" t="str">
        <f t="shared" si="5"/>
        <v>TAG</v>
      </c>
      <c r="AN62" s="53" t="str">
        <f t="shared" si="84"/>
        <v>dv360-globo</v>
      </c>
      <c r="AO62" s="53" t="str">
        <f t="shared" si="85"/>
        <v>Paid-Display</v>
      </c>
      <c r="AP62" s="57" t="str">
        <f>Campanha!$B$3</f>
        <v>BR_AAF_DSY_NONMS_ND_NC_2021Q1FEB_RNG_Varejo-Familiaridade</v>
      </c>
      <c r="AQ62" s="57" t="str">
        <f t="shared" si="8"/>
        <v>alp_vw_dv360-globo_aaf_dsy_nonms_nd_nc_rng_varejo-familiaridade_na_trafego_cpm_prog_all_970x90_interesse-autos__polo-virtus-parcelas699_var-rng-aaf-dsy-0221-10062</v>
      </c>
      <c r="AR62" s="53" t="s">
        <v>722</v>
      </c>
      <c r="AS62" s="57" t="str">
        <f t="shared" si="9"/>
        <v>https://ofertas.vw.com.br?utm_source=dv360-globo&amp;utm_medium=Paid-Display&amp;utm_content=alp_vw_dv360-globo_aaf_dsy_nonms_nd_nc_rng_varejo-familiaridade_na_trafego_cpm_prog_all_970x90_interesse-autos__polo-virtus-parcelas699_var-rng-aaf-dsy-0221-10062&amp;utm_campaign=BR_AAF_DSY_NONMS_ND_NC_2021Q1FEB_RNG_Varejo-Familiaridade&amp;utm_term=%epid!_%ecid!_%eaid!</v>
      </c>
      <c r="AT62" s="53" t="str">
        <f t="shared" si="86"/>
        <v>run-of-network</v>
      </c>
      <c r="AU62" s="53" t="str">
        <f t="shared" si="11"/>
        <v>BR</v>
      </c>
      <c r="AV62" s="53" t="str">
        <f t="shared" si="87"/>
        <v>dv360-globo</v>
      </c>
      <c r="AW62" s="53" t="str">
        <f t="shared" si="88"/>
        <v>dv360-globo</v>
      </c>
      <c r="AX62" s="53" t="str">
        <f t="shared" si="14"/>
        <v>varejo-familiaridade</v>
      </c>
      <c r="AY62" s="53" t="str">
        <f t="shared" si="89"/>
        <v>alp_vw_dv360-globo_aaf_dsy_nonms_nd_nc_rng_varejo-familiaridade_na_trafego_cpm_prog_all_970x90_interesse-autos__polo-virtus-parcelas699_var-rng-aaf-dsy-0221-10062</v>
      </c>
      <c r="AZ62" s="53" t="str">
        <f t="shared" si="90"/>
        <v>970x90</v>
      </c>
      <c r="BA62" s="53" t="str">
        <f t="shared" si="91"/>
        <v>varejo-familiaridade</v>
      </c>
      <c r="BB62" s="53" t="s">
        <v>775</v>
      </c>
      <c r="BC62" s="53" t="s">
        <v>775</v>
      </c>
      <c r="BD62" s="53" t="str">
        <f t="shared" si="92"/>
        <v>var-rng-aaf-dsy-0221-10062</v>
      </c>
      <c r="BE62" s="53" t="str">
        <f t="shared" si="93"/>
        <v>BR</v>
      </c>
      <c r="BF62" s="53" t="str">
        <f t="shared" si="94"/>
        <v/>
      </c>
      <c r="BG62" s="53"/>
      <c r="BH62" s="53"/>
      <c r="BI62" s="59" t="str">
        <f t="shared" si="19"/>
        <v>https://ofertas.vw.com.br?adlid=var-rng-aaf-dsy-0221-10062&amp;adplt=alp_vw_dv360-globo_aaf_dsy_nonms_nd_nc_rng_varejo-familiaridade_na_trafego_cpm_prog_all_970x90_interesse-autos__polo-virtus-parcelas699_var-rng-aaf-dsy-0221-10062</v>
      </c>
      <c r="BL62" s="20" t="str">
        <f t="shared" si="20"/>
        <v>alp_vw_dv360-globo_aaf_dsy_nonms_nd_nc_rng_varejo-familiaridade_na_trafego</v>
      </c>
      <c r="BM62" s="20" t="str">
        <f t="shared" si="21"/>
        <v>cpm_prog_all_970x90_interesse-autos_</v>
      </c>
      <c r="BN62" s="20" t="str">
        <f t="shared" si="22"/>
        <v>alp_vw_dv360-globo_aaf_dsy_nonms_nd_nc_rng_varejo-familiaridade_na_trafego_cpm_prog_all_970x90_interesse-autos__polo-virtus-parcelas699_var-rng-aaf-dsy-0221-10062</v>
      </c>
      <c r="BO62" s="20"/>
      <c r="BP62" s="20"/>
    </row>
    <row r="63" spans="2:68" ht="15" hidden="1" customHeight="1" x14ac:dyDescent="0.25">
      <c r="B63" s="53" t="s">
        <v>996</v>
      </c>
      <c r="C63" s="53" t="s">
        <v>1250</v>
      </c>
      <c r="D63" s="53" t="s">
        <v>1051</v>
      </c>
      <c r="E63" s="54">
        <v>44294</v>
      </c>
      <c r="F63" s="54">
        <v>44316</v>
      </c>
      <c r="G63" s="53" t="s">
        <v>628</v>
      </c>
      <c r="H63" s="55" t="s">
        <v>939</v>
      </c>
      <c r="I63" s="53" t="s">
        <v>777</v>
      </c>
      <c r="J63" s="56" t="s">
        <v>918</v>
      </c>
      <c r="K63" s="56" t="s">
        <v>918</v>
      </c>
      <c r="L63" s="53" t="s">
        <v>653</v>
      </c>
      <c r="M63" s="53" t="s">
        <v>287</v>
      </c>
      <c r="N63" s="53" t="s">
        <v>295</v>
      </c>
      <c r="O63" s="53" t="s">
        <v>317</v>
      </c>
      <c r="P63" s="53" t="s">
        <v>313</v>
      </c>
      <c r="Q63" s="53" t="s">
        <v>658</v>
      </c>
      <c r="R63" s="53" t="s">
        <v>277</v>
      </c>
      <c r="S63" s="53" t="s">
        <v>841</v>
      </c>
      <c r="T63" s="53" t="s">
        <v>938</v>
      </c>
      <c r="U63" s="53" t="s">
        <v>1007</v>
      </c>
      <c r="V63" s="53" t="s">
        <v>935</v>
      </c>
      <c r="W63" s="41"/>
      <c r="X63" s="40"/>
      <c r="Y63" s="53" t="s">
        <v>442</v>
      </c>
      <c r="Z63" s="40"/>
      <c r="AA63" s="40"/>
      <c r="AB63" s="40"/>
      <c r="AC63" s="40"/>
      <c r="AD63" s="40"/>
      <c r="AE63" s="40"/>
      <c r="AF63" s="40"/>
      <c r="AG63" s="40"/>
      <c r="AH63" s="53"/>
      <c r="AI63" s="57" t="str">
        <f t="shared" si="1"/>
        <v>alp_vw_dv360-globo_aaf_dsy_nonms_nd_nc_rng_varejo-familiaridade_na_trafego_cpm_prog_all_300x600_interesse-autos__polo-virtus-parcelas699_var-rng-aaf-dsy-0221-10063</v>
      </c>
      <c r="AJ63" s="58" t="str">
        <f t="shared" si="2"/>
        <v>alp_vw_dv360-globo_aaf_dsy_nonms_nd_nc_rng_varejo-familiaridade_na_trafego_cpm_prog_all_300x600_interesse-autos__polo-virtus-parcelas699_var-rng-aaf-dsy-0221-10063</v>
      </c>
      <c r="AK63" s="57" t="str">
        <f t="shared" si="3"/>
        <v>vw_range_300x600_polo-virtus-parcelas699_adserver</v>
      </c>
      <c r="AL63" s="57" t="str">
        <f t="shared" si="83"/>
        <v>https://ofertas.vw.com.br?utm_source=dv360-globo&amp;utm_medium=Paid-Display&amp;utm_content=alp_vw_dv360-globo_aaf_dsy_nonms_nd_nc_rng_varejo-familiaridade_na_trafego_cpm_prog_all_300x600_interesse-autos__polo-virtus-parcelas699_var-rng-aaf-dsy-0221-10063&amp;utm_campaign=BR_AAF_DSY_NONMS_ND_NC_2021Q1FEB_RNG_Varejo-Familiaridade&amp;utm_term=%epid!_%ecid!_%eaid!</v>
      </c>
      <c r="AM63" s="57" t="str">
        <f t="shared" si="5"/>
        <v>TAG</v>
      </c>
      <c r="AN63" s="53" t="str">
        <f t="shared" si="84"/>
        <v>dv360-globo</v>
      </c>
      <c r="AO63" s="53" t="str">
        <f t="shared" si="85"/>
        <v>Paid-Display</v>
      </c>
      <c r="AP63" s="57" t="str">
        <f>Campanha!$B$3</f>
        <v>BR_AAF_DSY_NONMS_ND_NC_2021Q1FEB_RNG_Varejo-Familiaridade</v>
      </c>
      <c r="AQ63" s="57" t="str">
        <f t="shared" si="8"/>
        <v>alp_vw_dv360-globo_aaf_dsy_nonms_nd_nc_rng_varejo-familiaridade_na_trafego_cpm_prog_all_300x600_interesse-autos__polo-virtus-parcelas699_var-rng-aaf-dsy-0221-10063</v>
      </c>
      <c r="AR63" s="53" t="s">
        <v>722</v>
      </c>
      <c r="AS63" s="57" t="str">
        <f t="shared" si="9"/>
        <v>https://ofertas.vw.com.br?utm_source=dv360-globo&amp;utm_medium=Paid-Display&amp;utm_content=alp_vw_dv360-globo_aaf_dsy_nonms_nd_nc_rng_varejo-familiaridade_na_trafego_cpm_prog_all_300x600_interesse-autos__polo-virtus-parcelas699_var-rng-aaf-dsy-0221-10063&amp;utm_campaign=BR_AAF_DSY_NONMS_ND_NC_2021Q1FEB_RNG_Varejo-Familiaridade&amp;utm_term=%epid!_%ecid!_%eaid!</v>
      </c>
      <c r="AT63" s="53" t="str">
        <f t="shared" si="86"/>
        <v>run-of-network</v>
      </c>
      <c r="AU63" s="53" t="str">
        <f t="shared" si="11"/>
        <v>BR</v>
      </c>
      <c r="AV63" s="53" t="str">
        <f t="shared" si="87"/>
        <v>dv360-globo</v>
      </c>
      <c r="AW63" s="53" t="str">
        <f t="shared" si="88"/>
        <v>dv360-globo</v>
      </c>
      <c r="AX63" s="53" t="str">
        <f t="shared" si="14"/>
        <v>varejo-familiaridade</v>
      </c>
      <c r="AY63" s="53" t="str">
        <f t="shared" si="89"/>
        <v>alp_vw_dv360-globo_aaf_dsy_nonms_nd_nc_rng_varejo-familiaridade_na_trafego_cpm_prog_all_300x600_interesse-autos__polo-virtus-parcelas699_var-rng-aaf-dsy-0221-10063</v>
      </c>
      <c r="AZ63" s="53" t="str">
        <f t="shared" si="90"/>
        <v>300x600</v>
      </c>
      <c r="BA63" s="53" t="str">
        <f t="shared" si="91"/>
        <v>varejo-familiaridade</v>
      </c>
      <c r="BB63" s="53" t="s">
        <v>775</v>
      </c>
      <c r="BC63" s="53" t="s">
        <v>775</v>
      </c>
      <c r="BD63" s="53" t="str">
        <f t="shared" si="92"/>
        <v>var-rng-aaf-dsy-0221-10063</v>
      </c>
      <c r="BE63" s="53" t="str">
        <f t="shared" si="93"/>
        <v>BR</v>
      </c>
      <c r="BF63" s="53" t="str">
        <f t="shared" si="94"/>
        <v/>
      </c>
      <c r="BG63" s="53"/>
      <c r="BH63" s="53"/>
      <c r="BI63" s="59" t="str">
        <f t="shared" si="19"/>
        <v>https://ofertas.vw.com.br?adlid=var-rng-aaf-dsy-0221-10063&amp;adplt=alp_vw_dv360-globo_aaf_dsy_nonms_nd_nc_rng_varejo-familiaridade_na_trafego_cpm_prog_all_300x600_interesse-autos__polo-virtus-parcelas699_var-rng-aaf-dsy-0221-10063</v>
      </c>
      <c r="BL63" s="20" t="str">
        <f t="shared" si="20"/>
        <v>alp_vw_dv360-globo_aaf_dsy_nonms_nd_nc_rng_varejo-familiaridade_na_trafego</v>
      </c>
      <c r="BM63" s="20" t="str">
        <f t="shared" si="21"/>
        <v>cpm_prog_all_300x600_interesse-autos_</v>
      </c>
      <c r="BN63" s="20" t="str">
        <f t="shared" si="22"/>
        <v>alp_vw_dv360-globo_aaf_dsy_nonms_nd_nc_rng_varejo-familiaridade_na_trafego_cpm_prog_all_300x600_interesse-autos__polo-virtus-parcelas699_var-rng-aaf-dsy-0221-10063</v>
      </c>
      <c r="BO63" s="20"/>
      <c r="BP63" s="20"/>
    </row>
    <row r="64" spans="2:68" ht="15" hidden="1" customHeight="1" x14ac:dyDescent="0.25">
      <c r="B64" s="53" t="s">
        <v>996</v>
      </c>
      <c r="C64" s="53" t="s">
        <v>1250</v>
      </c>
      <c r="D64" s="53" t="s">
        <v>1051</v>
      </c>
      <c r="E64" s="54">
        <v>44294</v>
      </c>
      <c r="F64" s="54">
        <v>44316</v>
      </c>
      <c r="G64" s="53" t="s">
        <v>628</v>
      </c>
      <c r="H64" s="55" t="s">
        <v>939</v>
      </c>
      <c r="I64" s="53" t="s">
        <v>777</v>
      </c>
      <c r="J64" s="56" t="s">
        <v>918</v>
      </c>
      <c r="K64" s="56" t="s">
        <v>918</v>
      </c>
      <c r="L64" s="53" t="s">
        <v>653</v>
      </c>
      <c r="M64" s="53" t="s">
        <v>287</v>
      </c>
      <c r="N64" s="53" t="s">
        <v>295</v>
      </c>
      <c r="O64" s="53" t="s">
        <v>317</v>
      </c>
      <c r="P64" s="53" t="s">
        <v>313</v>
      </c>
      <c r="Q64" s="53" t="s">
        <v>658</v>
      </c>
      <c r="R64" s="53" t="s">
        <v>277</v>
      </c>
      <c r="S64" s="53" t="s">
        <v>841</v>
      </c>
      <c r="T64" s="53" t="s">
        <v>938</v>
      </c>
      <c r="U64" s="53" t="s">
        <v>1007</v>
      </c>
      <c r="V64" s="53" t="s">
        <v>935</v>
      </c>
      <c r="W64" s="41"/>
      <c r="X64" s="40"/>
      <c r="Y64" s="53" t="s">
        <v>604</v>
      </c>
      <c r="Z64" s="40"/>
      <c r="AA64" s="40"/>
      <c r="AB64" s="40"/>
      <c r="AC64" s="40"/>
      <c r="AD64" s="40"/>
      <c r="AE64" s="40"/>
      <c r="AF64" s="40"/>
      <c r="AG64" s="40"/>
      <c r="AH64" s="53"/>
      <c r="AI64" s="57" t="str">
        <f t="shared" si="1"/>
        <v>alp_vw_dv360-globo_aaf_dsy_nonms_nd_nc_rng_varejo-familiaridade_na_trafego_cpm_prog_all_970x150_interesse-autos__polo-virtus-parcelas699_var-rng-aaf-dsy-0221-10064</v>
      </c>
      <c r="AJ64" s="58" t="str">
        <f t="shared" si="2"/>
        <v>alp_vw_dv360-globo_aaf_dsy_nonms_nd_nc_rng_varejo-familiaridade_na_trafego_cpm_prog_all_970x150_interesse-autos__polo-virtus-parcelas699_var-rng-aaf-dsy-0221-10064</v>
      </c>
      <c r="AK64" s="57" t="str">
        <f t="shared" si="3"/>
        <v>vw_range_970x150_polo-virtus-parcelas699_adserver</v>
      </c>
      <c r="AL64" s="57" t="str">
        <f t="shared" si="83"/>
        <v>https://ofertas.vw.com.br?utm_source=dv360-globo&amp;utm_medium=Paid-Display&amp;utm_content=alp_vw_dv360-globo_aaf_dsy_nonms_nd_nc_rng_varejo-familiaridade_na_trafego_cpm_prog_all_970x150_interesse-autos__polo-virtus-parcelas699_var-rng-aaf-dsy-0221-10064&amp;utm_campaign=BR_AAF_DSY_NONMS_ND_NC_2021Q1FEB_RNG_Varejo-Familiaridade&amp;utm_term=%epid!_%ecid!_%eaid!</v>
      </c>
      <c r="AM64" s="57" t="str">
        <f t="shared" si="5"/>
        <v>TAG</v>
      </c>
      <c r="AN64" s="53" t="str">
        <f t="shared" si="84"/>
        <v>dv360-globo</v>
      </c>
      <c r="AO64" s="53" t="str">
        <f t="shared" si="85"/>
        <v>Paid-Display</v>
      </c>
      <c r="AP64" s="57" t="str">
        <f>Campanha!$B$3</f>
        <v>BR_AAF_DSY_NONMS_ND_NC_2021Q1FEB_RNG_Varejo-Familiaridade</v>
      </c>
      <c r="AQ64" s="57" t="str">
        <f t="shared" si="8"/>
        <v>alp_vw_dv360-globo_aaf_dsy_nonms_nd_nc_rng_varejo-familiaridade_na_trafego_cpm_prog_all_970x150_interesse-autos__polo-virtus-parcelas699_var-rng-aaf-dsy-0221-10064</v>
      </c>
      <c r="AR64" s="53" t="s">
        <v>722</v>
      </c>
      <c r="AS64" s="57" t="str">
        <f t="shared" si="9"/>
        <v>https://ofertas.vw.com.br?utm_source=dv360-globo&amp;utm_medium=Paid-Display&amp;utm_content=alp_vw_dv360-globo_aaf_dsy_nonms_nd_nc_rng_varejo-familiaridade_na_trafego_cpm_prog_all_970x150_interesse-autos__polo-virtus-parcelas699_var-rng-aaf-dsy-0221-10064&amp;utm_campaign=BR_AAF_DSY_NONMS_ND_NC_2021Q1FEB_RNG_Varejo-Familiaridade&amp;utm_term=%epid!_%ecid!_%eaid!</v>
      </c>
      <c r="AT64" s="53" t="str">
        <f t="shared" si="86"/>
        <v>run-of-network</v>
      </c>
      <c r="AU64" s="53" t="str">
        <f t="shared" si="11"/>
        <v>BR</v>
      </c>
      <c r="AV64" s="53" t="str">
        <f t="shared" si="87"/>
        <v>dv360-globo</v>
      </c>
      <c r="AW64" s="53" t="str">
        <f t="shared" si="88"/>
        <v>dv360-globo</v>
      </c>
      <c r="AX64" s="53" t="str">
        <f t="shared" si="14"/>
        <v>varejo-familiaridade</v>
      </c>
      <c r="AY64" s="53" t="str">
        <f t="shared" si="89"/>
        <v>alp_vw_dv360-globo_aaf_dsy_nonms_nd_nc_rng_varejo-familiaridade_na_trafego_cpm_prog_all_970x150_interesse-autos__polo-virtus-parcelas699_var-rng-aaf-dsy-0221-10064</v>
      </c>
      <c r="AZ64" s="53" t="str">
        <f t="shared" si="90"/>
        <v>970x150</v>
      </c>
      <c r="BA64" s="53" t="str">
        <f t="shared" si="91"/>
        <v>varejo-familiaridade</v>
      </c>
      <c r="BB64" s="53" t="s">
        <v>775</v>
      </c>
      <c r="BC64" s="53" t="s">
        <v>775</v>
      </c>
      <c r="BD64" s="53" t="str">
        <f t="shared" si="92"/>
        <v>var-rng-aaf-dsy-0221-10064</v>
      </c>
      <c r="BE64" s="53" t="str">
        <f t="shared" si="93"/>
        <v>BR</v>
      </c>
      <c r="BF64" s="53" t="str">
        <f t="shared" si="94"/>
        <v/>
      </c>
      <c r="BG64" s="53"/>
      <c r="BH64" s="53"/>
      <c r="BI64" s="59" t="str">
        <f t="shared" si="19"/>
        <v>https://ofertas.vw.com.br?adlid=var-rng-aaf-dsy-0221-10064&amp;adplt=alp_vw_dv360-globo_aaf_dsy_nonms_nd_nc_rng_varejo-familiaridade_na_trafego_cpm_prog_all_970x150_interesse-autos__polo-virtus-parcelas699_var-rng-aaf-dsy-0221-10064</v>
      </c>
      <c r="BL64" s="20" t="str">
        <f t="shared" si="20"/>
        <v>alp_vw_dv360-globo_aaf_dsy_nonms_nd_nc_rng_varejo-familiaridade_na_trafego</v>
      </c>
      <c r="BM64" s="20" t="str">
        <f t="shared" si="21"/>
        <v>cpm_prog_all_970x150_interesse-autos_</v>
      </c>
      <c r="BN64" s="20" t="str">
        <f t="shared" si="22"/>
        <v>alp_vw_dv360-globo_aaf_dsy_nonms_nd_nc_rng_varejo-familiaridade_na_trafego_cpm_prog_all_970x150_interesse-autos__polo-virtus-parcelas699_var-rng-aaf-dsy-0221-10064</v>
      </c>
      <c r="BO64" s="20"/>
      <c r="BP64" s="20"/>
    </row>
    <row r="65" spans="2:68" ht="15" hidden="1" customHeight="1" x14ac:dyDescent="0.25">
      <c r="B65" s="53" t="s">
        <v>996</v>
      </c>
      <c r="C65" s="53" t="s">
        <v>1250</v>
      </c>
      <c r="D65" s="53" t="s">
        <v>1051</v>
      </c>
      <c r="E65" s="54">
        <v>44294</v>
      </c>
      <c r="F65" s="54">
        <v>44316</v>
      </c>
      <c r="G65" s="53" t="s">
        <v>628</v>
      </c>
      <c r="H65" s="55" t="s">
        <v>939</v>
      </c>
      <c r="I65" s="53" t="s">
        <v>777</v>
      </c>
      <c r="J65" s="56" t="s">
        <v>918</v>
      </c>
      <c r="K65" s="56" t="s">
        <v>918</v>
      </c>
      <c r="L65" s="53" t="s">
        <v>653</v>
      </c>
      <c r="M65" s="53" t="s">
        <v>287</v>
      </c>
      <c r="N65" s="53" t="s">
        <v>295</v>
      </c>
      <c r="O65" s="53" t="s">
        <v>317</v>
      </c>
      <c r="P65" s="53" t="s">
        <v>313</v>
      </c>
      <c r="Q65" s="53" t="s">
        <v>658</v>
      </c>
      <c r="R65" s="53" t="s">
        <v>277</v>
      </c>
      <c r="S65" s="53" t="s">
        <v>841</v>
      </c>
      <c r="T65" s="53" t="s">
        <v>938</v>
      </c>
      <c r="U65" s="53" t="s">
        <v>1007</v>
      </c>
      <c r="V65" s="53" t="s">
        <v>935</v>
      </c>
      <c r="W65" s="41"/>
      <c r="X65" s="40"/>
      <c r="Y65" s="53" t="s">
        <v>606</v>
      </c>
      <c r="Z65" s="40"/>
      <c r="AA65" s="40"/>
      <c r="AB65" s="40"/>
      <c r="AC65" s="40"/>
      <c r="AD65" s="40"/>
      <c r="AE65" s="40"/>
      <c r="AF65" s="40"/>
      <c r="AG65" s="40"/>
      <c r="AH65" s="53"/>
      <c r="AI65" s="57" t="str">
        <f t="shared" si="1"/>
        <v>alp_vw_dv360-globo_aaf_dsy_nonms_nd_nc_rng_varejo-familiaridade_na_trafego_cpm_prog_all_970x250_interesse-autos__polo-virtus-parcelas699_var-rng-aaf-dsy-0221-10065</v>
      </c>
      <c r="AJ65" s="58" t="str">
        <f t="shared" si="2"/>
        <v>alp_vw_dv360-globo_aaf_dsy_nonms_nd_nc_rng_varejo-familiaridade_na_trafego_cpm_prog_all_970x250_interesse-autos__polo-virtus-parcelas699_var-rng-aaf-dsy-0221-10065</v>
      </c>
      <c r="AK65" s="57" t="str">
        <f t="shared" si="3"/>
        <v>vw_range_970x250_polo-virtus-parcelas699_adserver</v>
      </c>
      <c r="AL65" s="57" t="str">
        <f t="shared" si="83"/>
        <v>https://ofertas.vw.com.br?utm_source=dv360-globo&amp;utm_medium=Paid-Display&amp;utm_content=alp_vw_dv360-globo_aaf_dsy_nonms_nd_nc_rng_varejo-familiaridade_na_trafego_cpm_prog_all_970x250_interesse-autos__polo-virtus-parcelas699_var-rng-aaf-dsy-0221-10065&amp;utm_campaign=BR_AAF_DSY_NONMS_ND_NC_2021Q1FEB_RNG_Varejo-Familiaridade&amp;utm_term=%epid!_%ecid!_%eaid!</v>
      </c>
      <c r="AM65" s="57" t="str">
        <f t="shared" si="5"/>
        <v>TAG</v>
      </c>
      <c r="AN65" s="53" t="str">
        <f t="shared" si="84"/>
        <v>dv360-globo</v>
      </c>
      <c r="AO65" s="53" t="str">
        <f t="shared" si="85"/>
        <v>Paid-Display</v>
      </c>
      <c r="AP65" s="57" t="str">
        <f>Campanha!$B$3</f>
        <v>BR_AAF_DSY_NONMS_ND_NC_2021Q1FEB_RNG_Varejo-Familiaridade</v>
      </c>
      <c r="AQ65" s="57" t="str">
        <f t="shared" si="8"/>
        <v>alp_vw_dv360-globo_aaf_dsy_nonms_nd_nc_rng_varejo-familiaridade_na_trafego_cpm_prog_all_970x250_interesse-autos__polo-virtus-parcelas699_var-rng-aaf-dsy-0221-10065</v>
      </c>
      <c r="AR65" s="53" t="s">
        <v>722</v>
      </c>
      <c r="AS65" s="57" t="str">
        <f t="shared" si="9"/>
        <v>https://ofertas.vw.com.br?utm_source=dv360-globo&amp;utm_medium=Paid-Display&amp;utm_content=alp_vw_dv360-globo_aaf_dsy_nonms_nd_nc_rng_varejo-familiaridade_na_trafego_cpm_prog_all_970x250_interesse-autos__polo-virtus-parcelas699_var-rng-aaf-dsy-0221-10065&amp;utm_campaign=BR_AAF_DSY_NONMS_ND_NC_2021Q1FEB_RNG_Varejo-Familiaridade&amp;utm_term=%epid!_%ecid!_%eaid!</v>
      </c>
      <c r="AT65" s="53" t="str">
        <f t="shared" si="86"/>
        <v>run-of-network</v>
      </c>
      <c r="AU65" s="53" t="str">
        <f t="shared" si="11"/>
        <v>BR</v>
      </c>
      <c r="AV65" s="53" t="str">
        <f t="shared" si="87"/>
        <v>dv360-globo</v>
      </c>
      <c r="AW65" s="53" t="str">
        <f t="shared" si="88"/>
        <v>dv360-globo</v>
      </c>
      <c r="AX65" s="53" t="str">
        <f t="shared" si="14"/>
        <v>varejo-familiaridade</v>
      </c>
      <c r="AY65" s="53" t="str">
        <f t="shared" si="89"/>
        <v>alp_vw_dv360-globo_aaf_dsy_nonms_nd_nc_rng_varejo-familiaridade_na_trafego_cpm_prog_all_970x250_interesse-autos__polo-virtus-parcelas699_var-rng-aaf-dsy-0221-10065</v>
      </c>
      <c r="AZ65" s="53" t="str">
        <f t="shared" si="90"/>
        <v>970x250</v>
      </c>
      <c r="BA65" s="53" t="str">
        <f t="shared" si="91"/>
        <v>varejo-familiaridade</v>
      </c>
      <c r="BB65" s="53" t="s">
        <v>775</v>
      </c>
      <c r="BC65" s="53" t="s">
        <v>775</v>
      </c>
      <c r="BD65" s="53" t="str">
        <f t="shared" si="92"/>
        <v>var-rng-aaf-dsy-0221-10065</v>
      </c>
      <c r="BE65" s="53" t="str">
        <f t="shared" si="93"/>
        <v>BR</v>
      </c>
      <c r="BF65" s="53" t="str">
        <f t="shared" si="94"/>
        <v/>
      </c>
      <c r="BG65" s="53"/>
      <c r="BH65" s="53"/>
      <c r="BI65" s="59" t="str">
        <f t="shared" si="19"/>
        <v>https://ofertas.vw.com.br?adlid=var-rng-aaf-dsy-0221-10065&amp;adplt=alp_vw_dv360-globo_aaf_dsy_nonms_nd_nc_rng_varejo-familiaridade_na_trafego_cpm_prog_all_970x250_interesse-autos__polo-virtus-parcelas699_var-rng-aaf-dsy-0221-10065</v>
      </c>
      <c r="BL65" s="20" t="str">
        <f t="shared" si="20"/>
        <v>alp_vw_dv360-globo_aaf_dsy_nonms_nd_nc_rng_varejo-familiaridade_na_trafego</v>
      </c>
      <c r="BM65" s="20" t="str">
        <f t="shared" si="21"/>
        <v>cpm_prog_all_970x250_interesse-autos_</v>
      </c>
      <c r="BN65" s="20" t="str">
        <f t="shared" si="22"/>
        <v>alp_vw_dv360-globo_aaf_dsy_nonms_nd_nc_rng_varejo-familiaridade_na_trafego_cpm_prog_all_970x250_interesse-autos__polo-virtus-parcelas699_var-rng-aaf-dsy-0221-10065</v>
      </c>
      <c r="BO65" s="20"/>
      <c r="BP65" s="20"/>
    </row>
    <row r="66" spans="2:68" ht="15" hidden="1" customHeight="1" x14ac:dyDescent="0.25">
      <c r="B66" s="53" t="s">
        <v>996</v>
      </c>
      <c r="C66" s="53" t="s">
        <v>1009</v>
      </c>
      <c r="D66" s="53" t="s">
        <v>1006</v>
      </c>
      <c r="E66" s="54">
        <v>44294</v>
      </c>
      <c r="F66" s="54">
        <v>44316</v>
      </c>
      <c r="G66" s="53" t="s">
        <v>626</v>
      </c>
      <c r="H66" s="55" t="s">
        <v>939</v>
      </c>
      <c r="I66" s="53" t="s">
        <v>777</v>
      </c>
      <c r="J66" s="56" t="s">
        <v>918</v>
      </c>
      <c r="K66" s="56" t="s">
        <v>918</v>
      </c>
      <c r="L66" s="53" t="s">
        <v>653</v>
      </c>
      <c r="M66" s="53" t="s">
        <v>287</v>
      </c>
      <c r="N66" s="53" t="s">
        <v>295</v>
      </c>
      <c r="O66" s="53" t="s">
        <v>654</v>
      </c>
      <c r="P66" s="53" t="s">
        <v>313</v>
      </c>
      <c r="Q66" s="53" t="s">
        <v>658</v>
      </c>
      <c r="R66" s="53" t="s">
        <v>277</v>
      </c>
      <c r="S66" s="53" t="s">
        <v>841</v>
      </c>
      <c r="T66" s="53" t="s">
        <v>938</v>
      </c>
      <c r="U66" s="53" t="s">
        <v>1007</v>
      </c>
      <c r="V66" s="53" t="s">
        <v>935</v>
      </c>
      <c r="W66" s="40" t="s">
        <v>624</v>
      </c>
      <c r="X66" s="40" t="e">
        <v>#N/A</v>
      </c>
      <c r="Y66" s="53" t="s">
        <v>624</v>
      </c>
      <c r="Z66" s="48"/>
      <c r="AA66" s="41"/>
      <c r="AB66" s="41"/>
      <c r="AC66" s="41"/>
      <c r="AD66" s="40"/>
      <c r="AE66" s="40"/>
      <c r="AF66" s="41"/>
      <c r="AG66" s="41"/>
      <c r="AH66" s="53"/>
      <c r="AI66" s="57" t="str">
        <f t="shared" si="1"/>
        <v>alp_vw_dv360-globo_aaf_dsy_nonms_nd_nc_rng_varejo-familiaridade_na_trafego_cpm_prog_all_nativeads_interesse-autos_nativeads_polo-virtus-parcelas699_var-rng-aaf-dsy-0221-10066</v>
      </c>
      <c r="AJ66" s="58" t="str">
        <f t="shared" si="2"/>
        <v>alp_vw_dv360-globo_aaf_dsy_nonms_nd_nc_rng_varejo-familiaridade_na_trafego_cpm_prog_all_nativeads_interesse-autos_nativeads_polo-virtus-parcelas699_var-rng-aaf-dsy-0221-10066</v>
      </c>
      <c r="AK66" s="57" t="str">
        <f t="shared" si="3"/>
        <v>vw_range_nativeads_polo-virtus-parcelas699_dv360-globo</v>
      </c>
      <c r="AL66" s="57" t="str">
        <f t="shared" si="83"/>
        <v>https://ofertas.vw.com.br?utm_source=dv360-globo&amp;utm_medium=Paid-Display&amp;utm_content=alp_vw_dv360-globo_aaf_dsy_nonms_nd_nc_rng_varejo-familiaridade_na_trafego_cpm_prog_all_nativeads_interesse-autos_nativeads_polo-virtus-parcelas699_var-rng-aaf-dsy-0221-10066&amp;utm_campaign=BR_AAF_DSY_NONMS_ND_NC_2021Q1FEB_RNG_Varejo-Familiaridade&amp;utm_term=%epid!_%ecid!_%eaid!</v>
      </c>
      <c r="AM66" s="57" t="str">
        <f t="shared" si="5"/>
        <v>https://ad.doubleclick.net/ddm/trackclk/N9487.281608.GOOGLEBRASIL/B25333445.300533645;dc_trk_aid=493643704;dc_trk_cid=145996180;Audience_Id=${PIXEL_ID_COMMA};kw=${CAMPAIGN_ID}:${INSERTION_ORDER_ID};dc_lat=;dc_rdid=;tag_for_child_directed_treatment=;tfua=</v>
      </c>
      <c r="AN66" s="53" t="str">
        <f t="shared" si="84"/>
        <v>dv360-globo</v>
      </c>
      <c r="AO66" s="53" t="str">
        <f t="shared" si="85"/>
        <v>Paid-Display</v>
      </c>
      <c r="AP66" s="57" t="str">
        <f>Campanha!$B$3</f>
        <v>BR_AAF_DSY_NONMS_ND_NC_2021Q1FEB_RNG_Varejo-Familiaridade</v>
      </c>
      <c r="AQ66" s="57" t="str">
        <f t="shared" si="8"/>
        <v>alp_vw_dv360-globo_aaf_dsy_nonms_nd_nc_rng_varejo-familiaridade_na_trafego_cpm_prog_all_nativeads_interesse-autos_nativeads_polo-virtus-parcelas699_var-rng-aaf-dsy-0221-10066</v>
      </c>
      <c r="AR66" s="53" t="s">
        <v>722</v>
      </c>
      <c r="AS66" s="57" t="str">
        <f t="shared" si="9"/>
        <v>https://ofertas.vw.com.br?utm_source=dv360-globo&amp;utm_medium=Paid-Display&amp;utm_content=alp_vw_dv360-globo_aaf_dsy_nonms_nd_nc_rng_varejo-familiaridade_na_trafego_cpm_prog_all_nativeads_interesse-autos_nativeads_polo-virtus-parcelas699_var-rng-aaf-dsy-0221-10066&amp;utm_campaign=BR_AAF_DSY_NONMS_ND_NC_2021Q1FEB_RNG_Varejo-Familiaridade&amp;utm_term=%epid!_%ecid!_%eaid!</v>
      </c>
      <c r="AT66" s="53" t="str">
        <f t="shared" si="86"/>
        <v>run-of-network</v>
      </c>
      <c r="AU66" s="53" t="str">
        <f t="shared" si="11"/>
        <v>BR</v>
      </c>
      <c r="AV66" s="53" t="str">
        <f t="shared" si="87"/>
        <v>dv360-globo</v>
      </c>
      <c r="AW66" s="53" t="str">
        <f t="shared" si="88"/>
        <v>dv360-globo</v>
      </c>
      <c r="AX66" s="53" t="str">
        <f t="shared" si="14"/>
        <v>varejo-familiaridade</v>
      </c>
      <c r="AY66" s="53" t="str">
        <f t="shared" si="89"/>
        <v>alp_vw_dv360-globo_aaf_dsy_nonms_nd_nc_rng_varejo-familiaridade_na_trafego_cpm_prog_all_nativeads_interesse-autos_nativeads_polo-virtus-parcelas699_var-rng-aaf-dsy-0221-10066</v>
      </c>
      <c r="AZ66" s="53" t="str">
        <f t="shared" si="90"/>
        <v>nativeads</v>
      </c>
      <c r="BA66" s="53" t="str">
        <f t="shared" si="91"/>
        <v>varejo-familiaridade</v>
      </c>
      <c r="BB66" s="53" t="s">
        <v>775</v>
      </c>
      <c r="BC66" s="53" t="s">
        <v>775</v>
      </c>
      <c r="BD66" s="53" t="str">
        <f t="shared" si="92"/>
        <v>var-rng-aaf-dsy-0221-10066</v>
      </c>
      <c r="BE66" s="53" t="str">
        <f t="shared" si="93"/>
        <v>BR</v>
      </c>
      <c r="BF66" s="53" t="e">
        <f t="shared" si="94"/>
        <v>#N/A</v>
      </c>
      <c r="BG66" s="53"/>
      <c r="BH66" s="53"/>
      <c r="BI66" s="59" t="str">
        <f t="shared" si="19"/>
        <v>https://ofertas.vw.com.br?adlid=var-rng-aaf-dsy-0221-10066&amp;adplt=alp_vw_dv360-globo_aaf_dsy_nonms_nd_nc_rng_varejo-familiaridade_na_trafego_cpm_prog_all_nativeads_interesse-autos_nativeads_polo-virtus-parcelas699_var-rng-aaf-dsy-0221-10066</v>
      </c>
      <c r="BL66" s="20" t="str">
        <f t="shared" si="20"/>
        <v>alp_vw_dv360-globo_aaf_dsy_nonms_nd_nc_rng_varejo-familiaridade_na_trafego</v>
      </c>
      <c r="BM66" s="20" t="str">
        <f t="shared" si="21"/>
        <v>cpm_prog_all_nativeads_interesse-autos_nativeads</v>
      </c>
      <c r="BN66" s="20" t="str">
        <f t="shared" si="22"/>
        <v>alp_vw_dv360-globo_aaf_dsy_nonms_nd_nc_rng_varejo-familiaridade_na_trafego_cpm_prog_all_nativeads_interesse-autos_nativeads_polo-virtus-parcelas699_var-rng-aaf-dsy-0221-10066</v>
      </c>
      <c r="BO66" s="20"/>
      <c r="BP66" s="20"/>
    </row>
    <row r="67" spans="2:68" ht="15" hidden="1" customHeight="1" x14ac:dyDescent="0.25">
      <c r="B67" s="53" t="s">
        <v>996</v>
      </c>
      <c r="C67" s="53" t="s">
        <v>1009</v>
      </c>
      <c r="D67" s="53" t="s">
        <v>1006</v>
      </c>
      <c r="E67" s="54">
        <v>44294</v>
      </c>
      <c r="F67" s="54">
        <v>44316</v>
      </c>
      <c r="G67" s="53" t="s">
        <v>626</v>
      </c>
      <c r="H67" s="55" t="s">
        <v>939</v>
      </c>
      <c r="I67" s="53" t="s">
        <v>777</v>
      </c>
      <c r="J67" s="56" t="s">
        <v>911</v>
      </c>
      <c r="K67" s="56" t="s">
        <v>911</v>
      </c>
      <c r="L67" s="53" t="s">
        <v>653</v>
      </c>
      <c r="M67" s="53" t="s">
        <v>287</v>
      </c>
      <c r="N67" s="53" t="s">
        <v>295</v>
      </c>
      <c r="O67" s="53" t="s">
        <v>654</v>
      </c>
      <c r="P67" s="53" t="s">
        <v>313</v>
      </c>
      <c r="Q67" s="53" t="s">
        <v>658</v>
      </c>
      <c r="R67" s="53" t="s">
        <v>277</v>
      </c>
      <c r="S67" s="53" t="s">
        <v>841</v>
      </c>
      <c r="T67" s="53" t="s">
        <v>938</v>
      </c>
      <c r="U67" s="53" t="s">
        <v>1007</v>
      </c>
      <c r="V67" s="53" t="s">
        <v>942</v>
      </c>
      <c r="W67" s="40" t="s">
        <v>624</v>
      </c>
      <c r="X67" s="40" t="e">
        <v>#N/A</v>
      </c>
      <c r="Y67" s="53" t="s">
        <v>624</v>
      </c>
      <c r="Z67" s="48"/>
      <c r="AA67" s="41"/>
      <c r="AB67" s="41"/>
      <c r="AC67" s="41"/>
      <c r="AD67" s="40"/>
      <c r="AE67" s="40"/>
      <c r="AF67" s="41"/>
      <c r="AG67" s="41"/>
      <c r="AH67" s="53"/>
      <c r="AI67" s="57" t="str">
        <f t="shared" si="1"/>
        <v>alp_vw_dv360_aaf_dsy_nonms_nd_nc_rng_varejo-familiaridade_na_trafego_cpm_prog_all_nativeads_nc-3rd-party_nativeads_polo-virtus-parcelas699_var-rng-aaf-dsy-0221-10067</v>
      </c>
      <c r="AJ67" s="58" t="str">
        <f t="shared" si="2"/>
        <v>alp_vw_dv360_aaf_dsy_nonms_nd_nc_rng_varejo-familiaridade_na_trafego_cpm_prog_all_nativeads_nc-3rd-party_nativeads_polo-virtus-parcelas699_var-rng-aaf-dsy-0221-10067</v>
      </c>
      <c r="AK67" s="57" t="str">
        <f t="shared" si="3"/>
        <v>vw_range_nativeads_polo-virtus-parcelas699_dv360</v>
      </c>
      <c r="AL67" s="57" t="str">
        <f t="shared" si="83"/>
        <v>https://ofertas.vw.com.br?utm_source=dv360&amp;utm_medium=Paid-Display&amp;utm_content=alp_vw_dv360_aaf_dsy_nonms_nd_nc_rng_varejo-familiaridade_na_trafego_cpm_prog_all_nativeads_nc-3rd-party_nativeads_polo-virtus-parcelas699_var-rng-aaf-dsy-0221-10067&amp;utm_campaign=BR_AAF_DSY_NONMS_ND_NC_2021Q1FEB_RNG_Varejo-Familiaridade&amp;utm_term=%epid!_%ecid!_%eaid!</v>
      </c>
      <c r="AM67" s="57" t="str">
        <f t="shared" si="5"/>
        <v>https://ad.doubleclick.net/ddm/trackclk/N9487.281608.GOOGLEBRASIL/B25333445.300533642;dc_trk_aid=493643707;dc_trk_cid=145996180;Audience_Id=${PIXEL_ID_COMMA};kw=${CAMPAIGN_ID}:${INSERTION_ORDER_ID};dc_lat=;dc_rdid=;tag_for_child_directed_treatment=;tfua=</v>
      </c>
      <c r="AN67" s="53" t="str">
        <f t="shared" si="84"/>
        <v>dv360</v>
      </c>
      <c r="AO67" s="53" t="str">
        <f t="shared" si="85"/>
        <v>Paid-Display</v>
      </c>
      <c r="AP67" s="57" t="str">
        <f>Campanha!$B$3</f>
        <v>BR_AAF_DSY_NONMS_ND_NC_2021Q1FEB_RNG_Varejo-Familiaridade</v>
      </c>
      <c r="AQ67" s="57" t="str">
        <f t="shared" si="8"/>
        <v>alp_vw_dv360_aaf_dsy_nonms_nd_nc_rng_varejo-familiaridade_na_trafego_cpm_prog_all_nativeads_nc-3rd-party_nativeads_polo-virtus-parcelas699_var-rng-aaf-dsy-0221-10067</v>
      </c>
      <c r="AR67" s="53" t="s">
        <v>722</v>
      </c>
      <c r="AS67" s="57" t="str">
        <f t="shared" si="9"/>
        <v>https://ofertas.vw.com.br?utm_source=dv360&amp;utm_medium=Paid-Display&amp;utm_content=alp_vw_dv360_aaf_dsy_nonms_nd_nc_rng_varejo-familiaridade_na_trafego_cpm_prog_all_nativeads_nc-3rd-party_nativeads_polo-virtus-parcelas699_var-rng-aaf-dsy-0221-10067&amp;utm_campaign=BR_AAF_DSY_NONMS_ND_NC_2021Q1FEB_RNG_Varejo-Familiaridade&amp;utm_term=%epid!_%ecid!_%eaid!</v>
      </c>
      <c r="AT67" s="53" t="str">
        <f t="shared" si="86"/>
        <v>run-of-network</v>
      </c>
      <c r="AU67" s="53" t="str">
        <f t="shared" si="11"/>
        <v>BR</v>
      </c>
      <c r="AV67" s="53" t="str">
        <f t="shared" si="87"/>
        <v>dv360</v>
      </c>
      <c r="AW67" s="53" t="str">
        <f t="shared" si="88"/>
        <v>dv360</v>
      </c>
      <c r="AX67" s="53" t="str">
        <f t="shared" si="14"/>
        <v>varejo-familiaridade</v>
      </c>
      <c r="AY67" s="53" t="str">
        <f t="shared" si="89"/>
        <v>alp_vw_dv360_aaf_dsy_nonms_nd_nc_rng_varejo-familiaridade_na_trafego_cpm_prog_all_nativeads_nc-3rd-party_nativeads_polo-virtus-parcelas699_var-rng-aaf-dsy-0221-10067</v>
      </c>
      <c r="AZ67" s="53" t="str">
        <f t="shared" si="90"/>
        <v>nativeads</v>
      </c>
      <c r="BA67" s="53" t="str">
        <f t="shared" si="91"/>
        <v>varejo-familiaridade</v>
      </c>
      <c r="BB67" s="53" t="s">
        <v>775</v>
      </c>
      <c r="BC67" s="53" t="s">
        <v>775</v>
      </c>
      <c r="BD67" s="53" t="str">
        <f t="shared" si="92"/>
        <v>var-rng-aaf-dsy-0221-10067</v>
      </c>
      <c r="BE67" s="53" t="str">
        <f t="shared" si="93"/>
        <v>BR</v>
      </c>
      <c r="BF67" s="53" t="e">
        <f t="shared" si="94"/>
        <v>#N/A</v>
      </c>
      <c r="BG67" s="53"/>
      <c r="BH67" s="53"/>
      <c r="BI67" s="59" t="str">
        <f t="shared" si="19"/>
        <v>https://ofertas.vw.com.br?adlid=var-rng-aaf-dsy-0221-10067&amp;adplt=alp_vw_dv360_aaf_dsy_nonms_nd_nc_rng_varejo-familiaridade_na_trafego_cpm_prog_all_nativeads_nc-3rd-party_nativeads_polo-virtus-parcelas699_var-rng-aaf-dsy-0221-10067</v>
      </c>
      <c r="BL67" s="20" t="str">
        <f t="shared" si="20"/>
        <v>alp_vw_dv360_aaf_dsy_nonms_nd_nc_rng_varejo-familiaridade_na_trafego</v>
      </c>
      <c r="BM67" s="20" t="str">
        <f t="shared" si="21"/>
        <v>cpm_prog_all_nativeads_nc-3rd-party_nativeads</v>
      </c>
      <c r="BN67" s="20" t="str">
        <f t="shared" si="22"/>
        <v>alp_vw_dv360_aaf_dsy_nonms_nd_nc_rng_varejo-familiaridade_na_trafego_cpm_prog_all_nativeads_nc-3rd-party_nativeads_polo-virtus-parcelas699_var-rng-aaf-dsy-0221-10067</v>
      </c>
      <c r="BO67" s="20"/>
      <c r="BP67" s="20"/>
    </row>
    <row r="68" spans="2:68" ht="15" hidden="1" customHeight="1" x14ac:dyDescent="0.25">
      <c r="B68" s="53" t="s">
        <v>996</v>
      </c>
      <c r="C68" s="53" t="s">
        <v>1009</v>
      </c>
      <c r="D68" s="53" t="s">
        <v>1006</v>
      </c>
      <c r="E68" s="54">
        <v>44294</v>
      </c>
      <c r="F68" s="54">
        <v>44316</v>
      </c>
      <c r="G68" s="53" t="s">
        <v>626</v>
      </c>
      <c r="H68" s="55" t="s">
        <v>939</v>
      </c>
      <c r="I68" s="53" t="s">
        <v>777</v>
      </c>
      <c r="J68" s="56" t="s">
        <v>911</v>
      </c>
      <c r="K68" s="56" t="s">
        <v>911</v>
      </c>
      <c r="L68" s="53" t="s">
        <v>653</v>
      </c>
      <c r="M68" s="53" t="s">
        <v>287</v>
      </c>
      <c r="N68" s="53" t="s">
        <v>295</v>
      </c>
      <c r="O68" s="53" t="s">
        <v>654</v>
      </c>
      <c r="P68" s="53" t="s">
        <v>313</v>
      </c>
      <c r="Q68" s="53" t="s">
        <v>658</v>
      </c>
      <c r="R68" s="53" t="s">
        <v>277</v>
      </c>
      <c r="S68" s="53" t="s">
        <v>841</v>
      </c>
      <c r="T68" s="53" t="s">
        <v>938</v>
      </c>
      <c r="U68" s="53" t="s">
        <v>1007</v>
      </c>
      <c r="V68" s="53" t="s">
        <v>944</v>
      </c>
      <c r="W68" s="40" t="s">
        <v>624</v>
      </c>
      <c r="X68" s="40" t="e">
        <v>#N/A</v>
      </c>
      <c r="Y68" s="53" t="s">
        <v>624</v>
      </c>
      <c r="Z68" s="48"/>
      <c r="AA68" s="41"/>
      <c r="AB68" s="41"/>
      <c r="AC68" s="41"/>
      <c r="AD68" s="40"/>
      <c r="AE68" s="40"/>
      <c r="AF68" s="41"/>
      <c r="AG68" s="41"/>
      <c r="AH68" s="53"/>
      <c r="AI68" s="57" t="str">
        <f t="shared" si="1"/>
        <v>alp_vw_dv360_aaf_dsy_nonms_nd_nc_rng_varejo-familiaridade_na_trafego_cpm_prog_all_nativeads_nc-inmarket_nativeads_polo-virtus-parcelas699_var-rng-aaf-dsy-0221-10068</v>
      </c>
      <c r="AJ68" s="58" t="str">
        <f t="shared" si="2"/>
        <v>alp_vw_dv360_aaf_dsy_nonms_nd_nc_rng_varejo-familiaridade_na_trafego_cpm_prog_all_nativeads_nc-inmarket_nativeads_polo-virtus-parcelas699_var-rng-aaf-dsy-0221-10068</v>
      </c>
      <c r="AK68" s="57" t="str">
        <f t="shared" si="3"/>
        <v>vw_range_nativeads_polo-virtus-parcelas699_dv360</v>
      </c>
      <c r="AL68" s="57" t="str">
        <f t="shared" si="83"/>
        <v>https://ofertas.vw.com.br?utm_source=dv360&amp;utm_medium=Paid-Display&amp;utm_content=alp_vw_dv360_aaf_dsy_nonms_nd_nc_rng_varejo-familiaridade_na_trafego_cpm_prog_all_nativeads_nc-inmarket_nativeads_polo-virtus-parcelas699_var-rng-aaf-dsy-0221-10068&amp;utm_campaign=BR_AAF_DSY_NONMS_ND_NC_2021Q1FEB_RNG_Varejo-Familiaridade&amp;utm_term=%epid!_%ecid!_%eaid!</v>
      </c>
      <c r="AM68" s="57" t="str">
        <f t="shared" si="5"/>
        <v>https://ad.doubleclick.net/ddm/trackclk/N9487.281608.GOOGLEBRASIL/B25333445.300533639;dc_trk_aid=493643710;dc_trk_cid=145996180;Audience_Id=${PIXEL_ID_COMMA};kw=${CAMPAIGN_ID}:${INSERTION_ORDER_ID};dc_lat=;dc_rdid=;tag_for_child_directed_treatment=;tfua=</v>
      </c>
      <c r="AN68" s="53" t="str">
        <f t="shared" si="84"/>
        <v>dv360</v>
      </c>
      <c r="AO68" s="53" t="str">
        <f t="shared" si="85"/>
        <v>Paid-Display</v>
      </c>
      <c r="AP68" s="57" t="str">
        <f>Campanha!$B$3</f>
        <v>BR_AAF_DSY_NONMS_ND_NC_2021Q1FEB_RNG_Varejo-Familiaridade</v>
      </c>
      <c r="AQ68" s="57" t="str">
        <f t="shared" si="8"/>
        <v>alp_vw_dv360_aaf_dsy_nonms_nd_nc_rng_varejo-familiaridade_na_trafego_cpm_prog_all_nativeads_nc-inmarket_nativeads_polo-virtus-parcelas699_var-rng-aaf-dsy-0221-10068</v>
      </c>
      <c r="AR68" s="53" t="s">
        <v>722</v>
      </c>
      <c r="AS68" s="57" t="str">
        <f t="shared" si="9"/>
        <v>https://ofertas.vw.com.br?utm_source=dv360&amp;utm_medium=Paid-Display&amp;utm_content=alp_vw_dv360_aaf_dsy_nonms_nd_nc_rng_varejo-familiaridade_na_trafego_cpm_prog_all_nativeads_nc-inmarket_nativeads_polo-virtus-parcelas699_var-rng-aaf-dsy-0221-10068&amp;utm_campaign=BR_AAF_DSY_NONMS_ND_NC_2021Q1FEB_RNG_Varejo-Familiaridade&amp;utm_term=%epid!_%ecid!_%eaid!</v>
      </c>
      <c r="AT68" s="53" t="str">
        <f t="shared" si="86"/>
        <v>run-of-network</v>
      </c>
      <c r="AU68" s="53" t="str">
        <f t="shared" si="11"/>
        <v>BR</v>
      </c>
      <c r="AV68" s="53" t="str">
        <f t="shared" si="87"/>
        <v>dv360</v>
      </c>
      <c r="AW68" s="53" t="str">
        <f t="shared" si="88"/>
        <v>dv360</v>
      </c>
      <c r="AX68" s="53" t="str">
        <f t="shared" si="14"/>
        <v>varejo-familiaridade</v>
      </c>
      <c r="AY68" s="53" t="str">
        <f t="shared" si="89"/>
        <v>alp_vw_dv360_aaf_dsy_nonms_nd_nc_rng_varejo-familiaridade_na_trafego_cpm_prog_all_nativeads_nc-inmarket_nativeads_polo-virtus-parcelas699_var-rng-aaf-dsy-0221-10068</v>
      </c>
      <c r="AZ68" s="53" t="str">
        <f t="shared" si="90"/>
        <v>nativeads</v>
      </c>
      <c r="BA68" s="53" t="str">
        <f t="shared" si="91"/>
        <v>varejo-familiaridade</v>
      </c>
      <c r="BB68" s="53" t="s">
        <v>775</v>
      </c>
      <c r="BC68" s="53" t="s">
        <v>775</v>
      </c>
      <c r="BD68" s="53" t="str">
        <f t="shared" si="92"/>
        <v>var-rng-aaf-dsy-0221-10068</v>
      </c>
      <c r="BE68" s="53" t="str">
        <f t="shared" si="93"/>
        <v>BR</v>
      </c>
      <c r="BF68" s="53" t="e">
        <f t="shared" si="94"/>
        <v>#N/A</v>
      </c>
      <c r="BG68" s="53"/>
      <c r="BH68" s="53"/>
      <c r="BI68" s="59" t="str">
        <f t="shared" si="19"/>
        <v>https://ofertas.vw.com.br?adlid=var-rng-aaf-dsy-0221-10068&amp;adplt=alp_vw_dv360_aaf_dsy_nonms_nd_nc_rng_varejo-familiaridade_na_trafego_cpm_prog_all_nativeads_nc-inmarket_nativeads_polo-virtus-parcelas699_var-rng-aaf-dsy-0221-10068</v>
      </c>
      <c r="BL68" s="20" t="str">
        <f t="shared" si="20"/>
        <v>alp_vw_dv360_aaf_dsy_nonms_nd_nc_rng_varejo-familiaridade_na_trafego</v>
      </c>
      <c r="BM68" s="20" t="str">
        <f t="shared" si="21"/>
        <v>cpm_prog_all_nativeads_nc-inmarket_nativeads</v>
      </c>
      <c r="BN68" s="20" t="str">
        <f t="shared" si="22"/>
        <v>alp_vw_dv360_aaf_dsy_nonms_nd_nc_rng_varejo-familiaridade_na_trafego_cpm_prog_all_nativeads_nc-inmarket_nativeads_polo-virtus-parcelas699_var-rng-aaf-dsy-0221-10068</v>
      </c>
      <c r="BO68" s="20"/>
      <c r="BP68" s="20"/>
    </row>
    <row r="69" spans="2:68" ht="15" hidden="1" customHeight="1" x14ac:dyDescent="0.25">
      <c r="B69" s="53" t="s">
        <v>996</v>
      </c>
      <c r="C69" s="53" t="s">
        <v>1009</v>
      </c>
      <c r="D69" s="53" t="s">
        <v>1006</v>
      </c>
      <c r="E69" s="54">
        <v>44294</v>
      </c>
      <c r="F69" s="54">
        <v>44316</v>
      </c>
      <c r="G69" s="53" t="s">
        <v>626</v>
      </c>
      <c r="H69" s="55" t="s">
        <v>939</v>
      </c>
      <c r="I69" s="53" t="s">
        <v>777</v>
      </c>
      <c r="J69" s="56" t="s">
        <v>911</v>
      </c>
      <c r="K69" s="56" t="s">
        <v>911</v>
      </c>
      <c r="L69" s="53" t="s">
        <v>653</v>
      </c>
      <c r="M69" s="53" t="s">
        <v>287</v>
      </c>
      <c r="N69" s="53" t="s">
        <v>295</v>
      </c>
      <c r="O69" s="53" t="s">
        <v>654</v>
      </c>
      <c r="P69" s="53" t="s">
        <v>313</v>
      </c>
      <c r="Q69" s="53" t="s">
        <v>658</v>
      </c>
      <c r="R69" s="53" t="s">
        <v>277</v>
      </c>
      <c r="S69" s="53" t="s">
        <v>841</v>
      </c>
      <c r="T69" s="53" t="s">
        <v>938</v>
      </c>
      <c r="U69" s="53" t="s">
        <v>1007</v>
      </c>
      <c r="V69" s="53" t="s">
        <v>945</v>
      </c>
      <c r="W69" s="40" t="s">
        <v>624</v>
      </c>
      <c r="X69" s="40" t="e">
        <v>#N/A</v>
      </c>
      <c r="Y69" s="53" t="s">
        <v>624</v>
      </c>
      <c r="Z69" s="48"/>
      <c r="AA69" s="41"/>
      <c r="AB69" s="41"/>
      <c r="AC69" s="41"/>
      <c r="AD69" s="40"/>
      <c r="AE69" s="40"/>
      <c r="AF69" s="41"/>
      <c r="AG69" s="41"/>
      <c r="AH69" s="53"/>
      <c r="AI69" s="57" t="str">
        <f t="shared" si="1"/>
        <v>alp_vw_dv360_aaf_dsy_nonms_nd_nc_rng_varejo-familiaridade_na_trafego_cpm_prog_all_nativeads_nc-lal_nativeads_polo-virtus-parcelas699_var-rng-aaf-dsy-0221-10069</v>
      </c>
      <c r="AJ69" s="58" t="str">
        <f t="shared" si="2"/>
        <v>alp_vw_dv360_aaf_dsy_nonms_nd_nc_rng_varejo-familiaridade_na_trafego_cpm_prog_all_nativeads_nc-lal_nativeads_polo-virtus-parcelas699_var-rng-aaf-dsy-0221-10069</v>
      </c>
      <c r="AK69" s="57" t="str">
        <f t="shared" si="3"/>
        <v>vw_range_nativeads_polo-virtus-parcelas699_dv360</v>
      </c>
      <c r="AL69" s="57" t="str">
        <f t="shared" si="83"/>
        <v>https://ofertas.vw.com.br?utm_source=dv360&amp;utm_medium=Paid-Display&amp;utm_content=alp_vw_dv360_aaf_dsy_nonms_nd_nc_rng_varejo-familiaridade_na_trafego_cpm_prog_all_nativeads_nc-lal_nativeads_polo-virtus-parcelas699_var-rng-aaf-dsy-0221-10069&amp;utm_campaign=BR_AAF_DSY_NONMS_ND_NC_2021Q1FEB_RNG_Varejo-Familiaridade&amp;utm_term=%epid!_%ecid!_%eaid!</v>
      </c>
      <c r="AM69" s="57" t="str">
        <f t="shared" si="5"/>
        <v>https://ad.doubleclick.net/ddm/trackclk/N9487.281608.GOOGLEBRASIL/B25333445.300533636;dc_trk_aid=493643713;dc_trk_cid=145996180;Audience_Id=${PIXEL_ID_COMMA};kw=${CAMPAIGN_ID}:${INSERTION_ORDER_ID};dc_lat=;dc_rdid=;tag_for_child_directed_treatment=;tfua=</v>
      </c>
      <c r="AN69" s="53" t="str">
        <f t="shared" si="84"/>
        <v>dv360</v>
      </c>
      <c r="AO69" s="53" t="str">
        <f t="shared" si="85"/>
        <v>Paid-Display</v>
      </c>
      <c r="AP69" s="57" t="str">
        <f>Campanha!$B$3</f>
        <v>BR_AAF_DSY_NONMS_ND_NC_2021Q1FEB_RNG_Varejo-Familiaridade</v>
      </c>
      <c r="AQ69" s="57" t="str">
        <f t="shared" si="8"/>
        <v>alp_vw_dv360_aaf_dsy_nonms_nd_nc_rng_varejo-familiaridade_na_trafego_cpm_prog_all_nativeads_nc-lal_nativeads_polo-virtus-parcelas699_var-rng-aaf-dsy-0221-10069</v>
      </c>
      <c r="AR69" s="53" t="s">
        <v>722</v>
      </c>
      <c r="AS69" s="57" t="str">
        <f t="shared" si="9"/>
        <v>https://ofertas.vw.com.br?utm_source=dv360&amp;utm_medium=Paid-Display&amp;utm_content=alp_vw_dv360_aaf_dsy_nonms_nd_nc_rng_varejo-familiaridade_na_trafego_cpm_prog_all_nativeads_nc-lal_nativeads_polo-virtus-parcelas699_var-rng-aaf-dsy-0221-10069&amp;utm_campaign=BR_AAF_DSY_NONMS_ND_NC_2021Q1FEB_RNG_Varejo-Familiaridade&amp;utm_term=%epid!_%ecid!_%eaid!</v>
      </c>
      <c r="AT69" s="53" t="str">
        <f t="shared" si="86"/>
        <v>run-of-network</v>
      </c>
      <c r="AU69" s="53" t="str">
        <f t="shared" si="11"/>
        <v>BR</v>
      </c>
      <c r="AV69" s="53" t="str">
        <f t="shared" si="87"/>
        <v>dv360</v>
      </c>
      <c r="AW69" s="53" t="str">
        <f t="shared" si="88"/>
        <v>dv360</v>
      </c>
      <c r="AX69" s="53" t="str">
        <f t="shared" si="14"/>
        <v>varejo-familiaridade</v>
      </c>
      <c r="AY69" s="53" t="str">
        <f t="shared" si="89"/>
        <v>alp_vw_dv360_aaf_dsy_nonms_nd_nc_rng_varejo-familiaridade_na_trafego_cpm_prog_all_nativeads_nc-lal_nativeads_polo-virtus-parcelas699_var-rng-aaf-dsy-0221-10069</v>
      </c>
      <c r="AZ69" s="53" t="str">
        <f t="shared" si="90"/>
        <v>nativeads</v>
      </c>
      <c r="BA69" s="53" t="str">
        <f t="shared" si="91"/>
        <v>varejo-familiaridade</v>
      </c>
      <c r="BB69" s="53" t="s">
        <v>775</v>
      </c>
      <c r="BC69" s="53" t="s">
        <v>775</v>
      </c>
      <c r="BD69" s="53" t="str">
        <f t="shared" si="92"/>
        <v>var-rng-aaf-dsy-0221-10069</v>
      </c>
      <c r="BE69" s="53" t="str">
        <f t="shared" si="93"/>
        <v>BR</v>
      </c>
      <c r="BF69" s="53" t="e">
        <f t="shared" si="94"/>
        <v>#N/A</v>
      </c>
      <c r="BG69" s="53"/>
      <c r="BH69" s="53"/>
      <c r="BI69" s="59" t="str">
        <f t="shared" si="19"/>
        <v>https://ofertas.vw.com.br?adlid=var-rng-aaf-dsy-0221-10069&amp;adplt=alp_vw_dv360_aaf_dsy_nonms_nd_nc_rng_varejo-familiaridade_na_trafego_cpm_prog_all_nativeads_nc-lal_nativeads_polo-virtus-parcelas699_var-rng-aaf-dsy-0221-10069</v>
      </c>
      <c r="BL69" s="20" t="str">
        <f t="shared" si="20"/>
        <v>alp_vw_dv360_aaf_dsy_nonms_nd_nc_rng_varejo-familiaridade_na_trafego</v>
      </c>
      <c r="BM69" s="20" t="str">
        <f t="shared" si="21"/>
        <v>cpm_prog_all_nativeads_nc-lal_nativeads</v>
      </c>
      <c r="BN69" s="20" t="str">
        <f t="shared" si="22"/>
        <v>alp_vw_dv360_aaf_dsy_nonms_nd_nc_rng_varejo-familiaridade_na_trafego_cpm_prog_all_nativeads_nc-lal_nativeads_polo-virtus-parcelas699_var-rng-aaf-dsy-0221-10069</v>
      </c>
      <c r="BO69" s="20"/>
      <c r="BP69" s="20"/>
    </row>
    <row r="70" spans="2:68" ht="15" hidden="1" customHeight="1" x14ac:dyDescent="0.25">
      <c r="B70" s="53" t="s">
        <v>996</v>
      </c>
      <c r="C70" s="53" t="s">
        <v>1009</v>
      </c>
      <c r="D70" s="53" t="s">
        <v>1006</v>
      </c>
      <c r="E70" s="54">
        <v>44294</v>
      </c>
      <c r="F70" s="54">
        <v>44316</v>
      </c>
      <c r="G70" s="53" t="s">
        <v>626</v>
      </c>
      <c r="H70" s="55" t="s">
        <v>939</v>
      </c>
      <c r="I70" s="53" t="s">
        <v>777</v>
      </c>
      <c r="J70" s="56" t="s">
        <v>911</v>
      </c>
      <c r="K70" s="56" t="s">
        <v>911</v>
      </c>
      <c r="L70" s="53" t="s">
        <v>653</v>
      </c>
      <c r="M70" s="53" t="s">
        <v>287</v>
      </c>
      <c r="N70" s="53" t="s">
        <v>295</v>
      </c>
      <c r="O70" s="53" t="s">
        <v>654</v>
      </c>
      <c r="P70" s="53" t="s">
        <v>313</v>
      </c>
      <c r="Q70" s="53" t="s">
        <v>658</v>
      </c>
      <c r="R70" s="53" t="s">
        <v>277</v>
      </c>
      <c r="S70" s="53" t="s">
        <v>841</v>
      </c>
      <c r="T70" s="53" t="s">
        <v>938</v>
      </c>
      <c r="U70" s="53" t="s">
        <v>1007</v>
      </c>
      <c r="V70" s="53" t="s">
        <v>946</v>
      </c>
      <c r="W70" s="40" t="s">
        <v>624</v>
      </c>
      <c r="X70" s="40" t="e">
        <v>#N/A</v>
      </c>
      <c r="Y70" s="53" t="s">
        <v>624</v>
      </c>
      <c r="Z70" s="48"/>
      <c r="AA70" s="41"/>
      <c r="AB70" s="41"/>
      <c r="AC70" s="41"/>
      <c r="AD70" s="40"/>
      <c r="AE70" s="40"/>
      <c r="AF70" s="41"/>
      <c r="AG70" s="41"/>
      <c r="AH70" s="53"/>
      <c r="AI70" s="57" t="str">
        <f t="shared" si="1"/>
        <v>alp_vw_dv360_aaf_dsy_nonms_nd_nc_rng_varejo-familiaridade_na_trafego_cpm_prog_all_nativeads_nc-deals_nativeads_polo-virtus-parcelas699_var-rng-aaf-dsy-0221-10070</v>
      </c>
      <c r="AJ70" s="58" t="str">
        <f t="shared" si="2"/>
        <v>alp_vw_dv360_aaf_dsy_nonms_nd_nc_rng_varejo-familiaridade_na_trafego_cpm_prog_all_nativeads_nc-deals_nativeads_polo-virtus-parcelas699_var-rng-aaf-dsy-0221-10070</v>
      </c>
      <c r="AK70" s="57" t="str">
        <f t="shared" si="3"/>
        <v>vw_range_nativeads_polo-virtus-parcelas699_dv360</v>
      </c>
      <c r="AL70" s="57" t="str">
        <f t="shared" si="83"/>
        <v>https://ofertas.vw.com.br?utm_source=dv360&amp;utm_medium=Paid-Display&amp;utm_content=alp_vw_dv360_aaf_dsy_nonms_nd_nc_rng_varejo-familiaridade_na_trafego_cpm_prog_all_nativeads_nc-deals_nativeads_polo-virtus-parcelas699_var-rng-aaf-dsy-0221-10070&amp;utm_campaign=BR_AAF_DSY_NONMS_ND_NC_2021Q1FEB_RNG_Varejo-Familiaridade&amp;utm_term=%epid!_%ecid!_%eaid!</v>
      </c>
      <c r="AM70" s="57" t="str">
        <f t="shared" si="5"/>
        <v>https://ad.doubleclick.net/ddm/trackclk/N9487.281608.GOOGLEBRASIL/B25333445.300533633;dc_trk_aid=493643716;dc_trk_cid=145996180;Audience_Id=${PIXEL_ID_COMMA};kw=${CAMPAIGN_ID}:${INSERTION_ORDER_ID};dc_lat=;dc_rdid=;tag_for_child_directed_treatment=;tfua=</v>
      </c>
      <c r="AN70" s="53" t="str">
        <f t="shared" si="84"/>
        <v>dv360</v>
      </c>
      <c r="AO70" s="53" t="str">
        <f t="shared" si="85"/>
        <v>Paid-Display</v>
      </c>
      <c r="AP70" s="57" t="str">
        <f>Campanha!$B$3</f>
        <v>BR_AAF_DSY_NONMS_ND_NC_2021Q1FEB_RNG_Varejo-Familiaridade</v>
      </c>
      <c r="AQ70" s="57" t="str">
        <f t="shared" si="8"/>
        <v>alp_vw_dv360_aaf_dsy_nonms_nd_nc_rng_varejo-familiaridade_na_trafego_cpm_prog_all_nativeads_nc-deals_nativeads_polo-virtus-parcelas699_var-rng-aaf-dsy-0221-10070</v>
      </c>
      <c r="AR70" s="53" t="s">
        <v>722</v>
      </c>
      <c r="AS70" s="57" t="str">
        <f t="shared" si="9"/>
        <v>https://ofertas.vw.com.br?utm_source=dv360&amp;utm_medium=Paid-Display&amp;utm_content=alp_vw_dv360_aaf_dsy_nonms_nd_nc_rng_varejo-familiaridade_na_trafego_cpm_prog_all_nativeads_nc-deals_nativeads_polo-virtus-parcelas699_var-rng-aaf-dsy-0221-10070&amp;utm_campaign=BR_AAF_DSY_NONMS_ND_NC_2021Q1FEB_RNG_Varejo-Familiaridade&amp;utm_term=%epid!_%ecid!_%eaid!</v>
      </c>
      <c r="AT70" s="53" t="str">
        <f t="shared" si="86"/>
        <v>run-of-network</v>
      </c>
      <c r="AU70" s="53" t="str">
        <f t="shared" si="11"/>
        <v>BR</v>
      </c>
      <c r="AV70" s="53" t="str">
        <f t="shared" si="87"/>
        <v>dv360</v>
      </c>
      <c r="AW70" s="53" t="str">
        <f t="shared" si="88"/>
        <v>dv360</v>
      </c>
      <c r="AX70" s="53" t="str">
        <f t="shared" si="14"/>
        <v>varejo-familiaridade</v>
      </c>
      <c r="AY70" s="53" t="str">
        <f t="shared" si="89"/>
        <v>alp_vw_dv360_aaf_dsy_nonms_nd_nc_rng_varejo-familiaridade_na_trafego_cpm_prog_all_nativeads_nc-deals_nativeads_polo-virtus-parcelas699_var-rng-aaf-dsy-0221-10070</v>
      </c>
      <c r="AZ70" s="53" t="str">
        <f t="shared" si="90"/>
        <v>nativeads</v>
      </c>
      <c r="BA70" s="53" t="str">
        <f t="shared" si="91"/>
        <v>varejo-familiaridade</v>
      </c>
      <c r="BB70" s="53" t="s">
        <v>775</v>
      </c>
      <c r="BC70" s="53" t="s">
        <v>775</v>
      </c>
      <c r="BD70" s="53" t="str">
        <f t="shared" si="92"/>
        <v>var-rng-aaf-dsy-0221-10070</v>
      </c>
      <c r="BE70" s="53" t="str">
        <f t="shared" si="93"/>
        <v>BR</v>
      </c>
      <c r="BF70" s="53" t="e">
        <f t="shared" si="94"/>
        <v>#N/A</v>
      </c>
      <c r="BG70" s="53"/>
      <c r="BH70" s="53"/>
      <c r="BI70" s="59" t="str">
        <f t="shared" si="19"/>
        <v>https://ofertas.vw.com.br?adlid=var-rng-aaf-dsy-0221-10070&amp;adplt=alp_vw_dv360_aaf_dsy_nonms_nd_nc_rng_varejo-familiaridade_na_trafego_cpm_prog_all_nativeads_nc-deals_nativeads_polo-virtus-parcelas699_var-rng-aaf-dsy-0221-10070</v>
      </c>
      <c r="BL70" s="20" t="str">
        <f t="shared" si="20"/>
        <v>alp_vw_dv360_aaf_dsy_nonms_nd_nc_rng_varejo-familiaridade_na_trafego</v>
      </c>
      <c r="BM70" s="20" t="str">
        <f t="shared" si="21"/>
        <v>cpm_prog_all_nativeads_nc-deals_nativeads</v>
      </c>
      <c r="BN70" s="20" t="str">
        <f t="shared" si="22"/>
        <v>alp_vw_dv360_aaf_dsy_nonms_nd_nc_rng_varejo-familiaridade_na_trafego_cpm_prog_all_nativeads_nc-deals_nativeads_polo-virtus-parcelas699_var-rng-aaf-dsy-0221-10070</v>
      </c>
      <c r="BO70" s="20"/>
      <c r="BP70" s="20"/>
    </row>
    <row r="71" spans="2:68" ht="15" hidden="1" customHeight="1" x14ac:dyDescent="0.25">
      <c r="B71" s="53" t="s">
        <v>996</v>
      </c>
      <c r="C71" s="53" t="s">
        <v>1009</v>
      </c>
      <c r="D71" s="53" t="s">
        <v>1006</v>
      </c>
      <c r="E71" s="54">
        <v>44294</v>
      </c>
      <c r="F71" s="54">
        <v>44316</v>
      </c>
      <c r="G71" s="53" t="s">
        <v>626</v>
      </c>
      <c r="H71" s="55" t="s">
        <v>939</v>
      </c>
      <c r="I71" s="53" t="s">
        <v>777</v>
      </c>
      <c r="J71" s="56" t="s">
        <v>911</v>
      </c>
      <c r="K71" s="56" t="s">
        <v>911</v>
      </c>
      <c r="L71" s="53" t="s">
        <v>653</v>
      </c>
      <c r="M71" s="53" t="s">
        <v>287</v>
      </c>
      <c r="N71" s="53" t="s">
        <v>295</v>
      </c>
      <c r="O71" s="53" t="s">
        <v>654</v>
      </c>
      <c r="P71" s="53" t="s">
        <v>313</v>
      </c>
      <c r="Q71" s="53" t="s">
        <v>658</v>
      </c>
      <c r="R71" s="53" t="s">
        <v>277</v>
      </c>
      <c r="S71" s="53" t="s">
        <v>841</v>
      </c>
      <c r="T71" s="53" t="s">
        <v>938</v>
      </c>
      <c r="U71" s="53" t="s">
        <v>1007</v>
      </c>
      <c r="V71" s="53" t="s">
        <v>947</v>
      </c>
      <c r="W71" s="40" t="s">
        <v>624</v>
      </c>
      <c r="X71" s="40" t="e">
        <v>#N/A</v>
      </c>
      <c r="Y71" s="53" t="s">
        <v>624</v>
      </c>
      <c r="Z71" s="48"/>
      <c r="AA71" s="41"/>
      <c r="AB71" s="41"/>
      <c r="AC71" s="41"/>
      <c r="AD71" s="40"/>
      <c r="AE71" s="40"/>
      <c r="AF71" s="41"/>
      <c r="AG71" s="41"/>
      <c r="AH71" s="53"/>
      <c r="AI71" s="57" t="str">
        <f t="shared" si="1"/>
        <v>alp_vw_dv360_aaf_dsy_nonms_nd_nc_rng_varejo-familiaridade_na_trafego_cpm_prog_all_nativeads_nc-rmkt-e-store_nativeads_polo-virtus-parcelas699_var-rng-aaf-dsy-0221-10071</v>
      </c>
      <c r="AJ71" s="58" t="str">
        <f t="shared" si="2"/>
        <v>alp_vw_dv360_aaf_dsy_nonms_nd_nc_rng_varejo-familiaridade_na_trafego_cpm_prog_all_nativeads_nc-rmkt-e-store_nativeads_polo-virtus-parcelas699_var-rng-aaf-dsy-0221-10071</v>
      </c>
      <c r="AK71" s="57" t="str">
        <f t="shared" si="3"/>
        <v>vw_range_nativeads_polo-virtus-parcelas699_dv360</v>
      </c>
      <c r="AL71" s="57" t="str">
        <f t="shared" si="83"/>
        <v>https://ofertas.vw.com.br?utm_source=dv360&amp;utm_medium=Paid-Display&amp;utm_content=alp_vw_dv360_aaf_dsy_nonms_nd_nc_rng_varejo-familiaridade_na_trafego_cpm_prog_all_nativeads_nc-rmkt-e-store_nativeads_polo-virtus-parcelas699_var-rng-aaf-dsy-0221-10071&amp;utm_campaign=BR_AAF_DSY_NONMS_ND_NC_2021Q1FEB_RNG_Varejo-Familiaridade&amp;utm_term=%epid!_%ecid!_%eaid!</v>
      </c>
      <c r="AM71" s="57" t="str">
        <f t="shared" si="5"/>
        <v>https://ad.doubleclick.net/ddm/trackclk/N9487.281608.GOOGLEBRASIL/B25333445.300533678;dc_trk_aid=493643671;dc_trk_cid=145996180;Audience_Id=${PIXEL_ID_COMMA};kw=${CAMPAIGN_ID}:${INSERTION_ORDER_ID};dc_lat=;dc_rdid=;tag_for_child_directed_treatment=;tfua=</v>
      </c>
      <c r="AN71" s="53" t="str">
        <f t="shared" si="84"/>
        <v>dv360</v>
      </c>
      <c r="AO71" s="53" t="str">
        <f t="shared" si="85"/>
        <v>Paid-Display</v>
      </c>
      <c r="AP71" s="57" t="str">
        <f>Campanha!$B$3</f>
        <v>BR_AAF_DSY_NONMS_ND_NC_2021Q1FEB_RNG_Varejo-Familiaridade</v>
      </c>
      <c r="AQ71" s="57" t="str">
        <f t="shared" si="8"/>
        <v>alp_vw_dv360_aaf_dsy_nonms_nd_nc_rng_varejo-familiaridade_na_trafego_cpm_prog_all_nativeads_nc-rmkt-e-store_nativeads_polo-virtus-parcelas699_var-rng-aaf-dsy-0221-10071</v>
      </c>
      <c r="AR71" s="53" t="s">
        <v>722</v>
      </c>
      <c r="AS71" s="57" t="str">
        <f t="shared" si="9"/>
        <v>https://ofertas.vw.com.br?utm_source=dv360&amp;utm_medium=Paid-Display&amp;utm_content=alp_vw_dv360_aaf_dsy_nonms_nd_nc_rng_varejo-familiaridade_na_trafego_cpm_prog_all_nativeads_nc-rmkt-e-store_nativeads_polo-virtus-parcelas699_var-rng-aaf-dsy-0221-10071&amp;utm_campaign=BR_AAF_DSY_NONMS_ND_NC_2021Q1FEB_RNG_Varejo-Familiaridade&amp;utm_term=%epid!_%ecid!_%eaid!</v>
      </c>
      <c r="AT71" s="53" t="str">
        <f t="shared" si="86"/>
        <v>run-of-network</v>
      </c>
      <c r="AU71" s="53" t="str">
        <f t="shared" si="11"/>
        <v>BR</v>
      </c>
      <c r="AV71" s="53" t="str">
        <f t="shared" si="87"/>
        <v>dv360</v>
      </c>
      <c r="AW71" s="53" t="str">
        <f t="shared" si="88"/>
        <v>dv360</v>
      </c>
      <c r="AX71" s="53" t="str">
        <f t="shared" si="14"/>
        <v>varejo-familiaridade</v>
      </c>
      <c r="AY71" s="53" t="str">
        <f t="shared" si="89"/>
        <v>alp_vw_dv360_aaf_dsy_nonms_nd_nc_rng_varejo-familiaridade_na_trafego_cpm_prog_all_nativeads_nc-rmkt-e-store_nativeads_polo-virtus-parcelas699_var-rng-aaf-dsy-0221-10071</v>
      </c>
      <c r="AZ71" s="53" t="str">
        <f t="shared" si="90"/>
        <v>nativeads</v>
      </c>
      <c r="BA71" s="53" t="str">
        <f t="shared" si="91"/>
        <v>varejo-familiaridade</v>
      </c>
      <c r="BB71" s="53" t="s">
        <v>775</v>
      </c>
      <c r="BC71" s="53" t="s">
        <v>775</v>
      </c>
      <c r="BD71" s="53" t="str">
        <f t="shared" si="92"/>
        <v>var-rng-aaf-dsy-0221-10071</v>
      </c>
      <c r="BE71" s="53" t="str">
        <f t="shared" si="93"/>
        <v>BR</v>
      </c>
      <c r="BF71" s="53" t="e">
        <f t="shared" si="94"/>
        <v>#N/A</v>
      </c>
      <c r="BG71" s="53"/>
      <c r="BH71" s="53"/>
      <c r="BI71" s="59" t="str">
        <f t="shared" si="19"/>
        <v>https://ofertas.vw.com.br?adlid=var-rng-aaf-dsy-0221-10071&amp;adplt=alp_vw_dv360_aaf_dsy_nonms_nd_nc_rng_varejo-familiaridade_na_trafego_cpm_prog_all_nativeads_nc-rmkt-e-store_nativeads_polo-virtus-parcelas699_var-rng-aaf-dsy-0221-10071</v>
      </c>
      <c r="BL71" s="20" t="str">
        <f t="shared" si="20"/>
        <v>alp_vw_dv360_aaf_dsy_nonms_nd_nc_rng_varejo-familiaridade_na_trafego</v>
      </c>
      <c r="BM71" s="20" t="str">
        <f t="shared" si="21"/>
        <v>cpm_prog_all_nativeads_nc-rmkt-e-store_nativeads</v>
      </c>
      <c r="BN71" s="20" t="str">
        <f t="shared" si="22"/>
        <v>alp_vw_dv360_aaf_dsy_nonms_nd_nc_rng_varejo-familiaridade_na_trafego_cpm_prog_all_nativeads_nc-rmkt-e-store_nativeads_polo-virtus-parcelas699_var-rng-aaf-dsy-0221-10071</v>
      </c>
      <c r="BO71" s="20"/>
      <c r="BP71" s="20"/>
    </row>
    <row r="72" spans="2:68" ht="15" hidden="1" customHeight="1" x14ac:dyDescent="0.25">
      <c r="B72" s="53" t="s">
        <v>996</v>
      </c>
      <c r="C72" s="53" t="s">
        <v>1112</v>
      </c>
      <c r="D72" s="53" t="s">
        <v>1051</v>
      </c>
      <c r="E72" s="54">
        <v>44298</v>
      </c>
      <c r="F72" s="54">
        <v>44316</v>
      </c>
      <c r="G72" s="53" t="s">
        <v>626</v>
      </c>
      <c r="H72" s="55" t="s">
        <v>1052</v>
      </c>
      <c r="I72" s="53" t="s">
        <v>777</v>
      </c>
      <c r="J72" s="56" t="s">
        <v>911</v>
      </c>
      <c r="K72" s="56" t="s">
        <v>911</v>
      </c>
      <c r="L72" s="53" t="s">
        <v>653</v>
      </c>
      <c r="M72" s="53" t="s">
        <v>287</v>
      </c>
      <c r="N72" s="53" t="s">
        <v>295</v>
      </c>
      <c r="O72" s="53" t="s">
        <v>654</v>
      </c>
      <c r="P72" s="53" t="s">
        <v>313</v>
      </c>
      <c r="Q72" s="53" t="s">
        <v>658</v>
      </c>
      <c r="R72" s="53" t="s">
        <v>277</v>
      </c>
      <c r="S72" s="53" t="s">
        <v>841</v>
      </c>
      <c r="T72" s="53" t="s">
        <v>938</v>
      </c>
      <c r="U72" s="53" t="s">
        <v>1054</v>
      </c>
      <c r="V72" s="53" t="s">
        <v>942</v>
      </c>
      <c r="W72" s="53" t="s">
        <v>624</v>
      </c>
      <c r="X72" s="53"/>
      <c r="Y72" s="53" t="s">
        <v>624</v>
      </c>
      <c r="Z72" s="58" t="s">
        <v>1065</v>
      </c>
      <c r="AA72" s="57" t="s">
        <v>1066</v>
      </c>
      <c r="AB72" s="57" t="s">
        <v>1067</v>
      </c>
      <c r="AC72" s="57" t="s">
        <v>1058</v>
      </c>
      <c r="AD72" s="53" t="s">
        <v>911</v>
      </c>
      <c r="AE72" s="53" t="s">
        <v>653</v>
      </c>
      <c r="AF72" s="57" t="s">
        <v>1048</v>
      </c>
      <c r="AG72" s="57" t="s">
        <v>1065</v>
      </c>
      <c r="AH72" s="53"/>
      <c r="AI72" s="57" t="str">
        <f t="shared" si="1"/>
        <v>alp_vw_dv360_aaf_dsy_nonms_nd_nc_rng_varejo-familiaridade_na_trafego_cpm_prog_all_nativeads_nc-3rd-party_nativeads_amarok-taxazero_var-rng-aaf-dsy-0221-10072</v>
      </c>
      <c r="AJ72" s="58" t="str">
        <f t="shared" si="2"/>
        <v>alp_vw_dv360_aaf_dsy_nonms_nd_nc_rng_varejo-familiaridade_na_trafego_cpm_prog_all_nativeads_nc-3rd-party_nativeads_amarok-taxazero_var-rng-aaf-dsy-0221-10072</v>
      </c>
      <c r="AK72" s="57" t="str">
        <f t="shared" si="3"/>
        <v>vw_range_nativeads_amarok-taxazero_dv360</v>
      </c>
      <c r="AL72" s="57" t="str">
        <f t="shared" si="83"/>
        <v>https://ofertas.vw.com.br/modelo/?modelo=Amarok&amp;utm_source=dv360&amp;utm_medium=Paid-Display&amp;utm_content=alp_vw_dv360_aaf_dsy_nonms_nd_nc_rng_varejo-familiaridade_na_trafego_cpm_prog_all_nativeads_nc-3rd-party_nativeads_amarok-taxazero_var-rng-aaf-dsy-0221-10072&amp;utm_campaign=BR_AAF_DSY_NONMS_ND_NC_2021Q1FEB_RNG_Varejo-Familiaridade&amp;utm_term=%epid!_%ecid!_%eaid!</v>
      </c>
      <c r="AM72" s="57" t="str">
        <f t="shared" si="5"/>
        <v>https://ad.doubleclick.net/ddm/trackclk/N9487.281608.GOOGLEBRASIL/B25333445.300750758;dc_trk_aid=493902315;dc_trk_cid=145996180;Audience_Id=${PIXEL_ID_COMMA};kw=${CAMPAIGN_ID}:${INSERTION_ORDER_ID};dc_lat=;dc_rdid=;tag_for_child_directed_treatment=;tfua=</v>
      </c>
      <c r="AN72" s="53" t="str">
        <f t="shared" si="84"/>
        <v>dv360</v>
      </c>
      <c r="AO72" s="53" t="str">
        <f t="shared" si="85"/>
        <v>Paid-Display</v>
      </c>
      <c r="AP72" s="57" t="str">
        <f>Campanha!$B$3</f>
        <v>BR_AAF_DSY_NONMS_ND_NC_2021Q1FEB_RNG_Varejo-Familiaridade</v>
      </c>
      <c r="AQ72" s="57" t="str">
        <f t="shared" si="8"/>
        <v>alp_vw_dv360_aaf_dsy_nonms_nd_nc_rng_varejo-familiaridade_na_trafego_cpm_prog_all_nativeads_nc-3rd-party_nativeads_amarok-taxazero_var-rng-aaf-dsy-0221-10072</v>
      </c>
      <c r="AR72" s="53" t="s">
        <v>722</v>
      </c>
      <c r="AS72" s="57" t="str">
        <f t="shared" si="9"/>
        <v>https://ofertas.vw.com.br/modelo/?modelo=Amarok&amp;utm_source=dv360&amp;utm_medium=Paid-Display&amp;utm_content=alp_vw_dv360_aaf_dsy_nonms_nd_nc_rng_varejo-familiaridade_na_trafego_cpm_prog_all_nativeads_nc-3rd-party_nativeads_amarok-taxazero_var-rng-aaf-dsy-0221-10072&amp;utm_campaign=BR_AAF_DSY_NONMS_ND_NC_2021Q1FEB_RNG_Varejo-Familiaridade&amp;utm_term=%epid!_%ecid!_%eaid!</v>
      </c>
      <c r="AT72" s="53" t="str">
        <f t="shared" si="86"/>
        <v>run-of-network</v>
      </c>
      <c r="AU72" s="53" t="str">
        <f t="shared" si="11"/>
        <v>BR</v>
      </c>
      <c r="AV72" s="53" t="str">
        <f t="shared" si="87"/>
        <v>dv360</v>
      </c>
      <c r="AW72" s="53" t="str">
        <f t="shared" si="88"/>
        <v>dv360</v>
      </c>
      <c r="AX72" s="53" t="str">
        <f t="shared" si="14"/>
        <v>varejo-familiaridade</v>
      </c>
      <c r="AY72" s="53" t="str">
        <f t="shared" si="89"/>
        <v>alp_vw_dv360_aaf_dsy_nonms_nd_nc_rng_varejo-familiaridade_na_trafego_cpm_prog_all_nativeads_nc-3rd-party_nativeads_amarok-taxazero_var-rng-aaf-dsy-0221-10072</v>
      </c>
      <c r="AZ72" s="53" t="str">
        <f t="shared" si="90"/>
        <v>nativeads</v>
      </c>
      <c r="BA72" s="53" t="str">
        <f t="shared" si="91"/>
        <v>varejo-familiaridade</v>
      </c>
      <c r="BB72" s="53" t="s">
        <v>775</v>
      </c>
      <c r="BC72" s="53" t="s">
        <v>775</v>
      </c>
      <c r="BD72" s="53" t="str">
        <f t="shared" si="92"/>
        <v>var-rng-aaf-dsy-0221-10072</v>
      </c>
      <c r="BE72" s="53" t="str">
        <f t="shared" si="93"/>
        <v>BR</v>
      </c>
      <c r="BF72" s="53" t="str">
        <f t="shared" si="94"/>
        <v/>
      </c>
      <c r="BG72" s="53"/>
      <c r="BH72" s="53"/>
      <c r="BI72" s="59" t="str">
        <f t="shared" si="19"/>
        <v>https://ofertas.vw.com.br/modelo/?modelo=Amarok&amp;adlid=var-rng-aaf-dsy-0221-10072&amp;adplt=alp_vw_dv360_aaf_dsy_nonms_nd_nc_rng_varejo-familiaridade_na_trafego_cpm_prog_all_nativeads_nc-3rd-party_nativeads_amarok-taxazero_var-rng-aaf-dsy-0221-10072</v>
      </c>
      <c r="BL72" s="20" t="str">
        <f t="shared" si="20"/>
        <v>alp_vw_dv360_aaf_dsy_nonms_nd_nc_rng_varejo-familiaridade_na_trafego</v>
      </c>
      <c r="BM72" s="20" t="str">
        <f t="shared" si="21"/>
        <v>cpm_prog_all_nativeads_nc-3rd-party_nativeads</v>
      </c>
      <c r="BN72" s="20" t="str">
        <f t="shared" si="22"/>
        <v>alp_vw_dv360_aaf_dsy_nonms_nd_nc_rng_varejo-familiaridade_na_trafego_cpm_prog_all_nativeads_nc-3rd-party_nativeads_amarok-taxazero_var-rng-aaf-dsy-0221-10072</v>
      </c>
      <c r="BO72" s="20"/>
      <c r="BP72" s="20"/>
    </row>
    <row r="73" spans="2:68" ht="15" hidden="1" customHeight="1" x14ac:dyDescent="0.25">
      <c r="B73" s="53" t="s">
        <v>996</v>
      </c>
      <c r="C73" s="53" t="s">
        <v>1112</v>
      </c>
      <c r="D73" s="53" t="s">
        <v>1051</v>
      </c>
      <c r="E73" s="54">
        <v>44298</v>
      </c>
      <c r="F73" s="54">
        <v>44316</v>
      </c>
      <c r="G73" s="53" t="s">
        <v>626</v>
      </c>
      <c r="H73" s="55" t="s">
        <v>1052</v>
      </c>
      <c r="I73" s="53" t="s">
        <v>777</v>
      </c>
      <c r="J73" s="56" t="s">
        <v>911</v>
      </c>
      <c r="K73" s="56" t="s">
        <v>911</v>
      </c>
      <c r="L73" s="53" t="s">
        <v>653</v>
      </c>
      <c r="M73" s="53" t="s">
        <v>287</v>
      </c>
      <c r="N73" s="53" t="s">
        <v>295</v>
      </c>
      <c r="O73" s="53" t="s">
        <v>654</v>
      </c>
      <c r="P73" s="53" t="s">
        <v>313</v>
      </c>
      <c r="Q73" s="53" t="s">
        <v>658</v>
      </c>
      <c r="R73" s="53" t="s">
        <v>277</v>
      </c>
      <c r="S73" s="53" t="s">
        <v>841</v>
      </c>
      <c r="T73" s="53" t="s">
        <v>938</v>
      </c>
      <c r="U73" s="53" t="s">
        <v>1054</v>
      </c>
      <c r="V73" s="53" t="s">
        <v>944</v>
      </c>
      <c r="W73" s="53" t="s">
        <v>624</v>
      </c>
      <c r="X73" s="53"/>
      <c r="Y73" s="53" t="s">
        <v>624</v>
      </c>
      <c r="Z73" s="58" t="s">
        <v>1068</v>
      </c>
      <c r="AA73" s="57" t="s">
        <v>1066</v>
      </c>
      <c r="AB73" s="57" t="s">
        <v>1069</v>
      </c>
      <c r="AC73" s="57" t="s">
        <v>1058</v>
      </c>
      <c r="AD73" s="53" t="s">
        <v>911</v>
      </c>
      <c r="AE73" s="53" t="s">
        <v>653</v>
      </c>
      <c r="AF73" s="57" t="s">
        <v>1048</v>
      </c>
      <c r="AG73" s="57" t="s">
        <v>1068</v>
      </c>
      <c r="AH73" s="53"/>
      <c r="AI73" s="57" t="str">
        <f t="shared" si="1"/>
        <v>alp_vw_dv360_aaf_dsy_nonms_nd_nc_rng_varejo-familiaridade_na_trafego_cpm_prog_all_nativeads_nc-inmarket_nativeads_amarok-taxazero_var-rng-aaf-dsy-0221-10073</v>
      </c>
      <c r="AJ73" s="58" t="str">
        <f t="shared" si="2"/>
        <v>alp_vw_dv360_aaf_dsy_nonms_nd_nc_rng_varejo-familiaridade_na_trafego_cpm_prog_all_nativeads_nc-inmarket_nativeads_amarok-taxazero_var-rng-aaf-dsy-0221-10073</v>
      </c>
      <c r="AK73" s="57" t="str">
        <f t="shared" si="3"/>
        <v>vw_range_nativeads_amarok-taxazero_dv360</v>
      </c>
      <c r="AL73" s="57" t="str">
        <f t="shared" si="83"/>
        <v>https://ofertas.vw.com.br/modelo/?modelo=Amarok&amp;utm_source=dv360&amp;utm_medium=Paid-Display&amp;utm_content=alp_vw_dv360_aaf_dsy_nonms_nd_nc_rng_varejo-familiaridade_na_trafego_cpm_prog_all_nativeads_nc-inmarket_nativeads_amarok-taxazero_var-rng-aaf-dsy-0221-10073&amp;utm_campaign=BR_AAF_DSY_NONMS_ND_NC_2021Q1FEB_RNG_Varejo-Familiaridade&amp;utm_term=%epid!_%ecid!_%eaid!</v>
      </c>
      <c r="AM73" s="57" t="str">
        <f t="shared" si="5"/>
        <v>https://ad.doubleclick.net/ddm/trackclk/N9487.281608.GOOGLEBRASIL/B25333445.300750755;dc_trk_aid=493902312;dc_trk_cid=145996180;Audience_Id=${PIXEL_ID_COMMA};kw=${CAMPAIGN_ID}:${INSERTION_ORDER_ID};dc_lat=;dc_rdid=;tag_for_child_directed_treatment=;tfua=</v>
      </c>
      <c r="AN73" s="53" t="str">
        <f t="shared" si="84"/>
        <v>dv360</v>
      </c>
      <c r="AO73" s="53" t="str">
        <f t="shared" si="85"/>
        <v>Paid-Display</v>
      </c>
      <c r="AP73" s="57" t="str">
        <f>Campanha!$B$3</f>
        <v>BR_AAF_DSY_NONMS_ND_NC_2021Q1FEB_RNG_Varejo-Familiaridade</v>
      </c>
      <c r="AQ73" s="57" t="str">
        <f t="shared" si="8"/>
        <v>alp_vw_dv360_aaf_dsy_nonms_nd_nc_rng_varejo-familiaridade_na_trafego_cpm_prog_all_nativeads_nc-inmarket_nativeads_amarok-taxazero_var-rng-aaf-dsy-0221-10073</v>
      </c>
      <c r="AR73" s="53" t="s">
        <v>722</v>
      </c>
      <c r="AS73" s="57" t="str">
        <f t="shared" si="9"/>
        <v>https://ofertas.vw.com.br/modelo/?modelo=Amarok&amp;utm_source=dv360&amp;utm_medium=Paid-Display&amp;utm_content=alp_vw_dv360_aaf_dsy_nonms_nd_nc_rng_varejo-familiaridade_na_trafego_cpm_prog_all_nativeads_nc-inmarket_nativeads_amarok-taxazero_var-rng-aaf-dsy-0221-10073&amp;utm_campaign=BR_AAF_DSY_NONMS_ND_NC_2021Q1FEB_RNG_Varejo-Familiaridade&amp;utm_term=%epid!_%ecid!_%eaid!</v>
      </c>
      <c r="AT73" s="53" t="str">
        <f t="shared" si="86"/>
        <v>run-of-network</v>
      </c>
      <c r="AU73" s="53" t="str">
        <f t="shared" si="11"/>
        <v>BR</v>
      </c>
      <c r="AV73" s="53" t="str">
        <f t="shared" si="87"/>
        <v>dv360</v>
      </c>
      <c r="AW73" s="53" t="str">
        <f t="shared" si="88"/>
        <v>dv360</v>
      </c>
      <c r="AX73" s="53" t="str">
        <f t="shared" si="14"/>
        <v>varejo-familiaridade</v>
      </c>
      <c r="AY73" s="53" t="str">
        <f t="shared" si="89"/>
        <v>alp_vw_dv360_aaf_dsy_nonms_nd_nc_rng_varejo-familiaridade_na_trafego_cpm_prog_all_nativeads_nc-inmarket_nativeads_amarok-taxazero_var-rng-aaf-dsy-0221-10073</v>
      </c>
      <c r="AZ73" s="53" t="str">
        <f t="shared" si="90"/>
        <v>nativeads</v>
      </c>
      <c r="BA73" s="53" t="str">
        <f t="shared" si="91"/>
        <v>varejo-familiaridade</v>
      </c>
      <c r="BB73" s="53" t="s">
        <v>775</v>
      </c>
      <c r="BC73" s="53" t="s">
        <v>775</v>
      </c>
      <c r="BD73" s="53" t="str">
        <f t="shared" si="92"/>
        <v>var-rng-aaf-dsy-0221-10073</v>
      </c>
      <c r="BE73" s="53" t="str">
        <f t="shared" si="93"/>
        <v>BR</v>
      </c>
      <c r="BF73" s="53" t="str">
        <f t="shared" si="94"/>
        <v/>
      </c>
      <c r="BG73" s="53"/>
      <c r="BH73" s="53"/>
      <c r="BI73" s="59" t="str">
        <f t="shared" si="19"/>
        <v>https://ofertas.vw.com.br/modelo/?modelo=Amarok&amp;adlid=var-rng-aaf-dsy-0221-10073&amp;adplt=alp_vw_dv360_aaf_dsy_nonms_nd_nc_rng_varejo-familiaridade_na_trafego_cpm_prog_all_nativeads_nc-inmarket_nativeads_amarok-taxazero_var-rng-aaf-dsy-0221-10073</v>
      </c>
      <c r="BL73" s="20" t="str">
        <f t="shared" si="20"/>
        <v>alp_vw_dv360_aaf_dsy_nonms_nd_nc_rng_varejo-familiaridade_na_trafego</v>
      </c>
      <c r="BM73" s="20" t="str">
        <f t="shared" si="21"/>
        <v>cpm_prog_all_nativeads_nc-inmarket_nativeads</v>
      </c>
      <c r="BN73" s="20" t="str">
        <f t="shared" si="22"/>
        <v>alp_vw_dv360_aaf_dsy_nonms_nd_nc_rng_varejo-familiaridade_na_trafego_cpm_prog_all_nativeads_nc-inmarket_nativeads_amarok-taxazero_var-rng-aaf-dsy-0221-10073</v>
      </c>
      <c r="BO73" s="20"/>
      <c r="BP73" s="20"/>
    </row>
    <row r="74" spans="2:68" ht="15" hidden="1" customHeight="1" x14ac:dyDescent="0.25">
      <c r="B74" s="53" t="s">
        <v>996</v>
      </c>
      <c r="C74" s="53" t="s">
        <v>1112</v>
      </c>
      <c r="D74" s="53" t="s">
        <v>1051</v>
      </c>
      <c r="E74" s="54">
        <v>44298</v>
      </c>
      <c r="F74" s="54">
        <v>44316</v>
      </c>
      <c r="G74" s="53" t="s">
        <v>626</v>
      </c>
      <c r="H74" s="55" t="s">
        <v>1052</v>
      </c>
      <c r="I74" s="53" t="s">
        <v>777</v>
      </c>
      <c r="J74" s="56" t="s">
        <v>911</v>
      </c>
      <c r="K74" s="56" t="s">
        <v>911</v>
      </c>
      <c r="L74" s="53" t="s">
        <v>653</v>
      </c>
      <c r="M74" s="53" t="s">
        <v>287</v>
      </c>
      <c r="N74" s="53" t="s">
        <v>295</v>
      </c>
      <c r="O74" s="53" t="s">
        <v>654</v>
      </c>
      <c r="P74" s="53" t="s">
        <v>313</v>
      </c>
      <c r="Q74" s="53" t="s">
        <v>658</v>
      </c>
      <c r="R74" s="53" t="s">
        <v>277</v>
      </c>
      <c r="S74" s="53" t="s">
        <v>841</v>
      </c>
      <c r="T74" s="53" t="s">
        <v>938</v>
      </c>
      <c r="U74" s="53" t="s">
        <v>1054</v>
      </c>
      <c r="V74" s="53" t="s">
        <v>945</v>
      </c>
      <c r="W74" s="53" t="s">
        <v>624</v>
      </c>
      <c r="X74" s="53"/>
      <c r="Y74" s="53" t="s">
        <v>624</v>
      </c>
      <c r="Z74" s="58" t="s">
        <v>1070</v>
      </c>
      <c r="AA74" s="57" t="s">
        <v>1066</v>
      </c>
      <c r="AB74" s="57" t="s">
        <v>1071</v>
      </c>
      <c r="AC74" s="57" t="s">
        <v>1058</v>
      </c>
      <c r="AD74" s="53" t="s">
        <v>911</v>
      </c>
      <c r="AE74" s="53" t="s">
        <v>653</v>
      </c>
      <c r="AF74" s="57" t="s">
        <v>1048</v>
      </c>
      <c r="AG74" s="57" t="s">
        <v>1070</v>
      </c>
      <c r="AH74" s="53"/>
      <c r="AI74" s="57" t="str">
        <f t="shared" si="1"/>
        <v>alp_vw_dv360_aaf_dsy_nonms_nd_nc_rng_varejo-familiaridade_na_trafego_cpm_prog_all_nativeads_nc-lal_nativeads_amarok-taxazero_var-rng-aaf-dsy-0221-10074</v>
      </c>
      <c r="AJ74" s="58" t="str">
        <f t="shared" si="2"/>
        <v>alp_vw_dv360_aaf_dsy_nonms_nd_nc_rng_varejo-familiaridade_na_trafego_cpm_prog_all_nativeads_nc-lal_nativeads_amarok-taxazero_var-rng-aaf-dsy-0221-10074</v>
      </c>
      <c r="AK74" s="57" t="str">
        <f t="shared" si="3"/>
        <v>vw_range_nativeads_amarok-taxazero_dv360</v>
      </c>
      <c r="AL74" s="57" t="str">
        <f t="shared" si="83"/>
        <v>https://ofertas.vw.com.br/modelo/?modelo=Amarok&amp;utm_source=dv360&amp;utm_medium=Paid-Display&amp;utm_content=alp_vw_dv360_aaf_dsy_nonms_nd_nc_rng_varejo-familiaridade_na_trafego_cpm_prog_all_nativeads_nc-lal_nativeads_amarok-taxazero_var-rng-aaf-dsy-0221-10074&amp;utm_campaign=BR_AAF_DSY_NONMS_ND_NC_2021Q1FEB_RNG_Varejo-Familiaridade&amp;utm_term=%epid!_%ecid!_%eaid!</v>
      </c>
      <c r="AM74" s="57" t="str">
        <f t="shared" si="5"/>
        <v>https://ad.doubleclick.net/ddm/trackclk/N9487.281608.GOOGLEBRASIL/B25333445.300750752;dc_trk_aid=493902309;dc_trk_cid=145996180;Audience_Id=${PIXEL_ID_COMMA};kw=${CAMPAIGN_ID}:${INSERTION_ORDER_ID};dc_lat=;dc_rdid=;tag_for_child_directed_treatment=;tfua=</v>
      </c>
      <c r="AN74" s="53" t="str">
        <f t="shared" si="84"/>
        <v>dv360</v>
      </c>
      <c r="AO74" s="53" t="str">
        <f t="shared" si="85"/>
        <v>Paid-Display</v>
      </c>
      <c r="AP74" s="57" t="str">
        <f>Campanha!$B$3</f>
        <v>BR_AAF_DSY_NONMS_ND_NC_2021Q1FEB_RNG_Varejo-Familiaridade</v>
      </c>
      <c r="AQ74" s="57" t="str">
        <f t="shared" si="8"/>
        <v>alp_vw_dv360_aaf_dsy_nonms_nd_nc_rng_varejo-familiaridade_na_trafego_cpm_prog_all_nativeads_nc-lal_nativeads_amarok-taxazero_var-rng-aaf-dsy-0221-10074</v>
      </c>
      <c r="AR74" s="53" t="s">
        <v>722</v>
      </c>
      <c r="AS74" s="57" t="str">
        <f t="shared" si="9"/>
        <v>https://ofertas.vw.com.br/modelo/?modelo=Amarok&amp;utm_source=dv360&amp;utm_medium=Paid-Display&amp;utm_content=alp_vw_dv360_aaf_dsy_nonms_nd_nc_rng_varejo-familiaridade_na_trafego_cpm_prog_all_nativeads_nc-lal_nativeads_amarok-taxazero_var-rng-aaf-dsy-0221-10074&amp;utm_campaign=BR_AAF_DSY_NONMS_ND_NC_2021Q1FEB_RNG_Varejo-Familiaridade&amp;utm_term=%epid!_%ecid!_%eaid!</v>
      </c>
      <c r="AT74" s="53" t="str">
        <f t="shared" si="86"/>
        <v>run-of-network</v>
      </c>
      <c r="AU74" s="53" t="str">
        <f t="shared" si="11"/>
        <v>BR</v>
      </c>
      <c r="AV74" s="53" t="str">
        <f t="shared" si="87"/>
        <v>dv360</v>
      </c>
      <c r="AW74" s="53" t="str">
        <f t="shared" si="88"/>
        <v>dv360</v>
      </c>
      <c r="AX74" s="53" t="str">
        <f t="shared" si="14"/>
        <v>varejo-familiaridade</v>
      </c>
      <c r="AY74" s="53" t="str">
        <f t="shared" si="89"/>
        <v>alp_vw_dv360_aaf_dsy_nonms_nd_nc_rng_varejo-familiaridade_na_trafego_cpm_prog_all_nativeads_nc-lal_nativeads_amarok-taxazero_var-rng-aaf-dsy-0221-10074</v>
      </c>
      <c r="AZ74" s="53" t="str">
        <f t="shared" si="90"/>
        <v>nativeads</v>
      </c>
      <c r="BA74" s="53" t="str">
        <f t="shared" si="91"/>
        <v>varejo-familiaridade</v>
      </c>
      <c r="BB74" s="53" t="s">
        <v>775</v>
      </c>
      <c r="BC74" s="53" t="s">
        <v>775</v>
      </c>
      <c r="BD74" s="53" t="str">
        <f t="shared" si="92"/>
        <v>var-rng-aaf-dsy-0221-10074</v>
      </c>
      <c r="BE74" s="53" t="str">
        <f t="shared" si="93"/>
        <v>BR</v>
      </c>
      <c r="BF74" s="53" t="str">
        <f t="shared" si="94"/>
        <v/>
      </c>
      <c r="BG74" s="53"/>
      <c r="BH74" s="53"/>
      <c r="BI74" s="59" t="str">
        <f t="shared" si="19"/>
        <v>https://ofertas.vw.com.br/modelo/?modelo=Amarok&amp;adlid=var-rng-aaf-dsy-0221-10074&amp;adplt=alp_vw_dv360_aaf_dsy_nonms_nd_nc_rng_varejo-familiaridade_na_trafego_cpm_prog_all_nativeads_nc-lal_nativeads_amarok-taxazero_var-rng-aaf-dsy-0221-10074</v>
      </c>
      <c r="BL74" s="20" t="str">
        <f t="shared" si="20"/>
        <v>alp_vw_dv360_aaf_dsy_nonms_nd_nc_rng_varejo-familiaridade_na_trafego</v>
      </c>
      <c r="BM74" s="20" t="str">
        <f t="shared" si="21"/>
        <v>cpm_prog_all_nativeads_nc-lal_nativeads</v>
      </c>
      <c r="BN74" s="20" t="str">
        <f t="shared" si="22"/>
        <v>alp_vw_dv360_aaf_dsy_nonms_nd_nc_rng_varejo-familiaridade_na_trafego_cpm_prog_all_nativeads_nc-lal_nativeads_amarok-taxazero_var-rng-aaf-dsy-0221-10074</v>
      </c>
      <c r="BO74" s="20"/>
      <c r="BP74" s="20"/>
    </row>
    <row r="75" spans="2:68" ht="15" hidden="1" customHeight="1" x14ac:dyDescent="0.25">
      <c r="B75" s="53" t="s">
        <v>996</v>
      </c>
      <c r="C75" s="53" t="s">
        <v>1112</v>
      </c>
      <c r="D75" s="53" t="s">
        <v>1051</v>
      </c>
      <c r="E75" s="54">
        <v>44298</v>
      </c>
      <c r="F75" s="54">
        <v>44316</v>
      </c>
      <c r="G75" s="53" t="s">
        <v>626</v>
      </c>
      <c r="H75" s="55" t="s">
        <v>1052</v>
      </c>
      <c r="I75" s="53" t="s">
        <v>777</v>
      </c>
      <c r="J75" s="56" t="s">
        <v>911</v>
      </c>
      <c r="K75" s="56" t="s">
        <v>911</v>
      </c>
      <c r="L75" s="53" t="s">
        <v>653</v>
      </c>
      <c r="M75" s="53" t="s">
        <v>287</v>
      </c>
      <c r="N75" s="53" t="s">
        <v>295</v>
      </c>
      <c r="O75" s="53" t="s">
        <v>654</v>
      </c>
      <c r="P75" s="53" t="s">
        <v>313</v>
      </c>
      <c r="Q75" s="53" t="s">
        <v>658</v>
      </c>
      <c r="R75" s="53" t="s">
        <v>277</v>
      </c>
      <c r="S75" s="53" t="s">
        <v>841</v>
      </c>
      <c r="T75" s="53" t="s">
        <v>938</v>
      </c>
      <c r="U75" s="53" t="s">
        <v>1054</v>
      </c>
      <c r="V75" s="53" t="s">
        <v>946</v>
      </c>
      <c r="W75" s="53" t="s">
        <v>624</v>
      </c>
      <c r="X75" s="53"/>
      <c r="Y75" s="53" t="s">
        <v>624</v>
      </c>
      <c r="Z75" s="58" t="s">
        <v>1072</v>
      </c>
      <c r="AA75" s="57" t="s">
        <v>1066</v>
      </c>
      <c r="AB75" s="57" t="s">
        <v>1073</v>
      </c>
      <c r="AC75" s="57" t="s">
        <v>1058</v>
      </c>
      <c r="AD75" s="53" t="s">
        <v>911</v>
      </c>
      <c r="AE75" s="53" t="s">
        <v>653</v>
      </c>
      <c r="AF75" s="57" t="s">
        <v>1048</v>
      </c>
      <c r="AG75" s="57" t="s">
        <v>1072</v>
      </c>
      <c r="AH75" s="53"/>
      <c r="AI75" s="57" t="str">
        <f t="shared" si="1"/>
        <v>alp_vw_dv360_aaf_dsy_nonms_nd_nc_rng_varejo-familiaridade_na_trafego_cpm_prog_all_nativeads_nc-deals_nativeads_amarok-taxazero_var-rng-aaf-dsy-0221-10075</v>
      </c>
      <c r="AJ75" s="58" t="str">
        <f t="shared" si="2"/>
        <v>alp_vw_dv360_aaf_dsy_nonms_nd_nc_rng_varejo-familiaridade_na_trafego_cpm_prog_all_nativeads_nc-deals_nativeads_amarok-taxazero_var-rng-aaf-dsy-0221-10075</v>
      </c>
      <c r="AK75" s="57" t="str">
        <f t="shared" si="3"/>
        <v>vw_range_nativeads_amarok-taxazero_dv360</v>
      </c>
      <c r="AL75" s="57" t="str">
        <f t="shared" si="83"/>
        <v>https://ofertas.vw.com.br/modelo/?modelo=Amarok&amp;utm_source=dv360&amp;utm_medium=Paid-Display&amp;utm_content=alp_vw_dv360_aaf_dsy_nonms_nd_nc_rng_varejo-familiaridade_na_trafego_cpm_prog_all_nativeads_nc-deals_nativeads_amarok-taxazero_var-rng-aaf-dsy-0221-10075&amp;utm_campaign=BR_AAF_DSY_NONMS_ND_NC_2021Q1FEB_RNG_Varejo-Familiaridade&amp;utm_term=%epid!_%ecid!_%eaid!</v>
      </c>
      <c r="AM75" s="57" t="str">
        <f t="shared" si="5"/>
        <v>https://ad.doubleclick.net/ddm/trackclk/N9487.281608.GOOGLEBRASIL/B25333445.300750749;dc_trk_aid=493902306;dc_trk_cid=145996180;Audience_Id=${PIXEL_ID_COMMA};kw=${CAMPAIGN_ID}:${INSERTION_ORDER_ID};dc_lat=;dc_rdid=;tag_for_child_directed_treatment=;tfua=</v>
      </c>
      <c r="AN75" s="53" t="str">
        <f t="shared" si="84"/>
        <v>dv360</v>
      </c>
      <c r="AO75" s="53" t="str">
        <f t="shared" si="85"/>
        <v>Paid-Display</v>
      </c>
      <c r="AP75" s="57" t="str">
        <f>Campanha!$B$3</f>
        <v>BR_AAF_DSY_NONMS_ND_NC_2021Q1FEB_RNG_Varejo-Familiaridade</v>
      </c>
      <c r="AQ75" s="57" t="str">
        <f t="shared" si="8"/>
        <v>alp_vw_dv360_aaf_dsy_nonms_nd_nc_rng_varejo-familiaridade_na_trafego_cpm_prog_all_nativeads_nc-deals_nativeads_amarok-taxazero_var-rng-aaf-dsy-0221-10075</v>
      </c>
      <c r="AR75" s="53" t="s">
        <v>722</v>
      </c>
      <c r="AS75" s="57" t="str">
        <f t="shared" si="9"/>
        <v>https://ofertas.vw.com.br/modelo/?modelo=Amarok&amp;utm_source=dv360&amp;utm_medium=Paid-Display&amp;utm_content=alp_vw_dv360_aaf_dsy_nonms_nd_nc_rng_varejo-familiaridade_na_trafego_cpm_prog_all_nativeads_nc-deals_nativeads_amarok-taxazero_var-rng-aaf-dsy-0221-10075&amp;utm_campaign=BR_AAF_DSY_NONMS_ND_NC_2021Q1FEB_RNG_Varejo-Familiaridade&amp;utm_term=%epid!_%ecid!_%eaid!</v>
      </c>
      <c r="AT75" s="53" t="str">
        <f t="shared" si="86"/>
        <v>run-of-network</v>
      </c>
      <c r="AU75" s="53" t="str">
        <f t="shared" si="11"/>
        <v>BR</v>
      </c>
      <c r="AV75" s="53" t="str">
        <f t="shared" si="87"/>
        <v>dv360</v>
      </c>
      <c r="AW75" s="53" t="str">
        <f t="shared" si="88"/>
        <v>dv360</v>
      </c>
      <c r="AX75" s="53" t="str">
        <f t="shared" si="14"/>
        <v>varejo-familiaridade</v>
      </c>
      <c r="AY75" s="53" t="str">
        <f t="shared" si="89"/>
        <v>alp_vw_dv360_aaf_dsy_nonms_nd_nc_rng_varejo-familiaridade_na_trafego_cpm_prog_all_nativeads_nc-deals_nativeads_amarok-taxazero_var-rng-aaf-dsy-0221-10075</v>
      </c>
      <c r="AZ75" s="53" t="str">
        <f t="shared" si="90"/>
        <v>nativeads</v>
      </c>
      <c r="BA75" s="53" t="str">
        <f t="shared" si="91"/>
        <v>varejo-familiaridade</v>
      </c>
      <c r="BB75" s="53" t="s">
        <v>775</v>
      </c>
      <c r="BC75" s="53" t="s">
        <v>775</v>
      </c>
      <c r="BD75" s="53" t="str">
        <f t="shared" si="92"/>
        <v>var-rng-aaf-dsy-0221-10075</v>
      </c>
      <c r="BE75" s="53" t="str">
        <f t="shared" si="93"/>
        <v>BR</v>
      </c>
      <c r="BF75" s="53" t="str">
        <f t="shared" si="94"/>
        <v/>
      </c>
      <c r="BG75" s="53"/>
      <c r="BH75" s="53"/>
      <c r="BI75" s="59" t="str">
        <f t="shared" si="19"/>
        <v>https://ofertas.vw.com.br/modelo/?modelo=Amarok&amp;adlid=var-rng-aaf-dsy-0221-10075&amp;adplt=alp_vw_dv360_aaf_dsy_nonms_nd_nc_rng_varejo-familiaridade_na_trafego_cpm_prog_all_nativeads_nc-deals_nativeads_amarok-taxazero_var-rng-aaf-dsy-0221-10075</v>
      </c>
      <c r="BL75" s="20" t="str">
        <f t="shared" si="20"/>
        <v>alp_vw_dv360_aaf_dsy_nonms_nd_nc_rng_varejo-familiaridade_na_trafego</v>
      </c>
      <c r="BM75" s="20" t="str">
        <f t="shared" si="21"/>
        <v>cpm_prog_all_nativeads_nc-deals_nativeads</v>
      </c>
      <c r="BN75" s="20" t="str">
        <f t="shared" si="22"/>
        <v>alp_vw_dv360_aaf_dsy_nonms_nd_nc_rng_varejo-familiaridade_na_trafego_cpm_prog_all_nativeads_nc-deals_nativeads_amarok-taxazero_var-rng-aaf-dsy-0221-10075</v>
      </c>
      <c r="BO75" s="20"/>
      <c r="BP75" s="20"/>
    </row>
    <row r="76" spans="2:68" ht="15" hidden="1" customHeight="1" x14ac:dyDescent="0.25">
      <c r="B76" s="53" t="s">
        <v>996</v>
      </c>
      <c r="C76" s="53" t="s">
        <v>1112</v>
      </c>
      <c r="D76" s="53" t="s">
        <v>1051</v>
      </c>
      <c r="E76" s="54">
        <v>44298</v>
      </c>
      <c r="F76" s="54">
        <v>44316</v>
      </c>
      <c r="G76" s="53" t="s">
        <v>626</v>
      </c>
      <c r="H76" s="55" t="s">
        <v>1052</v>
      </c>
      <c r="I76" s="53" t="s">
        <v>777</v>
      </c>
      <c r="J76" s="56" t="s">
        <v>911</v>
      </c>
      <c r="K76" s="56" t="s">
        <v>911</v>
      </c>
      <c r="L76" s="53" t="s">
        <v>653</v>
      </c>
      <c r="M76" s="53" t="s">
        <v>287</v>
      </c>
      <c r="N76" s="53" t="s">
        <v>295</v>
      </c>
      <c r="O76" s="53" t="s">
        <v>654</v>
      </c>
      <c r="P76" s="53" t="s">
        <v>313</v>
      </c>
      <c r="Q76" s="53" t="s">
        <v>658</v>
      </c>
      <c r="R76" s="53" t="s">
        <v>277</v>
      </c>
      <c r="S76" s="53" t="s">
        <v>841</v>
      </c>
      <c r="T76" s="53" t="s">
        <v>938</v>
      </c>
      <c r="U76" s="53" t="s">
        <v>1054</v>
      </c>
      <c r="V76" s="53" t="s">
        <v>947</v>
      </c>
      <c r="W76" s="53" t="s">
        <v>624</v>
      </c>
      <c r="X76" s="53"/>
      <c r="Y76" s="53" t="s">
        <v>624</v>
      </c>
      <c r="Z76" s="58" t="s">
        <v>1074</v>
      </c>
      <c r="AA76" s="57" t="s">
        <v>1066</v>
      </c>
      <c r="AB76" s="57" t="s">
        <v>1075</v>
      </c>
      <c r="AC76" s="57" t="s">
        <v>1058</v>
      </c>
      <c r="AD76" s="53" t="s">
        <v>911</v>
      </c>
      <c r="AE76" s="53" t="s">
        <v>653</v>
      </c>
      <c r="AF76" s="57" t="s">
        <v>1048</v>
      </c>
      <c r="AG76" s="57" t="s">
        <v>1074</v>
      </c>
      <c r="AH76" s="53"/>
      <c r="AI76" s="57" t="str">
        <f t="shared" si="1"/>
        <v>alp_vw_dv360_aaf_dsy_nonms_nd_nc_rng_varejo-familiaridade_na_trafego_cpm_prog_all_nativeads_nc-rmkt-e-store_nativeads_amarok-taxazero_var-rng-aaf-dsy-0221-10076</v>
      </c>
      <c r="AJ76" s="58" t="str">
        <f t="shared" si="2"/>
        <v>alp_vw_dv360_aaf_dsy_nonms_nd_nc_rng_varejo-familiaridade_na_trafego_cpm_prog_all_nativeads_nc-rmkt-e-store_nativeads_amarok-taxazero_var-rng-aaf-dsy-0221-10076</v>
      </c>
      <c r="AK76" s="57" t="str">
        <f t="shared" si="3"/>
        <v>vw_range_nativeads_amarok-taxazero_dv360</v>
      </c>
      <c r="AL76" s="57" t="str">
        <f t="shared" si="83"/>
        <v>https://ofertas.vw.com.br/modelo/?modelo=Amarok&amp;utm_source=dv360&amp;utm_medium=Paid-Display&amp;utm_content=alp_vw_dv360_aaf_dsy_nonms_nd_nc_rng_varejo-familiaridade_na_trafego_cpm_prog_all_nativeads_nc-rmkt-e-store_nativeads_amarok-taxazero_var-rng-aaf-dsy-0221-10076&amp;utm_campaign=BR_AAF_DSY_NONMS_ND_NC_2021Q1FEB_RNG_Varejo-Familiaridade&amp;utm_term=%epid!_%ecid!_%eaid!</v>
      </c>
      <c r="AM76" s="57" t="str">
        <f t="shared" si="5"/>
        <v>https://ad.doubleclick.net/ddm/trackclk/N9487.281608.GOOGLEBRASIL/B25333445.300750746;dc_trk_aid=493902303;dc_trk_cid=145996180;Audience_Id=${PIXEL_ID_COMMA};kw=${CAMPAIGN_ID}:${INSERTION_ORDER_ID};dc_lat=;dc_rdid=;tag_for_child_directed_treatment=;tfua=</v>
      </c>
      <c r="AN76" s="53" t="str">
        <f t="shared" si="84"/>
        <v>dv360</v>
      </c>
      <c r="AO76" s="53" t="str">
        <f t="shared" si="85"/>
        <v>Paid-Display</v>
      </c>
      <c r="AP76" s="57" t="str">
        <f>Campanha!$B$3</f>
        <v>BR_AAF_DSY_NONMS_ND_NC_2021Q1FEB_RNG_Varejo-Familiaridade</v>
      </c>
      <c r="AQ76" s="57" t="str">
        <f t="shared" si="8"/>
        <v>alp_vw_dv360_aaf_dsy_nonms_nd_nc_rng_varejo-familiaridade_na_trafego_cpm_prog_all_nativeads_nc-rmkt-e-store_nativeads_amarok-taxazero_var-rng-aaf-dsy-0221-10076</v>
      </c>
      <c r="AR76" s="53" t="s">
        <v>722</v>
      </c>
      <c r="AS76" s="57" t="str">
        <f t="shared" si="9"/>
        <v>https://ofertas.vw.com.br/modelo/?modelo=Amarok&amp;utm_source=dv360&amp;utm_medium=Paid-Display&amp;utm_content=alp_vw_dv360_aaf_dsy_nonms_nd_nc_rng_varejo-familiaridade_na_trafego_cpm_prog_all_nativeads_nc-rmkt-e-store_nativeads_amarok-taxazero_var-rng-aaf-dsy-0221-10076&amp;utm_campaign=BR_AAF_DSY_NONMS_ND_NC_2021Q1FEB_RNG_Varejo-Familiaridade&amp;utm_term=%epid!_%ecid!_%eaid!</v>
      </c>
      <c r="AT76" s="53" t="str">
        <f t="shared" si="86"/>
        <v>run-of-network</v>
      </c>
      <c r="AU76" s="53" t="str">
        <f t="shared" si="11"/>
        <v>BR</v>
      </c>
      <c r="AV76" s="53" t="str">
        <f t="shared" si="87"/>
        <v>dv360</v>
      </c>
      <c r="AW76" s="53" t="str">
        <f t="shared" si="88"/>
        <v>dv360</v>
      </c>
      <c r="AX76" s="53" t="str">
        <f t="shared" si="14"/>
        <v>varejo-familiaridade</v>
      </c>
      <c r="AY76" s="53" t="str">
        <f t="shared" si="89"/>
        <v>alp_vw_dv360_aaf_dsy_nonms_nd_nc_rng_varejo-familiaridade_na_trafego_cpm_prog_all_nativeads_nc-rmkt-e-store_nativeads_amarok-taxazero_var-rng-aaf-dsy-0221-10076</v>
      </c>
      <c r="AZ76" s="53" t="str">
        <f t="shared" si="90"/>
        <v>nativeads</v>
      </c>
      <c r="BA76" s="53" t="str">
        <f t="shared" si="91"/>
        <v>varejo-familiaridade</v>
      </c>
      <c r="BB76" s="53" t="s">
        <v>775</v>
      </c>
      <c r="BC76" s="53" t="s">
        <v>775</v>
      </c>
      <c r="BD76" s="53" t="str">
        <f t="shared" si="92"/>
        <v>var-rng-aaf-dsy-0221-10076</v>
      </c>
      <c r="BE76" s="53" t="str">
        <f t="shared" si="93"/>
        <v>BR</v>
      </c>
      <c r="BF76" s="53" t="str">
        <f t="shared" si="94"/>
        <v/>
      </c>
      <c r="BG76" s="53"/>
      <c r="BH76" s="53"/>
      <c r="BI76" s="59" t="str">
        <f t="shared" si="19"/>
        <v>https://ofertas.vw.com.br/modelo/?modelo=Amarok&amp;adlid=var-rng-aaf-dsy-0221-10076&amp;adplt=alp_vw_dv360_aaf_dsy_nonms_nd_nc_rng_varejo-familiaridade_na_trafego_cpm_prog_all_nativeads_nc-rmkt-e-store_nativeads_amarok-taxazero_var-rng-aaf-dsy-0221-10076</v>
      </c>
      <c r="BL76" s="20" t="str">
        <f t="shared" si="20"/>
        <v>alp_vw_dv360_aaf_dsy_nonms_nd_nc_rng_varejo-familiaridade_na_trafego</v>
      </c>
      <c r="BM76" s="20" t="str">
        <f t="shared" si="21"/>
        <v>cpm_prog_all_nativeads_nc-rmkt-e-store_nativeads</v>
      </c>
      <c r="BN76" s="20" t="str">
        <f t="shared" si="22"/>
        <v>alp_vw_dv360_aaf_dsy_nonms_nd_nc_rng_varejo-familiaridade_na_trafego_cpm_prog_all_nativeads_nc-rmkt-e-store_nativeads_amarok-taxazero_var-rng-aaf-dsy-0221-10076</v>
      </c>
      <c r="BO76" s="20"/>
      <c r="BP76" s="20"/>
    </row>
    <row r="77" spans="2:68" ht="15" hidden="1" customHeight="1" x14ac:dyDescent="0.25">
      <c r="B77" s="53" t="s">
        <v>996</v>
      </c>
      <c r="C77" s="53" t="s">
        <v>1112</v>
      </c>
      <c r="D77" s="53" t="s">
        <v>1051</v>
      </c>
      <c r="E77" s="54">
        <v>44294</v>
      </c>
      <c r="F77" s="54">
        <v>44316</v>
      </c>
      <c r="G77" s="53" t="s">
        <v>626</v>
      </c>
      <c r="H77" s="55" t="s">
        <v>1052</v>
      </c>
      <c r="I77" s="53" t="s">
        <v>777</v>
      </c>
      <c r="J77" s="56" t="s">
        <v>936</v>
      </c>
      <c r="K77" s="56" t="s">
        <v>936</v>
      </c>
      <c r="L77" s="53" t="s">
        <v>653</v>
      </c>
      <c r="M77" s="53" t="s">
        <v>287</v>
      </c>
      <c r="N77" s="53" t="s">
        <v>295</v>
      </c>
      <c r="O77" s="53" t="s">
        <v>654</v>
      </c>
      <c r="P77" s="53" t="s">
        <v>311</v>
      </c>
      <c r="Q77" s="53" t="s">
        <v>658</v>
      </c>
      <c r="R77" s="53" t="s">
        <v>277</v>
      </c>
      <c r="S77" s="53" t="s">
        <v>841</v>
      </c>
      <c r="T77" s="53" t="s">
        <v>938</v>
      </c>
      <c r="U77" s="53" t="s">
        <v>1054</v>
      </c>
      <c r="V77" s="53" t="s">
        <v>1053</v>
      </c>
      <c r="W77" s="53" t="s">
        <v>433</v>
      </c>
      <c r="X77" s="53"/>
      <c r="Y77" s="53" t="s">
        <v>433</v>
      </c>
      <c r="Z77" s="58" t="s">
        <v>1017</v>
      </c>
      <c r="AA77" s="57" t="s">
        <v>1076</v>
      </c>
      <c r="AB77" s="57" t="s">
        <v>1077</v>
      </c>
      <c r="AC77" s="57" t="s">
        <v>1035</v>
      </c>
      <c r="AD77" s="53" t="s">
        <v>936</v>
      </c>
      <c r="AE77" s="53" t="s">
        <v>653</v>
      </c>
      <c r="AF77" s="57" t="s">
        <v>1048</v>
      </c>
      <c r="AG77" s="57" t="s">
        <v>1017</v>
      </c>
      <c r="AH77" s="53"/>
      <c r="AI77" s="57" t="str">
        <f t="shared" si="1"/>
        <v>alp_vw_amazon_aaf_dsy_nonms_nd_nc_rng_varejo-familiaridade_na_trafego_cpm_prog_all_300x250_interesse-pickups_300x250_amarok-taxazero_var-rng-aaf-dsy-0221-10077</v>
      </c>
      <c r="AJ77" s="58" t="str">
        <f t="shared" si="2"/>
        <v>alp_vw_amazon_aaf_dsy_nonms_nd_nc_rng_varejo-familiaridade_na_trafego_cpm_prog_all_300x250_interesse-pickups_300x250_amarok-taxazero_var-rng-aaf-dsy-0221-10077</v>
      </c>
      <c r="AK77" s="57" t="str">
        <f t="shared" si="3"/>
        <v>vw_range_300x250_amarok-taxazero_amazon</v>
      </c>
      <c r="AL77" s="57" t="str">
        <f t="shared" si="83"/>
        <v>https://ofertas.vw.com.br/modelo/?modelo=Amarok&amp;utm_source=amazon&amp;utm_medium=Paid-Display&amp;utm_content=alp_vw_amazon_aaf_dsy_nonms_nd_nc_rng_varejo-familiaridade_na_trafego_cpm_prog_all_300x250_interesse-pickups_300x250_amarok-taxazero_var-rng-aaf-dsy-0221-10077&amp;utm_campaign=BR_AAF_DSY_NONMS_ND_NC_2021Q1FEB_RNG_Varejo-Familiaridade&amp;utm_term=%epid!_%ecid!_%eaid!</v>
      </c>
      <c r="AM77" s="57" t="str">
        <f t="shared" si="5"/>
        <v>https://ad.doubleclick.net/ddm/trackclk/N9487.3350855AMAZONBRAZIL/B25333445.300750743;dc_trk_aid=493902300;dc_trk_cid=145996180;dc_lat=;dc_rdid=;tag_for_child_directed_treatment=;tfua=</v>
      </c>
      <c r="AN77" s="53" t="str">
        <f t="shared" si="84"/>
        <v>amazon</v>
      </c>
      <c r="AO77" s="53" t="str">
        <f t="shared" si="85"/>
        <v>Paid-Display</v>
      </c>
      <c r="AP77" s="57" t="str">
        <f>Campanha!$B$3</f>
        <v>BR_AAF_DSY_NONMS_ND_NC_2021Q1FEB_RNG_Varejo-Familiaridade</v>
      </c>
      <c r="AQ77" s="57" t="str">
        <f t="shared" si="8"/>
        <v>alp_vw_amazon_aaf_dsy_nonms_nd_nc_rng_varejo-familiaridade_na_trafego_cpm_prog_all_300x250_interesse-pickups_300x250_amarok-taxazero_var-rng-aaf-dsy-0221-10077</v>
      </c>
      <c r="AR77" s="53" t="s">
        <v>722</v>
      </c>
      <c r="AS77" s="57" t="str">
        <f t="shared" si="9"/>
        <v>https://ofertas.vw.com.br/modelo/?modelo=Amarok&amp;utm_source=amazon&amp;utm_medium=Paid-Display&amp;utm_content=alp_vw_amazon_aaf_dsy_nonms_nd_nc_rng_varejo-familiaridade_na_trafego_cpm_prog_all_300x250_interesse-pickups_300x250_amarok-taxazero_var-rng-aaf-dsy-0221-10077&amp;utm_campaign=BR_AAF_DSY_NONMS_ND_NC_2021Q1FEB_RNG_Varejo-Familiaridade&amp;utm_term=%epid!_%ecid!_%eaid!</v>
      </c>
      <c r="AT77" s="53" t="str">
        <f t="shared" si="86"/>
        <v>run-of-network</v>
      </c>
      <c r="AU77" s="53" t="str">
        <f t="shared" si="11"/>
        <v>BR</v>
      </c>
      <c r="AV77" s="53" t="str">
        <f t="shared" si="87"/>
        <v>amazon</v>
      </c>
      <c r="AW77" s="53" t="str">
        <f t="shared" si="88"/>
        <v>amazon</v>
      </c>
      <c r="AX77" s="53" t="str">
        <f t="shared" si="14"/>
        <v>varejo-familiaridade</v>
      </c>
      <c r="AY77" s="53" t="str">
        <f t="shared" si="89"/>
        <v>alp_vw_amazon_aaf_dsy_nonms_nd_nc_rng_varejo-familiaridade_na_trafego_cpm_prog_all_300x250_interesse-pickups_300x250_amarok-taxazero_var-rng-aaf-dsy-0221-10077</v>
      </c>
      <c r="AZ77" s="53" t="str">
        <f>LOWER(Y77)</f>
        <v>300x250</v>
      </c>
      <c r="BA77" s="53" t="str">
        <f t="shared" si="91"/>
        <v>varejo-familiaridade</v>
      </c>
      <c r="BB77" s="53" t="s">
        <v>775</v>
      </c>
      <c r="BC77" s="53" t="s">
        <v>775</v>
      </c>
      <c r="BD77" s="53" t="str">
        <f t="shared" si="92"/>
        <v>var-rng-aaf-dsy-0221-10077</v>
      </c>
      <c r="BE77" s="53" t="str">
        <f t="shared" si="93"/>
        <v>BR</v>
      </c>
      <c r="BF77" s="53" t="str">
        <f t="shared" si="94"/>
        <v/>
      </c>
      <c r="BG77" s="53"/>
      <c r="BH77" s="53"/>
      <c r="BI77" s="59" t="str">
        <f t="shared" si="19"/>
        <v>https://ofertas.vw.com.br/modelo/?modelo=Amarok&amp;adlid=var-rng-aaf-dsy-0221-10077&amp;adplt=alp_vw_amazon_aaf_dsy_nonms_nd_nc_rng_varejo-familiaridade_na_trafego_cpm_prog_all_300x250_interesse-pickups_300x250_amarok-taxazero_var-rng-aaf-dsy-0221-10077</v>
      </c>
      <c r="BL77" s="20" t="str">
        <f t="shared" si="20"/>
        <v>alp_vw_amazon_aaf_dsy_nonms_nd_nc_rng_varejo-familiaridade_na_trafego</v>
      </c>
      <c r="BM77" s="20" t="str">
        <f t="shared" si="21"/>
        <v>cpm_prog_all_300x250_interesse-pickups_300x250</v>
      </c>
      <c r="BN77" s="20" t="str">
        <f t="shared" si="22"/>
        <v>alp_vw_amazon_aaf_dsy_nonms_nd_nc_rng_varejo-familiaridade_na_trafego_cpm_prog_all_300x250_interesse-pickups_300x250_amarok-taxazero_var-rng-aaf-dsy-0221-10077</v>
      </c>
      <c r="BO77" s="20"/>
      <c r="BP77" s="20"/>
    </row>
    <row r="78" spans="2:68" ht="15" hidden="1" customHeight="1" x14ac:dyDescent="0.25">
      <c r="B78" s="53" t="s">
        <v>996</v>
      </c>
      <c r="C78" s="53" t="s">
        <v>1112</v>
      </c>
      <c r="D78" s="53" t="s">
        <v>1051</v>
      </c>
      <c r="E78" s="54">
        <v>44294</v>
      </c>
      <c r="F78" s="54">
        <v>44316</v>
      </c>
      <c r="G78" s="53" t="s">
        <v>626</v>
      </c>
      <c r="H78" s="55" t="s">
        <v>1052</v>
      </c>
      <c r="I78" s="53" t="s">
        <v>777</v>
      </c>
      <c r="J78" s="56" t="s">
        <v>936</v>
      </c>
      <c r="K78" s="56" t="s">
        <v>936</v>
      </c>
      <c r="L78" s="53" t="s">
        <v>653</v>
      </c>
      <c r="M78" s="53" t="s">
        <v>287</v>
      </c>
      <c r="N78" s="53" t="s">
        <v>295</v>
      </c>
      <c r="O78" s="53" t="s">
        <v>654</v>
      </c>
      <c r="P78" s="53" t="s">
        <v>311</v>
      </c>
      <c r="Q78" s="53" t="s">
        <v>658</v>
      </c>
      <c r="R78" s="53" t="s">
        <v>277</v>
      </c>
      <c r="S78" s="53" t="s">
        <v>841</v>
      </c>
      <c r="T78" s="53" t="s">
        <v>938</v>
      </c>
      <c r="U78" s="53" t="s">
        <v>1054</v>
      </c>
      <c r="V78" s="53" t="s">
        <v>1053</v>
      </c>
      <c r="W78" s="53" t="s">
        <v>457</v>
      </c>
      <c r="X78" s="53"/>
      <c r="Y78" s="53" t="s">
        <v>457</v>
      </c>
      <c r="Z78" s="58" t="s">
        <v>1016</v>
      </c>
      <c r="AA78" s="57" t="s">
        <v>1078</v>
      </c>
      <c r="AB78" s="57" t="s">
        <v>1079</v>
      </c>
      <c r="AC78" s="57" t="s">
        <v>1034</v>
      </c>
      <c r="AD78" s="53" t="s">
        <v>936</v>
      </c>
      <c r="AE78" s="53" t="s">
        <v>653</v>
      </c>
      <c r="AF78" s="57" t="s">
        <v>1048</v>
      </c>
      <c r="AG78" s="57" t="s">
        <v>1016</v>
      </c>
      <c r="AH78" s="53"/>
      <c r="AI78" s="57" t="str">
        <f t="shared" si="1"/>
        <v>alp_vw_amazon_aaf_dsy_nonms_nd_nc_rng_varejo-familiaridade_na_trafego_cpm_prog_all_320x50_interesse-pickups_320x50_amarok-taxazero_var-rng-aaf-dsy-0221-10078</v>
      </c>
      <c r="AJ78" s="58" t="str">
        <f t="shared" si="2"/>
        <v>alp_vw_amazon_aaf_dsy_nonms_nd_nc_rng_varejo-familiaridade_na_trafego_cpm_prog_all_320x50_interesse-pickups_320x50_amarok-taxazero_var-rng-aaf-dsy-0221-10078</v>
      </c>
      <c r="AK78" s="57" t="str">
        <f t="shared" si="3"/>
        <v>vw_range_320x50_amarok-taxazero_amazon</v>
      </c>
      <c r="AL78" s="57" t="str">
        <f t="shared" si="83"/>
        <v>https://ofertas.vw.com.br/modelo/?modelo=Amarok&amp;utm_source=amazon&amp;utm_medium=Paid-Display&amp;utm_content=alp_vw_amazon_aaf_dsy_nonms_nd_nc_rng_varejo-familiaridade_na_trafego_cpm_prog_all_320x50_interesse-pickups_320x50_amarok-taxazero_var-rng-aaf-dsy-0221-10078&amp;utm_campaign=BR_AAF_DSY_NONMS_ND_NC_2021Q1FEB_RNG_Varejo-Familiaridade&amp;utm_term=%epid!_%ecid!_%eaid!</v>
      </c>
      <c r="AM78" s="57" t="str">
        <f t="shared" si="5"/>
        <v>https://ad.doubleclick.net/ddm/trackclk/N9487.3350855AMAZONBRAZIL/B25333445.300750740;dc_trk_aid=493902297;dc_trk_cid=145996180;dc_lat=;dc_rdid=;tag_for_child_directed_treatment=;tfua=</v>
      </c>
      <c r="AN78" s="53" t="str">
        <f t="shared" si="84"/>
        <v>amazon</v>
      </c>
      <c r="AO78" s="53" t="str">
        <f t="shared" si="85"/>
        <v>Paid-Display</v>
      </c>
      <c r="AP78" s="57" t="str">
        <f>Campanha!$B$3</f>
        <v>BR_AAF_DSY_NONMS_ND_NC_2021Q1FEB_RNG_Varejo-Familiaridade</v>
      </c>
      <c r="AQ78" s="57" t="str">
        <f t="shared" si="8"/>
        <v>alp_vw_amazon_aaf_dsy_nonms_nd_nc_rng_varejo-familiaridade_na_trafego_cpm_prog_all_320x50_interesse-pickups_320x50_amarok-taxazero_var-rng-aaf-dsy-0221-10078</v>
      </c>
      <c r="AR78" s="53" t="s">
        <v>722</v>
      </c>
      <c r="AS78" s="57" t="str">
        <f t="shared" si="9"/>
        <v>https://ofertas.vw.com.br/modelo/?modelo=Amarok&amp;utm_source=amazon&amp;utm_medium=Paid-Display&amp;utm_content=alp_vw_amazon_aaf_dsy_nonms_nd_nc_rng_varejo-familiaridade_na_trafego_cpm_prog_all_320x50_interesse-pickups_320x50_amarok-taxazero_var-rng-aaf-dsy-0221-10078&amp;utm_campaign=BR_AAF_DSY_NONMS_ND_NC_2021Q1FEB_RNG_Varejo-Familiaridade&amp;utm_term=%epid!_%ecid!_%eaid!</v>
      </c>
      <c r="AT78" s="53" t="str">
        <f t="shared" si="86"/>
        <v>run-of-network</v>
      </c>
      <c r="AU78" s="53" t="str">
        <f t="shared" si="11"/>
        <v>BR</v>
      </c>
      <c r="AV78" s="53" t="str">
        <f t="shared" si="87"/>
        <v>amazon</v>
      </c>
      <c r="AW78" s="53" t="str">
        <f t="shared" si="88"/>
        <v>amazon</v>
      </c>
      <c r="AX78" s="53" t="str">
        <f t="shared" si="14"/>
        <v>varejo-familiaridade</v>
      </c>
      <c r="AY78" s="53" t="str">
        <f t="shared" si="89"/>
        <v>alp_vw_amazon_aaf_dsy_nonms_nd_nc_rng_varejo-familiaridade_na_trafego_cpm_prog_all_320x50_interesse-pickups_320x50_amarok-taxazero_var-rng-aaf-dsy-0221-10078</v>
      </c>
      <c r="AZ78" s="53" t="str">
        <f>LOWER(Y78)</f>
        <v>320x50</v>
      </c>
      <c r="BA78" s="53" t="str">
        <f t="shared" si="91"/>
        <v>varejo-familiaridade</v>
      </c>
      <c r="BB78" s="53" t="s">
        <v>775</v>
      </c>
      <c r="BC78" s="53" t="s">
        <v>775</v>
      </c>
      <c r="BD78" s="53" t="str">
        <f t="shared" si="92"/>
        <v>var-rng-aaf-dsy-0221-10078</v>
      </c>
      <c r="BE78" s="53" t="str">
        <f t="shared" si="93"/>
        <v>BR</v>
      </c>
      <c r="BF78" s="53" t="str">
        <f t="shared" si="94"/>
        <v/>
      </c>
      <c r="BG78" s="53"/>
      <c r="BH78" s="53"/>
      <c r="BI78" s="59" t="str">
        <f t="shared" si="19"/>
        <v>https://ofertas.vw.com.br/modelo/?modelo=Amarok&amp;adlid=var-rng-aaf-dsy-0221-10078&amp;adplt=alp_vw_amazon_aaf_dsy_nonms_nd_nc_rng_varejo-familiaridade_na_trafego_cpm_prog_all_320x50_interesse-pickups_320x50_amarok-taxazero_var-rng-aaf-dsy-0221-10078</v>
      </c>
      <c r="BL78" s="20" t="str">
        <f t="shared" si="20"/>
        <v>alp_vw_amazon_aaf_dsy_nonms_nd_nc_rng_varejo-familiaridade_na_trafego</v>
      </c>
      <c r="BM78" s="20" t="str">
        <f t="shared" si="21"/>
        <v>cpm_prog_all_320x50_interesse-pickups_320x50</v>
      </c>
      <c r="BN78" s="20" t="str">
        <f t="shared" si="22"/>
        <v>alp_vw_amazon_aaf_dsy_nonms_nd_nc_rng_varejo-familiaridade_na_trafego_cpm_prog_all_320x50_interesse-pickups_320x50_amarok-taxazero_var-rng-aaf-dsy-0221-10078</v>
      </c>
      <c r="BO78" s="20"/>
      <c r="BP78" s="20"/>
    </row>
    <row r="79" spans="2:68" ht="15" hidden="1" customHeight="1" x14ac:dyDescent="0.25">
      <c r="B79" s="53" t="s">
        <v>996</v>
      </c>
      <c r="C79" s="53" t="s">
        <v>1112</v>
      </c>
      <c r="D79" s="53" t="s">
        <v>1051</v>
      </c>
      <c r="E79" s="54">
        <v>44294</v>
      </c>
      <c r="F79" s="54">
        <v>44316</v>
      </c>
      <c r="G79" s="53" t="s">
        <v>626</v>
      </c>
      <c r="H79" s="55" t="s">
        <v>1052</v>
      </c>
      <c r="I79" s="53" t="s">
        <v>777</v>
      </c>
      <c r="J79" s="56" t="s">
        <v>936</v>
      </c>
      <c r="K79" s="56" t="s">
        <v>936</v>
      </c>
      <c r="L79" s="53" t="s">
        <v>653</v>
      </c>
      <c r="M79" s="53" t="s">
        <v>287</v>
      </c>
      <c r="N79" s="53" t="s">
        <v>295</v>
      </c>
      <c r="O79" s="53" t="s">
        <v>654</v>
      </c>
      <c r="P79" s="53" t="s">
        <v>311</v>
      </c>
      <c r="Q79" s="53" t="s">
        <v>658</v>
      </c>
      <c r="R79" s="53" t="s">
        <v>277</v>
      </c>
      <c r="S79" s="53" t="s">
        <v>841</v>
      </c>
      <c r="T79" s="53" t="s">
        <v>938</v>
      </c>
      <c r="U79" s="53" t="s">
        <v>1054</v>
      </c>
      <c r="V79" s="53" t="s">
        <v>1053</v>
      </c>
      <c r="W79" s="53" t="s">
        <v>937</v>
      </c>
      <c r="X79" s="53"/>
      <c r="Y79" s="53" t="s">
        <v>937</v>
      </c>
      <c r="Z79" s="58" t="s">
        <v>1015</v>
      </c>
      <c r="AA79" s="57" t="s">
        <v>1080</v>
      </c>
      <c r="AB79" s="57" t="s">
        <v>1081</v>
      </c>
      <c r="AC79" s="57" t="s">
        <v>1033</v>
      </c>
      <c r="AD79" s="53" t="s">
        <v>936</v>
      </c>
      <c r="AE79" s="53" t="s">
        <v>653</v>
      </c>
      <c r="AF79" s="57" t="s">
        <v>1048</v>
      </c>
      <c r="AG79" s="57" t="s">
        <v>1015</v>
      </c>
      <c r="AH79" s="53"/>
      <c r="AI79" s="57" t="str">
        <f t="shared" si="1"/>
        <v>alp_vw_amazon_aaf_dsy_nonms_nd_nc_rng_varejo-familiaridade_na_trafego_cpm_prog_all_414x125_interesse-pickups_414x125_amarok-taxazero_var-rng-aaf-dsy-0221-10079</v>
      </c>
      <c r="AJ79" s="58" t="str">
        <f t="shared" si="2"/>
        <v>alp_vw_amazon_aaf_dsy_nonms_nd_nc_rng_varejo-familiaridade_na_trafego_cpm_prog_all_414x125_interesse-pickups_414x125_amarok-taxazero_var-rng-aaf-dsy-0221-10079</v>
      </c>
      <c r="AK79" s="57" t="str">
        <f t="shared" si="3"/>
        <v>vw_range_414x125_amarok-taxazero_amazon</v>
      </c>
      <c r="AL79" s="57" t="str">
        <f t="shared" si="83"/>
        <v>https://ofertas.vw.com.br/modelo/?modelo=Amarok&amp;utm_source=amazon&amp;utm_medium=Paid-Display&amp;utm_content=alp_vw_amazon_aaf_dsy_nonms_nd_nc_rng_varejo-familiaridade_na_trafego_cpm_prog_all_414x125_interesse-pickups_414x125_amarok-taxazero_var-rng-aaf-dsy-0221-10079&amp;utm_campaign=BR_AAF_DSY_NONMS_ND_NC_2021Q1FEB_RNG_Varejo-Familiaridade&amp;utm_term=%epid!_%ecid!_%eaid!</v>
      </c>
      <c r="AM79" s="57" t="str">
        <f t="shared" si="5"/>
        <v>https://ad.doubleclick.net/ddm/trackclk/N9487.3350855AMAZONBRAZIL/B25333445.300750737;dc_trk_aid=493902294;dc_trk_cid=145996180;dc_lat=;dc_rdid=;tag_for_child_directed_treatment=;tfua=</v>
      </c>
      <c r="AN79" s="53" t="str">
        <f t="shared" si="84"/>
        <v>amazon</v>
      </c>
      <c r="AO79" s="53" t="str">
        <f t="shared" si="85"/>
        <v>Paid-Display</v>
      </c>
      <c r="AP79" s="57" t="str">
        <f>Campanha!$B$3</f>
        <v>BR_AAF_DSY_NONMS_ND_NC_2021Q1FEB_RNG_Varejo-Familiaridade</v>
      </c>
      <c r="AQ79" s="57" t="str">
        <f t="shared" si="8"/>
        <v>alp_vw_amazon_aaf_dsy_nonms_nd_nc_rng_varejo-familiaridade_na_trafego_cpm_prog_all_414x125_interesse-pickups_414x125_amarok-taxazero_var-rng-aaf-dsy-0221-10079</v>
      </c>
      <c r="AR79" s="53" t="s">
        <v>722</v>
      </c>
      <c r="AS79" s="57" t="str">
        <f t="shared" si="9"/>
        <v>https://ofertas.vw.com.br/modelo/?modelo=Amarok&amp;utm_source=amazon&amp;utm_medium=Paid-Display&amp;utm_content=alp_vw_amazon_aaf_dsy_nonms_nd_nc_rng_varejo-familiaridade_na_trafego_cpm_prog_all_414x125_interesse-pickups_414x125_amarok-taxazero_var-rng-aaf-dsy-0221-10079&amp;utm_campaign=BR_AAF_DSY_NONMS_ND_NC_2021Q1FEB_RNG_Varejo-Familiaridade&amp;utm_term=%epid!_%ecid!_%eaid!</v>
      </c>
      <c r="AT79" s="53" t="str">
        <f t="shared" si="86"/>
        <v>run-of-network</v>
      </c>
      <c r="AU79" s="53" t="str">
        <f t="shared" si="11"/>
        <v>BR</v>
      </c>
      <c r="AV79" s="53" t="str">
        <f t="shared" si="87"/>
        <v>amazon</v>
      </c>
      <c r="AW79" s="53" t="str">
        <f t="shared" si="88"/>
        <v>amazon</v>
      </c>
      <c r="AX79" s="53" t="str">
        <f t="shared" si="14"/>
        <v>varejo-familiaridade</v>
      </c>
      <c r="AY79" s="53" t="str">
        <f t="shared" si="89"/>
        <v>alp_vw_amazon_aaf_dsy_nonms_nd_nc_rng_varejo-familiaridade_na_trafego_cpm_prog_all_414x125_interesse-pickups_414x125_amarok-taxazero_var-rng-aaf-dsy-0221-10079</v>
      </c>
      <c r="AZ79" s="53" t="str">
        <f>LOWER(Y79)</f>
        <v>414x125</v>
      </c>
      <c r="BA79" s="53" t="str">
        <f t="shared" si="91"/>
        <v>varejo-familiaridade</v>
      </c>
      <c r="BB79" s="53" t="s">
        <v>775</v>
      </c>
      <c r="BC79" s="53" t="s">
        <v>775</v>
      </c>
      <c r="BD79" s="53" t="str">
        <f t="shared" si="92"/>
        <v>var-rng-aaf-dsy-0221-10079</v>
      </c>
      <c r="BE79" s="53" t="str">
        <f t="shared" si="93"/>
        <v>BR</v>
      </c>
      <c r="BF79" s="53" t="str">
        <f t="shared" si="94"/>
        <v/>
      </c>
      <c r="BG79" s="53"/>
      <c r="BH79" s="53"/>
      <c r="BI79" s="59" t="str">
        <f t="shared" si="19"/>
        <v>https://ofertas.vw.com.br/modelo/?modelo=Amarok&amp;adlid=var-rng-aaf-dsy-0221-10079&amp;adplt=alp_vw_amazon_aaf_dsy_nonms_nd_nc_rng_varejo-familiaridade_na_trafego_cpm_prog_all_414x125_interesse-pickups_414x125_amarok-taxazero_var-rng-aaf-dsy-0221-10079</v>
      </c>
      <c r="BL79" s="20" t="str">
        <f t="shared" si="20"/>
        <v>alp_vw_amazon_aaf_dsy_nonms_nd_nc_rng_varejo-familiaridade_na_trafego</v>
      </c>
      <c r="BM79" s="20" t="str">
        <f t="shared" si="21"/>
        <v>cpm_prog_all_414x125_interesse-pickups_414x125</v>
      </c>
      <c r="BN79" s="20" t="str">
        <f t="shared" si="22"/>
        <v>alp_vw_amazon_aaf_dsy_nonms_nd_nc_rng_varejo-familiaridade_na_trafego_cpm_prog_all_414x125_interesse-pickups_414x125_amarok-taxazero_var-rng-aaf-dsy-0221-10079</v>
      </c>
      <c r="BO79" s="20"/>
      <c r="BP79" s="20"/>
    </row>
    <row r="80" spans="2:68" ht="15" hidden="1" customHeight="1" x14ac:dyDescent="0.25">
      <c r="B80" s="53" t="s">
        <v>996</v>
      </c>
      <c r="C80" s="53" t="s">
        <v>1112</v>
      </c>
      <c r="D80" s="53" t="s">
        <v>1051</v>
      </c>
      <c r="E80" s="54">
        <v>44294</v>
      </c>
      <c r="F80" s="54">
        <v>44316</v>
      </c>
      <c r="G80" s="53" t="s">
        <v>626</v>
      </c>
      <c r="H80" s="55" t="s">
        <v>1052</v>
      </c>
      <c r="I80" s="53" t="s">
        <v>777</v>
      </c>
      <c r="J80" s="56" t="s">
        <v>936</v>
      </c>
      <c r="K80" s="56" t="s">
        <v>936</v>
      </c>
      <c r="L80" s="53" t="s">
        <v>653</v>
      </c>
      <c r="M80" s="53" t="s">
        <v>287</v>
      </c>
      <c r="N80" s="53" t="s">
        <v>295</v>
      </c>
      <c r="O80" s="53" t="s">
        <v>654</v>
      </c>
      <c r="P80" s="53" t="s">
        <v>284</v>
      </c>
      <c r="Q80" s="53" t="s">
        <v>658</v>
      </c>
      <c r="R80" s="53" t="s">
        <v>277</v>
      </c>
      <c r="S80" s="53" t="s">
        <v>841</v>
      </c>
      <c r="T80" s="53" t="s">
        <v>938</v>
      </c>
      <c r="U80" s="53" t="s">
        <v>1054</v>
      </c>
      <c r="V80" s="53" t="s">
        <v>1053</v>
      </c>
      <c r="W80" s="53" t="s">
        <v>568</v>
      </c>
      <c r="X80" s="53"/>
      <c r="Y80" s="53" t="s">
        <v>568</v>
      </c>
      <c r="Z80" s="58" t="s">
        <v>1014</v>
      </c>
      <c r="AA80" s="57" t="s">
        <v>1082</v>
      </c>
      <c r="AB80" s="57" t="s">
        <v>1083</v>
      </c>
      <c r="AC80" s="57" t="s">
        <v>1032</v>
      </c>
      <c r="AD80" s="53" t="s">
        <v>936</v>
      </c>
      <c r="AE80" s="53" t="s">
        <v>653</v>
      </c>
      <c r="AF80" s="57" t="s">
        <v>1048</v>
      </c>
      <c r="AG80" s="57" t="s">
        <v>1014</v>
      </c>
      <c r="AH80" s="53"/>
      <c r="AI80" s="57" t="str">
        <f t="shared" si="1"/>
        <v>alp_vw_amazon_aaf_dsy_nonms_nd_nc_rng_varejo-familiaridade_na_trafego_cpm_prog_all_728x90_interesse-pickups_728x90_amarok-taxazero_var-rng-aaf-dsy-0221-10080</v>
      </c>
      <c r="AJ80" s="58" t="str">
        <f t="shared" si="2"/>
        <v>alp_vw_amazon_aaf_dsy_nonms_nd_nc_rng_varejo-familiaridade_na_trafego_cpm_prog_all_728x90_interesse-pickups_728x90_amarok-taxazero_var-rng-aaf-dsy-0221-10080</v>
      </c>
      <c r="AK80" s="57" t="str">
        <f t="shared" si="3"/>
        <v>vw_range_728x90_amarok-taxazero_amazon</v>
      </c>
      <c r="AL80" s="57" t="str">
        <f t="shared" si="83"/>
        <v>https://ofertas.vw.com.br/modelo/?modelo=Amarok&amp;utm_source=amazon&amp;utm_medium=Paid-Display&amp;utm_content=alp_vw_amazon_aaf_dsy_nonms_nd_nc_rng_varejo-familiaridade_na_trafego_cpm_prog_all_728x90_interesse-pickups_728x90_amarok-taxazero_var-rng-aaf-dsy-0221-10080&amp;utm_campaign=BR_AAF_DSY_NONMS_ND_NC_2021Q1FEB_RNG_Varejo-Familiaridade&amp;utm_term=%epid!_%ecid!_%eaid!</v>
      </c>
      <c r="AM80" s="57" t="str">
        <f t="shared" si="5"/>
        <v>https://ad.doubleclick.net/ddm/trackclk/N9487.3350855AMAZONBRAZIL/B25333445.300750734;dc_trk_aid=493902291;dc_trk_cid=145996180;dc_lat=;dc_rdid=;tag_for_child_directed_treatment=;tfua=</v>
      </c>
      <c r="AN80" s="53" t="str">
        <f t="shared" si="84"/>
        <v>amazon</v>
      </c>
      <c r="AO80" s="53" t="str">
        <f t="shared" si="85"/>
        <v>Paid-Display</v>
      </c>
      <c r="AP80" s="57" t="str">
        <f>Campanha!$B$3</f>
        <v>BR_AAF_DSY_NONMS_ND_NC_2021Q1FEB_RNG_Varejo-Familiaridade</v>
      </c>
      <c r="AQ80" s="57" t="str">
        <f t="shared" si="8"/>
        <v>alp_vw_amazon_aaf_dsy_nonms_nd_nc_rng_varejo-familiaridade_na_trafego_cpm_prog_all_728x90_interesse-pickups_728x90_amarok-taxazero_var-rng-aaf-dsy-0221-10080</v>
      </c>
      <c r="AR80" s="53" t="s">
        <v>722</v>
      </c>
      <c r="AS80" s="57" t="str">
        <f t="shared" si="9"/>
        <v>https://ofertas.vw.com.br/modelo/?modelo=Amarok&amp;utm_source=amazon&amp;utm_medium=Paid-Display&amp;utm_content=alp_vw_amazon_aaf_dsy_nonms_nd_nc_rng_varejo-familiaridade_na_trafego_cpm_prog_all_728x90_interesse-pickups_728x90_amarok-taxazero_var-rng-aaf-dsy-0221-10080&amp;utm_campaign=BR_AAF_DSY_NONMS_ND_NC_2021Q1FEB_RNG_Varejo-Familiaridade&amp;utm_term=%epid!_%ecid!_%eaid!</v>
      </c>
      <c r="AT80" s="53" t="str">
        <f t="shared" si="86"/>
        <v>run-of-network</v>
      </c>
      <c r="AU80" s="53" t="str">
        <f t="shared" si="11"/>
        <v>BR</v>
      </c>
      <c r="AV80" s="53" t="str">
        <f t="shared" si="87"/>
        <v>amazon</v>
      </c>
      <c r="AW80" s="53" t="str">
        <f t="shared" si="88"/>
        <v>amazon</v>
      </c>
      <c r="AX80" s="53" t="str">
        <f t="shared" si="14"/>
        <v>varejo-familiaridade</v>
      </c>
      <c r="AY80" s="53" t="str">
        <f t="shared" si="89"/>
        <v>alp_vw_amazon_aaf_dsy_nonms_nd_nc_rng_varejo-familiaridade_na_trafego_cpm_prog_all_728x90_interesse-pickups_728x90_amarok-taxazero_var-rng-aaf-dsy-0221-10080</v>
      </c>
      <c r="AZ80" s="53" t="str">
        <f>LOWER(Y80)</f>
        <v>728x90</v>
      </c>
      <c r="BA80" s="53" t="str">
        <f t="shared" si="91"/>
        <v>varejo-familiaridade</v>
      </c>
      <c r="BB80" s="53" t="s">
        <v>775</v>
      </c>
      <c r="BC80" s="53" t="s">
        <v>775</v>
      </c>
      <c r="BD80" s="53" t="str">
        <f t="shared" si="92"/>
        <v>var-rng-aaf-dsy-0221-10080</v>
      </c>
      <c r="BE80" s="53" t="str">
        <f t="shared" si="93"/>
        <v>BR</v>
      </c>
      <c r="BF80" s="53" t="str">
        <f t="shared" si="94"/>
        <v/>
      </c>
      <c r="BG80" s="53"/>
      <c r="BH80" s="53"/>
      <c r="BI80" s="59" t="str">
        <f t="shared" si="19"/>
        <v>https://ofertas.vw.com.br/modelo/?modelo=Amarok&amp;adlid=var-rng-aaf-dsy-0221-10080&amp;adplt=alp_vw_amazon_aaf_dsy_nonms_nd_nc_rng_varejo-familiaridade_na_trafego_cpm_prog_all_728x90_interesse-pickups_728x90_amarok-taxazero_var-rng-aaf-dsy-0221-10080</v>
      </c>
      <c r="BL80" s="20" t="str">
        <f t="shared" si="20"/>
        <v>alp_vw_amazon_aaf_dsy_nonms_nd_nc_rng_varejo-familiaridade_na_trafego</v>
      </c>
      <c r="BM80" s="20" t="str">
        <f t="shared" si="21"/>
        <v>cpm_prog_all_728x90_interesse-pickups_728x90</v>
      </c>
      <c r="BN80" s="20" t="str">
        <f t="shared" si="22"/>
        <v>alp_vw_amazon_aaf_dsy_nonms_nd_nc_rng_varejo-familiaridade_na_trafego_cpm_prog_all_728x90_interesse-pickups_728x90_amarok-taxazero_var-rng-aaf-dsy-0221-10080</v>
      </c>
      <c r="BO80" s="20"/>
      <c r="BP80" s="20"/>
    </row>
    <row r="81" spans="2:68" ht="15" hidden="1" customHeight="1" x14ac:dyDescent="0.25">
      <c r="B81" s="53" t="s">
        <v>996</v>
      </c>
      <c r="C81" s="53" t="s">
        <v>1112</v>
      </c>
      <c r="D81" s="53" t="s">
        <v>1051</v>
      </c>
      <c r="E81" s="54">
        <v>44298</v>
      </c>
      <c r="F81" s="54">
        <v>44316</v>
      </c>
      <c r="G81" s="53" t="s">
        <v>626</v>
      </c>
      <c r="H81" s="55" t="s">
        <v>1052</v>
      </c>
      <c r="I81" s="53" t="s">
        <v>777</v>
      </c>
      <c r="J81" s="56" t="s">
        <v>933</v>
      </c>
      <c r="K81" s="56" t="s">
        <v>933</v>
      </c>
      <c r="L81" s="53" t="s">
        <v>653</v>
      </c>
      <c r="M81" s="53" t="s">
        <v>276</v>
      </c>
      <c r="N81" s="53" t="s">
        <v>295</v>
      </c>
      <c r="O81" s="53" t="s">
        <v>654</v>
      </c>
      <c r="P81" s="53" t="s">
        <v>313</v>
      </c>
      <c r="Q81" s="53" t="s">
        <v>658</v>
      </c>
      <c r="R81" s="53" t="s">
        <v>277</v>
      </c>
      <c r="S81" s="53" t="s">
        <v>841</v>
      </c>
      <c r="T81" s="53" t="s">
        <v>938</v>
      </c>
      <c r="U81" s="53" t="s">
        <v>1054</v>
      </c>
      <c r="V81" s="53" t="s">
        <v>1053</v>
      </c>
      <c r="W81" s="37" t="s">
        <v>624</v>
      </c>
      <c r="X81" s="37"/>
      <c r="Y81" s="53" t="s">
        <v>624</v>
      </c>
      <c r="Z81" s="39" t="s">
        <v>1027</v>
      </c>
      <c r="AA81" s="38" t="s">
        <v>1046</v>
      </c>
      <c r="AB81" s="38" t="s">
        <v>1047</v>
      </c>
      <c r="AC81" s="38" t="s">
        <v>1045</v>
      </c>
      <c r="AD81" s="37" t="s">
        <v>933</v>
      </c>
      <c r="AE81" s="37" t="s">
        <v>653</v>
      </c>
      <c r="AF81" s="38" t="s">
        <v>1048</v>
      </c>
      <c r="AG81" s="38" t="s">
        <v>1027</v>
      </c>
      <c r="AH81" s="53"/>
      <c r="AI81" s="57" t="str">
        <f t="shared" si="1"/>
        <v>alp_vw_verizon_aaf_dsy_nonms_nd_nc_rng_varejo-familiaridade_na_trafego_cpm_drct_all_nativeads_interesse-pickups_nativeads_amarok-taxazero_var-rng-aaf-dsy-0221-10081</v>
      </c>
      <c r="AJ81" s="58" t="str">
        <f t="shared" si="2"/>
        <v>alp_vw_verizon_aaf_dsy_nonms_nd_nc_rng_varejo-familiaridade_na_trafego_cpm_drct_all_nativeads_interesse-pickups_nativeads_amarok-taxazero_var-rng-aaf-dsy-0221-10081</v>
      </c>
      <c r="AK81" s="57" t="str">
        <f t="shared" si="3"/>
        <v>vw_range_nativeads_amarok-taxazero_verizon</v>
      </c>
      <c r="AL81" s="57" t="str">
        <f t="shared" si="83"/>
        <v>https://ofertas.vw.com.br/modelo/?modelo=Amarok&amp;utm_source=verizon&amp;utm_medium=Paid-Display&amp;utm_content=alp_vw_verizon_aaf_dsy_nonms_nd_nc_rng_varejo-familiaridade_na_trafego_cpm_drct_all_nativeads_interesse-pickups_nativeads_amarok-taxazero_var-rng-aaf-dsy-0221-10081&amp;utm_campaign=BR_AAF_DSY_NONMS_ND_NC_2021Q1FEB_RNG_Varejo-Familiaridade&amp;utm_term=%epid!_%ecid!_%eaid!</v>
      </c>
      <c r="AM81" s="57" t="str">
        <f t="shared" si="5"/>
        <v>https://ad.doubleclick.net/ddm/trackclk/N9487.3646218VERIZONBR/B25333445.300750731;dc_trk_aid=493902288;dc_trk_cid=145996180;dc_lat=;dc_rdid=;tag_for_child_directed_treatment=;tfua=</v>
      </c>
      <c r="AN81" s="53" t="str">
        <f t="shared" si="84"/>
        <v>verizon</v>
      </c>
      <c r="AO81" s="53" t="str">
        <f t="shared" si="85"/>
        <v>Paid-Display</v>
      </c>
      <c r="AP81" s="57" t="str">
        <f>Campanha!$B$3</f>
        <v>BR_AAF_DSY_NONMS_ND_NC_2021Q1FEB_RNG_Varejo-Familiaridade</v>
      </c>
      <c r="AQ81" s="57" t="str">
        <f t="shared" si="8"/>
        <v>alp_vw_verizon_aaf_dsy_nonms_nd_nc_rng_varejo-familiaridade_na_trafego_cpm_drct_all_nativeads_interesse-pickups_nativeads_amarok-taxazero_var-rng-aaf-dsy-0221-10081</v>
      </c>
      <c r="AR81" s="53" t="s">
        <v>722</v>
      </c>
      <c r="AS81" s="57" t="str">
        <f t="shared" si="9"/>
        <v>https://ofertas.vw.com.br/modelo/?modelo=Amarok&amp;utm_source=verizon&amp;utm_medium=Paid-Display&amp;utm_content=alp_vw_verizon_aaf_dsy_nonms_nd_nc_rng_varejo-familiaridade_na_trafego_cpm_drct_all_nativeads_interesse-pickups_nativeads_amarok-taxazero_var-rng-aaf-dsy-0221-10081&amp;utm_campaign=BR_AAF_DSY_NONMS_ND_NC_2021Q1FEB_RNG_Varejo-Familiaridade&amp;utm_term=%epid!_%ecid!_%eaid!</v>
      </c>
      <c r="AT81" s="53" t="str">
        <f t="shared" si="86"/>
        <v>run-of-network</v>
      </c>
      <c r="AU81" s="53" t="str">
        <f t="shared" si="11"/>
        <v>BR</v>
      </c>
      <c r="AV81" s="53" t="str">
        <f t="shared" si="87"/>
        <v>verizon</v>
      </c>
      <c r="AW81" s="53" t="str">
        <f t="shared" si="88"/>
        <v>verizon</v>
      </c>
      <c r="AX81" s="53" t="str">
        <f t="shared" si="14"/>
        <v>varejo-familiaridade</v>
      </c>
      <c r="AY81" s="53" t="str">
        <f t="shared" si="89"/>
        <v>alp_vw_verizon_aaf_dsy_nonms_nd_nc_rng_varejo-familiaridade_na_trafego_cpm_drct_all_nativeads_interesse-pickups_nativeads_amarok-taxazero_var-rng-aaf-dsy-0221-10081</v>
      </c>
      <c r="AZ81" s="53" t="str">
        <f t="shared" si="90"/>
        <v>nativeads</v>
      </c>
      <c r="BA81" s="53" t="str">
        <f t="shared" si="91"/>
        <v>varejo-familiaridade</v>
      </c>
      <c r="BB81" s="53" t="s">
        <v>775</v>
      </c>
      <c r="BC81" s="53" t="s">
        <v>775</v>
      </c>
      <c r="BD81" s="53" t="str">
        <f t="shared" si="92"/>
        <v>var-rng-aaf-dsy-0221-10081</v>
      </c>
      <c r="BE81" s="53" t="str">
        <f t="shared" si="93"/>
        <v>BR</v>
      </c>
      <c r="BF81" s="53" t="str">
        <f t="shared" si="94"/>
        <v/>
      </c>
      <c r="BG81" s="53"/>
      <c r="BH81" s="53"/>
      <c r="BI81" s="59" t="str">
        <f t="shared" si="19"/>
        <v>https://ofertas.vw.com.br/modelo/?modelo=Amarok&amp;adlid=var-rng-aaf-dsy-0221-10081&amp;adplt=alp_vw_verizon_aaf_dsy_nonms_nd_nc_rng_varejo-familiaridade_na_trafego_cpm_drct_all_nativeads_interesse-pickups_nativeads_amarok-taxazero_var-rng-aaf-dsy-0221-10081</v>
      </c>
      <c r="BL81" s="20" t="str">
        <f t="shared" si="20"/>
        <v>alp_vw_verizon_aaf_dsy_nonms_nd_nc_rng_varejo-familiaridade_na_trafego</v>
      </c>
      <c r="BM81" s="20" t="str">
        <f t="shared" si="21"/>
        <v>cpm_drct_all_nativeads_interesse-pickups_nativeads</v>
      </c>
      <c r="BN81" s="20" t="str">
        <f t="shared" si="22"/>
        <v>alp_vw_verizon_aaf_dsy_nonms_nd_nc_rng_varejo-familiaridade_na_trafego_cpm_drct_all_nativeads_interesse-pickups_nativeads_amarok-taxazero_var-rng-aaf-dsy-0221-10081</v>
      </c>
      <c r="BO81" s="20"/>
      <c r="BP81" s="20"/>
    </row>
    <row r="82" spans="2:68" ht="15" hidden="1" customHeight="1" x14ac:dyDescent="0.25">
      <c r="B82" s="53" t="s">
        <v>996</v>
      </c>
      <c r="C82" s="53" t="s">
        <v>1112</v>
      </c>
      <c r="D82" s="53" t="s">
        <v>1051</v>
      </c>
      <c r="E82" s="54">
        <v>44298</v>
      </c>
      <c r="F82" s="54">
        <v>44316</v>
      </c>
      <c r="G82" s="53" t="s">
        <v>626</v>
      </c>
      <c r="H82" s="55" t="s">
        <v>1052</v>
      </c>
      <c r="I82" s="53" t="s">
        <v>777</v>
      </c>
      <c r="J82" s="56" t="s">
        <v>933</v>
      </c>
      <c r="K82" s="56" t="s">
        <v>933</v>
      </c>
      <c r="L82" s="53" t="s">
        <v>653</v>
      </c>
      <c r="M82" s="53" t="s">
        <v>276</v>
      </c>
      <c r="N82" s="53" t="s">
        <v>295</v>
      </c>
      <c r="O82" s="53" t="s">
        <v>654</v>
      </c>
      <c r="P82" s="53" t="s">
        <v>672</v>
      </c>
      <c r="Q82" s="53" t="s">
        <v>658</v>
      </c>
      <c r="R82" s="53" t="s">
        <v>277</v>
      </c>
      <c r="S82" s="53" t="s">
        <v>841</v>
      </c>
      <c r="T82" s="53" t="s">
        <v>938</v>
      </c>
      <c r="U82" s="53" t="s">
        <v>1054</v>
      </c>
      <c r="V82" s="53" t="s">
        <v>1053</v>
      </c>
      <c r="W82" s="37" t="s">
        <v>725</v>
      </c>
      <c r="X82" s="37"/>
      <c r="Y82" s="53" t="s">
        <v>725</v>
      </c>
      <c r="Z82" s="39" t="s">
        <v>1026</v>
      </c>
      <c r="AA82" s="38" t="s">
        <v>1049</v>
      </c>
      <c r="AB82" s="38" t="s">
        <v>1050</v>
      </c>
      <c r="AC82" s="38" t="s">
        <v>1044</v>
      </c>
      <c r="AD82" s="37" t="s">
        <v>933</v>
      </c>
      <c r="AE82" s="37" t="s">
        <v>653</v>
      </c>
      <c r="AF82" s="38" t="s">
        <v>1048</v>
      </c>
      <c r="AG82" s="38" t="s">
        <v>1026</v>
      </c>
      <c r="AH82" s="53"/>
      <c r="AI82" s="57" t="str">
        <f t="shared" si="1"/>
        <v>alp_vw_verizon_aaf_dsy_nonms_nd_nc_rng_varejo-familiaridade_na_trafego_cpm_drct_all_1080x1920_interesse-pickups_1080x1920_amarok-taxazero_var-rng-aaf-dsy-0221-10082</v>
      </c>
      <c r="AJ82" s="58" t="str">
        <f t="shared" si="2"/>
        <v>alp_vw_verizon_aaf_dsy_nonms_nd_nc_rng_varejo-familiaridade_na_trafego_cpm_drct_all_1080x1920_interesse-pickups_1080x1920_amarok-taxazero_var-rng-aaf-dsy-0221-10082</v>
      </c>
      <c r="AK82" s="57" t="str">
        <f t="shared" si="3"/>
        <v>vw_range_1080x1920_amarok-taxazero_verizon</v>
      </c>
      <c r="AL82" s="57" t="str">
        <f t="shared" si="83"/>
        <v>https://ofertas.vw.com.br/modelo/?modelo=Amarok&amp;utm_source=verizon&amp;utm_medium=Paid-Display&amp;utm_content=alp_vw_verizon_aaf_dsy_nonms_nd_nc_rng_varejo-familiaridade_na_trafego_cpm_drct_all_1080x1920_interesse-pickups_1080x1920_amarok-taxazero_var-rng-aaf-dsy-0221-10082&amp;utm_campaign=BR_AAF_DSY_NONMS_ND_NC_2021Q1FEB_RNG_Varejo-Familiaridade&amp;utm_term=%epid!_%ecid!_%eaid!</v>
      </c>
      <c r="AM82" s="57" t="str">
        <f t="shared" si="5"/>
        <v>https://ad.doubleclick.net/ddm/trackclk/N9487.3646218VERIZONBR/B25333445.300750728;dc_trk_aid=493902285;dc_trk_cid=145996180;dc_lat=;dc_rdid=;tag_for_child_directed_treatment=;tfua=</v>
      </c>
      <c r="AN82" s="53" t="str">
        <f t="shared" si="84"/>
        <v>verizon</v>
      </c>
      <c r="AO82" s="53" t="str">
        <f t="shared" si="85"/>
        <v>Paid-Display</v>
      </c>
      <c r="AP82" s="57" t="str">
        <f>Campanha!$B$3</f>
        <v>BR_AAF_DSY_NONMS_ND_NC_2021Q1FEB_RNG_Varejo-Familiaridade</v>
      </c>
      <c r="AQ82" s="57" t="str">
        <f t="shared" si="8"/>
        <v>alp_vw_verizon_aaf_dsy_nonms_nd_nc_rng_varejo-familiaridade_na_trafego_cpm_drct_all_1080x1920_interesse-pickups_1080x1920_amarok-taxazero_var-rng-aaf-dsy-0221-10082</v>
      </c>
      <c r="AR82" s="53" t="s">
        <v>722</v>
      </c>
      <c r="AS82" s="57" t="str">
        <f t="shared" si="9"/>
        <v>https://ofertas.vw.com.br/modelo/?modelo=Amarok&amp;utm_source=verizon&amp;utm_medium=Paid-Display&amp;utm_content=alp_vw_verizon_aaf_dsy_nonms_nd_nc_rng_varejo-familiaridade_na_trafego_cpm_drct_all_1080x1920_interesse-pickups_1080x1920_amarok-taxazero_var-rng-aaf-dsy-0221-10082&amp;utm_campaign=BR_AAF_DSY_NONMS_ND_NC_2021Q1FEB_RNG_Varejo-Familiaridade&amp;utm_term=%epid!_%ecid!_%eaid!</v>
      </c>
      <c r="AT82" s="53" t="str">
        <f t="shared" si="86"/>
        <v>run-of-network</v>
      </c>
      <c r="AU82" s="53" t="str">
        <f t="shared" si="11"/>
        <v>BR</v>
      </c>
      <c r="AV82" s="53" t="str">
        <f t="shared" si="87"/>
        <v>verizon</v>
      </c>
      <c r="AW82" s="53" t="str">
        <f t="shared" si="88"/>
        <v>verizon</v>
      </c>
      <c r="AX82" s="53" t="str">
        <f t="shared" si="14"/>
        <v>varejo-familiaridade</v>
      </c>
      <c r="AY82" s="53" t="str">
        <f t="shared" si="89"/>
        <v>alp_vw_verizon_aaf_dsy_nonms_nd_nc_rng_varejo-familiaridade_na_trafego_cpm_drct_all_1080x1920_interesse-pickups_1080x1920_amarok-taxazero_var-rng-aaf-dsy-0221-10082</v>
      </c>
      <c r="AZ82" s="53" t="str">
        <f t="shared" si="90"/>
        <v>1080x1920</v>
      </c>
      <c r="BA82" s="53" t="str">
        <f t="shared" si="91"/>
        <v>varejo-familiaridade</v>
      </c>
      <c r="BB82" s="53" t="s">
        <v>775</v>
      </c>
      <c r="BC82" s="53" t="s">
        <v>775</v>
      </c>
      <c r="BD82" s="53" t="str">
        <f t="shared" si="92"/>
        <v>var-rng-aaf-dsy-0221-10082</v>
      </c>
      <c r="BE82" s="53" t="str">
        <f t="shared" si="93"/>
        <v>BR</v>
      </c>
      <c r="BF82" s="53" t="str">
        <f t="shared" si="94"/>
        <v/>
      </c>
      <c r="BG82" s="53"/>
      <c r="BH82" s="53"/>
      <c r="BI82" s="59" t="str">
        <f t="shared" si="19"/>
        <v>https://ofertas.vw.com.br/modelo/?modelo=Amarok&amp;adlid=var-rng-aaf-dsy-0221-10082&amp;adplt=alp_vw_verizon_aaf_dsy_nonms_nd_nc_rng_varejo-familiaridade_na_trafego_cpm_drct_all_1080x1920_interesse-pickups_1080x1920_amarok-taxazero_var-rng-aaf-dsy-0221-10082</v>
      </c>
      <c r="BL82" s="20" t="str">
        <f t="shared" si="20"/>
        <v>alp_vw_verizon_aaf_dsy_nonms_nd_nc_rng_varejo-familiaridade_na_trafego</v>
      </c>
      <c r="BM82" s="20" t="str">
        <f t="shared" si="21"/>
        <v>cpm_drct_all_1080x1920_interesse-pickups_1080x1920</v>
      </c>
      <c r="BN82" s="20" t="str">
        <f t="shared" si="22"/>
        <v>alp_vw_verizon_aaf_dsy_nonms_nd_nc_rng_varejo-familiaridade_na_trafego_cpm_drct_all_1080x1920_interesse-pickups_1080x1920_amarok-taxazero_var-rng-aaf-dsy-0221-10082</v>
      </c>
      <c r="BO82" s="20"/>
      <c r="BP82" s="20"/>
    </row>
    <row r="83" spans="2:68" ht="15" hidden="1" customHeight="1" x14ac:dyDescent="0.25">
      <c r="B83" s="53" t="s">
        <v>996</v>
      </c>
      <c r="C83" s="53" t="s">
        <v>1112</v>
      </c>
      <c r="D83" s="53" t="s">
        <v>1051</v>
      </c>
      <c r="E83" s="54">
        <v>44298</v>
      </c>
      <c r="F83" s="54">
        <v>44316</v>
      </c>
      <c r="G83" s="53" t="s">
        <v>626</v>
      </c>
      <c r="H83" s="55" t="s">
        <v>1052</v>
      </c>
      <c r="I83" s="53" t="s">
        <v>777</v>
      </c>
      <c r="J83" s="56" t="s">
        <v>368</v>
      </c>
      <c r="K83" s="56" t="s">
        <v>368</v>
      </c>
      <c r="L83" s="53" t="s">
        <v>653</v>
      </c>
      <c r="M83" s="53" t="s">
        <v>276</v>
      </c>
      <c r="N83" s="53" t="s">
        <v>295</v>
      </c>
      <c r="O83" s="53" t="s">
        <v>654</v>
      </c>
      <c r="P83" s="53" t="s">
        <v>313</v>
      </c>
      <c r="Q83" s="53" t="s">
        <v>658</v>
      </c>
      <c r="R83" s="53" t="s">
        <v>277</v>
      </c>
      <c r="S83" s="53" t="s">
        <v>841</v>
      </c>
      <c r="T83" s="53" t="s">
        <v>938</v>
      </c>
      <c r="U83" s="53" t="s">
        <v>1054</v>
      </c>
      <c r="V83" s="53" t="s">
        <v>1053</v>
      </c>
      <c r="W83" s="53" t="s">
        <v>624</v>
      </c>
      <c r="X83" s="53"/>
      <c r="Y83" s="53" t="s">
        <v>624</v>
      </c>
      <c r="Z83" s="58" t="s">
        <v>1055</v>
      </c>
      <c r="AA83" s="57" t="s">
        <v>1056</v>
      </c>
      <c r="AB83" s="57" t="s">
        <v>1057</v>
      </c>
      <c r="AC83" s="57" t="s">
        <v>1058</v>
      </c>
      <c r="AD83" s="53" t="s">
        <v>368</v>
      </c>
      <c r="AE83" s="53" t="s">
        <v>653</v>
      </c>
      <c r="AF83" s="57" t="s">
        <v>1048</v>
      </c>
      <c r="AG83" s="57" t="s">
        <v>1055</v>
      </c>
      <c r="AH83" s="53"/>
      <c r="AI83" s="57" t="str">
        <f t="shared" si="1"/>
        <v>alp_vw_terra_aaf_dsy_nonms_nd_nc_rng_varejo-familiaridade_na_trafego_cpm_drct_all_nativeads_interesse-pickups_nativeads_amarok-taxazero_var-rng-aaf-dsy-0221-10083</v>
      </c>
      <c r="AJ83" s="58" t="str">
        <f t="shared" si="2"/>
        <v>alp_vw_terra_aaf_dsy_nonms_nd_nc_rng_varejo-familiaridade_na_trafego_cpm_drct_all_nativeads_interesse-pickups_nativeads_amarok-taxazero_var-rng-aaf-dsy-0221-10083</v>
      </c>
      <c r="AK83" s="57" t="str">
        <f t="shared" si="3"/>
        <v>vw_range_nativeads_amarok-taxazero_terra</v>
      </c>
      <c r="AL83" s="57" t="str">
        <f t="shared" si="83"/>
        <v>https://ofertas.vw.com.br/modelo/?modelo=Amarok&amp;utm_source=terra&amp;utm_medium=Paid-Display&amp;utm_content=alp_vw_terra_aaf_dsy_nonms_nd_nc_rng_varejo-familiaridade_na_trafego_cpm_drct_all_nativeads_interesse-pickups_nativeads_amarok-taxazero_var-rng-aaf-dsy-0221-10083&amp;utm_campaign=BR_AAF_DSY_NONMS_ND_NC_2021Q1FEB_RNG_Varejo-Familiaridade&amp;utm_term=%epid!_%ecid!_%eaid!</v>
      </c>
      <c r="AM83" s="57" t="str">
        <f t="shared" si="5"/>
        <v>https://ad.doubleclick.net/ddm/trackclk/N9487.149977TERRA.BR/B25333445.300750725;dc_trk_aid=493902282;dc_trk_cid=145996180;Audience_Id=${PIXEL_ID_COMMA};dc_lat=;dc_rdid=;tag_for_child_directed_treatment=;tfua=</v>
      </c>
      <c r="AN83" s="53" t="str">
        <f t="shared" si="84"/>
        <v>terra</v>
      </c>
      <c r="AO83" s="53" t="str">
        <f t="shared" si="85"/>
        <v>Paid-Display</v>
      </c>
      <c r="AP83" s="57" t="str">
        <f>Campanha!$B$3</f>
        <v>BR_AAF_DSY_NONMS_ND_NC_2021Q1FEB_RNG_Varejo-Familiaridade</v>
      </c>
      <c r="AQ83" s="57" t="str">
        <f t="shared" si="8"/>
        <v>alp_vw_terra_aaf_dsy_nonms_nd_nc_rng_varejo-familiaridade_na_trafego_cpm_drct_all_nativeads_interesse-pickups_nativeads_amarok-taxazero_var-rng-aaf-dsy-0221-10083</v>
      </c>
      <c r="AR83" s="53" t="s">
        <v>722</v>
      </c>
      <c r="AS83" s="57" t="str">
        <f t="shared" si="9"/>
        <v>https://ofertas.vw.com.br/modelo/?modelo=Amarok&amp;utm_source=terra&amp;utm_medium=Paid-Display&amp;utm_content=alp_vw_terra_aaf_dsy_nonms_nd_nc_rng_varejo-familiaridade_na_trafego_cpm_drct_all_nativeads_interesse-pickups_nativeads_amarok-taxazero_var-rng-aaf-dsy-0221-10083&amp;utm_campaign=BR_AAF_DSY_NONMS_ND_NC_2021Q1FEB_RNG_Varejo-Familiaridade&amp;utm_term=%epid!_%ecid!_%eaid!</v>
      </c>
      <c r="AT83" s="53" t="str">
        <f t="shared" si="86"/>
        <v>run-of-network</v>
      </c>
      <c r="AU83" s="53" t="str">
        <f t="shared" si="11"/>
        <v>BR</v>
      </c>
      <c r="AV83" s="53" t="str">
        <f t="shared" si="87"/>
        <v>terra</v>
      </c>
      <c r="AW83" s="53" t="str">
        <f t="shared" si="88"/>
        <v>terra</v>
      </c>
      <c r="AX83" s="53" t="str">
        <f t="shared" si="14"/>
        <v>varejo-familiaridade</v>
      </c>
      <c r="AY83" s="53" t="str">
        <f t="shared" si="89"/>
        <v>alp_vw_terra_aaf_dsy_nonms_nd_nc_rng_varejo-familiaridade_na_trafego_cpm_drct_all_nativeads_interesse-pickups_nativeads_amarok-taxazero_var-rng-aaf-dsy-0221-10083</v>
      </c>
      <c r="AZ83" s="53" t="str">
        <f t="shared" si="90"/>
        <v>nativeads</v>
      </c>
      <c r="BA83" s="53" t="str">
        <f t="shared" si="91"/>
        <v>varejo-familiaridade</v>
      </c>
      <c r="BB83" s="53" t="s">
        <v>775</v>
      </c>
      <c r="BC83" s="53" t="s">
        <v>775</v>
      </c>
      <c r="BD83" s="53" t="str">
        <f t="shared" si="92"/>
        <v>var-rng-aaf-dsy-0221-10083</v>
      </c>
      <c r="BE83" s="53" t="str">
        <f t="shared" si="93"/>
        <v>BR</v>
      </c>
      <c r="BF83" s="53" t="str">
        <f t="shared" si="94"/>
        <v/>
      </c>
      <c r="BG83" s="53"/>
      <c r="BH83" s="53"/>
      <c r="BI83" s="59" t="str">
        <f t="shared" si="19"/>
        <v>https://ofertas.vw.com.br/modelo/?modelo=Amarok&amp;adlid=var-rng-aaf-dsy-0221-10083&amp;adplt=alp_vw_terra_aaf_dsy_nonms_nd_nc_rng_varejo-familiaridade_na_trafego_cpm_drct_all_nativeads_interesse-pickups_nativeads_amarok-taxazero_var-rng-aaf-dsy-0221-10083</v>
      </c>
      <c r="BL83" s="20" t="str">
        <f t="shared" si="20"/>
        <v>alp_vw_terra_aaf_dsy_nonms_nd_nc_rng_varejo-familiaridade_na_trafego</v>
      </c>
      <c r="BM83" s="20" t="str">
        <f t="shared" si="21"/>
        <v>cpm_drct_all_nativeads_interesse-pickups_nativeads</v>
      </c>
      <c r="BN83" s="20" t="str">
        <f t="shared" si="22"/>
        <v>alp_vw_terra_aaf_dsy_nonms_nd_nc_rng_varejo-familiaridade_na_trafego_cpm_drct_all_nativeads_interesse-pickups_nativeads_amarok-taxazero_var-rng-aaf-dsy-0221-10083</v>
      </c>
      <c r="BO83" s="20"/>
      <c r="BP83" s="20"/>
    </row>
    <row r="84" spans="2:68" ht="15" hidden="1" customHeight="1" x14ac:dyDescent="0.25">
      <c r="B84" s="53" t="s">
        <v>996</v>
      </c>
      <c r="C84" s="53" t="s">
        <v>1112</v>
      </c>
      <c r="D84" s="53" t="s">
        <v>1051</v>
      </c>
      <c r="E84" s="54">
        <v>44298</v>
      </c>
      <c r="F84" s="54">
        <v>44316</v>
      </c>
      <c r="G84" s="53" t="s">
        <v>626</v>
      </c>
      <c r="H84" s="55" t="s">
        <v>1052</v>
      </c>
      <c r="I84" s="53" t="s">
        <v>777</v>
      </c>
      <c r="J84" s="56" t="s">
        <v>924</v>
      </c>
      <c r="K84" s="56" t="s">
        <v>924</v>
      </c>
      <c r="L84" s="53" t="s">
        <v>653</v>
      </c>
      <c r="M84" s="53" t="s">
        <v>287</v>
      </c>
      <c r="N84" s="53" t="s">
        <v>295</v>
      </c>
      <c r="O84" s="53" t="s">
        <v>654</v>
      </c>
      <c r="P84" s="53" t="s">
        <v>313</v>
      </c>
      <c r="Q84" s="53" t="s">
        <v>658</v>
      </c>
      <c r="R84" s="53" t="s">
        <v>277</v>
      </c>
      <c r="S84" s="53" t="s">
        <v>841</v>
      </c>
      <c r="T84" s="53" t="s">
        <v>938</v>
      </c>
      <c r="U84" s="53" t="s">
        <v>1054</v>
      </c>
      <c r="V84" s="53" t="s">
        <v>1053</v>
      </c>
      <c r="W84" s="53" t="s">
        <v>624</v>
      </c>
      <c r="X84" s="53"/>
      <c r="Y84" s="53" t="s">
        <v>624</v>
      </c>
      <c r="Z84" s="58" t="s">
        <v>1059</v>
      </c>
      <c r="AA84" s="57" t="s">
        <v>1060</v>
      </c>
      <c r="AB84" s="57" t="s">
        <v>1061</v>
      </c>
      <c r="AC84" s="57" t="s">
        <v>1058</v>
      </c>
      <c r="AD84" s="53" t="s">
        <v>924</v>
      </c>
      <c r="AE84" s="53" t="s">
        <v>653</v>
      </c>
      <c r="AF84" s="57" t="s">
        <v>1048</v>
      </c>
      <c r="AG84" s="57" t="s">
        <v>1059</v>
      </c>
      <c r="AH84" s="53"/>
      <c r="AI84" s="57" t="str">
        <f t="shared" si="1"/>
        <v>alp_vw_dv360-uol_aaf_dsy_nonms_nd_nc_rng_varejo-familiaridade_na_trafego_cpm_prog_all_nativeads_interesse-pickups_nativeads_amarok-taxazero_var-rng-aaf-dsy-0221-10084</v>
      </c>
      <c r="AJ84" s="58" t="str">
        <f t="shared" si="2"/>
        <v>alp_vw_dv360-uol_aaf_dsy_nonms_nd_nc_rng_varejo-familiaridade_na_trafego_cpm_prog_all_nativeads_interesse-pickups_nativeads_amarok-taxazero_var-rng-aaf-dsy-0221-10084</v>
      </c>
      <c r="AK84" s="57" t="str">
        <f t="shared" si="3"/>
        <v>vw_range_nativeads_amarok-taxazero_dv360-uol</v>
      </c>
      <c r="AL84" s="57" t="str">
        <f t="shared" si="83"/>
        <v>https://ofertas.vw.com.br/modelo/?modelo=Amarok&amp;utm_source=dv360-uol&amp;utm_medium=Paid-Display&amp;utm_content=alp_vw_dv360-uol_aaf_dsy_nonms_nd_nc_rng_varejo-familiaridade_na_trafego_cpm_prog_all_nativeads_interesse-pickups_nativeads_amarok-taxazero_var-rng-aaf-dsy-0221-10084&amp;utm_campaign=BR_AAF_DSY_NONMS_ND_NC_2021Q1FEB_RNG_Varejo-Familiaridade&amp;utm_term=%epid!_%ecid!_%eaid!</v>
      </c>
      <c r="AM84" s="57" t="str">
        <f t="shared" si="5"/>
        <v>https://ad.doubleclick.net/ddm/trackclk/N9487.281608.GOOGLEBRASIL/B25333445.300750722;dc_trk_aid=493902279;dc_trk_cid=145996180;Audience_Id=${PIXEL_ID_COMMA};kw=${CAMPAIGN_ID}:${INSERTION_ORDER_ID};dc_lat=;dc_rdid=;tag_for_child_directed_treatment=;tfua=</v>
      </c>
      <c r="AN84" s="53" t="str">
        <f t="shared" si="84"/>
        <v>dv360-uol</v>
      </c>
      <c r="AO84" s="53" t="str">
        <f t="shared" si="85"/>
        <v>Paid-Display</v>
      </c>
      <c r="AP84" s="57" t="str">
        <f>Campanha!$B$3</f>
        <v>BR_AAF_DSY_NONMS_ND_NC_2021Q1FEB_RNG_Varejo-Familiaridade</v>
      </c>
      <c r="AQ84" s="57" t="str">
        <f t="shared" si="8"/>
        <v>alp_vw_dv360-uol_aaf_dsy_nonms_nd_nc_rng_varejo-familiaridade_na_trafego_cpm_prog_all_nativeads_interesse-pickups_nativeads_amarok-taxazero_var-rng-aaf-dsy-0221-10084</v>
      </c>
      <c r="AR84" s="53" t="s">
        <v>722</v>
      </c>
      <c r="AS84" s="57" t="str">
        <f t="shared" si="9"/>
        <v>https://ofertas.vw.com.br/modelo/?modelo=Amarok&amp;utm_source=dv360-uol&amp;utm_medium=Paid-Display&amp;utm_content=alp_vw_dv360-uol_aaf_dsy_nonms_nd_nc_rng_varejo-familiaridade_na_trafego_cpm_prog_all_nativeads_interesse-pickups_nativeads_amarok-taxazero_var-rng-aaf-dsy-0221-10084&amp;utm_campaign=BR_AAF_DSY_NONMS_ND_NC_2021Q1FEB_RNG_Varejo-Familiaridade&amp;utm_term=%epid!_%ecid!_%eaid!</v>
      </c>
      <c r="AT84" s="53" t="str">
        <f t="shared" si="86"/>
        <v>run-of-network</v>
      </c>
      <c r="AU84" s="53" t="str">
        <f t="shared" si="11"/>
        <v>BR</v>
      </c>
      <c r="AV84" s="53" t="str">
        <f t="shared" si="87"/>
        <v>dv360-uol</v>
      </c>
      <c r="AW84" s="53" t="str">
        <f t="shared" si="88"/>
        <v>dv360-uol</v>
      </c>
      <c r="AX84" s="53" t="str">
        <f t="shared" si="14"/>
        <v>varejo-familiaridade</v>
      </c>
      <c r="AY84" s="53" t="str">
        <f t="shared" si="89"/>
        <v>alp_vw_dv360-uol_aaf_dsy_nonms_nd_nc_rng_varejo-familiaridade_na_trafego_cpm_prog_all_nativeads_interesse-pickups_nativeads_amarok-taxazero_var-rng-aaf-dsy-0221-10084</v>
      </c>
      <c r="AZ84" s="53" t="str">
        <f t="shared" si="90"/>
        <v>nativeads</v>
      </c>
      <c r="BA84" s="53" t="str">
        <f t="shared" si="91"/>
        <v>varejo-familiaridade</v>
      </c>
      <c r="BB84" s="53" t="s">
        <v>775</v>
      </c>
      <c r="BC84" s="53" t="s">
        <v>775</v>
      </c>
      <c r="BD84" s="53" t="str">
        <f t="shared" si="92"/>
        <v>var-rng-aaf-dsy-0221-10084</v>
      </c>
      <c r="BE84" s="53" t="str">
        <f t="shared" si="93"/>
        <v>BR</v>
      </c>
      <c r="BF84" s="53" t="str">
        <f t="shared" si="94"/>
        <v/>
      </c>
      <c r="BG84" s="53"/>
      <c r="BH84" s="53"/>
      <c r="BI84" s="59" t="str">
        <f t="shared" si="19"/>
        <v>https://ofertas.vw.com.br/modelo/?modelo=Amarok&amp;adlid=var-rng-aaf-dsy-0221-10084&amp;adplt=alp_vw_dv360-uol_aaf_dsy_nonms_nd_nc_rng_varejo-familiaridade_na_trafego_cpm_prog_all_nativeads_interesse-pickups_nativeads_amarok-taxazero_var-rng-aaf-dsy-0221-10084</v>
      </c>
      <c r="BL84" s="20" t="str">
        <f t="shared" si="20"/>
        <v>alp_vw_dv360-uol_aaf_dsy_nonms_nd_nc_rng_varejo-familiaridade_na_trafego</v>
      </c>
      <c r="BM84" s="20" t="str">
        <f t="shared" si="21"/>
        <v>cpm_prog_all_nativeads_interesse-pickups_nativeads</v>
      </c>
      <c r="BN84" s="20" t="str">
        <f t="shared" si="22"/>
        <v>alp_vw_dv360-uol_aaf_dsy_nonms_nd_nc_rng_varejo-familiaridade_na_trafego_cpm_prog_all_nativeads_interesse-pickups_nativeads_amarok-taxazero_var-rng-aaf-dsy-0221-10084</v>
      </c>
      <c r="BO84" s="20"/>
      <c r="BP84" s="20"/>
    </row>
    <row r="85" spans="2:68" ht="15" hidden="1" customHeight="1" x14ac:dyDescent="0.25">
      <c r="B85" s="53" t="s">
        <v>996</v>
      </c>
      <c r="C85" s="53" t="s">
        <v>1112</v>
      </c>
      <c r="D85" s="53" t="s">
        <v>1051</v>
      </c>
      <c r="E85" s="54">
        <v>44298</v>
      </c>
      <c r="F85" s="54">
        <v>44316</v>
      </c>
      <c r="G85" s="53" t="s">
        <v>626</v>
      </c>
      <c r="H85" s="55" t="s">
        <v>1052</v>
      </c>
      <c r="I85" s="53" t="s">
        <v>777</v>
      </c>
      <c r="J85" s="56" t="s">
        <v>918</v>
      </c>
      <c r="K85" s="56" t="s">
        <v>918</v>
      </c>
      <c r="L85" s="53" t="s">
        <v>653</v>
      </c>
      <c r="M85" s="53" t="s">
        <v>287</v>
      </c>
      <c r="N85" s="53" t="s">
        <v>295</v>
      </c>
      <c r="O85" s="53" t="s">
        <v>654</v>
      </c>
      <c r="P85" s="53" t="s">
        <v>313</v>
      </c>
      <c r="Q85" s="53" t="s">
        <v>658</v>
      </c>
      <c r="R85" s="53" t="s">
        <v>277</v>
      </c>
      <c r="S85" s="53" t="s">
        <v>841</v>
      </c>
      <c r="T85" s="53" t="s">
        <v>938</v>
      </c>
      <c r="U85" s="53" t="s">
        <v>1054</v>
      </c>
      <c r="V85" s="53" t="s">
        <v>1053</v>
      </c>
      <c r="W85" s="53" t="s">
        <v>624</v>
      </c>
      <c r="X85" s="53"/>
      <c r="Y85" s="53" t="s">
        <v>624</v>
      </c>
      <c r="Z85" s="58"/>
      <c r="AA85" s="57" t="s">
        <v>1063</v>
      </c>
      <c r="AB85" s="57" t="s">
        <v>1064</v>
      </c>
      <c r="AC85" s="57" t="s">
        <v>1058</v>
      </c>
      <c r="AD85" s="53" t="s">
        <v>918</v>
      </c>
      <c r="AE85" s="53" t="s">
        <v>653</v>
      </c>
      <c r="AF85" s="57" t="s">
        <v>1048</v>
      </c>
      <c r="AG85" s="57" t="s">
        <v>1062</v>
      </c>
      <c r="AH85" s="53"/>
      <c r="AI85" s="57" t="str">
        <f t="shared" si="1"/>
        <v>alp_vw_dv360-globo_aaf_dsy_nonms_nd_nc_rng_varejo-familiaridade_na_trafego_cpm_prog_all_nativeads_interesse-pickups_nativeads_amarok-taxazero_var-rng-aaf-dsy-0221-10085</v>
      </c>
      <c r="AJ85" s="58" t="str">
        <f t="shared" si="2"/>
        <v>alp_vw_dv360-globo_aaf_dsy_nonms_nd_nc_rng_varejo-familiaridade_na_trafego_cpm_prog_all_nativeads_interesse-pickups_nativeads_amarok-taxazero_var-rng-aaf-dsy-0221-10085</v>
      </c>
      <c r="AK85" s="57" t="str">
        <f t="shared" si="3"/>
        <v>vw_range_nativeads_amarok-taxazero_dv360-globo</v>
      </c>
      <c r="AL85" s="57" t="str">
        <f t="shared" si="83"/>
        <v>https://ofertas.vw.com.br/modelo/?modelo=Amarok&amp;utm_source=dv360-globo&amp;utm_medium=Paid-Display&amp;utm_content=alp_vw_dv360-globo_aaf_dsy_nonms_nd_nc_rng_varejo-familiaridade_na_trafego_cpm_prog_all_nativeads_interesse-pickups_nativeads_amarok-taxazero_var-rng-aaf-dsy-0221-10085&amp;utm_campaign=BR_AAF_DSY_NONMS_ND_NC_2021Q1FEB_RNG_Varejo-Familiaridade&amp;utm_term=%epid!_%ecid!_%eaid!</v>
      </c>
      <c r="AM85" s="57" t="str">
        <f t="shared" si="5"/>
        <v>https://ad.doubleclick.net/ddm/trackclk/N9487.281608.GOOGLEBRASIL/B25333445.300750719;dc_trk_aid=493902276;dc_trk_cid=145996180;Audience_Id=${PIXEL_ID_COMMA};kw=${CAMPAIGN_ID}:${INSERTION_ORDER_ID};dc_lat=;dc_rdid=;tag_for_child_directed_treatment=;tfua=</v>
      </c>
      <c r="AN85" s="53" t="str">
        <f t="shared" si="84"/>
        <v>dv360-globo</v>
      </c>
      <c r="AO85" s="53" t="str">
        <f t="shared" si="85"/>
        <v>Paid-Display</v>
      </c>
      <c r="AP85" s="57" t="str">
        <f>Campanha!$B$3</f>
        <v>BR_AAF_DSY_NONMS_ND_NC_2021Q1FEB_RNG_Varejo-Familiaridade</v>
      </c>
      <c r="AQ85" s="57" t="str">
        <f t="shared" si="8"/>
        <v>alp_vw_dv360-globo_aaf_dsy_nonms_nd_nc_rng_varejo-familiaridade_na_trafego_cpm_prog_all_nativeads_interesse-pickups_nativeads_amarok-taxazero_var-rng-aaf-dsy-0221-10085</v>
      </c>
      <c r="AR85" s="53" t="s">
        <v>722</v>
      </c>
      <c r="AS85" s="57" t="str">
        <f t="shared" si="9"/>
        <v>https://ofertas.vw.com.br/modelo/?modelo=Amarok&amp;utm_source=dv360-globo&amp;utm_medium=Paid-Display&amp;utm_content=alp_vw_dv360-globo_aaf_dsy_nonms_nd_nc_rng_varejo-familiaridade_na_trafego_cpm_prog_all_nativeads_interesse-pickups_nativeads_amarok-taxazero_var-rng-aaf-dsy-0221-10085&amp;utm_campaign=BR_AAF_DSY_NONMS_ND_NC_2021Q1FEB_RNG_Varejo-Familiaridade&amp;utm_term=%epid!_%ecid!_%eaid!</v>
      </c>
      <c r="AT85" s="53" t="str">
        <f t="shared" si="86"/>
        <v>run-of-network</v>
      </c>
      <c r="AU85" s="53" t="str">
        <f t="shared" si="11"/>
        <v>BR</v>
      </c>
      <c r="AV85" s="53" t="str">
        <f t="shared" si="87"/>
        <v>dv360-globo</v>
      </c>
      <c r="AW85" s="53" t="str">
        <f t="shared" si="88"/>
        <v>dv360-globo</v>
      </c>
      <c r="AX85" s="53" t="str">
        <f t="shared" si="14"/>
        <v>varejo-familiaridade</v>
      </c>
      <c r="AY85" s="53" t="str">
        <f t="shared" si="89"/>
        <v>alp_vw_dv360-globo_aaf_dsy_nonms_nd_nc_rng_varejo-familiaridade_na_trafego_cpm_prog_all_nativeads_interesse-pickups_nativeads_amarok-taxazero_var-rng-aaf-dsy-0221-10085</v>
      </c>
      <c r="AZ85" s="53" t="str">
        <f t="shared" si="90"/>
        <v>nativeads</v>
      </c>
      <c r="BA85" s="53" t="str">
        <f t="shared" si="91"/>
        <v>varejo-familiaridade</v>
      </c>
      <c r="BB85" s="53" t="s">
        <v>775</v>
      </c>
      <c r="BC85" s="53" t="s">
        <v>775</v>
      </c>
      <c r="BD85" s="53" t="str">
        <f t="shared" si="92"/>
        <v>var-rng-aaf-dsy-0221-10085</v>
      </c>
      <c r="BE85" s="53" t="str">
        <f t="shared" si="93"/>
        <v>BR</v>
      </c>
      <c r="BF85" s="53" t="str">
        <f t="shared" si="94"/>
        <v/>
      </c>
      <c r="BG85" s="53"/>
      <c r="BH85" s="53"/>
      <c r="BI85" s="59" t="str">
        <f t="shared" si="19"/>
        <v>https://ofertas.vw.com.br/modelo/?modelo=Amarok&amp;adlid=var-rng-aaf-dsy-0221-10085&amp;adplt=alp_vw_dv360-globo_aaf_dsy_nonms_nd_nc_rng_varejo-familiaridade_na_trafego_cpm_prog_all_nativeads_interesse-pickups_nativeads_amarok-taxazero_var-rng-aaf-dsy-0221-10085</v>
      </c>
      <c r="BL85" s="20" t="str">
        <f t="shared" si="20"/>
        <v>alp_vw_dv360-globo_aaf_dsy_nonms_nd_nc_rng_varejo-familiaridade_na_trafego</v>
      </c>
      <c r="BM85" s="20" t="str">
        <f t="shared" si="21"/>
        <v>cpm_prog_all_nativeads_interesse-pickups_nativeads</v>
      </c>
      <c r="BN85" s="20" t="str">
        <f t="shared" si="22"/>
        <v>alp_vw_dv360-globo_aaf_dsy_nonms_nd_nc_rng_varejo-familiaridade_na_trafego_cpm_prog_all_nativeads_interesse-pickups_nativeads_amarok-taxazero_var-rng-aaf-dsy-0221-10085</v>
      </c>
      <c r="BO85" s="20"/>
      <c r="BP85" s="20"/>
    </row>
    <row r="86" spans="2:68" ht="15" hidden="1" customHeight="1" x14ac:dyDescent="0.25">
      <c r="B86" s="53" t="s">
        <v>996</v>
      </c>
      <c r="C86" s="53" t="s">
        <v>1193</v>
      </c>
      <c r="D86" s="53" t="s">
        <v>1172</v>
      </c>
      <c r="E86" s="54">
        <v>44299</v>
      </c>
      <c r="F86" s="54">
        <v>44316</v>
      </c>
      <c r="G86" s="53" t="s">
        <v>628</v>
      </c>
      <c r="H86" s="55" t="s">
        <v>1052</v>
      </c>
      <c r="I86" s="53" t="s">
        <v>777</v>
      </c>
      <c r="J86" s="56" t="s">
        <v>924</v>
      </c>
      <c r="K86" s="56" t="s">
        <v>924</v>
      </c>
      <c r="L86" s="53" t="s">
        <v>653</v>
      </c>
      <c r="M86" s="53" t="s">
        <v>287</v>
      </c>
      <c r="N86" s="53" t="s">
        <v>295</v>
      </c>
      <c r="O86" s="53" t="s">
        <v>317</v>
      </c>
      <c r="P86" s="53" t="s">
        <v>313</v>
      </c>
      <c r="Q86" s="53" t="s">
        <v>658</v>
      </c>
      <c r="R86" s="53" t="s">
        <v>277</v>
      </c>
      <c r="S86" s="53" t="s">
        <v>841</v>
      </c>
      <c r="T86" s="53" t="s">
        <v>938</v>
      </c>
      <c r="U86" s="53" t="s">
        <v>1054</v>
      </c>
      <c r="V86" s="53" t="s">
        <v>1053</v>
      </c>
      <c r="W86" s="37" t="s">
        <v>606</v>
      </c>
      <c r="X86" s="37"/>
      <c r="Y86" s="53" t="s">
        <v>606</v>
      </c>
      <c r="Z86" s="39" t="s">
        <v>1126</v>
      </c>
      <c r="AA86" s="38" t="s">
        <v>1161</v>
      </c>
      <c r="AB86" s="38" t="s">
        <v>1162</v>
      </c>
      <c r="AC86" s="38" t="s">
        <v>1163</v>
      </c>
      <c r="AD86" s="37" t="s">
        <v>924</v>
      </c>
      <c r="AE86" s="37" t="s">
        <v>653</v>
      </c>
      <c r="AF86" s="38" t="s">
        <v>1048</v>
      </c>
      <c r="AG86" s="38" t="s">
        <v>1126</v>
      </c>
      <c r="AH86" s="53"/>
      <c r="AI86" s="57" t="str">
        <f t="shared" si="1"/>
        <v>alp_vw_dv360-uol_aaf_dsy_nonms_nd_nc_rng_varejo-familiaridade_na_trafego_cpm_prog_all_970x250_interesse-pickups_970x250_amarok-taxazero_var-rng-aaf-dsy-0221-10086</v>
      </c>
      <c r="AJ86" s="58" t="str">
        <f t="shared" si="2"/>
        <v>alp_vw_dv360-uol_aaf_dsy_nonms_nd_nc_rng_varejo-familiaridade_na_trafego_cpm_prog_all_970x250_interesse-pickups_970x250_amarok-taxazero_var-rng-aaf-dsy-0221-10086</v>
      </c>
      <c r="AK86" s="57" t="str">
        <f t="shared" si="3"/>
        <v>vw_range_970x250_amarok-taxazero_adserver</v>
      </c>
      <c r="AL86" s="57" t="str">
        <f t="shared" ref="AL86:AL90" si="95">IF(col_parametrizacao="GA",AS86,IF(CONCATENATE(col_parametrizacao,col_supplier)="ADOBESA360",CONCATENATE(col_url,"?ds_p=[*Part_Site*]&amp;ds_e=[*Part_Comp*]&amp;ds_c={_dscampaign}&amp;ds_ag={_dsadgroup}&amp;ds_k={_dssearchterm}&amp;ds_e={_dsaccounttype}&amp;ds_kid={_dstrackerid}&amp;country=BR&amp;language=BR"),IF(CONCATENATE(col_parametrizacao,col_supplier)="ADOBEGoogleAds",CONCATENATE(H86,"?","adlid=",col_adlid,"&amp;adplt=",col_placement,"adchan=[*channel*]&amp;campaign=[*Campaign*]","&amp;adgroup=[*Adgroup*]&amp;publisher=[*EngineAccountType*]&amp;adpl=[*EngineAccountType*]&amp;country=BR&amp;format=",col_size,"&amp;language=BR","&amp;adcr=[*searchterm*]",),url_adobe)))</f>
        <v>https://ofertas.vw.com.br/modelo/?modelo=Amarok&amp;utm_source=dv360-uol&amp;utm_medium=Paid-Display&amp;utm_content=alp_vw_dv360-uol_aaf_dsy_nonms_nd_nc_rng_varejo-familiaridade_na_trafego_cpm_prog_all_970x250_interesse-pickups_970x250_amarok-taxazero_var-rng-aaf-dsy-0221-10086&amp;utm_campaign=BR_AAF_DSY_NONMS_ND_NC_2021Q1FEB_RNG_Varejo-Familiaridade&amp;utm_term=%epid!_%ecid!_%eaid!</v>
      </c>
      <c r="AM86" s="57" t="str">
        <f t="shared" si="5"/>
        <v>TAG</v>
      </c>
      <c r="AN86" s="53" t="str">
        <f t="shared" ref="AN86:AN90" si="96">J86</f>
        <v>dv360-uol</v>
      </c>
      <c r="AO86" s="53" t="str">
        <f t="shared" ref="AO86:AO90" si="97">L86</f>
        <v>Paid-Display</v>
      </c>
      <c r="AP86" s="57" t="str">
        <f>Campanha!$B$3</f>
        <v>BR_AAF_DSY_NONMS_ND_NC_2021Q1FEB_RNG_Varejo-Familiaridade</v>
      </c>
      <c r="AQ86" s="57" t="str">
        <f t="shared" si="8"/>
        <v>alp_vw_dv360-uol_aaf_dsy_nonms_nd_nc_rng_varejo-familiaridade_na_trafego_cpm_prog_all_970x250_interesse-pickups_970x250_amarok-taxazero_var-rng-aaf-dsy-0221-10086</v>
      </c>
      <c r="AR86" s="53" t="s">
        <v>722</v>
      </c>
      <c r="AS86" s="57" t="str">
        <f t="shared" si="9"/>
        <v>https://ofertas.vw.com.br/modelo/?modelo=Amarok&amp;utm_source=dv360-uol&amp;utm_medium=Paid-Display&amp;utm_content=alp_vw_dv360-uol_aaf_dsy_nonms_nd_nc_rng_varejo-familiaridade_na_trafego_cpm_prog_all_970x250_interesse-pickups_970x250_amarok-taxazero_var-rng-aaf-dsy-0221-10086&amp;utm_campaign=BR_AAF_DSY_NONMS_ND_NC_2021Q1FEB_RNG_Varejo-Familiaridade&amp;utm_term=%epid!_%ecid!_%eaid!</v>
      </c>
      <c r="AT86" s="53" t="str">
        <f t="shared" ref="AT86:AT90" si="98">LOWER(Q86)</f>
        <v>run-of-network</v>
      </c>
      <c r="AU86" s="53" t="str">
        <f t="shared" si="11"/>
        <v>BR</v>
      </c>
      <c r="AV86" s="53" t="str">
        <f t="shared" ref="AV86:AV90" si="99">LOWER(K86)</f>
        <v>dv360-uol</v>
      </c>
      <c r="AW86" s="53" t="str">
        <f t="shared" ref="AW86:AW90" si="100">LOWER(J86)</f>
        <v>dv360-uol</v>
      </c>
      <c r="AX86" s="53" t="str">
        <f t="shared" si="14"/>
        <v>varejo-familiaridade</v>
      </c>
      <c r="AY86" s="53" t="str">
        <f t="shared" ref="AY86:AY90" si="101">LOWER(AI86)</f>
        <v>alp_vw_dv360-uol_aaf_dsy_nonms_nd_nc_rng_varejo-familiaridade_na_trafego_cpm_prog_all_970x250_interesse-pickups_970x250_amarok-taxazero_var-rng-aaf-dsy-0221-10086</v>
      </c>
      <c r="AZ86" s="53" t="str">
        <f t="shared" ref="AZ86:AZ90" si="102">LOWER(Y86)</f>
        <v>970x250</v>
      </c>
      <c r="BA86" s="53" t="str">
        <f t="shared" ref="BA86:BA90" si="103">LOWER(T86)</f>
        <v>varejo-familiaridade</v>
      </c>
      <c r="BB86" s="53" t="s">
        <v>775</v>
      </c>
      <c r="BC86" s="53" t="s">
        <v>775</v>
      </c>
      <c r="BD86" s="53" t="str">
        <f t="shared" ref="BD86:BD90" si="104">LOWER(CONCATENATE(cel_idcampaign,"-",SUM(10000+ROW(A86))))</f>
        <v>var-rng-aaf-dsy-0221-10086</v>
      </c>
      <c r="BE86" s="53" t="str">
        <f t="shared" ref="BE86:BE90" si="105">AU86</f>
        <v>BR</v>
      </c>
      <c r="BF86" s="53" t="str">
        <f t="shared" ref="BF86:BF90" si="106">LOWER(X86)</f>
        <v/>
      </c>
      <c r="BG86" s="53"/>
      <c r="BH86" s="53"/>
      <c r="BI86" s="59" t="str">
        <f t="shared" si="19"/>
        <v>https://ofertas.vw.com.br/modelo/?modelo=Amarok&amp;adlid=var-rng-aaf-dsy-0221-10086&amp;adplt=alp_vw_dv360-uol_aaf_dsy_nonms_nd_nc_rng_varejo-familiaridade_na_trafego_cpm_prog_all_970x250_interesse-pickups_970x250_amarok-taxazero_var-rng-aaf-dsy-0221-10086</v>
      </c>
      <c r="BL86" s="20" t="str">
        <f t="shared" si="20"/>
        <v>alp_vw_dv360-uol_aaf_dsy_nonms_nd_nc_rng_varejo-familiaridade_na_trafego</v>
      </c>
      <c r="BM86" s="20" t="str">
        <f t="shared" si="21"/>
        <v>cpm_prog_all_970x250_interesse-pickups_970x250</v>
      </c>
      <c r="BN86" s="20" t="str">
        <f t="shared" si="22"/>
        <v>alp_vw_dv360-uol_aaf_dsy_nonms_nd_nc_rng_varejo-familiaridade_na_trafego_cpm_prog_all_970x250_interesse-pickups_970x250_amarok-taxazero_var-rng-aaf-dsy-0221-10086</v>
      </c>
      <c r="BO86" s="20"/>
      <c r="BP86" s="20"/>
    </row>
    <row r="87" spans="2:68" ht="15" hidden="1" customHeight="1" x14ac:dyDescent="0.25">
      <c r="B87" s="53" t="s">
        <v>996</v>
      </c>
      <c r="C87" s="53" t="s">
        <v>1193</v>
      </c>
      <c r="D87" s="53" t="s">
        <v>1172</v>
      </c>
      <c r="E87" s="54">
        <v>44299</v>
      </c>
      <c r="F87" s="54">
        <v>44316</v>
      </c>
      <c r="G87" s="53" t="s">
        <v>628</v>
      </c>
      <c r="H87" s="55" t="s">
        <v>1052</v>
      </c>
      <c r="I87" s="53" t="s">
        <v>777</v>
      </c>
      <c r="J87" s="56" t="s">
        <v>924</v>
      </c>
      <c r="K87" s="56" t="s">
        <v>924</v>
      </c>
      <c r="L87" s="53" t="s">
        <v>653</v>
      </c>
      <c r="M87" s="53" t="s">
        <v>287</v>
      </c>
      <c r="N87" s="53" t="s">
        <v>295</v>
      </c>
      <c r="O87" s="53" t="s">
        <v>317</v>
      </c>
      <c r="P87" s="53" t="s">
        <v>313</v>
      </c>
      <c r="Q87" s="53" t="s">
        <v>658</v>
      </c>
      <c r="R87" s="53" t="s">
        <v>277</v>
      </c>
      <c r="S87" s="53" t="s">
        <v>841</v>
      </c>
      <c r="T87" s="53" t="s">
        <v>938</v>
      </c>
      <c r="U87" s="53" t="s">
        <v>1054</v>
      </c>
      <c r="V87" s="53" t="s">
        <v>1053</v>
      </c>
      <c r="W87" s="37" t="s">
        <v>433</v>
      </c>
      <c r="X87" s="37"/>
      <c r="Y87" s="53" t="s">
        <v>433</v>
      </c>
      <c r="Z87" s="39" t="s">
        <v>1125</v>
      </c>
      <c r="AA87" s="38" t="s">
        <v>1164</v>
      </c>
      <c r="AB87" s="38" t="s">
        <v>1165</v>
      </c>
      <c r="AC87" s="38" t="s">
        <v>1163</v>
      </c>
      <c r="AD87" s="37" t="s">
        <v>924</v>
      </c>
      <c r="AE87" s="37" t="s">
        <v>653</v>
      </c>
      <c r="AF87" s="38" t="s">
        <v>1048</v>
      </c>
      <c r="AG87" s="38" t="s">
        <v>1125</v>
      </c>
      <c r="AH87" s="53"/>
      <c r="AI87" s="57" t="str">
        <f t="shared" ref="AI87:AJ102" si="107">LOWER(CONCATENATE(col_campanhaanunciante,"_",col_grupoanunciante,"_",col_linhacriativa2,"_",col_adlid))</f>
        <v>alp_vw_dv360-uol_aaf_dsy_nonms_nd_nc_rng_varejo-familiaridade_na_trafego_cpm_prog_all_300x250_interesse-pickups_300x250_amarok-taxazero_var-rng-aaf-dsy-0221-10087</v>
      </c>
      <c r="AJ87" s="58" t="str">
        <f t="shared" si="107"/>
        <v>alp_vw_dv360-uol_aaf_dsy_nonms_nd_nc_rng_varejo-familiaridade_na_trafego_cpm_prog_all_300x250_interesse-pickups_300x250_amarok-taxazero_var-rng-aaf-dsy-0221-10087</v>
      </c>
      <c r="AK87" s="57" t="str">
        <f t="shared" ref="AK87:AK129" si="108">LOWER(faxineiro(CONCATENATE("VW","_",cel_modelvariant,"_",col_size,"_",col_linhacriativa2,"_",IF(col_servidopor="portal",col_supplier,"adserver"))))</f>
        <v>vw_range_300x250_amarok-taxazero_adserver</v>
      </c>
      <c r="AL87" s="57" t="str">
        <f t="shared" si="95"/>
        <v>https://ofertas.vw.com.br/modelo/?modelo=Amarok&amp;utm_source=dv360-uol&amp;utm_medium=Paid-Display&amp;utm_content=alp_vw_dv360-uol_aaf_dsy_nonms_nd_nc_rng_varejo-familiaridade_na_trafego_cpm_prog_all_300x250_interesse-pickups_300x250_amarok-taxazero_var-rng-aaf-dsy-0221-10087&amp;utm_campaign=BR_AAF_DSY_NONMS_ND_NC_2021Q1FEB_RNG_Varejo-Familiaridade&amp;utm_term=%epid!_%ecid!_%eaid!</v>
      </c>
      <c r="AM87" s="57" t="str">
        <f t="shared" ref="AM87:AM129" si="109">IFERROR(IF(col_servidopor="portal",VLOOKUP(col_placement,tab_contadores,2,FALSE),"TAG"),"Contador")</f>
        <v>TAG</v>
      </c>
      <c r="AN87" s="53" t="str">
        <f t="shared" si="96"/>
        <v>dv360-uol</v>
      </c>
      <c r="AO87" s="53" t="str">
        <f t="shared" si="97"/>
        <v>Paid-Display</v>
      </c>
      <c r="AP87" s="57" t="str">
        <f>Campanha!$B$3</f>
        <v>BR_AAF_DSY_NONMS_ND_NC_2021Q1FEB_RNG_Varejo-Familiaridade</v>
      </c>
      <c r="AQ87" s="57" t="str">
        <f t="shared" ref="AQ87:AQ129" si="110">col_adname</f>
        <v>alp_vw_dv360-uol_aaf_dsy_nonms_nd_nc_rng_varejo-familiaridade_na_trafego_cpm_prog_all_300x250_interesse-pickups_300x250_amarok-taxazero_var-rng-aaf-dsy-0221-10087</v>
      </c>
      <c r="AR87" s="53" t="s">
        <v>722</v>
      </c>
      <c r="AS87" s="57" t="str">
        <f t="shared" ref="AS87:AS129" si="111">faxineiro(CONCATENATE(col_url,IF(ISNUMBER(FIND("?",col_url)),"&amp;","?"),"utm_source=",col_utmsource,"&amp;utm_medium=",col_utmmedium,"&amp;utm_content=",col_utmcontent,"&amp;utm_campaign=",col_utmcampaign,"&amp;utm_term=",col_keyword))</f>
        <v>https://ofertas.vw.com.br/modelo/?modelo=Amarok&amp;utm_source=dv360-uol&amp;utm_medium=Paid-Display&amp;utm_content=alp_vw_dv360-uol_aaf_dsy_nonms_nd_nc_rng_varejo-familiaridade_na_trafego_cpm_prog_all_300x250_interesse-pickups_300x250_amarok-taxazero_var-rng-aaf-dsy-0221-10087&amp;utm_campaign=BR_AAF_DSY_NONMS_ND_NC_2021Q1FEB_RNG_Varejo-Familiaridade&amp;utm_term=%epid!_%ecid!_%eaid!</v>
      </c>
      <c r="AT87" s="53" t="str">
        <f t="shared" si="98"/>
        <v>run-of-network</v>
      </c>
      <c r="AU87" s="53" t="str">
        <f t="shared" ref="AU87:AU129" si="112">VLOOKUP(cel_country,tab_country,2,FALSE)</f>
        <v>BR</v>
      </c>
      <c r="AV87" s="53" t="str">
        <f t="shared" si="99"/>
        <v>dv360-uol</v>
      </c>
      <c r="AW87" s="53" t="str">
        <f t="shared" si="100"/>
        <v>dv360-uol</v>
      </c>
      <c r="AX87" s="53" t="str">
        <f t="shared" ref="AX87:AX129" si="113">LOWER(cel_campaing)</f>
        <v>varejo-familiaridade</v>
      </c>
      <c r="AY87" s="53" t="str">
        <f t="shared" si="101"/>
        <v>alp_vw_dv360-uol_aaf_dsy_nonms_nd_nc_rng_varejo-familiaridade_na_trafego_cpm_prog_all_300x250_interesse-pickups_300x250_amarok-taxazero_var-rng-aaf-dsy-0221-10087</v>
      </c>
      <c r="AZ87" s="53" t="str">
        <f t="shared" si="102"/>
        <v>300x250</v>
      </c>
      <c r="BA87" s="53" t="str">
        <f t="shared" si="103"/>
        <v>varejo-familiaridade</v>
      </c>
      <c r="BB87" s="53" t="s">
        <v>775</v>
      </c>
      <c r="BC87" s="53" t="s">
        <v>775</v>
      </c>
      <c r="BD87" s="53" t="str">
        <f t="shared" si="104"/>
        <v>var-rng-aaf-dsy-0221-10087</v>
      </c>
      <c r="BE87" s="53" t="str">
        <f t="shared" si="105"/>
        <v>BR</v>
      </c>
      <c r="BF87" s="53" t="str">
        <f t="shared" si="106"/>
        <v/>
      </c>
      <c r="BG87" s="53"/>
      <c r="BH87" s="53"/>
      <c r="BI87" s="59" t="str">
        <f t="shared" ref="BI87:BI129" si="114">faxineiro(CONCATENATE(col_url,IF(ISNUMBER(FIND("?",col_url)),"&amp;","?"),CONCATENATE("adlid=",col_adlid,"&amp;adplt=",adplt)))</f>
        <v>https://ofertas.vw.com.br/modelo/?modelo=Amarok&amp;adlid=var-rng-aaf-dsy-0221-10087&amp;adplt=alp_vw_dv360-uol_aaf_dsy_nonms_nd_nc_rng_varejo-familiaridade_na_trafego_cpm_prog_all_300x250_interesse-pickups_300x250_amarok-taxazero_var-rng-aaf-dsy-0221-10087</v>
      </c>
      <c r="BL87" s="20" t="str">
        <f t="shared" ref="BL87:BL129" si="115">LOWER(CONCATENATE("alp","_","vw","_",col_supplier,"_",cel_structurename,"_",col_objetivo))</f>
        <v>alp_vw_dv360-uol_aaf_dsy_nonms_nd_nc_rng_varejo-familiaridade_na_trafego</v>
      </c>
      <c r="BM87" s="20" t="str">
        <f t="shared" ref="BM87:BM129" si="116">LOWER(CONCATENATE(col_buyingmetric,"_",VLOOKUP(col_buyingtype,tab_buyingtype,2,FALSE),"_",col_device,"_",col_size,"_",col_segmentacao,"_",col_segmentacaodeanun))</f>
        <v>cpm_prog_all_300x250_interesse-pickups_300x250</v>
      </c>
      <c r="BN87" s="20" t="str">
        <f t="shared" ref="BN87:BN129" si="117">faxineiro(LOWER(CONCATENATE(col_campanhaanunciante,"_",col_grupoanunciante,"_",col_linhacriativa2,"_",col_adlid)))</f>
        <v>alp_vw_dv360-uol_aaf_dsy_nonms_nd_nc_rng_varejo-familiaridade_na_trafego_cpm_prog_all_300x250_interesse-pickups_300x250_amarok-taxazero_var-rng-aaf-dsy-0221-10087</v>
      </c>
      <c r="BO87" s="20"/>
      <c r="BP87" s="20"/>
    </row>
    <row r="88" spans="2:68" ht="15" hidden="1" customHeight="1" x14ac:dyDescent="0.25">
      <c r="B88" s="53" t="s">
        <v>996</v>
      </c>
      <c r="C88" s="53" t="s">
        <v>1193</v>
      </c>
      <c r="D88" s="53" t="s">
        <v>1172</v>
      </c>
      <c r="E88" s="54">
        <v>44299</v>
      </c>
      <c r="F88" s="54">
        <v>44316</v>
      </c>
      <c r="G88" s="53" t="s">
        <v>628</v>
      </c>
      <c r="H88" s="55" t="s">
        <v>1052</v>
      </c>
      <c r="I88" s="53" t="s">
        <v>777</v>
      </c>
      <c r="J88" s="56" t="s">
        <v>924</v>
      </c>
      <c r="K88" s="56" t="s">
        <v>924</v>
      </c>
      <c r="L88" s="53" t="s">
        <v>653</v>
      </c>
      <c r="M88" s="53" t="s">
        <v>287</v>
      </c>
      <c r="N88" s="53" t="s">
        <v>295</v>
      </c>
      <c r="O88" s="53" t="s">
        <v>317</v>
      </c>
      <c r="P88" s="53" t="s">
        <v>313</v>
      </c>
      <c r="Q88" s="53" t="s">
        <v>658</v>
      </c>
      <c r="R88" s="53" t="s">
        <v>277</v>
      </c>
      <c r="S88" s="53" t="s">
        <v>841</v>
      </c>
      <c r="T88" s="53" t="s">
        <v>938</v>
      </c>
      <c r="U88" s="53" t="s">
        <v>1054</v>
      </c>
      <c r="V88" s="53" t="s">
        <v>1053</v>
      </c>
      <c r="W88" s="37" t="s">
        <v>442</v>
      </c>
      <c r="X88" s="37"/>
      <c r="Y88" s="53" t="s">
        <v>442</v>
      </c>
      <c r="Z88" s="39" t="s">
        <v>1136</v>
      </c>
      <c r="AA88" s="38" t="s">
        <v>1166</v>
      </c>
      <c r="AB88" s="38" t="s">
        <v>1167</v>
      </c>
      <c r="AC88" s="38" t="s">
        <v>1163</v>
      </c>
      <c r="AD88" s="37" t="s">
        <v>924</v>
      </c>
      <c r="AE88" s="37" t="s">
        <v>653</v>
      </c>
      <c r="AF88" s="38" t="s">
        <v>1048</v>
      </c>
      <c r="AG88" s="38" t="s">
        <v>1136</v>
      </c>
      <c r="AH88" s="53"/>
      <c r="AI88" s="57" t="str">
        <f t="shared" si="107"/>
        <v>alp_vw_dv360-uol_aaf_dsy_nonms_nd_nc_rng_varejo-familiaridade_na_trafego_cpm_prog_all_300x600_interesse-pickups_300x600_amarok-taxazero_var-rng-aaf-dsy-0221-10088</v>
      </c>
      <c r="AJ88" s="58" t="str">
        <f t="shared" si="107"/>
        <v>alp_vw_dv360-uol_aaf_dsy_nonms_nd_nc_rng_varejo-familiaridade_na_trafego_cpm_prog_all_300x600_interesse-pickups_300x600_amarok-taxazero_var-rng-aaf-dsy-0221-10088</v>
      </c>
      <c r="AK88" s="57" t="str">
        <f t="shared" si="108"/>
        <v>vw_range_300x600_amarok-taxazero_adserver</v>
      </c>
      <c r="AL88" s="57" t="str">
        <f t="shared" si="95"/>
        <v>https://ofertas.vw.com.br/modelo/?modelo=Amarok&amp;utm_source=dv360-uol&amp;utm_medium=Paid-Display&amp;utm_content=alp_vw_dv360-uol_aaf_dsy_nonms_nd_nc_rng_varejo-familiaridade_na_trafego_cpm_prog_all_300x600_interesse-pickups_300x600_amarok-taxazero_var-rng-aaf-dsy-0221-10088&amp;utm_campaign=BR_AAF_DSY_NONMS_ND_NC_2021Q1FEB_RNG_Varejo-Familiaridade&amp;utm_term=%epid!_%ecid!_%eaid!</v>
      </c>
      <c r="AM88" s="57" t="str">
        <f t="shared" si="109"/>
        <v>TAG</v>
      </c>
      <c r="AN88" s="53" t="str">
        <f t="shared" si="96"/>
        <v>dv360-uol</v>
      </c>
      <c r="AO88" s="53" t="str">
        <f t="shared" si="97"/>
        <v>Paid-Display</v>
      </c>
      <c r="AP88" s="57" t="str">
        <f>Campanha!$B$3</f>
        <v>BR_AAF_DSY_NONMS_ND_NC_2021Q1FEB_RNG_Varejo-Familiaridade</v>
      </c>
      <c r="AQ88" s="57" t="str">
        <f t="shared" si="110"/>
        <v>alp_vw_dv360-uol_aaf_dsy_nonms_nd_nc_rng_varejo-familiaridade_na_trafego_cpm_prog_all_300x600_interesse-pickups_300x600_amarok-taxazero_var-rng-aaf-dsy-0221-10088</v>
      </c>
      <c r="AR88" s="53" t="s">
        <v>722</v>
      </c>
      <c r="AS88" s="57" t="str">
        <f t="shared" si="111"/>
        <v>https://ofertas.vw.com.br/modelo/?modelo=Amarok&amp;utm_source=dv360-uol&amp;utm_medium=Paid-Display&amp;utm_content=alp_vw_dv360-uol_aaf_dsy_nonms_nd_nc_rng_varejo-familiaridade_na_trafego_cpm_prog_all_300x600_interesse-pickups_300x600_amarok-taxazero_var-rng-aaf-dsy-0221-10088&amp;utm_campaign=BR_AAF_DSY_NONMS_ND_NC_2021Q1FEB_RNG_Varejo-Familiaridade&amp;utm_term=%epid!_%ecid!_%eaid!</v>
      </c>
      <c r="AT88" s="53" t="str">
        <f t="shared" si="98"/>
        <v>run-of-network</v>
      </c>
      <c r="AU88" s="53" t="str">
        <f t="shared" si="112"/>
        <v>BR</v>
      </c>
      <c r="AV88" s="53" t="str">
        <f t="shared" si="99"/>
        <v>dv360-uol</v>
      </c>
      <c r="AW88" s="53" t="str">
        <f t="shared" si="100"/>
        <v>dv360-uol</v>
      </c>
      <c r="AX88" s="53" t="str">
        <f t="shared" si="113"/>
        <v>varejo-familiaridade</v>
      </c>
      <c r="AY88" s="53" t="str">
        <f t="shared" si="101"/>
        <v>alp_vw_dv360-uol_aaf_dsy_nonms_nd_nc_rng_varejo-familiaridade_na_trafego_cpm_prog_all_300x600_interesse-pickups_300x600_amarok-taxazero_var-rng-aaf-dsy-0221-10088</v>
      </c>
      <c r="AZ88" s="53" t="str">
        <f t="shared" si="102"/>
        <v>300x600</v>
      </c>
      <c r="BA88" s="53" t="str">
        <f t="shared" si="103"/>
        <v>varejo-familiaridade</v>
      </c>
      <c r="BB88" s="53" t="s">
        <v>775</v>
      </c>
      <c r="BC88" s="53" t="s">
        <v>775</v>
      </c>
      <c r="BD88" s="53" t="str">
        <f t="shared" si="104"/>
        <v>var-rng-aaf-dsy-0221-10088</v>
      </c>
      <c r="BE88" s="53" t="str">
        <f t="shared" si="105"/>
        <v>BR</v>
      </c>
      <c r="BF88" s="53" t="str">
        <f t="shared" si="106"/>
        <v/>
      </c>
      <c r="BG88" s="53"/>
      <c r="BH88" s="53"/>
      <c r="BI88" s="59" t="str">
        <f t="shared" si="114"/>
        <v>https://ofertas.vw.com.br/modelo/?modelo=Amarok&amp;adlid=var-rng-aaf-dsy-0221-10088&amp;adplt=alp_vw_dv360-uol_aaf_dsy_nonms_nd_nc_rng_varejo-familiaridade_na_trafego_cpm_prog_all_300x600_interesse-pickups_300x600_amarok-taxazero_var-rng-aaf-dsy-0221-10088</v>
      </c>
      <c r="BL88" s="20" t="str">
        <f t="shared" si="115"/>
        <v>alp_vw_dv360-uol_aaf_dsy_nonms_nd_nc_rng_varejo-familiaridade_na_trafego</v>
      </c>
      <c r="BM88" s="20" t="str">
        <f t="shared" si="116"/>
        <v>cpm_prog_all_300x600_interesse-pickups_300x600</v>
      </c>
      <c r="BN88" s="20" t="str">
        <f t="shared" si="117"/>
        <v>alp_vw_dv360-uol_aaf_dsy_nonms_nd_nc_rng_varejo-familiaridade_na_trafego_cpm_prog_all_300x600_interesse-pickups_300x600_amarok-taxazero_var-rng-aaf-dsy-0221-10088</v>
      </c>
      <c r="BO88" s="20"/>
      <c r="BP88" s="20"/>
    </row>
    <row r="89" spans="2:68" ht="15" hidden="1" customHeight="1" x14ac:dyDescent="0.25">
      <c r="B89" s="53" t="s">
        <v>996</v>
      </c>
      <c r="C89" s="53" t="s">
        <v>1193</v>
      </c>
      <c r="D89" s="53" t="s">
        <v>1172</v>
      </c>
      <c r="E89" s="54">
        <v>44299</v>
      </c>
      <c r="F89" s="54">
        <v>44316</v>
      </c>
      <c r="G89" s="53" t="s">
        <v>628</v>
      </c>
      <c r="H89" s="55" t="s">
        <v>1052</v>
      </c>
      <c r="I89" s="53" t="s">
        <v>777</v>
      </c>
      <c r="J89" s="56" t="s">
        <v>924</v>
      </c>
      <c r="K89" s="56" t="s">
        <v>924</v>
      </c>
      <c r="L89" s="53" t="s">
        <v>653</v>
      </c>
      <c r="M89" s="53" t="s">
        <v>287</v>
      </c>
      <c r="N89" s="53" t="s">
        <v>295</v>
      </c>
      <c r="O89" s="53" t="s">
        <v>317</v>
      </c>
      <c r="P89" s="53" t="s">
        <v>313</v>
      </c>
      <c r="Q89" s="53" t="s">
        <v>658</v>
      </c>
      <c r="R89" s="53" t="s">
        <v>277</v>
      </c>
      <c r="S89" s="53" t="s">
        <v>841</v>
      </c>
      <c r="T89" s="53" t="s">
        <v>938</v>
      </c>
      <c r="U89" s="53" t="s">
        <v>1054</v>
      </c>
      <c r="V89" s="53" t="s">
        <v>1053</v>
      </c>
      <c r="W89" s="37" t="s">
        <v>568</v>
      </c>
      <c r="X89" s="37"/>
      <c r="Y89" s="53" t="s">
        <v>568</v>
      </c>
      <c r="Z89" s="39" t="s">
        <v>1135</v>
      </c>
      <c r="AA89" s="38" t="s">
        <v>1168</v>
      </c>
      <c r="AB89" s="38" t="s">
        <v>1169</v>
      </c>
      <c r="AC89" s="38" t="s">
        <v>1163</v>
      </c>
      <c r="AD89" s="37" t="s">
        <v>924</v>
      </c>
      <c r="AE89" s="37" t="s">
        <v>653</v>
      </c>
      <c r="AF89" s="38" t="s">
        <v>1048</v>
      </c>
      <c r="AG89" s="38" t="s">
        <v>1135</v>
      </c>
      <c r="AH89" s="53"/>
      <c r="AI89" s="57" t="str">
        <f t="shared" si="107"/>
        <v>alp_vw_dv360-uol_aaf_dsy_nonms_nd_nc_rng_varejo-familiaridade_na_trafego_cpm_prog_all_728x90_interesse-pickups_728x90_amarok-taxazero_var-rng-aaf-dsy-0221-10089</v>
      </c>
      <c r="AJ89" s="58" t="str">
        <f t="shared" si="107"/>
        <v>alp_vw_dv360-uol_aaf_dsy_nonms_nd_nc_rng_varejo-familiaridade_na_trafego_cpm_prog_all_728x90_interesse-pickups_728x90_amarok-taxazero_var-rng-aaf-dsy-0221-10089</v>
      </c>
      <c r="AK89" s="57" t="str">
        <f t="shared" si="108"/>
        <v>vw_range_728x90_amarok-taxazero_adserver</v>
      </c>
      <c r="AL89" s="57" t="str">
        <f t="shared" si="95"/>
        <v>https://ofertas.vw.com.br/modelo/?modelo=Amarok&amp;utm_source=dv360-uol&amp;utm_medium=Paid-Display&amp;utm_content=alp_vw_dv360-uol_aaf_dsy_nonms_nd_nc_rng_varejo-familiaridade_na_trafego_cpm_prog_all_728x90_interesse-pickups_728x90_amarok-taxazero_var-rng-aaf-dsy-0221-10089&amp;utm_campaign=BR_AAF_DSY_NONMS_ND_NC_2021Q1FEB_RNG_Varejo-Familiaridade&amp;utm_term=%epid!_%ecid!_%eaid!</v>
      </c>
      <c r="AM89" s="57" t="str">
        <f t="shared" si="109"/>
        <v>TAG</v>
      </c>
      <c r="AN89" s="53" t="str">
        <f t="shared" si="96"/>
        <v>dv360-uol</v>
      </c>
      <c r="AO89" s="53" t="str">
        <f t="shared" si="97"/>
        <v>Paid-Display</v>
      </c>
      <c r="AP89" s="57" t="str">
        <f>Campanha!$B$3</f>
        <v>BR_AAF_DSY_NONMS_ND_NC_2021Q1FEB_RNG_Varejo-Familiaridade</v>
      </c>
      <c r="AQ89" s="57" t="str">
        <f t="shared" si="110"/>
        <v>alp_vw_dv360-uol_aaf_dsy_nonms_nd_nc_rng_varejo-familiaridade_na_trafego_cpm_prog_all_728x90_interesse-pickups_728x90_amarok-taxazero_var-rng-aaf-dsy-0221-10089</v>
      </c>
      <c r="AR89" s="53" t="s">
        <v>722</v>
      </c>
      <c r="AS89" s="57" t="str">
        <f t="shared" si="111"/>
        <v>https://ofertas.vw.com.br/modelo/?modelo=Amarok&amp;utm_source=dv360-uol&amp;utm_medium=Paid-Display&amp;utm_content=alp_vw_dv360-uol_aaf_dsy_nonms_nd_nc_rng_varejo-familiaridade_na_trafego_cpm_prog_all_728x90_interesse-pickups_728x90_amarok-taxazero_var-rng-aaf-dsy-0221-10089&amp;utm_campaign=BR_AAF_DSY_NONMS_ND_NC_2021Q1FEB_RNG_Varejo-Familiaridade&amp;utm_term=%epid!_%ecid!_%eaid!</v>
      </c>
      <c r="AT89" s="53" t="str">
        <f t="shared" si="98"/>
        <v>run-of-network</v>
      </c>
      <c r="AU89" s="53" t="str">
        <f t="shared" si="112"/>
        <v>BR</v>
      </c>
      <c r="AV89" s="53" t="str">
        <f t="shared" si="99"/>
        <v>dv360-uol</v>
      </c>
      <c r="AW89" s="53" t="str">
        <f t="shared" si="100"/>
        <v>dv360-uol</v>
      </c>
      <c r="AX89" s="53" t="str">
        <f t="shared" si="113"/>
        <v>varejo-familiaridade</v>
      </c>
      <c r="AY89" s="53" t="str">
        <f t="shared" si="101"/>
        <v>alp_vw_dv360-uol_aaf_dsy_nonms_nd_nc_rng_varejo-familiaridade_na_trafego_cpm_prog_all_728x90_interesse-pickups_728x90_amarok-taxazero_var-rng-aaf-dsy-0221-10089</v>
      </c>
      <c r="AZ89" s="53" t="str">
        <f t="shared" si="102"/>
        <v>728x90</v>
      </c>
      <c r="BA89" s="53" t="str">
        <f t="shared" si="103"/>
        <v>varejo-familiaridade</v>
      </c>
      <c r="BB89" s="53" t="s">
        <v>775</v>
      </c>
      <c r="BC89" s="53" t="s">
        <v>775</v>
      </c>
      <c r="BD89" s="53" t="str">
        <f t="shared" si="104"/>
        <v>var-rng-aaf-dsy-0221-10089</v>
      </c>
      <c r="BE89" s="53" t="str">
        <f t="shared" si="105"/>
        <v>BR</v>
      </c>
      <c r="BF89" s="53" t="str">
        <f t="shared" si="106"/>
        <v/>
      </c>
      <c r="BG89" s="53"/>
      <c r="BH89" s="53"/>
      <c r="BI89" s="59" t="str">
        <f t="shared" si="114"/>
        <v>https://ofertas.vw.com.br/modelo/?modelo=Amarok&amp;adlid=var-rng-aaf-dsy-0221-10089&amp;adplt=alp_vw_dv360-uol_aaf_dsy_nonms_nd_nc_rng_varejo-familiaridade_na_trafego_cpm_prog_all_728x90_interesse-pickups_728x90_amarok-taxazero_var-rng-aaf-dsy-0221-10089</v>
      </c>
      <c r="BL89" s="20" t="str">
        <f t="shared" si="115"/>
        <v>alp_vw_dv360-uol_aaf_dsy_nonms_nd_nc_rng_varejo-familiaridade_na_trafego</v>
      </c>
      <c r="BM89" s="20" t="str">
        <f t="shared" si="116"/>
        <v>cpm_prog_all_728x90_interesse-pickups_728x90</v>
      </c>
      <c r="BN89" s="20" t="str">
        <f t="shared" si="117"/>
        <v>alp_vw_dv360-uol_aaf_dsy_nonms_nd_nc_rng_varejo-familiaridade_na_trafego_cpm_prog_all_728x90_interesse-pickups_728x90_amarok-taxazero_var-rng-aaf-dsy-0221-10089</v>
      </c>
      <c r="BO89" s="20"/>
      <c r="BP89" s="20"/>
    </row>
    <row r="90" spans="2:68" ht="15" hidden="1" customHeight="1" x14ac:dyDescent="0.25">
      <c r="B90" s="53" t="s">
        <v>996</v>
      </c>
      <c r="C90" s="53" t="s">
        <v>1193</v>
      </c>
      <c r="D90" s="53" t="s">
        <v>1172</v>
      </c>
      <c r="E90" s="54">
        <v>44299</v>
      </c>
      <c r="F90" s="54">
        <v>44316</v>
      </c>
      <c r="G90" s="53" t="s">
        <v>628</v>
      </c>
      <c r="H90" s="55" t="s">
        <v>1052</v>
      </c>
      <c r="I90" s="53" t="s">
        <v>777</v>
      </c>
      <c r="J90" s="56" t="s">
        <v>924</v>
      </c>
      <c r="K90" s="56" t="s">
        <v>924</v>
      </c>
      <c r="L90" s="53" t="s">
        <v>653</v>
      </c>
      <c r="M90" s="53" t="s">
        <v>287</v>
      </c>
      <c r="N90" s="53" t="s">
        <v>295</v>
      </c>
      <c r="O90" s="53" t="s">
        <v>317</v>
      </c>
      <c r="P90" s="53" t="s">
        <v>313</v>
      </c>
      <c r="Q90" s="53" t="s">
        <v>658</v>
      </c>
      <c r="R90" s="53" t="s">
        <v>277</v>
      </c>
      <c r="S90" s="53" t="s">
        <v>841</v>
      </c>
      <c r="T90" s="53" t="s">
        <v>938</v>
      </c>
      <c r="U90" s="53" t="s">
        <v>1054</v>
      </c>
      <c r="V90" s="53" t="s">
        <v>1053</v>
      </c>
      <c r="W90" s="37" t="s">
        <v>457</v>
      </c>
      <c r="X90" s="37"/>
      <c r="Y90" s="53" t="s">
        <v>457</v>
      </c>
      <c r="Z90" s="39" t="s">
        <v>1134</v>
      </c>
      <c r="AA90" s="38" t="s">
        <v>1170</v>
      </c>
      <c r="AB90" s="38" t="s">
        <v>1171</v>
      </c>
      <c r="AC90" s="38" t="s">
        <v>1163</v>
      </c>
      <c r="AD90" s="37" t="s">
        <v>924</v>
      </c>
      <c r="AE90" s="37" t="s">
        <v>653</v>
      </c>
      <c r="AF90" s="38" t="s">
        <v>1048</v>
      </c>
      <c r="AG90" s="38" t="s">
        <v>1134</v>
      </c>
      <c r="AH90" s="53"/>
      <c r="AI90" s="57" t="str">
        <f t="shared" si="107"/>
        <v>alp_vw_dv360-uol_aaf_dsy_nonms_nd_nc_rng_varejo-familiaridade_na_trafego_cpm_prog_all_320x50_interesse-pickups_320x50_amarok-taxazero_var-rng-aaf-dsy-0221-10090</v>
      </c>
      <c r="AJ90" s="58" t="str">
        <f t="shared" si="107"/>
        <v>alp_vw_dv360-uol_aaf_dsy_nonms_nd_nc_rng_varejo-familiaridade_na_trafego_cpm_prog_all_320x50_interesse-pickups_320x50_amarok-taxazero_var-rng-aaf-dsy-0221-10090</v>
      </c>
      <c r="AK90" s="57" t="str">
        <f t="shared" si="108"/>
        <v>vw_range_320x50_amarok-taxazero_adserver</v>
      </c>
      <c r="AL90" s="57" t="str">
        <f t="shared" si="95"/>
        <v>https://ofertas.vw.com.br/modelo/?modelo=Amarok&amp;utm_source=dv360-uol&amp;utm_medium=Paid-Display&amp;utm_content=alp_vw_dv360-uol_aaf_dsy_nonms_nd_nc_rng_varejo-familiaridade_na_trafego_cpm_prog_all_320x50_interesse-pickups_320x50_amarok-taxazero_var-rng-aaf-dsy-0221-10090&amp;utm_campaign=BR_AAF_DSY_NONMS_ND_NC_2021Q1FEB_RNG_Varejo-Familiaridade&amp;utm_term=%epid!_%ecid!_%eaid!</v>
      </c>
      <c r="AM90" s="57" t="str">
        <f t="shared" si="109"/>
        <v>TAG</v>
      </c>
      <c r="AN90" s="53" t="str">
        <f t="shared" si="96"/>
        <v>dv360-uol</v>
      </c>
      <c r="AO90" s="53" t="str">
        <f t="shared" si="97"/>
        <v>Paid-Display</v>
      </c>
      <c r="AP90" s="57" t="str">
        <f>Campanha!$B$3</f>
        <v>BR_AAF_DSY_NONMS_ND_NC_2021Q1FEB_RNG_Varejo-Familiaridade</v>
      </c>
      <c r="AQ90" s="57" t="str">
        <f t="shared" si="110"/>
        <v>alp_vw_dv360-uol_aaf_dsy_nonms_nd_nc_rng_varejo-familiaridade_na_trafego_cpm_prog_all_320x50_interesse-pickups_320x50_amarok-taxazero_var-rng-aaf-dsy-0221-10090</v>
      </c>
      <c r="AR90" s="53" t="s">
        <v>722</v>
      </c>
      <c r="AS90" s="57" t="str">
        <f t="shared" si="111"/>
        <v>https://ofertas.vw.com.br/modelo/?modelo=Amarok&amp;utm_source=dv360-uol&amp;utm_medium=Paid-Display&amp;utm_content=alp_vw_dv360-uol_aaf_dsy_nonms_nd_nc_rng_varejo-familiaridade_na_trafego_cpm_prog_all_320x50_interesse-pickups_320x50_amarok-taxazero_var-rng-aaf-dsy-0221-10090&amp;utm_campaign=BR_AAF_DSY_NONMS_ND_NC_2021Q1FEB_RNG_Varejo-Familiaridade&amp;utm_term=%epid!_%ecid!_%eaid!</v>
      </c>
      <c r="AT90" s="53" t="str">
        <f t="shared" si="98"/>
        <v>run-of-network</v>
      </c>
      <c r="AU90" s="53" t="str">
        <f t="shared" si="112"/>
        <v>BR</v>
      </c>
      <c r="AV90" s="53" t="str">
        <f t="shared" si="99"/>
        <v>dv360-uol</v>
      </c>
      <c r="AW90" s="53" t="str">
        <f t="shared" si="100"/>
        <v>dv360-uol</v>
      </c>
      <c r="AX90" s="53" t="str">
        <f t="shared" si="113"/>
        <v>varejo-familiaridade</v>
      </c>
      <c r="AY90" s="53" t="str">
        <f t="shared" si="101"/>
        <v>alp_vw_dv360-uol_aaf_dsy_nonms_nd_nc_rng_varejo-familiaridade_na_trafego_cpm_prog_all_320x50_interesse-pickups_320x50_amarok-taxazero_var-rng-aaf-dsy-0221-10090</v>
      </c>
      <c r="AZ90" s="53" t="str">
        <f t="shared" si="102"/>
        <v>320x50</v>
      </c>
      <c r="BA90" s="53" t="str">
        <f t="shared" si="103"/>
        <v>varejo-familiaridade</v>
      </c>
      <c r="BB90" s="53" t="s">
        <v>775</v>
      </c>
      <c r="BC90" s="53" t="s">
        <v>775</v>
      </c>
      <c r="BD90" s="53" t="str">
        <f t="shared" si="104"/>
        <v>var-rng-aaf-dsy-0221-10090</v>
      </c>
      <c r="BE90" s="53" t="str">
        <f t="shared" si="105"/>
        <v>BR</v>
      </c>
      <c r="BF90" s="53" t="str">
        <f t="shared" si="106"/>
        <v/>
      </c>
      <c r="BG90" s="53"/>
      <c r="BH90" s="53"/>
      <c r="BI90" s="59" t="str">
        <f t="shared" si="114"/>
        <v>https://ofertas.vw.com.br/modelo/?modelo=Amarok&amp;adlid=var-rng-aaf-dsy-0221-10090&amp;adplt=alp_vw_dv360-uol_aaf_dsy_nonms_nd_nc_rng_varejo-familiaridade_na_trafego_cpm_prog_all_320x50_interesse-pickups_320x50_amarok-taxazero_var-rng-aaf-dsy-0221-10090</v>
      </c>
      <c r="BL90" s="20" t="str">
        <f t="shared" si="115"/>
        <v>alp_vw_dv360-uol_aaf_dsy_nonms_nd_nc_rng_varejo-familiaridade_na_trafego</v>
      </c>
      <c r="BM90" s="20" t="str">
        <f t="shared" si="116"/>
        <v>cpm_prog_all_320x50_interesse-pickups_320x50</v>
      </c>
      <c r="BN90" s="20" t="str">
        <f t="shared" si="117"/>
        <v>alp_vw_dv360-uol_aaf_dsy_nonms_nd_nc_rng_varejo-familiaridade_na_trafego_cpm_prog_all_320x50_interesse-pickups_320x50_amarok-taxazero_var-rng-aaf-dsy-0221-10090</v>
      </c>
      <c r="BO90" s="20"/>
      <c r="BP90" s="20"/>
    </row>
    <row r="91" spans="2:68" ht="15" hidden="1" customHeight="1" x14ac:dyDescent="0.25">
      <c r="B91" s="53" t="s">
        <v>996</v>
      </c>
      <c r="C91" s="53" t="s">
        <v>1250</v>
      </c>
      <c r="D91" s="53" t="s">
        <v>1172</v>
      </c>
      <c r="E91" s="54">
        <v>44299</v>
      </c>
      <c r="F91" s="54">
        <v>44316</v>
      </c>
      <c r="G91" s="53" t="s">
        <v>628</v>
      </c>
      <c r="H91" s="55" t="s">
        <v>1052</v>
      </c>
      <c r="I91" s="53" t="s">
        <v>777</v>
      </c>
      <c r="J91" s="56" t="s">
        <v>918</v>
      </c>
      <c r="K91" s="56" t="s">
        <v>918</v>
      </c>
      <c r="L91" s="53" t="s">
        <v>653</v>
      </c>
      <c r="M91" s="53" t="s">
        <v>287</v>
      </c>
      <c r="N91" s="53" t="s">
        <v>295</v>
      </c>
      <c r="O91" s="53" t="s">
        <v>317</v>
      </c>
      <c r="P91" s="53" t="s">
        <v>313</v>
      </c>
      <c r="Q91" s="53" t="s">
        <v>658</v>
      </c>
      <c r="R91" s="53" t="s">
        <v>277</v>
      </c>
      <c r="S91" s="53" t="s">
        <v>841</v>
      </c>
      <c r="T91" s="53" t="s">
        <v>938</v>
      </c>
      <c r="U91" s="53" t="s">
        <v>1054</v>
      </c>
      <c r="V91" s="53" t="s">
        <v>1053</v>
      </c>
      <c r="W91" s="53"/>
      <c r="X91" s="53"/>
      <c r="Y91" s="53" t="s">
        <v>433</v>
      </c>
      <c r="Z91" s="58"/>
      <c r="AA91" s="57"/>
      <c r="AB91" s="57"/>
      <c r="AC91" s="57"/>
      <c r="AD91" s="53"/>
      <c r="AE91" s="53"/>
      <c r="AF91" s="57"/>
      <c r="AG91" s="57"/>
      <c r="AH91" s="53"/>
      <c r="AI91" s="57" t="str">
        <f t="shared" si="107"/>
        <v>alp_vw_dv360-globo_aaf_dsy_nonms_nd_nc_rng_varejo-familiaridade_na_trafego_cpm_prog_all_300x250_interesse-pickups__amarok-taxazero_var-rng-aaf-dsy-0221-10091</v>
      </c>
      <c r="AJ91" s="58" t="str">
        <f t="shared" si="107"/>
        <v>alp_vw_dv360-globo_aaf_dsy_nonms_nd_nc_rng_varejo-familiaridade_na_trafego_cpm_prog_all_300x250_interesse-pickups__amarok-taxazero_var-rng-aaf-dsy-0221-10091</v>
      </c>
      <c r="AK91" s="57" t="str">
        <f t="shared" si="108"/>
        <v>vw_range_300x250_amarok-taxazero_adserver</v>
      </c>
      <c r="AL91" s="57" t="str">
        <f t="shared" ref="AL91:AL95" si="118">IF(col_parametrizacao="GA",AS91,IF(CONCATENATE(col_parametrizacao,col_supplier)="ADOBESA360",CONCATENATE(col_url,"?ds_p=[*Part_Site*]&amp;ds_e=[*Part_Comp*]&amp;ds_c={_dscampaign}&amp;ds_ag={_dsadgroup}&amp;ds_k={_dssearchterm}&amp;ds_e={_dsaccounttype}&amp;ds_kid={_dstrackerid}&amp;country=BR&amp;language=BR"),IF(CONCATENATE(col_parametrizacao,col_supplier)="ADOBEGoogleAds",CONCATENATE(H91,"?","adlid=",col_adlid,"&amp;adplt=",col_placement,"adchan=[*channel*]&amp;campaign=[*Campaign*]","&amp;adgroup=[*Adgroup*]&amp;publisher=[*EngineAccountType*]&amp;adpl=[*EngineAccountType*]&amp;country=BR&amp;format=",col_size,"&amp;language=BR","&amp;adcr=[*searchterm*]",),url_adobe)))</f>
        <v>https://ofertas.vw.com.br/modelo/?modelo=Amarok&amp;utm_source=dv360-globo&amp;utm_medium=Paid-Display&amp;utm_content=alp_vw_dv360-globo_aaf_dsy_nonms_nd_nc_rng_varejo-familiaridade_na_trafego_cpm_prog_all_300x250_interesse-pickups__amarok-taxazero_var-rng-aaf-dsy-0221-10091&amp;utm_campaign=BR_AAF_DSY_NONMS_ND_NC_2021Q1FEB_RNG_Varejo-Familiaridade&amp;utm_term=%epid!_%ecid!_%eaid!</v>
      </c>
      <c r="AM91" s="57" t="str">
        <f t="shared" si="109"/>
        <v>TAG</v>
      </c>
      <c r="AN91" s="53" t="str">
        <f t="shared" ref="AN91:AN95" si="119">J91</f>
        <v>dv360-globo</v>
      </c>
      <c r="AO91" s="53" t="str">
        <f t="shared" ref="AO91:AO95" si="120">L91</f>
        <v>Paid-Display</v>
      </c>
      <c r="AP91" s="57" t="str">
        <f>Campanha!$B$3</f>
        <v>BR_AAF_DSY_NONMS_ND_NC_2021Q1FEB_RNG_Varejo-Familiaridade</v>
      </c>
      <c r="AQ91" s="57" t="str">
        <f t="shared" si="110"/>
        <v>alp_vw_dv360-globo_aaf_dsy_nonms_nd_nc_rng_varejo-familiaridade_na_trafego_cpm_prog_all_300x250_interesse-pickups__amarok-taxazero_var-rng-aaf-dsy-0221-10091</v>
      </c>
      <c r="AR91" s="53" t="s">
        <v>722</v>
      </c>
      <c r="AS91" s="57" t="str">
        <f t="shared" si="111"/>
        <v>https://ofertas.vw.com.br/modelo/?modelo=Amarok&amp;utm_source=dv360-globo&amp;utm_medium=Paid-Display&amp;utm_content=alp_vw_dv360-globo_aaf_dsy_nonms_nd_nc_rng_varejo-familiaridade_na_trafego_cpm_prog_all_300x250_interesse-pickups__amarok-taxazero_var-rng-aaf-dsy-0221-10091&amp;utm_campaign=BR_AAF_DSY_NONMS_ND_NC_2021Q1FEB_RNG_Varejo-Familiaridade&amp;utm_term=%epid!_%ecid!_%eaid!</v>
      </c>
      <c r="AT91" s="53" t="str">
        <f t="shared" ref="AT91:AT95" si="121">LOWER(Q91)</f>
        <v>run-of-network</v>
      </c>
      <c r="AU91" s="53" t="str">
        <f t="shared" si="112"/>
        <v>BR</v>
      </c>
      <c r="AV91" s="53" t="str">
        <f t="shared" ref="AV91:AV95" si="122">LOWER(K91)</f>
        <v>dv360-globo</v>
      </c>
      <c r="AW91" s="53" t="str">
        <f t="shared" ref="AW91:AW95" si="123">LOWER(J91)</f>
        <v>dv360-globo</v>
      </c>
      <c r="AX91" s="53" t="str">
        <f t="shared" si="113"/>
        <v>varejo-familiaridade</v>
      </c>
      <c r="AY91" s="53" t="str">
        <f t="shared" ref="AY91:AY95" si="124">LOWER(AI91)</f>
        <v>alp_vw_dv360-globo_aaf_dsy_nonms_nd_nc_rng_varejo-familiaridade_na_trafego_cpm_prog_all_300x250_interesse-pickups__amarok-taxazero_var-rng-aaf-dsy-0221-10091</v>
      </c>
      <c r="AZ91" s="53" t="str">
        <f t="shared" ref="AZ91:AZ95" si="125">LOWER(Y91)</f>
        <v>300x250</v>
      </c>
      <c r="BA91" s="53" t="str">
        <f t="shared" ref="BA91:BA95" si="126">LOWER(T91)</f>
        <v>varejo-familiaridade</v>
      </c>
      <c r="BB91" s="53" t="s">
        <v>775</v>
      </c>
      <c r="BC91" s="53" t="s">
        <v>775</v>
      </c>
      <c r="BD91" s="53" t="str">
        <f t="shared" ref="BD91:BD95" si="127">LOWER(CONCATENATE(cel_idcampaign,"-",SUM(10000+ROW(A91))))</f>
        <v>var-rng-aaf-dsy-0221-10091</v>
      </c>
      <c r="BE91" s="53" t="str">
        <f t="shared" ref="BE91:BE95" si="128">AU91</f>
        <v>BR</v>
      </c>
      <c r="BF91" s="53" t="str">
        <f t="shared" ref="BF91:BF95" si="129">LOWER(X91)</f>
        <v/>
      </c>
      <c r="BG91" s="53"/>
      <c r="BH91" s="53"/>
      <c r="BI91" s="59" t="str">
        <f t="shared" si="114"/>
        <v>https://ofertas.vw.com.br/modelo/?modelo=Amarok&amp;adlid=var-rng-aaf-dsy-0221-10091&amp;adplt=alp_vw_dv360-globo_aaf_dsy_nonms_nd_nc_rng_varejo-familiaridade_na_trafego_cpm_prog_all_300x250_interesse-pickups__amarok-taxazero_var-rng-aaf-dsy-0221-10091</v>
      </c>
      <c r="BL91" s="20" t="str">
        <f t="shared" si="115"/>
        <v>alp_vw_dv360-globo_aaf_dsy_nonms_nd_nc_rng_varejo-familiaridade_na_trafego</v>
      </c>
      <c r="BM91" s="20" t="str">
        <f t="shared" si="116"/>
        <v>cpm_prog_all_300x250_interesse-pickups_</v>
      </c>
      <c r="BN91" s="20" t="str">
        <f t="shared" si="117"/>
        <v>alp_vw_dv360-globo_aaf_dsy_nonms_nd_nc_rng_varejo-familiaridade_na_trafego_cpm_prog_all_300x250_interesse-pickups__amarok-taxazero_var-rng-aaf-dsy-0221-10091</v>
      </c>
      <c r="BO91" s="20"/>
      <c r="BP91" s="20"/>
    </row>
    <row r="92" spans="2:68" ht="15" hidden="1" customHeight="1" x14ac:dyDescent="0.25">
      <c r="B92" s="53" t="s">
        <v>996</v>
      </c>
      <c r="C92" s="53" t="s">
        <v>1250</v>
      </c>
      <c r="D92" s="53" t="s">
        <v>1172</v>
      </c>
      <c r="E92" s="54">
        <v>44299</v>
      </c>
      <c r="F92" s="54">
        <v>44316</v>
      </c>
      <c r="G92" s="53" t="s">
        <v>628</v>
      </c>
      <c r="H92" s="55" t="s">
        <v>1052</v>
      </c>
      <c r="I92" s="53" t="s">
        <v>777</v>
      </c>
      <c r="J92" s="56" t="s">
        <v>918</v>
      </c>
      <c r="K92" s="56" t="s">
        <v>918</v>
      </c>
      <c r="L92" s="53" t="s">
        <v>653</v>
      </c>
      <c r="M92" s="53" t="s">
        <v>287</v>
      </c>
      <c r="N92" s="53" t="s">
        <v>295</v>
      </c>
      <c r="O92" s="53" t="s">
        <v>317</v>
      </c>
      <c r="P92" s="53" t="s">
        <v>313</v>
      </c>
      <c r="Q92" s="53" t="s">
        <v>658</v>
      </c>
      <c r="R92" s="53" t="s">
        <v>277</v>
      </c>
      <c r="S92" s="53" t="s">
        <v>841</v>
      </c>
      <c r="T92" s="53" t="s">
        <v>938</v>
      </c>
      <c r="U92" s="53" t="s">
        <v>1054</v>
      </c>
      <c r="V92" s="53" t="s">
        <v>1053</v>
      </c>
      <c r="W92" s="53"/>
      <c r="X92" s="53"/>
      <c r="Y92" s="53" t="s">
        <v>610</v>
      </c>
      <c r="Z92" s="58"/>
      <c r="AA92" s="57"/>
      <c r="AB92" s="57"/>
      <c r="AC92" s="57"/>
      <c r="AD92" s="53"/>
      <c r="AE92" s="53"/>
      <c r="AF92" s="57"/>
      <c r="AG92" s="57"/>
      <c r="AH92" s="53"/>
      <c r="AI92" s="57" t="str">
        <f t="shared" si="107"/>
        <v>alp_vw_dv360-globo_aaf_dsy_nonms_nd_nc_rng_varejo-familiaridade_na_trafego_cpm_prog_all_970x90_interesse-pickups__amarok-taxazero_var-rng-aaf-dsy-0221-10092</v>
      </c>
      <c r="AJ92" s="58" t="str">
        <f t="shared" si="107"/>
        <v>alp_vw_dv360-globo_aaf_dsy_nonms_nd_nc_rng_varejo-familiaridade_na_trafego_cpm_prog_all_970x90_interesse-pickups__amarok-taxazero_var-rng-aaf-dsy-0221-10092</v>
      </c>
      <c r="AK92" s="57" t="str">
        <f t="shared" si="108"/>
        <v>vw_range_970x90_amarok-taxazero_adserver</v>
      </c>
      <c r="AL92" s="57" t="str">
        <f t="shared" si="118"/>
        <v>https://ofertas.vw.com.br/modelo/?modelo=Amarok&amp;utm_source=dv360-globo&amp;utm_medium=Paid-Display&amp;utm_content=alp_vw_dv360-globo_aaf_dsy_nonms_nd_nc_rng_varejo-familiaridade_na_trafego_cpm_prog_all_970x90_interesse-pickups__amarok-taxazero_var-rng-aaf-dsy-0221-10092&amp;utm_campaign=BR_AAF_DSY_NONMS_ND_NC_2021Q1FEB_RNG_Varejo-Familiaridade&amp;utm_term=%epid!_%ecid!_%eaid!</v>
      </c>
      <c r="AM92" s="57" t="str">
        <f t="shared" si="109"/>
        <v>TAG</v>
      </c>
      <c r="AN92" s="53" t="str">
        <f t="shared" si="119"/>
        <v>dv360-globo</v>
      </c>
      <c r="AO92" s="53" t="str">
        <f t="shared" si="120"/>
        <v>Paid-Display</v>
      </c>
      <c r="AP92" s="57" t="str">
        <f>Campanha!$B$3</f>
        <v>BR_AAF_DSY_NONMS_ND_NC_2021Q1FEB_RNG_Varejo-Familiaridade</v>
      </c>
      <c r="AQ92" s="57" t="str">
        <f t="shared" si="110"/>
        <v>alp_vw_dv360-globo_aaf_dsy_nonms_nd_nc_rng_varejo-familiaridade_na_trafego_cpm_prog_all_970x90_interesse-pickups__amarok-taxazero_var-rng-aaf-dsy-0221-10092</v>
      </c>
      <c r="AR92" s="53" t="s">
        <v>722</v>
      </c>
      <c r="AS92" s="57" t="str">
        <f t="shared" si="111"/>
        <v>https://ofertas.vw.com.br/modelo/?modelo=Amarok&amp;utm_source=dv360-globo&amp;utm_medium=Paid-Display&amp;utm_content=alp_vw_dv360-globo_aaf_dsy_nonms_nd_nc_rng_varejo-familiaridade_na_trafego_cpm_prog_all_970x90_interesse-pickups__amarok-taxazero_var-rng-aaf-dsy-0221-10092&amp;utm_campaign=BR_AAF_DSY_NONMS_ND_NC_2021Q1FEB_RNG_Varejo-Familiaridade&amp;utm_term=%epid!_%ecid!_%eaid!</v>
      </c>
      <c r="AT92" s="53" t="str">
        <f t="shared" si="121"/>
        <v>run-of-network</v>
      </c>
      <c r="AU92" s="53" t="str">
        <f t="shared" si="112"/>
        <v>BR</v>
      </c>
      <c r="AV92" s="53" t="str">
        <f t="shared" si="122"/>
        <v>dv360-globo</v>
      </c>
      <c r="AW92" s="53" t="str">
        <f t="shared" si="123"/>
        <v>dv360-globo</v>
      </c>
      <c r="AX92" s="53" t="str">
        <f t="shared" si="113"/>
        <v>varejo-familiaridade</v>
      </c>
      <c r="AY92" s="53" t="str">
        <f t="shared" si="124"/>
        <v>alp_vw_dv360-globo_aaf_dsy_nonms_nd_nc_rng_varejo-familiaridade_na_trafego_cpm_prog_all_970x90_interesse-pickups__amarok-taxazero_var-rng-aaf-dsy-0221-10092</v>
      </c>
      <c r="AZ92" s="53" t="str">
        <f t="shared" si="125"/>
        <v>970x90</v>
      </c>
      <c r="BA92" s="53" t="str">
        <f t="shared" si="126"/>
        <v>varejo-familiaridade</v>
      </c>
      <c r="BB92" s="53" t="s">
        <v>775</v>
      </c>
      <c r="BC92" s="53" t="s">
        <v>775</v>
      </c>
      <c r="BD92" s="53" t="str">
        <f t="shared" si="127"/>
        <v>var-rng-aaf-dsy-0221-10092</v>
      </c>
      <c r="BE92" s="53" t="str">
        <f t="shared" si="128"/>
        <v>BR</v>
      </c>
      <c r="BF92" s="53" t="str">
        <f t="shared" si="129"/>
        <v/>
      </c>
      <c r="BG92" s="53"/>
      <c r="BH92" s="53"/>
      <c r="BI92" s="59" t="str">
        <f t="shared" si="114"/>
        <v>https://ofertas.vw.com.br/modelo/?modelo=Amarok&amp;adlid=var-rng-aaf-dsy-0221-10092&amp;adplt=alp_vw_dv360-globo_aaf_dsy_nonms_nd_nc_rng_varejo-familiaridade_na_trafego_cpm_prog_all_970x90_interesse-pickups__amarok-taxazero_var-rng-aaf-dsy-0221-10092</v>
      </c>
      <c r="BL92" s="20" t="str">
        <f t="shared" si="115"/>
        <v>alp_vw_dv360-globo_aaf_dsy_nonms_nd_nc_rng_varejo-familiaridade_na_trafego</v>
      </c>
      <c r="BM92" s="20" t="str">
        <f t="shared" si="116"/>
        <v>cpm_prog_all_970x90_interesse-pickups_</v>
      </c>
      <c r="BN92" s="20" t="str">
        <f t="shared" si="117"/>
        <v>alp_vw_dv360-globo_aaf_dsy_nonms_nd_nc_rng_varejo-familiaridade_na_trafego_cpm_prog_all_970x90_interesse-pickups__amarok-taxazero_var-rng-aaf-dsy-0221-10092</v>
      </c>
      <c r="BO92" s="20"/>
      <c r="BP92" s="20"/>
    </row>
    <row r="93" spans="2:68" ht="15" hidden="1" customHeight="1" x14ac:dyDescent="0.25">
      <c r="B93" s="53" t="s">
        <v>996</v>
      </c>
      <c r="C93" s="53" t="s">
        <v>1250</v>
      </c>
      <c r="D93" s="53" t="s">
        <v>1172</v>
      </c>
      <c r="E93" s="54">
        <v>44299</v>
      </c>
      <c r="F93" s="54">
        <v>44316</v>
      </c>
      <c r="G93" s="53" t="s">
        <v>628</v>
      </c>
      <c r="H93" s="55" t="s">
        <v>1052</v>
      </c>
      <c r="I93" s="53" t="s">
        <v>777</v>
      </c>
      <c r="J93" s="56" t="s">
        <v>918</v>
      </c>
      <c r="K93" s="56" t="s">
        <v>918</v>
      </c>
      <c r="L93" s="53" t="s">
        <v>653</v>
      </c>
      <c r="M93" s="53" t="s">
        <v>287</v>
      </c>
      <c r="N93" s="53" t="s">
        <v>295</v>
      </c>
      <c r="O93" s="53" t="s">
        <v>317</v>
      </c>
      <c r="P93" s="53" t="s">
        <v>313</v>
      </c>
      <c r="Q93" s="53" t="s">
        <v>658</v>
      </c>
      <c r="R93" s="53" t="s">
        <v>277</v>
      </c>
      <c r="S93" s="53" t="s">
        <v>841</v>
      </c>
      <c r="T93" s="53" t="s">
        <v>938</v>
      </c>
      <c r="U93" s="53" t="s">
        <v>1054</v>
      </c>
      <c r="V93" s="53" t="s">
        <v>1053</v>
      </c>
      <c r="W93" s="53"/>
      <c r="X93" s="53"/>
      <c r="Y93" s="53" t="s">
        <v>442</v>
      </c>
      <c r="Z93" s="58"/>
      <c r="AA93" s="57"/>
      <c r="AB93" s="57"/>
      <c r="AC93" s="57"/>
      <c r="AD93" s="53"/>
      <c r="AE93" s="53"/>
      <c r="AF93" s="57"/>
      <c r="AG93" s="57"/>
      <c r="AH93" s="53"/>
      <c r="AI93" s="57" t="str">
        <f t="shared" si="107"/>
        <v>alp_vw_dv360-globo_aaf_dsy_nonms_nd_nc_rng_varejo-familiaridade_na_trafego_cpm_prog_all_300x600_interesse-pickups__amarok-taxazero_var-rng-aaf-dsy-0221-10093</v>
      </c>
      <c r="AJ93" s="58" t="str">
        <f t="shared" si="107"/>
        <v>alp_vw_dv360-globo_aaf_dsy_nonms_nd_nc_rng_varejo-familiaridade_na_trafego_cpm_prog_all_300x600_interesse-pickups__amarok-taxazero_var-rng-aaf-dsy-0221-10093</v>
      </c>
      <c r="AK93" s="57" t="str">
        <f t="shared" si="108"/>
        <v>vw_range_300x600_amarok-taxazero_adserver</v>
      </c>
      <c r="AL93" s="57" t="str">
        <f t="shared" si="118"/>
        <v>https://ofertas.vw.com.br/modelo/?modelo=Amarok&amp;utm_source=dv360-globo&amp;utm_medium=Paid-Display&amp;utm_content=alp_vw_dv360-globo_aaf_dsy_nonms_nd_nc_rng_varejo-familiaridade_na_trafego_cpm_prog_all_300x600_interesse-pickups__amarok-taxazero_var-rng-aaf-dsy-0221-10093&amp;utm_campaign=BR_AAF_DSY_NONMS_ND_NC_2021Q1FEB_RNG_Varejo-Familiaridade&amp;utm_term=%epid!_%ecid!_%eaid!</v>
      </c>
      <c r="AM93" s="57" t="str">
        <f t="shared" si="109"/>
        <v>TAG</v>
      </c>
      <c r="AN93" s="53" t="str">
        <f t="shared" si="119"/>
        <v>dv360-globo</v>
      </c>
      <c r="AO93" s="53" t="str">
        <f t="shared" si="120"/>
        <v>Paid-Display</v>
      </c>
      <c r="AP93" s="57" t="str">
        <f>Campanha!$B$3</f>
        <v>BR_AAF_DSY_NONMS_ND_NC_2021Q1FEB_RNG_Varejo-Familiaridade</v>
      </c>
      <c r="AQ93" s="57" t="str">
        <f t="shared" si="110"/>
        <v>alp_vw_dv360-globo_aaf_dsy_nonms_nd_nc_rng_varejo-familiaridade_na_trafego_cpm_prog_all_300x600_interesse-pickups__amarok-taxazero_var-rng-aaf-dsy-0221-10093</v>
      </c>
      <c r="AR93" s="53" t="s">
        <v>722</v>
      </c>
      <c r="AS93" s="57" t="str">
        <f t="shared" si="111"/>
        <v>https://ofertas.vw.com.br/modelo/?modelo=Amarok&amp;utm_source=dv360-globo&amp;utm_medium=Paid-Display&amp;utm_content=alp_vw_dv360-globo_aaf_dsy_nonms_nd_nc_rng_varejo-familiaridade_na_trafego_cpm_prog_all_300x600_interesse-pickups__amarok-taxazero_var-rng-aaf-dsy-0221-10093&amp;utm_campaign=BR_AAF_DSY_NONMS_ND_NC_2021Q1FEB_RNG_Varejo-Familiaridade&amp;utm_term=%epid!_%ecid!_%eaid!</v>
      </c>
      <c r="AT93" s="53" t="str">
        <f t="shared" si="121"/>
        <v>run-of-network</v>
      </c>
      <c r="AU93" s="53" t="str">
        <f t="shared" si="112"/>
        <v>BR</v>
      </c>
      <c r="AV93" s="53" t="str">
        <f t="shared" si="122"/>
        <v>dv360-globo</v>
      </c>
      <c r="AW93" s="53" t="str">
        <f t="shared" si="123"/>
        <v>dv360-globo</v>
      </c>
      <c r="AX93" s="53" t="str">
        <f t="shared" si="113"/>
        <v>varejo-familiaridade</v>
      </c>
      <c r="AY93" s="53" t="str">
        <f t="shared" si="124"/>
        <v>alp_vw_dv360-globo_aaf_dsy_nonms_nd_nc_rng_varejo-familiaridade_na_trafego_cpm_prog_all_300x600_interesse-pickups__amarok-taxazero_var-rng-aaf-dsy-0221-10093</v>
      </c>
      <c r="AZ93" s="53" t="str">
        <f t="shared" si="125"/>
        <v>300x600</v>
      </c>
      <c r="BA93" s="53" t="str">
        <f t="shared" si="126"/>
        <v>varejo-familiaridade</v>
      </c>
      <c r="BB93" s="53" t="s">
        <v>775</v>
      </c>
      <c r="BC93" s="53" t="s">
        <v>775</v>
      </c>
      <c r="BD93" s="53" t="str">
        <f t="shared" si="127"/>
        <v>var-rng-aaf-dsy-0221-10093</v>
      </c>
      <c r="BE93" s="53" t="str">
        <f t="shared" si="128"/>
        <v>BR</v>
      </c>
      <c r="BF93" s="53" t="str">
        <f t="shared" si="129"/>
        <v/>
      </c>
      <c r="BG93" s="53"/>
      <c r="BH93" s="53"/>
      <c r="BI93" s="59" t="str">
        <f t="shared" si="114"/>
        <v>https://ofertas.vw.com.br/modelo/?modelo=Amarok&amp;adlid=var-rng-aaf-dsy-0221-10093&amp;adplt=alp_vw_dv360-globo_aaf_dsy_nonms_nd_nc_rng_varejo-familiaridade_na_trafego_cpm_prog_all_300x600_interesse-pickups__amarok-taxazero_var-rng-aaf-dsy-0221-10093</v>
      </c>
      <c r="BL93" s="20" t="str">
        <f t="shared" si="115"/>
        <v>alp_vw_dv360-globo_aaf_dsy_nonms_nd_nc_rng_varejo-familiaridade_na_trafego</v>
      </c>
      <c r="BM93" s="20" t="str">
        <f t="shared" si="116"/>
        <v>cpm_prog_all_300x600_interesse-pickups_</v>
      </c>
      <c r="BN93" s="20" t="str">
        <f t="shared" si="117"/>
        <v>alp_vw_dv360-globo_aaf_dsy_nonms_nd_nc_rng_varejo-familiaridade_na_trafego_cpm_prog_all_300x600_interesse-pickups__amarok-taxazero_var-rng-aaf-dsy-0221-10093</v>
      </c>
      <c r="BO93" s="20"/>
      <c r="BP93" s="20"/>
    </row>
    <row r="94" spans="2:68" ht="15" hidden="1" customHeight="1" x14ac:dyDescent="0.25">
      <c r="B94" s="53" t="s">
        <v>996</v>
      </c>
      <c r="C94" s="53" t="s">
        <v>1250</v>
      </c>
      <c r="D94" s="53" t="s">
        <v>1172</v>
      </c>
      <c r="E94" s="54">
        <v>44299</v>
      </c>
      <c r="F94" s="54">
        <v>44316</v>
      </c>
      <c r="G94" s="53" t="s">
        <v>628</v>
      </c>
      <c r="H94" s="55" t="s">
        <v>1052</v>
      </c>
      <c r="I94" s="53" t="s">
        <v>777</v>
      </c>
      <c r="J94" s="56" t="s">
        <v>918</v>
      </c>
      <c r="K94" s="56" t="s">
        <v>918</v>
      </c>
      <c r="L94" s="53" t="s">
        <v>653</v>
      </c>
      <c r="M94" s="53" t="s">
        <v>287</v>
      </c>
      <c r="N94" s="53" t="s">
        <v>295</v>
      </c>
      <c r="O94" s="53" t="s">
        <v>317</v>
      </c>
      <c r="P94" s="53" t="s">
        <v>313</v>
      </c>
      <c r="Q94" s="53" t="s">
        <v>658</v>
      </c>
      <c r="R94" s="53" t="s">
        <v>277</v>
      </c>
      <c r="S94" s="53" t="s">
        <v>841</v>
      </c>
      <c r="T94" s="53" t="s">
        <v>938</v>
      </c>
      <c r="U94" s="53" t="s">
        <v>1054</v>
      </c>
      <c r="V94" s="53" t="s">
        <v>1053</v>
      </c>
      <c r="W94" s="53"/>
      <c r="X94" s="53"/>
      <c r="Y94" s="53" t="s">
        <v>604</v>
      </c>
      <c r="Z94" s="58"/>
      <c r="AA94" s="57"/>
      <c r="AB94" s="57"/>
      <c r="AC94" s="57"/>
      <c r="AD94" s="53"/>
      <c r="AE94" s="53"/>
      <c r="AF94" s="57"/>
      <c r="AG94" s="57"/>
      <c r="AH94" s="53"/>
      <c r="AI94" s="57" t="str">
        <f t="shared" si="107"/>
        <v>alp_vw_dv360-globo_aaf_dsy_nonms_nd_nc_rng_varejo-familiaridade_na_trafego_cpm_prog_all_970x150_interesse-pickups__amarok-taxazero_var-rng-aaf-dsy-0221-10094</v>
      </c>
      <c r="AJ94" s="58" t="str">
        <f t="shared" si="107"/>
        <v>alp_vw_dv360-globo_aaf_dsy_nonms_nd_nc_rng_varejo-familiaridade_na_trafego_cpm_prog_all_970x150_interesse-pickups__amarok-taxazero_var-rng-aaf-dsy-0221-10094</v>
      </c>
      <c r="AK94" s="57" t="str">
        <f t="shared" si="108"/>
        <v>vw_range_970x150_amarok-taxazero_adserver</v>
      </c>
      <c r="AL94" s="57" t="str">
        <f t="shared" si="118"/>
        <v>https://ofertas.vw.com.br/modelo/?modelo=Amarok&amp;utm_source=dv360-globo&amp;utm_medium=Paid-Display&amp;utm_content=alp_vw_dv360-globo_aaf_dsy_nonms_nd_nc_rng_varejo-familiaridade_na_trafego_cpm_prog_all_970x150_interesse-pickups__amarok-taxazero_var-rng-aaf-dsy-0221-10094&amp;utm_campaign=BR_AAF_DSY_NONMS_ND_NC_2021Q1FEB_RNG_Varejo-Familiaridade&amp;utm_term=%epid!_%ecid!_%eaid!</v>
      </c>
      <c r="AM94" s="57" t="str">
        <f t="shared" si="109"/>
        <v>TAG</v>
      </c>
      <c r="AN94" s="53" t="str">
        <f t="shared" si="119"/>
        <v>dv360-globo</v>
      </c>
      <c r="AO94" s="53" t="str">
        <f t="shared" si="120"/>
        <v>Paid-Display</v>
      </c>
      <c r="AP94" s="57" t="str">
        <f>Campanha!$B$3</f>
        <v>BR_AAF_DSY_NONMS_ND_NC_2021Q1FEB_RNG_Varejo-Familiaridade</v>
      </c>
      <c r="AQ94" s="57" t="str">
        <f t="shared" si="110"/>
        <v>alp_vw_dv360-globo_aaf_dsy_nonms_nd_nc_rng_varejo-familiaridade_na_trafego_cpm_prog_all_970x150_interesse-pickups__amarok-taxazero_var-rng-aaf-dsy-0221-10094</v>
      </c>
      <c r="AR94" s="53" t="s">
        <v>722</v>
      </c>
      <c r="AS94" s="57" t="str">
        <f t="shared" si="111"/>
        <v>https://ofertas.vw.com.br/modelo/?modelo=Amarok&amp;utm_source=dv360-globo&amp;utm_medium=Paid-Display&amp;utm_content=alp_vw_dv360-globo_aaf_dsy_nonms_nd_nc_rng_varejo-familiaridade_na_trafego_cpm_prog_all_970x150_interesse-pickups__amarok-taxazero_var-rng-aaf-dsy-0221-10094&amp;utm_campaign=BR_AAF_DSY_NONMS_ND_NC_2021Q1FEB_RNG_Varejo-Familiaridade&amp;utm_term=%epid!_%ecid!_%eaid!</v>
      </c>
      <c r="AT94" s="53" t="str">
        <f t="shared" si="121"/>
        <v>run-of-network</v>
      </c>
      <c r="AU94" s="53" t="str">
        <f t="shared" si="112"/>
        <v>BR</v>
      </c>
      <c r="AV94" s="53" t="str">
        <f t="shared" si="122"/>
        <v>dv360-globo</v>
      </c>
      <c r="AW94" s="53" t="str">
        <f t="shared" si="123"/>
        <v>dv360-globo</v>
      </c>
      <c r="AX94" s="53" t="str">
        <f t="shared" si="113"/>
        <v>varejo-familiaridade</v>
      </c>
      <c r="AY94" s="53" t="str">
        <f t="shared" si="124"/>
        <v>alp_vw_dv360-globo_aaf_dsy_nonms_nd_nc_rng_varejo-familiaridade_na_trafego_cpm_prog_all_970x150_interesse-pickups__amarok-taxazero_var-rng-aaf-dsy-0221-10094</v>
      </c>
      <c r="AZ94" s="53" t="str">
        <f t="shared" si="125"/>
        <v>970x150</v>
      </c>
      <c r="BA94" s="53" t="str">
        <f t="shared" si="126"/>
        <v>varejo-familiaridade</v>
      </c>
      <c r="BB94" s="53" t="s">
        <v>775</v>
      </c>
      <c r="BC94" s="53" t="s">
        <v>775</v>
      </c>
      <c r="BD94" s="53" t="str">
        <f t="shared" si="127"/>
        <v>var-rng-aaf-dsy-0221-10094</v>
      </c>
      <c r="BE94" s="53" t="str">
        <f t="shared" si="128"/>
        <v>BR</v>
      </c>
      <c r="BF94" s="53" t="str">
        <f t="shared" si="129"/>
        <v/>
      </c>
      <c r="BG94" s="53"/>
      <c r="BH94" s="53"/>
      <c r="BI94" s="59" t="str">
        <f t="shared" si="114"/>
        <v>https://ofertas.vw.com.br/modelo/?modelo=Amarok&amp;adlid=var-rng-aaf-dsy-0221-10094&amp;adplt=alp_vw_dv360-globo_aaf_dsy_nonms_nd_nc_rng_varejo-familiaridade_na_trafego_cpm_prog_all_970x150_interesse-pickups__amarok-taxazero_var-rng-aaf-dsy-0221-10094</v>
      </c>
      <c r="BL94" s="20" t="str">
        <f t="shared" si="115"/>
        <v>alp_vw_dv360-globo_aaf_dsy_nonms_nd_nc_rng_varejo-familiaridade_na_trafego</v>
      </c>
      <c r="BM94" s="20" t="str">
        <f t="shared" si="116"/>
        <v>cpm_prog_all_970x150_interesse-pickups_</v>
      </c>
      <c r="BN94" s="20" t="str">
        <f t="shared" si="117"/>
        <v>alp_vw_dv360-globo_aaf_dsy_nonms_nd_nc_rng_varejo-familiaridade_na_trafego_cpm_prog_all_970x150_interesse-pickups__amarok-taxazero_var-rng-aaf-dsy-0221-10094</v>
      </c>
      <c r="BO94" s="20"/>
      <c r="BP94" s="20"/>
    </row>
    <row r="95" spans="2:68" ht="15" hidden="1" customHeight="1" x14ac:dyDescent="0.25">
      <c r="B95" s="53" t="s">
        <v>996</v>
      </c>
      <c r="C95" s="53" t="s">
        <v>1250</v>
      </c>
      <c r="D95" s="53" t="s">
        <v>1172</v>
      </c>
      <c r="E95" s="54">
        <v>44299</v>
      </c>
      <c r="F95" s="54">
        <v>44316</v>
      </c>
      <c r="G95" s="53" t="s">
        <v>628</v>
      </c>
      <c r="H95" s="55" t="s">
        <v>1052</v>
      </c>
      <c r="I95" s="53" t="s">
        <v>777</v>
      </c>
      <c r="J95" s="56" t="s">
        <v>918</v>
      </c>
      <c r="K95" s="56" t="s">
        <v>918</v>
      </c>
      <c r="L95" s="53" t="s">
        <v>653</v>
      </c>
      <c r="M95" s="53" t="s">
        <v>287</v>
      </c>
      <c r="N95" s="53" t="s">
        <v>295</v>
      </c>
      <c r="O95" s="53" t="s">
        <v>317</v>
      </c>
      <c r="P95" s="53" t="s">
        <v>313</v>
      </c>
      <c r="Q95" s="53" t="s">
        <v>658</v>
      </c>
      <c r="R95" s="53" t="s">
        <v>277</v>
      </c>
      <c r="S95" s="53" t="s">
        <v>841</v>
      </c>
      <c r="T95" s="53" t="s">
        <v>938</v>
      </c>
      <c r="U95" s="53" t="s">
        <v>1054</v>
      </c>
      <c r="V95" s="53" t="s">
        <v>1053</v>
      </c>
      <c r="W95" s="53"/>
      <c r="X95" s="53"/>
      <c r="Y95" s="53" t="s">
        <v>606</v>
      </c>
      <c r="Z95" s="58"/>
      <c r="AA95" s="57"/>
      <c r="AB95" s="57"/>
      <c r="AC95" s="57"/>
      <c r="AD95" s="53"/>
      <c r="AE95" s="53"/>
      <c r="AF95" s="57"/>
      <c r="AG95" s="57"/>
      <c r="AH95" s="53"/>
      <c r="AI95" s="57" t="str">
        <f t="shared" si="107"/>
        <v>alp_vw_dv360-globo_aaf_dsy_nonms_nd_nc_rng_varejo-familiaridade_na_trafego_cpm_prog_all_970x250_interesse-pickups__amarok-taxazero_var-rng-aaf-dsy-0221-10095</v>
      </c>
      <c r="AJ95" s="58" t="str">
        <f t="shared" si="107"/>
        <v>alp_vw_dv360-globo_aaf_dsy_nonms_nd_nc_rng_varejo-familiaridade_na_trafego_cpm_prog_all_970x250_interesse-pickups__amarok-taxazero_var-rng-aaf-dsy-0221-10095</v>
      </c>
      <c r="AK95" s="57" t="str">
        <f t="shared" si="108"/>
        <v>vw_range_970x250_amarok-taxazero_adserver</v>
      </c>
      <c r="AL95" s="57" t="str">
        <f t="shared" si="118"/>
        <v>https://ofertas.vw.com.br/modelo/?modelo=Amarok&amp;utm_source=dv360-globo&amp;utm_medium=Paid-Display&amp;utm_content=alp_vw_dv360-globo_aaf_dsy_nonms_nd_nc_rng_varejo-familiaridade_na_trafego_cpm_prog_all_970x250_interesse-pickups__amarok-taxazero_var-rng-aaf-dsy-0221-10095&amp;utm_campaign=BR_AAF_DSY_NONMS_ND_NC_2021Q1FEB_RNG_Varejo-Familiaridade&amp;utm_term=%epid!_%ecid!_%eaid!</v>
      </c>
      <c r="AM95" s="57" t="str">
        <f t="shared" si="109"/>
        <v>TAG</v>
      </c>
      <c r="AN95" s="53" t="str">
        <f t="shared" si="119"/>
        <v>dv360-globo</v>
      </c>
      <c r="AO95" s="53" t="str">
        <f t="shared" si="120"/>
        <v>Paid-Display</v>
      </c>
      <c r="AP95" s="57" t="str">
        <f>Campanha!$B$3</f>
        <v>BR_AAF_DSY_NONMS_ND_NC_2021Q1FEB_RNG_Varejo-Familiaridade</v>
      </c>
      <c r="AQ95" s="57" t="str">
        <f t="shared" si="110"/>
        <v>alp_vw_dv360-globo_aaf_dsy_nonms_nd_nc_rng_varejo-familiaridade_na_trafego_cpm_prog_all_970x250_interesse-pickups__amarok-taxazero_var-rng-aaf-dsy-0221-10095</v>
      </c>
      <c r="AR95" s="53" t="s">
        <v>722</v>
      </c>
      <c r="AS95" s="57" t="str">
        <f t="shared" si="111"/>
        <v>https://ofertas.vw.com.br/modelo/?modelo=Amarok&amp;utm_source=dv360-globo&amp;utm_medium=Paid-Display&amp;utm_content=alp_vw_dv360-globo_aaf_dsy_nonms_nd_nc_rng_varejo-familiaridade_na_trafego_cpm_prog_all_970x250_interesse-pickups__amarok-taxazero_var-rng-aaf-dsy-0221-10095&amp;utm_campaign=BR_AAF_DSY_NONMS_ND_NC_2021Q1FEB_RNG_Varejo-Familiaridade&amp;utm_term=%epid!_%ecid!_%eaid!</v>
      </c>
      <c r="AT95" s="53" t="str">
        <f t="shared" si="121"/>
        <v>run-of-network</v>
      </c>
      <c r="AU95" s="53" t="str">
        <f t="shared" si="112"/>
        <v>BR</v>
      </c>
      <c r="AV95" s="53" t="str">
        <f t="shared" si="122"/>
        <v>dv360-globo</v>
      </c>
      <c r="AW95" s="53" t="str">
        <f t="shared" si="123"/>
        <v>dv360-globo</v>
      </c>
      <c r="AX95" s="53" t="str">
        <f t="shared" si="113"/>
        <v>varejo-familiaridade</v>
      </c>
      <c r="AY95" s="53" t="str">
        <f t="shared" si="124"/>
        <v>alp_vw_dv360-globo_aaf_dsy_nonms_nd_nc_rng_varejo-familiaridade_na_trafego_cpm_prog_all_970x250_interesse-pickups__amarok-taxazero_var-rng-aaf-dsy-0221-10095</v>
      </c>
      <c r="AZ95" s="53" t="str">
        <f t="shared" si="125"/>
        <v>970x250</v>
      </c>
      <c r="BA95" s="53" t="str">
        <f t="shared" si="126"/>
        <v>varejo-familiaridade</v>
      </c>
      <c r="BB95" s="53" t="s">
        <v>775</v>
      </c>
      <c r="BC95" s="53" t="s">
        <v>775</v>
      </c>
      <c r="BD95" s="53" t="str">
        <f t="shared" si="127"/>
        <v>var-rng-aaf-dsy-0221-10095</v>
      </c>
      <c r="BE95" s="53" t="str">
        <f t="shared" si="128"/>
        <v>BR</v>
      </c>
      <c r="BF95" s="53" t="str">
        <f t="shared" si="129"/>
        <v/>
      </c>
      <c r="BG95" s="53"/>
      <c r="BH95" s="53"/>
      <c r="BI95" s="59" t="str">
        <f t="shared" si="114"/>
        <v>https://ofertas.vw.com.br/modelo/?modelo=Amarok&amp;adlid=var-rng-aaf-dsy-0221-10095&amp;adplt=alp_vw_dv360-globo_aaf_dsy_nonms_nd_nc_rng_varejo-familiaridade_na_trafego_cpm_prog_all_970x250_interesse-pickups__amarok-taxazero_var-rng-aaf-dsy-0221-10095</v>
      </c>
      <c r="BL95" s="20" t="str">
        <f t="shared" si="115"/>
        <v>alp_vw_dv360-globo_aaf_dsy_nonms_nd_nc_rng_varejo-familiaridade_na_trafego</v>
      </c>
      <c r="BM95" s="20" t="str">
        <f t="shared" si="116"/>
        <v>cpm_prog_all_970x250_interesse-pickups_</v>
      </c>
      <c r="BN95" s="20" t="str">
        <f t="shared" si="117"/>
        <v>alp_vw_dv360-globo_aaf_dsy_nonms_nd_nc_rng_varejo-familiaridade_na_trafego_cpm_prog_all_970x250_interesse-pickups__amarok-taxazero_var-rng-aaf-dsy-0221-10095</v>
      </c>
      <c r="BO95" s="20"/>
      <c r="BP95" s="20"/>
    </row>
    <row r="96" spans="2:68" ht="15" hidden="1" customHeight="1" x14ac:dyDescent="0.25">
      <c r="B96" s="53" t="s">
        <v>996</v>
      </c>
      <c r="C96" s="53" t="s">
        <v>1193</v>
      </c>
      <c r="D96" s="53" t="s">
        <v>1172</v>
      </c>
      <c r="E96" s="54">
        <v>44299</v>
      </c>
      <c r="F96" s="54">
        <v>44316</v>
      </c>
      <c r="G96" s="53" t="s">
        <v>628</v>
      </c>
      <c r="H96" s="55" t="s">
        <v>1052</v>
      </c>
      <c r="I96" s="53" t="s">
        <v>777</v>
      </c>
      <c r="J96" s="56" t="s">
        <v>911</v>
      </c>
      <c r="K96" s="56" t="s">
        <v>911</v>
      </c>
      <c r="L96" s="53" t="s">
        <v>653</v>
      </c>
      <c r="M96" s="53" t="s">
        <v>287</v>
      </c>
      <c r="N96" s="53" t="s">
        <v>295</v>
      </c>
      <c r="O96" s="53" t="s">
        <v>317</v>
      </c>
      <c r="P96" s="53" t="s">
        <v>313</v>
      </c>
      <c r="Q96" s="53" t="s">
        <v>658</v>
      </c>
      <c r="R96" s="53" t="s">
        <v>277</v>
      </c>
      <c r="S96" s="53" t="s">
        <v>841</v>
      </c>
      <c r="T96" s="53" t="s">
        <v>938</v>
      </c>
      <c r="U96" s="53" t="s">
        <v>1054</v>
      </c>
      <c r="V96" s="53" t="s">
        <v>942</v>
      </c>
      <c r="W96" s="53" t="s">
        <v>624</v>
      </c>
      <c r="X96" s="53"/>
      <c r="Y96" s="53" t="s">
        <v>412</v>
      </c>
      <c r="Z96" s="58" t="s">
        <v>1108</v>
      </c>
      <c r="AA96" s="57" t="s">
        <v>1194</v>
      </c>
      <c r="AB96" s="57" t="s">
        <v>1195</v>
      </c>
      <c r="AC96" s="57" t="s">
        <v>1094</v>
      </c>
      <c r="AD96" s="53" t="s">
        <v>911</v>
      </c>
      <c r="AE96" s="53" t="s">
        <v>653</v>
      </c>
      <c r="AF96" s="57" t="s">
        <v>1048</v>
      </c>
      <c r="AG96" s="57" t="s">
        <v>1108</v>
      </c>
      <c r="AH96" s="53"/>
      <c r="AI96" s="57" t="str">
        <f t="shared" si="107"/>
        <v>alp_vw_dv360_aaf_dsy_nonms_nd_nc_rng_varejo-familiaridade_na_trafego_cpm_prog_all_160x600_nc-3rd-party_nativeads_amarok-taxazero_var-rng-aaf-dsy-0221-10096</v>
      </c>
      <c r="AJ96" s="58" t="str">
        <f t="shared" si="107"/>
        <v>alp_vw_dv360_aaf_dsy_nonms_nd_nc_rng_varejo-familiaridade_na_trafego_cpm_prog_all_160x600_nc-3rd-party_nativeads_amarok-taxazero_var-rng-aaf-dsy-0221-10096</v>
      </c>
      <c r="AK96" s="57" t="str">
        <f t="shared" si="108"/>
        <v>vw_range_160x600_amarok-taxazero_adserver</v>
      </c>
      <c r="AL96" s="57" t="str">
        <f t="shared" ref="AL96:AL110" si="130">IF(col_parametrizacao="GA",AS96,IF(CONCATENATE(col_parametrizacao,col_supplier)="ADOBESA360",CONCATENATE(col_url,"?ds_p=[*Part_Site*]&amp;ds_e=[*Part_Comp*]&amp;ds_c={_dscampaign}&amp;ds_ag={_dsadgroup}&amp;ds_k={_dssearchterm}&amp;ds_e={_dsaccounttype}&amp;ds_kid={_dstrackerid}&amp;country=BR&amp;language=BR"),IF(CONCATENATE(col_parametrizacao,col_supplier)="ADOBEGoogleAds",CONCATENATE(H96,"?","adlid=",col_adlid,"&amp;adplt=",col_placement,"adchan=[*channel*]&amp;campaign=[*Campaign*]","&amp;adgroup=[*Adgroup*]&amp;publisher=[*EngineAccountType*]&amp;adpl=[*EngineAccountType*]&amp;country=BR&amp;format=",col_size,"&amp;language=BR","&amp;adcr=[*searchterm*]",),url_adobe)))</f>
        <v>https://ofertas.vw.com.br/modelo/?modelo=Amarok&amp;utm_source=dv360&amp;utm_medium=Paid-Display&amp;utm_content=alp_vw_dv360_aaf_dsy_nonms_nd_nc_rng_varejo-familiaridade_na_trafego_cpm_prog_all_160x600_nc-3rd-party_nativeads_amarok-taxazero_var-rng-aaf-dsy-0221-10096&amp;utm_campaign=BR_AAF_DSY_NONMS_ND_NC_2021Q1FEB_RNG_Varejo-Familiaridade&amp;utm_term=%epid!_%ecid!_%eaid!</v>
      </c>
      <c r="AM96" s="57" t="str">
        <f t="shared" si="109"/>
        <v>TAG</v>
      </c>
      <c r="AN96" s="53" t="str">
        <f t="shared" ref="AN96:AN110" si="131">J96</f>
        <v>dv360</v>
      </c>
      <c r="AO96" s="53" t="str">
        <f t="shared" ref="AO96:AO110" si="132">L96</f>
        <v>Paid-Display</v>
      </c>
      <c r="AP96" s="57" t="str">
        <f>Campanha!$B$3</f>
        <v>BR_AAF_DSY_NONMS_ND_NC_2021Q1FEB_RNG_Varejo-Familiaridade</v>
      </c>
      <c r="AQ96" s="57" t="str">
        <f t="shared" si="110"/>
        <v>alp_vw_dv360_aaf_dsy_nonms_nd_nc_rng_varejo-familiaridade_na_trafego_cpm_prog_all_160x600_nc-3rd-party_nativeads_amarok-taxazero_var-rng-aaf-dsy-0221-10096</v>
      </c>
      <c r="AR96" s="53" t="s">
        <v>722</v>
      </c>
      <c r="AS96" s="57" t="str">
        <f t="shared" si="111"/>
        <v>https://ofertas.vw.com.br/modelo/?modelo=Amarok&amp;utm_source=dv360&amp;utm_medium=Paid-Display&amp;utm_content=alp_vw_dv360_aaf_dsy_nonms_nd_nc_rng_varejo-familiaridade_na_trafego_cpm_prog_all_160x600_nc-3rd-party_nativeads_amarok-taxazero_var-rng-aaf-dsy-0221-10096&amp;utm_campaign=BR_AAF_DSY_NONMS_ND_NC_2021Q1FEB_RNG_Varejo-Familiaridade&amp;utm_term=%epid!_%ecid!_%eaid!</v>
      </c>
      <c r="AT96" s="53" t="str">
        <f t="shared" ref="AT96:AT110" si="133">LOWER(Q96)</f>
        <v>run-of-network</v>
      </c>
      <c r="AU96" s="53" t="str">
        <f t="shared" si="112"/>
        <v>BR</v>
      </c>
      <c r="AV96" s="53" t="str">
        <f t="shared" ref="AV96:AV110" si="134">LOWER(K96)</f>
        <v>dv360</v>
      </c>
      <c r="AW96" s="53" t="str">
        <f t="shared" ref="AW96:AW110" si="135">LOWER(J96)</f>
        <v>dv360</v>
      </c>
      <c r="AX96" s="53" t="str">
        <f t="shared" si="113"/>
        <v>varejo-familiaridade</v>
      </c>
      <c r="AY96" s="53" t="str">
        <f t="shared" ref="AY96:AY110" si="136">LOWER(AI96)</f>
        <v>alp_vw_dv360_aaf_dsy_nonms_nd_nc_rng_varejo-familiaridade_na_trafego_cpm_prog_all_160x600_nc-3rd-party_nativeads_amarok-taxazero_var-rng-aaf-dsy-0221-10096</v>
      </c>
      <c r="AZ96" s="53" t="str">
        <f t="shared" ref="AZ96:AZ110" si="137">LOWER(Y96)</f>
        <v>160x600</v>
      </c>
      <c r="BA96" s="53" t="str">
        <f t="shared" ref="BA96:BA110" si="138">LOWER(T96)</f>
        <v>varejo-familiaridade</v>
      </c>
      <c r="BB96" s="53" t="s">
        <v>775</v>
      </c>
      <c r="BC96" s="53" t="s">
        <v>775</v>
      </c>
      <c r="BD96" s="53" t="str">
        <f t="shared" ref="BD96:BD110" si="139">LOWER(CONCATENATE(cel_idcampaign,"-",SUM(10000+ROW(A96))))</f>
        <v>var-rng-aaf-dsy-0221-10096</v>
      </c>
      <c r="BE96" s="53" t="str">
        <f t="shared" ref="BE96:BE110" si="140">AU96</f>
        <v>BR</v>
      </c>
      <c r="BF96" s="53" t="str">
        <f t="shared" ref="BF96:BF110" si="141">LOWER(X96)</f>
        <v/>
      </c>
      <c r="BG96" s="53"/>
      <c r="BH96" s="53"/>
      <c r="BI96" s="59" t="str">
        <f t="shared" si="114"/>
        <v>https://ofertas.vw.com.br/modelo/?modelo=Amarok&amp;adlid=var-rng-aaf-dsy-0221-10096&amp;adplt=alp_vw_dv360_aaf_dsy_nonms_nd_nc_rng_varejo-familiaridade_na_trafego_cpm_prog_all_160x600_nc-3rd-party_nativeads_amarok-taxazero_var-rng-aaf-dsy-0221-10096</v>
      </c>
      <c r="BL96" s="20" t="str">
        <f t="shared" si="115"/>
        <v>alp_vw_dv360_aaf_dsy_nonms_nd_nc_rng_varejo-familiaridade_na_trafego</v>
      </c>
      <c r="BM96" s="20" t="str">
        <f t="shared" si="116"/>
        <v>cpm_prog_all_160x600_nc-3rd-party_nativeads</v>
      </c>
      <c r="BN96" s="20" t="str">
        <f t="shared" si="117"/>
        <v>alp_vw_dv360_aaf_dsy_nonms_nd_nc_rng_varejo-familiaridade_na_trafego_cpm_prog_all_160x600_nc-3rd-party_nativeads_amarok-taxazero_var-rng-aaf-dsy-0221-10096</v>
      </c>
      <c r="BO96" s="20"/>
      <c r="BP96" s="20"/>
    </row>
    <row r="97" spans="2:68" ht="15" hidden="1" customHeight="1" x14ac:dyDescent="0.25">
      <c r="B97" s="53" t="s">
        <v>996</v>
      </c>
      <c r="C97" s="53" t="s">
        <v>1193</v>
      </c>
      <c r="D97" s="53" t="s">
        <v>1172</v>
      </c>
      <c r="E97" s="54">
        <v>44299</v>
      </c>
      <c r="F97" s="54">
        <v>44316</v>
      </c>
      <c r="G97" s="53" t="s">
        <v>628</v>
      </c>
      <c r="H97" s="55" t="s">
        <v>1052</v>
      </c>
      <c r="I97" s="53" t="s">
        <v>777</v>
      </c>
      <c r="J97" s="56" t="s">
        <v>911</v>
      </c>
      <c r="K97" s="56" t="s">
        <v>911</v>
      </c>
      <c r="L97" s="53" t="s">
        <v>653</v>
      </c>
      <c r="M97" s="53" t="s">
        <v>287</v>
      </c>
      <c r="N97" s="53" t="s">
        <v>295</v>
      </c>
      <c r="O97" s="53" t="s">
        <v>317</v>
      </c>
      <c r="P97" s="53" t="s">
        <v>313</v>
      </c>
      <c r="Q97" s="53" t="s">
        <v>658</v>
      </c>
      <c r="R97" s="53" t="s">
        <v>277</v>
      </c>
      <c r="S97" s="53" t="s">
        <v>841</v>
      </c>
      <c r="T97" s="53" t="s">
        <v>938</v>
      </c>
      <c r="U97" s="53" t="s">
        <v>1054</v>
      </c>
      <c r="V97" s="53" t="s">
        <v>942</v>
      </c>
      <c r="W97" s="57"/>
      <c r="X97" s="53"/>
      <c r="Y97" s="53" t="s">
        <v>439</v>
      </c>
      <c r="Z97" s="53" t="s">
        <v>1196</v>
      </c>
      <c r="AA97" s="53" t="s">
        <v>47</v>
      </c>
      <c r="AB97" s="53" t="s">
        <v>911</v>
      </c>
      <c r="AC97" s="53" t="s">
        <v>911</v>
      </c>
      <c r="AD97" s="53" t="s">
        <v>1197</v>
      </c>
      <c r="AE97" s="53" t="s">
        <v>1108</v>
      </c>
      <c r="AF97" s="53" t="s">
        <v>624</v>
      </c>
      <c r="AG97" s="53" t="s">
        <v>1197</v>
      </c>
      <c r="AH97" s="53"/>
      <c r="AI97" s="57" t="str">
        <f t="shared" si="107"/>
        <v>alp_vw_dv360_aaf_dsy_nonms_nd_nc_rng_varejo-familiaridade_na_trafego_cpm_prog_all_300x50_nc-3rd-party__amarok-taxazero_var-rng-aaf-dsy-0221-10097</v>
      </c>
      <c r="AJ97" s="58" t="str">
        <f t="shared" si="107"/>
        <v>alp_vw_dv360_aaf_dsy_nonms_nd_nc_rng_varejo-familiaridade_na_trafego_cpm_prog_all_300x50_nc-3rd-party__amarok-taxazero_var-rng-aaf-dsy-0221-10097</v>
      </c>
      <c r="AK97" s="57" t="str">
        <f t="shared" si="108"/>
        <v>vw_range_300x50_amarok-taxazero_adserver</v>
      </c>
      <c r="AL97" s="57" t="str">
        <f t="shared" si="130"/>
        <v>https://ofertas.vw.com.br/modelo/?modelo=Amarok&amp;utm_source=dv360&amp;utm_medium=Paid-Display&amp;utm_content=alp_vw_dv360_aaf_dsy_nonms_nd_nc_rng_varejo-familiaridade_na_trafego_cpm_prog_all_300x50_nc-3rd-party__amarok-taxazero_var-rng-aaf-dsy-0221-10097&amp;utm_campaign=BR_AAF_DSY_NONMS_ND_NC_2021Q1FEB_RNG_Varejo-Familiaridade&amp;utm_term=%epid!_%ecid!_%eaid!</v>
      </c>
      <c r="AM97" s="57" t="str">
        <f t="shared" si="109"/>
        <v>TAG</v>
      </c>
      <c r="AN97" s="53" t="str">
        <f t="shared" si="131"/>
        <v>dv360</v>
      </c>
      <c r="AO97" s="53" t="str">
        <f t="shared" si="132"/>
        <v>Paid-Display</v>
      </c>
      <c r="AP97" s="57" t="str">
        <f>Campanha!$B$3</f>
        <v>BR_AAF_DSY_NONMS_ND_NC_2021Q1FEB_RNG_Varejo-Familiaridade</v>
      </c>
      <c r="AQ97" s="57" t="str">
        <f t="shared" si="110"/>
        <v>alp_vw_dv360_aaf_dsy_nonms_nd_nc_rng_varejo-familiaridade_na_trafego_cpm_prog_all_300x50_nc-3rd-party__amarok-taxazero_var-rng-aaf-dsy-0221-10097</v>
      </c>
      <c r="AR97" s="53" t="s">
        <v>722</v>
      </c>
      <c r="AS97" s="57" t="str">
        <f t="shared" si="111"/>
        <v>https://ofertas.vw.com.br/modelo/?modelo=Amarok&amp;utm_source=dv360&amp;utm_medium=Paid-Display&amp;utm_content=alp_vw_dv360_aaf_dsy_nonms_nd_nc_rng_varejo-familiaridade_na_trafego_cpm_prog_all_300x50_nc-3rd-party__amarok-taxazero_var-rng-aaf-dsy-0221-10097&amp;utm_campaign=BR_AAF_DSY_NONMS_ND_NC_2021Q1FEB_RNG_Varejo-Familiaridade&amp;utm_term=%epid!_%ecid!_%eaid!</v>
      </c>
      <c r="AT97" s="53" t="str">
        <f t="shared" si="133"/>
        <v>run-of-network</v>
      </c>
      <c r="AU97" s="53" t="str">
        <f t="shared" si="112"/>
        <v>BR</v>
      </c>
      <c r="AV97" s="53" t="str">
        <f t="shared" si="134"/>
        <v>dv360</v>
      </c>
      <c r="AW97" s="53" t="str">
        <f t="shared" si="135"/>
        <v>dv360</v>
      </c>
      <c r="AX97" s="53" t="str">
        <f t="shared" si="113"/>
        <v>varejo-familiaridade</v>
      </c>
      <c r="AY97" s="53" t="str">
        <f t="shared" si="136"/>
        <v>alp_vw_dv360_aaf_dsy_nonms_nd_nc_rng_varejo-familiaridade_na_trafego_cpm_prog_all_300x50_nc-3rd-party__amarok-taxazero_var-rng-aaf-dsy-0221-10097</v>
      </c>
      <c r="AZ97" s="53" t="str">
        <f t="shared" si="137"/>
        <v>300x50</v>
      </c>
      <c r="BA97" s="53" t="str">
        <f t="shared" si="138"/>
        <v>varejo-familiaridade</v>
      </c>
      <c r="BB97" s="53" t="s">
        <v>775</v>
      </c>
      <c r="BC97" s="53" t="s">
        <v>775</v>
      </c>
      <c r="BD97" s="53" t="str">
        <f t="shared" si="139"/>
        <v>var-rng-aaf-dsy-0221-10097</v>
      </c>
      <c r="BE97" s="53" t="str">
        <f t="shared" si="140"/>
        <v>BR</v>
      </c>
      <c r="BF97" s="53" t="str">
        <f t="shared" si="141"/>
        <v/>
      </c>
      <c r="BG97" s="53"/>
      <c r="BH97" s="53"/>
      <c r="BI97" s="59" t="str">
        <f t="shared" si="114"/>
        <v>https://ofertas.vw.com.br/modelo/?modelo=Amarok&amp;adlid=var-rng-aaf-dsy-0221-10097&amp;adplt=alp_vw_dv360_aaf_dsy_nonms_nd_nc_rng_varejo-familiaridade_na_trafego_cpm_prog_all_300x50_nc-3rd-party__amarok-taxazero_var-rng-aaf-dsy-0221-10097</v>
      </c>
      <c r="BL97" s="20" t="str">
        <f t="shared" si="115"/>
        <v>alp_vw_dv360_aaf_dsy_nonms_nd_nc_rng_varejo-familiaridade_na_trafego</v>
      </c>
      <c r="BM97" s="20" t="str">
        <f t="shared" si="116"/>
        <v>cpm_prog_all_300x50_nc-3rd-party_</v>
      </c>
      <c r="BN97" s="20" t="str">
        <f t="shared" si="117"/>
        <v>alp_vw_dv360_aaf_dsy_nonms_nd_nc_rng_varejo-familiaridade_na_trafego_cpm_prog_all_300x50_nc-3rd-party__amarok-taxazero_var-rng-aaf-dsy-0221-10097</v>
      </c>
      <c r="BO97" s="20"/>
      <c r="BP97" s="20"/>
    </row>
    <row r="98" spans="2:68" ht="15" hidden="1" customHeight="1" x14ac:dyDescent="0.25">
      <c r="B98" s="53" t="s">
        <v>996</v>
      </c>
      <c r="C98" s="53" t="s">
        <v>1193</v>
      </c>
      <c r="D98" s="53" t="s">
        <v>1172</v>
      </c>
      <c r="E98" s="54">
        <v>44299</v>
      </c>
      <c r="F98" s="54">
        <v>44316</v>
      </c>
      <c r="G98" s="53" t="s">
        <v>628</v>
      </c>
      <c r="H98" s="55" t="s">
        <v>1052</v>
      </c>
      <c r="I98" s="53" t="s">
        <v>777</v>
      </c>
      <c r="J98" s="56" t="s">
        <v>911</v>
      </c>
      <c r="K98" s="56" t="s">
        <v>911</v>
      </c>
      <c r="L98" s="53" t="s">
        <v>653</v>
      </c>
      <c r="M98" s="53" t="s">
        <v>287</v>
      </c>
      <c r="N98" s="53" t="s">
        <v>295</v>
      </c>
      <c r="O98" s="53" t="s">
        <v>317</v>
      </c>
      <c r="P98" s="53" t="s">
        <v>313</v>
      </c>
      <c r="Q98" s="53" t="s">
        <v>658</v>
      </c>
      <c r="R98" s="53" t="s">
        <v>277</v>
      </c>
      <c r="S98" s="53" t="s">
        <v>841</v>
      </c>
      <c r="T98" s="53" t="s">
        <v>938</v>
      </c>
      <c r="U98" s="53" t="s">
        <v>1054</v>
      </c>
      <c r="V98" s="53" t="s">
        <v>942</v>
      </c>
      <c r="W98" s="57"/>
      <c r="X98" s="53"/>
      <c r="Y98" s="53" t="s">
        <v>433</v>
      </c>
      <c r="Z98" s="53" t="s">
        <v>1196</v>
      </c>
      <c r="AA98" s="53" t="s">
        <v>47</v>
      </c>
      <c r="AB98" s="53" t="s">
        <v>911</v>
      </c>
      <c r="AC98" s="53" t="s">
        <v>911</v>
      </c>
      <c r="AD98" s="53" t="s">
        <v>1197</v>
      </c>
      <c r="AE98" s="53" t="s">
        <v>1108</v>
      </c>
      <c r="AF98" s="53" t="s">
        <v>624</v>
      </c>
      <c r="AG98" s="53" t="s">
        <v>1197</v>
      </c>
      <c r="AH98" s="53"/>
      <c r="AI98" s="57" t="str">
        <f t="shared" si="107"/>
        <v>alp_vw_dv360_aaf_dsy_nonms_nd_nc_rng_varejo-familiaridade_na_trafego_cpm_prog_all_300x250_nc-3rd-party__amarok-taxazero_var-rng-aaf-dsy-0221-10098</v>
      </c>
      <c r="AJ98" s="58" t="str">
        <f t="shared" si="107"/>
        <v>alp_vw_dv360_aaf_dsy_nonms_nd_nc_rng_varejo-familiaridade_na_trafego_cpm_prog_all_300x250_nc-3rd-party__amarok-taxazero_var-rng-aaf-dsy-0221-10098</v>
      </c>
      <c r="AK98" s="57" t="str">
        <f t="shared" si="108"/>
        <v>vw_range_300x250_amarok-taxazero_adserver</v>
      </c>
      <c r="AL98" s="57" t="str">
        <f t="shared" si="130"/>
        <v>https://ofertas.vw.com.br/modelo/?modelo=Amarok&amp;utm_source=dv360&amp;utm_medium=Paid-Display&amp;utm_content=alp_vw_dv360_aaf_dsy_nonms_nd_nc_rng_varejo-familiaridade_na_trafego_cpm_prog_all_300x250_nc-3rd-party__amarok-taxazero_var-rng-aaf-dsy-0221-10098&amp;utm_campaign=BR_AAF_DSY_NONMS_ND_NC_2021Q1FEB_RNG_Varejo-Familiaridade&amp;utm_term=%epid!_%ecid!_%eaid!</v>
      </c>
      <c r="AM98" s="57" t="str">
        <f t="shared" si="109"/>
        <v>TAG</v>
      </c>
      <c r="AN98" s="53" t="str">
        <f t="shared" si="131"/>
        <v>dv360</v>
      </c>
      <c r="AO98" s="53" t="str">
        <f t="shared" si="132"/>
        <v>Paid-Display</v>
      </c>
      <c r="AP98" s="57" t="str">
        <f>Campanha!$B$3</f>
        <v>BR_AAF_DSY_NONMS_ND_NC_2021Q1FEB_RNG_Varejo-Familiaridade</v>
      </c>
      <c r="AQ98" s="57" t="str">
        <f t="shared" si="110"/>
        <v>alp_vw_dv360_aaf_dsy_nonms_nd_nc_rng_varejo-familiaridade_na_trafego_cpm_prog_all_300x250_nc-3rd-party__amarok-taxazero_var-rng-aaf-dsy-0221-10098</v>
      </c>
      <c r="AR98" s="53" t="s">
        <v>722</v>
      </c>
      <c r="AS98" s="57" t="str">
        <f t="shared" si="111"/>
        <v>https://ofertas.vw.com.br/modelo/?modelo=Amarok&amp;utm_source=dv360&amp;utm_medium=Paid-Display&amp;utm_content=alp_vw_dv360_aaf_dsy_nonms_nd_nc_rng_varejo-familiaridade_na_trafego_cpm_prog_all_300x250_nc-3rd-party__amarok-taxazero_var-rng-aaf-dsy-0221-10098&amp;utm_campaign=BR_AAF_DSY_NONMS_ND_NC_2021Q1FEB_RNG_Varejo-Familiaridade&amp;utm_term=%epid!_%ecid!_%eaid!</v>
      </c>
      <c r="AT98" s="53" t="str">
        <f t="shared" si="133"/>
        <v>run-of-network</v>
      </c>
      <c r="AU98" s="53" t="str">
        <f t="shared" si="112"/>
        <v>BR</v>
      </c>
      <c r="AV98" s="53" t="str">
        <f t="shared" si="134"/>
        <v>dv360</v>
      </c>
      <c r="AW98" s="53" t="str">
        <f t="shared" si="135"/>
        <v>dv360</v>
      </c>
      <c r="AX98" s="53" t="str">
        <f t="shared" si="113"/>
        <v>varejo-familiaridade</v>
      </c>
      <c r="AY98" s="53" t="str">
        <f t="shared" si="136"/>
        <v>alp_vw_dv360_aaf_dsy_nonms_nd_nc_rng_varejo-familiaridade_na_trafego_cpm_prog_all_300x250_nc-3rd-party__amarok-taxazero_var-rng-aaf-dsy-0221-10098</v>
      </c>
      <c r="AZ98" s="53" t="str">
        <f t="shared" si="137"/>
        <v>300x250</v>
      </c>
      <c r="BA98" s="53" t="str">
        <f t="shared" si="138"/>
        <v>varejo-familiaridade</v>
      </c>
      <c r="BB98" s="53" t="s">
        <v>775</v>
      </c>
      <c r="BC98" s="53" t="s">
        <v>775</v>
      </c>
      <c r="BD98" s="53" t="str">
        <f t="shared" si="139"/>
        <v>var-rng-aaf-dsy-0221-10098</v>
      </c>
      <c r="BE98" s="53" t="str">
        <f t="shared" si="140"/>
        <v>BR</v>
      </c>
      <c r="BF98" s="53" t="str">
        <f t="shared" si="141"/>
        <v/>
      </c>
      <c r="BG98" s="53"/>
      <c r="BH98" s="53"/>
      <c r="BI98" s="59" t="str">
        <f t="shared" si="114"/>
        <v>https://ofertas.vw.com.br/modelo/?modelo=Amarok&amp;adlid=var-rng-aaf-dsy-0221-10098&amp;adplt=alp_vw_dv360_aaf_dsy_nonms_nd_nc_rng_varejo-familiaridade_na_trafego_cpm_prog_all_300x250_nc-3rd-party__amarok-taxazero_var-rng-aaf-dsy-0221-10098</v>
      </c>
      <c r="BL98" s="20" t="str">
        <f t="shared" si="115"/>
        <v>alp_vw_dv360_aaf_dsy_nonms_nd_nc_rng_varejo-familiaridade_na_trafego</v>
      </c>
      <c r="BM98" s="20" t="str">
        <f t="shared" si="116"/>
        <v>cpm_prog_all_300x250_nc-3rd-party_</v>
      </c>
      <c r="BN98" s="20" t="str">
        <f t="shared" si="117"/>
        <v>alp_vw_dv360_aaf_dsy_nonms_nd_nc_rng_varejo-familiaridade_na_trafego_cpm_prog_all_300x250_nc-3rd-party__amarok-taxazero_var-rng-aaf-dsy-0221-10098</v>
      </c>
      <c r="BO98" s="20"/>
      <c r="BP98" s="20"/>
    </row>
    <row r="99" spans="2:68" ht="15" hidden="1" customHeight="1" x14ac:dyDescent="0.25">
      <c r="B99" s="53" t="s">
        <v>996</v>
      </c>
      <c r="C99" s="53" t="s">
        <v>1193</v>
      </c>
      <c r="D99" s="53" t="s">
        <v>1172</v>
      </c>
      <c r="E99" s="54">
        <v>44299</v>
      </c>
      <c r="F99" s="54">
        <v>44316</v>
      </c>
      <c r="G99" s="53" t="s">
        <v>628</v>
      </c>
      <c r="H99" s="55" t="s">
        <v>1052</v>
      </c>
      <c r="I99" s="53" t="s">
        <v>777</v>
      </c>
      <c r="J99" s="56" t="s">
        <v>911</v>
      </c>
      <c r="K99" s="56" t="s">
        <v>911</v>
      </c>
      <c r="L99" s="53" t="s">
        <v>653</v>
      </c>
      <c r="M99" s="53" t="s">
        <v>287</v>
      </c>
      <c r="N99" s="53" t="s">
        <v>295</v>
      </c>
      <c r="O99" s="53" t="s">
        <v>317</v>
      </c>
      <c r="P99" s="53" t="s">
        <v>313</v>
      </c>
      <c r="Q99" s="53" t="s">
        <v>658</v>
      </c>
      <c r="R99" s="53" t="s">
        <v>277</v>
      </c>
      <c r="S99" s="53" t="s">
        <v>841</v>
      </c>
      <c r="T99" s="53" t="s">
        <v>938</v>
      </c>
      <c r="U99" s="53" t="s">
        <v>1054</v>
      </c>
      <c r="V99" s="53" t="s">
        <v>942</v>
      </c>
      <c r="W99" s="57"/>
      <c r="X99" s="53"/>
      <c r="Y99" s="53" t="s">
        <v>442</v>
      </c>
      <c r="Z99" s="53" t="s">
        <v>1196</v>
      </c>
      <c r="AA99" s="53" t="s">
        <v>47</v>
      </c>
      <c r="AB99" s="53" t="s">
        <v>911</v>
      </c>
      <c r="AC99" s="53" t="s">
        <v>911</v>
      </c>
      <c r="AD99" s="53" t="s">
        <v>1197</v>
      </c>
      <c r="AE99" s="53" t="s">
        <v>1108</v>
      </c>
      <c r="AF99" s="53" t="s">
        <v>624</v>
      </c>
      <c r="AG99" s="53" t="s">
        <v>1197</v>
      </c>
      <c r="AH99" s="53"/>
      <c r="AI99" s="57" t="str">
        <f t="shared" si="107"/>
        <v>alp_vw_dv360_aaf_dsy_nonms_nd_nc_rng_varejo-familiaridade_na_trafego_cpm_prog_all_300x600_nc-3rd-party__amarok-taxazero_var-rng-aaf-dsy-0221-10099</v>
      </c>
      <c r="AJ99" s="58" t="str">
        <f t="shared" si="107"/>
        <v>alp_vw_dv360_aaf_dsy_nonms_nd_nc_rng_varejo-familiaridade_na_trafego_cpm_prog_all_300x600_nc-3rd-party__amarok-taxazero_var-rng-aaf-dsy-0221-10099</v>
      </c>
      <c r="AK99" s="57" t="str">
        <f t="shared" si="108"/>
        <v>vw_range_300x600_amarok-taxazero_adserver</v>
      </c>
      <c r="AL99" s="57" t="str">
        <f t="shared" si="130"/>
        <v>https://ofertas.vw.com.br/modelo/?modelo=Amarok&amp;utm_source=dv360&amp;utm_medium=Paid-Display&amp;utm_content=alp_vw_dv360_aaf_dsy_nonms_nd_nc_rng_varejo-familiaridade_na_trafego_cpm_prog_all_300x600_nc-3rd-party__amarok-taxazero_var-rng-aaf-dsy-0221-10099&amp;utm_campaign=BR_AAF_DSY_NONMS_ND_NC_2021Q1FEB_RNG_Varejo-Familiaridade&amp;utm_term=%epid!_%ecid!_%eaid!</v>
      </c>
      <c r="AM99" s="57" t="str">
        <f t="shared" si="109"/>
        <v>TAG</v>
      </c>
      <c r="AN99" s="53" t="str">
        <f t="shared" si="131"/>
        <v>dv360</v>
      </c>
      <c r="AO99" s="53" t="str">
        <f t="shared" si="132"/>
        <v>Paid-Display</v>
      </c>
      <c r="AP99" s="57" t="str">
        <f>Campanha!$B$3</f>
        <v>BR_AAF_DSY_NONMS_ND_NC_2021Q1FEB_RNG_Varejo-Familiaridade</v>
      </c>
      <c r="AQ99" s="57" t="str">
        <f t="shared" si="110"/>
        <v>alp_vw_dv360_aaf_dsy_nonms_nd_nc_rng_varejo-familiaridade_na_trafego_cpm_prog_all_300x600_nc-3rd-party__amarok-taxazero_var-rng-aaf-dsy-0221-10099</v>
      </c>
      <c r="AR99" s="53" t="s">
        <v>722</v>
      </c>
      <c r="AS99" s="57" t="str">
        <f t="shared" si="111"/>
        <v>https://ofertas.vw.com.br/modelo/?modelo=Amarok&amp;utm_source=dv360&amp;utm_medium=Paid-Display&amp;utm_content=alp_vw_dv360_aaf_dsy_nonms_nd_nc_rng_varejo-familiaridade_na_trafego_cpm_prog_all_300x600_nc-3rd-party__amarok-taxazero_var-rng-aaf-dsy-0221-10099&amp;utm_campaign=BR_AAF_DSY_NONMS_ND_NC_2021Q1FEB_RNG_Varejo-Familiaridade&amp;utm_term=%epid!_%ecid!_%eaid!</v>
      </c>
      <c r="AT99" s="53" t="str">
        <f t="shared" si="133"/>
        <v>run-of-network</v>
      </c>
      <c r="AU99" s="53" t="str">
        <f t="shared" si="112"/>
        <v>BR</v>
      </c>
      <c r="AV99" s="53" t="str">
        <f t="shared" si="134"/>
        <v>dv360</v>
      </c>
      <c r="AW99" s="53" t="str">
        <f t="shared" si="135"/>
        <v>dv360</v>
      </c>
      <c r="AX99" s="53" t="str">
        <f t="shared" si="113"/>
        <v>varejo-familiaridade</v>
      </c>
      <c r="AY99" s="53" t="str">
        <f t="shared" si="136"/>
        <v>alp_vw_dv360_aaf_dsy_nonms_nd_nc_rng_varejo-familiaridade_na_trafego_cpm_prog_all_300x600_nc-3rd-party__amarok-taxazero_var-rng-aaf-dsy-0221-10099</v>
      </c>
      <c r="AZ99" s="53" t="str">
        <f t="shared" si="137"/>
        <v>300x600</v>
      </c>
      <c r="BA99" s="53" t="str">
        <f t="shared" si="138"/>
        <v>varejo-familiaridade</v>
      </c>
      <c r="BB99" s="53" t="s">
        <v>775</v>
      </c>
      <c r="BC99" s="53" t="s">
        <v>775</v>
      </c>
      <c r="BD99" s="53" t="str">
        <f t="shared" si="139"/>
        <v>var-rng-aaf-dsy-0221-10099</v>
      </c>
      <c r="BE99" s="53" t="str">
        <f t="shared" si="140"/>
        <v>BR</v>
      </c>
      <c r="BF99" s="53" t="str">
        <f t="shared" si="141"/>
        <v/>
      </c>
      <c r="BG99" s="53"/>
      <c r="BH99" s="53"/>
      <c r="BI99" s="59" t="str">
        <f t="shared" si="114"/>
        <v>https://ofertas.vw.com.br/modelo/?modelo=Amarok&amp;adlid=var-rng-aaf-dsy-0221-10099&amp;adplt=alp_vw_dv360_aaf_dsy_nonms_nd_nc_rng_varejo-familiaridade_na_trafego_cpm_prog_all_300x600_nc-3rd-party__amarok-taxazero_var-rng-aaf-dsy-0221-10099</v>
      </c>
      <c r="BL99" s="20" t="str">
        <f t="shared" si="115"/>
        <v>alp_vw_dv360_aaf_dsy_nonms_nd_nc_rng_varejo-familiaridade_na_trafego</v>
      </c>
      <c r="BM99" s="20" t="str">
        <f t="shared" si="116"/>
        <v>cpm_prog_all_300x600_nc-3rd-party_</v>
      </c>
      <c r="BN99" s="20" t="str">
        <f t="shared" si="117"/>
        <v>alp_vw_dv360_aaf_dsy_nonms_nd_nc_rng_varejo-familiaridade_na_trafego_cpm_prog_all_300x600_nc-3rd-party__amarok-taxazero_var-rng-aaf-dsy-0221-10099</v>
      </c>
      <c r="BO99" s="20"/>
      <c r="BP99" s="20"/>
    </row>
    <row r="100" spans="2:68" ht="15" hidden="1" customHeight="1" x14ac:dyDescent="0.25">
      <c r="B100" s="53" t="s">
        <v>996</v>
      </c>
      <c r="C100" s="53" t="s">
        <v>1193</v>
      </c>
      <c r="D100" s="53" t="s">
        <v>1172</v>
      </c>
      <c r="E100" s="54">
        <v>44299</v>
      </c>
      <c r="F100" s="54">
        <v>44316</v>
      </c>
      <c r="G100" s="53" t="s">
        <v>628</v>
      </c>
      <c r="H100" s="55" t="s">
        <v>1052</v>
      </c>
      <c r="I100" s="53" t="s">
        <v>777</v>
      </c>
      <c r="J100" s="56" t="s">
        <v>911</v>
      </c>
      <c r="K100" s="56" t="s">
        <v>911</v>
      </c>
      <c r="L100" s="53" t="s">
        <v>653</v>
      </c>
      <c r="M100" s="53" t="s">
        <v>287</v>
      </c>
      <c r="N100" s="53" t="s">
        <v>295</v>
      </c>
      <c r="O100" s="53" t="s">
        <v>317</v>
      </c>
      <c r="P100" s="53" t="s">
        <v>313</v>
      </c>
      <c r="Q100" s="53" t="s">
        <v>658</v>
      </c>
      <c r="R100" s="53" t="s">
        <v>277</v>
      </c>
      <c r="S100" s="53" t="s">
        <v>841</v>
      </c>
      <c r="T100" s="53" t="s">
        <v>938</v>
      </c>
      <c r="U100" s="53" t="s">
        <v>1054</v>
      </c>
      <c r="V100" s="53" t="s">
        <v>942</v>
      </c>
      <c r="W100" s="57"/>
      <c r="X100" s="53"/>
      <c r="Y100" s="53" t="s">
        <v>457</v>
      </c>
      <c r="Z100" s="53" t="s">
        <v>1196</v>
      </c>
      <c r="AA100" s="53" t="s">
        <v>47</v>
      </c>
      <c r="AB100" s="53" t="s">
        <v>911</v>
      </c>
      <c r="AC100" s="53" t="s">
        <v>911</v>
      </c>
      <c r="AD100" s="53" t="s">
        <v>1197</v>
      </c>
      <c r="AE100" s="53" t="s">
        <v>1108</v>
      </c>
      <c r="AF100" s="53" t="s">
        <v>624</v>
      </c>
      <c r="AG100" s="53" t="s">
        <v>1197</v>
      </c>
      <c r="AH100" s="53"/>
      <c r="AI100" s="57" t="str">
        <f t="shared" si="107"/>
        <v>alp_vw_dv360_aaf_dsy_nonms_nd_nc_rng_varejo-familiaridade_na_trafego_cpm_prog_all_320x50_nc-3rd-party__amarok-taxazero_var-rng-aaf-dsy-0221-10100</v>
      </c>
      <c r="AJ100" s="58" t="str">
        <f t="shared" si="107"/>
        <v>alp_vw_dv360_aaf_dsy_nonms_nd_nc_rng_varejo-familiaridade_na_trafego_cpm_prog_all_320x50_nc-3rd-party__amarok-taxazero_var-rng-aaf-dsy-0221-10100</v>
      </c>
      <c r="AK100" s="57" t="str">
        <f t="shared" si="108"/>
        <v>vw_range_320x50_amarok-taxazero_adserver</v>
      </c>
      <c r="AL100" s="57" t="str">
        <f t="shared" si="130"/>
        <v>https://ofertas.vw.com.br/modelo/?modelo=Amarok&amp;utm_source=dv360&amp;utm_medium=Paid-Display&amp;utm_content=alp_vw_dv360_aaf_dsy_nonms_nd_nc_rng_varejo-familiaridade_na_trafego_cpm_prog_all_320x50_nc-3rd-party__amarok-taxazero_var-rng-aaf-dsy-0221-10100&amp;utm_campaign=BR_AAF_DSY_NONMS_ND_NC_2021Q1FEB_RNG_Varejo-Familiaridade&amp;utm_term=%epid!_%ecid!_%eaid!</v>
      </c>
      <c r="AM100" s="57" t="str">
        <f t="shared" si="109"/>
        <v>TAG</v>
      </c>
      <c r="AN100" s="53" t="str">
        <f t="shared" si="131"/>
        <v>dv360</v>
      </c>
      <c r="AO100" s="53" t="str">
        <f t="shared" si="132"/>
        <v>Paid-Display</v>
      </c>
      <c r="AP100" s="57" t="str">
        <f>Campanha!$B$3</f>
        <v>BR_AAF_DSY_NONMS_ND_NC_2021Q1FEB_RNG_Varejo-Familiaridade</v>
      </c>
      <c r="AQ100" s="57" t="str">
        <f t="shared" si="110"/>
        <v>alp_vw_dv360_aaf_dsy_nonms_nd_nc_rng_varejo-familiaridade_na_trafego_cpm_prog_all_320x50_nc-3rd-party__amarok-taxazero_var-rng-aaf-dsy-0221-10100</v>
      </c>
      <c r="AR100" s="53" t="s">
        <v>722</v>
      </c>
      <c r="AS100" s="57" t="str">
        <f t="shared" si="111"/>
        <v>https://ofertas.vw.com.br/modelo/?modelo=Amarok&amp;utm_source=dv360&amp;utm_medium=Paid-Display&amp;utm_content=alp_vw_dv360_aaf_dsy_nonms_nd_nc_rng_varejo-familiaridade_na_trafego_cpm_prog_all_320x50_nc-3rd-party__amarok-taxazero_var-rng-aaf-dsy-0221-10100&amp;utm_campaign=BR_AAF_DSY_NONMS_ND_NC_2021Q1FEB_RNG_Varejo-Familiaridade&amp;utm_term=%epid!_%ecid!_%eaid!</v>
      </c>
      <c r="AT100" s="53" t="str">
        <f t="shared" si="133"/>
        <v>run-of-network</v>
      </c>
      <c r="AU100" s="53" t="str">
        <f t="shared" si="112"/>
        <v>BR</v>
      </c>
      <c r="AV100" s="53" t="str">
        <f t="shared" si="134"/>
        <v>dv360</v>
      </c>
      <c r="AW100" s="53" t="str">
        <f t="shared" si="135"/>
        <v>dv360</v>
      </c>
      <c r="AX100" s="53" t="str">
        <f t="shared" si="113"/>
        <v>varejo-familiaridade</v>
      </c>
      <c r="AY100" s="53" t="str">
        <f t="shared" si="136"/>
        <v>alp_vw_dv360_aaf_dsy_nonms_nd_nc_rng_varejo-familiaridade_na_trafego_cpm_prog_all_320x50_nc-3rd-party__amarok-taxazero_var-rng-aaf-dsy-0221-10100</v>
      </c>
      <c r="AZ100" s="53" t="str">
        <f t="shared" si="137"/>
        <v>320x50</v>
      </c>
      <c r="BA100" s="53" t="str">
        <f t="shared" si="138"/>
        <v>varejo-familiaridade</v>
      </c>
      <c r="BB100" s="53" t="s">
        <v>775</v>
      </c>
      <c r="BC100" s="53" t="s">
        <v>775</v>
      </c>
      <c r="BD100" s="53" t="str">
        <f t="shared" si="139"/>
        <v>var-rng-aaf-dsy-0221-10100</v>
      </c>
      <c r="BE100" s="53" t="str">
        <f t="shared" si="140"/>
        <v>BR</v>
      </c>
      <c r="BF100" s="53" t="str">
        <f t="shared" si="141"/>
        <v/>
      </c>
      <c r="BG100" s="53"/>
      <c r="BH100" s="53"/>
      <c r="BI100" s="59" t="str">
        <f t="shared" si="114"/>
        <v>https://ofertas.vw.com.br/modelo/?modelo=Amarok&amp;adlid=var-rng-aaf-dsy-0221-10100&amp;adplt=alp_vw_dv360_aaf_dsy_nonms_nd_nc_rng_varejo-familiaridade_na_trafego_cpm_prog_all_320x50_nc-3rd-party__amarok-taxazero_var-rng-aaf-dsy-0221-10100</v>
      </c>
      <c r="BL100" s="20" t="str">
        <f t="shared" si="115"/>
        <v>alp_vw_dv360_aaf_dsy_nonms_nd_nc_rng_varejo-familiaridade_na_trafego</v>
      </c>
      <c r="BM100" s="20" t="str">
        <f t="shared" si="116"/>
        <v>cpm_prog_all_320x50_nc-3rd-party_</v>
      </c>
      <c r="BN100" s="20" t="str">
        <f t="shared" si="117"/>
        <v>alp_vw_dv360_aaf_dsy_nonms_nd_nc_rng_varejo-familiaridade_na_trafego_cpm_prog_all_320x50_nc-3rd-party__amarok-taxazero_var-rng-aaf-dsy-0221-10100</v>
      </c>
      <c r="BO100" s="20"/>
      <c r="BP100" s="20"/>
    </row>
    <row r="101" spans="2:68" ht="15" hidden="1" customHeight="1" x14ac:dyDescent="0.25">
      <c r="B101" s="53" t="s">
        <v>996</v>
      </c>
      <c r="C101" s="53" t="s">
        <v>1193</v>
      </c>
      <c r="D101" s="53" t="s">
        <v>1172</v>
      </c>
      <c r="E101" s="54">
        <v>44299</v>
      </c>
      <c r="F101" s="54">
        <v>44316</v>
      </c>
      <c r="G101" s="53" t="s">
        <v>628</v>
      </c>
      <c r="H101" s="55" t="s">
        <v>1052</v>
      </c>
      <c r="I101" s="53" t="s">
        <v>777</v>
      </c>
      <c r="J101" s="56" t="s">
        <v>911</v>
      </c>
      <c r="K101" s="56" t="s">
        <v>911</v>
      </c>
      <c r="L101" s="53" t="s">
        <v>653</v>
      </c>
      <c r="M101" s="53" t="s">
        <v>287</v>
      </c>
      <c r="N101" s="53" t="s">
        <v>295</v>
      </c>
      <c r="O101" s="53" t="s">
        <v>317</v>
      </c>
      <c r="P101" s="53" t="s">
        <v>313</v>
      </c>
      <c r="Q101" s="53" t="s">
        <v>658</v>
      </c>
      <c r="R101" s="53" t="s">
        <v>277</v>
      </c>
      <c r="S101" s="53" t="s">
        <v>841</v>
      </c>
      <c r="T101" s="53" t="s">
        <v>938</v>
      </c>
      <c r="U101" s="53" t="s">
        <v>1054</v>
      </c>
      <c r="V101" s="53" t="s">
        <v>942</v>
      </c>
      <c r="W101" s="57"/>
      <c r="X101" s="53"/>
      <c r="Y101" s="53" t="s">
        <v>568</v>
      </c>
      <c r="Z101" s="53" t="s">
        <v>1196</v>
      </c>
      <c r="AA101" s="53" t="s">
        <v>47</v>
      </c>
      <c r="AB101" s="53" t="s">
        <v>911</v>
      </c>
      <c r="AC101" s="53" t="s">
        <v>911</v>
      </c>
      <c r="AD101" s="53" t="s">
        <v>1197</v>
      </c>
      <c r="AE101" s="53" t="s">
        <v>1108</v>
      </c>
      <c r="AF101" s="53" t="s">
        <v>624</v>
      </c>
      <c r="AG101" s="53" t="s">
        <v>1197</v>
      </c>
      <c r="AH101" s="53"/>
      <c r="AI101" s="57" t="str">
        <f t="shared" si="107"/>
        <v>alp_vw_dv360_aaf_dsy_nonms_nd_nc_rng_varejo-familiaridade_na_trafego_cpm_prog_all_728x90_nc-3rd-party__amarok-taxazero_var-rng-aaf-dsy-0221-10101</v>
      </c>
      <c r="AJ101" s="58" t="str">
        <f t="shared" si="107"/>
        <v>alp_vw_dv360_aaf_dsy_nonms_nd_nc_rng_varejo-familiaridade_na_trafego_cpm_prog_all_728x90_nc-3rd-party__amarok-taxazero_var-rng-aaf-dsy-0221-10101</v>
      </c>
      <c r="AK101" s="57" t="str">
        <f t="shared" si="108"/>
        <v>vw_range_728x90_amarok-taxazero_adserver</v>
      </c>
      <c r="AL101" s="57" t="str">
        <f t="shared" si="130"/>
        <v>https://ofertas.vw.com.br/modelo/?modelo=Amarok&amp;utm_source=dv360&amp;utm_medium=Paid-Display&amp;utm_content=alp_vw_dv360_aaf_dsy_nonms_nd_nc_rng_varejo-familiaridade_na_trafego_cpm_prog_all_728x90_nc-3rd-party__amarok-taxazero_var-rng-aaf-dsy-0221-10101&amp;utm_campaign=BR_AAF_DSY_NONMS_ND_NC_2021Q1FEB_RNG_Varejo-Familiaridade&amp;utm_term=%epid!_%ecid!_%eaid!</v>
      </c>
      <c r="AM101" s="57" t="str">
        <f t="shared" si="109"/>
        <v>TAG</v>
      </c>
      <c r="AN101" s="53" t="str">
        <f t="shared" si="131"/>
        <v>dv360</v>
      </c>
      <c r="AO101" s="53" t="str">
        <f t="shared" si="132"/>
        <v>Paid-Display</v>
      </c>
      <c r="AP101" s="57" t="str">
        <f>Campanha!$B$3</f>
        <v>BR_AAF_DSY_NONMS_ND_NC_2021Q1FEB_RNG_Varejo-Familiaridade</v>
      </c>
      <c r="AQ101" s="57" t="str">
        <f t="shared" si="110"/>
        <v>alp_vw_dv360_aaf_dsy_nonms_nd_nc_rng_varejo-familiaridade_na_trafego_cpm_prog_all_728x90_nc-3rd-party__amarok-taxazero_var-rng-aaf-dsy-0221-10101</v>
      </c>
      <c r="AR101" s="53" t="s">
        <v>722</v>
      </c>
      <c r="AS101" s="57" t="str">
        <f t="shared" si="111"/>
        <v>https://ofertas.vw.com.br/modelo/?modelo=Amarok&amp;utm_source=dv360&amp;utm_medium=Paid-Display&amp;utm_content=alp_vw_dv360_aaf_dsy_nonms_nd_nc_rng_varejo-familiaridade_na_trafego_cpm_prog_all_728x90_nc-3rd-party__amarok-taxazero_var-rng-aaf-dsy-0221-10101&amp;utm_campaign=BR_AAF_DSY_NONMS_ND_NC_2021Q1FEB_RNG_Varejo-Familiaridade&amp;utm_term=%epid!_%ecid!_%eaid!</v>
      </c>
      <c r="AT101" s="53" t="str">
        <f t="shared" si="133"/>
        <v>run-of-network</v>
      </c>
      <c r="AU101" s="53" t="str">
        <f t="shared" si="112"/>
        <v>BR</v>
      </c>
      <c r="AV101" s="53" t="str">
        <f t="shared" si="134"/>
        <v>dv360</v>
      </c>
      <c r="AW101" s="53" t="str">
        <f t="shared" si="135"/>
        <v>dv360</v>
      </c>
      <c r="AX101" s="53" t="str">
        <f t="shared" si="113"/>
        <v>varejo-familiaridade</v>
      </c>
      <c r="AY101" s="53" t="str">
        <f t="shared" si="136"/>
        <v>alp_vw_dv360_aaf_dsy_nonms_nd_nc_rng_varejo-familiaridade_na_trafego_cpm_prog_all_728x90_nc-3rd-party__amarok-taxazero_var-rng-aaf-dsy-0221-10101</v>
      </c>
      <c r="AZ101" s="53" t="str">
        <f t="shared" si="137"/>
        <v>728x90</v>
      </c>
      <c r="BA101" s="53" t="str">
        <f t="shared" si="138"/>
        <v>varejo-familiaridade</v>
      </c>
      <c r="BB101" s="53" t="s">
        <v>775</v>
      </c>
      <c r="BC101" s="53" t="s">
        <v>775</v>
      </c>
      <c r="BD101" s="53" t="str">
        <f t="shared" si="139"/>
        <v>var-rng-aaf-dsy-0221-10101</v>
      </c>
      <c r="BE101" s="53" t="str">
        <f t="shared" si="140"/>
        <v>BR</v>
      </c>
      <c r="BF101" s="53" t="str">
        <f t="shared" si="141"/>
        <v/>
      </c>
      <c r="BG101" s="53"/>
      <c r="BH101" s="53"/>
      <c r="BI101" s="59" t="str">
        <f t="shared" si="114"/>
        <v>https://ofertas.vw.com.br/modelo/?modelo=Amarok&amp;adlid=var-rng-aaf-dsy-0221-10101&amp;adplt=alp_vw_dv360_aaf_dsy_nonms_nd_nc_rng_varejo-familiaridade_na_trafego_cpm_prog_all_728x90_nc-3rd-party__amarok-taxazero_var-rng-aaf-dsy-0221-10101</v>
      </c>
      <c r="BL101" s="20" t="str">
        <f t="shared" si="115"/>
        <v>alp_vw_dv360_aaf_dsy_nonms_nd_nc_rng_varejo-familiaridade_na_trafego</v>
      </c>
      <c r="BM101" s="20" t="str">
        <f t="shared" si="116"/>
        <v>cpm_prog_all_728x90_nc-3rd-party_</v>
      </c>
      <c r="BN101" s="20" t="str">
        <f t="shared" si="117"/>
        <v>alp_vw_dv360_aaf_dsy_nonms_nd_nc_rng_varejo-familiaridade_na_trafego_cpm_prog_all_728x90_nc-3rd-party__amarok-taxazero_var-rng-aaf-dsy-0221-10101</v>
      </c>
      <c r="BO101" s="20"/>
      <c r="BP101" s="20"/>
    </row>
    <row r="102" spans="2:68" ht="15" hidden="1" customHeight="1" x14ac:dyDescent="0.25">
      <c r="B102" s="53" t="s">
        <v>996</v>
      </c>
      <c r="C102" s="53" t="s">
        <v>1193</v>
      </c>
      <c r="D102" s="53" t="s">
        <v>1172</v>
      </c>
      <c r="E102" s="54">
        <v>44299</v>
      </c>
      <c r="F102" s="54">
        <v>44316</v>
      </c>
      <c r="G102" s="53" t="s">
        <v>628</v>
      </c>
      <c r="H102" s="55" t="s">
        <v>1052</v>
      </c>
      <c r="I102" s="53" t="s">
        <v>777</v>
      </c>
      <c r="J102" s="56" t="s">
        <v>911</v>
      </c>
      <c r="K102" s="56" t="s">
        <v>911</v>
      </c>
      <c r="L102" s="53" t="s">
        <v>653</v>
      </c>
      <c r="M102" s="53" t="s">
        <v>287</v>
      </c>
      <c r="N102" s="53" t="s">
        <v>295</v>
      </c>
      <c r="O102" s="53" t="s">
        <v>317</v>
      </c>
      <c r="P102" s="53" t="s">
        <v>313</v>
      </c>
      <c r="Q102" s="53" t="s">
        <v>658</v>
      </c>
      <c r="R102" s="53" t="s">
        <v>277</v>
      </c>
      <c r="S102" s="53" t="s">
        <v>841</v>
      </c>
      <c r="T102" s="53" t="s">
        <v>938</v>
      </c>
      <c r="U102" s="53" t="s">
        <v>1054</v>
      </c>
      <c r="V102" s="53" t="s">
        <v>944</v>
      </c>
      <c r="W102" s="53" t="s">
        <v>624</v>
      </c>
      <c r="X102" s="53"/>
      <c r="Y102" s="53" t="s">
        <v>412</v>
      </c>
      <c r="Z102" s="58" t="s">
        <v>1107</v>
      </c>
      <c r="AA102" s="57" t="s">
        <v>1194</v>
      </c>
      <c r="AB102" s="57" t="s">
        <v>1198</v>
      </c>
      <c r="AC102" s="57" t="s">
        <v>1093</v>
      </c>
      <c r="AD102" s="53" t="s">
        <v>911</v>
      </c>
      <c r="AE102" s="53" t="s">
        <v>653</v>
      </c>
      <c r="AF102" s="57" t="s">
        <v>1048</v>
      </c>
      <c r="AG102" s="57" t="s">
        <v>1107</v>
      </c>
      <c r="AH102" s="53"/>
      <c r="AI102" s="57" t="str">
        <f t="shared" si="107"/>
        <v>alp_vw_dv360_aaf_dsy_nonms_nd_nc_rng_varejo-familiaridade_na_trafego_cpm_prog_all_160x600_nc-inmarket_nativeads_amarok-taxazero_var-rng-aaf-dsy-0221-10102</v>
      </c>
      <c r="AJ102" s="58" t="str">
        <f t="shared" si="107"/>
        <v>alp_vw_dv360_aaf_dsy_nonms_nd_nc_rng_varejo-familiaridade_na_trafego_cpm_prog_all_160x600_nc-inmarket_nativeads_amarok-taxazero_var-rng-aaf-dsy-0221-10102</v>
      </c>
      <c r="AK102" s="57" t="str">
        <f t="shared" si="108"/>
        <v>vw_range_160x600_amarok-taxazero_adserver</v>
      </c>
      <c r="AL102" s="57" t="str">
        <f t="shared" si="130"/>
        <v>https://ofertas.vw.com.br/modelo/?modelo=Amarok&amp;utm_source=dv360&amp;utm_medium=Paid-Display&amp;utm_content=alp_vw_dv360_aaf_dsy_nonms_nd_nc_rng_varejo-familiaridade_na_trafego_cpm_prog_all_160x600_nc-inmarket_nativeads_amarok-taxazero_var-rng-aaf-dsy-0221-10102&amp;utm_campaign=BR_AAF_DSY_NONMS_ND_NC_2021Q1FEB_RNG_Varejo-Familiaridade&amp;utm_term=%epid!_%ecid!_%eaid!</v>
      </c>
      <c r="AM102" s="57" t="str">
        <f t="shared" si="109"/>
        <v>TAG</v>
      </c>
      <c r="AN102" s="53" t="str">
        <f t="shared" si="131"/>
        <v>dv360</v>
      </c>
      <c r="AO102" s="53" t="str">
        <f t="shared" si="132"/>
        <v>Paid-Display</v>
      </c>
      <c r="AP102" s="57" t="str">
        <f>Campanha!$B$3</f>
        <v>BR_AAF_DSY_NONMS_ND_NC_2021Q1FEB_RNG_Varejo-Familiaridade</v>
      </c>
      <c r="AQ102" s="57" t="str">
        <f t="shared" si="110"/>
        <v>alp_vw_dv360_aaf_dsy_nonms_nd_nc_rng_varejo-familiaridade_na_trafego_cpm_prog_all_160x600_nc-inmarket_nativeads_amarok-taxazero_var-rng-aaf-dsy-0221-10102</v>
      </c>
      <c r="AR102" s="53" t="s">
        <v>722</v>
      </c>
      <c r="AS102" s="57" t="str">
        <f t="shared" si="111"/>
        <v>https://ofertas.vw.com.br/modelo/?modelo=Amarok&amp;utm_source=dv360&amp;utm_medium=Paid-Display&amp;utm_content=alp_vw_dv360_aaf_dsy_nonms_nd_nc_rng_varejo-familiaridade_na_trafego_cpm_prog_all_160x600_nc-inmarket_nativeads_amarok-taxazero_var-rng-aaf-dsy-0221-10102&amp;utm_campaign=BR_AAF_DSY_NONMS_ND_NC_2021Q1FEB_RNG_Varejo-Familiaridade&amp;utm_term=%epid!_%ecid!_%eaid!</v>
      </c>
      <c r="AT102" s="53" t="str">
        <f t="shared" si="133"/>
        <v>run-of-network</v>
      </c>
      <c r="AU102" s="53" t="str">
        <f t="shared" si="112"/>
        <v>BR</v>
      </c>
      <c r="AV102" s="53" t="str">
        <f t="shared" si="134"/>
        <v>dv360</v>
      </c>
      <c r="AW102" s="53" t="str">
        <f t="shared" si="135"/>
        <v>dv360</v>
      </c>
      <c r="AX102" s="53" t="str">
        <f t="shared" si="113"/>
        <v>varejo-familiaridade</v>
      </c>
      <c r="AY102" s="53" t="str">
        <f t="shared" si="136"/>
        <v>alp_vw_dv360_aaf_dsy_nonms_nd_nc_rng_varejo-familiaridade_na_trafego_cpm_prog_all_160x600_nc-inmarket_nativeads_amarok-taxazero_var-rng-aaf-dsy-0221-10102</v>
      </c>
      <c r="AZ102" s="53" t="str">
        <f t="shared" si="137"/>
        <v>160x600</v>
      </c>
      <c r="BA102" s="53" t="str">
        <f t="shared" si="138"/>
        <v>varejo-familiaridade</v>
      </c>
      <c r="BB102" s="53" t="s">
        <v>775</v>
      </c>
      <c r="BC102" s="53" t="s">
        <v>775</v>
      </c>
      <c r="BD102" s="53" t="str">
        <f t="shared" si="139"/>
        <v>var-rng-aaf-dsy-0221-10102</v>
      </c>
      <c r="BE102" s="53" t="str">
        <f t="shared" si="140"/>
        <v>BR</v>
      </c>
      <c r="BF102" s="53" t="str">
        <f t="shared" si="141"/>
        <v/>
      </c>
      <c r="BG102" s="53"/>
      <c r="BH102" s="53"/>
      <c r="BI102" s="59" t="str">
        <f t="shared" si="114"/>
        <v>https://ofertas.vw.com.br/modelo/?modelo=Amarok&amp;adlid=var-rng-aaf-dsy-0221-10102&amp;adplt=alp_vw_dv360_aaf_dsy_nonms_nd_nc_rng_varejo-familiaridade_na_trafego_cpm_prog_all_160x600_nc-inmarket_nativeads_amarok-taxazero_var-rng-aaf-dsy-0221-10102</v>
      </c>
      <c r="BL102" s="20" t="str">
        <f t="shared" si="115"/>
        <v>alp_vw_dv360_aaf_dsy_nonms_nd_nc_rng_varejo-familiaridade_na_trafego</v>
      </c>
      <c r="BM102" s="20" t="str">
        <f t="shared" si="116"/>
        <v>cpm_prog_all_160x600_nc-inmarket_nativeads</v>
      </c>
      <c r="BN102" s="20" t="str">
        <f t="shared" si="117"/>
        <v>alp_vw_dv360_aaf_dsy_nonms_nd_nc_rng_varejo-familiaridade_na_trafego_cpm_prog_all_160x600_nc-inmarket_nativeads_amarok-taxazero_var-rng-aaf-dsy-0221-10102</v>
      </c>
      <c r="BO102" s="20"/>
      <c r="BP102" s="20"/>
    </row>
    <row r="103" spans="2:68" ht="15" hidden="1" customHeight="1" x14ac:dyDescent="0.25">
      <c r="B103" s="53" t="s">
        <v>996</v>
      </c>
      <c r="C103" s="53" t="s">
        <v>1193</v>
      </c>
      <c r="D103" s="53" t="s">
        <v>1172</v>
      </c>
      <c r="E103" s="54">
        <v>44299</v>
      </c>
      <c r="F103" s="54">
        <v>44316</v>
      </c>
      <c r="G103" s="53" t="s">
        <v>628</v>
      </c>
      <c r="H103" s="55" t="s">
        <v>1052</v>
      </c>
      <c r="I103" s="53" t="s">
        <v>777</v>
      </c>
      <c r="J103" s="56" t="s">
        <v>911</v>
      </c>
      <c r="K103" s="56" t="s">
        <v>911</v>
      </c>
      <c r="L103" s="53" t="s">
        <v>653</v>
      </c>
      <c r="M103" s="53" t="s">
        <v>287</v>
      </c>
      <c r="N103" s="53" t="s">
        <v>295</v>
      </c>
      <c r="O103" s="53" t="s">
        <v>317</v>
      </c>
      <c r="P103" s="53" t="s">
        <v>313</v>
      </c>
      <c r="Q103" s="53" t="s">
        <v>658</v>
      </c>
      <c r="R103" s="53" t="s">
        <v>277</v>
      </c>
      <c r="S103" s="53" t="s">
        <v>841</v>
      </c>
      <c r="T103" s="53" t="s">
        <v>938</v>
      </c>
      <c r="U103" s="53" t="s">
        <v>1054</v>
      </c>
      <c r="V103" s="53" t="s">
        <v>944</v>
      </c>
      <c r="W103" s="57"/>
      <c r="X103" s="53"/>
      <c r="Y103" s="53" t="s">
        <v>439</v>
      </c>
      <c r="Z103" s="53" t="s">
        <v>1196</v>
      </c>
      <c r="AA103" s="53" t="s">
        <v>47</v>
      </c>
      <c r="AB103" s="53" t="s">
        <v>911</v>
      </c>
      <c r="AC103" s="53" t="s">
        <v>911</v>
      </c>
      <c r="AD103" s="53" t="s">
        <v>1197</v>
      </c>
      <c r="AE103" s="53" t="s">
        <v>1107</v>
      </c>
      <c r="AF103" s="53" t="s">
        <v>624</v>
      </c>
      <c r="AG103" s="53" t="s">
        <v>1197</v>
      </c>
      <c r="AH103" s="53"/>
      <c r="AI103" s="57" t="str">
        <f t="shared" ref="AI103:AJ118" si="142">LOWER(CONCATENATE(col_campanhaanunciante,"_",col_grupoanunciante,"_",col_linhacriativa2,"_",col_adlid))</f>
        <v>alp_vw_dv360_aaf_dsy_nonms_nd_nc_rng_varejo-familiaridade_na_trafego_cpm_prog_all_300x50_nc-inmarket__amarok-taxazero_var-rng-aaf-dsy-0221-10103</v>
      </c>
      <c r="AJ103" s="58" t="str">
        <f t="shared" si="142"/>
        <v>alp_vw_dv360_aaf_dsy_nonms_nd_nc_rng_varejo-familiaridade_na_trafego_cpm_prog_all_300x50_nc-inmarket__amarok-taxazero_var-rng-aaf-dsy-0221-10103</v>
      </c>
      <c r="AK103" s="57" t="str">
        <f t="shared" si="108"/>
        <v>vw_range_300x50_amarok-taxazero_adserver</v>
      </c>
      <c r="AL103" s="57" t="str">
        <f t="shared" si="130"/>
        <v>https://ofertas.vw.com.br/modelo/?modelo=Amarok&amp;utm_source=dv360&amp;utm_medium=Paid-Display&amp;utm_content=alp_vw_dv360_aaf_dsy_nonms_nd_nc_rng_varejo-familiaridade_na_trafego_cpm_prog_all_300x50_nc-inmarket__amarok-taxazero_var-rng-aaf-dsy-0221-10103&amp;utm_campaign=BR_AAF_DSY_NONMS_ND_NC_2021Q1FEB_RNG_Varejo-Familiaridade&amp;utm_term=%epid!_%ecid!_%eaid!</v>
      </c>
      <c r="AM103" s="57" t="str">
        <f t="shared" si="109"/>
        <v>TAG</v>
      </c>
      <c r="AN103" s="53" t="str">
        <f t="shared" si="131"/>
        <v>dv360</v>
      </c>
      <c r="AO103" s="53" t="str">
        <f t="shared" si="132"/>
        <v>Paid-Display</v>
      </c>
      <c r="AP103" s="57" t="str">
        <f>Campanha!$B$3</f>
        <v>BR_AAF_DSY_NONMS_ND_NC_2021Q1FEB_RNG_Varejo-Familiaridade</v>
      </c>
      <c r="AQ103" s="57" t="str">
        <f t="shared" si="110"/>
        <v>alp_vw_dv360_aaf_dsy_nonms_nd_nc_rng_varejo-familiaridade_na_trafego_cpm_prog_all_300x50_nc-inmarket__amarok-taxazero_var-rng-aaf-dsy-0221-10103</v>
      </c>
      <c r="AR103" s="53" t="s">
        <v>722</v>
      </c>
      <c r="AS103" s="57" t="str">
        <f t="shared" si="111"/>
        <v>https://ofertas.vw.com.br/modelo/?modelo=Amarok&amp;utm_source=dv360&amp;utm_medium=Paid-Display&amp;utm_content=alp_vw_dv360_aaf_dsy_nonms_nd_nc_rng_varejo-familiaridade_na_trafego_cpm_prog_all_300x50_nc-inmarket__amarok-taxazero_var-rng-aaf-dsy-0221-10103&amp;utm_campaign=BR_AAF_DSY_NONMS_ND_NC_2021Q1FEB_RNG_Varejo-Familiaridade&amp;utm_term=%epid!_%ecid!_%eaid!</v>
      </c>
      <c r="AT103" s="53" t="str">
        <f t="shared" si="133"/>
        <v>run-of-network</v>
      </c>
      <c r="AU103" s="53" t="str">
        <f t="shared" si="112"/>
        <v>BR</v>
      </c>
      <c r="AV103" s="53" t="str">
        <f t="shared" si="134"/>
        <v>dv360</v>
      </c>
      <c r="AW103" s="53" t="str">
        <f t="shared" si="135"/>
        <v>dv360</v>
      </c>
      <c r="AX103" s="53" t="str">
        <f t="shared" si="113"/>
        <v>varejo-familiaridade</v>
      </c>
      <c r="AY103" s="53" t="str">
        <f t="shared" si="136"/>
        <v>alp_vw_dv360_aaf_dsy_nonms_nd_nc_rng_varejo-familiaridade_na_trafego_cpm_prog_all_300x50_nc-inmarket__amarok-taxazero_var-rng-aaf-dsy-0221-10103</v>
      </c>
      <c r="AZ103" s="53" t="str">
        <f t="shared" si="137"/>
        <v>300x50</v>
      </c>
      <c r="BA103" s="53" t="str">
        <f t="shared" si="138"/>
        <v>varejo-familiaridade</v>
      </c>
      <c r="BB103" s="53" t="s">
        <v>775</v>
      </c>
      <c r="BC103" s="53" t="s">
        <v>775</v>
      </c>
      <c r="BD103" s="53" t="str">
        <f t="shared" si="139"/>
        <v>var-rng-aaf-dsy-0221-10103</v>
      </c>
      <c r="BE103" s="53" t="str">
        <f t="shared" si="140"/>
        <v>BR</v>
      </c>
      <c r="BF103" s="53" t="str">
        <f t="shared" si="141"/>
        <v/>
      </c>
      <c r="BG103" s="53"/>
      <c r="BH103" s="53"/>
      <c r="BI103" s="59" t="str">
        <f t="shared" si="114"/>
        <v>https://ofertas.vw.com.br/modelo/?modelo=Amarok&amp;adlid=var-rng-aaf-dsy-0221-10103&amp;adplt=alp_vw_dv360_aaf_dsy_nonms_nd_nc_rng_varejo-familiaridade_na_trafego_cpm_prog_all_300x50_nc-inmarket__amarok-taxazero_var-rng-aaf-dsy-0221-10103</v>
      </c>
      <c r="BL103" s="20" t="str">
        <f t="shared" si="115"/>
        <v>alp_vw_dv360_aaf_dsy_nonms_nd_nc_rng_varejo-familiaridade_na_trafego</v>
      </c>
      <c r="BM103" s="20" t="str">
        <f t="shared" si="116"/>
        <v>cpm_prog_all_300x50_nc-inmarket_</v>
      </c>
      <c r="BN103" s="20" t="str">
        <f t="shared" si="117"/>
        <v>alp_vw_dv360_aaf_dsy_nonms_nd_nc_rng_varejo-familiaridade_na_trafego_cpm_prog_all_300x50_nc-inmarket__amarok-taxazero_var-rng-aaf-dsy-0221-10103</v>
      </c>
      <c r="BO103" s="20"/>
      <c r="BP103" s="20"/>
    </row>
    <row r="104" spans="2:68" ht="15" hidden="1" customHeight="1" x14ac:dyDescent="0.25">
      <c r="B104" s="53" t="s">
        <v>996</v>
      </c>
      <c r="C104" s="53" t="s">
        <v>1193</v>
      </c>
      <c r="D104" s="53" t="s">
        <v>1172</v>
      </c>
      <c r="E104" s="54">
        <v>44299</v>
      </c>
      <c r="F104" s="54">
        <v>44316</v>
      </c>
      <c r="G104" s="53" t="s">
        <v>628</v>
      </c>
      <c r="H104" s="55" t="s">
        <v>1052</v>
      </c>
      <c r="I104" s="53" t="s">
        <v>777</v>
      </c>
      <c r="J104" s="56" t="s">
        <v>911</v>
      </c>
      <c r="K104" s="56" t="s">
        <v>911</v>
      </c>
      <c r="L104" s="53" t="s">
        <v>653</v>
      </c>
      <c r="M104" s="53" t="s">
        <v>287</v>
      </c>
      <c r="N104" s="53" t="s">
        <v>295</v>
      </c>
      <c r="O104" s="53" t="s">
        <v>317</v>
      </c>
      <c r="P104" s="53" t="s">
        <v>313</v>
      </c>
      <c r="Q104" s="53" t="s">
        <v>658</v>
      </c>
      <c r="R104" s="53" t="s">
        <v>277</v>
      </c>
      <c r="S104" s="53" t="s">
        <v>841</v>
      </c>
      <c r="T104" s="53" t="s">
        <v>938</v>
      </c>
      <c r="U104" s="53" t="s">
        <v>1054</v>
      </c>
      <c r="V104" s="53" t="s">
        <v>944</v>
      </c>
      <c r="W104" s="57"/>
      <c r="X104" s="53"/>
      <c r="Y104" s="53" t="s">
        <v>433</v>
      </c>
      <c r="Z104" s="53" t="s">
        <v>1196</v>
      </c>
      <c r="AA104" s="53" t="s">
        <v>47</v>
      </c>
      <c r="AB104" s="53" t="s">
        <v>911</v>
      </c>
      <c r="AC104" s="53" t="s">
        <v>911</v>
      </c>
      <c r="AD104" s="53" t="s">
        <v>1197</v>
      </c>
      <c r="AE104" s="53" t="s">
        <v>1107</v>
      </c>
      <c r="AF104" s="53" t="s">
        <v>624</v>
      </c>
      <c r="AG104" s="53" t="s">
        <v>1197</v>
      </c>
      <c r="AH104" s="53"/>
      <c r="AI104" s="57" t="str">
        <f t="shared" si="142"/>
        <v>alp_vw_dv360_aaf_dsy_nonms_nd_nc_rng_varejo-familiaridade_na_trafego_cpm_prog_all_300x250_nc-inmarket__amarok-taxazero_var-rng-aaf-dsy-0221-10104</v>
      </c>
      <c r="AJ104" s="58" t="str">
        <f t="shared" si="142"/>
        <v>alp_vw_dv360_aaf_dsy_nonms_nd_nc_rng_varejo-familiaridade_na_trafego_cpm_prog_all_300x250_nc-inmarket__amarok-taxazero_var-rng-aaf-dsy-0221-10104</v>
      </c>
      <c r="AK104" s="57" t="str">
        <f t="shared" si="108"/>
        <v>vw_range_300x250_amarok-taxazero_adserver</v>
      </c>
      <c r="AL104" s="57" t="str">
        <f t="shared" si="130"/>
        <v>https://ofertas.vw.com.br/modelo/?modelo=Amarok&amp;utm_source=dv360&amp;utm_medium=Paid-Display&amp;utm_content=alp_vw_dv360_aaf_dsy_nonms_nd_nc_rng_varejo-familiaridade_na_trafego_cpm_prog_all_300x250_nc-inmarket__amarok-taxazero_var-rng-aaf-dsy-0221-10104&amp;utm_campaign=BR_AAF_DSY_NONMS_ND_NC_2021Q1FEB_RNG_Varejo-Familiaridade&amp;utm_term=%epid!_%ecid!_%eaid!</v>
      </c>
      <c r="AM104" s="57" t="str">
        <f t="shared" si="109"/>
        <v>TAG</v>
      </c>
      <c r="AN104" s="53" t="str">
        <f t="shared" si="131"/>
        <v>dv360</v>
      </c>
      <c r="AO104" s="53" t="str">
        <f t="shared" si="132"/>
        <v>Paid-Display</v>
      </c>
      <c r="AP104" s="57" t="str">
        <f>Campanha!$B$3</f>
        <v>BR_AAF_DSY_NONMS_ND_NC_2021Q1FEB_RNG_Varejo-Familiaridade</v>
      </c>
      <c r="AQ104" s="57" t="str">
        <f t="shared" si="110"/>
        <v>alp_vw_dv360_aaf_dsy_nonms_nd_nc_rng_varejo-familiaridade_na_trafego_cpm_prog_all_300x250_nc-inmarket__amarok-taxazero_var-rng-aaf-dsy-0221-10104</v>
      </c>
      <c r="AR104" s="53" t="s">
        <v>722</v>
      </c>
      <c r="AS104" s="57" t="str">
        <f t="shared" si="111"/>
        <v>https://ofertas.vw.com.br/modelo/?modelo=Amarok&amp;utm_source=dv360&amp;utm_medium=Paid-Display&amp;utm_content=alp_vw_dv360_aaf_dsy_nonms_nd_nc_rng_varejo-familiaridade_na_trafego_cpm_prog_all_300x250_nc-inmarket__amarok-taxazero_var-rng-aaf-dsy-0221-10104&amp;utm_campaign=BR_AAF_DSY_NONMS_ND_NC_2021Q1FEB_RNG_Varejo-Familiaridade&amp;utm_term=%epid!_%ecid!_%eaid!</v>
      </c>
      <c r="AT104" s="53" t="str">
        <f t="shared" si="133"/>
        <v>run-of-network</v>
      </c>
      <c r="AU104" s="53" t="str">
        <f t="shared" si="112"/>
        <v>BR</v>
      </c>
      <c r="AV104" s="53" t="str">
        <f t="shared" si="134"/>
        <v>dv360</v>
      </c>
      <c r="AW104" s="53" t="str">
        <f t="shared" si="135"/>
        <v>dv360</v>
      </c>
      <c r="AX104" s="53" t="str">
        <f t="shared" si="113"/>
        <v>varejo-familiaridade</v>
      </c>
      <c r="AY104" s="53" t="str">
        <f t="shared" si="136"/>
        <v>alp_vw_dv360_aaf_dsy_nonms_nd_nc_rng_varejo-familiaridade_na_trafego_cpm_prog_all_300x250_nc-inmarket__amarok-taxazero_var-rng-aaf-dsy-0221-10104</v>
      </c>
      <c r="AZ104" s="53" t="str">
        <f t="shared" si="137"/>
        <v>300x250</v>
      </c>
      <c r="BA104" s="53" t="str">
        <f t="shared" si="138"/>
        <v>varejo-familiaridade</v>
      </c>
      <c r="BB104" s="53" t="s">
        <v>775</v>
      </c>
      <c r="BC104" s="53" t="s">
        <v>775</v>
      </c>
      <c r="BD104" s="53" t="str">
        <f t="shared" si="139"/>
        <v>var-rng-aaf-dsy-0221-10104</v>
      </c>
      <c r="BE104" s="53" t="str">
        <f t="shared" si="140"/>
        <v>BR</v>
      </c>
      <c r="BF104" s="53" t="str">
        <f t="shared" si="141"/>
        <v/>
      </c>
      <c r="BG104" s="53"/>
      <c r="BH104" s="53"/>
      <c r="BI104" s="59" t="str">
        <f t="shared" si="114"/>
        <v>https://ofertas.vw.com.br/modelo/?modelo=Amarok&amp;adlid=var-rng-aaf-dsy-0221-10104&amp;adplt=alp_vw_dv360_aaf_dsy_nonms_nd_nc_rng_varejo-familiaridade_na_trafego_cpm_prog_all_300x250_nc-inmarket__amarok-taxazero_var-rng-aaf-dsy-0221-10104</v>
      </c>
      <c r="BL104" s="20" t="str">
        <f t="shared" si="115"/>
        <v>alp_vw_dv360_aaf_dsy_nonms_nd_nc_rng_varejo-familiaridade_na_trafego</v>
      </c>
      <c r="BM104" s="20" t="str">
        <f t="shared" si="116"/>
        <v>cpm_prog_all_300x250_nc-inmarket_</v>
      </c>
      <c r="BN104" s="20" t="str">
        <f t="shared" si="117"/>
        <v>alp_vw_dv360_aaf_dsy_nonms_nd_nc_rng_varejo-familiaridade_na_trafego_cpm_prog_all_300x250_nc-inmarket__amarok-taxazero_var-rng-aaf-dsy-0221-10104</v>
      </c>
      <c r="BO104" s="20"/>
      <c r="BP104" s="20"/>
    </row>
    <row r="105" spans="2:68" ht="15" hidden="1" customHeight="1" x14ac:dyDescent="0.25">
      <c r="B105" s="53" t="s">
        <v>996</v>
      </c>
      <c r="C105" s="53" t="s">
        <v>1193</v>
      </c>
      <c r="D105" s="53" t="s">
        <v>1172</v>
      </c>
      <c r="E105" s="54">
        <v>44299</v>
      </c>
      <c r="F105" s="54">
        <v>44316</v>
      </c>
      <c r="G105" s="53" t="s">
        <v>628</v>
      </c>
      <c r="H105" s="55" t="s">
        <v>1052</v>
      </c>
      <c r="I105" s="53" t="s">
        <v>777</v>
      </c>
      <c r="J105" s="56" t="s">
        <v>911</v>
      </c>
      <c r="K105" s="56" t="s">
        <v>911</v>
      </c>
      <c r="L105" s="53" t="s">
        <v>653</v>
      </c>
      <c r="M105" s="53" t="s">
        <v>287</v>
      </c>
      <c r="N105" s="53" t="s">
        <v>295</v>
      </c>
      <c r="O105" s="53" t="s">
        <v>317</v>
      </c>
      <c r="P105" s="53" t="s">
        <v>313</v>
      </c>
      <c r="Q105" s="53" t="s">
        <v>658</v>
      </c>
      <c r="R105" s="53" t="s">
        <v>277</v>
      </c>
      <c r="S105" s="53" t="s">
        <v>841</v>
      </c>
      <c r="T105" s="53" t="s">
        <v>938</v>
      </c>
      <c r="U105" s="53" t="s">
        <v>1054</v>
      </c>
      <c r="V105" s="53" t="s">
        <v>944</v>
      </c>
      <c r="W105" s="57"/>
      <c r="X105" s="53"/>
      <c r="Y105" s="53" t="s">
        <v>442</v>
      </c>
      <c r="Z105" s="53" t="s">
        <v>1196</v>
      </c>
      <c r="AA105" s="53" t="s">
        <v>47</v>
      </c>
      <c r="AB105" s="53" t="s">
        <v>911</v>
      </c>
      <c r="AC105" s="53" t="s">
        <v>911</v>
      </c>
      <c r="AD105" s="53" t="s">
        <v>1197</v>
      </c>
      <c r="AE105" s="53" t="s">
        <v>1107</v>
      </c>
      <c r="AF105" s="53" t="s">
        <v>624</v>
      </c>
      <c r="AG105" s="53" t="s">
        <v>1197</v>
      </c>
      <c r="AH105" s="53"/>
      <c r="AI105" s="57" t="str">
        <f t="shared" si="142"/>
        <v>alp_vw_dv360_aaf_dsy_nonms_nd_nc_rng_varejo-familiaridade_na_trafego_cpm_prog_all_300x600_nc-inmarket__amarok-taxazero_var-rng-aaf-dsy-0221-10105</v>
      </c>
      <c r="AJ105" s="58" t="str">
        <f t="shared" si="142"/>
        <v>alp_vw_dv360_aaf_dsy_nonms_nd_nc_rng_varejo-familiaridade_na_trafego_cpm_prog_all_300x600_nc-inmarket__amarok-taxazero_var-rng-aaf-dsy-0221-10105</v>
      </c>
      <c r="AK105" s="57" t="str">
        <f t="shared" si="108"/>
        <v>vw_range_300x600_amarok-taxazero_adserver</v>
      </c>
      <c r="AL105" s="57" t="str">
        <f t="shared" si="130"/>
        <v>https://ofertas.vw.com.br/modelo/?modelo=Amarok&amp;utm_source=dv360&amp;utm_medium=Paid-Display&amp;utm_content=alp_vw_dv360_aaf_dsy_nonms_nd_nc_rng_varejo-familiaridade_na_trafego_cpm_prog_all_300x600_nc-inmarket__amarok-taxazero_var-rng-aaf-dsy-0221-10105&amp;utm_campaign=BR_AAF_DSY_NONMS_ND_NC_2021Q1FEB_RNG_Varejo-Familiaridade&amp;utm_term=%epid!_%ecid!_%eaid!</v>
      </c>
      <c r="AM105" s="57" t="str">
        <f t="shared" si="109"/>
        <v>TAG</v>
      </c>
      <c r="AN105" s="53" t="str">
        <f t="shared" si="131"/>
        <v>dv360</v>
      </c>
      <c r="AO105" s="53" t="str">
        <f t="shared" si="132"/>
        <v>Paid-Display</v>
      </c>
      <c r="AP105" s="57" t="str">
        <f>Campanha!$B$3</f>
        <v>BR_AAF_DSY_NONMS_ND_NC_2021Q1FEB_RNG_Varejo-Familiaridade</v>
      </c>
      <c r="AQ105" s="57" t="str">
        <f t="shared" si="110"/>
        <v>alp_vw_dv360_aaf_dsy_nonms_nd_nc_rng_varejo-familiaridade_na_trafego_cpm_prog_all_300x600_nc-inmarket__amarok-taxazero_var-rng-aaf-dsy-0221-10105</v>
      </c>
      <c r="AR105" s="53" t="s">
        <v>722</v>
      </c>
      <c r="AS105" s="57" t="str">
        <f t="shared" si="111"/>
        <v>https://ofertas.vw.com.br/modelo/?modelo=Amarok&amp;utm_source=dv360&amp;utm_medium=Paid-Display&amp;utm_content=alp_vw_dv360_aaf_dsy_nonms_nd_nc_rng_varejo-familiaridade_na_trafego_cpm_prog_all_300x600_nc-inmarket__amarok-taxazero_var-rng-aaf-dsy-0221-10105&amp;utm_campaign=BR_AAF_DSY_NONMS_ND_NC_2021Q1FEB_RNG_Varejo-Familiaridade&amp;utm_term=%epid!_%ecid!_%eaid!</v>
      </c>
      <c r="AT105" s="53" t="str">
        <f t="shared" si="133"/>
        <v>run-of-network</v>
      </c>
      <c r="AU105" s="53" t="str">
        <f t="shared" si="112"/>
        <v>BR</v>
      </c>
      <c r="AV105" s="53" t="str">
        <f t="shared" si="134"/>
        <v>dv360</v>
      </c>
      <c r="AW105" s="53" t="str">
        <f t="shared" si="135"/>
        <v>dv360</v>
      </c>
      <c r="AX105" s="53" t="str">
        <f t="shared" si="113"/>
        <v>varejo-familiaridade</v>
      </c>
      <c r="AY105" s="53" t="str">
        <f t="shared" si="136"/>
        <v>alp_vw_dv360_aaf_dsy_nonms_nd_nc_rng_varejo-familiaridade_na_trafego_cpm_prog_all_300x600_nc-inmarket__amarok-taxazero_var-rng-aaf-dsy-0221-10105</v>
      </c>
      <c r="AZ105" s="53" t="str">
        <f t="shared" si="137"/>
        <v>300x600</v>
      </c>
      <c r="BA105" s="53" t="str">
        <f t="shared" si="138"/>
        <v>varejo-familiaridade</v>
      </c>
      <c r="BB105" s="53" t="s">
        <v>775</v>
      </c>
      <c r="BC105" s="53" t="s">
        <v>775</v>
      </c>
      <c r="BD105" s="53" t="str">
        <f t="shared" si="139"/>
        <v>var-rng-aaf-dsy-0221-10105</v>
      </c>
      <c r="BE105" s="53" t="str">
        <f t="shared" si="140"/>
        <v>BR</v>
      </c>
      <c r="BF105" s="53" t="str">
        <f t="shared" si="141"/>
        <v/>
      </c>
      <c r="BG105" s="53"/>
      <c r="BH105" s="53"/>
      <c r="BI105" s="59" t="str">
        <f t="shared" si="114"/>
        <v>https://ofertas.vw.com.br/modelo/?modelo=Amarok&amp;adlid=var-rng-aaf-dsy-0221-10105&amp;adplt=alp_vw_dv360_aaf_dsy_nonms_nd_nc_rng_varejo-familiaridade_na_trafego_cpm_prog_all_300x600_nc-inmarket__amarok-taxazero_var-rng-aaf-dsy-0221-10105</v>
      </c>
      <c r="BL105" s="20" t="str">
        <f t="shared" si="115"/>
        <v>alp_vw_dv360_aaf_dsy_nonms_nd_nc_rng_varejo-familiaridade_na_trafego</v>
      </c>
      <c r="BM105" s="20" t="str">
        <f t="shared" si="116"/>
        <v>cpm_prog_all_300x600_nc-inmarket_</v>
      </c>
      <c r="BN105" s="20" t="str">
        <f t="shared" si="117"/>
        <v>alp_vw_dv360_aaf_dsy_nonms_nd_nc_rng_varejo-familiaridade_na_trafego_cpm_prog_all_300x600_nc-inmarket__amarok-taxazero_var-rng-aaf-dsy-0221-10105</v>
      </c>
      <c r="BO105" s="20"/>
      <c r="BP105" s="20"/>
    </row>
    <row r="106" spans="2:68" ht="15" hidden="1" customHeight="1" x14ac:dyDescent="0.25">
      <c r="B106" s="53" t="s">
        <v>996</v>
      </c>
      <c r="C106" s="53" t="s">
        <v>1193</v>
      </c>
      <c r="D106" s="53" t="s">
        <v>1172</v>
      </c>
      <c r="E106" s="54">
        <v>44299</v>
      </c>
      <c r="F106" s="54">
        <v>44316</v>
      </c>
      <c r="G106" s="53" t="s">
        <v>628</v>
      </c>
      <c r="H106" s="55" t="s">
        <v>1052</v>
      </c>
      <c r="I106" s="53" t="s">
        <v>777</v>
      </c>
      <c r="J106" s="56" t="s">
        <v>911</v>
      </c>
      <c r="K106" s="56" t="s">
        <v>911</v>
      </c>
      <c r="L106" s="53" t="s">
        <v>653</v>
      </c>
      <c r="M106" s="53" t="s">
        <v>287</v>
      </c>
      <c r="N106" s="53" t="s">
        <v>295</v>
      </c>
      <c r="O106" s="53" t="s">
        <v>317</v>
      </c>
      <c r="P106" s="53" t="s">
        <v>313</v>
      </c>
      <c r="Q106" s="53" t="s">
        <v>658</v>
      </c>
      <c r="R106" s="53" t="s">
        <v>277</v>
      </c>
      <c r="S106" s="53" t="s">
        <v>841</v>
      </c>
      <c r="T106" s="53" t="s">
        <v>938</v>
      </c>
      <c r="U106" s="53" t="s">
        <v>1054</v>
      </c>
      <c r="V106" s="53" t="s">
        <v>944</v>
      </c>
      <c r="W106" s="57"/>
      <c r="X106" s="53"/>
      <c r="Y106" s="53" t="s">
        <v>457</v>
      </c>
      <c r="Z106" s="53" t="s">
        <v>1196</v>
      </c>
      <c r="AA106" s="53" t="s">
        <v>47</v>
      </c>
      <c r="AB106" s="53" t="s">
        <v>911</v>
      </c>
      <c r="AC106" s="53" t="s">
        <v>911</v>
      </c>
      <c r="AD106" s="53" t="s">
        <v>1197</v>
      </c>
      <c r="AE106" s="53" t="s">
        <v>1107</v>
      </c>
      <c r="AF106" s="53" t="s">
        <v>624</v>
      </c>
      <c r="AG106" s="53" t="s">
        <v>1197</v>
      </c>
      <c r="AH106" s="53"/>
      <c r="AI106" s="57" t="str">
        <f t="shared" si="142"/>
        <v>alp_vw_dv360_aaf_dsy_nonms_nd_nc_rng_varejo-familiaridade_na_trafego_cpm_prog_all_320x50_nc-inmarket__amarok-taxazero_var-rng-aaf-dsy-0221-10106</v>
      </c>
      <c r="AJ106" s="58" t="str">
        <f t="shared" si="142"/>
        <v>alp_vw_dv360_aaf_dsy_nonms_nd_nc_rng_varejo-familiaridade_na_trafego_cpm_prog_all_320x50_nc-inmarket__amarok-taxazero_var-rng-aaf-dsy-0221-10106</v>
      </c>
      <c r="AK106" s="57" t="str">
        <f t="shared" si="108"/>
        <v>vw_range_320x50_amarok-taxazero_adserver</v>
      </c>
      <c r="AL106" s="57" t="str">
        <f t="shared" si="130"/>
        <v>https://ofertas.vw.com.br/modelo/?modelo=Amarok&amp;utm_source=dv360&amp;utm_medium=Paid-Display&amp;utm_content=alp_vw_dv360_aaf_dsy_nonms_nd_nc_rng_varejo-familiaridade_na_trafego_cpm_prog_all_320x50_nc-inmarket__amarok-taxazero_var-rng-aaf-dsy-0221-10106&amp;utm_campaign=BR_AAF_DSY_NONMS_ND_NC_2021Q1FEB_RNG_Varejo-Familiaridade&amp;utm_term=%epid!_%ecid!_%eaid!</v>
      </c>
      <c r="AM106" s="57" t="str">
        <f t="shared" si="109"/>
        <v>TAG</v>
      </c>
      <c r="AN106" s="53" t="str">
        <f t="shared" si="131"/>
        <v>dv360</v>
      </c>
      <c r="AO106" s="53" t="str">
        <f t="shared" si="132"/>
        <v>Paid-Display</v>
      </c>
      <c r="AP106" s="57" t="str">
        <f>Campanha!$B$3</f>
        <v>BR_AAF_DSY_NONMS_ND_NC_2021Q1FEB_RNG_Varejo-Familiaridade</v>
      </c>
      <c r="AQ106" s="57" t="str">
        <f t="shared" si="110"/>
        <v>alp_vw_dv360_aaf_dsy_nonms_nd_nc_rng_varejo-familiaridade_na_trafego_cpm_prog_all_320x50_nc-inmarket__amarok-taxazero_var-rng-aaf-dsy-0221-10106</v>
      </c>
      <c r="AR106" s="53" t="s">
        <v>722</v>
      </c>
      <c r="AS106" s="57" t="str">
        <f t="shared" si="111"/>
        <v>https://ofertas.vw.com.br/modelo/?modelo=Amarok&amp;utm_source=dv360&amp;utm_medium=Paid-Display&amp;utm_content=alp_vw_dv360_aaf_dsy_nonms_nd_nc_rng_varejo-familiaridade_na_trafego_cpm_prog_all_320x50_nc-inmarket__amarok-taxazero_var-rng-aaf-dsy-0221-10106&amp;utm_campaign=BR_AAF_DSY_NONMS_ND_NC_2021Q1FEB_RNG_Varejo-Familiaridade&amp;utm_term=%epid!_%ecid!_%eaid!</v>
      </c>
      <c r="AT106" s="53" t="str">
        <f t="shared" si="133"/>
        <v>run-of-network</v>
      </c>
      <c r="AU106" s="53" t="str">
        <f t="shared" si="112"/>
        <v>BR</v>
      </c>
      <c r="AV106" s="53" t="str">
        <f t="shared" si="134"/>
        <v>dv360</v>
      </c>
      <c r="AW106" s="53" t="str">
        <f t="shared" si="135"/>
        <v>dv360</v>
      </c>
      <c r="AX106" s="53" t="str">
        <f t="shared" si="113"/>
        <v>varejo-familiaridade</v>
      </c>
      <c r="AY106" s="53" t="str">
        <f t="shared" si="136"/>
        <v>alp_vw_dv360_aaf_dsy_nonms_nd_nc_rng_varejo-familiaridade_na_trafego_cpm_prog_all_320x50_nc-inmarket__amarok-taxazero_var-rng-aaf-dsy-0221-10106</v>
      </c>
      <c r="AZ106" s="53" t="str">
        <f t="shared" si="137"/>
        <v>320x50</v>
      </c>
      <c r="BA106" s="53" t="str">
        <f t="shared" si="138"/>
        <v>varejo-familiaridade</v>
      </c>
      <c r="BB106" s="53" t="s">
        <v>775</v>
      </c>
      <c r="BC106" s="53" t="s">
        <v>775</v>
      </c>
      <c r="BD106" s="53" t="str">
        <f t="shared" si="139"/>
        <v>var-rng-aaf-dsy-0221-10106</v>
      </c>
      <c r="BE106" s="53" t="str">
        <f t="shared" si="140"/>
        <v>BR</v>
      </c>
      <c r="BF106" s="53" t="str">
        <f t="shared" si="141"/>
        <v/>
      </c>
      <c r="BG106" s="53"/>
      <c r="BH106" s="53"/>
      <c r="BI106" s="59" t="str">
        <f t="shared" si="114"/>
        <v>https://ofertas.vw.com.br/modelo/?modelo=Amarok&amp;adlid=var-rng-aaf-dsy-0221-10106&amp;adplt=alp_vw_dv360_aaf_dsy_nonms_nd_nc_rng_varejo-familiaridade_na_trafego_cpm_prog_all_320x50_nc-inmarket__amarok-taxazero_var-rng-aaf-dsy-0221-10106</v>
      </c>
      <c r="BL106" s="20" t="str">
        <f t="shared" si="115"/>
        <v>alp_vw_dv360_aaf_dsy_nonms_nd_nc_rng_varejo-familiaridade_na_trafego</v>
      </c>
      <c r="BM106" s="20" t="str">
        <f t="shared" si="116"/>
        <v>cpm_prog_all_320x50_nc-inmarket_</v>
      </c>
      <c r="BN106" s="20" t="str">
        <f t="shared" si="117"/>
        <v>alp_vw_dv360_aaf_dsy_nonms_nd_nc_rng_varejo-familiaridade_na_trafego_cpm_prog_all_320x50_nc-inmarket__amarok-taxazero_var-rng-aaf-dsy-0221-10106</v>
      </c>
      <c r="BO106" s="20"/>
      <c r="BP106" s="20"/>
    </row>
    <row r="107" spans="2:68" ht="15" hidden="1" customHeight="1" x14ac:dyDescent="0.25">
      <c r="B107" s="53" t="s">
        <v>996</v>
      </c>
      <c r="C107" s="53" t="s">
        <v>1193</v>
      </c>
      <c r="D107" s="53" t="s">
        <v>1172</v>
      </c>
      <c r="E107" s="54">
        <v>44299</v>
      </c>
      <c r="F107" s="54">
        <v>44316</v>
      </c>
      <c r="G107" s="53" t="s">
        <v>628</v>
      </c>
      <c r="H107" s="55" t="s">
        <v>1052</v>
      </c>
      <c r="I107" s="53" t="s">
        <v>777</v>
      </c>
      <c r="J107" s="56" t="s">
        <v>911</v>
      </c>
      <c r="K107" s="56" t="s">
        <v>911</v>
      </c>
      <c r="L107" s="53" t="s">
        <v>653</v>
      </c>
      <c r="M107" s="53" t="s">
        <v>287</v>
      </c>
      <c r="N107" s="53" t="s">
        <v>295</v>
      </c>
      <c r="O107" s="53" t="s">
        <v>317</v>
      </c>
      <c r="P107" s="53" t="s">
        <v>313</v>
      </c>
      <c r="Q107" s="53" t="s">
        <v>658</v>
      </c>
      <c r="R107" s="53" t="s">
        <v>277</v>
      </c>
      <c r="S107" s="53" t="s">
        <v>841</v>
      </c>
      <c r="T107" s="53" t="s">
        <v>938</v>
      </c>
      <c r="U107" s="53" t="s">
        <v>1054</v>
      </c>
      <c r="V107" s="53" t="s">
        <v>944</v>
      </c>
      <c r="W107" s="57"/>
      <c r="X107" s="53"/>
      <c r="Y107" s="53" t="s">
        <v>568</v>
      </c>
      <c r="Z107" s="53" t="s">
        <v>1196</v>
      </c>
      <c r="AA107" s="53" t="s">
        <v>47</v>
      </c>
      <c r="AB107" s="53" t="s">
        <v>911</v>
      </c>
      <c r="AC107" s="53" t="s">
        <v>911</v>
      </c>
      <c r="AD107" s="53" t="s">
        <v>1197</v>
      </c>
      <c r="AE107" s="53" t="s">
        <v>1107</v>
      </c>
      <c r="AF107" s="53" t="s">
        <v>624</v>
      </c>
      <c r="AG107" s="53" t="s">
        <v>1197</v>
      </c>
      <c r="AH107" s="53"/>
      <c r="AI107" s="57" t="str">
        <f t="shared" si="142"/>
        <v>alp_vw_dv360_aaf_dsy_nonms_nd_nc_rng_varejo-familiaridade_na_trafego_cpm_prog_all_728x90_nc-inmarket__amarok-taxazero_var-rng-aaf-dsy-0221-10107</v>
      </c>
      <c r="AJ107" s="58" t="str">
        <f t="shared" si="142"/>
        <v>alp_vw_dv360_aaf_dsy_nonms_nd_nc_rng_varejo-familiaridade_na_trafego_cpm_prog_all_728x90_nc-inmarket__amarok-taxazero_var-rng-aaf-dsy-0221-10107</v>
      </c>
      <c r="AK107" s="57" t="str">
        <f t="shared" si="108"/>
        <v>vw_range_728x90_amarok-taxazero_adserver</v>
      </c>
      <c r="AL107" s="57" t="str">
        <f t="shared" si="130"/>
        <v>https://ofertas.vw.com.br/modelo/?modelo=Amarok&amp;utm_source=dv360&amp;utm_medium=Paid-Display&amp;utm_content=alp_vw_dv360_aaf_dsy_nonms_nd_nc_rng_varejo-familiaridade_na_trafego_cpm_prog_all_728x90_nc-inmarket__amarok-taxazero_var-rng-aaf-dsy-0221-10107&amp;utm_campaign=BR_AAF_DSY_NONMS_ND_NC_2021Q1FEB_RNG_Varejo-Familiaridade&amp;utm_term=%epid!_%ecid!_%eaid!</v>
      </c>
      <c r="AM107" s="57" t="str">
        <f t="shared" si="109"/>
        <v>TAG</v>
      </c>
      <c r="AN107" s="53" t="str">
        <f t="shared" si="131"/>
        <v>dv360</v>
      </c>
      <c r="AO107" s="53" t="str">
        <f t="shared" si="132"/>
        <v>Paid-Display</v>
      </c>
      <c r="AP107" s="57" t="str">
        <f>Campanha!$B$3</f>
        <v>BR_AAF_DSY_NONMS_ND_NC_2021Q1FEB_RNG_Varejo-Familiaridade</v>
      </c>
      <c r="AQ107" s="57" t="str">
        <f t="shared" si="110"/>
        <v>alp_vw_dv360_aaf_dsy_nonms_nd_nc_rng_varejo-familiaridade_na_trafego_cpm_prog_all_728x90_nc-inmarket__amarok-taxazero_var-rng-aaf-dsy-0221-10107</v>
      </c>
      <c r="AR107" s="53" t="s">
        <v>722</v>
      </c>
      <c r="AS107" s="57" t="str">
        <f t="shared" si="111"/>
        <v>https://ofertas.vw.com.br/modelo/?modelo=Amarok&amp;utm_source=dv360&amp;utm_medium=Paid-Display&amp;utm_content=alp_vw_dv360_aaf_dsy_nonms_nd_nc_rng_varejo-familiaridade_na_trafego_cpm_prog_all_728x90_nc-inmarket__amarok-taxazero_var-rng-aaf-dsy-0221-10107&amp;utm_campaign=BR_AAF_DSY_NONMS_ND_NC_2021Q1FEB_RNG_Varejo-Familiaridade&amp;utm_term=%epid!_%ecid!_%eaid!</v>
      </c>
      <c r="AT107" s="53" t="str">
        <f t="shared" si="133"/>
        <v>run-of-network</v>
      </c>
      <c r="AU107" s="53" t="str">
        <f t="shared" si="112"/>
        <v>BR</v>
      </c>
      <c r="AV107" s="53" t="str">
        <f t="shared" si="134"/>
        <v>dv360</v>
      </c>
      <c r="AW107" s="53" t="str">
        <f t="shared" si="135"/>
        <v>dv360</v>
      </c>
      <c r="AX107" s="53" t="str">
        <f t="shared" si="113"/>
        <v>varejo-familiaridade</v>
      </c>
      <c r="AY107" s="53" t="str">
        <f t="shared" si="136"/>
        <v>alp_vw_dv360_aaf_dsy_nonms_nd_nc_rng_varejo-familiaridade_na_trafego_cpm_prog_all_728x90_nc-inmarket__amarok-taxazero_var-rng-aaf-dsy-0221-10107</v>
      </c>
      <c r="AZ107" s="53" t="str">
        <f t="shared" si="137"/>
        <v>728x90</v>
      </c>
      <c r="BA107" s="53" t="str">
        <f t="shared" si="138"/>
        <v>varejo-familiaridade</v>
      </c>
      <c r="BB107" s="53" t="s">
        <v>775</v>
      </c>
      <c r="BC107" s="53" t="s">
        <v>775</v>
      </c>
      <c r="BD107" s="53" t="str">
        <f t="shared" si="139"/>
        <v>var-rng-aaf-dsy-0221-10107</v>
      </c>
      <c r="BE107" s="53" t="str">
        <f t="shared" si="140"/>
        <v>BR</v>
      </c>
      <c r="BF107" s="53" t="str">
        <f t="shared" si="141"/>
        <v/>
      </c>
      <c r="BG107" s="53"/>
      <c r="BH107" s="53"/>
      <c r="BI107" s="59" t="str">
        <f t="shared" si="114"/>
        <v>https://ofertas.vw.com.br/modelo/?modelo=Amarok&amp;adlid=var-rng-aaf-dsy-0221-10107&amp;adplt=alp_vw_dv360_aaf_dsy_nonms_nd_nc_rng_varejo-familiaridade_na_trafego_cpm_prog_all_728x90_nc-inmarket__amarok-taxazero_var-rng-aaf-dsy-0221-10107</v>
      </c>
      <c r="BL107" s="20" t="str">
        <f t="shared" si="115"/>
        <v>alp_vw_dv360_aaf_dsy_nonms_nd_nc_rng_varejo-familiaridade_na_trafego</v>
      </c>
      <c r="BM107" s="20" t="str">
        <f t="shared" si="116"/>
        <v>cpm_prog_all_728x90_nc-inmarket_</v>
      </c>
      <c r="BN107" s="20" t="str">
        <f t="shared" si="117"/>
        <v>alp_vw_dv360_aaf_dsy_nonms_nd_nc_rng_varejo-familiaridade_na_trafego_cpm_prog_all_728x90_nc-inmarket__amarok-taxazero_var-rng-aaf-dsy-0221-10107</v>
      </c>
      <c r="BO107" s="20"/>
      <c r="BP107" s="20"/>
    </row>
    <row r="108" spans="2:68" ht="15" hidden="1" customHeight="1" x14ac:dyDescent="0.25">
      <c r="B108" s="53" t="s">
        <v>996</v>
      </c>
      <c r="C108" s="53" t="s">
        <v>1193</v>
      </c>
      <c r="D108" s="53" t="s">
        <v>1172</v>
      </c>
      <c r="E108" s="54">
        <v>44299</v>
      </c>
      <c r="F108" s="54">
        <v>44316</v>
      </c>
      <c r="G108" s="53" t="s">
        <v>628</v>
      </c>
      <c r="H108" s="55" t="s">
        <v>1052</v>
      </c>
      <c r="I108" s="53" t="s">
        <v>777</v>
      </c>
      <c r="J108" s="56" t="s">
        <v>911</v>
      </c>
      <c r="K108" s="56" t="s">
        <v>911</v>
      </c>
      <c r="L108" s="53" t="s">
        <v>653</v>
      </c>
      <c r="M108" s="53" t="s">
        <v>287</v>
      </c>
      <c r="N108" s="53" t="s">
        <v>295</v>
      </c>
      <c r="O108" s="53" t="s">
        <v>317</v>
      </c>
      <c r="P108" s="53" t="s">
        <v>313</v>
      </c>
      <c r="Q108" s="53" t="s">
        <v>658</v>
      </c>
      <c r="R108" s="53" t="s">
        <v>277</v>
      </c>
      <c r="S108" s="53" t="s">
        <v>841</v>
      </c>
      <c r="T108" s="53" t="s">
        <v>938</v>
      </c>
      <c r="U108" s="53" t="s">
        <v>1054</v>
      </c>
      <c r="V108" s="53" t="s">
        <v>945</v>
      </c>
      <c r="W108" s="53" t="s">
        <v>624</v>
      </c>
      <c r="X108" s="53"/>
      <c r="Y108" s="53" t="s">
        <v>412</v>
      </c>
      <c r="Z108" s="58" t="s">
        <v>1106</v>
      </c>
      <c r="AA108" s="57" t="s">
        <v>1194</v>
      </c>
      <c r="AB108" s="57" t="s">
        <v>1199</v>
      </c>
      <c r="AC108" s="57" t="s">
        <v>1092</v>
      </c>
      <c r="AD108" s="53" t="s">
        <v>911</v>
      </c>
      <c r="AE108" s="53" t="s">
        <v>653</v>
      </c>
      <c r="AF108" s="57" t="s">
        <v>1048</v>
      </c>
      <c r="AG108" s="57" t="s">
        <v>1106</v>
      </c>
      <c r="AH108" s="53"/>
      <c r="AI108" s="57" t="str">
        <f t="shared" si="142"/>
        <v>alp_vw_dv360_aaf_dsy_nonms_nd_nc_rng_varejo-familiaridade_na_trafego_cpm_prog_all_160x600_nc-lal_nativeads_amarok-taxazero_var-rng-aaf-dsy-0221-10108</v>
      </c>
      <c r="AJ108" s="58" t="str">
        <f t="shared" si="142"/>
        <v>alp_vw_dv360_aaf_dsy_nonms_nd_nc_rng_varejo-familiaridade_na_trafego_cpm_prog_all_160x600_nc-lal_nativeads_amarok-taxazero_var-rng-aaf-dsy-0221-10108</v>
      </c>
      <c r="AK108" s="57" t="str">
        <f t="shared" si="108"/>
        <v>vw_range_160x600_amarok-taxazero_adserver</v>
      </c>
      <c r="AL108" s="57" t="str">
        <f t="shared" si="130"/>
        <v>https://ofertas.vw.com.br/modelo/?modelo=Amarok&amp;utm_source=dv360&amp;utm_medium=Paid-Display&amp;utm_content=alp_vw_dv360_aaf_dsy_nonms_nd_nc_rng_varejo-familiaridade_na_trafego_cpm_prog_all_160x600_nc-lal_nativeads_amarok-taxazero_var-rng-aaf-dsy-0221-10108&amp;utm_campaign=BR_AAF_DSY_NONMS_ND_NC_2021Q1FEB_RNG_Varejo-Familiaridade&amp;utm_term=%epid!_%ecid!_%eaid!</v>
      </c>
      <c r="AM108" s="57" t="str">
        <f t="shared" si="109"/>
        <v>TAG</v>
      </c>
      <c r="AN108" s="53" t="str">
        <f t="shared" si="131"/>
        <v>dv360</v>
      </c>
      <c r="AO108" s="53" t="str">
        <f t="shared" si="132"/>
        <v>Paid-Display</v>
      </c>
      <c r="AP108" s="57" t="str">
        <f>Campanha!$B$3</f>
        <v>BR_AAF_DSY_NONMS_ND_NC_2021Q1FEB_RNG_Varejo-Familiaridade</v>
      </c>
      <c r="AQ108" s="57" t="str">
        <f t="shared" si="110"/>
        <v>alp_vw_dv360_aaf_dsy_nonms_nd_nc_rng_varejo-familiaridade_na_trafego_cpm_prog_all_160x600_nc-lal_nativeads_amarok-taxazero_var-rng-aaf-dsy-0221-10108</v>
      </c>
      <c r="AR108" s="53" t="s">
        <v>722</v>
      </c>
      <c r="AS108" s="57" t="str">
        <f t="shared" si="111"/>
        <v>https://ofertas.vw.com.br/modelo/?modelo=Amarok&amp;utm_source=dv360&amp;utm_medium=Paid-Display&amp;utm_content=alp_vw_dv360_aaf_dsy_nonms_nd_nc_rng_varejo-familiaridade_na_trafego_cpm_prog_all_160x600_nc-lal_nativeads_amarok-taxazero_var-rng-aaf-dsy-0221-10108&amp;utm_campaign=BR_AAF_DSY_NONMS_ND_NC_2021Q1FEB_RNG_Varejo-Familiaridade&amp;utm_term=%epid!_%ecid!_%eaid!</v>
      </c>
      <c r="AT108" s="53" t="str">
        <f t="shared" si="133"/>
        <v>run-of-network</v>
      </c>
      <c r="AU108" s="53" t="str">
        <f t="shared" si="112"/>
        <v>BR</v>
      </c>
      <c r="AV108" s="53" t="str">
        <f t="shared" si="134"/>
        <v>dv360</v>
      </c>
      <c r="AW108" s="53" t="str">
        <f t="shared" si="135"/>
        <v>dv360</v>
      </c>
      <c r="AX108" s="53" t="str">
        <f t="shared" si="113"/>
        <v>varejo-familiaridade</v>
      </c>
      <c r="AY108" s="53" t="str">
        <f t="shared" si="136"/>
        <v>alp_vw_dv360_aaf_dsy_nonms_nd_nc_rng_varejo-familiaridade_na_trafego_cpm_prog_all_160x600_nc-lal_nativeads_amarok-taxazero_var-rng-aaf-dsy-0221-10108</v>
      </c>
      <c r="AZ108" s="53" t="str">
        <f t="shared" si="137"/>
        <v>160x600</v>
      </c>
      <c r="BA108" s="53" t="str">
        <f t="shared" si="138"/>
        <v>varejo-familiaridade</v>
      </c>
      <c r="BB108" s="53" t="s">
        <v>775</v>
      </c>
      <c r="BC108" s="53" t="s">
        <v>775</v>
      </c>
      <c r="BD108" s="53" t="str">
        <f t="shared" si="139"/>
        <v>var-rng-aaf-dsy-0221-10108</v>
      </c>
      <c r="BE108" s="53" t="str">
        <f t="shared" si="140"/>
        <v>BR</v>
      </c>
      <c r="BF108" s="53" t="str">
        <f t="shared" si="141"/>
        <v/>
      </c>
      <c r="BG108" s="53"/>
      <c r="BH108" s="53"/>
      <c r="BI108" s="59" t="str">
        <f t="shared" si="114"/>
        <v>https://ofertas.vw.com.br/modelo/?modelo=Amarok&amp;adlid=var-rng-aaf-dsy-0221-10108&amp;adplt=alp_vw_dv360_aaf_dsy_nonms_nd_nc_rng_varejo-familiaridade_na_trafego_cpm_prog_all_160x600_nc-lal_nativeads_amarok-taxazero_var-rng-aaf-dsy-0221-10108</v>
      </c>
      <c r="BL108" s="20" t="str">
        <f t="shared" si="115"/>
        <v>alp_vw_dv360_aaf_dsy_nonms_nd_nc_rng_varejo-familiaridade_na_trafego</v>
      </c>
      <c r="BM108" s="20" t="str">
        <f t="shared" si="116"/>
        <v>cpm_prog_all_160x600_nc-lal_nativeads</v>
      </c>
      <c r="BN108" s="20" t="str">
        <f t="shared" si="117"/>
        <v>alp_vw_dv360_aaf_dsy_nonms_nd_nc_rng_varejo-familiaridade_na_trafego_cpm_prog_all_160x600_nc-lal_nativeads_amarok-taxazero_var-rng-aaf-dsy-0221-10108</v>
      </c>
      <c r="BO108" s="20"/>
      <c r="BP108" s="20"/>
    </row>
    <row r="109" spans="2:68" ht="15" hidden="1" customHeight="1" x14ac:dyDescent="0.25">
      <c r="B109" s="53" t="s">
        <v>996</v>
      </c>
      <c r="C109" s="53" t="s">
        <v>1193</v>
      </c>
      <c r="D109" s="53" t="s">
        <v>1172</v>
      </c>
      <c r="E109" s="54">
        <v>44299</v>
      </c>
      <c r="F109" s="54">
        <v>44316</v>
      </c>
      <c r="G109" s="53" t="s">
        <v>628</v>
      </c>
      <c r="H109" s="55" t="s">
        <v>1052</v>
      </c>
      <c r="I109" s="53" t="s">
        <v>777</v>
      </c>
      <c r="J109" s="56" t="s">
        <v>911</v>
      </c>
      <c r="K109" s="56" t="s">
        <v>911</v>
      </c>
      <c r="L109" s="53" t="s">
        <v>653</v>
      </c>
      <c r="M109" s="53" t="s">
        <v>287</v>
      </c>
      <c r="N109" s="53" t="s">
        <v>295</v>
      </c>
      <c r="O109" s="53" t="s">
        <v>317</v>
      </c>
      <c r="P109" s="53" t="s">
        <v>313</v>
      </c>
      <c r="Q109" s="53" t="s">
        <v>658</v>
      </c>
      <c r="R109" s="53" t="s">
        <v>277</v>
      </c>
      <c r="S109" s="53" t="s">
        <v>841</v>
      </c>
      <c r="T109" s="53" t="s">
        <v>938</v>
      </c>
      <c r="U109" s="53" t="s">
        <v>1054</v>
      </c>
      <c r="V109" s="53" t="s">
        <v>945</v>
      </c>
      <c r="W109" s="57"/>
      <c r="X109" s="53"/>
      <c r="Y109" s="53" t="s">
        <v>439</v>
      </c>
      <c r="Z109" s="53" t="s">
        <v>1196</v>
      </c>
      <c r="AA109" s="53" t="s">
        <v>47</v>
      </c>
      <c r="AB109" s="53" t="s">
        <v>911</v>
      </c>
      <c r="AC109" s="53" t="s">
        <v>911</v>
      </c>
      <c r="AD109" s="53" t="s">
        <v>1197</v>
      </c>
      <c r="AE109" s="53" t="s">
        <v>1106</v>
      </c>
      <c r="AF109" s="53" t="s">
        <v>624</v>
      </c>
      <c r="AG109" s="53" t="s">
        <v>1197</v>
      </c>
      <c r="AH109" s="53"/>
      <c r="AI109" s="57" t="str">
        <f t="shared" si="142"/>
        <v>alp_vw_dv360_aaf_dsy_nonms_nd_nc_rng_varejo-familiaridade_na_trafego_cpm_prog_all_300x50_nc-lal__amarok-taxazero_var-rng-aaf-dsy-0221-10109</v>
      </c>
      <c r="AJ109" s="58" t="str">
        <f t="shared" si="142"/>
        <v>alp_vw_dv360_aaf_dsy_nonms_nd_nc_rng_varejo-familiaridade_na_trafego_cpm_prog_all_300x50_nc-lal__amarok-taxazero_var-rng-aaf-dsy-0221-10109</v>
      </c>
      <c r="AK109" s="57" t="str">
        <f t="shared" si="108"/>
        <v>vw_range_300x50_amarok-taxazero_adserver</v>
      </c>
      <c r="AL109" s="57" t="str">
        <f t="shared" si="130"/>
        <v>https://ofertas.vw.com.br/modelo/?modelo=Amarok&amp;utm_source=dv360&amp;utm_medium=Paid-Display&amp;utm_content=alp_vw_dv360_aaf_dsy_nonms_nd_nc_rng_varejo-familiaridade_na_trafego_cpm_prog_all_300x50_nc-lal__amarok-taxazero_var-rng-aaf-dsy-0221-10109&amp;utm_campaign=BR_AAF_DSY_NONMS_ND_NC_2021Q1FEB_RNG_Varejo-Familiaridade&amp;utm_term=%epid!_%ecid!_%eaid!</v>
      </c>
      <c r="AM109" s="57" t="str">
        <f t="shared" si="109"/>
        <v>TAG</v>
      </c>
      <c r="AN109" s="53" t="str">
        <f t="shared" si="131"/>
        <v>dv360</v>
      </c>
      <c r="AO109" s="53" t="str">
        <f t="shared" si="132"/>
        <v>Paid-Display</v>
      </c>
      <c r="AP109" s="57" t="str">
        <f>Campanha!$B$3</f>
        <v>BR_AAF_DSY_NONMS_ND_NC_2021Q1FEB_RNG_Varejo-Familiaridade</v>
      </c>
      <c r="AQ109" s="57" t="str">
        <f t="shared" si="110"/>
        <v>alp_vw_dv360_aaf_dsy_nonms_nd_nc_rng_varejo-familiaridade_na_trafego_cpm_prog_all_300x50_nc-lal__amarok-taxazero_var-rng-aaf-dsy-0221-10109</v>
      </c>
      <c r="AR109" s="53" t="s">
        <v>722</v>
      </c>
      <c r="AS109" s="57" t="str">
        <f t="shared" si="111"/>
        <v>https://ofertas.vw.com.br/modelo/?modelo=Amarok&amp;utm_source=dv360&amp;utm_medium=Paid-Display&amp;utm_content=alp_vw_dv360_aaf_dsy_nonms_nd_nc_rng_varejo-familiaridade_na_trafego_cpm_prog_all_300x50_nc-lal__amarok-taxazero_var-rng-aaf-dsy-0221-10109&amp;utm_campaign=BR_AAF_DSY_NONMS_ND_NC_2021Q1FEB_RNG_Varejo-Familiaridade&amp;utm_term=%epid!_%ecid!_%eaid!</v>
      </c>
      <c r="AT109" s="53" t="str">
        <f t="shared" si="133"/>
        <v>run-of-network</v>
      </c>
      <c r="AU109" s="53" t="str">
        <f t="shared" si="112"/>
        <v>BR</v>
      </c>
      <c r="AV109" s="53" t="str">
        <f t="shared" si="134"/>
        <v>dv360</v>
      </c>
      <c r="AW109" s="53" t="str">
        <f t="shared" si="135"/>
        <v>dv360</v>
      </c>
      <c r="AX109" s="53" t="str">
        <f t="shared" si="113"/>
        <v>varejo-familiaridade</v>
      </c>
      <c r="AY109" s="53" t="str">
        <f t="shared" si="136"/>
        <v>alp_vw_dv360_aaf_dsy_nonms_nd_nc_rng_varejo-familiaridade_na_trafego_cpm_prog_all_300x50_nc-lal__amarok-taxazero_var-rng-aaf-dsy-0221-10109</v>
      </c>
      <c r="AZ109" s="53" t="str">
        <f t="shared" si="137"/>
        <v>300x50</v>
      </c>
      <c r="BA109" s="53" t="str">
        <f t="shared" si="138"/>
        <v>varejo-familiaridade</v>
      </c>
      <c r="BB109" s="53" t="s">
        <v>775</v>
      </c>
      <c r="BC109" s="53" t="s">
        <v>775</v>
      </c>
      <c r="BD109" s="53" t="str">
        <f t="shared" si="139"/>
        <v>var-rng-aaf-dsy-0221-10109</v>
      </c>
      <c r="BE109" s="53" t="str">
        <f t="shared" si="140"/>
        <v>BR</v>
      </c>
      <c r="BF109" s="53" t="str">
        <f t="shared" si="141"/>
        <v/>
      </c>
      <c r="BG109" s="53"/>
      <c r="BH109" s="53"/>
      <c r="BI109" s="59" t="str">
        <f t="shared" si="114"/>
        <v>https://ofertas.vw.com.br/modelo/?modelo=Amarok&amp;adlid=var-rng-aaf-dsy-0221-10109&amp;adplt=alp_vw_dv360_aaf_dsy_nonms_nd_nc_rng_varejo-familiaridade_na_trafego_cpm_prog_all_300x50_nc-lal__amarok-taxazero_var-rng-aaf-dsy-0221-10109</v>
      </c>
      <c r="BL109" s="20" t="str">
        <f t="shared" si="115"/>
        <v>alp_vw_dv360_aaf_dsy_nonms_nd_nc_rng_varejo-familiaridade_na_trafego</v>
      </c>
      <c r="BM109" s="20" t="str">
        <f t="shared" si="116"/>
        <v>cpm_prog_all_300x50_nc-lal_</v>
      </c>
      <c r="BN109" s="20" t="str">
        <f t="shared" si="117"/>
        <v>alp_vw_dv360_aaf_dsy_nonms_nd_nc_rng_varejo-familiaridade_na_trafego_cpm_prog_all_300x50_nc-lal__amarok-taxazero_var-rng-aaf-dsy-0221-10109</v>
      </c>
      <c r="BO109" s="20"/>
      <c r="BP109" s="20"/>
    </row>
    <row r="110" spans="2:68" ht="15" hidden="1" customHeight="1" x14ac:dyDescent="0.25">
      <c r="B110" s="53" t="s">
        <v>996</v>
      </c>
      <c r="C110" s="53" t="s">
        <v>1193</v>
      </c>
      <c r="D110" s="53" t="s">
        <v>1172</v>
      </c>
      <c r="E110" s="54">
        <v>44299</v>
      </c>
      <c r="F110" s="54">
        <v>44316</v>
      </c>
      <c r="G110" s="53" t="s">
        <v>628</v>
      </c>
      <c r="H110" s="55" t="s">
        <v>1052</v>
      </c>
      <c r="I110" s="53" t="s">
        <v>777</v>
      </c>
      <c r="J110" s="56" t="s">
        <v>911</v>
      </c>
      <c r="K110" s="56" t="s">
        <v>911</v>
      </c>
      <c r="L110" s="53" t="s">
        <v>653</v>
      </c>
      <c r="M110" s="53" t="s">
        <v>287</v>
      </c>
      <c r="N110" s="53" t="s">
        <v>295</v>
      </c>
      <c r="O110" s="53" t="s">
        <v>317</v>
      </c>
      <c r="P110" s="53" t="s">
        <v>313</v>
      </c>
      <c r="Q110" s="53" t="s">
        <v>658</v>
      </c>
      <c r="R110" s="53" t="s">
        <v>277</v>
      </c>
      <c r="S110" s="53" t="s">
        <v>841</v>
      </c>
      <c r="T110" s="53" t="s">
        <v>938</v>
      </c>
      <c r="U110" s="53" t="s">
        <v>1054</v>
      </c>
      <c r="V110" s="53" t="s">
        <v>945</v>
      </c>
      <c r="W110" s="57"/>
      <c r="X110" s="53"/>
      <c r="Y110" s="53" t="s">
        <v>433</v>
      </c>
      <c r="Z110" s="53" t="s">
        <v>1196</v>
      </c>
      <c r="AA110" s="53" t="s">
        <v>47</v>
      </c>
      <c r="AB110" s="53" t="s">
        <v>911</v>
      </c>
      <c r="AC110" s="53" t="s">
        <v>911</v>
      </c>
      <c r="AD110" s="53" t="s">
        <v>1197</v>
      </c>
      <c r="AE110" s="53" t="s">
        <v>1106</v>
      </c>
      <c r="AF110" s="53" t="s">
        <v>624</v>
      </c>
      <c r="AG110" s="53" t="s">
        <v>1197</v>
      </c>
      <c r="AH110" s="53"/>
      <c r="AI110" s="57" t="str">
        <f t="shared" si="142"/>
        <v>alp_vw_dv360_aaf_dsy_nonms_nd_nc_rng_varejo-familiaridade_na_trafego_cpm_prog_all_300x250_nc-lal__amarok-taxazero_var-rng-aaf-dsy-0221-10110</v>
      </c>
      <c r="AJ110" s="58" t="str">
        <f t="shared" si="142"/>
        <v>alp_vw_dv360_aaf_dsy_nonms_nd_nc_rng_varejo-familiaridade_na_trafego_cpm_prog_all_300x250_nc-lal__amarok-taxazero_var-rng-aaf-dsy-0221-10110</v>
      </c>
      <c r="AK110" s="57" t="str">
        <f t="shared" si="108"/>
        <v>vw_range_300x250_amarok-taxazero_adserver</v>
      </c>
      <c r="AL110" s="57" t="str">
        <f t="shared" si="130"/>
        <v>https://ofertas.vw.com.br/modelo/?modelo=Amarok&amp;utm_source=dv360&amp;utm_medium=Paid-Display&amp;utm_content=alp_vw_dv360_aaf_dsy_nonms_nd_nc_rng_varejo-familiaridade_na_trafego_cpm_prog_all_300x250_nc-lal__amarok-taxazero_var-rng-aaf-dsy-0221-10110&amp;utm_campaign=BR_AAF_DSY_NONMS_ND_NC_2021Q1FEB_RNG_Varejo-Familiaridade&amp;utm_term=%epid!_%ecid!_%eaid!</v>
      </c>
      <c r="AM110" s="57" t="str">
        <f t="shared" si="109"/>
        <v>TAG</v>
      </c>
      <c r="AN110" s="53" t="str">
        <f t="shared" si="131"/>
        <v>dv360</v>
      </c>
      <c r="AO110" s="53" t="str">
        <f t="shared" si="132"/>
        <v>Paid-Display</v>
      </c>
      <c r="AP110" s="57" t="str">
        <f>Campanha!$B$3</f>
        <v>BR_AAF_DSY_NONMS_ND_NC_2021Q1FEB_RNG_Varejo-Familiaridade</v>
      </c>
      <c r="AQ110" s="57" t="str">
        <f t="shared" si="110"/>
        <v>alp_vw_dv360_aaf_dsy_nonms_nd_nc_rng_varejo-familiaridade_na_trafego_cpm_prog_all_300x250_nc-lal__amarok-taxazero_var-rng-aaf-dsy-0221-10110</v>
      </c>
      <c r="AR110" s="53" t="s">
        <v>722</v>
      </c>
      <c r="AS110" s="57" t="str">
        <f t="shared" si="111"/>
        <v>https://ofertas.vw.com.br/modelo/?modelo=Amarok&amp;utm_source=dv360&amp;utm_medium=Paid-Display&amp;utm_content=alp_vw_dv360_aaf_dsy_nonms_nd_nc_rng_varejo-familiaridade_na_trafego_cpm_prog_all_300x250_nc-lal__amarok-taxazero_var-rng-aaf-dsy-0221-10110&amp;utm_campaign=BR_AAF_DSY_NONMS_ND_NC_2021Q1FEB_RNG_Varejo-Familiaridade&amp;utm_term=%epid!_%ecid!_%eaid!</v>
      </c>
      <c r="AT110" s="53" t="str">
        <f t="shared" si="133"/>
        <v>run-of-network</v>
      </c>
      <c r="AU110" s="53" t="str">
        <f t="shared" si="112"/>
        <v>BR</v>
      </c>
      <c r="AV110" s="53" t="str">
        <f t="shared" si="134"/>
        <v>dv360</v>
      </c>
      <c r="AW110" s="53" t="str">
        <f t="shared" si="135"/>
        <v>dv360</v>
      </c>
      <c r="AX110" s="53" t="str">
        <f t="shared" si="113"/>
        <v>varejo-familiaridade</v>
      </c>
      <c r="AY110" s="53" t="str">
        <f t="shared" si="136"/>
        <v>alp_vw_dv360_aaf_dsy_nonms_nd_nc_rng_varejo-familiaridade_na_trafego_cpm_prog_all_300x250_nc-lal__amarok-taxazero_var-rng-aaf-dsy-0221-10110</v>
      </c>
      <c r="AZ110" s="53" t="str">
        <f t="shared" si="137"/>
        <v>300x250</v>
      </c>
      <c r="BA110" s="53" t="str">
        <f t="shared" si="138"/>
        <v>varejo-familiaridade</v>
      </c>
      <c r="BB110" s="53" t="s">
        <v>775</v>
      </c>
      <c r="BC110" s="53" t="s">
        <v>775</v>
      </c>
      <c r="BD110" s="53" t="str">
        <f t="shared" si="139"/>
        <v>var-rng-aaf-dsy-0221-10110</v>
      </c>
      <c r="BE110" s="53" t="str">
        <f t="shared" si="140"/>
        <v>BR</v>
      </c>
      <c r="BF110" s="53" t="str">
        <f t="shared" si="141"/>
        <v/>
      </c>
      <c r="BG110" s="53"/>
      <c r="BH110" s="53"/>
      <c r="BI110" s="59" t="str">
        <f t="shared" si="114"/>
        <v>https://ofertas.vw.com.br/modelo/?modelo=Amarok&amp;adlid=var-rng-aaf-dsy-0221-10110&amp;adplt=alp_vw_dv360_aaf_dsy_nonms_nd_nc_rng_varejo-familiaridade_na_trafego_cpm_prog_all_300x250_nc-lal__amarok-taxazero_var-rng-aaf-dsy-0221-10110</v>
      </c>
      <c r="BL110" s="20" t="str">
        <f t="shared" si="115"/>
        <v>alp_vw_dv360_aaf_dsy_nonms_nd_nc_rng_varejo-familiaridade_na_trafego</v>
      </c>
      <c r="BM110" s="20" t="str">
        <f t="shared" si="116"/>
        <v>cpm_prog_all_300x250_nc-lal_</v>
      </c>
      <c r="BN110" s="20" t="str">
        <f t="shared" si="117"/>
        <v>alp_vw_dv360_aaf_dsy_nonms_nd_nc_rng_varejo-familiaridade_na_trafego_cpm_prog_all_300x250_nc-lal__amarok-taxazero_var-rng-aaf-dsy-0221-10110</v>
      </c>
      <c r="BO110" s="20"/>
      <c r="BP110" s="20"/>
    </row>
    <row r="111" spans="2:68" ht="15" hidden="1" customHeight="1" x14ac:dyDescent="0.25">
      <c r="B111" s="53" t="s">
        <v>996</v>
      </c>
      <c r="C111" s="53" t="s">
        <v>1193</v>
      </c>
      <c r="D111" s="53" t="s">
        <v>1172</v>
      </c>
      <c r="E111" s="54">
        <v>44299</v>
      </c>
      <c r="F111" s="54">
        <v>44316</v>
      </c>
      <c r="G111" s="53" t="s">
        <v>628</v>
      </c>
      <c r="H111" s="55" t="s">
        <v>1052</v>
      </c>
      <c r="I111" s="53" t="s">
        <v>777</v>
      </c>
      <c r="J111" s="56" t="s">
        <v>911</v>
      </c>
      <c r="K111" s="56" t="s">
        <v>911</v>
      </c>
      <c r="L111" s="53" t="s">
        <v>653</v>
      </c>
      <c r="M111" s="53" t="s">
        <v>287</v>
      </c>
      <c r="N111" s="53" t="s">
        <v>295</v>
      </c>
      <c r="O111" s="53" t="s">
        <v>317</v>
      </c>
      <c r="P111" s="53" t="s">
        <v>313</v>
      </c>
      <c r="Q111" s="53" t="s">
        <v>658</v>
      </c>
      <c r="R111" s="53" t="s">
        <v>277</v>
      </c>
      <c r="S111" s="53" t="s">
        <v>841</v>
      </c>
      <c r="T111" s="53" t="s">
        <v>938</v>
      </c>
      <c r="U111" s="53" t="s">
        <v>1054</v>
      </c>
      <c r="V111" s="53" t="s">
        <v>945</v>
      </c>
      <c r="W111" s="57"/>
      <c r="X111" s="53"/>
      <c r="Y111" s="53" t="s">
        <v>442</v>
      </c>
      <c r="Z111" s="53" t="s">
        <v>1196</v>
      </c>
      <c r="AA111" s="53" t="s">
        <v>47</v>
      </c>
      <c r="AB111" s="53" t="s">
        <v>911</v>
      </c>
      <c r="AC111" s="53" t="s">
        <v>911</v>
      </c>
      <c r="AD111" s="53" t="s">
        <v>1197</v>
      </c>
      <c r="AE111" s="53" t="s">
        <v>1106</v>
      </c>
      <c r="AF111" s="53" t="s">
        <v>624</v>
      </c>
      <c r="AG111" s="53" t="s">
        <v>1197</v>
      </c>
      <c r="AH111" s="53"/>
      <c r="AI111" s="57" t="str">
        <f t="shared" si="142"/>
        <v>alp_vw_dv360_aaf_dsy_nonms_nd_nc_rng_varejo-familiaridade_na_trafego_cpm_prog_all_300x600_nc-lal__amarok-taxazero_var-rng-aaf-dsy-0221-10111</v>
      </c>
      <c r="AJ111" s="58" t="str">
        <f t="shared" si="142"/>
        <v>alp_vw_dv360_aaf_dsy_nonms_nd_nc_rng_varejo-familiaridade_na_trafego_cpm_prog_all_300x600_nc-lal__amarok-taxazero_var-rng-aaf-dsy-0221-10111</v>
      </c>
      <c r="AK111" s="57" t="str">
        <f t="shared" si="108"/>
        <v>vw_range_300x600_amarok-taxazero_adserver</v>
      </c>
      <c r="AL111" s="57" t="str">
        <f t="shared" ref="AL111:AL117" si="143">IF(col_parametrizacao="GA",AS111,IF(CONCATENATE(col_parametrizacao,col_supplier)="ADOBESA360",CONCATENATE(col_url,"?ds_p=[*Part_Site*]&amp;ds_e=[*Part_Comp*]&amp;ds_c={_dscampaign}&amp;ds_ag={_dsadgroup}&amp;ds_k={_dssearchterm}&amp;ds_e={_dsaccounttype}&amp;ds_kid={_dstrackerid}&amp;country=BR&amp;language=BR"),IF(CONCATENATE(col_parametrizacao,col_supplier)="ADOBEGoogleAds",CONCATENATE(H111,"?","adlid=",col_adlid,"&amp;adplt=",col_placement,"adchan=[*channel*]&amp;campaign=[*Campaign*]","&amp;adgroup=[*Adgroup*]&amp;publisher=[*EngineAccountType*]&amp;adpl=[*EngineAccountType*]&amp;country=BR&amp;format=",col_size,"&amp;language=BR","&amp;adcr=[*searchterm*]",),url_adobe)))</f>
        <v>https://ofertas.vw.com.br/modelo/?modelo=Amarok&amp;utm_source=dv360&amp;utm_medium=Paid-Display&amp;utm_content=alp_vw_dv360_aaf_dsy_nonms_nd_nc_rng_varejo-familiaridade_na_trafego_cpm_prog_all_300x600_nc-lal__amarok-taxazero_var-rng-aaf-dsy-0221-10111&amp;utm_campaign=BR_AAF_DSY_NONMS_ND_NC_2021Q1FEB_RNG_Varejo-Familiaridade&amp;utm_term=%epid!_%ecid!_%eaid!</v>
      </c>
      <c r="AM111" s="57" t="str">
        <f t="shared" si="109"/>
        <v>TAG</v>
      </c>
      <c r="AN111" s="53" t="str">
        <f t="shared" ref="AN111:AN117" si="144">J111</f>
        <v>dv360</v>
      </c>
      <c r="AO111" s="53" t="str">
        <f t="shared" ref="AO111:AO117" si="145">L111</f>
        <v>Paid-Display</v>
      </c>
      <c r="AP111" s="57" t="str">
        <f>Campanha!$B$3</f>
        <v>BR_AAF_DSY_NONMS_ND_NC_2021Q1FEB_RNG_Varejo-Familiaridade</v>
      </c>
      <c r="AQ111" s="57" t="str">
        <f t="shared" si="110"/>
        <v>alp_vw_dv360_aaf_dsy_nonms_nd_nc_rng_varejo-familiaridade_na_trafego_cpm_prog_all_300x600_nc-lal__amarok-taxazero_var-rng-aaf-dsy-0221-10111</v>
      </c>
      <c r="AR111" s="53" t="s">
        <v>722</v>
      </c>
      <c r="AS111" s="57" t="str">
        <f t="shared" si="111"/>
        <v>https://ofertas.vw.com.br/modelo/?modelo=Amarok&amp;utm_source=dv360&amp;utm_medium=Paid-Display&amp;utm_content=alp_vw_dv360_aaf_dsy_nonms_nd_nc_rng_varejo-familiaridade_na_trafego_cpm_prog_all_300x600_nc-lal__amarok-taxazero_var-rng-aaf-dsy-0221-10111&amp;utm_campaign=BR_AAF_DSY_NONMS_ND_NC_2021Q1FEB_RNG_Varejo-Familiaridade&amp;utm_term=%epid!_%ecid!_%eaid!</v>
      </c>
      <c r="AT111" s="53" t="str">
        <f t="shared" ref="AT111:AT117" si="146">LOWER(Q111)</f>
        <v>run-of-network</v>
      </c>
      <c r="AU111" s="53" t="str">
        <f t="shared" si="112"/>
        <v>BR</v>
      </c>
      <c r="AV111" s="53" t="str">
        <f t="shared" ref="AV111:AV117" si="147">LOWER(K111)</f>
        <v>dv360</v>
      </c>
      <c r="AW111" s="53" t="str">
        <f t="shared" ref="AW111:AW117" si="148">LOWER(J111)</f>
        <v>dv360</v>
      </c>
      <c r="AX111" s="53" t="str">
        <f t="shared" si="113"/>
        <v>varejo-familiaridade</v>
      </c>
      <c r="AY111" s="53" t="str">
        <f t="shared" ref="AY111:AY117" si="149">LOWER(AI111)</f>
        <v>alp_vw_dv360_aaf_dsy_nonms_nd_nc_rng_varejo-familiaridade_na_trafego_cpm_prog_all_300x600_nc-lal__amarok-taxazero_var-rng-aaf-dsy-0221-10111</v>
      </c>
      <c r="AZ111" s="53" t="str">
        <f t="shared" ref="AZ111:AZ117" si="150">LOWER(Y111)</f>
        <v>300x600</v>
      </c>
      <c r="BA111" s="53" t="str">
        <f t="shared" ref="BA111:BA117" si="151">LOWER(T111)</f>
        <v>varejo-familiaridade</v>
      </c>
      <c r="BB111" s="53" t="s">
        <v>775</v>
      </c>
      <c r="BC111" s="53" t="s">
        <v>775</v>
      </c>
      <c r="BD111" s="53" t="str">
        <f t="shared" ref="BD111:BD117" si="152">LOWER(CONCATENATE(cel_idcampaign,"-",SUM(10000+ROW(A111))))</f>
        <v>var-rng-aaf-dsy-0221-10111</v>
      </c>
      <c r="BE111" s="53" t="str">
        <f t="shared" ref="BE111:BE117" si="153">AU111</f>
        <v>BR</v>
      </c>
      <c r="BF111" s="53" t="str">
        <f t="shared" ref="BF111:BF117" si="154">LOWER(X111)</f>
        <v/>
      </c>
      <c r="BG111" s="53"/>
      <c r="BH111" s="53"/>
      <c r="BI111" s="59" t="str">
        <f t="shared" si="114"/>
        <v>https://ofertas.vw.com.br/modelo/?modelo=Amarok&amp;adlid=var-rng-aaf-dsy-0221-10111&amp;adplt=alp_vw_dv360_aaf_dsy_nonms_nd_nc_rng_varejo-familiaridade_na_trafego_cpm_prog_all_300x600_nc-lal__amarok-taxazero_var-rng-aaf-dsy-0221-10111</v>
      </c>
      <c r="BL111" s="20" t="str">
        <f t="shared" si="115"/>
        <v>alp_vw_dv360_aaf_dsy_nonms_nd_nc_rng_varejo-familiaridade_na_trafego</v>
      </c>
      <c r="BM111" s="20" t="str">
        <f t="shared" si="116"/>
        <v>cpm_prog_all_300x600_nc-lal_</v>
      </c>
      <c r="BN111" s="20" t="str">
        <f t="shared" si="117"/>
        <v>alp_vw_dv360_aaf_dsy_nonms_nd_nc_rng_varejo-familiaridade_na_trafego_cpm_prog_all_300x600_nc-lal__amarok-taxazero_var-rng-aaf-dsy-0221-10111</v>
      </c>
      <c r="BO111" s="20"/>
      <c r="BP111" s="20"/>
    </row>
    <row r="112" spans="2:68" ht="15" hidden="1" customHeight="1" x14ac:dyDescent="0.25">
      <c r="B112" s="53" t="s">
        <v>996</v>
      </c>
      <c r="C112" s="53" t="s">
        <v>1193</v>
      </c>
      <c r="D112" s="53" t="s">
        <v>1172</v>
      </c>
      <c r="E112" s="54">
        <v>44299</v>
      </c>
      <c r="F112" s="54">
        <v>44316</v>
      </c>
      <c r="G112" s="53" t="s">
        <v>628</v>
      </c>
      <c r="H112" s="55" t="s">
        <v>1052</v>
      </c>
      <c r="I112" s="53" t="s">
        <v>777</v>
      </c>
      <c r="J112" s="56" t="s">
        <v>911</v>
      </c>
      <c r="K112" s="56" t="s">
        <v>911</v>
      </c>
      <c r="L112" s="53" t="s">
        <v>653</v>
      </c>
      <c r="M112" s="53" t="s">
        <v>287</v>
      </c>
      <c r="N112" s="53" t="s">
        <v>295</v>
      </c>
      <c r="O112" s="53" t="s">
        <v>317</v>
      </c>
      <c r="P112" s="53" t="s">
        <v>313</v>
      </c>
      <c r="Q112" s="53" t="s">
        <v>658</v>
      </c>
      <c r="R112" s="53" t="s">
        <v>277</v>
      </c>
      <c r="S112" s="53" t="s">
        <v>841</v>
      </c>
      <c r="T112" s="53" t="s">
        <v>938</v>
      </c>
      <c r="U112" s="53" t="s">
        <v>1054</v>
      </c>
      <c r="V112" s="53" t="s">
        <v>945</v>
      </c>
      <c r="W112" s="57"/>
      <c r="X112" s="53"/>
      <c r="Y112" s="53" t="s">
        <v>457</v>
      </c>
      <c r="Z112" s="53" t="s">
        <v>1196</v>
      </c>
      <c r="AA112" s="53" t="s">
        <v>47</v>
      </c>
      <c r="AB112" s="53" t="s">
        <v>911</v>
      </c>
      <c r="AC112" s="53" t="s">
        <v>911</v>
      </c>
      <c r="AD112" s="53" t="s">
        <v>1197</v>
      </c>
      <c r="AE112" s="53" t="s">
        <v>1106</v>
      </c>
      <c r="AF112" s="53" t="s">
        <v>624</v>
      </c>
      <c r="AG112" s="53" t="s">
        <v>1197</v>
      </c>
      <c r="AH112" s="53"/>
      <c r="AI112" s="57" t="str">
        <f t="shared" si="142"/>
        <v>alp_vw_dv360_aaf_dsy_nonms_nd_nc_rng_varejo-familiaridade_na_trafego_cpm_prog_all_320x50_nc-lal__amarok-taxazero_var-rng-aaf-dsy-0221-10112</v>
      </c>
      <c r="AJ112" s="58" t="str">
        <f t="shared" si="142"/>
        <v>alp_vw_dv360_aaf_dsy_nonms_nd_nc_rng_varejo-familiaridade_na_trafego_cpm_prog_all_320x50_nc-lal__amarok-taxazero_var-rng-aaf-dsy-0221-10112</v>
      </c>
      <c r="AK112" s="57" t="str">
        <f t="shared" si="108"/>
        <v>vw_range_320x50_amarok-taxazero_adserver</v>
      </c>
      <c r="AL112" s="57" t="str">
        <f t="shared" si="143"/>
        <v>https://ofertas.vw.com.br/modelo/?modelo=Amarok&amp;utm_source=dv360&amp;utm_medium=Paid-Display&amp;utm_content=alp_vw_dv360_aaf_dsy_nonms_nd_nc_rng_varejo-familiaridade_na_trafego_cpm_prog_all_320x50_nc-lal__amarok-taxazero_var-rng-aaf-dsy-0221-10112&amp;utm_campaign=BR_AAF_DSY_NONMS_ND_NC_2021Q1FEB_RNG_Varejo-Familiaridade&amp;utm_term=%epid!_%ecid!_%eaid!</v>
      </c>
      <c r="AM112" s="57" t="str">
        <f t="shared" si="109"/>
        <v>TAG</v>
      </c>
      <c r="AN112" s="53" t="str">
        <f t="shared" si="144"/>
        <v>dv360</v>
      </c>
      <c r="AO112" s="53" t="str">
        <f t="shared" si="145"/>
        <v>Paid-Display</v>
      </c>
      <c r="AP112" s="57" t="str">
        <f>Campanha!$B$3</f>
        <v>BR_AAF_DSY_NONMS_ND_NC_2021Q1FEB_RNG_Varejo-Familiaridade</v>
      </c>
      <c r="AQ112" s="57" t="str">
        <f t="shared" si="110"/>
        <v>alp_vw_dv360_aaf_dsy_nonms_nd_nc_rng_varejo-familiaridade_na_trafego_cpm_prog_all_320x50_nc-lal__amarok-taxazero_var-rng-aaf-dsy-0221-10112</v>
      </c>
      <c r="AR112" s="53" t="s">
        <v>722</v>
      </c>
      <c r="AS112" s="57" t="str">
        <f t="shared" si="111"/>
        <v>https://ofertas.vw.com.br/modelo/?modelo=Amarok&amp;utm_source=dv360&amp;utm_medium=Paid-Display&amp;utm_content=alp_vw_dv360_aaf_dsy_nonms_nd_nc_rng_varejo-familiaridade_na_trafego_cpm_prog_all_320x50_nc-lal__amarok-taxazero_var-rng-aaf-dsy-0221-10112&amp;utm_campaign=BR_AAF_DSY_NONMS_ND_NC_2021Q1FEB_RNG_Varejo-Familiaridade&amp;utm_term=%epid!_%ecid!_%eaid!</v>
      </c>
      <c r="AT112" s="53" t="str">
        <f t="shared" si="146"/>
        <v>run-of-network</v>
      </c>
      <c r="AU112" s="53" t="str">
        <f t="shared" si="112"/>
        <v>BR</v>
      </c>
      <c r="AV112" s="53" t="str">
        <f t="shared" si="147"/>
        <v>dv360</v>
      </c>
      <c r="AW112" s="53" t="str">
        <f t="shared" si="148"/>
        <v>dv360</v>
      </c>
      <c r="AX112" s="53" t="str">
        <f t="shared" si="113"/>
        <v>varejo-familiaridade</v>
      </c>
      <c r="AY112" s="53" t="str">
        <f t="shared" si="149"/>
        <v>alp_vw_dv360_aaf_dsy_nonms_nd_nc_rng_varejo-familiaridade_na_trafego_cpm_prog_all_320x50_nc-lal__amarok-taxazero_var-rng-aaf-dsy-0221-10112</v>
      </c>
      <c r="AZ112" s="53" t="str">
        <f t="shared" si="150"/>
        <v>320x50</v>
      </c>
      <c r="BA112" s="53" t="str">
        <f t="shared" si="151"/>
        <v>varejo-familiaridade</v>
      </c>
      <c r="BB112" s="53" t="s">
        <v>775</v>
      </c>
      <c r="BC112" s="53" t="s">
        <v>775</v>
      </c>
      <c r="BD112" s="53" t="str">
        <f t="shared" si="152"/>
        <v>var-rng-aaf-dsy-0221-10112</v>
      </c>
      <c r="BE112" s="53" t="str">
        <f t="shared" si="153"/>
        <v>BR</v>
      </c>
      <c r="BF112" s="53" t="str">
        <f t="shared" si="154"/>
        <v/>
      </c>
      <c r="BG112" s="53"/>
      <c r="BH112" s="53"/>
      <c r="BI112" s="59" t="str">
        <f t="shared" si="114"/>
        <v>https://ofertas.vw.com.br/modelo/?modelo=Amarok&amp;adlid=var-rng-aaf-dsy-0221-10112&amp;adplt=alp_vw_dv360_aaf_dsy_nonms_nd_nc_rng_varejo-familiaridade_na_trafego_cpm_prog_all_320x50_nc-lal__amarok-taxazero_var-rng-aaf-dsy-0221-10112</v>
      </c>
      <c r="BL112" s="20" t="str">
        <f t="shared" si="115"/>
        <v>alp_vw_dv360_aaf_dsy_nonms_nd_nc_rng_varejo-familiaridade_na_trafego</v>
      </c>
      <c r="BM112" s="20" t="str">
        <f t="shared" si="116"/>
        <v>cpm_prog_all_320x50_nc-lal_</v>
      </c>
      <c r="BN112" s="20" t="str">
        <f t="shared" si="117"/>
        <v>alp_vw_dv360_aaf_dsy_nonms_nd_nc_rng_varejo-familiaridade_na_trafego_cpm_prog_all_320x50_nc-lal__amarok-taxazero_var-rng-aaf-dsy-0221-10112</v>
      </c>
      <c r="BO112" s="20"/>
      <c r="BP112" s="20"/>
    </row>
    <row r="113" spans="2:68" ht="15" hidden="1" customHeight="1" x14ac:dyDescent="0.25">
      <c r="B113" s="53" t="s">
        <v>996</v>
      </c>
      <c r="C113" s="53" t="s">
        <v>1193</v>
      </c>
      <c r="D113" s="53" t="s">
        <v>1172</v>
      </c>
      <c r="E113" s="54">
        <v>44299</v>
      </c>
      <c r="F113" s="54">
        <v>44316</v>
      </c>
      <c r="G113" s="53" t="s">
        <v>628</v>
      </c>
      <c r="H113" s="55" t="s">
        <v>1052</v>
      </c>
      <c r="I113" s="53" t="s">
        <v>777</v>
      </c>
      <c r="J113" s="56" t="s">
        <v>911</v>
      </c>
      <c r="K113" s="56" t="s">
        <v>911</v>
      </c>
      <c r="L113" s="53" t="s">
        <v>653</v>
      </c>
      <c r="M113" s="53" t="s">
        <v>287</v>
      </c>
      <c r="N113" s="53" t="s">
        <v>295</v>
      </c>
      <c r="O113" s="53" t="s">
        <v>317</v>
      </c>
      <c r="P113" s="53" t="s">
        <v>313</v>
      </c>
      <c r="Q113" s="53" t="s">
        <v>658</v>
      </c>
      <c r="R113" s="53" t="s">
        <v>277</v>
      </c>
      <c r="S113" s="53" t="s">
        <v>841</v>
      </c>
      <c r="T113" s="53" t="s">
        <v>938</v>
      </c>
      <c r="U113" s="53" t="s">
        <v>1054</v>
      </c>
      <c r="V113" s="53" t="s">
        <v>945</v>
      </c>
      <c r="W113" s="57"/>
      <c r="X113" s="53"/>
      <c r="Y113" s="53" t="s">
        <v>568</v>
      </c>
      <c r="Z113" s="53" t="s">
        <v>1196</v>
      </c>
      <c r="AA113" s="53" t="s">
        <v>47</v>
      </c>
      <c r="AB113" s="53" t="s">
        <v>911</v>
      </c>
      <c r="AC113" s="53" t="s">
        <v>911</v>
      </c>
      <c r="AD113" s="53" t="s">
        <v>1197</v>
      </c>
      <c r="AE113" s="53" t="s">
        <v>1106</v>
      </c>
      <c r="AF113" s="53" t="s">
        <v>624</v>
      </c>
      <c r="AG113" s="53" t="s">
        <v>1197</v>
      </c>
      <c r="AH113" s="53"/>
      <c r="AI113" s="57" t="str">
        <f t="shared" si="142"/>
        <v>alp_vw_dv360_aaf_dsy_nonms_nd_nc_rng_varejo-familiaridade_na_trafego_cpm_prog_all_728x90_nc-lal__amarok-taxazero_var-rng-aaf-dsy-0221-10113</v>
      </c>
      <c r="AJ113" s="58" t="str">
        <f t="shared" si="142"/>
        <v>alp_vw_dv360_aaf_dsy_nonms_nd_nc_rng_varejo-familiaridade_na_trafego_cpm_prog_all_728x90_nc-lal__amarok-taxazero_var-rng-aaf-dsy-0221-10113</v>
      </c>
      <c r="AK113" s="57" t="str">
        <f t="shared" si="108"/>
        <v>vw_range_728x90_amarok-taxazero_adserver</v>
      </c>
      <c r="AL113" s="57" t="str">
        <f t="shared" si="143"/>
        <v>https://ofertas.vw.com.br/modelo/?modelo=Amarok&amp;utm_source=dv360&amp;utm_medium=Paid-Display&amp;utm_content=alp_vw_dv360_aaf_dsy_nonms_nd_nc_rng_varejo-familiaridade_na_trafego_cpm_prog_all_728x90_nc-lal__amarok-taxazero_var-rng-aaf-dsy-0221-10113&amp;utm_campaign=BR_AAF_DSY_NONMS_ND_NC_2021Q1FEB_RNG_Varejo-Familiaridade&amp;utm_term=%epid!_%ecid!_%eaid!</v>
      </c>
      <c r="AM113" s="57" t="str">
        <f t="shared" si="109"/>
        <v>TAG</v>
      </c>
      <c r="AN113" s="53" t="str">
        <f t="shared" si="144"/>
        <v>dv360</v>
      </c>
      <c r="AO113" s="53" t="str">
        <f t="shared" si="145"/>
        <v>Paid-Display</v>
      </c>
      <c r="AP113" s="57" t="str">
        <f>Campanha!$B$3</f>
        <v>BR_AAF_DSY_NONMS_ND_NC_2021Q1FEB_RNG_Varejo-Familiaridade</v>
      </c>
      <c r="AQ113" s="57" t="str">
        <f t="shared" si="110"/>
        <v>alp_vw_dv360_aaf_dsy_nonms_nd_nc_rng_varejo-familiaridade_na_trafego_cpm_prog_all_728x90_nc-lal__amarok-taxazero_var-rng-aaf-dsy-0221-10113</v>
      </c>
      <c r="AR113" s="53" t="s">
        <v>722</v>
      </c>
      <c r="AS113" s="57" t="str">
        <f t="shared" si="111"/>
        <v>https://ofertas.vw.com.br/modelo/?modelo=Amarok&amp;utm_source=dv360&amp;utm_medium=Paid-Display&amp;utm_content=alp_vw_dv360_aaf_dsy_nonms_nd_nc_rng_varejo-familiaridade_na_trafego_cpm_prog_all_728x90_nc-lal__amarok-taxazero_var-rng-aaf-dsy-0221-10113&amp;utm_campaign=BR_AAF_DSY_NONMS_ND_NC_2021Q1FEB_RNG_Varejo-Familiaridade&amp;utm_term=%epid!_%ecid!_%eaid!</v>
      </c>
      <c r="AT113" s="53" t="str">
        <f t="shared" si="146"/>
        <v>run-of-network</v>
      </c>
      <c r="AU113" s="53" t="str">
        <f t="shared" si="112"/>
        <v>BR</v>
      </c>
      <c r="AV113" s="53" t="str">
        <f t="shared" si="147"/>
        <v>dv360</v>
      </c>
      <c r="AW113" s="53" t="str">
        <f t="shared" si="148"/>
        <v>dv360</v>
      </c>
      <c r="AX113" s="53" t="str">
        <f t="shared" si="113"/>
        <v>varejo-familiaridade</v>
      </c>
      <c r="AY113" s="53" t="str">
        <f t="shared" si="149"/>
        <v>alp_vw_dv360_aaf_dsy_nonms_nd_nc_rng_varejo-familiaridade_na_trafego_cpm_prog_all_728x90_nc-lal__amarok-taxazero_var-rng-aaf-dsy-0221-10113</v>
      </c>
      <c r="AZ113" s="53" t="str">
        <f t="shared" si="150"/>
        <v>728x90</v>
      </c>
      <c r="BA113" s="53" t="str">
        <f t="shared" si="151"/>
        <v>varejo-familiaridade</v>
      </c>
      <c r="BB113" s="53" t="s">
        <v>775</v>
      </c>
      <c r="BC113" s="53" t="s">
        <v>775</v>
      </c>
      <c r="BD113" s="53" t="str">
        <f t="shared" si="152"/>
        <v>var-rng-aaf-dsy-0221-10113</v>
      </c>
      <c r="BE113" s="53" t="str">
        <f t="shared" si="153"/>
        <v>BR</v>
      </c>
      <c r="BF113" s="53" t="str">
        <f t="shared" si="154"/>
        <v/>
      </c>
      <c r="BG113" s="53"/>
      <c r="BH113" s="53"/>
      <c r="BI113" s="59" t="str">
        <f t="shared" si="114"/>
        <v>https://ofertas.vw.com.br/modelo/?modelo=Amarok&amp;adlid=var-rng-aaf-dsy-0221-10113&amp;adplt=alp_vw_dv360_aaf_dsy_nonms_nd_nc_rng_varejo-familiaridade_na_trafego_cpm_prog_all_728x90_nc-lal__amarok-taxazero_var-rng-aaf-dsy-0221-10113</v>
      </c>
      <c r="BL113" s="20" t="str">
        <f t="shared" si="115"/>
        <v>alp_vw_dv360_aaf_dsy_nonms_nd_nc_rng_varejo-familiaridade_na_trafego</v>
      </c>
      <c r="BM113" s="20" t="str">
        <f t="shared" si="116"/>
        <v>cpm_prog_all_728x90_nc-lal_</v>
      </c>
      <c r="BN113" s="20" t="str">
        <f t="shared" si="117"/>
        <v>alp_vw_dv360_aaf_dsy_nonms_nd_nc_rng_varejo-familiaridade_na_trafego_cpm_prog_all_728x90_nc-lal__amarok-taxazero_var-rng-aaf-dsy-0221-10113</v>
      </c>
      <c r="BO113" s="20"/>
      <c r="BP113" s="20"/>
    </row>
    <row r="114" spans="2:68" ht="15" customHeight="1" x14ac:dyDescent="0.25">
      <c r="B114" s="37" t="s">
        <v>996</v>
      </c>
      <c r="C114" s="37" t="s">
        <v>1252</v>
      </c>
      <c r="D114" s="37" t="s">
        <v>1251</v>
      </c>
      <c r="E114" s="45">
        <v>44299</v>
      </c>
      <c r="F114" s="45">
        <v>44316</v>
      </c>
      <c r="G114" s="37" t="s">
        <v>626</v>
      </c>
      <c r="H114" s="43" t="s">
        <v>1052</v>
      </c>
      <c r="I114" s="37" t="s">
        <v>777</v>
      </c>
      <c r="J114" s="46" t="s">
        <v>936</v>
      </c>
      <c r="K114" s="46" t="s">
        <v>936</v>
      </c>
      <c r="L114" s="37" t="s">
        <v>653</v>
      </c>
      <c r="M114" s="37" t="s">
        <v>287</v>
      </c>
      <c r="N114" s="37" t="s">
        <v>295</v>
      </c>
      <c r="O114" s="37" t="s">
        <v>654</v>
      </c>
      <c r="P114" s="37" t="s">
        <v>311</v>
      </c>
      <c r="Q114" s="37" t="s">
        <v>658</v>
      </c>
      <c r="R114" s="37" t="s">
        <v>277</v>
      </c>
      <c r="S114" s="37" t="s">
        <v>841</v>
      </c>
      <c r="T114" s="37" t="s">
        <v>938</v>
      </c>
      <c r="U114" s="37" t="s">
        <v>1054</v>
      </c>
      <c r="V114" s="37" t="s">
        <v>1008</v>
      </c>
      <c r="W114" s="53" t="s">
        <v>433</v>
      </c>
      <c r="X114" s="53"/>
      <c r="Y114" s="37" t="s">
        <v>433</v>
      </c>
      <c r="Z114" s="58"/>
      <c r="AA114" s="57"/>
      <c r="AB114" s="57"/>
      <c r="AC114" s="57"/>
      <c r="AD114" s="53"/>
      <c r="AE114" s="53"/>
      <c r="AF114" s="57"/>
      <c r="AG114" s="57"/>
      <c r="AH114" s="37"/>
      <c r="AI114" s="38" t="str">
        <f t="shared" si="142"/>
        <v>alp_vw_amazon_aaf_dsy_nonms_nd_nc_rng_varejo-familiaridade_na_trafego_cpm_prog_all_300x250_open-auction_300x250_amarok-taxazero_var-rng-aaf-dsy-0221-10114</v>
      </c>
      <c r="AJ114" s="39" t="str">
        <f t="shared" si="142"/>
        <v>alp_vw_amazon_aaf_dsy_nonms_nd_nc_rng_varejo-familiaridade_na_trafego_cpm_prog_all_300x250_open-auction_300x250_amarok-taxazero_var-rng-aaf-dsy-0221-10114</v>
      </c>
      <c r="AK114" s="38" t="str">
        <f t="shared" si="108"/>
        <v>vw_range_300x250_amarok-taxazero_amazon</v>
      </c>
      <c r="AL114" s="38" t="str">
        <f t="shared" si="143"/>
        <v>https://ofertas.vw.com.br/modelo/?modelo=Amarok&amp;utm_source=amazon&amp;utm_medium=Paid-Display&amp;utm_content=alp_vw_amazon_aaf_dsy_nonms_nd_nc_rng_varejo-familiaridade_na_trafego_cpm_prog_all_300x250_open-auction_300x250_amarok-taxazero_var-rng-aaf-dsy-0221-10114&amp;utm_campaign=BR_AAF_DSY_NONMS_ND_NC_2021Q1FEB_RNG_Varejo-Familiaridade&amp;utm_term=%epid!_%ecid!_%eaid!</v>
      </c>
      <c r="AM114" s="38" t="str">
        <f t="shared" si="109"/>
        <v>https://ad.doubleclick.net/ddm/trackclk/N9487.3350855AMAZONBRAZIL/B25333445.301025130;dc_trk_aid=493709588;dc_trk_cid=145996180;dc_lat=;dc_rdid=;tag_for_child_directed_treatment=;tfua=</v>
      </c>
      <c r="AN114" s="37" t="str">
        <f t="shared" si="144"/>
        <v>amazon</v>
      </c>
      <c r="AO114" s="37" t="str">
        <f t="shared" si="145"/>
        <v>Paid-Display</v>
      </c>
      <c r="AP114" s="38" t="str">
        <f>Campanha!$B$3</f>
        <v>BR_AAF_DSY_NONMS_ND_NC_2021Q1FEB_RNG_Varejo-Familiaridade</v>
      </c>
      <c r="AQ114" s="38" t="str">
        <f t="shared" si="110"/>
        <v>alp_vw_amazon_aaf_dsy_nonms_nd_nc_rng_varejo-familiaridade_na_trafego_cpm_prog_all_300x250_open-auction_300x250_amarok-taxazero_var-rng-aaf-dsy-0221-10114</v>
      </c>
      <c r="AR114" s="37" t="s">
        <v>722</v>
      </c>
      <c r="AS114" s="38" t="str">
        <f t="shared" si="111"/>
        <v>https://ofertas.vw.com.br/modelo/?modelo=Amarok&amp;utm_source=amazon&amp;utm_medium=Paid-Display&amp;utm_content=alp_vw_amazon_aaf_dsy_nonms_nd_nc_rng_varejo-familiaridade_na_trafego_cpm_prog_all_300x250_open-auction_300x250_amarok-taxazero_var-rng-aaf-dsy-0221-10114&amp;utm_campaign=BR_AAF_DSY_NONMS_ND_NC_2021Q1FEB_RNG_Varejo-Familiaridade&amp;utm_term=%epid!_%ecid!_%eaid!</v>
      </c>
      <c r="AT114" s="37" t="str">
        <f t="shared" si="146"/>
        <v>run-of-network</v>
      </c>
      <c r="AU114" s="37" t="str">
        <f t="shared" si="112"/>
        <v>BR</v>
      </c>
      <c r="AV114" s="37" t="str">
        <f t="shared" si="147"/>
        <v>amazon</v>
      </c>
      <c r="AW114" s="37" t="str">
        <f t="shared" si="148"/>
        <v>amazon</v>
      </c>
      <c r="AX114" s="37" t="str">
        <f t="shared" si="113"/>
        <v>varejo-familiaridade</v>
      </c>
      <c r="AY114" s="37" t="str">
        <f t="shared" si="149"/>
        <v>alp_vw_amazon_aaf_dsy_nonms_nd_nc_rng_varejo-familiaridade_na_trafego_cpm_prog_all_300x250_open-auction_300x250_amarok-taxazero_var-rng-aaf-dsy-0221-10114</v>
      </c>
      <c r="AZ114" s="37" t="str">
        <f t="shared" si="150"/>
        <v>300x250</v>
      </c>
      <c r="BA114" s="37" t="str">
        <f t="shared" si="151"/>
        <v>varejo-familiaridade</v>
      </c>
      <c r="BB114" s="37" t="s">
        <v>775</v>
      </c>
      <c r="BC114" s="37" t="s">
        <v>775</v>
      </c>
      <c r="BD114" s="37" t="str">
        <f t="shared" si="152"/>
        <v>var-rng-aaf-dsy-0221-10114</v>
      </c>
      <c r="BE114" s="37" t="str">
        <f t="shared" si="153"/>
        <v>BR</v>
      </c>
      <c r="BF114" s="37" t="str">
        <f t="shared" si="154"/>
        <v/>
      </c>
      <c r="BG114" s="37"/>
      <c r="BH114" s="37"/>
      <c r="BI114" s="47" t="str">
        <f t="shared" si="114"/>
        <v>https://ofertas.vw.com.br/modelo/?modelo=Amarok&amp;adlid=var-rng-aaf-dsy-0221-10114&amp;adplt=alp_vw_amazon_aaf_dsy_nonms_nd_nc_rng_varejo-familiaridade_na_trafego_cpm_prog_all_300x250_open-auction_300x250_amarok-taxazero_var-rng-aaf-dsy-0221-10114</v>
      </c>
      <c r="BL114" s="44" t="str">
        <f t="shared" si="115"/>
        <v>alp_vw_amazon_aaf_dsy_nonms_nd_nc_rng_varejo-familiaridade_na_trafego</v>
      </c>
      <c r="BM114" s="44" t="str">
        <f t="shared" si="116"/>
        <v>cpm_prog_all_300x250_open-auction_300x250</v>
      </c>
      <c r="BN114" s="44" t="str">
        <f t="shared" si="117"/>
        <v>alp_vw_amazon_aaf_dsy_nonms_nd_nc_rng_varejo-familiaridade_na_trafego_cpm_prog_all_300x250_open-auction_300x250_amarok-taxazero_var-rng-aaf-dsy-0221-10114</v>
      </c>
      <c r="BO114" s="44"/>
      <c r="BP114" s="44"/>
    </row>
    <row r="115" spans="2:68" ht="15" customHeight="1" x14ac:dyDescent="0.25">
      <c r="B115" s="37" t="s">
        <v>996</v>
      </c>
      <c r="C115" s="37" t="s">
        <v>1252</v>
      </c>
      <c r="D115" s="37" t="s">
        <v>1251</v>
      </c>
      <c r="E115" s="45">
        <v>44299</v>
      </c>
      <c r="F115" s="45">
        <v>44316</v>
      </c>
      <c r="G115" s="37" t="s">
        <v>626</v>
      </c>
      <c r="H115" s="43" t="s">
        <v>1052</v>
      </c>
      <c r="I115" s="37" t="s">
        <v>777</v>
      </c>
      <c r="J115" s="46" t="s">
        <v>936</v>
      </c>
      <c r="K115" s="46" t="s">
        <v>936</v>
      </c>
      <c r="L115" s="37" t="s">
        <v>653</v>
      </c>
      <c r="M115" s="37" t="s">
        <v>287</v>
      </c>
      <c r="N115" s="37" t="s">
        <v>295</v>
      </c>
      <c r="O115" s="37" t="s">
        <v>654</v>
      </c>
      <c r="P115" s="37" t="s">
        <v>311</v>
      </c>
      <c r="Q115" s="37" t="s">
        <v>658</v>
      </c>
      <c r="R115" s="37" t="s">
        <v>277</v>
      </c>
      <c r="S115" s="37" t="s">
        <v>841</v>
      </c>
      <c r="T115" s="37" t="s">
        <v>938</v>
      </c>
      <c r="U115" s="37" t="s">
        <v>1054</v>
      </c>
      <c r="V115" s="37" t="s">
        <v>1008</v>
      </c>
      <c r="W115" s="53" t="s">
        <v>457</v>
      </c>
      <c r="X115" s="53"/>
      <c r="Y115" s="37" t="s">
        <v>457</v>
      </c>
      <c r="Z115" s="58"/>
      <c r="AA115" s="57"/>
      <c r="AB115" s="57"/>
      <c r="AC115" s="57"/>
      <c r="AD115" s="53"/>
      <c r="AE115" s="53"/>
      <c r="AF115" s="57"/>
      <c r="AG115" s="57"/>
      <c r="AH115" s="37"/>
      <c r="AI115" s="38" t="str">
        <f t="shared" si="142"/>
        <v>alp_vw_amazon_aaf_dsy_nonms_nd_nc_rng_varejo-familiaridade_na_trafego_cpm_prog_all_320x50_open-auction_320x50_amarok-taxazero_var-rng-aaf-dsy-0221-10115</v>
      </c>
      <c r="AJ115" s="39" t="str">
        <f t="shared" si="142"/>
        <v>alp_vw_amazon_aaf_dsy_nonms_nd_nc_rng_varejo-familiaridade_na_trafego_cpm_prog_all_320x50_open-auction_320x50_amarok-taxazero_var-rng-aaf-dsy-0221-10115</v>
      </c>
      <c r="AK115" s="38" t="str">
        <f t="shared" si="108"/>
        <v>vw_range_320x50_amarok-taxazero_amazon</v>
      </c>
      <c r="AL115" s="38" t="str">
        <f t="shared" si="143"/>
        <v>https://ofertas.vw.com.br/modelo/?modelo=Amarok&amp;utm_source=amazon&amp;utm_medium=Paid-Display&amp;utm_content=alp_vw_amazon_aaf_dsy_nonms_nd_nc_rng_varejo-familiaridade_na_trafego_cpm_prog_all_320x50_open-auction_320x50_amarok-taxazero_var-rng-aaf-dsy-0221-10115&amp;utm_campaign=BR_AAF_DSY_NONMS_ND_NC_2021Q1FEB_RNG_Varejo-Familiaridade&amp;utm_term=%epid!_%ecid!_%eaid!</v>
      </c>
      <c r="AM115" s="38" t="str">
        <f t="shared" si="109"/>
        <v>https://ad.doubleclick.net/ddm/trackclk/N9487.3350855AMAZONBRAZIL/B25333445.301025127;dc_trk_aid=493709585;dc_trk_cid=145996180;dc_lat=;dc_rdid=;tag_for_child_directed_treatment=;tfua=</v>
      </c>
      <c r="AN115" s="37" t="str">
        <f t="shared" si="144"/>
        <v>amazon</v>
      </c>
      <c r="AO115" s="37" t="str">
        <f t="shared" si="145"/>
        <v>Paid-Display</v>
      </c>
      <c r="AP115" s="38" t="str">
        <f>Campanha!$B$3</f>
        <v>BR_AAF_DSY_NONMS_ND_NC_2021Q1FEB_RNG_Varejo-Familiaridade</v>
      </c>
      <c r="AQ115" s="38" t="str">
        <f t="shared" si="110"/>
        <v>alp_vw_amazon_aaf_dsy_nonms_nd_nc_rng_varejo-familiaridade_na_trafego_cpm_prog_all_320x50_open-auction_320x50_amarok-taxazero_var-rng-aaf-dsy-0221-10115</v>
      </c>
      <c r="AR115" s="37" t="s">
        <v>722</v>
      </c>
      <c r="AS115" s="38" t="str">
        <f t="shared" si="111"/>
        <v>https://ofertas.vw.com.br/modelo/?modelo=Amarok&amp;utm_source=amazon&amp;utm_medium=Paid-Display&amp;utm_content=alp_vw_amazon_aaf_dsy_nonms_nd_nc_rng_varejo-familiaridade_na_trafego_cpm_prog_all_320x50_open-auction_320x50_amarok-taxazero_var-rng-aaf-dsy-0221-10115&amp;utm_campaign=BR_AAF_DSY_NONMS_ND_NC_2021Q1FEB_RNG_Varejo-Familiaridade&amp;utm_term=%epid!_%ecid!_%eaid!</v>
      </c>
      <c r="AT115" s="37" t="str">
        <f t="shared" si="146"/>
        <v>run-of-network</v>
      </c>
      <c r="AU115" s="37" t="str">
        <f t="shared" si="112"/>
        <v>BR</v>
      </c>
      <c r="AV115" s="37" t="str">
        <f t="shared" si="147"/>
        <v>amazon</v>
      </c>
      <c r="AW115" s="37" t="str">
        <f t="shared" si="148"/>
        <v>amazon</v>
      </c>
      <c r="AX115" s="37" t="str">
        <f t="shared" si="113"/>
        <v>varejo-familiaridade</v>
      </c>
      <c r="AY115" s="37" t="str">
        <f t="shared" si="149"/>
        <v>alp_vw_amazon_aaf_dsy_nonms_nd_nc_rng_varejo-familiaridade_na_trafego_cpm_prog_all_320x50_open-auction_320x50_amarok-taxazero_var-rng-aaf-dsy-0221-10115</v>
      </c>
      <c r="AZ115" s="37" t="str">
        <f t="shared" si="150"/>
        <v>320x50</v>
      </c>
      <c r="BA115" s="37" t="str">
        <f t="shared" si="151"/>
        <v>varejo-familiaridade</v>
      </c>
      <c r="BB115" s="37" t="s">
        <v>775</v>
      </c>
      <c r="BC115" s="37" t="s">
        <v>775</v>
      </c>
      <c r="BD115" s="37" t="str">
        <f t="shared" si="152"/>
        <v>var-rng-aaf-dsy-0221-10115</v>
      </c>
      <c r="BE115" s="37" t="str">
        <f t="shared" si="153"/>
        <v>BR</v>
      </c>
      <c r="BF115" s="37" t="str">
        <f t="shared" si="154"/>
        <v/>
      </c>
      <c r="BG115" s="37"/>
      <c r="BH115" s="37"/>
      <c r="BI115" s="47" t="str">
        <f t="shared" si="114"/>
        <v>https://ofertas.vw.com.br/modelo/?modelo=Amarok&amp;adlid=var-rng-aaf-dsy-0221-10115&amp;adplt=alp_vw_amazon_aaf_dsy_nonms_nd_nc_rng_varejo-familiaridade_na_trafego_cpm_prog_all_320x50_open-auction_320x50_amarok-taxazero_var-rng-aaf-dsy-0221-10115</v>
      </c>
      <c r="BL115" s="44" t="str">
        <f t="shared" si="115"/>
        <v>alp_vw_amazon_aaf_dsy_nonms_nd_nc_rng_varejo-familiaridade_na_trafego</v>
      </c>
      <c r="BM115" s="44" t="str">
        <f t="shared" si="116"/>
        <v>cpm_prog_all_320x50_open-auction_320x50</v>
      </c>
      <c r="BN115" s="44" t="str">
        <f t="shared" si="117"/>
        <v>alp_vw_amazon_aaf_dsy_nonms_nd_nc_rng_varejo-familiaridade_na_trafego_cpm_prog_all_320x50_open-auction_320x50_amarok-taxazero_var-rng-aaf-dsy-0221-10115</v>
      </c>
      <c r="BO115" s="44"/>
      <c r="BP115" s="44"/>
    </row>
    <row r="116" spans="2:68" ht="15" customHeight="1" x14ac:dyDescent="0.25">
      <c r="B116" s="37" t="s">
        <v>996</v>
      </c>
      <c r="C116" s="37" t="s">
        <v>1252</v>
      </c>
      <c r="D116" s="37" t="s">
        <v>1251</v>
      </c>
      <c r="E116" s="45">
        <v>44299</v>
      </c>
      <c r="F116" s="45">
        <v>44316</v>
      </c>
      <c r="G116" s="37" t="s">
        <v>626</v>
      </c>
      <c r="H116" s="43" t="s">
        <v>1052</v>
      </c>
      <c r="I116" s="37" t="s">
        <v>777</v>
      </c>
      <c r="J116" s="46" t="s">
        <v>936</v>
      </c>
      <c r="K116" s="46" t="s">
        <v>936</v>
      </c>
      <c r="L116" s="37" t="s">
        <v>653</v>
      </c>
      <c r="M116" s="37" t="s">
        <v>287</v>
      </c>
      <c r="N116" s="37" t="s">
        <v>295</v>
      </c>
      <c r="O116" s="37" t="s">
        <v>654</v>
      </c>
      <c r="P116" s="37" t="s">
        <v>311</v>
      </c>
      <c r="Q116" s="37" t="s">
        <v>658</v>
      </c>
      <c r="R116" s="37" t="s">
        <v>277</v>
      </c>
      <c r="S116" s="37" t="s">
        <v>841</v>
      </c>
      <c r="T116" s="37" t="s">
        <v>938</v>
      </c>
      <c r="U116" s="37" t="s">
        <v>1054</v>
      </c>
      <c r="V116" s="37" t="s">
        <v>1008</v>
      </c>
      <c r="W116" s="53" t="s">
        <v>937</v>
      </c>
      <c r="X116" s="53"/>
      <c r="Y116" s="37" t="s">
        <v>937</v>
      </c>
      <c r="Z116" s="58"/>
      <c r="AA116" s="57"/>
      <c r="AB116" s="57"/>
      <c r="AC116" s="57"/>
      <c r="AD116" s="53"/>
      <c r="AE116" s="53"/>
      <c r="AF116" s="57"/>
      <c r="AG116" s="57"/>
      <c r="AH116" s="37"/>
      <c r="AI116" s="38" t="str">
        <f t="shared" si="142"/>
        <v>alp_vw_amazon_aaf_dsy_nonms_nd_nc_rng_varejo-familiaridade_na_trafego_cpm_prog_all_414x125_open-auction_414x125_amarok-taxazero_var-rng-aaf-dsy-0221-10116</v>
      </c>
      <c r="AJ116" s="39" t="str">
        <f t="shared" si="142"/>
        <v>alp_vw_amazon_aaf_dsy_nonms_nd_nc_rng_varejo-familiaridade_na_trafego_cpm_prog_all_414x125_open-auction_414x125_amarok-taxazero_var-rng-aaf-dsy-0221-10116</v>
      </c>
      <c r="AK116" s="38" t="str">
        <f t="shared" si="108"/>
        <v>vw_range_414x125_amarok-taxazero_amazon</v>
      </c>
      <c r="AL116" s="38" t="str">
        <f t="shared" si="143"/>
        <v>https://ofertas.vw.com.br/modelo/?modelo=Amarok&amp;utm_source=amazon&amp;utm_medium=Paid-Display&amp;utm_content=alp_vw_amazon_aaf_dsy_nonms_nd_nc_rng_varejo-familiaridade_na_trafego_cpm_prog_all_414x125_open-auction_414x125_amarok-taxazero_var-rng-aaf-dsy-0221-10116&amp;utm_campaign=BR_AAF_DSY_NONMS_ND_NC_2021Q1FEB_RNG_Varejo-Familiaridade&amp;utm_term=%epid!_%ecid!_%eaid!</v>
      </c>
      <c r="AM116" s="38" t="str">
        <f t="shared" si="109"/>
        <v>https://ad.doubleclick.net/ddm/trackclk/N9487.3350855AMAZONBRAZIL/B25333445.301025124;dc_trk_aid=493709582;dc_trk_cid=145996180;dc_lat=;dc_rdid=;tag_for_child_directed_treatment=;tfua=</v>
      </c>
      <c r="AN116" s="37" t="str">
        <f t="shared" si="144"/>
        <v>amazon</v>
      </c>
      <c r="AO116" s="37" t="str">
        <f t="shared" si="145"/>
        <v>Paid-Display</v>
      </c>
      <c r="AP116" s="38" t="str">
        <f>Campanha!$B$3</f>
        <v>BR_AAF_DSY_NONMS_ND_NC_2021Q1FEB_RNG_Varejo-Familiaridade</v>
      </c>
      <c r="AQ116" s="38" t="str">
        <f t="shared" si="110"/>
        <v>alp_vw_amazon_aaf_dsy_nonms_nd_nc_rng_varejo-familiaridade_na_trafego_cpm_prog_all_414x125_open-auction_414x125_amarok-taxazero_var-rng-aaf-dsy-0221-10116</v>
      </c>
      <c r="AR116" s="37" t="s">
        <v>722</v>
      </c>
      <c r="AS116" s="38" t="str">
        <f t="shared" si="111"/>
        <v>https://ofertas.vw.com.br/modelo/?modelo=Amarok&amp;utm_source=amazon&amp;utm_medium=Paid-Display&amp;utm_content=alp_vw_amazon_aaf_dsy_nonms_nd_nc_rng_varejo-familiaridade_na_trafego_cpm_prog_all_414x125_open-auction_414x125_amarok-taxazero_var-rng-aaf-dsy-0221-10116&amp;utm_campaign=BR_AAF_DSY_NONMS_ND_NC_2021Q1FEB_RNG_Varejo-Familiaridade&amp;utm_term=%epid!_%ecid!_%eaid!</v>
      </c>
      <c r="AT116" s="37" t="str">
        <f t="shared" si="146"/>
        <v>run-of-network</v>
      </c>
      <c r="AU116" s="37" t="str">
        <f t="shared" si="112"/>
        <v>BR</v>
      </c>
      <c r="AV116" s="37" t="str">
        <f t="shared" si="147"/>
        <v>amazon</v>
      </c>
      <c r="AW116" s="37" t="str">
        <f t="shared" si="148"/>
        <v>amazon</v>
      </c>
      <c r="AX116" s="37" t="str">
        <f t="shared" si="113"/>
        <v>varejo-familiaridade</v>
      </c>
      <c r="AY116" s="37" t="str">
        <f t="shared" si="149"/>
        <v>alp_vw_amazon_aaf_dsy_nonms_nd_nc_rng_varejo-familiaridade_na_trafego_cpm_prog_all_414x125_open-auction_414x125_amarok-taxazero_var-rng-aaf-dsy-0221-10116</v>
      </c>
      <c r="AZ116" s="37" t="str">
        <f t="shared" si="150"/>
        <v>414x125</v>
      </c>
      <c r="BA116" s="37" t="str">
        <f t="shared" si="151"/>
        <v>varejo-familiaridade</v>
      </c>
      <c r="BB116" s="37" t="s">
        <v>775</v>
      </c>
      <c r="BC116" s="37" t="s">
        <v>775</v>
      </c>
      <c r="BD116" s="37" t="str">
        <f t="shared" si="152"/>
        <v>var-rng-aaf-dsy-0221-10116</v>
      </c>
      <c r="BE116" s="37" t="str">
        <f t="shared" si="153"/>
        <v>BR</v>
      </c>
      <c r="BF116" s="37" t="str">
        <f t="shared" si="154"/>
        <v/>
      </c>
      <c r="BG116" s="37"/>
      <c r="BH116" s="37"/>
      <c r="BI116" s="47" t="str">
        <f t="shared" si="114"/>
        <v>https://ofertas.vw.com.br/modelo/?modelo=Amarok&amp;adlid=var-rng-aaf-dsy-0221-10116&amp;adplt=alp_vw_amazon_aaf_dsy_nonms_nd_nc_rng_varejo-familiaridade_na_trafego_cpm_prog_all_414x125_open-auction_414x125_amarok-taxazero_var-rng-aaf-dsy-0221-10116</v>
      </c>
      <c r="BL116" s="44" t="str">
        <f t="shared" si="115"/>
        <v>alp_vw_amazon_aaf_dsy_nonms_nd_nc_rng_varejo-familiaridade_na_trafego</v>
      </c>
      <c r="BM116" s="44" t="str">
        <f t="shared" si="116"/>
        <v>cpm_prog_all_414x125_open-auction_414x125</v>
      </c>
      <c r="BN116" s="44" t="str">
        <f t="shared" si="117"/>
        <v>alp_vw_amazon_aaf_dsy_nonms_nd_nc_rng_varejo-familiaridade_na_trafego_cpm_prog_all_414x125_open-auction_414x125_amarok-taxazero_var-rng-aaf-dsy-0221-10116</v>
      </c>
      <c r="BO116" s="44"/>
      <c r="BP116" s="44"/>
    </row>
    <row r="117" spans="2:68" ht="15" customHeight="1" x14ac:dyDescent="0.25">
      <c r="B117" s="37" t="s">
        <v>996</v>
      </c>
      <c r="C117" s="37" t="s">
        <v>1252</v>
      </c>
      <c r="D117" s="37" t="s">
        <v>1251</v>
      </c>
      <c r="E117" s="45">
        <v>44299</v>
      </c>
      <c r="F117" s="45">
        <v>44316</v>
      </c>
      <c r="G117" s="37" t="s">
        <v>626</v>
      </c>
      <c r="H117" s="43" t="s">
        <v>1052</v>
      </c>
      <c r="I117" s="37" t="s">
        <v>777</v>
      </c>
      <c r="J117" s="46" t="s">
        <v>936</v>
      </c>
      <c r="K117" s="46" t="s">
        <v>936</v>
      </c>
      <c r="L117" s="37" t="s">
        <v>653</v>
      </c>
      <c r="M117" s="37" t="s">
        <v>287</v>
      </c>
      <c r="N117" s="37" t="s">
        <v>295</v>
      </c>
      <c r="O117" s="37" t="s">
        <v>654</v>
      </c>
      <c r="P117" s="37" t="s">
        <v>284</v>
      </c>
      <c r="Q117" s="37" t="s">
        <v>658</v>
      </c>
      <c r="R117" s="37" t="s">
        <v>277</v>
      </c>
      <c r="S117" s="37" t="s">
        <v>841</v>
      </c>
      <c r="T117" s="37" t="s">
        <v>938</v>
      </c>
      <c r="U117" s="37" t="s">
        <v>1054</v>
      </c>
      <c r="V117" s="37" t="s">
        <v>1008</v>
      </c>
      <c r="W117" s="53" t="s">
        <v>568</v>
      </c>
      <c r="X117" s="53"/>
      <c r="Y117" s="37" t="s">
        <v>568</v>
      </c>
      <c r="Z117" s="58"/>
      <c r="AA117" s="57"/>
      <c r="AB117" s="57"/>
      <c r="AC117" s="57"/>
      <c r="AD117" s="53"/>
      <c r="AE117" s="53"/>
      <c r="AF117" s="57"/>
      <c r="AG117" s="57"/>
      <c r="AH117" s="37"/>
      <c r="AI117" s="38" t="str">
        <f t="shared" si="142"/>
        <v>alp_vw_amazon_aaf_dsy_nonms_nd_nc_rng_varejo-familiaridade_na_trafego_cpm_prog_all_728x90_open-auction_728x90_amarok-taxazero_var-rng-aaf-dsy-0221-10117</v>
      </c>
      <c r="AJ117" s="39" t="str">
        <f t="shared" si="142"/>
        <v>alp_vw_amazon_aaf_dsy_nonms_nd_nc_rng_varejo-familiaridade_na_trafego_cpm_prog_all_728x90_open-auction_728x90_amarok-taxazero_var-rng-aaf-dsy-0221-10117</v>
      </c>
      <c r="AK117" s="38" t="str">
        <f t="shared" si="108"/>
        <v>vw_range_728x90_amarok-taxazero_amazon</v>
      </c>
      <c r="AL117" s="38" t="str">
        <f t="shared" si="143"/>
        <v>https://ofertas.vw.com.br/modelo/?modelo=Amarok&amp;utm_source=amazon&amp;utm_medium=Paid-Display&amp;utm_content=alp_vw_amazon_aaf_dsy_nonms_nd_nc_rng_varejo-familiaridade_na_trafego_cpm_prog_all_728x90_open-auction_728x90_amarok-taxazero_var-rng-aaf-dsy-0221-10117&amp;utm_campaign=BR_AAF_DSY_NONMS_ND_NC_2021Q1FEB_RNG_Varejo-Familiaridade&amp;utm_term=%epid!_%ecid!_%eaid!</v>
      </c>
      <c r="AM117" s="38" t="str">
        <f t="shared" si="109"/>
        <v>https://ad.doubleclick.net/ddm/trackclk/N9487.3350855AMAZONBRAZIL/B25333445.301025121;dc_trk_aid=493709579;dc_trk_cid=145996180;dc_lat=;dc_rdid=;tag_for_child_directed_treatment=;tfua=</v>
      </c>
      <c r="AN117" s="37" t="str">
        <f t="shared" si="144"/>
        <v>amazon</v>
      </c>
      <c r="AO117" s="37" t="str">
        <f t="shared" si="145"/>
        <v>Paid-Display</v>
      </c>
      <c r="AP117" s="38" t="str">
        <f>Campanha!$B$3</f>
        <v>BR_AAF_DSY_NONMS_ND_NC_2021Q1FEB_RNG_Varejo-Familiaridade</v>
      </c>
      <c r="AQ117" s="38" t="str">
        <f t="shared" si="110"/>
        <v>alp_vw_amazon_aaf_dsy_nonms_nd_nc_rng_varejo-familiaridade_na_trafego_cpm_prog_all_728x90_open-auction_728x90_amarok-taxazero_var-rng-aaf-dsy-0221-10117</v>
      </c>
      <c r="AR117" s="37" t="s">
        <v>722</v>
      </c>
      <c r="AS117" s="38" t="str">
        <f t="shared" si="111"/>
        <v>https://ofertas.vw.com.br/modelo/?modelo=Amarok&amp;utm_source=amazon&amp;utm_medium=Paid-Display&amp;utm_content=alp_vw_amazon_aaf_dsy_nonms_nd_nc_rng_varejo-familiaridade_na_trafego_cpm_prog_all_728x90_open-auction_728x90_amarok-taxazero_var-rng-aaf-dsy-0221-10117&amp;utm_campaign=BR_AAF_DSY_NONMS_ND_NC_2021Q1FEB_RNG_Varejo-Familiaridade&amp;utm_term=%epid!_%ecid!_%eaid!</v>
      </c>
      <c r="AT117" s="37" t="str">
        <f t="shared" si="146"/>
        <v>run-of-network</v>
      </c>
      <c r="AU117" s="37" t="str">
        <f t="shared" si="112"/>
        <v>BR</v>
      </c>
      <c r="AV117" s="37" t="str">
        <f t="shared" si="147"/>
        <v>amazon</v>
      </c>
      <c r="AW117" s="37" t="str">
        <f t="shared" si="148"/>
        <v>amazon</v>
      </c>
      <c r="AX117" s="37" t="str">
        <f t="shared" si="113"/>
        <v>varejo-familiaridade</v>
      </c>
      <c r="AY117" s="37" t="str">
        <f t="shared" si="149"/>
        <v>alp_vw_amazon_aaf_dsy_nonms_nd_nc_rng_varejo-familiaridade_na_trafego_cpm_prog_all_728x90_open-auction_728x90_amarok-taxazero_var-rng-aaf-dsy-0221-10117</v>
      </c>
      <c r="AZ117" s="37" t="str">
        <f t="shared" si="150"/>
        <v>728x90</v>
      </c>
      <c r="BA117" s="37" t="str">
        <f t="shared" si="151"/>
        <v>varejo-familiaridade</v>
      </c>
      <c r="BB117" s="37" t="s">
        <v>775</v>
      </c>
      <c r="BC117" s="37" t="s">
        <v>775</v>
      </c>
      <c r="BD117" s="37" t="str">
        <f t="shared" si="152"/>
        <v>var-rng-aaf-dsy-0221-10117</v>
      </c>
      <c r="BE117" s="37" t="str">
        <f t="shared" si="153"/>
        <v>BR</v>
      </c>
      <c r="BF117" s="37" t="str">
        <f t="shared" si="154"/>
        <v/>
      </c>
      <c r="BG117" s="37"/>
      <c r="BH117" s="37"/>
      <c r="BI117" s="47" t="str">
        <f t="shared" si="114"/>
        <v>https://ofertas.vw.com.br/modelo/?modelo=Amarok&amp;adlid=var-rng-aaf-dsy-0221-10117&amp;adplt=alp_vw_amazon_aaf_dsy_nonms_nd_nc_rng_varejo-familiaridade_na_trafego_cpm_prog_all_728x90_open-auction_728x90_amarok-taxazero_var-rng-aaf-dsy-0221-10117</v>
      </c>
      <c r="BL117" s="44" t="str">
        <f t="shared" si="115"/>
        <v>alp_vw_amazon_aaf_dsy_nonms_nd_nc_rng_varejo-familiaridade_na_trafego</v>
      </c>
      <c r="BM117" s="44" t="str">
        <f t="shared" si="116"/>
        <v>cpm_prog_all_728x90_open-auction_728x90</v>
      </c>
      <c r="BN117" s="44" t="str">
        <f t="shared" si="117"/>
        <v>alp_vw_amazon_aaf_dsy_nonms_nd_nc_rng_varejo-familiaridade_na_trafego_cpm_prog_all_728x90_open-auction_728x90_amarok-taxazero_var-rng-aaf-dsy-0221-10117</v>
      </c>
      <c r="BO117" s="44"/>
      <c r="BP117" s="44"/>
    </row>
    <row r="118" spans="2:68" ht="15" customHeight="1" x14ac:dyDescent="0.25">
      <c r="B118" s="37" t="s">
        <v>996</v>
      </c>
      <c r="C118" s="37" t="s">
        <v>1252</v>
      </c>
      <c r="D118" s="37" t="s">
        <v>1251</v>
      </c>
      <c r="E118" s="45">
        <v>44299</v>
      </c>
      <c r="F118" s="45">
        <v>44316</v>
      </c>
      <c r="G118" s="37" t="s">
        <v>628</v>
      </c>
      <c r="H118" s="43" t="s">
        <v>1052</v>
      </c>
      <c r="I118" s="37" t="s">
        <v>777</v>
      </c>
      <c r="J118" s="46" t="s">
        <v>936</v>
      </c>
      <c r="K118" s="46" t="s">
        <v>936</v>
      </c>
      <c r="L118" s="37" t="s">
        <v>653</v>
      </c>
      <c r="M118" s="37" t="s">
        <v>287</v>
      </c>
      <c r="N118" s="37" t="s">
        <v>295</v>
      </c>
      <c r="O118" s="37" t="s">
        <v>317</v>
      </c>
      <c r="P118" s="37" t="s">
        <v>319</v>
      </c>
      <c r="Q118" s="37" t="s">
        <v>658</v>
      </c>
      <c r="R118" s="37" t="s">
        <v>277</v>
      </c>
      <c r="S118" s="37" t="s">
        <v>841</v>
      </c>
      <c r="T118" s="37" t="s">
        <v>938</v>
      </c>
      <c r="U118" s="37" t="s">
        <v>1054</v>
      </c>
      <c r="V118" s="37" t="s">
        <v>1053</v>
      </c>
      <c r="W118" s="53" t="s">
        <v>412</v>
      </c>
      <c r="X118" s="53"/>
      <c r="Y118" s="37" t="s">
        <v>412</v>
      </c>
      <c r="Z118" s="58"/>
      <c r="AA118" s="57"/>
      <c r="AB118" s="57"/>
      <c r="AC118" s="57"/>
      <c r="AD118" s="53"/>
      <c r="AE118" s="53"/>
      <c r="AF118" s="57"/>
      <c r="AG118" s="57"/>
      <c r="AH118" s="37"/>
      <c r="AI118" s="38" t="str">
        <f t="shared" si="142"/>
        <v>alp_vw_amazon_aaf_dsy_nonms_nd_nc_rng_varejo-familiaridade_na_trafego_cpm_prog_all_160x600_interesse-pickups_160x600_amarok-taxazero_var-rng-aaf-dsy-0221-10118</v>
      </c>
      <c r="AJ118" s="39" t="str">
        <f t="shared" si="142"/>
        <v>alp_vw_amazon_aaf_dsy_nonms_nd_nc_rng_varejo-familiaridade_na_trafego_cpm_prog_all_160x600_interesse-pickups_160x600_amarok-taxazero_var-rng-aaf-dsy-0221-10118</v>
      </c>
      <c r="AK118" s="38" t="str">
        <f t="shared" si="108"/>
        <v>vw_range_160x600_amarok-taxazero_adserver</v>
      </c>
      <c r="AL118" s="38" t="str">
        <f t="shared" ref="AL118:AL129" si="155">IF(col_parametrizacao="GA",AS118,IF(CONCATENATE(col_parametrizacao,col_supplier)="ADOBESA360",CONCATENATE(col_url,"?ds_p=[*Part_Site*]&amp;ds_e=[*Part_Comp*]&amp;ds_c={_dscampaign}&amp;ds_ag={_dsadgroup}&amp;ds_k={_dssearchterm}&amp;ds_e={_dsaccounttype}&amp;ds_kid={_dstrackerid}&amp;country=BR&amp;language=BR"),IF(CONCATENATE(col_parametrizacao,col_supplier)="ADOBEGoogleAds",CONCATENATE(H118,"?","adlid=",col_adlid,"&amp;adplt=",col_placement,"adchan=[*channel*]&amp;campaign=[*Campaign*]","&amp;adgroup=[*Adgroup*]&amp;publisher=[*EngineAccountType*]&amp;adpl=[*EngineAccountType*]&amp;country=BR&amp;format=",col_size,"&amp;language=BR","&amp;adcr=[*searchterm*]",),url_adobe)))</f>
        <v>https://ofertas.vw.com.br/modelo/?modelo=Amarok&amp;utm_source=amazon&amp;utm_medium=Paid-Display&amp;utm_content=alp_vw_amazon_aaf_dsy_nonms_nd_nc_rng_varejo-familiaridade_na_trafego_cpm_prog_all_160x600_interesse-pickups_160x600_amarok-taxazero_var-rng-aaf-dsy-0221-10118&amp;utm_campaign=BR_AAF_DSY_NONMS_ND_NC_2021Q1FEB_RNG_Varejo-Familiaridade&amp;utm_term=%epid!_%ecid!_%eaid!</v>
      </c>
      <c r="AM118" s="38" t="str">
        <f t="shared" si="109"/>
        <v>TAG</v>
      </c>
      <c r="AN118" s="37" t="str">
        <f t="shared" ref="AN118:AN129" si="156">J118</f>
        <v>amazon</v>
      </c>
      <c r="AO118" s="37" t="str">
        <f t="shared" ref="AO118:AO129" si="157">L118</f>
        <v>Paid-Display</v>
      </c>
      <c r="AP118" s="38" t="str">
        <f>Campanha!$B$3</f>
        <v>BR_AAF_DSY_NONMS_ND_NC_2021Q1FEB_RNG_Varejo-Familiaridade</v>
      </c>
      <c r="AQ118" s="38" t="str">
        <f t="shared" si="110"/>
        <v>alp_vw_amazon_aaf_dsy_nonms_nd_nc_rng_varejo-familiaridade_na_trafego_cpm_prog_all_160x600_interesse-pickups_160x600_amarok-taxazero_var-rng-aaf-dsy-0221-10118</v>
      </c>
      <c r="AR118" s="37" t="s">
        <v>722</v>
      </c>
      <c r="AS118" s="38" t="str">
        <f t="shared" si="111"/>
        <v>https://ofertas.vw.com.br/modelo/?modelo=Amarok&amp;utm_source=amazon&amp;utm_medium=Paid-Display&amp;utm_content=alp_vw_amazon_aaf_dsy_nonms_nd_nc_rng_varejo-familiaridade_na_trafego_cpm_prog_all_160x600_interesse-pickups_160x600_amarok-taxazero_var-rng-aaf-dsy-0221-10118&amp;utm_campaign=BR_AAF_DSY_NONMS_ND_NC_2021Q1FEB_RNG_Varejo-Familiaridade&amp;utm_term=%epid!_%ecid!_%eaid!</v>
      </c>
      <c r="AT118" s="37" t="str">
        <f t="shared" ref="AT118:AT129" si="158">LOWER(Q118)</f>
        <v>run-of-network</v>
      </c>
      <c r="AU118" s="37" t="str">
        <f t="shared" si="112"/>
        <v>BR</v>
      </c>
      <c r="AV118" s="37" t="str">
        <f t="shared" ref="AV118:AV129" si="159">LOWER(K118)</f>
        <v>amazon</v>
      </c>
      <c r="AW118" s="37" t="str">
        <f t="shared" ref="AW118:AW129" si="160">LOWER(J118)</f>
        <v>amazon</v>
      </c>
      <c r="AX118" s="37" t="str">
        <f t="shared" si="113"/>
        <v>varejo-familiaridade</v>
      </c>
      <c r="AY118" s="37" t="str">
        <f t="shared" ref="AY118:AY129" si="161">LOWER(AI118)</f>
        <v>alp_vw_amazon_aaf_dsy_nonms_nd_nc_rng_varejo-familiaridade_na_trafego_cpm_prog_all_160x600_interesse-pickups_160x600_amarok-taxazero_var-rng-aaf-dsy-0221-10118</v>
      </c>
      <c r="AZ118" s="37" t="str">
        <f t="shared" ref="AZ118:AZ129" si="162">LOWER(Y118)</f>
        <v>160x600</v>
      </c>
      <c r="BA118" s="37" t="str">
        <f t="shared" ref="BA118:BA129" si="163">LOWER(T118)</f>
        <v>varejo-familiaridade</v>
      </c>
      <c r="BB118" s="37" t="s">
        <v>775</v>
      </c>
      <c r="BC118" s="37" t="s">
        <v>775</v>
      </c>
      <c r="BD118" s="37" t="str">
        <f t="shared" ref="BD118:BD129" si="164">LOWER(CONCATENATE(cel_idcampaign,"-",SUM(10000+ROW(A118))))</f>
        <v>var-rng-aaf-dsy-0221-10118</v>
      </c>
      <c r="BE118" s="37" t="str">
        <f t="shared" ref="BE118:BE129" si="165">AU118</f>
        <v>BR</v>
      </c>
      <c r="BF118" s="37" t="str">
        <f t="shared" ref="BF118:BF129" si="166">LOWER(X118)</f>
        <v/>
      </c>
      <c r="BG118" s="37"/>
      <c r="BH118" s="37"/>
      <c r="BI118" s="47" t="str">
        <f t="shared" si="114"/>
        <v>https://ofertas.vw.com.br/modelo/?modelo=Amarok&amp;adlid=var-rng-aaf-dsy-0221-10118&amp;adplt=alp_vw_amazon_aaf_dsy_nonms_nd_nc_rng_varejo-familiaridade_na_trafego_cpm_prog_all_160x600_interesse-pickups_160x600_amarok-taxazero_var-rng-aaf-dsy-0221-10118</v>
      </c>
      <c r="BL118" s="44" t="str">
        <f t="shared" si="115"/>
        <v>alp_vw_amazon_aaf_dsy_nonms_nd_nc_rng_varejo-familiaridade_na_trafego</v>
      </c>
      <c r="BM118" s="44" t="str">
        <f t="shared" si="116"/>
        <v>cpm_prog_all_160x600_interesse-pickups_160x600</v>
      </c>
      <c r="BN118" s="44" t="str">
        <f t="shared" si="117"/>
        <v>alp_vw_amazon_aaf_dsy_nonms_nd_nc_rng_varejo-familiaridade_na_trafego_cpm_prog_all_160x600_interesse-pickups_160x600_amarok-taxazero_var-rng-aaf-dsy-0221-10118</v>
      </c>
      <c r="BO118" s="44"/>
      <c r="BP118" s="44"/>
    </row>
    <row r="119" spans="2:68" ht="15" customHeight="1" x14ac:dyDescent="0.25">
      <c r="B119" s="37" t="s">
        <v>996</v>
      </c>
      <c r="C119" s="37" t="s">
        <v>1252</v>
      </c>
      <c r="D119" s="37" t="s">
        <v>1251</v>
      </c>
      <c r="E119" s="45">
        <v>44299</v>
      </c>
      <c r="F119" s="45">
        <v>44316</v>
      </c>
      <c r="G119" s="37" t="s">
        <v>628</v>
      </c>
      <c r="H119" s="43" t="s">
        <v>1052</v>
      </c>
      <c r="I119" s="37" t="s">
        <v>777</v>
      </c>
      <c r="J119" s="46" t="s">
        <v>936</v>
      </c>
      <c r="K119" s="46" t="s">
        <v>936</v>
      </c>
      <c r="L119" s="37" t="s">
        <v>653</v>
      </c>
      <c r="M119" s="37" t="s">
        <v>287</v>
      </c>
      <c r="N119" s="37" t="s">
        <v>295</v>
      </c>
      <c r="O119" s="37" t="s">
        <v>317</v>
      </c>
      <c r="P119" s="37" t="s">
        <v>311</v>
      </c>
      <c r="Q119" s="37" t="s">
        <v>658</v>
      </c>
      <c r="R119" s="37" t="s">
        <v>277</v>
      </c>
      <c r="S119" s="37" t="s">
        <v>841</v>
      </c>
      <c r="T119" s="37" t="s">
        <v>938</v>
      </c>
      <c r="U119" s="37" t="s">
        <v>1054</v>
      </c>
      <c r="V119" s="37" t="s">
        <v>1053</v>
      </c>
      <c r="W119" s="53" t="s">
        <v>433</v>
      </c>
      <c r="X119" s="53"/>
      <c r="Y119" s="37" t="s">
        <v>433</v>
      </c>
      <c r="Z119" s="58"/>
      <c r="AA119" s="57"/>
      <c r="AB119" s="57"/>
      <c r="AC119" s="57"/>
      <c r="AD119" s="53"/>
      <c r="AE119" s="53"/>
      <c r="AF119" s="57"/>
      <c r="AG119" s="57"/>
      <c r="AH119" s="37"/>
      <c r="AI119" s="38" t="str">
        <f t="shared" ref="AI119:AJ129" si="167">LOWER(CONCATENATE(col_campanhaanunciante,"_",col_grupoanunciante,"_",col_linhacriativa2,"_",col_adlid))</f>
        <v>alp_vw_amazon_aaf_dsy_nonms_nd_nc_rng_varejo-familiaridade_na_trafego_cpm_prog_all_300x250_interesse-pickups_300x250_amarok-taxazero_var-rng-aaf-dsy-0221-10119</v>
      </c>
      <c r="AJ119" s="39" t="str">
        <f t="shared" si="167"/>
        <v>alp_vw_amazon_aaf_dsy_nonms_nd_nc_rng_varejo-familiaridade_na_trafego_cpm_prog_all_300x250_interesse-pickups_300x250_amarok-taxazero_var-rng-aaf-dsy-0221-10119</v>
      </c>
      <c r="AK119" s="38" t="str">
        <f t="shared" si="108"/>
        <v>vw_range_300x250_amarok-taxazero_adserver</v>
      </c>
      <c r="AL119" s="38" t="str">
        <f t="shared" si="155"/>
        <v>https://ofertas.vw.com.br/modelo/?modelo=Amarok&amp;utm_source=amazon&amp;utm_medium=Paid-Display&amp;utm_content=alp_vw_amazon_aaf_dsy_nonms_nd_nc_rng_varejo-familiaridade_na_trafego_cpm_prog_all_300x250_interesse-pickups_300x250_amarok-taxazero_var-rng-aaf-dsy-0221-10119&amp;utm_campaign=BR_AAF_DSY_NONMS_ND_NC_2021Q1FEB_RNG_Varejo-Familiaridade&amp;utm_term=%epid!_%ecid!_%eaid!</v>
      </c>
      <c r="AM119" s="38" t="str">
        <f t="shared" si="109"/>
        <v>TAG</v>
      </c>
      <c r="AN119" s="37" t="str">
        <f t="shared" si="156"/>
        <v>amazon</v>
      </c>
      <c r="AO119" s="37" t="str">
        <f t="shared" si="157"/>
        <v>Paid-Display</v>
      </c>
      <c r="AP119" s="38" t="str">
        <f>Campanha!$B$3</f>
        <v>BR_AAF_DSY_NONMS_ND_NC_2021Q1FEB_RNG_Varejo-Familiaridade</v>
      </c>
      <c r="AQ119" s="38" t="str">
        <f t="shared" si="110"/>
        <v>alp_vw_amazon_aaf_dsy_nonms_nd_nc_rng_varejo-familiaridade_na_trafego_cpm_prog_all_300x250_interesse-pickups_300x250_amarok-taxazero_var-rng-aaf-dsy-0221-10119</v>
      </c>
      <c r="AR119" s="37" t="s">
        <v>722</v>
      </c>
      <c r="AS119" s="38" t="str">
        <f t="shared" si="111"/>
        <v>https://ofertas.vw.com.br/modelo/?modelo=Amarok&amp;utm_source=amazon&amp;utm_medium=Paid-Display&amp;utm_content=alp_vw_amazon_aaf_dsy_nonms_nd_nc_rng_varejo-familiaridade_na_trafego_cpm_prog_all_300x250_interesse-pickups_300x250_amarok-taxazero_var-rng-aaf-dsy-0221-10119&amp;utm_campaign=BR_AAF_DSY_NONMS_ND_NC_2021Q1FEB_RNG_Varejo-Familiaridade&amp;utm_term=%epid!_%ecid!_%eaid!</v>
      </c>
      <c r="AT119" s="37" t="str">
        <f t="shared" si="158"/>
        <v>run-of-network</v>
      </c>
      <c r="AU119" s="37" t="str">
        <f t="shared" si="112"/>
        <v>BR</v>
      </c>
      <c r="AV119" s="37" t="str">
        <f t="shared" si="159"/>
        <v>amazon</v>
      </c>
      <c r="AW119" s="37" t="str">
        <f t="shared" si="160"/>
        <v>amazon</v>
      </c>
      <c r="AX119" s="37" t="str">
        <f t="shared" si="113"/>
        <v>varejo-familiaridade</v>
      </c>
      <c r="AY119" s="37" t="str">
        <f t="shared" si="161"/>
        <v>alp_vw_amazon_aaf_dsy_nonms_nd_nc_rng_varejo-familiaridade_na_trafego_cpm_prog_all_300x250_interesse-pickups_300x250_amarok-taxazero_var-rng-aaf-dsy-0221-10119</v>
      </c>
      <c r="AZ119" s="37" t="str">
        <f t="shared" si="162"/>
        <v>300x250</v>
      </c>
      <c r="BA119" s="37" t="str">
        <f t="shared" si="163"/>
        <v>varejo-familiaridade</v>
      </c>
      <c r="BB119" s="37" t="s">
        <v>775</v>
      </c>
      <c r="BC119" s="37" t="s">
        <v>775</v>
      </c>
      <c r="BD119" s="37" t="str">
        <f t="shared" si="164"/>
        <v>var-rng-aaf-dsy-0221-10119</v>
      </c>
      <c r="BE119" s="37" t="str">
        <f t="shared" si="165"/>
        <v>BR</v>
      </c>
      <c r="BF119" s="37" t="str">
        <f t="shared" si="166"/>
        <v/>
      </c>
      <c r="BG119" s="37"/>
      <c r="BH119" s="37"/>
      <c r="BI119" s="47" t="str">
        <f t="shared" si="114"/>
        <v>https://ofertas.vw.com.br/modelo/?modelo=Amarok&amp;adlid=var-rng-aaf-dsy-0221-10119&amp;adplt=alp_vw_amazon_aaf_dsy_nonms_nd_nc_rng_varejo-familiaridade_na_trafego_cpm_prog_all_300x250_interesse-pickups_300x250_amarok-taxazero_var-rng-aaf-dsy-0221-10119</v>
      </c>
      <c r="BL119" s="44" t="str">
        <f t="shared" si="115"/>
        <v>alp_vw_amazon_aaf_dsy_nonms_nd_nc_rng_varejo-familiaridade_na_trafego</v>
      </c>
      <c r="BM119" s="44" t="str">
        <f t="shared" si="116"/>
        <v>cpm_prog_all_300x250_interesse-pickups_300x250</v>
      </c>
      <c r="BN119" s="44" t="str">
        <f t="shared" si="117"/>
        <v>alp_vw_amazon_aaf_dsy_nonms_nd_nc_rng_varejo-familiaridade_na_trafego_cpm_prog_all_300x250_interesse-pickups_300x250_amarok-taxazero_var-rng-aaf-dsy-0221-10119</v>
      </c>
      <c r="BO119" s="44"/>
      <c r="BP119" s="44"/>
    </row>
    <row r="120" spans="2:68" ht="15" customHeight="1" x14ac:dyDescent="0.25">
      <c r="B120" s="37" t="s">
        <v>996</v>
      </c>
      <c r="C120" s="37" t="s">
        <v>1252</v>
      </c>
      <c r="D120" s="37" t="s">
        <v>1251</v>
      </c>
      <c r="E120" s="45">
        <v>44299</v>
      </c>
      <c r="F120" s="45">
        <v>44316</v>
      </c>
      <c r="G120" s="37" t="s">
        <v>628</v>
      </c>
      <c r="H120" s="43" t="s">
        <v>1052</v>
      </c>
      <c r="I120" s="37" t="s">
        <v>777</v>
      </c>
      <c r="J120" s="46" t="s">
        <v>936</v>
      </c>
      <c r="K120" s="46" t="s">
        <v>936</v>
      </c>
      <c r="L120" s="37" t="s">
        <v>653</v>
      </c>
      <c r="M120" s="37" t="s">
        <v>287</v>
      </c>
      <c r="N120" s="37" t="s">
        <v>295</v>
      </c>
      <c r="O120" s="37" t="s">
        <v>317</v>
      </c>
      <c r="P120" s="37" t="s">
        <v>319</v>
      </c>
      <c r="Q120" s="37" t="s">
        <v>658</v>
      </c>
      <c r="R120" s="37" t="s">
        <v>277</v>
      </c>
      <c r="S120" s="37" t="s">
        <v>841</v>
      </c>
      <c r="T120" s="37" t="s">
        <v>938</v>
      </c>
      <c r="U120" s="37" t="s">
        <v>1054</v>
      </c>
      <c r="V120" s="37" t="s">
        <v>1053</v>
      </c>
      <c r="W120" s="53" t="s">
        <v>442</v>
      </c>
      <c r="X120" s="53"/>
      <c r="Y120" s="37" t="s">
        <v>442</v>
      </c>
      <c r="Z120" s="58"/>
      <c r="AA120" s="57"/>
      <c r="AB120" s="57"/>
      <c r="AC120" s="57"/>
      <c r="AD120" s="53"/>
      <c r="AE120" s="53"/>
      <c r="AF120" s="57"/>
      <c r="AG120" s="57"/>
      <c r="AH120" s="37"/>
      <c r="AI120" s="38" t="str">
        <f t="shared" si="167"/>
        <v>alp_vw_amazon_aaf_dsy_nonms_nd_nc_rng_varejo-familiaridade_na_trafego_cpm_prog_all_300x600_interesse-pickups_300x600_amarok-taxazero_var-rng-aaf-dsy-0221-10120</v>
      </c>
      <c r="AJ120" s="39" t="str">
        <f t="shared" si="167"/>
        <v>alp_vw_amazon_aaf_dsy_nonms_nd_nc_rng_varejo-familiaridade_na_trafego_cpm_prog_all_300x600_interesse-pickups_300x600_amarok-taxazero_var-rng-aaf-dsy-0221-10120</v>
      </c>
      <c r="AK120" s="38" t="str">
        <f t="shared" si="108"/>
        <v>vw_range_300x600_amarok-taxazero_adserver</v>
      </c>
      <c r="AL120" s="38" t="str">
        <f t="shared" si="155"/>
        <v>https://ofertas.vw.com.br/modelo/?modelo=Amarok&amp;utm_source=amazon&amp;utm_medium=Paid-Display&amp;utm_content=alp_vw_amazon_aaf_dsy_nonms_nd_nc_rng_varejo-familiaridade_na_trafego_cpm_prog_all_300x600_interesse-pickups_300x600_amarok-taxazero_var-rng-aaf-dsy-0221-10120&amp;utm_campaign=BR_AAF_DSY_NONMS_ND_NC_2021Q1FEB_RNG_Varejo-Familiaridade&amp;utm_term=%epid!_%ecid!_%eaid!</v>
      </c>
      <c r="AM120" s="38" t="str">
        <f t="shared" si="109"/>
        <v>TAG</v>
      </c>
      <c r="AN120" s="37" t="str">
        <f t="shared" si="156"/>
        <v>amazon</v>
      </c>
      <c r="AO120" s="37" t="str">
        <f t="shared" si="157"/>
        <v>Paid-Display</v>
      </c>
      <c r="AP120" s="38" t="str">
        <f>Campanha!$B$3</f>
        <v>BR_AAF_DSY_NONMS_ND_NC_2021Q1FEB_RNG_Varejo-Familiaridade</v>
      </c>
      <c r="AQ120" s="38" t="str">
        <f t="shared" si="110"/>
        <v>alp_vw_amazon_aaf_dsy_nonms_nd_nc_rng_varejo-familiaridade_na_trafego_cpm_prog_all_300x600_interesse-pickups_300x600_amarok-taxazero_var-rng-aaf-dsy-0221-10120</v>
      </c>
      <c r="AR120" s="37" t="s">
        <v>722</v>
      </c>
      <c r="AS120" s="38" t="str">
        <f t="shared" si="111"/>
        <v>https://ofertas.vw.com.br/modelo/?modelo=Amarok&amp;utm_source=amazon&amp;utm_medium=Paid-Display&amp;utm_content=alp_vw_amazon_aaf_dsy_nonms_nd_nc_rng_varejo-familiaridade_na_trafego_cpm_prog_all_300x600_interesse-pickups_300x600_amarok-taxazero_var-rng-aaf-dsy-0221-10120&amp;utm_campaign=BR_AAF_DSY_NONMS_ND_NC_2021Q1FEB_RNG_Varejo-Familiaridade&amp;utm_term=%epid!_%ecid!_%eaid!</v>
      </c>
      <c r="AT120" s="37" t="str">
        <f t="shared" si="158"/>
        <v>run-of-network</v>
      </c>
      <c r="AU120" s="37" t="str">
        <f t="shared" si="112"/>
        <v>BR</v>
      </c>
      <c r="AV120" s="37" t="str">
        <f t="shared" si="159"/>
        <v>amazon</v>
      </c>
      <c r="AW120" s="37" t="str">
        <f t="shared" si="160"/>
        <v>amazon</v>
      </c>
      <c r="AX120" s="37" t="str">
        <f t="shared" si="113"/>
        <v>varejo-familiaridade</v>
      </c>
      <c r="AY120" s="37" t="str">
        <f t="shared" si="161"/>
        <v>alp_vw_amazon_aaf_dsy_nonms_nd_nc_rng_varejo-familiaridade_na_trafego_cpm_prog_all_300x600_interesse-pickups_300x600_amarok-taxazero_var-rng-aaf-dsy-0221-10120</v>
      </c>
      <c r="AZ120" s="37" t="str">
        <f t="shared" si="162"/>
        <v>300x600</v>
      </c>
      <c r="BA120" s="37" t="str">
        <f t="shared" si="163"/>
        <v>varejo-familiaridade</v>
      </c>
      <c r="BB120" s="37" t="s">
        <v>775</v>
      </c>
      <c r="BC120" s="37" t="s">
        <v>775</v>
      </c>
      <c r="BD120" s="37" t="str">
        <f t="shared" si="164"/>
        <v>var-rng-aaf-dsy-0221-10120</v>
      </c>
      <c r="BE120" s="37" t="str">
        <f t="shared" si="165"/>
        <v>BR</v>
      </c>
      <c r="BF120" s="37" t="str">
        <f t="shared" si="166"/>
        <v/>
      </c>
      <c r="BG120" s="37"/>
      <c r="BH120" s="37"/>
      <c r="BI120" s="47" t="str">
        <f t="shared" si="114"/>
        <v>https://ofertas.vw.com.br/modelo/?modelo=Amarok&amp;adlid=var-rng-aaf-dsy-0221-10120&amp;adplt=alp_vw_amazon_aaf_dsy_nonms_nd_nc_rng_varejo-familiaridade_na_trafego_cpm_prog_all_300x600_interesse-pickups_300x600_amarok-taxazero_var-rng-aaf-dsy-0221-10120</v>
      </c>
      <c r="BL120" s="44" t="str">
        <f t="shared" si="115"/>
        <v>alp_vw_amazon_aaf_dsy_nonms_nd_nc_rng_varejo-familiaridade_na_trafego</v>
      </c>
      <c r="BM120" s="44" t="str">
        <f t="shared" si="116"/>
        <v>cpm_prog_all_300x600_interesse-pickups_300x600</v>
      </c>
      <c r="BN120" s="44" t="str">
        <f t="shared" si="117"/>
        <v>alp_vw_amazon_aaf_dsy_nonms_nd_nc_rng_varejo-familiaridade_na_trafego_cpm_prog_all_300x600_interesse-pickups_300x600_amarok-taxazero_var-rng-aaf-dsy-0221-10120</v>
      </c>
      <c r="BO120" s="44"/>
      <c r="BP120" s="44"/>
    </row>
    <row r="121" spans="2:68" ht="15" customHeight="1" x14ac:dyDescent="0.25">
      <c r="B121" s="37" t="s">
        <v>996</v>
      </c>
      <c r="C121" s="37" t="s">
        <v>1252</v>
      </c>
      <c r="D121" s="37" t="s">
        <v>1251</v>
      </c>
      <c r="E121" s="45">
        <v>44299</v>
      </c>
      <c r="F121" s="45">
        <v>44316</v>
      </c>
      <c r="G121" s="37" t="s">
        <v>628</v>
      </c>
      <c r="H121" s="43" t="s">
        <v>1052</v>
      </c>
      <c r="I121" s="37" t="s">
        <v>777</v>
      </c>
      <c r="J121" s="46" t="s">
        <v>936</v>
      </c>
      <c r="K121" s="46" t="s">
        <v>936</v>
      </c>
      <c r="L121" s="37" t="s">
        <v>653</v>
      </c>
      <c r="M121" s="37" t="s">
        <v>287</v>
      </c>
      <c r="N121" s="37" t="s">
        <v>295</v>
      </c>
      <c r="O121" s="37" t="s">
        <v>317</v>
      </c>
      <c r="P121" s="37" t="s">
        <v>284</v>
      </c>
      <c r="Q121" s="37" t="s">
        <v>658</v>
      </c>
      <c r="R121" s="37" t="s">
        <v>277</v>
      </c>
      <c r="S121" s="37" t="s">
        <v>841</v>
      </c>
      <c r="T121" s="37" t="s">
        <v>938</v>
      </c>
      <c r="U121" s="37" t="s">
        <v>1054</v>
      </c>
      <c r="V121" s="37" t="s">
        <v>1053</v>
      </c>
      <c r="W121" s="53" t="s">
        <v>568</v>
      </c>
      <c r="X121" s="53"/>
      <c r="Y121" s="37" t="s">
        <v>568</v>
      </c>
      <c r="Z121" s="58"/>
      <c r="AA121" s="57"/>
      <c r="AB121" s="57"/>
      <c r="AC121" s="57"/>
      <c r="AD121" s="53"/>
      <c r="AE121" s="53"/>
      <c r="AF121" s="57"/>
      <c r="AG121" s="57"/>
      <c r="AH121" s="37"/>
      <c r="AI121" s="38" t="str">
        <f t="shared" si="167"/>
        <v>alp_vw_amazon_aaf_dsy_nonms_nd_nc_rng_varejo-familiaridade_na_trafego_cpm_prog_all_728x90_interesse-pickups_728x90_amarok-taxazero_var-rng-aaf-dsy-0221-10121</v>
      </c>
      <c r="AJ121" s="39" t="str">
        <f t="shared" si="167"/>
        <v>alp_vw_amazon_aaf_dsy_nonms_nd_nc_rng_varejo-familiaridade_na_trafego_cpm_prog_all_728x90_interesse-pickups_728x90_amarok-taxazero_var-rng-aaf-dsy-0221-10121</v>
      </c>
      <c r="AK121" s="38" t="str">
        <f t="shared" si="108"/>
        <v>vw_range_728x90_amarok-taxazero_adserver</v>
      </c>
      <c r="AL121" s="38" t="str">
        <f t="shared" si="155"/>
        <v>https://ofertas.vw.com.br/modelo/?modelo=Amarok&amp;utm_source=amazon&amp;utm_medium=Paid-Display&amp;utm_content=alp_vw_amazon_aaf_dsy_nonms_nd_nc_rng_varejo-familiaridade_na_trafego_cpm_prog_all_728x90_interesse-pickups_728x90_amarok-taxazero_var-rng-aaf-dsy-0221-10121&amp;utm_campaign=BR_AAF_DSY_NONMS_ND_NC_2021Q1FEB_RNG_Varejo-Familiaridade&amp;utm_term=%epid!_%ecid!_%eaid!</v>
      </c>
      <c r="AM121" s="38" t="str">
        <f t="shared" si="109"/>
        <v>TAG</v>
      </c>
      <c r="AN121" s="37" t="str">
        <f t="shared" si="156"/>
        <v>amazon</v>
      </c>
      <c r="AO121" s="37" t="str">
        <f t="shared" si="157"/>
        <v>Paid-Display</v>
      </c>
      <c r="AP121" s="38" t="str">
        <f>Campanha!$B$3</f>
        <v>BR_AAF_DSY_NONMS_ND_NC_2021Q1FEB_RNG_Varejo-Familiaridade</v>
      </c>
      <c r="AQ121" s="38" t="str">
        <f t="shared" si="110"/>
        <v>alp_vw_amazon_aaf_dsy_nonms_nd_nc_rng_varejo-familiaridade_na_trafego_cpm_prog_all_728x90_interesse-pickups_728x90_amarok-taxazero_var-rng-aaf-dsy-0221-10121</v>
      </c>
      <c r="AR121" s="37" t="s">
        <v>722</v>
      </c>
      <c r="AS121" s="38" t="str">
        <f t="shared" si="111"/>
        <v>https://ofertas.vw.com.br/modelo/?modelo=Amarok&amp;utm_source=amazon&amp;utm_medium=Paid-Display&amp;utm_content=alp_vw_amazon_aaf_dsy_nonms_nd_nc_rng_varejo-familiaridade_na_trafego_cpm_prog_all_728x90_interesse-pickups_728x90_amarok-taxazero_var-rng-aaf-dsy-0221-10121&amp;utm_campaign=BR_AAF_DSY_NONMS_ND_NC_2021Q1FEB_RNG_Varejo-Familiaridade&amp;utm_term=%epid!_%ecid!_%eaid!</v>
      </c>
      <c r="AT121" s="37" t="str">
        <f t="shared" si="158"/>
        <v>run-of-network</v>
      </c>
      <c r="AU121" s="37" t="str">
        <f t="shared" si="112"/>
        <v>BR</v>
      </c>
      <c r="AV121" s="37" t="str">
        <f t="shared" si="159"/>
        <v>amazon</v>
      </c>
      <c r="AW121" s="37" t="str">
        <f t="shared" si="160"/>
        <v>amazon</v>
      </c>
      <c r="AX121" s="37" t="str">
        <f t="shared" si="113"/>
        <v>varejo-familiaridade</v>
      </c>
      <c r="AY121" s="37" t="str">
        <f t="shared" si="161"/>
        <v>alp_vw_amazon_aaf_dsy_nonms_nd_nc_rng_varejo-familiaridade_na_trafego_cpm_prog_all_728x90_interesse-pickups_728x90_amarok-taxazero_var-rng-aaf-dsy-0221-10121</v>
      </c>
      <c r="AZ121" s="37" t="str">
        <f t="shared" si="162"/>
        <v>728x90</v>
      </c>
      <c r="BA121" s="37" t="str">
        <f t="shared" si="163"/>
        <v>varejo-familiaridade</v>
      </c>
      <c r="BB121" s="37" t="s">
        <v>775</v>
      </c>
      <c r="BC121" s="37" t="s">
        <v>775</v>
      </c>
      <c r="BD121" s="37" t="str">
        <f t="shared" si="164"/>
        <v>var-rng-aaf-dsy-0221-10121</v>
      </c>
      <c r="BE121" s="37" t="str">
        <f t="shared" si="165"/>
        <v>BR</v>
      </c>
      <c r="BF121" s="37" t="str">
        <f t="shared" si="166"/>
        <v/>
      </c>
      <c r="BG121" s="37"/>
      <c r="BH121" s="37"/>
      <c r="BI121" s="47" t="str">
        <f t="shared" si="114"/>
        <v>https://ofertas.vw.com.br/modelo/?modelo=Amarok&amp;adlid=var-rng-aaf-dsy-0221-10121&amp;adplt=alp_vw_amazon_aaf_dsy_nonms_nd_nc_rng_varejo-familiaridade_na_trafego_cpm_prog_all_728x90_interesse-pickups_728x90_amarok-taxazero_var-rng-aaf-dsy-0221-10121</v>
      </c>
      <c r="BL121" s="44" t="str">
        <f t="shared" si="115"/>
        <v>alp_vw_amazon_aaf_dsy_nonms_nd_nc_rng_varejo-familiaridade_na_trafego</v>
      </c>
      <c r="BM121" s="44" t="str">
        <f t="shared" si="116"/>
        <v>cpm_prog_all_728x90_interesse-pickups_728x90</v>
      </c>
      <c r="BN121" s="44" t="str">
        <f t="shared" si="117"/>
        <v>alp_vw_amazon_aaf_dsy_nonms_nd_nc_rng_varejo-familiaridade_na_trafego_cpm_prog_all_728x90_interesse-pickups_728x90_amarok-taxazero_var-rng-aaf-dsy-0221-10121</v>
      </c>
      <c r="BO121" s="44"/>
      <c r="BP121" s="44"/>
    </row>
    <row r="122" spans="2:68" ht="15" customHeight="1" x14ac:dyDescent="0.25">
      <c r="B122" s="37" t="s">
        <v>996</v>
      </c>
      <c r="C122" s="37" t="s">
        <v>1252</v>
      </c>
      <c r="D122" s="37" t="s">
        <v>1251</v>
      </c>
      <c r="E122" s="45">
        <v>44299</v>
      </c>
      <c r="F122" s="45">
        <v>44316</v>
      </c>
      <c r="G122" s="37" t="s">
        <v>628</v>
      </c>
      <c r="H122" s="43" t="s">
        <v>1052</v>
      </c>
      <c r="I122" s="37" t="s">
        <v>777</v>
      </c>
      <c r="J122" s="46" t="s">
        <v>936</v>
      </c>
      <c r="K122" s="46" t="s">
        <v>936</v>
      </c>
      <c r="L122" s="37" t="s">
        <v>653</v>
      </c>
      <c r="M122" s="37" t="s">
        <v>287</v>
      </c>
      <c r="N122" s="37" t="s">
        <v>295</v>
      </c>
      <c r="O122" s="37" t="s">
        <v>317</v>
      </c>
      <c r="P122" s="37" t="s">
        <v>311</v>
      </c>
      <c r="Q122" s="37" t="s">
        <v>658</v>
      </c>
      <c r="R122" s="37" t="s">
        <v>277</v>
      </c>
      <c r="S122" s="37" t="s">
        <v>841</v>
      </c>
      <c r="T122" s="37" t="s">
        <v>938</v>
      </c>
      <c r="U122" s="37" t="s">
        <v>1054</v>
      </c>
      <c r="V122" s="37" t="s">
        <v>1053</v>
      </c>
      <c r="W122" s="53" t="s">
        <v>457</v>
      </c>
      <c r="X122" s="53"/>
      <c r="Y122" s="37" t="s">
        <v>457</v>
      </c>
      <c r="Z122" s="58"/>
      <c r="AA122" s="57"/>
      <c r="AB122" s="57"/>
      <c r="AC122" s="57"/>
      <c r="AD122" s="53"/>
      <c r="AE122" s="53"/>
      <c r="AF122" s="57"/>
      <c r="AG122" s="57"/>
      <c r="AH122" s="37"/>
      <c r="AI122" s="38" t="str">
        <f t="shared" si="167"/>
        <v>alp_vw_amazon_aaf_dsy_nonms_nd_nc_rng_varejo-familiaridade_na_trafego_cpm_prog_all_320x50_interesse-pickups_320x50_amarok-taxazero_var-rng-aaf-dsy-0221-10122</v>
      </c>
      <c r="AJ122" s="39" t="str">
        <f t="shared" si="167"/>
        <v>alp_vw_amazon_aaf_dsy_nonms_nd_nc_rng_varejo-familiaridade_na_trafego_cpm_prog_all_320x50_interesse-pickups_320x50_amarok-taxazero_var-rng-aaf-dsy-0221-10122</v>
      </c>
      <c r="AK122" s="38" t="str">
        <f t="shared" si="108"/>
        <v>vw_range_320x50_amarok-taxazero_adserver</v>
      </c>
      <c r="AL122" s="38" t="str">
        <f t="shared" si="155"/>
        <v>https://ofertas.vw.com.br/modelo/?modelo=Amarok&amp;utm_source=amazon&amp;utm_medium=Paid-Display&amp;utm_content=alp_vw_amazon_aaf_dsy_nonms_nd_nc_rng_varejo-familiaridade_na_trafego_cpm_prog_all_320x50_interesse-pickups_320x50_amarok-taxazero_var-rng-aaf-dsy-0221-10122&amp;utm_campaign=BR_AAF_DSY_NONMS_ND_NC_2021Q1FEB_RNG_Varejo-Familiaridade&amp;utm_term=%epid!_%ecid!_%eaid!</v>
      </c>
      <c r="AM122" s="38" t="str">
        <f t="shared" si="109"/>
        <v>TAG</v>
      </c>
      <c r="AN122" s="37" t="str">
        <f t="shared" si="156"/>
        <v>amazon</v>
      </c>
      <c r="AO122" s="37" t="str">
        <f t="shared" si="157"/>
        <v>Paid-Display</v>
      </c>
      <c r="AP122" s="38" t="str">
        <f>Campanha!$B$3</f>
        <v>BR_AAF_DSY_NONMS_ND_NC_2021Q1FEB_RNG_Varejo-Familiaridade</v>
      </c>
      <c r="AQ122" s="38" t="str">
        <f t="shared" si="110"/>
        <v>alp_vw_amazon_aaf_dsy_nonms_nd_nc_rng_varejo-familiaridade_na_trafego_cpm_prog_all_320x50_interesse-pickups_320x50_amarok-taxazero_var-rng-aaf-dsy-0221-10122</v>
      </c>
      <c r="AR122" s="37" t="s">
        <v>722</v>
      </c>
      <c r="AS122" s="38" t="str">
        <f t="shared" si="111"/>
        <v>https://ofertas.vw.com.br/modelo/?modelo=Amarok&amp;utm_source=amazon&amp;utm_medium=Paid-Display&amp;utm_content=alp_vw_amazon_aaf_dsy_nonms_nd_nc_rng_varejo-familiaridade_na_trafego_cpm_prog_all_320x50_interesse-pickups_320x50_amarok-taxazero_var-rng-aaf-dsy-0221-10122&amp;utm_campaign=BR_AAF_DSY_NONMS_ND_NC_2021Q1FEB_RNG_Varejo-Familiaridade&amp;utm_term=%epid!_%ecid!_%eaid!</v>
      </c>
      <c r="AT122" s="37" t="str">
        <f t="shared" si="158"/>
        <v>run-of-network</v>
      </c>
      <c r="AU122" s="37" t="str">
        <f t="shared" si="112"/>
        <v>BR</v>
      </c>
      <c r="AV122" s="37" t="str">
        <f t="shared" si="159"/>
        <v>amazon</v>
      </c>
      <c r="AW122" s="37" t="str">
        <f t="shared" si="160"/>
        <v>amazon</v>
      </c>
      <c r="AX122" s="37" t="str">
        <f t="shared" si="113"/>
        <v>varejo-familiaridade</v>
      </c>
      <c r="AY122" s="37" t="str">
        <f t="shared" si="161"/>
        <v>alp_vw_amazon_aaf_dsy_nonms_nd_nc_rng_varejo-familiaridade_na_trafego_cpm_prog_all_320x50_interesse-pickups_320x50_amarok-taxazero_var-rng-aaf-dsy-0221-10122</v>
      </c>
      <c r="AZ122" s="37" t="str">
        <f t="shared" si="162"/>
        <v>320x50</v>
      </c>
      <c r="BA122" s="37" t="str">
        <f t="shared" si="163"/>
        <v>varejo-familiaridade</v>
      </c>
      <c r="BB122" s="37" t="s">
        <v>775</v>
      </c>
      <c r="BC122" s="37" t="s">
        <v>775</v>
      </c>
      <c r="BD122" s="37" t="str">
        <f t="shared" si="164"/>
        <v>var-rng-aaf-dsy-0221-10122</v>
      </c>
      <c r="BE122" s="37" t="str">
        <f t="shared" si="165"/>
        <v>BR</v>
      </c>
      <c r="BF122" s="37" t="str">
        <f t="shared" si="166"/>
        <v/>
      </c>
      <c r="BG122" s="37"/>
      <c r="BH122" s="37"/>
      <c r="BI122" s="47" t="str">
        <f t="shared" si="114"/>
        <v>https://ofertas.vw.com.br/modelo/?modelo=Amarok&amp;adlid=var-rng-aaf-dsy-0221-10122&amp;adplt=alp_vw_amazon_aaf_dsy_nonms_nd_nc_rng_varejo-familiaridade_na_trafego_cpm_prog_all_320x50_interesse-pickups_320x50_amarok-taxazero_var-rng-aaf-dsy-0221-10122</v>
      </c>
      <c r="BL122" s="44" t="str">
        <f t="shared" si="115"/>
        <v>alp_vw_amazon_aaf_dsy_nonms_nd_nc_rng_varejo-familiaridade_na_trafego</v>
      </c>
      <c r="BM122" s="44" t="str">
        <f t="shared" si="116"/>
        <v>cpm_prog_all_320x50_interesse-pickups_320x50</v>
      </c>
      <c r="BN122" s="44" t="str">
        <f t="shared" si="117"/>
        <v>alp_vw_amazon_aaf_dsy_nonms_nd_nc_rng_varejo-familiaridade_na_trafego_cpm_prog_all_320x50_interesse-pickups_320x50_amarok-taxazero_var-rng-aaf-dsy-0221-10122</v>
      </c>
      <c r="BO122" s="44"/>
      <c r="BP122" s="44"/>
    </row>
    <row r="123" spans="2:68" ht="15" customHeight="1" x14ac:dyDescent="0.25">
      <c r="B123" s="37" t="s">
        <v>996</v>
      </c>
      <c r="C123" s="37" t="s">
        <v>1252</v>
      </c>
      <c r="D123" s="37" t="s">
        <v>1251</v>
      </c>
      <c r="E123" s="45">
        <v>44299</v>
      </c>
      <c r="F123" s="45">
        <v>44316</v>
      </c>
      <c r="G123" s="37" t="s">
        <v>628</v>
      </c>
      <c r="H123" s="43" t="s">
        <v>1052</v>
      </c>
      <c r="I123" s="37" t="s">
        <v>777</v>
      </c>
      <c r="J123" s="46" t="s">
        <v>936</v>
      </c>
      <c r="K123" s="46" t="s">
        <v>936</v>
      </c>
      <c r="L123" s="37" t="s">
        <v>653</v>
      </c>
      <c r="M123" s="37" t="s">
        <v>287</v>
      </c>
      <c r="N123" s="37" t="s">
        <v>295</v>
      </c>
      <c r="O123" s="37" t="s">
        <v>654</v>
      </c>
      <c r="P123" s="37" t="s">
        <v>284</v>
      </c>
      <c r="Q123" s="37" t="s">
        <v>658</v>
      </c>
      <c r="R123" s="37" t="s">
        <v>277</v>
      </c>
      <c r="S123" s="37" t="s">
        <v>841</v>
      </c>
      <c r="T123" s="37" t="s">
        <v>938</v>
      </c>
      <c r="U123" s="37" t="s">
        <v>1054</v>
      </c>
      <c r="V123" s="37" t="s">
        <v>1053</v>
      </c>
      <c r="W123" s="53" t="s">
        <v>606</v>
      </c>
      <c r="X123" s="53"/>
      <c r="Y123" s="37" t="s">
        <v>606</v>
      </c>
      <c r="Z123" s="58"/>
      <c r="AA123" s="57"/>
      <c r="AB123" s="57"/>
      <c r="AC123" s="57"/>
      <c r="AD123" s="53"/>
      <c r="AE123" s="53"/>
      <c r="AF123" s="57"/>
      <c r="AG123" s="57"/>
      <c r="AH123" s="37"/>
      <c r="AI123" s="38" t="str">
        <f t="shared" si="167"/>
        <v>alp_vw_amazon_aaf_dsy_nonms_nd_nc_rng_varejo-familiaridade_na_trafego_cpm_prog_all_970x250_interesse-pickups_970x250_amarok-taxazero_var-rng-aaf-dsy-0221-10123</v>
      </c>
      <c r="AJ123" s="39" t="str">
        <f t="shared" si="167"/>
        <v>alp_vw_amazon_aaf_dsy_nonms_nd_nc_rng_varejo-familiaridade_na_trafego_cpm_prog_all_970x250_interesse-pickups_970x250_amarok-taxazero_var-rng-aaf-dsy-0221-10123</v>
      </c>
      <c r="AK123" s="38" t="str">
        <f t="shared" si="108"/>
        <v>vw_range_970x250_amarok-taxazero_adserver</v>
      </c>
      <c r="AL123" s="38" t="str">
        <f t="shared" si="155"/>
        <v>https://ofertas.vw.com.br/modelo/?modelo=Amarok&amp;utm_source=amazon&amp;utm_medium=Paid-Display&amp;utm_content=alp_vw_amazon_aaf_dsy_nonms_nd_nc_rng_varejo-familiaridade_na_trafego_cpm_prog_all_970x250_interesse-pickups_970x250_amarok-taxazero_var-rng-aaf-dsy-0221-10123&amp;utm_campaign=BR_AAF_DSY_NONMS_ND_NC_2021Q1FEB_RNG_Varejo-Familiaridade&amp;utm_term=%epid!_%ecid!_%eaid!</v>
      </c>
      <c r="AM123" s="38" t="str">
        <f t="shared" si="109"/>
        <v>TAG</v>
      </c>
      <c r="AN123" s="37" t="str">
        <f t="shared" si="156"/>
        <v>amazon</v>
      </c>
      <c r="AO123" s="37" t="str">
        <f t="shared" si="157"/>
        <v>Paid-Display</v>
      </c>
      <c r="AP123" s="38" t="str">
        <f>Campanha!$B$3</f>
        <v>BR_AAF_DSY_NONMS_ND_NC_2021Q1FEB_RNG_Varejo-Familiaridade</v>
      </c>
      <c r="AQ123" s="38" t="str">
        <f t="shared" si="110"/>
        <v>alp_vw_amazon_aaf_dsy_nonms_nd_nc_rng_varejo-familiaridade_na_trafego_cpm_prog_all_970x250_interesse-pickups_970x250_amarok-taxazero_var-rng-aaf-dsy-0221-10123</v>
      </c>
      <c r="AR123" s="37" t="s">
        <v>722</v>
      </c>
      <c r="AS123" s="38" t="str">
        <f t="shared" si="111"/>
        <v>https://ofertas.vw.com.br/modelo/?modelo=Amarok&amp;utm_source=amazon&amp;utm_medium=Paid-Display&amp;utm_content=alp_vw_amazon_aaf_dsy_nonms_nd_nc_rng_varejo-familiaridade_na_trafego_cpm_prog_all_970x250_interesse-pickups_970x250_amarok-taxazero_var-rng-aaf-dsy-0221-10123&amp;utm_campaign=BR_AAF_DSY_NONMS_ND_NC_2021Q1FEB_RNG_Varejo-Familiaridade&amp;utm_term=%epid!_%ecid!_%eaid!</v>
      </c>
      <c r="AT123" s="37" t="str">
        <f t="shared" si="158"/>
        <v>run-of-network</v>
      </c>
      <c r="AU123" s="37" t="str">
        <f t="shared" si="112"/>
        <v>BR</v>
      </c>
      <c r="AV123" s="37" t="str">
        <f t="shared" si="159"/>
        <v>amazon</v>
      </c>
      <c r="AW123" s="37" t="str">
        <f t="shared" si="160"/>
        <v>amazon</v>
      </c>
      <c r="AX123" s="37" t="str">
        <f t="shared" si="113"/>
        <v>varejo-familiaridade</v>
      </c>
      <c r="AY123" s="37" t="str">
        <f t="shared" si="161"/>
        <v>alp_vw_amazon_aaf_dsy_nonms_nd_nc_rng_varejo-familiaridade_na_trafego_cpm_prog_all_970x250_interesse-pickups_970x250_amarok-taxazero_var-rng-aaf-dsy-0221-10123</v>
      </c>
      <c r="AZ123" s="37" t="str">
        <f t="shared" si="162"/>
        <v>970x250</v>
      </c>
      <c r="BA123" s="37" t="str">
        <f t="shared" si="163"/>
        <v>varejo-familiaridade</v>
      </c>
      <c r="BB123" s="37" t="s">
        <v>775</v>
      </c>
      <c r="BC123" s="37" t="s">
        <v>775</v>
      </c>
      <c r="BD123" s="37" t="str">
        <f t="shared" si="164"/>
        <v>var-rng-aaf-dsy-0221-10123</v>
      </c>
      <c r="BE123" s="37" t="str">
        <f t="shared" si="165"/>
        <v>BR</v>
      </c>
      <c r="BF123" s="37" t="str">
        <f t="shared" si="166"/>
        <v/>
      </c>
      <c r="BG123" s="37"/>
      <c r="BH123" s="37"/>
      <c r="BI123" s="47" t="str">
        <f t="shared" si="114"/>
        <v>https://ofertas.vw.com.br/modelo/?modelo=Amarok&amp;adlid=var-rng-aaf-dsy-0221-10123&amp;adplt=alp_vw_amazon_aaf_dsy_nonms_nd_nc_rng_varejo-familiaridade_na_trafego_cpm_prog_all_970x250_interesse-pickups_970x250_amarok-taxazero_var-rng-aaf-dsy-0221-10123</v>
      </c>
      <c r="BL123" s="44" t="str">
        <f t="shared" si="115"/>
        <v>alp_vw_amazon_aaf_dsy_nonms_nd_nc_rng_varejo-familiaridade_na_trafego</v>
      </c>
      <c r="BM123" s="44" t="str">
        <f t="shared" si="116"/>
        <v>cpm_prog_all_970x250_interesse-pickups_970x250</v>
      </c>
      <c r="BN123" s="44" t="str">
        <f t="shared" si="117"/>
        <v>alp_vw_amazon_aaf_dsy_nonms_nd_nc_rng_varejo-familiaridade_na_trafego_cpm_prog_all_970x250_interesse-pickups_970x250_amarok-taxazero_var-rng-aaf-dsy-0221-10123</v>
      </c>
      <c r="BO123" s="44"/>
      <c r="BP123" s="44"/>
    </row>
    <row r="124" spans="2:68" ht="15" customHeight="1" x14ac:dyDescent="0.25">
      <c r="B124" s="37" t="s">
        <v>996</v>
      </c>
      <c r="C124" s="37" t="s">
        <v>1252</v>
      </c>
      <c r="D124" s="37" t="s">
        <v>1251</v>
      </c>
      <c r="E124" s="45">
        <v>44299</v>
      </c>
      <c r="F124" s="45">
        <v>44316</v>
      </c>
      <c r="G124" s="37" t="s">
        <v>628</v>
      </c>
      <c r="H124" s="43" t="s">
        <v>1052</v>
      </c>
      <c r="I124" s="37" t="s">
        <v>777</v>
      </c>
      <c r="J124" s="46" t="s">
        <v>936</v>
      </c>
      <c r="K124" s="46" t="s">
        <v>936</v>
      </c>
      <c r="L124" s="37" t="s">
        <v>653</v>
      </c>
      <c r="M124" s="37" t="s">
        <v>287</v>
      </c>
      <c r="N124" s="37" t="s">
        <v>295</v>
      </c>
      <c r="O124" s="37" t="s">
        <v>317</v>
      </c>
      <c r="P124" s="37" t="s">
        <v>319</v>
      </c>
      <c r="Q124" s="37" t="s">
        <v>658</v>
      </c>
      <c r="R124" s="37" t="s">
        <v>277</v>
      </c>
      <c r="S124" s="37" t="s">
        <v>841</v>
      </c>
      <c r="T124" s="37" t="s">
        <v>938</v>
      </c>
      <c r="U124" s="37" t="s">
        <v>1054</v>
      </c>
      <c r="V124" s="37" t="s">
        <v>1008</v>
      </c>
      <c r="W124" s="53" t="s">
        <v>412</v>
      </c>
      <c r="X124" s="53"/>
      <c r="Y124" s="37" t="s">
        <v>412</v>
      </c>
      <c r="Z124" s="58"/>
      <c r="AA124" s="57"/>
      <c r="AB124" s="57"/>
      <c r="AC124" s="57"/>
      <c r="AD124" s="53"/>
      <c r="AE124" s="53"/>
      <c r="AF124" s="57"/>
      <c r="AG124" s="57"/>
      <c r="AH124" s="37"/>
      <c r="AI124" s="38" t="str">
        <f t="shared" si="167"/>
        <v>alp_vw_amazon_aaf_dsy_nonms_nd_nc_rng_varejo-familiaridade_na_trafego_cpm_prog_all_160x600_open-auction_160x600_amarok-taxazero_var-rng-aaf-dsy-0221-10124</v>
      </c>
      <c r="AJ124" s="39" t="str">
        <f t="shared" si="167"/>
        <v>alp_vw_amazon_aaf_dsy_nonms_nd_nc_rng_varejo-familiaridade_na_trafego_cpm_prog_all_160x600_open-auction_160x600_amarok-taxazero_var-rng-aaf-dsy-0221-10124</v>
      </c>
      <c r="AK124" s="38" t="str">
        <f t="shared" si="108"/>
        <v>vw_range_160x600_amarok-taxazero_adserver</v>
      </c>
      <c r="AL124" s="38" t="str">
        <f t="shared" si="155"/>
        <v>https://ofertas.vw.com.br/modelo/?modelo=Amarok&amp;utm_source=amazon&amp;utm_medium=Paid-Display&amp;utm_content=alp_vw_amazon_aaf_dsy_nonms_nd_nc_rng_varejo-familiaridade_na_trafego_cpm_prog_all_160x600_open-auction_160x600_amarok-taxazero_var-rng-aaf-dsy-0221-10124&amp;utm_campaign=BR_AAF_DSY_NONMS_ND_NC_2021Q1FEB_RNG_Varejo-Familiaridade&amp;utm_term=%epid!_%ecid!_%eaid!</v>
      </c>
      <c r="AM124" s="38" t="str">
        <f t="shared" si="109"/>
        <v>TAG</v>
      </c>
      <c r="AN124" s="37" t="str">
        <f t="shared" si="156"/>
        <v>amazon</v>
      </c>
      <c r="AO124" s="37" t="str">
        <f t="shared" si="157"/>
        <v>Paid-Display</v>
      </c>
      <c r="AP124" s="38" t="str">
        <f>Campanha!$B$3</f>
        <v>BR_AAF_DSY_NONMS_ND_NC_2021Q1FEB_RNG_Varejo-Familiaridade</v>
      </c>
      <c r="AQ124" s="38" t="str">
        <f t="shared" si="110"/>
        <v>alp_vw_amazon_aaf_dsy_nonms_nd_nc_rng_varejo-familiaridade_na_trafego_cpm_prog_all_160x600_open-auction_160x600_amarok-taxazero_var-rng-aaf-dsy-0221-10124</v>
      </c>
      <c r="AR124" s="37" t="s">
        <v>722</v>
      </c>
      <c r="AS124" s="38" t="str">
        <f t="shared" si="111"/>
        <v>https://ofertas.vw.com.br/modelo/?modelo=Amarok&amp;utm_source=amazon&amp;utm_medium=Paid-Display&amp;utm_content=alp_vw_amazon_aaf_dsy_nonms_nd_nc_rng_varejo-familiaridade_na_trafego_cpm_prog_all_160x600_open-auction_160x600_amarok-taxazero_var-rng-aaf-dsy-0221-10124&amp;utm_campaign=BR_AAF_DSY_NONMS_ND_NC_2021Q1FEB_RNG_Varejo-Familiaridade&amp;utm_term=%epid!_%ecid!_%eaid!</v>
      </c>
      <c r="AT124" s="37" t="str">
        <f t="shared" si="158"/>
        <v>run-of-network</v>
      </c>
      <c r="AU124" s="37" t="str">
        <f t="shared" si="112"/>
        <v>BR</v>
      </c>
      <c r="AV124" s="37" t="str">
        <f t="shared" si="159"/>
        <v>amazon</v>
      </c>
      <c r="AW124" s="37" t="str">
        <f t="shared" si="160"/>
        <v>amazon</v>
      </c>
      <c r="AX124" s="37" t="str">
        <f t="shared" si="113"/>
        <v>varejo-familiaridade</v>
      </c>
      <c r="AY124" s="37" t="str">
        <f t="shared" si="161"/>
        <v>alp_vw_amazon_aaf_dsy_nonms_nd_nc_rng_varejo-familiaridade_na_trafego_cpm_prog_all_160x600_open-auction_160x600_amarok-taxazero_var-rng-aaf-dsy-0221-10124</v>
      </c>
      <c r="AZ124" s="37" t="str">
        <f t="shared" si="162"/>
        <v>160x600</v>
      </c>
      <c r="BA124" s="37" t="str">
        <f t="shared" si="163"/>
        <v>varejo-familiaridade</v>
      </c>
      <c r="BB124" s="37" t="s">
        <v>775</v>
      </c>
      <c r="BC124" s="37" t="s">
        <v>775</v>
      </c>
      <c r="BD124" s="37" t="str">
        <f t="shared" si="164"/>
        <v>var-rng-aaf-dsy-0221-10124</v>
      </c>
      <c r="BE124" s="37" t="str">
        <f t="shared" si="165"/>
        <v>BR</v>
      </c>
      <c r="BF124" s="37" t="str">
        <f t="shared" si="166"/>
        <v/>
      </c>
      <c r="BG124" s="37"/>
      <c r="BH124" s="37"/>
      <c r="BI124" s="47" t="str">
        <f t="shared" si="114"/>
        <v>https://ofertas.vw.com.br/modelo/?modelo=Amarok&amp;adlid=var-rng-aaf-dsy-0221-10124&amp;adplt=alp_vw_amazon_aaf_dsy_nonms_nd_nc_rng_varejo-familiaridade_na_trafego_cpm_prog_all_160x600_open-auction_160x600_amarok-taxazero_var-rng-aaf-dsy-0221-10124</v>
      </c>
      <c r="BL124" s="44" t="str">
        <f t="shared" si="115"/>
        <v>alp_vw_amazon_aaf_dsy_nonms_nd_nc_rng_varejo-familiaridade_na_trafego</v>
      </c>
      <c r="BM124" s="44" t="str">
        <f t="shared" si="116"/>
        <v>cpm_prog_all_160x600_open-auction_160x600</v>
      </c>
      <c r="BN124" s="44" t="str">
        <f t="shared" si="117"/>
        <v>alp_vw_amazon_aaf_dsy_nonms_nd_nc_rng_varejo-familiaridade_na_trafego_cpm_prog_all_160x600_open-auction_160x600_amarok-taxazero_var-rng-aaf-dsy-0221-10124</v>
      </c>
      <c r="BO124" s="44"/>
      <c r="BP124" s="44"/>
    </row>
    <row r="125" spans="2:68" ht="15" customHeight="1" x14ac:dyDescent="0.25">
      <c r="B125" s="37" t="s">
        <v>996</v>
      </c>
      <c r="C125" s="37" t="s">
        <v>1252</v>
      </c>
      <c r="D125" s="37" t="s">
        <v>1251</v>
      </c>
      <c r="E125" s="45">
        <v>44299</v>
      </c>
      <c r="F125" s="45">
        <v>44316</v>
      </c>
      <c r="G125" s="37" t="s">
        <v>628</v>
      </c>
      <c r="H125" s="43" t="s">
        <v>1052</v>
      </c>
      <c r="I125" s="37" t="s">
        <v>777</v>
      </c>
      <c r="J125" s="46" t="s">
        <v>936</v>
      </c>
      <c r="K125" s="46" t="s">
        <v>936</v>
      </c>
      <c r="L125" s="37" t="s">
        <v>653</v>
      </c>
      <c r="M125" s="37" t="s">
        <v>287</v>
      </c>
      <c r="N125" s="37" t="s">
        <v>295</v>
      </c>
      <c r="O125" s="37" t="s">
        <v>317</v>
      </c>
      <c r="P125" s="37" t="s">
        <v>311</v>
      </c>
      <c r="Q125" s="37" t="s">
        <v>658</v>
      </c>
      <c r="R125" s="37" t="s">
        <v>277</v>
      </c>
      <c r="S125" s="37" t="s">
        <v>841</v>
      </c>
      <c r="T125" s="37" t="s">
        <v>938</v>
      </c>
      <c r="U125" s="37" t="s">
        <v>1054</v>
      </c>
      <c r="V125" s="37" t="s">
        <v>1008</v>
      </c>
      <c r="W125" s="53" t="s">
        <v>433</v>
      </c>
      <c r="X125" s="53"/>
      <c r="Y125" s="37" t="s">
        <v>433</v>
      </c>
      <c r="Z125" s="58"/>
      <c r="AA125" s="57"/>
      <c r="AB125" s="57"/>
      <c r="AC125" s="57"/>
      <c r="AD125" s="53"/>
      <c r="AE125" s="53"/>
      <c r="AF125" s="57"/>
      <c r="AG125" s="57"/>
      <c r="AH125" s="37"/>
      <c r="AI125" s="38" t="str">
        <f t="shared" si="167"/>
        <v>alp_vw_amazon_aaf_dsy_nonms_nd_nc_rng_varejo-familiaridade_na_trafego_cpm_prog_all_300x250_open-auction_300x250_amarok-taxazero_var-rng-aaf-dsy-0221-10125</v>
      </c>
      <c r="AJ125" s="39" t="str">
        <f t="shared" si="167"/>
        <v>alp_vw_amazon_aaf_dsy_nonms_nd_nc_rng_varejo-familiaridade_na_trafego_cpm_prog_all_300x250_open-auction_300x250_amarok-taxazero_var-rng-aaf-dsy-0221-10125</v>
      </c>
      <c r="AK125" s="38" t="str">
        <f t="shared" si="108"/>
        <v>vw_range_300x250_amarok-taxazero_adserver</v>
      </c>
      <c r="AL125" s="38" t="str">
        <f t="shared" si="155"/>
        <v>https://ofertas.vw.com.br/modelo/?modelo=Amarok&amp;utm_source=amazon&amp;utm_medium=Paid-Display&amp;utm_content=alp_vw_amazon_aaf_dsy_nonms_nd_nc_rng_varejo-familiaridade_na_trafego_cpm_prog_all_300x250_open-auction_300x250_amarok-taxazero_var-rng-aaf-dsy-0221-10125&amp;utm_campaign=BR_AAF_DSY_NONMS_ND_NC_2021Q1FEB_RNG_Varejo-Familiaridade&amp;utm_term=%epid!_%ecid!_%eaid!</v>
      </c>
      <c r="AM125" s="38" t="str">
        <f t="shared" si="109"/>
        <v>TAG</v>
      </c>
      <c r="AN125" s="37" t="str">
        <f t="shared" si="156"/>
        <v>amazon</v>
      </c>
      <c r="AO125" s="37" t="str">
        <f t="shared" si="157"/>
        <v>Paid-Display</v>
      </c>
      <c r="AP125" s="38" t="str">
        <f>Campanha!$B$3</f>
        <v>BR_AAF_DSY_NONMS_ND_NC_2021Q1FEB_RNG_Varejo-Familiaridade</v>
      </c>
      <c r="AQ125" s="38" t="str">
        <f t="shared" si="110"/>
        <v>alp_vw_amazon_aaf_dsy_nonms_nd_nc_rng_varejo-familiaridade_na_trafego_cpm_prog_all_300x250_open-auction_300x250_amarok-taxazero_var-rng-aaf-dsy-0221-10125</v>
      </c>
      <c r="AR125" s="37" t="s">
        <v>722</v>
      </c>
      <c r="AS125" s="38" t="str">
        <f t="shared" si="111"/>
        <v>https://ofertas.vw.com.br/modelo/?modelo=Amarok&amp;utm_source=amazon&amp;utm_medium=Paid-Display&amp;utm_content=alp_vw_amazon_aaf_dsy_nonms_nd_nc_rng_varejo-familiaridade_na_trafego_cpm_prog_all_300x250_open-auction_300x250_amarok-taxazero_var-rng-aaf-dsy-0221-10125&amp;utm_campaign=BR_AAF_DSY_NONMS_ND_NC_2021Q1FEB_RNG_Varejo-Familiaridade&amp;utm_term=%epid!_%ecid!_%eaid!</v>
      </c>
      <c r="AT125" s="37" t="str">
        <f t="shared" si="158"/>
        <v>run-of-network</v>
      </c>
      <c r="AU125" s="37" t="str">
        <f t="shared" si="112"/>
        <v>BR</v>
      </c>
      <c r="AV125" s="37" t="str">
        <f t="shared" si="159"/>
        <v>amazon</v>
      </c>
      <c r="AW125" s="37" t="str">
        <f t="shared" si="160"/>
        <v>amazon</v>
      </c>
      <c r="AX125" s="37" t="str">
        <f t="shared" si="113"/>
        <v>varejo-familiaridade</v>
      </c>
      <c r="AY125" s="37" t="str">
        <f t="shared" si="161"/>
        <v>alp_vw_amazon_aaf_dsy_nonms_nd_nc_rng_varejo-familiaridade_na_trafego_cpm_prog_all_300x250_open-auction_300x250_amarok-taxazero_var-rng-aaf-dsy-0221-10125</v>
      </c>
      <c r="AZ125" s="37" t="str">
        <f t="shared" si="162"/>
        <v>300x250</v>
      </c>
      <c r="BA125" s="37" t="str">
        <f t="shared" si="163"/>
        <v>varejo-familiaridade</v>
      </c>
      <c r="BB125" s="37" t="s">
        <v>775</v>
      </c>
      <c r="BC125" s="37" t="s">
        <v>775</v>
      </c>
      <c r="BD125" s="37" t="str">
        <f t="shared" si="164"/>
        <v>var-rng-aaf-dsy-0221-10125</v>
      </c>
      <c r="BE125" s="37" t="str">
        <f t="shared" si="165"/>
        <v>BR</v>
      </c>
      <c r="BF125" s="37" t="str">
        <f t="shared" si="166"/>
        <v/>
      </c>
      <c r="BG125" s="37"/>
      <c r="BH125" s="37"/>
      <c r="BI125" s="47" t="str">
        <f t="shared" si="114"/>
        <v>https://ofertas.vw.com.br/modelo/?modelo=Amarok&amp;adlid=var-rng-aaf-dsy-0221-10125&amp;adplt=alp_vw_amazon_aaf_dsy_nonms_nd_nc_rng_varejo-familiaridade_na_trafego_cpm_prog_all_300x250_open-auction_300x250_amarok-taxazero_var-rng-aaf-dsy-0221-10125</v>
      </c>
      <c r="BL125" s="44" t="str">
        <f t="shared" si="115"/>
        <v>alp_vw_amazon_aaf_dsy_nonms_nd_nc_rng_varejo-familiaridade_na_trafego</v>
      </c>
      <c r="BM125" s="44" t="str">
        <f t="shared" si="116"/>
        <v>cpm_prog_all_300x250_open-auction_300x250</v>
      </c>
      <c r="BN125" s="44" t="str">
        <f t="shared" si="117"/>
        <v>alp_vw_amazon_aaf_dsy_nonms_nd_nc_rng_varejo-familiaridade_na_trafego_cpm_prog_all_300x250_open-auction_300x250_amarok-taxazero_var-rng-aaf-dsy-0221-10125</v>
      </c>
      <c r="BO125" s="44"/>
      <c r="BP125" s="44"/>
    </row>
    <row r="126" spans="2:68" ht="15" customHeight="1" x14ac:dyDescent="0.25">
      <c r="B126" s="37" t="s">
        <v>996</v>
      </c>
      <c r="C126" s="37" t="s">
        <v>1252</v>
      </c>
      <c r="D126" s="37" t="s">
        <v>1251</v>
      </c>
      <c r="E126" s="45">
        <v>44299</v>
      </c>
      <c r="F126" s="45">
        <v>44316</v>
      </c>
      <c r="G126" s="37" t="s">
        <v>628</v>
      </c>
      <c r="H126" s="43" t="s">
        <v>1052</v>
      </c>
      <c r="I126" s="37" t="s">
        <v>777</v>
      </c>
      <c r="J126" s="46" t="s">
        <v>936</v>
      </c>
      <c r="K126" s="46" t="s">
        <v>936</v>
      </c>
      <c r="L126" s="37" t="s">
        <v>653</v>
      </c>
      <c r="M126" s="37" t="s">
        <v>287</v>
      </c>
      <c r="N126" s="37" t="s">
        <v>295</v>
      </c>
      <c r="O126" s="37" t="s">
        <v>317</v>
      </c>
      <c r="P126" s="37" t="s">
        <v>319</v>
      </c>
      <c r="Q126" s="37" t="s">
        <v>658</v>
      </c>
      <c r="R126" s="37" t="s">
        <v>277</v>
      </c>
      <c r="S126" s="37" t="s">
        <v>841</v>
      </c>
      <c r="T126" s="37" t="s">
        <v>938</v>
      </c>
      <c r="U126" s="37" t="s">
        <v>1054</v>
      </c>
      <c r="V126" s="37" t="s">
        <v>1008</v>
      </c>
      <c r="W126" s="53" t="s">
        <v>442</v>
      </c>
      <c r="X126" s="53"/>
      <c r="Y126" s="37" t="s">
        <v>442</v>
      </c>
      <c r="Z126" s="58"/>
      <c r="AA126" s="57"/>
      <c r="AB126" s="57"/>
      <c r="AC126" s="57"/>
      <c r="AD126" s="53"/>
      <c r="AE126" s="53"/>
      <c r="AF126" s="57"/>
      <c r="AG126" s="57"/>
      <c r="AH126" s="37"/>
      <c r="AI126" s="38" t="str">
        <f t="shared" si="167"/>
        <v>alp_vw_amazon_aaf_dsy_nonms_nd_nc_rng_varejo-familiaridade_na_trafego_cpm_prog_all_300x600_open-auction_300x600_amarok-taxazero_var-rng-aaf-dsy-0221-10126</v>
      </c>
      <c r="AJ126" s="39" t="str">
        <f t="shared" si="167"/>
        <v>alp_vw_amazon_aaf_dsy_nonms_nd_nc_rng_varejo-familiaridade_na_trafego_cpm_prog_all_300x600_open-auction_300x600_amarok-taxazero_var-rng-aaf-dsy-0221-10126</v>
      </c>
      <c r="AK126" s="38" t="str">
        <f t="shared" si="108"/>
        <v>vw_range_300x600_amarok-taxazero_adserver</v>
      </c>
      <c r="AL126" s="38" t="str">
        <f t="shared" si="155"/>
        <v>https://ofertas.vw.com.br/modelo/?modelo=Amarok&amp;utm_source=amazon&amp;utm_medium=Paid-Display&amp;utm_content=alp_vw_amazon_aaf_dsy_nonms_nd_nc_rng_varejo-familiaridade_na_trafego_cpm_prog_all_300x600_open-auction_300x600_amarok-taxazero_var-rng-aaf-dsy-0221-10126&amp;utm_campaign=BR_AAF_DSY_NONMS_ND_NC_2021Q1FEB_RNG_Varejo-Familiaridade&amp;utm_term=%epid!_%ecid!_%eaid!</v>
      </c>
      <c r="AM126" s="38" t="str">
        <f t="shared" si="109"/>
        <v>TAG</v>
      </c>
      <c r="AN126" s="37" t="str">
        <f t="shared" si="156"/>
        <v>amazon</v>
      </c>
      <c r="AO126" s="37" t="str">
        <f t="shared" si="157"/>
        <v>Paid-Display</v>
      </c>
      <c r="AP126" s="38" t="str">
        <f>Campanha!$B$3</f>
        <v>BR_AAF_DSY_NONMS_ND_NC_2021Q1FEB_RNG_Varejo-Familiaridade</v>
      </c>
      <c r="AQ126" s="38" t="str">
        <f t="shared" si="110"/>
        <v>alp_vw_amazon_aaf_dsy_nonms_nd_nc_rng_varejo-familiaridade_na_trafego_cpm_prog_all_300x600_open-auction_300x600_amarok-taxazero_var-rng-aaf-dsy-0221-10126</v>
      </c>
      <c r="AR126" s="37" t="s">
        <v>722</v>
      </c>
      <c r="AS126" s="38" t="str">
        <f t="shared" si="111"/>
        <v>https://ofertas.vw.com.br/modelo/?modelo=Amarok&amp;utm_source=amazon&amp;utm_medium=Paid-Display&amp;utm_content=alp_vw_amazon_aaf_dsy_nonms_nd_nc_rng_varejo-familiaridade_na_trafego_cpm_prog_all_300x600_open-auction_300x600_amarok-taxazero_var-rng-aaf-dsy-0221-10126&amp;utm_campaign=BR_AAF_DSY_NONMS_ND_NC_2021Q1FEB_RNG_Varejo-Familiaridade&amp;utm_term=%epid!_%ecid!_%eaid!</v>
      </c>
      <c r="AT126" s="37" t="str">
        <f t="shared" si="158"/>
        <v>run-of-network</v>
      </c>
      <c r="AU126" s="37" t="str">
        <f t="shared" si="112"/>
        <v>BR</v>
      </c>
      <c r="AV126" s="37" t="str">
        <f t="shared" si="159"/>
        <v>amazon</v>
      </c>
      <c r="AW126" s="37" t="str">
        <f t="shared" si="160"/>
        <v>amazon</v>
      </c>
      <c r="AX126" s="37" t="str">
        <f t="shared" si="113"/>
        <v>varejo-familiaridade</v>
      </c>
      <c r="AY126" s="37" t="str">
        <f t="shared" si="161"/>
        <v>alp_vw_amazon_aaf_dsy_nonms_nd_nc_rng_varejo-familiaridade_na_trafego_cpm_prog_all_300x600_open-auction_300x600_amarok-taxazero_var-rng-aaf-dsy-0221-10126</v>
      </c>
      <c r="AZ126" s="37" t="str">
        <f t="shared" si="162"/>
        <v>300x600</v>
      </c>
      <c r="BA126" s="37" t="str">
        <f t="shared" si="163"/>
        <v>varejo-familiaridade</v>
      </c>
      <c r="BB126" s="37" t="s">
        <v>775</v>
      </c>
      <c r="BC126" s="37" t="s">
        <v>775</v>
      </c>
      <c r="BD126" s="37" t="str">
        <f t="shared" si="164"/>
        <v>var-rng-aaf-dsy-0221-10126</v>
      </c>
      <c r="BE126" s="37" t="str">
        <f t="shared" si="165"/>
        <v>BR</v>
      </c>
      <c r="BF126" s="37" t="str">
        <f t="shared" si="166"/>
        <v/>
      </c>
      <c r="BG126" s="37"/>
      <c r="BH126" s="37"/>
      <c r="BI126" s="47" t="str">
        <f t="shared" si="114"/>
        <v>https://ofertas.vw.com.br/modelo/?modelo=Amarok&amp;adlid=var-rng-aaf-dsy-0221-10126&amp;adplt=alp_vw_amazon_aaf_dsy_nonms_nd_nc_rng_varejo-familiaridade_na_trafego_cpm_prog_all_300x600_open-auction_300x600_amarok-taxazero_var-rng-aaf-dsy-0221-10126</v>
      </c>
      <c r="BL126" s="44" t="str">
        <f t="shared" si="115"/>
        <v>alp_vw_amazon_aaf_dsy_nonms_nd_nc_rng_varejo-familiaridade_na_trafego</v>
      </c>
      <c r="BM126" s="44" t="str">
        <f t="shared" si="116"/>
        <v>cpm_prog_all_300x600_open-auction_300x600</v>
      </c>
      <c r="BN126" s="44" t="str">
        <f t="shared" si="117"/>
        <v>alp_vw_amazon_aaf_dsy_nonms_nd_nc_rng_varejo-familiaridade_na_trafego_cpm_prog_all_300x600_open-auction_300x600_amarok-taxazero_var-rng-aaf-dsy-0221-10126</v>
      </c>
      <c r="BO126" s="44"/>
      <c r="BP126" s="44"/>
    </row>
    <row r="127" spans="2:68" ht="15" customHeight="1" x14ac:dyDescent="0.25">
      <c r="B127" s="37" t="s">
        <v>996</v>
      </c>
      <c r="C127" s="37" t="s">
        <v>1252</v>
      </c>
      <c r="D127" s="37" t="s">
        <v>1251</v>
      </c>
      <c r="E127" s="45">
        <v>44299</v>
      </c>
      <c r="F127" s="45">
        <v>44316</v>
      </c>
      <c r="G127" s="37" t="s">
        <v>628</v>
      </c>
      <c r="H127" s="43" t="s">
        <v>1052</v>
      </c>
      <c r="I127" s="37" t="s">
        <v>777</v>
      </c>
      <c r="J127" s="46" t="s">
        <v>936</v>
      </c>
      <c r="K127" s="46" t="s">
        <v>936</v>
      </c>
      <c r="L127" s="37" t="s">
        <v>653</v>
      </c>
      <c r="M127" s="37" t="s">
        <v>287</v>
      </c>
      <c r="N127" s="37" t="s">
        <v>295</v>
      </c>
      <c r="O127" s="37" t="s">
        <v>317</v>
      </c>
      <c r="P127" s="37" t="s">
        <v>284</v>
      </c>
      <c r="Q127" s="37" t="s">
        <v>658</v>
      </c>
      <c r="R127" s="37" t="s">
        <v>277</v>
      </c>
      <c r="S127" s="37" t="s">
        <v>841</v>
      </c>
      <c r="T127" s="37" t="s">
        <v>938</v>
      </c>
      <c r="U127" s="37" t="s">
        <v>1054</v>
      </c>
      <c r="V127" s="37" t="s">
        <v>1008</v>
      </c>
      <c r="W127" s="53" t="s">
        <v>568</v>
      </c>
      <c r="X127" s="53"/>
      <c r="Y127" s="37" t="s">
        <v>568</v>
      </c>
      <c r="Z127" s="58"/>
      <c r="AA127" s="57"/>
      <c r="AB127" s="57"/>
      <c r="AC127" s="57"/>
      <c r="AD127" s="53"/>
      <c r="AE127" s="53"/>
      <c r="AF127" s="57"/>
      <c r="AG127" s="57"/>
      <c r="AH127" s="37"/>
      <c r="AI127" s="38" t="str">
        <f t="shared" si="167"/>
        <v>alp_vw_amazon_aaf_dsy_nonms_nd_nc_rng_varejo-familiaridade_na_trafego_cpm_prog_all_728x90_open-auction_728x90_amarok-taxazero_var-rng-aaf-dsy-0221-10127</v>
      </c>
      <c r="AJ127" s="39" t="str">
        <f t="shared" si="167"/>
        <v>alp_vw_amazon_aaf_dsy_nonms_nd_nc_rng_varejo-familiaridade_na_trafego_cpm_prog_all_728x90_open-auction_728x90_amarok-taxazero_var-rng-aaf-dsy-0221-10127</v>
      </c>
      <c r="AK127" s="38" t="str">
        <f t="shared" si="108"/>
        <v>vw_range_728x90_amarok-taxazero_adserver</v>
      </c>
      <c r="AL127" s="38" t="str">
        <f t="shared" si="155"/>
        <v>https://ofertas.vw.com.br/modelo/?modelo=Amarok&amp;utm_source=amazon&amp;utm_medium=Paid-Display&amp;utm_content=alp_vw_amazon_aaf_dsy_nonms_nd_nc_rng_varejo-familiaridade_na_trafego_cpm_prog_all_728x90_open-auction_728x90_amarok-taxazero_var-rng-aaf-dsy-0221-10127&amp;utm_campaign=BR_AAF_DSY_NONMS_ND_NC_2021Q1FEB_RNG_Varejo-Familiaridade&amp;utm_term=%epid!_%ecid!_%eaid!</v>
      </c>
      <c r="AM127" s="38" t="str">
        <f t="shared" si="109"/>
        <v>TAG</v>
      </c>
      <c r="AN127" s="37" t="str">
        <f t="shared" si="156"/>
        <v>amazon</v>
      </c>
      <c r="AO127" s="37" t="str">
        <f t="shared" si="157"/>
        <v>Paid-Display</v>
      </c>
      <c r="AP127" s="38" t="str">
        <f>Campanha!$B$3</f>
        <v>BR_AAF_DSY_NONMS_ND_NC_2021Q1FEB_RNG_Varejo-Familiaridade</v>
      </c>
      <c r="AQ127" s="38" t="str">
        <f t="shared" si="110"/>
        <v>alp_vw_amazon_aaf_dsy_nonms_nd_nc_rng_varejo-familiaridade_na_trafego_cpm_prog_all_728x90_open-auction_728x90_amarok-taxazero_var-rng-aaf-dsy-0221-10127</v>
      </c>
      <c r="AR127" s="37" t="s">
        <v>722</v>
      </c>
      <c r="AS127" s="38" t="str">
        <f t="shared" si="111"/>
        <v>https://ofertas.vw.com.br/modelo/?modelo=Amarok&amp;utm_source=amazon&amp;utm_medium=Paid-Display&amp;utm_content=alp_vw_amazon_aaf_dsy_nonms_nd_nc_rng_varejo-familiaridade_na_trafego_cpm_prog_all_728x90_open-auction_728x90_amarok-taxazero_var-rng-aaf-dsy-0221-10127&amp;utm_campaign=BR_AAF_DSY_NONMS_ND_NC_2021Q1FEB_RNG_Varejo-Familiaridade&amp;utm_term=%epid!_%ecid!_%eaid!</v>
      </c>
      <c r="AT127" s="37" t="str">
        <f t="shared" si="158"/>
        <v>run-of-network</v>
      </c>
      <c r="AU127" s="37" t="str">
        <f t="shared" si="112"/>
        <v>BR</v>
      </c>
      <c r="AV127" s="37" t="str">
        <f t="shared" si="159"/>
        <v>amazon</v>
      </c>
      <c r="AW127" s="37" t="str">
        <f t="shared" si="160"/>
        <v>amazon</v>
      </c>
      <c r="AX127" s="37" t="str">
        <f t="shared" si="113"/>
        <v>varejo-familiaridade</v>
      </c>
      <c r="AY127" s="37" t="str">
        <f t="shared" si="161"/>
        <v>alp_vw_amazon_aaf_dsy_nonms_nd_nc_rng_varejo-familiaridade_na_trafego_cpm_prog_all_728x90_open-auction_728x90_amarok-taxazero_var-rng-aaf-dsy-0221-10127</v>
      </c>
      <c r="AZ127" s="37" t="str">
        <f t="shared" si="162"/>
        <v>728x90</v>
      </c>
      <c r="BA127" s="37" t="str">
        <f t="shared" si="163"/>
        <v>varejo-familiaridade</v>
      </c>
      <c r="BB127" s="37" t="s">
        <v>775</v>
      </c>
      <c r="BC127" s="37" t="s">
        <v>775</v>
      </c>
      <c r="BD127" s="37" t="str">
        <f t="shared" si="164"/>
        <v>var-rng-aaf-dsy-0221-10127</v>
      </c>
      <c r="BE127" s="37" t="str">
        <f t="shared" si="165"/>
        <v>BR</v>
      </c>
      <c r="BF127" s="37" t="str">
        <f t="shared" si="166"/>
        <v/>
      </c>
      <c r="BG127" s="37"/>
      <c r="BH127" s="37"/>
      <c r="BI127" s="47" t="str">
        <f t="shared" si="114"/>
        <v>https://ofertas.vw.com.br/modelo/?modelo=Amarok&amp;adlid=var-rng-aaf-dsy-0221-10127&amp;adplt=alp_vw_amazon_aaf_dsy_nonms_nd_nc_rng_varejo-familiaridade_na_trafego_cpm_prog_all_728x90_open-auction_728x90_amarok-taxazero_var-rng-aaf-dsy-0221-10127</v>
      </c>
      <c r="BL127" s="44" t="str">
        <f t="shared" si="115"/>
        <v>alp_vw_amazon_aaf_dsy_nonms_nd_nc_rng_varejo-familiaridade_na_trafego</v>
      </c>
      <c r="BM127" s="44" t="str">
        <f t="shared" si="116"/>
        <v>cpm_prog_all_728x90_open-auction_728x90</v>
      </c>
      <c r="BN127" s="44" t="str">
        <f t="shared" si="117"/>
        <v>alp_vw_amazon_aaf_dsy_nonms_nd_nc_rng_varejo-familiaridade_na_trafego_cpm_prog_all_728x90_open-auction_728x90_amarok-taxazero_var-rng-aaf-dsy-0221-10127</v>
      </c>
      <c r="BO127" s="44"/>
      <c r="BP127" s="44"/>
    </row>
    <row r="128" spans="2:68" ht="15" customHeight="1" x14ac:dyDescent="0.25">
      <c r="B128" s="37" t="s">
        <v>996</v>
      </c>
      <c r="C128" s="37" t="s">
        <v>1252</v>
      </c>
      <c r="D128" s="37" t="s">
        <v>1251</v>
      </c>
      <c r="E128" s="45">
        <v>44299</v>
      </c>
      <c r="F128" s="45">
        <v>44316</v>
      </c>
      <c r="G128" s="37" t="s">
        <v>628</v>
      </c>
      <c r="H128" s="43" t="s">
        <v>1052</v>
      </c>
      <c r="I128" s="37" t="s">
        <v>777</v>
      </c>
      <c r="J128" s="46" t="s">
        <v>936</v>
      </c>
      <c r="K128" s="46" t="s">
        <v>936</v>
      </c>
      <c r="L128" s="37" t="s">
        <v>653</v>
      </c>
      <c r="M128" s="37" t="s">
        <v>287</v>
      </c>
      <c r="N128" s="37" t="s">
        <v>295</v>
      </c>
      <c r="O128" s="37" t="s">
        <v>317</v>
      </c>
      <c r="P128" s="37" t="s">
        <v>311</v>
      </c>
      <c r="Q128" s="37" t="s">
        <v>658</v>
      </c>
      <c r="R128" s="37" t="s">
        <v>277</v>
      </c>
      <c r="S128" s="37" t="s">
        <v>841</v>
      </c>
      <c r="T128" s="37" t="s">
        <v>938</v>
      </c>
      <c r="U128" s="37" t="s">
        <v>1054</v>
      </c>
      <c r="V128" s="37" t="s">
        <v>1008</v>
      </c>
      <c r="W128" s="53" t="s">
        <v>457</v>
      </c>
      <c r="X128" s="53"/>
      <c r="Y128" s="37" t="s">
        <v>457</v>
      </c>
      <c r="Z128" s="58"/>
      <c r="AA128" s="57"/>
      <c r="AB128" s="57"/>
      <c r="AC128" s="57"/>
      <c r="AD128" s="53"/>
      <c r="AE128" s="53"/>
      <c r="AF128" s="57"/>
      <c r="AG128" s="57"/>
      <c r="AH128" s="37"/>
      <c r="AI128" s="38" t="str">
        <f t="shared" si="167"/>
        <v>alp_vw_amazon_aaf_dsy_nonms_nd_nc_rng_varejo-familiaridade_na_trafego_cpm_prog_all_320x50_open-auction_320x50_amarok-taxazero_var-rng-aaf-dsy-0221-10128</v>
      </c>
      <c r="AJ128" s="39" t="str">
        <f t="shared" si="167"/>
        <v>alp_vw_amazon_aaf_dsy_nonms_nd_nc_rng_varejo-familiaridade_na_trafego_cpm_prog_all_320x50_open-auction_320x50_amarok-taxazero_var-rng-aaf-dsy-0221-10128</v>
      </c>
      <c r="AK128" s="38" t="str">
        <f t="shared" si="108"/>
        <v>vw_range_320x50_amarok-taxazero_adserver</v>
      </c>
      <c r="AL128" s="38" t="str">
        <f t="shared" si="155"/>
        <v>https://ofertas.vw.com.br/modelo/?modelo=Amarok&amp;utm_source=amazon&amp;utm_medium=Paid-Display&amp;utm_content=alp_vw_amazon_aaf_dsy_nonms_nd_nc_rng_varejo-familiaridade_na_trafego_cpm_prog_all_320x50_open-auction_320x50_amarok-taxazero_var-rng-aaf-dsy-0221-10128&amp;utm_campaign=BR_AAF_DSY_NONMS_ND_NC_2021Q1FEB_RNG_Varejo-Familiaridade&amp;utm_term=%epid!_%ecid!_%eaid!</v>
      </c>
      <c r="AM128" s="38" t="str">
        <f t="shared" si="109"/>
        <v>TAG</v>
      </c>
      <c r="AN128" s="37" t="str">
        <f t="shared" si="156"/>
        <v>amazon</v>
      </c>
      <c r="AO128" s="37" t="str">
        <f t="shared" si="157"/>
        <v>Paid-Display</v>
      </c>
      <c r="AP128" s="38" t="str">
        <f>Campanha!$B$3</f>
        <v>BR_AAF_DSY_NONMS_ND_NC_2021Q1FEB_RNG_Varejo-Familiaridade</v>
      </c>
      <c r="AQ128" s="38" t="str">
        <f t="shared" si="110"/>
        <v>alp_vw_amazon_aaf_dsy_nonms_nd_nc_rng_varejo-familiaridade_na_trafego_cpm_prog_all_320x50_open-auction_320x50_amarok-taxazero_var-rng-aaf-dsy-0221-10128</v>
      </c>
      <c r="AR128" s="37" t="s">
        <v>722</v>
      </c>
      <c r="AS128" s="38" t="str">
        <f t="shared" si="111"/>
        <v>https://ofertas.vw.com.br/modelo/?modelo=Amarok&amp;utm_source=amazon&amp;utm_medium=Paid-Display&amp;utm_content=alp_vw_amazon_aaf_dsy_nonms_nd_nc_rng_varejo-familiaridade_na_trafego_cpm_prog_all_320x50_open-auction_320x50_amarok-taxazero_var-rng-aaf-dsy-0221-10128&amp;utm_campaign=BR_AAF_DSY_NONMS_ND_NC_2021Q1FEB_RNG_Varejo-Familiaridade&amp;utm_term=%epid!_%ecid!_%eaid!</v>
      </c>
      <c r="AT128" s="37" t="str">
        <f t="shared" si="158"/>
        <v>run-of-network</v>
      </c>
      <c r="AU128" s="37" t="str">
        <f t="shared" si="112"/>
        <v>BR</v>
      </c>
      <c r="AV128" s="37" t="str">
        <f t="shared" si="159"/>
        <v>amazon</v>
      </c>
      <c r="AW128" s="37" t="str">
        <f t="shared" si="160"/>
        <v>amazon</v>
      </c>
      <c r="AX128" s="37" t="str">
        <f t="shared" si="113"/>
        <v>varejo-familiaridade</v>
      </c>
      <c r="AY128" s="37" t="str">
        <f t="shared" si="161"/>
        <v>alp_vw_amazon_aaf_dsy_nonms_nd_nc_rng_varejo-familiaridade_na_trafego_cpm_prog_all_320x50_open-auction_320x50_amarok-taxazero_var-rng-aaf-dsy-0221-10128</v>
      </c>
      <c r="AZ128" s="37" t="str">
        <f t="shared" si="162"/>
        <v>320x50</v>
      </c>
      <c r="BA128" s="37" t="str">
        <f t="shared" si="163"/>
        <v>varejo-familiaridade</v>
      </c>
      <c r="BB128" s="37" t="s">
        <v>775</v>
      </c>
      <c r="BC128" s="37" t="s">
        <v>775</v>
      </c>
      <c r="BD128" s="37" t="str">
        <f t="shared" si="164"/>
        <v>var-rng-aaf-dsy-0221-10128</v>
      </c>
      <c r="BE128" s="37" t="str">
        <f t="shared" si="165"/>
        <v>BR</v>
      </c>
      <c r="BF128" s="37" t="str">
        <f t="shared" si="166"/>
        <v/>
      </c>
      <c r="BG128" s="37"/>
      <c r="BH128" s="37"/>
      <c r="BI128" s="47" t="str">
        <f t="shared" si="114"/>
        <v>https://ofertas.vw.com.br/modelo/?modelo=Amarok&amp;adlid=var-rng-aaf-dsy-0221-10128&amp;adplt=alp_vw_amazon_aaf_dsy_nonms_nd_nc_rng_varejo-familiaridade_na_trafego_cpm_prog_all_320x50_open-auction_320x50_amarok-taxazero_var-rng-aaf-dsy-0221-10128</v>
      </c>
      <c r="BL128" s="44" t="str">
        <f t="shared" si="115"/>
        <v>alp_vw_amazon_aaf_dsy_nonms_nd_nc_rng_varejo-familiaridade_na_trafego</v>
      </c>
      <c r="BM128" s="44" t="str">
        <f t="shared" si="116"/>
        <v>cpm_prog_all_320x50_open-auction_320x50</v>
      </c>
      <c r="BN128" s="44" t="str">
        <f t="shared" si="117"/>
        <v>alp_vw_amazon_aaf_dsy_nonms_nd_nc_rng_varejo-familiaridade_na_trafego_cpm_prog_all_320x50_open-auction_320x50_amarok-taxazero_var-rng-aaf-dsy-0221-10128</v>
      </c>
      <c r="BO128" s="44"/>
      <c r="BP128" s="44"/>
    </row>
    <row r="129" spans="2:68" ht="15" customHeight="1" x14ac:dyDescent="0.25">
      <c r="B129" s="37" t="s">
        <v>996</v>
      </c>
      <c r="C129" s="37" t="s">
        <v>1252</v>
      </c>
      <c r="D129" s="37" t="s">
        <v>1251</v>
      </c>
      <c r="E129" s="45">
        <v>44299</v>
      </c>
      <c r="F129" s="45">
        <v>44316</v>
      </c>
      <c r="G129" s="37" t="s">
        <v>628</v>
      </c>
      <c r="H129" s="43" t="s">
        <v>1052</v>
      </c>
      <c r="I129" s="37" t="s">
        <v>777</v>
      </c>
      <c r="J129" s="46" t="s">
        <v>936</v>
      </c>
      <c r="K129" s="46" t="s">
        <v>936</v>
      </c>
      <c r="L129" s="37" t="s">
        <v>653</v>
      </c>
      <c r="M129" s="37" t="s">
        <v>287</v>
      </c>
      <c r="N129" s="37" t="s">
        <v>295</v>
      </c>
      <c r="O129" s="37" t="s">
        <v>654</v>
      </c>
      <c r="P129" s="37" t="s">
        <v>284</v>
      </c>
      <c r="Q129" s="37" t="s">
        <v>658</v>
      </c>
      <c r="R129" s="37" t="s">
        <v>277</v>
      </c>
      <c r="S129" s="37" t="s">
        <v>841</v>
      </c>
      <c r="T129" s="37" t="s">
        <v>938</v>
      </c>
      <c r="U129" s="37" t="s">
        <v>1054</v>
      </c>
      <c r="V129" s="37" t="s">
        <v>1008</v>
      </c>
      <c r="W129" s="53" t="s">
        <v>606</v>
      </c>
      <c r="X129" s="53"/>
      <c r="Y129" s="37" t="s">
        <v>606</v>
      </c>
      <c r="Z129" s="58"/>
      <c r="AA129" s="57"/>
      <c r="AB129" s="57"/>
      <c r="AC129" s="57"/>
      <c r="AD129" s="53"/>
      <c r="AE129" s="53"/>
      <c r="AF129" s="57"/>
      <c r="AG129" s="57"/>
      <c r="AH129" s="37"/>
      <c r="AI129" s="38" t="str">
        <f t="shared" si="167"/>
        <v>alp_vw_amazon_aaf_dsy_nonms_nd_nc_rng_varejo-familiaridade_na_trafego_cpm_prog_all_970x250_open-auction_970x250_amarok-taxazero_var-rng-aaf-dsy-0221-10129</v>
      </c>
      <c r="AJ129" s="39" t="str">
        <f t="shared" si="167"/>
        <v>alp_vw_amazon_aaf_dsy_nonms_nd_nc_rng_varejo-familiaridade_na_trafego_cpm_prog_all_970x250_open-auction_970x250_amarok-taxazero_var-rng-aaf-dsy-0221-10129</v>
      </c>
      <c r="AK129" s="38" t="str">
        <f t="shared" si="108"/>
        <v>vw_range_970x250_amarok-taxazero_adserver</v>
      </c>
      <c r="AL129" s="38" t="str">
        <f t="shared" si="155"/>
        <v>https://ofertas.vw.com.br/modelo/?modelo=Amarok&amp;utm_source=amazon&amp;utm_medium=Paid-Display&amp;utm_content=alp_vw_amazon_aaf_dsy_nonms_nd_nc_rng_varejo-familiaridade_na_trafego_cpm_prog_all_970x250_open-auction_970x250_amarok-taxazero_var-rng-aaf-dsy-0221-10129&amp;utm_campaign=BR_AAF_DSY_NONMS_ND_NC_2021Q1FEB_RNG_Varejo-Familiaridade&amp;utm_term=%epid!_%ecid!_%eaid!</v>
      </c>
      <c r="AM129" s="38" t="str">
        <f t="shared" si="109"/>
        <v>TAG</v>
      </c>
      <c r="AN129" s="37" t="str">
        <f t="shared" si="156"/>
        <v>amazon</v>
      </c>
      <c r="AO129" s="37" t="str">
        <f t="shared" si="157"/>
        <v>Paid-Display</v>
      </c>
      <c r="AP129" s="38" t="str">
        <f>Campanha!$B$3</f>
        <v>BR_AAF_DSY_NONMS_ND_NC_2021Q1FEB_RNG_Varejo-Familiaridade</v>
      </c>
      <c r="AQ129" s="38" t="str">
        <f t="shared" si="110"/>
        <v>alp_vw_amazon_aaf_dsy_nonms_nd_nc_rng_varejo-familiaridade_na_trafego_cpm_prog_all_970x250_open-auction_970x250_amarok-taxazero_var-rng-aaf-dsy-0221-10129</v>
      </c>
      <c r="AR129" s="37" t="s">
        <v>722</v>
      </c>
      <c r="AS129" s="38" t="str">
        <f t="shared" si="111"/>
        <v>https://ofertas.vw.com.br/modelo/?modelo=Amarok&amp;utm_source=amazon&amp;utm_medium=Paid-Display&amp;utm_content=alp_vw_amazon_aaf_dsy_nonms_nd_nc_rng_varejo-familiaridade_na_trafego_cpm_prog_all_970x250_open-auction_970x250_amarok-taxazero_var-rng-aaf-dsy-0221-10129&amp;utm_campaign=BR_AAF_DSY_NONMS_ND_NC_2021Q1FEB_RNG_Varejo-Familiaridade&amp;utm_term=%epid!_%ecid!_%eaid!</v>
      </c>
      <c r="AT129" s="37" t="str">
        <f t="shared" si="158"/>
        <v>run-of-network</v>
      </c>
      <c r="AU129" s="37" t="str">
        <f t="shared" si="112"/>
        <v>BR</v>
      </c>
      <c r="AV129" s="37" t="str">
        <f t="shared" si="159"/>
        <v>amazon</v>
      </c>
      <c r="AW129" s="37" t="str">
        <f t="shared" si="160"/>
        <v>amazon</v>
      </c>
      <c r="AX129" s="37" t="str">
        <f t="shared" si="113"/>
        <v>varejo-familiaridade</v>
      </c>
      <c r="AY129" s="37" t="str">
        <f t="shared" si="161"/>
        <v>alp_vw_amazon_aaf_dsy_nonms_nd_nc_rng_varejo-familiaridade_na_trafego_cpm_prog_all_970x250_open-auction_970x250_amarok-taxazero_var-rng-aaf-dsy-0221-10129</v>
      </c>
      <c r="AZ129" s="37" t="str">
        <f t="shared" si="162"/>
        <v>970x250</v>
      </c>
      <c r="BA129" s="37" t="str">
        <f t="shared" si="163"/>
        <v>varejo-familiaridade</v>
      </c>
      <c r="BB129" s="37" t="s">
        <v>775</v>
      </c>
      <c r="BC129" s="37" t="s">
        <v>775</v>
      </c>
      <c r="BD129" s="37" t="str">
        <f t="shared" si="164"/>
        <v>var-rng-aaf-dsy-0221-10129</v>
      </c>
      <c r="BE129" s="37" t="str">
        <f t="shared" si="165"/>
        <v>BR</v>
      </c>
      <c r="BF129" s="37" t="str">
        <f t="shared" si="166"/>
        <v/>
      </c>
      <c r="BG129" s="37"/>
      <c r="BH129" s="37"/>
      <c r="BI129" s="47" t="str">
        <f t="shared" si="114"/>
        <v>https://ofertas.vw.com.br/modelo/?modelo=Amarok&amp;adlid=var-rng-aaf-dsy-0221-10129&amp;adplt=alp_vw_amazon_aaf_dsy_nonms_nd_nc_rng_varejo-familiaridade_na_trafego_cpm_prog_all_970x250_open-auction_970x250_amarok-taxazero_var-rng-aaf-dsy-0221-10129</v>
      </c>
      <c r="BL129" s="44" t="str">
        <f t="shared" si="115"/>
        <v>alp_vw_amazon_aaf_dsy_nonms_nd_nc_rng_varejo-familiaridade_na_trafego</v>
      </c>
      <c r="BM129" s="44" t="str">
        <f t="shared" si="116"/>
        <v>cpm_prog_all_970x250_open-auction_970x250</v>
      </c>
      <c r="BN129" s="44" t="str">
        <f t="shared" si="117"/>
        <v>alp_vw_amazon_aaf_dsy_nonms_nd_nc_rng_varejo-familiaridade_na_trafego_cpm_prog_all_970x250_open-auction_970x250_amarok-taxazero_var-rng-aaf-dsy-0221-10129</v>
      </c>
      <c r="BO129" s="44"/>
      <c r="BP129" s="44"/>
    </row>
  </sheetData>
  <autoFilter ref="B4:BI129" xr:uid="{5CEE432F-487C-45EB-8D46-196C27310ACD}">
    <filterColumn colId="0">
      <filters>
        <filter val="Inserir"/>
      </filters>
    </filterColumn>
  </autoFilter>
  <phoneticPr fontId="8" type="noConversion"/>
  <conditionalFormatting sqref="B1:B4 B30:B71 B91:B95">
    <cfRule type="containsText" dxfId="15" priority="622" operator="containsText" text="Reenviar">
      <formula>NOT(ISERROR(SEARCH("Reenviar",B1)))</formula>
    </cfRule>
    <cfRule type="containsText" dxfId="14" priority="718" operator="containsText" text="Inserir">
      <formula>NOT(ISERROR(SEARCH("Inserir",B1)))</formula>
    </cfRule>
  </conditionalFormatting>
  <conditionalFormatting sqref="E1:E4">
    <cfRule type="colorScale" priority="807">
      <colorScale>
        <cfvo type="min"/>
        <cfvo type="max"/>
        <color rgb="FFFFEF9C"/>
        <color rgb="FF63BE7B"/>
      </colorScale>
    </cfRule>
  </conditionalFormatting>
  <conditionalFormatting sqref="B5:B27">
    <cfRule type="containsText" dxfId="13" priority="130" operator="containsText" text="Reenviar">
      <formula>NOT(ISERROR(SEARCH("Reenviar",B5)))</formula>
    </cfRule>
    <cfRule type="containsText" dxfId="12" priority="131" operator="containsText" text="Inserir">
      <formula>NOT(ISERROR(SEARCH("Inserir",B5)))</formula>
    </cfRule>
  </conditionalFormatting>
  <conditionalFormatting sqref="E5">
    <cfRule type="colorScale" priority="1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6:E14">
    <cfRule type="colorScale" priority="1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5:E16">
    <cfRule type="colorScale" priority="1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7">
    <cfRule type="colorScale" priority="1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8">
    <cfRule type="colorScale" priority="1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9:E20">
    <cfRule type="colorScale" priority="1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1">
    <cfRule type="colorScale" priority="1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2:E27">
    <cfRule type="colorScale" priority="1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8:B29">
    <cfRule type="containsText" dxfId="11" priority="107" operator="containsText" text="Reenviar">
      <formula>NOT(ISERROR(SEARCH("Reenviar",B28)))</formula>
    </cfRule>
    <cfRule type="containsText" dxfId="10" priority="108" operator="containsText" text="Inserir">
      <formula>NOT(ISERROR(SEARCH("Inserir",B28)))</formula>
    </cfRule>
  </conditionalFormatting>
  <conditionalFormatting sqref="E28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9">
    <cfRule type="colorScale" priority="1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50:E71 E30:E39">
    <cfRule type="colorScale" priority="8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0:E49"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81:E82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72:B85">
    <cfRule type="containsText" dxfId="9" priority="34" operator="containsText" text="Reenviar">
      <formula>NOT(ISERROR(SEARCH("Reenviar",B72)))</formula>
    </cfRule>
    <cfRule type="containsText" dxfId="8" priority="35" operator="containsText" text="Inserir">
      <formula>NOT(ISERROR(SEARCH("Inserir",B72)))</formula>
    </cfRule>
  </conditionalFormatting>
  <conditionalFormatting sqref="E72:E76 E83:E8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7:E80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86:B90">
    <cfRule type="containsText" dxfId="7" priority="27" operator="containsText" text="Reenviar">
      <formula>NOT(ISERROR(SEARCH("Reenviar",B86)))</formula>
    </cfRule>
    <cfRule type="containsText" dxfId="6" priority="28" operator="containsText" text="Inserir">
      <formula>NOT(ISERROR(SEARCH("Inserir",B86)))</formula>
    </cfRule>
  </conditionalFormatting>
  <conditionalFormatting sqref="E86:E96 E102 E108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96:B113">
    <cfRule type="containsText" dxfId="5" priority="22" operator="containsText" text="Reenviar">
      <formula>NOT(ISERROR(SEARCH("Reenviar",B96)))</formula>
    </cfRule>
    <cfRule type="containsText" dxfId="4" priority="23" operator="containsText" text="Inserir">
      <formula>NOT(ISERROR(SEARCH("Inserir",B96)))</formula>
    </cfRule>
  </conditionalFormatting>
  <conditionalFormatting sqref="E97:E10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03:E10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09:E113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14">
    <cfRule type="containsText" dxfId="3" priority="10" operator="containsText" text="Reenviar">
      <formula>NOT(ISERROR(SEARCH("Reenviar",B114)))</formula>
    </cfRule>
    <cfRule type="containsText" dxfId="2" priority="11" operator="containsText" text="Inserir">
      <formula>NOT(ISERROR(SEARCH("Inserir",B114)))</formula>
    </cfRule>
  </conditionalFormatting>
  <conditionalFormatting sqref="E114:E129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15:B129">
    <cfRule type="containsText" dxfId="1" priority="1" operator="containsText" text="Reenviar">
      <formula>NOT(ISERROR(SEARCH("Reenviar",B115)))</formula>
    </cfRule>
    <cfRule type="containsText" dxfId="0" priority="2" operator="containsText" text="Inserir">
      <formula>NOT(ISERROR(SEARCH("Inserir",B115)))</formula>
    </cfRule>
  </conditionalFormatting>
  <dataValidations count="12">
    <dataValidation type="list" allowBlank="1" showInputMessage="1" showErrorMessage="1" sqref="Y5:Y54 W5:W55 W60:W61 W66:W85 W108 W91:W96 W102 Y60:Y129 W114:W129" xr:uid="{3301075B-550E-4907-A856-AE7FBFA68862}">
      <formula1>list_size</formula1>
    </dataValidation>
    <dataValidation type="list" allowBlank="1" showInputMessage="1" showErrorMessage="1" sqref="G5:G129" xr:uid="{F3EDD462-CAB6-4096-9138-038E80268201}">
      <formula1>list_servidopor</formula1>
    </dataValidation>
    <dataValidation type="list" allowBlank="1" showInputMessage="1" showErrorMessage="1" sqref="B5:B129" xr:uid="{29AC5E17-7D1C-4382-9932-53ADE6558719}">
      <formula1>"Inativar,Aguardando Material,Aguardando Correção,Manter / No Ar,Inserir,Ativar,Reenviar,Alterar Tipo de Compra, Substituir Criativo,Pausado, Atualizar"</formula1>
    </dataValidation>
    <dataValidation type="list" allowBlank="1" showInputMessage="1" showErrorMessage="1" sqref="J5:K129" xr:uid="{CF454DFB-91F9-4401-89F8-8D01E2DD81B9}">
      <formula1>list_site</formula1>
    </dataValidation>
    <dataValidation type="list" allowBlank="1" showInputMessage="1" showErrorMessage="1" sqref="L5:L129" xr:uid="{D74FCCF6-C02A-4CF9-93D1-A149F74353EA}">
      <formula1>list_submediachannel</formula1>
    </dataValidation>
    <dataValidation type="list" allowBlank="1" showInputMessage="1" showErrorMessage="1" sqref="M5:M129" xr:uid="{C2664176-F527-4B55-B433-1E2C6205AFC7}">
      <formula1>list_buyingtype</formula1>
    </dataValidation>
    <dataValidation type="list" allowBlank="1" showInputMessage="1" showErrorMessage="1" sqref="N5:N129" xr:uid="{7CAA80E5-BFB3-4DD1-BE9D-22192E29910F}">
      <formula1>list_buyingmetric</formula1>
    </dataValidation>
    <dataValidation type="list" allowBlank="1" showInputMessage="1" showErrorMessage="1" sqref="O5:O129" xr:uid="{D4EEE80F-2CD8-4552-9944-26A69F28393E}">
      <formula1>list_trackingtype</formula1>
    </dataValidation>
    <dataValidation type="list" allowBlank="1" showInputMessage="1" showErrorMessage="1" sqref="Q5:Q129" xr:uid="{4B1F7BED-A7E2-445C-807C-9324117A8B28}">
      <formula1>list_sitesection</formula1>
    </dataValidation>
    <dataValidation type="list" allowBlank="1" showInputMessage="1" showErrorMessage="1" sqref="R5:R129" xr:uid="{1D225AAC-DC24-41D6-A800-49B61341B485}">
      <formula1>list_device</formula1>
    </dataValidation>
    <dataValidation type="list" allowBlank="1" showInputMessage="1" showErrorMessage="1" sqref="I5:I129" xr:uid="{CA29CFD4-61A7-4F24-A26C-485CD545B4BA}">
      <formula1>tab_parametrizacao</formula1>
    </dataValidation>
    <dataValidation type="list" allowBlank="1" showInputMessage="1" showErrorMessage="1" sqref="S5:S129" xr:uid="{5E5A7DD8-3A99-44CD-9618-C25F476C9E8A}">
      <formula1>tab_objetivo</formula1>
    </dataValidation>
  </dataValidations>
  <hyperlinks>
    <hyperlink ref="H5" r:id="rId1" xr:uid="{6D74C13D-190D-4228-841D-1E6E164F91BF}"/>
    <hyperlink ref="H6" r:id="rId2" xr:uid="{128E38E8-901D-4A07-9B78-F1378AB0301F}"/>
    <hyperlink ref="H7" r:id="rId3" xr:uid="{58AB2B0F-5996-4B7E-9B37-91672984E7BD}"/>
    <hyperlink ref="H8" r:id="rId4" xr:uid="{DB5AAE82-7864-420C-A8AA-71CD906C6A4A}"/>
    <hyperlink ref="H9" r:id="rId5" xr:uid="{5827F0DC-B815-4535-946C-A4C1E483B373}"/>
    <hyperlink ref="H10" r:id="rId6" xr:uid="{5E772789-556D-4BEC-B104-CBBB62A70E20}"/>
    <hyperlink ref="H11" r:id="rId7" xr:uid="{778A0013-F951-4038-8703-9739B03F4F23}"/>
    <hyperlink ref="H12" r:id="rId8" xr:uid="{16146D70-C913-488B-AACE-577CDD503310}"/>
    <hyperlink ref="H13" r:id="rId9" xr:uid="{BA3BD8D7-DE9F-4AFF-B3A4-8273AF1E32A4}"/>
    <hyperlink ref="H14" r:id="rId10" xr:uid="{FFA76B34-5A85-4DD2-9732-FDA6295FD5CC}"/>
    <hyperlink ref="H15" r:id="rId11" xr:uid="{9A6A6EBE-34BD-4160-86A5-C5FFA053F137}"/>
    <hyperlink ref="H16" r:id="rId12" xr:uid="{F96EB1F1-2BC7-404C-AAA7-8F1F5FDC6235}"/>
    <hyperlink ref="H17" r:id="rId13" xr:uid="{F8D67CFF-9B1E-4E37-A5BE-40FB6A1D1420}"/>
    <hyperlink ref="H18" r:id="rId14" xr:uid="{5F93483B-3335-48E6-BE09-673D179FDFB5}"/>
    <hyperlink ref="H19" r:id="rId15" xr:uid="{85FD8ADC-78BA-4B0C-91CF-3B34080FA461}"/>
    <hyperlink ref="H20" r:id="rId16" xr:uid="{A156C86C-DC89-4D0B-887C-21055B7EAFE4}"/>
    <hyperlink ref="H21" r:id="rId17" xr:uid="{7D4409C9-826B-434F-946B-F0FE01487A2D}"/>
    <hyperlink ref="H22" r:id="rId18" xr:uid="{DD8338A2-3429-4155-9F12-F57385D36072}"/>
    <hyperlink ref="H23" r:id="rId19" xr:uid="{1D080B00-6443-4E42-BBBD-58093E151A04}"/>
    <hyperlink ref="H24" r:id="rId20" xr:uid="{5C833E48-590D-4C4F-9106-4DD3FAE8DED5}"/>
    <hyperlink ref="H25" r:id="rId21" xr:uid="{9AB8DD53-ACD6-406A-BD00-DBC7EC070F75}"/>
    <hyperlink ref="H26" r:id="rId22" xr:uid="{AAACE43B-E6D6-4B5C-A612-424934EC4D3B}"/>
    <hyperlink ref="H27" r:id="rId23" xr:uid="{6816F685-2D04-4B3C-8BBD-EAE852FD6A87}"/>
    <hyperlink ref="H28" r:id="rId24" xr:uid="{82A1C047-AF08-4E3B-9FFA-0AA5F9DF0253}"/>
    <hyperlink ref="H29" r:id="rId25" xr:uid="{9DEDFFF8-3E03-4916-A16F-20E8D336FB37}"/>
    <hyperlink ref="H30" r:id="rId26" xr:uid="{2FEAA6C3-85D2-456D-A466-B6E9CB1770DA}"/>
    <hyperlink ref="H31" r:id="rId27" xr:uid="{F00BCC2B-9E03-42A3-B699-D152474AB2A1}"/>
    <hyperlink ref="H32" r:id="rId28" xr:uid="{67CAD144-B963-4D51-A904-38EDFCA9CEB1}"/>
    <hyperlink ref="H33" r:id="rId29" xr:uid="{071247CC-E6CA-4E69-BEA6-22B48571BDEF}"/>
    <hyperlink ref="H34" r:id="rId30" xr:uid="{1A16D09C-679A-4816-AE75-60A396493C28}"/>
    <hyperlink ref="H35" r:id="rId31" xr:uid="{A8D8E1DA-DEA7-4860-8B2F-4CCFB242AE63}"/>
    <hyperlink ref="H36" r:id="rId32" xr:uid="{21D19B71-9782-487A-BBD6-A4E0CA360463}"/>
    <hyperlink ref="H37" r:id="rId33" xr:uid="{87C29D30-5D8D-4F1D-9DE7-2659C41190DD}"/>
    <hyperlink ref="H38" r:id="rId34" xr:uid="{64B76B2F-B62D-4937-A803-C873C11A08AA}"/>
    <hyperlink ref="H39" r:id="rId35" xr:uid="{667FE2B6-9B57-41EB-BAF7-23A4AD778D7B}"/>
    <hyperlink ref="H52" r:id="rId36" xr:uid="{B26FCE3D-D708-4BD6-A863-8D1E54494D06}"/>
    <hyperlink ref="H53" r:id="rId37" xr:uid="{7A17471F-833A-4740-B735-B1E7F8894959}"/>
    <hyperlink ref="H54" r:id="rId38" xr:uid="{6BD4C562-3180-4AF4-967D-6DFD3688FCB3}"/>
    <hyperlink ref="H50" r:id="rId39" xr:uid="{66DF5230-D7DA-45AD-BBFA-A6F3EF13C6CC}"/>
    <hyperlink ref="H51" r:id="rId40" xr:uid="{6C50DEC1-05F4-4FDD-968F-FFB3B3E310BB}"/>
    <hyperlink ref="H55" r:id="rId41" xr:uid="{1C7EB0FD-B1BC-410A-B1B7-3592A948C262}"/>
    <hyperlink ref="H56" r:id="rId42" xr:uid="{3AEFE37E-A308-47B1-87A3-FA914BD2E182}"/>
    <hyperlink ref="H57" r:id="rId43" xr:uid="{FA7D57C4-0C84-4BBF-8686-A38D59A708D0}"/>
    <hyperlink ref="H58" r:id="rId44" xr:uid="{A047D235-6661-473D-9BEA-34DF1E572F9C}"/>
    <hyperlink ref="H59" r:id="rId45" xr:uid="{BE768254-8F61-479C-8018-4C977CFC8FB2}"/>
    <hyperlink ref="H60" r:id="rId46" xr:uid="{62C1C365-D834-499A-A8ED-ABFDBDEABB6A}"/>
    <hyperlink ref="H61" r:id="rId47" xr:uid="{DE11EB2F-5B24-470B-BF21-CB8D28BDDEBA}"/>
    <hyperlink ref="H62" r:id="rId48" xr:uid="{9BB84FDE-895C-4F94-ADE6-EDBB35B1CF86}"/>
    <hyperlink ref="H63" r:id="rId49" xr:uid="{0C46E65F-36EE-4F64-9EBF-291497CD3651}"/>
    <hyperlink ref="H64" r:id="rId50" xr:uid="{9228841B-8091-4A4D-A020-881B2BDF114A}"/>
    <hyperlink ref="H65" r:id="rId51" xr:uid="{7A5136C9-7296-4D0A-B246-ABEED2A5198F}"/>
    <hyperlink ref="H66" r:id="rId52" xr:uid="{0952C5B7-C737-40F1-AF1B-9AB3E6B87F48}"/>
    <hyperlink ref="H67" r:id="rId53" xr:uid="{E221C755-6EB9-449E-BC68-0DF7C3019A6C}"/>
    <hyperlink ref="H68" r:id="rId54" xr:uid="{471E0CA6-9C91-4106-91B7-690C387C345B}"/>
    <hyperlink ref="H69" r:id="rId55" xr:uid="{139FEBC5-A9AE-4146-90F3-74E2E1EDABBA}"/>
    <hyperlink ref="H70" r:id="rId56" xr:uid="{DF94733B-8B01-4E6C-AA56-8E4E1FEEB9FA}"/>
    <hyperlink ref="H71" r:id="rId57" xr:uid="{9C419751-5C58-4869-B789-348C357791E3}"/>
    <hyperlink ref="H40" r:id="rId58" xr:uid="{8E6DF64D-E3D5-4D81-B00F-9DC67304A28E}"/>
    <hyperlink ref="H41" r:id="rId59" xr:uid="{DB0DD3E7-8BC4-43CE-90E8-C6324A683EBD}"/>
    <hyperlink ref="H42" r:id="rId60" xr:uid="{DBDBFC53-CBB0-432D-9366-1220CB08C214}"/>
    <hyperlink ref="H43" r:id="rId61" xr:uid="{6A64CA9F-E2D8-4F54-A8FF-27326152C704}"/>
    <hyperlink ref="H44" r:id="rId62" xr:uid="{9F3B126A-4CD6-4866-80CB-7B9B6CC0DA8E}"/>
    <hyperlink ref="H45" r:id="rId63" xr:uid="{11046827-6A80-4F49-B5DE-A27007569DD7}"/>
    <hyperlink ref="H46" r:id="rId64" xr:uid="{EFA8E659-DF69-4823-A411-FA1F49F4E935}"/>
    <hyperlink ref="H47" r:id="rId65" xr:uid="{59013001-3311-4DC6-8E0B-392AA3841499}"/>
    <hyperlink ref="H48" r:id="rId66" xr:uid="{F125B608-8DB3-4A32-A8F1-7915FBCD3C80}"/>
    <hyperlink ref="H49" r:id="rId67" xr:uid="{2F1679CE-AA1C-4CB4-82AB-7E1A5131F1B5}"/>
  </hyperlinks>
  <pageMargins left="0.511811024" right="0.511811024" top="0.78740157499999996" bottom="0.78740157499999996" header="0.31496062000000002" footer="0.31496062000000002"/>
  <pageSetup paperSize="9" scale="10" orientation="portrait" r:id="rId68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BB3F4-D4B0-4F9A-BBC5-F9706AC74868}">
  <sheetPr codeName="Planilha4"/>
  <dimension ref="A1:B80"/>
  <sheetViews>
    <sheetView showGridLine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255.7109375" bestFit="1" customWidth="1"/>
    <col min="2" max="2" width="10" bestFit="1" customWidth="1"/>
  </cols>
  <sheetData>
    <row r="1" spans="1:2" x14ac:dyDescent="0.25">
      <c r="A1" s="29" t="s">
        <v>324</v>
      </c>
      <c r="B1" s="29" t="s">
        <v>781</v>
      </c>
    </row>
    <row r="2" spans="1:2" x14ac:dyDescent="0.25">
      <c r="A2" s="36" t="s">
        <v>983</v>
      </c>
      <c r="B2" s="36" t="s">
        <v>978</v>
      </c>
    </row>
    <row r="3" spans="1:2" x14ac:dyDescent="0.25">
      <c r="A3" s="36" t="s">
        <v>984</v>
      </c>
      <c r="B3" s="36" t="s">
        <v>979</v>
      </c>
    </row>
    <row r="4" spans="1:2" x14ac:dyDescent="0.25">
      <c r="A4" s="36" t="s">
        <v>985</v>
      </c>
      <c r="B4" s="36" t="s">
        <v>980</v>
      </c>
    </row>
    <row r="5" spans="1:2" x14ac:dyDescent="0.25">
      <c r="A5" s="36" t="s">
        <v>986</v>
      </c>
      <c r="B5" s="36" t="s">
        <v>981</v>
      </c>
    </row>
    <row r="6" spans="1:2" x14ac:dyDescent="0.25">
      <c r="A6" s="36" t="s">
        <v>987</v>
      </c>
      <c r="B6" s="36" t="s">
        <v>982</v>
      </c>
    </row>
    <row r="7" spans="1:2" x14ac:dyDescent="0.25">
      <c r="A7" s="36" t="s">
        <v>988</v>
      </c>
      <c r="B7" s="36" t="s">
        <v>989</v>
      </c>
    </row>
    <row r="8" spans="1:2" x14ac:dyDescent="0.25">
      <c r="A8" s="36" t="s">
        <v>990</v>
      </c>
      <c r="B8" s="36" t="s">
        <v>992</v>
      </c>
    </row>
    <row r="9" spans="1:2" x14ac:dyDescent="0.25">
      <c r="A9" s="36" t="s">
        <v>991</v>
      </c>
      <c r="B9" s="36" t="s">
        <v>993</v>
      </c>
    </row>
    <row r="10" spans="1:2" x14ac:dyDescent="0.25">
      <c r="A10" s="36" t="s">
        <v>1113</v>
      </c>
      <c r="B10" s="36" t="s">
        <v>1137</v>
      </c>
    </row>
    <row r="11" spans="1:2" x14ac:dyDescent="0.25">
      <c r="A11" s="36" t="s">
        <v>1114</v>
      </c>
      <c r="B11" s="36" t="s">
        <v>1138</v>
      </c>
    </row>
    <row r="12" spans="1:2" x14ac:dyDescent="0.25">
      <c r="A12" s="36" t="s">
        <v>1115</v>
      </c>
      <c r="B12" s="36" t="s">
        <v>1139</v>
      </c>
    </row>
    <row r="13" spans="1:2" x14ac:dyDescent="0.25">
      <c r="A13" s="36" t="s">
        <v>1116</v>
      </c>
      <c r="B13" s="36" t="s">
        <v>1140</v>
      </c>
    </row>
    <row r="14" spans="1:2" x14ac:dyDescent="0.25">
      <c r="A14" s="36" t="s">
        <v>1117</v>
      </c>
      <c r="B14" s="36" t="s">
        <v>1141</v>
      </c>
    </row>
    <row r="15" spans="1:2" x14ac:dyDescent="0.25">
      <c r="A15" s="36" t="s">
        <v>1118</v>
      </c>
      <c r="B15" s="36" t="s">
        <v>1142</v>
      </c>
    </row>
    <row r="16" spans="1:2" x14ac:dyDescent="0.25">
      <c r="A16" s="36" t="s">
        <v>1119</v>
      </c>
      <c r="B16" s="36" t="s">
        <v>1143</v>
      </c>
    </row>
    <row r="17" spans="1:2" x14ac:dyDescent="0.25">
      <c r="A17" s="36" t="s">
        <v>1120</v>
      </c>
      <c r="B17" s="36" t="s">
        <v>1144</v>
      </c>
    </row>
    <row r="18" spans="1:2" x14ac:dyDescent="0.25">
      <c r="A18" s="36" t="s">
        <v>1121</v>
      </c>
      <c r="B18" s="36" t="s">
        <v>1145</v>
      </c>
    </row>
    <row r="19" spans="1:2" x14ac:dyDescent="0.25">
      <c r="A19" s="36" t="s">
        <v>1122</v>
      </c>
      <c r="B19" s="36" t="s">
        <v>1146</v>
      </c>
    </row>
    <row r="20" spans="1:2" x14ac:dyDescent="0.25">
      <c r="A20" s="36" t="s">
        <v>1123</v>
      </c>
      <c r="B20" s="36" t="s">
        <v>1147</v>
      </c>
    </row>
    <row r="21" spans="1:2" x14ac:dyDescent="0.25">
      <c r="A21" s="36" t="s">
        <v>1124</v>
      </c>
      <c r="B21" s="36" t="s">
        <v>1148</v>
      </c>
    </row>
    <row r="22" spans="1:2" x14ac:dyDescent="0.25">
      <c r="A22" s="36" t="s">
        <v>1125</v>
      </c>
      <c r="B22" s="36" t="s">
        <v>1149</v>
      </c>
    </row>
    <row r="23" spans="1:2" x14ac:dyDescent="0.25">
      <c r="A23" s="36" t="s">
        <v>1126</v>
      </c>
      <c r="B23" s="36" t="s">
        <v>1150</v>
      </c>
    </row>
    <row r="24" spans="1:2" x14ac:dyDescent="0.25">
      <c r="A24" s="36" t="s">
        <v>1127</v>
      </c>
      <c r="B24" s="36" t="s">
        <v>1151</v>
      </c>
    </row>
    <row r="25" spans="1:2" x14ac:dyDescent="0.25">
      <c r="A25" s="36" t="s">
        <v>1128</v>
      </c>
      <c r="B25" s="36" t="s">
        <v>1152</v>
      </c>
    </row>
    <row r="26" spans="1:2" x14ac:dyDescent="0.25">
      <c r="A26" s="36" t="s">
        <v>1129</v>
      </c>
      <c r="B26" s="36" t="s">
        <v>1153</v>
      </c>
    </row>
    <row r="27" spans="1:2" x14ac:dyDescent="0.25">
      <c r="A27" s="36" t="s">
        <v>1130</v>
      </c>
      <c r="B27" s="36" t="s">
        <v>1154</v>
      </c>
    </row>
    <row r="28" spans="1:2" x14ac:dyDescent="0.25">
      <c r="A28" s="36" t="s">
        <v>1131</v>
      </c>
      <c r="B28" s="36" t="s">
        <v>1155</v>
      </c>
    </row>
    <row r="29" spans="1:2" x14ac:dyDescent="0.25">
      <c r="A29" s="36" t="s">
        <v>1132</v>
      </c>
      <c r="B29" s="36" t="s">
        <v>1156</v>
      </c>
    </row>
    <row r="30" spans="1:2" x14ac:dyDescent="0.25">
      <c r="A30" s="36" t="s">
        <v>1133</v>
      </c>
      <c r="B30" s="36" t="s">
        <v>1157</v>
      </c>
    </row>
    <row r="31" spans="1:2" x14ac:dyDescent="0.25">
      <c r="A31" s="36" t="s">
        <v>1134</v>
      </c>
      <c r="B31" s="36" t="s">
        <v>1158</v>
      </c>
    </row>
    <row r="32" spans="1:2" x14ac:dyDescent="0.25">
      <c r="A32" s="36" t="s">
        <v>1135</v>
      </c>
      <c r="B32" s="36" t="s">
        <v>1159</v>
      </c>
    </row>
    <row r="33" spans="1:2" x14ac:dyDescent="0.25">
      <c r="A33" s="36" t="s">
        <v>1136</v>
      </c>
      <c r="B33" s="36" t="s">
        <v>1160</v>
      </c>
    </row>
    <row r="34" spans="1:2" x14ac:dyDescent="0.25">
      <c r="A34" s="36" t="s">
        <v>1183</v>
      </c>
      <c r="B34" s="36" t="s">
        <v>1173</v>
      </c>
    </row>
    <row r="35" spans="1:2" x14ac:dyDescent="0.25">
      <c r="A35" s="36" t="s">
        <v>1184</v>
      </c>
      <c r="B35" s="36" t="s">
        <v>1174</v>
      </c>
    </row>
    <row r="36" spans="1:2" x14ac:dyDescent="0.25">
      <c r="A36" s="36" t="s">
        <v>1185</v>
      </c>
      <c r="B36" s="36" t="s">
        <v>1175</v>
      </c>
    </row>
    <row r="37" spans="1:2" x14ac:dyDescent="0.25">
      <c r="A37" s="36" t="s">
        <v>1186</v>
      </c>
      <c r="B37" s="36" t="s">
        <v>1176</v>
      </c>
    </row>
    <row r="38" spans="1:2" x14ac:dyDescent="0.25">
      <c r="A38" s="36" t="s">
        <v>1187</v>
      </c>
      <c r="B38" s="36" t="s">
        <v>1177</v>
      </c>
    </row>
    <row r="39" spans="1:2" x14ac:dyDescent="0.25">
      <c r="A39" s="36" t="s">
        <v>1188</v>
      </c>
      <c r="B39" s="36" t="s">
        <v>1178</v>
      </c>
    </row>
    <row r="40" spans="1:2" x14ac:dyDescent="0.25">
      <c r="A40" s="36" t="s">
        <v>1189</v>
      </c>
      <c r="B40" s="36" t="s">
        <v>1179</v>
      </c>
    </row>
    <row r="41" spans="1:2" x14ac:dyDescent="0.25">
      <c r="A41" s="36" t="s">
        <v>1190</v>
      </c>
      <c r="B41" s="36" t="s">
        <v>1180</v>
      </c>
    </row>
    <row r="42" spans="1:2" x14ac:dyDescent="0.25">
      <c r="A42" s="36" t="s">
        <v>1191</v>
      </c>
      <c r="B42" s="36" t="s">
        <v>1181</v>
      </c>
    </row>
    <row r="43" spans="1:2" x14ac:dyDescent="0.25">
      <c r="A43" s="36" t="s">
        <v>1192</v>
      </c>
      <c r="B43" s="36" t="s">
        <v>1182</v>
      </c>
    </row>
    <row r="44" spans="1:2" x14ac:dyDescent="0.25">
      <c r="A44" s="36" t="s">
        <v>1215</v>
      </c>
      <c r="B44" s="36" t="s">
        <v>1200</v>
      </c>
    </row>
    <row r="45" spans="1:2" x14ac:dyDescent="0.25">
      <c r="A45" s="36" t="s">
        <v>1216</v>
      </c>
      <c r="B45" s="36" t="s">
        <v>1201</v>
      </c>
    </row>
    <row r="46" spans="1:2" x14ac:dyDescent="0.25">
      <c r="A46" s="36" t="s">
        <v>1217</v>
      </c>
      <c r="B46" s="36" t="s">
        <v>1202</v>
      </c>
    </row>
    <row r="47" spans="1:2" x14ac:dyDescent="0.25">
      <c r="A47" s="36" t="s">
        <v>1218</v>
      </c>
      <c r="B47" s="36" t="s">
        <v>1203</v>
      </c>
    </row>
    <row r="48" spans="1:2" x14ac:dyDescent="0.25">
      <c r="A48" s="36" t="s">
        <v>1219</v>
      </c>
      <c r="B48" s="36" t="s">
        <v>1204</v>
      </c>
    </row>
    <row r="49" spans="1:2" x14ac:dyDescent="0.25">
      <c r="A49" s="36" t="s">
        <v>1220</v>
      </c>
      <c r="B49" s="36" t="s">
        <v>1205</v>
      </c>
    </row>
    <row r="50" spans="1:2" x14ac:dyDescent="0.25">
      <c r="A50" s="36" t="s">
        <v>1221</v>
      </c>
      <c r="B50" s="36" t="s">
        <v>1206</v>
      </c>
    </row>
    <row r="51" spans="1:2" x14ac:dyDescent="0.25">
      <c r="A51" s="36" t="s">
        <v>1222</v>
      </c>
      <c r="B51" s="36" t="s">
        <v>1207</v>
      </c>
    </row>
    <row r="52" spans="1:2" x14ac:dyDescent="0.25">
      <c r="A52" s="36" t="s">
        <v>1223</v>
      </c>
      <c r="B52" s="36" t="s">
        <v>1208</v>
      </c>
    </row>
    <row r="53" spans="1:2" x14ac:dyDescent="0.25">
      <c r="A53" s="36" t="s">
        <v>1224</v>
      </c>
      <c r="B53" s="36" t="s">
        <v>1209</v>
      </c>
    </row>
    <row r="54" spans="1:2" x14ac:dyDescent="0.25">
      <c r="A54" s="36" t="s">
        <v>1225</v>
      </c>
      <c r="B54" s="36" t="s">
        <v>1210</v>
      </c>
    </row>
    <row r="55" spans="1:2" x14ac:dyDescent="0.25">
      <c r="A55" s="36" t="s">
        <v>1226</v>
      </c>
      <c r="B55" s="36" t="s">
        <v>1211</v>
      </c>
    </row>
    <row r="56" spans="1:2" x14ac:dyDescent="0.25">
      <c r="A56" s="36" t="s">
        <v>1227</v>
      </c>
      <c r="B56" s="36" t="s">
        <v>1212</v>
      </c>
    </row>
    <row r="57" spans="1:2" x14ac:dyDescent="0.25">
      <c r="A57" s="36" t="s">
        <v>1228</v>
      </c>
      <c r="B57" s="36" t="s">
        <v>1213</v>
      </c>
    </row>
    <row r="58" spans="1:2" x14ac:dyDescent="0.25">
      <c r="A58" s="36" t="s">
        <v>1229</v>
      </c>
      <c r="B58" s="36" t="s">
        <v>1214</v>
      </c>
    </row>
    <row r="59" spans="1:2" x14ac:dyDescent="0.25">
      <c r="A59" s="36" t="s">
        <v>1240</v>
      </c>
      <c r="B59" s="36" t="s">
        <v>1230</v>
      </c>
    </row>
    <row r="60" spans="1:2" x14ac:dyDescent="0.25">
      <c r="A60" s="36" t="s">
        <v>1241</v>
      </c>
      <c r="B60" s="36" t="s">
        <v>1231</v>
      </c>
    </row>
    <row r="61" spans="1:2" x14ac:dyDescent="0.25">
      <c r="A61" s="36" t="s">
        <v>1242</v>
      </c>
      <c r="B61" s="36" t="s">
        <v>1232</v>
      </c>
    </row>
    <row r="62" spans="1:2" x14ac:dyDescent="0.25">
      <c r="A62" s="36" t="s">
        <v>1243</v>
      </c>
      <c r="B62" s="36" t="s">
        <v>1233</v>
      </c>
    </row>
    <row r="63" spans="1:2" x14ac:dyDescent="0.25">
      <c r="A63" s="36" t="s">
        <v>1244</v>
      </c>
      <c r="B63" s="36" t="s">
        <v>1234</v>
      </c>
    </row>
    <row r="64" spans="1:2" x14ac:dyDescent="0.25">
      <c r="A64" s="36" t="s">
        <v>1245</v>
      </c>
      <c r="B64" s="36" t="s">
        <v>1235</v>
      </c>
    </row>
    <row r="65" spans="1:2" x14ac:dyDescent="0.25">
      <c r="A65" s="36" t="s">
        <v>1246</v>
      </c>
      <c r="B65" s="36" t="s">
        <v>1236</v>
      </c>
    </row>
    <row r="66" spans="1:2" x14ac:dyDescent="0.25">
      <c r="A66" s="36" t="s">
        <v>1247</v>
      </c>
      <c r="B66" s="36" t="s">
        <v>1237</v>
      </c>
    </row>
    <row r="67" spans="1:2" x14ac:dyDescent="0.25">
      <c r="A67" s="36" t="s">
        <v>1248</v>
      </c>
      <c r="B67" s="36" t="s">
        <v>1238</v>
      </c>
    </row>
    <row r="68" spans="1:2" x14ac:dyDescent="0.25">
      <c r="A68" s="36" t="s">
        <v>1249</v>
      </c>
      <c r="B68" s="36" t="s">
        <v>1239</v>
      </c>
    </row>
    <row r="69" spans="1:2" x14ac:dyDescent="0.25">
      <c r="A69" s="36" t="s">
        <v>1253</v>
      </c>
      <c r="B69" s="36" t="s">
        <v>1265</v>
      </c>
    </row>
    <row r="70" spans="1:2" x14ac:dyDescent="0.25">
      <c r="A70" s="36" t="s">
        <v>1254</v>
      </c>
      <c r="B70" s="36" t="s">
        <v>1266</v>
      </c>
    </row>
    <row r="71" spans="1:2" x14ac:dyDescent="0.25">
      <c r="A71" s="36" t="s">
        <v>1255</v>
      </c>
      <c r="B71" s="36" t="s">
        <v>1267</v>
      </c>
    </row>
    <row r="72" spans="1:2" x14ac:dyDescent="0.25">
      <c r="A72" s="36" t="s">
        <v>1256</v>
      </c>
      <c r="B72" s="36" t="s">
        <v>1268</v>
      </c>
    </row>
    <row r="73" spans="1:2" x14ac:dyDescent="0.25">
      <c r="A73" s="36" t="s">
        <v>1257</v>
      </c>
      <c r="B73" s="36" t="s">
        <v>1269</v>
      </c>
    </row>
    <row r="74" spans="1:2" x14ac:dyDescent="0.25">
      <c r="A74" s="36" t="s">
        <v>1258</v>
      </c>
      <c r="B74" s="36" t="s">
        <v>1270</v>
      </c>
    </row>
    <row r="75" spans="1:2" x14ac:dyDescent="0.25">
      <c r="A75" s="36" t="s">
        <v>1259</v>
      </c>
      <c r="B75" s="36" t="s">
        <v>1271</v>
      </c>
    </row>
    <row r="76" spans="1:2" x14ac:dyDescent="0.25">
      <c r="A76" s="36" t="s">
        <v>1260</v>
      </c>
      <c r="B76" s="36" t="s">
        <v>1272</v>
      </c>
    </row>
    <row r="77" spans="1:2" x14ac:dyDescent="0.25">
      <c r="A77" s="36" t="s">
        <v>1261</v>
      </c>
      <c r="B77" s="36" t="s">
        <v>1273</v>
      </c>
    </row>
    <row r="78" spans="1:2" x14ac:dyDescent="0.25">
      <c r="A78" s="36" t="s">
        <v>1262</v>
      </c>
      <c r="B78" s="36" t="s">
        <v>1274</v>
      </c>
    </row>
    <row r="79" spans="1:2" x14ac:dyDescent="0.25">
      <c r="A79" s="36" t="s">
        <v>1263</v>
      </c>
      <c r="B79" s="36" t="s">
        <v>1275</v>
      </c>
    </row>
    <row r="80" spans="1:2" x14ac:dyDescent="0.25">
      <c r="A80" s="36" t="s">
        <v>1264</v>
      </c>
      <c r="B80" s="36" t="s">
        <v>1276</v>
      </c>
    </row>
  </sheetData>
  <autoFilter ref="A1:B1" xr:uid="{0AE3F5B7-D8C6-4C44-AF77-14A7E664A626}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47993C-CAA6-442B-8D41-ECF6A499FBAE}">
  <sheetPr codeName="Planilha5"/>
  <dimension ref="A1:B54"/>
  <sheetViews>
    <sheetView showGridLines="0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172.7109375" bestFit="1" customWidth="1"/>
    <col min="2" max="2" width="255.140625" bestFit="1" customWidth="1"/>
  </cols>
  <sheetData>
    <row r="1" spans="1:2" x14ac:dyDescent="0.25">
      <c r="A1" s="29" t="s">
        <v>324</v>
      </c>
      <c r="B1" s="29" t="s">
        <v>723</v>
      </c>
    </row>
    <row r="2" spans="1:2" x14ac:dyDescent="0.25">
      <c r="A2" s="36" t="s">
        <v>963</v>
      </c>
      <c r="B2" s="36" t="s">
        <v>948</v>
      </c>
    </row>
    <row r="3" spans="1:2" x14ac:dyDescent="0.25">
      <c r="A3" s="36" t="s">
        <v>964</v>
      </c>
      <c r="B3" s="36" t="s">
        <v>949</v>
      </c>
    </row>
    <row r="4" spans="1:2" x14ac:dyDescent="0.25">
      <c r="A4" s="36" t="s">
        <v>965</v>
      </c>
      <c r="B4" s="36" t="s">
        <v>950</v>
      </c>
    </row>
    <row r="5" spans="1:2" x14ac:dyDescent="0.25">
      <c r="A5" s="36" t="s">
        <v>966</v>
      </c>
      <c r="B5" s="36" t="s">
        <v>951</v>
      </c>
    </row>
    <row r="6" spans="1:2" x14ac:dyDescent="0.25">
      <c r="A6" s="36" t="s">
        <v>967</v>
      </c>
      <c r="B6" s="36" t="s">
        <v>952</v>
      </c>
    </row>
    <row r="7" spans="1:2" x14ac:dyDescent="0.25">
      <c r="A7" s="36" t="s">
        <v>968</v>
      </c>
      <c r="B7" s="36" t="s">
        <v>953</v>
      </c>
    </row>
    <row r="8" spans="1:2" x14ac:dyDescent="0.25">
      <c r="A8" s="36" t="s">
        <v>969</v>
      </c>
      <c r="B8" s="36" t="s">
        <v>954</v>
      </c>
    </row>
    <row r="9" spans="1:2" x14ac:dyDescent="0.25">
      <c r="A9" s="36" t="s">
        <v>970</v>
      </c>
      <c r="B9" s="36" t="s">
        <v>955</v>
      </c>
    </row>
    <row r="10" spans="1:2" x14ac:dyDescent="0.25">
      <c r="A10" s="36" t="s">
        <v>971</v>
      </c>
      <c r="B10" s="36" t="s">
        <v>956</v>
      </c>
    </row>
    <row r="11" spans="1:2" x14ac:dyDescent="0.25">
      <c r="A11" s="36" t="s">
        <v>972</v>
      </c>
      <c r="B11" s="36" t="s">
        <v>957</v>
      </c>
    </row>
    <row r="12" spans="1:2" x14ac:dyDescent="0.25">
      <c r="A12" s="36" t="s">
        <v>973</v>
      </c>
      <c r="B12" s="36" t="s">
        <v>958</v>
      </c>
    </row>
    <row r="13" spans="1:2" x14ac:dyDescent="0.25">
      <c r="A13" s="36" t="s">
        <v>974</v>
      </c>
      <c r="B13" s="36" t="s">
        <v>959</v>
      </c>
    </row>
    <row r="14" spans="1:2" x14ac:dyDescent="0.25">
      <c r="A14" s="36" t="s">
        <v>975</v>
      </c>
      <c r="B14" s="36" t="s">
        <v>960</v>
      </c>
    </row>
    <row r="15" spans="1:2" x14ac:dyDescent="0.25">
      <c r="A15" s="36" t="s">
        <v>976</v>
      </c>
      <c r="B15" s="36" t="s">
        <v>961</v>
      </c>
    </row>
    <row r="16" spans="1:2" x14ac:dyDescent="0.25">
      <c r="A16" s="36" t="s">
        <v>977</v>
      </c>
      <c r="B16" s="36" t="s">
        <v>962</v>
      </c>
    </row>
    <row r="17" spans="1:2" x14ac:dyDescent="0.25">
      <c r="A17" s="36" t="s">
        <v>1003</v>
      </c>
      <c r="B17" s="36" t="s">
        <v>1001</v>
      </c>
    </row>
    <row r="18" spans="1:2" x14ac:dyDescent="0.25">
      <c r="A18" s="36" t="s">
        <v>1004</v>
      </c>
      <c r="B18" s="36" t="s">
        <v>1002</v>
      </c>
    </row>
    <row r="19" spans="1:2" x14ac:dyDescent="0.25">
      <c r="A19" s="36" t="s">
        <v>1010</v>
      </c>
      <c r="B19" s="36" t="s">
        <v>1028</v>
      </c>
    </row>
    <row r="20" spans="1:2" x14ac:dyDescent="0.25">
      <c r="A20" s="36" t="s">
        <v>1011</v>
      </c>
      <c r="B20" s="36" t="s">
        <v>1029</v>
      </c>
    </row>
    <row r="21" spans="1:2" x14ac:dyDescent="0.25">
      <c r="A21" s="36" t="s">
        <v>1012</v>
      </c>
      <c r="B21" s="36" t="s">
        <v>1030</v>
      </c>
    </row>
    <row r="22" spans="1:2" x14ac:dyDescent="0.25">
      <c r="A22" s="36" t="s">
        <v>1013</v>
      </c>
      <c r="B22" s="36" t="s">
        <v>1031</v>
      </c>
    </row>
    <row r="23" spans="1:2" x14ac:dyDescent="0.25">
      <c r="A23" s="36" t="s">
        <v>1014</v>
      </c>
      <c r="B23" s="36" t="s">
        <v>1032</v>
      </c>
    </row>
    <row r="24" spans="1:2" x14ac:dyDescent="0.25">
      <c r="A24" s="36" t="s">
        <v>1015</v>
      </c>
      <c r="B24" s="36" t="s">
        <v>1033</v>
      </c>
    </row>
    <row r="25" spans="1:2" x14ac:dyDescent="0.25">
      <c r="A25" s="36" t="s">
        <v>1016</v>
      </c>
      <c r="B25" s="36" t="s">
        <v>1034</v>
      </c>
    </row>
    <row r="26" spans="1:2" x14ac:dyDescent="0.25">
      <c r="A26" s="36" t="s">
        <v>1017</v>
      </c>
      <c r="B26" s="36" t="s">
        <v>1035</v>
      </c>
    </row>
    <row r="27" spans="1:2" x14ac:dyDescent="0.25">
      <c r="A27" s="36" t="s">
        <v>1018</v>
      </c>
      <c r="B27" s="36" t="s">
        <v>1036</v>
      </c>
    </row>
    <row r="28" spans="1:2" x14ac:dyDescent="0.25">
      <c r="A28" s="36" t="s">
        <v>1019</v>
      </c>
      <c r="B28" s="36" t="s">
        <v>1037</v>
      </c>
    </row>
    <row r="29" spans="1:2" x14ac:dyDescent="0.25">
      <c r="A29" s="36" t="s">
        <v>1020</v>
      </c>
      <c r="B29" s="36" t="s">
        <v>1038</v>
      </c>
    </row>
    <row r="30" spans="1:2" x14ac:dyDescent="0.25">
      <c r="A30" s="36" t="s">
        <v>1021</v>
      </c>
      <c r="B30" s="36" t="s">
        <v>1039</v>
      </c>
    </row>
    <row r="31" spans="1:2" x14ac:dyDescent="0.25">
      <c r="A31" s="36" t="s">
        <v>1022</v>
      </c>
      <c r="B31" s="36" t="s">
        <v>1040</v>
      </c>
    </row>
    <row r="32" spans="1:2" x14ac:dyDescent="0.25">
      <c r="A32" s="36" t="s">
        <v>1023</v>
      </c>
      <c r="B32" s="36" t="s">
        <v>1041</v>
      </c>
    </row>
    <row r="33" spans="1:2" x14ac:dyDescent="0.25">
      <c r="A33" s="36" t="s">
        <v>1024</v>
      </c>
      <c r="B33" s="36" t="s">
        <v>1042</v>
      </c>
    </row>
    <row r="34" spans="1:2" x14ac:dyDescent="0.25">
      <c r="A34" s="36" t="s">
        <v>1025</v>
      </c>
      <c r="B34" s="36" t="s">
        <v>1043</v>
      </c>
    </row>
    <row r="35" spans="1:2" x14ac:dyDescent="0.25">
      <c r="A35" s="36" t="s">
        <v>1026</v>
      </c>
      <c r="B35" s="36" t="s">
        <v>1044</v>
      </c>
    </row>
    <row r="36" spans="1:2" x14ac:dyDescent="0.25">
      <c r="A36" s="36" t="s">
        <v>1027</v>
      </c>
      <c r="B36" s="36" t="s">
        <v>1045</v>
      </c>
    </row>
    <row r="37" spans="1:2" x14ac:dyDescent="0.25">
      <c r="A37" s="36" t="s">
        <v>1098</v>
      </c>
      <c r="B37" s="36" t="s">
        <v>1084</v>
      </c>
    </row>
    <row r="38" spans="1:2" x14ac:dyDescent="0.25">
      <c r="A38" s="36" t="s">
        <v>1099</v>
      </c>
      <c r="B38" s="36" t="s">
        <v>1085</v>
      </c>
    </row>
    <row r="39" spans="1:2" x14ac:dyDescent="0.25">
      <c r="A39" s="36" t="s">
        <v>1100</v>
      </c>
      <c r="B39" s="36" t="s">
        <v>1086</v>
      </c>
    </row>
    <row r="40" spans="1:2" x14ac:dyDescent="0.25">
      <c r="A40" s="36" t="s">
        <v>1101</v>
      </c>
      <c r="B40" s="36" t="s">
        <v>1087</v>
      </c>
    </row>
    <row r="41" spans="1:2" x14ac:dyDescent="0.25">
      <c r="A41" s="36" t="s">
        <v>1102</v>
      </c>
      <c r="B41" s="36" t="s">
        <v>1088</v>
      </c>
    </row>
    <row r="42" spans="1:2" x14ac:dyDescent="0.25">
      <c r="A42" s="36" t="s">
        <v>1103</v>
      </c>
      <c r="B42" s="36" t="s">
        <v>1089</v>
      </c>
    </row>
    <row r="43" spans="1:2" x14ac:dyDescent="0.25">
      <c r="A43" s="36" t="s">
        <v>1104</v>
      </c>
      <c r="B43" s="36" t="s">
        <v>1090</v>
      </c>
    </row>
    <row r="44" spans="1:2" x14ac:dyDescent="0.25">
      <c r="A44" s="36" t="s">
        <v>1105</v>
      </c>
      <c r="B44" s="36" t="s">
        <v>1091</v>
      </c>
    </row>
    <row r="45" spans="1:2" x14ac:dyDescent="0.25">
      <c r="A45" s="36" t="s">
        <v>1106</v>
      </c>
      <c r="B45" s="36" t="s">
        <v>1092</v>
      </c>
    </row>
    <row r="46" spans="1:2" x14ac:dyDescent="0.25">
      <c r="A46" s="36" t="s">
        <v>1107</v>
      </c>
      <c r="B46" s="36" t="s">
        <v>1093</v>
      </c>
    </row>
    <row r="47" spans="1:2" x14ac:dyDescent="0.25">
      <c r="A47" s="36" t="s">
        <v>1108</v>
      </c>
      <c r="B47" s="36" t="s">
        <v>1094</v>
      </c>
    </row>
    <row r="48" spans="1:2" x14ac:dyDescent="0.25">
      <c r="A48" s="36" t="s">
        <v>1109</v>
      </c>
      <c r="B48" s="36" t="s">
        <v>1095</v>
      </c>
    </row>
    <row r="49" spans="1:2" x14ac:dyDescent="0.25">
      <c r="A49" s="36" t="s">
        <v>1110</v>
      </c>
      <c r="B49" s="36" t="s">
        <v>1096</v>
      </c>
    </row>
    <row r="50" spans="1:2" x14ac:dyDescent="0.25">
      <c r="A50" s="36" t="s">
        <v>1111</v>
      </c>
      <c r="B50" s="36" t="s">
        <v>1097</v>
      </c>
    </row>
    <row r="51" spans="1:2" x14ac:dyDescent="0.25">
      <c r="A51" s="36" t="s">
        <v>1277</v>
      </c>
      <c r="B51" s="36" t="s">
        <v>1281</v>
      </c>
    </row>
    <row r="52" spans="1:2" x14ac:dyDescent="0.25">
      <c r="A52" s="36" t="s">
        <v>1278</v>
      </c>
      <c r="B52" s="36" t="s">
        <v>1282</v>
      </c>
    </row>
    <row r="53" spans="1:2" x14ac:dyDescent="0.25">
      <c r="A53" s="36" t="s">
        <v>1279</v>
      </c>
      <c r="B53" s="36" t="s">
        <v>1283</v>
      </c>
    </row>
    <row r="54" spans="1:2" x14ac:dyDescent="0.25">
      <c r="A54" s="36" t="s">
        <v>1280</v>
      </c>
      <c r="B54" s="36" t="s">
        <v>1284</v>
      </c>
    </row>
  </sheetData>
  <autoFilter ref="A1:B1" xr:uid="{0AE3F5B7-D8C6-4C44-AF77-14A7E664A626}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2ACF48-C95C-4CBC-A17F-364DFD37B8D9}">
  <sheetPr codeName="Planilha3"/>
  <dimension ref="B1:CB272"/>
  <sheetViews>
    <sheetView showGridLines="0" topLeftCell="AR1" workbookViewId="0">
      <selection activeCell="BF272" sqref="BF272"/>
    </sheetView>
  </sheetViews>
  <sheetFormatPr defaultRowHeight="15" x14ac:dyDescent="0.25"/>
  <cols>
    <col min="1" max="1" width="3.42578125" customWidth="1"/>
    <col min="2" max="2" width="11.7109375" bestFit="1" customWidth="1"/>
    <col min="3" max="3" width="4.140625" bestFit="1" customWidth="1"/>
    <col min="4" max="4" width="5" customWidth="1"/>
    <col min="5" max="5" width="13.42578125" bestFit="1" customWidth="1"/>
    <col min="6" max="6" width="5" bestFit="1" customWidth="1"/>
    <col min="7" max="7" width="4.140625" customWidth="1"/>
    <col min="8" max="8" width="13.42578125" bestFit="1" customWidth="1"/>
    <col min="9" max="9" width="6" bestFit="1" customWidth="1"/>
    <col min="10" max="10" width="4.85546875" customWidth="1"/>
    <col min="11" max="11" width="13.5703125" customWidth="1"/>
    <col min="12" max="12" width="8" customWidth="1"/>
    <col min="13" max="13" width="2" bestFit="1" customWidth="1"/>
    <col min="14" max="14" width="6.140625" customWidth="1"/>
    <col min="15" max="15" width="14.5703125" bestFit="1" customWidth="1"/>
    <col min="16" max="16" width="7.5703125" bestFit="1" customWidth="1"/>
    <col min="17" max="17" width="5.85546875" customWidth="1"/>
    <col min="18" max="18" width="15.42578125" bestFit="1" customWidth="1"/>
    <col min="19" max="19" width="3.85546875" bestFit="1" customWidth="1"/>
    <col min="20" max="20" width="5.7109375" customWidth="1"/>
    <col min="21" max="22" width="11.5703125" bestFit="1" customWidth="1"/>
    <col min="23" max="23" width="5" bestFit="1" customWidth="1"/>
    <col min="24" max="24" width="4.85546875" customWidth="1"/>
    <col min="25" max="25" width="12" bestFit="1" customWidth="1"/>
    <col min="26" max="26" width="5.28515625" bestFit="1" customWidth="1"/>
    <col min="27" max="27" width="2.5703125" style="25" customWidth="1"/>
    <col min="28" max="28" width="15.5703125" customWidth="1"/>
    <col min="29" max="29" width="4" customWidth="1"/>
    <col min="30" max="30" width="14.5703125" bestFit="1" customWidth="1"/>
    <col min="31" max="31" width="8.28515625" bestFit="1" customWidth="1"/>
    <col min="32" max="32" width="2" bestFit="1" customWidth="1"/>
    <col min="33" max="33" width="5.140625" customWidth="1"/>
    <col min="34" max="34" width="21.85546875" bestFit="1" customWidth="1"/>
    <col min="35" max="35" width="5.42578125" bestFit="1" customWidth="1"/>
    <col min="36" max="36" width="5.42578125" customWidth="1"/>
    <col min="37" max="37" width="6.7109375" customWidth="1"/>
    <col min="38" max="38" width="16.28515625" customWidth="1"/>
    <col min="39" max="40" width="8" customWidth="1"/>
    <col min="41" max="41" width="6.140625" customWidth="1"/>
    <col min="42" max="42" width="15.5703125" bestFit="1" customWidth="1"/>
    <col min="43" max="43" width="4" bestFit="1" customWidth="1"/>
    <col min="44" max="44" width="6.140625" customWidth="1"/>
    <col min="45" max="45" width="23" bestFit="1" customWidth="1"/>
    <col min="46" max="46" width="4.5703125" bestFit="1" customWidth="1"/>
    <col min="47" max="48" width="4.5703125" customWidth="1"/>
    <col min="49" max="49" width="7.42578125" customWidth="1"/>
    <col min="50" max="50" width="5.140625" customWidth="1"/>
    <col min="51" max="51" width="4.5703125" customWidth="1"/>
    <col min="52" max="52" width="8.85546875" customWidth="1"/>
    <col min="53" max="53" width="6" customWidth="1"/>
    <col min="54" max="54" width="5.85546875" customWidth="1"/>
    <col min="55" max="55" width="19.42578125" bestFit="1" customWidth="1"/>
    <col min="56" max="56" width="5" bestFit="1" customWidth="1"/>
    <col min="57" max="57" width="5" customWidth="1"/>
    <col min="58" max="58" width="19.42578125" bestFit="1" customWidth="1"/>
    <col min="59" max="59" width="11.7109375" customWidth="1"/>
    <col min="60" max="60" width="5.140625" customWidth="1"/>
    <col min="61" max="61" width="20.7109375" bestFit="1" customWidth="1"/>
    <col min="62" max="62" width="8.28515625" bestFit="1" customWidth="1"/>
    <col min="63" max="63" width="8.28515625" customWidth="1"/>
    <col min="64" max="64" width="3.140625" customWidth="1"/>
    <col min="65" max="65" width="14.42578125" bestFit="1" customWidth="1"/>
    <col min="66" max="66" width="5.28515625" bestFit="1" customWidth="1"/>
    <col min="67" max="67" width="5.28515625" customWidth="1"/>
    <col min="68" max="68" width="5.140625" customWidth="1"/>
    <col min="69" max="69" width="21.140625" bestFit="1" customWidth="1"/>
    <col min="70" max="70" width="4.5703125" bestFit="1" customWidth="1"/>
    <col min="71" max="71" width="3" customWidth="1"/>
    <col min="72" max="72" width="11.7109375" customWidth="1"/>
    <col min="73" max="73" width="3.7109375" bestFit="1" customWidth="1"/>
    <col min="74" max="74" width="3.7109375" customWidth="1"/>
    <col min="75" max="75" width="4.42578125" customWidth="1"/>
    <col min="76" max="76" width="18.7109375" bestFit="1" customWidth="1"/>
    <col min="77" max="77" width="5.5703125" bestFit="1" customWidth="1"/>
    <col min="78" max="78" width="5.140625" customWidth="1"/>
    <col min="79" max="79" width="11.5703125" customWidth="1"/>
    <col min="80" max="80" width="6.42578125" customWidth="1"/>
  </cols>
  <sheetData>
    <row r="1" spans="2:80" ht="17.25" customHeight="1" thickBot="1" x14ac:dyDescent="0.3"/>
    <row r="2" spans="2:80" s="6" customFormat="1" ht="38.25" customHeight="1" thickBot="1" x14ac:dyDescent="0.3">
      <c r="B2" s="61" t="s">
        <v>270</v>
      </c>
      <c r="C2" s="62"/>
      <c r="E2" s="61" t="s">
        <v>632</v>
      </c>
      <c r="F2" s="62"/>
      <c r="H2" s="61" t="s">
        <v>633</v>
      </c>
      <c r="I2" s="62"/>
      <c r="K2" s="63" t="s">
        <v>634</v>
      </c>
      <c r="L2" s="64"/>
      <c r="M2" s="64"/>
      <c r="O2" s="61" t="s">
        <v>635</v>
      </c>
      <c r="P2" s="62"/>
      <c r="R2" s="61" t="s">
        <v>7</v>
      </c>
      <c r="S2" s="62"/>
      <c r="U2" s="63" t="s">
        <v>3</v>
      </c>
      <c r="V2" s="64"/>
      <c r="W2" s="64"/>
      <c r="Y2" s="61" t="s">
        <v>259</v>
      </c>
      <c r="Z2" s="62"/>
      <c r="AA2" s="26"/>
      <c r="AB2" s="21" t="s">
        <v>776</v>
      </c>
      <c r="AD2" s="63" t="s">
        <v>636</v>
      </c>
      <c r="AE2" s="64"/>
      <c r="AF2" s="64"/>
      <c r="AH2" s="63" t="s">
        <v>271</v>
      </c>
      <c r="AI2" s="64"/>
      <c r="AJ2" s="64"/>
      <c r="AL2" s="63" t="s">
        <v>637</v>
      </c>
      <c r="AM2" s="64"/>
      <c r="AN2" s="64"/>
      <c r="AP2" s="61" t="s">
        <v>638</v>
      </c>
      <c r="AQ2" s="62"/>
      <c r="AS2" s="63" t="s">
        <v>639</v>
      </c>
      <c r="AT2" s="64"/>
      <c r="AU2" s="64"/>
      <c r="AW2" s="64" t="s">
        <v>640</v>
      </c>
      <c r="AX2" s="64"/>
      <c r="AZ2" s="64" t="s">
        <v>325</v>
      </c>
      <c r="BA2" s="64"/>
      <c r="BC2" s="61" t="s">
        <v>641</v>
      </c>
      <c r="BD2" s="62"/>
      <c r="BF2" s="17" t="s">
        <v>260</v>
      </c>
      <c r="BG2" s="17" t="s">
        <v>6</v>
      </c>
      <c r="BH2" s="16" t="s">
        <v>6</v>
      </c>
      <c r="BI2" s="61" t="s">
        <v>642</v>
      </c>
      <c r="BJ2" s="62"/>
      <c r="BK2" s="31"/>
      <c r="BM2" s="61" t="s">
        <v>643</v>
      </c>
      <c r="BN2" s="62"/>
      <c r="BO2" s="31"/>
      <c r="BQ2" s="61" t="s">
        <v>644</v>
      </c>
      <c r="BR2" s="62"/>
      <c r="BT2" s="61" t="s">
        <v>1</v>
      </c>
      <c r="BU2" s="62"/>
      <c r="BV2" s="31"/>
      <c r="BX2" s="61" t="s">
        <v>645</v>
      </c>
      <c r="BY2" s="62"/>
      <c r="CA2" s="61" t="s">
        <v>839</v>
      </c>
      <c r="CB2" s="62"/>
    </row>
    <row r="3" spans="2:80" x14ac:dyDescent="0.25">
      <c r="B3" t="s">
        <v>273</v>
      </c>
      <c r="C3" t="s">
        <v>272</v>
      </c>
      <c r="E3" t="s">
        <v>274</v>
      </c>
      <c r="F3" t="s">
        <v>274</v>
      </c>
      <c r="H3" t="s">
        <v>276</v>
      </c>
      <c r="I3" t="s">
        <v>275</v>
      </c>
      <c r="K3" t="s">
        <v>646</v>
      </c>
      <c r="L3" t="s">
        <v>17</v>
      </c>
      <c r="M3">
        <v>1</v>
      </c>
      <c r="O3" t="s">
        <v>278</v>
      </c>
      <c r="P3" t="s">
        <v>277</v>
      </c>
      <c r="R3" t="s">
        <v>10</v>
      </c>
      <c r="S3" t="s">
        <v>9</v>
      </c>
      <c r="U3" t="s">
        <v>735</v>
      </c>
      <c r="V3" t="s">
        <v>736</v>
      </c>
      <c r="W3" s="32" t="s">
        <v>809</v>
      </c>
      <c r="Y3" t="s">
        <v>277</v>
      </c>
      <c r="Z3" t="s">
        <v>277</v>
      </c>
      <c r="AB3" t="s">
        <v>777</v>
      </c>
      <c r="AD3" t="s">
        <v>13</v>
      </c>
      <c r="AE3" t="s">
        <v>12</v>
      </c>
      <c r="AF3">
        <v>1</v>
      </c>
      <c r="AH3" t="s">
        <v>646</v>
      </c>
      <c r="AI3" t="s">
        <v>18</v>
      </c>
      <c r="AJ3">
        <v>1</v>
      </c>
      <c r="AL3" t="s">
        <v>646</v>
      </c>
      <c r="AM3" t="s">
        <v>18</v>
      </c>
      <c r="AN3">
        <v>1</v>
      </c>
      <c r="AP3" t="s">
        <v>647</v>
      </c>
      <c r="AQ3" t="s">
        <v>279</v>
      </c>
      <c r="AS3" t="s">
        <v>630</v>
      </c>
      <c r="AT3" t="s">
        <v>11</v>
      </c>
      <c r="AU3">
        <v>1</v>
      </c>
      <c r="AW3" t="s">
        <v>626</v>
      </c>
      <c r="AZ3" t="s">
        <v>326</v>
      </c>
      <c r="BC3" t="s">
        <v>648</v>
      </c>
      <c r="BD3" t="s">
        <v>280</v>
      </c>
      <c r="BF3" t="s">
        <v>378</v>
      </c>
      <c r="BG3" t="s">
        <v>284</v>
      </c>
      <c r="BI3" t="s">
        <v>649</v>
      </c>
      <c r="BJ3" t="s">
        <v>14</v>
      </c>
      <c r="BK3">
        <v>1</v>
      </c>
      <c r="BM3" t="s">
        <v>650</v>
      </c>
      <c r="BN3" t="s">
        <v>281</v>
      </c>
      <c r="BO3">
        <v>1</v>
      </c>
      <c r="BQ3" t="s">
        <v>282</v>
      </c>
      <c r="BR3" t="s">
        <v>282</v>
      </c>
      <c r="BT3" t="s">
        <v>16</v>
      </c>
      <c r="BU3" t="s">
        <v>15</v>
      </c>
      <c r="BV3">
        <v>1</v>
      </c>
      <c r="BX3" t="s">
        <v>284</v>
      </c>
      <c r="BY3" t="s">
        <v>283</v>
      </c>
      <c r="CA3" t="s">
        <v>848</v>
      </c>
    </row>
    <row r="4" spans="2:80" x14ac:dyDescent="0.25">
      <c r="E4" t="s">
        <v>285</v>
      </c>
      <c r="F4" t="s">
        <v>285</v>
      </c>
      <c r="H4" t="s">
        <v>287</v>
      </c>
      <c r="I4" t="s">
        <v>286</v>
      </c>
      <c r="K4" t="s">
        <v>16</v>
      </c>
      <c r="L4" t="s">
        <v>15</v>
      </c>
      <c r="M4">
        <v>2</v>
      </c>
      <c r="O4" t="s">
        <v>270</v>
      </c>
      <c r="P4" t="s">
        <v>288</v>
      </c>
      <c r="R4" t="s">
        <v>20</v>
      </c>
      <c r="S4" t="s">
        <v>19</v>
      </c>
      <c r="U4" t="s">
        <v>737</v>
      </c>
      <c r="V4" t="s">
        <v>738</v>
      </c>
      <c r="W4" s="32" t="s">
        <v>810</v>
      </c>
      <c r="Y4" t="s">
        <v>289</v>
      </c>
      <c r="Z4" t="s">
        <v>289</v>
      </c>
      <c r="AB4" t="s">
        <v>778</v>
      </c>
      <c r="AD4" t="s">
        <v>23</v>
      </c>
      <c r="AE4" t="s">
        <v>22</v>
      </c>
      <c r="AF4">
        <v>2</v>
      </c>
      <c r="AH4" t="s">
        <v>29</v>
      </c>
      <c r="AI4" t="s">
        <v>28</v>
      </c>
      <c r="AJ4">
        <v>2</v>
      </c>
      <c r="AL4" t="s">
        <v>29</v>
      </c>
      <c r="AM4" t="s">
        <v>28</v>
      </c>
      <c r="AN4">
        <v>2</v>
      </c>
      <c r="AP4" t="s">
        <v>651</v>
      </c>
      <c r="AQ4" t="s">
        <v>290</v>
      </c>
      <c r="AS4" t="s">
        <v>652</v>
      </c>
      <c r="AT4" t="s">
        <v>21</v>
      </c>
      <c r="AU4">
        <v>2</v>
      </c>
      <c r="AW4" t="s">
        <v>627</v>
      </c>
      <c r="AZ4" t="s">
        <v>327</v>
      </c>
      <c r="BC4" t="s">
        <v>179</v>
      </c>
      <c r="BD4" t="s">
        <v>291</v>
      </c>
      <c r="BF4" t="s">
        <v>380</v>
      </c>
      <c r="BG4" t="s">
        <v>284</v>
      </c>
      <c r="BI4" t="s">
        <v>25</v>
      </c>
      <c r="BJ4" t="s">
        <v>24</v>
      </c>
      <c r="BK4">
        <v>2</v>
      </c>
      <c r="BM4" t="s">
        <v>653</v>
      </c>
      <c r="BN4" t="s">
        <v>292</v>
      </c>
      <c r="BO4">
        <v>2</v>
      </c>
      <c r="BQ4" t="s">
        <v>654</v>
      </c>
      <c r="BR4" t="s">
        <v>293</v>
      </c>
      <c r="BT4" t="s">
        <v>27</v>
      </c>
      <c r="BU4" t="s">
        <v>26</v>
      </c>
      <c r="BV4">
        <v>2</v>
      </c>
      <c r="BX4" t="s">
        <v>655</v>
      </c>
      <c r="BY4" t="s">
        <v>294</v>
      </c>
      <c r="CA4" t="s">
        <v>840</v>
      </c>
    </row>
    <row r="5" spans="2:80" x14ac:dyDescent="0.25">
      <c r="E5" t="s">
        <v>295</v>
      </c>
      <c r="F5" t="s">
        <v>295</v>
      </c>
      <c r="K5" t="s">
        <v>656</v>
      </c>
      <c r="L5" t="s">
        <v>36</v>
      </c>
      <c r="M5">
        <v>3</v>
      </c>
      <c r="O5" t="s">
        <v>297</v>
      </c>
      <c r="P5" t="s">
        <v>296</v>
      </c>
      <c r="R5" t="s">
        <v>31</v>
      </c>
      <c r="S5" t="s">
        <v>30</v>
      </c>
      <c r="U5" t="s">
        <v>739</v>
      </c>
      <c r="V5" t="s">
        <v>740</v>
      </c>
      <c r="W5" s="32" t="s">
        <v>811</v>
      </c>
      <c r="Y5" t="s">
        <v>298</v>
      </c>
      <c r="Z5" t="s">
        <v>298</v>
      </c>
      <c r="AD5" t="s">
        <v>34</v>
      </c>
      <c r="AE5" t="s">
        <v>33</v>
      </c>
      <c r="AF5">
        <v>3</v>
      </c>
      <c r="AH5" t="s">
        <v>46</v>
      </c>
      <c r="AI5" t="s">
        <v>45</v>
      </c>
      <c r="AJ5">
        <v>3</v>
      </c>
      <c r="AL5" t="s">
        <v>38</v>
      </c>
      <c r="AM5" t="s">
        <v>37</v>
      </c>
      <c r="AN5">
        <v>3</v>
      </c>
      <c r="AP5" t="s">
        <v>657</v>
      </c>
      <c r="AQ5" t="s">
        <v>299</v>
      </c>
      <c r="AS5" t="s">
        <v>631</v>
      </c>
      <c r="AT5" t="s">
        <v>32</v>
      </c>
      <c r="AU5">
        <v>3</v>
      </c>
      <c r="AW5" t="s">
        <v>628</v>
      </c>
      <c r="AZ5" t="s">
        <v>936</v>
      </c>
      <c r="BC5" t="s">
        <v>658</v>
      </c>
      <c r="BD5" t="s">
        <v>300</v>
      </c>
      <c r="BF5" t="s">
        <v>381</v>
      </c>
      <c r="BG5" t="s">
        <v>284</v>
      </c>
      <c r="BI5" t="s">
        <v>659</v>
      </c>
      <c r="BJ5" t="s">
        <v>35</v>
      </c>
      <c r="BK5">
        <v>3</v>
      </c>
      <c r="BM5" t="s">
        <v>660</v>
      </c>
      <c r="BN5" t="s">
        <v>298</v>
      </c>
      <c r="BO5">
        <v>3</v>
      </c>
      <c r="BQ5" t="s">
        <v>302</v>
      </c>
      <c r="BR5" t="s">
        <v>301</v>
      </c>
      <c r="BX5" t="s">
        <v>661</v>
      </c>
      <c r="BY5" t="s">
        <v>303</v>
      </c>
      <c r="CA5" t="s">
        <v>841</v>
      </c>
    </row>
    <row r="6" spans="2:80" x14ac:dyDescent="0.25">
      <c r="E6" t="s">
        <v>304</v>
      </c>
      <c r="F6" t="s">
        <v>304</v>
      </c>
      <c r="K6" t="s">
        <v>662</v>
      </c>
      <c r="L6" t="s">
        <v>44</v>
      </c>
      <c r="M6">
        <v>4</v>
      </c>
      <c r="R6" t="s">
        <v>40</v>
      </c>
      <c r="S6" t="s">
        <v>39</v>
      </c>
      <c r="U6" t="s">
        <v>741</v>
      </c>
      <c r="V6" t="s">
        <v>742</v>
      </c>
      <c r="W6" s="32" t="s">
        <v>812</v>
      </c>
      <c r="Y6" t="s">
        <v>305</v>
      </c>
      <c r="Z6" t="s">
        <v>305</v>
      </c>
      <c r="AD6" t="s">
        <v>42</v>
      </c>
      <c r="AE6" t="s">
        <v>41</v>
      </c>
      <c r="AF6">
        <v>4</v>
      </c>
      <c r="AH6" t="s">
        <v>53</v>
      </c>
      <c r="AI6" t="s">
        <v>52</v>
      </c>
      <c r="AJ6">
        <v>4</v>
      </c>
      <c r="AL6" t="s">
        <v>46</v>
      </c>
      <c r="AM6" t="s">
        <v>45</v>
      </c>
      <c r="AN6">
        <v>4</v>
      </c>
      <c r="AP6" t="s">
        <v>307</v>
      </c>
      <c r="AQ6" t="s">
        <v>306</v>
      </c>
      <c r="AW6" t="s">
        <v>629</v>
      </c>
      <c r="AZ6" t="s">
        <v>328</v>
      </c>
      <c r="BC6" t="s">
        <v>663</v>
      </c>
      <c r="BD6" t="s">
        <v>308</v>
      </c>
      <c r="BF6" t="s">
        <v>382</v>
      </c>
      <c r="BG6" t="s">
        <v>311</v>
      </c>
      <c r="BI6" t="s">
        <v>664</v>
      </c>
      <c r="BJ6" t="s">
        <v>43</v>
      </c>
      <c r="BK6">
        <v>4</v>
      </c>
      <c r="BM6" t="s">
        <v>665</v>
      </c>
      <c r="BN6" t="s">
        <v>291</v>
      </c>
      <c r="BO6">
        <v>4</v>
      </c>
      <c r="BQ6" t="s">
        <v>310</v>
      </c>
      <c r="BR6" t="s">
        <v>309</v>
      </c>
      <c r="BX6" t="s">
        <v>311</v>
      </c>
      <c r="BY6" t="s">
        <v>311</v>
      </c>
      <c r="CA6" t="s">
        <v>842</v>
      </c>
    </row>
    <row r="7" spans="2:80" x14ac:dyDescent="0.25">
      <c r="E7" t="s">
        <v>179</v>
      </c>
      <c r="F7" t="s">
        <v>291</v>
      </c>
      <c r="R7" t="s">
        <v>48</v>
      </c>
      <c r="S7" t="s">
        <v>47</v>
      </c>
      <c r="U7" t="s">
        <v>743</v>
      </c>
      <c r="V7" t="s">
        <v>744</v>
      </c>
      <c r="W7" s="32" t="s">
        <v>813</v>
      </c>
      <c r="AD7" t="s">
        <v>50</v>
      </c>
      <c r="AE7" t="s">
        <v>49</v>
      </c>
      <c r="AF7">
        <v>5</v>
      </c>
      <c r="AH7" t="s">
        <v>63</v>
      </c>
      <c r="AI7" t="s">
        <v>62</v>
      </c>
      <c r="AJ7">
        <v>5</v>
      </c>
      <c r="AL7" t="s">
        <v>53</v>
      </c>
      <c r="AM7" t="s">
        <v>52</v>
      </c>
      <c r="AN7">
        <v>5</v>
      </c>
      <c r="AZ7" t="s">
        <v>910</v>
      </c>
      <c r="BF7" t="s">
        <v>383</v>
      </c>
      <c r="BG7" t="s">
        <v>311</v>
      </c>
      <c r="BI7" t="s">
        <v>666</v>
      </c>
      <c r="BJ7" t="s">
        <v>51</v>
      </c>
      <c r="BK7">
        <v>5</v>
      </c>
      <c r="BM7" t="s">
        <v>667</v>
      </c>
      <c r="BN7" t="s">
        <v>33</v>
      </c>
      <c r="BO7">
        <v>5</v>
      </c>
      <c r="BQ7" t="s">
        <v>179</v>
      </c>
      <c r="BR7" t="s">
        <v>291</v>
      </c>
      <c r="BX7" t="s">
        <v>313</v>
      </c>
      <c r="BY7" t="s">
        <v>312</v>
      </c>
      <c r="CA7" t="s">
        <v>843</v>
      </c>
    </row>
    <row r="8" spans="2:80" x14ac:dyDescent="0.25">
      <c r="E8" t="s">
        <v>315</v>
      </c>
      <c r="F8" t="s">
        <v>314</v>
      </c>
      <c r="R8" t="s">
        <v>55</v>
      </c>
      <c r="S8" t="s">
        <v>54</v>
      </c>
      <c r="U8" t="s">
        <v>745</v>
      </c>
      <c r="V8" t="s">
        <v>746</v>
      </c>
      <c r="W8" s="32" t="s">
        <v>814</v>
      </c>
      <c r="AH8" t="s">
        <v>69</v>
      </c>
      <c r="AI8" t="s">
        <v>68</v>
      </c>
      <c r="AJ8">
        <v>6</v>
      </c>
      <c r="AL8" t="s">
        <v>668</v>
      </c>
      <c r="AM8" t="s">
        <v>58</v>
      </c>
      <c r="AN8">
        <v>6</v>
      </c>
      <c r="AZ8" t="s">
        <v>329</v>
      </c>
      <c r="BF8" t="s">
        <v>384</v>
      </c>
      <c r="BG8" t="s">
        <v>311</v>
      </c>
      <c r="BI8" t="s">
        <v>57</v>
      </c>
      <c r="BJ8" t="s">
        <v>56</v>
      </c>
      <c r="BK8">
        <v>6</v>
      </c>
      <c r="BM8" t="s">
        <v>669</v>
      </c>
      <c r="BN8" t="s">
        <v>41</v>
      </c>
      <c r="BO8">
        <v>6</v>
      </c>
      <c r="BQ8" t="s">
        <v>317</v>
      </c>
      <c r="BR8" t="s">
        <v>316</v>
      </c>
      <c r="BX8" t="s">
        <v>319</v>
      </c>
      <c r="BY8" t="s">
        <v>318</v>
      </c>
      <c r="CA8" t="s">
        <v>844</v>
      </c>
    </row>
    <row r="9" spans="2:80" x14ac:dyDescent="0.25">
      <c r="R9" t="s">
        <v>60</v>
      </c>
      <c r="S9" t="s">
        <v>59</v>
      </c>
      <c r="U9" t="s">
        <v>747</v>
      </c>
      <c r="V9" t="s">
        <v>748</v>
      </c>
      <c r="W9" s="32" t="s">
        <v>815</v>
      </c>
      <c r="AH9" t="s">
        <v>87</v>
      </c>
      <c r="AI9" t="s">
        <v>86</v>
      </c>
      <c r="AJ9">
        <v>7</v>
      </c>
      <c r="AL9" t="s">
        <v>63</v>
      </c>
      <c r="AM9" t="s">
        <v>62</v>
      </c>
      <c r="AN9">
        <v>7</v>
      </c>
      <c r="AZ9" t="s">
        <v>330</v>
      </c>
      <c r="BF9" t="s">
        <v>385</v>
      </c>
      <c r="BG9" t="s">
        <v>284</v>
      </c>
      <c r="BI9" t="s">
        <v>670</v>
      </c>
      <c r="BJ9" t="s">
        <v>61</v>
      </c>
      <c r="BK9">
        <v>7</v>
      </c>
      <c r="BM9" t="s">
        <v>50</v>
      </c>
      <c r="BN9" t="s">
        <v>49</v>
      </c>
      <c r="BO9">
        <v>7</v>
      </c>
      <c r="BQ9" t="s">
        <v>671</v>
      </c>
      <c r="BR9" t="s">
        <v>320</v>
      </c>
      <c r="BX9" t="s">
        <v>672</v>
      </c>
      <c r="BY9" t="s">
        <v>321</v>
      </c>
      <c r="CA9" t="s">
        <v>845</v>
      </c>
    </row>
    <row r="10" spans="2:80" x14ac:dyDescent="0.25">
      <c r="R10" t="s">
        <v>65</v>
      </c>
      <c r="S10" t="s">
        <v>64</v>
      </c>
      <c r="U10" t="s">
        <v>749</v>
      </c>
      <c r="V10" t="s">
        <v>750</v>
      </c>
      <c r="W10" s="32" t="s">
        <v>816</v>
      </c>
      <c r="AH10" t="s">
        <v>90</v>
      </c>
      <c r="AI10" t="s">
        <v>89</v>
      </c>
      <c r="AJ10">
        <v>8</v>
      </c>
      <c r="AL10" t="s">
        <v>69</v>
      </c>
      <c r="AM10" t="s">
        <v>68</v>
      </c>
      <c r="AN10">
        <v>8</v>
      </c>
      <c r="AZ10" t="s">
        <v>331</v>
      </c>
      <c r="BF10" t="s">
        <v>386</v>
      </c>
      <c r="BG10" t="s">
        <v>284</v>
      </c>
      <c r="BI10" t="s">
        <v>67</v>
      </c>
      <c r="BJ10" t="s">
        <v>66</v>
      </c>
      <c r="BK10">
        <v>8</v>
      </c>
      <c r="CA10" t="s">
        <v>846</v>
      </c>
    </row>
    <row r="11" spans="2:80" x14ac:dyDescent="0.25">
      <c r="R11" t="s">
        <v>71</v>
      </c>
      <c r="S11" t="s">
        <v>70</v>
      </c>
      <c r="U11" t="s">
        <v>751</v>
      </c>
      <c r="V11" t="s">
        <v>752</v>
      </c>
      <c r="W11" s="32" t="s">
        <v>817</v>
      </c>
      <c r="AH11" t="s">
        <v>94</v>
      </c>
      <c r="AI11" t="s">
        <v>93</v>
      </c>
      <c r="AJ11">
        <v>9</v>
      </c>
      <c r="AL11" t="s">
        <v>673</v>
      </c>
      <c r="AM11" t="s">
        <v>72</v>
      </c>
      <c r="AN11">
        <v>9</v>
      </c>
      <c r="AZ11" t="s">
        <v>332</v>
      </c>
      <c r="BF11" t="s">
        <v>387</v>
      </c>
      <c r="BG11" t="s">
        <v>672</v>
      </c>
      <c r="CA11" t="s">
        <v>847</v>
      </c>
    </row>
    <row r="12" spans="2:80" x14ac:dyDescent="0.25">
      <c r="R12" t="s">
        <v>74</v>
      </c>
      <c r="S12" t="s">
        <v>73</v>
      </c>
      <c r="U12" t="s">
        <v>753</v>
      </c>
      <c r="V12" t="s">
        <v>754</v>
      </c>
      <c r="W12" s="32" t="s">
        <v>818</v>
      </c>
      <c r="AH12" t="s">
        <v>674</v>
      </c>
      <c r="AI12" t="s">
        <v>97</v>
      </c>
      <c r="AJ12">
        <v>10</v>
      </c>
      <c r="AL12" t="s">
        <v>76</v>
      </c>
      <c r="AM12" t="s">
        <v>75</v>
      </c>
      <c r="AN12">
        <v>10</v>
      </c>
      <c r="AZ12" t="s">
        <v>333</v>
      </c>
      <c r="BF12" t="s">
        <v>725</v>
      </c>
      <c r="BG12" t="s">
        <v>672</v>
      </c>
      <c r="CA12" t="s">
        <v>849</v>
      </c>
    </row>
    <row r="13" spans="2:80" x14ac:dyDescent="0.25">
      <c r="R13" t="s">
        <v>78</v>
      </c>
      <c r="S13" t="s">
        <v>77</v>
      </c>
      <c r="U13" t="s">
        <v>755</v>
      </c>
      <c r="V13" t="s">
        <v>756</v>
      </c>
      <c r="W13" s="32" t="s">
        <v>819</v>
      </c>
      <c r="AH13" t="s">
        <v>104</v>
      </c>
      <c r="AI13" t="s">
        <v>103</v>
      </c>
      <c r="AJ13">
        <v>11</v>
      </c>
      <c r="AL13" t="s">
        <v>80</v>
      </c>
      <c r="AM13" t="s">
        <v>79</v>
      </c>
      <c r="AN13">
        <v>11</v>
      </c>
      <c r="AZ13" t="s">
        <v>334</v>
      </c>
      <c r="BF13" t="s">
        <v>388</v>
      </c>
      <c r="BG13" t="s">
        <v>284</v>
      </c>
      <c r="CA13" t="s">
        <v>850</v>
      </c>
    </row>
    <row r="14" spans="2:80" x14ac:dyDescent="0.25">
      <c r="R14" t="s">
        <v>82</v>
      </c>
      <c r="S14" t="s">
        <v>81</v>
      </c>
      <c r="U14" t="s">
        <v>757</v>
      </c>
      <c r="V14" t="s">
        <v>758</v>
      </c>
      <c r="W14" s="32" t="s">
        <v>820</v>
      </c>
      <c r="AH14" t="s">
        <v>111</v>
      </c>
      <c r="AI14" t="s">
        <v>110</v>
      </c>
      <c r="AJ14">
        <v>12</v>
      </c>
      <c r="AL14" t="s">
        <v>84</v>
      </c>
      <c r="AM14" t="s">
        <v>83</v>
      </c>
      <c r="AN14">
        <v>12</v>
      </c>
      <c r="AZ14" t="s">
        <v>335</v>
      </c>
      <c r="BF14" t="s">
        <v>389</v>
      </c>
      <c r="BG14" t="s">
        <v>311</v>
      </c>
      <c r="CA14" t="s">
        <v>851</v>
      </c>
    </row>
    <row r="15" spans="2:80" x14ac:dyDescent="0.25">
      <c r="R15" t="s">
        <v>675</v>
      </c>
      <c r="S15" t="s">
        <v>85</v>
      </c>
      <c r="U15" t="s">
        <v>782</v>
      </c>
      <c r="V15" t="s">
        <v>783</v>
      </c>
      <c r="W15" s="32" t="s">
        <v>821</v>
      </c>
      <c r="AH15" t="s">
        <v>676</v>
      </c>
      <c r="AI15" t="s">
        <v>117</v>
      </c>
      <c r="AJ15">
        <v>13</v>
      </c>
      <c r="AL15" t="s">
        <v>87</v>
      </c>
      <c r="AM15" t="s">
        <v>86</v>
      </c>
      <c r="AN15">
        <v>13</v>
      </c>
      <c r="AZ15" t="s">
        <v>336</v>
      </c>
      <c r="BF15" t="s">
        <v>390</v>
      </c>
      <c r="BG15" t="s">
        <v>284</v>
      </c>
    </row>
    <row r="16" spans="2:80" x14ac:dyDescent="0.25">
      <c r="R16" t="s">
        <v>677</v>
      </c>
      <c r="S16" t="s">
        <v>88</v>
      </c>
      <c r="U16" t="s">
        <v>784</v>
      </c>
      <c r="V16" t="s">
        <v>785</v>
      </c>
      <c r="W16" s="32" t="s">
        <v>822</v>
      </c>
      <c r="AH16" t="s">
        <v>134</v>
      </c>
      <c r="AI16" t="s">
        <v>322</v>
      </c>
      <c r="AJ16">
        <v>14</v>
      </c>
      <c r="AL16" t="s">
        <v>90</v>
      </c>
      <c r="AM16" t="s">
        <v>89</v>
      </c>
      <c r="AN16">
        <v>14</v>
      </c>
      <c r="AZ16" t="s">
        <v>337</v>
      </c>
      <c r="BF16" t="s">
        <v>391</v>
      </c>
      <c r="BG16" t="s">
        <v>284</v>
      </c>
    </row>
    <row r="17" spans="18:59" x14ac:dyDescent="0.25">
      <c r="R17" t="s">
        <v>92</v>
      </c>
      <c r="S17" t="s">
        <v>91</v>
      </c>
      <c r="U17" t="s">
        <v>786</v>
      </c>
      <c r="V17" t="s">
        <v>787</v>
      </c>
      <c r="W17" s="32" t="s">
        <v>823</v>
      </c>
      <c r="AH17" t="s">
        <v>148</v>
      </c>
      <c r="AI17" t="s">
        <v>147</v>
      </c>
      <c r="AJ17">
        <v>15</v>
      </c>
      <c r="AL17" t="s">
        <v>94</v>
      </c>
      <c r="AM17" t="s">
        <v>93</v>
      </c>
      <c r="AN17">
        <v>15</v>
      </c>
      <c r="AZ17" t="s">
        <v>338</v>
      </c>
      <c r="BF17" t="s">
        <v>392</v>
      </c>
      <c r="BG17" t="s">
        <v>284</v>
      </c>
    </row>
    <row r="18" spans="18:59" x14ac:dyDescent="0.25">
      <c r="R18" t="s">
        <v>96</v>
      </c>
      <c r="S18" t="s">
        <v>95</v>
      </c>
      <c r="U18" t="s">
        <v>788</v>
      </c>
      <c r="V18" t="s">
        <v>789</v>
      </c>
      <c r="W18" s="32" t="s">
        <v>824</v>
      </c>
      <c r="AH18" t="s">
        <v>678</v>
      </c>
      <c r="AI18" t="s">
        <v>150</v>
      </c>
      <c r="AJ18">
        <v>16</v>
      </c>
      <c r="AL18" t="s">
        <v>674</v>
      </c>
      <c r="AM18" t="s">
        <v>97</v>
      </c>
      <c r="AN18">
        <v>16</v>
      </c>
      <c r="AZ18" t="s">
        <v>339</v>
      </c>
      <c r="BF18" t="s">
        <v>393</v>
      </c>
      <c r="BG18" t="s">
        <v>672</v>
      </c>
    </row>
    <row r="19" spans="18:59" x14ac:dyDescent="0.25">
      <c r="R19" t="s">
        <v>99</v>
      </c>
      <c r="S19" t="s">
        <v>98</v>
      </c>
      <c r="U19" t="s">
        <v>790</v>
      </c>
      <c r="V19" t="s">
        <v>791</v>
      </c>
      <c r="W19" s="32" t="s">
        <v>825</v>
      </c>
      <c r="AH19" t="s">
        <v>152</v>
      </c>
      <c r="AI19" t="s">
        <v>151</v>
      </c>
      <c r="AJ19">
        <v>17</v>
      </c>
      <c r="AL19" t="s">
        <v>679</v>
      </c>
      <c r="AM19" t="s">
        <v>100</v>
      </c>
      <c r="AN19">
        <v>17</v>
      </c>
      <c r="AZ19" t="s">
        <v>340</v>
      </c>
      <c r="BF19" t="s">
        <v>394</v>
      </c>
      <c r="BG19" t="s">
        <v>672</v>
      </c>
    </row>
    <row r="20" spans="18:59" x14ac:dyDescent="0.25">
      <c r="R20" t="s">
        <v>102</v>
      </c>
      <c r="S20" t="s">
        <v>101</v>
      </c>
      <c r="U20" t="s">
        <v>792</v>
      </c>
      <c r="V20" t="s">
        <v>793</v>
      </c>
      <c r="W20" s="32" t="s">
        <v>826</v>
      </c>
      <c r="AH20" t="s">
        <v>157</v>
      </c>
      <c r="AI20" t="s">
        <v>156</v>
      </c>
      <c r="AJ20">
        <v>18</v>
      </c>
      <c r="AL20" t="s">
        <v>104</v>
      </c>
      <c r="AM20" t="s">
        <v>103</v>
      </c>
      <c r="AN20">
        <v>18</v>
      </c>
      <c r="AZ20" t="s">
        <v>693</v>
      </c>
      <c r="BF20" t="s">
        <v>395</v>
      </c>
      <c r="BG20" t="s">
        <v>672</v>
      </c>
    </row>
    <row r="21" spans="18:59" x14ac:dyDescent="0.25">
      <c r="R21" t="s">
        <v>106</v>
      </c>
      <c r="S21" t="s">
        <v>105</v>
      </c>
      <c r="U21" t="s">
        <v>794</v>
      </c>
      <c r="V21" t="s">
        <v>795</v>
      </c>
      <c r="W21" s="32" t="s">
        <v>827</v>
      </c>
      <c r="AH21" t="s">
        <v>680</v>
      </c>
      <c r="AI21" t="s">
        <v>163</v>
      </c>
      <c r="AJ21">
        <v>19</v>
      </c>
      <c r="AL21" t="s">
        <v>681</v>
      </c>
      <c r="AM21" t="s">
        <v>107</v>
      </c>
      <c r="AN21">
        <v>19</v>
      </c>
      <c r="AZ21" t="s">
        <v>911</v>
      </c>
      <c r="BF21" t="s">
        <v>396</v>
      </c>
      <c r="BG21" t="s">
        <v>672</v>
      </c>
    </row>
    <row r="22" spans="18:59" x14ac:dyDescent="0.25">
      <c r="R22" t="s">
        <v>109</v>
      </c>
      <c r="S22" t="s">
        <v>108</v>
      </c>
      <c r="U22" t="s">
        <v>796</v>
      </c>
      <c r="V22" t="s">
        <v>797</v>
      </c>
      <c r="W22" s="32" t="s">
        <v>828</v>
      </c>
      <c r="AH22" t="s">
        <v>165</v>
      </c>
      <c r="AI22" t="s">
        <v>164</v>
      </c>
      <c r="AJ22">
        <v>20</v>
      </c>
      <c r="AL22" t="s">
        <v>111</v>
      </c>
      <c r="AM22" t="s">
        <v>110</v>
      </c>
      <c r="AN22">
        <v>20</v>
      </c>
      <c r="AZ22" t="s">
        <v>912</v>
      </c>
      <c r="BF22" t="s">
        <v>397</v>
      </c>
      <c r="BG22" t="s">
        <v>311</v>
      </c>
    </row>
    <row r="23" spans="18:59" x14ac:dyDescent="0.25">
      <c r="R23" t="s">
        <v>113</v>
      </c>
      <c r="S23" t="s">
        <v>112</v>
      </c>
      <c r="U23" t="s">
        <v>798</v>
      </c>
      <c r="V23" t="s">
        <v>799</v>
      </c>
      <c r="W23" s="32" t="s">
        <v>829</v>
      </c>
      <c r="AH23" t="s">
        <v>172</v>
      </c>
      <c r="AI23" t="s">
        <v>171</v>
      </c>
      <c r="AJ23">
        <v>21</v>
      </c>
      <c r="AL23" t="s">
        <v>682</v>
      </c>
      <c r="AM23" t="s">
        <v>114</v>
      </c>
      <c r="AN23">
        <v>21</v>
      </c>
      <c r="AZ23" t="s">
        <v>913</v>
      </c>
      <c r="BF23" t="s">
        <v>398</v>
      </c>
      <c r="BG23" t="s">
        <v>311</v>
      </c>
    </row>
    <row r="24" spans="18:59" x14ac:dyDescent="0.25">
      <c r="R24" t="s">
        <v>116</v>
      </c>
      <c r="S24" t="s">
        <v>115</v>
      </c>
      <c r="U24" t="s">
        <v>800</v>
      </c>
      <c r="V24" t="s">
        <v>801</v>
      </c>
      <c r="W24" s="32" t="s">
        <v>830</v>
      </c>
      <c r="AH24" t="s">
        <v>174</v>
      </c>
      <c r="AI24" t="s">
        <v>173</v>
      </c>
      <c r="AJ24">
        <v>22</v>
      </c>
      <c r="AL24" t="s">
        <v>676</v>
      </c>
      <c r="AM24" t="s">
        <v>117</v>
      </c>
      <c r="AN24">
        <v>22</v>
      </c>
      <c r="AZ24" t="s">
        <v>914</v>
      </c>
      <c r="BF24" t="s">
        <v>399</v>
      </c>
      <c r="BG24" t="s">
        <v>311</v>
      </c>
    </row>
    <row r="25" spans="18:59" x14ac:dyDescent="0.25">
      <c r="R25" t="s">
        <v>119</v>
      </c>
      <c r="S25" t="s">
        <v>118</v>
      </c>
      <c r="U25" t="s">
        <v>802</v>
      </c>
      <c r="V25" t="s">
        <v>803</v>
      </c>
      <c r="W25" s="32" t="s">
        <v>831</v>
      </c>
      <c r="AH25" t="s">
        <v>176</v>
      </c>
      <c r="AI25" t="s">
        <v>175</v>
      </c>
      <c r="AJ25">
        <v>23</v>
      </c>
      <c r="AL25" t="s">
        <v>683</v>
      </c>
      <c r="AM25" t="s">
        <v>120</v>
      </c>
      <c r="AN25">
        <v>23</v>
      </c>
      <c r="AZ25" t="s">
        <v>915</v>
      </c>
      <c r="BF25" t="s">
        <v>400</v>
      </c>
      <c r="BG25" t="s">
        <v>311</v>
      </c>
    </row>
    <row r="26" spans="18:59" x14ac:dyDescent="0.25">
      <c r="R26" t="s">
        <v>122</v>
      </c>
      <c r="S26" t="s">
        <v>121</v>
      </c>
      <c r="U26" t="s">
        <v>804</v>
      </c>
      <c r="V26" t="s">
        <v>805</v>
      </c>
      <c r="W26" s="32" t="s">
        <v>832</v>
      </c>
      <c r="AH26" t="s">
        <v>177</v>
      </c>
      <c r="AI26" t="s">
        <v>177</v>
      </c>
      <c r="AJ26">
        <v>24</v>
      </c>
      <c r="AL26" t="s">
        <v>684</v>
      </c>
      <c r="AM26" t="s">
        <v>123</v>
      </c>
      <c r="AN26">
        <v>24</v>
      </c>
      <c r="AZ26" t="s">
        <v>916</v>
      </c>
      <c r="BF26" t="s">
        <v>401</v>
      </c>
      <c r="BG26" t="s">
        <v>311</v>
      </c>
    </row>
    <row r="27" spans="18:59" x14ac:dyDescent="0.25">
      <c r="R27" t="s">
        <v>125</v>
      </c>
      <c r="S27" t="s">
        <v>124</v>
      </c>
      <c r="AH27" t="s">
        <v>179</v>
      </c>
      <c r="AI27" t="s">
        <v>178</v>
      </c>
      <c r="AJ27">
        <v>25</v>
      </c>
      <c r="AL27" t="s">
        <v>685</v>
      </c>
      <c r="AM27" t="s">
        <v>126</v>
      </c>
      <c r="AN27">
        <v>25</v>
      </c>
      <c r="AZ27" t="s">
        <v>917</v>
      </c>
      <c r="BF27" t="s">
        <v>402</v>
      </c>
      <c r="BG27" t="s">
        <v>319</v>
      </c>
    </row>
    <row r="28" spans="18:59" x14ac:dyDescent="0.25">
      <c r="R28" t="s">
        <v>128</v>
      </c>
      <c r="S28" t="s">
        <v>127</v>
      </c>
      <c r="AH28" t="s">
        <v>184</v>
      </c>
      <c r="AI28" t="s">
        <v>183</v>
      </c>
      <c r="AJ28">
        <v>26</v>
      </c>
      <c r="AL28" t="s">
        <v>130</v>
      </c>
      <c r="AM28" t="s">
        <v>129</v>
      </c>
      <c r="AN28">
        <v>26</v>
      </c>
      <c r="AZ28" t="s">
        <v>918</v>
      </c>
      <c r="BF28" t="s">
        <v>403</v>
      </c>
      <c r="BG28" t="s">
        <v>311</v>
      </c>
    </row>
    <row r="29" spans="18:59" x14ac:dyDescent="0.25">
      <c r="R29" t="s">
        <v>132</v>
      </c>
      <c r="S29" t="s">
        <v>131</v>
      </c>
      <c r="AH29" t="s">
        <v>187</v>
      </c>
      <c r="AI29" t="s">
        <v>186</v>
      </c>
      <c r="AJ29">
        <v>27</v>
      </c>
      <c r="AL29" t="s">
        <v>134</v>
      </c>
      <c r="AM29" t="s">
        <v>133</v>
      </c>
      <c r="AN29">
        <v>27</v>
      </c>
      <c r="AZ29" t="s">
        <v>919</v>
      </c>
      <c r="BF29" t="s">
        <v>941</v>
      </c>
    </row>
    <row r="30" spans="18:59" x14ac:dyDescent="0.25">
      <c r="R30" t="s">
        <v>136</v>
      </c>
      <c r="S30" t="s">
        <v>135</v>
      </c>
      <c r="AH30" t="s">
        <v>686</v>
      </c>
      <c r="AI30" t="s">
        <v>190</v>
      </c>
      <c r="AJ30">
        <v>28</v>
      </c>
      <c r="AL30" t="s">
        <v>138</v>
      </c>
      <c r="AM30" t="s">
        <v>137</v>
      </c>
      <c r="AN30">
        <v>28</v>
      </c>
      <c r="AZ30" t="s">
        <v>920</v>
      </c>
      <c r="BF30" t="s">
        <v>404</v>
      </c>
      <c r="BG30" t="s">
        <v>672</v>
      </c>
    </row>
    <row r="31" spans="18:59" x14ac:dyDescent="0.25">
      <c r="R31" t="s">
        <v>140</v>
      </c>
      <c r="S31" t="s">
        <v>139</v>
      </c>
      <c r="AH31" t="s">
        <v>192</v>
      </c>
      <c r="AI31" t="s">
        <v>191</v>
      </c>
      <c r="AJ31">
        <v>29</v>
      </c>
      <c r="AL31" t="s">
        <v>687</v>
      </c>
      <c r="AM31" t="s">
        <v>141</v>
      </c>
      <c r="AN31">
        <v>29</v>
      </c>
      <c r="AZ31" t="s">
        <v>921</v>
      </c>
      <c r="BF31" t="s">
        <v>405</v>
      </c>
      <c r="BG31" t="s">
        <v>311</v>
      </c>
    </row>
    <row r="32" spans="18:59" x14ac:dyDescent="0.25">
      <c r="R32" t="s">
        <v>143</v>
      </c>
      <c r="S32" t="s">
        <v>142</v>
      </c>
      <c r="AH32" t="s">
        <v>196</v>
      </c>
      <c r="AI32" t="s">
        <v>195</v>
      </c>
      <c r="AJ32">
        <v>30</v>
      </c>
      <c r="AL32" t="s">
        <v>145</v>
      </c>
      <c r="AM32" t="s">
        <v>144</v>
      </c>
      <c r="AN32">
        <v>30</v>
      </c>
      <c r="AZ32" t="s">
        <v>922</v>
      </c>
      <c r="BF32" t="s">
        <v>406</v>
      </c>
      <c r="BG32" t="s">
        <v>311</v>
      </c>
    </row>
    <row r="33" spans="18:59" x14ac:dyDescent="0.25">
      <c r="R33" t="s">
        <v>688</v>
      </c>
      <c r="S33" t="s">
        <v>146</v>
      </c>
      <c r="AH33" t="s">
        <v>200</v>
      </c>
      <c r="AI33" t="s">
        <v>199</v>
      </c>
      <c r="AJ33">
        <v>31</v>
      </c>
      <c r="AL33" t="s">
        <v>148</v>
      </c>
      <c r="AM33" t="s">
        <v>147</v>
      </c>
      <c r="AN33">
        <v>31</v>
      </c>
      <c r="AZ33" t="s">
        <v>923</v>
      </c>
      <c r="BF33" t="s">
        <v>726</v>
      </c>
      <c r="BG33" t="s">
        <v>672</v>
      </c>
    </row>
    <row r="34" spans="18:59" x14ac:dyDescent="0.25">
      <c r="R34" t="s">
        <v>689</v>
      </c>
      <c r="S34" t="s">
        <v>149</v>
      </c>
      <c r="AH34" t="s">
        <v>212</v>
      </c>
      <c r="AI34" t="s">
        <v>211</v>
      </c>
      <c r="AJ34">
        <v>32</v>
      </c>
      <c r="AL34" t="s">
        <v>678</v>
      </c>
      <c r="AM34" t="s">
        <v>150</v>
      </c>
      <c r="AN34">
        <v>32</v>
      </c>
      <c r="AZ34" t="s">
        <v>924</v>
      </c>
      <c r="BF34" t="s">
        <v>407</v>
      </c>
      <c r="BG34" t="s">
        <v>311</v>
      </c>
    </row>
    <row r="35" spans="18:59" x14ac:dyDescent="0.25">
      <c r="AH35" t="s">
        <v>217</v>
      </c>
      <c r="AI35" t="s">
        <v>216</v>
      </c>
      <c r="AJ35">
        <v>33</v>
      </c>
      <c r="AL35" t="s">
        <v>152</v>
      </c>
      <c r="AM35" t="s">
        <v>151</v>
      </c>
      <c r="AN35">
        <v>33</v>
      </c>
      <c r="AZ35" t="s">
        <v>925</v>
      </c>
      <c r="BF35" t="s">
        <v>408</v>
      </c>
      <c r="BG35" t="s">
        <v>311</v>
      </c>
    </row>
    <row r="36" spans="18:59" x14ac:dyDescent="0.25">
      <c r="AH36" t="s">
        <v>219</v>
      </c>
      <c r="AI36" t="s">
        <v>218</v>
      </c>
      <c r="AJ36">
        <v>34</v>
      </c>
      <c r="AL36" t="s">
        <v>690</v>
      </c>
      <c r="AM36" t="s">
        <v>153</v>
      </c>
      <c r="AN36">
        <v>34</v>
      </c>
      <c r="AZ36" t="s">
        <v>926</v>
      </c>
      <c r="BF36" t="s">
        <v>409</v>
      </c>
      <c r="BG36" t="s">
        <v>311</v>
      </c>
    </row>
    <row r="37" spans="18:59" x14ac:dyDescent="0.25">
      <c r="AH37" t="s">
        <v>221</v>
      </c>
      <c r="AI37" t="s">
        <v>220</v>
      </c>
      <c r="AJ37">
        <v>35</v>
      </c>
      <c r="AL37" t="s">
        <v>691</v>
      </c>
      <c r="AM37" t="s">
        <v>154</v>
      </c>
      <c r="AN37">
        <v>35</v>
      </c>
      <c r="AZ37" t="s">
        <v>927</v>
      </c>
      <c r="BF37" t="s">
        <v>410</v>
      </c>
      <c r="BG37" t="s">
        <v>311</v>
      </c>
    </row>
    <row r="38" spans="18:59" x14ac:dyDescent="0.25">
      <c r="AH38" t="s">
        <v>228</v>
      </c>
      <c r="AI38" t="s">
        <v>227</v>
      </c>
      <c r="AJ38">
        <v>36</v>
      </c>
      <c r="AL38" t="s">
        <v>692</v>
      </c>
      <c r="AM38" t="s">
        <v>155</v>
      </c>
      <c r="AN38">
        <v>36</v>
      </c>
      <c r="AZ38" t="s">
        <v>928</v>
      </c>
      <c r="BF38" t="s">
        <v>411</v>
      </c>
      <c r="BG38" t="s">
        <v>319</v>
      </c>
    </row>
    <row r="39" spans="18:59" x14ac:dyDescent="0.25">
      <c r="AH39" t="s">
        <v>230</v>
      </c>
      <c r="AI39" t="s">
        <v>229</v>
      </c>
      <c r="AJ39">
        <v>37</v>
      </c>
      <c r="AL39" t="s">
        <v>157</v>
      </c>
      <c r="AM39" t="s">
        <v>156</v>
      </c>
      <c r="AN39">
        <v>37</v>
      </c>
      <c r="AZ39" t="s">
        <v>929</v>
      </c>
      <c r="BF39" t="s">
        <v>412</v>
      </c>
      <c r="BG39" t="s">
        <v>319</v>
      </c>
    </row>
    <row r="40" spans="18:59" x14ac:dyDescent="0.25">
      <c r="AH40" t="s">
        <v>233</v>
      </c>
      <c r="AI40" t="s">
        <v>232</v>
      </c>
      <c r="AJ40">
        <v>38</v>
      </c>
      <c r="AL40" t="s">
        <v>158</v>
      </c>
      <c r="AM40" t="s">
        <v>158</v>
      </c>
      <c r="AN40">
        <v>38</v>
      </c>
      <c r="AZ40" t="s">
        <v>694</v>
      </c>
      <c r="BF40" t="s">
        <v>413</v>
      </c>
      <c r="BG40" t="s">
        <v>311</v>
      </c>
    </row>
    <row r="41" spans="18:59" x14ac:dyDescent="0.25">
      <c r="AH41" t="s">
        <v>235</v>
      </c>
      <c r="AI41" t="s">
        <v>234</v>
      </c>
      <c r="AJ41">
        <v>39</v>
      </c>
      <c r="AL41" t="s">
        <v>159</v>
      </c>
      <c r="AM41" t="s">
        <v>159</v>
      </c>
      <c r="AN41">
        <v>39</v>
      </c>
      <c r="AZ41" t="s">
        <v>341</v>
      </c>
      <c r="BF41" t="s">
        <v>414</v>
      </c>
      <c r="BG41" t="s">
        <v>311</v>
      </c>
    </row>
    <row r="42" spans="18:59" x14ac:dyDescent="0.25">
      <c r="AH42" t="s">
        <v>237</v>
      </c>
      <c r="AI42" t="s">
        <v>236</v>
      </c>
      <c r="AJ42">
        <v>40</v>
      </c>
      <c r="AL42" t="s">
        <v>695</v>
      </c>
      <c r="AM42" t="s">
        <v>160</v>
      </c>
      <c r="AN42">
        <v>40</v>
      </c>
      <c r="AZ42" t="s">
        <v>342</v>
      </c>
      <c r="BF42" t="s">
        <v>415</v>
      </c>
      <c r="BG42" t="s">
        <v>311</v>
      </c>
    </row>
    <row r="43" spans="18:59" x14ac:dyDescent="0.25">
      <c r="AH43" t="s">
        <v>239</v>
      </c>
      <c r="AI43" t="s">
        <v>238</v>
      </c>
      <c r="AJ43">
        <v>41</v>
      </c>
      <c r="AL43" t="s">
        <v>162</v>
      </c>
      <c r="AM43" t="s">
        <v>161</v>
      </c>
      <c r="AN43">
        <v>41</v>
      </c>
      <c r="AZ43" t="s">
        <v>343</v>
      </c>
      <c r="BF43" t="s">
        <v>416</v>
      </c>
      <c r="BG43" t="s">
        <v>311</v>
      </c>
    </row>
    <row r="44" spans="18:59" x14ac:dyDescent="0.25">
      <c r="AH44" t="s">
        <v>241</v>
      </c>
      <c r="AI44" t="s">
        <v>240</v>
      </c>
      <c r="AJ44">
        <v>42</v>
      </c>
      <c r="AL44" t="s">
        <v>680</v>
      </c>
      <c r="AM44" t="s">
        <v>163</v>
      </c>
      <c r="AN44">
        <v>42</v>
      </c>
      <c r="AZ44" t="s">
        <v>344</v>
      </c>
      <c r="BF44" t="s">
        <v>417</v>
      </c>
      <c r="BG44" t="s">
        <v>319</v>
      </c>
    </row>
    <row r="45" spans="18:59" x14ac:dyDescent="0.25">
      <c r="AH45" t="s">
        <v>243</v>
      </c>
      <c r="AI45" t="s">
        <v>242</v>
      </c>
      <c r="AJ45">
        <v>43</v>
      </c>
      <c r="AL45" t="s">
        <v>165</v>
      </c>
      <c r="AM45" t="s">
        <v>164</v>
      </c>
      <c r="AN45">
        <v>43</v>
      </c>
      <c r="AZ45" t="s">
        <v>696</v>
      </c>
      <c r="BF45" t="s">
        <v>418</v>
      </c>
      <c r="BG45" t="s">
        <v>284</v>
      </c>
    </row>
    <row r="46" spans="18:59" x14ac:dyDescent="0.25">
      <c r="AH46" t="s">
        <v>245</v>
      </c>
      <c r="AI46" t="s">
        <v>244</v>
      </c>
      <c r="AJ46">
        <v>44</v>
      </c>
      <c r="AL46" t="s">
        <v>167</v>
      </c>
      <c r="AM46" t="s">
        <v>166</v>
      </c>
      <c r="AN46">
        <v>44</v>
      </c>
      <c r="AZ46" t="s">
        <v>345</v>
      </c>
      <c r="BF46" t="s">
        <v>419</v>
      </c>
      <c r="BG46" t="s">
        <v>311</v>
      </c>
    </row>
    <row r="47" spans="18:59" x14ac:dyDescent="0.25">
      <c r="AH47" t="s">
        <v>249</v>
      </c>
      <c r="AI47" t="s">
        <v>248</v>
      </c>
      <c r="AJ47">
        <v>45</v>
      </c>
      <c r="AL47" t="s">
        <v>697</v>
      </c>
      <c r="AM47" t="s">
        <v>168</v>
      </c>
      <c r="AN47">
        <v>45</v>
      </c>
      <c r="AZ47" t="s">
        <v>346</v>
      </c>
      <c r="BF47" t="s">
        <v>420</v>
      </c>
      <c r="BG47" t="s">
        <v>319</v>
      </c>
    </row>
    <row r="48" spans="18:59" x14ac:dyDescent="0.25">
      <c r="AH48" t="s">
        <v>251</v>
      </c>
      <c r="AI48" t="s">
        <v>250</v>
      </c>
      <c r="AJ48">
        <v>46</v>
      </c>
      <c r="AL48" t="s">
        <v>170</v>
      </c>
      <c r="AM48" t="s">
        <v>169</v>
      </c>
      <c r="AN48">
        <v>46</v>
      </c>
      <c r="AZ48" t="s">
        <v>347</v>
      </c>
      <c r="BF48" t="s">
        <v>421</v>
      </c>
      <c r="BG48" t="s">
        <v>319</v>
      </c>
    </row>
    <row r="49" spans="34:59" x14ac:dyDescent="0.25">
      <c r="AH49" t="s">
        <v>698</v>
      </c>
      <c r="AI49" t="s">
        <v>252</v>
      </c>
      <c r="AJ49">
        <v>47</v>
      </c>
      <c r="AL49" t="s">
        <v>172</v>
      </c>
      <c r="AM49" t="s">
        <v>171</v>
      </c>
      <c r="AN49">
        <v>47</v>
      </c>
      <c r="AZ49" t="s">
        <v>348</v>
      </c>
      <c r="BF49" t="s">
        <v>422</v>
      </c>
      <c r="BG49" t="s">
        <v>311</v>
      </c>
    </row>
    <row r="50" spans="34:59" x14ac:dyDescent="0.25">
      <c r="AH50" t="s">
        <v>253</v>
      </c>
      <c r="AI50" t="s">
        <v>253</v>
      </c>
      <c r="AJ50">
        <v>48</v>
      </c>
      <c r="AL50" t="s">
        <v>174</v>
      </c>
      <c r="AM50" t="s">
        <v>173</v>
      </c>
      <c r="AN50">
        <v>48</v>
      </c>
      <c r="AZ50" t="s">
        <v>930</v>
      </c>
      <c r="BF50" t="s">
        <v>423</v>
      </c>
      <c r="BG50" t="s">
        <v>311</v>
      </c>
    </row>
    <row r="51" spans="34:59" x14ac:dyDescent="0.25">
      <c r="AL51" t="s">
        <v>176</v>
      </c>
      <c r="AM51" t="s">
        <v>175</v>
      </c>
      <c r="AN51">
        <v>49</v>
      </c>
      <c r="AZ51" t="s">
        <v>349</v>
      </c>
      <c r="BF51" t="s">
        <v>424</v>
      </c>
      <c r="BG51" t="s">
        <v>319</v>
      </c>
    </row>
    <row r="52" spans="34:59" x14ac:dyDescent="0.25">
      <c r="AL52" t="s">
        <v>177</v>
      </c>
      <c r="AM52" t="s">
        <v>177</v>
      </c>
      <c r="AN52">
        <v>50</v>
      </c>
      <c r="AZ52" t="s">
        <v>780</v>
      </c>
      <c r="BF52" t="s">
        <v>425</v>
      </c>
      <c r="BG52" t="s">
        <v>311</v>
      </c>
    </row>
    <row r="53" spans="34:59" x14ac:dyDescent="0.25">
      <c r="AL53" t="s">
        <v>179</v>
      </c>
      <c r="AM53" t="s">
        <v>178</v>
      </c>
      <c r="AN53">
        <v>51</v>
      </c>
      <c r="AZ53" t="s">
        <v>350</v>
      </c>
      <c r="BF53" t="s">
        <v>426</v>
      </c>
      <c r="BG53" t="s">
        <v>311</v>
      </c>
    </row>
    <row r="54" spans="34:59" x14ac:dyDescent="0.25">
      <c r="AL54" t="s">
        <v>699</v>
      </c>
      <c r="AM54" t="s">
        <v>180</v>
      </c>
      <c r="AN54">
        <v>52</v>
      </c>
      <c r="AZ54" t="s">
        <v>351</v>
      </c>
      <c r="BF54" t="s">
        <v>427</v>
      </c>
      <c r="BG54" t="s">
        <v>311</v>
      </c>
    </row>
    <row r="55" spans="34:59" x14ac:dyDescent="0.25">
      <c r="AL55" t="s">
        <v>182</v>
      </c>
      <c r="AM55" t="s">
        <v>181</v>
      </c>
      <c r="AN55">
        <v>53</v>
      </c>
      <c r="AZ55" t="s">
        <v>352</v>
      </c>
      <c r="BF55" t="s">
        <v>428</v>
      </c>
      <c r="BG55" t="s">
        <v>311</v>
      </c>
    </row>
    <row r="56" spans="34:59" x14ac:dyDescent="0.25">
      <c r="AL56" t="s">
        <v>184</v>
      </c>
      <c r="AM56" t="s">
        <v>183</v>
      </c>
      <c r="AN56">
        <v>54</v>
      </c>
      <c r="AZ56" t="s">
        <v>353</v>
      </c>
      <c r="BF56" t="s">
        <v>429</v>
      </c>
      <c r="BG56" t="s">
        <v>319</v>
      </c>
    </row>
    <row r="57" spans="34:59" x14ac:dyDescent="0.25">
      <c r="AL57" t="s">
        <v>700</v>
      </c>
      <c r="AM57" t="s">
        <v>185</v>
      </c>
      <c r="AN57">
        <v>55</v>
      </c>
      <c r="AZ57" t="s">
        <v>354</v>
      </c>
      <c r="BF57" t="s">
        <v>430</v>
      </c>
      <c r="BG57" t="s">
        <v>319</v>
      </c>
    </row>
    <row r="58" spans="34:59" x14ac:dyDescent="0.25">
      <c r="AL58" t="s">
        <v>187</v>
      </c>
      <c r="AM58" t="s">
        <v>186</v>
      </c>
      <c r="AN58">
        <v>56</v>
      </c>
      <c r="AZ58" t="s">
        <v>931</v>
      </c>
      <c r="BF58" t="s">
        <v>431</v>
      </c>
      <c r="BG58" t="s">
        <v>311</v>
      </c>
    </row>
    <row r="59" spans="34:59" x14ac:dyDescent="0.25">
      <c r="AL59" t="s">
        <v>189</v>
      </c>
      <c r="AM59" t="s">
        <v>188</v>
      </c>
      <c r="AN59">
        <v>57</v>
      </c>
      <c r="AZ59" t="s">
        <v>355</v>
      </c>
      <c r="BF59" t="s">
        <v>432</v>
      </c>
      <c r="BG59" t="s">
        <v>311</v>
      </c>
    </row>
    <row r="60" spans="34:59" x14ac:dyDescent="0.25">
      <c r="AL60" t="s">
        <v>686</v>
      </c>
      <c r="AM60" t="s">
        <v>190</v>
      </c>
      <c r="AN60">
        <v>58</v>
      </c>
      <c r="AZ60" t="s">
        <v>356</v>
      </c>
      <c r="BF60" t="s">
        <v>433</v>
      </c>
      <c r="BG60" t="s">
        <v>311</v>
      </c>
    </row>
    <row r="61" spans="34:59" x14ac:dyDescent="0.25">
      <c r="AL61" t="s">
        <v>192</v>
      </c>
      <c r="AM61" t="s">
        <v>191</v>
      </c>
      <c r="AN61">
        <v>59</v>
      </c>
      <c r="AZ61" t="s">
        <v>357</v>
      </c>
      <c r="BF61" t="s">
        <v>434</v>
      </c>
      <c r="BG61" t="s">
        <v>311</v>
      </c>
    </row>
    <row r="62" spans="34:59" x14ac:dyDescent="0.25">
      <c r="AL62" t="s">
        <v>701</v>
      </c>
      <c r="AM62" t="s">
        <v>193</v>
      </c>
      <c r="AN62">
        <v>60</v>
      </c>
      <c r="AZ62" t="s">
        <v>358</v>
      </c>
      <c r="BF62" t="s">
        <v>435</v>
      </c>
      <c r="BG62" t="s">
        <v>311</v>
      </c>
    </row>
    <row r="63" spans="34:59" x14ac:dyDescent="0.25">
      <c r="AL63" t="s">
        <v>702</v>
      </c>
      <c r="AM63" t="s">
        <v>194</v>
      </c>
      <c r="AN63">
        <v>61</v>
      </c>
      <c r="AZ63" t="s">
        <v>359</v>
      </c>
      <c r="BF63" t="s">
        <v>436</v>
      </c>
      <c r="BG63" t="s">
        <v>311</v>
      </c>
    </row>
    <row r="64" spans="34:59" x14ac:dyDescent="0.25">
      <c r="AL64" t="s">
        <v>196</v>
      </c>
      <c r="AM64" t="s">
        <v>195</v>
      </c>
      <c r="AN64">
        <v>62</v>
      </c>
      <c r="AZ64" t="s">
        <v>360</v>
      </c>
      <c r="BF64" t="s">
        <v>437</v>
      </c>
      <c r="BG64" t="s">
        <v>311</v>
      </c>
    </row>
    <row r="65" spans="38:59" x14ac:dyDescent="0.25">
      <c r="AL65" t="s">
        <v>198</v>
      </c>
      <c r="AM65" t="s">
        <v>197</v>
      </c>
      <c r="AN65">
        <v>63</v>
      </c>
      <c r="AZ65" t="s">
        <v>361</v>
      </c>
      <c r="BF65" t="s">
        <v>853</v>
      </c>
      <c r="BG65" t="s">
        <v>311</v>
      </c>
    </row>
    <row r="66" spans="38:59" x14ac:dyDescent="0.25">
      <c r="AL66" t="s">
        <v>200</v>
      </c>
      <c r="AM66" t="s">
        <v>199</v>
      </c>
      <c r="AN66">
        <v>64</v>
      </c>
      <c r="AZ66" t="s">
        <v>362</v>
      </c>
      <c r="BF66" t="s">
        <v>438</v>
      </c>
      <c r="BG66" t="s">
        <v>311</v>
      </c>
    </row>
    <row r="67" spans="38:59" x14ac:dyDescent="0.25">
      <c r="AL67" t="s">
        <v>202</v>
      </c>
      <c r="AM67" t="s">
        <v>201</v>
      </c>
      <c r="AN67">
        <v>65</v>
      </c>
      <c r="AZ67" t="s">
        <v>363</v>
      </c>
      <c r="BF67" t="s">
        <v>439</v>
      </c>
      <c r="BG67" t="s">
        <v>311</v>
      </c>
    </row>
    <row r="68" spans="38:59" x14ac:dyDescent="0.25">
      <c r="AL68" t="s">
        <v>204</v>
      </c>
      <c r="AM68" t="s">
        <v>203</v>
      </c>
      <c r="AN68">
        <v>66</v>
      </c>
      <c r="AZ68" t="s">
        <v>364</v>
      </c>
      <c r="BF68" t="s">
        <v>440</v>
      </c>
      <c r="BG68" t="s">
        <v>319</v>
      </c>
    </row>
    <row r="69" spans="38:59" x14ac:dyDescent="0.25">
      <c r="AL69" t="s">
        <v>206</v>
      </c>
      <c r="AM69" t="s">
        <v>205</v>
      </c>
      <c r="AN69">
        <v>67</v>
      </c>
      <c r="AZ69" t="s">
        <v>779</v>
      </c>
      <c r="BF69" t="s">
        <v>441</v>
      </c>
      <c r="BG69" t="s">
        <v>311</v>
      </c>
    </row>
    <row r="70" spans="38:59" x14ac:dyDescent="0.25">
      <c r="AL70" t="s">
        <v>208</v>
      </c>
      <c r="AM70" t="s">
        <v>207</v>
      </c>
      <c r="AN70">
        <v>68</v>
      </c>
      <c r="AZ70" t="s">
        <v>365</v>
      </c>
      <c r="BF70" t="s">
        <v>442</v>
      </c>
      <c r="BG70" t="s">
        <v>319</v>
      </c>
    </row>
    <row r="71" spans="38:59" x14ac:dyDescent="0.25">
      <c r="AL71" t="s">
        <v>210</v>
      </c>
      <c r="AM71" t="s">
        <v>209</v>
      </c>
      <c r="AN71">
        <v>69</v>
      </c>
      <c r="AZ71" t="s">
        <v>366</v>
      </c>
      <c r="BF71" t="s">
        <v>443</v>
      </c>
      <c r="BG71" t="s">
        <v>311</v>
      </c>
    </row>
    <row r="72" spans="38:59" x14ac:dyDescent="0.25">
      <c r="AL72" t="s">
        <v>212</v>
      </c>
      <c r="AM72" t="s">
        <v>211</v>
      </c>
      <c r="AN72">
        <v>70</v>
      </c>
      <c r="AZ72" t="s">
        <v>367</v>
      </c>
      <c r="BF72" t="s">
        <v>444</v>
      </c>
      <c r="BG72" t="s">
        <v>319</v>
      </c>
    </row>
    <row r="73" spans="38:59" x14ac:dyDescent="0.25">
      <c r="AL73" t="s">
        <v>214</v>
      </c>
      <c r="AM73" t="s">
        <v>213</v>
      </c>
      <c r="AN73">
        <v>71</v>
      </c>
      <c r="AZ73" t="s">
        <v>368</v>
      </c>
      <c r="BF73" t="s">
        <v>445</v>
      </c>
      <c r="BG73" t="s">
        <v>319</v>
      </c>
    </row>
    <row r="74" spans="38:59" x14ac:dyDescent="0.25">
      <c r="AL74" t="s">
        <v>703</v>
      </c>
      <c r="AM74" t="s">
        <v>215</v>
      </c>
      <c r="AN74">
        <v>72</v>
      </c>
      <c r="AZ74" t="s">
        <v>369</v>
      </c>
      <c r="BF74" t="s">
        <v>446</v>
      </c>
      <c r="BG74" t="s">
        <v>311</v>
      </c>
    </row>
    <row r="75" spans="38:59" x14ac:dyDescent="0.25">
      <c r="AL75" t="s">
        <v>217</v>
      </c>
      <c r="AM75" t="s">
        <v>216</v>
      </c>
      <c r="AN75">
        <v>73</v>
      </c>
      <c r="AZ75" t="s">
        <v>370</v>
      </c>
      <c r="BF75" t="s">
        <v>447</v>
      </c>
      <c r="BG75" t="s">
        <v>319</v>
      </c>
    </row>
    <row r="76" spans="38:59" x14ac:dyDescent="0.25">
      <c r="AL76" t="s">
        <v>219</v>
      </c>
      <c r="AM76" t="s">
        <v>218</v>
      </c>
      <c r="AN76">
        <v>74</v>
      </c>
      <c r="AZ76" t="s">
        <v>371</v>
      </c>
      <c r="BF76" t="s">
        <v>448</v>
      </c>
      <c r="BG76" t="s">
        <v>311</v>
      </c>
    </row>
    <row r="77" spans="38:59" x14ac:dyDescent="0.25">
      <c r="AL77" t="s">
        <v>221</v>
      </c>
      <c r="AM77" t="s">
        <v>220</v>
      </c>
      <c r="AN77">
        <v>75</v>
      </c>
      <c r="AZ77" t="s">
        <v>372</v>
      </c>
      <c r="BF77" t="s">
        <v>449</v>
      </c>
      <c r="BG77" t="s">
        <v>311</v>
      </c>
    </row>
    <row r="78" spans="38:59" x14ac:dyDescent="0.25">
      <c r="AL78" t="s">
        <v>223</v>
      </c>
      <c r="AM78" t="s">
        <v>222</v>
      </c>
      <c r="AN78">
        <v>76</v>
      </c>
      <c r="AZ78" t="s">
        <v>933</v>
      </c>
      <c r="BF78" t="s">
        <v>450</v>
      </c>
      <c r="BG78" t="s">
        <v>311</v>
      </c>
    </row>
    <row r="79" spans="38:59" x14ac:dyDescent="0.25">
      <c r="AL79" t="s">
        <v>225</v>
      </c>
      <c r="AM79" t="s">
        <v>224</v>
      </c>
      <c r="AN79">
        <v>77</v>
      </c>
      <c r="AZ79" t="s">
        <v>373</v>
      </c>
      <c r="BF79" t="s">
        <v>451</v>
      </c>
      <c r="BG79" t="s">
        <v>311</v>
      </c>
    </row>
    <row r="80" spans="38:59" x14ac:dyDescent="0.25">
      <c r="AL80" t="s">
        <v>704</v>
      </c>
      <c r="AM80" t="s">
        <v>226</v>
      </c>
      <c r="AN80">
        <v>78</v>
      </c>
      <c r="AZ80" t="s">
        <v>374</v>
      </c>
      <c r="BF80" t="s">
        <v>452</v>
      </c>
      <c r="BG80" t="s">
        <v>311</v>
      </c>
    </row>
    <row r="81" spans="38:59" x14ac:dyDescent="0.25">
      <c r="AL81" t="s">
        <v>228</v>
      </c>
      <c r="AM81" t="s">
        <v>227</v>
      </c>
      <c r="AN81">
        <v>79</v>
      </c>
      <c r="AZ81" t="s">
        <v>375</v>
      </c>
      <c r="BF81" t="s">
        <v>453</v>
      </c>
      <c r="BG81" t="s">
        <v>311</v>
      </c>
    </row>
    <row r="82" spans="38:59" x14ac:dyDescent="0.25">
      <c r="AL82" t="s">
        <v>230</v>
      </c>
      <c r="AM82" t="s">
        <v>229</v>
      </c>
      <c r="AN82">
        <v>80</v>
      </c>
      <c r="AZ82" t="s">
        <v>376</v>
      </c>
      <c r="BF82" t="s">
        <v>454</v>
      </c>
      <c r="BG82" t="s">
        <v>311</v>
      </c>
    </row>
    <row r="83" spans="38:59" x14ac:dyDescent="0.25">
      <c r="AL83" t="s">
        <v>705</v>
      </c>
      <c r="AM83" t="s">
        <v>231</v>
      </c>
      <c r="AN83">
        <v>81</v>
      </c>
      <c r="AZ83" t="s">
        <v>377</v>
      </c>
      <c r="BF83" t="s">
        <v>455</v>
      </c>
      <c r="BG83" t="s">
        <v>311</v>
      </c>
    </row>
    <row r="84" spans="38:59" x14ac:dyDescent="0.25">
      <c r="AL84" t="s">
        <v>233</v>
      </c>
      <c r="AM84" t="s">
        <v>232</v>
      </c>
      <c r="AN84">
        <v>82</v>
      </c>
      <c r="BF84" t="s">
        <v>456</v>
      </c>
      <c r="BG84" t="s">
        <v>311</v>
      </c>
    </row>
    <row r="85" spans="38:59" x14ac:dyDescent="0.25">
      <c r="AL85" t="s">
        <v>235</v>
      </c>
      <c r="AM85" t="s">
        <v>234</v>
      </c>
      <c r="AN85">
        <v>83</v>
      </c>
      <c r="BF85" t="s">
        <v>457</v>
      </c>
      <c r="BG85" t="s">
        <v>311</v>
      </c>
    </row>
    <row r="86" spans="38:59" x14ac:dyDescent="0.25">
      <c r="AL86" t="s">
        <v>237</v>
      </c>
      <c r="AM86" t="s">
        <v>236</v>
      </c>
      <c r="AN86">
        <v>84</v>
      </c>
      <c r="BF86" t="s">
        <v>458</v>
      </c>
      <c r="BG86" t="s">
        <v>319</v>
      </c>
    </row>
    <row r="87" spans="38:59" x14ac:dyDescent="0.25">
      <c r="AL87" t="s">
        <v>239</v>
      </c>
      <c r="AM87" t="s">
        <v>238</v>
      </c>
      <c r="AN87">
        <v>85</v>
      </c>
      <c r="BF87" t="s">
        <v>459</v>
      </c>
      <c r="BG87" t="s">
        <v>319</v>
      </c>
    </row>
    <row r="88" spans="38:59" x14ac:dyDescent="0.25">
      <c r="AL88" t="s">
        <v>241</v>
      </c>
      <c r="AM88" t="s">
        <v>240</v>
      </c>
      <c r="AN88">
        <v>86</v>
      </c>
      <c r="BF88" t="s">
        <v>460</v>
      </c>
      <c r="BG88" t="s">
        <v>311</v>
      </c>
    </row>
    <row r="89" spans="38:59" x14ac:dyDescent="0.25">
      <c r="AL89" t="s">
        <v>243</v>
      </c>
      <c r="AM89" t="s">
        <v>242</v>
      </c>
      <c r="AN89">
        <v>87</v>
      </c>
      <c r="BF89" t="s">
        <v>461</v>
      </c>
      <c r="BG89" t="s">
        <v>311</v>
      </c>
    </row>
    <row r="90" spans="38:59" x14ac:dyDescent="0.25">
      <c r="AL90" t="s">
        <v>245</v>
      </c>
      <c r="AM90" t="s">
        <v>244</v>
      </c>
      <c r="AN90">
        <v>88</v>
      </c>
      <c r="BF90" t="s">
        <v>462</v>
      </c>
      <c r="BG90" t="s">
        <v>311</v>
      </c>
    </row>
    <row r="91" spans="38:59" x14ac:dyDescent="0.25">
      <c r="AL91" t="s">
        <v>247</v>
      </c>
      <c r="AM91" t="s">
        <v>246</v>
      </c>
      <c r="AN91">
        <v>89</v>
      </c>
      <c r="BF91" t="s">
        <v>852</v>
      </c>
      <c r="BG91" t="s">
        <v>311</v>
      </c>
    </row>
    <row r="92" spans="38:59" x14ac:dyDescent="0.25">
      <c r="AL92" t="s">
        <v>249</v>
      </c>
      <c r="AM92" t="s">
        <v>248</v>
      </c>
      <c r="AN92">
        <v>90</v>
      </c>
      <c r="BF92" t="s">
        <v>463</v>
      </c>
      <c r="BG92" t="s">
        <v>311</v>
      </c>
    </row>
    <row r="93" spans="38:59" x14ac:dyDescent="0.25">
      <c r="AL93" t="s">
        <v>251</v>
      </c>
      <c r="AM93" t="s">
        <v>250</v>
      </c>
      <c r="AN93">
        <v>91</v>
      </c>
      <c r="BF93" t="s">
        <v>464</v>
      </c>
      <c r="BG93" t="s">
        <v>319</v>
      </c>
    </row>
    <row r="94" spans="38:59" x14ac:dyDescent="0.25">
      <c r="AL94" t="s">
        <v>698</v>
      </c>
      <c r="AM94" t="s">
        <v>252</v>
      </c>
      <c r="AN94">
        <v>92</v>
      </c>
      <c r="BF94" t="s">
        <v>465</v>
      </c>
      <c r="BG94" t="s">
        <v>311</v>
      </c>
    </row>
    <row r="95" spans="38:59" x14ac:dyDescent="0.25">
      <c r="AL95" t="s">
        <v>253</v>
      </c>
      <c r="AM95" t="s">
        <v>253</v>
      </c>
      <c r="AN95">
        <v>93</v>
      </c>
      <c r="BF95" t="s">
        <v>466</v>
      </c>
      <c r="BG95" t="s">
        <v>319</v>
      </c>
    </row>
    <row r="96" spans="38:59" x14ac:dyDescent="0.25">
      <c r="AL96" t="s">
        <v>838</v>
      </c>
      <c r="AM96" t="s">
        <v>837</v>
      </c>
      <c r="BF96" t="s">
        <v>467</v>
      </c>
      <c r="BG96" t="s">
        <v>311</v>
      </c>
    </row>
    <row r="97" spans="58:59" x14ac:dyDescent="0.25">
      <c r="BF97" t="s">
        <v>468</v>
      </c>
      <c r="BG97" t="s">
        <v>311</v>
      </c>
    </row>
    <row r="98" spans="58:59" x14ac:dyDescent="0.25">
      <c r="BF98" t="s">
        <v>728</v>
      </c>
      <c r="BG98" t="s">
        <v>311</v>
      </c>
    </row>
    <row r="99" spans="58:59" x14ac:dyDescent="0.25">
      <c r="BF99" t="s">
        <v>469</v>
      </c>
      <c r="BG99" t="s">
        <v>284</v>
      </c>
    </row>
    <row r="100" spans="58:59" x14ac:dyDescent="0.25">
      <c r="BF100" t="s">
        <v>470</v>
      </c>
      <c r="BG100" t="s">
        <v>284</v>
      </c>
    </row>
    <row r="101" spans="58:59" x14ac:dyDescent="0.25">
      <c r="BF101" t="s">
        <v>471</v>
      </c>
      <c r="BG101" t="s">
        <v>284</v>
      </c>
    </row>
    <row r="102" spans="58:59" x14ac:dyDescent="0.25">
      <c r="BF102" t="s">
        <v>472</v>
      </c>
      <c r="BG102" t="s">
        <v>284</v>
      </c>
    </row>
    <row r="103" spans="58:59" x14ac:dyDescent="0.25">
      <c r="BF103" t="s">
        <v>473</v>
      </c>
      <c r="BG103" t="s">
        <v>311</v>
      </c>
    </row>
    <row r="104" spans="58:59" x14ac:dyDescent="0.25">
      <c r="BF104" t="s">
        <v>474</v>
      </c>
      <c r="BG104" t="s">
        <v>284</v>
      </c>
    </row>
    <row r="105" spans="58:59" x14ac:dyDescent="0.25">
      <c r="BF105" t="s">
        <v>475</v>
      </c>
      <c r="BG105" t="s">
        <v>284</v>
      </c>
    </row>
    <row r="106" spans="58:59" x14ac:dyDescent="0.25">
      <c r="BF106" t="s">
        <v>934</v>
      </c>
      <c r="BG106" t="s">
        <v>311</v>
      </c>
    </row>
    <row r="107" spans="58:59" x14ac:dyDescent="0.25">
      <c r="BF107" t="s">
        <v>476</v>
      </c>
      <c r="BG107" t="s">
        <v>284</v>
      </c>
    </row>
    <row r="108" spans="58:59" x14ac:dyDescent="0.25">
      <c r="BF108" t="s">
        <v>477</v>
      </c>
      <c r="BG108" t="s">
        <v>672</v>
      </c>
    </row>
    <row r="109" spans="58:59" x14ac:dyDescent="0.25">
      <c r="BF109" t="s">
        <v>478</v>
      </c>
      <c r="BG109" t="s">
        <v>311</v>
      </c>
    </row>
    <row r="110" spans="58:59" x14ac:dyDescent="0.25">
      <c r="BF110" t="s">
        <v>479</v>
      </c>
      <c r="BG110" t="s">
        <v>672</v>
      </c>
    </row>
    <row r="111" spans="58:59" x14ac:dyDescent="0.25">
      <c r="BF111" t="s">
        <v>480</v>
      </c>
      <c r="BG111" t="s">
        <v>672</v>
      </c>
    </row>
    <row r="112" spans="58:59" x14ac:dyDescent="0.25">
      <c r="BF112" t="s">
        <v>481</v>
      </c>
      <c r="BG112" t="s">
        <v>672</v>
      </c>
    </row>
    <row r="113" spans="58:59" x14ac:dyDescent="0.25">
      <c r="BF113" t="s">
        <v>482</v>
      </c>
      <c r="BG113" t="s">
        <v>284</v>
      </c>
    </row>
    <row r="114" spans="58:59" x14ac:dyDescent="0.25">
      <c r="BF114" t="s">
        <v>483</v>
      </c>
      <c r="BG114" t="s">
        <v>672</v>
      </c>
    </row>
    <row r="115" spans="58:59" x14ac:dyDescent="0.25">
      <c r="BF115" t="s">
        <v>484</v>
      </c>
      <c r="BG115" t="s">
        <v>284</v>
      </c>
    </row>
    <row r="116" spans="58:59" x14ac:dyDescent="0.25">
      <c r="BF116" t="s">
        <v>485</v>
      </c>
      <c r="BG116" t="s">
        <v>672</v>
      </c>
    </row>
    <row r="117" spans="58:59" x14ac:dyDescent="0.25">
      <c r="BF117" t="s">
        <v>486</v>
      </c>
      <c r="BG117" t="s">
        <v>284</v>
      </c>
    </row>
    <row r="118" spans="58:59" x14ac:dyDescent="0.25">
      <c r="BF118" t="s">
        <v>487</v>
      </c>
      <c r="BG118" t="s">
        <v>284</v>
      </c>
    </row>
    <row r="119" spans="58:59" x14ac:dyDescent="0.25">
      <c r="BF119" t="s">
        <v>488</v>
      </c>
      <c r="BG119" t="s">
        <v>284</v>
      </c>
    </row>
    <row r="120" spans="58:59" x14ac:dyDescent="0.25">
      <c r="BF120" t="s">
        <v>489</v>
      </c>
      <c r="BG120" t="s">
        <v>284</v>
      </c>
    </row>
    <row r="121" spans="58:59" x14ac:dyDescent="0.25">
      <c r="BF121" t="s">
        <v>490</v>
      </c>
      <c r="BG121" t="s">
        <v>284</v>
      </c>
    </row>
    <row r="122" spans="58:59" x14ac:dyDescent="0.25">
      <c r="BF122" t="s">
        <v>491</v>
      </c>
      <c r="BG122" t="s">
        <v>284</v>
      </c>
    </row>
    <row r="123" spans="58:59" x14ac:dyDescent="0.25">
      <c r="BF123" t="s">
        <v>492</v>
      </c>
      <c r="BG123" t="s">
        <v>284</v>
      </c>
    </row>
    <row r="124" spans="58:59" x14ac:dyDescent="0.25">
      <c r="BF124" t="s">
        <v>493</v>
      </c>
      <c r="BG124" t="s">
        <v>284</v>
      </c>
    </row>
    <row r="125" spans="58:59" x14ac:dyDescent="0.25">
      <c r="BF125" t="s">
        <v>494</v>
      </c>
      <c r="BG125" t="s">
        <v>284</v>
      </c>
    </row>
    <row r="126" spans="58:59" x14ac:dyDescent="0.25">
      <c r="BF126" t="s">
        <v>495</v>
      </c>
      <c r="BG126" t="s">
        <v>284</v>
      </c>
    </row>
    <row r="127" spans="58:59" x14ac:dyDescent="0.25">
      <c r="BF127" t="s">
        <v>496</v>
      </c>
      <c r="BG127" t="s">
        <v>284</v>
      </c>
    </row>
    <row r="128" spans="58:59" x14ac:dyDescent="0.25">
      <c r="BF128" t="s">
        <v>497</v>
      </c>
      <c r="BG128" t="s">
        <v>672</v>
      </c>
    </row>
    <row r="129" spans="58:59" x14ac:dyDescent="0.25">
      <c r="BF129" t="s">
        <v>498</v>
      </c>
      <c r="BG129" t="s">
        <v>672</v>
      </c>
    </row>
    <row r="130" spans="58:59" x14ac:dyDescent="0.25">
      <c r="BF130" t="s">
        <v>499</v>
      </c>
      <c r="BG130" t="s">
        <v>672</v>
      </c>
    </row>
    <row r="131" spans="58:59" x14ac:dyDescent="0.25">
      <c r="BF131" t="s">
        <v>734</v>
      </c>
      <c r="BG131" t="s">
        <v>672</v>
      </c>
    </row>
    <row r="132" spans="58:59" x14ac:dyDescent="0.25">
      <c r="BF132" t="s">
        <v>500</v>
      </c>
      <c r="BG132" t="s">
        <v>284</v>
      </c>
    </row>
    <row r="133" spans="58:59" x14ac:dyDescent="0.25">
      <c r="BF133" t="s">
        <v>501</v>
      </c>
      <c r="BG133" t="s">
        <v>284</v>
      </c>
    </row>
    <row r="134" spans="58:59" x14ac:dyDescent="0.25">
      <c r="BF134" t="s">
        <v>502</v>
      </c>
      <c r="BG134" t="s">
        <v>284</v>
      </c>
    </row>
    <row r="135" spans="58:59" x14ac:dyDescent="0.25">
      <c r="BF135" t="s">
        <v>503</v>
      </c>
      <c r="BG135" t="s">
        <v>284</v>
      </c>
    </row>
    <row r="136" spans="58:59" x14ac:dyDescent="0.25">
      <c r="BF136" t="s">
        <v>504</v>
      </c>
      <c r="BG136" t="s">
        <v>284</v>
      </c>
    </row>
    <row r="137" spans="58:59" x14ac:dyDescent="0.25">
      <c r="BF137" t="s">
        <v>505</v>
      </c>
      <c r="BG137" t="s">
        <v>284</v>
      </c>
    </row>
    <row r="138" spans="58:59" x14ac:dyDescent="0.25">
      <c r="BF138" t="s">
        <v>506</v>
      </c>
      <c r="BG138" t="s">
        <v>284</v>
      </c>
    </row>
    <row r="139" spans="58:59" x14ac:dyDescent="0.25">
      <c r="BF139" t="s">
        <v>507</v>
      </c>
      <c r="BG139" t="s">
        <v>284</v>
      </c>
    </row>
    <row r="140" spans="58:59" x14ac:dyDescent="0.25">
      <c r="BF140" t="s">
        <v>508</v>
      </c>
      <c r="BG140" t="s">
        <v>284</v>
      </c>
    </row>
    <row r="141" spans="58:59" x14ac:dyDescent="0.25">
      <c r="BF141" t="s">
        <v>509</v>
      </c>
      <c r="BG141" t="s">
        <v>284</v>
      </c>
    </row>
    <row r="142" spans="58:59" x14ac:dyDescent="0.25">
      <c r="BF142" t="s">
        <v>724</v>
      </c>
      <c r="BG142" t="s">
        <v>284</v>
      </c>
    </row>
    <row r="143" spans="58:59" x14ac:dyDescent="0.25">
      <c r="BF143" t="s">
        <v>510</v>
      </c>
      <c r="BG143" t="s">
        <v>284</v>
      </c>
    </row>
    <row r="144" spans="58:59" x14ac:dyDescent="0.25">
      <c r="BF144" t="s">
        <v>511</v>
      </c>
      <c r="BG144" t="s">
        <v>284</v>
      </c>
    </row>
    <row r="145" spans="58:59" x14ac:dyDescent="0.25">
      <c r="BF145" t="s">
        <v>512</v>
      </c>
      <c r="BG145" t="s">
        <v>672</v>
      </c>
    </row>
    <row r="146" spans="58:59" x14ac:dyDescent="0.25">
      <c r="BF146" t="s">
        <v>513</v>
      </c>
      <c r="BG146" t="s">
        <v>284</v>
      </c>
    </row>
    <row r="147" spans="58:59" x14ac:dyDescent="0.25">
      <c r="BF147" t="s">
        <v>514</v>
      </c>
      <c r="BG147" t="s">
        <v>284</v>
      </c>
    </row>
    <row r="148" spans="58:59" x14ac:dyDescent="0.25">
      <c r="BF148" t="s">
        <v>515</v>
      </c>
      <c r="BG148" t="s">
        <v>284</v>
      </c>
    </row>
    <row r="149" spans="58:59" x14ac:dyDescent="0.25">
      <c r="BF149" t="s">
        <v>516</v>
      </c>
      <c r="BG149" t="s">
        <v>284</v>
      </c>
    </row>
    <row r="150" spans="58:59" x14ac:dyDescent="0.25">
      <c r="BF150" t="s">
        <v>517</v>
      </c>
      <c r="BG150" t="s">
        <v>284</v>
      </c>
    </row>
    <row r="151" spans="58:59" x14ac:dyDescent="0.25">
      <c r="BF151" t="s">
        <v>518</v>
      </c>
      <c r="BG151" t="s">
        <v>284</v>
      </c>
    </row>
    <row r="152" spans="58:59" x14ac:dyDescent="0.25">
      <c r="BF152" t="s">
        <v>519</v>
      </c>
      <c r="BG152" t="s">
        <v>284</v>
      </c>
    </row>
    <row r="153" spans="58:59" x14ac:dyDescent="0.25">
      <c r="BF153" t="s">
        <v>520</v>
      </c>
      <c r="BG153" t="s">
        <v>284</v>
      </c>
    </row>
    <row r="154" spans="58:59" x14ac:dyDescent="0.25">
      <c r="BF154" t="s">
        <v>521</v>
      </c>
      <c r="BG154" t="s">
        <v>284</v>
      </c>
    </row>
    <row r="155" spans="58:59" x14ac:dyDescent="0.25">
      <c r="BF155" t="s">
        <v>522</v>
      </c>
      <c r="BG155" t="s">
        <v>284</v>
      </c>
    </row>
    <row r="156" spans="58:59" x14ac:dyDescent="0.25">
      <c r="BF156" t="s">
        <v>523</v>
      </c>
      <c r="BG156" t="s">
        <v>319</v>
      </c>
    </row>
    <row r="157" spans="58:59" x14ac:dyDescent="0.25">
      <c r="BF157" t="s">
        <v>524</v>
      </c>
      <c r="BG157" t="s">
        <v>284</v>
      </c>
    </row>
    <row r="158" spans="58:59" x14ac:dyDescent="0.25">
      <c r="BF158" t="s">
        <v>525</v>
      </c>
      <c r="BG158" t="s">
        <v>284</v>
      </c>
    </row>
    <row r="159" spans="58:59" x14ac:dyDescent="0.25">
      <c r="BF159" t="s">
        <v>526</v>
      </c>
      <c r="BG159" t="s">
        <v>284</v>
      </c>
    </row>
    <row r="160" spans="58:59" x14ac:dyDescent="0.25">
      <c r="BF160" t="s">
        <v>527</v>
      </c>
      <c r="BG160" t="s">
        <v>284</v>
      </c>
    </row>
    <row r="161" spans="58:59" x14ac:dyDescent="0.25">
      <c r="BF161" t="s">
        <v>528</v>
      </c>
      <c r="BG161" t="s">
        <v>284</v>
      </c>
    </row>
    <row r="162" spans="58:59" x14ac:dyDescent="0.25">
      <c r="BF162" t="s">
        <v>529</v>
      </c>
      <c r="BG162" t="s">
        <v>284</v>
      </c>
    </row>
    <row r="163" spans="58:59" x14ac:dyDescent="0.25">
      <c r="BF163" t="s">
        <v>530</v>
      </c>
      <c r="BG163" t="s">
        <v>319</v>
      </c>
    </row>
    <row r="164" spans="58:59" x14ac:dyDescent="0.25">
      <c r="BF164" t="s">
        <v>531</v>
      </c>
      <c r="BG164" t="s">
        <v>284</v>
      </c>
    </row>
    <row r="165" spans="58:59" x14ac:dyDescent="0.25">
      <c r="BF165" t="s">
        <v>532</v>
      </c>
      <c r="BG165" t="s">
        <v>284</v>
      </c>
    </row>
    <row r="166" spans="58:59" x14ac:dyDescent="0.25">
      <c r="BF166" t="s">
        <v>533</v>
      </c>
      <c r="BG166" t="s">
        <v>284</v>
      </c>
    </row>
    <row r="167" spans="58:59" x14ac:dyDescent="0.25">
      <c r="BF167" t="s">
        <v>534</v>
      </c>
      <c r="BG167" t="s">
        <v>284</v>
      </c>
    </row>
    <row r="168" spans="58:59" x14ac:dyDescent="0.25">
      <c r="BF168" t="s">
        <v>535</v>
      </c>
      <c r="BG168" t="s">
        <v>672</v>
      </c>
    </row>
    <row r="169" spans="58:59" x14ac:dyDescent="0.25">
      <c r="BF169" t="s">
        <v>536</v>
      </c>
      <c r="BG169" t="s">
        <v>284</v>
      </c>
    </row>
    <row r="170" spans="58:59" x14ac:dyDescent="0.25">
      <c r="BF170" t="s">
        <v>537</v>
      </c>
      <c r="BG170" t="s">
        <v>284</v>
      </c>
    </row>
    <row r="171" spans="58:59" x14ac:dyDescent="0.25">
      <c r="BF171" t="s">
        <v>538</v>
      </c>
      <c r="BG171" t="s">
        <v>284</v>
      </c>
    </row>
    <row r="172" spans="58:59" x14ac:dyDescent="0.25">
      <c r="BF172" t="s">
        <v>539</v>
      </c>
      <c r="BG172" t="s">
        <v>284</v>
      </c>
    </row>
    <row r="173" spans="58:59" x14ac:dyDescent="0.25">
      <c r="BF173" t="s">
        <v>540</v>
      </c>
      <c r="BG173" t="s">
        <v>284</v>
      </c>
    </row>
    <row r="174" spans="58:59" x14ac:dyDescent="0.25">
      <c r="BF174" t="s">
        <v>541</v>
      </c>
      <c r="BG174" t="s">
        <v>672</v>
      </c>
    </row>
    <row r="175" spans="58:59" x14ac:dyDescent="0.25">
      <c r="BF175" t="s">
        <v>542</v>
      </c>
      <c r="BG175" t="s">
        <v>284</v>
      </c>
    </row>
    <row r="176" spans="58:59" x14ac:dyDescent="0.25">
      <c r="BF176" t="s">
        <v>543</v>
      </c>
      <c r="BG176" t="s">
        <v>284</v>
      </c>
    </row>
    <row r="177" spans="58:59" x14ac:dyDescent="0.25">
      <c r="BF177" t="s">
        <v>544</v>
      </c>
      <c r="BG177" t="s">
        <v>284</v>
      </c>
    </row>
    <row r="178" spans="58:59" x14ac:dyDescent="0.25">
      <c r="BF178" t="s">
        <v>545</v>
      </c>
      <c r="BG178" t="s">
        <v>284</v>
      </c>
    </row>
    <row r="179" spans="58:59" x14ac:dyDescent="0.25">
      <c r="BF179" t="s">
        <v>546</v>
      </c>
      <c r="BG179" t="s">
        <v>284</v>
      </c>
    </row>
    <row r="180" spans="58:59" x14ac:dyDescent="0.25">
      <c r="BF180" t="s">
        <v>547</v>
      </c>
      <c r="BG180" t="s">
        <v>284</v>
      </c>
    </row>
    <row r="181" spans="58:59" x14ac:dyDescent="0.25">
      <c r="BF181" t="s">
        <v>548</v>
      </c>
      <c r="BG181" t="s">
        <v>284</v>
      </c>
    </row>
    <row r="182" spans="58:59" x14ac:dyDescent="0.25">
      <c r="BF182" t="s">
        <v>549</v>
      </c>
      <c r="BG182" t="s">
        <v>284</v>
      </c>
    </row>
    <row r="183" spans="58:59" x14ac:dyDescent="0.25">
      <c r="BF183" t="s">
        <v>550</v>
      </c>
      <c r="BG183" t="s">
        <v>284</v>
      </c>
    </row>
    <row r="184" spans="58:59" x14ac:dyDescent="0.25">
      <c r="BF184" t="s">
        <v>551</v>
      </c>
      <c r="BG184" t="s">
        <v>284</v>
      </c>
    </row>
    <row r="185" spans="58:59" x14ac:dyDescent="0.25">
      <c r="BF185" t="s">
        <v>552</v>
      </c>
      <c r="BG185" t="s">
        <v>284</v>
      </c>
    </row>
    <row r="186" spans="58:59" x14ac:dyDescent="0.25">
      <c r="BF186" t="s">
        <v>553</v>
      </c>
      <c r="BG186" t="s">
        <v>284</v>
      </c>
    </row>
    <row r="187" spans="58:59" x14ac:dyDescent="0.25">
      <c r="BF187" t="s">
        <v>554</v>
      </c>
      <c r="BG187" t="s">
        <v>284</v>
      </c>
    </row>
    <row r="188" spans="58:59" x14ac:dyDescent="0.25">
      <c r="BF188" t="s">
        <v>555</v>
      </c>
      <c r="BG188" t="s">
        <v>284</v>
      </c>
    </row>
    <row r="189" spans="58:59" x14ac:dyDescent="0.25">
      <c r="BF189" t="s">
        <v>556</v>
      </c>
      <c r="BG189" t="s">
        <v>284</v>
      </c>
    </row>
    <row r="190" spans="58:59" x14ac:dyDescent="0.25">
      <c r="BF190" t="s">
        <v>557</v>
      </c>
      <c r="BG190" t="s">
        <v>284</v>
      </c>
    </row>
    <row r="191" spans="58:59" x14ac:dyDescent="0.25">
      <c r="BF191" t="s">
        <v>558</v>
      </c>
      <c r="BG191" t="s">
        <v>284</v>
      </c>
    </row>
    <row r="192" spans="58:59" x14ac:dyDescent="0.25">
      <c r="BF192" t="s">
        <v>559</v>
      </c>
      <c r="BG192" t="s">
        <v>284</v>
      </c>
    </row>
    <row r="193" spans="58:59" x14ac:dyDescent="0.25">
      <c r="BF193" t="s">
        <v>560</v>
      </c>
      <c r="BG193" t="s">
        <v>284</v>
      </c>
    </row>
    <row r="194" spans="58:59" x14ac:dyDescent="0.25">
      <c r="BF194" t="s">
        <v>561</v>
      </c>
      <c r="BG194" t="s">
        <v>284</v>
      </c>
    </row>
    <row r="195" spans="58:59" x14ac:dyDescent="0.25">
      <c r="BF195" t="s">
        <v>562</v>
      </c>
      <c r="BG195" t="s">
        <v>284</v>
      </c>
    </row>
    <row r="196" spans="58:59" x14ac:dyDescent="0.25">
      <c r="BF196" t="s">
        <v>563</v>
      </c>
      <c r="BG196" t="s">
        <v>284</v>
      </c>
    </row>
    <row r="197" spans="58:59" x14ac:dyDescent="0.25">
      <c r="BF197" t="s">
        <v>564</v>
      </c>
      <c r="BG197" t="s">
        <v>284</v>
      </c>
    </row>
    <row r="198" spans="58:59" x14ac:dyDescent="0.25">
      <c r="BF198" t="s">
        <v>565</v>
      </c>
      <c r="BG198" t="s">
        <v>284</v>
      </c>
    </row>
    <row r="199" spans="58:59" x14ac:dyDescent="0.25">
      <c r="BF199" t="s">
        <v>566</v>
      </c>
      <c r="BG199" t="s">
        <v>672</v>
      </c>
    </row>
    <row r="200" spans="58:59" x14ac:dyDescent="0.25">
      <c r="BF200" t="s">
        <v>567</v>
      </c>
      <c r="BG200" t="s">
        <v>284</v>
      </c>
    </row>
    <row r="201" spans="58:59" x14ac:dyDescent="0.25">
      <c r="BF201" t="s">
        <v>568</v>
      </c>
      <c r="BG201" t="s">
        <v>284</v>
      </c>
    </row>
    <row r="202" spans="58:59" x14ac:dyDescent="0.25">
      <c r="BF202" t="s">
        <v>569</v>
      </c>
      <c r="BG202" t="s">
        <v>284</v>
      </c>
    </row>
    <row r="203" spans="58:59" x14ac:dyDescent="0.25">
      <c r="BF203" t="s">
        <v>570</v>
      </c>
      <c r="BG203" t="s">
        <v>672</v>
      </c>
    </row>
    <row r="204" spans="58:59" x14ac:dyDescent="0.25">
      <c r="BF204" t="s">
        <v>571</v>
      </c>
      <c r="BG204" t="s">
        <v>284</v>
      </c>
    </row>
    <row r="205" spans="58:59" x14ac:dyDescent="0.25">
      <c r="BF205" t="s">
        <v>572</v>
      </c>
      <c r="BG205" t="s">
        <v>284</v>
      </c>
    </row>
    <row r="206" spans="58:59" x14ac:dyDescent="0.25">
      <c r="BF206" t="s">
        <v>573</v>
      </c>
      <c r="BG206" t="s">
        <v>672</v>
      </c>
    </row>
    <row r="207" spans="58:59" x14ac:dyDescent="0.25">
      <c r="BF207" t="s">
        <v>574</v>
      </c>
      <c r="BG207" t="s">
        <v>284</v>
      </c>
    </row>
    <row r="208" spans="58:59" x14ac:dyDescent="0.25">
      <c r="BF208" t="s">
        <v>575</v>
      </c>
      <c r="BG208" t="s">
        <v>284</v>
      </c>
    </row>
    <row r="209" spans="58:59" x14ac:dyDescent="0.25">
      <c r="BF209" t="s">
        <v>576</v>
      </c>
      <c r="BG209" t="s">
        <v>319</v>
      </c>
    </row>
    <row r="210" spans="58:59" x14ac:dyDescent="0.25">
      <c r="BF210" t="s">
        <v>577</v>
      </c>
      <c r="BG210" t="s">
        <v>284</v>
      </c>
    </row>
    <row r="211" spans="58:59" x14ac:dyDescent="0.25">
      <c r="BF211" t="s">
        <v>578</v>
      </c>
      <c r="BG211" t="s">
        <v>284</v>
      </c>
    </row>
    <row r="212" spans="58:59" x14ac:dyDescent="0.25">
      <c r="BF212" t="s">
        <v>579</v>
      </c>
      <c r="BG212" t="s">
        <v>284</v>
      </c>
    </row>
    <row r="213" spans="58:59" x14ac:dyDescent="0.25">
      <c r="BF213" t="s">
        <v>580</v>
      </c>
      <c r="BG213" t="s">
        <v>284</v>
      </c>
    </row>
    <row r="214" spans="58:59" x14ac:dyDescent="0.25">
      <c r="BF214" t="s">
        <v>581</v>
      </c>
      <c r="BG214" t="s">
        <v>284</v>
      </c>
    </row>
    <row r="215" spans="58:59" x14ac:dyDescent="0.25">
      <c r="BF215" t="s">
        <v>582</v>
      </c>
      <c r="BG215" t="s">
        <v>284</v>
      </c>
    </row>
    <row r="216" spans="58:59" x14ac:dyDescent="0.25">
      <c r="BF216" t="s">
        <v>583</v>
      </c>
      <c r="BG216" t="s">
        <v>284</v>
      </c>
    </row>
    <row r="217" spans="58:59" x14ac:dyDescent="0.25">
      <c r="BF217" t="s">
        <v>584</v>
      </c>
      <c r="BG217" t="s">
        <v>672</v>
      </c>
    </row>
    <row r="218" spans="58:59" x14ac:dyDescent="0.25">
      <c r="BF218" t="s">
        <v>585</v>
      </c>
      <c r="BG218" t="s">
        <v>311</v>
      </c>
    </row>
    <row r="219" spans="58:59" x14ac:dyDescent="0.25">
      <c r="BF219" t="s">
        <v>586</v>
      </c>
      <c r="BG219" t="s">
        <v>284</v>
      </c>
    </row>
    <row r="220" spans="58:59" x14ac:dyDescent="0.25">
      <c r="BF220" t="s">
        <v>587</v>
      </c>
      <c r="BG220" t="s">
        <v>672</v>
      </c>
    </row>
    <row r="221" spans="58:59" x14ac:dyDescent="0.25">
      <c r="BF221" t="s">
        <v>588</v>
      </c>
      <c r="BG221" t="s">
        <v>284</v>
      </c>
    </row>
    <row r="222" spans="58:59" x14ac:dyDescent="0.25">
      <c r="BF222" t="s">
        <v>589</v>
      </c>
      <c r="BG222" t="s">
        <v>284</v>
      </c>
    </row>
    <row r="223" spans="58:59" x14ac:dyDescent="0.25">
      <c r="BF223" t="s">
        <v>590</v>
      </c>
      <c r="BG223" t="s">
        <v>284</v>
      </c>
    </row>
    <row r="224" spans="58:59" x14ac:dyDescent="0.25">
      <c r="BF224" t="s">
        <v>591</v>
      </c>
      <c r="BG224" t="s">
        <v>284</v>
      </c>
    </row>
    <row r="225" spans="58:59" x14ac:dyDescent="0.25">
      <c r="BF225" t="s">
        <v>592</v>
      </c>
      <c r="BG225" t="s">
        <v>284</v>
      </c>
    </row>
    <row r="226" spans="58:59" x14ac:dyDescent="0.25">
      <c r="BF226" t="s">
        <v>593</v>
      </c>
      <c r="BG226" t="s">
        <v>718</v>
      </c>
    </row>
    <row r="227" spans="58:59" x14ac:dyDescent="0.25">
      <c r="BF227" t="s">
        <v>594</v>
      </c>
      <c r="BG227" t="s">
        <v>672</v>
      </c>
    </row>
    <row r="228" spans="58:59" x14ac:dyDescent="0.25">
      <c r="BF228" t="s">
        <v>595</v>
      </c>
      <c r="BG228" t="s">
        <v>284</v>
      </c>
    </row>
    <row r="229" spans="58:59" x14ac:dyDescent="0.25">
      <c r="BF229" t="s">
        <v>727</v>
      </c>
      <c r="BG229" t="s">
        <v>284</v>
      </c>
    </row>
    <row r="230" spans="58:59" x14ac:dyDescent="0.25">
      <c r="BF230" t="s">
        <v>596</v>
      </c>
      <c r="BG230" t="s">
        <v>284</v>
      </c>
    </row>
    <row r="231" spans="58:59" x14ac:dyDescent="0.25">
      <c r="BF231" t="s">
        <v>597</v>
      </c>
      <c r="BG231" t="s">
        <v>284</v>
      </c>
    </row>
    <row r="232" spans="58:59" x14ac:dyDescent="0.25">
      <c r="BF232" t="s">
        <v>598</v>
      </c>
      <c r="BG232" t="s">
        <v>284</v>
      </c>
    </row>
    <row r="233" spans="58:59" x14ac:dyDescent="0.25">
      <c r="BF233" t="s">
        <v>599</v>
      </c>
      <c r="BG233" t="s">
        <v>284</v>
      </c>
    </row>
    <row r="234" spans="58:59" x14ac:dyDescent="0.25">
      <c r="BF234" t="s">
        <v>600</v>
      </c>
      <c r="BG234" t="s">
        <v>319</v>
      </c>
    </row>
    <row r="235" spans="58:59" x14ac:dyDescent="0.25">
      <c r="BF235" t="s">
        <v>601</v>
      </c>
      <c r="BG235" t="s">
        <v>284</v>
      </c>
    </row>
    <row r="236" spans="58:59" x14ac:dyDescent="0.25">
      <c r="BF236" t="s">
        <v>602</v>
      </c>
      <c r="BG236" t="s">
        <v>284</v>
      </c>
    </row>
    <row r="237" spans="58:59" x14ac:dyDescent="0.25">
      <c r="BF237" t="s">
        <v>603</v>
      </c>
      <c r="BG237" t="s">
        <v>284</v>
      </c>
    </row>
    <row r="238" spans="58:59" x14ac:dyDescent="0.25">
      <c r="BF238" t="s">
        <v>604</v>
      </c>
      <c r="BG238" t="s">
        <v>284</v>
      </c>
    </row>
    <row r="239" spans="58:59" x14ac:dyDescent="0.25">
      <c r="BF239" t="s">
        <v>605</v>
      </c>
      <c r="BG239" t="s">
        <v>284</v>
      </c>
    </row>
    <row r="240" spans="58:59" x14ac:dyDescent="0.25">
      <c r="BF240" t="s">
        <v>606</v>
      </c>
      <c r="BG240" t="s">
        <v>284</v>
      </c>
    </row>
    <row r="241" spans="58:59" x14ac:dyDescent="0.25">
      <c r="BF241" t="s">
        <v>607</v>
      </c>
      <c r="BG241" t="s">
        <v>284</v>
      </c>
    </row>
    <row r="242" spans="58:59" x14ac:dyDescent="0.25">
      <c r="BF242" t="s">
        <v>608</v>
      </c>
      <c r="BG242" t="s">
        <v>284</v>
      </c>
    </row>
    <row r="243" spans="58:59" x14ac:dyDescent="0.25">
      <c r="BF243" t="s">
        <v>609</v>
      </c>
      <c r="BG243" t="s">
        <v>284</v>
      </c>
    </row>
    <row r="244" spans="58:59" x14ac:dyDescent="0.25">
      <c r="BF244" t="s">
        <v>610</v>
      </c>
      <c r="BG244" t="s">
        <v>284</v>
      </c>
    </row>
    <row r="245" spans="58:59" x14ac:dyDescent="0.25">
      <c r="BF245" t="s">
        <v>611</v>
      </c>
      <c r="BG245" t="s">
        <v>284</v>
      </c>
    </row>
    <row r="246" spans="58:59" x14ac:dyDescent="0.25">
      <c r="BF246" t="s">
        <v>612</v>
      </c>
      <c r="BG246" t="s">
        <v>284</v>
      </c>
    </row>
    <row r="247" spans="58:59" x14ac:dyDescent="0.25">
      <c r="BF247" t="s">
        <v>613</v>
      </c>
      <c r="BG247" t="s">
        <v>284</v>
      </c>
    </row>
    <row r="248" spans="58:59" x14ac:dyDescent="0.25">
      <c r="BF248" t="s">
        <v>614</v>
      </c>
      <c r="BG248" t="s">
        <v>284</v>
      </c>
    </row>
    <row r="249" spans="58:59" x14ac:dyDescent="0.25">
      <c r="BF249" t="s">
        <v>615</v>
      </c>
      <c r="BG249" t="s">
        <v>284</v>
      </c>
    </row>
    <row r="250" spans="58:59" x14ac:dyDescent="0.25">
      <c r="BF250" t="s">
        <v>732</v>
      </c>
      <c r="BG250" t="s">
        <v>311</v>
      </c>
    </row>
    <row r="251" spans="58:59" x14ac:dyDescent="0.25">
      <c r="BF251" t="s">
        <v>708</v>
      </c>
      <c r="BG251" t="s">
        <v>313</v>
      </c>
    </row>
    <row r="252" spans="58:59" x14ac:dyDescent="0.25">
      <c r="BF252" t="s">
        <v>616</v>
      </c>
      <c r="BG252" t="s">
        <v>313</v>
      </c>
    </row>
    <row r="253" spans="58:59" x14ac:dyDescent="0.25">
      <c r="BF253" t="s">
        <v>617</v>
      </c>
      <c r="BG253" t="s">
        <v>672</v>
      </c>
    </row>
    <row r="254" spans="58:59" x14ac:dyDescent="0.25">
      <c r="BF254" t="s">
        <v>855</v>
      </c>
      <c r="BG254" t="s">
        <v>672</v>
      </c>
    </row>
    <row r="255" spans="58:59" x14ac:dyDescent="0.25">
      <c r="BF255" t="s">
        <v>618</v>
      </c>
      <c r="BG255" t="s">
        <v>672</v>
      </c>
    </row>
    <row r="256" spans="58:59" x14ac:dyDescent="0.25">
      <c r="BF256" t="s">
        <v>619</v>
      </c>
      <c r="BG256" t="s">
        <v>672</v>
      </c>
    </row>
    <row r="257" spans="58:59" x14ac:dyDescent="0.25">
      <c r="BF257" t="s">
        <v>620</v>
      </c>
      <c r="BG257" t="s">
        <v>672</v>
      </c>
    </row>
    <row r="258" spans="58:59" x14ac:dyDescent="0.25">
      <c r="BF258" t="s">
        <v>621</v>
      </c>
      <c r="BG258" t="s">
        <v>313</v>
      </c>
    </row>
    <row r="259" spans="58:59" x14ac:dyDescent="0.25">
      <c r="BF259" t="s">
        <v>856</v>
      </c>
      <c r="BG259" t="s">
        <v>313</v>
      </c>
    </row>
    <row r="260" spans="58:59" x14ac:dyDescent="0.25">
      <c r="BF260" t="s">
        <v>622</v>
      </c>
      <c r="BG260" t="s">
        <v>313</v>
      </c>
    </row>
    <row r="261" spans="58:59" x14ac:dyDescent="0.25">
      <c r="BF261" t="s">
        <v>729</v>
      </c>
      <c r="BG261" t="s">
        <v>672</v>
      </c>
    </row>
    <row r="262" spans="58:59" x14ac:dyDescent="0.25">
      <c r="BF262" t="s">
        <v>623</v>
      </c>
      <c r="BG262" t="s">
        <v>313</v>
      </c>
    </row>
    <row r="263" spans="58:59" x14ac:dyDescent="0.25">
      <c r="BF263" t="s">
        <v>854</v>
      </c>
      <c r="BG263" t="s">
        <v>672</v>
      </c>
    </row>
    <row r="264" spans="58:59" x14ac:dyDescent="0.25">
      <c r="BF264" t="s">
        <v>624</v>
      </c>
      <c r="BG264" t="s">
        <v>313</v>
      </c>
    </row>
    <row r="265" spans="58:59" x14ac:dyDescent="0.25">
      <c r="BF265" t="s">
        <v>857</v>
      </c>
    </row>
    <row r="266" spans="58:59" x14ac:dyDescent="0.25">
      <c r="BF266" t="s">
        <v>625</v>
      </c>
      <c r="BG266" t="s">
        <v>672</v>
      </c>
    </row>
    <row r="267" spans="58:59" x14ac:dyDescent="0.25">
      <c r="BF267" t="s">
        <v>707</v>
      </c>
      <c r="BG267" t="s">
        <v>311</v>
      </c>
    </row>
    <row r="268" spans="58:59" x14ac:dyDescent="0.25">
      <c r="BF268" t="s">
        <v>706</v>
      </c>
      <c r="BG268" t="s">
        <v>311</v>
      </c>
    </row>
    <row r="269" spans="58:59" x14ac:dyDescent="0.25">
      <c r="BF269" t="s">
        <v>731</v>
      </c>
      <c r="BG269" t="s">
        <v>672</v>
      </c>
    </row>
    <row r="270" spans="58:59" x14ac:dyDescent="0.25">
      <c r="BF270" t="s">
        <v>730</v>
      </c>
      <c r="BG270" t="s">
        <v>672</v>
      </c>
    </row>
    <row r="271" spans="58:59" x14ac:dyDescent="0.25">
      <c r="BF271" t="s">
        <v>733</v>
      </c>
      <c r="BG271" t="s">
        <v>311</v>
      </c>
    </row>
    <row r="272" spans="58:59" x14ac:dyDescent="0.25">
      <c r="BF272" t="s">
        <v>379</v>
      </c>
      <c r="BG272" t="s">
        <v>311</v>
      </c>
    </row>
  </sheetData>
  <autoFilter ref="BF2:BK271" xr:uid="{B6A8789F-04AB-4EF8-87BF-3152634E52B1}">
    <filterColumn colId="3" showButton="0"/>
    <sortState xmlns:xlrd2="http://schemas.microsoft.com/office/spreadsheetml/2017/richdata2" ref="BF3:BK272">
      <sortCondition ref="BF2:BF271"/>
    </sortState>
  </autoFilter>
  <mergeCells count="22">
    <mergeCell ref="AS2:AU2"/>
    <mergeCell ref="AP2:AQ2"/>
    <mergeCell ref="Y2:Z2"/>
    <mergeCell ref="AD2:AF2"/>
    <mergeCell ref="U2:W2"/>
    <mergeCell ref="AH2:AJ2"/>
    <mergeCell ref="AL2:AN2"/>
    <mergeCell ref="CA2:CB2"/>
    <mergeCell ref="BX2:BY2"/>
    <mergeCell ref="AZ2:BA2"/>
    <mergeCell ref="AW2:AX2"/>
    <mergeCell ref="BC2:BD2"/>
    <mergeCell ref="BI2:BJ2"/>
    <mergeCell ref="BM2:BN2"/>
    <mergeCell ref="BQ2:BR2"/>
    <mergeCell ref="BT2:BU2"/>
    <mergeCell ref="B2:C2"/>
    <mergeCell ref="E2:F2"/>
    <mergeCell ref="H2:I2"/>
    <mergeCell ref="O2:P2"/>
    <mergeCell ref="R2:S2"/>
    <mergeCell ref="K2:M2"/>
  </mergeCells>
  <phoneticPr fontId="8" type="noConversion"/>
  <dataValidations disablePrompts="1" count="1">
    <dataValidation type="list" allowBlank="1" showInputMessage="1" showErrorMessage="1" sqref="BF138" xr:uid="{4FBC9D9E-7ACD-4026-BE49-5DDDFC38051F}">
      <formula1>list_size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95</vt:i4>
      </vt:variant>
    </vt:vector>
  </HeadingPairs>
  <TitlesOfParts>
    <vt:vector size="100" baseType="lpstr">
      <vt:lpstr>Campanha</vt:lpstr>
      <vt:lpstr>ADP</vt:lpstr>
      <vt:lpstr>ID's</vt:lpstr>
      <vt:lpstr>Contadores</vt:lpstr>
      <vt:lpstr>All Codes</vt:lpstr>
      <vt:lpstr>adchan</vt:lpstr>
      <vt:lpstr>adcr</vt:lpstr>
      <vt:lpstr>adpay</vt:lpstr>
      <vt:lpstr>adpl</vt:lpstr>
      <vt:lpstr>adplt</vt:lpstr>
      <vt:lpstr>campaign</vt:lpstr>
      <vt:lpstr>cel_campaing</vt:lpstr>
      <vt:lpstr>cel_country</vt:lpstr>
      <vt:lpstr>cel_freefield</vt:lpstr>
      <vt:lpstr>cel_idcampaign</vt:lpstr>
      <vt:lpstr>cel_idcampaignname</vt:lpstr>
      <vt:lpstr>cel_mediachannel</vt:lpstr>
      <vt:lpstr>cel_modelvariant</vt:lpstr>
      <vt:lpstr>cel_name</vt:lpstr>
      <vt:lpstr>cel_planningprinciple</vt:lpstr>
      <vt:lpstr>cel_structurename</vt:lpstr>
      <vt:lpstr>col_adlid</vt:lpstr>
      <vt:lpstr>col_adname</vt:lpstr>
      <vt:lpstr>col_buyingmetric</vt:lpstr>
      <vt:lpstr>col_buyingtype</vt:lpstr>
      <vt:lpstr>col_campanhaanunciante</vt:lpstr>
      <vt:lpstr>col_device</vt:lpstr>
      <vt:lpstr>col_grupoanunciante</vt:lpstr>
      <vt:lpstr>col_keyword</vt:lpstr>
      <vt:lpstr>col_linhacriativa2</vt:lpstr>
      <vt:lpstr>col_localfreetype</vt:lpstr>
      <vt:lpstr>col_objetivo</vt:lpstr>
      <vt:lpstr>col_paidvsav</vt:lpstr>
      <vt:lpstr>col_parametrizacao</vt:lpstr>
      <vt:lpstr>col_placement</vt:lpstr>
      <vt:lpstr>col_segmentacao</vt:lpstr>
      <vt:lpstr>col_segmentacaodeanun</vt:lpstr>
      <vt:lpstr>col_servidopor</vt:lpstr>
      <vt:lpstr>col_sitesection</vt:lpstr>
      <vt:lpstr>col_size</vt:lpstr>
      <vt:lpstr>col_submediachannel</vt:lpstr>
      <vt:lpstr>col_supplier</vt:lpstr>
      <vt:lpstr>col_trackingtype</vt:lpstr>
      <vt:lpstr>col_unitname</vt:lpstr>
      <vt:lpstr>col_url</vt:lpstr>
      <vt:lpstr>col_utmcampaign</vt:lpstr>
      <vt:lpstr>col_utmcontent</vt:lpstr>
      <vt:lpstr>col_utmmedium</vt:lpstr>
      <vt:lpstr>col_utmsource</vt:lpstr>
      <vt:lpstr>country</vt:lpstr>
      <vt:lpstr>format</vt:lpstr>
      <vt:lpstr>id_placement</vt:lpstr>
      <vt:lpstr>language</vt:lpstr>
      <vt:lpstr>list_brand</vt:lpstr>
      <vt:lpstr>list_buyingmetric</vt:lpstr>
      <vt:lpstr>list_buyingtype</vt:lpstr>
      <vt:lpstr>list_campaigncategory</vt:lpstr>
      <vt:lpstr>list_campaigntype</vt:lpstr>
      <vt:lpstr>list_country</vt:lpstr>
      <vt:lpstr>list_date</vt:lpstr>
      <vt:lpstr>list_device</vt:lpstr>
      <vt:lpstr>list_mediachannel</vt:lpstr>
      <vt:lpstr>list_model</vt:lpstr>
      <vt:lpstr>list_modelvariant</vt:lpstr>
      <vt:lpstr>list_paidvsav</vt:lpstr>
      <vt:lpstr>list_planningprinciple</vt:lpstr>
      <vt:lpstr>list_servidopor</vt:lpstr>
      <vt:lpstr>list_site</vt:lpstr>
      <vt:lpstr>list_sitesection</vt:lpstr>
      <vt:lpstr>list_size</vt:lpstr>
      <vt:lpstr>list_strategyphase</vt:lpstr>
      <vt:lpstr>list_submediachannel</vt:lpstr>
      <vt:lpstr>list_trackingtype</vt:lpstr>
      <vt:lpstr>list_type</vt:lpstr>
      <vt:lpstr>list_unitname</vt:lpstr>
      <vt:lpstr>publisher</vt:lpstr>
      <vt:lpstr>tab_buyingmetric</vt:lpstr>
      <vt:lpstr>tab_buyingtype</vt:lpstr>
      <vt:lpstr>tab_campaigncategory</vt:lpstr>
      <vt:lpstr>tab_campaigntype</vt:lpstr>
      <vt:lpstr>'ID''s'!tab_contadores</vt:lpstr>
      <vt:lpstr>tab_contadores</vt:lpstr>
      <vt:lpstr>tab_country</vt:lpstr>
      <vt:lpstr>tab_date</vt:lpstr>
      <vt:lpstr>tab_device</vt:lpstr>
      <vt:lpstr>tab_mediachannel</vt:lpstr>
      <vt:lpstr>tab_model</vt:lpstr>
      <vt:lpstr>tab_modelvariant</vt:lpstr>
      <vt:lpstr>tab_objetivo</vt:lpstr>
      <vt:lpstr>tab_paidvsav</vt:lpstr>
      <vt:lpstr>tab_parametrizacao</vt:lpstr>
      <vt:lpstr>tab_planningprinciple</vt:lpstr>
      <vt:lpstr>tab_sitesection</vt:lpstr>
      <vt:lpstr>tab_strategyphase</vt:lpstr>
      <vt:lpstr>tab_submediachannel</vt:lpstr>
      <vt:lpstr>tab_trackingtype</vt:lpstr>
      <vt:lpstr>tab_type</vt:lpstr>
      <vt:lpstr>tab_unitname</vt:lpstr>
      <vt:lpstr>url_adobe</vt:lpstr>
      <vt:lpstr>url_ga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Henrique Yoshio Nishisaki - Almap BBDO;wilson.silva@almapbbdo.com.br</dc:creator>
  <cp:lastModifiedBy>Felipe Lima</cp:lastModifiedBy>
  <cp:lastPrinted>2019-04-17T19:18:50Z</cp:lastPrinted>
  <dcterms:created xsi:type="dcterms:W3CDTF">2019-01-30T17:15:32Z</dcterms:created>
  <dcterms:modified xsi:type="dcterms:W3CDTF">2021-04-14T15:59:32Z</dcterms:modified>
</cp:coreProperties>
</file>