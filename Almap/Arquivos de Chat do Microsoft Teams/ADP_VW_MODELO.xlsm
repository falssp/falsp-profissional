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J:\MIDIA\2021 Planning\01. ADP - MODELO ADOBE 2020\VW\"/>
    </mc:Choice>
  </mc:AlternateContent>
  <xr:revisionPtr revIDLastSave="0" documentId="13_ncr:1_{D3744592-F92D-476E-B5E0-4E1BA68A61F0}" xr6:coauthVersionLast="44" xr6:coauthVersionMax="45" xr10:uidLastSave="{00000000-0000-0000-0000-000000000000}"/>
  <bookViews>
    <workbookView xWindow="20370" yWindow="-1935" windowWidth="29040" windowHeight="15840" xr2:uid="{5C905383-3BE9-4CDF-A385-B91C6C7CBA37}"/>
  </bookViews>
  <sheets>
    <sheet name="Campanha" sheetId="1" r:id="rId1"/>
    <sheet name="ADP" sheetId="2" r:id="rId2"/>
    <sheet name="ID's" sheetId="6" r:id="rId3"/>
    <sheet name="Contadores" sheetId="5" r:id="rId4"/>
    <sheet name="All Codes" sheetId="4" r:id="rId5"/>
  </sheets>
  <functionGroups builtInGroupCount="19"/>
  <definedNames>
    <definedName name="_xlnm._FilterDatabase" localSheetId="1" hidden="1">ADP!$B$4:$BI$114</definedName>
    <definedName name="_xlnm._FilterDatabase" localSheetId="4" hidden="1">'All Codes'!$BF$2:$BG$280</definedName>
    <definedName name="_xlnm._FilterDatabase" localSheetId="3" hidden="1">Contadores!$A$1:$B$1</definedName>
    <definedName name="_xlnm._FilterDatabase" localSheetId="2" hidden="1">'ID''s'!$A$1:$B$1</definedName>
    <definedName name="_Key1" hidden="1">#REF!</definedName>
    <definedName name="_Key2" hidden="1">#REF!</definedName>
    <definedName name="_Order1" hidden="1">255</definedName>
    <definedName name="_Order2" hidden="1">0</definedName>
    <definedName name="_Sort" hidden="1">#REF!</definedName>
    <definedName name="adchan">ADP!$AT:$AT</definedName>
    <definedName name="adcr">ADP!$BA:$BA</definedName>
    <definedName name="adpay">ADP!$BF:$BF</definedName>
    <definedName name="adpl">ADP!$AW:$AW</definedName>
    <definedName name="adplt">ADP!$AY:$AY</definedName>
    <definedName name="campaign">ADP!$AX:$AX</definedName>
    <definedName name="cel_campaing">Campanha!$B$14</definedName>
    <definedName name="cel_country">Campanha!$B$6</definedName>
    <definedName name="cel_freefield">Campanha!$B$16</definedName>
    <definedName name="cel_idcampaign">Campanha!$B$2</definedName>
    <definedName name="cel_idcampaignname">Campanha!$B$15</definedName>
    <definedName name="cel_mediachannel">Campanha!$B$8</definedName>
    <definedName name="cel_modelvariant">Campanha!$B$13</definedName>
    <definedName name="cel_name">Campanha!$B$3</definedName>
    <definedName name="cel_planningprinciple">Campanha!$B$7</definedName>
    <definedName name="cel_structurename">Campanha!$B$4</definedName>
    <definedName name="col_adlid">ADP!$BD:$BD</definedName>
    <definedName name="col_adname">ADP!$AJ:$AJ</definedName>
    <definedName name="col_buyingmetric">ADP!$N:$N</definedName>
    <definedName name="col_buyingtype">ADP!$M:$M</definedName>
    <definedName name="col_campanhaanunciante">ADP!$BL:$BL</definedName>
    <definedName name="col_device">ADP!$R:$R</definedName>
    <definedName name="col_grupoanunciante">ADP!$BM:$BM</definedName>
    <definedName name="col_keyword">ADP!$AR:$AR</definedName>
    <definedName name="col_linhacriativa2">ADP!$U:$U</definedName>
    <definedName name="col_localfreetype">ADP!$T:$T</definedName>
    <definedName name="col_objetivo">ADP!$S:$S</definedName>
    <definedName name="col_paidvsav">ADP!$X:$X</definedName>
    <definedName name="col_parametrizacao">ADP!$I:$I</definedName>
    <definedName name="col_placement">ADP!$AI:$AI</definedName>
    <definedName name="col_segmentacao">ADP!$V:$V</definedName>
    <definedName name="col_segmentacaodeanun">ADP!$W:$W</definedName>
    <definedName name="col_servidopor">ADP!$G:$G</definedName>
    <definedName name="col_sitesection">ADP!$Q:$Q</definedName>
    <definedName name="col_size">ADP!$Y:$Y</definedName>
    <definedName name="col_submediachannel">ADP!$L:$L</definedName>
    <definedName name="col_supplier">ADP!$J:$J</definedName>
    <definedName name="col_trackingtype">ADP!$O:$O</definedName>
    <definedName name="col_unitname">ADP!$P:$P</definedName>
    <definedName name="col_url">ADP!$H:$H</definedName>
    <definedName name="col_utmcampaign">ADP!$AP:$AP</definedName>
    <definedName name="col_utmcontent">ADP!$AQ:$AQ</definedName>
    <definedName name="col_utmmedium">ADP!$AO:$AO</definedName>
    <definedName name="col_utmsource">ADP!$AN:$AN</definedName>
    <definedName name="country">ADP!$AU:$AU</definedName>
    <definedName name="format">ADP!$AZ:$AZ</definedName>
    <definedName name="id_placement">'ID''s'!$A:$B</definedName>
    <definedName name="language">ADP!$BE:$BE</definedName>
    <definedName name="list_brand">'All Codes'!$B$3:$B$4</definedName>
    <definedName name="list_buyingmetric">'All Codes'!$E$3:$E$9</definedName>
    <definedName name="list_buyingtype">'All Codes'!$H$3:$H$5</definedName>
    <definedName name="list_campaigncategory">'All Codes'!$K$3:$K$7</definedName>
    <definedName name="list_campaigntype">'All Codes'!$O$3:$O$6</definedName>
    <definedName name="list_country">'All Codes'!$R$3:$R$34</definedName>
    <definedName name="list_date">'All Codes'!$U$3:$U$26</definedName>
    <definedName name="list_device">'All Codes'!$Y$3:$Y$7</definedName>
    <definedName name="list_mediachannel">'All Codes'!$AD$3:$AD$8</definedName>
    <definedName name="list_model">'All Codes'!$AH$3:$AH$51</definedName>
    <definedName name="list_modelvariant">'All Codes'!$AL$3:$AL$96</definedName>
    <definedName name="list_paidvsav">'All Codes'!$AP$3:$AP$7</definedName>
    <definedName name="list_planningprinciple">'All Codes'!$AS$3:$AS$6</definedName>
    <definedName name="list_servidopor">'All Codes'!$AW$3:$AW$7</definedName>
    <definedName name="list_site">'All Codes'!$AZ$3:$AZ$82</definedName>
    <definedName name="list_sitesection">'All Codes'!$BC$3:$BC$7</definedName>
    <definedName name="list_size">'All Codes'!$BF$3:$BF$285</definedName>
    <definedName name="list_strategyphase">'All Codes'!$BI$3:$BI$11</definedName>
    <definedName name="list_submediachannel">'All Codes'!$BM$3:$BM$10</definedName>
    <definedName name="list_trackingtype">'All Codes'!$BQ$3:$BQ$10</definedName>
    <definedName name="list_type">'All Codes'!$BT$3:$BT$5</definedName>
    <definedName name="list_unitname">'All Codes'!$BX$3:$BX$10</definedName>
    <definedName name="publisher">ADP!$AV:$AV</definedName>
    <definedName name="tab_buyingmetric">'All Codes'!$E:$F</definedName>
    <definedName name="tab_buyingtype">'All Codes'!$H:$I</definedName>
    <definedName name="tab_campaigncategory">'All Codes'!$K:$M</definedName>
    <definedName name="tab_campaigntype">'All Codes'!$O:$P</definedName>
    <definedName name="tab_contadores" localSheetId="2">'ID''s'!$A:$B</definedName>
    <definedName name="tab_contadores">Contadores!$A:$B</definedName>
    <definedName name="tab_country">'All Codes'!$R:$S</definedName>
    <definedName name="tab_date">'All Codes'!$U:$W</definedName>
    <definedName name="tab_device">'All Codes'!$Y:$Z</definedName>
    <definedName name="tab_mediachannel">'All Codes'!$AD:$AF</definedName>
    <definedName name="tab_model">'All Codes'!$AH:$AI</definedName>
    <definedName name="tab_modelvariant">'All Codes'!$AL:$AN</definedName>
    <definedName name="tab_objetivo">'All Codes'!$CA$3:$CA$18</definedName>
    <definedName name="tab_paidvsav">'All Codes'!$AP:$AQ</definedName>
    <definedName name="tab_parametrizacao">'All Codes'!$AB$3:$AB$6</definedName>
    <definedName name="tab_planningprinciple">'All Codes'!$AS:$AU</definedName>
    <definedName name="tab_sitesection">'All Codes'!$BC:$BD</definedName>
    <definedName name="tab_strategyphase">'All Codes'!$BI:$BK</definedName>
    <definedName name="tab_submediachannel">'All Codes'!$BM:$BN</definedName>
    <definedName name="tab_trackingtype">'All Codes'!$BQ:$BR</definedName>
    <definedName name="tab_type">'All Codes'!$BT:$BV</definedName>
    <definedName name="tab_unitname">'All Codes'!$BX:$BY</definedName>
    <definedName name="url_adobe">ADP!$BI:$BI</definedName>
    <definedName name="url_ga">ADP!$AS:$AS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40" i="2" l="1"/>
  <c r="AO40" i="2"/>
  <c r="AT40" i="2"/>
  <c r="AU40" i="2"/>
  <c r="BE40" i="2" s="1"/>
  <c r="AV40" i="2"/>
  <c r="AW40" i="2"/>
  <c r="AX40" i="2"/>
  <c r="AZ40" i="2"/>
  <c r="BA40" i="2"/>
  <c r="BF40" i="2"/>
  <c r="BM40" i="2"/>
  <c r="AN41" i="2"/>
  <c r="AO41" i="2"/>
  <c r="AT41" i="2"/>
  <c r="AU41" i="2"/>
  <c r="BE41" i="2" s="1"/>
  <c r="AV41" i="2"/>
  <c r="AW41" i="2"/>
  <c r="AX41" i="2"/>
  <c r="AZ41" i="2"/>
  <c r="BA41" i="2"/>
  <c r="BF41" i="2"/>
  <c r="BM41" i="2"/>
  <c r="AN42" i="2"/>
  <c r="AO42" i="2"/>
  <c r="AT42" i="2"/>
  <c r="AU42" i="2"/>
  <c r="BE42" i="2" s="1"/>
  <c r="AV42" i="2"/>
  <c r="AW42" i="2"/>
  <c r="AX42" i="2"/>
  <c r="AZ42" i="2"/>
  <c r="BA42" i="2"/>
  <c r="BF42" i="2"/>
  <c r="BM42" i="2"/>
  <c r="AN43" i="2"/>
  <c r="AO43" i="2"/>
  <c r="AT43" i="2"/>
  <c r="AU43" i="2"/>
  <c r="BE43" i="2" s="1"/>
  <c r="AV43" i="2"/>
  <c r="AW43" i="2"/>
  <c r="AX43" i="2"/>
  <c r="AZ43" i="2"/>
  <c r="BA43" i="2"/>
  <c r="BF43" i="2"/>
  <c r="BM43" i="2"/>
  <c r="AN44" i="2"/>
  <c r="AO44" i="2"/>
  <c r="AT44" i="2"/>
  <c r="AU44" i="2"/>
  <c r="BE44" i="2" s="1"/>
  <c r="AV44" i="2"/>
  <c r="AW44" i="2"/>
  <c r="AX44" i="2"/>
  <c r="AZ44" i="2"/>
  <c r="BA44" i="2"/>
  <c r="BF44" i="2"/>
  <c r="BM44" i="2"/>
  <c r="AN45" i="2"/>
  <c r="AO45" i="2"/>
  <c r="AT45" i="2"/>
  <c r="AU45" i="2"/>
  <c r="BE45" i="2" s="1"/>
  <c r="AV45" i="2"/>
  <c r="AW45" i="2"/>
  <c r="AX45" i="2"/>
  <c r="AZ45" i="2"/>
  <c r="BA45" i="2"/>
  <c r="BF45" i="2"/>
  <c r="BM45" i="2"/>
  <c r="AN46" i="2"/>
  <c r="AO46" i="2"/>
  <c r="AT46" i="2"/>
  <c r="AU46" i="2"/>
  <c r="BE46" i="2" s="1"/>
  <c r="AV46" i="2"/>
  <c r="AW46" i="2"/>
  <c r="AX46" i="2"/>
  <c r="AZ46" i="2"/>
  <c r="BA46" i="2"/>
  <c r="BF46" i="2"/>
  <c r="BM46" i="2"/>
  <c r="AN47" i="2"/>
  <c r="AO47" i="2"/>
  <c r="AT47" i="2"/>
  <c r="AU47" i="2"/>
  <c r="BE47" i="2" s="1"/>
  <c r="AV47" i="2"/>
  <c r="AW47" i="2"/>
  <c r="AX47" i="2"/>
  <c r="AZ47" i="2"/>
  <c r="BA47" i="2"/>
  <c r="BF47" i="2"/>
  <c r="BM47" i="2"/>
  <c r="AN48" i="2"/>
  <c r="AO48" i="2"/>
  <c r="AT48" i="2"/>
  <c r="AU48" i="2"/>
  <c r="BE48" i="2" s="1"/>
  <c r="AV48" i="2"/>
  <c r="AW48" i="2"/>
  <c r="AX48" i="2"/>
  <c r="AZ48" i="2"/>
  <c r="BA48" i="2"/>
  <c r="BF48" i="2"/>
  <c r="BM48" i="2"/>
  <c r="AN49" i="2"/>
  <c r="AO49" i="2"/>
  <c r="AT49" i="2"/>
  <c r="AU49" i="2"/>
  <c r="BE49" i="2" s="1"/>
  <c r="AV49" i="2"/>
  <c r="AW49" i="2"/>
  <c r="AX49" i="2"/>
  <c r="AZ49" i="2"/>
  <c r="BA49" i="2"/>
  <c r="BF49" i="2"/>
  <c r="BM49" i="2"/>
  <c r="AN50" i="2"/>
  <c r="AO50" i="2"/>
  <c r="AT50" i="2"/>
  <c r="AU50" i="2"/>
  <c r="BE50" i="2" s="1"/>
  <c r="AV50" i="2"/>
  <c r="AW50" i="2"/>
  <c r="AX50" i="2"/>
  <c r="AZ50" i="2"/>
  <c r="BA50" i="2"/>
  <c r="BF50" i="2"/>
  <c r="BM50" i="2"/>
  <c r="AN51" i="2"/>
  <c r="AO51" i="2"/>
  <c r="AT51" i="2"/>
  <c r="AU51" i="2"/>
  <c r="BE51" i="2" s="1"/>
  <c r="AV51" i="2"/>
  <c r="AW51" i="2"/>
  <c r="AX51" i="2"/>
  <c r="AZ51" i="2"/>
  <c r="BA51" i="2"/>
  <c r="BF51" i="2"/>
  <c r="BM51" i="2"/>
  <c r="AN52" i="2"/>
  <c r="AO52" i="2"/>
  <c r="AT52" i="2"/>
  <c r="AU52" i="2"/>
  <c r="BE52" i="2" s="1"/>
  <c r="AV52" i="2"/>
  <c r="AW52" i="2"/>
  <c r="AX52" i="2"/>
  <c r="AZ52" i="2"/>
  <c r="BA52" i="2"/>
  <c r="BF52" i="2"/>
  <c r="BM52" i="2"/>
  <c r="AN53" i="2"/>
  <c r="AO53" i="2"/>
  <c r="AT53" i="2"/>
  <c r="AU53" i="2"/>
  <c r="BE53" i="2" s="1"/>
  <c r="AV53" i="2"/>
  <c r="AW53" i="2"/>
  <c r="AX53" i="2"/>
  <c r="AZ53" i="2"/>
  <c r="BA53" i="2"/>
  <c r="BF53" i="2"/>
  <c r="BM53" i="2"/>
  <c r="AN54" i="2"/>
  <c r="AO54" i="2"/>
  <c r="AT54" i="2"/>
  <c r="AU54" i="2"/>
  <c r="BE54" i="2" s="1"/>
  <c r="AV54" i="2"/>
  <c r="AW54" i="2"/>
  <c r="AX54" i="2"/>
  <c r="AZ54" i="2"/>
  <c r="BA54" i="2"/>
  <c r="BF54" i="2"/>
  <c r="BM54" i="2"/>
  <c r="AN55" i="2"/>
  <c r="AO55" i="2"/>
  <c r="AT55" i="2"/>
  <c r="AU55" i="2"/>
  <c r="BE55" i="2" s="1"/>
  <c r="AV55" i="2"/>
  <c r="AW55" i="2"/>
  <c r="AX55" i="2"/>
  <c r="AZ55" i="2"/>
  <c r="BA55" i="2"/>
  <c r="BF55" i="2"/>
  <c r="BM55" i="2"/>
  <c r="AN56" i="2"/>
  <c r="AO56" i="2"/>
  <c r="AT56" i="2"/>
  <c r="AU56" i="2"/>
  <c r="BE56" i="2" s="1"/>
  <c r="AV56" i="2"/>
  <c r="AW56" i="2"/>
  <c r="AX56" i="2"/>
  <c r="AZ56" i="2"/>
  <c r="BA56" i="2"/>
  <c r="BF56" i="2"/>
  <c r="BM56" i="2"/>
  <c r="AM57" i="2"/>
  <c r="AN57" i="2"/>
  <c r="AO57" i="2"/>
  <c r="AT57" i="2"/>
  <c r="AU57" i="2"/>
  <c r="BE57" i="2" s="1"/>
  <c r="AV57" i="2"/>
  <c r="AW57" i="2"/>
  <c r="AX57" i="2"/>
  <c r="AZ57" i="2"/>
  <c r="BA57" i="2"/>
  <c r="BF57" i="2"/>
  <c r="BM57" i="2"/>
  <c r="AM58" i="2"/>
  <c r="AN58" i="2"/>
  <c r="AO58" i="2"/>
  <c r="AT58" i="2"/>
  <c r="AU58" i="2"/>
  <c r="AV58" i="2"/>
  <c r="AW58" i="2"/>
  <c r="AX58" i="2"/>
  <c r="AZ58" i="2"/>
  <c r="BA58" i="2"/>
  <c r="BE58" i="2"/>
  <c r="BF58" i="2"/>
  <c r="BM58" i="2"/>
  <c r="AM59" i="2"/>
  <c r="AN59" i="2"/>
  <c r="AO59" i="2"/>
  <c r="AT59" i="2"/>
  <c r="AU59" i="2"/>
  <c r="BE59" i="2" s="1"/>
  <c r="AV59" i="2"/>
  <c r="AW59" i="2"/>
  <c r="AX59" i="2"/>
  <c r="AZ59" i="2"/>
  <c r="BA59" i="2"/>
  <c r="BF59" i="2"/>
  <c r="BM59" i="2"/>
  <c r="AM60" i="2"/>
  <c r="AN60" i="2"/>
  <c r="AO60" i="2"/>
  <c r="AT60" i="2"/>
  <c r="AU60" i="2"/>
  <c r="BE60" i="2" s="1"/>
  <c r="AV60" i="2"/>
  <c r="AW60" i="2"/>
  <c r="AX60" i="2"/>
  <c r="AZ60" i="2"/>
  <c r="BA60" i="2"/>
  <c r="BF60" i="2"/>
  <c r="BM60" i="2"/>
  <c r="AM61" i="2"/>
  <c r="AN61" i="2"/>
  <c r="AO61" i="2"/>
  <c r="AT61" i="2"/>
  <c r="AU61" i="2"/>
  <c r="AV61" i="2"/>
  <c r="AW61" i="2"/>
  <c r="AX61" i="2"/>
  <c r="AZ61" i="2"/>
  <c r="BA61" i="2"/>
  <c r="BE61" i="2"/>
  <c r="BF61" i="2"/>
  <c r="BM61" i="2"/>
  <c r="AM62" i="2"/>
  <c r="AN62" i="2"/>
  <c r="AO62" i="2"/>
  <c r="AT62" i="2"/>
  <c r="AU62" i="2"/>
  <c r="BE62" i="2" s="1"/>
  <c r="AV62" i="2"/>
  <c r="AW62" i="2"/>
  <c r="AX62" i="2"/>
  <c r="AZ62" i="2"/>
  <c r="BA62" i="2"/>
  <c r="BF62" i="2"/>
  <c r="BM62" i="2"/>
  <c r="AM63" i="2"/>
  <c r="AN63" i="2"/>
  <c r="AO63" i="2"/>
  <c r="AT63" i="2"/>
  <c r="AU63" i="2"/>
  <c r="BE63" i="2" s="1"/>
  <c r="AV63" i="2"/>
  <c r="AW63" i="2"/>
  <c r="AX63" i="2"/>
  <c r="AZ63" i="2"/>
  <c r="BA63" i="2"/>
  <c r="BF63" i="2"/>
  <c r="BM63" i="2"/>
  <c r="AM64" i="2"/>
  <c r="AN64" i="2"/>
  <c r="AO64" i="2"/>
  <c r="AT64" i="2"/>
  <c r="AU64" i="2"/>
  <c r="BE64" i="2" s="1"/>
  <c r="AV64" i="2"/>
  <c r="AW64" i="2"/>
  <c r="AX64" i="2"/>
  <c r="AZ64" i="2"/>
  <c r="BA64" i="2"/>
  <c r="BF64" i="2"/>
  <c r="BM64" i="2"/>
  <c r="AM65" i="2"/>
  <c r="AN65" i="2"/>
  <c r="AO65" i="2"/>
  <c r="AT65" i="2"/>
  <c r="AU65" i="2"/>
  <c r="BE65" i="2" s="1"/>
  <c r="AV65" i="2"/>
  <c r="AW65" i="2"/>
  <c r="AX65" i="2"/>
  <c r="AZ65" i="2"/>
  <c r="BA65" i="2"/>
  <c r="BF65" i="2"/>
  <c r="BM65" i="2"/>
  <c r="AM66" i="2"/>
  <c r="AN66" i="2"/>
  <c r="AO66" i="2"/>
  <c r="AT66" i="2"/>
  <c r="AU66" i="2"/>
  <c r="AV66" i="2"/>
  <c r="AW66" i="2"/>
  <c r="AX66" i="2"/>
  <c r="AZ66" i="2"/>
  <c r="BA66" i="2"/>
  <c r="BE66" i="2"/>
  <c r="BF66" i="2"/>
  <c r="BM66" i="2"/>
  <c r="AM67" i="2"/>
  <c r="AN67" i="2"/>
  <c r="AO67" i="2"/>
  <c r="AT67" i="2"/>
  <c r="AU67" i="2"/>
  <c r="BE67" i="2" s="1"/>
  <c r="AV67" i="2"/>
  <c r="AW67" i="2"/>
  <c r="AX67" i="2"/>
  <c r="AZ67" i="2"/>
  <c r="BA67" i="2"/>
  <c r="BF67" i="2"/>
  <c r="BM67" i="2"/>
  <c r="AM68" i="2"/>
  <c r="AN68" i="2"/>
  <c r="AO68" i="2"/>
  <c r="AT68" i="2"/>
  <c r="AU68" i="2"/>
  <c r="BE68" i="2" s="1"/>
  <c r="AV68" i="2"/>
  <c r="AW68" i="2"/>
  <c r="AX68" i="2"/>
  <c r="AZ68" i="2"/>
  <c r="BA68" i="2"/>
  <c r="BF68" i="2"/>
  <c r="BM68" i="2"/>
  <c r="AM69" i="2"/>
  <c r="AN69" i="2"/>
  <c r="AO69" i="2"/>
  <c r="AT69" i="2"/>
  <c r="AU69" i="2"/>
  <c r="AV69" i="2"/>
  <c r="AW69" i="2"/>
  <c r="AX69" i="2"/>
  <c r="AZ69" i="2"/>
  <c r="BA69" i="2"/>
  <c r="BE69" i="2"/>
  <c r="BF69" i="2"/>
  <c r="BM69" i="2"/>
  <c r="AM70" i="2"/>
  <c r="AN70" i="2"/>
  <c r="AO70" i="2"/>
  <c r="AT70" i="2"/>
  <c r="AU70" i="2"/>
  <c r="BE70" i="2" s="1"/>
  <c r="AV70" i="2"/>
  <c r="AW70" i="2"/>
  <c r="AX70" i="2"/>
  <c r="AZ70" i="2"/>
  <c r="BA70" i="2"/>
  <c r="BF70" i="2"/>
  <c r="BM70" i="2"/>
  <c r="AM71" i="2"/>
  <c r="AN71" i="2"/>
  <c r="AO71" i="2"/>
  <c r="AT71" i="2"/>
  <c r="AU71" i="2"/>
  <c r="BE71" i="2" s="1"/>
  <c r="AV71" i="2"/>
  <c r="AW71" i="2"/>
  <c r="AX71" i="2"/>
  <c r="AZ71" i="2"/>
  <c r="BA71" i="2"/>
  <c r="BF71" i="2"/>
  <c r="BM71" i="2"/>
  <c r="AM72" i="2"/>
  <c r="AN72" i="2"/>
  <c r="AO72" i="2"/>
  <c r="AT72" i="2"/>
  <c r="AU72" i="2"/>
  <c r="BE72" i="2" s="1"/>
  <c r="AV72" i="2"/>
  <c r="AW72" i="2"/>
  <c r="AX72" i="2"/>
  <c r="AZ72" i="2"/>
  <c r="BA72" i="2"/>
  <c r="BF72" i="2"/>
  <c r="BM72" i="2"/>
  <c r="AM73" i="2"/>
  <c r="AN73" i="2"/>
  <c r="AO73" i="2"/>
  <c r="AT73" i="2"/>
  <c r="AU73" i="2"/>
  <c r="BE73" i="2" s="1"/>
  <c r="AV73" i="2"/>
  <c r="AW73" i="2"/>
  <c r="AX73" i="2"/>
  <c r="AZ73" i="2"/>
  <c r="BA73" i="2"/>
  <c r="BF73" i="2"/>
  <c r="BM73" i="2"/>
  <c r="AM74" i="2"/>
  <c r="AN74" i="2"/>
  <c r="AO74" i="2"/>
  <c r="AT74" i="2"/>
  <c r="AU74" i="2"/>
  <c r="AV74" i="2"/>
  <c r="AW74" i="2"/>
  <c r="AX74" i="2"/>
  <c r="AZ74" i="2"/>
  <c r="BA74" i="2"/>
  <c r="BE74" i="2"/>
  <c r="BF74" i="2"/>
  <c r="BM74" i="2"/>
  <c r="AM75" i="2"/>
  <c r="AN75" i="2"/>
  <c r="AO75" i="2"/>
  <c r="AT75" i="2"/>
  <c r="AU75" i="2"/>
  <c r="BE75" i="2" s="1"/>
  <c r="AV75" i="2"/>
  <c r="AW75" i="2"/>
  <c r="AX75" i="2"/>
  <c r="AZ75" i="2"/>
  <c r="BA75" i="2"/>
  <c r="BF75" i="2"/>
  <c r="BM75" i="2"/>
  <c r="AM76" i="2"/>
  <c r="AN76" i="2"/>
  <c r="AO76" i="2"/>
  <c r="AT76" i="2"/>
  <c r="AU76" i="2"/>
  <c r="BE76" i="2" s="1"/>
  <c r="AV76" i="2"/>
  <c r="AW76" i="2"/>
  <c r="AX76" i="2"/>
  <c r="AZ76" i="2"/>
  <c r="BA76" i="2"/>
  <c r="BF76" i="2"/>
  <c r="BM76" i="2"/>
  <c r="AM77" i="2"/>
  <c r="AN77" i="2"/>
  <c r="AO77" i="2"/>
  <c r="AT77" i="2"/>
  <c r="AU77" i="2"/>
  <c r="AV77" i="2"/>
  <c r="AW77" i="2"/>
  <c r="AX77" i="2"/>
  <c r="AZ77" i="2"/>
  <c r="BA77" i="2"/>
  <c r="BE77" i="2"/>
  <c r="BF77" i="2"/>
  <c r="BM77" i="2"/>
  <c r="AM78" i="2"/>
  <c r="AN78" i="2"/>
  <c r="AO78" i="2"/>
  <c r="AT78" i="2"/>
  <c r="AU78" i="2"/>
  <c r="BE78" i="2" s="1"/>
  <c r="AV78" i="2"/>
  <c r="AW78" i="2"/>
  <c r="AX78" i="2"/>
  <c r="AZ78" i="2"/>
  <c r="BA78" i="2"/>
  <c r="BF78" i="2"/>
  <c r="BM78" i="2"/>
  <c r="AM79" i="2"/>
  <c r="AN79" i="2"/>
  <c r="AO79" i="2"/>
  <c r="AT79" i="2"/>
  <c r="AU79" i="2"/>
  <c r="BE79" i="2" s="1"/>
  <c r="AV79" i="2"/>
  <c r="AW79" i="2"/>
  <c r="AX79" i="2"/>
  <c r="AZ79" i="2"/>
  <c r="BA79" i="2"/>
  <c r="BF79" i="2"/>
  <c r="BM79" i="2"/>
  <c r="AM80" i="2"/>
  <c r="AN80" i="2"/>
  <c r="AO80" i="2"/>
  <c r="AT80" i="2"/>
  <c r="AU80" i="2"/>
  <c r="BE80" i="2" s="1"/>
  <c r="AV80" i="2"/>
  <c r="AW80" i="2"/>
  <c r="AX80" i="2"/>
  <c r="AZ80" i="2"/>
  <c r="BA80" i="2"/>
  <c r="BF80" i="2"/>
  <c r="BM80" i="2"/>
  <c r="AM81" i="2"/>
  <c r="AN81" i="2"/>
  <c r="AO81" i="2"/>
  <c r="AT81" i="2"/>
  <c r="AU81" i="2"/>
  <c r="BE81" i="2" s="1"/>
  <c r="AV81" i="2"/>
  <c r="AW81" i="2"/>
  <c r="AX81" i="2"/>
  <c r="AZ81" i="2"/>
  <c r="BA81" i="2"/>
  <c r="BF81" i="2"/>
  <c r="BM81" i="2"/>
  <c r="AM82" i="2"/>
  <c r="AN82" i="2"/>
  <c r="AO82" i="2"/>
  <c r="AT82" i="2"/>
  <c r="AU82" i="2"/>
  <c r="AV82" i="2"/>
  <c r="AW82" i="2"/>
  <c r="AX82" i="2"/>
  <c r="AZ82" i="2"/>
  <c r="BA82" i="2"/>
  <c r="BE82" i="2"/>
  <c r="BF82" i="2"/>
  <c r="BM82" i="2"/>
  <c r="AM83" i="2"/>
  <c r="AN83" i="2"/>
  <c r="AO83" i="2"/>
  <c r="AT83" i="2"/>
  <c r="AU83" i="2"/>
  <c r="BE83" i="2" s="1"/>
  <c r="AV83" i="2"/>
  <c r="AW83" i="2"/>
  <c r="AX83" i="2"/>
  <c r="AZ83" i="2"/>
  <c r="BA83" i="2"/>
  <c r="BF83" i="2"/>
  <c r="BM83" i="2"/>
  <c r="AM84" i="2"/>
  <c r="AN84" i="2"/>
  <c r="AO84" i="2"/>
  <c r="AT84" i="2"/>
  <c r="AU84" i="2"/>
  <c r="BE84" i="2" s="1"/>
  <c r="AV84" i="2"/>
  <c r="AW84" i="2"/>
  <c r="AX84" i="2"/>
  <c r="AZ84" i="2"/>
  <c r="BA84" i="2"/>
  <c r="BF84" i="2"/>
  <c r="BM84" i="2"/>
  <c r="AM85" i="2"/>
  <c r="AN85" i="2"/>
  <c r="AO85" i="2"/>
  <c r="AT85" i="2"/>
  <c r="AU85" i="2"/>
  <c r="AV85" i="2"/>
  <c r="AW85" i="2"/>
  <c r="AX85" i="2"/>
  <c r="AZ85" i="2"/>
  <c r="BA85" i="2"/>
  <c r="BE85" i="2"/>
  <c r="BF85" i="2"/>
  <c r="BM85" i="2"/>
  <c r="AM86" i="2"/>
  <c r="AN86" i="2"/>
  <c r="AO86" i="2"/>
  <c r="AT86" i="2"/>
  <c r="AU86" i="2"/>
  <c r="BE86" i="2" s="1"/>
  <c r="AV86" i="2"/>
  <c r="AW86" i="2"/>
  <c r="AX86" i="2"/>
  <c r="AZ86" i="2"/>
  <c r="BA86" i="2"/>
  <c r="BF86" i="2"/>
  <c r="BM86" i="2"/>
  <c r="AM87" i="2"/>
  <c r="AN87" i="2"/>
  <c r="AO87" i="2"/>
  <c r="AT87" i="2"/>
  <c r="AU87" i="2"/>
  <c r="BE87" i="2" s="1"/>
  <c r="AV87" i="2"/>
  <c r="AW87" i="2"/>
  <c r="AX87" i="2"/>
  <c r="AZ87" i="2"/>
  <c r="BA87" i="2"/>
  <c r="BF87" i="2"/>
  <c r="BM87" i="2"/>
  <c r="AM88" i="2"/>
  <c r="AN88" i="2"/>
  <c r="AO88" i="2"/>
  <c r="AT88" i="2"/>
  <c r="AU88" i="2"/>
  <c r="BE88" i="2" s="1"/>
  <c r="AV88" i="2"/>
  <c r="AW88" i="2"/>
  <c r="AX88" i="2"/>
  <c r="AZ88" i="2"/>
  <c r="BA88" i="2"/>
  <c r="BF88" i="2"/>
  <c r="BM88" i="2"/>
  <c r="AM89" i="2"/>
  <c r="AN89" i="2"/>
  <c r="AO89" i="2"/>
  <c r="AT89" i="2"/>
  <c r="AU89" i="2"/>
  <c r="BE89" i="2" s="1"/>
  <c r="AV89" i="2"/>
  <c r="AW89" i="2"/>
  <c r="AX89" i="2"/>
  <c r="AZ89" i="2"/>
  <c r="BA89" i="2"/>
  <c r="BF89" i="2"/>
  <c r="BM89" i="2"/>
  <c r="AM90" i="2"/>
  <c r="AN90" i="2"/>
  <c r="AO90" i="2"/>
  <c r="AT90" i="2"/>
  <c r="AU90" i="2"/>
  <c r="AV90" i="2"/>
  <c r="AW90" i="2"/>
  <c r="AX90" i="2"/>
  <c r="AZ90" i="2"/>
  <c r="BA90" i="2"/>
  <c r="BE90" i="2"/>
  <c r="BF90" i="2"/>
  <c r="BM90" i="2"/>
  <c r="AM91" i="2"/>
  <c r="AN91" i="2"/>
  <c r="AO91" i="2"/>
  <c r="AT91" i="2"/>
  <c r="AU91" i="2"/>
  <c r="BE91" i="2" s="1"/>
  <c r="AV91" i="2"/>
  <c r="AW91" i="2"/>
  <c r="AX91" i="2"/>
  <c r="AZ91" i="2"/>
  <c r="BA91" i="2"/>
  <c r="BF91" i="2"/>
  <c r="BM91" i="2"/>
  <c r="AM92" i="2"/>
  <c r="AN92" i="2"/>
  <c r="AO92" i="2"/>
  <c r="AT92" i="2"/>
  <c r="AU92" i="2"/>
  <c r="BE92" i="2" s="1"/>
  <c r="AV92" i="2"/>
  <c r="AW92" i="2"/>
  <c r="AX92" i="2"/>
  <c r="AZ92" i="2"/>
  <c r="BA92" i="2"/>
  <c r="BF92" i="2"/>
  <c r="BM92" i="2"/>
  <c r="AM93" i="2"/>
  <c r="AN93" i="2"/>
  <c r="AO93" i="2"/>
  <c r="AT93" i="2"/>
  <c r="AU93" i="2"/>
  <c r="AV93" i="2"/>
  <c r="AW93" i="2"/>
  <c r="AX93" i="2"/>
  <c r="AZ93" i="2"/>
  <c r="BA93" i="2"/>
  <c r="BE93" i="2"/>
  <c r="BF93" i="2"/>
  <c r="BM93" i="2"/>
  <c r="AM94" i="2"/>
  <c r="AN94" i="2"/>
  <c r="AO94" i="2"/>
  <c r="AT94" i="2"/>
  <c r="AU94" i="2"/>
  <c r="BE94" i="2" s="1"/>
  <c r="AV94" i="2"/>
  <c r="AW94" i="2"/>
  <c r="AX94" i="2"/>
  <c r="AZ94" i="2"/>
  <c r="BA94" i="2"/>
  <c r="BF94" i="2"/>
  <c r="BM94" i="2"/>
  <c r="AM95" i="2"/>
  <c r="AN95" i="2"/>
  <c r="AO95" i="2"/>
  <c r="AT95" i="2"/>
  <c r="AU95" i="2"/>
  <c r="BE95" i="2" s="1"/>
  <c r="AV95" i="2"/>
  <c r="AW95" i="2"/>
  <c r="AX95" i="2"/>
  <c r="AZ95" i="2"/>
  <c r="BA95" i="2"/>
  <c r="BF95" i="2"/>
  <c r="BM95" i="2"/>
  <c r="AM96" i="2"/>
  <c r="AN96" i="2"/>
  <c r="AO96" i="2"/>
  <c r="AT96" i="2"/>
  <c r="AU96" i="2"/>
  <c r="BE96" i="2" s="1"/>
  <c r="AV96" i="2"/>
  <c r="AW96" i="2"/>
  <c r="AX96" i="2"/>
  <c r="AZ96" i="2"/>
  <c r="BA96" i="2"/>
  <c r="BF96" i="2"/>
  <c r="BM96" i="2"/>
  <c r="AM97" i="2"/>
  <c r="AN97" i="2"/>
  <c r="AO97" i="2"/>
  <c r="AT97" i="2"/>
  <c r="AU97" i="2"/>
  <c r="BE97" i="2" s="1"/>
  <c r="AV97" i="2"/>
  <c r="AW97" i="2"/>
  <c r="AX97" i="2"/>
  <c r="AZ97" i="2"/>
  <c r="BA97" i="2"/>
  <c r="BF97" i="2"/>
  <c r="BM97" i="2"/>
  <c r="AM98" i="2"/>
  <c r="AN98" i="2"/>
  <c r="AO98" i="2"/>
  <c r="AT98" i="2"/>
  <c r="AU98" i="2"/>
  <c r="AV98" i="2"/>
  <c r="AW98" i="2"/>
  <c r="AX98" i="2"/>
  <c r="AZ98" i="2"/>
  <c r="BA98" i="2"/>
  <c r="BE98" i="2"/>
  <c r="BF98" i="2"/>
  <c r="BM98" i="2"/>
  <c r="AM99" i="2"/>
  <c r="AN99" i="2"/>
  <c r="AO99" i="2"/>
  <c r="AT99" i="2"/>
  <c r="AU99" i="2"/>
  <c r="BE99" i="2" s="1"/>
  <c r="AV99" i="2"/>
  <c r="AW99" i="2"/>
  <c r="AX99" i="2"/>
  <c r="AZ99" i="2"/>
  <c r="BA99" i="2"/>
  <c r="BF99" i="2"/>
  <c r="BM99" i="2"/>
  <c r="AM100" i="2"/>
  <c r="AN100" i="2"/>
  <c r="AO100" i="2"/>
  <c r="AT100" i="2"/>
  <c r="AU100" i="2"/>
  <c r="BE100" i="2" s="1"/>
  <c r="AV100" i="2"/>
  <c r="AW100" i="2"/>
  <c r="AX100" i="2"/>
  <c r="AZ100" i="2"/>
  <c r="BA100" i="2"/>
  <c r="BF100" i="2"/>
  <c r="BM100" i="2"/>
  <c r="AM101" i="2"/>
  <c r="AN101" i="2"/>
  <c r="AO101" i="2"/>
  <c r="AT101" i="2"/>
  <c r="AU101" i="2"/>
  <c r="AV101" i="2"/>
  <c r="AW101" i="2"/>
  <c r="AX101" i="2"/>
  <c r="AZ101" i="2"/>
  <c r="BA101" i="2"/>
  <c r="BE101" i="2"/>
  <c r="BF101" i="2"/>
  <c r="BM101" i="2"/>
  <c r="AM102" i="2"/>
  <c r="AN102" i="2"/>
  <c r="AO102" i="2"/>
  <c r="AT102" i="2"/>
  <c r="AU102" i="2"/>
  <c r="BE102" i="2" s="1"/>
  <c r="AV102" i="2"/>
  <c r="AW102" i="2"/>
  <c r="AX102" i="2"/>
  <c r="AZ102" i="2"/>
  <c r="BA102" i="2"/>
  <c r="BF102" i="2"/>
  <c r="BM102" i="2"/>
  <c r="AM103" i="2"/>
  <c r="AN103" i="2"/>
  <c r="AO103" i="2"/>
  <c r="AT103" i="2"/>
  <c r="AU103" i="2"/>
  <c r="BE103" i="2" s="1"/>
  <c r="AV103" i="2"/>
  <c r="AW103" i="2"/>
  <c r="AX103" i="2"/>
  <c r="AZ103" i="2"/>
  <c r="BA103" i="2"/>
  <c r="BF103" i="2"/>
  <c r="BM103" i="2"/>
  <c r="AM104" i="2"/>
  <c r="AN104" i="2"/>
  <c r="AO104" i="2"/>
  <c r="AT104" i="2"/>
  <c r="AU104" i="2"/>
  <c r="BE104" i="2" s="1"/>
  <c r="AV104" i="2"/>
  <c r="AW104" i="2"/>
  <c r="AX104" i="2"/>
  <c r="AZ104" i="2"/>
  <c r="BA104" i="2"/>
  <c r="BF104" i="2"/>
  <c r="BM104" i="2"/>
  <c r="AM105" i="2"/>
  <c r="AN105" i="2"/>
  <c r="AO105" i="2"/>
  <c r="AT105" i="2"/>
  <c r="AU105" i="2"/>
  <c r="BE105" i="2" s="1"/>
  <c r="AV105" i="2"/>
  <c r="AW105" i="2"/>
  <c r="AX105" i="2"/>
  <c r="AZ105" i="2"/>
  <c r="BA105" i="2"/>
  <c r="BF105" i="2"/>
  <c r="BM105" i="2"/>
  <c r="AM106" i="2"/>
  <c r="AN106" i="2"/>
  <c r="AO106" i="2"/>
  <c r="AT106" i="2"/>
  <c r="AU106" i="2"/>
  <c r="AV106" i="2"/>
  <c r="AW106" i="2"/>
  <c r="AX106" i="2"/>
  <c r="AZ106" i="2"/>
  <c r="BA106" i="2"/>
  <c r="BE106" i="2"/>
  <c r="BF106" i="2"/>
  <c r="BM106" i="2"/>
  <c r="AM107" i="2"/>
  <c r="AN107" i="2"/>
  <c r="AO107" i="2"/>
  <c r="AT107" i="2"/>
  <c r="AU107" i="2"/>
  <c r="BE107" i="2" s="1"/>
  <c r="AV107" i="2"/>
  <c r="AW107" i="2"/>
  <c r="AX107" i="2"/>
  <c r="AZ107" i="2"/>
  <c r="BA107" i="2"/>
  <c r="BF107" i="2"/>
  <c r="BM107" i="2"/>
  <c r="AM108" i="2"/>
  <c r="AN108" i="2"/>
  <c r="AO108" i="2"/>
  <c r="AT108" i="2"/>
  <c r="AU108" i="2"/>
  <c r="BE108" i="2" s="1"/>
  <c r="AV108" i="2"/>
  <c r="AW108" i="2"/>
  <c r="AX108" i="2"/>
  <c r="AZ108" i="2"/>
  <c r="BA108" i="2"/>
  <c r="BF108" i="2"/>
  <c r="BM108" i="2"/>
  <c r="AM109" i="2"/>
  <c r="AN109" i="2"/>
  <c r="AO109" i="2"/>
  <c r="AT109" i="2"/>
  <c r="AU109" i="2"/>
  <c r="AV109" i="2"/>
  <c r="AW109" i="2"/>
  <c r="AX109" i="2"/>
  <c r="AZ109" i="2"/>
  <c r="BA109" i="2"/>
  <c r="BE109" i="2"/>
  <c r="BF109" i="2"/>
  <c r="BM109" i="2"/>
  <c r="AM110" i="2"/>
  <c r="AN110" i="2"/>
  <c r="AO110" i="2"/>
  <c r="AT110" i="2"/>
  <c r="AU110" i="2"/>
  <c r="BE110" i="2" s="1"/>
  <c r="AV110" i="2"/>
  <c r="AW110" i="2"/>
  <c r="AX110" i="2"/>
  <c r="AZ110" i="2"/>
  <c r="BA110" i="2"/>
  <c r="BF110" i="2"/>
  <c r="BM110" i="2"/>
  <c r="AM111" i="2"/>
  <c r="AN111" i="2"/>
  <c r="AO111" i="2"/>
  <c r="AT111" i="2"/>
  <c r="AU111" i="2"/>
  <c r="BE111" i="2" s="1"/>
  <c r="AV111" i="2"/>
  <c r="AW111" i="2"/>
  <c r="AX111" i="2"/>
  <c r="AZ111" i="2"/>
  <c r="BA111" i="2"/>
  <c r="BF111" i="2"/>
  <c r="BM111" i="2"/>
  <c r="AM112" i="2"/>
  <c r="AN112" i="2"/>
  <c r="AO112" i="2"/>
  <c r="AT112" i="2"/>
  <c r="AU112" i="2"/>
  <c r="BE112" i="2" s="1"/>
  <c r="AV112" i="2"/>
  <c r="AW112" i="2"/>
  <c r="AX112" i="2"/>
  <c r="AZ112" i="2"/>
  <c r="BA112" i="2"/>
  <c r="BF112" i="2"/>
  <c r="BM112" i="2"/>
  <c r="AM113" i="2"/>
  <c r="AN113" i="2"/>
  <c r="AO113" i="2"/>
  <c r="AT113" i="2"/>
  <c r="AU113" i="2"/>
  <c r="BE113" i="2" s="1"/>
  <c r="AV113" i="2"/>
  <c r="AW113" i="2"/>
  <c r="AX113" i="2"/>
  <c r="AZ113" i="2"/>
  <c r="BA113" i="2"/>
  <c r="BF113" i="2"/>
  <c r="BM113" i="2"/>
  <c r="AM114" i="2"/>
  <c r="AN114" i="2"/>
  <c r="AO114" i="2"/>
  <c r="AT114" i="2"/>
  <c r="AU114" i="2"/>
  <c r="BE114" i="2" s="1"/>
  <c r="AV114" i="2"/>
  <c r="AW114" i="2"/>
  <c r="AX114" i="2"/>
  <c r="AZ114" i="2"/>
  <c r="BA114" i="2"/>
  <c r="BF114" i="2"/>
  <c r="BM114" i="2"/>
  <c r="AK41" i="2"/>
  <c r="AK107" i="2"/>
  <c r="AK72" i="2"/>
  <c r="AK89" i="2"/>
  <c r="AK79" i="2"/>
  <c r="AK75" i="2"/>
  <c r="AK99" i="2"/>
  <c r="AK63" i="2"/>
  <c r="AK51" i="2"/>
  <c r="AK42" i="2"/>
  <c r="AK104" i="2"/>
  <c r="AK101" i="2"/>
  <c r="AK95" i="2"/>
  <c r="AK83" i="2"/>
  <c r="AK113" i="2"/>
  <c r="AK109" i="2"/>
  <c r="AK88" i="2"/>
  <c r="AK90" i="2"/>
  <c r="AK78" i="2"/>
  <c r="AK84" i="2"/>
  <c r="AK60" i="2"/>
  <c r="AK52" i="2"/>
  <c r="AK87" i="2"/>
  <c r="AK110" i="2"/>
  <c r="AK69" i="2"/>
  <c r="AK56" i="2"/>
  <c r="AK111" i="2"/>
  <c r="AK76" i="2"/>
  <c r="AK102" i="2"/>
  <c r="AK96" i="2"/>
  <c r="AK67" i="2"/>
  <c r="AK58" i="2"/>
  <c r="AK94" i="2"/>
  <c r="AK73" i="2"/>
  <c r="AK106" i="2"/>
  <c r="AK65" i="2"/>
  <c r="AK64" i="2"/>
  <c r="AK92" i="2"/>
  <c r="AK100" i="2"/>
  <c r="AK98" i="2"/>
  <c r="AK71" i="2"/>
  <c r="AK45" i="2"/>
  <c r="AK44" i="2"/>
  <c r="AK55" i="2"/>
  <c r="AK66" i="2"/>
  <c r="AK47" i="2"/>
  <c r="AK40" i="2"/>
  <c r="AK108" i="2"/>
  <c r="AK86" i="2"/>
  <c r="AK112" i="2"/>
  <c r="AK80" i="2"/>
  <c r="AK74" i="2"/>
  <c r="AK57" i="2"/>
  <c r="AK70" i="2"/>
  <c r="AK68" i="2"/>
  <c r="AK114" i="2"/>
  <c r="AK62" i="2"/>
  <c r="AK103" i="2"/>
  <c r="AK93" i="2"/>
  <c r="AK85" i="2"/>
  <c r="AK61" i="2"/>
  <c r="AK54" i="2"/>
  <c r="AK48" i="2"/>
  <c r="AK49" i="2"/>
  <c r="AK46" i="2"/>
  <c r="AK59" i="2"/>
  <c r="AK97" i="2"/>
  <c r="AK91" i="2"/>
  <c r="AK50" i="2"/>
  <c r="AK53" i="2"/>
  <c r="AK81" i="2"/>
  <c r="AK43" i="2"/>
  <c r="AK82" i="2"/>
  <c r="AK105" i="2"/>
  <c r="AK77" i="2"/>
  <c r="BM20" i="2" l="1"/>
  <c r="BF20" i="2"/>
  <c r="BA20" i="2"/>
  <c r="AZ20" i="2"/>
  <c r="AX20" i="2"/>
  <c r="AW20" i="2"/>
  <c r="AV20" i="2"/>
  <c r="AU20" i="2"/>
  <c r="BE20" i="2" s="1"/>
  <c r="AT20" i="2"/>
  <c r="AO20" i="2"/>
  <c r="AN20" i="2"/>
  <c r="BM19" i="2"/>
  <c r="BF19" i="2"/>
  <c r="BA19" i="2"/>
  <c r="AZ19" i="2"/>
  <c r="AX19" i="2"/>
  <c r="AW19" i="2"/>
  <c r="AV19" i="2"/>
  <c r="AU19" i="2"/>
  <c r="BE19" i="2" s="1"/>
  <c r="AT19" i="2"/>
  <c r="AO19" i="2"/>
  <c r="AN19" i="2"/>
  <c r="BM18" i="2"/>
  <c r="BF18" i="2"/>
  <c r="BA18" i="2"/>
  <c r="AZ18" i="2"/>
  <c r="AX18" i="2"/>
  <c r="AW18" i="2"/>
  <c r="AV18" i="2"/>
  <c r="AU18" i="2"/>
  <c r="BE18" i="2" s="1"/>
  <c r="AT18" i="2"/>
  <c r="AO18" i="2"/>
  <c r="AN18" i="2"/>
  <c r="BM17" i="2"/>
  <c r="BF17" i="2"/>
  <c r="BA17" i="2"/>
  <c r="AZ17" i="2"/>
  <c r="AX17" i="2"/>
  <c r="AW17" i="2"/>
  <c r="AV17" i="2"/>
  <c r="AU17" i="2"/>
  <c r="BE17" i="2" s="1"/>
  <c r="AT17" i="2"/>
  <c r="AO17" i="2"/>
  <c r="AN17" i="2"/>
  <c r="BM24" i="2"/>
  <c r="BF24" i="2"/>
  <c r="BA24" i="2"/>
  <c r="AZ24" i="2"/>
  <c r="AX24" i="2"/>
  <c r="AW24" i="2"/>
  <c r="AV24" i="2"/>
  <c r="AU24" i="2"/>
  <c r="BE24" i="2" s="1"/>
  <c r="AT24" i="2"/>
  <c r="AO24" i="2"/>
  <c r="AN24" i="2"/>
  <c r="BM23" i="2"/>
  <c r="BF23" i="2"/>
  <c r="BA23" i="2"/>
  <c r="AZ23" i="2"/>
  <c r="AX23" i="2"/>
  <c r="AW23" i="2"/>
  <c r="AV23" i="2"/>
  <c r="AU23" i="2"/>
  <c r="BE23" i="2" s="1"/>
  <c r="AT23" i="2"/>
  <c r="AO23" i="2"/>
  <c r="AN23" i="2"/>
  <c r="BM22" i="2"/>
  <c r="BF22" i="2"/>
  <c r="BA22" i="2"/>
  <c r="AZ22" i="2"/>
  <c r="AX22" i="2"/>
  <c r="AW22" i="2"/>
  <c r="AV22" i="2"/>
  <c r="AU22" i="2"/>
  <c r="BE22" i="2" s="1"/>
  <c r="AT22" i="2"/>
  <c r="AO22" i="2"/>
  <c r="AN22" i="2"/>
  <c r="BM21" i="2"/>
  <c r="BF21" i="2"/>
  <c r="BA21" i="2"/>
  <c r="AZ21" i="2"/>
  <c r="AX21" i="2"/>
  <c r="AW21" i="2"/>
  <c r="AV21" i="2"/>
  <c r="AU21" i="2"/>
  <c r="BE21" i="2" s="1"/>
  <c r="AT21" i="2"/>
  <c r="AO21" i="2"/>
  <c r="AN21" i="2"/>
  <c r="BM26" i="2"/>
  <c r="BF26" i="2"/>
  <c r="BA26" i="2"/>
  <c r="AZ26" i="2"/>
  <c r="AX26" i="2"/>
  <c r="AW26" i="2"/>
  <c r="AV26" i="2"/>
  <c r="AU26" i="2"/>
  <c r="BE26" i="2" s="1"/>
  <c r="AT26" i="2"/>
  <c r="AO26" i="2"/>
  <c r="AN26" i="2"/>
  <c r="BM25" i="2"/>
  <c r="BF25" i="2"/>
  <c r="BA25" i="2"/>
  <c r="AZ25" i="2"/>
  <c r="AX25" i="2"/>
  <c r="AW25" i="2"/>
  <c r="AV25" i="2"/>
  <c r="AU25" i="2"/>
  <c r="BE25" i="2" s="1"/>
  <c r="AT25" i="2"/>
  <c r="AO25" i="2"/>
  <c r="AN25" i="2"/>
  <c r="AN11" i="2"/>
  <c r="AO11" i="2"/>
  <c r="AT11" i="2"/>
  <c r="AU11" i="2"/>
  <c r="BE11" i="2" s="1"/>
  <c r="AV11" i="2"/>
  <c r="AW11" i="2"/>
  <c r="AX11" i="2"/>
  <c r="AZ11" i="2"/>
  <c r="BA11" i="2"/>
  <c r="BF11" i="2"/>
  <c r="BM11" i="2"/>
  <c r="AN12" i="2"/>
  <c r="AO12" i="2"/>
  <c r="AT12" i="2"/>
  <c r="AU12" i="2"/>
  <c r="BE12" i="2" s="1"/>
  <c r="AV12" i="2"/>
  <c r="AW12" i="2"/>
  <c r="AX12" i="2"/>
  <c r="AZ12" i="2"/>
  <c r="BA12" i="2"/>
  <c r="BF12" i="2"/>
  <c r="BM12" i="2"/>
  <c r="AN13" i="2"/>
  <c r="AO13" i="2"/>
  <c r="AT13" i="2"/>
  <c r="AU13" i="2"/>
  <c r="BE13" i="2" s="1"/>
  <c r="AV13" i="2"/>
  <c r="AW13" i="2"/>
  <c r="AX13" i="2"/>
  <c r="AZ13" i="2"/>
  <c r="BA13" i="2"/>
  <c r="BF13" i="2"/>
  <c r="BM13" i="2"/>
  <c r="AN14" i="2"/>
  <c r="AO14" i="2"/>
  <c r="AT14" i="2"/>
  <c r="AU14" i="2"/>
  <c r="BE14" i="2" s="1"/>
  <c r="AV14" i="2"/>
  <c r="AW14" i="2"/>
  <c r="AX14" i="2"/>
  <c r="AZ14" i="2"/>
  <c r="BA14" i="2"/>
  <c r="BF14" i="2"/>
  <c r="BM14" i="2"/>
  <c r="AN15" i="2"/>
  <c r="AO15" i="2"/>
  <c r="AT15" i="2"/>
  <c r="AU15" i="2"/>
  <c r="BE15" i="2" s="1"/>
  <c r="AV15" i="2"/>
  <c r="AW15" i="2"/>
  <c r="AX15" i="2"/>
  <c r="AZ15" i="2"/>
  <c r="BA15" i="2"/>
  <c r="BF15" i="2"/>
  <c r="BM15" i="2"/>
  <c r="AN16" i="2"/>
  <c r="AO16" i="2"/>
  <c r="AT16" i="2"/>
  <c r="AU16" i="2"/>
  <c r="BE16" i="2" s="1"/>
  <c r="AV16" i="2"/>
  <c r="AW16" i="2"/>
  <c r="AX16" i="2"/>
  <c r="AZ16" i="2"/>
  <c r="BA16" i="2"/>
  <c r="BF16" i="2"/>
  <c r="BM16" i="2"/>
  <c r="AN27" i="2"/>
  <c r="AO27" i="2"/>
  <c r="AT27" i="2"/>
  <c r="AU27" i="2"/>
  <c r="BE27" i="2" s="1"/>
  <c r="AV27" i="2"/>
  <c r="AW27" i="2"/>
  <c r="AX27" i="2"/>
  <c r="AZ27" i="2"/>
  <c r="BA27" i="2"/>
  <c r="BF27" i="2"/>
  <c r="BM27" i="2"/>
  <c r="AN28" i="2"/>
  <c r="AO28" i="2"/>
  <c r="AT28" i="2"/>
  <c r="AU28" i="2"/>
  <c r="BE28" i="2" s="1"/>
  <c r="AV28" i="2"/>
  <c r="AW28" i="2"/>
  <c r="AX28" i="2"/>
  <c r="AZ28" i="2"/>
  <c r="BA28" i="2"/>
  <c r="BF28" i="2"/>
  <c r="BM28" i="2"/>
  <c r="AN29" i="2"/>
  <c r="AO29" i="2"/>
  <c r="AT29" i="2"/>
  <c r="AU29" i="2"/>
  <c r="BE29" i="2" s="1"/>
  <c r="AV29" i="2"/>
  <c r="AW29" i="2"/>
  <c r="AX29" i="2"/>
  <c r="AZ29" i="2"/>
  <c r="BA29" i="2"/>
  <c r="BF29" i="2"/>
  <c r="BM29" i="2"/>
  <c r="AN30" i="2"/>
  <c r="AO30" i="2"/>
  <c r="AT30" i="2"/>
  <c r="AU30" i="2"/>
  <c r="BE30" i="2" s="1"/>
  <c r="AV30" i="2"/>
  <c r="AW30" i="2"/>
  <c r="AX30" i="2"/>
  <c r="AZ30" i="2"/>
  <c r="BA30" i="2"/>
  <c r="BF30" i="2"/>
  <c r="BM30" i="2"/>
  <c r="AN31" i="2"/>
  <c r="AO31" i="2"/>
  <c r="AT31" i="2"/>
  <c r="AU31" i="2"/>
  <c r="BE31" i="2" s="1"/>
  <c r="AV31" i="2"/>
  <c r="AW31" i="2"/>
  <c r="AX31" i="2"/>
  <c r="AZ31" i="2"/>
  <c r="BA31" i="2"/>
  <c r="BF31" i="2"/>
  <c r="BM31" i="2"/>
  <c r="AN32" i="2"/>
  <c r="AO32" i="2"/>
  <c r="AT32" i="2"/>
  <c r="AU32" i="2"/>
  <c r="BE32" i="2" s="1"/>
  <c r="AV32" i="2"/>
  <c r="AW32" i="2"/>
  <c r="AX32" i="2"/>
  <c r="AZ32" i="2"/>
  <c r="BA32" i="2"/>
  <c r="BF32" i="2"/>
  <c r="BM32" i="2"/>
  <c r="AN33" i="2"/>
  <c r="AO33" i="2"/>
  <c r="AT33" i="2"/>
  <c r="AU33" i="2"/>
  <c r="BE33" i="2" s="1"/>
  <c r="AV33" i="2"/>
  <c r="AW33" i="2"/>
  <c r="AX33" i="2"/>
  <c r="AZ33" i="2"/>
  <c r="BA33" i="2"/>
  <c r="BF33" i="2"/>
  <c r="BM33" i="2"/>
  <c r="AN9" i="2"/>
  <c r="AO9" i="2"/>
  <c r="AT9" i="2"/>
  <c r="AU9" i="2"/>
  <c r="BE9" i="2" s="1"/>
  <c r="AV9" i="2"/>
  <c r="AW9" i="2"/>
  <c r="AX9" i="2"/>
  <c r="AZ9" i="2"/>
  <c r="BA9" i="2"/>
  <c r="BF9" i="2"/>
  <c r="BM9" i="2"/>
  <c r="AN10" i="2"/>
  <c r="AO10" i="2"/>
  <c r="AT10" i="2"/>
  <c r="AU10" i="2"/>
  <c r="BE10" i="2" s="1"/>
  <c r="AV10" i="2"/>
  <c r="AW10" i="2"/>
  <c r="AX10" i="2"/>
  <c r="AZ10" i="2"/>
  <c r="BA10" i="2"/>
  <c r="BF10" i="2"/>
  <c r="BM10" i="2"/>
  <c r="AN34" i="2"/>
  <c r="AO34" i="2"/>
  <c r="AT34" i="2"/>
  <c r="AU34" i="2"/>
  <c r="BE34" i="2" s="1"/>
  <c r="AV34" i="2"/>
  <c r="AW34" i="2"/>
  <c r="AX34" i="2"/>
  <c r="AZ34" i="2"/>
  <c r="BA34" i="2"/>
  <c r="BF34" i="2"/>
  <c r="BM34" i="2"/>
  <c r="AN35" i="2"/>
  <c r="AO35" i="2"/>
  <c r="AT35" i="2"/>
  <c r="AU35" i="2"/>
  <c r="BE35" i="2" s="1"/>
  <c r="AV35" i="2"/>
  <c r="AW35" i="2"/>
  <c r="AX35" i="2"/>
  <c r="AZ35" i="2"/>
  <c r="BA35" i="2"/>
  <c r="BF35" i="2"/>
  <c r="BM35" i="2"/>
  <c r="AN36" i="2"/>
  <c r="AO36" i="2"/>
  <c r="AT36" i="2"/>
  <c r="AU36" i="2"/>
  <c r="BE36" i="2" s="1"/>
  <c r="AV36" i="2"/>
  <c r="AW36" i="2"/>
  <c r="AX36" i="2"/>
  <c r="AZ36" i="2"/>
  <c r="BA36" i="2"/>
  <c r="BF36" i="2"/>
  <c r="BM36" i="2"/>
  <c r="AN37" i="2"/>
  <c r="AO37" i="2"/>
  <c r="AT37" i="2"/>
  <c r="AU37" i="2"/>
  <c r="BE37" i="2" s="1"/>
  <c r="AV37" i="2"/>
  <c r="AW37" i="2"/>
  <c r="AX37" i="2"/>
  <c r="AZ37" i="2"/>
  <c r="BA37" i="2"/>
  <c r="BF37" i="2"/>
  <c r="BM37" i="2"/>
  <c r="AN38" i="2"/>
  <c r="AO38" i="2"/>
  <c r="AT38" i="2"/>
  <c r="AU38" i="2"/>
  <c r="BE38" i="2" s="1"/>
  <c r="AV38" i="2"/>
  <c r="AW38" i="2"/>
  <c r="AX38" i="2"/>
  <c r="AZ38" i="2"/>
  <c r="BA38" i="2"/>
  <c r="BF38" i="2"/>
  <c r="BM38" i="2"/>
  <c r="AN39" i="2"/>
  <c r="AO39" i="2"/>
  <c r="AT39" i="2"/>
  <c r="AU39" i="2"/>
  <c r="BE39" i="2" s="1"/>
  <c r="AV39" i="2"/>
  <c r="AW39" i="2"/>
  <c r="AX39" i="2"/>
  <c r="AZ39" i="2"/>
  <c r="BA39" i="2"/>
  <c r="BF39" i="2"/>
  <c r="BM39" i="2"/>
  <c r="AK25" i="2"/>
  <c r="AK30" i="2"/>
  <c r="AK18" i="2"/>
  <c r="AK10" i="2"/>
  <c r="AK37" i="2"/>
  <c r="AK33" i="2"/>
  <c r="AK34" i="2"/>
  <c r="AK36" i="2"/>
  <c r="AK21" i="2"/>
  <c r="AK13" i="2"/>
  <c r="AK24" i="2"/>
  <c r="AK31" i="2"/>
  <c r="AK26" i="2"/>
  <c r="AK19" i="2"/>
  <c r="AK22" i="2"/>
  <c r="AK39" i="2"/>
  <c r="AK28" i="2"/>
  <c r="AK9" i="2"/>
  <c r="AK35" i="2"/>
  <c r="AK23" i="2"/>
  <c r="AK32" i="2"/>
  <c r="AK38" i="2"/>
  <c r="AK11" i="2"/>
  <c r="AK14" i="2"/>
  <c r="AK17" i="2"/>
  <c r="AK16" i="2"/>
  <c r="AK29" i="2"/>
  <c r="AK12" i="2"/>
  <c r="AK20" i="2"/>
  <c r="AK15" i="2"/>
  <c r="AK27" i="2"/>
  <c r="AN8" i="2" l="1"/>
  <c r="AO8" i="2"/>
  <c r="AT8" i="2"/>
  <c r="AU8" i="2"/>
  <c r="BE8" i="2" s="1"/>
  <c r="AV8" i="2"/>
  <c r="AW8" i="2"/>
  <c r="AX8" i="2"/>
  <c r="AZ8" i="2"/>
  <c r="BA8" i="2"/>
  <c r="BF8" i="2"/>
  <c r="BM8" i="2"/>
  <c r="AK8" i="2"/>
  <c r="BM7" i="2" l="1"/>
  <c r="BF7" i="2"/>
  <c r="BA7" i="2"/>
  <c r="AZ7" i="2"/>
  <c r="AX7" i="2"/>
  <c r="AW7" i="2"/>
  <c r="AV7" i="2"/>
  <c r="AU7" i="2"/>
  <c r="BE7" i="2" s="1"/>
  <c r="AT7" i="2"/>
  <c r="AO7" i="2"/>
  <c r="AN7" i="2"/>
  <c r="BM6" i="2"/>
  <c r="BF6" i="2"/>
  <c r="BA6" i="2"/>
  <c r="AZ6" i="2"/>
  <c r="AX6" i="2"/>
  <c r="AW6" i="2"/>
  <c r="AV6" i="2"/>
  <c r="AU6" i="2"/>
  <c r="BE6" i="2" s="1"/>
  <c r="AT6" i="2"/>
  <c r="AO6" i="2"/>
  <c r="AN6" i="2"/>
  <c r="AK7" i="2"/>
  <c r="AK6" i="2"/>
  <c r="BM5" i="2" l="1"/>
  <c r="AN5" i="2"/>
  <c r="AO5" i="2"/>
  <c r="AT5" i="2"/>
  <c r="AU5" i="2"/>
  <c r="BE5" i="2" s="1"/>
  <c r="AV5" i="2"/>
  <c r="AW5" i="2"/>
  <c r="AX5" i="2"/>
  <c r="AZ5" i="2"/>
  <c r="BA5" i="2"/>
  <c r="BF5" i="2"/>
  <c r="AK5" i="2"/>
  <c r="B4" i="1"/>
  <c r="BL42" i="2" l="1"/>
  <c r="BL41" i="2"/>
  <c r="BL40" i="2"/>
  <c r="BL46" i="2"/>
  <c r="BL48" i="2"/>
  <c r="BL50" i="2"/>
  <c r="BL52" i="2"/>
  <c r="BL54" i="2"/>
  <c r="BL56" i="2"/>
  <c r="BL57" i="2"/>
  <c r="BL59" i="2"/>
  <c r="BL61" i="2"/>
  <c r="BL63" i="2"/>
  <c r="BL45" i="2"/>
  <c r="BL47" i="2"/>
  <c r="BL49" i="2"/>
  <c r="BL51" i="2"/>
  <c r="BL53" i="2"/>
  <c r="BL55" i="2"/>
  <c r="BL58" i="2"/>
  <c r="BL60" i="2"/>
  <c r="BL62" i="2"/>
  <c r="BL65" i="2"/>
  <c r="BL69" i="2"/>
  <c r="BL73" i="2"/>
  <c r="BL77" i="2"/>
  <c r="BL81" i="2"/>
  <c r="BL85" i="2"/>
  <c r="BL109" i="2"/>
  <c r="BL43" i="2"/>
  <c r="BL92" i="2"/>
  <c r="BL96" i="2"/>
  <c r="BL100" i="2"/>
  <c r="BL104" i="2"/>
  <c r="BL112" i="2"/>
  <c r="BL64" i="2"/>
  <c r="BL68" i="2"/>
  <c r="BL72" i="2"/>
  <c r="BL76" i="2"/>
  <c r="BL80" i="2"/>
  <c r="BL84" i="2"/>
  <c r="BL108" i="2"/>
  <c r="BL75" i="2"/>
  <c r="BL111" i="2"/>
  <c r="BL114" i="2"/>
  <c r="BL91" i="2"/>
  <c r="BL95" i="2"/>
  <c r="BL99" i="2"/>
  <c r="BL103" i="2"/>
  <c r="BL107" i="2"/>
  <c r="BL67" i="2"/>
  <c r="BL71" i="2"/>
  <c r="BL79" i="2"/>
  <c r="BL83" i="2"/>
  <c r="BL90" i="2"/>
  <c r="BL94" i="2"/>
  <c r="BL98" i="2"/>
  <c r="BL102" i="2"/>
  <c r="BL106" i="2"/>
  <c r="BL44" i="2"/>
  <c r="BL66" i="2"/>
  <c r="BL70" i="2"/>
  <c r="BL74" i="2"/>
  <c r="BL78" i="2"/>
  <c r="BL82" i="2"/>
  <c r="BL86" i="2"/>
  <c r="BL87" i="2"/>
  <c r="BL88" i="2"/>
  <c r="BL89" i="2"/>
  <c r="BL110" i="2"/>
  <c r="BL93" i="2"/>
  <c r="BL97" i="2"/>
  <c r="BL101" i="2"/>
  <c r="BL105" i="2"/>
  <c r="BL113" i="2"/>
  <c r="BL17" i="2"/>
  <c r="BL21" i="2"/>
  <c r="BL13" i="2"/>
  <c r="BL27" i="2"/>
  <c r="BL31" i="2"/>
  <c r="BL10" i="2"/>
  <c r="BL18" i="2"/>
  <c r="BL22" i="2"/>
  <c r="BL39" i="2"/>
  <c r="BL12" i="2"/>
  <c r="BL16" i="2"/>
  <c r="BL30" i="2"/>
  <c r="BL9" i="2"/>
  <c r="BL38" i="2"/>
  <c r="BL19" i="2"/>
  <c r="BL23" i="2"/>
  <c r="BL25" i="2"/>
  <c r="BL37" i="2"/>
  <c r="BL11" i="2"/>
  <c r="BL15" i="2"/>
  <c r="BL29" i="2"/>
  <c r="BL33" i="2"/>
  <c r="BL36" i="2"/>
  <c r="BL20" i="2"/>
  <c r="BL24" i="2"/>
  <c r="BL26" i="2"/>
  <c r="BL35" i="2"/>
  <c r="BL14" i="2"/>
  <c r="BL28" i="2"/>
  <c r="BL32" i="2"/>
  <c r="BL34" i="2"/>
  <c r="BL8" i="2"/>
  <c r="BL7" i="2"/>
  <c r="BL6" i="2"/>
  <c r="BL5" i="2"/>
  <c r="B2" i="1"/>
  <c r="B3" i="1"/>
  <c r="BD45" i="2" l="1"/>
  <c r="BD46" i="2"/>
  <c r="AI46" i="2" s="1"/>
  <c r="AM46" i="2" s="1"/>
  <c r="BD47" i="2"/>
  <c r="AI47" i="2" s="1"/>
  <c r="AM47" i="2" s="1"/>
  <c r="BD48" i="2"/>
  <c r="AI48" i="2" s="1"/>
  <c r="AM48" i="2" s="1"/>
  <c r="BD49" i="2"/>
  <c r="BD50" i="2"/>
  <c r="AI50" i="2" s="1"/>
  <c r="AM50" i="2" s="1"/>
  <c r="BD51" i="2"/>
  <c r="AI51" i="2" s="1"/>
  <c r="AM51" i="2" s="1"/>
  <c r="BD52" i="2"/>
  <c r="AJ52" i="2" s="1"/>
  <c r="AQ52" i="2" s="1"/>
  <c r="BD53" i="2"/>
  <c r="BD54" i="2"/>
  <c r="AJ54" i="2" s="1"/>
  <c r="AQ54" i="2" s="1"/>
  <c r="BD55" i="2"/>
  <c r="AI55" i="2" s="1"/>
  <c r="AM55" i="2" s="1"/>
  <c r="BD56" i="2"/>
  <c r="AI56" i="2" s="1"/>
  <c r="AM56" i="2" s="1"/>
  <c r="BD57" i="2"/>
  <c r="BD58" i="2"/>
  <c r="AJ58" i="2" s="1"/>
  <c r="AQ58" i="2" s="1"/>
  <c r="BD59" i="2"/>
  <c r="AI59" i="2" s="1"/>
  <c r="BD60" i="2"/>
  <c r="AI60" i="2" s="1"/>
  <c r="BD61" i="2"/>
  <c r="BD62" i="2"/>
  <c r="AJ62" i="2" s="1"/>
  <c r="AQ62" i="2" s="1"/>
  <c r="BD63" i="2"/>
  <c r="AJ63" i="2" s="1"/>
  <c r="AQ63" i="2" s="1"/>
  <c r="BD64" i="2"/>
  <c r="AJ64" i="2" s="1"/>
  <c r="AQ64" i="2" s="1"/>
  <c r="BD65" i="2"/>
  <c r="BD66" i="2"/>
  <c r="AI66" i="2" s="1"/>
  <c r="BD67" i="2"/>
  <c r="AI67" i="2" s="1"/>
  <c r="BD68" i="2"/>
  <c r="AI68" i="2" s="1"/>
  <c r="BD69" i="2"/>
  <c r="AI69" i="2" s="1"/>
  <c r="BD70" i="2"/>
  <c r="AJ70" i="2" s="1"/>
  <c r="AQ70" i="2" s="1"/>
  <c r="BD71" i="2"/>
  <c r="AJ71" i="2" s="1"/>
  <c r="AQ71" i="2" s="1"/>
  <c r="BD72" i="2"/>
  <c r="AJ72" i="2" s="1"/>
  <c r="AQ72" i="2" s="1"/>
  <c r="BD73" i="2"/>
  <c r="BD74" i="2"/>
  <c r="AI74" i="2" s="1"/>
  <c r="BD75" i="2"/>
  <c r="AJ75" i="2" s="1"/>
  <c r="AQ75" i="2" s="1"/>
  <c r="BD76" i="2"/>
  <c r="AJ76" i="2" s="1"/>
  <c r="AQ76" i="2" s="1"/>
  <c r="BD77" i="2"/>
  <c r="BD78" i="2"/>
  <c r="AI78" i="2" s="1"/>
  <c r="BD79" i="2"/>
  <c r="AJ79" i="2" s="1"/>
  <c r="AQ79" i="2" s="1"/>
  <c r="BD80" i="2"/>
  <c r="AJ80" i="2" s="1"/>
  <c r="AQ80" i="2" s="1"/>
  <c r="BD81" i="2"/>
  <c r="BD82" i="2"/>
  <c r="AJ82" i="2" s="1"/>
  <c r="AQ82" i="2" s="1"/>
  <c r="BD83" i="2"/>
  <c r="AI83" i="2" s="1"/>
  <c r="BD84" i="2"/>
  <c r="AI84" i="2" s="1"/>
  <c r="BD85" i="2"/>
  <c r="AJ85" i="2" s="1"/>
  <c r="AQ85" i="2" s="1"/>
  <c r="BD86" i="2"/>
  <c r="AJ86" i="2" s="1"/>
  <c r="AQ86" i="2" s="1"/>
  <c r="BD44" i="2"/>
  <c r="AJ44" i="2" s="1"/>
  <c r="AQ44" i="2" s="1"/>
  <c r="BD90" i="2"/>
  <c r="AI90" i="2" s="1"/>
  <c r="BD91" i="2"/>
  <c r="BD92" i="2"/>
  <c r="AJ92" i="2" s="1"/>
  <c r="AQ92" i="2" s="1"/>
  <c r="BD93" i="2"/>
  <c r="AJ93" i="2" s="1"/>
  <c r="AQ93" i="2" s="1"/>
  <c r="BD94" i="2"/>
  <c r="AI94" i="2" s="1"/>
  <c r="BD95" i="2"/>
  <c r="AJ95" i="2" s="1"/>
  <c r="AQ95" i="2" s="1"/>
  <c r="BD96" i="2"/>
  <c r="AI96" i="2" s="1"/>
  <c r="BD97" i="2"/>
  <c r="AI97" i="2" s="1"/>
  <c r="BD98" i="2"/>
  <c r="AJ98" i="2" s="1"/>
  <c r="AQ98" i="2" s="1"/>
  <c r="BD99" i="2"/>
  <c r="BD100" i="2"/>
  <c r="AJ100" i="2" s="1"/>
  <c r="AQ100" i="2" s="1"/>
  <c r="BD101" i="2"/>
  <c r="AI101" i="2" s="1"/>
  <c r="BD102" i="2"/>
  <c r="AJ102" i="2" s="1"/>
  <c r="AQ102" i="2" s="1"/>
  <c r="BD103" i="2"/>
  <c r="BD104" i="2"/>
  <c r="AJ104" i="2" s="1"/>
  <c r="AQ104" i="2" s="1"/>
  <c r="BD105" i="2"/>
  <c r="BD106" i="2"/>
  <c r="AI106" i="2" s="1"/>
  <c r="BD107" i="2"/>
  <c r="BD113" i="2"/>
  <c r="AJ113" i="2" s="1"/>
  <c r="AQ113" i="2" s="1"/>
  <c r="BD114" i="2"/>
  <c r="BD42" i="2"/>
  <c r="AI42" i="2" s="1"/>
  <c r="BD43" i="2"/>
  <c r="AI43" i="2" s="1"/>
  <c r="BD108" i="2"/>
  <c r="BD109" i="2"/>
  <c r="AJ109" i="2" s="1"/>
  <c r="AQ109" i="2" s="1"/>
  <c r="BD110" i="2"/>
  <c r="AI110" i="2" s="1"/>
  <c r="BD111" i="2"/>
  <c r="BD112" i="2"/>
  <c r="AI112" i="2" s="1"/>
  <c r="BD40" i="2"/>
  <c r="AJ40" i="2" s="1"/>
  <c r="AQ40" i="2" s="1"/>
  <c r="BD87" i="2"/>
  <c r="AI87" i="2" s="1"/>
  <c r="BD88" i="2"/>
  <c r="BD89" i="2"/>
  <c r="AJ89" i="2" s="1"/>
  <c r="AQ89" i="2" s="1"/>
  <c r="BD41" i="2"/>
  <c r="AI41" i="2" s="1"/>
  <c r="AP42" i="2"/>
  <c r="AP41" i="2"/>
  <c r="AP40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44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13" i="2"/>
  <c r="AP114" i="2"/>
  <c r="AP43" i="2"/>
  <c r="AP109" i="2"/>
  <c r="AP110" i="2"/>
  <c r="AP111" i="2"/>
  <c r="AP112" i="2"/>
  <c r="AP87" i="2"/>
  <c r="AP88" i="2"/>
  <c r="AP89" i="2"/>
  <c r="AP90" i="2"/>
  <c r="AI105" i="2"/>
  <c r="AJ77" i="2"/>
  <c r="AQ77" i="2" s="1"/>
  <c r="AI77" i="2"/>
  <c r="AI108" i="2"/>
  <c r="AJ108" i="2"/>
  <c r="AQ108" i="2" s="1"/>
  <c r="AI95" i="2"/>
  <c r="AI92" i="2"/>
  <c r="AJ65" i="2"/>
  <c r="AQ65" i="2" s="1"/>
  <c r="AI65" i="2"/>
  <c r="AJ78" i="2"/>
  <c r="AQ78" i="2" s="1"/>
  <c r="AI99" i="2"/>
  <c r="AJ99" i="2"/>
  <c r="AQ99" i="2" s="1"/>
  <c r="AJ69" i="2"/>
  <c r="AQ69" i="2" s="1"/>
  <c r="AJ49" i="2"/>
  <c r="AQ49" i="2" s="1"/>
  <c r="AI49" i="2"/>
  <c r="AM49" i="2" s="1"/>
  <c r="AI54" i="2"/>
  <c r="AM54" i="2" s="1"/>
  <c r="AI70" i="2"/>
  <c r="AI91" i="2"/>
  <c r="AJ91" i="2"/>
  <c r="AQ91" i="2" s="1"/>
  <c r="AJ43" i="2"/>
  <c r="AQ43" i="2" s="1"/>
  <c r="AI62" i="2"/>
  <c r="AI45" i="2"/>
  <c r="AJ45" i="2"/>
  <c r="AQ45" i="2" s="1"/>
  <c r="AJ50" i="2"/>
  <c r="AQ50" i="2" s="1"/>
  <c r="AI89" i="2"/>
  <c r="AI85" i="2"/>
  <c r="AI88" i="2"/>
  <c r="AJ88" i="2"/>
  <c r="AQ88" i="2" s="1"/>
  <c r="AI111" i="2"/>
  <c r="AJ111" i="2"/>
  <c r="AQ111" i="2" s="1"/>
  <c r="AI58" i="2"/>
  <c r="AJ61" i="2"/>
  <c r="AQ61" i="2" s="1"/>
  <c r="AI61" i="2"/>
  <c r="AJ46" i="2"/>
  <c r="AQ46" i="2" s="1"/>
  <c r="AJ81" i="2"/>
  <c r="AQ81" i="2" s="1"/>
  <c r="AI81" i="2"/>
  <c r="AI107" i="2"/>
  <c r="AJ107" i="2"/>
  <c r="AQ107" i="2" s="1"/>
  <c r="AJ53" i="2"/>
  <c r="AQ53" i="2" s="1"/>
  <c r="AI53" i="2"/>
  <c r="AM53" i="2" s="1"/>
  <c r="AJ57" i="2"/>
  <c r="AQ57" i="2" s="1"/>
  <c r="AI57" i="2"/>
  <c r="AI104" i="2"/>
  <c r="AI82" i="2"/>
  <c r="AI103" i="2"/>
  <c r="AJ103" i="2"/>
  <c r="AQ103" i="2" s="1"/>
  <c r="AI73" i="2"/>
  <c r="AJ73" i="2"/>
  <c r="AQ73" i="2" s="1"/>
  <c r="BD20" i="2"/>
  <c r="AJ20" i="2" s="1"/>
  <c r="AQ20" i="2" s="1"/>
  <c r="BD24" i="2"/>
  <c r="AI24" i="2" s="1"/>
  <c r="BD26" i="2"/>
  <c r="AI26" i="2" s="1"/>
  <c r="BD39" i="2"/>
  <c r="AJ39" i="2" s="1"/>
  <c r="AQ39" i="2" s="1"/>
  <c r="BD12" i="2"/>
  <c r="AI12" i="2" s="1"/>
  <c r="BD16" i="2"/>
  <c r="AI16" i="2" s="1"/>
  <c r="BD30" i="2"/>
  <c r="BD9" i="2"/>
  <c r="AJ9" i="2" s="1"/>
  <c r="AQ9" i="2" s="1"/>
  <c r="BD38" i="2"/>
  <c r="AJ38" i="2" s="1"/>
  <c r="AQ38" i="2" s="1"/>
  <c r="BD17" i="2"/>
  <c r="AI17" i="2" s="1"/>
  <c r="BD21" i="2"/>
  <c r="AJ21" i="2" s="1"/>
  <c r="AQ21" i="2" s="1"/>
  <c r="BD37" i="2"/>
  <c r="AJ37" i="2" s="1"/>
  <c r="AQ37" i="2" s="1"/>
  <c r="BD11" i="2"/>
  <c r="AI11" i="2" s="1"/>
  <c r="BD15" i="2"/>
  <c r="AI15" i="2" s="1"/>
  <c r="BD29" i="2"/>
  <c r="AJ29" i="2" s="1"/>
  <c r="AQ29" i="2" s="1"/>
  <c r="BD33" i="2"/>
  <c r="AI33" i="2" s="1"/>
  <c r="BD36" i="2"/>
  <c r="AJ36" i="2" s="1"/>
  <c r="AQ36" i="2" s="1"/>
  <c r="BD18" i="2"/>
  <c r="AJ18" i="2" s="1"/>
  <c r="AQ18" i="2" s="1"/>
  <c r="BD22" i="2"/>
  <c r="AJ22" i="2" s="1"/>
  <c r="AQ22" i="2" s="1"/>
  <c r="BD35" i="2"/>
  <c r="AI35" i="2" s="1"/>
  <c r="AM35" i="2" s="1"/>
  <c r="BD14" i="2"/>
  <c r="AI14" i="2" s="1"/>
  <c r="BD28" i="2"/>
  <c r="AJ28" i="2" s="1"/>
  <c r="AQ28" i="2" s="1"/>
  <c r="BD32" i="2"/>
  <c r="BD34" i="2"/>
  <c r="BD19" i="2"/>
  <c r="AJ19" i="2" s="1"/>
  <c r="AQ19" i="2" s="1"/>
  <c r="BD23" i="2"/>
  <c r="AJ23" i="2" s="1"/>
  <c r="AQ23" i="2" s="1"/>
  <c r="BD25" i="2"/>
  <c r="AJ25" i="2" s="1"/>
  <c r="AQ25" i="2" s="1"/>
  <c r="BD13" i="2"/>
  <c r="AJ13" i="2" s="1"/>
  <c r="AQ13" i="2" s="1"/>
  <c r="BD27" i="2"/>
  <c r="AJ27" i="2" s="1"/>
  <c r="AQ27" i="2" s="1"/>
  <c r="BD31" i="2"/>
  <c r="AI31" i="2" s="1"/>
  <c r="BD10" i="2"/>
  <c r="AJ10" i="2" s="1"/>
  <c r="AQ10" i="2" s="1"/>
  <c r="AP20" i="2"/>
  <c r="AP24" i="2"/>
  <c r="AP26" i="2"/>
  <c r="AP39" i="2"/>
  <c r="AP12" i="2"/>
  <c r="AP16" i="2"/>
  <c r="AP30" i="2"/>
  <c r="AP9" i="2"/>
  <c r="AP38" i="2"/>
  <c r="AP17" i="2"/>
  <c r="AP21" i="2"/>
  <c r="AP37" i="2"/>
  <c r="AP11" i="2"/>
  <c r="AP15" i="2"/>
  <c r="AP29" i="2"/>
  <c r="AP33" i="2"/>
  <c r="AP36" i="2"/>
  <c r="AP18" i="2"/>
  <c r="AP22" i="2"/>
  <c r="AP35" i="2"/>
  <c r="AP14" i="2"/>
  <c r="AP28" i="2"/>
  <c r="AP32" i="2"/>
  <c r="AP34" i="2"/>
  <c r="AP19" i="2"/>
  <c r="AP23" i="2"/>
  <c r="AP25" i="2"/>
  <c r="AP13" i="2"/>
  <c r="AP27" i="2"/>
  <c r="AP31" i="2"/>
  <c r="AP10" i="2"/>
  <c r="AI32" i="2"/>
  <c r="BD8" i="2"/>
  <c r="AI8" i="2" s="1"/>
  <c r="AP8" i="2"/>
  <c r="BD6" i="2"/>
  <c r="BD7" i="2"/>
  <c r="AP6" i="2"/>
  <c r="AP7" i="2"/>
  <c r="BD5" i="2"/>
  <c r="AJ5" i="2" s="1"/>
  <c r="AQ5" i="2" s="1"/>
  <c r="AP5" i="2"/>
  <c r="BN73" i="2"/>
  <c r="AS71" i="2"/>
  <c r="BN50" i="2"/>
  <c r="BN64" i="2"/>
  <c r="BN72" i="2"/>
  <c r="BN82" i="2"/>
  <c r="BN46" i="2"/>
  <c r="BN23" i="2"/>
  <c r="BN93" i="2"/>
  <c r="BN108" i="2"/>
  <c r="AS69" i="2"/>
  <c r="AS22" i="2"/>
  <c r="AS58" i="2"/>
  <c r="AS72" i="2"/>
  <c r="AS75" i="2"/>
  <c r="BN77" i="2"/>
  <c r="AS23" i="2"/>
  <c r="BN91" i="2"/>
  <c r="BN100" i="2"/>
  <c r="BN78" i="2"/>
  <c r="AS29" i="2"/>
  <c r="AS89" i="2"/>
  <c r="BN49" i="2"/>
  <c r="BN15" i="2"/>
  <c r="BN54" i="2"/>
  <c r="BN89" i="2"/>
  <c r="AS43" i="2"/>
  <c r="AS27" i="2"/>
  <c r="AS5" i="2"/>
  <c r="BN68" i="2"/>
  <c r="AS111" i="2"/>
  <c r="AS64" i="2"/>
  <c r="BN83" i="2"/>
  <c r="BN88" i="2"/>
  <c r="BN101" i="2"/>
  <c r="BN55" i="2"/>
  <c r="BN111" i="2"/>
  <c r="BN61" i="2"/>
  <c r="BN75" i="2"/>
  <c r="AS25" i="2"/>
  <c r="BN92" i="2"/>
  <c r="BN110" i="2"/>
  <c r="AS99" i="2"/>
  <c r="AS53" i="2"/>
  <c r="AS40" i="2"/>
  <c r="AS79" i="2"/>
  <c r="BN99" i="2"/>
  <c r="AS107" i="2"/>
  <c r="BN30" i="2"/>
  <c r="BN7" i="2"/>
  <c r="BN51" i="2"/>
  <c r="AS98" i="2"/>
  <c r="AS95" i="2"/>
  <c r="BN29" i="2"/>
  <c r="BN45" i="2"/>
  <c r="BN95" i="2"/>
  <c r="BN104" i="2"/>
  <c r="BN112" i="2"/>
  <c r="BN103" i="2"/>
  <c r="BN86" i="2"/>
  <c r="AS91" i="2"/>
  <c r="AS37" i="2"/>
  <c r="AS103" i="2"/>
  <c r="AS88" i="2"/>
  <c r="BN28" i="2"/>
  <c r="BN90" i="2"/>
  <c r="BN113" i="2"/>
  <c r="BN31" i="2"/>
  <c r="BN32" i="2"/>
  <c r="BN16" i="2"/>
  <c r="BN69" i="2"/>
  <c r="BN109" i="2"/>
  <c r="BN11" i="2"/>
  <c r="BN66" i="2"/>
  <c r="BN44" i="2"/>
  <c r="BN107" i="2"/>
  <c r="AS50" i="2"/>
  <c r="AS80" i="2"/>
  <c r="AS10" i="2"/>
  <c r="AS9" i="2"/>
  <c r="BN34" i="2"/>
  <c r="BN57" i="2"/>
  <c r="BN62" i="2"/>
  <c r="BN70" i="2"/>
  <c r="AS57" i="2"/>
  <c r="BN81" i="2"/>
  <c r="BN26" i="2"/>
  <c r="BN65" i="2"/>
  <c r="BN67" i="2"/>
  <c r="BN96" i="2"/>
  <c r="BN17" i="2"/>
  <c r="AS63" i="2"/>
  <c r="BN6" i="2"/>
  <c r="BN79" i="2"/>
  <c r="AS113" i="2"/>
  <c r="AS109" i="2"/>
  <c r="AS93" i="2"/>
  <c r="BN56" i="2"/>
  <c r="BN12" i="2"/>
  <c r="AS100" i="2"/>
  <c r="BN85" i="2"/>
  <c r="BN58" i="2"/>
  <c r="BN53" i="2"/>
  <c r="BN105" i="2"/>
  <c r="BN74" i="2"/>
  <c r="BN43" i="2"/>
  <c r="AS28" i="2"/>
  <c r="AS44" i="2"/>
  <c r="BN18" i="2"/>
  <c r="BN80" i="2"/>
  <c r="AS21" i="2"/>
  <c r="BN27" i="2"/>
  <c r="AS82" i="2"/>
  <c r="AS39" i="2"/>
  <c r="BN59" i="2"/>
  <c r="BN94" i="2"/>
  <c r="AS13" i="2"/>
  <c r="AS102" i="2"/>
  <c r="AS78" i="2"/>
  <c r="AS38" i="2"/>
  <c r="AS76" i="2"/>
  <c r="AS54" i="2"/>
  <c r="AS86" i="2"/>
  <c r="AS36" i="2"/>
  <c r="AS46" i="2"/>
  <c r="AS70" i="2"/>
  <c r="AS20" i="2"/>
  <c r="AS19" i="2"/>
  <c r="AS52" i="2"/>
  <c r="AS62" i="2"/>
  <c r="AS18" i="2"/>
  <c r="AJ112" i="2" l="1"/>
  <c r="AQ112" i="2" s="1"/>
  <c r="AJ74" i="2"/>
  <c r="AQ74" i="2" s="1"/>
  <c r="AI100" i="2"/>
  <c r="AJ66" i="2"/>
  <c r="AQ66" i="2" s="1"/>
  <c r="AI86" i="2"/>
  <c r="AH86" i="2" s="1"/>
  <c r="AJ96" i="2"/>
  <c r="AQ96" i="2" s="1"/>
  <c r="AI113" i="2"/>
  <c r="AY113" i="2" s="1"/>
  <c r="AJ17" i="2"/>
  <c r="AQ17" i="2" s="1"/>
  <c r="AJ15" i="2"/>
  <c r="AQ15" i="2" s="1"/>
  <c r="AJ51" i="2"/>
  <c r="AQ51" i="2" s="1"/>
  <c r="AJ59" i="2"/>
  <c r="AQ59" i="2" s="1"/>
  <c r="AI21" i="2"/>
  <c r="AH21" i="2" s="1"/>
  <c r="AI52" i="2"/>
  <c r="AM52" i="2" s="1"/>
  <c r="AJ68" i="2"/>
  <c r="AQ68" i="2" s="1"/>
  <c r="AJ94" i="2"/>
  <c r="AQ94" i="2" s="1"/>
  <c r="AI25" i="2"/>
  <c r="AY25" i="2" s="1"/>
  <c r="AJ106" i="2"/>
  <c r="AQ106" i="2" s="1"/>
  <c r="AI80" i="2"/>
  <c r="AY80" i="2" s="1"/>
  <c r="AI29" i="2"/>
  <c r="AY29" i="2" s="1"/>
  <c r="AI10" i="2"/>
  <c r="AY10" i="2" s="1"/>
  <c r="AI102" i="2"/>
  <c r="AY102" i="2" s="1"/>
  <c r="AJ42" i="2"/>
  <c r="AQ42" i="2" s="1"/>
  <c r="AI75" i="2"/>
  <c r="AY75" i="2" s="1"/>
  <c r="AI64" i="2"/>
  <c r="AH64" i="2" s="1"/>
  <c r="AI38" i="2"/>
  <c r="AM38" i="2" s="1"/>
  <c r="AJ87" i="2"/>
  <c r="AQ87" i="2" s="1"/>
  <c r="AJ48" i="2"/>
  <c r="AQ48" i="2" s="1"/>
  <c r="AI20" i="2"/>
  <c r="AH20" i="2" s="1"/>
  <c r="AJ67" i="2"/>
  <c r="AQ67" i="2" s="1"/>
  <c r="AI22" i="2"/>
  <c r="AY22" i="2" s="1"/>
  <c r="AJ26" i="2"/>
  <c r="AQ26" i="2" s="1"/>
  <c r="AJ30" i="2"/>
  <c r="AQ30" i="2" s="1"/>
  <c r="AJ56" i="2"/>
  <c r="AQ56" i="2" s="1"/>
  <c r="AJ84" i="2"/>
  <c r="AQ84" i="2" s="1"/>
  <c r="AI98" i="2"/>
  <c r="AH98" i="2" s="1"/>
  <c r="AJ101" i="2"/>
  <c r="AQ101" i="2" s="1"/>
  <c r="AJ60" i="2"/>
  <c r="AQ60" i="2" s="1"/>
  <c r="AI72" i="2"/>
  <c r="AY72" i="2" s="1"/>
  <c r="AJ83" i="2"/>
  <c r="AQ83" i="2" s="1"/>
  <c r="AJ110" i="2"/>
  <c r="AQ110" i="2" s="1"/>
  <c r="AI76" i="2"/>
  <c r="AH76" i="2" s="1"/>
  <c r="AJ90" i="2"/>
  <c r="AQ90" i="2" s="1"/>
  <c r="AI93" i="2"/>
  <c r="AY93" i="2" s="1"/>
  <c r="AJ97" i="2"/>
  <c r="AQ97" i="2" s="1"/>
  <c r="AH47" i="2"/>
  <c r="AY47" i="2"/>
  <c r="AH97" i="2"/>
  <c r="AY97" i="2"/>
  <c r="AY57" i="2"/>
  <c r="AH57" i="2"/>
  <c r="AH107" i="2"/>
  <c r="AY107" i="2"/>
  <c r="AH74" i="2"/>
  <c r="AY74" i="2"/>
  <c r="AH108" i="2"/>
  <c r="AY108" i="2"/>
  <c r="AH42" i="2"/>
  <c r="AY42" i="2"/>
  <c r="AM42" i="2"/>
  <c r="AY55" i="2"/>
  <c r="AH55" i="2"/>
  <c r="AH91" i="2"/>
  <c r="AY91" i="2"/>
  <c r="AI36" i="2"/>
  <c r="AM36" i="2" s="1"/>
  <c r="AH84" i="2"/>
  <c r="AY84" i="2"/>
  <c r="AH88" i="2"/>
  <c r="AY88" i="2"/>
  <c r="AY60" i="2"/>
  <c r="AH60" i="2"/>
  <c r="AJ114" i="2"/>
  <c r="AQ114" i="2" s="1"/>
  <c r="AY50" i="2"/>
  <c r="AH50" i="2"/>
  <c r="AH43" i="2"/>
  <c r="AM43" i="2"/>
  <c r="AY43" i="2"/>
  <c r="AH110" i="2"/>
  <c r="AY110" i="2"/>
  <c r="AY65" i="2"/>
  <c r="AH65" i="2"/>
  <c r="AI37" i="2"/>
  <c r="AM37" i="2" s="1"/>
  <c r="AH78" i="2"/>
  <c r="AY78" i="2"/>
  <c r="AH105" i="2"/>
  <c r="AY105" i="2"/>
  <c r="AY73" i="2"/>
  <c r="AH73" i="2"/>
  <c r="AH82" i="2"/>
  <c r="AY82" i="2"/>
  <c r="AI40" i="2"/>
  <c r="AY81" i="2"/>
  <c r="AH81" i="2"/>
  <c r="AY87" i="2"/>
  <c r="AH87" i="2"/>
  <c r="AY61" i="2"/>
  <c r="AH61" i="2"/>
  <c r="AY48" i="2"/>
  <c r="AH48" i="2"/>
  <c r="AI109" i="2"/>
  <c r="AI114" i="2"/>
  <c r="AY89" i="2"/>
  <c r="AH89" i="2"/>
  <c r="AH69" i="2"/>
  <c r="AY69" i="2"/>
  <c r="AH95" i="2"/>
  <c r="AY95" i="2"/>
  <c r="AH46" i="2"/>
  <c r="AY46" i="2"/>
  <c r="AH66" i="2"/>
  <c r="AY66" i="2"/>
  <c r="AY53" i="2"/>
  <c r="AH53" i="2"/>
  <c r="AY83" i="2"/>
  <c r="AH83" i="2"/>
  <c r="AH54" i="2"/>
  <c r="AY54" i="2"/>
  <c r="AH99" i="2"/>
  <c r="AY99" i="2"/>
  <c r="AY58" i="2"/>
  <c r="AH58" i="2"/>
  <c r="AH111" i="2"/>
  <c r="AY111" i="2"/>
  <c r="AH85" i="2"/>
  <c r="AY85" i="2"/>
  <c r="AH101" i="2"/>
  <c r="AY101" i="2"/>
  <c r="AJ41" i="2"/>
  <c r="AQ41" i="2" s="1"/>
  <c r="AH59" i="2"/>
  <c r="AY59" i="2"/>
  <c r="AY106" i="2"/>
  <c r="AH106" i="2"/>
  <c r="AI71" i="2"/>
  <c r="AI79" i="2"/>
  <c r="AY62" i="2"/>
  <c r="AH62" i="2"/>
  <c r="AH70" i="2"/>
  <c r="AY70" i="2"/>
  <c r="AY96" i="2"/>
  <c r="AH96" i="2"/>
  <c r="AJ47" i="2"/>
  <c r="AQ47" i="2" s="1"/>
  <c r="AY92" i="2"/>
  <c r="AH92" i="2"/>
  <c r="AH56" i="2"/>
  <c r="AY56" i="2"/>
  <c r="AH103" i="2"/>
  <c r="AY103" i="2"/>
  <c r="AH41" i="2"/>
  <c r="AM41" i="2"/>
  <c r="AY41" i="2"/>
  <c r="AY67" i="2"/>
  <c r="AH67" i="2"/>
  <c r="AY45" i="2"/>
  <c r="AM45" i="2"/>
  <c r="AH45" i="2"/>
  <c r="AH94" i="2"/>
  <c r="AY94" i="2"/>
  <c r="AH77" i="2"/>
  <c r="AY77" i="2"/>
  <c r="AH51" i="2"/>
  <c r="AY51" i="2"/>
  <c r="AY100" i="2"/>
  <c r="AH100" i="2"/>
  <c r="AY104" i="2"/>
  <c r="AH104" i="2"/>
  <c r="AJ55" i="2"/>
  <c r="AQ55" i="2" s="1"/>
  <c r="AY112" i="2"/>
  <c r="AH112" i="2"/>
  <c r="AI44" i="2"/>
  <c r="AI63" i="2"/>
  <c r="AH68" i="2"/>
  <c r="AY68" i="2"/>
  <c r="AH49" i="2"/>
  <c r="AY49" i="2"/>
  <c r="AH90" i="2"/>
  <c r="AY90" i="2"/>
  <c r="AJ105" i="2"/>
  <c r="AQ105" i="2" s="1"/>
  <c r="AI23" i="2"/>
  <c r="AM23" i="2" s="1"/>
  <c r="AJ24" i="2"/>
  <c r="AQ24" i="2" s="1"/>
  <c r="AJ16" i="2"/>
  <c r="AQ16" i="2" s="1"/>
  <c r="AJ31" i="2"/>
  <c r="AQ31" i="2" s="1"/>
  <c r="AI28" i="2"/>
  <c r="AM28" i="2" s="1"/>
  <c r="AI18" i="2"/>
  <c r="AY18" i="2" s="1"/>
  <c r="AJ14" i="2"/>
  <c r="AQ14" i="2" s="1"/>
  <c r="AJ35" i="2"/>
  <c r="AQ35" i="2" s="1"/>
  <c r="AI19" i="2"/>
  <c r="AM19" i="2" s="1"/>
  <c r="AI39" i="2"/>
  <c r="AM39" i="2" s="1"/>
  <c r="AJ12" i="2"/>
  <c r="AQ12" i="2" s="1"/>
  <c r="AJ11" i="2"/>
  <c r="AQ11" i="2" s="1"/>
  <c r="AH11" i="2"/>
  <c r="AM11" i="2"/>
  <c r="AY11" i="2"/>
  <c r="AM22" i="2"/>
  <c r="AM20" i="2"/>
  <c r="AI13" i="2"/>
  <c r="AM10" i="2"/>
  <c r="AM25" i="2"/>
  <c r="AM32" i="2"/>
  <c r="AY32" i="2"/>
  <c r="AH32" i="2"/>
  <c r="AM17" i="2"/>
  <c r="AH17" i="2"/>
  <c r="AY17" i="2"/>
  <c r="AI30" i="2"/>
  <c r="AI9" i="2"/>
  <c r="AJ32" i="2"/>
  <c r="AQ32" i="2" s="1"/>
  <c r="AM26" i="2"/>
  <c r="AY26" i="2"/>
  <c r="AH26" i="2"/>
  <c r="AM29" i="2"/>
  <c r="AM12" i="2"/>
  <c r="AH12" i="2"/>
  <c r="AY12" i="2"/>
  <c r="AM21" i="2"/>
  <c r="AY35" i="2"/>
  <c r="AH35" i="2"/>
  <c r="AH15" i="2"/>
  <c r="AM15" i="2"/>
  <c r="AY15" i="2"/>
  <c r="AI34" i="2"/>
  <c r="AM24" i="2"/>
  <c r="AY24" i="2"/>
  <c r="AH24" i="2"/>
  <c r="AI27" i="2"/>
  <c r="AH31" i="2"/>
  <c r="AM31" i="2"/>
  <c r="AY31" i="2"/>
  <c r="AJ33" i="2"/>
  <c r="AQ33" i="2" s="1"/>
  <c r="AJ34" i="2"/>
  <c r="AQ34" i="2" s="1"/>
  <c r="AM16" i="2"/>
  <c r="AY16" i="2"/>
  <c r="AH16" i="2"/>
  <c r="AM14" i="2"/>
  <c r="AH14" i="2"/>
  <c r="AY14" i="2"/>
  <c r="AM33" i="2"/>
  <c r="AY33" i="2"/>
  <c r="AH33" i="2"/>
  <c r="AI7" i="2"/>
  <c r="AM7" i="2" s="1"/>
  <c r="AM8" i="2"/>
  <c r="AY8" i="2"/>
  <c r="AH8" i="2"/>
  <c r="AJ8" i="2"/>
  <c r="AQ8" i="2" s="1"/>
  <c r="AJ6" i="2"/>
  <c r="AQ6" i="2" s="1"/>
  <c r="AI6" i="2"/>
  <c r="AJ7" i="2"/>
  <c r="AQ7" i="2" s="1"/>
  <c r="AI5" i="2"/>
  <c r="AM5" i="2" s="1"/>
  <c r="AS112" i="2"/>
  <c r="AS74" i="2"/>
  <c r="AS66" i="2"/>
  <c r="BN84" i="2"/>
  <c r="AS96" i="2"/>
  <c r="AS42" i="2"/>
  <c r="BN40" i="2"/>
  <c r="BN37" i="2"/>
  <c r="BI14" i="2"/>
  <c r="AS65" i="2"/>
  <c r="BN106" i="2"/>
  <c r="BI54" i="2"/>
  <c r="BN47" i="2"/>
  <c r="AS104" i="2"/>
  <c r="AS87" i="2"/>
  <c r="BN97" i="2"/>
  <c r="BI108" i="2"/>
  <c r="AS47" i="2"/>
  <c r="AS85" i="2"/>
  <c r="AS12" i="2"/>
  <c r="BI43" i="2"/>
  <c r="BI46" i="2"/>
  <c r="BI17" i="2"/>
  <c r="AS16" i="2"/>
  <c r="AS101" i="2"/>
  <c r="BI61" i="2"/>
  <c r="BI66" i="2"/>
  <c r="AS24" i="2"/>
  <c r="AS97" i="2"/>
  <c r="BI95" i="2"/>
  <c r="BI68" i="2"/>
  <c r="AS92" i="2"/>
  <c r="BI90" i="2"/>
  <c r="BN52" i="2"/>
  <c r="AS17" i="2"/>
  <c r="BN36" i="2"/>
  <c r="AS56" i="2"/>
  <c r="AS61" i="2"/>
  <c r="AS8" i="2"/>
  <c r="AS55" i="2"/>
  <c r="BI32" i="2"/>
  <c r="BN20" i="2"/>
  <c r="AS11" i="2"/>
  <c r="BI48" i="2"/>
  <c r="BI84" i="2"/>
  <c r="BI31" i="2"/>
  <c r="BI53" i="2"/>
  <c r="AS33" i="2"/>
  <c r="BI42" i="2"/>
  <c r="AS14" i="2"/>
  <c r="AS68" i="2"/>
  <c r="BI75" i="2"/>
  <c r="BI41" i="2"/>
  <c r="BN10" i="2"/>
  <c r="BI112" i="2"/>
  <c r="AS6" i="2"/>
  <c r="BI107" i="2"/>
  <c r="BI94" i="2"/>
  <c r="BN39" i="2"/>
  <c r="BN5" i="2"/>
  <c r="BN87" i="2"/>
  <c r="AS77" i="2"/>
  <c r="BI91" i="2"/>
  <c r="BI92" i="2"/>
  <c r="BI97" i="2"/>
  <c r="BI47" i="2"/>
  <c r="BI111" i="2"/>
  <c r="BN41" i="2"/>
  <c r="BI22" i="2"/>
  <c r="BI72" i="2"/>
  <c r="BN114" i="2"/>
  <c r="AS7" i="2"/>
  <c r="BI58" i="2"/>
  <c r="AS90" i="2"/>
  <c r="BN35" i="2"/>
  <c r="BN42" i="2"/>
  <c r="BI110" i="2"/>
  <c r="BI70" i="2"/>
  <c r="BI59" i="2"/>
  <c r="AS45" i="2"/>
  <c r="AS114" i="2"/>
  <c r="BN102" i="2"/>
  <c r="AS15" i="2"/>
  <c r="BN25" i="2"/>
  <c r="BI82" i="2"/>
  <c r="BI8" i="2"/>
  <c r="BN98" i="2"/>
  <c r="BI10" i="2"/>
  <c r="BI104" i="2"/>
  <c r="BN13" i="2"/>
  <c r="AS84" i="2"/>
  <c r="BN22" i="2"/>
  <c r="BI88" i="2"/>
  <c r="BI24" i="2"/>
  <c r="BI11" i="2"/>
  <c r="BN19" i="2"/>
  <c r="BI49" i="2"/>
  <c r="BI99" i="2"/>
  <c r="BI25" i="2"/>
  <c r="BI57" i="2"/>
  <c r="BI101" i="2"/>
  <c r="BN71" i="2"/>
  <c r="BN48" i="2"/>
  <c r="AS26" i="2"/>
  <c r="AS94" i="2"/>
  <c r="BN14" i="2"/>
  <c r="AS108" i="2"/>
  <c r="AS41" i="2"/>
  <c r="BN60" i="2"/>
  <c r="AS51" i="2"/>
  <c r="AS30" i="2"/>
  <c r="BN38" i="2"/>
  <c r="BI73" i="2"/>
  <c r="BI100" i="2"/>
  <c r="AS49" i="2"/>
  <c r="BI103" i="2"/>
  <c r="BI96" i="2"/>
  <c r="BI55" i="2"/>
  <c r="BN76" i="2"/>
  <c r="AS106" i="2"/>
  <c r="AS110" i="2"/>
  <c r="BI80" i="2"/>
  <c r="AS31" i="2"/>
  <c r="BI15" i="2"/>
  <c r="BN63" i="2"/>
  <c r="BN21" i="2"/>
  <c r="BN33" i="2"/>
  <c r="BN8" i="2"/>
  <c r="BI113" i="2"/>
  <c r="BI50" i="2"/>
  <c r="BI69" i="2"/>
  <c r="AS83" i="2"/>
  <c r="BI85" i="2"/>
  <c r="AS35" i="2"/>
  <c r="BN9" i="2"/>
  <c r="BI74" i="2"/>
  <c r="BI65" i="2"/>
  <c r="BN24" i="2"/>
  <c r="AS73" i="2"/>
  <c r="AS81" i="2"/>
  <c r="BI102" i="2"/>
  <c r="BI62" i="2"/>
  <c r="BI67" i="2"/>
  <c r="BI77" i="2"/>
  <c r="BI18" i="2"/>
  <c r="AS32" i="2"/>
  <c r="BI12" i="2"/>
  <c r="AS34" i="2"/>
  <c r="BI33" i="2"/>
  <c r="BI106" i="2"/>
  <c r="BI105" i="2"/>
  <c r="BI87" i="2"/>
  <c r="BI60" i="2"/>
  <c r="BI83" i="2"/>
  <c r="BI56" i="2"/>
  <c r="BI45" i="2"/>
  <c r="BI51" i="2"/>
  <c r="AS105" i="2"/>
  <c r="BI26" i="2"/>
  <c r="BI35" i="2"/>
  <c r="BI16" i="2"/>
  <c r="AS67" i="2"/>
  <c r="AS59" i="2"/>
  <c r="BI29" i="2"/>
  <c r="AS48" i="2"/>
  <c r="BI93" i="2"/>
  <c r="BI78" i="2"/>
  <c r="BI81" i="2"/>
  <c r="AS60" i="2"/>
  <c r="BI89" i="2"/>
  <c r="AH113" i="2" l="1"/>
  <c r="AH22" i="2"/>
  <c r="AH36" i="2"/>
  <c r="AH102" i="2"/>
  <c r="AY86" i="2"/>
  <c r="AY52" i="2"/>
  <c r="AY64" i="2"/>
  <c r="AY21" i="2"/>
  <c r="AY20" i="2"/>
  <c r="AH10" i="2"/>
  <c r="AH52" i="2"/>
  <c r="AH72" i="2"/>
  <c r="AH80" i="2"/>
  <c r="AH29" i="2"/>
  <c r="AY98" i="2"/>
  <c r="AY38" i="2"/>
  <c r="AH25" i="2"/>
  <c r="AY37" i="2"/>
  <c r="AH75" i="2"/>
  <c r="AH93" i="2"/>
  <c r="AY76" i="2"/>
  <c r="AH38" i="2"/>
  <c r="AY28" i="2"/>
  <c r="AY36" i="2"/>
  <c r="AH18" i="2"/>
  <c r="AH37" i="2"/>
  <c r="AH28" i="2"/>
  <c r="AL67" i="2"/>
  <c r="AL99" i="2"/>
  <c r="AL92" i="2"/>
  <c r="AL69" i="2"/>
  <c r="AL90" i="2"/>
  <c r="AL75" i="2"/>
  <c r="AL51" i="2"/>
  <c r="AL101" i="2"/>
  <c r="AL111" i="2"/>
  <c r="AL46" i="2"/>
  <c r="AL73" i="2"/>
  <c r="AL84" i="2"/>
  <c r="AL89" i="2"/>
  <c r="AL62" i="2"/>
  <c r="AL108" i="2"/>
  <c r="AL48" i="2"/>
  <c r="AL83" i="2"/>
  <c r="AL87" i="2"/>
  <c r="AL112" i="2"/>
  <c r="AL77" i="2"/>
  <c r="AL45" i="2"/>
  <c r="AL56" i="2"/>
  <c r="AL93" i="2"/>
  <c r="AL43" i="2"/>
  <c r="AL88" i="2"/>
  <c r="AL42" i="2"/>
  <c r="AL113" i="2"/>
  <c r="AL49" i="2"/>
  <c r="AL58" i="2"/>
  <c r="AL53" i="2"/>
  <c r="AL57" i="2"/>
  <c r="AL94" i="2"/>
  <c r="AL106" i="2"/>
  <c r="AL68" i="2"/>
  <c r="AL50" i="2"/>
  <c r="AL82" i="2"/>
  <c r="AL91" i="2"/>
  <c r="AL102" i="2"/>
  <c r="AL72" i="2"/>
  <c r="AL85" i="2"/>
  <c r="AL54" i="2"/>
  <c r="AL110" i="2"/>
  <c r="AL81" i="2"/>
  <c r="AL95" i="2"/>
  <c r="AL103" i="2"/>
  <c r="AL70" i="2"/>
  <c r="AL100" i="2"/>
  <c r="AL59" i="2"/>
  <c r="AL60" i="2"/>
  <c r="AL78" i="2"/>
  <c r="AL107" i="2"/>
  <c r="AL97" i="2"/>
  <c r="AL105" i="2"/>
  <c r="AL80" i="2"/>
  <c r="AL61" i="2"/>
  <c r="AL96" i="2"/>
  <c r="AL104" i="2"/>
  <c r="AL41" i="2"/>
  <c r="AL65" i="2"/>
  <c r="AL66" i="2"/>
  <c r="AL55" i="2"/>
  <c r="AL47" i="2"/>
  <c r="AL74" i="2"/>
  <c r="AH44" i="2"/>
  <c r="AY44" i="2"/>
  <c r="AM44" i="2"/>
  <c r="AH109" i="2"/>
  <c r="AY109" i="2"/>
  <c r="AH71" i="2"/>
  <c r="AY71" i="2"/>
  <c r="AM40" i="2"/>
  <c r="AH40" i="2"/>
  <c r="AY40" i="2"/>
  <c r="AH19" i="2"/>
  <c r="AM18" i="2"/>
  <c r="AH23" i="2"/>
  <c r="AY23" i="2"/>
  <c r="AH79" i="2"/>
  <c r="AY79" i="2"/>
  <c r="AH63" i="2"/>
  <c r="AY63" i="2"/>
  <c r="AH114" i="2"/>
  <c r="AY114" i="2"/>
  <c r="AY39" i="2"/>
  <c r="AY19" i="2"/>
  <c r="AH39" i="2"/>
  <c r="AY7" i="2"/>
  <c r="AL15" i="2"/>
  <c r="AL16" i="2"/>
  <c r="AL31" i="2"/>
  <c r="AL33" i="2"/>
  <c r="AL12" i="2"/>
  <c r="AL32" i="2"/>
  <c r="AL29" i="2"/>
  <c r="AL24" i="2"/>
  <c r="AL26" i="2"/>
  <c r="AL18" i="2"/>
  <c r="AL25" i="2"/>
  <c r="AL35" i="2"/>
  <c r="AL17" i="2"/>
  <c r="AL22" i="2"/>
  <c r="AL11" i="2"/>
  <c r="AL14" i="2"/>
  <c r="AL10" i="2"/>
  <c r="AY13" i="2"/>
  <c r="AH13" i="2"/>
  <c r="AM13" i="2"/>
  <c r="AH27" i="2"/>
  <c r="AY27" i="2"/>
  <c r="AM27" i="2"/>
  <c r="AM34" i="2"/>
  <c r="AH34" i="2"/>
  <c r="AY34" i="2"/>
  <c r="AH9" i="2"/>
  <c r="AM9" i="2"/>
  <c r="AY9" i="2"/>
  <c r="AY30" i="2"/>
  <c r="AH30" i="2"/>
  <c r="AM30" i="2"/>
  <c r="AH7" i="2"/>
  <c r="AL8" i="2"/>
  <c r="AM6" i="2"/>
  <c r="AH6" i="2"/>
  <c r="AY6" i="2"/>
  <c r="AH5" i="2"/>
  <c r="AY5" i="2"/>
  <c r="BI64" i="2"/>
  <c r="BI36" i="2"/>
  <c r="BI86" i="2"/>
  <c r="BI21" i="2"/>
  <c r="BI44" i="2"/>
  <c r="BI109" i="2"/>
  <c r="BI30" i="2"/>
  <c r="BI52" i="2"/>
  <c r="BI20" i="2"/>
  <c r="BI114" i="2"/>
  <c r="BI98" i="2"/>
  <c r="BI23" i="2"/>
  <c r="BI27" i="2"/>
  <c r="BI19" i="2"/>
  <c r="BI40" i="2"/>
  <c r="BI38" i="2"/>
  <c r="BI6" i="2"/>
  <c r="BI13" i="2"/>
  <c r="BI76" i="2"/>
  <c r="BI28" i="2"/>
  <c r="BI37" i="2"/>
  <c r="BI63" i="2"/>
  <c r="BI34" i="2"/>
  <c r="BI39" i="2"/>
  <c r="BI9" i="2"/>
  <c r="BI79" i="2"/>
  <c r="BI71" i="2"/>
  <c r="BI5" i="2"/>
  <c r="BI7" i="2"/>
  <c r="AL52" i="2" l="1"/>
  <c r="AL86" i="2"/>
  <c r="AL20" i="2"/>
  <c r="AL21" i="2"/>
  <c r="AL64" i="2"/>
  <c r="AL98" i="2"/>
  <c r="AL37" i="2"/>
  <c r="AL38" i="2"/>
  <c r="AL76" i="2"/>
  <c r="AL28" i="2"/>
  <c r="AL36" i="2"/>
  <c r="AL63" i="2"/>
  <c r="AL79" i="2"/>
  <c r="AL40" i="2"/>
  <c r="AL71" i="2"/>
  <c r="AL23" i="2"/>
  <c r="AL114" i="2"/>
  <c r="AL44" i="2"/>
  <c r="AL109" i="2"/>
  <c r="AL39" i="2"/>
  <c r="AL19" i="2"/>
  <c r="AL7" i="2"/>
  <c r="AL30" i="2"/>
  <c r="AL9" i="2"/>
  <c r="AL34" i="2"/>
  <c r="AL27" i="2"/>
  <c r="AL13" i="2"/>
  <c r="AL6" i="2"/>
  <c r="AL5" i="2"/>
  <c r="BI3" i="2" l="1"/>
</calcChain>
</file>

<file path=xl/sharedStrings.xml><?xml version="1.0" encoding="utf-8"?>
<sst xmlns="http://schemas.openxmlformats.org/spreadsheetml/2006/main" count="1705" uniqueCount="948">
  <si>
    <t>Strategy Phase</t>
  </si>
  <si>
    <t>Type</t>
  </si>
  <si>
    <t>Campaign Category</t>
  </si>
  <si>
    <t>Date</t>
  </si>
  <si>
    <t>Model Variant</t>
  </si>
  <si>
    <t>Campaign Name</t>
  </si>
  <si>
    <t>Name</t>
  </si>
  <si>
    <t>Country</t>
  </si>
  <si>
    <t>Media Channel</t>
  </si>
  <si>
    <t>AE</t>
  </si>
  <si>
    <t>UAE</t>
  </si>
  <si>
    <t>AAF</t>
  </si>
  <si>
    <t>AFF</t>
  </si>
  <si>
    <t>Affiliate</t>
  </si>
  <si>
    <t>COMPR</t>
  </si>
  <si>
    <t>DL</t>
  </si>
  <si>
    <t>Dealer</t>
  </si>
  <si>
    <t>AS</t>
  </si>
  <si>
    <t>AFS</t>
  </si>
  <si>
    <t>AR</t>
  </si>
  <si>
    <t>Argentina</t>
  </si>
  <si>
    <t>IMC</t>
  </si>
  <si>
    <t>DSY</t>
  </si>
  <si>
    <t>Display</t>
  </si>
  <si>
    <t>LANCH</t>
  </si>
  <si>
    <t>Launch</t>
  </si>
  <si>
    <t>ND</t>
  </si>
  <si>
    <t>Non-Dealer</t>
  </si>
  <si>
    <t>ALS</t>
  </si>
  <si>
    <t>Atlas</t>
  </si>
  <si>
    <t>AU</t>
  </si>
  <si>
    <t>Australia</t>
  </si>
  <si>
    <t>TAT</t>
  </si>
  <si>
    <t>SEA</t>
  </si>
  <si>
    <t>Search</t>
  </si>
  <si>
    <t>MODNN</t>
  </si>
  <si>
    <t>NC</t>
  </si>
  <si>
    <t>ALT</t>
  </si>
  <si>
    <t>Alltrack</t>
  </si>
  <si>
    <t>BE</t>
  </si>
  <si>
    <t>Belgium</t>
  </si>
  <si>
    <t>SOC</t>
  </si>
  <si>
    <t>Social</t>
  </si>
  <si>
    <t>MTRSW</t>
  </si>
  <si>
    <t>UC</t>
  </si>
  <si>
    <t>AMK</t>
  </si>
  <si>
    <t>Amarok</t>
  </si>
  <si>
    <t>BR</t>
  </si>
  <si>
    <t>Brazil</t>
  </si>
  <si>
    <t>VID</t>
  </si>
  <si>
    <t>Video</t>
  </si>
  <si>
    <t>NONMS</t>
  </si>
  <si>
    <t>AMO</t>
  </si>
  <si>
    <t>Ameo</t>
  </si>
  <si>
    <t>CA</t>
  </si>
  <si>
    <t>Canada</t>
  </si>
  <si>
    <t>PRESA</t>
  </si>
  <si>
    <t>Pre-Sales</t>
  </si>
  <si>
    <t>AMV</t>
  </si>
  <si>
    <t>CH</t>
  </si>
  <si>
    <t>Switzerland</t>
  </si>
  <si>
    <t>RUNOT</t>
  </si>
  <si>
    <t>ATN</t>
  </si>
  <si>
    <t>Arteon</t>
  </si>
  <si>
    <t>CN</t>
  </si>
  <si>
    <t>China</t>
  </si>
  <si>
    <t>SUSTN</t>
  </si>
  <si>
    <t>Sustain</t>
  </si>
  <si>
    <t>BEE</t>
  </si>
  <si>
    <t>Beetle</t>
  </si>
  <si>
    <t>DE</t>
  </si>
  <si>
    <t>Germany</t>
  </si>
  <si>
    <t>BRO</t>
  </si>
  <si>
    <t>DK</t>
  </si>
  <si>
    <t>Denmark</t>
  </si>
  <si>
    <t>BSE</t>
  </si>
  <si>
    <t>B7</t>
  </si>
  <si>
    <t>ES</t>
  </si>
  <si>
    <t>Spain</t>
  </si>
  <si>
    <t>BTS</t>
  </si>
  <si>
    <t>Beats</t>
  </si>
  <si>
    <t>FR</t>
  </si>
  <si>
    <t>France</t>
  </si>
  <si>
    <t>CAB</t>
  </si>
  <si>
    <t>Cabriolet</t>
  </si>
  <si>
    <t>GB</t>
  </si>
  <si>
    <t>CAL</t>
  </si>
  <si>
    <t>California</t>
  </si>
  <si>
    <t>HK</t>
  </si>
  <si>
    <t>CAR</t>
  </si>
  <si>
    <t>Caravelle</t>
  </si>
  <si>
    <t>IE</t>
  </si>
  <si>
    <t>Ireland</t>
  </si>
  <si>
    <t>CCC</t>
  </si>
  <si>
    <t>CC</t>
  </si>
  <si>
    <t>IN</t>
  </si>
  <si>
    <t>India</t>
  </si>
  <si>
    <t>CCL</t>
  </si>
  <si>
    <t>IT</t>
  </si>
  <si>
    <t>Italy</t>
  </si>
  <si>
    <t>CDV</t>
  </si>
  <si>
    <t>JP</t>
  </si>
  <si>
    <t>Japan</t>
  </si>
  <si>
    <t>CDY</t>
  </si>
  <si>
    <t>Caddy</t>
  </si>
  <si>
    <t>KR</t>
  </si>
  <si>
    <t>Korea</t>
  </si>
  <si>
    <t>CPO</t>
  </si>
  <si>
    <t>MX</t>
  </si>
  <si>
    <t>Mexico</t>
  </si>
  <si>
    <t>CRA</t>
  </si>
  <si>
    <t>Crafter</t>
  </si>
  <si>
    <t>MY</t>
  </si>
  <si>
    <t>Malaysia</t>
  </si>
  <si>
    <t>CUP</t>
  </si>
  <si>
    <t>NL</t>
  </si>
  <si>
    <t>Netherlands</t>
  </si>
  <si>
    <t>DAD</t>
  </si>
  <si>
    <t>NO</t>
  </si>
  <si>
    <t>Norway</t>
  </si>
  <si>
    <t>DMA</t>
  </si>
  <si>
    <t>PL</t>
  </si>
  <si>
    <t>Poland</t>
  </si>
  <si>
    <t>DSA</t>
  </si>
  <si>
    <t>PT</t>
  </si>
  <si>
    <t>Portugal</t>
  </si>
  <si>
    <t>DWA</t>
  </si>
  <si>
    <t>RU</t>
  </si>
  <si>
    <t>Russia</t>
  </si>
  <si>
    <t>EDT</t>
  </si>
  <si>
    <t>Edition</t>
  </si>
  <si>
    <t>SE</t>
  </si>
  <si>
    <t>Sweden</t>
  </si>
  <si>
    <t>EGF</t>
  </si>
  <si>
    <t>E-Golf</t>
  </si>
  <si>
    <t>SG</t>
  </si>
  <si>
    <t>Singapore</t>
  </si>
  <si>
    <t>EUP</t>
  </si>
  <si>
    <t>E-Up!</t>
  </si>
  <si>
    <t>SK</t>
  </si>
  <si>
    <t>Slovakia</t>
  </si>
  <si>
    <t>EVS</t>
  </si>
  <si>
    <t>TW</t>
  </si>
  <si>
    <t>Taiwan</t>
  </si>
  <si>
    <t>FLT</t>
  </si>
  <si>
    <t>Fleet</t>
  </si>
  <si>
    <t>US</t>
  </si>
  <si>
    <t>FOX</t>
  </si>
  <si>
    <t>Fox</t>
  </si>
  <si>
    <t>ZA</t>
  </si>
  <si>
    <t>GLA</t>
  </si>
  <si>
    <t>GLF</t>
  </si>
  <si>
    <t>Golf</t>
  </si>
  <si>
    <t>GLG</t>
  </si>
  <si>
    <t>GLR</t>
  </si>
  <si>
    <t>GLW</t>
  </si>
  <si>
    <t>GOL</t>
  </si>
  <si>
    <t>Gol</t>
  </si>
  <si>
    <t>GTE</t>
  </si>
  <si>
    <t>GTI</t>
  </si>
  <si>
    <t>HCD</t>
  </si>
  <si>
    <t>HYB</t>
  </si>
  <si>
    <t>Hybrid</t>
  </si>
  <si>
    <t>IDC</t>
  </si>
  <si>
    <t>IDI</t>
  </si>
  <si>
    <t>ID</t>
  </si>
  <si>
    <t>IMG</t>
  </si>
  <si>
    <t>Image</t>
  </si>
  <si>
    <t>INC</t>
  </si>
  <si>
    <t>IST</t>
  </si>
  <si>
    <t>Institutional</t>
  </si>
  <si>
    <t>JET</t>
  </si>
  <si>
    <t>Jetta</t>
  </si>
  <si>
    <t>LAV</t>
  </si>
  <si>
    <t>Lavida</t>
  </si>
  <si>
    <t>MLV</t>
  </si>
  <si>
    <t>Multivan</t>
  </si>
  <si>
    <t>NMC</t>
  </si>
  <si>
    <t>OTH</t>
  </si>
  <si>
    <t>Other</t>
  </si>
  <si>
    <t>PAS</t>
  </si>
  <si>
    <t>PFM</t>
  </si>
  <si>
    <t>Performance</t>
  </si>
  <si>
    <t>PHT</t>
  </si>
  <si>
    <t>Phaeton</t>
  </si>
  <si>
    <t>POG</t>
  </si>
  <si>
    <t>POL</t>
  </si>
  <si>
    <t>Polo</t>
  </si>
  <si>
    <t>PRR</t>
  </si>
  <si>
    <t>PR</t>
  </si>
  <si>
    <t>PSA</t>
  </si>
  <si>
    <t>PST</t>
  </si>
  <si>
    <t>Passat</t>
  </si>
  <si>
    <t>PSW</t>
  </si>
  <si>
    <t>RBT</t>
  </si>
  <si>
    <t>RNG</t>
  </si>
  <si>
    <t>Range</t>
  </si>
  <si>
    <t>RRR</t>
  </si>
  <si>
    <t>R</t>
  </si>
  <si>
    <t>SAV</t>
  </si>
  <si>
    <t>Saveiro</t>
  </si>
  <si>
    <t>SBC</t>
  </si>
  <si>
    <t>SBUC</t>
  </si>
  <si>
    <t>SBE</t>
  </si>
  <si>
    <t>SBUE</t>
  </si>
  <si>
    <t>SBN</t>
  </si>
  <si>
    <t>SBUN</t>
  </si>
  <si>
    <t>SBS</t>
  </si>
  <si>
    <t>SBUS</t>
  </si>
  <si>
    <t>SBW</t>
  </si>
  <si>
    <t>SBUW</t>
  </si>
  <si>
    <t>SCR</t>
  </si>
  <si>
    <t>Scirocco</t>
  </si>
  <si>
    <t>SED</t>
  </si>
  <si>
    <t>Sedan</t>
  </si>
  <si>
    <t>SEV</t>
  </si>
  <si>
    <t>SHR</t>
  </si>
  <si>
    <t>Sharan</t>
  </si>
  <si>
    <t>SNT</t>
  </si>
  <si>
    <t>Santana</t>
  </si>
  <si>
    <t>SUR</t>
  </si>
  <si>
    <t>Suran</t>
  </si>
  <si>
    <t>SVC</t>
  </si>
  <si>
    <t>Service</t>
  </si>
  <si>
    <t>SWG</t>
  </si>
  <si>
    <t>Sportwagen</t>
  </si>
  <si>
    <t>TCC</t>
  </si>
  <si>
    <t>TCR</t>
  </si>
  <si>
    <t>T-Cross</t>
  </si>
  <si>
    <t>TER</t>
  </si>
  <si>
    <t>Teramont</t>
  </si>
  <si>
    <t>THB</t>
  </si>
  <si>
    <t>TIG</t>
  </si>
  <si>
    <t>Tiguan</t>
  </si>
  <si>
    <t>TRC</t>
  </si>
  <si>
    <t>T-Roc</t>
  </si>
  <si>
    <t>TRG</t>
  </si>
  <si>
    <t>Touareg</t>
  </si>
  <si>
    <t>TRN</t>
  </si>
  <si>
    <t>Touran</t>
  </si>
  <si>
    <t>TSP</t>
  </si>
  <si>
    <t>Transporter</t>
  </si>
  <si>
    <t>UPP</t>
  </si>
  <si>
    <t>Up!</t>
  </si>
  <si>
    <t>VAR</t>
  </si>
  <si>
    <t>Variant</t>
  </si>
  <si>
    <t>VIV</t>
  </si>
  <si>
    <t>Vivo</t>
  </si>
  <si>
    <t>VNT</t>
  </si>
  <si>
    <t>Vento</t>
  </si>
  <si>
    <t>VOY</t>
  </si>
  <si>
    <t>Voyage</t>
  </si>
  <si>
    <t>VWB</t>
  </si>
  <si>
    <t>WRC</t>
  </si>
  <si>
    <t>*Ação</t>
  </si>
  <si>
    <t>Status AdOps</t>
  </si>
  <si>
    <t>Status Midia</t>
  </si>
  <si>
    <t>*Data_Inicial</t>
  </si>
  <si>
    <t>*Data_Final</t>
  </si>
  <si>
    <t>*Servido Por</t>
  </si>
  <si>
    <t>Veiculo</t>
  </si>
  <si>
    <t>Canal</t>
  </si>
  <si>
    <t>Tipo Midia</t>
  </si>
  <si>
    <t>Buying Type</t>
  </si>
  <si>
    <t>Buying Metric</t>
  </si>
  <si>
    <t>Tracking Type</t>
  </si>
  <si>
    <t>Unit Name</t>
  </si>
  <si>
    <t>Device</t>
  </si>
  <si>
    <t>Paid vs AV</t>
  </si>
  <si>
    <t>Size</t>
  </si>
  <si>
    <t>tipo de peça</t>
  </si>
  <si>
    <t>Categoria de Peça</t>
  </si>
  <si>
    <t>ID Pacote</t>
  </si>
  <si>
    <t>Nome Pacote</t>
  </si>
  <si>
    <t>*Impressões/cliques_Período</t>
  </si>
  <si>
    <t>*Cliques_Período</t>
  </si>
  <si>
    <t>Custo_Unitário_Liquido</t>
  </si>
  <si>
    <t>*Valor_Negociado_Total</t>
  </si>
  <si>
    <t>utm_source</t>
  </si>
  <si>
    <t>utm_medium</t>
  </si>
  <si>
    <t>utm_campaign</t>
  </si>
  <si>
    <t>utm_content</t>
  </si>
  <si>
    <t>keyword</t>
  </si>
  <si>
    <t>Brand</t>
  </si>
  <si>
    <t>Model</t>
  </si>
  <si>
    <t>VW</t>
  </si>
  <si>
    <t>Volkswagen</t>
  </si>
  <si>
    <t>CPA</t>
  </si>
  <si>
    <t>DRCT</t>
  </si>
  <si>
    <t>Direct</t>
  </si>
  <si>
    <t>ALL</t>
  </si>
  <si>
    <t>All</t>
  </si>
  <si>
    <t>AV</t>
  </si>
  <si>
    <t>HTO</t>
  </si>
  <si>
    <t>DGA</t>
  </si>
  <si>
    <t>1X1</t>
  </si>
  <si>
    <t>LDR</t>
  </si>
  <si>
    <t>Leaderboard</t>
  </si>
  <si>
    <t>CPC</t>
  </si>
  <si>
    <t>PROG</t>
  </si>
  <si>
    <t>Programmatic</t>
  </si>
  <si>
    <t>BRD</t>
  </si>
  <si>
    <t>DSK</t>
  </si>
  <si>
    <t>DC</t>
  </si>
  <si>
    <t>OTR</t>
  </si>
  <si>
    <t>DIS</t>
  </si>
  <si>
    <t>CAI</t>
  </si>
  <si>
    <t>MBR</t>
  </si>
  <si>
    <t>CPM</t>
  </si>
  <si>
    <t>TCT</t>
  </si>
  <si>
    <t>Tactical</t>
  </si>
  <si>
    <t>MOB</t>
  </si>
  <si>
    <t>MG</t>
  </si>
  <si>
    <t>RON</t>
  </si>
  <si>
    <t>CLK</t>
  </si>
  <si>
    <t>Click</t>
  </si>
  <si>
    <t>MMP</t>
  </si>
  <si>
    <t>CPV</t>
  </si>
  <si>
    <t>TAB</t>
  </si>
  <si>
    <t>PD</t>
  </si>
  <si>
    <t>Paid</t>
  </si>
  <si>
    <t>ROS</t>
  </si>
  <si>
    <t>IMP</t>
  </si>
  <si>
    <t>Impression</t>
  </si>
  <si>
    <t>MPU</t>
  </si>
  <si>
    <t>MXD</t>
  </si>
  <si>
    <t>Mixed</t>
  </si>
  <si>
    <t>SPR</t>
  </si>
  <si>
    <t>Sponsorship</t>
  </si>
  <si>
    <t>STD</t>
  </si>
  <si>
    <t>Standard</t>
  </si>
  <si>
    <t>SKY</t>
  </si>
  <si>
    <t>Skyscraper</t>
  </si>
  <si>
    <t>TPE</t>
  </si>
  <si>
    <t>SRB</t>
  </si>
  <si>
    <t>EGL</t>
  </si>
  <si>
    <t>Plannig Principle</t>
  </si>
  <si>
    <t>Placement Name</t>
  </si>
  <si>
    <t>Site</t>
  </si>
  <si>
    <t>4x4-brasil</t>
  </si>
  <si>
    <t>agrishow</t>
  </si>
  <si>
    <t>aol</t>
  </si>
  <si>
    <t>aol-dbm</t>
  </si>
  <si>
    <t>auto-esporte</t>
  </si>
  <si>
    <t>auto-informe</t>
  </si>
  <si>
    <t>autopapo</t>
  </si>
  <si>
    <t>autopista</t>
  </si>
  <si>
    <t>buzzfeed</t>
  </si>
  <si>
    <t>campinas.com.br</t>
  </si>
  <si>
    <t>canaltech-auto</t>
  </si>
  <si>
    <t>cazamba</t>
  </si>
  <si>
    <t>cinemad</t>
  </si>
  <si>
    <t>cm</t>
  </si>
  <si>
    <t>comprecar</t>
  </si>
  <si>
    <t>dbm</t>
  </si>
  <si>
    <t>dbm-aol</t>
  </si>
  <si>
    <t>dbm-estadao</t>
  </si>
  <si>
    <t>dbm-exame</t>
  </si>
  <si>
    <t>dbm-folha</t>
  </si>
  <si>
    <t>dbm-g1</t>
  </si>
  <si>
    <t>dbm-ge</t>
  </si>
  <si>
    <t>dbm-globo</t>
  </si>
  <si>
    <t>dbm-icarros</t>
  </si>
  <si>
    <t>dbm-msn</t>
  </si>
  <si>
    <t>dbm-olx</t>
  </si>
  <si>
    <t>dbm-r7</t>
  </si>
  <si>
    <t>dbm-terra</t>
  </si>
  <si>
    <t>dbm-uol</t>
  </si>
  <si>
    <t>dbm-valor</t>
  </si>
  <si>
    <t>dbm-valoreconomico</t>
  </si>
  <si>
    <t>dbm-veja</t>
  </si>
  <si>
    <t>dbm-webmotors</t>
  </si>
  <si>
    <t>dbm-youtube</t>
  </si>
  <si>
    <t>decolar</t>
  </si>
  <si>
    <t>epoca</t>
  </si>
  <si>
    <t>estadao</t>
  </si>
  <si>
    <t>facebook</t>
  </si>
  <si>
    <t>faceinsta</t>
  </si>
  <si>
    <t>fullpower</t>
  </si>
  <si>
    <t>gdn</t>
  </si>
  <si>
    <t>gdn-youtube</t>
  </si>
  <si>
    <t>globo</t>
  </si>
  <si>
    <t>globo-dbm</t>
  </si>
  <si>
    <t>google</t>
  </si>
  <si>
    <t>hands</t>
  </si>
  <si>
    <t>huffpost</t>
  </si>
  <si>
    <t>icarros</t>
  </si>
  <si>
    <t>inloco</t>
  </si>
  <si>
    <t>instagram</t>
  </si>
  <si>
    <t>istoe-dbm</t>
  </si>
  <si>
    <t>linkedin</t>
  </si>
  <si>
    <t>logan</t>
  </si>
  <si>
    <t>msn</t>
  </si>
  <si>
    <t>oath</t>
  </si>
  <si>
    <t>olx</t>
  </si>
  <si>
    <t>opera</t>
  </si>
  <si>
    <t>outlook</t>
  </si>
  <si>
    <t>planeta-offroad</t>
  </si>
  <si>
    <t>psafe</t>
  </si>
  <si>
    <t>r7</t>
  </si>
  <si>
    <t>sindloc</t>
  </si>
  <si>
    <t>spotify</t>
  </si>
  <si>
    <t>teads</t>
  </si>
  <si>
    <t>terra</t>
  </si>
  <si>
    <t>tvxtender</t>
  </si>
  <si>
    <t>twitter</t>
  </si>
  <si>
    <t>uol</t>
  </si>
  <si>
    <t>veja-exame</t>
  </si>
  <si>
    <t>waze</t>
  </si>
  <si>
    <t>webmotors</t>
  </si>
  <si>
    <t>wetransfer</t>
  </si>
  <si>
    <t>yahoo</t>
  </si>
  <si>
    <t>youtube</t>
  </si>
  <si>
    <t>1000x100</t>
  </si>
  <si>
    <t>video</t>
  </si>
  <si>
    <t>1000x250</t>
  </si>
  <si>
    <t>1000x300</t>
  </si>
  <si>
    <t>1000x600</t>
  </si>
  <si>
    <t>100x100</t>
  </si>
  <si>
    <t>100x13</t>
  </si>
  <si>
    <t>1024x768</t>
  </si>
  <si>
    <t>1050x250</t>
  </si>
  <si>
    <t>1080x1080</t>
  </si>
  <si>
    <t>1100x140</t>
  </si>
  <si>
    <t>1100x600</t>
  </si>
  <si>
    <t>1122x215</t>
  </si>
  <si>
    <t>1160x300</t>
  </si>
  <si>
    <t>1190x330</t>
  </si>
  <si>
    <t>1200x627</t>
  </si>
  <si>
    <t>1200x628</t>
  </si>
  <si>
    <t>1200x675</t>
  </si>
  <si>
    <t>1200x800</t>
  </si>
  <si>
    <t>120x120</t>
  </si>
  <si>
    <t>120x225</t>
  </si>
  <si>
    <t>120x240</t>
  </si>
  <si>
    <t>120x245</t>
  </si>
  <si>
    <t>120x60</t>
  </si>
  <si>
    <t>120x600</t>
  </si>
  <si>
    <t>120x90</t>
  </si>
  <si>
    <t>1280x752</t>
  </si>
  <si>
    <t>130x186</t>
  </si>
  <si>
    <t>135x102</t>
  </si>
  <si>
    <t>150x150</t>
  </si>
  <si>
    <t>152x112</t>
  </si>
  <si>
    <t>160x150</t>
  </si>
  <si>
    <t>160x185</t>
  </si>
  <si>
    <t>160x300</t>
  </si>
  <si>
    <t>160x600</t>
  </si>
  <si>
    <t>180x150</t>
  </si>
  <si>
    <t>1x1</t>
  </si>
  <si>
    <t>200x120</t>
  </si>
  <si>
    <t>200x200</t>
  </si>
  <si>
    <t>230x350</t>
  </si>
  <si>
    <t>234x60</t>
  </si>
  <si>
    <t>240x240</t>
  </si>
  <si>
    <t>240x400</t>
  </si>
  <si>
    <t>240x600</t>
  </si>
  <si>
    <t>250x250</t>
  </si>
  <si>
    <t>250x360</t>
  </si>
  <si>
    <t>250x600</t>
  </si>
  <si>
    <t>260x260</t>
  </si>
  <si>
    <t>278x95</t>
  </si>
  <si>
    <t>280x80</t>
  </si>
  <si>
    <t>300x100</t>
  </si>
  <si>
    <t>300x1000</t>
  </si>
  <si>
    <t>300x1050</t>
  </si>
  <si>
    <t>300x130</t>
  </si>
  <si>
    <t>300x150</t>
  </si>
  <si>
    <t>300x250</t>
  </si>
  <si>
    <t>300x300</t>
  </si>
  <si>
    <t>300x395</t>
  </si>
  <si>
    <t>300x400</t>
  </si>
  <si>
    <t>300x443</t>
  </si>
  <si>
    <t>300x460</t>
  </si>
  <si>
    <t>300x50</t>
  </si>
  <si>
    <t>300x520</t>
  </si>
  <si>
    <t>300x60</t>
  </si>
  <si>
    <t>300x600</t>
  </si>
  <si>
    <t>300x75</t>
  </si>
  <si>
    <t>300x800</t>
  </si>
  <si>
    <t>300x815</t>
  </si>
  <si>
    <t>300x90</t>
  </si>
  <si>
    <t>300x926</t>
  </si>
  <si>
    <t>320x100</t>
  </si>
  <si>
    <t>320x160</t>
  </si>
  <si>
    <t>320x165</t>
  </si>
  <si>
    <t>320x176</t>
  </si>
  <si>
    <t>320x250</t>
  </si>
  <si>
    <t>320x260</t>
  </si>
  <si>
    <t>320x265</t>
  </si>
  <si>
    <t>320x320</t>
  </si>
  <si>
    <t>320x480</t>
  </si>
  <si>
    <t>320x50</t>
  </si>
  <si>
    <t>320x568</t>
  </si>
  <si>
    <t>320x600</t>
  </si>
  <si>
    <t>320x70</t>
  </si>
  <si>
    <t>336x280</t>
  </si>
  <si>
    <t>336x400</t>
  </si>
  <si>
    <t>336x50</t>
  </si>
  <si>
    <t>336x600</t>
  </si>
  <si>
    <t>348x208</t>
  </si>
  <si>
    <t>360x640</t>
  </si>
  <si>
    <t>400x300</t>
  </si>
  <si>
    <t>430x343</t>
  </si>
  <si>
    <t>450x75</t>
  </si>
  <si>
    <t>460x175</t>
  </si>
  <si>
    <t>468x60</t>
  </si>
  <si>
    <t>475x300</t>
  </si>
  <si>
    <t>480x320</t>
  </si>
  <si>
    <t>480x70</t>
  </si>
  <si>
    <t>500x100</t>
  </si>
  <si>
    <t>510x500</t>
  </si>
  <si>
    <t>525x80</t>
  </si>
  <si>
    <t>530x300</t>
  </si>
  <si>
    <t>540x544</t>
  </si>
  <si>
    <t>550x100</t>
  </si>
  <si>
    <t>550x220</t>
  </si>
  <si>
    <t>550x480</t>
  </si>
  <si>
    <t>550x90</t>
  </si>
  <si>
    <t>553x220</t>
  </si>
  <si>
    <t>555x240</t>
  </si>
  <si>
    <t>560x400</t>
  </si>
  <si>
    <t>578x60</t>
  </si>
  <si>
    <t>580x220</t>
  </si>
  <si>
    <t>590x147</t>
  </si>
  <si>
    <t>590x250</t>
  </si>
  <si>
    <t>600x100</t>
  </si>
  <si>
    <t>600x125</t>
  </si>
  <si>
    <t>600x150</t>
  </si>
  <si>
    <t>600x195</t>
  </si>
  <si>
    <t>600x200</t>
  </si>
  <si>
    <t>600x220</t>
  </si>
  <si>
    <t>600x250</t>
  </si>
  <si>
    <t>600x300</t>
  </si>
  <si>
    <t>600x335</t>
  </si>
  <si>
    <t>600x500</t>
  </si>
  <si>
    <t>600x80</t>
  </si>
  <si>
    <t>600x90</t>
  </si>
  <si>
    <t>608x220</t>
  </si>
  <si>
    <t>608x240</t>
  </si>
  <si>
    <t>610x220</t>
  </si>
  <si>
    <t>610x240</t>
  </si>
  <si>
    <t>610x270</t>
  </si>
  <si>
    <t>620x200</t>
  </si>
  <si>
    <t>620x250</t>
  </si>
  <si>
    <t>620x90</t>
  </si>
  <si>
    <t>630x180</t>
  </si>
  <si>
    <t>630x220</t>
  </si>
  <si>
    <t>630x242</t>
  </si>
  <si>
    <t>630x500</t>
  </si>
  <si>
    <t>635x210</t>
  </si>
  <si>
    <t>640x107</t>
  </si>
  <si>
    <t>640x200</t>
  </si>
  <si>
    <t>640x220</t>
  </si>
  <si>
    <t>640x250</t>
  </si>
  <si>
    <t>640x300</t>
  </si>
  <si>
    <t>640x332</t>
  </si>
  <si>
    <t>640x360</t>
  </si>
  <si>
    <t>640x480</t>
  </si>
  <si>
    <t>640x90</t>
  </si>
  <si>
    <t>640x960</t>
  </si>
  <si>
    <t>643x200</t>
  </si>
  <si>
    <t>643x220</t>
  </si>
  <si>
    <t>645x120</t>
  </si>
  <si>
    <t>645x75</t>
  </si>
  <si>
    <t>646x193</t>
  </si>
  <si>
    <t>648x140</t>
  </si>
  <si>
    <t>650x1100</t>
  </si>
  <si>
    <t>650x140</t>
  </si>
  <si>
    <t>650x200</t>
  </si>
  <si>
    <t>650x220</t>
  </si>
  <si>
    <t>650x240</t>
  </si>
  <si>
    <t>650x650</t>
  </si>
  <si>
    <t>652x200</t>
  </si>
  <si>
    <t>660x200</t>
  </si>
  <si>
    <t>660x230</t>
  </si>
  <si>
    <t>660x300</t>
  </si>
  <si>
    <t>660x370</t>
  </si>
  <si>
    <t>660x500</t>
  </si>
  <si>
    <t>670x200</t>
  </si>
  <si>
    <t>680x100</t>
  </si>
  <si>
    <t>680x220</t>
  </si>
  <si>
    <t>680x230</t>
  </si>
  <si>
    <t>680x360</t>
  </si>
  <si>
    <t>690x200</t>
  </si>
  <si>
    <t>690x380</t>
  </si>
  <si>
    <t>690x80</t>
  </si>
  <si>
    <t>695x200</t>
  </si>
  <si>
    <t>700x100</t>
  </si>
  <si>
    <t>700x150</t>
  </si>
  <si>
    <t>700x300</t>
  </si>
  <si>
    <t>700x40</t>
  </si>
  <si>
    <t>700x60</t>
  </si>
  <si>
    <t>710x95</t>
  </si>
  <si>
    <t>720x190</t>
  </si>
  <si>
    <t>720x300</t>
  </si>
  <si>
    <t>720x480</t>
  </si>
  <si>
    <t>720x540</t>
  </si>
  <si>
    <t>728x175</t>
  </si>
  <si>
    <t>728x195</t>
  </si>
  <si>
    <t>728x250</t>
  </si>
  <si>
    <t>728x280</t>
  </si>
  <si>
    <t>728x300</t>
  </si>
  <si>
    <t>728x600</t>
  </si>
  <si>
    <t>728x90</t>
  </si>
  <si>
    <t>730x100-1000x600</t>
  </si>
  <si>
    <t>730x50</t>
  </si>
  <si>
    <t>730x510</t>
  </si>
  <si>
    <t>735x180</t>
  </si>
  <si>
    <t>735x250</t>
  </si>
  <si>
    <t>744x666</t>
  </si>
  <si>
    <t>750x200</t>
  </si>
  <si>
    <t>750x280</t>
  </si>
  <si>
    <t>768x1024</t>
  </si>
  <si>
    <t>788x240</t>
  </si>
  <si>
    <t>800x120</t>
  </si>
  <si>
    <t>800x250</t>
  </si>
  <si>
    <t>800x300</t>
  </si>
  <si>
    <t>800x400</t>
  </si>
  <si>
    <t>800x418</t>
  </si>
  <si>
    <t>800x573</t>
  </si>
  <si>
    <t>800x600</t>
  </si>
  <si>
    <t>80x80</t>
  </si>
  <si>
    <t>820x385</t>
  </si>
  <si>
    <t>830x500</t>
  </si>
  <si>
    <t>840x150</t>
  </si>
  <si>
    <t>840x180</t>
  </si>
  <si>
    <t>850x175</t>
  </si>
  <si>
    <t>850x290</t>
  </si>
  <si>
    <t>870x250</t>
  </si>
  <si>
    <t>88x31</t>
  </si>
  <si>
    <t>900x600</t>
  </si>
  <si>
    <t>920x135</t>
  </si>
  <si>
    <t>930x120</t>
  </si>
  <si>
    <t>930x180</t>
  </si>
  <si>
    <t>930x95</t>
  </si>
  <si>
    <t>950x90</t>
  </si>
  <si>
    <t>960x1440</t>
  </si>
  <si>
    <t>960x150</t>
  </si>
  <si>
    <t>970x125</t>
  </si>
  <si>
    <t>970x150</t>
  </si>
  <si>
    <t>970x180</t>
  </si>
  <si>
    <t>970x250</t>
  </si>
  <si>
    <t>970x300</t>
  </si>
  <si>
    <t>970x500</t>
  </si>
  <si>
    <t>970x600</t>
  </si>
  <si>
    <t>970x90</t>
  </si>
  <si>
    <t>980x120</t>
  </si>
  <si>
    <t>980x240</t>
  </si>
  <si>
    <t>980x250</t>
  </si>
  <si>
    <t>988x60</t>
  </si>
  <si>
    <t>booking-bubble</t>
  </si>
  <si>
    <t>compare-to</t>
  </si>
  <si>
    <t>core</t>
  </si>
  <si>
    <t>featured-results</t>
  </si>
  <si>
    <t>front-door-check</t>
  </si>
  <si>
    <t>front-door-uncheck</t>
  </si>
  <si>
    <t>fullscreen</t>
  </si>
  <si>
    <t>in-line</t>
  </si>
  <si>
    <t>meta-search</t>
  </si>
  <si>
    <t>portal</t>
  </si>
  <si>
    <t>adserver-rotacionar</t>
  </si>
  <si>
    <t>adserver-única</t>
  </si>
  <si>
    <t>sem-adserver</t>
  </si>
  <si>
    <t>Awareness-Familiarity</t>
  </si>
  <si>
    <t>Trigger-Tactical</t>
  </si>
  <si>
    <t>Buying-Metric</t>
  </si>
  <si>
    <t>Buying-Type</t>
  </si>
  <si>
    <t>Campaign-Category</t>
  </si>
  <si>
    <t>Campaign-Type</t>
  </si>
  <si>
    <t>Media-Channel</t>
  </si>
  <si>
    <t>Model-Variant</t>
  </si>
  <si>
    <t>Paid-vs-AV</t>
  </si>
  <si>
    <t>Planning-Principle</t>
  </si>
  <si>
    <t>Servido-Por</t>
  </si>
  <si>
    <t>Site-Section</t>
  </si>
  <si>
    <t>Strategy-Phase</t>
  </si>
  <si>
    <t>Sub-Media-Channel</t>
  </si>
  <si>
    <t>Tracking-Type</t>
  </si>
  <si>
    <t>Unit-Name</t>
  </si>
  <si>
    <t>After-Sales</t>
  </si>
  <si>
    <t>Added-Value</t>
  </si>
  <si>
    <t>Homepage-Takeover</t>
  </si>
  <si>
    <t>Competitor-Response</t>
  </si>
  <si>
    <t>Digital-Audio</t>
  </si>
  <si>
    <t>Delete-&amp;-Charge</t>
  </si>
  <si>
    <t>In-Market-Consideration</t>
  </si>
  <si>
    <t>Paid-Display</t>
  </si>
  <si>
    <t>Click-&amp;-Impression</t>
  </si>
  <si>
    <t>Mobile-Banner</t>
  </si>
  <si>
    <t>New-Car</t>
  </si>
  <si>
    <t>Make-Good</t>
  </si>
  <si>
    <t>Run-of-Network</t>
  </si>
  <si>
    <t>Model-New-News</t>
  </si>
  <si>
    <t>Paid-Mobile</t>
  </si>
  <si>
    <t>Mobile-MPU</t>
  </si>
  <si>
    <t>Used-Car</t>
  </si>
  <si>
    <t>Run-of-Site</t>
  </si>
  <si>
    <t>Motor-Show</t>
  </si>
  <si>
    <t>Other-(Online)</t>
  </si>
  <si>
    <t>Non-Model-Specific</t>
  </si>
  <si>
    <t>Paid-Search</t>
  </si>
  <si>
    <t>Amarok-V6</t>
  </si>
  <si>
    <t>Paid-Social</t>
  </si>
  <si>
    <t>Run-Out</t>
  </si>
  <si>
    <t>3rd-Party-Engagement</t>
  </si>
  <si>
    <t>Standard-Roadblock</t>
  </si>
  <si>
    <t>Branch-Opening</t>
  </si>
  <si>
    <t>C-Class</t>
  </si>
  <si>
    <t>United-Kingdom</t>
  </si>
  <si>
    <t>Dealers-Advertisement</t>
  </si>
  <si>
    <t>Hong-Kong</t>
  </si>
  <si>
    <t>Golf-Alltrack</t>
  </si>
  <si>
    <t>Caddy-Van</t>
  </si>
  <si>
    <t>ID-Crozz</t>
  </si>
  <si>
    <t>Certified-Pre-Owned</t>
  </si>
  <si>
    <t>Cross-Up!</t>
  </si>
  <si>
    <t>Dealer-Marketing-Association</t>
  </si>
  <si>
    <t>Das-Auto</t>
  </si>
  <si>
    <t>Das-WeltAuto</t>
  </si>
  <si>
    <t>Passat-Alltrack</t>
  </si>
  <si>
    <t>Events-Sponsorship</t>
  </si>
  <si>
    <t>United-States</t>
  </si>
  <si>
    <t>South-Africa</t>
  </si>
  <si>
    <t>Golf-GTI</t>
  </si>
  <si>
    <t>Golf-R</t>
  </si>
  <si>
    <t>Golf-Wagon</t>
  </si>
  <si>
    <t>dinheiro-rural</t>
  </si>
  <si>
    <t>editora-globo</t>
  </si>
  <si>
    <t>Hatchback-CKD</t>
  </si>
  <si>
    <t>folha-de-sao-paulo</t>
  </si>
  <si>
    <t>Innovation-Campaign</t>
  </si>
  <si>
    <t>VW-Brand</t>
  </si>
  <si>
    <t>Parts-and-Service</t>
  </si>
  <si>
    <t>Polo-GTI</t>
  </si>
  <si>
    <t>Passat-Wagon</t>
  </si>
  <si>
    <t>ReBuild-Trust</t>
  </si>
  <si>
    <t>Sales-Event</t>
  </si>
  <si>
    <t>Transporter-Cab-Chassis</t>
  </si>
  <si>
    <t>Think-Blue</t>
  </si>
  <si>
    <t>scroller-square-</t>
  </si>
  <si>
    <t>scroller-landscape-</t>
  </si>
  <si>
    <t>País</t>
  </si>
  <si>
    <t>Agrupamento da campanha, 3 grandes grupos de acordo com a estratégia. Pensem no objetivo e como ativam no usuário para fazer a classificaçaão</t>
  </si>
  <si>
    <t>Agrupamento de canais de midia. Video é apenas para plataforma de video, Teads e youtube por exemplo, entrega de video em facebook/instagram eles consideram como social</t>
  </si>
  <si>
    <t xml:space="preserve">Estrategia dessa campanha, para campanhas de always on podem usar Non Model Specific </t>
  </si>
  <si>
    <t>Aqui para indicar se é campanha de Dealers, no nosso caso em geral vai ser non-Dealer</t>
  </si>
  <si>
    <t>Definição de qual foco iremos ter na campanha, carros novos ou pós-venda é o nosso foco em geral</t>
  </si>
  <si>
    <t>Data de início da campanha. Para campanhas que rodam o ano inteiro pode ser quando subiu a estrutura no adserver</t>
  </si>
  <si>
    <t>modelo da campanha, quando não tiver apenas um modelo indicar como Range</t>
  </si>
  <si>
    <t>campo disponível para preencher com alguma outra info, tipo walk-around. NÃO USAR "_"</t>
  </si>
  <si>
    <t>Indicação de como a peça vai ser veiculada</t>
  </si>
  <si>
    <t>Nome de veiculo, tentem seguir o mesmo nome do plano</t>
  </si>
  <si>
    <t>Modelo de compra</t>
  </si>
  <si>
    <t>tipo de veiculação, se tiverem dúvida consultem o Dodo para explicar as diferenças</t>
  </si>
  <si>
    <t>local onde os anúncios vão rodar</t>
  </si>
  <si>
    <t>indicação se é compra em algum device</t>
  </si>
  <si>
    <t>indicação das dimensões da peça</t>
  </si>
  <si>
    <t>Sem definição do global, inserir como Paid</t>
  </si>
  <si>
    <t>Nome do criativo, dar preferencia para o nome encaminhado para o ORCA</t>
  </si>
  <si>
    <t>Mpu</t>
  </si>
  <si>
    <t>Automatico</t>
  </si>
  <si>
    <t>Segmentação</t>
  </si>
  <si>
    <t>Linha Criativa</t>
  </si>
  <si>
    <t>Tipo de compra, direto ou programatica. Compra na plataforma de Facebook, Twitter e etc são consideradas como Direct</t>
  </si>
  <si>
    <t>Classificação de midia, novamente, video em facebook é social, o mesmo vale para instagram. Se entrega para mobile e desktop em mobile utilizar Paid-Display</t>
  </si>
  <si>
    <t>Indicar a segmentação utilizada para a entrega de midia, ideal é não ser generico</t>
  </si>
  <si>
    <t>AD Name</t>
  </si>
  <si>
    <t>Criative Name</t>
  </si>
  <si>
    <t>url</t>
  </si>
  <si>
    <t>%epid!_%ecid!_%eaid!</t>
  </si>
  <si>
    <t>Contadores</t>
  </si>
  <si>
    <t>627x627</t>
  </si>
  <si>
    <t>1080x1920</t>
  </si>
  <si>
    <t>1440x960</t>
  </si>
  <si>
    <t>900x750</t>
  </si>
  <si>
    <t>432x432</t>
  </si>
  <si>
    <t>LeadAD</t>
  </si>
  <si>
    <t>Stories</t>
  </si>
  <si>
    <t>Sequency-Stories</t>
  </si>
  <si>
    <t>BumperAD</t>
  </si>
  <si>
    <t>TrueView</t>
  </si>
  <si>
    <t>600x600</t>
  </si>
  <si>
    <t>adchan</t>
  </si>
  <si>
    <t>campaign</t>
  </si>
  <si>
    <t>adgroup</t>
  </si>
  <si>
    <t>publisher</t>
  </si>
  <si>
    <t>adpl</t>
  </si>
  <si>
    <t>country</t>
  </si>
  <si>
    <t>language</t>
  </si>
  <si>
    <t>Publish</t>
  </si>
  <si>
    <t>CHANNEL (c)</t>
  </si>
  <si>
    <t>COUNTRY (co)</t>
  </si>
  <si>
    <t>PUBLISHER (p)</t>
  </si>
  <si>
    <t>adcr</t>
  </si>
  <si>
    <t>seatype</t>
  </si>
  <si>
    <t>adlid</t>
  </si>
  <si>
    <t>CREATIVE ELEMENTS/Key Words (cr)</t>
  </si>
  <si>
    <t>SEA Branded vs. Non-branded (sb)</t>
  </si>
  <si>
    <t>SEA AD GROUP - a must for SEA (sg)</t>
  </si>
  <si>
    <t>UNIQUE ID (lid)</t>
  </si>
  <si>
    <t>adpay</t>
  </si>
  <si>
    <t>adap</t>
  </si>
  <si>
    <t>admt</t>
  </si>
  <si>
    <t>PAID vs. NON-PAID (py)</t>
  </si>
  <si>
    <t>Additional Parameter (ap)</t>
  </si>
  <si>
    <t>Booking ID for Campaign Monitoring (mt)</t>
  </si>
  <si>
    <t>adplt</t>
  </si>
  <si>
    <t>format</t>
  </si>
  <si>
    <t>PLACEMENT (pl)</t>
  </si>
  <si>
    <t>CAMPAIGN NAME (ca)</t>
  </si>
  <si>
    <t>PLACEMENT TYPE (pt)</t>
  </si>
  <si>
    <t>FORMAT (ft)</t>
  </si>
  <si>
    <t>LANGUAGE (lg)</t>
  </si>
  <si>
    <t>no</t>
  </si>
  <si>
    <t>Parametrização</t>
  </si>
  <si>
    <t>GA</t>
  </si>
  <si>
    <t>ADOBE</t>
  </si>
  <si>
    <t>Url GA</t>
  </si>
  <si>
    <t>URL ADOBE</t>
  </si>
  <si>
    <t>URL Parametizada</t>
  </si>
  <si>
    <t>SA360</t>
  </si>
  <si>
    <t>GoogleAds</t>
  </si>
  <si>
    <t>ID's</t>
  </si>
  <si>
    <t>Campanha ou Insertion Order</t>
  </si>
  <si>
    <t>Line Item ou Grupo de anúncio</t>
  </si>
  <si>
    <t>Anúncio ou Criativo</t>
  </si>
  <si>
    <t>Search - Grupo</t>
  </si>
  <si>
    <t>Search - Campanha</t>
  </si>
  <si>
    <t>2021-01-Jan</t>
  </si>
  <si>
    <t>2021Q1JAN</t>
  </si>
  <si>
    <t>2021-02-Feb</t>
  </si>
  <si>
    <t>2021Q1FEB</t>
  </si>
  <si>
    <t>2021-03-Mar</t>
  </si>
  <si>
    <t>2021Q1MAR</t>
  </si>
  <si>
    <t>2021-04-Apr</t>
  </si>
  <si>
    <t>2021Q2APR</t>
  </si>
  <si>
    <t>2021-05-May</t>
  </si>
  <si>
    <t>2021Q2MAY</t>
  </si>
  <si>
    <t>2021-06-Jun</t>
  </si>
  <si>
    <t>2021Q2JUN</t>
  </si>
  <si>
    <t>2021-07-Jul</t>
  </si>
  <si>
    <t>2021Q3JUL</t>
  </si>
  <si>
    <t>2021-08-Aug</t>
  </si>
  <si>
    <t>2021Q3AUG</t>
  </si>
  <si>
    <t>2021-09-Sep</t>
  </si>
  <si>
    <t>2021Q3SEP</t>
  </si>
  <si>
    <t>2021-10-Oct</t>
  </si>
  <si>
    <t>2021Q4OCT</t>
  </si>
  <si>
    <t>2021-11-Nov</t>
  </si>
  <si>
    <t>2021Q4NOV</t>
  </si>
  <si>
    <t>2021-12-Dec</t>
  </si>
  <si>
    <t>2021Q4DEC</t>
  </si>
  <si>
    <t>ID Campaign</t>
  </si>
  <si>
    <t>ID Campaign Name</t>
  </si>
  <si>
    <t>abreviar em 3 caracteres o campaign name EX: BDC</t>
  </si>
  <si>
    <t>0121</t>
  </si>
  <si>
    <t>0221</t>
  </si>
  <si>
    <t>0321</t>
  </si>
  <si>
    <t>0421</t>
  </si>
  <si>
    <t>0521</t>
  </si>
  <si>
    <t>0621</t>
  </si>
  <si>
    <t>0721</t>
  </si>
  <si>
    <t>0821</t>
  </si>
  <si>
    <t>0921</t>
  </si>
  <si>
    <t>1021</t>
  </si>
  <si>
    <t>1121</t>
  </si>
  <si>
    <t>1221</t>
  </si>
  <si>
    <t>Free Field</t>
  </si>
  <si>
    <t>Campo disponível para preencher com alguma outra info que nenhum dos outros campos tenhas sido suficiente, caso não tenha nenhuma informação deixe como "NA" NÃO USAR "_"</t>
  </si>
  <si>
    <t>Name CM</t>
  </si>
  <si>
    <t>Structure Name</t>
  </si>
  <si>
    <t>Campo Livre para o Campo de Anúncio</t>
  </si>
  <si>
    <t>Segmentação de Anúncio (Campo Livre)</t>
  </si>
  <si>
    <t>NVS</t>
  </si>
  <si>
    <t>Interesses</t>
  </si>
  <si>
    <t>Nivus</t>
  </si>
  <si>
    <t>Objetivo</t>
  </si>
  <si>
    <t>Linha Criativo 2</t>
  </si>
  <si>
    <t>Inserir apenas informações referente ao criativo, esse valor que estará nas urls e plataformas</t>
  </si>
  <si>
    <t>alcance</t>
  </si>
  <si>
    <t>trafego</t>
  </si>
  <si>
    <t>na</t>
  </si>
  <si>
    <t>engajamento</t>
  </si>
  <si>
    <t>video-views</t>
  </si>
  <si>
    <t>app-installs</t>
  </si>
  <si>
    <t>leads</t>
  </si>
  <si>
    <t>conversoes</t>
  </si>
  <si>
    <t>brand</t>
  </si>
  <si>
    <t>visitas</t>
  </si>
  <si>
    <t>configuracao</t>
  </si>
  <si>
    <t>vendas</t>
  </si>
  <si>
    <t>Objetivo da Campanha</t>
  </si>
  <si>
    <t>alcance-whatsapp</t>
  </si>
  <si>
    <t>Branded-Content</t>
  </si>
  <si>
    <t>BC</t>
  </si>
  <si>
    <t>alp_vw_youtube_aaf_soc_lanch_nd_nc_nvs_nivus-launch-awareness_na_video-views_cpv_drct_all_trueview_interesses_na_lancamento-awareness-nivus-hero-60_nvl-nvs-aaf-soc-0820-10033</t>
  </si>
  <si>
    <t>vw_nivus_trueview_lancamento-awareness-nivus-hero-60-youtube</t>
  </si>
  <si>
    <t>https://www.vw.com.br/pt/carros/nivus.html?adlid=nvl-nvs-aaf-soc-0820-10033&amp;adplt=alp_vw_youtube_aaf_soc_lanch_nd_nc_nvs_nivus-launch-awareness_na_video-views_cpv_drct_all_trueview_interesses_na_lancamento-awareness-nivus-hero-60_nvl-nvs-aaf-soc-0820-10033</t>
  </si>
  <si>
    <t>https://ad.doubleclick.net/ddm/trackclk/N9487.3338810GOOGLEYOUTUBE/B24551458.280862437;dc_trk_aid=474804463;dc_trk_cid=136771035;dc_lat=;dc_rdid=;tag_for_child_directed_treatment=;tfua=;gdpr=${GDPR};gdpr_consent=${GDPR_CONSENT_755}</t>
  </si>
  <si>
    <t>Inserir</t>
  </si>
  <si>
    <t>Projeto-Globoplay</t>
  </si>
  <si>
    <t>https://www.vw.com.br/pt/carros/t-cross.html</t>
  </si>
  <si>
    <t>Globo.com</t>
  </si>
  <si>
    <t>Projeto-Globoplay-T-Cross</t>
  </si>
  <si>
    <t>2022-01-Jan</t>
  </si>
  <si>
    <t>2022Q1JAN</t>
  </si>
  <si>
    <t>0122</t>
  </si>
  <si>
    <t>2022-02-Feb</t>
  </si>
  <si>
    <t>2022Q1FEB</t>
  </si>
  <si>
    <t>0222</t>
  </si>
  <si>
    <t>2022-03-Mar</t>
  </si>
  <si>
    <t>2022Q1MAR</t>
  </si>
  <si>
    <t>0322</t>
  </si>
  <si>
    <t>2022-04-Apr</t>
  </si>
  <si>
    <t>2022Q2APR</t>
  </si>
  <si>
    <t>0422</t>
  </si>
  <si>
    <t>2022-05-May</t>
  </si>
  <si>
    <t>2022Q2MAY</t>
  </si>
  <si>
    <t>0522</t>
  </si>
  <si>
    <t>2022-06-Jun</t>
  </si>
  <si>
    <t>2022Q2JUN</t>
  </si>
  <si>
    <t>0622</t>
  </si>
  <si>
    <t>2022-07-Jul</t>
  </si>
  <si>
    <t>2022Q3JUL</t>
  </si>
  <si>
    <t>0722</t>
  </si>
  <si>
    <t>2022-08-Aug</t>
  </si>
  <si>
    <t>2022Q3AUG</t>
  </si>
  <si>
    <t>0822</t>
  </si>
  <si>
    <t>2022-09-Sep</t>
  </si>
  <si>
    <t>2022Q3SEP</t>
  </si>
  <si>
    <t>0922</t>
  </si>
  <si>
    <t>2022-10-Oct</t>
  </si>
  <si>
    <t>2022Q4OCT</t>
  </si>
  <si>
    <t>1022</t>
  </si>
  <si>
    <t>2022-11-Nov</t>
  </si>
  <si>
    <t>2022Q4NOV</t>
  </si>
  <si>
    <t>1122</t>
  </si>
  <si>
    <t>2022-12-Dec</t>
  </si>
  <si>
    <t>2022Q4DEC</t>
  </si>
  <si>
    <t>1222</t>
  </si>
  <si>
    <t>Pagepost</t>
  </si>
  <si>
    <t>NativeAds</t>
  </si>
  <si>
    <t>Carrossel</t>
  </si>
  <si>
    <t>Discovery</t>
  </si>
  <si>
    <t>Taos</t>
  </si>
  <si>
    <t>TAO</t>
  </si>
  <si>
    <t>APP-Install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</si>
</sst>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6" fillId="0" borderId="0"/>
    <xf numFmtId="0" fontId="9" fillId="0" borderId="0" applyNumberFormat="0" applyFill="0" applyBorder="0" applyAlignment="0" applyProtection="0"/>
  </cellStyleXfs>
  <cellXfs count="51">
    <xf numFmtId="0" fontId="0" fillId="0" borderId="0" xfId="0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" fillId="4" borderId="6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10" xfId="0" applyBorder="1"/>
    <xf numFmtId="0" fontId="0" fillId="0" borderId="11" xfId="0" applyBorder="1"/>
    <xf numFmtId="0" fontId="4" fillId="0" borderId="3" xfId="0" applyFont="1" applyFill="1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1" fillId="0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5" xfId="0" quotePrefix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left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2" borderId="0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4" fillId="4" borderId="3" xfId="0" applyFont="1" applyFill="1" applyBorder="1" applyAlignment="1">
      <alignment horizontal="center" vertical="center"/>
    </xf>
    <xf numFmtId="0" fontId="0" fillId="6" borderId="0" xfId="0" applyFill="1"/>
    <xf numFmtId="0" fontId="1" fillId="6" borderId="0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wrapText="1"/>
    </xf>
    <xf numFmtId="0" fontId="7" fillId="4" borderId="12" xfId="0" quotePrefix="1" applyFont="1" applyFill="1" applyBorder="1" applyAlignment="1">
      <alignment horizontal="center" vertical="center" wrapText="1"/>
    </xf>
    <xf numFmtId="0" fontId="2" fillId="9" borderId="5" xfId="0" quotePrefix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top" wrapText="1"/>
    </xf>
    <xf numFmtId="0" fontId="0" fillId="0" borderId="0" xfId="0" quotePrefix="1"/>
    <xf numFmtId="0" fontId="4" fillId="6" borderId="3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 wrapText="1"/>
    </xf>
    <xf numFmtId="0" fontId="4" fillId="0" borderId="3" xfId="0" quotePrefix="1" applyFont="1" applyFill="1" applyBorder="1" applyAlignment="1">
      <alignment horizontal="left" vertical="center"/>
    </xf>
    <xf numFmtId="0" fontId="9" fillId="0" borderId="3" xfId="2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0" fillId="0" borderId="0" xfId="0" applyBorder="1"/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3" xfId="0" quotePrefix="1" applyFont="1" applyBorder="1" applyAlignment="1">
      <alignment horizontal="left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</cellXfs>
  <cellStyles count="3">
    <cellStyle name="Hiperlink" xfId="2" builtinId="8"/>
    <cellStyle name="Normal" xfId="0" builtinId="0"/>
    <cellStyle name="Normal 2" xfId="1" xr:uid="{3881D5BE-8688-4766-9992-BC3031218A30}"/>
  </cellStyles>
  <dxfs count="8"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vw.com.br/pt/carros/t-cross.html?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957FB-7196-4E06-A4D9-175195763223}">
  <sheetPr codeName="Planilha1"/>
  <dimension ref="A1:G16"/>
  <sheetViews>
    <sheetView showGridLines="0" tabSelected="1" zoomScale="110" zoomScaleNormal="110" workbookViewId="0">
      <selection activeCell="B12" sqref="B12"/>
    </sheetView>
  </sheetViews>
  <sheetFormatPr defaultRowHeight="15" x14ac:dyDescent="0.25"/>
  <cols>
    <col min="1" max="1" width="18.7109375" customWidth="1"/>
    <col min="2" max="2" width="62.42578125" bestFit="1" customWidth="1"/>
    <col min="7" max="7" width="13.140625" customWidth="1"/>
  </cols>
  <sheetData>
    <row r="1" spans="1:7" ht="15.75" thickBot="1" x14ac:dyDescent="0.3">
      <c r="A1" s="13"/>
      <c r="B1" s="14"/>
      <c r="C1" s="43"/>
      <c r="D1" s="43"/>
      <c r="E1" s="43"/>
      <c r="F1" s="43"/>
      <c r="G1" s="43"/>
    </row>
    <row r="2" spans="1:7" ht="15.75" thickBot="1" x14ac:dyDescent="0.3">
      <c r="A2" s="7" t="s">
        <v>853</v>
      </c>
      <c r="B2" s="12" t="str">
        <f>faxineiro(CONCATENATE($B$15,"-",VLOOKUP($B$13,tab_modelvariant,2,FALSE),"-",VLOOKUP($B$7,tab_planningprinciple,2,FALSE),"-",VLOOKUP($B$8,tab_mediachannel,2,FALSE),"-",VLOOKUP($B$12,tab_date,3,FALSE)))</f>
        <v>BC-TCR-AAF-DSY-0321</v>
      </c>
      <c r="C2" s="43"/>
      <c r="D2" s="43"/>
      <c r="E2" s="43"/>
      <c r="F2" s="43"/>
      <c r="G2" s="43"/>
    </row>
    <row r="3" spans="1:7" ht="15.75" thickBot="1" x14ac:dyDescent="0.3">
      <c r="A3" s="7" t="s">
        <v>870</v>
      </c>
      <c r="B3" s="12" t="str">
        <f>faxineiro(CONCATENATE(VLOOKUP(B6,tab_country,2,FALSE),"_",VLOOKUP(B7,tab_planningprinciple,2,FALSE),"_",VLOOKUP(B8,tab_mediachannel,2,FALSE),"_",VLOOKUP(B9,tab_strategyphase,2,FALSE),"_",VLOOKUP(B10,tab_type,2,FALSE),"_",VLOOKUP(B11,tab_campaigncategory,2,FALSE),"_",VLOOKUP(B12,tab_date,2,FALSE),"_",VLOOKUP(B13,tab_modelvariant,2,FALSE),"_",B14))</f>
        <v>BR_AAF_DSY_SUSTN_ND_NC_2021Q1MAR_TCR_Branded-Content</v>
      </c>
    </row>
    <row r="4" spans="1:7" ht="15.75" thickBot="1" x14ac:dyDescent="0.3">
      <c r="A4" s="7" t="s">
        <v>871</v>
      </c>
      <c r="B4" s="12" t="str">
        <f>faxineiro(CONCATENATE(VLOOKUP(B7,tab_planningprinciple,2,FALSE),"_",VLOOKUP(B8,tab_mediachannel,2,FALSE),"_",VLOOKUP(B9,tab_strategyphase,2,FALSE),"_",VLOOKUP(B10,tab_type,2,FALSE),"_",VLOOKUP(B11,tab_campaigncategory,2,FALSE),"_",VLOOKUP(B13,tab_modelvariant,2,FALSE),"_",B14,"_",cel_freefield))</f>
        <v>AAF_DSY_SUSTN_ND_NC_TCR_Branded-Content_Projeto-Globoplay</v>
      </c>
    </row>
    <row r="5" spans="1:7" ht="15.75" thickBot="1" x14ac:dyDescent="0.3"/>
    <row r="6" spans="1:7" ht="15.75" thickBot="1" x14ac:dyDescent="0.3">
      <c r="A6" s="8" t="s">
        <v>7</v>
      </c>
      <c r="B6" s="9" t="s">
        <v>48</v>
      </c>
      <c r="C6" t="s">
        <v>742</v>
      </c>
    </row>
    <row r="7" spans="1:7" ht="15.75" thickBot="1" x14ac:dyDescent="0.3">
      <c r="A7" s="8" t="s">
        <v>336</v>
      </c>
      <c r="B7" s="10" t="s">
        <v>664</v>
      </c>
      <c r="C7" t="s">
        <v>743</v>
      </c>
    </row>
    <row r="8" spans="1:7" ht="15.75" thickBot="1" x14ac:dyDescent="0.3">
      <c r="A8" s="8" t="s">
        <v>8</v>
      </c>
      <c r="B8" s="10" t="s">
        <v>23</v>
      </c>
      <c r="C8" t="s">
        <v>744</v>
      </c>
    </row>
    <row r="9" spans="1:7" ht="15.75" thickBot="1" x14ac:dyDescent="0.3">
      <c r="A9" s="8" t="s">
        <v>0</v>
      </c>
      <c r="B9" s="10" t="s">
        <v>67</v>
      </c>
      <c r="C9" t="s">
        <v>745</v>
      </c>
    </row>
    <row r="10" spans="1:7" ht="15.75" thickBot="1" x14ac:dyDescent="0.3">
      <c r="A10" s="8" t="s">
        <v>1</v>
      </c>
      <c r="B10" s="10" t="s">
        <v>27</v>
      </c>
      <c r="C10" t="s">
        <v>746</v>
      </c>
    </row>
    <row r="11" spans="1:7" ht="15.75" thickBot="1" x14ac:dyDescent="0.3">
      <c r="A11" s="8" t="s">
        <v>2</v>
      </c>
      <c r="B11" s="10" t="s">
        <v>690</v>
      </c>
      <c r="C11" t="s">
        <v>747</v>
      </c>
    </row>
    <row r="12" spans="1:7" ht="15.75" thickBot="1" x14ac:dyDescent="0.3">
      <c r="A12" s="8" t="s">
        <v>3</v>
      </c>
      <c r="B12" s="10" t="s">
        <v>833</v>
      </c>
      <c r="C12" t="s">
        <v>748</v>
      </c>
    </row>
    <row r="13" spans="1:7" ht="15.75" thickBot="1" x14ac:dyDescent="0.3">
      <c r="A13" s="8" t="s">
        <v>4</v>
      </c>
      <c r="B13" s="10" t="s">
        <v>228</v>
      </c>
      <c r="C13" t="s">
        <v>749</v>
      </c>
    </row>
    <row r="14" spans="1:7" ht="15.75" thickBot="1" x14ac:dyDescent="0.3">
      <c r="A14" s="8" t="s">
        <v>5</v>
      </c>
      <c r="B14" s="10" t="s">
        <v>894</v>
      </c>
      <c r="C14" t="s">
        <v>750</v>
      </c>
    </row>
    <row r="15" spans="1:7" ht="15.75" thickBot="1" x14ac:dyDescent="0.3">
      <c r="A15" s="8" t="s">
        <v>854</v>
      </c>
      <c r="B15" s="10" t="s">
        <v>895</v>
      </c>
      <c r="C15" t="s">
        <v>855</v>
      </c>
    </row>
    <row r="16" spans="1:7" ht="15.75" thickBot="1" x14ac:dyDescent="0.3">
      <c r="A16" s="8" t="s">
        <v>868</v>
      </c>
      <c r="B16" s="11" t="s">
        <v>901</v>
      </c>
      <c r="C16" t="s">
        <v>869</v>
      </c>
    </row>
  </sheetData>
  <dataConsolidate/>
  <dataValidations count="7">
    <dataValidation type="list" allowBlank="1" showInputMessage="1" showErrorMessage="1" sqref="B6" xr:uid="{A3226486-B898-4BAF-BE28-DC5443DD7442}">
      <formula1>list_country</formula1>
    </dataValidation>
    <dataValidation type="list" allowBlank="1" showInputMessage="1" showErrorMessage="1" sqref="B7" xr:uid="{0602897F-680B-4FE9-AE40-949B6D68EF2B}">
      <formula1>list_planningprinciple</formula1>
    </dataValidation>
    <dataValidation type="list" allowBlank="1" showInputMessage="1" showErrorMessage="1" sqref="B8" xr:uid="{AA391CFD-BBB5-4C07-922A-3C189C5F62DF}">
      <formula1>list_mediachannel</formula1>
    </dataValidation>
    <dataValidation type="list" allowBlank="1" showInputMessage="1" showErrorMessage="1" sqref="B9" xr:uid="{DAD7977A-828B-4120-BDF2-D4EA1ADA8004}">
      <formula1>list_strategyphase</formula1>
    </dataValidation>
    <dataValidation type="list" allowBlank="1" showInputMessage="1" showErrorMessage="1" sqref="B10" xr:uid="{0C8284DC-ECB8-4954-BE22-238A100A5003}">
      <formula1>list_type</formula1>
    </dataValidation>
    <dataValidation type="list" allowBlank="1" showInputMessage="1" showErrorMessage="1" sqref="B11" xr:uid="{515C8F01-7D23-4D25-91FB-709C30B4F234}">
      <formula1>list_campaigncategory</formula1>
    </dataValidation>
    <dataValidation type="list" allowBlank="1" showInputMessage="1" showErrorMessage="1" sqref="B13" xr:uid="{97FAFE93-1C86-4E27-8947-EBED8315FF1B}">
      <formula1>list_modelvariant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B6B3D0-4B1F-4A69-928A-BA9EAE25BEA5}">
          <x14:formula1>
            <xm:f>'All Codes'!$U$3:$U$257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066DC-E7C3-46F6-84DB-B38FB5736D92}">
  <sheetPr codeName="Planilha2"/>
  <dimension ref="B2:BP1048531"/>
  <sheetViews>
    <sheetView showGridLines="0" zoomScale="80" zoomScaleNormal="8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0" sqref="H10"/>
    </sheetView>
  </sheetViews>
  <sheetFormatPr defaultRowHeight="15.75" customHeight="1" x14ac:dyDescent="0.25"/>
  <cols>
    <col min="1" max="1" width="2.28515625" customWidth="1"/>
    <col min="2" max="2" width="18.140625" bestFit="1" customWidth="1"/>
    <col min="3" max="3" width="14.140625" customWidth="1"/>
    <col min="4" max="4" width="22.42578125" customWidth="1"/>
    <col min="5" max="6" width="14.140625" customWidth="1"/>
    <col min="7" max="7" width="17.85546875" customWidth="1"/>
    <col min="8" max="8" width="45.5703125" bestFit="1" customWidth="1"/>
    <col min="9" max="9" width="20.5703125" bestFit="1" customWidth="1"/>
    <col min="10" max="11" width="13.28515625" customWidth="1"/>
    <col min="12" max="12" width="25.140625" customWidth="1"/>
    <col min="13" max="13" width="23.140625" bestFit="1" customWidth="1"/>
    <col min="14" max="14" width="21.42578125" customWidth="1"/>
    <col min="15" max="15" width="21" customWidth="1"/>
    <col min="16" max="16" width="19.5703125" customWidth="1"/>
    <col min="17" max="17" width="17.7109375" customWidth="1"/>
    <col min="18" max="18" width="16.7109375" customWidth="1"/>
    <col min="19" max="19" width="18.85546875" bestFit="1" customWidth="1"/>
    <col min="20" max="20" width="40" bestFit="1" customWidth="1"/>
    <col min="21" max="21" width="30" customWidth="1"/>
    <col min="22" max="22" width="26" bestFit="1" customWidth="1"/>
    <col min="23" max="23" width="26" customWidth="1"/>
    <col min="24" max="24" width="16.85546875" customWidth="1"/>
    <col min="25" max="25" width="19.7109375" bestFit="1" customWidth="1"/>
    <col min="26" max="26" width="11" hidden="1" customWidth="1"/>
    <col min="27" max="27" width="10.42578125" hidden="1" customWidth="1"/>
    <col min="28" max="29" width="9.140625" hidden="1" customWidth="1"/>
    <col min="30" max="30" width="16.42578125" hidden="1" customWidth="1"/>
    <col min="31" max="31" width="11" hidden="1" customWidth="1"/>
    <col min="32" max="32" width="15.7109375" hidden="1" customWidth="1"/>
    <col min="33" max="33" width="16.42578125" hidden="1" customWidth="1"/>
    <col min="34" max="34" width="16.42578125" customWidth="1"/>
    <col min="35" max="35" width="143.5703125" bestFit="1" customWidth="1"/>
    <col min="36" max="36" width="100.42578125" bestFit="1" customWidth="1"/>
    <col min="37" max="37" width="75.42578125" bestFit="1" customWidth="1"/>
    <col min="38" max="38" width="130.42578125" customWidth="1"/>
    <col min="39" max="39" width="19" customWidth="1"/>
    <col min="40" max="40" width="18.140625" customWidth="1"/>
    <col min="41" max="41" width="19.28515625" customWidth="1"/>
    <col min="42" max="42" width="40.85546875" bestFit="1" customWidth="1"/>
    <col min="43" max="43" width="23.85546875" customWidth="1"/>
    <col min="44" max="44" width="25.28515625" customWidth="1"/>
    <col min="45" max="45" width="40.28515625" customWidth="1"/>
    <col min="46" max="46" width="15.7109375" customWidth="1"/>
    <col min="47" max="47" width="12" customWidth="1"/>
    <col min="48" max="48" width="23.140625" customWidth="1"/>
    <col min="49" max="49" width="15.85546875" customWidth="1"/>
    <col min="50" max="50" width="25.140625" customWidth="1"/>
    <col min="51" max="51" width="26.42578125" customWidth="1"/>
    <col min="52" max="55" width="15.85546875" customWidth="1"/>
    <col min="56" max="56" width="33" bestFit="1" customWidth="1"/>
    <col min="57" max="59" width="13.140625" customWidth="1"/>
    <col min="60" max="60" width="12.28515625" customWidth="1"/>
    <col min="61" max="61" width="200.7109375" customWidth="1"/>
    <col min="64" max="64" width="95.140625" bestFit="1" customWidth="1"/>
    <col min="65" max="65" width="52.5703125" customWidth="1"/>
    <col min="66" max="66" width="140.140625" bestFit="1" customWidth="1"/>
    <col min="67" max="67" width="87.140625" bestFit="1" customWidth="1"/>
    <col min="68" max="68" width="70.28515625" customWidth="1"/>
  </cols>
  <sheetData>
    <row r="2" spans="2:68" ht="14.25" customHeight="1" x14ac:dyDescent="0.25">
      <c r="C2" s="23"/>
    </row>
    <row r="3" spans="2:68" s="16" customFormat="1" ht="77.25" customHeight="1" x14ac:dyDescent="0.25">
      <c r="G3" s="16" t="s">
        <v>751</v>
      </c>
      <c r="J3" s="16" t="s">
        <v>752</v>
      </c>
      <c r="L3" s="16" t="s">
        <v>765</v>
      </c>
      <c r="M3" s="16" t="s">
        <v>764</v>
      </c>
      <c r="N3" s="16" t="s">
        <v>753</v>
      </c>
      <c r="O3" s="16" t="s">
        <v>754</v>
      </c>
      <c r="P3" s="16" t="s">
        <v>761</v>
      </c>
      <c r="Q3" s="16" t="s">
        <v>755</v>
      </c>
      <c r="R3" s="16" t="s">
        <v>756</v>
      </c>
      <c r="S3" s="16" t="s">
        <v>892</v>
      </c>
      <c r="T3" s="16" t="s">
        <v>759</v>
      </c>
      <c r="U3" s="16" t="s">
        <v>879</v>
      </c>
      <c r="V3" s="16" t="s">
        <v>766</v>
      </c>
      <c r="W3" s="16" t="s">
        <v>872</v>
      </c>
      <c r="X3" s="16" t="s">
        <v>758</v>
      </c>
      <c r="Y3" s="16" t="s">
        <v>757</v>
      </c>
      <c r="AT3" s="27" t="s">
        <v>783</v>
      </c>
      <c r="AU3" s="27" t="s">
        <v>788</v>
      </c>
      <c r="AV3" s="27" t="s">
        <v>786</v>
      </c>
      <c r="AW3" s="27" t="s">
        <v>787</v>
      </c>
      <c r="AX3" s="27" t="s">
        <v>784</v>
      </c>
      <c r="AY3" s="27" t="s">
        <v>807</v>
      </c>
      <c r="AZ3" s="27" t="s">
        <v>808</v>
      </c>
      <c r="BA3" s="27" t="s">
        <v>794</v>
      </c>
      <c r="BB3" s="27" t="s">
        <v>795</v>
      </c>
      <c r="BC3" s="27" t="s">
        <v>785</v>
      </c>
      <c r="BD3" s="27" t="s">
        <v>796</v>
      </c>
      <c r="BE3" s="27" t="s">
        <v>789</v>
      </c>
      <c r="BF3" s="27" t="s">
        <v>801</v>
      </c>
      <c r="BG3" s="27" t="s">
        <v>802</v>
      </c>
      <c r="BH3" s="27" t="s">
        <v>803</v>
      </c>
      <c r="BI3" s="16" t="e">
        <f>LEN(#REF!)</f>
        <v>#REF!</v>
      </c>
    </row>
    <row r="4" spans="2:68" ht="51.75" customHeight="1" x14ac:dyDescent="0.25">
      <c r="B4" s="1" t="s">
        <v>254</v>
      </c>
      <c r="C4" s="2" t="s">
        <v>255</v>
      </c>
      <c r="D4" s="3" t="s">
        <v>256</v>
      </c>
      <c r="E4" s="1" t="s">
        <v>257</v>
      </c>
      <c r="F4" s="1" t="s">
        <v>258</v>
      </c>
      <c r="G4" s="4" t="s">
        <v>259</v>
      </c>
      <c r="H4" s="32" t="s">
        <v>769</v>
      </c>
      <c r="I4" s="31" t="s">
        <v>815</v>
      </c>
      <c r="J4" s="5" t="s">
        <v>260</v>
      </c>
      <c r="K4" s="26" t="s">
        <v>790</v>
      </c>
      <c r="L4" s="5" t="s">
        <v>262</v>
      </c>
      <c r="M4" s="5" t="s">
        <v>263</v>
      </c>
      <c r="N4" s="5" t="s">
        <v>264</v>
      </c>
      <c r="O4" s="5" t="s">
        <v>265</v>
      </c>
      <c r="P4" s="19" t="s">
        <v>266</v>
      </c>
      <c r="Q4" s="5" t="s">
        <v>261</v>
      </c>
      <c r="R4" s="5" t="s">
        <v>267</v>
      </c>
      <c r="S4" s="5" t="s">
        <v>877</v>
      </c>
      <c r="T4" s="5" t="s">
        <v>763</v>
      </c>
      <c r="U4" s="5" t="s">
        <v>878</v>
      </c>
      <c r="V4" s="5" t="s">
        <v>762</v>
      </c>
      <c r="W4" s="39" t="s">
        <v>873</v>
      </c>
      <c r="X4" s="5" t="s">
        <v>268</v>
      </c>
      <c r="Y4" s="5" t="s">
        <v>269</v>
      </c>
      <c r="Z4" s="5" t="s">
        <v>270</v>
      </c>
      <c r="AA4" s="5" t="s">
        <v>271</v>
      </c>
      <c r="AB4" s="5" t="s">
        <v>272</v>
      </c>
      <c r="AC4" s="5" t="s">
        <v>273</v>
      </c>
      <c r="AD4" s="5" t="s">
        <v>274</v>
      </c>
      <c r="AE4" s="5" t="s">
        <v>275</v>
      </c>
      <c r="AF4" s="5" t="s">
        <v>276</v>
      </c>
      <c r="AG4" s="5" t="s">
        <v>277</v>
      </c>
      <c r="AH4" s="20" t="s">
        <v>823</v>
      </c>
      <c r="AI4" s="20" t="s">
        <v>337</v>
      </c>
      <c r="AJ4" s="20" t="s">
        <v>767</v>
      </c>
      <c r="AK4" s="20" t="s">
        <v>768</v>
      </c>
      <c r="AL4" s="20" t="s">
        <v>820</v>
      </c>
      <c r="AM4" s="19" t="s">
        <v>771</v>
      </c>
      <c r="AN4" s="19" t="s">
        <v>278</v>
      </c>
      <c r="AO4" s="19" t="s">
        <v>279</v>
      </c>
      <c r="AP4" s="19" t="s">
        <v>280</v>
      </c>
      <c r="AQ4" s="19" t="s">
        <v>281</v>
      </c>
      <c r="AR4" s="19" t="s">
        <v>282</v>
      </c>
      <c r="AS4" s="19" t="s">
        <v>818</v>
      </c>
      <c r="AT4" s="25" t="s">
        <v>791</v>
      </c>
      <c r="AU4" s="25" t="s">
        <v>792</v>
      </c>
      <c r="AV4" s="25" t="s">
        <v>793</v>
      </c>
      <c r="AW4" s="25" t="s">
        <v>809</v>
      </c>
      <c r="AX4" s="25" t="s">
        <v>810</v>
      </c>
      <c r="AY4" s="25" t="s">
        <v>811</v>
      </c>
      <c r="AZ4" s="25" t="s">
        <v>812</v>
      </c>
      <c r="BA4" s="25" t="s">
        <v>797</v>
      </c>
      <c r="BB4" s="25" t="s">
        <v>798</v>
      </c>
      <c r="BC4" s="25" t="s">
        <v>799</v>
      </c>
      <c r="BD4" s="25" t="s">
        <v>800</v>
      </c>
      <c r="BE4" s="25" t="s">
        <v>813</v>
      </c>
      <c r="BF4" s="25" t="s">
        <v>804</v>
      </c>
      <c r="BG4" s="25" t="s">
        <v>805</v>
      </c>
      <c r="BH4" s="25" t="s">
        <v>806</v>
      </c>
      <c r="BI4" s="25" t="s">
        <v>819</v>
      </c>
      <c r="BL4" s="34" t="s">
        <v>824</v>
      </c>
      <c r="BM4" s="34" t="s">
        <v>825</v>
      </c>
      <c r="BN4" s="34" t="s">
        <v>826</v>
      </c>
      <c r="BO4" s="34" t="s">
        <v>828</v>
      </c>
      <c r="BP4" s="34" t="s">
        <v>827</v>
      </c>
    </row>
    <row r="5" spans="2:68" ht="15.75" customHeight="1" x14ac:dyDescent="0.25">
      <c r="B5" s="15" t="s">
        <v>900</v>
      </c>
      <c r="C5" s="15"/>
      <c r="D5" s="15"/>
      <c r="E5" s="22">
        <v>44204</v>
      </c>
      <c r="F5" s="22">
        <v>44316</v>
      </c>
      <c r="G5" s="15" t="s">
        <v>660</v>
      </c>
      <c r="H5" s="41" t="s">
        <v>902</v>
      </c>
      <c r="I5" s="15" t="s">
        <v>817</v>
      </c>
      <c r="J5" s="42" t="s">
        <v>903</v>
      </c>
      <c r="K5" s="15" t="s">
        <v>903</v>
      </c>
      <c r="L5" s="15" t="s">
        <v>687</v>
      </c>
      <c r="M5" s="15" t="s">
        <v>289</v>
      </c>
      <c r="N5" s="15" t="s">
        <v>308</v>
      </c>
      <c r="O5" s="15" t="s">
        <v>688</v>
      </c>
      <c r="P5" s="44" t="s">
        <v>324</v>
      </c>
      <c r="Q5" s="15" t="s">
        <v>179</v>
      </c>
      <c r="R5" s="15" t="s">
        <v>290</v>
      </c>
      <c r="S5" s="15" t="s">
        <v>884</v>
      </c>
      <c r="T5" s="15" t="s">
        <v>904</v>
      </c>
      <c r="U5" s="15" t="s">
        <v>904</v>
      </c>
      <c r="V5" s="15" t="s">
        <v>875</v>
      </c>
      <c r="W5" s="15" t="s">
        <v>875</v>
      </c>
      <c r="X5" s="15" t="s">
        <v>320</v>
      </c>
      <c r="Y5" s="15" t="s">
        <v>414</v>
      </c>
      <c r="Z5" s="15"/>
      <c r="AA5" s="15"/>
      <c r="AB5" s="15"/>
      <c r="AC5" s="15"/>
      <c r="AD5" s="15"/>
      <c r="AE5" s="15"/>
      <c r="AF5" s="15"/>
      <c r="AG5" s="15"/>
      <c r="AH5" s="15" t="e">
        <f t="shared" ref="AH5" si="0">VLOOKUP(AI5,id_placement,2,FALSE)</f>
        <v>#N/A</v>
      </c>
      <c r="AI5" s="21" t="str">
        <f t="shared" ref="AI5:AJ40" si="1">LOWER(CONCATENATE(col_campanhaanunciante,"_",col_grupoanunciante,"_",col_localfreetype,"_",col_adlid))</f>
        <v>alp_vw_globo.com_aaf_dsy_sustn_nd_nc_tcr_branded-content_projeto-globoplay_video-views_cpm_drct_all_video_interesses_interesses_projeto-globoplay-t-cross_bc-tcr-aaf-dsy-0321-10005</v>
      </c>
      <c r="AJ5" s="40" t="str">
        <f t="shared" si="1"/>
        <v>alp_vw_globo.com_aaf_dsy_sustn_nd_nc_tcr_branded-content_projeto-globoplay_video-views_cpm_drct_all_video_interesses_interesses_projeto-globoplay-t-cross_bc-tcr-aaf-dsy-0321-10005</v>
      </c>
      <c r="AK5" s="21" t="str">
        <f t="shared" ref="AK5:AK68" si="2">LOWER(faxineiro(CONCATENATE("VW","_",cel_modelvariant,"_",col_size,"_",col_localfreetype,"_",IF(col_servidopor="portal",col_supplier,"adserver"))))</f>
        <v>vw_t-cross_video_projeto-globoplay-t-cross_globo.com</v>
      </c>
      <c r="AL5" s="21" t="str">
        <f t="shared" ref="AL5" si="3">IF(col_parametrizacao="GA",AS5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5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https://www.vw.com.br/pt/carros/t-cross.html?adlid=bc-tcr-aaf-dsy-0321-10005&amp;adplt=alp_vw_globo.com_aaf_dsy_sustn_nd_nc_tcr_branded-content_projeto-globoplay_video-views_cpm_drct_all_video_interesses_interesses_projeto-globoplay-t-cross_bc-tcr-aaf-dsy-0321-10005</v>
      </c>
      <c r="AM5" s="21" t="str">
        <f t="shared" ref="AM5:AM68" si="4">IFERROR(IF(col_servidopor="portal",VLOOKUP(col_placement,tab_contadores,2,FALSE),"TAG"),"Contador")</f>
        <v>Contador</v>
      </c>
      <c r="AN5" s="15" t="str">
        <f t="shared" ref="AN5" si="5">J5</f>
        <v>Globo.com</v>
      </c>
      <c r="AO5" s="15" t="str">
        <f t="shared" ref="AO5" si="6">L5</f>
        <v>Paid-Display</v>
      </c>
      <c r="AP5" s="21" t="str">
        <f>Campanha!$B$3</f>
        <v>BR_AAF_DSY_SUSTN_ND_NC_2021Q1MAR_TCR_Branded-Content</v>
      </c>
      <c r="AQ5" s="21" t="str">
        <f t="shared" ref="AQ5:AQ68" si="7">col_adname</f>
        <v>alp_vw_globo.com_aaf_dsy_sustn_nd_nc_tcr_branded-content_projeto-globoplay_video-views_cpm_drct_all_video_interesses_interesses_projeto-globoplay-t-cross_bc-tcr-aaf-dsy-0321-10005</v>
      </c>
      <c r="AR5" s="15" t="s">
        <v>770</v>
      </c>
      <c r="AS5" s="21" t="str">
        <f t="shared" ref="AS5:AS68" si="8">faxineiro(CONCATENATE(col_url,IF(ISNUMBER(FIND("?",col_url)),"&amp;","?"),"utm_source=",col_utmsource,"&amp;utm_medium=",col_utmmedium,"&amp;utm_content=",col_utmcontent,"&amp;utm_campaign=",col_utmcampaign,"&amp;utm_term=",col_keyword))</f>
        <v>https://www.vw.com.br/pt/carros/t-cross.html?utm_source=Globo.com&amp;utm_medium=Paid-Display&amp;utm_content=alp_vw_globo.com_aaf_dsy_sustn_nd_nc_tcr_branded-content_projeto-globoplay_video-views_cpm_drct_all_video_interesses_interesses_projeto-globoplay-t-cross_bc-tcr-aaf-dsy-0321-10005&amp;utm_campaign=BR_AAF_DSY_SUSTN_ND_NC_2021Q1MAR_TCR_Branded-Content&amp;utm_term=%epid!_%ecid!_%eaid!</v>
      </c>
      <c r="AT5" s="15" t="str">
        <f t="shared" ref="AT5" si="9">LOWER(Q5)</f>
        <v>other</v>
      </c>
      <c r="AU5" s="15" t="str">
        <f t="shared" ref="AU5:AU68" si="10">VLOOKUP(cel_country,tab_country,2,FALSE)</f>
        <v>BR</v>
      </c>
      <c r="AV5" s="15" t="str">
        <f t="shared" ref="AV5" si="11">LOWER(K5)</f>
        <v>globo.com</v>
      </c>
      <c r="AW5" s="15" t="str">
        <f t="shared" ref="AW5" si="12">LOWER(J5)</f>
        <v>globo.com</v>
      </c>
      <c r="AX5" s="15" t="str">
        <f t="shared" ref="AX5:AX68" si="13">LOWER(cel_campaing)</f>
        <v>branded-content</v>
      </c>
      <c r="AY5" s="15" t="str">
        <f t="shared" ref="AY5" si="14">LOWER(AI5)</f>
        <v>alp_vw_globo.com_aaf_dsy_sustn_nd_nc_tcr_branded-content_projeto-globoplay_video-views_cpm_drct_all_video_interesses_interesses_projeto-globoplay-t-cross_bc-tcr-aaf-dsy-0321-10005</v>
      </c>
      <c r="AZ5" s="15" t="str">
        <f t="shared" ref="AZ5" si="15">LOWER(Y5)</f>
        <v>video</v>
      </c>
      <c r="BA5" s="15" t="str">
        <f t="shared" ref="BA5" si="16">LOWER(T5)</f>
        <v>projeto-globoplay-t-cross</v>
      </c>
      <c r="BB5" s="28" t="s">
        <v>814</v>
      </c>
      <c r="BC5" s="28" t="s">
        <v>814</v>
      </c>
      <c r="BD5" s="38" t="str">
        <f t="shared" ref="BD5" si="17">LOWER(CONCATENATE(cel_idcampaign,"-",SUM(10000+ROW(A5))))</f>
        <v>bc-tcr-aaf-dsy-0321-10005</v>
      </c>
      <c r="BE5" s="15" t="str">
        <f t="shared" ref="BE5" si="18">AU5</f>
        <v>BR</v>
      </c>
      <c r="BF5" s="15" t="str">
        <f t="shared" ref="BF5" si="19">LOWER(X5)</f>
        <v>paid</v>
      </c>
      <c r="BG5" s="28"/>
      <c r="BH5" s="28"/>
      <c r="BI5" s="36" t="str">
        <f t="shared" ref="BI5:BI68" si="20">faxineiro(CONCATENATE(col_url,IF(ISNUMBER(FIND("?",col_url)),"&amp;","?"),CONCATENATE("adlid=",col_adlid,"&amp;adplt=",adplt)))</f>
        <v>https://www.vw.com.br/pt/carros/t-cross.html?adlid=bc-tcr-aaf-dsy-0321-10005&amp;adplt=alp_vw_globo.com_aaf_dsy_sustn_nd_nc_tcr_branded-content_projeto-globoplay_video-views_cpm_drct_all_video_interesses_interesses_projeto-globoplay-t-cross_bc-tcr-aaf-dsy-0321-10005</v>
      </c>
      <c r="BL5" t="str">
        <f t="shared" ref="BL5:BL68" si="21">LOWER(CONCATENATE("alp","_","vw","_",col_supplier,"_",cel_structurename,"_",col_objetivo))</f>
        <v>alp_vw_globo.com_aaf_dsy_sustn_nd_nc_tcr_branded-content_projeto-globoplay_video-views</v>
      </c>
      <c r="BM5" t="str">
        <f t="shared" ref="BM5:BM68" si="22">LOWER(CONCATENATE(col_buyingmetric,"_",VLOOKUP(col_buyingtype,tab_buyingtype,2,FALSE),"_",col_device,"_",col_size,"_",col_segmentacao,"_",col_segmentacaodeanun))</f>
        <v>cpm_drct_all_video_interesses_interesses</v>
      </c>
      <c r="BN5" t="str">
        <f t="shared" ref="BN5:BN68" si="23">faxineiro(LOWER(CONCATENATE(col_campanhaanunciante,"_",col_grupoanunciante,"_",col_linhacriativa2,"_",col_adlid)))</f>
        <v>alp_vw_globo.com_aaf_dsy_sustn_nd_nc_tcr_branded-content_projeto-globoplay_video-views_cpm_drct_all_video_interesses_interesses_projeto-globoplay-t-cross_bc-tcr-aaf-dsy-0321-10005</v>
      </c>
    </row>
    <row r="6" spans="2:68" ht="15.75" customHeight="1" x14ac:dyDescent="0.25">
      <c r="B6" s="15"/>
      <c r="C6" s="15"/>
      <c r="D6" s="15"/>
      <c r="E6" s="22"/>
      <c r="F6" s="22"/>
      <c r="G6" s="15"/>
      <c r="H6" s="41"/>
      <c r="I6" s="15"/>
      <c r="J6" s="42"/>
      <c r="K6" s="15"/>
      <c r="L6" s="15"/>
      <c r="M6" s="15"/>
      <c r="N6" s="15"/>
      <c r="O6" s="15"/>
      <c r="P6" s="44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 t="e">
        <f t="shared" ref="AH6" si="24">VLOOKUP(AI6,id_placement,2,FALSE)</f>
        <v>#N/A</v>
      </c>
      <c r="AI6" s="21" t="e">
        <f t="shared" si="1"/>
        <v>#N/A</v>
      </c>
      <c r="AJ6" s="40" t="e">
        <f t="shared" si="1"/>
        <v>#N/A</v>
      </c>
      <c r="AK6" s="21" t="str">
        <f t="shared" si="2"/>
        <v>vw_t-cross___adserver</v>
      </c>
      <c r="AL6" s="21" t="e">
        <f t="shared" ref="AL6" si="25">IF(col_parametrizacao="GA",AS6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6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6" s="21" t="str">
        <f t="shared" si="4"/>
        <v>TAG</v>
      </c>
      <c r="AN6" s="15">
        <f t="shared" ref="AN6" si="26">J6</f>
        <v>0</v>
      </c>
      <c r="AO6" s="15">
        <f t="shared" ref="AO6" si="27">L6</f>
        <v>0</v>
      </c>
      <c r="AP6" s="21" t="str">
        <f>Campanha!$B$3</f>
        <v>BR_AAF_DSY_SUSTN_ND_NC_2021Q1MAR_TCR_Branded-Content</v>
      </c>
      <c r="AQ6" s="21" t="e">
        <f t="shared" si="7"/>
        <v>#N/A</v>
      </c>
      <c r="AR6" s="15" t="s">
        <v>770</v>
      </c>
      <c r="AS6" s="21" t="e">
        <f t="shared" si="8"/>
        <v>#VALUE!</v>
      </c>
      <c r="AT6" s="15" t="str">
        <f t="shared" ref="AT6" si="28">LOWER(Q6)</f>
        <v/>
      </c>
      <c r="AU6" s="15" t="str">
        <f t="shared" si="10"/>
        <v>BR</v>
      </c>
      <c r="AV6" s="15" t="str">
        <f t="shared" ref="AV6" si="29">LOWER(K6)</f>
        <v/>
      </c>
      <c r="AW6" s="15" t="str">
        <f t="shared" ref="AW6" si="30">LOWER(J6)</f>
        <v/>
      </c>
      <c r="AX6" s="15" t="str">
        <f t="shared" si="13"/>
        <v>branded-content</v>
      </c>
      <c r="AY6" s="15" t="e">
        <f t="shared" ref="AY6" si="31">LOWER(AI6)</f>
        <v>#N/A</v>
      </c>
      <c r="AZ6" s="15" t="str">
        <f t="shared" ref="AZ6" si="32">LOWER(Y6)</f>
        <v/>
      </c>
      <c r="BA6" s="15" t="str">
        <f t="shared" ref="BA6" si="33">LOWER(T6)</f>
        <v/>
      </c>
      <c r="BB6" s="28" t="s">
        <v>814</v>
      </c>
      <c r="BC6" s="28" t="s">
        <v>814</v>
      </c>
      <c r="BD6" s="38" t="str">
        <f t="shared" ref="BD6" si="34">LOWER(CONCATENATE(cel_idcampaign,"-",SUM(10000+ROW(A6))))</f>
        <v>bc-tcr-aaf-dsy-0321-10006</v>
      </c>
      <c r="BE6" s="15" t="str">
        <f t="shared" ref="BE6" si="35">AU6</f>
        <v>BR</v>
      </c>
      <c r="BF6" s="15" t="str">
        <f t="shared" ref="BF6" si="36">LOWER(X6)</f>
        <v/>
      </c>
      <c r="BG6" s="28"/>
      <c r="BH6" s="28"/>
      <c r="BI6" s="36" t="e">
        <f t="shared" si="20"/>
        <v>#VALUE!</v>
      </c>
      <c r="BL6" t="str">
        <f t="shared" si="21"/>
        <v>alp_vw__aaf_dsy_sustn_nd_nc_tcr_branded-content_projeto-globoplay_</v>
      </c>
      <c r="BM6" t="e">
        <f t="shared" si="22"/>
        <v>#N/A</v>
      </c>
      <c r="BN6" t="e">
        <f t="shared" si="23"/>
        <v>#VALUE!</v>
      </c>
    </row>
    <row r="7" spans="2:68" ht="15.75" customHeight="1" x14ac:dyDescent="0.25">
      <c r="B7" s="15"/>
      <c r="C7" s="15"/>
      <c r="D7" s="15"/>
      <c r="E7" s="22"/>
      <c r="F7" s="22"/>
      <c r="G7" s="15"/>
      <c r="H7" s="41"/>
      <c r="I7" s="15"/>
      <c r="J7" s="42"/>
      <c r="K7" s="15"/>
      <c r="L7" s="15"/>
      <c r="M7" s="15"/>
      <c r="N7" s="15"/>
      <c r="O7" s="15"/>
      <c r="P7" s="44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 t="e">
        <f t="shared" ref="AH7" si="37">VLOOKUP(AI7,id_placement,2,FALSE)</f>
        <v>#N/A</v>
      </c>
      <c r="AI7" s="21" t="e">
        <f t="shared" si="1"/>
        <v>#N/A</v>
      </c>
      <c r="AJ7" s="40" t="e">
        <f t="shared" si="1"/>
        <v>#N/A</v>
      </c>
      <c r="AK7" s="21" t="str">
        <f t="shared" si="2"/>
        <v>vw_t-cross___adserver</v>
      </c>
      <c r="AL7" s="21" t="e">
        <f t="shared" ref="AL7" si="38">IF(col_parametrizacao="GA",AS7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7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7" s="21" t="str">
        <f t="shared" si="4"/>
        <v>TAG</v>
      </c>
      <c r="AN7" s="15">
        <f t="shared" ref="AN7" si="39">J7</f>
        <v>0</v>
      </c>
      <c r="AO7" s="15">
        <f t="shared" ref="AO7" si="40">L7</f>
        <v>0</v>
      </c>
      <c r="AP7" s="21" t="str">
        <f>Campanha!$B$3</f>
        <v>BR_AAF_DSY_SUSTN_ND_NC_2021Q1MAR_TCR_Branded-Content</v>
      </c>
      <c r="AQ7" s="21" t="e">
        <f t="shared" si="7"/>
        <v>#N/A</v>
      </c>
      <c r="AR7" s="15" t="s">
        <v>770</v>
      </c>
      <c r="AS7" s="21" t="e">
        <f t="shared" si="8"/>
        <v>#VALUE!</v>
      </c>
      <c r="AT7" s="15" t="str">
        <f t="shared" ref="AT7" si="41">LOWER(Q7)</f>
        <v/>
      </c>
      <c r="AU7" s="15" t="str">
        <f t="shared" si="10"/>
        <v>BR</v>
      </c>
      <c r="AV7" s="15" t="str">
        <f t="shared" ref="AV7" si="42">LOWER(K7)</f>
        <v/>
      </c>
      <c r="AW7" s="15" t="str">
        <f t="shared" ref="AW7" si="43">LOWER(J7)</f>
        <v/>
      </c>
      <c r="AX7" s="15" t="str">
        <f t="shared" si="13"/>
        <v>branded-content</v>
      </c>
      <c r="AY7" s="15" t="e">
        <f t="shared" ref="AY7" si="44">LOWER(AI7)</f>
        <v>#N/A</v>
      </c>
      <c r="AZ7" s="15" t="str">
        <f t="shared" ref="AZ7" si="45">LOWER(Y7)</f>
        <v/>
      </c>
      <c r="BA7" s="15" t="str">
        <f t="shared" ref="BA7" si="46">LOWER(T7)</f>
        <v/>
      </c>
      <c r="BB7" s="28" t="s">
        <v>814</v>
      </c>
      <c r="BC7" s="28" t="s">
        <v>814</v>
      </c>
      <c r="BD7" s="38" t="str">
        <f t="shared" ref="BD7" si="47">LOWER(CONCATENATE(cel_idcampaign,"-",SUM(10000+ROW(A7))))</f>
        <v>bc-tcr-aaf-dsy-0321-10007</v>
      </c>
      <c r="BE7" s="15" t="str">
        <f t="shared" ref="BE7" si="48">AU7</f>
        <v>BR</v>
      </c>
      <c r="BF7" s="15" t="str">
        <f t="shared" ref="BF7" si="49">LOWER(X7)</f>
        <v/>
      </c>
      <c r="BG7" s="28"/>
      <c r="BH7" s="28"/>
      <c r="BI7" s="36" t="e">
        <f t="shared" si="20"/>
        <v>#VALUE!</v>
      </c>
      <c r="BL7" t="str">
        <f t="shared" si="21"/>
        <v>alp_vw__aaf_dsy_sustn_nd_nc_tcr_branded-content_projeto-globoplay_</v>
      </c>
      <c r="BM7" t="e">
        <f t="shared" si="22"/>
        <v>#N/A</v>
      </c>
      <c r="BN7" t="e">
        <f t="shared" si="23"/>
        <v>#VALUE!</v>
      </c>
    </row>
    <row r="8" spans="2:68" ht="15.75" customHeight="1" x14ac:dyDescent="0.25">
      <c r="B8" s="15"/>
      <c r="C8" s="15"/>
      <c r="D8" s="44"/>
      <c r="E8" s="22"/>
      <c r="F8" s="22"/>
      <c r="G8" s="44"/>
      <c r="H8" s="41"/>
      <c r="I8" s="44"/>
      <c r="J8" s="42"/>
      <c r="K8" s="15"/>
      <c r="L8" s="15"/>
      <c r="M8" s="44"/>
      <c r="N8" s="15"/>
      <c r="O8" s="44"/>
      <c r="P8" s="44"/>
      <c r="Q8" s="44"/>
      <c r="R8" s="44"/>
      <c r="S8" s="15"/>
      <c r="T8" s="15"/>
      <c r="U8" s="15"/>
      <c r="V8" s="44"/>
      <c r="W8" s="44"/>
      <c r="X8" s="44"/>
      <c r="Y8" s="15"/>
      <c r="Z8" s="44" t="e">
        <v>#N/A</v>
      </c>
      <c r="AA8" s="45" t="s">
        <v>896</v>
      </c>
      <c r="AB8" s="46" t="s">
        <v>896</v>
      </c>
      <c r="AC8" s="45" t="s">
        <v>897</v>
      </c>
      <c r="AD8" s="45" t="s">
        <v>898</v>
      </c>
      <c r="AE8" s="45" t="s">
        <v>899</v>
      </c>
      <c r="AF8" s="44" t="s">
        <v>412</v>
      </c>
      <c r="AG8" s="44" t="s">
        <v>50</v>
      </c>
      <c r="AH8" s="15" t="e">
        <f t="shared" ref="AH8" si="50">VLOOKUP(AI8,id_placement,2,FALSE)</f>
        <v>#N/A</v>
      </c>
      <c r="AI8" s="21" t="e">
        <f t="shared" si="1"/>
        <v>#N/A</v>
      </c>
      <c r="AJ8" s="40" t="e">
        <f t="shared" si="1"/>
        <v>#N/A</v>
      </c>
      <c r="AK8" s="21" t="str">
        <f t="shared" si="2"/>
        <v>vw_t-cross___adserver</v>
      </c>
      <c r="AL8" s="21" t="e">
        <f t="shared" ref="AL8" si="51">IF(col_parametrizacao="GA",AS8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8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8" s="21" t="str">
        <f t="shared" si="4"/>
        <v>TAG</v>
      </c>
      <c r="AN8" s="15">
        <f t="shared" ref="AN8" si="52">J8</f>
        <v>0</v>
      </c>
      <c r="AO8" s="15">
        <f t="shared" ref="AO8" si="53">L8</f>
        <v>0</v>
      </c>
      <c r="AP8" s="21" t="str">
        <f>Campanha!$B$3</f>
        <v>BR_AAF_DSY_SUSTN_ND_NC_2021Q1MAR_TCR_Branded-Content</v>
      </c>
      <c r="AQ8" s="21" t="e">
        <f t="shared" si="7"/>
        <v>#N/A</v>
      </c>
      <c r="AR8" s="15" t="s">
        <v>770</v>
      </c>
      <c r="AS8" s="21" t="e">
        <f t="shared" si="8"/>
        <v>#VALUE!</v>
      </c>
      <c r="AT8" s="15" t="str">
        <f t="shared" ref="AT8" si="54">LOWER(Q8)</f>
        <v/>
      </c>
      <c r="AU8" s="15" t="str">
        <f t="shared" si="10"/>
        <v>BR</v>
      </c>
      <c r="AV8" s="15" t="str">
        <f t="shared" ref="AV8" si="55">LOWER(K8)</f>
        <v/>
      </c>
      <c r="AW8" s="15" t="str">
        <f t="shared" ref="AW8" si="56">LOWER(J8)</f>
        <v/>
      </c>
      <c r="AX8" s="15" t="str">
        <f t="shared" si="13"/>
        <v>branded-content</v>
      </c>
      <c r="AY8" s="15" t="e">
        <f t="shared" ref="AY8" si="57">LOWER(AI8)</f>
        <v>#N/A</v>
      </c>
      <c r="AZ8" s="15" t="str">
        <f t="shared" ref="AZ8" si="58">LOWER(Y8)</f>
        <v/>
      </c>
      <c r="BA8" s="15" t="str">
        <f t="shared" ref="BA8" si="59">LOWER(T8)</f>
        <v/>
      </c>
      <c r="BB8" s="28" t="s">
        <v>814</v>
      </c>
      <c r="BC8" s="28" t="s">
        <v>814</v>
      </c>
      <c r="BD8" s="38" t="str">
        <f t="shared" ref="BD8" si="60">LOWER(CONCATENATE(cel_idcampaign,"-",SUM(10000+ROW(A8))))</f>
        <v>bc-tcr-aaf-dsy-0321-10008</v>
      </c>
      <c r="BE8" s="15" t="str">
        <f t="shared" ref="BE8" si="61">AU8</f>
        <v>BR</v>
      </c>
      <c r="BF8" s="15" t="str">
        <f t="shared" ref="BF8" si="62">LOWER(X8)</f>
        <v/>
      </c>
      <c r="BG8" s="28"/>
      <c r="BH8" s="28"/>
      <c r="BI8" s="36" t="e">
        <f t="shared" si="20"/>
        <v>#VALUE!</v>
      </c>
      <c r="BL8" t="str">
        <f t="shared" si="21"/>
        <v>alp_vw__aaf_dsy_sustn_nd_nc_tcr_branded-content_projeto-globoplay_</v>
      </c>
      <c r="BM8" t="e">
        <f t="shared" si="22"/>
        <v>#N/A</v>
      </c>
      <c r="BN8" t="e">
        <f t="shared" si="23"/>
        <v>#VALUE!</v>
      </c>
    </row>
    <row r="9" spans="2:68" ht="15.75" customHeight="1" x14ac:dyDescent="0.25">
      <c r="B9" s="15"/>
      <c r="C9" s="15"/>
      <c r="D9" s="44"/>
      <c r="E9" s="22"/>
      <c r="F9" s="22"/>
      <c r="G9" s="44"/>
      <c r="H9" s="41"/>
      <c r="I9" s="44"/>
      <c r="J9" s="42"/>
      <c r="K9" s="15"/>
      <c r="L9" s="15"/>
      <c r="M9" s="44"/>
      <c r="N9" s="15"/>
      <c r="O9" s="44"/>
      <c r="P9" s="44"/>
      <c r="Q9" s="44"/>
      <c r="R9" s="44"/>
      <c r="S9" s="15"/>
      <c r="T9" s="15"/>
      <c r="U9" s="15"/>
      <c r="V9" s="44"/>
      <c r="W9" s="44"/>
      <c r="X9" s="44"/>
      <c r="Y9" s="15"/>
      <c r="Z9" s="44"/>
      <c r="AA9" s="45"/>
      <c r="AB9" s="46"/>
      <c r="AC9" s="45"/>
      <c r="AD9" s="45"/>
      <c r="AE9" s="45"/>
      <c r="AF9" s="44"/>
      <c r="AG9" s="44"/>
      <c r="AH9" s="15" t="e">
        <f t="shared" ref="AH9:AH39" si="63">VLOOKUP(AI9,id_placement,2,FALSE)</f>
        <v>#N/A</v>
      </c>
      <c r="AI9" s="21" t="e">
        <f t="shared" si="1"/>
        <v>#N/A</v>
      </c>
      <c r="AJ9" s="40" t="e">
        <f t="shared" si="1"/>
        <v>#N/A</v>
      </c>
      <c r="AK9" s="21" t="str">
        <f t="shared" si="2"/>
        <v>vw_t-cross___adserver</v>
      </c>
      <c r="AL9" s="21" t="e">
        <f t="shared" ref="AL9:AL39" si="64">IF(col_parametrizacao="GA",AS9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9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9" s="21" t="str">
        <f t="shared" si="4"/>
        <v>TAG</v>
      </c>
      <c r="AN9" s="15">
        <f t="shared" ref="AN9:AN39" si="65">J9</f>
        <v>0</v>
      </c>
      <c r="AO9" s="15">
        <f t="shared" ref="AO9:AO39" si="66">L9</f>
        <v>0</v>
      </c>
      <c r="AP9" s="21" t="str">
        <f>Campanha!$B$3</f>
        <v>BR_AAF_DSY_SUSTN_ND_NC_2021Q1MAR_TCR_Branded-Content</v>
      </c>
      <c r="AQ9" s="21" t="e">
        <f t="shared" si="7"/>
        <v>#N/A</v>
      </c>
      <c r="AR9" s="15" t="s">
        <v>770</v>
      </c>
      <c r="AS9" s="21" t="e">
        <f t="shared" si="8"/>
        <v>#VALUE!</v>
      </c>
      <c r="AT9" s="15" t="str">
        <f t="shared" ref="AT9:AT39" si="67">LOWER(Q9)</f>
        <v/>
      </c>
      <c r="AU9" s="15" t="str">
        <f t="shared" si="10"/>
        <v>BR</v>
      </c>
      <c r="AV9" s="15" t="str">
        <f t="shared" ref="AV9:AV39" si="68">LOWER(K9)</f>
        <v/>
      </c>
      <c r="AW9" s="15" t="str">
        <f t="shared" ref="AW9:AW39" si="69">LOWER(J9)</f>
        <v/>
      </c>
      <c r="AX9" s="15" t="str">
        <f t="shared" si="13"/>
        <v>branded-content</v>
      </c>
      <c r="AY9" s="15" t="e">
        <f t="shared" ref="AY9:AY39" si="70">LOWER(AI9)</f>
        <v>#N/A</v>
      </c>
      <c r="AZ9" s="15" t="str">
        <f t="shared" ref="AZ9:AZ39" si="71">LOWER(Y9)</f>
        <v/>
      </c>
      <c r="BA9" s="15" t="str">
        <f t="shared" ref="BA9:BA39" si="72">LOWER(T9)</f>
        <v/>
      </c>
      <c r="BB9" s="28" t="s">
        <v>814</v>
      </c>
      <c r="BC9" s="28" t="s">
        <v>814</v>
      </c>
      <c r="BD9" s="38" t="str">
        <f t="shared" ref="BD9:BD39" si="73">LOWER(CONCATENATE(cel_idcampaign,"-",SUM(10000+ROW(A9))))</f>
        <v>bc-tcr-aaf-dsy-0321-10009</v>
      </c>
      <c r="BE9" s="15" t="str">
        <f t="shared" ref="BE9:BE39" si="74">AU9</f>
        <v>BR</v>
      </c>
      <c r="BF9" s="15" t="str">
        <f t="shared" ref="BF9:BF39" si="75">LOWER(X9)</f>
        <v/>
      </c>
      <c r="BG9" s="28"/>
      <c r="BH9" s="28"/>
      <c r="BI9" s="36" t="e">
        <f t="shared" si="20"/>
        <v>#VALUE!</v>
      </c>
      <c r="BL9" t="str">
        <f t="shared" si="21"/>
        <v>alp_vw__aaf_dsy_sustn_nd_nc_tcr_branded-content_projeto-globoplay_</v>
      </c>
      <c r="BM9" t="e">
        <f t="shared" si="22"/>
        <v>#N/A</v>
      </c>
      <c r="BN9" t="e">
        <f t="shared" si="23"/>
        <v>#VALUE!</v>
      </c>
    </row>
    <row r="10" spans="2:68" ht="15.75" customHeight="1" x14ac:dyDescent="0.25">
      <c r="B10" s="15"/>
      <c r="C10" s="15"/>
      <c r="D10" s="44"/>
      <c r="E10" s="22"/>
      <c r="F10" s="22"/>
      <c r="G10" s="44"/>
      <c r="H10" s="41"/>
      <c r="I10" s="44"/>
      <c r="J10" s="42"/>
      <c r="K10" s="15"/>
      <c r="L10" s="15"/>
      <c r="M10" s="44"/>
      <c r="N10" s="15"/>
      <c r="O10" s="44"/>
      <c r="P10" s="44"/>
      <c r="Q10" s="44"/>
      <c r="R10" s="44"/>
      <c r="S10" s="15"/>
      <c r="T10" s="15"/>
      <c r="U10" s="15"/>
      <c r="V10" s="44"/>
      <c r="W10" s="44"/>
      <c r="X10" s="44"/>
      <c r="Y10" s="15"/>
      <c r="Z10" s="44"/>
      <c r="AA10" s="45"/>
      <c r="AB10" s="46"/>
      <c r="AC10" s="45"/>
      <c r="AD10" s="45"/>
      <c r="AE10" s="45"/>
      <c r="AF10" s="44"/>
      <c r="AG10" s="44"/>
      <c r="AH10" s="15" t="e">
        <f t="shared" si="63"/>
        <v>#N/A</v>
      </c>
      <c r="AI10" s="21" t="e">
        <f t="shared" si="1"/>
        <v>#N/A</v>
      </c>
      <c r="AJ10" s="40" t="e">
        <f t="shared" si="1"/>
        <v>#N/A</v>
      </c>
      <c r="AK10" s="21" t="str">
        <f t="shared" si="2"/>
        <v>vw_t-cross___adserver</v>
      </c>
      <c r="AL10" s="21" t="e">
        <f t="shared" si="64"/>
        <v>#VALUE!</v>
      </c>
      <c r="AM10" s="21" t="str">
        <f t="shared" si="4"/>
        <v>TAG</v>
      </c>
      <c r="AN10" s="15">
        <f t="shared" si="65"/>
        <v>0</v>
      </c>
      <c r="AO10" s="15">
        <f t="shared" si="66"/>
        <v>0</v>
      </c>
      <c r="AP10" s="21" t="str">
        <f>Campanha!$B$3</f>
        <v>BR_AAF_DSY_SUSTN_ND_NC_2021Q1MAR_TCR_Branded-Content</v>
      </c>
      <c r="AQ10" s="21" t="e">
        <f t="shared" si="7"/>
        <v>#N/A</v>
      </c>
      <c r="AR10" s="15" t="s">
        <v>770</v>
      </c>
      <c r="AS10" s="21" t="e">
        <f t="shared" si="8"/>
        <v>#VALUE!</v>
      </c>
      <c r="AT10" s="15" t="str">
        <f t="shared" si="67"/>
        <v/>
      </c>
      <c r="AU10" s="15" t="str">
        <f t="shared" si="10"/>
        <v>BR</v>
      </c>
      <c r="AV10" s="15" t="str">
        <f t="shared" si="68"/>
        <v/>
      </c>
      <c r="AW10" s="15" t="str">
        <f t="shared" si="69"/>
        <v/>
      </c>
      <c r="AX10" s="15" t="str">
        <f t="shared" si="13"/>
        <v>branded-content</v>
      </c>
      <c r="AY10" s="15" t="e">
        <f t="shared" si="70"/>
        <v>#N/A</v>
      </c>
      <c r="AZ10" s="15" t="str">
        <f t="shared" si="71"/>
        <v/>
      </c>
      <c r="BA10" s="15" t="str">
        <f t="shared" si="72"/>
        <v/>
      </c>
      <c r="BB10" s="28" t="s">
        <v>814</v>
      </c>
      <c r="BC10" s="28" t="s">
        <v>814</v>
      </c>
      <c r="BD10" s="38" t="str">
        <f t="shared" si="73"/>
        <v>bc-tcr-aaf-dsy-0321-10010</v>
      </c>
      <c r="BE10" s="15" t="str">
        <f t="shared" si="74"/>
        <v>BR</v>
      </c>
      <c r="BF10" s="15" t="str">
        <f t="shared" si="75"/>
        <v/>
      </c>
      <c r="BG10" s="28"/>
      <c r="BH10" s="28"/>
      <c r="BI10" s="36" t="e">
        <f t="shared" si="20"/>
        <v>#VALUE!</v>
      </c>
      <c r="BL10" t="str">
        <f t="shared" si="21"/>
        <v>alp_vw__aaf_dsy_sustn_nd_nc_tcr_branded-content_projeto-globoplay_</v>
      </c>
      <c r="BM10" t="e">
        <f t="shared" si="22"/>
        <v>#N/A</v>
      </c>
      <c r="BN10" t="e">
        <f t="shared" si="23"/>
        <v>#VALUE!</v>
      </c>
    </row>
    <row r="11" spans="2:68" ht="15.75" customHeight="1" x14ac:dyDescent="0.25">
      <c r="B11" s="15"/>
      <c r="C11" s="15"/>
      <c r="D11" s="15"/>
      <c r="E11" s="22"/>
      <c r="F11" s="22"/>
      <c r="G11" s="15"/>
      <c r="H11" s="41"/>
      <c r="I11" s="15"/>
      <c r="J11" s="42"/>
      <c r="K11" s="15"/>
      <c r="L11" s="15"/>
      <c r="M11" s="15"/>
      <c r="N11" s="15"/>
      <c r="O11" s="15"/>
      <c r="P11" s="44"/>
      <c r="Q11" s="15"/>
      <c r="R11" s="15"/>
      <c r="S11" s="15"/>
      <c r="T11" s="15"/>
      <c r="U11" s="15"/>
      <c r="V11" s="15"/>
      <c r="W11" s="15"/>
      <c r="X11" s="15"/>
      <c r="Y11" s="15"/>
      <c r="Z11" s="44"/>
      <c r="AA11" s="45"/>
      <c r="AB11" s="46"/>
      <c r="AC11" s="45"/>
      <c r="AD11" s="45"/>
      <c r="AE11" s="45"/>
      <c r="AF11" s="44"/>
      <c r="AG11" s="44"/>
      <c r="AH11" s="15" t="e">
        <f t="shared" ref="AH11:AH33" si="76">VLOOKUP(AI11,id_placement,2,FALSE)</f>
        <v>#N/A</v>
      </c>
      <c r="AI11" s="21" t="e">
        <f t="shared" si="1"/>
        <v>#N/A</v>
      </c>
      <c r="AJ11" s="40" t="e">
        <f t="shared" si="1"/>
        <v>#N/A</v>
      </c>
      <c r="AK11" s="21" t="str">
        <f t="shared" si="2"/>
        <v>vw_t-cross___adserver</v>
      </c>
      <c r="AL11" s="21" t="e">
        <f t="shared" ref="AL11:AL33" si="77">IF(col_parametrizacao="GA",AS11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11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11" s="21" t="str">
        <f t="shared" si="4"/>
        <v>TAG</v>
      </c>
      <c r="AN11" s="15">
        <f t="shared" ref="AN11:AN33" si="78">J11</f>
        <v>0</v>
      </c>
      <c r="AO11" s="15">
        <f t="shared" ref="AO11:AO33" si="79">L11</f>
        <v>0</v>
      </c>
      <c r="AP11" s="21" t="str">
        <f>Campanha!$B$3</f>
        <v>BR_AAF_DSY_SUSTN_ND_NC_2021Q1MAR_TCR_Branded-Content</v>
      </c>
      <c r="AQ11" s="21" t="e">
        <f t="shared" si="7"/>
        <v>#N/A</v>
      </c>
      <c r="AR11" s="15" t="s">
        <v>770</v>
      </c>
      <c r="AS11" s="21" t="e">
        <f t="shared" si="8"/>
        <v>#VALUE!</v>
      </c>
      <c r="AT11" s="15" t="str">
        <f t="shared" ref="AT11:AT33" si="80">LOWER(Q11)</f>
        <v/>
      </c>
      <c r="AU11" s="15" t="str">
        <f t="shared" si="10"/>
        <v>BR</v>
      </c>
      <c r="AV11" s="15" t="str">
        <f t="shared" ref="AV11:AV33" si="81">LOWER(K11)</f>
        <v/>
      </c>
      <c r="AW11" s="15" t="str">
        <f t="shared" ref="AW11:AW33" si="82">LOWER(J11)</f>
        <v/>
      </c>
      <c r="AX11" s="15" t="str">
        <f t="shared" si="13"/>
        <v>branded-content</v>
      </c>
      <c r="AY11" s="15" t="e">
        <f t="shared" ref="AY11:AY33" si="83">LOWER(AI11)</f>
        <v>#N/A</v>
      </c>
      <c r="AZ11" s="15" t="str">
        <f t="shared" ref="AZ11:AZ33" si="84">LOWER(Y11)</f>
        <v/>
      </c>
      <c r="BA11" s="15" t="str">
        <f t="shared" ref="BA11:BA33" si="85">LOWER(T11)</f>
        <v/>
      </c>
      <c r="BB11" s="28" t="s">
        <v>814</v>
      </c>
      <c r="BC11" s="28" t="s">
        <v>814</v>
      </c>
      <c r="BD11" s="38" t="str">
        <f t="shared" ref="BD11:BD33" si="86">LOWER(CONCATENATE(cel_idcampaign,"-",SUM(10000+ROW(A11))))</f>
        <v>bc-tcr-aaf-dsy-0321-10011</v>
      </c>
      <c r="BE11" s="15" t="str">
        <f t="shared" ref="BE11:BE33" si="87">AU11</f>
        <v>BR</v>
      </c>
      <c r="BF11" s="15" t="str">
        <f t="shared" ref="BF11:BF33" si="88">LOWER(X11)</f>
        <v/>
      </c>
      <c r="BG11" s="28"/>
      <c r="BH11" s="28"/>
      <c r="BI11" s="36" t="e">
        <f t="shared" si="20"/>
        <v>#VALUE!</v>
      </c>
      <c r="BL11" t="str">
        <f t="shared" si="21"/>
        <v>alp_vw__aaf_dsy_sustn_nd_nc_tcr_branded-content_projeto-globoplay_</v>
      </c>
      <c r="BM11" t="e">
        <f t="shared" si="22"/>
        <v>#N/A</v>
      </c>
      <c r="BN11" t="e">
        <f t="shared" si="23"/>
        <v>#VALUE!</v>
      </c>
    </row>
    <row r="12" spans="2:68" ht="15.75" customHeight="1" x14ac:dyDescent="0.25">
      <c r="B12" s="15"/>
      <c r="C12" s="15"/>
      <c r="D12" s="15"/>
      <c r="E12" s="22"/>
      <c r="F12" s="22"/>
      <c r="G12" s="15"/>
      <c r="H12" s="41"/>
      <c r="I12" s="15"/>
      <c r="J12" s="42"/>
      <c r="K12" s="15"/>
      <c r="L12" s="15"/>
      <c r="M12" s="15"/>
      <c r="N12" s="15"/>
      <c r="O12" s="15"/>
      <c r="P12" s="44"/>
      <c r="Q12" s="15"/>
      <c r="R12" s="15"/>
      <c r="S12" s="15"/>
      <c r="T12" s="15"/>
      <c r="U12" s="15"/>
      <c r="V12" s="15"/>
      <c r="W12" s="15"/>
      <c r="X12" s="15"/>
      <c r="Y12" s="15"/>
      <c r="Z12" s="44"/>
      <c r="AA12" s="45"/>
      <c r="AB12" s="46"/>
      <c r="AC12" s="45"/>
      <c r="AD12" s="45"/>
      <c r="AE12" s="45"/>
      <c r="AF12" s="44"/>
      <c r="AG12" s="44"/>
      <c r="AH12" s="15" t="e">
        <f t="shared" si="76"/>
        <v>#N/A</v>
      </c>
      <c r="AI12" s="21" t="e">
        <f t="shared" si="1"/>
        <v>#N/A</v>
      </c>
      <c r="AJ12" s="40" t="e">
        <f t="shared" si="1"/>
        <v>#N/A</v>
      </c>
      <c r="AK12" s="21" t="str">
        <f t="shared" si="2"/>
        <v>vw_t-cross___adserver</v>
      </c>
      <c r="AL12" s="21" t="e">
        <f t="shared" si="77"/>
        <v>#VALUE!</v>
      </c>
      <c r="AM12" s="21" t="str">
        <f t="shared" si="4"/>
        <v>TAG</v>
      </c>
      <c r="AN12" s="15">
        <f t="shared" si="78"/>
        <v>0</v>
      </c>
      <c r="AO12" s="15">
        <f t="shared" si="79"/>
        <v>0</v>
      </c>
      <c r="AP12" s="21" t="str">
        <f>Campanha!$B$3</f>
        <v>BR_AAF_DSY_SUSTN_ND_NC_2021Q1MAR_TCR_Branded-Content</v>
      </c>
      <c r="AQ12" s="21" t="e">
        <f t="shared" si="7"/>
        <v>#N/A</v>
      </c>
      <c r="AR12" s="15" t="s">
        <v>770</v>
      </c>
      <c r="AS12" s="21" t="e">
        <f t="shared" si="8"/>
        <v>#VALUE!</v>
      </c>
      <c r="AT12" s="15" t="str">
        <f t="shared" si="80"/>
        <v/>
      </c>
      <c r="AU12" s="15" t="str">
        <f t="shared" si="10"/>
        <v>BR</v>
      </c>
      <c r="AV12" s="15" t="str">
        <f t="shared" si="81"/>
        <v/>
      </c>
      <c r="AW12" s="15" t="str">
        <f t="shared" si="82"/>
        <v/>
      </c>
      <c r="AX12" s="15" t="str">
        <f t="shared" si="13"/>
        <v>branded-content</v>
      </c>
      <c r="AY12" s="15" t="e">
        <f t="shared" si="83"/>
        <v>#N/A</v>
      </c>
      <c r="AZ12" s="15" t="str">
        <f t="shared" si="84"/>
        <v/>
      </c>
      <c r="BA12" s="15" t="str">
        <f t="shared" si="85"/>
        <v/>
      </c>
      <c r="BB12" s="28" t="s">
        <v>814</v>
      </c>
      <c r="BC12" s="28" t="s">
        <v>814</v>
      </c>
      <c r="BD12" s="38" t="str">
        <f t="shared" si="86"/>
        <v>bc-tcr-aaf-dsy-0321-10012</v>
      </c>
      <c r="BE12" s="15" t="str">
        <f t="shared" si="87"/>
        <v>BR</v>
      </c>
      <c r="BF12" s="15" t="str">
        <f t="shared" si="88"/>
        <v/>
      </c>
      <c r="BG12" s="28"/>
      <c r="BH12" s="28"/>
      <c r="BI12" s="36" t="e">
        <f t="shared" si="20"/>
        <v>#VALUE!</v>
      </c>
      <c r="BL12" t="str">
        <f t="shared" si="21"/>
        <v>alp_vw__aaf_dsy_sustn_nd_nc_tcr_branded-content_projeto-globoplay_</v>
      </c>
      <c r="BM12" t="e">
        <f t="shared" si="22"/>
        <v>#N/A</v>
      </c>
      <c r="BN12" t="e">
        <f t="shared" si="23"/>
        <v>#VALUE!</v>
      </c>
    </row>
    <row r="13" spans="2:68" ht="15.75" customHeight="1" x14ac:dyDescent="0.25">
      <c r="B13" s="15"/>
      <c r="C13" s="15"/>
      <c r="D13" s="15"/>
      <c r="E13" s="22"/>
      <c r="F13" s="22"/>
      <c r="G13" s="15"/>
      <c r="H13" s="41"/>
      <c r="I13" s="15"/>
      <c r="J13" s="42"/>
      <c r="K13" s="15"/>
      <c r="L13" s="15"/>
      <c r="M13" s="15"/>
      <c r="N13" s="15"/>
      <c r="O13" s="15"/>
      <c r="P13" s="44"/>
      <c r="Q13" s="15"/>
      <c r="R13" s="15"/>
      <c r="S13" s="15"/>
      <c r="T13" s="15"/>
      <c r="U13" s="15"/>
      <c r="V13" s="15"/>
      <c r="W13" s="15"/>
      <c r="X13" s="15"/>
      <c r="Y13" s="15"/>
      <c r="Z13" s="44"/>
      <c r="AA13" s="45"/>
      <c r="AB13" s="46"/>
      <c r="AC13" s="45"/>
      <c r="AD13" s="45"/>
      <c r="AE13" s="45"/>
      <c r="AF13" s="44"/>
      <c r="AG13" s="44"/>
      <c r="AH13" s="15" t="e">
        <f t="shared" si="76"/>
        <v>#N/A</v>
      </c>
      <c r="AI13" s="21" t="e">
        <f t="shared" si="1"/>
        <v>#N/A</v>
      </c>
      <c r="AJ13" s="40" t="e">
        <f t="shared" si="1"/>
        <v>#N/A</v>
      </c>
      <c r="AK13" s="21" t="str">
        <f t="shared" si="2"/>
        <v>vw_t-cross___adserver</v>
      </c>
      <c r="AL13" s="21" t="e">
        <f t="shared" si="77"/>
        <v>#VALUE!</v>
      </c>
      <c r="AM13" s="21" t="str">
        <f t="shared" si="4"/>
        <v>TAG</v>
      </c>
      <c r="AN13" s="15">
        <f t="shared" si="78"/>
        <v>0</v>
      </c>
      <c r="AO13" s="15">
        <f t="shared" si="79"/>
        <v>0</v>
      </c>
      <c r="AP13" s="21" t="str">
        <f>Campanha!$B$3</f>
        <v>BR_AAF_DSY_SUSTN_ND_NC_2021Q1MAR_TCR_Branded-Content</v>
      </c>
      <c r="AQ13" s="21" t="e">
        <f t="shared" si="7"/>
        <v>#N/A</v>
      </c>
      <c r="AR13" s="15" t="s">
        <v>770</v>
      </c>
      <c r="AS13" s="21" t="e">
        <f t="shared" si="8"/>
        <v>#VALUE!</v>
      </c>
      <c r="AT13" s="15" t="str">
        <f t="shared" si="80"/>
        <v/>
      </c>
      <c r="AU13" s="15" t="str">
        <f t="shared" si="10"/>
        <v>BR</v>
      </c>
      <c r="AV13" s="15" t="str">
        <f t="shared" si="81"/>
        <v/>
      </c>
      <c r="AW13" s="15" t="str">
        <f t="shared" si="82"/>
        <v/>
      </c>
      <c r="AX13" s="15" t="str">
        <f t="shared" si="13"/>
        <v>branded-content</v>
      </c>
      <c r="AY13" s="15" t="e">
        <f t="shared" si="83"/>
        <v>#N/A</v>
      </c>
      <c r="AZ13" s="15" t="str">
        <f t="shared" si="84"/>
        <v/>
      </c>
      <c r="BA13" s="15" t="str">
        <f t="shared" si="85"/>
        <v/>
      </c>
      <c r="BB13" s="28" t="s">
        <v>814</v>
      </c>
      <c r="BC13" s="28" t="s">
        <v>814</v>
      </c>
      <c r="BD13" s="38" t="str">
        <f t="shared" si="86"/>
        <v>bc-tcr-aaf-dsy-0321-10013</v>
      </c>
      <c r="BE13" s="15" t="str">
        <f t="shared" si="87"/>
        <v>BR</v>
      </c>
      <c r="BF13" s="15" t="str">
        <f t="shared" si="88"/>
        <v/>
      </c>
      <c r="BG13" s="28"/>
      <c r="BH13" s="28"/>
      <c r="BI13" s="36" t="e">
        <f t="shared" si="20"/>
        <v>#VALUE!</v>
      </c>
      <c r="BL13" t="str">
        <f t="shared" si="21"/>
        <v>alp_vw__aaf_dsy_sustn_nd_nc_tcr_branded-content_projeto-globoplay_</v>
      </c>
      <c r="BM13" t="e">
        <f t="shared" si="22"/>
        <v>#N/A</v>
      </c>
      <c r="BN13" t="e">
        <f t="shared" si="23"/>
        <v>#VALUE!</v>
      </c>
    </row>
    <row r="14" spans="2:68" ht="15.75" customHeight="1" x14ac:dyDescent="0.25">
      <c r="B14" s="15"/>
      <c r="C14" s="15"/>
      <c r="D14" s="44"/>
      <c r="E14" s="22"/>
      <c r="F14" s="22"/>
      <c r="G14" s="44"/>
      <c r="H14" s="41"/>
      <c r="I14" s="44"/>
      <c r="J14" s="42"/>
      <c r="K14" s="15"/>
      <c r="L14" s="15"/>
      <c r="M14" s="44"/>
      <c r="N14" s="15"/>
      <c r="O14" s="44"/>
      <c r="P14" s="44"/>
      <c r="Q14" s="44"/>
      <c r="R14" s="44"/>
      <c r="S14" s="15"/>
      <c r="T14" s="15"/>
      <c r="U14" s="15"/>
      <c r="V14" s="44"/>
      <c r="W14" s="44"/>
      <c r="X14" s="44"/>
      <c r="Y14" s="15"/>
      <c r="Z14" s="44"/>
      <c r="AA14" s="45"/>
      <c r="AB14" s="46"/>
      <c r="AC14" s="45"/>
      <c r="AD14" s="45"/>
      <c r="AE14" s="45"/>
      <c r="AF14" s="44"/>
      <c r="AG14" s="44"/>
      <c r="AH14" s="15" t="e">
        <f t="shared" si="76"/>
        <v>#N/A</v>
      </c>
      <c r="AI14" s="21" t="e">
        <f t="shared" si="1"/>
        <v>#N/A</v>
      </c>
      <c r="AJ14" s="40" t="e">
        <f t="shared" si="1"/>
        <v>#N/A</v>
      </c>
      <c r="AK14" s="21" t="str">
        <f t="shared" si="2"/>
        <v>vw_t-cross___adserver</v>
      </c>
      <c r="AL14" s="21" t="e">
        <f t="shared" si="77"/>
        <v>#VALUE!</v>
      </c>
      <c r="AM14" s="21" t="str">
        <f t="shared" si="4"/>
        <v>TAG</v>
      </c>
      <c r="AN14" s="15">
        <f t="shared" si="78"/>
        <v>0</v>
      </c>
      <c r="AO14" s="15">
        <f t="shared" si="79"/>
        <v>0</v>
      </c>
      <c r="AP14" s="21" t="str">
        <f>Campanha!$B$3</f>
        <v>BR_AAF_DSY_SUSTN_ND_NC_2021Q1MAR_TCR_Branded-Content</v>
      </c>
      <c r="AQ14" s="21" t="e">
        <f t="shared" si="7"/>
        <v>#N/A</v>
      </c>
      <c r="AR14" s="15" t="s">
        <v>770</v>
      </c>
      <c r="AS14" s="21" t="e">
        <f t="shared" si="8"/>
        <v>#VALUE!</v>
      </c>
      <c r="AT14" s="15" t="str">
        <f t="shared" si="80"/>
        <v/>
      </c>
      <c r="AU14" s="15" t="str">
        <f t="shared" si="10"/>
        <v>BR</v>
      </c>
      <c r="AV14" s="15" t="str">
        <f t="shared" si="81"/>
        <v/>
      </c>
      <c r="AW14" s="15" t="str">
        <f t="shared" si="82"/>
        <v/>
      </c>
      <c r="AX14" s="15" t="str">
        <f t="shared" si="13"/>
        <v>branded-content</v>
      </c>
      <c r="AY14" s="15" t="e">
        <f t="shared" si="83"/>
        <v>#N/A</v>
      </c>
      <c r="AZ14" s="15" t="str">
        <f t="shared" si="84"/>
        <v/>
      </c>
      <c r="BA14" s="15" t="str">
        <f t="shared" si="85"/>
        <v/>
      </c>
      <c r="BB14" s="28" t="s">
        <v>814</v>
      </c>
      <c r="BC14" s="28" t="s">
        <v>814</v>
      </c>
      <c r="BD14" s="38" t="str">
        <f t="shared" si="86"/>
        <v>bc-tcr-aaf-dsy-0321-10014</v>
      </c>
      <c r="BE14" s="15" t="str">
        <f t="shared" si="87"/>
        <v>BR</v>
      </c>
      <c r="BF14" s="15" t="str">
        <f t="shared" si="88"/>
        <v/>
      </c>
      <c r="BG14" s="28"/>
      <c r="BH14" s="28"/>
      <c r="BI14" s="36" t="e">
        <f t="shared" si="20"/>
        <v>#VALUE!</v>
      </c>
      <c r="BL14" t="str">
        <f t="shared" si="21"/>
        <v>alp_vw__aaf_dsy_sustn_nd_nc_tcr_branded-content_projeto-globoplay_</v>
      </c>
      <c r="BM14" t="e">
        <f t="shared" si="22"/>
        <v>#N/A</v>
      </c>
      <c r="BN14" t="e">
        <f t="shared" si="23"/>
        <v>#VALUE!</v>
      </c>
    </row>
    <row r="15" spans="2:68" ht="15.75" customHeight="1" x14ac:dyDescent="0.25">
      <c r="B15" s="15"/>
      <c r="C15" s="15"/>
      <c r="D15" s="44"/>
      <c r="E15" s="22"/>
      <c r="F15" s="22"/>
      <c r="G15" s="44"/>
      <c r="H15" s="41"/>
      <c r="I15" s="44"/>
      <c r="J15" s="42"/>
      <c r="K15" s="15"/>
      <c r="L15" s="15"/>
      <c r="M15" s="44"/>
      <c r="N15" s="15"/>
      <c r="O15" s="44"/>
      <c r="P15" s="44"/>
      <c r="Q15" s="44"/>
      <c r="R15" s="44"/>
      <c r="S15" s="15"/>
      <c r="T15" s="15"/>
      <c r="U15" s="15"/>
      <c r="V15" s="44"/>
      <c r="W15" s="44"/>
      <c r="X15" s="44"/>
      <c r="Y15" s="15"/>
      <c r="Z15" s="44"/>
      <c r="AA15" s="45"/>
      <c r="AB15" s="46"/>
      <c r="AC15" s="45"/>
      <c r="AD15" s="45"/>
      <c r="AE15" s="45"/>
      <c r="AF15" s="44"/>
      <c r="AG15" s="44"/>
      <c r="AH15" s="15" t="e">
        <f t="shared" si="76"/>
        <v>#N/A</v>
      </c>
      <c r="AI15" s="21" t="e">
        <f t="shared" si="1"/>
        <v>#N/A</v>
      </c>
      <c r="AJ15" s="40" t="e">
        <f t="shared" si="1"/>
        <v>#N/A</v>
      </c>
      <c r="AK15" s="21" t="str">
        <f t="shared" si="2"/>
        <v>vw_t-cross___adserver</v>
      </c>
      <c r="AL15" s="21" t="e">
        <f t="shared" si="77"/>
        <v>#VALUE!</v>
      </c>
      <c r="AM15" s="21" t="str">
        <f t="shared" si="4"/>
        <v>TAG</v>
      </c>
      <c r="AN15" s="15">
        <f t="shared" si="78"/>
        <v>0</v>
      </c>
      <c r="AO15" s="15">
        <f t="shared" si="79"/>
        <v>0</v>
      </c>
      <c r="AP15" s="21" t="str">
        <f>Campanha!$B$3</f>
        <v>BR_AAF_DSY_SUSTN_ND_NC_2021Q1MAR_TCR_Branded-Content</v>
      </c>
      <c r="AQ15" s="21" t="e">
        <f t="shared" si="7"/>
        <v>#N/A</v>
      </c>
      <c r="AR15" s="15" t="s">
        <v>770</v>
      </c>
      <c r="AS15" s="21" t="e">
        <f t="shared" si="8"/>
        <v>#VALUE!</v>
      </c>
      <c r="AT15" s="15" t="str">
        <f t="shared" si="80"/>
        <v/>
      </c>
      <c r="AU15" s="15" t="str">
        <f t="shared" si="10"/>
        <v>BR</v>
      </c>
      <c r="AV15" s="15" t="str">
        <f t="shared" si="81"/>
        <v/>
      </c>
      <c r="AW15" s="15" t="str">
        <f t="shared" si="82"/>
        <v/>
      </c>
      <c r="AX15" s="15" t="str">
        <f t="shared" si="13"/>
        <v>branded-content</v>
      </c>
      <c r="AY15" s="15" t="e">
        <f t="shared" si="83"/>
        <v>#N/A</v>
      </c>
      <c r="AZ15" s="15" t="str">
        <f t="shared" si="84"/>
        <v/>
      </c>
      <c r="BA15" s="15" t="str">
        <f t="shared" si="85"/>
        <v/>
      </c>
      <c r="BB15" s="28" t="s">
        <v>814</v>
      </c>
      <c r="BC15" s="28" t="s">
        <v>814</v>
      </c>
      <c r="BD15" s="38" t="str">
        <f t="shared" si="86"/>
        <v>bc-tcr-aaf-dsy-0321-10015</v>
      </c>
      <c r="BE15" s="15" t="str">
        <f t="shared" si="87"/>
        <v>BR</v>
      </c>
      <c r="BF15" s="15" t="str">
        <f t="shared" si="88"/>
        <v/>
      </c>
      <c r="BG15" s="28"/>
      <c r="BH15" s="28"/>
      <c r="BI15" s="36" t="e">
        <f t="shared" si="20"/>
        <v>#VALUE!</v>
      </c>
      <c r="BL15" t="str">
        <f t="shared" si="21"/>
        <v>alp_vw__aaf_dsy_sustn_nd_nc_tcr_branded-content_projeto-globoplay_</v>
      </c>
      <c r="BM15" t="e">
        <f t="shared" si="22"/>
        <v>#N/A</v>
      </c>
      <c r="BN15" t="e">
        <f t="shared" si="23"/>
        <v>#VALUE!</v>
      </c>
    </row>
    <row r="16" spans="2:68" ht="15.75" customHeight="1" x14ac:dyDescent="0.25">
      <c r="B16" s="15"/>
      <c r="C16" s="15"/>
      <c r="D16" s="44"/>
      <c r="E16" s="22"/>
      <c r="F16" s="22"/>
      <c r="G16" s="44"/>
      <c r="H16" s="41"/>
      <c r="I16" s="44"/>
      <c r="J16" s="42"/>
      <c r="K16" s="15"/>
      <c r="L16" s="15"/>
      <c r="M16" s="44"/>
      <c r="N16" s="15"/>
      <c r="O16" s="44"/>
      <c r="P16" s="44"/>
      <c r="Q16" s="44"/>
      <c r="R16" s="44"/>
      <c r="S16" s="15"/>
      <c r="T16" s="15"/>
      <c r="U16" s="15"/>
      <c r="V16" s="44"/>
      <c r="W16" s="44"/>
      <c r="X16" s="44"/>
      <c r="Y16" s="15"/>
      <c r="Z16" s="44"/>
      <c r="AA16" s="45"/>
      <c r="AB16" s="46"/>
      <c r="AC16" s="45"/>
      <c r="AD16" s="45"/>
      <c r="AE16" s="45"/>
      <c r="AF16" s="44"/>
      <c r="AG16" s="44"/>
      <c r="AH16" s="15" t="e">
        <f t="shared" si="76"/>
        <v>#N/A</v>
      </c>
      <c r="AI16" s="21" t="e">
        <f t="shared" si="1"/>
        <v>#N/A</v>
      </c>
      <c r="AJ16" s="40" t="e">
        <f t="shared" si="1"/>
        <v>#N/A</v>
      </c>
      <c r="AK16" s="21" t="str">
        <f t="shared" si="2"/>
        <v>vw_t-cross___adserver</v>
      </c>
      <c r="AL16" s="21" t="e">
        <f t="shared" si="77"/>
        <v>#VALUE!</v>
      </c>
      <c r="AM16" s="21" t="str">
        <f t="shared" si="4"/>
        <v>TAG</v>
      </c>
      <c r="AN16" s="15">
        <f t="shared" si="78"/>
        <v>0</v>
      </c>
      <c r="AO16" s="15">
        <f t="shared" si="79"/>
        <v>0</v>
      </c>
      <c r="AP16" s="21" t="str">
        <f>Campanha!$B$3</f>
        <v>BR_AAF_DSY_SUSTN_ND_NC_2021Q1MAR_TCR_Branded-Content</v>
      </c>
      <c r="AQ16" s="21" t="e">
        <f t="shared" si="7"/>
        <v>#N/A</v>
      </c>
      <c r="AR16" s="15" t="s">
        <v>770</v>
      </c>
      <c r="AS16" s="21" t="e">
        <f t="shared" si="8"/>
        <v>#VALUE!</v>
      </c>
      <c r="AT16" s="15" t="str">
        <f t="shared" si="80"/>
        <v/>
      </c>
      <c r="AU16" s="15" t="str">
        <f t="shared" si="10"/>
        <v>BR</v>
      </c>
      <c r="AV16" s="15" t="str">
        <f t="shared" si="81"/>
        <v/>
      </c>
      <c r="AW16" s="15" t="str">
        <f t="shared" si="82"/>
        <v/>
      </c>
      <c r="AX16" s="15" t="str">
        <f t="shared" si="13"/>
        <v>branded-content</v>
      </c>
      <c r="AY16" s="15" t="e">
        <f t="shared" si="83"/>
        <v>#N/A</v>
      </c>
      <c r="AZ16" s="15" t="str">
        <f t="shared" si="84"/>
        <v/>
      </c>
      <c r="BA16" s="15" t="str">
        <f t="shared" si="85"/>
        <v/>
      </c>
      <c r="BB16" s="28" t="s">
        <v>814</v>
      </c>
      <c r="BC16" s="28" t="s">
        <v>814</v>
      </c>
      <c r="BD16" s="38" t="str">
        <f t="shared" si="86"/>
        <v>bc-tcr-aaf-dsy-0321-10016</v>
      </c>
      <c r="BE16" s="15" t="str">
        <f t="shared" si="87"/>
        <v>BR</v>
      </c>
      <c r="BF16" s="15" t="str">
        <f t="shared" si="88"/>
        <v/>
      </c>
      <c r="BG16" s="28"/>
      <c r="BH16" s="28"/>
      <c r="BI16" s="36" t="e">
        <f t="shared" si="20"/>
        <v>#VALUE!</v>
      </c>
      <c r="BL16" t="str">
        <f t="shared" si="21"/>
        <v>alp_vw__aaf_dsy_sustn_nd_nc_tcr_branded-content_projeto-globoplay_</v>
      </c>
      <c r="BM16" t="e">
        <f t="shared" si="22"/>
        <v>#N/A</v>
      </c>
      <c r="BN16" t="e">
        <f t="shared" si="23"/>
        <v>#VALUE!</v>
      </c>
    </row>
    <row r="17" spans="2:66" ht="15.75" customHeight="1" x14ac:dyDescent="0.25">
      <c r="B17" s="15"/>
      <c r="C17" s="15"/>
      <c r="D17" s="15"/>
      <c r="E17" s="22"/>
      <c r="F17" s="22"/>
      <c r="G17" s="15"/>
      <c r="H17" s="41"/>
      <c r="I17" s="15"/>
      <c r="J17" s="42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44"/>
      <c r="AA17" s="45"/>
      <c r="AB17" s="46"/>
      <c r="AC17" s="45"/>
      <c r="AD17" s="45"/>
      <c r="AE17" s="45"/>
      <c r="AF17" s="44"/>
      <c r="AG17" s="44"/>
      <c r="AH17" s="15" t="e">
        <f t="shared" ref="AH17:AH20" si="89">VLOOKUP(AI17,id_placement,2,FALSE)</f>
        <v>#N/A</v>
      </c>
      <c r="AI17" s="21" t="e">
        <f t="shared" si="1"/>
        <v>#N/A</v>
      </c>
      <c r="AJ17" s="40" t="e">
        <f t="shared" si="1"/>
        <v>#N/A</v>
      </c>
      <c r="AK17" s="21" t="str">
        <f t="shared" si="2"/>
        <v>vw_t-cross___adserver</v>
      </c>
      <c r="AL17" s="21" t="e">
        <f t="shared" ref="AL17:AL20" si="90">IF(col_parametrizacao="GA",AS17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17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17" s="21" t="str">
        <f t="shared" si="4"/>
        <v>TAG</v>
      </c>
      <c r="AN17" s="15">
        <f t="shared" ref="AN17:AN20" si="91">J17</f>
        <v>0</v>
      </c>
      <c r="AO17" s="15">
        <f t="shared" ref="AO17:AO20" si="92">L17</f>
        <v>0</v>
      </c>
      <c r="AP17" s="21" t="str">
        <f>Campanha!$B$3</f>
        <v>BR_AAF_DSY_SUSTN_ND_NC_2021Q1MAR_TCR_Branded-Content</v>
      </c>
      <c r="AQ17" s="21" t="e">
        <f t="shared" si="7"/>
        <v>#N/A</v>
      </c>
      <c r="AR17" s="15" t="s">
        <v>770</v>
      </c>
      <c r="AS17" s="21" t="e">
        <f t="shared" si="8"/>
        <v>#VALUE!</v>
      </c>
      <c r="AT17" s="15" t="str">
        <f t="shared" ref="AT17:AT20" si="93">LOWER(Q17)</f>
        <v/>
      </c>
      <c r="AU17" s="15" t="str">
        <f t="shared" si="10"/>
        <v>BR</v>
      </c>
      <c r="AV17" s="15" t="str">
        <f t="shared" ref="AV17:AV20" si="94">LOWER(K17)</f>
        <v/>
      </c>
      <c r="AW17" s="15" t="str">
        <f t="shared" ref="AW17:AW20" si="95">LOWER(J17)</f>
        <v/>
      </c>
      <c r="AX17" s="15" t="str">
        <f t="shared" si="13"/>
        <v>branded-content</v>
      </c>
      <c r="AY17" s="15" t="e">
        <f t="shared" ref="AY17:AY20" si="96">LOWER(AI17)</f>
        <v>#N/A</v>
      </c>
      <c r="AZ17" s="15" t="str">
        <f t="shared" ref="AZ17:AZ20" si="97">LOWER(Y17)</f>
        <v/>
      </c>
      <c r="BA17" s="15" t="str">
        <f t="shared" ref="BA17:BA20" si="98">LOWER(T17)</f>
        <v/>
      </c>
      <c r="BB17" s="28" t="s">
        <v>814</v>
      </c>
      <c r="BC17" s="28" t="s">
        <v>814</v>
      </c>
      <c r="BD17" s="38" t="str">
        <f t="shared" ref="BD17:BD20" si="99">LOWER(CONCATENATE(cel_idcampaign,"-",SUM(10000+ROW(A17))))</f>
        <v>bc-tcr-aaf-dsy-0321-10017</v>
      </c>
      <c r="BE17" s="15" t="str">
        <f t="shared" ref="BE17:BE20" si="100">AU17</f>
        <v>BR</v>
      </c>
      <c r="BF17" s="15" t="str">
        <f t="shared" ref="BF17:BF20" si="101">LOWER(X17)</f>
        <v/>
      </c>
      <c r="BG17" s="28"/>
      <c r="BH17" s="28"/>
      <c r="BI17" s="36" t="e">
        <f t="shared" si="20"/>
        <v>#VALUE!</v>
      </c>
      <c r="BL17" t="str">
        <f t="shared" si="21"/>
        <v>alp_vw__aaf_dsy_sustn_nd_nc_tcr_branded-content_projeto-globoplay_</v>
      </c>
      <c r="BM17" t="e">
        <f t="shared" si="22"/>
        <v>#N/A</v>
      </c>
      <c r="BN17" t="e">
        <f t="shared" si="23"/>
        <v>#VALUE!</v>
      </c>
    </row>
    <row r="18" spans="2:66" ht="15.75" customHeight="1" x14ac:dyDescent="0.25">
      <c r="B18" s="15"/>
      <c r="C18" s="15"/>
      <c r="D18" s="15"/>
      <c r="E18" s="22"/>
      <c r="F18" s="22"/>
      <c r="G18" s="15"/>
      <c r="H18" s="41"/>
      <c r="I18" s="15"/>
      <c r="J18" s="42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44"/>
      <c r="AA18" s="45"/>
      <c r="AB18" s="46"/>
      <c r="AC18" s="45"/>
      <c r="AD18" s="45"/>
      <c r="AE18" s="45"/>
      <c r="AF18" s="44"/>
      <c r="AG18" s="44"/>
      <c r="AH18" s="15" t="e">
        <f t="shared" si="89"/>
        <v>#N/A</v>
      </c>
      <c r="AI18" s="21" t="e">
        <f t="shared" si="1"/>
        <v>#N/A</v>
      </c>
      <c r="AJ18" s="40" t="e">
        <f t="shared" si="1"/>
        <v>#N/A</v>
      </c>
      <c r="AK18" s="21" t="str">
        <f t="shared" si="2"/>
        <v>vw_t-cross___adserver</v>
      </c>
      <c r="AL18" s="21" t="e">
        <f t="shared" si="90"/>
        <v>#VALUE!</v>
      </c>
      <c r="AM18" s="21" t="str">
        <f t="shared" si="4"/>
        <v>TAG</v>
      </c>
      <c r="AN18" s="15">
        <f t="shared" si="91"/>
        <v>0</v>
      </c>
      <c r="AO18" s="15">
        <f t="shared" si="92"/>
        <v>0</v>
      </c>
      <c r="AP18" s="21" t="str">
        <f>Campanha!$B$3</f>
        <v>BR_AAF_DSY_SUSTN_ND_NC_2021Q1MAR_TCR_Branded-Content</v>
      </c>
      <c r="AQ18" s="21" t="e">
        <f t="shared" si="7"/>
        <v>#N/A</v>
      </c>
      <c r="AR18" s="15" t="s">
        <v>770</v>
      </c>
      <c r="AS18" s="21" t="e">
        <f t="shared" si="8"/>
        <v>#VALUE!</v>
      </c>
      <c r="AT18" s="15" t="str">
        <f t="shared" si="93"/>
        <v/>
      </c>
      <c r="AU18" s="15" t="str">
        <f t="shared" si="10"/>
        <v>BR</v>
      </c>
      <c r="AV18" s="15" t="str">
        <f t="shared" si="94"/>
        <v/>
      </c>
      <c r="AW18" s="15" t="str">
        <f t="shared" si="95"/>
        <v/>
      </c>
      <c r="AX18" s="15" t="str">
        <f t="shared" si="13"/>
        <v>branded-content</v>
      </c>
      <c r="AY18" s="15" t="e">
        <f t="shared" si="96"/>
        <v>#N/A</v>
      </c>
      <c r="AZ18" s="15" t="str">
        <f t="shared" si="97"/>
        <v/>
      </c>
      <c r="BA18" s="15" t="str">
        <f t="shared" si="98"/>
        <v/>
      </c>
      <c r="BB18" s="28" t="s">
        <v>814</v>
      </c>
      <c r="BC18" s="28" t="s">
        <v>814</v>
      </c>
      <c r="BD18" s="38" t="str">
        <f t="shared" si="99"/>
        <v>bc-tcr-aaf-dsy-0321-10018</v>
      </c>
      <c r="BE18" s="15" t="str">
        <f t="shared" si="100"/>
        <v>BR</v>
      </c>
      <c r="BF18" s="15" t="str">
        <f t="shared" si="101"/>
        <v/>
      </c>
      <c r="BG18" s="28"/>
      <c r="BH18" s="28"/>
      <c r="BI18" s="36" t="e">
        <f t="shared" si="20"/>
        <v>#VALUE!</v>
      </c>
      <c r="BL18" t="str">
        <f t="shared" si="21"/>
        <v>alp_vw__aaf_dsy_sustn_nd_nc_tcr_branded-content_projeto-globoplay_</v>
      </c>
      <c r="BM18" t="e">
        <f t="shared" si="22"/>
        <v>#N/A</v>
      </c>
      <c r="BN18" t="e">
        <f t="shared" si="23"/>
        <v>#VALUE!</v>
      </c>
    </row>
    <row r="19" spans="2:66" ht="15.75" customHeight="1" x14ac:dyDescent="0.25">
      <c r="B19" s="15"/>
      <c r="C19" s="15"/>
      <c r="D19" s="15"/>
      <c r="E19" s="22"/>
      <c r="F19" s="22"/>
      <c r="G19" s="15"/>
      <c r="H19" s="41"/>
      <c r="I19" s="15"/>
      <c r="J19" s="42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44"/>
      <c r="AA19" s="45"/>
      <c r="AB19" s="46"/>
      <c r="AC19" s="45"/>
      <c r="AD19" s="45"/>
      <c r="AE19" s="45"/>
      <c r="AF19" s="44"/>
      <c r="AG19" s="44"/>
      <c r="AH19" s="15" t="e">
        <f t="shared" si="89"/>
        <v>#N/A</v>
      </c>
      <c r="AI19" s="21" t="e">
        <f t="shared" si="1"/>
        <v>#N/A</v>
      </c>
      <c r="AJ19" s="40" t="e">
        <f t="shared" si="1"/>
        <v>#N/A</v>
      </c>
      <c r="AK19" s="21" t="str">
        <f t="shared" si="2"/>
        <v>vw_t-cross___adserver</v>
      </c>
      <c r="AL19" s="21" t="e">
        <f t="shared" si="90"/>
        <v>#VALUE!</v>
      </c>
      <c r="AM19" s="21" t="str">
        <f t="shared" si="4"/>
        <v>TAG</v>
      </c>
      <c r="AN19" s="15">
        <f t="shared" si="91"/>
        <v>0</v>
      </c>
      <c r="AO19" s="15">
        <f t="shared" si="92"/>
        <v>0</v>
      </c>
      <c r="AP19" s="21" t="str">
        <f>Campanha!$B$3</f>
        <v>BR_AAF_DSY_SUSTN_ND_NC_2021Q1MAR_TCR_Branded-Content</v>
      </c>
      <c r="AQ19" s="21" t="e">
        <f t="shared" si="7"/>
        <v>#N/A</v>
      </c>
      <c r="AR19" s="15" t="s">
        <v>770</v>
      </c>
      <c r="AS19" s="21" t="e">
        <f t="shared" si="8"/>
        <v>#VALUE!</v>
      </c>
      <c r="AT19" s="15" t="str">
        <f t="shared" si="93"/>
        <v/>
      </c>
      <c r="AU19" s="15" t="str">
        <f t="shared" si="10"/>
        <v>BR</v>
      </c>
      <c r="AV19" s="15" t="str">
        <f t="shared" si="94"/>
        <v/>
      </c>
      <c r="AW19" s="15" t="str">
        <f t="shared" si="95"/>
        <v/>
      </c>
      <c r="AX19" s="15" t="str">
        <f t="shared" si="13"/>
        <v>branded-content</v>
      </c>
      <c r="AY19" s="15" t="e">
        <f t="shared" si="96"/>
        <v>#N/A</v>
      </c>
      <c r="AZ19" s="15" t="str">
        <f t="shared" si="97"/>
        <v/>
      </c>
      <c r="BA19" s="15" t="str">
        <f t="shared" si="98"/>
        <v/>
      </c>
      <c r="BB19" s="28" t="s">
        <v>814</v>
      </c>
      <c r="BC19" s="28" t="s">
        <v>814</v>
      </c>
      <c r="BD19" s="38" t="str">
        <f t="shared" si="99"/>
        <v>bc-tcr-aaf-dsy-0321-10019</v>
      </c>
      <c r="BE19" s="15" t="str">
        <f t="shared" si="100"/>
        <v>BR</v>
      </c>
      <c r="BF19" s="15" t="str">
        <f t="shared" si="101"/>
        <v/>
      </c>
      <c r="BG19" s="28"/>
      <c r="BH19" s="28"/>
      <c r="BI19" s="36" t="e">
        <f t="shared" si="20"/>
        <v>#VALUE!</v>
      </c>
      <c r="BL19" t="str">
        <f t="shared" si="21"/>
        <v>alp_vw__aaf_dsy_sustn_nd_nc_tcr_branded-content_projeto-globoplay_</v>
      </c>
      <c r="BM19" t="e">
        <f t="shared" si="22"/>
        <v>#N/A</v>
      </c>
      <c r="BN19" t="e">
        <f t="shared" si="23"/>
        <v>#VALUE!</v>
      </c>
    </row>
    <row r="20" spans="2:66" ht="15.75" customHeight="1" x14ac:dyDescent="0.25">
      <c r="B20" s="15"/>
      <c r="C20" s="15"/>
      <c r="D20" s="44"/>
      <c r="E20" s="22"/>
      <c r="F20" s="22"/>
      <c r="G20" s="44"/>
      <c r="H20" s="41"/>
      <c r="I20" s="44"/>
      <c r="J20" s="42"/>
      <c r="K20" s="15"/>
      <c r="L20" s="15"/>
      <c r="M20" s="44"/>
      <c r="N20" s="15"/>
      <c r="O20" s="44"/>
      <c r="P20" s="44"/>
      <c r="Q20" s="44"/>
      <c r="R20" s="44"/>
      <c r="S20" s="15"/>
      <c r="T20" s="15"/>
      <c r="U20" s="15"/>
      <c r="V20" s="44"/>
      <c r="W20" s="44"/>
      <c r="X20" s="44"/>
      <c r="Y20" s="15"/>
      <c r="Z20" s="44"/>
      <c r="AA20" s="45"/>
      <c r="AB20" s="46"/>
      <c r="AC20" s="45"/>
      <c r="AD20" s="45"/>
      <c r="AE20" s="45"/>
      <c r="AF20" s="44"/>
      <c r="AG20" s="44"/>
      <c r="AH20" s="15" t="e">
        <f t="shared" si="89"/>
        <v>#N/A</v>
      </c>
      <c r="AI20" s="21" t="e">
        <f t="shared" si="1"/>
        <v>#N/A</v>
      </c>
      <c r="AJ20" s="40" t="e">
        <f t="shared" si="1"/>
        <v>#N/A</v>
      </c>
      <c r="AK20" s="21" t="str">
        <f t="shared" si="2"/>
        <v>vw_t-cross___adserver</v>
      </c>
      <c r="AL20" s="21" t="e">
        <f t="shared" si="90"/>
        <v>#VALUE!</v>
      </c>
      <c r="AM20" s="21" t="str">
        <f t="shared" si="4"/>
        <v>TAG</v>
      </c>
      <c r="AN20" s="15">
        <f t="shared" si="91"/>
        <v>0</v>
      </c>
      <c r="AO20" s="15">
        <f t="shared" si="92"/>
        <v>0</v>
      </c>
      <c r="AP20" s="21" t="str">
        <f>Campanha!$B$3</f>
        <v>BR_AAF_DSY_SUSTN_ND_NC_2021Q1MAR_TCR_Branded-Content</v>
      </c>
      <c r="AQ20" s="21" t="e">
        <f t="shared" si="7"/>
        <v>#N/A</v>
      </c>
      <c r="AR20" s="15" t="s">
        <v>770</v>
      </c>
      <c r="AS20" s="21" t="e">
        <f t="shared" si="8"/>
        <v>#VALUE!</v>
      </c>
      <c r="AT20" s="15" t="str">
        <f t="shared" si="93"/>
        <v/>
      </c>
      <c r="AU20" s="15" t="str">
        <f t="shared" si="10"/>
        <v>BR</v>
      </c>
      <c r="AV20" s="15" t="str">
        <f t="shared" si="94"/>
        <v/>
      </c>
      <c r="AW20" s="15" t="str">
        <f t="shared" si="95"/>
        <v/>
      </c>
      <c r="AX20" s="15" t="str">
        <f t="shared" si="13"/>
        <v>branded-content</v>
      </c>
      <c r="AY20" s="15" t="e">
        <f t="shared" si="96"/>
        <v>#N/A</v>
      </c>
      <c r="AZ20" s="15" t="str">
        <f t="shared" si="97"/>
        <v/>
      </c>
      <c r="BA20" s="15" t="str">
        <f t="shared" si="98"/>
        <v/>
      </c>
      <c r="BB20" s="28" t="s">
        <v>814</v>
      </c>
      <c r="BC20" s="28" t="s">
        <v>814</v>
      </c>
      <c r="BD20" s="38" t="str">
        <f t="shared" si="99"/>
        <v>bc-tcr-aaf-dsy-0321-10020</v>
      </c>
      <c r="BE20" s="15" t="str">
        <f t="shared" si="100"/>
        <v>BR</v>
      </c>
      <c r="BF20" s="15" t="str">
        <f t="shared" si="101"/>
        <v/>
      </c>
      <c r="BG20" s="28"/>
      <c r="BH20" s="28"/>
      <c r="BI20" s="36" t="e">
        <f t="shared" si="20"/>
        <v>#VALUE!</v>
      </c>
      <c r="BL20" t="str">
        <f t="shared" si="21"/>
        <v>alp_vw__aaf_dsy_sustn_nd_nc_tcr_branded-content_projeto-globoplay_</v>
      </c>
      <c r="BM20" t="e">
        <f t="shared" si="22"/>
        <v>#N/A</v>
      </c>
      <c r="BN20" t="e">
        <f t="shared" si="23"/>
        <v>#VALUE!</v>
      </c>
    </row>
    <row r="21" spans="2:66" ht="15.75" customHeight="1" x14ac:dyDescent="0.25">
      <c r="B21" s="15"/>
      <c r="C21" s="15"/>
      <c r="D21" s="44"/>
      <c r="E21" s="22"/>
      <c r="F21" s="22"/>
      <c r="G21" s="44"/>
      <c r="H21" s="41"/>
      <c r="I21" s="44"/>
      <c r="J21" s="42"/>
      <c r="K21" s="15"/>
      <c r="L21" s="15"/>
      <c r="M21" s="44"/>
      <c r="N21" s="15"/>
      <c r="O21" s="44"/>
      <c r="P21" s="44"/>
      <c r="Q21" s="44"/>
      <c r="R21" s="44"/>
      <c r="S21" s="15"/>
      <c r="T21" s="15"/>
      <c r="U21" s="15"/>
      <c r="V21" s="44"/>
      <c r="W21" s="44"/>
      <c r="X21" s="44"/>
      <c r="Y21" s="15"/>
      <c r="Z21" s="44"/>
      <c r="AA21" s="45"/>
      <c r="AB21" s="46"/>
      <c r="AC21" s="45"/>
      <c r="AD21" s="45"/>
      <c r="AE21" s="45"/>
      <c r="AF21" s="44"/>
      <c r="AG21" s="44"/>
      <c r="AH21" s="15" t="e">
        <f t="shared" si="76"/>
        <v>#N/A</v>
      </c>
      <c r="AI21" s="21" t="e">
        <f t="shared" si="1"/>
        <v>#N/A</v>
      </c>
      <c r="AJ21" s="40" t="e">
        <f t="shared" si="1"/>
        <v>#N/A</v>
      </c>
      <c r="AK21" s="21" t="str">
        <f t="shared" si="2"/>
        <v>vw_t-cross___adserver</v>
      </c>
      <c r="AL21" s="21" t="e">
        <f t="shared" si="77"/>
        <v>#VALUE!</v>
      </c>
      <c r="AM21" s="21" t="str">
        <f t="shared" si="4"/>
        <v>TAG</v>
      </c>
      <c r="AN21" s="15">
        <f t="shared" si="78"/>
        <v>0</v>
      </c>
      <c r="AO21" s="15">
        <f t="shared" si="79"/>
        <v>0</v>
      </c>
      <c r="AP21" s="21" t="str">
        <f>Campanha!$B$3</f>
        <v>BR_AAF_DSY_SUSTN_ND_NC_2021Q1MAR_TCR_Branded-Content</v>
      </c>
      <c r="AQ21" s="21" t="e">
        <f t="shared" si="7"/>
        <v>#N/A</v>
      </c>
      <c r="AR21" s="15" t="s">
        <v>770</v>
      </c>
      <c r="AS21" s="21" t="e">
        <f t="shared" si="8"/>
        <v>#VALUE!</v>
      </c>
      <c r="AT21" s="15" t="str">
        <f t="shared" si="80"/>
        <v/>
      </c>
      <c r="AU21" s="15" t="str">
        <f t="shared" si="10"/>
        <v>BR</v>
      </c>
      <c r="AV21" s="15" t="str">
        <f t="shared" si="81"/>
        <v/>
      </c>
      <c r="AW21" s="15" t="str">
        <f t="shared" si="82"/>
        <v/>
      </c>
      <c r="AX21" s="15" t="str">
        <f t="shared" si="13"/>
        <v>branded-content</v>
      </c>
      <c r="AY21" s="15" t="e">
        <f t="shared" si="83"/>
        <v>#N/A</v>
      </c>
      <c r="AZ21" s="15" t="str">
        <f t="shared" si="84"/>
        <v/>
      </c>
      <c r="BA21" s="15" t="str">
        <f t="shared" si="85"/>
        <v/>
      </c>
      <c r="BB21" s="28" t="s">
        <v>814</v>
      </c>
      <c r="BC21" s="28" t="s">
        <v>814</v>
      </c>
      <c r="BD21" s="38" t="str">
        <f t="shared" si="86"/>
        <v>bc-tcr-aaf-dsy-0321-10021</v>
      </c>
      <c r="BE21" s="15" t="str">
        <f t="shared" si="87"/>
        <v>BR</v>
      </c>
      <c r="BF21" s="15" t="str">
        <f t="shared" si="88"/>
        <v/>
      </c>
      <c r="BG21" s="28"/>
      <c r="BH21" s="28"/>
      <c r="BI21" s="36" t="e">
        <f t="shared" si="20"/>
        <v>#VALUE!</v>
      </c>
      <c r="BL21" t="str">
        <f t="shared" si="21"/>
        <v>alp_vw__aaf_dsy_sustn_nd_nc_tcr_branded-content_projeto-globoplay_</v>
      </c>
      <c r="BM21" t="e">
        <f t="shared" si="22"/>
        <v>#N/A</v>
      </c>
      <c r="BN21" t="e">
        <f t="shared" si="23"/>
        <v>#VALUE!</v>
      </c>
    </row>
    <row r="22" spans="2:66" ht="15.75" customHeight="1" x14ac:dyDescent="0.25">
      <c r="B22" s="15"/>
      <c r="C22" s="15"/>
      <c r="D22" s="44"/>
      <c r="E22" s="22"/>
      <c r="F22" s="22"/>
      <c r="G22" s="44"/>
      <c r="H22" s="41"/>
      <c r="I22" s="44"/>
      <c r="J22" s="42"/>
      <c r="K22" s="15"/>
      <c r="L22" s="15"/>
      <c r="M22" s="44"/>
      <c r="N22" s="15"/>
      <c r="O22" s="44"/>
      <c r="P22" s="44"/>
      <c r="Q22" s="44"/>
      <c r="R22" s="44"/>
      <c r="S22" s="15"/>
      <c r="T22" s="15"/>
      <c r="U22" s="15"/>
      <c r="V22" s="44"/>
      <c r="W22" s="44"/>
      <c r="X22" s="44"/>
      <c r="Y22" s="15"/>
      <c r="Z22" s="44"/>
      <c r="AA22" s="45"/>
      <c r="AB22" s="46"/>
      <c r="AC22" s="45"/>
      <c r="AD22" s="45"/>
      <c r="AE22" s="45"/>
      <c r="AF22" s="44"/>
      <c r="AG22" s="44"/>
      <c r="AH22" s="15" t="e">
        <f t="shared" si="76"/>
        <v>#N/A</v>
      </c>
      <c r="AI22" s="21" t="e">
        <f t="shared" si="1"/>
        <v>#N/A</v>
      </c>
      <c r="AJ22" s="40" t="e">
        <f t="shared" si="1"/>
        <v>#N/A</v>
      </c>
      <c r="AK22" s="21" t="str">
        <f t="shared" si="2"/>
        <v>vw_t-cross___adserver</v>
      </c>
      <c r="AL22" s="21" t="e">
        <f t="shared" si="77"/>
        <v>#VALUE!</v>
      </c>
      <c r="AM22" s="21" t="str">
        <f t="shared" si="4"/>
        <v>TAG</v>
      </c>
      <c r="AN22" s="15">
        <f t="shared" si="78"/>
        <v>0</v>
      </c>
      <c r="AO22" s="15">
        <f t="shared" si="79"/>
        <v>0</v>
      </c>
      <c r="AP22" s="21" t="str">
        <f>Campanha!$B$3</f>
        <v>BR_AAF_DSY_SUSTN_ND_NC_2021Q1MAR_TCR_Branded-Content</v>
      </c>
      <c r="AQ22" s="21" t="e">
        <f t="shared" si="7"/>
        <v>#N/A</v>
      </c>
      <c r="AR22" s="15" t="s">
        <v>770</v>
      </c>
      <c r="AS22" s="21" t="e">
        <f t="shared" si="8"/>
        <v>#VALUE!</v>
      </c>
      <c r="AT22" s="15" t="str">
        <f t="shared" si="80"/>
        <v/>
      </c>
      <c r="AU22" s="15" t="str">
        <f t="shared" si="10"/>
        <v>BR</v>
      </c>
      <c r="AV22" s="15" t="str">
        <f t="shared" si="81"/>
        <v/>
      </c>
      <c r="AW22" s="15" t="str">
        <f t="shared" si="82"/>
        <v/>
      </c>
      <c r="AX22" s="15" t="str">
        <f t="shared" si="13"/>
        <v>branded-content</v>
      </c>
      <c r="AY22" s="15" t="e">
        <f t="shared" si="83"/>
        <v>#N/A</v>
      </c>
      <c r="AZ22" s="15" t="str">
        <f t="shared" si="84"/>
        <v/>
      </c>
      <c r="BA22" s="15" t="str">
        <f t="shared" si="85"/>
        <v/>
      </c>
      <c r="BB22" s="28" t="s">
        <v>814</v>
      </c>
      <c r="BC22" s="28" t="s">
        <v>814</v>
      </c>
      <c r="BD22" s="38" t="str">
        <f t="shared" si="86"/>
        <v>bc-tcr-aaf-dsy-0321-10022</v>
      </c>
      <c r="BE22" s="15" t="str">
        <f t="shared" si="87"/>
        <v>BR</v>
      </c>
      <c r="BF22" s="15" t="str">
        <f t="shared" si="88"/>
        <v/>
      </c>
      <c r="BG22" s="28"/>
      <c r="BH22" s="28"/>
      <c r="BI22" s="36" t="e">
        <f t="shared" si="20"/>
        <v>#VALUE!</v>
      </c>
      <c r="BL22" t="str">
        <f t="shared" si="21"/>
        <v>alp_vw__aaf_dsy_sustn_nd_nc_tcr_branded-content_projeto-globoplay_</v>
      </c>
      <c r="BM22" t="e">
        <f t="shared" si="22"/>
        <v>#N/A</v>
      </c>
      <c r="BN22" t="e">
        <f t="shared" si="23"/>
        <v>#VALUE!</v>
      </c>
    </row>
    <row r="23" spans="2:66" ht="15.75" customHeight="1" x14ac:dyDescent="0.25">
      <c r="B23" s="15"/>
      <c r="C23" s="15"/>
      <c r="D23" s="15"/>
      <c r="E23" s="22"/>
      <c r="F23" s="22"/>
      <c r="G23" s="15"/>
      <c r="H23" s="41"/>
      <c r="I23" s="15"/>
      <c r="J23" s="42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44"/>
      <c r="AA23" s="45"/>
      <c r="AB23" s="46"/>
      <c r="AC23" s="45"/>
      <c r="AD23" s="45"/>
      <c r="AE23" s="45"/>
      <c r="AF23" s="44"/>
      <c r="AG23" s="44"/>
      <c r="AH23" s="15" t="e">
        <f t="shared" si="76"/>
        <v>#N/A</v>
      </c>
      <c r="AI23" s="21" t="e">
        <f t="shared" si="1"/>
        <v>#N/A</v>
      </c>
      <c r="AJ23" s="40" t="e">
        <f t="shared" si="1"/>
        <v>#N/A</v>
      </c>
      <c r="AK23" s="21" t="str">
        <f t="shared" si="2"/>
        <v>vw_t-cross___adserver</v>
      </c>
      <c r="AL23" s="21" t="e">
        <f t="shared" si="77"/>
        <v>#VALUE!</v>
      </c>
      <c r="AM23" s="21" t="str">
        <f t="shared" si="4"/>
        <v>TAG</v>
      </c>
      <c r="AN23" s="15">
        <f t="shared" si="78"/>
        <v>0</v>
      </c>
      <c r="AO23" s="15">
        <f t="shared" si="79"/>
        <v>0</v>
      </c>
      <c r="AP23" s="21" t="str">
        <f>Campanha!$B$3</f>
        <v>BR_AAF_DSY_SUSTN_ND_NC_2021Q1MAR_TCR_Branded-Content</v>
      </c>
      <c r="AQ23" s="21" t="e">
        <f t="shared" si="7"/>
        <v>#N/A</v>
      </c>
      <c r="AR23" s="15" t="s">
        <v>770</v>
      </c>
      <c r="AS23" s="21" t="e">
        <f t="shared" si="8"/>
        <v>#VALUE!</v>
      </c>
      <c r="AT23" s="15" t="str">
        <f t="shared" si="80"/>
        <v/>
      </c>
      <c r="AU23" s="15" t="str">
        <f t="shared" si="10"/>
        <v>BR</v>
      </c>
      <c r="AV23" s="15" t="str">
        <f t="shared" si="81"/>
        <v/>
      </c>
      <c r="AW23" s="15" t="str">
        <f t="shared" si="82"/>
        <v/>
      </c>
      <c r="AX23" s="15" t="str">
        <f t="shared" si="13"/>
        <v>branded-content</v>
      </c>
      <c r="AY23" s="15" t="e">
        <f t="shared" si="83"/>
        <v>#N/A</v>
      </c>
      <c r="AZ23" s="15" t="str">
        <f t="shared" si="84"/>
        <v/>
      </c>
      <c r="BA23" s="15" t="str">
        <f t="shared" si="85"/>
        <v/>
      </c>
      <c r="BB23" s="28" t="s">
        <v>814</v>
      </c>
      <c r="BC23" s="28" t="s">
        <v>814</v>
      </c>
      <c r="BD23" s="38" t="str">
        <f t="shared" si="86"/>
        <v>bc-tcr-aaf-dsy-0321-10023</v>
      </c>
      <c r="BE23" s="15" t="str">
        <f t="shared" si="87"/>
        <v>BR</v>
      </c>
      <c r="BF23" s="15" t="str">
        <f t="shared" si="88"/>
        <v/>
      </c>
      <c r="BG23" s="28"/>
      <c r="BH23" s="28"/>
      <c r="BI23" s="36" t="e">
        <f t="shared" si="20"/>
        <v>#VALUE!</v>
      </c>
      <c r="BL23" t="str">
        <f t="shared" si="21"/>
        <v>alp_vw__aaf_dsy_sustn_nd_nc_tcr_branded-content_projeto-globoplay_</v>
      </c>
      <c r="BM23" t="e">
        <f t="shared" si="22"/>
        <v>#N/A</v>
      </c>
      <c r="BN23" t="e">
        <f t="shared" si="23"/>
        <v>#VALUE!</v>
      </c>
    </row>
    <row r="24" spans="2:66" ht="15.75" customHeight="1" x14ac:dyDescent="0.25">
      <c r="B24" s="15"/>
      <c r="C24" s="15"/>
      <c r="D24" s="15"/>
      <c r="E24" s="22"/>
      <c r="F24" s="22"/>
      <c r="G24" s="15"/>
      <c r="H24" s="41"/>
      <c r="I24" s="15"/>
      <c r="J24" s="42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44"/>
      <c r="AA24" s="45"/>
      <c r="AB24" s="46"/>
      <c r="AC24" s="45"/>
      <c r="AD24" s="45"/>
      <c r="AE24" s="45"/>
      <c r="AF24" s="44"/>
      <c r="AG24" s="44"/>
      <c r="AH24" s="15" t="e">
        <f t="shared" si="76"/>
        <v>#N/A</v>
      </c>
      <c r="AI24" s="21" t="e">
        <f t="shared" si="1"/>
        <v>#N/A</v>
      </c>
      <c r="AJ24" s="40" t="e">
        <f t="shared" si="1"/>
        <v>#N/A</v>
      </c>
      <c r="AK24" s="21" t="str">
        <f t="shared" si="2"/>
        <v>vw_t-cross___adserver</v>
      </c>
      <c r="AL24" s="21" t="e">
        <f t="shared" si="77"/>
        <v>#VALUE!</v>
      </c>
      <c r="AM24" s="21" t="str">
        <f t="shared" si="4"/>
        <v>TAG</v>
      </c>
      <c r="AN24" s="15">
        <f t="shared" si="78"/>
        <v>0</v>
      </c>
      <c r="AO24" s="15">
        <f t="shared" si="79"/>
        <v>0</v>
      </c>
      <c r="AP24" s="21" t="str">
        <f>Campanha!$B$3</f>
        <v>BR_AAF_DSY_SUSTN_ND_NC_2021Q1MAR_TCR_Branded-Content</v>
      </c>
      <c r="AQ24" s="21" t="e">
        <f t="shared" si="7"/>
        <v>#N/A</v>
      </c>
      <c r="AR24" s="15" t="s">
        <v>770</v>
      </c>
      <c r="AS24" s="21" t="e">
        <f t="shared" si="8"/>
        <v>#VALUE!</v>
      </c>
      <c r="AT24" s="15" t="str">
        <f t="shared" si="80"/>
        <v/>
      </c>
      <c r="AU24" s="15" t="str">
        <f t="shared" si="10"/>
        <v>BR</v>
      </c>
      <c r="AV24" s="15" t="str">
        <f t="shared" si="81"/>
        <v/>
      </c>
      <c r="AW24" s="15" t="str">
        <f t="shared" si="82"/>
        <v/>
      </c>
      <c r="AX24" s="15" t="str">
        <f t="shared" si="13"/>
        <v>branded-content</v>
      </c>
      <c r="AY24" s="15" t="e">
        <f t="shared" si="83"/>
        <v>#N/A</v>
      </c>
      <c r="AZ24" s="15" t="str">
        <f t="shared" si="84"/>
        <v/>
      </c>
      <c r="BA24" s="15" t="str">
        <f t="shared" si="85"/>
        <v/>
      </c>
      <c r="BB24" s="28" t="s">
        <v>814</v>
      </c>
      <c r="BC24" s="28" t="s">
        <v>814</v>
      </c>
      <c r="BD24" s="38" t="str">
        <f t="shared" si="86"/>
        <v>bc-tcr-aaf-dsy-0321-10024</v>
      </c>
      <c r="BE24" s="15" t="str">
        <f t="shared" si="87"/>
        <v>BR</v>
      </c>
      <c r="BF24" s="15" t="str">
        <f t="shared" si="88"/>
        <v/>
      </c>
      <c r="BG24" s="28"/>
      <c r="BH24" s="28"/>
      <c r="BI24" s="36" t="e">
        <f t="shared" si="20"/>
        <v>#VALUE!</v>
      </c>
      <c r="BL24" t="str">
        <f t="shared" si="21"/>
        <v>alp_vw__aaf_dsy_sustn_nd_nc_tcr_branded-content_projeto-globoplay_</v>
      </c>
      <c r="BM24" t="e">
        <f t="shared" si="22"/>
        <v>#N/A</v>
      </c>
      <c r="BN24" t="e">
        <f t="shared" si="23"/>
        <v>#VALUE!</v>
      </c>
    </row>
    <row r="25" spans="2:66" ht="15.75" customHeight="1" x14ac:dyDescent="0.25">
      <c r="B25" s="15"/>
      <c r="C25" s="15"/>
      <c r="D25" s="44"/>
      <c r="E25" s="22"/>
      <c r="F25" s="22"/>
      <c r="G25" s="44"/>
      <c r="H25" s="41"/>
      <c r="I25" s="44"/>
      <c r="J25" s="42"/>
      <c r="K25" s="15"/>
      <c r="L25" s="15"/>
      <c r="M25" s="44"/>
      <c r="N25" s="15"/>
      <c r="O25" s="44"/>
      <c r="P25" s="44"/>
      <c r="Q25" s="44"/>
      <c r="R25" s="44"/>
      <c r="S25" s="15"/>
      <c r="T25" s="15"/>
      <c r="U25" s="15"/>
      <c r="V25" s="44"/>
      <c r="W25" s="44"/>
      <c r="X25" s="44"/>
      <c r="Y25" s="15"/>
      <c r="Z25" s="44"/>
      <c r="AA25" s="45"/>
      <c r="AB25" s="46"/>
      <c r="AC25" s="45"/>
      <c r="AD25" s="45"/>
      <c r="AE25" s="45"/>
      <c r="AF25" s="44"/>
      <c r="AG25" s="44"/>
      <c r="AH25" s="15" t="e">
        <f t="shared" ref="AH25:AH26" si="102">VLOOKUP(AI25,id_placement,2,FALSE)</f>
        <v>#N/A</v>
      </c>
      <c r="AI25" s="21" t="e">
        <f t="shared" si="1"/>
        <v>#N/A</v>
      </c>
      <c r="AJ25" s="40" t="e">
        <f t="shared" si="1"/>
        <v>#N/A</v>
      </c>
      <c r="AK25" s="21" t="str">
        <f t="shared" si="2"/>
        <v>vw_t-cross___adserver</v>
      </c>
      <c r="AL25" s="21" t="e">
        <f t="shared" ref="AL25:AL26" si="103">IF(col_parametrizacao="GA",AS25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25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25" s="21" t="str">
        <f t="shared" si="4"/>
        <v>TAG</v>
      </c>
      <c r="AN25" s="15">
        <f t="shared" ref="AN25:AN26" si="104">J25</f>
        <v>0</v>
      </c>
      <c r="AO25" s="15">
        <f t="shared" ref="AO25:AO26" si="105">L25</f>
        <v>0</v>
      </c>
      <c r="AP25" s="21" t="str">
        <f>Campanha!$B$3</f>
        <v>BR_AAF_DSY_SUSTN_ND_NC_2021Q1MAR_TCR_Branded-Content</v>
      </c>
      <c r="AQ25" s="21" t="e">
        <f t="shared" si="7"/>
        <v>#N/A</v>
      </c>
      <c r="AR25" s="15" t="s">
        <v>770</v>
      </c>
      <c r="AS25" s="21" t="e">
        <f t="shared" si="8"/>
        <v>#VALUE!</v>
      </c>
      <c r="AT25" s="15" t="str">
        <f t="shared" ref="AT25:AT26" si="106">LOWER(Q25)</f>
        <v/>
      </c>
      <c r="AU25" s="15" t="str">
        <f t="shared" si="10"/>
        <v>BR</v>
      </c>
      <c r="AV25" s="15" t="str">
        <f t="shared" ref="AV25:AV26" si="107">LOWER(K25)</f>
        <v/>
      </c>
      <c r="AW25" s="15" t="str">
        <f t="shared" ref="AW25:AW26" si="108">LOWER(J25)</f>
        <v/>
      </c>
      <c r="AX25" s="15" t="str">
        <f t="shared" si="13"/>
        <v>branded-content</v>
      </c>
      <c r="AY25" s="15" t="e">
        <f t="shared" ref="AY25:AY26" si="109">LOWER(AI25)</f>
        <v>#N/A</v>
      </c>
      <c r="AZ25" s="15" t="str">
        <f t="shared" ref="AZ25:AZ26" si="110">LOWER(Y25)</f>
        <v/>
      </c>
      <c r="BA25" s="15" t="str">
        <f t="shared" ref="BA25:BA26" si="111">LOWER(T25)</f>
        <v/>
      </c>
      <c r="BB25" s="28" t="s">
        <v>814</v>
      </c>
      <c r="BC25" s="28" t="s">
        <v>814</v>
      </c>
      <c r="BD25" s="38" t="str">
        <f t="shared" ref="BD25:BD26" si="112">LOWER(CONCATENATE(cel_idcampaign,"-",SUM(10000+ROW(A25))))</f>
        <v>bc-tcr-aaf-dsy-0321-10025</v>
      </c>
      <c r="BE25" s="15" t="str">
        <f t="shared" ref="BE25:BE26" si="113">AU25</f>
        <v>BR</v>
      </c>
      <c r="BF25" s="15" t="str">
        <f t="shared" ref="BF25:BF26" si="114">LOWER(X25)</f>
        <v/>
      </c>
      <c r="BG25" s="28"/>
      <c r="BH25" s="28"/>
      <c r="BI25" s="36" t="e">
        <f t="shared" si="20"/>
        <v>#VALUE!</v>
      </c>
      <c r="BL25" t="str">
        <f t="shared" si="21"/>
        <v>alp_vw__aaf_dsy_sustn_nd_nc_tcr_branded-content_projeto-globoplay_</v>
      </c>
      <c r="BM25" t="e">
        <f t="shared" si="22"/>
        <v>#N/A</v>
      </c>
      <c r="BN25" t="e">
        <f t="shared" si="23"/>
        <v>#VALUE!</v>
      </c>
    </row>
    <row r="26" spans="2:66" ht="15.75" customHeight="1" x14ac:dyDescent="0.25">
      <c r="B26" s="15"/>
      <c r="C26" s="15"/>
      <c r="D26" s="44"/>
      <c r="E26" s="22"/>
      <c r="F26" s="22"/>
      <c r="G26" s="44"/>
      <c r="H26" s="41"/>
      <c r="I26" s="44"/>
      <c r="J26" s="42"/>
      <c r="K26" s="15"/>
      <c r="L26" s="15"/>
      <c r="M26" s="44"/>
      <c r="N26" s="15"/>
      <c r="O26" s="44"/>
      <c r="P26" s="44"/>
      <c r="Q26" s="44"/>
      <c r="R26" s="44"/>
      <c r="S26" s="15"/>
      <c r="T26" s="15"/>
      <c r="U26" s="15"/>
      <c r="V26" s="44"/>
      <c r="W26" s="44"/>
      <c r="X26" s="44"/>
      <c r="Y26" s="15"/>
      <c r="Z26" s="44"/>
      <c r="AA26" s="45"/>
      <c r="AB26" s="46"/>
      <c r="AC26" s="45"/>
      <c r="AD26" s="45"/>
      <c r="AE26" s="45"/>
      <c r="AF26" s="44"/>
      <c r="AG26" s="44"/>
      <c r="AH26" s="15" t="e">
        <f t="shared" si="102"/>
        <v>#N/A</v>
      </c>
      <c r="AI26" s="21" t="e">
        <f t="shared" si="1"/>
        <v>#N/A</v>
      </c>
      <c r="AJ26" s="40" t="e">
        <f t="shared" si="1"/>
        <v>#N/A</v>
      </c>
      <c r="AK26" s="21" t="str">
        <f t="shared" si="2"/>
        <v>vw_t-cross___adserver</v>
      </c>
      <c r="AL26" s="21" t="e">
        <f t="shared" si="103"/>
        <v>#VALUE!</v>
      </c>
      <c r="AM26" s="21" t="str">
        <f t="shared" si="4"/>
        <v>TAG</v>
      </c>
      <c r="AN26" s="15">
        <f t="shared" si="104"/>
        <v>0</v>
      </c>
      <c r="AO26" s="15">
        <f t="shared" si="105"/>
        <v>0</v>
      </c>
      <c r="AP26" s="21" t="str">
        <f>Campanha!$B$3</f>
        <v>BR_AAF_DSY_SUSTN_ND_NC_2021Q1MAR_TCR_Branded-Content</v>
      </c>
      <c r="AQ26" s="21" t="e">
        <f t="shared" si="7"/>
        <v>#N/A</v>
      </c>
      <c r="AR26" s="15" t="s">
        <v>770</v>
      </c>
      <c r="AS26" s="21" t="e">
        <f t="shared" si="8"/>
        <v>#VALUE!</v>
      </c>
      <c r="AT26" s="15" t="str">
        <f t="shared" si="106"/>
        <v/>
      </c>
      <c r="AU26" s="15" t="str">
        <f t="shared" si="10"/>
        <v>BR</v>
      </c>
      <c r="AV26" s="15" t="str">
        <f t="shared" si="107"/>
        <v/>
      </c>
      <c r="AW26" s="15" t="str">
        <f t="shared" si="108"/>
        <v/>
      </c>
      <c r="AX26" s="15" t="str">
        <f t="shared" si="13"/>
        <v>branded-content</v>
      </c>
      <c r="AY26" s="15" t="e">
        <f t="shared" si="109"/>
        <v>#N/A</v>
      </c>
      <c r="AZ26" s="15" t="str">
        <f t="shared" si="110"/>
        <v/>
      </c>
      <c r="BA26" s="15" t="str">
        <f t="shared" si="111"/>
        <v/>
      </c>
      <c r="BB26" s="28" t="s">
        <v>814</v>
      </c>
      <c r="BC26" s="28" t="s">
        <v>814</v>
      </c>
      <c r="BD26" s="38" t="str">
        <f t="shared" si="112"/>
        <v>bc-tcr-aaf-dsy-0321-10026</v>
      </c>
      <c r="BE26" s="15" t="str">
        <f t="shared" si="113"/>
        <v>BR</v>
      </c>
      <c r="BF26" s="15" t="str">
        <f t="shared" si="114"/>
        <v/>
      </c>
      <c r="BG26" s="28"/>
      <c r="BH26" s="28"/>
      <c r="BI26" s="36" t="e">
        <f t="shared" si="20"/>
        <v>#VALUE!</v>
      </c>
      <c r="BL26" t="str">
        <f t="shared" si="21"/>
        <v>alp_vw__aaf_dsy_sustn_nd_nc_tcr_branded-content_projeto-globoplay_</v>
      </c>
      <c r="BM26" t="e">
        <f t="shared" si="22"/>
        <v>#N/A</v>
      </c>
      <c r="BN26" t="e">
        <f t="shared" si="23"/>
        <v>#VALUE!</v>
      </c>
    </row>
    <row r="27" spans="2:66" ht="15.75" customHeight="1" x14ac:dyDescent="0.25">
      <c r="B27" s="15"/>
      <c r="C27" s="15"/>
      <c r="D27" s="44"/>
      <c r="E27" s="22"/>
      <c r="F27" s="22"/>
      <c r="G27" s="44"/>
      <c r="H27" s="41"/>
      <c r="I27" s="44"/>
      <c r="J27" s="42"/>
      <c r="K27" s="15"/>
      <c r="L27" s="15"/>
      <c r="M27" s="44"/>
      <c r="N27" s="15"/>
      <c r="O27" s="44"/>
      <c r="P27" s="44"/>
      <c r="Q27" s="44"/>
      <c r="R27" s="44"/>
      <c r="S27" s="15"/>
      <c r="T27" s="15"/>
      <c r="U27" s="15"/>
      <c r="V27" s="44"/>
      <c r="W27" s="44"/>
      <c r="X27" s="44"/>
      <c r="Y27" s="15"/>
      <c r="Z27" s="44"/>
      <c r="AA27" s="45"/>
      <c r="AB27" s="46"/>
      <c r="AC27" s="45"/>
      <c r="AD27" s="45"/>
      <c r="AE27" s="45"/>
      <c r="AF27" s="44"/>
      <c r="AG27" s="44"/>
      <c r="AH27" s="15" t="e">
        <f t="shared" si="76"/>
        <v>#N/A</v>
      </c>
      <c r="AI27" s="21" t="e">
        <f t="shared" si="1"/>
        <v>#N/A</v>
      </c>
      <c r="AJ27" s="40" t="e">
        <f t="shared" si="1"/>
        <v>#N/A</v>
      </c>
      <c r="AK27" s="21" t="str">
        <f t="shared" si="2"/>
        <v>vw_t-cross___adserver</v>
      </c>
      <c r="AL27" s="21" t="e">
        <f t="shared" si="77"/>
        <v>#VALUE!</v>
      </c>
      <c r="AM27" s="21" t="str">
        <f t="shared" si="4"/>
        <v>TAG</v>
      </c>
      <c r="AN27" s="15">
        <f t="shared" si="78"/>
        <v>0</v>
      </c>
      <c r="AO27" s="15">
        <f t="shared" si="79"/>
        <v>0</v>
      </c>
      <c r="AP27" s="21" t="str">
        <f>Campanha!$B$3</f>
        <v>BR_AAF_DSY_SUSTN_ND_NC_2021Q1MAR_TCR_Branded-Content</v>
      </c>
      <c r="AQ27" s="21" t="e">
        <f t="shared" si="7"/>
        <v>#N/A</v>
      </c>
      <c r="AR27" s="15" t="s">
        <v>770</v>
      </c>
      <c r="AS27" s="21" t="e">
        <f t="shared" si="8"/>
        <v>#VALUE!</v>
      </c>
      <c r="AT27" s="15" t="str">
        <f t="shared" si="80"/>
        <v/>
      </c>
      <c r="AU27" s="15" t="str">
        <f t="shared" si="10"/>
        <v>BR</v>
      </c>
      <c r="AV27" s="15" t="str">
        <f t="shared" si="81"/>
        <v/>
      </c>
      <c r="AW27" s="15" t="str">
        <f t="shared" si="82"/>
        <v/>
      </c>
      <c r="AX27" s="15" t="str">
        <f t="shared" si="13"/>
        <v>branded-content</v>
      </c>
      <c r="AY27" s="15" t="e">
        <f t="shared" si="83"/>
        <v>#N/A</v>
      </c>
      <c r="AZ27" s="15" t="str">
        <f t="shared" si="84"/>
        <v/>
      </c>
      <c r="BA27" s="15" t="str">
        <f t="shared" si="85"/>
        <v/>
      </c>
      <c r="BB27" s="28" t="s">
        <v>814</v>
      </c>
      <c r="BC27" s="28" t="s">
        <v>814</v>
      </c>
      <c r="BD27" s="38" t="str">
        <f t="shared" si="86"/>
        <v>bc-tcr-aaf-dsy-0321-10027</v>
      </c>
      <c r="BE27" s="15" t="str">
        <f t="shared" si="87"/>
        <v>BR</v>
      </c>
      <c r="BF27" s="15" t="str">
        <f t="shared" si="88"/>
        <v/>
      </c>
      <c r="BG27" s="28"/>
      <c r="BH27" s="28"/>
      <c r="BI27" s="36" t="e">
        <f t="shared" si="20"/>
        <v>#VALUE!</v>
      </c>
      <c r="BL27" t="str">
        <f t="shared" si="21"/>
        <v>alp_vw__aaf_dsy_sustn_nd_nc_tcr_branded-content_projeto-globoplay_</v>
      </c>
      <c r="BM27" t="e">
        <f t="shared" si="22"/>
        <v>#N/A</v>
      </c>
      <c r="BN27" t="e">
        <f t="shared" si="23"/>
        <v>#VALUE!</v>
      </c>
    </row>
    <row r="28" spans="2:66" ht="15.75" customHeight="1" x14ac:dyDescent="0.25">
      <c r="B28" s="15"/>
      <c r="C28" s="15"/>
      <c r="D28" s="15"/>
      <c r="E28" s="22"/>
      <c r="F28" s="22"/>
      <c r="G28" s="15"/>
      <c r="H28" s="41"/>
      <c r="I28" s="15"/>
      <c r="J28" s="42"/>
      <c r="K28" s="15"/>
      <c r="L28" s="15"/>
      <c r="M28" s="15"/>
      <c r="N28" s="15"/>
      <c r="O28" s="15"/>
      <c r="P28" s="44"/>
      <c r="Q28" s="15"/>
      <c r="R28" s="15"/>
      <c r="S28" s="15"/>
      <c r="T28" s="15"/>
      <c r="U28" s="15"/>
      <c r="V28" s="15"/>
      <c r="W28" s="15"/>
      <c r="X28" s="15"/>
      <c r="Y28" s="15"/>
      <c r="Z28" s="44"/>
      <c r="AA28" s="45"/>
      <c r="AB28" s="46"/>
      <c r="AC28" s="45"/>
      <c r="AD28" s="45"/>
      <c r="AE28" s="45"/>
      <c r="AF28" s="44"/>
      <c r="AG28" s="44"/>
      <c r="AH28" s="15" t="e">
        <f t="shared" si="76"/>
        <v>#N/A</v>
      </c>
      <c r="AI28" s="21" t="e">
        <f t="shared" si="1"/>
        <v>#N/A</v>
      </c>
      <c r="AJ28" s="40" t="e">
        <f t="shared" si="1"/>
        <v>#N/A</v>
      </c>
      <c r="AK28" s="21" t="str">
        <f t="shared" si="2"/>
        <v>vw_t-cross___adserver</v>
      </c>
      <c r="AL28" s="21" t="e">
        <f t="shared" si="77"/>
        <v>#VALUE!</v>
      </c>
      <c r="AM28" s="21" t="str">
        <f t="shared" si="4"/>
        <v>TAG</v>
      </c>
      <c r="AN28" s="15">
        <f t="shared" si="78"/>
        <v>0</v>
      </c>
      <c r="AO28" s="15">
        <f t="shared" si="79"/>
        <v>0</v>
      </c>
      <c r="AP28" s="21" t="str">
        <f>Campanha!$B$3</f>
        <v>BR_AAF_DSY_SUSTN_ND_NC_2021Q1MAR_TCR_Branded-Content</v>
      </c>
      <c r="AQ28" s="21" t="e">
        <f t="shared" si="7"/>
        <v>#N/A</v>
      </c>
      <c r="AR28" s="15" t="s">
        <v>770</v>
      </c>
      <c r="AS28" s="21" t="e">
        <f t="shared" si="8"/>
        <v>#VALUE!</v>
      </c>
      <c r="AT28" s="15" t="str">
        <f t="shared" si="80"/>
        <v/>
      </c>
      <c r="AU28" s="15" t="str">
        <f t="shared" si="10"/>
        <v>BR</v>
      </c>
      <c r="AV28" s="15" t="str">
        <f t="shared" si="81"/>
        <v/>
      </c>
      <c r="AW28" s="15" t="str">
        <f t="shared" si="82"/>
        <v/>
      </c>
      <c r="AX28" s="15" t="str">
        <f t="shared" si="13"/>
        <v>branded-content</v>
      </c>
      <c r="AY28" s="15" t="e">
        <f t="shared" si="83"/>
        <v>#N/A</v>
      </c>
      <c r="AZ28" s="15" t="str">
        <f t="shared" si="84"/>
        <v/>
      </c>
      <c r="BA28" s="15" t="str">
        <f t="shared" si="85"/>
        <v/>
      </c>
      <c r="BB28" s="28" t="s">
        <v>814</v>
      </c>
      <c r="BC28" s="28" t="s">
        <v>814</v>
      </c>
      <c r="BD28" s="38" t="str">
        <f t="shared" si="86"/>
        <v>bc-tcr-aaf-dsy-0321-10028</v>
      </c>
      <c r="BE28" s="15" t="str">
        <f t="shared" si="87"/>
        <v>BR</v>
      </c>
      <c r="BF28" s="15" t="str">
        <f t="shared" si="88"/>
        <v/>
      </c>
      <c r="BG28" s="28"/>
      <c r="BH28" s="28"/>
      <c r="BI28" s="36" t="e">
        <f t="shared" si="20"/>
        <v>#VALUE!</v>
      </c>
      <c r="BL28" t="str">
        <f t="shared" si="21"/>
        <v>alp_vw__aaf_dsy_sustn_nd_nc_tcr_branded-content_projeto-globoplay_</v>
      </c>
      <c r="BM28" t="e">
        <f t="shared" si="22"/>
        <v>#N/A</v>
      </c>
      <c r="BN28" t="e">
        <f t="shared" si="23"/>
        <v>#VALUE!</v>
      </c>
    </row>
    <row r="29" spans="2:66" ht="15.75" customHeight="1" x14ac:dyDescent="0.25">
      <c r="B29" s="15"/>
      <c r="C29" s="15"/>
      <c r="D29" s="15"/>
      <c r="E29" s="22"/>
      <c r="F29" s="22"/>
      <c r="G29" s="15"/>
      <c r="H29" s="41"/>
      <c r="I29" s="15"/>
      <c r="J29" s="42"/>
      <c r="K29" s="15"/>
      <c r="L29" s="15"/>
      <c r="M29" s="15"/>
      <c r="N29" s="15"/>
      <c r="O29" s="15"/>
      <c r="P29" s="44"/>
      <c r="Q29" s="15"/>
      <c r="R29" s="15"/>
      <c r="S29" s="15"/>
      <c r="T29" s="15"/>
      <c r="U29" s="15"/>
      <c r="V29" s="15"/>
      <c r="W29" s="15"/>
      <c r="X29" s="15"/>
      <c r="Y29" s="15"/>
      <c r="Z29" s="44"/>
      <c r="AA29" s="45"/>
      <c r="AB29" s="46"/>
      <c r="AC29" s="45"/>
      <c r="AD29" s="45"/>
      <c r="AE29" s="45"/>
      <c r="AF29" s="44"/>
      <c r="AG29" s="44"/>
      <c r="AH29" s="15" t="e">
        <f t="shared" si="76"/>
        <v>#N/A</v>
      </c>
      <c r="AI29" s="21" t="e">
        <f t="shared" si="1"/>
        <v>#N/A</v>
      </c>
      <c r="AJ29" s="40" t="e">
        <f t="shared" si="1"/>
        <v>#N/A</v>
      </c>
      <c r="AK29" s="21" t="str">
        <f t="shared" si="2"/>
        <v>vw_t-cross___adserver</v>
      </c>
      <c r="AL29" s="21" t="e">
        <f t="shared" si="77"/>
        <v>#VALUE!</v>
      </c>
      <c r="AM29" s="21" t="str">
        <f t="shared" si="4"/>
        <v>TAG</v>
      </c>
      <c r="AN29" s="15">
        <f t="shared" si="78"/>
        <v>0</v>
      </c>
      <c r="AO29" s="15">
        <f t="shared" si="79"/>
        <v>0</v>
      </c>
      <c r="AP29" s="21" t="str">
        <f>Campanha!$B$3</f>
        <v>BR_AAF_DSY_SUSTN_ND_NC_2021Q1MAR_TCR_Branded-Content</v>
      </c>
      <c r="AQ29" s="21" t="e">
        <f t="shared" si="7"/>
        <v>#N/A</v>
      </c>
      <c r="AR29" s="15" t="s">
        <v>770</v>
      </c>
      <c r="AS29" s="21" t="e">
        <f t="shared" si="8"/>
        <v>#VALUE!</v>
      </c>
      <c r="AT29" s="15" t="str">
        <f t="shared" si="80"/>
        <v/>
      </c>
      <c r="AU29" s="15" t="str">
        <f t="shared" si="10"/>
        <v>BR</v>
      </c>
      <c r="AV29" s="15" t="str">
        <f t="shared" si="81"/>
        <v/>
      </c>
      <c r="AW29" s="15" t="str">
        <f t="shared" si="82"/>
        <v/>
      </c>
      <c r="AX29" s="15" t="str">
        <f t="shared" si="13"/>
        <v>branded-content</v>
      </c>
      <c r="AY29" s="15" t="e">
        <f t="shared" si="83"/>
        <v>#N/A</v>
      </c>
      <c r="AZ29" s="15" t="str">
        <f t="shared" si="84"/>
        <v/>
      </c>
      <c r="BA29" s="15" t="str">
        <f t="shared" si="85"/>
        <v/>
      </c>
      <c r="BB29" s="28" t="s">
        <v>814</v>
      </c>
      <c r="BC29" s="28" t="s">
        <v>814</v>
      </c>
      <c r="BD29" s="38" t="str">
        <f t="shared" si="86"/>
        <v>bc-tcr-aaf-dsy-0321-10029</v>
      </c>
      <c r="BE29" s="15" t="str">
        <f t="shared" si="87"/>
        <v>BR</v>
      </c>
      <c r="BF29" s="15" t="str">
        <f t="shared" si="88"/>
        <v/>
      </c>
      <c r="BG29" s="28"/>
      <c r="BH29" s="28"/>
      <c r="BI29" s="36" t="e">
        <f t="shared" si="20"/>
        <v>#VALUE!</v>
      </c>
      <c r="BL29" t="str">
        <f t="shared" si="21"/>
        <v>alp_vw__aaf_dsy_sustn_nd_nc_tcr_branded-content_projeto-globoplay_</v>
      </c>
      <c r="BM29" t="e">
        <f t="shared" si="22"/>
        <v>#N/A</v>
      </c>
      <c r="BN29" t="e">
        <f t="shared" si="23"/>
        <v>#VALUE!</v>
      </c>
    </row>
    <row r="30" spans="2:66" ht="15.75" customHeight="1" x14ac:dyDescent="0.25">
      <c r="B30" s="15"/>
      <c r="C30" s="15"/>
      <c r="D30" s="15"/>
      <c r="E30" s="22"/>
      <c r="F30" s="22"/>
      <c r="G30" s="15"/>
      <c r="H30" s="41"/>
      <c r="I30" s="15"/>
      <c r="J30" s="42"/>
      <c r="K30" s="15"/>
      <c r="L30" s="15"/>
      <c r="M30" s="15"/>
      <c r="N30" s="15"/>
      <c r="O30" s="15"/>
      <c r="P30" s="44"/>
      <c r="Q30" s="15"/>
      <c r="R30" s="15"/>
      <c r="S30" s="15"/>
      <c r="T30" s="15"/>
      <c r="U30" s="15"/>
      <c r="V30" s="15"/>
      <c r="W30" s="15"/>
      <c r="X30" s="15"/>
      <c r="Y30" s="15"/>
      <c r="Z30" s="44"/>
      <c r="AA30" s="45"/>
      <c r="AB30" s="46"/>
      <c r="AC30" s="45"/>
      <c r="AD30" s="45"/>
      <c r="AE30" s="45"/>
      <c r="AF30" s="44"/>
      <c r="AG30" s="44"/>
      <c r="AH30" s="15" t="e">
        <f t="shared" si="76"/>
        <v>#N/A</v>
      </c>
      <c r="AI30" s="21" t="e">
        <f t="shared" si="1"/>
        <v>#N/A</v>
      </c>
      <c r="AJ30" s="40" t="e">
        <f t="shared" si="1"/>
        <v>#N/A</v>
      </c>
      <c r="AK30" s="21" t="str">
        <f t="shared" si="2"/>
        <v>vw_t-cross___adserver</v>
      </c>
      <c r="AL30" s="21" t="e">
        <f t="shared" si="77"/>
        <v>#VALUE!</v>
      </c>
      <c r="AM30" s="21" t="str">
        <f t="shared" si="4"/>
        <v>TAG</v>
      </c>
      <c r="AN30" s="15">
        <f t="shared" si="78"/>
        <v>0</v>
      </c>
      <c r="AO30" s="15">
        <f t="shared" si="79"/>
        <v>0</v>
      </c>
      <c r="AP30" s="21" t="str">
        <f>Campanha!$B$3</f>
        <v>BR_AAF_DSY_SUSTN_ND_NC_2021Q1MAR_TCR_Branded-Content</v>
      </c>
      <c r="AQ30" s="21" t="e">
        <f t="shared" si="7"/>
        <v>#N/A</v>
      </c>
      <c r="AR30" s="15" t="s">
        <v>770</v>
      </c>
      <c r="AS30" s="21" t="e">
        <f t="shared" si="8"/>
        <v>#VALUE!</v>
      </c>
      <c r="AT30" s="15" t="str">
        <f t="shared" si="80"/>
        <v/>
      </c>
      <c r="AU30" s="15" t="str">
        <f t="shared" si="10"/>
        <v>BR</v>
      </c>
      <c r="AV30" s="15" t="str">
        <f t="shared" si="81"/>
        <v/>
      </c>
      <c r="AW30" s="15" t="str">
        <f t="shared" si="82"/>
        <v/>
      </c>
      <c r="AX30" s="15" t="str">
        <f t="shared" si="13"/>
        <v>branded-content</v>
      </c>
      <c r="AY30" s="15" t="e">
        <f t="shared" si="83"/>
        <v>#N/A</v>
      </c>
      <c r="AZ30" s="15" t="str">
        <f t="shared" si="84"/>
        <v/>
      </c>
      <c r="BA30" s="15" t="str">
        <f t="shared" si="85"/>
        <v/>
      </c>
      <c r="BB30" s="28" t="s">
        <v>814</v>
      </c>
      <c r="BC30" s="28" t="s">
        <v>814</v>
      </c>
      <c r="BD30" s="38" t="str">
        <f t="shared" si="86"/>
        <v>bc-tcr-aaf-dsy-0321-10030</v>
      </c>
      <c r="BE30" s="15" t="str">
        <f t="shared" si="87"/>
        <v>BR</v>
      </c>
      <c r="BF30" s="15" t="str">
        <f t="shared" si="88"/>
        <v/>
      </c>
      <c r="BG30" s="28"/>
      <c r="BH30" s="28"/>
      <c r="BI30" s="36" t="e">
        <f t="shared" si="20"/>
        <v>#VALUE!</v>
      </c>
      <c r="BL30" t="str">
        <f t="shared" si="21"/>
        <v>alp_vw__aaf_dsy_sustn_nd_nc_tcr_branded-content_projeto-globoplay_</v>
      </c>
      <c r="BM30" t="e">
        <f t="shared" si="22"/>
        <v>#N/A</v>
      </c>
      <c r="BN30" t="e">
        <f t="shared" si="23"/>
        <v>#VALUE!</v>
      </c>
    </row>
    <row r="31" spans="2:66" ht="15.75" customHeight="1" x14ac:dyDescent="0.25">
      <c r="B31" s="15"/>
      <c r="C31" s="15"/>
      <c r="D31" s="44"/>
      <c r="E31" s="22"/>
      <c r="F31" s="22"/>
      <c r="G31" s="44"/>
      <c r="H31" s="41"/>
      <c r="I31" s="44"/>
      <c r="J31" s="42"/>
      <c r="K31" s="15"/>
      <c r="L31" s="15"/>
      <c r="M31" s="44"/>
      <c r="N31" s="15"/>
      <c r="O31" s="44"/>
      <c r="P31" s="44"/>
      <c r="Q31" s="44"/>
      <c r="R31" s="44"/>
      <c r="S31" s="15"/>
      <c r="T31" s="15"/>
      <c r="U31" s="15"/>
      <c r="V31" s="44"/>
      <c r="W31" s="44"/>
      <c r="X31" s="44"/>
      <c r="Y31" s="15"/>
      <c r="Z31" s="15"/>
      <c r="AA31" s="15"/>
      <c r="AB31" s="15"/>
      <c r="AC31" s="15"/>
      <c r="AD31" s="15"/>
      <c r="AE31" s="15"/>
      <c r="AF31" s="15"/>
      <c r="AG31" s="15"/>
      <c r="AH31" s="15" t="e">
        <f t="shared" si="76"/>
        <v>#N/A</v>
      </c>
      <c r="AI31" s="21" t="e">
        <f t="shared" si="1"/>
        <v>#N/A</v>
      </c>
      <c r="AJ31" s="40" t="e">
        <f t="shared" si="1"/>
        <v>#N/A</v>
      </c>
      <c r="AK31" s="21" t="str">
        <f t="shared" si="2"/>
        <v>vw_t-cross___adserver</v>
      </c>
      <c r="AL31" s="21" t="e">
        <f t="shared" si="77"/>
        <v>#VALUE!</v>
      </c>
      <c r="AM31" s="21" t="str">
        <f t="shared" si="4"/>
        <v>TAG</v>
      </c>
      <c r="AN31" s="15">
        <f t="shared" si="78"/>
        <v>0</v>
      </c>
      <c r="AO31" s="15">
        <f t="shared" si="79"/>
        <v>0</v>
      </c>
      <c r="AP31" s="21" t="str">
        <f>Campanha!$B$3</f>
        <v>BR_AAF_DSY_SUSTN_ND_NC_2021Q1MAR_TCR_Branded-Content</v>
      </c>
      <c r="AQ31" s="21" t="e">
        <f t="shared" si="7"/>
        <v>#N/A</v>
      </c>
      <c r="AR31" s="15" t="s">
        <v>770</v>
      </c>
      <c r="AS31" s="21" t="e">
        <f t="shared" si="8"/>
        <v>#VALUE!</v>
      </c>
      <c r="AT31" s="15" t="str">
        <f t="shared" si="80"/>
        <v/>
      </c>
      <c r="AU31" s="15" t="str">
        <f t="shared" si="10"/>
        <v>BR</v>
      </c>
      <c r="AV31" s="15" t="str">
        <f t="shared" si="81"/>
        <v/>
      </c>
      <c r="AW31" s="15" t="str">
        <f t="shared" si="82"/>
        <v/>
      </c>
      <c r="AX31" s="15" t="str">
        <f t="shared" si="13"/>
        <v>branded-content</v>
      </c>
      <c r="AY31" s="15" t="e">
        <f t="shared" si="83"/>
        <v>#N/A</v>
      </c>
      <c r="AZ31" s="15" t="str">
        <f t="shared" si="84"/>
        <v/>
      </c>
      <c r="BA31" s="15" t="str">
        <f t="shared" si="85"/>
        <v/>
      </c>
      <c r="BB31" s="28" t="s">
        <v>814</v>
      </c>
      <c r="BC31" s="28" t="s">
        <v>814</v>
      </c>
      <c r="BD31" s="38" t="str">
        <f t="shared" si="86"/>
        <v>bc-tcr-aaf-dsy-0321-10031</v>
      </c>
      <c r="BE31" s="15" t="str">
        <f t="shared" si="87"/>
        <v>BR</v>
      </c>
      <c r="BF31" s="15" t="str">
        <f t="shared" si="88"/>
        <v/>
      </c>
      <c r="BG31" s="28"/>
      <c r="BH31" s="28"/>
      <c r="BI31" s="36" t="e">
        <f t="shared" si="20"/>
        <v>#VALUE!</v>
      </c>
      <c r="BL31" t="str">
        <f t="shared" si="21"/>
        <v>alp_vw__aaf_dsy_sustn_nd_nc_tcr_branded-content_projeto-globoplay_</v>
      </c>
      <c r="BM31" t="e">
        <f t="shared" si="22"/>
        <v>#N/A</v>
      </c>
      <c r="BN31" t="e">
        <f t="shared" si="23"/>
        <v>#VALUE!</v>
      </c>
    </row>
    <row r="32" spans="2:66" ht="15.75" customHeight="1" x14ac:dyDescent="0.25">
      <c r="B32" s="15"/>
      <c r="C32" s="15"/>
      <c r="D32" s="44"/>
      <c r="E32" s="22"/>
      <c r="F32" s="22"/>
      <c r="G32" s="44"/>
      <c r="H32" s="41"/>
      <c r="I32" s="44"/>
      <c r="J32" s="42"/>
      <c r="K32" s="15"/>
      <c r="L32" s="15"/>
      <c r="M32" s="44"/>
      <c r="N32" s="15"/>
      <c r="O32" s="44"/>
      <c r="P32" s="44"/>
      <c r="Q32" s="44"/>
      <c r="R32" s="44"/>
      <c r="S32" s="15"/>
      <c r="T32" s="15"/>
      <c r="U32" s="15"/>
      <c r="V32" s="44"/>
      <c r="W32" s="44"/>
      <c r="X32" s="44"/>
      <c r="Y32" s="15"/>
      <c r="Z32" s="15"/>
      <c r="AA32" s="15"/>
      <c r="AB32" s="15"/>
      <c r="AC32" s="15"/>
      <c r="AD32" s="15"/>
      <c r="AE32" s="15"/>
      <c r="AF32" s="15"/>
      <c r="AG32" s="15"/>
      <c r="AH32" s="15" t="e">
        <f t="shared" si="76"/>
        <v>#N/A</v>
      </c>
      <c r="AI32" s="21" t="e">
        <f t="shared" si="1"/>
        <v>#N/A</v>
      </c>
      <c r="AJ32" s="40" t="e">
        <f t="shared" si="1"/>
        <v>#N/A</v>
      </c>
      <c r="AK32" s="21" t="str">
        <f t="shared" si="2"/>
        <v>vw_t-cross___adserver</v>
      </c>
      <c r="AL32" s="21" t="e">
        <f t="shared" si="77"/>
        <v>#VALUE!</v>
      </c>
      <c r="AM32" s="21" t="str">
        <f t="shared" si="4"/>
        <v>TAG</v>
      </c>
      <c r="AN32" s="15">
        <f t="shared" si="78"/>
        <v>0</v>
      </c>
      <c r="AO32" s="15">
        <f t="shared" si="79"/>
        <v>0</v>
      </c>
      <c r="AP32" s="21" t="str">
        <f>Campanha!$B$3</f>
        <v>BR_AAF_DSY_SUSTN_ND_NC_2021Q1MAR_TCR_Branded-Content</v>
      </c>
      <c r="AQ32" s="21" t="e">
        <f t="shared" si="7"/>
        <v>#N/A</v>
      </c>
      <c r="AR32" s="15" t="s">
        <v>770</v>
      </c>
      <c r="AS32" s="21" t="e">
        <f t="shared" si="8"/>
        <v>#VALUE!</v>
      </c>
      <c r="AT32" s="15" t="str">
        <f t="shared" si="80"/>
        <v/>
      </c>
      <c r="AU32" s="15" t="str">
        <f t="shared" si="10"/>
        <v>BR</v>
      </c>
      <c r="AV32" s="15" t="str">
        <f t="shared" si="81"/>
        <v/>
      </c>
      <c r="AW32" s="15" t="str">
        <f t="shared" si="82"/>
        <v/>
      </c>
      <c r="AX32" s="15" t="str">
        <f t="shared" si="13"/>
        <v>branded-content</v>
      </c>
      <c r="AY32" s="15" t="e">
        <f t="shared" si="83"/>
        <v>#N/A</v>
      </c>
      <c r="AZ32" s="15" t="str">
        <f t="shared" si="84"/>
        <v/>
      </c>
      <c r="BA32" s="15" t="str">
        <f t="shared" si="85"/>
        <v/>
      </c>
      <c r="BB32" s="28" t="s">
        <v>814</v>
      </c>
      <c r="BC32" s="28" t="s">
        <v>814</v>
      </c>
      <c r="BD32" s="38" t="str">
        <f t="shared" si="86"/>
        <v>bc-tcr-aaf-dsy-0321-10032</v>
      </c>
      <c r="BE32" s="15" t="str">
        <f t="shared" si="87"/>
        <v>BR</v>
      </c>
      <c r="BF32" s="15" t="str">
        <f t="shared" si="88"/>
        <v/>
      </c>
      <c r="BG32" s="28"/>
      <c r="BH32" s="28"/>
      <c r="BI32" s="36" t="e">
        <f t="shared" si="20"/>
        <v>#VALUE!</v>
      </c>
      <c r="BL32" t="str">
        <f t="shared" si="21"/>
        <v>alp_vw__aaf_dsy_sustn_nd_nc_tcr_branded-content_projeto-globoplay_</v>
      </c>
      <c r="BM32" t="e">
        <f t="shared" si="22"/>
        <v>#N/A</v>
      </c>
      <c r="BN32" t="e">
        <f t="shared" si="23"/>
        <v>#VALUE!</v>
      </c>
    </row>
    <row r="33" spans="2:66" ht="15.75" customHeight="1" x14ac:dyDescent="0.25">
      <c r="B33" s="15"/>
      <c r="C33" s="15"/>
      <c r="D33" s="44"/>
      <c r="E33" s="22"/>
      <c r="F33" s="22"/>
      <c r="G33" s="44"/>
      <c r="H33" s="41"/>
      <c r="I33" s="44"/>
      <c r="J33" s="42"/>
      <c r="K33" s="15"/>
      <c r="L33" s="15"/>
      <c r="M33" s="44"/>
      <c r="N33" s="15"/>
      <c r="O33" s="44"/>
      <c r="P33" s="44"/>
      <c r="Q33" s="44"/>
      <c r="R33" s="44"/>
      <c r="S33" s="15"/>
      <c r="T33" s="15"/>
      <c r="U33" s="15"/>
      <c r="V33" s="44"/>
      <c r="W33" s="44"/>
      <c r="X33" s="44"/>
      <c r="Y33" s="15"/>
      <c r="Z33" s="15"/>
      <c r="AA33" s="15"/>
      <c r="AB33" s="15"/>
      <c r="AC33" s="15"/>
      <c r="AD33" s="15"/>
      <c r="AE33" s="15"/>
      <c r="AF33" s="15"/>
      <c r="AG33" s="15"/>
      <c r="AH33" s="15" t="e">
        <f t="shared" si="76"/>
        <v>#N/A</v>
      </c>
      <c r="AI33" s="21" t="e">
        <f t="shared" si="1"/>
        <v>#N/A</v>
      </c>
      <c r="AJ33" s="40" t="e">
        <f t="shared" si="1"/>
        <v>#N/A</v>
      </c>
      <c r="AK33" s="21" t="str">
        <f t="shared" si="2"/>
        <v>vw_t-cross___adserver</v>
      </c>
      <c r="AL33" s="21" t="e">
        <f t="shared" si="77"/>
        <v>#VALUE!</v>
      </c>
      <c r="AM33" s="21" t="str">
        <f t="shared" si="4"/>
        <v>TAG</v>
      </c>
      <c r="AN33" s="15">
        <f t="shared" si="78"/>
        <v>0</v>
      </c>
      <c r="AO33" s="15">
        <f t="shared" si="79"/>
        <v>0</v>
      </c>
      <c r="AP33" s="21" t="str">
        <f>Campanha!$B$3</f>
        <v>BR_AAF_DSY_SUSTN_ND_NC_2021Q1MAR_TCR_Branded-Content</v>
      </c>
      <c r="AQ33" s="21" t="e">
        <f t="shared" si="7"/>
        <v>#N/A</v>
      </c>
      <c r="AR33" s="15" t="s">
        <v>770</v>
      </c>
      <c r="AS33" s="21" t="e">
        <f t="shared" si="8"/>
        <v>#VALUE!</v>
      </c>
      <c r="AT33" s="15" t="str">
        <f t="shared" si="80"/>
        <v/>
      </c>
      <c r="AU33" s="15" t="str">
        <f t="shared" si="10"/>
        <v>BR</v>
      </c>
      <c r="AV33" s="15" t="str">
        <f t="shared" si="81"/>
        <v/>
      </c>
      <c r="AW33" s="15" t="str">
        <f t="shared" si="82"/>
        <v/>
      </c>
      <c r="AX33" s="15" t="str">
        <f t="shared" si="13"/>
        <v>branded-content</v>
      </c>
      <c r="AY33" s="15" t="e">
        <f t="shared" si="83"/>
        <v>#N/A</v>
      </c>
      <c r="AZ33" s="15" t="str">
        <f t="shared" si="84"/>
        <v/>
      </c>
      <c r="BA33" s="15" t="str">
        <f t="shared" si="85"/>
        <v/>
      </c>
      <c r="BB33" s="28" t="s">
        <v>814</v>
      </c>
      <c r="BC33" s="28" t="s">
        <v>814</v>
      </c>
      <c r="BD33" s="38" t="str">
        <f t="shared" si="86"/>
        <v>bc-tcr-aaf-dsy-0321-10033</v>
      </c>
      <c r="BE33" s="15" t="str">
        <f t="shared" si="87"/>
        <v>BR</v>
      </c>
      <c r="BF33" s="15" t="str">
        <f t="shared" si="88"/>
        <v/>
      </c>
      <c r="BG33" s="28"/>
      <c r="BH33" s="28"/>
      <c r="BI33" s="36" t="e">
        <f t="shared" si="20"/>
        <v>#VALUE!</v>
      </c>
      <c r="BL33" t="str">
        <f t="shared" si="21"/>
        <v>alp_vw__aaf_dsy_sustn_nd_nc_tcr_branded-content_projeto-globoplay_</v>
      </c>
      <c r="BM33" t="e">
        <f t="shared" si="22"/>
        <v>#N/A</v>
      </c>
      <c r="BN33" t="e">
        <f t="shared" si="23"/>
        <v>#VALUE!</v>
      </c>
    </row>
    <row r="34" spans="2:66" ht="15.75" customHeight="1" x14ac:dyDescent="0.25">
      <c r="B34" s="15"/>
      <c r="C34" s="15"/>
      <c r="D34" s="15"/>
      <c r="E34" s="22"/>
      <c r="F34" s="22"/>
      <c r="G34" s="15"/>
      <c r="H34" s="41"/>
      <c r="I34" s="15"/>
      <c r="J34" s="42"/>
      <c r="K34" s="15"/>
      <c r="L34" s="15"/>
      <c r="M34" s="15"/>
      <c r="N34" s="15"/>
      <c r="O34" s="15"/>
      <c r="P34" s="44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 t="e">
        <f t="shared" si="63"/>
        <v>#N/A</v>
      </c>
      <c r="AI34" s="21" t="e">
        <f t="shared" si="1"/>
        <v>#N/A</v>
      </c>
      <c r="AJ34" s="40" t="e">
        <f t="shared" si="1"/>
        <v>#N/A</v>
      </c>
      <c r="AK34" s="21" t="str">
        <f t="shared" si="2"/>
        <v>vw_t-cross___adserver</v>
      </c>
      <c r="AL34" s="21" t="e">
        <f t="shared" si="64"/>
        <v>#VALUE!</v>
      </c>
      <c r="AM34" s="21" t="str">
        <f t="shared" si="4"/>
        <v>TAG</v>
      </c>
      <c r="AN34" s="15">
        <f t="shared" si="65"/>
        <v>0</v>
      </c>
      <c r="AO34" s="15">
        <f t="shared" si="66"/>
        <v>0</v>
      </c>
      <c r="AP34" s="21" t="str">
        <f>Campanha!$B$3</f>
        <v>BR_AAF_DSY_SUSTN_ND_NC_2021Q1MAR_TCR_Branded-Content</v>
      </c>
      <c r="AQ34" s="21" t="e">
        <f t="shared" si="7"/>
        <v>#N/A</v>
      </c>
      <c r="AR34" s="15" t="s">
        <v>770</v>
      </c>
      <c r="AS34" s="21" t="e">
        <f t="shared" si="8"/>
        <v>#VALUE!</v>
      </c>
      <c r="AT34" s="15" t="str">
        <f t="shared" si="67"/>
        <v/>
      </c>
      <c r="AU34" s="15" t="str">
        <f t="shared" si="10"/>
        <v>BR</v>
      </c>
      <c r="AV34" s="15" t="str">
        <f t="shared" si="68"/>
        <v/>
      </c>
      <c r="AW34" s="15" t="str">
        <f t="shared" si="69"/>
        <v/>
      </c>
      <c r="AX34" s="15" t="str">
        <f t="shared" si="13"/>
        <v>branded-content</v>
      </c>
      <c r="AY34" s="15" t="e">
        <f t="shared" si="70"/>
        <v>#N/A</v>
      </c>
      <c r="AZ34" s="15" t="str">
        <f t="shared" si="71"/>
        <v/>
      </c>
      <c r="BA34" s="15" t="str">
        <f t="shared" si="72"/>
        <v/>
      </c>
      <c r="BB34" s="28" t="s">
        <v>814</v>
      </c>
      <c r="BC34" s="28" t="s">
        <v>814</v>
      </c>
      <c r="BD34" s="38" t="str">
        <f t="shared" si="73"/>
        <v>bc-tcr-aaf-dsy-0321-10034</v>
      </c>
      <c r="BE34" s="15" t="str">
        <f t="shared" si="74"/>
        <v>BR</v>
      </c>
      <c r="BF34" s="15" t="str">
        <f t="shared" si="75"/>
        <v/>
      </c>
      <c r="BG34" s="28"/>
      <c r="BH34" s="28"/>
      <c r="BI34" s="36" t="e">
        <f t="shared" si="20"/>
        <v>#VALUE!</v>
      </c>
      <c r="BL34" t="str">
        <f t="shared" si="21"/>
        <v>alp_vw__aaf_dsy_sustn_nd_nc_tcr_branded-content_projeto-globoplay_</v>
      </c>
      <c r="BM34" t="e">
        <f t="shared" si="22"/>
        <v>#N/A</v>
      </c>
      <c r="BN34" t="e">
        <f t="shared" si="23"/>
        <v>#VALUE!</v>
      </c>
    </row>
    <row r="35" spans="2:66" ht="15.75" customHeight="1" x14ac:dyDescent="0.25">
      <c r="B35" s="15"/>
      <c r="C35" s="15"/>
      <c r="D35" s="15"/>
      <c r="E35" s="22"/>
      <c r="F35" s="22"/>
      <c r="G35" s="15"/>
      <c r="H35" s="41"/>
      <c r="I35" s="15"/>
      <c r="J35" s="42"/>
      <c r="K35" s="15"/>
      <c r="L35" s="15"/>
      <c r="M35" s="15"/>
      <c r="N35" s="15"/>
      <c r="O35" s="15"/>
      <c r="P35" s="44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 t="e">
        <f t="shared" si="63"/>
        <v>#N/A</v>
      </c>
      <c r="AI35" s="21" t="e">
        <f t="shared" si="1"/>
        <v>#N/A</v>
      </c>
      <c r="AJ35" s="40" t="e">
        <f t="shared" si="1"/>
        <v>#N/A</v>
      </c>
      <c r="AK35" s="21" t="str">
        <f t="shared" si="2"/>
        <v>vw_t-cross___adserver</v>
      </c>
      <c r="AL35" s="21" t="e">
        <f t="shared" si="64"/>
        <v>#VALUE!</v>
      </c>
      <c r="AM35" s="21" t="str">
        <f t="shared" si="4"/>
        <v>TAG</v>
      </c>
      <c r="AN35" s="15">
        <f t="shared" si="65"/>
        <v>0</v>
      </c>
      <c r="AO35" s="15">
        <f t="shared" si="66"/>
        <v>0</v>
      </c>
      <c r="AP35" s="21" t="str">
        <f>Campanha!$B$3</f>
        <v>BR_AAF_DSY_SUSTN_ND_NC_2021Q1MAR_TCR_Branded-Content</v>
      </c>
      <c r="AQ35" s="21" t="e">
        <f t="shared" si="7"/>
        <v>#N/A</v>
      </c>
      <c r="AR35" s="15" t="s">
        <v>770</v>
      </c>
      <c r="AS35" s="21" t="e">
        <f t="shared" si="8"/>
        <v>#VALUE!</v>
      </c>
      <c r="AT35" s="15" t="str">
        <f t="shared" si="67"/>
        <v/>
      </c>
      <c r="AU35" s="15" t="str">
        <f t="shared" si="10"/>
        <v>BR</v>
      </c>
      <c r="AV35" s="15" t="str">
        <f t="shared" si="68"/>
        <v/>
      </c>
      <c r="AW35" s="15" t="str">
        <f t="shared" si="69"/>
        <v/>
      </c>
      <c r="AX35" s="15" t="str">
        <f t="shared" si="13"/>
        <v>branded-content</v>
      </c>
      <c r="AY35" s="15" t="e">
        <f t="shared" si="70"/>
        <v>#N/A</v>
      </c>
      <c r="AZ35" s="15" t="str">
        <f t="shared" si="71"/>
        <v/>
      </c>
      <c r="BA35" s="15" t="str">
        <f t="shared" si="72"/>
        <v/>
      </c>
      <c r="BB35" s="28" t="s">
        <v>814</v>
      </c>
      <c r="BC35" s="28" t="s">
        <v>814</v>
      </c>
      <c r="BD35" s="38" t="str">
        <f t="shared" si="73"/>
        <v>bc-tcr-aaf-dsy-0321-10035</v>
      </c>
      <c r="BE35" s="15" t="str">
        <f t="shared" si="74"/>
        <v>BR</v>
      </c>
      <c r="BF35" s="15" t="str">
        <f t="shared" si="75"/>
        <v/>
      </c>
      <c r="BG35" s="28"/>
      <c r="BH35" s="28"/>
      <c r="BI35" s="36" t="e">
        <f t="shared" si="20"/>
        <v>#VALUE!</v>
      </c>
      <c r="BL35" t="str">
        <f t="shared" si="21"/>
        <v>alp_vw__aaf_dsy_sustn_nd_nc_tcr_branded-content_projeto-globoplay_</v>
      </c>
      <c r="BM35" t="e">
        <f t="shared" si="22"/>
        <v>#N/A</v>
      </c>
      <c r="BN35" t="e">
        <f t="shared" si="23"/>
        <v>#VALUE!</v>
      </c>
    </row>
    <row r="36" spans="2:66" ht="15.75" customHeight="1" x14ac:dyDescent="0.25">
      <c r="B36" s="15"/>
      <c r="C36" s="15"/>
      <c r="D36" s="15"/>
      <c r="E36" s="22"/>
      <c r="F36" s="22"/>
      <c r="G36" s="15"/>
      <c r="H36" s="41"/>
      <c r="I36" s="15"/>
      <c r="J36" s="42"/>
      <c r="K36" s="15"/>
      <c r="L36" s="15"/>
      <c r="M36" s="15"/>
      <c r="N36" s="15"/>
      <c r="O36" s="15"/>
      <c r="P36" s="44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 t="e">
        <f t="shared" si="63"/>
        <v>#N/A</v>
      </c>
      <c r="AI36" s="21" t="e">
        <f t="shared" si="1"/>
        <v>#N/A</v>
      </c>
      <c r="AJ36" s="40" t="e">
        <f t="shared" si="1"/>
        <v>#N/A</v>
      </c>
      <c r="AK36" s="21" t="str">
        <f t="shared" si="2"/>
        <v>vw_t-cross___adserver</v>
      </c>
      <c r="AL36" s="21" t="e">
        <f t="shared" si="64"/>
        <v>#VALUE!</v>
      </c>
      <c r="AM36" s="21" t="str">
        <f t="shared" si="4"/>
        <v>TAG</v>
      </c>
      <c r="AN36" s="15">
        <f t="shared" si="65"/>
        <v>0</v>
      </c>
      <c r="AO36" s="15">
        <f t="shared" si="66"/>
        <v>0</v>
      </c>
      <c r="AP36" s="21" t="str">
        <f>Campanha!$B$3</f>
        <v>BR_AAF_DSY_SUSTN_ND_NC_2021Q1MAR_TCR_Branded-Content</v>
      </c>
      <c r="AQ36" s="21" t="e">
        <f t="shared" si="7"/>
        <v>#N/A</v>
      </c>
      <c r="AR36" s="15" t="s">
        <v>770</v>
      </c>
      <c r="AS36" s="21" t="e">
        <f t="shared" si="8"/>
        <v>#VALUE!</v>
      </c>
      <c r="AT36" s="15" t="str">
        <f t="shared" si="67"/>
        <v/>
      </c>
      <c r="AU36" s="15" t="str">
        <f t="shared" si="10"/>
        <v>BR</v>
      </c>
      <c r="AV36" s="15" t="str">
        <f t="shared" si="68"/>
        <v/>
      </c>
      <c r="AW36" s="15" t="str">
        <f t="shared" si="69"/>
        <v/>
      </c>
      <c r="AX36" s="15" t="str">
        <f t="shared" si="13"/>
        <v>branded-content</v>
      </c>
      <c r="AY36" s="15" t="e">
        <f t="shared" si="70"/>
        <v>#N/A</v>
      </c>
      <c r="AZ36" s="15" t="str">
        <f t="shared" si="71"/>
        <v/>
      </c>
      <c r="BA36" s="15" t="str">
        <f t="shared" si="72"/>
        <v/>
      </c>
      <c r="BB36" s="28" t="s">
        <v>814</v>
      </c>
      <c r="BC36" s="28" t="s">
        <v>814</v>
      </c>
      <c r="BD36" s="38" t="str">
        <f t="shared" si="73"/>
        <v>bc-tcr-aaf-dsy-0321-10036</v>
      </c>
      <c r="BE36" s="15" t="str">
        <f t="shared" si="74"/>
        <v>BR</v>
      </c>
      <c r="BF36" s="15" t="str">
        <f t="shared" si="75"/>
        <v/>
      </c>
      <c r="BG36" s="28"/>
      <c r="BH36" s="28"/>
      <c r="BI36" s="36" t="e">
        <f t="shared" si="20"/>
        <v>#VALUE!</v>
      </c>
      <c r="BL36" t="str">
        <f t="shared" si="21"/>
        <v>alp_vw__aaf_dsy_sustn_nd_nc_tcr_branded-content_projeto-globoplay_</v>
      </c>
      <c r="BM36" t="e">
        <f t="shared" si="22"/>
        <v>#N/A</v>
      </c>
      <c r="BN36" t="e">
        <f t="shared" si="23"/>
        <v>#VALUE!</v>
      </c>
    </row>
    <row r="37" spans="2:66" ht="15.75" customHeight="1" x14ac:dyDescent="0.25">
      <c r="B37" s="15"/>
      <c r="C37" s="15"/>
      <c r="D37" s="44"/>
      <c r="E37" s="22"/>
      <c r="F37" s="22"/>
      <c r="G37" s="44"/>
      <c r="H37" s="41"/>
      <c r="I37" s="44"/>
      <c r="J37" s="42"/>
      <c r="K37" s="15"/>
      <c r="L37" s="15"/>
      <c r="M37" s="44"/>
      <c r="N37" s="15"/>
      <c r="O37" s="44"/>
      <c r="P37" s="44"/>
      <c r="Q37" s="44"/>
      <c r="R37" s="44"/>
      <c r="S37" s="15"/>
      <c r="T37" s="15"/>
      <c r="U37" s="15"/>
      <c r="V37" s="44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 t="e">
        <f t="shared" si="63"/>
        <v>#N/A</v>
      </c>
      <c r="AI37" s="21" t="e">
        <f t="shared" si="1"/>
        <v>#N/A</v>
      </c>
      <c r="AJ37" s="40" t="e">
        <f t="shared" si="1"/>
        <v>#N/A</v>
      </c>
      <c r="AK37" s="21" t="str">
        <f t="shared" si="2"/>
        <v>vw_t-cross___adserver</v>
      </c>
      <c r="AL37" s="21" t="e">
        <f t="shared" si="64"/>
        <v>#VALUE!</v>
      </c>
      <c r="AM37" s="21" t="str">
        <f t="shared" si="4"/>
        <v>TAG</v>
      </c>
      <c r="AN37" s="15">
        <f t="shared" si="65"/>
        <v>0</v>
      </c>
      <c r="AO37" s="15">
        <f t="shared" si="66"/>
        <v>0</v>
      </c>
      <c r="AP37" s="21" t="str">
        <f>Campanha!$B$3</f>
        <v>BR_AAF_DSY_SUSTN_ND_NC_2021Q1MAR_TCR_Branded-Content</v>
      </c>
      <c r="AQ37" s="21" t="e">
        <f t="shared" si="7"/>
        <v>#N/A</v>
      </c>
      <c r="AR37" s="15" t="s">
        <v>770</v>
      </c>
      <c r="AS37" s="21" t="e">
        <f t="shared" si="8"/>
        <v>#VALUE!</v>
      </c>
      <c r="AT37" s="15" t="str">
        <f t="shared" si="67"/>
        <v/>
      </c>
      <c r="AU37" s="15" t="str">
        <f t="shared" si="10"/>
        <v>BR</v>
      </c>
      <c r="AV37" s="15" t="str">
        <f t="shared" si="68"/>
        <v/>
      </c>
      <c r="AW37" s="15" t="str">
        <f t="shared" si="69"/>
        <v/>
      </c>
      <c r="AX37" s="15" t="str">
        <f t="shared" si="13"/>
        <v>branded-content</v>
      </c>
      <c r="AY37" s="15" t="e">
        <f t="shared" si="70"/>
        <v>#N/A</v>
      </c>
      <c r="AZ37" s="15" t="str">
        <f t="shared" si="71"/>
        <v/>
      </c>
      <c r="BA37" s="15" t="str">
        <f t="shared" si="72"/>
        <v/>
      </c>
      <c r="BB37" s="28" t="s">
        <v>814</v>
      </c>
      <c r="BC37" s="28" t="s">
        <v>814</v>
      </c>
      <c r="BD37" s="38" t="str">
        <f t="shared" si="73"/>
        <v>bc-tcr-aaf-dsy-0321-10037</v>
      </c>
      <c r="BE37" s="15" t="str">
        <f t="shared" si="74"/>
        <v>BR</v>
      </c>
      <c r="BF37" s="15" t="str">
        <f t="shared" si="75"/>
        <v/>
      </c>
      <c r="BG37" s="28"/>
      <c r="BH37" s="28"/>
      <c r="BI37" s="36" t="e">
        <f t="shared" si="20"/>
        <v>#VALUE!</v>
      </c>
      <c r="BL37" t="str">
        <f t="shared" si="21"/>
        <v>alp_vw__aaf_dsy_sustn_nd_nc_tcr_branded-content_projeto-globoplay_</v>
      </c>
      <c r="BM37" t="e">
        <f t="shared" si="22"/>
        <v>#N/A</v>
      </c>
      <c r="BN37" t="e">
        <f t="shared" si="23"/>
        <v>#VALUE!</v>
      </c>
    </row>
    <row r="38" spans="2:66" ht="15.75" customHeight="1" x14ac:dyDescent="0.25">
      <c r="B38" s="15"/>
      <c r="C38" s="15"/>
      <c r="D38" s="44"/>
      <c r="E38" s="22"/>
      <c r="F38" s="22"/>
      <c r="G38" s="44"/>
      <c r="H38" s="41"/>
      <c r="I38" s="44"/>
      <c r="J38" s="42"/>
      <c r="K38" s="15"/>
      <c r="L38" s="15"/>
      <c r="M38" s="44"/>
      <c r="N38" s="15"/>
      <c r="O38" s="44"/>
      <c r="P38" s="44"/>
      <c r="Q38" s="44"/>
      <c r="R38" s="44"/>
      <c r="S38" s="15"/>
      <c r="T38" s="15"/>
      <c r="U38" s="15"/>
      <c r="V38" s="44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 t="e">
        <f t="shared" si="63"/>
        <v>#N/A</v>
      </c>
      <c r="AI38" s="21" t="e">
        <f t="shared" si="1"/>
        <v>#N/A</v>
      </c>
      <c r="AJ38" s="40" t="e">
        <f t="shared" si="1"/>
        <v>#N/A</v>
      </c>
      <c r="AK38" s="21" t="str">
        <f t="shared" si="2"/>
        <v>vw_t-cross___adserver</v>
      </c>
      <c r="AL38" s="21" t="e">
        <f t="shared" si="64"/>
        <v>#VALUE!</v>
      </c>
      <c r="AM38" s="21" t="str">
        <f t="shared" si="4"/>
        <v>TAG</v>
      </c>
      <c r="AN38" s="15">
        <f t="shared" si="65"/>
        <v>0</v>
      </c>
      <c r="AO38" s="15">
        <f t="shared" si="66"/>
        <v>0</v>
      </c>
      <c r="AP38" s="21" t="str">
        <f>Campanha!$B$3</f>
        <v>BR_AAF_DSY_SUSTN_ND_NC_2021Q1MAR_TCR_Branded-Content</v>
      </c>
      <c r="AQ38" s="21" t="e">
        <f t="shared" si="7"/>
        <v>#N/A</v>
      </c>
      <c r="AR38" s="15" t="s">
        <v>770</v>
      </c>
      <c r="AS38" s="21" t="e">
        <f t="shared" si="8"/>
        <v>#VALUE!</v>
      </c>
      <c r="AT38" s="15" t="str">
        <f t="shared" si="67"/>
        <v/>
      </c>
      <c r="AU38" s="15" t="str">
        <f t="shared" si="10"/>
        <v>BR</v>
      </c>
      <c r="AV38" s="15" t="str">
        <f t="shared" si="68"/>
        <v/>
      </c>
      <c r="AW38" s="15" t="str">
        <f t="shared" si="69"/>
        <v/>
      </c>
      <c r="AX38" s="15" t="str">
        <f t="shared" si="13"/>
        <v>branded-content</v>
      </c>
      <c r="AY38" s="15" t="e">
        <f t="shared" si="70"/>
        <v>#N/A</v>
      </c>
      <c r="AZ38" s="15" t="str">
        <f t="shared" si="71"/>
        <v/>
      </c>
      <c r="BA38" s="15" t="str">
        <f t="shared" si="72"/>
        <v/>
      </c>
      <c r="BB38" s="28" t="s">
        <v>814</v>
      </c>
      <c r="BC38" s="28" t="s">
        <v>814</v>
      </c>
      <c r="BD38" s="38" t="str">
        <f t="shared" si="73"/>
        <v>bc-tcr-aaf-dsy-0321-10038</v>
      </c>
      <c r="BE38" s="15" t="str">
        <f t="shared" si="74"/>
        <v>BR</v>
      </c>
      <c r="BF38" s="15" t="str">
        <f t="shared" si="75"/>
        <v/>
      </c>
      <c r="BG38" s="28"/>
      <c r="BH38" s="28"/>
      <c r="BI38" s="36" t="e">
        <f t="shared" si="20"/>
        <v>#VALUE!</v>
      </c>
      <c r="BL38" t="str">
        <f t="shared" si="21"/>
        <v>alp_vw__aaf_dsy_sustn_nd_nc_tcr_branded-content_projeto-globoplay_</v>
      </c>
      <c r="BM38" t="e">
        <f t="shared" si="22"/>
        <v>#N/A</v>
      </c>
      <c r="BN38" t="e">
        <f t="shared" si="23"/>
        <v>#VALUE!</v>
      </c>
    </row>
    <row r="39" spans="2:66" ht="15.75" customHeight="1" x14ac:dyDescent="0.25">
      <c r="B39" s="15"/>
      <c r="C39" s="15"/>
      <c r="D39" s="44"/>
      <c r="E39" s="22"/>
      <c r="F39" s="22"/>
      <c r="G39" s="44"/>
      <c r="H39" s="41"/>
      <c r="I39" s="44"/>
      <c r="J39" s="42"/>
      <c r="K39" s="15"/>
      <c r="L39" s="15"/>
      <c r="M39" s="44"/>
      <c r="N39" s="15"/>
      <c r="O39" s="44"/>
      <c r="P39" s="44"/>
      <c r="Q39" s="44"/>
      <c r="R39" s="44"/>
      <c r="S39" s="15"/>
      <c r="T39" s="15"/>
      <c r="U39" s="15"/>
      <c r="V39" s="44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 t="e">
        <f t="shared" si="63"/>
        <v>#N/A</v>
      </c>
      <c r="AI39" s="21" t="e">
        <f t="shared" si="1"/>
        <v>#N/A</v>
      </c>
      <c r="AJ39" s="40" t="e">
        <f t="shared" si="1"/>
        <v>#N/A</v>
      </c>
      <c r="AK39" s="21" t="str">
        <f t="shared" si="2"/>
        <v>vw_t-cross___adserver</v>
      </c>
      <c r="AL39" s="21" t="e">
        <f t="shared" si="64"/>
        <v>#VALUE!</v>
      </c>
      <c r="AM39" s="21" t="str">
        <f t="shared" si="4"/>
        <v>TAG</v>
      </c>
      <c r="AN39" s="15">
        <f t="shared" si="65"/>
        <v>0</v>
      </c>
      <c r="AO39" s="15">
        <f t="shared" si="66"/>
        <v>0</v>
      </c>
      <c r="AP39" s="21" t="str">
        <f>Campanha!$B$3</f>
        <v>BR_AAF_DSY_SUSTN_ND_NC_2021Q1MAR_TCR_Branded-Content</v>
      </c>
      <c r="AQ39" s="21" t="e">
        <f t="shared" si="7"/>
        <v>#N/A</v>
      </c>
      <c r="AR39" s="15" t="s">
        <v>770</v>
      </c>
      <c r="AS39" s="21" t="e">
        <f t="shared" si="8"/>
        <v>#VALUE!</v>
      </c>
      <c r="AT39" s="15" t="str">
        <f t="shared" si="67"/>
        <v/>
      </c>
      <c r="AU39" s="15" t="str">
        <f t="shared" si="10"/>
        <v>BR</v>
      </c>
      <c r="AV39" s="15" t="str">
        <f t="shared" si="68"/>
        <v/>
      </c>
      <c r="AW39" s="15" t="str">
        <f t="shared" si="69"/>
        <v/>
      </c>
      <c r="AX39" s="15" t="str">
        <f t="shared" si="13"/>
        <v>branded-content</v>
      </c>
      <c r="AY39" s="15" t="e">
        <f t="shared" si="70"/>
        <v>#N/A</v>
      </c>
      <c r="AZ39" s="15" t="str">
        <f t="shared" si="71"/>
        <v/>
      </c>
      <c r="BA39" s="15" t="str">
        <f t="shared" si="72"/>
        <v/>
      </c>
      <c r="BB39" s="28" t="s">
        <v>814</v>
      </c>
      <c r="BC39" s="28" t="s">
        <v>814</v>
      </c>
      <c r="BD39" s="38" t="str">
        <f t="shared" si="73"/>
        <v>bc-tcr-aaf-dsy-0321-10039</v>
      </c>
      <c r="BE39" s="15" t="str">
        <f t="shared" si="74"/>
        <v>BR</v>
      </c>
      <c r="BF39" s="15" t="str">
        <f t="shared" si="75"/>
        <v/>
      </c>
      <c r="BG39" s="28"/>
      <c r="BH39" s="28"/>
      <c r="BI39" s="36" t="e">
        <f t="shared" si="20"/>
        <v>#VALUE!</v>
      </c>
      <c r="BL39" t="str">
        <f t="shared" si="21"/>
        <v>alp_vw__aaf_dsy_sustn_nd_nc_tcr_branded-content_projeto-globoplay_</v>
      </c>
      <c r="BM39" t="e">
        <f t="shared" si="22"/>
        <v>#N/A</v>
      </c>
      <c r="BN39" t="e">
        <f t="shared" si="23"/>
        <v>#VALUE!</v>
      </c>
    </row>
    <row r="40" spans="2:66" ht="15.75" customHeight="1" x14ac:dyDescent="0.25">
      <c r="B40" s="15"/>
      <c r="C40" s="15"/>
      <c r="D40" s="15"/>
      <c r="E40" s="22"/>
      <c r="F40" s="22"/>
      <c r="G40" s="15"/>
      <c r="H40" s="41"/>
      <c r="I40" s="15"/>
      <c r="J40" s="42"/>
      <c r="K40" s="15"/>
      <c r="L40" s="15"/>
      <c r="M40" s="15"/>
      <c r="N40" s="15"/>
      <c r="O40" s="15"/>
      <c r="P40" s="44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 t="e">
        <f t="shared" ref="AH40:AH103" si="115">VLOOKUP(AI40,id_placement,2,FALSE)</f>
        <v>#N/A</v>
      </c>
      <c r="AI40" s="21" t="e">
        <f t="shared" si="1"/>
        <v>#N/A</v>
      </c>
      <c r="AJ40" s="40" t="e">
        <f t="shared" si="1"/>
        <v>#N/A</v>
      </c>
      <c r="AK40" s="21" t="str">
        <f t="shared" si="2"/>
        <v>vw_t-cross___adserver</v>
      </c>
      <c r="AL40" s="21" t="e">
        <f t="shared" ref="AL40:AL103" si="116">IF(col_parametrizacao="GA",AS40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40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40" s="21" t="str">
        <f t="shared" si="4"/>
        <v>TAG</v>
      </c>
      <c r="AN40" s="15">
        <f t="shared" ref="AN40:AN103" si="117">J40</f>
        <v>0</v>
      </c>
      <c r="AO40" s="15">
        <f t="shared" ref="AO40:AO103" si="118">L40</f>
        <v>0</v>
      </c>
      <c r="AP40" s="21" t="str">
        <f>Campanha!$B$3</f>
        <v>BR_AAF_DSY_SUSTN_ND_NC_2021Q1MAR_TCR_Branded-Content</v>
      </c>
      <c r="AQ40" s="21" t="e">
        <f t="shared" si="7"/>
        <v>#N/A</v>
      </c>
      <c r="AR40" s="15" t="s">
        <v>770</v>
      </c>
      <c r="AS40" s="21" t="e">
        <f t="shared" si="8"/>
        <v>#VALUE!</v>
      </c>
      <c r="AT40" s="15" t="str">
        <f t="shared" ref="AT40:AT103" si="119">LOWER(Q40)</f>
        <v/>
      </c>
      <c r="AU40" s="15" t="str">
        <f t="shared" si="10"/>
        <v>BR</v>
      </c>
      <c r="AV40" s="15" t="str">
        <f t="shared" ref="AV40:AV103" si="120">LOWER(K40)</f>
        <v/>
      </c>
      <c r="AW40" s="15" t="str">
        <f t="shared" ref="AW40:AW103" si="121">LOWER(J40)</f>
        <v/>
      </c>
      <c r="AX40" s="15" t="str">
        <f t="shared" si="13"/>
        <v>branded-content</v>
      </c>
      <c r="AY40" s="15" t="e">
        <f t="shared" ref="AY40:AY103" si="122">LOWER(AI40)</f>
        <v>#N/A</v>
      </c>
      <c r="AZ40" s="15" t="str">
        <f t="shared" ref="AZ40:AZ103" si="123">LOWER(Y40)</f>
        <v/>
      </c>
      <c r="BA40" s="15" t="str">
        <f t="shared" ref="BA40:BA103" si="124">LOWER(T40)</f>
        <v/>
      </c>
      <c r="BB40" s="28" t="s">
        <v>814</v>
      </c>
      <c r="BC40" s="28" t="s">
        <v>814</v>
      </c>
      <c r="BD40" s="38" t="str">
        <f t="shared" ref="BD40:BD103" si="125">LOWER(CONCATENATE(cel_idcampaign,"-",SUM(10000+ROW(A40))))</f>
        <v>bc-tcr-aaf-dsy-0321-10040</v>
      </c>
      <c r="BE40" s="15" t="str">
        <f t="shared" ref="BE40:BE103" si="126">AU40</f>
        <v>BR</v>
      </c>
      <c r="BF40" s="15" t="str">
        <f t="shared" ref="BF40:BF103" si="127">LOWER(X40)</f>
        <v/>
      </c>
      <c r="BG40" s="28"/>
      <c r="BH40" s="28"/>
      <c r="BI40" s="36" t="e">
        <f t="shared" si="20"/>
        <v>#VALUE!</v>
      </c>
      <c r="BL40" t="str">
        <f t="shared" si="21"/>
        <v>alp_vw__aaf_dsy_sustn_nd_nc_tcr_branded-content_projeto-globoplay_</v>
      </c>
      <c r="BM40" t="e">
        <f t="shared" si="22"/>
        <v>#N/A</v>
      </c>
      <c r="BN40" t="e">
        <f t="shared" si="23"/>
        <v>#VALUE!</v>
      </c>
    </row>
    <row r="41" spans="2:66" ht="15.75" customHeight="1" x14ac:dyDescent="0.25">
      <c r="B41" s="15"/>
      <c r="C41" s="15"/>
      <c r="D41" s="15"/>
      <c r="E41" s="22"/>
      <c r="F41" s="22"/>
      <c r="G41" s="15"/>
      <c r="H41" s="41"/>
      <c r="I41" s="15"/>
      <c r="J41" s="42"/>
      <c r="K41" s="15"/>
      <c r="L41" s="15"/>
      <c r="M41" s="15"/>
      <c r="N41" s="15"/>
      <c r="O41" s="15"/>
      <c r="P41" s="44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 t="e">
        <f t="shared" si="115"/>
        <v>#N/A</v>
      </c>
      <c r="AI41" s="21" t="e">
        <f t="shared" ref="AI41:AJ104" si="128">LOWER(CONCATENATE(col_campanhaanunciante,"_",col_grupoanunciante,"_",col_localfreetype,"_",col_adlid))</f>
        <v>#N/A</v>
      </c>
      <c r="AJ41" s="40" t="e">
        <f t="shared" si="128"/>
        <v>#N/A</v>
      </c>
      <c r="AK41" s="21" t="str">
        <f t="shared" si="2"/>
        <v>vw_t-cross___adserver</v>
      </c>
      <c r="AL41" s="21" t="e">
        <f t="shared" si="116"/>
        <v>#VALUE!</v>
      </c>
      <c r="AM41" s="21" t="str">
        <f t="shared" si="4"/>
        <v>TAG</v>
      </c>
      <c r="AN41" s="15">
        <f t="shared" si="117"/>
        <v>0</v>
      </c>
      <c r="AO41" s="15">
        <f t="shared" si="118"/>
        <v>0</v>
      </c>
      <c r="AP41" s="21" t="str">
        <f>Campanha!$B$3</f>
        <v>BR_AAF_DSY_SUSTN_ND_NC_2021Q1MAR_TCR_Branded-Content</v>
      </c>
      <c r="AQ41" s="21" t="e">
        <f t="shared" si="7"/>
        <v>#N/A</v>
      </c>
      <c r="AR41" s="15" t="s">
        <v>770</v>
      </c>
      <c r="AS41" s="21" t="e">
        <f t="shared" si="8"/>
        <v>#VALUE!</v>
      </c>
      <c r="AT41" s="15" t="str">
        <f t="shared" si="119"/>
        <v/>
      </c>
      <c r="AU41" s="15" t="str">
        <f t="shared" si="10"/>
        <v>BR</v>
      </c>
      <c r="AV41" s="15" t="str">
        <f t="shared" si="120"/>
        <v/>
      </c>
      <c r="AW41" s="15" t="str">
        <f t="shared" si="121"/>
        <v/>
      </c>
      <c r="AX41" s="15" t="str">
        <f t="shared" si="13"/>
        <v>branded-content</v>
      </c>
      <c r="AY41" s="15" t="e">
        <f t="shared" si="122"/>
        <v>#N/A</v>
      </c>
      <c r="AZ41" s="15" t="str">
        <f t="shared" si="123"/>
        <v/>
      </c>
      <c r="BA41" s="15" t="str">
        <f t="shared" si="124"/>
        <v/>
      </c>
      <c r="BB41" s="28" t="s">
        <v>814</v>
      </c>
      <c r="BC41" s="28" t="s">
        <v>814</v>
      </c>
      <c r="BD41" s="38" t="str">
        <f t="shared" si="125"/>
        <v>bc-tcr-aaf-dsy-0321-10041</v>
      </c>
      <c r="BE41" s="15" t="str">
        <f t="shared" si="126"/>
        <v>BR</v>
      </c>
      <c r="BF41" s="15" t="str">
        <f t="shared" si="127"/>
        <v/>
      </c>
      <c r="BG41" s="28"/>
      <c r="BH41" s="28"/>
      <c r="BI41" s="36" t="e">
        <f t="shared" si="20"/>
        <v>#VALUE!</v>
      </c>
      <c r="BL41" t="str">
        <f t="shared" si="21"/>
        <v>alp_vw__aaf_dsy_sustn_nd_nc_tcr_branded-content_projeto-globoplay_</v>
      </c>
      <c r="BM41" t="e">
        <f t="shared" si="22"/>
        <v>#N/A</v>
      </c>
      <c r="BN41" t="e">
        <f t="shared" si="23"/>
        <v>#VALUE!</v>
      </c>
    </row>
    <row r="42" spans="2:66" ht="15.75" customHeight="1" x14ac:dyDescent="0.25">
      <c r="B42" s="15"/>
      <c r="C42" s="15"/>
      <c r="D42" s="15"/>
      <c r="E42" s="22"/>
      <c r="F42" s="22"/>
      <c r="G42" s="15"/>
      <c r="H42" s="41"/>
      <c r="I42" s="15"/>
      <c r="J42" s="42"/>
      <c r="K42" s="15"/>
      <c r="L42" s="15"/>
      <c r="M42" s="15"/>
      <c r="N42" s="15"/>
      <c r="O42" s="15"/>
      <c r="P42" s="44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 t="e">
        <f t="shared" si="115"/>
        <v>#N/A</v>
      </c>
      <c r="AI42" s="21" t="e">
        <f t="shared" si="128"/>
        <v>#N/A</v>
      </c>
      <c r="AJ42" s="40" t="e">
        <f t="shared" si="128"/>
        <v>#N/A</v>
      </c>
      <c r="AK42" s="21" t="str">
        <f t="shared" si="2"/>
        <v>vw_t-cross___adserver</v>
      </c>
      <c r="AL42" s="21" t="e">
        <f t="shared" si="116"/>
        <v>#VALUE!</v>
      </c>
      <c r="AM42" s="21" t="str">
        <f t="shared" si="4"/>
        <v>TAG</v>
      </c>
      <c r="AN42" s="15">
        <f t="shared" si="117"/>
        <v>0</v>
      </c>
      <c r="AO42" s="15">
        <f t="shared" si="118"/>
        <v>0</v>
      </c>
      <c r="AP42" s="21" t="str">
        <f>Campanha!$B$3</f>
        <v>BR_AAF_DSY_SUSTN_ND_NC_2021Q1MAR_TCR_Branded-Content</v>
      </c>
      <c r="AQ42" s="21" t="e">
        <f t="shared" si="7"/>
        <v>#N/A</v>
      </c>
      <c r="AR42" s="15" t="s">
        <v>770</v>
      </c>
      <c r="AS42" s="21" t="e">
        <f t="shared" si="8"/>
        <v>#VALUE!</v>
      </c>
      <c r="AT42" s="15" t="str">
        <f t="shared" si="119"/>
        <v/>
      </c>
      <c r="AU42" s="15" t="str">
        <f t="shared" si="10"/>
        <v>BR</v>
      </c>
      <c r="AV42" s="15" t="str">
        <f t="shared" si="120"/>
        <v/>
      </c>
      <c r="AW42" s="15" t="str">
        <f t="shared" si="121"/>
        <v/>
      </c>
      <c r="AX42" s="15" t="str">
        <f t="shared" si="13"/>
        <v>branded-content</v>
      </c>
      <c r="AY42" s="15" t="e">
        <f t="shared" si="122"/>
        <v>#N/A</v>
      </c>
      <c r="AZ42" s="15" t="str">
        <f t="shared" si="123"/>
        <v/>
      </c>
      <c r="BA42" s="15" t="str">
        <f t="shared" si="124"/>
        <v/>
      </c>
      <c r="BB42" s="28" t="s">
        <v>814</v>
      </c>
      <c r="BC42" s="28" t="s">
        <v>814</v>
      </c>
      <c r="BD42" s="38" t="str">
        <f t="shared" si="125"/>
        <v>bc-tcr-aaf-dsy-0321-10042</v>
      </c>
      <c r="BE42" s="15" t="str">
        <f t="shared" si="126"/>
        <v>BR</v>
      </c>
      <c r="BF42" s="15" t="str">
        <f t="shared" si="127"/>
        <v/>
      </c>
      <c r="BG42" s="28"/>
      <c r="BH42" s="28"/>
      <c r="BI42" s="36" t="e">
        <f t="shared" si="20"/>
        <v>#VALUE!</v>
      </c>
      <c r="BL42" t="str">
        <f t="shared" si="21"/>
        <v>alp_vw__aaf_dsy_sustn_nd_nc_tcr_branded-content_projeto-globoplay_</v>
      </c>
      <c r="BM42" t="e">
        <f t="shared" si="22"/>
        <v>#N/A</v>
      </c>
      <c r="BN42" t="e">
        <f t="shared" si="23"/>
        <v>#VALUE!</v>
      </c>
    </row>
    <row r="43" spans="2:66" ht="15.75" customHeight="1" x14ac:dyDescent="0.25">
      <c r="B43" s="15"/>
      <c r="C43" s="15"/>
      <c r="D43" s="44"/>
      <c r="E43" s="22"/>
      <c r="F43" s="22"/>
      <c r="G43" s="44"/>
      <c r="H43" s="41"/>
      <c r="I43" s="44"/>
      <c r="J43" s="42"/>
      <c r="K43" s="15"/>
      <c r="L43" s="15"/>
      <c r="M43" s="44"/>
      <c r="N43" s="15"/>
      <c r="O43" s="44"/>
      <c r="P43" s="44"/>
      <c r="Q43" s="44"/>
      <c r="R43" s="44"/>
      <c r="S43" s="15"/>
      <c r="T43" s="15"/>
      <c r="U43" s="15"/>
      <c r="V43" s="44"/>
      <c r="W43" s="44"/>
      <c r="X43" s="44"/>
      <c r="Y43" s="15"/>
      <c r="Z43" s="15"/>
      <c r="AA43" s="15"/>
      <c r="AB43" s="15"/>
      <c r="AC43" s="15"/>
      <c r="AD43" s="15"/>
      <c r="AE43" s="15"/>
      <c r="AF43" s="15"/>
      <c r="AG43" s="15"/>
      <c r="AH43" s="15" t="e">
        <f t="shared" si="115"/>
        <v>#N/A</v>
      </c>
      <c r="AI43" s="21" t="e">
        <f t="shared" si="128"/>
        <v>#N/A</v>
      </c>
      <c r="AJ43" s="40" t="e">
        <f t="shared" si="128"/>
        <v>#N/A</v>
      </c>
      <c r="AK43" s="21" t="str">
        <f t="shared" si="2"/>
        <v>vw_t-cross___adserver</v>
      </c>
      <c r="AL43" s="21" t="e">
        <f t="shared" si="116"/>
        <v>#VALUE!</v>
      </c>
      <c r="AM43" s="21" t="str">
        <f t="shared" si="4"/>
        <v>TAG</v>
      </c>
      <c r="AN43" s="15">
        <f t="shared" si="117"/>
        <v>0</v>
      </c>
      <c r="AO43" s="15">
        <f t="shared" si="118"/>
        <v>0</v>
      </c>
      <c r="AP43" s="21" t="str">
        <f>Campanha!$B$3</f>
        <v>BR_AAF_DSY_SUSTN_ND_NC_2021Q1MAR_TCR_Branded-Content</v>
      </c>
      <c r="AQ43" s="21" t="e">
        <f t="shared" si="7"/>
        <v>#N/A</v>
      </c>
      <c r="AR43" s="15" t="s">
        <v>770</v>
      </c>
      <c r="AS43" s="21" t="e">
        <f t="shared" si="8"/>
        <v>#VALUE!</v>
      </c>
      <c r="AT43" s="15" t="str">
        <f t="shared" si="119"/>
        <v/>
      </c>
      <c r="AU43" s="15" t="str">
        <f t="shared" si="10"/>
        <v>BR</v>
      </c>
      <c r="AV43" s="15" t="str">
        <f t="shared" si="120"/>
        <v/>
      </c>
      <c r="AW43" s="15" t="str">
        <f t="shared" si="121"/>
        <v/>
      </c>
      <c r="AX43" s="15" t="str">
        <f t="shared" si="13"/>
        <v>branded-content</v>
      </c>
      <c r="AY43" s="15" t="e">
        <f t="shared" si="122"/>
        <v>#N/A</v>
      </c>
      <c r="AZ43" s="15" t="str">
        <f t="shared" si="123"/>
        <v/>
      </c>
      <c r="BA43" s="15" t="str">
        <f t="shared" si="124"/>
        <v/>
      </c>
      <c r="BB43" s="28" t="s">
        <v>814</v>
      </c>
      <c r="BC43" s="28" t="s">
        <v>814</v>
      </c>
      <c r="BD43" s="38" t="str">
        <f t="shared" si="125"/>
        <v>bc-tcr-aaf-dsy-0321-10043</v>
      </c>
      <c r="BE43" s="15" t="str">
        <f t="shared" si="126"/>
        <v>BR</v>
      </c>
      <c r="BF43" s="15" t="str">
        <f t="shared" si="127"/>
        <v/>
      </c>
      <c r="BG43" s="28"/>
      <c r="BH43" s="28"/>
      <c r="BI43" s="36" t="e">
        <f t="shared" si="20"/>
        <v>#VALUE!</v>
      </c>
      <c r="BL43" t="str">
        <f t="shared" si="21"/>
        <v>alp_vw__aaf_dsy_sustn_nd_nc_tcr_branded-content_projeto-globoplay_</v>
      </c>
      <c r="BM43" t="e">
        <f t="shared" si="22"/>
        <v>#N/A</v>
      </c>
      <c r="BN43" t="e">
        <f t="shared" si="23"/>
        <v>#VALUE!</v>
      </c>
    </row>
    <row r="44" spans="2:66" ht="15.75" customHeight="1" x14ac:dyDescent="0.25">
      <c r="B44" s="15"/>
      <c r="C44" s="15"/>
      <c r="D44" s="44"/>
      <c r="E44" s="22"/>
      <c r="F44" s="22"/>
      <c r="G44" s="44"/>
      <c r="H44" s="41"/>
      <c r="I44" s="44"/>
      <c r="J44" s="42"/>
      <c r="K44" s="15"/>
      <c r="L44" s="15"/>
      <c r="M44" s="44"/>
      <c r="N44" s="15"/>
      <c r="O44" s="44"/>
      <c r="P44" s="44"/>
      <c r="Q44" s="44"/>
      <c r="R44" s="44"/>
      <c r="S44" s="15"/>
      <c r="T44" s="15"/>
      <c r="U44" s="15"/>
      <c r="V44" s="44"/>
      <c r="W44" s="44"/>
      <c r="X44" s="44"/>
      <c r="Y44" s="15"/>
      <c r="Z44" s="15"/>
      <c r="AA44" s="15"/>
      <c r="AB44" s="15"/>
      <c r="AC44" s="15"/>
      <c r="AD44" s="15"/>
      <c r="AE44" s="15"/>
      <c r="AF44" s="15"/>
      <c r="AG44" s="15"/>
      <c r="AH44" s="15" t="e">
        <f t="shared" si="115"/>
        <v>#N/A</v>
      </c>
      <c r="AI44" s="21" t="e">
        <f t="shared" si="128"/>
        <v>#N/A</v>
      </c>
      <c r="AJ44" s="40" t="e">
        <f t="shared" si="128"/>
        <v>#N/A</v>
      </c>
      <c r="AK44" s="21" t="str">
        <f t="shared" si="2"/>
        <v>vw_t-cross___adserver</v>
      </c>
      <c r="AL44" s="21" t="e">
        <f t="shared" si="116"/>
        <v>#VALUE!</v>
      </c>
      <c r="AM44" s="21" t="str">
        <f t="shared" si="4"/>
        <v>TAG</v>
      </c>
      <c r="AN44" s="15">
        <f t="shared" si="117"/>
        <v>0</v>
      </c>
      <c r="AO44" s="15">
        <f t="shared" si="118"/>
        <v>0</v>
      </c>
      <c r="AP44" s="21" t="str">
        <f>Campanha!$B$3</f>
        <v>BR_AAF_DSY_SUSTN_ND_NC_2021Q1MAR_TCR_Branded-Content</v>
      </c>
      <c r="AQ44" s="21" t="e">
        <f t="shared" si="7"/>
        <v>#N/A</v>
      </c>
      <c r="AR44" s="15" t="s">
        <v>770</v>
      </c>
      <c r="AS44" s="21" t="e">
        <f t="shared" si="8"/>
        <v>#VALUE!</v>
      </c>
      <c r="AT44" s="15" t="str">
        <f t="shared" si="119"/>
        <v/>
      </c>
      <c r="AU44" s="15" t="str">
        <f t="shared" si="10"/>
        <v>BR</v>
      </c>
      <c r="AV44" s="15" t="str">
        <f t="shared" si="120"/>
        <v/>
      </c>
      <c r="AW44" s="15" t="str">
        <f t="shared" si="121"/>
        <v/>
      </c>
      <c r="AX44" s="15" t="str">
        <f t="shared" si="13"/>
        <v>branded-content</v>
      </c>
      <c r="AY44" s="15" t="e">
        <f t="shared" si="122"/>
        <v>#N/A</v>
      </c>
      <c r="AZ44" s="15" t="str">
        <f t="shared" si="123"/>
        <v/>
      </c>
      <c r="BA44" s="15" t="str">
        <f t="shared" si="124"/>
        <v/>
      </c>
      <c r="BB44" s="28" t="s">
        <v>814</v>
      </c>
      <c r="BC44" s="28" t="s">
        <v>814</v>
      </c>
      <c r="BD44" s="38" t="str">
        <f t="shared" si="125"/>
        <v>bc-tcr-aaf-dsy-0321-10044</v>
      </c>
      <c r="BE44" s="15" t="str">
        <f t="shared" si="126"/>
        <v>BR</v>
      </c>
      <c r="BF44" s="15" t="str">
        <f t="shared" si="127"/>
        <v/>
      </c>
      <c r="BG44" s="28"/>
      <c r="BH44" s="28"/>
      <c r="BI44" s="36" t="e">
        <f t="shared" si="20"/>
        <v>#VALUE!</v>
      </c>
      <c r="BL44" t="str">
        <f t="shared" si="21"/>
        <v>alp_vw__aaf_dsy_sustn_nd_nc_tcr_branded-content_projeto-globoplay_</v>
      </c>
      <c r="BM44" t="e">
        <f t="shared" si="22"/>
        <v>#N/A</v>
      </c>
      <c r="BN44" t="e">
        <f t="shared" si="23"/>
        <v>#VALUE!</v>
      </c>
    </row>
    <row r="45" spans="2:66" ht="15.75" customHeight="1" x14ac:dyDescent="0.25">
      <c r="B45" s="15"/>
      <c r="C45" s="15"/>
      <c r="D45" s="44"/>
      <c r="E45" s="22"/>
      <c r="F45" s="22"/>
      <c r="G45" s="44"/>
      <c r="H45" s="41"/>
      <c r="I45" s="44"/>
      <c r="J45" s="42"/>
      <c r="K45" s="15"/>
      <c r="L45" s="15"/>
      <c r="M45" s="44"/>
      <c r="N45" s="15"/>
      <c r="O45" s="44"/>
      <c r="P45" s="44"/>
      <c r="Q45" s="44"/>
      <c r="R45" s="44"/>
      <c r="S45" s="15"/>
      <c r="T45" s="15"/>
      <c r="U45" s="15"/>
      <c r="V45" s="44"/>
      <c r="W45" s="44"/>
      <c r="X45" s="44"/>
      <c r="Y45" s="15"/>
      <c r="Z45" s="15"/>
      <c r="AA45" s="15"/>
      <c r="AB45" s="15"/>
      <c r="AC45" s="15"/>
      <c r="AD45" s="15"/>
      <c r="AE45" s="15"/>
      <c r="AF45" s="15"/>
      <c r="AG45" s="15"/>
      <c r="AH45" s="15" t="e">
        <f t="shared" si="115"/>
        <v>#N/A</v>
      </c>
      <c r="AI45" s="21" t="e">
        <f t="shared" si="128"/>
        <v>#N/A</v>
      </c>
      <c r="AJ45" s="40" t="e">
        <f t="shared" si="128"/>
        <v>#N/A</v>
      </c>
      <c r="AK45" s="21" t="str">
        <f t="shared" si="2"/>
        <v>vw_t-cross___adserver</v>
      </c>
      <c r="AL45" s="21" t="e">
        <f t="shared" si="116"/>
        <v>#VALUE!</v>
      </c>
      <c r="AM45" s="21" t="str">
        <f t="shared" si="4"/>
        <v>TAG</v>
      </c>
      <c r="AN45" s="15">
        <f t="shared" si="117"/>
        <v>0</v>
      </c>
      <c r="AO45" s="15">
        <f t="shared" si="118"/>
        <v>0</v>
      </c>
      <c r="AP45" s="21" t="str">
        <f>Campanha!$B$3</f>
        <v>BR_AAF_DSY_SUSTN_ND_NC_2021Q1MAR_TCR_Branded-Content</v>
      </c>
      <c r="AQ45" s="21" t="e">
        <f t="shared" si="7"/>
        <v>#N/A</v>
      </c>
      <c r="AR45" s="15" t="s">
        <v>770</v>
      </c>
      <c r="AS45" s="21" t="e">
        <f t="shared" si="8"/>
        <v>#VALUE!</v>
      </c>
      <c r="AT45" s="15" t="str">
        <f t="shared" si="119"/>
        <v/>
      </c>
      <c r="AU45" s="15" t="str">
        <f t="shared" si="10"/>
        <v>BR</v>
      </c>
      <c r="AV45" s="15" t="str">
        <f t="shared" si="120"/>
        <v/>
      </c>
      <c r="AW45" s="15" t="str">
        <f t="shared" si="121"/>
        <v/>
      </c>
      <c r="AX45" s="15" t="str">
        <f t="shared" si="13"/>
        <v>branded-content</v>
      </c>
      <c r="AY45" s="15" t="e">
        <f t="shared" si="122"/>
        <v>#N/A</v>
      </c>
      <c r="AZ45" s="15" t="str">
        <f t="shared" si="123"/>
        <v/>
      </c>
      <c r="BA45" s="15" t="str">
        <f t="shared" si="124"/>
        <v/>
      </c>
      <c r="BB45" s="28" t="s">
        <v>814</v>
      </c>
      <c r="BC45" s="28" t="s">
        <v>814</v>
      </c>
      <c r="BD45" s="38" t="str">
        <f t="shared" si="125"/>
        <v>bc-tcr-aaf-dsy-0321-10045</v>
      </c>
      <c r="BE45" s="15" t="str">
        <f t="shared" si="126"/>
        <v>BR</v>
      </c>
      <c r="BF45" s="15" t="str">
        <f t="shared" si="127"/>
        <v/>
      </c>
      <c r="BG45" s="28"/>
      <c r="BH45" s="28"/>
      <c r="BI45" s="36" t="e">
        <f t="shared" si="20"/>
        <v>#VALUE!</v>
      </c>
      <c r="BL45" t="str">
        <f t="shared" si="21"/>
        <v>alp_vw__aaf_dsy_sustn_nd_nc_tcr_branded-content_projeto-globoplay_</v>
      </c>
      <c r="BM45" t="e">
        <f t="shared" si="22"/>
        <v>#N/A</v>
      </c>
      <c r="BN45" t="e">
        <f t="shared" si="23"/>
        <v>#VALUE!</v>
      </c>
    </row>
    <row r="46" spans="2:66" ht="15.75" customHeight="1" x14ac:dyDescent="0.25">
      <c r="B46" s="15"/>
      <c r="C46" s="15"/>
      <c r="D46" s="15"/>
      <c r="E46" s="22"/>
      <c r="F46" s="22"/>
      <c r="G46" s="15"/>
      <c r="H46" s="41"/>
      <c r="I46" s="15"/>
      <c r="J46" s="42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 t="e">
        <f t="shared" si="115"/>
        <v>#N/A</v>
      </c>
      <c r="AI46" s="21" t="e">
        <f t="shared" si="128"/>
        <v>#N/A</v>
      </c>
      <c r="AJ46" s="40" t="e">
        <f t="shared" si="128"/>
        <v>#N/A</v>
      </c>
      <c r="AK46" s="21" t="str">
        <f t="shared" si="2"/>
        <v>vw_t-cross___adserver</v>
      </c>
      <c r="AL46" s="21" t="e">
        <f t="shared" si="116"/>
        <v>#VALUE!</v>
      </c>
      <c r="AM46" s="21" t="str">
        <f t="shared" si="4"/>
        <v>TAG</v>
      </c>
      <c r="AN46" s="15">
        <f t="shared" si="117"/>
        <v>0</v>
      </c>
      <c r="AO46" s="15">
        <f t="shared" si="118"/>
        <v>0</v>
      </c>
      <c r="AP46" s="21" t="str">
        <f>Campanha!$B$3</f>
        <v>BR_AAF_DSY_SUSTN_ND_NC_2021Q1MAR_TCR_Branded-Content</v>
      </c>
      <c r="AQ46" s="21" t="e">
        <f t="shared" si="7"/>
        <v>#N/A</v>
      </c>
      <c r="AR46" s="15" t="s">
        <v>770</v>
      </c>
      <c r="AS46" s="21" t="e">
        <f t="shared" si="8"/>
        <v>#VALUE!</v>
      </c>
      <c r="AT46" s="15" t="str">
        <f t="shared" si="119"/>
        <v/>
      </c>
      <c r="AU46" s="15" t="str">
        <f t="shared" si="10"/>
        <v>BR</v>
      </c>
      <c r="AV46" s="15" t="str">
        <f t="shared" si="120"/>
        <v/>
      </c>
      <c r="AW46" s="15" t="str">
        <f t="shared" si="121"/>
        <v/>
      </c>
      <c r="AX46" s="15" t="str">
        <f t="shared" si="13"/>
        <v>branded-content</v>
      </c>
      <c r="AY46" s="15" t="e">
        <f t="shared" si="122"/>
        <v>#N/A</v>
      </c>
      <c r="AZ46" s="15" t="str">
        <f t="shared" si="123"/>
        <v/>
      </c>
      <c r="BA46" s="15" t="str">
        <f t="shared" si="124"/>
        <v/>
      </c>
      <c r="BB46" s="28" t="s">
        <v>814</v>
      </c>
      <c r="BC46" s="28" t="s">
        <v>814</v>
      </c>
      <c r="BD46" s="38" t="str">
        <f t="shared" si="125"/>
        <v>bc-tcr-aaf-dsy-0321-10046</v>
      </c>
      <c r="BE46" s="15" t="str">
        <f t="shared" si="126"/>
        <v>BR</v>
      </c>
      <c r="BF46" s="15" t="str">
        <f t="shared" si="127"/>
        <v/>
      </c>
      <c r="BG46" s="28"/>
      <c r="BH46" s="28"/>
      <c r="BI46" s="36" t="e">
        <f t="shared" si="20"/>
        <v>#VALUE!</v>
      </c>
      <c r="BL46" t="str">
        <f t="shared" si="21"/>
        <v>alp_vw__aaf_dsy_sustn_nd_nc_tcr_branded-content_projeto-globoplay_</v>
      </c>
      <c r="BM46" t="e">
        <f t="shared" si="22"/>
        <v>#N/A</v>
      </c>
      <c r="BN46" t="e">
        <f t="shared" si="23"/>
        <v>#VALUE!</v>
      </c>
    </row>
    <row r="47" spans="2:66" ht="15.75" customHeight="1" x14ac:dyDescent="0.25">
      <c r="B47" s="15"/>
      <c r="C47" s="15"/>
      <c r="D47" s="15"/>
      <c r="E47" s="22"/>
      <c r="F47" s="22"/>
      <c r="G47" s="15"/>
      <c r="H47" s="41"/>
      <c r="I47" s="15"/>
      <c r="J47" s="42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 t="e">
        <f t="shared" si="115"/>
        <v>#N/A</v>
      </c>
      <c r="AI47" s="21" t="e">
        <f t="shared" si="128"/>
        <v>#N/A</v>
      </c>
      <c r="AJ47" s="40" t="e">
        <f t="shared" si="128"/>
        <v>#N/A</v>
      </c>
      <c r="AK47" s="21" t="str">
        <f t="shared" si="2"/>
        <v>vw_t-cross___adserver</v>
      </c>
      <c r="AL47" s="21" t="e">
        <f t="shared" si="116"/>
        <v>#VALUE!</v>
      </c>
      <c r="AM47" s="21" t="str">
        <f t="shared" si="4"/>
        <v>TAG</v>
      </c>
      <c r="AN47" s="15">
        <f t="shared" si="117"/>
        <v>0</v>
      </c>
      <c r="AO47" s="15">
        <f t="shared" si="118"/>
        <v>0</v>
      </c>
      <c r="AP47" s="21" t="str">
        <f>Campanha!$B$3</f>
        <v>BR_AAF_DSY_SUSTN_ND_NC_2021Q1MAR_TCR_Branded-Content</v>
      </c>
      <c r="AQ47" s="21" t="e">
        <f t="shared" si="7"/>
        <v>#N/A</v>
      </c>
      <c r="AR47" s="15" t="s">
        <v>770</v>
      </c>
      <c r="AS47" s="21" t="e">
        <f t="shared" si="8"/>
        <v>#VALUE!</v>
      </c>
      <c r="AT47" s="15" t="str">
        <f t="shared" si="119"/>
        <v/>
      </c>
      <c r="AU47" s="15" t="str">
        <f t="shared" si="10"/>
        <v>BR</v>
      </c>
      <c r="AV47" s="15" t="str">
        <f t="shared" si="120"/>
        <v/>
      </c>
      <c r="AW47" s="15" t="str">
        <f t="shared" si="121"/>
        <v/>
      </c>
      <c r="AX47" s="15" t="str">
        <f t="shared" si="13"/>
        <v>branded-content</v>
      </c>
      <c r="AY47" s="15" t="e">
        <f t="shared" si="122"/>
        <v>#N/A</v>
      </c>
      <c r="AZ47" s="15" t="str">
        <f t="shared" si="123"/>
        <v/>
      </c>
      <c r="BA47" s="15" t="str">
        <f t="shared" si="124"/>
        <v/>
      </c>
      <c r="BB47" s="28" t="s">
        <v>814</v>
      </c>
      <c r="BC47" s="28" t="s">
        <v>814</v>
      </c>
      <c r="BD47" s="38" t="str">
        <f t="shared" si="125"/>
        <v>bc-tcr-aaf-dsy-0321-10047</v>
      </c>
      <c r="BE47" s="15" t="str">
        <f t="shared" si="126"/>
        <v>BR</v>
      </c>
      <c r="BF47" s="15" t="str">
        <f t="shared" si="127"/>
        <v/>
      </c>
      <c r="BG47" s="28"/>
      <c r="BH47" s="28"/>
      <c r="BI47" s="36" t="e">
        <f t="shared" si="20"/>
        <v>#VALUE!</v>
      </c>
      <c r="BL47" t="str">
        <f t="shared" si="21"/>
        <v>alp_vw__aaf_dsy_sustn_nd_nc_tcr_branded-content_projeto-globoplay_</v>
      </c>
      <c r="BM47" t="e">
        <f t="shared" si="22"/>
        <v>#N/A</v>
      </c>
      <c r="BN47" t="e">
        <f t="shared" si="23"/>
        <v>#VALUE!</v>
      </c>
    </row>
    <row r="48" spans="2:66" ht="15.75" customHeight="1" x14ac:dyDescent="0.25">
      <c r="B48" s="15"/>
      <c r="C48" s="15"/>
      <c r="D48" s="15"/>
      <c r="E48" s="22"/>
      <c r="F48" s="22"/>
      <c r="G48" s="15"/>
      <c r="H48" s="41"/>
      <c r="I48" s="15"/>
      <c r="J48" s="42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 t="e">
        <f t="shared" si="115"/>
        <v>#N/A</v>
      </c>
      <c r="AI48" s="21" t="e">
        <f t="shared" si="128"/>
        <v>#N/A</v>
      </c>
      <c r="AJ48" s="40" t="e">
        <f t="shared" si="128"/>
        <v>#N/A</v>
      </c>
      <c r="AK48" s="21" t="str">
        <f t="shared" si="2"/>
        <v>vw_t-cross___adserver</v>
      </c>
      <c r="AL48" s="21" t="e">
        <f t="shared" si="116"/>
        <v>#VALUE!</v>
      </c>
      <c r="AM48" s="21" t="str">
        <f t="shared" si="4"/>
        <v>TAG</v>
      </c>
      <c r="AN48" s="15">
        <f t="shared" si="117"/>
        <v>0</v>
      </c>
      <c r="AO48" s="15">
        <f t="shared" si="118"/>
        <v>0</v>
      </c>
      <c r="AP48" s="21" t="str">
        <f>Campanha!$B$3</f>
        <v>BR_AAF_DSY_SUSTN_ND_NC_2021Q1MAR_TCR_Branded-Content</v>
      </c>
      <c r="AQ48" s="21" t="e">
        <f t="shared" si="7"/>
        <v>#N/A</v>
      </c>
      <c r="AR48" s="15" t="s">
        <v>770</v>
      </c>
      <c r="AS48" s="21" t="e">
        <f t="shared" si="8"/>
        <v>#VALUE!</v>
      </c>
      <c r="AT48" s="15" t="str">
        <f t="shared" si="119"/>
        <v/>
      </c>
      <c r="AU48" s="15" t="str">
        <f t="shared" si="10"/>
        <v>BR</v>
      </c>
      <c r="AV48" s="15" t="str">
        <f t="shared" si="120"/>
        <v/>
      </c>
      <c r="AW48" s="15" t="str">
        <f t="shared" si="121"/>
        <v/>
      </c>
      <c r="AX48" s="15" t="str">
        <f t="shared" si="13"/>
        <v>branded-content</v>
      </c>
      <c r="AY48" s="15" t="e">
        <f t="shared" si="122"/>
        <v>#N/A</v>
      </c>
      <c r="AZ48" s="15" t="str">
        <f t="shared" si="123"/>
        <v/>
      </c>
      <c r="BA48" s="15" t="str">
        <f t="shared" si="124"/>
        <v/>
      </c>
      <c r="BB48" s="28" t="s">
        <v>814</v>
      </c>
      <c r="BC48" s="28" t="s">
        <v>814</v>
      </c>
      <c r="BD48" s="38" t="str">
        <f t="shared" si="125"/>
        <v>bc-tcr-aaf-dsy-0321-10048</v>
      </c>
      <c r="BE48" s="15" t="str">
        <f t="shared" si="126"/>
        <v>BR</v>
      </c>
      <c r="BF48" s="15" t="str">
        <f t="shared" si="127"/>
        <v/>
      </c>
      <c r="BG48" s="28"/>
      <c r="BH48" s="28"/>
      <c r="BI48" s="36" t="e">
        <f t="shared" si="20"/>
        <v>#VALUE!</v>
      </c>
      <c r="BL48" t="str">
        <f t="shared" si="21"/>
        <v>alp_vw__aaf_dsy_sustn_nd_nc_tcr_branded-content_projeto-globoplay_</v>
      </c>
      <c r="BM48" t="e">
        <f t="shared" si="22"/>
        <v>#N/A</v>
      </c>
      <c r="BN48" t="e">
        <f t="shared" si="23"/>
        <v>#VALUE!</v>
      </c>
    </row>
    <row r="49" spans="2:66" ht="15.75" customHeight="1" x14ac:dyDescent="0.25">
      <c r="B49" s="15"/>
      <c r="C49" s="15"/>
      <c r="D49" s="44"/>
      <c r="E49" s="22"/>
      <c r="F49" s="22"/>
      <c r="G49" s="44"/>
      <c r="H49" s="41"/>
      <c r="I49" s="44"/>
      <c r="J49" s="42"/>
      <c r="K49" s="15"/>
      <c r="L49" s="15"/>
      <c r="M49" s="44"/>
      <c r="N49" s="15"/>
      <c r="O49" s="44"/>
      <c r="P49" s="44"/>
      <c r="Q49" s="44"/>
      <c r="R49" s="44"/>
      <c r="S49" s="15"/>
      <c r="T49" s="15"/>
      <c r="U49" s="15"/>
      <c r="V49" s="44"/>
      <c r="W49" s="44"/>
      <c r="X49" s="44"/>
      <c r="Y49" s="15"/>
      <c r="Z49" s="15"/>
      <c r="AA49" s="15"/>
      <c r="AB49" s="15"/>
      <c r="AC49" s="15"/>
      <c r="AD49" s="15"/>
      <c r="AE49" s="15"/>
      <c r="AF49" s="15"/>
      <c r="AG49" s="15"/>
      <c r="AH49" s="15" t="e">
        <f t="shared" si="115"/>
        <v>#N/A</v>
      </c>
      <c r="AI49" s="21" t="e">
        <f t="shared" si="128"/>
        <v>#N/A</v>
      </c>
      <c r="AJ49" s="40" t="e">
        <f t="shared" si="128"/>
        <v>#N/A</v>
      </c>
      <c r="AK49" s="21" t="str">
        <f t="shared" si="2"/>
        <v>vw_t-cross___adserver</v>
      </c>
      <c r="AL49" s="21" t="e">
        <f t="shared" si="116"/>
        <v>#VALUE!</v>
      </c>
      <c r="AM49" s="21" t="str">
        <f t="shared" si="4"/>
        <v>TAG</v>
      </c>
      <c r="AN49" s="15">
        <f t="shared" si="117"/>
        <v>0</v>
      </c>
      <c r="AO49" s="15">
        <f t="shared" si="118"/>
        <v>0</v>
      </c>
      <c r="AP49" s="21" t="str">
        <f>Campanha!$B$3</f>
        <v>BR_AAF_DSY_SUSTN_ND_NC_2021Q1MAR_TCR_Branded-Content</v>
      </c>
      <c r="AQ49" s="21" t="e">
        <f t="shared" si="7"/>
        <v>#N/A</v>
      </c>
      <c r="AR49" s="15" t="s">
        <v>770</v>
      </c>
      <c r="AS49" s="21" t="e">
        <f t="shared" si="8"/>
        <v>#VALUE!</v>
      </c>
      <c r="AT49" s="15" t="str">
        <f t="shared" si="119"/>
        <v/>
      </c>
      <c r="AU49" s="15" t="str">
        <f t="shared" si="10"/>
        <v>BR</v>
      </c>
      <c r="AV49" s="15" t="str">
        <f t="shared" si="120"/>
        <v/>
      </c>
      <c r="AW49" s="15" t="str">
        <f t="shared" si="121"/>
        <v/>
      </c>
      <c r="AX49" s="15" t="str">
        <f t="shared" si="13"/>
        <v>branded-content</v>
      </c>
      <c r="AY49" s="15" t="e">
        <f t="shared" si="122"/>
        <v>#N/A</v>
      </c>
      <c r="AZ49" s="15" t="str">
        <f t="shared" si="123"/>
        <v/>
      </c>
      <c r="BA49" s="15" t="str">
        <f t="shared" si="124"/>
        <v/>
      </c>
      <c r="BB49" s="28" t="s">
        <v>814</v>
      </c>
      <c r="BC49" s="28" t="s">
        <v>814</v>
      </c>
      <c r="BD49" s="38" t="str">
        <f t="shared" si="125"/>
        <v>bc-tcr-aaf-dsy-0321-10049</v>
      </c>
      <c r="BE49" s="15" t="str">
        <f t="shared" si="126"/>
        <v>BR</v>
      </c>
      <c r="BF49" s="15" t="str">
        <f t="shared" si="127"/>
        <v/>
      </c>
      <c r="BG49" s="28"/>
      <c r="BH49" s="28"/>
      <c r="BI49" s="36" t="e">
        <f t="shared" si="20"/>
        <v>#VALUE!</v>
      </c>
      <c r="BL49" t="str">
        <f t="shared" si="21"/>
        <v>alp_vw__aaf_dsy_sustn_nd_nc_tcr_branded-content_projeto-globoplay_</v>
      </c>
      <c r="BM49" t="e">
        <f t="shared" si="22"/>
        <v>#N/A</v>
      </c>
      <c r="BN49" t="e">
        <f t="shared" si="23"/>
        <v>#VALUE!</v>
      </c>
    </row>
    <row r="50" spans="2:66" ht="15.75" customHeight="1" x14ac:dyDescent="0.25">
      <c r="B50" s="15"/>
      <c r="C50" s="15"/>
      <c r="D50" s="44"/>
      <c r="E50" s="22"/>
      <c r="F50" s="22"/>
      <c r="G50" s="44"/>
      <c r="H50" s="41"/>
      <c r="I50" s="44"/>
      <c r="J50" s="42"/>
      <c r="K50" s="15"/>
      <c r="L50" s="15"/>
      <c r="M50" s="44"/>
      <c r="N50" s="15"/>
      <c r="O50" s="44"/>
      <c r="P50" s="44"/>
      <c r="Q50" s="44"/>
      <c r="R50" s="44"/>
      <c r="S50" s="15"/>
      <c r="T50" s="15"/>
      <c r="U50" s="15"/>
      <c r="V50" s="44"/>
      <c r="W50" s="44"/>
      <c r="X50" s="44"/>
      <c r="Y50" s="15"/>
      <c r="Z50" s="15"/>
      <c r="AA50" s="15"/>
      <c r="AB50" s="15"/>
      <c r="AC50" s="15"/>
      <c r="AD50" s="15"/>
      <c r="AE50" s="15"/>
      <c r="AF50" s="15"/>
      <c r="AG50" s="15"/>
      <c r="AH50" s="15" t="e">
        <f t="shared" si="115"/>
        <v>#N/A</v>
      </c>
      <c r="AI50" s="21" t="e">
        <f t="shared" si="128"/>
        <v>#N/A</v>
      </c>
      <c r="AJ50" s="40" t="e">
        <f t="shared" si="128"/>
        <v>#N/A</v>
      </c>
      <c r="AK50" s="21" t="str">
        <f t="shared" si="2"/>
        <v>vw_t-cross___adserver</v>
      </c>
      <c r="AL50" s="21" t="e">
        <f t="shared" si="116"/>
        <v>#VALUE!</v>
      </c>
      <c r="AM50" s="21" t="str">
        <f t="shared" si="4"/>
        <v>TAG</v>
      </c>
      <c r="AN50" s="15">
        <f t="shared" si="117"/>
        <v>0</v>
      </c>
      <c r="AO50" s="15">
        <f t="shared" si="118"/>
        <v>0</v>
      </c>
      <c r="AP50" s="21" t="str">
        <f>Campanha!$B$3</f>
        <v>BR_AAF_DSY_SUSTN_ND_NC_2021Q1MAR_TCR_Branded-Content</v>
      </c>
      <c r="AQ50" s="21" t="e">
        <f t="shared" si="7"/>
        <v>#N/A</v>
      </c>
      <c r="AR50" s="15" t="s">
        <v>770</v>
      </c>
      <c r="AS50" s="21" t="e">
        <f t="shared" si="8"/>
        <v>#VALUE!</v>
      </c>
      <c r="AT50" s="15" t="str">
        <f t="shared" si="119"/>
        <v/>
      </c>
      <c r="AU50" s="15" t="str">
        <f t="shared" si="10"/>
        <v>BR</v>
      </c>
      <c r="AV50" s="15" t="str">
        <f t="shared" si="120"/>
        <v/>
      </c>
      <c r="AW50" s="15" t="str">
        <f t="shared" si="121"/>
        <v/>
      </c>
      <c r="AX50" s="15" t="str">
        <f t="shared" si="13"/>
        <v>branded-content</v>
      </c>
      <c r="AY50" s="15" t="e">
        <f t="shared" si="122"/>
        <v>#N/A</v>
      </c>
      <c r="AZ50" s="15" t="str">
        <f t="shared" si="123"/>
        <v/>
      </c>
      <c r="BA50" s="15" t="str">
        <f t="shared" si="124"/>
        <v/>
      </c>
      <c r="BB50" s="28" t="s">
        <v>814</v>
      </c>
      <c r="BC50" s="28" t="s">
        <v>814</v>
      </c>
      <c r="BD50" s="38" t="str">
        <f t="shared" si="125"/>
        <v>bc-tcr-aaf-dsy-0321-10050</v>
      </c>
      <c r="BE50" s="15" t="str">
        <f t="shared" si="126"/>
        <v>BR</v>
      </c>
      <c r="BF50" s="15" t="str">
        <f t="shared" si="127"/>
        <v/>
      </c>
      <c r="BG50" s="28"/>
      <c r="BH50" s="28"/>
      <c r="BI50" s="36" t="e">
        <f t="shared" si="20"/>
        <v>#VALUE!</v>
      </c>
      <c r="BL50" t="str">
        <f t="shared" si="21"/>
        <v>alp_vw__aaf_dsy_sustn_nd_nc_tcr_branded-content_projeto-globoplay_</v>
      </c>
      <c r="BM50" t="e">
        <f t="shared" si="22"/>
        <v>#N/A</v>
      </c>
      <c r="BN50" t="e">
        <f t="shared" si="23"/>
        <v>#VALUE!</v>
      </c>
    </row>
    <row r="51" spans="2:66" ht="15.75" customHeight="1" x14ac:dyDescent="0.25">
      <c r="B51" s="15"/>
      <c r="C51" s="15"/>
      <c r="D51" s="44"/>
      <c r="E51" s="22"/>
      <c r="F51" s="22"/>
      <c r="G51" s="44"/>
      <c r="H51" s="41"/>
      <c r="I51" s="44"/>
      <c r="J51" s="42"/>
      <c r="K51" s="15"/>
      <c r="L51" s="15"/>
      <c r="M51" s="44"/>
      <c r="N51" s="15"/>
      <c r="O51" s="44"/>
      <c r="P51" s="44"/>
      <c r="Q51" s="44"/>
      <c r="R51" s="44"/>
      <c r="S51" s="15"/>
      <c r="T51" s="15"/>
      <c r="U51" s="15"/>
      <c r="V51" s="44"/>
      <c r="W51" s="44"/>
      <c r="X51" s="44"/>
      <c r="Y51" s="15"/>
      <c r="Z51" s="15"/>
      <c r="AA51" s="15"/>
      <c r="AB51" s="15"/>
      <c r="AC51" s="15"/>
      <c r="AD51" s="15"/>
      <c r="AE51" s="15"/>
      <c r="AF51" s="15"/>
      <c r="AG51" s="15"/>
      <c r="AH51" s="15" t="e">
        <f t="shared" si="115"/>
        <v>#N/A</v>
      </c>
      <c r="AI51" s="21" t="e">
        <f t="shared" si="128"/>
        <v>#N/A</v>
      </c>
      <c r="AJ51" s="40" t="e">
        <f t="shared" si="128"/>
        <v>#N/A</v>
      </c>
      <c r="AK51" s="21" t="str">
        <f t="shared" si="2"/>
        <v>vw_t-cross___adserver</v>
      </c>
      <c r="AL51" s="21" t="e">
        <f t="shared" si="116"/>
        <v>#VALUE!</v>
      </c>
      <c r="AM51" s="21" t="str">
        <f t="shared" si="4"/>
        <v>TAG</v>
      </c>
      <c r="AN51" s="15">
        <f t="shared" si="117"/>
        <v>0</v>
      </c>
      <c r="AO51" s="15">
        <f t="shared" si="118"/>
        <v>0</v>
      </c>
      <c r="AP51" s="21" t="str">
        <f>Campanha!$B$3</f>
        <v>BR_AAF_DSY_SUSTN_ND_NC_2021Q1MAR_TCR_Branded-Content</v>
      </c>
      <c r="AQ51" s="21" t="e">
        <f t="shared" si="7"/>
        <v>#N/A</v>
      </c>
      <c r="AR51" s="15" t="s">
        <v>770</v>
      </c>
      <c r="AS51" s="21" t="e">
        <f t="shared" si="8"/>
        <v>#VALUE!</v>
      </c>
      <c r="AT51" s="15" t="str">
        <f t="shared" si="119"/>
        <v/>
      </c>
      <c r="AU51" s="15" t="str">
        <f t="shared" si="10"/>
        <v>BR</v>
      </c>
      <c r="AV51" s="15" t="str">
        <f t="shared" si="120"/>
        <v/>
      </c>
      <c r="AW51" s="15" t="str">
        <f t="shared" si="121"/>
        <v/>
      </c>
      <c r="AX51" s="15" t="str">
        <f t="shared" si="13"/>
        <v>branded-content</v>
      </c>
      <c r="AY51" s="15" t="e">
        <f t="shared" si="122"/>
        <v>#N/A</v>
      </c>
      <c r="AZ51" s="15" t="str">
        <f t="shared" si="123"/>
        <v/>
      </c>
      <c r="BA51" s="15" t="str">
        <f t="shared" si="124"/>
        <v/>
      </c>
      <c r="BB51" s="28" t="s">
        <v>814</v>
      </c>
      <c r="BC51" s="28" t="s">
        <v>814</v>
      </c>
      <c r="BD51" s="38" t="str">
        <f t="shared" si="125"/>
        <v>bc-tcr-aaf-dsy-0321-10051</v>
      </c>
      <c r="BE51" s="15" t="str">
        <f t="shared" si="126"/>
        <v>BR</v>
      </c>
      <c r="BF51" s="15" t="str">
        <f t="shared" si="127"/>
        <v/>
      </c>
      <c r="BG51" s="28"/>
      <c r="BH51" s="28"/>
      <c r="BI51" s="36" t="e">
        <f t="shared" si="20"/>
        <v>#VALUE!</v>
      </c>
      <c r="BL51" t="str">
        <f t="shared" si="21"/>
        <v>alp_vw__aaf_dsy_sustn_nd_nc_tcr_branded-content_projeto-globoplay_</v>
      </c>
      <c r="BM51" t="e">
        <f t="shared" si="22"/>
        <v>#N/A</v>
      </c>
      <c r="BN51" t="e">
        <f t="shared" si="23"/>
        <v>#VALUE!</v>
      </c>
    </row>
    <row r="52" spans="2:66" ht="15.75" customHeight="1" x14ac:dyDescent="0.25">
      <c r="B52" s="15"/>
      <c r="C52" s="15"/>
      <c r="D52" s="15"/>
      <c r="E52" s="22"/>
      <c r="F52" s="22"/>
      <c r="G52" s="15"/>
      <c r="H52" s="41"/>
      <c r="I52" s="15"/>
      <c r="J52" s="42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 t="e">
        <f t="shared" si="115"/>
        <v>#N/A</v>
      </c>
      <c r="AI52" s="21" t="e">
        <f t="shared" si="128"/>
        <v>#N/A</v>
      </c>
      <c r="AJ52" s="40" t="e">
        <f t="shared" si="128"/>
        <v>#N/A</v>
      </c>
      <c r="AK52" s="21" t="str">
        <f t="shared" si="2"/>
        <v>vw_t-cross___adserver</v>
      </c>
      <c r="AL52" s="21" t="e">
        <f t="shared" si="116"/>
        <v>#VALUE!</v>
      </c>
      <c r="AM52" s="21" t="str">
        <f t="shared" si="4"/>
        <v>TAG</v>
      </c>
      <c r="AN52" s="15">
        <f t="shared" si="117"/>
        <v>0</v>
      </c>
      <c r="AO52" s="15">
        <f t="shared" si="118"/>
        <v>0</v>
      </c>
      <c r="AP52" s="21" t="str">
        <f>Campanha!$B$3</f>
        <v>BR_AAF_DSY_SUSTN_ND_NC_2021Q1MAR_TCR_Branded-Content</v>
      </c>
      <c r="AQ52" s="21" t="e">
        <f t="shared" si="7"/>
        <v>#N/A</v>
      </c>
      <c r="AR52" s="15" t="s">
        <v>770</v>
      </c>
      <c r="AS52" s="21" t="e">
        <f t="shared" si="8"/>
        <v>#VALUE!</v>
      </c>
      <c r="AT52" s="15" t="str">
        <f t="shared" si="119"/>
        <v/>
      </c>
      <c r="AU52" s="15" t="str">
        <f t="shared" si="10"/>
        <v>BR</v>
      </c>
      <c r="AV52" s="15" t="str">
        <f t="shared" si="120"/>
        <v/>
      </c>
      <c r="AW52" s="15" t="str">
        <f t="shared" si="121"/>
        <v/>
      </c>
      <c r="AX52" s="15" t="str">
        <f t="shared" si="13"/>
        <v>branded-content</v>
      </c>
      <c r="AY52" s="15" t="e">
        <f t="shared" si="122"/>
        <v>#N/A</v>
      </c>
      <c r="AZ52" s="15" t="str">
        <f t="shared" si="123"/>
        <v/>
      </c>
      <c r="BA52" s="15" t="str">
        <f t="shared" si="124"/>
        <v/>
      </c>
      <c r="BB52" s="28" t="s">
        <v>814</v>
      </c>
      <c r="BC52" s="28" t="s">
        <v>814</v>
      </c>
      <c r="BD52" s="38" t="str">
        <f t="shared" si="125"/>
        <v>bc-tcr-aaf-dsy-0321-10052</v>
      </c>
      <c r="BE52" s="15" t="str">
        <f t="shared" si="126"/>
        <v>BR</v>
      </c>
      <c r="BF52" s="15" t="str">
        <f t="shared" si="127"/>
        <v/>
      </c>
      <c r="BG52" s="28"/>
      <c r="BH52" s="28"/>
      <c r="BI52" s="36" t="e">
        <f t="shared" si="20"/>
        <v>#VALUE!</v>
      </c>
      <c r="BL52" t="str">
        <f t="shared" si="21"/>
        <v>alp_vw__aaf_dsy_sustn_nd_nc_tcr_branded-content_projeto-globoplay_</v>
      </c>
      <c r="BM52" t="e">
        <f t="shared" si="22"/>
        <v>#N/A</v>
      </c>
      <c r="BN52" t="e">
        <f t="shared" si="23"/>
        <v>#VALUE!</v>
      </c>
    </row>
    <row r="53" spans="2:66" ht="15.75" customHeight="1" x14ac:dyDescent="0.25">
      <c r="B53" s="15"/>
      <c r="C53" s="15"/>
      <c r="D53" s="15"/>
      <c r="E53" s="22"/>
      <c r="F53" s="22"/>
      <c r="G53" s="15"/>
      <c r="H53" s="41"/>
      <c r="I53" s="15"/>
      <c r="J53" s="42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 t="e">
        <f t="shared" si="115"/>
        <v>#N/A</v>
      </c>
      <c r="AI53" s="21" t="e">
        <f t="shared" si="128"/>
        <v>#N/A</v>
      </c>
      <c r="AJ53" s="40" t="e">
        <f t="shared" si="128"/>
        <v>#N/A</v>
      </c>
      <c r="AK53" s="21" t="str">
        <f t="shared" si="2"/>
        <v>vw_t-cross___adserver</v>
      </c>
      <c r="AL53" s="21" t="e">
        <f t="shared" si="116"/>
        <v>#VALUE!</v>
      </c>
      <c r="AM53" s="21" t="str">
        <f t="shared" si="4"/>
        <v>TAG</v>
      </c>
      <c r="AN53" s="15">
        <f t="shared" si="117"/>
        <v>0</v>
      </c>
      <c r="AO53" s="15">
        <f t="shared" si="118"/>
        <v>0</v>
      </c>
      <c r="AP53" s="21" t="str">
        <f>Campanha!$B$3</f>
        <v>BR_AAF_DSY_SUSTN_ND_NC_2021Q1MAR_TCR_Branded-Content</v>
      </c>
      <c r="AQ53" s="21" t="e">
        <f t="shared" si="7"/>
        <v>#N/A</v>
      </c>
      <c r="AR53" s="15" t="s">
        <v>770</v>
      </c>
      <c r="AS53" s="21" t="e">
        <f t="shared" si="8"/>
        <v>#VALUE!</v>
      </c>
      <c r="AT53" s="15" t="str">
        <f t="shared" si="119"/>
        <v/>
      </c>
      <c r="AU53" s="15" t="str">
        <f t="shared" si="10"/>
        <v>BR</v>
      </c>
      <c r="AV53" s="15" t="str">
        <f t="shared" si="120"/>
        <v/>
      </c>
      <c r="AW53" s="15" t="str">
        <f t="shared" si="121"/>
        <v/>
      </c>
      <c r="AX53" s="15" t="str">
        <f t="shared" si="13"/>
        <v>branded-content</v>
      </c>
      <c r="AY53" s="15" t="e">
        <f t="shared" si="122"/>
        <v>#N/A</v>
      </c>
      <c r="AZ53" s="15" t="str">
        <f t="shared" si="123"/>
        <v/>
      </c>
      <c r="BA53" s="15" t="str">
        <f t="shared" si="124"/>
        <v/>
      </c>
      <c r="BB53" s="28" t="s">
        <v>814</v>
      </c>
      <c r="BC53" s="28" t="s">
        <v>814</v>
      </c>
      <c r="BD53" s="38" t="str">
        <f t="shared" si="125"/>
        <v>bc-tcr-aaf-dsy-0321-10053</v>
      </c>
      <c r="BE53" s="15" t="str">
        <f t="shared" si="126"/>
        <v>BR</v>
      </c>
      <c r="BF53" s="15" t="str">
        <f t="shared" si="127"/>
        <v/>
      </c>
      <c r="BG53" s="28"/>
      <c r="BH53" s="28"/>
      <c r="BI53" s="36" t="e">
        <f t="shared" si="20"/>
        <v>#VALUE!</v>
      </c>
      <c r="BL53" t="str">
        <f t="shared" si="21"/>
        <v>alp_vw__aaf_dsy_sustn_nd_nc_tcr_branded-content_projeto-globoplay_</v>
      </c>
      <c r="BM53" t="e">
        <f t="shared" si="22"/>
        <v>#N/A</v>
      </c>
      <c r="BN53" t="e">
        <f t="shared" si="23"/>
        <v>#VALUE!</v>
      </c>
    </row>
    <row r="54" spans="2:66" ht="15.75" customHeight="1" x14ac:dyDescent="0.25">
      <c r="B54" s="15"/>
      <c r="C54" s="15"/>
      <c r="D54" s="44"/>
      <c r="E54" s="22"/>
      <c r="F54" s="22"/>
      <c r="G54" s="44"/>
      <c r="H54" s="41"/>
      <c r="I54" s="44"/>
      <c r="J54" s="42"/>
      <c r="K54" s="15"/>
      <c r="L54" s="15"/>
      <c r="M54" s="44"/>
      <c r="N54" s="15"/>
      <c r="O54" s="44"/>
      <c r="P54" s="44"/>
      <c r="Q54" s="44"/>
      <c r="R54" s="44"/>
      <c r="S54" s="15"/>
      <c r="T54" s="15"/>
      <c r="U54" s="15"/>
      <c r="V54" s="44"/>
      <c r="W54" s="44"/>
      <c r="X54" s="44"/>
      <c r="Y54" s="15"/>
      <c r="Z54" s="15"/>
      <c r="AA54" s="15"/>
      <c r="AB54" s="15"/>
      <c r="AC54" s="15"/>
      <c r="AD54" s="15"/>
      <c r="AE54" s="15"/>
      <c r="AF54" s="15"/>
      <c r="AG54" s="15"/>
      <c r="AH54" s="15" t="e">
        <f t="shared" si="115"/>
        <v>#N/A</v>
      </c>
      <c r="AI54" s="21" t="e">
        <f t="shared" si="128"/>
        <v>#N/A</v>
      </c>
      <c r="AJ54" s="40" t="e">
        <f t="shared" si="128"/>
        <v>#N/A</v>
      </c>
      <c r="AK54" s="21" t="str">
        <f t="shared" si="2"/>
        <v>vw_t-cross___adserver</v>
      </c>
      <c r="AL54" s="21" t="e">
        <f t="shared" si="116"/>
        <v>#VALUE!</v>
      </c>
      <c r="AM54" s="21" t="str">
        <f t="shared" si="4"/>
        <v>TAG</v>
      </c>
      <c r="AN54" s="15">
        <f t="shared" si="117"/>
        <v>0</v>
      </c>
      <c r="AO54" s="15">
        <f t="shared" si="118"/>
        <v>0</v>
      </c>
      <c r="AP54" s="21" t="str">
        <f>Campanha!$B$3</f>
        <v>BR_AAF_DSY_SUSTN_ND_NC_2021Q1MAR_TCR_Branded-Content</v>
      </c>
      <c r="AQ54" s="21" t="e">
        <f t="shared" si="7"/>
        <v>#N/A</v>
      </c>
      <c r="AR54" s="15" t="s">
        <v>770</v>
      </c>
      <c r="AS54" s="21" t="e">
        <f t="shared" si="8"/>
        <v>#VALUE!</v>
      </c>
      <c r="AT54" s="15" t="str">
        <f t="shared" si="119"/>
        <v/>
      </c>
      <c r="AU54" s="15" t="str">
        <f t="shared" si="10"/>
        <v>BR</v>
      </c>
      <c r="AV54" s="15" t="str">
        <f t="shared" si="120"/>
        <v/>
      </c>
      <c r="AW54" s="15" t="str">
        <f t="shared" si="121"/>
        <v/>
      </c>
      <c r="AX54" s="15" t="str">
        <f t="shared" si="13"/>
        <v>branded-content</v>
      </c>
      <c r="AY54" s="15" t="e">
        <f t="shared" si="122"/>
        <v>#N/A</v>
      </c>
      <c r="AZ54" s="15" t="str">
        <f t="shared" si="123"/>
        <v/>
      </c>
      <c r="BA54" s="15" t="str">
        <f t="shared" si="124"/>
        <v/>
      </c>
      <c r="BB54" s="28" t="s">
        <v>814</v>
      </c>
      <c r="BC54" s="28" t="s">
        <v>814</v>
      </c>
      <c r="BD54" s="38" t="str">
        <f t="shared" si="125"/>
        <v>bc-tcr-aaf-dsy-0321-10054</v>
      </c>
      <c r="BE54" s="15" t="str">
        <f t="shared" si="126"/>
        <v>BR</v>
      </c>
      <c r="BF54" s="15" t="str">
        <f t="shared" si="127"/>
        <v/>
      </c>
      <c r="BG54" s="28"/>
      <c r="BH54" s="28"/>
      <c r="BI54" s="36" t="e">
        <f t="shared" si="20"/>
        <v>#VALUE!</v>
      </c>
      <c r="BL54" t="str">
        <f t="shared" si="21"/>
        <v>alp_vw__aaf_dsy_sustn_nd_nc_tcr_branded-content_projeto-globoplay_</v>
      </c>
      <c r="BM54" t="e">
        <f t="shared" si="22"/>
        <v>#N/A</v>
      </c>
      <c r="BN54" t="e">
        <f t="shared" si="23"/>
        <v>#VALUE!</v>
      </c>
    </row>
    <row r="55" spans="2:66" ht="15.75" customHeight="1" x14ac:dyDescent="0.25">
      <c r="B55" s="15"/>
      <c r="C55" s="15"/>
      <c r="D55" s="44"/>
      <c r="E55" s="22"/>
      <c r="F55" s="22"/>
      <c r="G55" s="44"/>
      <c r="H55" s="41"/>
      <c r="I55" s="44"/>
      <c r="J55" s="42"/>
      <c r="K55" s="15"/>
      <c r="L55" s="15"/>
      <c r="M55" s="44"/>
      <c r="N55" s="15"/>
      <c r="O55" s="44"/>
      <c r="P55" s="44"/>
      <c r="Q55" s="44"/>
      <c r="R55" s="44"/>
      <c r="S55" s="15"/>
      <c r="T55" s="15"/>
      <c r="U55" s="15"/>
      <c r="V55" s="44"/>
      <c r="W55" s="44"/>
      <c r="X55" s="44"/>
      <c r="Y55" s="15"/>
      <c r="Z55" s="15"/>
      <c r="AA55" s="15"/>
      <c r="AB55" s="15"/>
      <c r="AC55" s="15"/>
      <c r="AD55" s="15"/>
      <c r="AE55" s="15"/>
      <c r="AF55" s="15"/>
      <c r="AG55" s="15"/>
      <c r="AH55" s="15" t="e">
        <f t="shared" si="115"/>
        <v>#N/A</v>
      </c>
      <c r="AI55" s="21" t="e">
        <f t="shared" si="128"/>
        <v>#N/A</v>
      </c>
      <c r="AJ55" s="40" t="e">
        <f t="shared" si="128"/>
        <v>#N/A</v>
      </c>
      <c r="AK55" s="21" t="str">
        <f t="shared" si="2"/>
        <v>vw_t-cross___adserver</v>
      </c>
      <c r="AL55" s="21" t="e">
        <f t="shared" si="116"/>
        <v>#VALUE!</v>
      </c>
      <c r="AM55" s="21" t="str">
        <f t="shared" si="4"/>
        <v>TAG</v>
      </c>
      <c r="AN55" s="15">
        <f t="shared" si="117"/>
        <v>0</v>
      </c>
      <c r="AO55" s="15">
        <f t="shared" si="118"/>
        <v>0</v>
      </c>
      <c r="AP55" s="21" t="str">
        <f>Campanha!$B$3</f>
        <v>BR_AAF_DSY_SUSTN_ND_NC_2021Q1MAR_TCR_Branded-Content</v>
      </c>
      <c r="AQ55" s="21" t="e">
        <f t="shared" si="7"/>
        <v>#N/A</v>
      </c>
      <c r="AR55" s="15" t="s">
        <v>770</v>
      </c>
      <c r="AS55" s="21" t="e">
        <f t="shared" si="8"/>
        <v>#VALUE!</v>
      </c>
      <c r="AT55" s="15" t="str">
        <f t="shared" si="119"/>
        <v/>
      </c>
      <c r="AU55" s="15" t="str">
        <f t="shared" si="10"/>
        <v>BR</v>
      </c>
      <c r="AV55" s="15" t="str">
        <f t="shared" si="120"/>
        <v/>
      </c>
      <c r="AW55" s="15" t="str">
        <f t="shared" si="121"/>
        <v/>
      </c>
      <c r="AX55" s="15" t="str">
        <f t="shared" si="13"/>
        <v>branded-content</v>
      </c>
      <c r="AY55" s="15" t="e">
        <f t="shared" si="122"/>
        <v>#N/A</v>
      </c>
      <c r="AZ55" s="15" t="str">
        <f t="shared" si="123"/>
        <v/>
      </c>
      <c r="BA55" s="15" t="str">
        <f t="shared" si="124"/>
        <v/>
      </c>
      <c r="BB55" s="28" t="s">
        <v>814</v>
      </c>
      <c r="BC55" s="28" t="s">
        <v>814</v>
      </c>
      <c r="BD55" s="38" t="str">
        <f t="shared" si="125"/>
        <v>bc-tcr-aaf-dsy-0321-10055</v>
      </c>
      <c r="BE55" s="15" t="str">
        <f t="shared" si="126"/>
        <v>BR</v>
      </c>
      <c r="BF55" s="15" t="str">
        <f t="shared" si="127"/>
        <v/>
      </c>
      <c r="BG55" s="28"/>
      <c r="BH55" s="28"/>
      <c r="BI55" s="36" t="e">
        <f t="shared" si="20"/>
        <v>#VALUE!</v>
      </c>
      <c r="BL55" t="str">
        <f t="shared" si="21"/>
        <v>alp_vw__aaf_dsy_sustn_nd_nc_tcr_branded-content_projeto-globoplay_</v>
      </c>
      <c r="BM55" t="e">
        <f t="shared" si="22"/>
        <v>#N/A</v>
      </c>
      <c r="BN55" t="e">
        <f t="shared" si="23"/>
        <v>#VALUE!</v>
      </c>
    </row>
    <row r="56" spans="2:66" ht="15.75" customHeight="1" x14ac:dyDescent="0.25">
      <c r="B56" s="15"/>
      <c r="C56" s="15"/>
      <c r="D56" s="44"/>
      <c r="E56" s="22"/>
      <c r="F56" s="22"/>
      <c r="G56" s="44"/>
      <c r="H56" s="41"/>
      <c r="I56" s="44"/>
      <c r="J56" s="42"/>
      <c r="K56" s="15"/>
      <c r="L56" s="15"/>
      <c r="M56" s="44"/>
      <c r="N56" s="15"/>
      <c r="O56" s="44"/>
      <c r="P56" s="44"/>
      <c r="Q56" s="44"/>
      <c r="R56" s="44"/>
      <c r="S56" s="15"/>
      <c r="T56" s="15"/>
      <c r="U56" s="15"/>
      <c r="V56" s="44"/>
      <c r="W56" s="44"/>
      <c r="X56" s="44"/>
      <c r="Y56" s="15"/>
      <c r="Z56" s="15"/>
      <c r="AA56" s="15"/>
      <c r="AB56" s="15"/>
      <c r="AC56" s="15"/>
      <c r="AD56" s="15"/>
      <c r="AE56" s="15"/>
      <c r="AF56" s="15"/>
      <c r="AG56" s="15"/>
      <c r="AH56" s="15" t="e">
        <f t="shared" si="115"/>
        <v>#N/A</v>
      </c>
      <c r="AI56" s="21" t="e">
        <f t="shared" si="128"/>
        <v>#N/A</v>
      </c>
      <c r="AJ56" s="40" t="e">
        <f t="shared" si="128"/>
        <v>#N/A</v>
      </c>
      <c r="AK56" s="21" t="str">
        <f t="shared" si="2"/>
        <v>vw_t-cross___adserver</v>
      </c>
      <c r="AL56" s="21" t="e">
        <f t="shared" si="116"/>
        <v>#VALUE!</v>
      </c>
      <c r="AM56" s="21" t="str">
        <f t="shared" si="4"/>
        <v>TAG</v>
      </c>
      <c r="AN56" s="15">
        <f t="shared" si="117"/>
        <v>0</v>
      </c>
      <c r="AO56" s="15">
        <f t="shared" si="118"/>
        <v>0</v>
      </c>
      <c r="AP56" s="21" t="str">
        <f>Campanha!$B$3</f>
        <v>BR_AAF_DSY_SUSTN_ND_NC_2021Q1MAR_TCR_Branded-Content</v>
      </c>
      <c r="AQ56" s="21" t="e">
        <f t="shared" si="7"/>
        <v>#N/A</v>
      </c>
      <c r="AR56" s="15" t="s">
        <v>770</v>
      </c>
      <c r="AS56" s="21" t="e">
        <f t="shared" si="8"/>
        <v>#VALUE!</v>
      </c>
      <c r="AT56" s="15" t="str">
        <f t="shared" si="119"/>
        <v/>
      </c>
      <c r="AU56" s="15" t="str">
        <f t="shared" si="10"/>
        <v>BR</v>
      </c>
      <c r="AV56" s="15" t="str">
        <f t="shared" si="120"/>
        <v/>
      </c>
      <c r="AW56" s="15" t="str">
        <f t="shared" si="121"/>
        <v/>
      </c>
      <c r="AX56" s="15" t="str">
        <f t="shared" si="13"/>
        <v>branded-content</v>
      </c>
      <c r="AY56" s="15" t="e">
        <f t="shared" si="122"/>
        <v>#N/A</v>
      </c>
      <c r="AZ56" s="15" t="str">
        <f t="shared" si="123"/>
        <v/>
      </c>
      <c r="BA56" s="15" t="str">
        <f t="shared" si="124"/>
        <v/>
      </c>
      <c r="BB56" s="28" t="s">
        <v>814</v>
      </c>
      <c r="BC56" s="28" t="s">
        <v>814</v>
      </c>
      <c r="BD56" s="38" t="str">
        <f t="shared" si="125"/>
        <v>bc-tcr-aaf-dsy-0321-10056</v>
      </c>
      <c r="BE56" s="15" t="str">
        <f t="shared" si="126"/>
        <v>BR</v>
      </c>
      <c r="BF56" s="15" t="str">
        <f t="shared" si="127"/>
        <v/>
      </c>
      <c r="BG56" s="28"/>
      <c r="BH56" s="28"/>
      <c r="BI56" s="36" t="e">
        <f t="shared" si="20"/>
        <v>#VALUE!</v>
      </c>
      <c r="BL56" t="str">
        <f t="shared" si="21"/>
        <v>alp_vw__aaf_dsy_sustn_nd_nc_tcr_branded-content_projeto-globoplay_</v>
      </c>
      <c r="BM56" t="e">
        <f t="shared" si="22"/>
        <v>#N/A</v>
      </c>
      <c r="BN56" t="e">
        <f t="shared" si="23"/>
        <v>#VALUE!</v>
      </c>
    </row>
    <row r="57" spans="2:66" ht="15.75" customHeight="1" x14ac:dyDescent="0.25">
      <c r="B57" s="15"/>
      <c r="C57" s="15"/>
      <c r="D57" s="15"/>
      <c r="E57" s="22"/>
      <c r="F57" s="22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 t="e">
        <f t="shared" si="115"/>
        <v>#N/A</v>
      </c>
      <c r="AI57" s="21" t="e">
        <f t="shared" si="128"/>
        <v>#N/A</v>
      </c>
      <c r="AJ57" s="40" t="e">
        <f t="shared" si="128"/>
        <v>#N/A</v>
      </c>
      <c r="AK57" s="21" t="str">
        <f t="shared" si="2"/>
        <v>vw_t-cross___adserver</v>
      </c>
      <c r="AL57" s="21" t="e">
        <f t="shared" si="116"/>
        <v>#VALUE!</v>
      </c>
      <c r="AM57" s="21" t="str">
        <f t="shared" si="4"/>
        <v>TAG</v>
      </c>
      <c r="AN57" s="15">
        <f t="shared" si="117"/>
        <v>0</v>
      </c>
      <c r="AO57" s="15">
        <f t="shared" si="118"/>
        <v>0</v>
      </c>
      <c r="AP57" s="21" t="str">
        <f>Campanha!$B$3</f>
        <v>BR_AAF_DSY_SUSTN_ND_NC_2021Q1MAR_TCR_Branded-Content</v>
      </c>
      <c r="AQ57" s="21" t="e">
        <f t="shared" si="7"/>
        <v>#N/A</v>
      </c>
      <c r="AR57" s="15" t="s">
        <v>770</v>
      </c>
      <c r="AS57" s="21" t="e">
        <f t="shared" si="8"/>
        <v>#VALUE!</v>
      </c>
      <c r="AT57" s="15" t="str">
        <f t="shared" si="119"/>
        <v/>
      </c>
      <c r="AU57" s="15" t="str">
        <f t="shared" si="10"/>
        <v>BR</v>
      </c>
      <c r="AV57" s="15" t="str">
        <f t="shared" si="120"/>
        <v/>
      </c>
      <c r="AW57" s="15" t="str">
        <f t="shared" si="121"/>
        <v/>
      </c>
      <c r="AX57" s="15" t="str">
        <f t="shared" si="13"/>
        <v>branded-content</v>
      </c>
      <c r="AY57" s="15" t="e">
        <f t="shared" si="122"/>
        <v>#N/A</v>
      </c>
      <c r="AZ57" s="15" t="str">
        <f t="shared" si="123"/>
        <v/>
      </c>
      <c r="BA57" s="15" t="str">
        <f t="shared" si="124"/>
        <v/>
      </c>
      <c r="BB57" s="28" t="s">
        <v>814</v>
      </c>
      <c r="BC57" s="28" t="s">
        <v>814</v>
      </c>
      <c r="BD57" s="38" t="str">
        <f t="shared" si="125"/>
        <v>bc-tcr-aaf-dsy-0321-10057</v>
      </c>
      <c r="BE57" s="15" t="str">
        <f t="shared" si="126"/>
        <v>BR</v>
      </c>
      <c r="BF57" s="15" t="str">
        <f t="shared" si="127"/>
        <v/>
      </c>
      <c r="BG57" s="28"/>
      <c r="BH57" s="28"/>
      <c r="BI57" s="36" t="e">
        <f t="shared" si="20"/>
        <v>#VALUE!</v>
      </c>
      <c r="BL57" t="str">
        <f t="shared" si="21"/>
        <v>alp_vw__aaf_dsy_sustn_nd_nc_tcr_branded-content_projeto-globoplay_</v>
      </c>
      <c r="BM57" t="e">
        <f t="shared" si="22"/>
        <v>#N/A</v>
      </c>
      <c r="BN57" t="e">
        <f t="shared" si="23"/>
        <v>#VALUE!</v>
      </c>
    </row>
    <row r="58" spans="2:66" ht="15.75" customHeight="1" x14ac:dyDescent="0.25">
      <c r="B58" s="15"/>
      <c r="C58" s="15"/>
      <c r="D58" s="15"/>
      <c r="E58" s="22"/>
      <c r="F58" s="22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 t="e">
        <f t="shared" si="115"/>
        <v>#N/A</v>
      </c>
      <c r="AI58" s="21" t="e">
        <f t="shared" si="128"/>
        <v>#N/A</v>
      </c>
      <c r="AJ58" s="40" t="e">
        <f t="shared" si="128"/>
        <v>#N/A</v>
      </c>
      <c r="AK58" s="21" t="str">
        <f t="shared" si="2"/>
        <v>vw_t-cross___adserver</v>
      </c>
      <c r="AL58" s="21" t="e">
        <f t="shared" si="116"/>
        <v>#VALUE!</v>
      </c>
      <c r="AM58" s="21" t="str">
        <f t="shared" si="4"/>
        <v>TAG</v>
      </c>
      <c r="AN58" s="15">
        <f t="shared" si="117"/>
        <v>0</v>
      </c>
      <c r="AO58" s="15">
        <f t="shared" si="118"/>
        <v>0</v>
      </c>
      <c r="AP58" s="21" t="str">
        <f>Campanha!$B$3</f>
        <v>BR_AAF_DSY_SUSTN_ND_NC_2021Q1MAR_TCR_Branded-Content</v>
      </c>
      <c r="AQ58" s="21" t="e">
        <f t="shared" si="7"/>
        <v>#N/A</v>
      </c>
      <c r="AR58" s="15" t="s">
        <v>770</v>
      </c>
      <c r="AS58" s="21" t="e">
        <f t="shared" si="8"/>
        <v>#VALUE!</v>
      </c>
      <c r="AT58" s="15" t="str">
        <f t="shared" si="119"/>
        <v/>
      </c>
      <c r="AU58" s="15" t="str">
        <f t="shared" si="10"/>
        <v>BR</v>
      </c>
      <c r="AV58" s="15" t="str">
        <f t="shared" si="120"/>
        <v/>
      </c>
      <c r="AW58" s="15" t="str">
        <f t="shared" si="121"/>
        <v/>
      </c>
      <c r="AX58" s="15" t="str">
        <f t="shared" si="13"/>
        <v>branded-content</v>
      </c>
      <c r="AY58" s="15" t="e">
        <f t="shared" si="122"/>
        <v>#N/A</v>
      </c>
      <c r="AZ58" s="15" t="str">
        <f t="shared" si="123"/>
        <v/>
      </c>
      <c r="BA58" s="15" t="str">
        <f t="shared" si="124"/>
        <v/>
      </c>
      <c r="BB58" s="28" t="s">
        <v>814</v>
      </c>
      <c r="BC58" s="28" t="s">
        <v>814</v>
      </c>
      <c r="BD58" s="38" t="str">
        <f t="shared" si="125"/>
        <v>bc-tcr-aaf-dsy-0321-10058</v>
      </c>
      <c r="BE58" s="15" t="str">
        <f t="shared" si="126"/>
        <v>BR</v>
      </c>
      <c r="BF58" s="15" t="str">
        <f t="shared" si="127"/>
        <v/>
      </c>
      <c r="BG58" s="28"/>
      <c r="BH58" s="28"/>
      <c r="BI58" s="36" t="e">
        <f t="shared" si="20"/>
        <v>#VALUE!</v>
      </c>
      <c r="BL58" t="str">
        <f t="shared" si="21"/>
        <v>alp_vw__aaf_dsy_sustn_nd_nc_tcr_branded-content_projeto-globoplay_</v>
      </c>
      <c r="BM58" t="e">
        <f t="shared" si="22"/>
        <v>#N/A</v>
      </c>
      <c r="BN58" t="e">
        <f t="shared" si="23"/>
        <v>#VALUE!</v>
      </c>
    </row>
    <row r="59" spans="2:66" ht="15.75" customHeight="1" x14ac:dyDescent="0.25">
      <c r="B59" s="15"/>
      <c r="C59" s="15"/>
      <c r="D59" s="15"/>
      <c r="E59" s="22"/>
      <c r="F59" s="22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 t="e">
        <f t="shared" si="115"/>
        <v>#N/A</v>
      </c>
      <c r="AI59" s="21" t="e">
        <f t="shared" si="128"/>
        <v>#N/A</v>
      </c>
      <c r="AJ59" s="40" t="e">
        <f t="shared" si="128"/>
        <v>#N/A</v>
      </c>
      <c r="AK59" s="21" t="str">
        <f t="shared" si="2"/>
        <v>vw_t-cross___adserver</v>
      </c>
      <c r="AL59" s="21" t="e">
        <f t="shared" si="116"/>
        <v>#VALUE!</v>
      </c>
      <c r="AM59" s="21" t="str">
        <f t="shared" si="4"/>
        <v>TAG</v>
      </c>
      <c r="AN59" s="15">
        <f t="shared" si="117"/>
        <v>0</v>
      </c>
      <c r="AO59" s="15">
        <f t="shared" si="118"/>
        <v>0</v>
      </c>
      <c r="AP59" s="21" t="str">
        <f>Campanha!$B$3</f>
        <v>BR_AAF_DSY_SUSTN_ND_NC_2021Q1MAR_TCR_Branded-Content</v>
      </c>
      <c r="AQ59" s="21" t="e">
        <f t="shared" si="7"/>
        <v>#N/A</v>
      </c>
      <c r="AR59" s="15" t="s">
        <v>770</v>
      </c>
      <c r="AS59" s="21" t="e">
        <f t="shared" si="8"/>
        <v>#VALUE!</v>
      </c>
      <c r="AT59" s="15" t="str">
        <f t="shared" si="119"/>
        <v/>
      </c>
      <c r="AU59" s="15" t="str">
        <f t="shared" si="10"/>
        <v>BR</v>
      </c>
      <c r="AV59" s="15" t="str">
        <f t="shared" si="120"/>
        <v/>
      </c>
      <c r="AW59" s="15" t="str">
        <f t="shared" si="121"/>
        <v/>
      </c>
      <c r="AX59" s="15" t="str">
        <f t="shared" si="13"/>
        <v>branded-content</v>
      </c>
      <c r="AY59" s="15" t="e">
        <f t="shared" si="122"/>
        <v>#N/A</v>
      </c>
      <c r="AZ59" s="15" t="str">
        <f t="shared" si="123"/>
        <v/>
      </c>
      <c r="BA59" s="15" t="str">
        <f t="shared" si="124"/>
        <v/>
      </c>
      <c r="BB59" s="28" t="s">
        <v>814</v>
      </c>
      <c r="BC59" s="28" t="s">
        <v>814</v>
      </c>
      <c r="BD59" s="38" t="str">
        <f t="shared" si="125"/>
        <v>bc-tcr-aaf-dsy-0321-10059</v>
      </c>
      <c r="BE59" s="15" t="str">
        <f t="shared" si="126"/>
        <v>BR</v>
      </c>
      <c r="BF59" s="15" t="str">
        <f t="shared" si="127"/>
        <v/>
      </c>
      <c r="BG59" s="28"/>
      <c r="BH59" s="28"/>
      <c r="BI59" s="36" t="e">
        <f t="shared" si="20"/>
        <v>#VALUE!</v>
      </c>
      <c r="BL59" t="str">
        <f t="shared" si="21"/>
        <v>alp_vw__aaf_dsy_sustn_nd_nc_tcr_branded-content_projeto-globoplay_</v>
      </c>
      <c r="BM59" t="e">
        <f t="shared" si="22"/>
        <v>#N/A</v>
      </c>
      <c r="BN59" t="e">
        <f t="shared" si="23"/>
        <v>#VALUE!</v>
      </c>
    </row>
    <row r="60" spans="2:66" ht="15.75" customHeight="1" x14ac:dyDescent="0.25">
      <c r="B60" s="15"/>
      <c r="C60" s="15"/>
      <c r="D60" s="15"/>
      <c r="E60" s="22"/>
      <c r="F60" s="22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 t="e">
        <f t="shared" si="115"/>
        <v>#N/A</v>
      </c>
      <c r="AI60" s="21" t="e">
        <f t="shared" si="128"/>
        <v>#N/A</v>
      </c>
      <c r="AJ60" s="40" t="e">
        <f t="shared" si="128"/>
        <v>#N/A</v>
      </c>
      <c r="AK60" s="21" t="str">
        <f t="shared" si="2"/>
        <v>vw_t-cross___adserver</v>
      </c>
      <c r="AL60" s="21" t="e">
        <f t="shared" si="116"/>
        <v>#VALUE!</v>
      </c>
      <c r="AM60" s="21" t="str">
        <f t="shared" si="4"/>
        <v>TAG</v>
      </c>
      <c r="AN60" s="15">
        <f t="shared" si="117"/>
        <v>0</v>
      </c>
      <c r="AO60" s="15">
        <f t="shared" si="118"/>
        <v>0</v>
      </c>
      <c r="AP60" s="21" t="str">
        <f>Campanha!$B$3</f>
        <v>BR_AAF_DSY_SUSTN_ND_NC_2021Q1MAR_TCR_Branded-Content</v>
      </c>
      <c r="AQ60" s="21" t="e">
        <f t="shared" si="7"/>
        <v>#N/A</v>
      </c>
      <c r="AR60" s="15" t="s">
        <v>770</v>
      </c>
      <c r="AS60" s="21" t="e">
        <f t="shared" si="8"/>
        <v>#VALUE!</v>
      </c>
      <c r="AT60" s="15" t="str">
        <f t="shared" si="119"/>
        <v/>
      </c>
      <c r="AU60" s="15" t="str">
        <f t="shared" si="10"/>
        <v>BR</v>
      </c>
      <c r="AV60" s="15" t="str">
        <f t="shared" si="120"/>
        <v/>
      </c>
      <c r="AW60" s="15" t="str">
        <f t="shared" si="121"/>
        <v/>
      </c>
      <c r="AX60" s="15" t="str">
        <f t="shared" si="13"/>
        <v>branded-content</v>
      </c>
      <c r="AY60" s="15" t="e">
        <f t="shared" si="122"/>
        <v>#N/A</v>
      </c>
      <c r="AZ60" s="15" t="str">
        <f t="shared" si="123"/>
        <v/>
      </c>
      <c r="BA60" s="15" t="str">
        <f t="shared" si="124"/>
        <v/>
      </c>
      <c r="BB60" s="28" t="s">
        <v>814</v>
      </c>
      <c r="BC60" s="28" t="s">
        <v>814</v>
      </c>
      <c r="BD60" s="38" t="str">
        <f t="shared" si="125"/>
        <v>bc-tcr-aaf-dsy-0321-10060</v>
      </c>
      <c r="BE60" s="15" t="str">
        <f t="shared" si="126"/>
        <v>BR</v>
      </c>
      <c r="BF60" s="15" t="str">
        <f t="shared" si="127"/>
        <v/>
      </c>
      <c r="BG60" s="28"/>
      <c r="BH60" s="28"/>
      <c r="BI60" s="36" t="e">
        <f t="shared" si="20"/>
        <v>#VALUE!</v>
      </c>
      <c r="BL60" t="str">
        <f t="shared" si="21"/>
        <v>alp_vw__aaf_dsy_sustn_nd_nc_tcr_branded-content_projeto-globoplay_</v>
      </c>
      <c r="BM60" t="e">
        <f t="shared" si="22"/>
        <v>#N/A</v>
      </c>
      <c r="BN60" t="e">
        <f t="shared" si="23"/>
        <v>#VALUE!</v>
      </c>
    </row>
    <row r="61" spans="2:66" ht="15.75" customHeight="1" x14ac:dyDescent="0.25">
      <c r="B61" s="15"/>
      <c r="C61" s="15"/>
      <c r="D61" s="15"/>
      <c r="E61" s="22"/>
      <c r="F61" s="22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 t="e">
        <f t="shared" si="115"/>
        <v>#N/A</v>
      </c>
      <c r="AI61" s="21" t="e">
        <f t="shared" si="128"/>
        <v>#N/A</v>
      </c>
      <c r="AJ61" s="40" t="e">
        <f t="shared" si="128"/>
        <v>#N/A</v>
      </c>
      <c r="AK61" s="21" t="str">
        <f t="shared" si="2"/>
        <v>vw_t-cross___adserver</v>
      </c>
      <c r="AL61" s="21" t="e">
        <f t="shared" si="116"/>
        <v>#VALUE!</v>
      </c>
      <c r="AM61" s="21" t="str">
        <f t="shared" si="4"/>
        <v>TAG</v>
      </c>
      <c r="AN61" s="15">
        <f t="shared" si="117"/>
        <v>0</v>
      </c>
      <c r="AO61" s="15">
        <f t="shared" si="118"/>
        <v>0</v>
      </c>
      <c r="AP61" s="21" t="str">
        <f>Campanha!$B$3</f>
        <v>BR_AAF_DSY_SUSTN_ND_NC_2021Q1MAR_TCR_Branded-Content</v>
      </c>
      <c r="AQ61" s="21" t="e">
        <f t="shared" si="7"/>
        <v>#N/A</v>
      </c>
      <c r="AR61" s="15" t="s">
        <v>770</v>
      </c>
      <c r="AS61" s="21" t="e">
        <f t="shared" si="8"/>
        <v>#VALUE!</v>
      </c>
      <c r="AT61" s="15" t="str">
        <f t="shared" si="119"/>
        <v/>
      </c>
      <c r="AU61" s="15" t="str">
        <f t="shared" si="10"/>
        <v>BR</v>
      </c>
      <c r="AV61" s="15" t="str">
        <f t="shared" si="120"/>
        <v/>
      </c>
      <c r="AW61" s="15" t="str">
        <f t="shared" si="121"/>
        <v/>
      </c>
      <c r="AX61" s="15" t="str">
        <f t="shared" si="13"/>
        <v>branded-content</v>
      </c>
      <c r="AY61" s="15" t="e">
        <f t="shared" si="122"/>
        <v>#N/A</v>
      </c>
      <c r="AZ61" s="15" t="str">
        <f t="shared" si="123"/>
        <v/>
      </c>
      <c r="BA61" s="15" t="str">
        <f t="shared" si="124"/>
        <v/>
      </c>
      <c r="BB61" s="28" t="s">
        <v>814</v>
      </c>
      <c r="BC61" s="28" t="s">
        <v>814</v>
      </c>
      <c r="BD61" s="38" t="str">
        <f t="shared" si="125"/>
        <v>bc-tcr-aaf-dsy-0321-10061</v>
      </c>
      <c r="BE61" s="15" t="str">
        <f t="shared" si="126"/>
        <v>BR</v>
      </c>
      <c r="BF61" s="15" t="str">
        <f t="shared" si="127"/>
        <v/>
      </c>
      <c r="BG61" s="28"/>
      <c r="BH61" s="28"/>
      <c r="BI61" s="36" t="e">
        <f t="shared" si="20"/>
        <v>#VALUE!</v>
      </c>
      <c r="BL61" t="str">
        <f t="shared" si="21"/>
        <v>alp_vw__aaf_dsy_sustn_nd_nc_tcr_branded-content_projeto-globoplay_</v>
      </c>
      <c r="BM61" t="e">
        <f t="shared" si="22"/>
        <v>#N/A</v>
      </c>
      <c r="BN61" t="e">
        <f t="shared" si="23"/>
        <v>#VALUE!</v>
      </c>
    </row>
    <row r="62" spans="2:66" ht="15.75" customHeight="1" x14ac:dyDescent="0.25">
      <c r="B62" s="15"/>
      <c r="C62" s="15"/>
      <c r="D62" s="15"/>
      <c r="E62" s="22"/>
      <c r="F62" s="22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 t="e">
        <f t="shared" si="115"/>
        <v>#N/A</v>
      </c>
      <c r="AI62" s="21" t="e">
        <f t="shared" si="128"/>
        <v>#N/A</v>
      </c>
      <c r="AJ62" s="40" t="e">
        <f t="shared" si="128"/>
        <v>#N/A</v>
      </c>
      <c r="AK62" s="21" t="str">
        <f t="shared" si="2"/>
        <v>vw_t-cross___adserver</v>
      </c>
      <c r="AL62" s="21" t="e">
        <f t="shared" si="116"/>
        <v>#VALUE!</v>
      </c>
      <c r="AM62" s="21" t="str">
        <f t="shared" si="4"/>
        <v>TAG</v>
      </c>
      <c r="AN62" s="15">
        <f t="shared" si="117"/>
        <v>0</v>
      </c>
      <c r="AO62" s="15">
        <f t="shared" si="118"/>
        <v>0</v>
      </c>
      <c r="AP62" s="21" t="str">
        <f>Campanha!$B$3</f>
        <v>BR_AAF_DSY_SUSTN_ND_NC_2021Q1MAR_TCR_Branded-Content</v>
      </c>
      <c r="AQ62" s="21" t="e">
        <f t="shared" si="7"/>
        <v>#N/A</v>
      </c>
      <c r="AR62" s="15" t="s">
        <v>770</v>
      </c>
      <c r="AS62" s="21" t="e">
        <f t="shared" si="8"/>
        <v>#VALUE!</v>
      </c>
      <c r="AT62" s="15" t="str">
        <f t="shared" si="119"/>
        <v/>
      </c>
      <c r="AU62" s="15" t="str">
        <f t="shared" si="10"/>
        <v>BR</v>
      </c>
      <c r="AV62" s="15" t="str">
        <f t="shared" si="120"/>
        <v/>
      </c>
      <c r="AW62" s="15" t="str">
        <f t="shared" si="121"/>
        <v/>
      </c>
      <c r="AX62" s="15" t="str">
        <f t="shared" si="13"/>
        <v>branded-content</v>
      </c>
      <c r="AY62" s="15" t="e">
        <f t="shared" si="122"/>
        <v>#N/A</v>
      </c>
      <c r="AZ62" s="15" t="str">
        <f t="shared" si="123"/>
        <v/>
      </c>
      <c r="BA62" s="15" t="str">
        <f t="shared" si="124"/>
        <v/>
      </c>
      <c r="BB62" s="28" t="s">
        <v>814</v>
      </c>
      <c r="BC62" s="28" t="s">
        <v>814</v>
      </c>
      <c r="BD62" s="38" t="str">
        <f t="shared" si="125"/>
        <v>bc-tcr-aaf-dsy-0321-10062</v>
      </c>
      <c r="BE62" s="15" t="str">
        <f t="shared" si="126"/>
        <v>BR</v>
      </c>
      <c r="BF62" s="15" t="str">
        <f t="shared" si="127"/>
        <v/>
      </c>
      <c r="BG62" s="28"/>
      <c r="BH62" s="28"/>
      <c r="BI62" s="36" t="e">
        <f t="shared" si="20"/>
        <v>#VALUE!</v>
      </c>
      <c r="BL62" t="str">
        <f t="shared" si="21"/>
        <v>alp_vw__aaf_dsy_sustn_nd_nc_tcr_branded-content_projeto-globoplay_</v>
      </c>
      <c r="BM62" t="e">
        <f t="shared" si="22"/>
        <v>#N/A</v>
      </c>
      <c r="BN62" t="e">
        <f t="shared" si="23"/>
        <v>#VALUE!</v>
      </c>
    </row>
    <row r="63" spans="2:66" ht="15.75" customHeight="1" x14ac:dyDescent="0.25">
      <c r="AH63" s="15" t="e">
        <f t="shared" si="115"/>
        <v>#N/A</v>
      </c>
      <c r="AI63" s="21" t="e">
        <f t="shared" si="128"/>
        <v>#N/A</v>
      </c>
      <c r="AJ63" s="40" t="e">
        <f t="shared" si="128"/>
        <v>#N/A</v>
      </c>
      <c r="AK63" s="21" t="str">
        <f t="shared" si="2"/>
        <v>vw_t-cross___adserver</v>
      </c>
      <c r="AL63" s="21" t="e">
        <f t="shared" si="116"/>
        <v>#VALUE!</v>
      </c>
      <c r="AM63" s="21" t="str">
        <f t="shared" si="4"/>
        <v>TAG</v>
      </c>
      <c r="AN63" s="15">
        <f t="shared" si="117"/>
        <v>0</v>
      </c>
      <c r="AO63" s="15">
        <f t="shared" si="118"/>
        <v>0</v>
      </c>
      <c r="AP63" s="21" t="str">
        <f>Campanha!$B$3</f>
        <v>BR_AAF_DSY_SUSTN_ND_NC_2021Q1MAR_TCR_Branded-Content</v>
      </c>
      <c r="AQ63" s="21" t="e">
        <f t="shared" si="7"/>
        <v>#N/A</v>
      </c>
      <c r="AR63" s="15" t="s">
        <v>770</v>
      </c>
      <c r="AS63" s="21" t="e">
        <f t="shared" si="8"/>
        <v>#VALUE!</v>
      </c>
      <c r="AT63" s="15" t="str">
        <f t="shared" si="119"/>
        <v/>
      </c>
      <c r="AU63" s="15" t="str">
        <f t="shared" si="10"/>
        <v>BR</v>
      </c>
      <c r="AV63" s="15" t="str">
        <f t="shared" si="120"/>
        <v/>
      </c>
      <c r="AW63" s="15" t="str">
        <f t="shared" si="121"/>
        <v/>
      </c>
      <c r="AX63" s="15" t="str">
        <f t="shared" si="13"/>
        <v>branded-content</v>
      </c>
      <c r="AY63" s="15" t="e">
        <f t="shared" si="122"/>
        <v>#N/A</v>
      </c>
      <c r="AZ63" s="15" t="str">
        <f t="shared" si="123"/>
        <v/>
      </c>
      <c r="BA63" s="15" t="str">
        <f t="shared" si="124"/>
        <v/>
      </c>
      <c r="BB63" s="28" t="s">
        <v>814</v>
      </c>
      <c r="BC63" s="28" t="s">
        <v>814</v>
      </c>
      <c r="BD63" s="38" t="str">
        <f t="shared" si="125"/>
        <v>bc-tcr-aaf-dsy-0321-10063</v>
      </c>
      <c r="BE63" s="15" t="str">
        <f t="shared" si="126"/>
        <v>BR</v>
      </c>
      <c r="BF63" s="15" t="str">
        <f t="shared" si="127"/>
        <v/>
      </c>
      <c r="BG63" s="28"/>
      <c r="BH63" s="28"/>
      <c r="BI63" s="36" t="e">
        <f t="shared" si="20"/>
        <v>#VALUE!</v>
      </c>
      <c r="BL63" t="str">
        <f t="shared" si="21"/>
        <v>alp_vw__aaf_dsy_sustn_nd_nc_tcr_branded-content_projeto-globoplay_</v>
      </c>
      <c r="BM63" t="e">
        <f t="shared" si="22"/>
        <v>#N/A</v>
      </c>
      <c r="BN63" t="e">
        <f t="shared" si="23"/>
        <v>#VALUE!</v>
      </c>
    </row>
    <row r="64" spans="2:66" ht="15.75" customHeight="1" x14ac:dyDescent="0.25">
      <c r="AH64" s="15" t="e">
        <f t="shared" si="115"/>
        <v>#N/A</v>
      </c>
      <c r="AI64" s="21" t="e">
        <f t="shared" si="128"/>
        <v>#N/A</v>
      </c>
      <c r="AJ64" s="40" t="e">
        <f t="shared" si="128"/>
        <v>#N/A</v>
      </c>
      <c r="AK64" s="21" t="str">
        <f t="shared" si="2"/>
        <v>vw_t-cross___adserver</v>
      </c>
      <c r="AL64" s="21" t="e">
        <f t="shared" si="116"/>
        <v>#VALUE!</v>
      </c>
      <c r="AM64" s="21" t="str">
        <f t="shared" si="4"/>
        <v>TAG</v>
      </c>
      <c r="AN64" s="15">
        <f t="shared" si="117"/>
        <v>0</v>
      </c>
      <c r="AO64" s="15">
        <f t="shared" si="118"/>
        <v>0</v>
      </c>
      <c r="AP64" s="21" t="str">
        <f>Campanha!$B$3</f>
        <v>BR_AAF_DSY_SUSTN_ND_NC_2021Q1MAR_TCR_Branded-Content</v>
      </c>
      <c r="AQ64" s="21" t="e">
        <f t="shared" si="7"/>
        <v>#N/A</v>
      </c>
      <c r="AR64" s="15" t="s">
        <v>770</v>
      </c>
      <c r="AS64" s="21" t="e">
        <f t="shared" si="8"/>
        <v>#VALUE!</v>
      </c>
      <c r="AT64" s="15" t="str">
        <f t="shared" si="119"/>
        <v/>
      </c>
      <c r="AU64" s="15" t="str">
        <f t="shared" si="10"/>
        <v>BR</v>
      </c>
      <c r="AV64" s="15" t="str">
        <f t="shared" si="120"/>
        <v/>
      </c>
      <c r="AW64" s="15" t="str">
        <f t="shared" si="121"/>
        <v/>
      </c>
      <c r="AX64" s="15" t="str">
        <f t="shared" si="13"/>
        <v>branded-content</v>
      </c>
      <c r="AY64" s="15" t="e">
        <f t="shared" si="122"/>
        <v>#N/A</v>
      </c>
      <c r="AZ64" s="15" t="str">
        <f t="shared" si="123"/>
        <v/>
      </c>
      <c r="BA64" s="15" t="str">
        <f t="shared" si="124"/>
        <v/>
      </c>
      <c r="BB64" s="28" t="s">
        <v>814</v>
      </c>
      <c r="BC64" s="28" t="s">
        <v>814</v>
      </c>
      <c r="BD64" s="38" t="str">
        <f t="shared" si="125"/>
        <v>bc-tcr-aaf-dsy-0321-10064</v>
      </c>
      <c r="BE64" s="15" t="str">
        <f t="shared" si="126"/>
        <v>BR</v>
      </c>
      <c r="BF64" s="15" t="str">
        <f t="shared" si="127"/>
        <v/>
      </c>
      <c r="BG64" s="28"/>
      <c r="BH64" s="28"/>
      <c r="BI64" s="36" t="e">
        <f t="shared" si="20"/>
        <v>#VALUE!</v>
      </c>
      <c r="BL64" t="str">
        <f t="shared" si="21"/>
        <v>alp_vw__aaf_dsy_sustn_nd_nc_tcr_branded-content_projeto-globoplay_</v>
      </c>
      <c r="BM64" t="e">
        <f t="shared" si="22"/>
        <v>#N/A</v>
      </c>
      <c r="BN64" t="e">
        <f t="shared" si="23"/>
        <v>#VALUE!</v>
      </c>
    </row>
    <row r="65" spans="34:66" ht="15.75" customHeight="1" x14ac:dyDescent="0.25">
      <c r="AH65" s="15" t="e">
        <f t="shared" si="115"/>
        <v>#N/A</v>
      </c>
      <c r="AI65" s="21" t="e">
        <f t="shared" si="128"/>
        <v>#N/A</v>
      </c>
      <c r="AJ65" s="40" t="e">
        <f t="shared" si="128"/>
        <v>#N/A</v>
      </c>
      <c r="AK65" s="21" t="str">
        <f t="shared" si="2"/>
        <v>vw_t-cross___adserver</v>
      </c>
      <c r="AL65" s="21" t="e">
        <f t="shared" si="116"/>
        <v>#VALUE!</v>
      </c>
      <c r="AM65" s="21" t="str">
        <f t="shared" si="4"/>
        <v>TAG</v>
      </c>
      <c r="AN65" s="15">
        <f t="shared" si="117"/>
        <v>0</v>
      </c>
      <c r="AO65" s="15">
        <f t="shared" si="118"/>
        <v>0</v>
      </c>
      <c r="AP65" s="21" t="str">
        <f>Campanha!$B$3</f>
        <v>BR_AAF_DSY_SUSTN_ND_NC_2021Q1MAR_TCR_Branded-Content</v>
      </c>
      <c r="AQ65" s="21" t="e">
        <f t="shared" si="7"/>
        <v>#N/A</v>
      </c>
      <c r="AR65" s="15" t="s">
        <v>770</v>
      </c>
      <c r="AS65" s="21" t="e">
        <f t="shared" si="8"/>
        <v>#VALUE!</v>
      </c>
      <c r="AT65" s="15" t="str">
        <f t="shared" si="119"/>
        <v/>
      </c>
      <c r="AU65" s="15" t="str">
        <f t="shared" si="10"/>
        <v>BR</v>
      </c>
      <c r="AV65" s="15" t="str">
        <f t="shared" si="120"/>
        <v/>
      </c>
      <c r="AW65" s="15" t="str">
        <f t="shared" si="121"/>
        <v/>
      </c>
      <c r="AX65" s="15" t="str">
        <f t="shared" si="13"/>
        <v>branded-content</v>
      </c>
      <c r="AY65" s="15" t="e">
        <f t="shared" si="122"/>
        <v>#N/A</v>
      </c>
      <c r="AZ65" s="15" t="str">
        <f t="shared" si="123"/>
        <v/>
      </c>
      <c r="BA65" s="15" t="str">
        <f t="shared" si="124"/>
        <v/>
      </c>
      <c r="BB65" s="28" t="s">
        <v>814</v>
      </c>
      <c r="BC65" s="28" t="s">
        <v>814</v>
      </c>
      <c r="BD65" s="38" t="str">
        <f t="shared" si="125"/>
        <v>bc-tcr-aaf-dsy-0321-10065</v>
      </c>
      <c r="BE65" s="15" t="str">
        <f t="shared" si="126"/>
        <v>BR</v>
      </c>
      <c r="BF65" s="15" t="str">
        <f t="shared" si="127"/>
        <v/>
      </c>
      <c r="BG65" s="28"/>
      <c r="BH65" s="28"/>
      <c r="BI65" s="36" t="e">
        <f t="shared" si="20"/>
        <v>#VALUE!</v>
      </c>
      <c r="BL65" t="str">
        <f t="shared" si="21"/>
        <v>alp_vw__aaf_dsy_sustn_nd_nc_tcr_branded-content_projeto-globoplay_</v>
      </c>
      <c r="BM65" t="e">
        <f t="shared" si="22"/>
        <v>#N/A</v>
      </c>
      <c r="BN65" t="e">
        <f t="shared" si="23"/>
        <v>#VALUE!</v>
      </c>
    </row>
    <row r="66" spans="34:66" ht="15.75" customHeight="1" x14ac:dyDescent="0.25">
      <c r="AH66" s="15" t="e">
        <f t="shared" si="115"/>
        <v>#N/A</v>
      </c>
      <c r="AI66" s="21" t="e">
        <f t="shared" si="128"/>
        <v>#N/A</v>
      </c>
      <c r="AJ66" s="40" t="e">
        <f t="shared" si="128"/>
        <v>#N/A</v>
      </c>
      <c r="AK66" s="21" t="str">
        <f t="shared" si="2"/>
        <v>vw_t-cross___adserver</v>
      </c>
      <c r="AL66" s="21" t="e">
        <f t="shared" si="116"/>
        <v>#VALUE!</v>
      </c>
      <c r="AM66" s="21" t="str">
        <f t="shared" si="4"/>
        <v>TAG</v>
      </c>
      <c r="AN66" s="15">
        <f t="shared" si="117"/>
        <v>0</v>
      </c>
      <c r="AO66" s="15">
        <f t="shared" si="118"/>
        <v>0</v>
      </c>
      <c r="AP66" s="21" t="str">
        <f>Campanha!$B$3</f>
        <v>BR_AAF_DSY_SUSTN_ND_NC_2021Q1MAR_TCR_Branded-Content</v>
      </c>
      <c r="AQ66" s="21" t="e">
        <f t="shared" si="7"/>
        <v>#N/A</v>
      </c>
      <c r="AR66" s="15" t="s">
        <v>770</v>
      </c>
      <c r="AS66" s="21" t="e">
        <f t="shared" si="8"/>
        <v>#VALUE!</v>
      </c>
      <c r="AT66" s="15" t="str">
        <f t="shared" si="119"/>
        <v/>
      </c>
      <c r="AU66" s="15" t="str">
        <f t="shared" si="10"/>
        <v>BR</v>
      </c>
      <c r="AV66" s="15" t="str">
        <f t="shared" si="120"/>
        <v/>
      </c>
      <c r="AW66" s="15" t="str">
        <f t="shared" si="121"/>
        <v/>
      </c>
      <c r="AX66" s="15" t="str">
        <f t="shared" si="13"/>
        <v>branded-content</v>
      </c>
      <c r="AY66" s="15" t="e">
        <f t="shared" si="122"/>
        <v>#N/A</v>
      </c>
      <c r="AZ66" s="15" t="str">
        <f t="shared" si="123"/>
        <v/>
      </c>
      <c r="BA66" s="15" t="str">
        <f t="shared" si="124"/>
        <v/>
      </c>
      <c r="BB66" s="28" t="s">
        <v>814</v>
      </c>
      <c r="BC66" s="28" t="s">
        <v>814</v>
      </c>
      <c r="BD66" s="38" t="str">
        <f t="shared" si="125"/>
        <v>bc-tcr-aaf-dsy-0321-10066</v>
      </c>
      <c r="BE66" s="15" t="str">
        <f t="shared" si="126"/>
        <v>BR</v>
      </c>
      <c r="BF66" s="15" t="str">
        <f t="shared" si="127"/>
        <v/>
      </c>
      <c r="BG66" s="28"/>
      <c r="BH66" s="28"/>
      <c r="BI66" s="36" t="e">
        <f t="shared" si="20"/>
        <v>#VALUE!</v>
      </c>
      <c r="BL66" t="str">
        <f t="shared" si="21"/>
        <v>alp_vw__aaf_dsy_sustn_nd_nc_tcr_branded-content_projeto-globoplay_</v>
      </c>
      <c r="BM66" t="e">
        <f t="shared" si="22"/>
        <v>#N/A</v>
      </c>
      <c r="BN66" t="e">
        <f t="shared" si="23"/>
        <v>#VALUE!</v>
      </c>
    </row>
    <row r="67" spans="34:66" ht="15.75" customHeight="1" x14ac:dyDescent="0.25">
      <c r="AH67" s="15" t="e">
        <f t="shared" si="115"/>
        <v>#N/A</v>
      </c>
      <c r="AI67" s="21" t="e">
        <f t="shared" si="128"/>
        <v>#N/A</v>
      </c>
      <c r="AJ67" s="40" t="e">
        <f t="shared" si="128"/>
        <v>#N/A</v>
      </c>
      <c r="AK67" s="21" t="str">
        <f t="shared" si="2"/>
        <v>vw_t-cross___adserver</v>
      </c>
      <c r="AL67" s="21" t="e">
        <f t="shared" si="116"/>
        <v>#VALUE!</v>
      </c>
      <c r="AM67" s="21" t="str">
        <f t="shared" si="4"/>
        <v>TAG</v>
      </c>
      <c r="AN67" s="15">
        <f t="shared" si="117"/>
        <v>0</v>
      </c>
      <c r="AO67" s="15">
        <f t="shared" si="118"/>
        <v>0</v>
      </c>
      <c r="AP67" s="21" t="str">
        <f>Campanha!$B$3</f>
        <v>BR_AAF_DSY_SUSTN_ND_NC_2021Q1MAR_TCR_Branded-Content</v>
      </c>
      <c r="AQ67" s="21" t="e">
        <f t="shared" si="7"/>
        <v>#N/A</v>
      </c>
      <c r="AR67" s="15" t="s">
        <v>770</v>
      </c>
      <c r="AS67" s="21" t="e">
        <f t="shared" si="8"/>
        <v>#VALUE!</v>
      </c>
      <c r="AT67" s="15" t="str">
        <f t="shared" si="119"/>
        <v/>
      </c>
      <c r="AU67" s="15" t="str">
        <f t="shared" si="10"/>
        <v>BR</v>
      </c>
      <c r="AV67" s="15" t="str">
        <f t="shared" si="120"/>
        <v/>
      </c>
      <c r="AW67" s="15" t="str">
        <f t="shared" si="121"/>
        <v/>
      </c>
      <c r="AX67" s="15" t="str">
        <f t="shared" si="13"/>
        <v>branded-content</v>
      </c>
      <c r="AY67" s="15" t="e">
        <f t="shared" si="122"/>
        <v>#N/A</v>
      </c>
      <c r="AZ67" s="15" t="str">
        <f t="shared" si="123"/>
        <v/>
      </c>
      <c r="BA67" s="15" t="str">
        <f t="shared" si="124"/>
        <v/>
      </c>
      <c r="BB67" s="28" t="s">
        <v>814</v>
      </c>
      <c r="BC67" s="28" t="s">
        <v>814</v>
      </c>
      <c r="BD67" s="38" t="str">
        <f t="shared" si="125"/>
        <v>bc-tcr-aaf-dsy-0321-10067</v>
      </c>
      <c r="BE67" s="15" t="str">
        <f t="shared" si="126"/>
        <v>BR</v>
      </c>
      <c r="BF67" s="15" t="str">
        <f t="shared" si="127"/>
        <v/>
      </c>
      <c r="BG67" s="28"/>
      <c r="BH67" s="28"/>
      <c r="BI67" s="36" t="e">
        <f t="shared" si="20"/>
        <v>#VALUE!</v>
      </c>
      <c r="BL67" t="str">
        <f t="shared" si="21"/>
        <v>alp_vw__aaf_dsy_sustn_nd_nc_tcr_branded-content_projeto-globoplay_</v>
      </c>
      <c r="BM67" t="e">
        <f t="shared" si="22"/>
        <v>#N/A</v>
      </c>
      <c r="BN67" t="e">
        <f t="shared" si="23"/>
        <v>#VALUE!</v>
      </c>
    </row>
    <row r="68" spans="34:66" ht="15.75" customHeight="1" x14ac:dyDescent="0.25">
      <c r="AH68" s="15" t="e">
        <f t="shared" si="115"/>
        <v>#N/A</v>
      </c>
      <c r="AI68" s="21" t="e">
        <f t="shared" si="128"/>
        <v>#N/A</v>
      </c>
      <c r="AJ68" s="40" t="e">
        <f t="shared" si="128"/>
        <v>#N/A</v>
      </c>
      <c r="AK68" s="21" t="str">
        <f t="shared" si="2"/>
        <v>vw_t-cross___adserver</v>
      </c>
      <c r="AL68" s="21" t="e">
        <f t="shared" si="116"/>
        <v>#VALUE!</v>
      </c>
      <c r="AM68" s="21" t="str">
        <f t="shared" si="4"/>
        <v>TAG</v>
      </c>
      <c r="AN68" s="15">
        <f t="shared" si="117"/>
        <v>0</v>
      </c>
      <c r="AO68" s="15">
        <f t="shared" si="118"/>
        <v>0</v>
      </c>
      <c r="AP68" s="21" t="str">
        <f>Campanha!$B$3</f>
        <v>BR_AAF_DSY_SUSTN_ND_NC_2021Q1MAR_TCR_Branded-Content</v>
      </c>
      <c r="AQ68" s="21" t="e">
        <f t="shared" si="7"/>
        <v>#N/A</v>
      </c>
      <c r="AR68" s="15" t="s">
        <v>770</v>
      </c>
      <c r="AS68" s="21" t="e">
        <f t="shared" si="8"/>
        <v>#VALUE!</v>
      </c>
      <c r="AT68" s="15" t="str">
        <f t="shared" si="119"/>
        <v/>
      </c>
      <c r="AU68" s="15" t="str">
        <f t="shared" si="10"/>
        <v>BR</v>
      </c>
      <c r="AV68" s="15" t="str">
        <f t="shared" si="120"/>
        <v/>
      </c>
      <c r="AW68" s="15" t="str">
        <f t="shared" si="121"/>
        <v/>
      </c>
      <c r="AX68" s="15" t="str">
        <f t="shared" si="13"/>
        <v>branded-content</v>
      </c>
      <c r="AY68" s="15" t="e">
        <f t="shared" si="122"/>
        <v>#N/A</v>
      </c>
      <c r="AZ68" s="15" t="str">
        <f t="shared" si="123"/>
        <v/>
      </c>
      <c r="BA68" s="15" t="str">
        <f t="shared" si="124"/>
        <v/>
      </c>
      <c r="BB68" s="28" t="s">
        <v>814</v>
      </c>
      <c r="BC68" s="28" t="s">
        <v>814</v>
      </c>
      <c r="BD68" s="38" t="str">
        <f t="shared" si="125"/>
        <v>bc-tcr-aaf-dsy-0321-10068</v>
      </c>
      <c r="BE68" s="15" t="str">
        <f t="shared" si="126"/>
        <v>BR</v>
      </c>
      <c r="BF68" s="15" t="str">
        <f t="shared" si="127"/>
        <v/>
      </c>
      <c r="BG68" s="28"/>
      <c r="BH68" s="28"/>
      <c r="BI68" s="36" t="e">
        <f t="shared" si="20"/>
        <v>#VALUE!</v>
      </c>
      <c r="BL68" t="str">
        <f t="shared" si="21"/>
        <v>alp_vw__aaf_dsy_sustn_nd_nc_tcr_branded-content_projeto-globoplay_</v>
      </c>
      <c r="BM68" t="e">
        <f t="shared" si="22"/>
        <v>#N/A</v>
      </c>
      <c r="BN68" t="e">
        <f t="shared" si="23"/>
        <v>#VALUE!</v>
      </c>
    </row>
    <row r="69" spans="34:66" ht="15.75" customHeight="1" x14ac:dyDescent="0.25">
      <c r="AH69" s="15" t="e">
        <f t="shared" si="115"/>
        <v>#N/A</v>
      </c>
      <c r="AI69" s="21" t="e">
        <f t="shared" si="128"/>
        <v>#N/A</v>
      </c>
      <c r="AJ69" s="40" t="e">
        <f t="shared" si="128"/>
        <v>#N/A</v>
      </c>
      <c r="AK69" s="21" t="str">
        <f t="shared" ref="AK69:AK114" si="129">LOWER(faxineiro(CONCATENATE("VW","_",cel_modelvariant,"_",col_size,"_",col_localfreetype,"_",IF(col_servidopor="portal",col_supplier,"adserver"))))</f>
        <v>vw_t-cross___adserver</v>
      </c>
      <c r="AL69" s="21" t="e">
        <f t="shared" si="116"/>
        <v>#VALUE!</v>
      </c>
      <c r="AM69" s="21" t="str">
        <f t="shared" ref="AM69:AM114" si="130">IFERROR(IF(col_servidopor="portal",VLOOKUP(col_placement,tab_contadores,2,FALSE),"TAG"),"Contador")</f>
        <v>TAG</v>
      </c>
      <c r="AN69" s="15">
        <f t="shared" si="117"/>
        <v>0</v>
      </c>
      <c r="AO69" s="15">
        <f t="shared" si="118"/>
        <v>0</v>
      </c>
      <c r="AP69" s="21" t="str">
        <f>Campanha!$B$3</f>
        <v>BR_AAF_DSY_SUSTN_ND_NC_2021Q1MAR_TCR_Branded-Content</v>
      </c>
      <c r="AQ69" s="21" t="e">
        <f t="shared" ref="AQ69:AQ114" si="131">col_adname</f>
        <v>#N/A</v>
      </c>
      <c r="AR69" s="15" t="s">
        <v>770</v>
      </c>
      <c r="AS69" s="21" t="e">
        <f t="shared" ref="AS69:AS114" si="132">faxineiro(CONCATENATE(col_url,IF(ISNUMBER(FIND("?",col_url)),"&amp;","?"),"utm_source=",col_utmsource,"&amp;utm_medium=",col_utmmedium,"&amp;utm_content=",col_utmcontent,"&amp;utm_campaign=",col_utmcampaign,"&amp;utm_term=",col_keyword))</f>
        <v>#VALUE!</v>
      </c>
      <c r="AT69" s="15" t="str">
        <f t="shared" si="119"/>
        <v/>
      </c>
      <c r="AU69" s="15" t="str">
        <f t="shared" ref="AU69:AU114" si="133">VLOOKUP(cel_country,tab_country,2,FALSE)</f>
        <v>BR</v>
      </c>
      <c r="AV69" s="15" t="str">
        <f t="shared" si="120"/>
        <v/>
      </c>
      <c r="AW69" s="15" t="str">
        <f t="shared" si="121"/>
        <v/>
      </c>
      <c r="AX69" s="15" t="str">
        <f t="shared" ref="AX69:AX114" si="134">LOWER(cel_campaing)</f>
        <v>branded-content</v>
      </c>
      <c r="AY69" s="15" t="e">
        <f t="shared" si="122"/>
        <v>#N/A</v>
      </c>
      <c r="AZ69" s="15" t="str">
        <f t="shared" si="123"/>
        <v/>
      </c>
      <c r="BA69" s="15" t="str">
        <f t="shared" si="124"/>
        <v/>
      </c>
      <c r="BB69" s="28" t="s">
        <v>814</v>
      </c>
      <c r="BC69" s="28" t="s">
        <v>814</v>
      </c>
      <c r="BD69" s="38" t="str">
        <f t="shared" si="125"/>
        <v>bc-tcr-aaf-dsy-0321-10069</v>
      </c>
      <c r="BE69" s="15" t="str">
        <f t="shared" si="126"/>
        <v>BR</v>
      </c>
      <c r="BF69" s="15" t="str">
        <f t="shared" si="127"/>
        <v/>
      </c>
      <c r="BG69" s="28"/>
      <c r="BH69" s="28"/>
      <c r="BI69" s="36" t="e">
        <f t="shared" ref="BI69:BI114" si="135">faxineiro(CONCATENATE(col_url,IF(ISNUMBER(FIND("?",col_url)),"&amp;","?"),CONCATENATE("adlid=",col_adlid,"&amp;adplt=",adplt)))</f>
        <v>#VALUE!</v>
      </c>
      <c r="BL69" t="str">
        <f t="shared" ref="BL69:BL114" si="136">LOWER(CONCATENATE("alp","_","vw","_",col_supplier,"_",cel_structurename,"_",col_objetivo))</f>
        <v>alp_vw__aaf_dsy_sustn_nd_nc_tcr_branded-content_projeto-globoplay_</v>
      </c>
      <c r="BM69" t="e">
        <f t="shared" ref="BM69:BM114" si="137">LOWER(CONCATENATE(col_buyingmetric,"_",VLOOKUP(col_buyingtype,tab_buyingtype,2,FALSE),"_",col_device,"_",col_size,"_",col_segmentacao,"_",col_segmentacaodeanun))</f>
        <v>#N/A</v>
      </c>
      <c r="BN69" t="e">
        <f t="shared" ref="BN69:BN114" si="138">faxineiro(LOWER(CONCATENATE(col_campanhaanunciante,"_",col_grupoanunciante,"_",col_linhacriativa2,"_",col_adlid)))</f>
        <v>#VALUE!</v>
      </c>
    </row>
    <row r="70" spans="34:66" ht="15.75" customHeight="1" x14ac:dyDescent="0.25">
      <c r="AH70" s="15" t="e">
        <f t="shared" si="115"/>
        <v>#N/A</v>
      </c>
      <c r="AI70" s="21" t="e">
        <f t="shared" si="128"/>
        <v>#N/A</v>
      </c>
      <c r="AJ70" s="40" t="e">
        <f t="shared" si="128"/>
        <v>#N/A</v>
      </c>
      <c r="AK70" s="21" t="str">
        <f t="shared" si="129"/>
        <v>vw_t-cross___adserver</v>
      </c>
      <c r="AL70" s="21" t="e">
        <f t="shared" si="116"/>
        <v>#VALUE!</v>
      </c>
      <c r="AM70" s="21" t="str">
        <f t="shared" si="130"/>
        <v>TAG</v>
      </c>
      <c r="AN70" s="15">
        <f t="shared" si="117"/>
        <v>0</v>
      </c>
      <c r="AO70" s="15">
        <f t="shared" si="118"/>
        <v>0</v>
      </c>
      <c r="AP70" s="21" t="str">
        <f>Campanha!$B$3</f>
        <v>BR_AAF_DSY_SUSTN_ND_NC_2021Q1MAR_TCR_Branded-Content</v>
      </c>
      <c r="AQ70" s="21" t="e">
        <f t="shared" si="131"/>
        <v>#N/A</v>
      </c>
      <c r="AR70" s="15" t="s">
        <v>770</v>
      </c>
      <c r="AS70" s="21" t="e">
        <f t="shared" si="132"/>
        <v>#VALUE!</v>
      </c>
      <c r="AT70" s="15" t="str">
        <f t="shared" si="119"/>
        <v/>
      </c>
      <c r="AU70" s="15" t="str">
        <f t="shared" si="133"/>
        <v>BR</v>
      </c>
      <c r="AV70" s="15" t="str">
        <f t="shared" si="120"/>
        <v/>
      </c>
      <c r="AW70" s="15" t="str">
        <f t="shared" si="121"/>
        <v/>
      </c>
      <c r="AX70" s="15" t="str">
        <f t="shared" si="134"/>
        <v>branded-content</v>
      </c>
      <c r="AY70" s="15" t="e">
        <f t="shared" si="122"/>
        <v>#N/A</v>
      </c>
      <c r="AZ70" s="15" t="str">
        <f t="shared" si="123"/>
        <v/>
      </c>
      <c r="BA70" s="15" t="str">
        <f t="shared" si="124"/>
        <v/>
      </c>
      <c r="BB70" s="28" t="s">
        <v>814</v>
      </c>
      <c r="BC70" s="28" t="s">
        <v>814</v>
      </c>
      <c r="BD70" s="38" t="str">
        <f t="shared" si="125"/>
        <v>bc-tcr-aaf-dsy-0321-10070</v>
      </c>
      <c r="BE70" s="15" t="str">
        <f t="shared" si="126"/>
        <v>BR</v>
      </c>
      <c r="BF70" s="15" t="str">
        <f t="shared" si="127"/>
        <v/>
      </c>
      <c r="BG70" s="28"/>
      <c r="BH70" s="28"/>
      <c r="BI70" s="36" t="e">
        <f t="shared" si="135"/>
        <v>#VALUE!</v>
      </c>
      <c r="BL70" t="str">
        <f t="shared" si="136"/>
        <v>alp_vw__aaf_dsy_sustn_nd_nc_tcr_branded-content_projeto-globoplay_</v>
      </c>
      <c r="BM70" t="e">
        <f t="shared" si="137"/>
        <v>#N/A</v>
      </c>
      <c r="BN70" t="e">
        <f t="shared" si="138"/>
        <v>#VALUE!</v>
      </c>
    </row>
    <row r="71" spans="34:66" ht="15.75" customHeight="1" x14ac:dyDescent="0.25">
      <c r="AH71" s="15" t="e">
        <f t="shared" si="115"/>
        <v>#N/A</v>
      </c>
      <c r="AI71" s="21" t="e">
        <f t="shared" si="128"/>
        <v>#N/A</v>
      </c>
      <c r="AJ71" s="40" t="e">
        <f t="shared" si="128"/>
        <v>#N/A</v>
      </c>
      <c r="AK71" s="21" t="str">
        <f t="shared" si="129"/>
        <v>vw_t-cross___adserver</v>
      </c>
      <c r="AL71" s="21" t="e">
        <f t="shared" si="116"/>
        <v>#VALUE!</v>
      </c>
      <c r="AM71" s="21" t="str">
        <f t="shared" si="130"/>
        <v>TAG</v>
      </c>
      <c r="AN71" s="15">
        <f t="shared" si="117"/>
        <v>0</v>
      </c>
      <c r="AO71" s="15">
        <f t="shared" si="118"/>
        <v>0</v>
      </c>
      <c r="AP71" s="21" t="str">
        <f>Campanha!$B$3</f>
        <v>BR_AAF_DSY_SUSTN_ND_NC_2021Q1MAR_TCR_Branded-Content</v>
      </c>
      <c r="AQ71" s="21" t="e">
        <f t="shared" si="131"/>
        <v>#N/A</v>
      </c>
      <c r="AR71" s="15" t="s">
        <v>770</v>
      </c>
      <c r="AS71" s="21" t="e">
        <f t="shared" si="132"/>
        <v>#VALUE!</v>
      </c>
      <c r="AT71" s="15" t="str">
        <f t="shared" si="119"/>
        <v/>
      </c>
      <c r="AU71" s="15" t="str">
        <f t="shared" si="133"/>
        <v>BR</v>
      </c>
      <c r="AV71" s="15" t="str">
        <f t="shared" si="120"/>
        <v/>
      </c>
      <c r="AW71" s="15" t="str">
        <f t="shared" si="121"/>
        <v/>
      </c>
      <c r="AX71" s="15" t="str">
        <f t="shared" si="134"/>
        <v>branded-content</v>
      </c>
      <c r="AY71" s="15" t="e">
        <f t="shared" si="122"/>
        <v>#N/A</v>
      </c>
      <c r="AZ71" s="15" t="str">
        <f t="shared" si="123"/>
        <v/>
      </c>
      <c r="BA71" s="15" t="str">
        <f t="shared" si="124"/>
        <v/>
      </c>
      <c r="BB71" s="28" t="s">
        <v>814</v>
      </c>
      <c r="BC71" s="28" t="s">
        <v>814</v>
      </c>
      <c r="BD71" s="38" t="str">
        <f t="shared" si="125"/>
        <v>bc-tcr-aaf-dsy-0321-10071</v>
      </c>
      <c r="BE71" s="15" t="str">
        <f t="shared" si="126"/>
        <v>BR</v>
      </c>
      <c r="BF71" s="15" t="str">
        <f t="shared" si="127"/>
        <v/>
      </c>
      <c r="BG71" s="28"/>
      <c r="BH71" s="28"/>
      <c r="BI71" s="36" t="e">
        <f t="shared" si="135"/>
        <v>#VALUE!</v>
      </c>
      <c r="BL71" t="str">
        <f t="shared" si="136"/>
        <v>alp_vw__aaf_dsy_sustn_nd_nc_tcr_branded-content_projeto-globoplay_</v>
      </c>
      <c r="BM71" t="e">
        <f t="shared" si="137"/>
        <v>#N/A</v>
      </c>
      <c r="BN71" t="e">
        <f t="shared" si="138"/>
        <v>#VALUE!</v>
      </c>
    </row>
    <row r="72" spans="34:66" ht="15.75" customHeight="1" x14ac:dyDescent="0.25">
      <c r="AH72" s="15" t="e">
        <f t="shared" si="115"/>
        <v>#N/A</v>
      </c>
      <c r="AI72" s="21" t="e">
        <f t="shared" si="128"/>
        <v>#N/A</v>
      </c>
      <c r="AJ72" s="40" t="e">
        <f t="shared" si="128"/>
        <v>#N/A</v>
      </c>
      <c r="AK72" s="21" t="str">
        <f t="shared" si="129"/>
        <v>vw_t-cross___adserver</v>
      </c>
      <c r="AL72" s="21" t="e">
        <f t="shared" si="116"/>
        <v>#VALUE!</v>
      </c>
      <c r="AM72" s="21" t="str">
        <f t="shared" si="130"/>
        <v>TAG</v>
      </c>
      <c r="AN72" s="15">
        <f t="shared" si="117"/>
        <v>0</v>
      </c>
      <c r="AO72" s="15">
        <f t="shared" si="118"/>
        <v>0</v>
      </c>
      <c r="AP72" s="21" t="str">
        <f>Campanha!$B$3</f>
        <v>BR_AAF_DSY_SUSTN_ND_NC_2021Q1MAR_TCR_Branded-Content</v>
      </c>
      <c r="AQ72" s="21" t="e">
        <f t="shared" si="131"/>
        <v>#N/A</v>
      </c>
      <c r="AR72" s="15" t="s">
        <v>770</v>
      </c>
      <c r="AS72" s="21" t="e">
        <f t="shared" si="132"/>
        <v>#VALUE!</v>
      </c>
      <c r="AT72" s="15" t="str">
        <f t="shared" si="119"/>
        <v/>
      </c>
      <c r="AU72" s="15" t="str">
        <f t="shared" si="133"/>
        <v>BR</v>
      </c>
      <c r="AV72" s="15" t="str">
        <f t="shared" si="120"/>
        <v/>
      </c>
      <c r="AW72" s="15" t="str">
        <f t="shared" si="121"/>
        <v/>
      </c>
      <c r="AX72" s="15" t="str">
        <f t="shared" si="134"/>
        <v>branded-content</v>
      </c>
      <c r="AY72" s="15" t="e">
        <f t="shared" si="122"/>
        <v>#N/A</v>
      </c>
      <c r="AZ72" s="15" t="str">
        <f t="shared" si="123"/>
        <v/>
      </c>
      <c r="BA72" s="15" t="str">
        <f t="shared" si="124"/>
        <v/>
      </c>
      <c r="BB72" s="28" t="s">
        <v>814</v>
      </c>
      <c r="BC72" s="28" t="s">
        <v>814</v>
      </c>
      <c r="BD72" s="38" t="str">
        <f t="shared" si="125"/>
        <v>bc-tcr-aaf-dsy-0321-10072</v>
      </c>
      <c r="BE72" s="15" t="str">
        <f t="shared" si="126"/>
        <v>BR</v>
      </c>
      <c r="BF72" s="15" t="str">
        <f t="shared" si="127"/>
        <v/>
      </c>
      <c r="BG72" s="28"/>
      <c r="BH72" s="28"/>
      <c r="BI72" s="36" t="e">
        <f t="shared" si="135"/>
        <v>#VALUE!</v>
      </c>
      <c r="BL72" t="str">
        <f t="shared" si="136"/>
        <v>alp_vw__aaf_dsy_sustn_nd_nc_tcr_branded-content_projeto-globoplay_</v>
      </c>
      <c r="BM72" t="e">
        <f t="shared" si="137"/>
        <v>#N/A</v>
      </c>
      <c r="BN72" t="e">
        <f t="shared" si="138"/>
        <v>#VALUE!</v>
      </c>
    </row>
    <row r="73" spans="34:66" ht="15.75" customHeight="1" x14ac:dyDescent="0.25">
      <c r="AH73" s="15" t="e">
        <f t="shared" si="115"/>
        <v>#N/A</v>
      </c>
      <c r="AI73" s="21" t="e">
        <f t="shared" si="128"/>
        <v>#N/A</v>
      </c>
      <c r="AJ73" s="40" t="e">
        <f t="shared" si="128"/>
        <v>#N/A</v>
      </c>
      <c r="AK73" s="21" t="str">
        <f t="shared" si="129"/>
        <v>vw_t-cross___adserver</v>
      </c>
      <c r="AL73" s="21" t="e">
        <f t="shared" si="116"/>
        <v>#VALUE!</v>
      </c>
      <c r="AM73" s="21" t="str">
        <f t="shared" si="130"/>
        <v>TAG</v>
      </c>
      <c r="AN73" s="15">
        <f t="shared" si="117"/>
        <v>0</v>
      </c>
      <c r="AO73" s="15">
        <f t="shared" si="118"/>
        <v>0</v>
      </c>
      <c r="AP73" s="21" t="str">
        <f>Campanha!$B$3</f>
        <v>BR_AAF_DSY_SUSTN_ND_NC_2021Q1MAR_TCR_Branded-Content</v>
      </c>
      <c r="AQ73" s="21" t="e">
        <f t="shared" si="131"/>
        <v>#N/A</v>
      </c>
      <c r="AR73" s="15" t="s">
        <v>770</v>
      </c>
      <c r="AS73" s="21" t="e">
        <f t="shared" si="132"/>
        <v>#VALUE!</v>
      </c>
      <c r="AT73" s="15" t="str">
        <f t="shared" si="119"/>
        <v/>
      </c>
      <c r="AU73" s="15" t="str">
        <f t="shared" si="133"/>
        <v>BR</v>
      </c>
      <c r="AV73" s="15" t="str">
        <f t="shared" si="120"/>
        <v/>
      </c>
      <c r="AW73" s="15" t="str">
        <f t="shared" si="121"/>
        <v/>
      </c>
      <c r="AX73" s="15" t="str">
        <f t="shared" si="134"/>
        <v>branded-content</v>
      </c>
      <c r="AY73" s="15" t="e">
        <f t="shared" si="122"/>
        <v>#N/A</v>
      </c>
      <c r="AZ73" s="15" t="str">
        <f t="shared" si="123"/>
        <v/>
      </c>
      <c r="BA73" s="15" t="str">
        <f t="shared" si="124"/>
        <v/>
      </c>
      <c r="BB73" s="28" t="s">
        <v>814</v>
      </c>
      <c r="BC73" s="28" t="s">
        <v>814</v>
      </c>
      <c r="BD73" s="38" t="str">
        <f t="shared" si="125"/>
        <v>bc-tcr-aaf-dsy-0321-10073</v>
      </c>
      <c r="BE73" s="15" t="str">
        <f t="shared" si="126"/>
        <v>BR</v>
      </c>
      <c r="BF73" s="15" t="str">
        <f t="shared" si="127"/>
        <v/>
      </c>
      <c r="BG73" s="28"/>
      <c r="BH73" s="28"/>
      <c r="BI73" s="36" t="e">
        <f t="shared" si="135"/>
        <v>#VALUE!</v>
      </c>
      <c r="BL73" t="str">
        <f t="shared" si="136"/>
        <v>alp_vw__aaf_dsy_sustn_nd_nc_tcr_branded-content_projeto-globoplay_</v>
      </c>
      <c r="BM73" t="e">
        <f t="shared" si="137"/>
        <v>#N/A</v>
      </c>
      <c r="BN73" t="e">
        <f t="shared" si="138"/>
        <v>#VALUE!</v>
      </c>
    </row>
    <row r="74" spans="34:66" ht="15.75" customHeight="1" x14ac:dyDescent="0.25">
      <c r="AH74" s="15" t="e">
        <f t="shared" si="115"/>
        <v>#N/A</v>
      </c>
      <c r="AI74" s="21" t="e">
        <f t="shared" si="128"/>
        <v>#N/A</v>
      </c>
      <c r="AJ74" s="40" t="e">
        <f t="shared" si="128"/>
        <v>#N/A</v>
      </c>
      <c r="AK74" s="21" t="str">
        <f t="shared" si="129"/>
        <v>vw_t-cross___adserver</v>
      </c>
      <c r="AL74" s="21" t="e">
        <f t="shared" si="116"/>
        <v>#VALUE!</v>
      </c>
      <c r="AM74" s="21" t="str">
        <f t="shared" si="130"/>
        <v>TAG</v>
      </c>
      <c r="AN74" s="15">
        <f t="shared" si="117"/>
        <v>0</v>
      </c>
      <c r="AO74" s="15">
        <f t="shared" si="118"/>
        <v>0</v>
      </c>
      <c r="AP74" s="21" t="str">
        <f>Campanha!$B$3</f>
        <v>BR_AAF_DSY_SUSTN_ND_NC_2021Q1MAR_TCR_Branded-Content</v>
      </c>
      <c r="AQ74" s="21" t="e">
        <f t="shared" si="131"/>
        <v>#N/A</v>
      </c>
      <c r="AR74" s="15" t="s">
        <v>770</v>
      </c>
      <c r="AS74" s="21" t="e">
        <f t="shared" si="132"/>
        <v>#VALUE!</v>
      </c>
      <c r="AT74" s="15" t="str">
        <f t="shared" si="119"/>
        <v/>
      </c>
      <c r="AU74" s="15" t="str">
        <f t="shared" si="133"/>
        <v>BR</v>
      </c>
      <c r="AV74" s="15" t="str">
        <f t="shared" si="120"/>
        <v/>
      </c>
      <c r="AW74" s="15" t="str">
        <f t="shared" si="121"/>
        <v/>
      </c>
      <c r="AX74" s="15" t="str">
        <f t="shared" si="134"/>
        <v>branded-content</v>
      </c>
      <c r="AY74" s="15" t="e">
        <f t="shared" si="122"/>
        <v>#N/A</v>
      </c>
      <c r="AZ74" s="15" t="str">
        <f t="shared" si="123"/>
        <v/>
      </c>
      <c r="BA74" s="15" t="str">
        <f t="shared" si="124"/>
        <v/>
      </c>
      <c r="BB74" s="28" t="s">
        <v>814</v>
      </c>
      <c r="BC74" s="28" t="s">
        <v>814</v>
      </c>
      <c r="BD74" s="38" t="str">
        <f t="shared" si="125"/>
        <v>bc-tcr-aaf-dsy-0321-10074</v>
      </c>
      <c r="BE74" s="15" t="str">
        <f t="shared" si="126"/>
        <v>BR</v>
      </c>
      <c r="BF74" s="15" t="str">
        <f t="shared" si="127"/>
        <v/>
      </c>
      <c r="BG74" s="28"/>
      <c r="BH74" s="28"/>
      <c r="BI74" s="36" t="e">
        <f t="shared" si="135"/>
        <v>#VALUE!</v>
      </c>
      <c r="BL74" t="str">
        <f t="shared" si="136"/>
        <v>alp_vw__aaf_dsy_sustn_nd_nc_tcr_branded-content_projeto-globoplay_</v>
      </c>
      <c r="BM74" t="e">
        <f t="shared" si="137"/>
        <v>#N/A</v>
      </c>
      <c r="BN74" t="e">
        <f t="shared" si="138"/>
        <v>#VALUE!</v>
      </c>
    </row>
    <row r="75" spans="34:66" ht="15.75" customHeight="1" x14ac:dyDescent="0.25">
      <c r="AH75" s="15" t="e">
        <f t="shared" si="115"/>
        <v>#N/A</v>
      </c>
      <c r="AI75" s="21" t="e">
        <f t="shared" si="128"/>
        <v>#N/A</v>
      </c>
      <c r="AJ75" s="40" t="e">
        <f t="shared" si="128"/>
        <v>#N/A</v>
      </c>
      <c r="AK75" s="21" t="str">
        <f t="shared" si="129"/>
        <v>vw_t-cross___adserver</v>
      </c>
      <c r="AL75" s="21" t="e">
        <f t="shared" si="116"/>
        <v>#VALUE!</v>
      </c>
      <c r="AM75" s="21" t="str">
        <f t="shared" si="130"/>
        <v>TAG</v>
      </c>
      <c r="AN75" s="15">
        <f t="shared" si="117"/>
        <v>0</v>
      </c>
      <c r="AO75" s="15">
        <f t="shared" si="118"/>
        <v>0</v>
      </c>
      <c r="AP75" s="21" t="str">
        <f>Campanha!$B$3</f>
        <v>BR_AAF_DSY_SUSTN_ND_NC_2021Q1MAR_TCR_Branded-Content</v>
      </c>
      <c r="AQ75" s="21" t="e">
        <f t="shared" si="131"/>
        <v>#N/A</v>
      </c>
      <c r="AR75" s="15" t="s">
        <v>770</v>
      </c>
      <c r="AS75" s="21" t="e">
        <f t="shared" si="132"/>
        <v>#VALUE!</v>
      </c>
      <c r="AT75" s="15" t="str">
        <f t="shared" si="119"/>
        <v/>
      </c>
      <c r="AU75" s="15" t="str">
        <f t="shared" si="133"/>
        <v>BR</v>
      </c>
      <c r="AV75" s="15" t="str">
        <f t="shared" si="120"/>
        <v/>
      </c>
      <c r="AW75" s="15" t="str">
        <f t="shared" si="121"/>
        <v/>
      </c>
      <c r="AX75" s="15" t="str">
        <f t="shared" si="134"/>
        <v>branded-content</v>
      </c>
      <c r="AY75" s="15" t="e">
        <f t="shared" si="122"/>
        <v>#N/A</v>
      </c>
      <c r="AZ75" s="15" t="str">
        <f t="shared" si="123"/>
        <v/>
      </c>
      <c r="BA75" s="15" t="str">
        <f t="shared" si="124"/>
        <v/>
      </c>
      <c r="BB75" s="28" t="s">
        <v>814</v>
      </c>
      <c r="BC75" s="28" t="s">
        <v>814</v>
      </c>
      <c r="BD75" s="38" t="str">
        <f t="shared" si="125"/>
        <v>bc-tcr-aaf-dsy-0321-10075</v>
      </c>
      <c r="BE75" s="15" t="str">
        <f t="shared" si="126"/>
        <v>BR</v>
      </c>
      <c r="BF75" s="15" t="str">
        <f t="shared" si="127"/>
        <v/>
      </c>
      <c r="BG75" s="28"/>
      <c r="BH75" s="28"/>
      <c r="BI75" s="36" t="e">
        <f t="shared" si="135"/>
        <v>#VALUE!</v>
      </c>
      <c r="BL75" t="str">
        <f t="shared" si="136"/>
        <v>alp_vw__aaf_dsy_sustn_nd_nc_tcr_branded-content_projeto-globoplay_</v>
      </c>
      <c r="BM75" t="e">
        <f t="shared" si="137"/>
        <v>#N/A</v>
      </c>
      <c r="BN75" t="e">
        <f t="shared" si="138"/>
        <v>#VALUE!</v>
      </c>
    </row>
    <row r="76" spans="34:66" ht="15.75" customHeight="1" x14ac:dyDescent="0.25">
      <c r="AH76" s="15" t="e">
        <f t="shared" si="115"/>
        <v>#N/A</v>
      </c>
      <c r="AI76" s="21" t="e">
        <f t="shared" si="128"/>
        <v>#N/A</v>
      </c>
      <c r="AJ76" s="40" t="e">
        <f t="shared" si="128"/>
        <v>#N/A</v>
      </c>
      <c r="AK76" s="21" t="str">
        <f t="shared" si="129"/>
        <v>vw_t-cross___adserver</v>
      </c>
      <c r="AL76" s="21" t="e">
        <f t="shared" si="116"/>
        <v>#VALUE!</v>
      </c>
      <c r="AM76" s="21" t="str">
        <f t="shared" si="130"/>
        <v>TAG</v>
      </c>
      <c r="AN76" s="15">
        <f t="shared" si="117"/>
        <v>0</v>
      </c>
      <c r="AO76" s="15">
        <f t="shared" si="118"/>
        <v>0</v>
      </c>
      <c r="AP76" s="21" t="str">
        <f>Campanha!$B$3</f>
        <v>BR_AAF_DSY_SUSTN_ND_NC_2021Q1MAR_TCR_Branded-Content</v>
      </c>
      <c r="AQ76" s="21" t="e">
        <f t="shared" si="131"/>
        <v>#N/A</v>
      </c>
      <c r="AR76" s="15" t="s">
        <v>770</v>
      </c>
      <c r="AS76" s="21" t="e">
        <f t="shared" si="132"/>
        <v>#VALUE!</v>
      </c>
      <c r="AT76" s="15" t="str">
        <f t="shared" si="119"/>
        <v/>
      </c>
      <c r="AU76" s="15" t="str">
        <f t="shared" si="133"/>
        <v>BR</v>
      </c>
      <c r="AV76" s="15" t="str">
        <f t="shared" si="120"/>
        <v/>
      </c>
      <c r="AW76" s="15" t="str">
        <f t="shared" si="121"/>
        <v/>
      </c>
      <c r="AX76" s="15" t="str">
        <f t="shared" si="134"/>
        <v>branded-content</v>
      </c>
      <c r="AY76" s="15" t="e">
        <f t="shared" si="122"/>
        <v>#N/A</v>
      </c>
      <c r="AZ76" s="15" t="str">
        <f t="shared" si="123"/>
        <v/>
      </c>
      <c r="BA76" s="15" t="str">
        <f t="shared" si="124"/>
        <v/>
      </c>
      <c r="BB76" s="28" t="s">
        <v>814</v>
      </c>
      <c r="BC76" s="28" t="s">
        <v>814</v>
      </c>
      <c r="BD76" s="38" t="str">
        <f t="shared" si="125"/>
        <v>bc-tcr-aaf-dsy-0321-10076</v>
      </c>
      <c r="BE76" s="15" t="str">
        <f t="shared" si="126"/>
        <v>BR</v>
      </c>
      <c r="BF76" s="15" t="str">
        <f t="shared" si="127"/>
        <v/>
      </c>
      <c r="BG76" s="28"/>
      <c r="BH76" s="28"/>
      <c r="BI76" s="36" t="e">
        <f t="shared" si="135"/>
        <v>#VALUE!</v>
      </c>
      <c r="BL76" t="str">
        <f t="shared" si="136"/>
        <v>alp_vw__aaf_dsy_sustn_nd_nc_tcr_branded-content_projeto-globoplay_</v>
      </c>
      <c r="BM76" t="e">
        <f t="shared" si="137"/>
        <v>#N/A</v>
      </c>
      <c r="BN76" t="e">
        <f t="shared" si="138"/>
        <v>#VALUE!</v>
      </c>
    </row>
    <row r="77" spans="34:66" ht="15.75" customHeight="1" x14ac:dyDescent="0.25">
      <c r="AH77" s="15" t="e">
        <f t="shared" si="115"/>
        <v>#N/A</v>
      </c>
      <c r="AI77" s="21" t="e">
        <f t="shared" si="128"/>
        <v>#N/A</v>
      </c>
      <c r="AJ77" s="40" t="e">
        <f t="shared" si="128"/>
        <v>#N/A</v>
      </c>
      <c r="AK77" s="21" t="str">
        <f t="shared" si="129"/>
        <v>vw_t-cross___adserver</v>
      </c>
      <c r="AL77" s="21" t="e">
        <f t="shared" si="116"/>
        <v>#VALUE!</v>
      </c>
      <c r="AM77" s="21" t="str">
        <f t="shared" si="130"/>
        <v>TAG</v>
      </c>
      <c r="AN77" s="15">
        <f t="shared" si="117"/>
        <v>0</v>
      </c>
      <c r="AO77" s="15">
        <f t="shared" si="118"/>
        <v>0</v>
      </c>
      <c r="AP77" s="21" t="str">
        <f>Campanha!$B$3</f>
        <v>BR_AAF_DSY_SUSTN_ND_NC_2021Q1MAR_TCR_Branded-Content</v>
      </c>
      <c r="AQ77" s="21" t="e">
        <f t="shared" si="131"/>
        <v>#N/A</v>
      </c>
      <c r="AR77" s="15" t="s">
        <v>770</v>
      </c>
      <c r="AS77" s="21" t="e">
        <f t="shared" si="132"/>
        <v>#VALUE!</v>
      </c>
      <c r="AT77" s="15" t="str">
        <f t="shared" si="119"/>
        <v/>
      </c>
      <c r="AU77" s="15" t="str">
        <f t="shared" si="133"/>
        <v>BR</v>
      </c>
      <c r="AV77" s="15" t="str">
        <f t="shared" si="120"/>
        <v/>
      </c>
      <c r="AW77" s="15" t="str">
        <f t="shared" si="121"/>
        <v/>
      </c>
      <c r="AX77" s="15" t="str">
        <f t="shared" si="134"/>
        <v>branded-content</v>
      </c>
      <c r="AY77" s="15" t="e">
        <f t="shared" si="122"/>
        <v>#N/A</v>
      </c>
      <c r="AZ77" s="15" t="str">
        <f t="shared" si="123"/>
        <v/>
      </c>
      <c r="BA77" s="15" t="str">
        <f t="shared" si="124"/>
        <v/>
      </c>
      <c r="BB77" s="28" t="s">
        <v>814</v>
      </c>
      <c r="BC77" s="28" t="s">
        <v>814</v>
      </c>
      <c r="BD77" s="38" t="str">
        <f t="shared" si="125"/>
        <v>bc-tcr-aaf-dsy-0321-10077</v>
      </c>
      <c r="BE77" s="15" t="str">
        <f t="shared" si="126"/>
        <v>BR</v>
      </c>
      <c r="BF77" s="15" t="str">
        <f t="shared" si="127"/>
        <v/>
      </c>
      <c r="BG77" s="28"/>
      <c r="BH77" s="28"/>
      <c r="BI77" s="36" t="e">
        <f t="shared" si="135"/>
        <v>#VALUE!</v>
      </c>
      <c r="BL77" t="str">
        <f t="shared" si="136"/>
        <v>alp_vw__aaf_dsy_sustn_nd_nc_tcr_branded-content_projeto-globoplay_</v>
      </c>
      <c r="BM77" t="e">
        <f t="shared" si="137"/>
        <v>#N/A</v>
      </c>
      <c r="BN77" t="e">
        <f t="shared" si="138"/>
        <v>#VALUE!</v>
      </c>
    </row>
    <row r="78" spans="34:66" ht="15.75" customHeight="1" x14ac:dyDescent="0.25">
      <c r="AH78" s="15" t="e">
        <f t="shared" si="115"/>
        <v>#N/A</v>
      </c>
      <c r="AI78" s="21" t="e">
        <f t="shared" si="128"/>
        <v>#N/A</v>
      </c>
      <c r="AJ78" s="40" t="e">
        <f t="shared" si="128"/>
        <v>#N/A</v>
      </c>
      <c r="AK78" s="21" t="str">
        <f t="shared" si="129"/>
        <v>vw_t-cross___adserver</v>
      </c>
      <c r="AL78" s="21" t="e">
        <f t="shared" si="116"/>
        <v>#VALUE!</v>
      </c>
      <c r="AM78" s="21" t="str">
        <f t="shared" si="130"/>
        <v>TAG</v>
      </c>
      <c r="AN78" s="15">
        <f t="shared" si="117"/>
        <v>0</v>
      </c>
      <c r="AO78" s="15">
        <f t="shared" si="118"/>
        <v>0</v>
      </c>
      <c r="AP78" s="21" t="str">
        <f>Campanha!$B$3</f>
        <v>BR_AAF_DSY_SUSTN_ND_NC_2021Q1MAR_TCR_Branded-Content</v>
      </c>
      <c r="AQ78" s="21" t="e">
        <f t="shared" si="131"/>
        <v>#N/A</v>
      </c>
      <c r="AR78" s="15" t="s">
        <v>770</v>
      </c>
      <c r="AS78" s="21" t="e">
        <f t="shared" si="132"/>
        <v>#VALUE!</v>
      </c>
      <c r="AT78" s="15" t="str">
        <f t="shared" si="119"/>
        <v/>
      </c>
      <c r="AU78" s="15" t="str">
        <f t="shared" si="133"/>
        <v>BR</v>
      </c>
      <c r="AV78" s="15" t="str">
        <f t="shared" si="120"/>
        <v/>
      </c>
      <c r="AW78" s="15" t="str">
        <f t="shared" si="121"/>
        <v/>
      </c>
      <c r="AX78" s="15" t="str">
        <f t="shared" si="134"/>
        <v>branded-content</v>
      </c>
      <c r="AY78" s="15" t="e">
        <f t="shared" si="122"/>
        <v>#N/A</v>
      </c>
      <c r="AZ78" s="15" t="str">
        <f t="shared" si="123"/>
        <v/>
      </c>
      <c r="BA78" s="15" t="str">
        <f t="shared" si="124"/>
        <v/>
      </c>
      <c r="BB78" s="28" t="s">
        <v>814</v>
      </c>
      <c r="BC78" s="28" t="s">
        <v>814</v>
      </c>
      <c r="BD78" s="38" t="str">
        <f t="shared" si="125"/>
        <v>bc-tcr-aaf-dsy-0321-10078</v>
      </c>
      <c r="BE78" s="15" t="str">
        <f t="shared" si="126"/>
        <v>BR</v>
      </c>
      <c r="BF78" s="15" t="str">
        <f t="shared" si="127"/>
        <v/>
      </c>
      <c r="BG78" s="28"/>
      <c r="BH78" s="28"/>
      <c r="BI78" s="36" t="e">
        <f t="shared" si="135"/>
        <v>#VALUE!</v>
      </c>
      <c r="BL78" t="str">
        <f t="shared" si="136"/>
        <v>alp_vw__aaf_dsy_sustn_nd_nc_tcr_branded-content_projeto-globoplay_</v>
      </c>
      <c r="BM78" t="e">
        <f t="shared" si="137"/>
        <v>#N/A</v>
      </c>
      <c r="BN78" t="e">
        <f t="shared" si="138"/>
        <v>#VALUE!</v>
      </c>
    </row>
    <row r="79" spans="34:66" ht="15.75" customHeight="1" x14ac:dyDescent="0.25">
      <c r="AH79" s="15" t="e">
        <f t="shared" si="115"/>
        <v>#N/A</v>
      </c>
      <c r="AI79" s="21" t="e">
        <f t="shared" si="128"/>
        <v>#N/A</v>
      </c>
      <c r="AJ79" s="40" t="e">
        <f t="shared" si="128"/>
        <v>#N/A</v>
      </c>
      <c r="AK79" s="21" t="str">
        <f t="shared" si="129"/>
        <v>vw_t-cross___adserver</v>
      </c>
      <c r="AL79" s="21" t="e">
        <f t="shared" si="116"/>
        <v>#VALUE!</v>
      </c>
      <c r="AM79" s="21" t="str">
        <f t="shared" si="130"/>
        <v>TAG</v>
      </c>
      <c r="AN79" s="15">
        <f t="shared" si="117"/>
        <v>0</v>
      </c>
      <c r="AO79" s="15">
        <f t="shared" si="118"/>
        <v>0</v>
      </c>
      <c r="AP79" s="21" t="str">
        <f>Campanha!$B$3</f>
        <v>BR_AAF_DSY_SUSTN_ND_NC_2021Q1MAR_TCR_Branded-Content</v>
      </c>
      <c r="AQ79" s="21" t="e">
        <f t="shared" si="131"/>
        <v>#N/A</v>
      </c>
      <c r="AR79" s="15" t="s">
        <v>770</v>
      </c>
      <c r="AS79" s="21" t="e">
        <f t="shared" si="132"/>
        <v>#VALUE!</v>
      </c>
      <c r="AT79" s="15" t="str">
        <f t="shared" si="119"/>
        <v/>
      </c>
      <c r="AU79" s="15" t="str">
        <f t="shared" si="133"/>
        <v>BR</v>
      </c>
      <c r="AV79" s="15" t="str">
        <f t="shared" si="120"/>
        <v/>
      </c>
      <c r="AW79" s="15" t="str">
        <f t="shared" si="121"/>
        <v/>
      </c>
      <c r="AX79" s="15" t="str">
        <f t="shared" si="134"/>
        <v>branded-content</v>
      </c>
      <c r="AY79" s="15" t="e">
        <f t="shared" si="122"/>
        <v>#N/A</v>
      </c>
      <c r="AZ79" s="15" t="str">
        <f t="shared" si="123"/>
        <v/>
      </c>
      <c r="BA79" s="15" t="str">
        <f t="shared" si="124"/>
        <v/>
      </c>
      <c r="BB79" s="28" t="s">
        <v>814</v>
      </c>
      <c r="BC79" s="28" t="s">
        <v>814</v>
      </c>
      <c r="BD79" s="38" t="str">
        <f t="shared" si="125"/>
        <v>bc-tcr-aaf-dsy-0321-10079</v>
      </c>
      <c r="BE79" s="15" t="str">
        <f t="shared" si="126"/>
        <v>BR</v>
      </c>
      <c r="BF79" s="15" t="str">
        <f t="shared" si="127"/>
        <v/>
      </c>
      <c r="BG79" s="28"/>
      <c r="BH79" s="28"/>
      <c r="BI79" s="36" t="e">
        <f t="shared" si="135"/>
        <v>#VALUE!</v>
      </c>
      <c r="BL79" t="str">
        <f t="shared" si="136"/>
        <v>alp_vw__aaf_dsy_sustn_nd_nc_tcr_branded-content_projeto-globoplay_</v>
      </c>
      <c r="BM79" t="e">
        <f t="shared" si="137"/>
        <v>#N/A</v>
      </c>
      <c r="BN79" t="e">
        <f t="shared" si="138"/>
        <v>#VALUE!</v>
      </c>
    </row>
    <row r="80" spans="34:66" ht="15.75" customHeight="1" x14ac:dyDescent="0.25">
      <c r="AH80" s="15" t="e">
        <f t="shared" si="115"/>
        <v>#N/A</v>
      </c>
      <c r="AI80" s="21" t="e">
        <f t="shared" si="128"/>
        <v>#N/A</v>
      </c>
      <c r="AJ80" s="40" t="e">
        <f t="shared" si="128"/>
        <v>#N/A</v>
      </c>
      <c r="AK80" s="21" t="str">
        <f t="shared" si="129"/>
        <v>vw_t-cross___adserver</v>
      </c>
      <c r="AL80" s="21" t="e">
        <f t="shared" si="116"/>
        <v>#VALUE!</v>
      </c>
      <c r="AM80" s="21" t="str">
        <f t="shared" si="130"/>
        <v>TAG</v>
      </c>
      <c r="AN80" s="15">
        <f t="shared" si="117"/>
        <v>0</v>
      </c>
      <c r="AO80" s="15">
        <f t="shared" si="118"/>
        <v>0</v>
      </c>
      <c r="AP80" s="21" t="str">
        <f>Campanha!$B$3</f>
        <v>BR_AAF_DSY_SUSTN_ND_NC_2021Q1MAR_TCR_Branded-Content</v>
      </c>
      <c r="AQ80" s="21" t="e">
        <f t="shared" si="131"/>
        <v>#N/A</v>
      </c>
      <c r="AR80" s="15" t="s">
        <v>770</v>
      </c>
      <c r="AS80" s="21" t="e">
        <f t="shared" si="132"/>
        <v>#VALUE!</v>
      </c>
      <c r="AT80" s="15" t="str">
        <f t="shared" si="119"/>
        <v/>
      </c>
      <c r="AU80" s="15" t="str">
        <f t="shared" si="133"/>
        <v>BR</v>
      </c>
      <c r="AV80" s="15" t="str">
        <f t="shared" si="120"/>
        <v/>
      </c>
      <c r="AW80" s="15" t="str">
        <f t="shared" si="121"/>
        <v/>
      </c>
      <c r="AX80" s="15" t="str">
        <f t="shared" si="134"/>
        <v>branded-content</v>
      </c>
      <c r="AY80" s="15" t="e">
        <f t="shared" si="122"/>
        <v>#N/A</v>
      </c>
      <c r="AZ80" s="15" t="str">
        <f t="shared" si="123"/>
        <v/>
      </c>
      <c r="BA80" s="15" t="str">
        <f t="shared" si="124"/>
        <v/>
      </c>
      <c r="BB80" s="28" t="s">
        <v>814</v>
      </c>
      <c r="BC80" s="28" t="s">
        <v>814</v>
      </c>
      <c r="BD80" s="38" t="str">
        <f t="shared" si="125"/>
        <v>bc-tcr-aaf-dsy-0321-10080</v>
      </c>
      <c r="BE80" s="15" t="str">
        <f t="shared" si="126"/>
        <v>BR</v>
      </c>
      <c r="BF80" s="15" t="str">
        <f t="shared" si="127"/>
        <v/>
      </c>
      <c r="BG80" s="28"/>
      <c r="BH80" s="28"/>
      <c r="BI80" s="36" t="e">
        <f t="shared" si="135"/>
        <v>#VALUE!</v>
      </c>
      <c r="BL80" t="str">
        <f t="shared" si="136"/>
        <v>alp_vw__aaf_dsy_sustn_nd_nc_tcr_branded-content_projeto-globoplay_</v>
      </c>
      <c r="BM80" t="e">
        <f t="shared" si="137"/>
        <v>#N/A</v>
      </c>
      <c r="BN80" t="e">
        <f t="shared" si="138"/>
        <v>#VALUE!</v>
      </c>
    </row>
    <row r="81" spans="34:66" ht="15.75" customHeight="1" x14ac:dyDescent="0.25">
      <c r="AH81" s="15" t="e">
        <f t="shared" si="115"/>
        <v>#N/A</v>
      </c>
      <c r="AI81" s="21" t="e">
        <f t="shared" si="128"/>
        <v>#N/A</v>
      </c>
      <c r="AJ81" s="40" t="e">
        <f t="shared" si="128"/>
        <v>#N/A</v>
      </c>
      <c r="AK81" s="21" t="str">
        <f t="shared" si="129"/>
        <v>vw_t-cross___adserver</v>
      </c>
      <c r="AL81" s="21" t="e">
        <f t="shared" si="116"/>
        <v>#VALUE!</v>
      </c>
      <c r="AM81" s="21" t="str">
        <f t="shared" si="130"/>
        <v>TAG</v>
      </c>
      <c r="AN81" s="15">
        <f t="shared" si="117"/>
        <v>0</v>
      </c>
      <c r="AO81" s="15">
        <f t="shared" si="118"/>
        <v>0</v>
      </c>
      <c r="AP81" s="21" t="str">
        <f>Campanha!$B$3</f>
        <v>BR_AAF_DSY_SUSTN_ND_NC_2021Q1MAR_TCR_Branded-Content</v>
      </c>
      <c r="AQ81" s="21" t="e">
        <f t="shared" si="131"/>
        <v>#N/A</v>
      </c>
      <c r="AR81" s="15" t="s">
        <v>770</v>
      </c>
      <c r="AS81" s="21" t="e">
        <f t="shared" si="132"/>
        <v>#VALUE!</v>
      </c>
      <c r="AT81" s="15" t="str">
        <f t="shared" si="119"/>
        <v/>
      </c>
      <c r="AU81" s="15" t="str">
        <f t="shared" si="133"/>
        <v>BR</v>
      </c>
      <c r="AV81" s="15" t="str">
        <f t="shared" si="120"/>
        <v/>
      </c>
      <c r="AW81" s="15" t="str">
        <f t="shared" si="121"/>
        <v/>
      </c>
      <c r="AX81" s="15" t="str">
        <f t="shared" si="134"/>
        <v>branded-content</v>
      </c>
      <c r="AY81" s="15" t="e">
        <f t="shared" si="122"/>
        <v>#N/A</v>
      </c>
      <c r="AZ81" s="15" t="str">
        <f t="shared" si="123"/>
        <v/>
      </c>
      <c r="BA81" s="15" t="str">
        <f t="shared" si="124"/>
        <v/>
      </c>
      <c r="BB81" s="28" t="s">
        <v>814</v>
      </c>
      <c r="BC81" s="28" t="s">
        <v>814</v>
      </c>
      <c r="BD81" s="38" t="str">
        <f t="shared" si="125"/>
        <v>bc-tcr-aaf-dsy-0321-10081</v>
      </c>
      <c r="BE81" s="15" t="str">
        <f t="shared" si="126"/>
        <v>BR</v>
      </c>
      <c r="BF81" s="15" t="str">
        <f t="shared" si="127"/>
        <v/>
      </c>
      <c r="BG81" s="28"/>
      <c r="BH81" s="28"/>
      <c r="BI81" s="36" t="e">
        <f t="shared" si="135"/>
        <v>#VALUE!</v>
      </c>
      <c r="BL81" t="str">
        <f t="shared" si="136"/>
        <v>alp_vw__aaf_dsy_sustn_nd_nc_tcr_branded-content_projeto-globoplay_</v>
      </c>
      <c r="BM81" t="e">
        <f t="shared" si="137"/>
        <v>#N/A</v>
      </c>
      <c r="BN81" t="e">
        <f t="shared" si="138"/>
        <v>#VALUE!</v>
      </c>
    </row>
    <row r="82" spans="34:66" ht="15.75" customHeight="1" x14ac:dyDescent="0.25">
      <c r="AH82" s="15" t="e">
        <f t="shared" si="115"/>
        <v>#N/A</v>
      </c>
      <c r="AI82" s="21" t="e">
        <f t="shared" si="128"/>
        <v>#N/A</v>
      </c>
      <c r="AJ82" s="40" t="e">
        <f t="shared" si="128"/>
        <v>#N/A</v>
      </c>
      <c r="AK82" s="21" t="str">
        <f t="shared" si="129"/>
        <v>vw_t-cross___adserver</v>
      </c>
      <c r="AL82" s="21" t="e">
        <f t="shared" si="116"/>
        <v>#VALUE!</v>
      </c>
      <c r="AM82" s="21" t="str">
        <f t="shared" si="130"/>
        <v>TAG</v>
      </c>
      <c r="AN82" s="15">
        <f t="shared" si="117"/>
        <v>0</v>
      </c>
      <c r="AO82" s="15">
        <f t="shared" si="118"/>
        <v>0</v>
      </c>
      <c r="AP82" s="21" t="str">
        <f>Campanha!$B$3</f>
        <v>BR_AAF_DSY_SUSTN_ND_NC_2021Q1MAR_TCR_Branded-Content</v>
      </c>
      <c r="AQ82" s="21" t="e">
        <f t="shared" si="131"/>
        <v>#N/A</v>
      </c>
      <c r="AR82" s="15" t="s">
        <v>770</v>
      </c>
      <c r="AS82" s="21" t="e">
        <f t="shared" si="132"/>
        <v>#VALUE!</v>
      </c>
      <c r="AT82" s="15" t="str">
        <f t="shared" si="119"/>
        <v/>
      </c>
      <c r="AU82" s="15" t="str">
        <f t="shared" si="133"/>
        <v>BR</v>
      </c>
      <c r="AV82" s="15" t="str">
        <f t="shared" si="120"/>
        <v/>
      </c>
      <c r="AW82" s="15" t="str">
        <f t="shared" si="121"/>
        <v/>
      </c>
      <c r="AX82" s="15" t="str">
        <f t="shared" si="134"/>
        <v>branded-content</v>
      </c>
      <c r="AY82" s="15" t="e">
        <f t="shared" si="122"/>
        <v>#N/A</v>
      </c>
      <c r="AZ82" s="15" t="str">
        <f t="shared" si="123"/>
        <v/>
      </c>
      <c r="BA82" s="15" t="str">
        <f t="shared" si="124"/>
        <v/>
      </c>
      <c r="BB82" s="28" t="s">
        <v>814</v>
      </c>
      <c r="BC82" s="28" t="s">
        <v>814</v>
      </c>
      <c r="BD82" s="38" t="str">
        <f t="shared" si="125"/>
        <v>bc-tcr-aaf-dsy-0321-10082</v>
      </c>
      <c r="BE82" s="15" t="str">
        <f t="shared" si="126"/>
        <v>BR</v>
      </c>
      <c r="BF82" s="15" t="str">
        <f t="shared" si="127"/>
        <v/>
      </c>
      <c r="BG82" s="28"/>
      <c r="BH82" s="28"/>
      <c r="BI82" s="36" t="e">
        <f t="shared" si="135"/>
        <v>#VALUE!</v>
      </c>
      <c r="BL82" t="str">
        <f t="shared" si="136"/>
        <v>alp_vw__aaf_dsy_sustn_nd_nc_tcr_branded-content_projeto-globoplay_</v>
      </c>
      <c r="BM82" t="e">
        <f t="shared" si="137"/>
        <v>#N/A</v>
      </c>
      <c r="BN82" t="e">
        <f t="shared" si="138"/>
        <v>#VALUE!</v>
      </c>
    </row>
    <row r="83" spans="34:66" ht="15.75" customHeight="1" x14ac:dyDescent="0.25">
      <c r="AH83" s="15" t="e">
        <f t="shared" si="115"/>
        <v>#N/A</v>
      </c>
      <c r="AI83" s="21" t="e">
        <f t="shared" si="128"/>
        <v>#N/A</v>
      </c>
      <c r="AJ83" s="40" t="e">
        <f t="shared" si="128"/>
        <v>#N/A</v>
      </c>
      <c r="AK83" s="21" t="str">
        <f t="shared" si="129"/>
        <v>vw_t-cross___adserver</v>
      </c>
      <c r="AL83" s="21" t="e">
        <f t="shared" si="116"/>
        <v>#VALUE!</v>
      </c>
      <c r="AM83" s="21" t="str">
        <f t="shared" si="130"/>
        <v>TAG</v>
      </c>
      <c r="AN83" s="15">
        <f t="shared" si="117"/>
        <v>0</v>
      </c>
      <c r="AO83" s="15">
        <f t="shared" si="118"/>
        <v>0</v>
      </c>
      <c r="AP83" s="21" t="str">
        <f>Campanha!$B$3</f>
        <v>BR_AAF_DSY_SUSTN_ND_NC_2021Q1MAR_TCR_Branded-Content</v>
      </c>
      <c r="AQ83" s="21" t="e">
        <f t="shared" si="131"/>
        <v>#N/A</v>
      </c>
      <c r="AR83" s="15" t="s">
        <v>770</v>
      </c>
      <c r="AS83" s="21" t="e">
        <f t="shared" si="132"/>
        <v>#VALUE!</v>
      </c>
      <c r="AT83" s="15" t="str">
        <f t="shared" si="119"/>
        <v/>
      </c>
      <c r="AU83" s="15" t="str">
        <f t="shared" si="133"/>
        <v>BR</v>
      </c>
      <c r="AV83" s="15" t="str">
        <f t="shared" si="120"/>
        <v/>
      </c>
      <c r="AW83" s="15" t="str">
        <f t="shared" si="121"/>
        <v/>
      </c>
      <c r="AX83" s="15" t="str">
        <f t="shared" si="134"/>
        <v>branded-content</v>
      </c>
      <c r="AY83" s="15" t="e">
        <f t="shared" si="122"/>
        <v>#N/A</v>
      </c>
      <c r="AZ83" s="15" t="str">
        <f t="shared" si="123"/>
        <v/>
      </c>
      <c r="BA83" s="15" t="str">
        <f t="shared" si="124"/>
        <v/>
      </c>
      <c r="BB83" s="28" t="s">
        <v>814</v>
      </c>
      <c r="BC83" s="28" t="s">
        <v>814</v>
      </c>
      <c r="BD83" s="38" t="str">
        <f t="shared" si="125"/>
        <v>bc-tcr-aaf-dsy-0321-10083</v>
      </c>
      <c r="BE83" s="15" t="str">
        <f t="shared" si="126"/>
        <v>BR</v>
      </c>
      <c r="BF83" s="15" t="str">
        <f t="shared" si="127"/>
        <v/>
      </c>
      <c r="BG83" s="28"/>
      <c r="BH83" s="28"/>
      <c r="BI83" s="36" t="e">
        <f t="shared" si="135"/>
        <v>#VALUE!</v>
      </c>
      <c r="BL83" t="str">
        <f t="shared" si="136"/>
        <v>alp_vw__aaf_dsy_sustn_nd_nc_tcr_branded-content_projeto-globoplay_</v>
      </c>
      <c r="BM83" t="e">
        <f t="shared" si="137"/>
        <v>#N/A</v>
      </c>
      <c r="BN83" t="e">
        <f t="shared" si="138"/>
        <v>#VALUE!</v>
      </c>
    </row>
    <row r="84" spans="34:66" ht="15.75" customHeight="1" x14ac:dyDescent="0.25">
      <c r="AH84" s="15" t="e">
        <f t="shared" si="115"/>
        <v>#N/A</v>
      </c>
      <c r="AI84" s="21" t="e">
        <f t="shared" si="128"/>
        <v>#N/A</v>
      </c>
      <c r="AJ84" s="40" t="e">
        <f t="shared" si="128"/>
        <v>#N/A</v>
      </c>
      <c r="AK84" s="21" t="str">
        <f t="shared" si="129"/>
        <v>vw_t-cross___adserver</v>
      </c>
      <c r="AL84" s="21" t="e">
        <f t="shared" si="116"/>
        <v>#VALUE!</v>
      </c>
      <c r="AM84" s="21" t="str">
        <f t="shared" si="130"/>
        <v>TAG</v>
      </c>
      <c r="AN84" s="15">
        <f t="shared" si="117"/>
        <v>0</v>
      </c>
      <c r="AO84" s="15">
        <f t="shared" si="118"/>
        <v>0</v>
      </c>
      <c r="AP84" s="21" t="str">
        <f>Campanha!$B$3</f>
        <v>BR_AAF_DSY_SUSTN_ND_NC_2021Q1MAR_TCR_Branded-Content</v>
      </c>
      <c r="AQ84" s="21" t="e">
        <f t="shared" si="131"/>
        <v>#N/A</v>
      </c>
      <c r="AR84" s="15" t="s">
        <v>770</v>
      </c>
      <c r="AS84" s="21" t="e">
        <f t="shared" si="132"/>
        <v>#VALUE!</v>
      </c>
      <c r="AT84" s="15" t="str">
        <f t="shared" si="119"/>
        <v/>
      </c>
      <c r="AU84" s="15" t="str">
        <f t="shared" si="133"/>
        <v>BR</v>
      </c>
      <c r="AV84" s="15" t="str">
        <f t="shared" si="120"/>
        <v/>
      </c>
      <c r="AW84" s="15" t="str">
        <f t="shared" si="121"/>
        <v/>
      </c>
      <c r="AX84" s="15" t="str">
        <f t="shared" si="134"/>
        <v>branded-content</v>
      </c>
      <c r="AY84" s="15" t="e">
        <f t="shared" si="122"/>
        <v>#N/A</v>
      </c>
      <c r="AZ84" s="15" t="str">
        <f t="shared" si="123"/>
        <v/>
      </c>
      <c r="BA84" s="15" t="str">
        <f t="shared" si="124"/>
        <v/>
      </c>
      <c r="BB84" s="28" t="s">
        <v>814</v>
      </c>
      <c r="BC84" s="28" t="s">
        <v>814</v>
      </c>
      <c r="BD84" s="38" t="str">
        <f t="shared" si="125"/>
        <v>bc-tcr-aaf-dsy-0321-10084</v>
      </c>
      <c r="BE84" s="15" t="str">
        <f t="shared" si="126"/>
        <v>BR</v>
      </c>
      <c r="BF84" s="15" t="str">
        <f t="shared" si="127"/>
        <v/>
      </c>
      <c r="BG84" s="28"/>
      <c r="BH84" s="28"/>
      <c r="BI84" s="36" t="e">
        <f t="shared" si="135"/>
        <v>#VALUE!</v>
      </c>
      <c r="BL84" t="str">
        <f t="shared" si="136"/>
        <v>alp_vw__aaf_dsy_sustn_nd_nc_tcr_branded-content_projeto-globoplay_</v>
      </c>
      <c r="BM84" t="e">
        <f t="shared" si="137"/>
        <v>#N/A</v>
      </c>
      <c r="BN84" t="e">
        <f t="shared" si="138"/>
        <v>#VALUE!</v>
      </c>
    </row>
    <row r="85" spans="34:66" ht="15.75" customHeight="1" x14ac:dyDescent="0.25">
      <c r="AH85" s="15" t="e">
        <f t="shared" si="115"/>
        <v>#N/A</v>
      </c>
      <c r="AI85" s="21" t="e">
        <f t="shared" si="128"/>
        <v>#N/A</v>
      </c>
      <c r="AJ85" s="40" t="e">
        <f t="shared" si="128"/>
        <v>#N/A</v>
      </c>
      <c r="AK85" s="21" t="str">
        <f t="shared" si="129"/>
        <v>vw_t-cross___adserver</v>
      </c>
      <c r="AL85" s="21" t="e">
        <f t="shared" si="116"/>
        <v>#VALUE!</v>
      </c>
      <c r="AM85" s="21" t="str">
        <f t="shared" si="130"/>
        <v>TAG</v>
      </c>
      <c r="AN85" s="15">
        <f t="shared" si="117"/>
        <v>0</v>
      </c>
      <c r="AO85" s="15">
        <f t="shared" si="118"/>
        <v>0</v>
      </c>
      <c r="AP85" s="21" t="str">
        <f>Campanha!$B$3</f>
        <v>BR_AAF_DSY_SUSTN_ND_NC_2021Q1MAR_TCR_Branded-Content</v>
      </c>
      <c r="AQ85" s="21" t="e">
        <f t="shared" si="131"/>
        <v>#N/A</v>
      </c>
      <c r="AR85" s="15" t="s">
        <v>770</v>
      </c>
      <c r="AS85" s="21" t="e">
        <f t="shared" si="132"/>
        <v>#VALUE!</v>
      </c>
      <c r="AT85" s="15" t="str">
        <f t="shared" si="119"/>
        <v/>
      </c>
      <c r="AU85" s="15" t="str">
        <f t="shared" si="133"/>
        <v>BR</v>
      </c>
      <c r="AV85" s="15" t="str">
        <f t="shared" si="120"/>
        <v/>
      </c>
      <c r="AW85" s="15" t="str">
        <f t="shared" si="121"/>
        <v/>
      </c>
      <c r="AX85" s="15" t="str">
        <f t="shared" si="134"/>
        <v>branded-content</v>
      </c>
      <c r="AY85" s="15" t="e">
        <f t="shared" si="122"/>
        <v>#N/A</v>
      </c>
      <c r="AZ85" s="15" t="str">
        <f t="shared" si="123"/>
        <v/>
      </c>
      <c r="BA85" s="15" t="str">
        <f t="shared" si="124"/>
        <v/>
      </c>
      <c r="BB85" s="28" t="s">
        <v>814</v>
      </c>
      <c r="BC85" s="28" t="s">
        <v>814</v>
      </c>
      <c r="BD85" s="38" t="str">
        <f t="shared" si="125"/>
        <v>bc-tcr-aaf-dsy-0321-10085</v>
      </c>
      <c r="BE85" s="15" t="str">
        <f t="shared" si="126"/>
        <v>BR</v>
      </c>
      <c r="BF85" s="15" t="str">
        <f t="shared" si="127"/>
        <v/>
      </c>
      <c r="BG85" s="28"/>
      <c r="BH85" s="28"/>
      <c r="BI85" s="36" t="e">
        <f t="shared" si="135"/>
        <v>#VALUE!</v>
      </c>
      <c r="BL85" t="str">
        <f t="shared" si="136"/>
        <v>alp_vw__aaf_dsy_sustn_nd_nc_tcr_branded-content_projeto-globoplay_</v>
      </c>
      <c r="BM85" t="e">
        <f t="shared" si="137"/>
        <v>#N/A</v>
      </c>
      <c r="BN85" t="e">
        <f t="shared" si="138"/>
        <v>#VALUE!</v>
      </c>
    </row>
    <row r="86" spans="34:66" ht="15.75" customHeight="1" x14ac:dyDescent="0.25">
      <c r="AH86" s="15" t="e">
        <f t="shared" si="115"/>
        <v>#N/A</v>
      </c>
      <c r="AI86" s="21" t="e">
        <f t="shared" si="128"/>
        <v>#N/A</v>
      </c>
      <c r="AJ86" s="40" t="e">
        <f t="shared" si="128"/>
        <v>#N/A</v>
      </c>
      <c r="AK86" s="21" t="str">
        <f t="shared" si="129"/>
        <v>vw_t-cross___adserver</v>
      </c>
      <c r="AL86" s="21" t="e">
        <f t="shared" si="116"/>
        <v>#VALUE!</v>
      </c>
      <c r="AM86" s="21" t="str">
        <f t="shared" si="130"/>
        <v>TAG</v>
      </c>
      <c r="AN86" s="15">
        <f t="shared" si="117"/>
        <v>0</v>
      </c>
      <c r="AO86" s="15">
        <f t="shared" si="118"/>
        <v>0</v>
      </c>
      <c r="AP86" s="21" t="str">
        <f>Campanha!$B$3</f>
        <v>BR_AAF_DSY_SUSTN_ND_NC_2021Q1MAR_TCR_Branded-Content</v>
      </c>
      <c r="AQ86" s="21" t="e">
        <f t="shared" si="131"/>
        <v>#N/A</v>
      </c>
      <c r="AR86" s="15" t="s">
        <v>770</v>
      </c>
      <c r="AS86" s="21" t="e">
        <f t="shared" si="132"/>
        <v>#VALUE!</v>
      </c>
      <c r="AT86" s="15" t="str">
        <f t="shared" si="119"/>
        <v/>
      </c>
      <c r="AU86" s="15" t="str">
        <f t="shared" si="133"/>
        <v>BR</v>
      </c>
      <c r="AV86" s="15" t="str">
        <f t="shared" si="120"/>
        <v/>
      </c>
      <c r="AW86" s="15" t="str">
        <f t="shared" si="121"/>
        <v/>
      </c>
      <c r="AX86" s="15" t="str">
        <f t="shared" si="134"/>
        <v>branded-content</v>
      </c>
      <c r="AY86" s="15" t="e">
        <f t="shared" si="122"/>
        <v>#N/A</v>
      </c>
      <c r="AZ86" s="15" t="str">
        <f t="shared" si="123"/>
        <v/>
      </c>
      <c r="BA86" s="15" t="str">
        <f t="shared" si="124"/>
        <v/>
      </c>
      <c r="BB86" s="28" t="s">
        <v>814</v>
      </c>
      <c r="BC86" s="28" t="s">
        <v>814</v>
      </c>
      <c r="BD86" s="38" t="str">
        <f t="shared" si="125"/>
        <v>bc-tcr-aaf-dsy-0321-10086</v>
      </c>
      <c r="BE86" s="15" t="str">
        <f t="shared" si="126"/>
        <v>BR</v>
      </c>
      <c r="BF86" s="15" t="str">
        <f t="shared" si="127"/>
        <v/>
      </c>
      <c r="BG86" s="28"/>
      <c r="BH86" s="28"/>
      <c r="BI86" s="36" t="e">
        <f t="shared" si="135"/>
        <v>#VALUE!</v>
      </c>
      <c r="BL86" t="str">
        <f t="shared" si="136"/>
        <v>alp_vw__aaf_dsy_sustn_nd_nc_tcr_branded-content_projeto-globoplay_</v>
      </c>
      <c r="BM86" t="e">
        <f t="shared" si="137"/>
        <v>#N/A</v>
      </c>
      <c r="BN86" t="e">
        <f t="shared" si="138"/>
        <v>#VALUE!</v>
      </c>
    </row>
    <row r="87" spans="34:66" ht="15.75" customHeight="1" x14ac:dyDescent="0.25">
      <c r="AH87" s="15" t="e">
        <f t="shared" si="115"/>
        <v>#N/A</v>
      </c>
      <c r="AI87" s="21" t="e">
        <f t="shared" si="128"/>
        <v>#N/A</v>
      </c>
      <c r="AJ87" s="40" t="e">
        <f t="shared" si="128"/>
        <v>#N/A</v>
      </c>
      <c r="AK87" s="21" t="str">
        <f t="shared" si="129"/>
        <v>vw_t-cross___adserver</v>
      </c>
      <c r="AL87" s="21" t="e">
        <f t="shared" si="116"/>
        <v>#VALUE!</v>
      </c>
      <c r="AM87" s="21" t="str">
        <f t="shared" si="130"/>
        <v>TAG</v>
      </c>
      <c r="AN87" s="15">
        <f t="shared" si="117"/>
        <v>0</v>
      </c>
      <c r="AO87" s="15">
        <f t="shared" si="118"/>
        <v>0</v>
      </c>
      <c r="AP87" s="21" t="str">
        <f>Campanha!$B$3</f>
        <v>BR_AAF_DSY_SUSTN_ND_NC_2021Q1MAR_TCR_Branded-Content</v>
      </c>
      <c r="AQ87" s="21" t="e">
        <f t="shared" si="131"/>
        <v>#N/A</v>
      </c>
      <c r="AR87" s="15" t="s">
        <v>770</v>
      </c>
      <c r="AS87" s="21" t="e">
        <f t="shared" si="132"/>
        <v>#VALUE!</v>
      </c>
      <c r="AT87" s="15" t="str">
        <f t="shared" si="119"/>
        <v/>
      </c>
      <c r="AU87" s="15" t="str">
        <f t="shared" si="133"/>
        <v>BR</v>
      </c>
      <c r="AV87" s="15" t="str">
        <f t="shared" si="120"/>
        <v/>
      </c>
      <c r="AW87" s="15" t="str">
        <f t="shared" si="121"/>
        <v/>
      </c>
      <c r="AX87" s="15" t="str">
        <f t="shared" si="134"/>
        <v>branded-content</v>
      </c>
      <c r="AY87" s="15" t="e">
        <f t="shared" si="122"/>
        <v>#N/A</v>
      </c>
      <c r="AZ87" s="15" t="str">
        <f t="shared" si="123"/>
        <v/>
      </c>
      <c r="BA87" s="15" t="str">
        <f t="shared" si="124"/>
        <v/>
      </c>
      <c r="BB87" s="28" t="s">
        <v>814</v>
      </c>
      <c r="BC87" s="28" t="s">
        <v>814</v>
      </c>
      <c r="BD87" s="38" t="str">
        <f t="shared" si="125"/>
        <v>bc-tcr-aaf-dsy-0321-10087</v>
      </c>
      <c r="BE87" s="15" t="str">
        <f t="shared" si="126"/>
        <v>BR</v>
      </c>
      <c r="BF87" s="15" t="str">
        <f t="shared" si="127"/>
        <v/>
      </c>
      <c r="BG87" s="28"/>
      <c r="BH87" s="28"/>
      <c r="BI87" s="36" t="e">
        <f t="shared" si="135"/>
        <v>#VALUE!</v>
      </c>
      <c r="BL87" t="str">
        <f t="shared" si="136"/>
        <v>alp_vw__aaf_dsy_sustn_nd_nc_tcr_branded-content_projeto-globoplay_</v>
      </c>
      <c r="BM87" t="e">
        <f t="shared" si="137"/>
        <v>#N/A</v>
      </c>
      <c r="BN87" t="e">
        <f t="shared" si="138"/>
        <v>#VALUE!</v>
      </c>
    </row>
    <row r="88" spans="34:66" ht="15.75" customHeight="1" x14ac:dyDescent="0.25">
      <c r="AH88" s="15" t="e">
        <f t="shared" si="115"/>
        <v>#N/A</v>
      </c>
      <c r="AI88" s="21" t="e">
        <f t="shared" si="128"/>
        <v>#N/A</v>
      </c>
      <c r="AJ88" s="40" t="e">
        <f t="shared" si="128"/>
        <v>#N/A</v>
      </c>
      <c r="AK88" s="21" t="str">
        <f t="shared" si="129"/>
        <v>vw_t-cross___adserver</v>
      </c>
      <c r="AL88" s="21" t="e">
        <f t="shared" si="116"/>
        <v>#VALUE!</v>
      </c>
      <c r="AM88" s="21" t="str">
        <f t="shared" si="130"/>
        <v>TAG</v>
      </c>
      <c r="AN88" s="15">
        <f t="shared" si="117"/>
        <v>0</v>
      </c>
      <c r="AO88" s="15">
        <f t="shared" si="118"/>
        <v>0</v>
      </c>
      <c r="AP88" s="21" t="str">
        <f>Campanha!$B$3</f>
        <v>BR_AAF_DSY_SUSTN_ND_NC_2021Q1MAR_TCR_Branded-Content</v>
      </c>
      <c r="AQ88" s="21" t="e">
        <f t="shared" si="131"/>
        <v>#N/A</v>
      </c>
      <c r="AR88" s="15" t="s">
        <v>770</v>
      </c>
      <c r="AS88" s="21" t="e">
        <f t="shared" si="132"/>
        <v>#VALUE!</v>
      </c>
      <c r="AT88" s="15" t="str">
        <f t="shared" si="119"/>
        <v/>
      </c>
      <c r="AU88" s="15" t="str">
        <f t="shared" si="133"/>
        <v>BR</v>
      </c>
      <c r="AV88" s="15" t="str">
        <f t="shared" si="120"/>
        <v/>
      </c>
      <c r="AW88" s="15" t="str">
        <f t="shared" si="121"/>
        <v/>
      </c>
      <c r="AX88" s="15" t="str">
        <f t="shared" si="134"/>
        <v>branded-content</v>
      </c>
      <c r="AY88" s="15" t="e">
        <f t="shared" si="122"/>
        <v>#N/A</v>
      </c>
      <c r="AZ88" s="15" t="str">
        <f t="shared" si="123"/>
        <v/>
      </c>
      <c r="BA88" s="15" t="str">
        <f t="shared" si="124"/>
        <v/>
      </c>
      <c r="BB88" s="28" t="s">
        <v>814</v>
      </c>
      <c r="BC88" s="28" t="s">
        <v>814</v>
      </c>
      <c r="BD88" s="38" t="str">
        <f t="shared" si="125"/>
        <v>bc-tcr-aaf-dsy-0321-10088</v>
      </c>
      <c r="BE88" s="15" t="str">
        <f t="shared" si="126"/>
        <v>BR</v>
      </c>
      <c r="BF88" s="15" t="str">
        <f t="shared" si="127"/>
        <v/>
      </c>
      <c r="BG88" s="28"/>
      <c r="BH88" s="28"/>
      <c r="BI88" s="36" t="e">
        <f t="shared" si="135"/>
        <v>#VALUE!</v>
      </c>
      <c r="BL88" t="str">
        <f t="shared" si="136"/>
        <v>alp_vw__aaf_dsy_sustn_nd_nc_tcr_branded-content_projeto-globoplay_</v>
      </c>
      <c r="BM88" t="e">
        <f t="shared" si="137"/>
        <v>#N/A</v>
      </c>
      <c r="BN88" t="e">
        <f t="shared" si="138"/>
        <v>#VALUE!</v>
      </c>
    </row>
    <row r="89" spans="34:66" ht="15.75" customHeight="1" x14ac:dyDescent="0.25">
      <c r="AH89" s="15" t="e">
        <f t="shared" si="115"/>
        <v>#N/A</v>
      </c>
      <c r="AI89" s="21" t="e">
        <f t="shared" si="128"/>
        <v>#N/A</v>
      </c>
      <c r="AJ89" s="40" t="e">
        <f t="shared" si="128"/>
        <v>#N/A</v>
      </c>
      <c r="AK89" s="21" t="str">
        <f t="shared" si="129"/>
        <v>vw_t-cross___adserver</v>
      </c>
      <c r="AL89" s="21" t="e">
        <f t="shared" si="116"/>
        <v>#VALUE!</v>
      </c>
      <c r="AM89" s="21" t="str">
        <f t="shared" si="130"/>
        <v>TAG</v>
      </c>
      <c r="AN89" s="15">
        <f t="shared" si="117"/>
        <v>0</v>
      </c>
      <c r="AO89" s="15">
        <f t="shared" si="118"/>
        <v>0</v>
      </c>
      <c r="AP89" s="21" t="str">
        <f>Campanha!$B$3</f>
        <v>BR_AAF_DSY_SUSTN_ND_NC_2021Q1MAR_TCR_Branded-Content</v>
      </c>
      <c r="AQ89" s="21" t="e">
        <f t="shared" si="131"/>
        <v>#N/A</v>
      </c>
      <c r="AR89" s="15" t="s">
        <v>770</v>
      </c>
      <c r="AS89" s="21" t="e">
        <f t="shared" si="132"/>
        <v>#VALUE!</v>
      </c>
      <c r="AT89" s="15" t="str">
        <f t="shared" si="119"/>
        <v/>
      </c>
      <c r="AU89" s="15" t="str">
        <f t="shared" si="133"/>
        <v>BR</v>
      </c>
      <c r="AV89" s="15" t="str">
        <f t="shared" si="120"/>
        <v/>
      </c>
      <c r="AW89" s="15" t="str">
        <f t="shared" si="121"/>
        <v/>
      </c>
      <c r="AX89" s="15" t="str">
        <f t="shared" si="134"/>
        <v>branded-content</v>
      </c>
      <c r="AY89" s="15" t="e">
        <f t="shared" si="122"/>
        <v>#N/A</v>
      </c>
      <c r="AZ89" s="15" t="str">
        <f t="shared" si="123"/>
        <v/>
      </c>
      <c r="BA89" s="15" t="str">
        <f t="shared" si="124"/>
        <v/>
      </c>
      <c r="BB89" s="28" t="s">
        <v>814</v>
      </c>
      <c r="BC89" s="28" t="s">
        <v>814</v>
      </c>
      <c r="BD89" s="38" t="str">
        <f t="shared" si="125"/>
        <v>bc-tcr-aaf-dsy-0321-10089</v>
      </c>
      <c r="BE89" s="15" t="str">
        <f t="shared" si="126"/>
        <v>BR</v>
      </c>
      <c r="BF89" s="15" t="str">
        <f t="shared" si="127"/>
        <v/>
      </c>
      <c r="BG89" s="28"/>
      <c r="BH89" s="28"/>
      <c r="BI89" s="36" t="e">
        <f t="shared" si="135"/>
        <v>#VALUE!</v>
      </c>
      <c r="BL89" t="str">
        <f t="shared" si="136"/>
        <v>alp_vw__aaf_dsy_sustn_nd_nc_tcr_branded-content_projeto-globoplay_</v>
      </c>
      <c r="BM89" t="e">
        <f t="shared" si="137"/>
        <v>#N/A</v>
      </c>
      <c r="BN89" t="e">
        <f t="shared" si="138"/>
        <v>#VALUE!</v>
      </c>
    </row>
    <row r="90" spans="34:66" ht="15.75" customHeight="1" x14ac:dyDescent="0.25">
      <c r="AH90" s="15" t="e">
        <f t="shared" si="115"/>
        <v>#N/A</v>
      </c>
      <c r="AI90" s="21" t="e">
        <f t="shared" si="128"/>
        <v>#N/A</v>
      </c>
      <c r="AJ90" s="40" t="e">
        <f t="shared" si="128"/>
        <v>#N/A</v>
      </c>
      <c r="AK90" s="21" t="str">
        <f t="shared" si="129"/>
        <v>vw_t-cross___adserver</v>
      </c>
      <c r="AL90" s="21" t="e">
        <f t="shared" si="116"/>
        <v>#VALUE!</v>
      </c>
      <c r="AM90" s="21" t="str">
        <f t="shared" si="130"/>
        <v>TAG</v>
      </c>
      <c r="AN90" s="15">
        <f t="shared" si="117"/>
        <v>0</v>
      </c>
      <c r="AO90" s="15">
        <f t="shared" si="118"/>
        <v>0</v>
      </c>
      <c r="AP90" s="21" t="str">
        <f>Campanha!$B$3</f>
        <v>BR_AAF_DSY_SUSTN_ND_NC_2021Q1MAR_TCR_Branded-Content</v>
      </c>
      <c r="AQ90" s="21" t="e">
        <f t="shared" si="131"/>
        <v>#N/A</v>
      </c>
      <c r="AR90" s="15" t="s">
        <v>770</v>
      </c>
      <c r="AS90" s="21" t="e">
        <f t="shared" si="132"/>
        <v>#VALUE!</v>
      </c>
      <c r="AT90" s="15" t="str">
        <f t="shared" si="119"/>
        <v/>
      </c>
      <c r="AU90" s="15" t="str">
        <f t="shared" si="133"/>
        <v>BR</v>
      </c>
      <c r="AV90" s="15" t="str">
        <f t="shared" si="120"/>
        <v/>
      </c>
      <c r="AW90" s="15" t="str">
        <f t="shared" si="121"/>
        <v/>
      </c>
      <c r="AX90" s="15" t="str">
        <f t="shared" si="134"/>
        <v>branded-content</v>
      </c>
      <c r="AY90" s="15" t="e">
        <f t="shared" si="122"/>
        <v>#N/A</v>
      </c>
      <c r="AZ90" s="15" t="str">
        <f t="shared" si="123"/>
        <v/>
      </c>
      <c r="BA90" s="15" t="str">
        <f t="shared" si="124"/>
        <v/>
      </c>
      <c r="BB90" s="28" t="s">
        <v>814</v>
      </c>
      <c r="BC90" s="28" t="s">
        <v>814</v>
      </c>
      <c r="BD90" s="38" t="str">
        <f t="shared" si="125"/>
        <v>bc-tcr-aaf-dsy-0321-10090</v>
      </c>
      <c r="BE90" s="15" t="str">
        <f t="shared" si="126"/>
        <v>BR</v>
      </c>
      <c r="BF90" s="15" t="str">
        <f t="shared" si="127"/>
        <v/>
      </c>
      <c r="BG90" s="28"/>
      <c r="BH90" s="28"/>
      <c r="BI90" s="36" t="e">
        <f t="shared" si="135"/>
        <v>#VALUE!</v>
      </c>
      <c r="BL90" t="str">
        <f t="shared" si="136"/>
        <v>alp_vw__aaf_dsy_sustn_nd_nc_tcr_branded-content_projeto-globoplay_</v>
      </c>
      <c r="BM90" t="e">
        <f t="shared" si="137"/>
        <v>#N/A</v>
      </c>
      <c r="BN90" t="e">
        <f t="shared" si="138"/>
        <v>#VALUE!</v>
      </c>
    </row>
    <row r="91" spans="34:66" ht="15.75" customHeight="1" x14ac:dyDescent="0.25">
      <c r="AH91" s="15" t="e">
        <f t="shared" si="115"/>
        <v>#N/A</v>
      </c>
      <c r="AI91" s="21" t="e">
        <f t="shared" si="128"/>
        <v>#N/A</v>
      </c>
      <c r="AJ91" s="40" t="e">
        <f t="shared" si="128"/>
        <v>#N/A</v>
      </c>
      <c r="AK91" s="21" t="str">
        <f t="shared" si="129"/>
        <v>vw_t-cross___adserver</v>
      </c>
      <c r="AL91" s="21" t="e">
        <f t="shared" si="116"/>
        <v>#VALUE!</v>
      </c>
      <c r="AM91" s="21" t="str">
        <f t="shared" si="130"/>
        <v>TAG</v>
      </c>
      <c r="AN91" s="15">
        <f t="shared" si="117"/>
        <v>0</v>
      </c>
      <c r="AO91" s="15">
        <f t="shared" si="118"/>
        <v>0</v>
      </c>
      <c r="AP91" s="21" t="str">
        <f>Campanha!$B$3</f>
        <v>BR_AAF_DSY_SUSTN_ND_NC_2021Q1MAR_TCR_Branded-Content</v>
      </c>
      <c r="AQ91" s="21" t="e">
        <f t="shared" si="131"/>
        <v>#N/A</v>
      </c>
      <c r="AR91" s="15" t="s">
        <v>770</v>
      </c>
      <c r="AS91" s="21" t="e">
        <f t="shared" si="132"/>
        <v>#VALUE!</v>
      </c>
      <c r="AT91" s="15" t="str">
        <f t="shared" si="119"/>
        <v/>
      </c>
      <c r="AU91" s="15" t="str">
        <f t="shared" si="133"/>
        <v>BR</v>
      </c>
      <c r="AV91" s="15" t="str">
        <f t="shared" si="120"/>
        <v/>
      </c>
      <c r="AW91" s="15" t="str">
        <f t="shared" si="121"/>
        <v/>
      </c>
      <c r="AX91" s="15" t="str">
        <f t="shared" si="134"/>
        <v>branded-content</v>
      </c>
      <c r="AY91" s="15" t="e">
        <f t="shared" si="122"/>
        <v>#N/A</v>
      </c>
      <c r="AZ91" s="15" t="str">
        <f t="shared" si="123"/>
        <v/>
      </c>
      <c r="BA91" s="15" t="str">
        <f t="shared" si="124"/>
        <v/>
      </c>
      <c r="BB91" s="28" t="s">
        <v>814</v>
      </c>
      <c r="BC91" s="28" t="s">
        <v>814</v>
      </c>
      <c r="BD91" s="38" t="str">
        <f t="shared" si="125"/>
        <v>bc-tcr-aaf-dsy-0321-10091</v>
      </c>
      <c r="BE91" s="15" t="str">
        <f t="shared" si="126"/>
        <v>BR</v>
      </c>
      <c r="BF91" s="15" t="str">
        <f t="shared" si="127"/>
        <v/>
      </c>
      <c r="BG91" s="28"/>
      <c r="BH91" s="28"/>
      <c r="BI91" s="36" t="e">
        <f t="shared" si="135"/>
        <v>#VALUE!</v>
      </c>
      <c r="BL91" t="str">
        <f t="shared" si="136"/>
        <v>alp_vw__aaf_dsy_sustn_nd_nc_tcr_branded-content_projeto-globoplay_</v>
      </c>
      <c r="BM91" t="e">
        <f t="shared" si="137"/>
        <v>#N/A</v>
      </c>
      <c r="BN91" t="e">
        <f t="shared" si="138"/>
        <v>#VALUE!</v>
      </c>
    </row>
    <row r="92" spans="34:66" ht="15.75" customHeight="1" x14ac:dyDescent="0.25">
      <c r="AH92" s="15" t="e">
        <f t="shared" si="115"/>
        <v>#N/A</v>
      </c>
      <c r="AI92" s="21" t="e">
        <f t="shared" si="128"/>
        <v>#N/A</v>
      </c>
      <c r="AJ92" s="40" t="e">
        <f t="shared" si="128"/>
        <v>#N/A</v>
      </c>
      <c r="AK92" s="21" t="str">
        <f t="shared" si="129"/>
        <v>vw_t-cross___adserver</v>
      </c>
      <c r="AL92" s="21" t="e">
        <f t="shared" si="116"/>
        <v>#VALUE!</v>
      </c>
      <c r="AM92" s="21" t="str">
        <f t="shared" si="130"/>
        <v>TAG</v>
      </c>
      <c r="AN92" s="15">
        <f t="shared" si="117"/>
        <v>0</v>
      </c>
      <c r="AO92" s="15">
        <f t="shared" si="118"/>
        <v>0</v>
      </c>
      <c r="AP92" s="21" t="str">
        <f>Campanha!$B$3</f>
        <v>BR_AAF_DSY_SUSTN_ND_NC_2021Q1MAR_TCR_Branded-Content</v>
      </c>
      <c r="AQ92" s="21" t="e">
        <f t="shared" si="131"/>
        <v>#N/A</v>
      </c>
      <c r="AR92" s="15" t="s">
        <v>770</v>
      </c>
      <c r="AS92" s="21" t="e">
        <f t="shared" si="132"/>
        <v>#VALUE!</v>
      </c>
      <c r="AT92" s="15" t="str">
        <f t="shared" si="119"/>
        <v/>
      </c>
      <c r="AU92" s="15" t="str">
        <f t="shared" si="133"/>
        <v>BR</v>
      </c>
      <c r="AV92" s="15" t="str">
        <f t="shared" si="120"/>
        <v/>
      </c>
      <c r="AW92" s="15" t="str">
        <f t="shared" si="121"/>
        <v/>
      </c>
      <c r="AX92" s="15" t="str">
        <f t="shared" si="134"/>
        <v>branded-content</v>
      </c>
      <c r="AY92" s="15" t="e">
        <f t="shared" si="122"/>
        <v>#N/A</v>
      </c>
      <c r="AZ92" s="15" t="str">
        <f t="shared" si="123"/>
        <v/>
      </c>
      <c r="BA92" s="15" t="str">
        <f t="shared" si="124"/>
        <v/>
      </c>
      <c r="BB92" s="28" t="s">
        <v>814</v>
      </c>
      <c r="BC92" s="28" t="s">
        <v>814</v>
      </c>
      <c r="BD92" s="38" t="str">
        <f t="shared" si="125"/>
        <v>bc-tcr-aaf-dsy-0321-10092</v>
      </c>
      <c r="BE92" s="15" t="str">
        <f t="shared" si="126"/>
        <v>BR</v>
      </c>
      <c r="BF92" s="15" t="str">
        <f t="shared" si="127"/>
        <v/>
      </c>
      <c r="BG92" s="28"/>
      <c r="BH92" s="28"/>
      <c r="BI92" s="36" t="e">
        <f t="shared" si="135"/>
        <v>#VALUE!</v>
      </c>
      <c r="BL92" t="str">
        <f t="shared" si="136"/>
        <v>alp_vw__aaf_dsy_sustn_nd_nc_tcr_branded-content_projeto-globoplay_</v>
      </c>
      <c r="BM92" t="e">
        <f t="shared" si="137"/>
        <v>#N/A</v>
      </c>
      <c r="BN92" t="e">
        <f t="shared" si="138"/>
        <v>#VALUE!</v>
      </c>
    </row>
    <row r="93" spans="34:66" ht="15.75" customHeight="1" x14ac:dyDescent="0.25">
      <c r="AH93" s="15" t="e">
        <f t="shared" si="115"/>
        <v>#N/A</v>
      </c>
      <c r="AI93" s="21" t="e">
        <f t="shared" si="128"/>
        <v>#N/A</v>
      </c>
      <c r="AJ93" s="40" t="e">
        <f t="shared" si="128"/>
        <v>#N/A</v>
      </c>
      <c r="AK93" s="21" t="str">
        <f t="shared" si="129"/>
        <v>vw_t-cross___adserver</v>
      </c>
      <c r="AL93" s="21" t="e">
        <f t="shared" si="116"/>
        <v>#VALUE!</v>
      </c>
      <c r="AM93" s="21" t="str">
        <f t="shared" si="130"/>
        <v>TAG</v>
      </c>
      <c r="AN93" s="15">
        <f t="shared" si="117"/>
        <v>0</v>
      </c>
      <c r="AO93" s="15">
        <f t="shared" si="118"/>
        <v>0</v>
      </c>
      <c r="AP93" s="21" t="str">
        <f>Campanha!$B$3</f>
        <v>BR_AAF_DSY_SUSTN_ND_NC_2021Q1MAR_TCR_Branded-Content</v>
      </c>
      <c r="AQ93" s="21" t="e">
        <f t="shared" si="131"/>
        <v>#N/A</v>
      </c>
      <c r="AR93" s="15" t="s">
        <v>770</v>
      </c>
      <c r="AS93" s="21" t="e">
        <f t="shared" si="132"/>
        <v>#VALUE!</v>
      </c>
      <c r="AT93" s="15" t="str">
        <f t="shared" si="119"/>
        <v/>
      </c>
      <c r="AU93" s="15" t="str">
        <f t="shared" si="133"/>
        <v>BR</v>
      </c>
      <c r="AV93" s="15" t="str">
        <f t="shared" si="120"/>
        <v/>
      </c>
      <c r="AW93" s="15" t="str">
        <f t="shared" si="121"/>
        <v/>
      </c>
      <c r="AX93" s="15" t="str">
        <f t="shared" si="134"/>
        <v>branded-content</v>
      </c>
      <c r="AY93" s="15" t="e">
        <f t="shared" si="122"/>
        <v>#N/A</v>
      </c>
      <c r="AZ93" s="15" t="str">
        <f t="shared" si="123"/>
        <v/>
      </c>
      <c r="BA93" s="15" t="str">
        <f t="shared" si="124"/>
        <v/>
      </c>
      <c r="BB93" s="28" t="s">
        <v>814</v>
      </c>
      <c r="BC93" s="28" t="s">
        <v>814</v>
      </c>
      <c r="BD93" s="38" t="str">
        <f t="shared" si="125"/>
        <v>bc-tcr-aaf-dsy-0321-10093</v>
      </c>
      <c r="BE93" s="15" t="str">
        <f t="shared" si="126"/>
        <v>BR</v>
      </c>
      <c r="BF93" s="15" t="str">
        <f t="shared" si="127"/>
        <v/>
      </c>
      <c r="BG93" s="28"/>
      <c r="BH93" s="28"/>
      <c r="BI93" s="36" t="e">
        <f t="shared" si="135"/>
        <v>#VALUE!</v>
      </c>
      <c r="BL93" t="str">
        <f t="shared" si="136"/>
        <v>alp_vw__aaf_dsy_sustn_nd_nc_tcr_branded-content_projeto-globoplay_</v>
      </c>
      <c r="BM93" t="e">
        <f t="shared" si="137"/>
        <v>#N/A</v>
      </c>
      <c r="BN93" t="e">
        <f t="shared" si="138"/>
        <v>#VALUE!</v>
      </c>
    </row>
    <row r="94" spans="34:66" ht="15.75" customHeight="1" x14ac:dyDescent="0.25">
      <c r="AH94" s="15" t="e">
        <f t="shared" si="115"/>
        <v>#N/A</v>
      </c>
      <c r="AI94" s="21" t="e">
        <f t="shared" si="128"/>
        <v>#N/A</v>
      </c>
      <c r="AJ94" s="40" t="e">
        <f t="shared" si="128"/>
        <v>#N/A</v>
      </c>
      <c r="AK94" s="21" t="str">
        <f t="shared" si="129"/>
        <v>vw_t-cross___adserver</v>
      </c>
      <c r="AL94" s="21" t="e">
        <f t="shared" si="116"/>
        <v>#VALUE!</v>
      </c>
      <c r="AM94" s="21" t="str">
        <f t="shared" si="130"/>
        <v>TAG</v>
      </c>
      <c r="AN94" s="15">
        <f t="shared" si="117"/>
        <v>0</v>
      </c>
      <c r="AO94" s="15">
        <f t="shared" si="118"/>
        <v>0</v>
      </c>
      <c r="AP94" s="21" t="str">
        <f>Campanha!$B$3</f>
        <v>BR_AAF_DSY_SUSTN_ND_NC_2021Q1MAR_TCR_Branded-Content</v>
      </c>
      <c r="AQ94" s="21" t="e">
        <f t="shared" si="131"/>
        <v>#N/A</v>
      </c>
      <c r="AR94" s="15" t="s">
        <v>770</v>
      </c>
      <c r="AS94" s="21" t="e">
        <f t="shared" si="132"/>
        <v>#VALUE!</v>
      </c>
      <c r="AT94" s="15" t="str">
        <f t="shared" si="119"/>
        <v/>
      </c>
      <c r="AU94" s="15" t="str">
        <f t="shared" si="133"/>
        <v>BR</v>
      </c>
      <c r="AV94" s="15" t="str">
        <f t="shared" si="120"/>
        <v/>
      </c>
      <c r="AW94" s="15" t="str">
        <f t="shared" si="121"/>
        <v/>
      </c>
      <c r="AX94" s="15" t="str">
        <f t="shared" si="134"/>
        <v>branded-content</v>
      </c>
      <c r="AY94" s="15" t="e">
        <f t="shared" si="122"/>
        <v>#N/A</v>
      </c>
      <c r="AZ94" s="15" t="str">
        <f t="shared" si="123"/>
        <v/>
      </c>
      <c r="BA94" s="15" t="str">
        <f t="shared" si="124"/>
        <v/>
      </c>
      <c r="BB94" s="28" t="s">
        <v>814</v>
      </c>
      <c r="BC94" s="28" t="s">
        <v>814</v>
      </c>
      <c r="BD94" s="38" t="str">
        <f t="shared" si="125"/>
        <v>bc-tcr-aaf-dsy-0321-10094</v>
      </c>
      <c r="BE94" s="15" t="str">
        <f t="shared" si="126"/>
        <v>BR</v>
      </c>
      <c r="BF94" s="15" t="str">
        <f t="shared" si="127"/>
        <v/>
      </c>
      <c r="BG94" s="28"/>
      <c r="BH94" s="28"/>
      <c r="BI94" s="36" t="e">
        <f t="shared" si="135"/>
        <v>#VALUE!</v>
      </c>
      <c r="BL94" t="str">
        <f t="shared" si="136"/>
        <v>alp_vw__aaf_dsy_sustn_nd_nc_tcr_branded-content_projeto-globoplay_</v>
      </c>
      <c r="BM94" t="e">
        <f t="shared" si="137"/>
        <v>#N/A</v>
      </c>
      <c r="BN94" t="e">
        <f t="shared" si="138"/>
        <v>#VALUE!</v>
      </c>
    </row>
    <row r="95" spans="34:66" ht="15.75" customHeight="1" x14ac:dyDescent="0.25">
      <c r="AH95" s="15" t="e">
        <f t="shared" si="115"/>
        <v>#N/A</v>
      </c>
      <c r="AI95" s="21" t="e">
        <f t="shared" si="128"/>
        <v>#N/A</v>
      </c>
      <c r="AJ95" s="40" t="e">
        <f t="shared" si="128"/>
        <v>#N/A</v>
      </c>
      <c r="AK95" s="21" t="str">
        <f t="shared" si="129"/>
        <v>vw_t-cross___adserver</v>
      </c>
      <c r="AL95" s="21" t="e">
        <f t="shared" si="116"/>
        <v>#VALUE!</v>
      </c>
      <c r="AM95" s="21" t="str">
        <f t="shared" si="130"/>
        <v>TAG</v>
      </c>
      <c r="AN95" s="15">
        <f t="shared" si="117"/>
        <v>0</v>
      </c>
      <c r="AO95" s="15">
        <f t="shared" si="118"/>
        <v>0</v>
      </c>
      <c r="AP95" s="21" t="str">
        <f>Campanha!$B$3</f>
        <v>BR_AAF_DSY_SUSTN_ND_NC_2021Q1MAR_TCR_Branded-Content</v>
      </c>
      <c r="AQ95" s="21" t="e">
        <f t="shared" si="131"/>
        <v>#N/A</v>
      </c>
      <c r="AR95" s="15" t="s">
        <v>770</v>
      </c>
      <c r="AS95" s="21" t="e">
        <f t="shared" si="132"/>
        <v>#VALUE!</v>
      </c>
      <c r="AT95" s="15" t="str">
        <f t="shared" si="119"/>
        <v/>
      </c>
      <c r="AU95" s="15" t="str">
        <f t="shared" si="133"/>
        <v>BR</v>
      </c>
      <c r="AV95" s="15" t="str">
        <f t="shared" si="120"/>
        <v/>
      </c>
      <c r="AW95" s="15" t="str">
        <f t="shared" si="121"/>
        <v/>
      </c>
      <c r="AX95" s="15" t="str">
        <f t="shared" si="134"/>
        <v>branded-content</v>
      </c>
      <c r="AY95" s="15" t="e">
        <f t="shared" si="122"/>
        <v>#N/A</v>
      </c>
      <c r="AZ95" s="15" t="str">
        <f t="shared" si="123"/>
        <v/>
      </c>
      <c r="BA95" s="15" t="str">
        <f t="shared" si="124"/>
        <v/>
      </c>
      <c r="BB95" s="28" t="s">
        <v>814</v>
      </c>
      <c r="BC95" s="28" t="s">
        <v>814</v>
      </c>
      <c r="BD95" s="38" t="str">
        <f t="shared" si="125"/>
        <v>bc-tcr-aaf-dsy-0321-10095</v>
      </c>
      <c r="BE95" s="15" t="str">
        <f t="shared" si="126"/>
        <v>BR</v>
      </c>
      <c r="BF95" s="15" t="str">
        <f t="shared" si="127"/>
        <v/>
      </c>
      <c r="BG95" s="28"/>
      <c r="BH95" s="28"/>
      <c r="BI95" s="36" t="e">
        <f t="shared" si="135"/>
        <v>#VALUE!</v>
      </c>
      <c r="BL95" t="str">
        <f t="shared" si="136"/>
        <v>alp_vw__aaf_dsy_sustn_nd_nc_tcr_branded-content_projeto-globoplay_</v>
      </c>
      <c r="BM95" t="e">
        <f t="shared" si="137"/>
        <v>#N/A</v>
      </c>
      <c r="BN95" t="e">
        <f t="shared" si="138"/>
        <v>#VALUE!</v>
      </c>
    </row>
    <row r="96" spans="34:66" ht="15.75" customHeight="1" x14ac:dyDescent="0.25">
      <c r="AH96" s="15" t="e">
        <f t="shared" si="115"/>
        <v>#N/A</v>
      </c>
      <c r="AI96" s="21" t="e">
        <f t="shared" si="128"/>
        <v>#N/A</v>
      </c>
      <c r="AJ96" s="40" t="e">
        <f t="shared" si="128"/>
        <v>#N/A</v>
      </c>
      <c r="AK96" s="21" t="str">
        <f t="shared" si="129"/>
        <v>vw_t-cross___adserver</v>
      </c>
      <c r="AL96" s="21" t="e">
        <f t="shared" si="116"/>
        <v>#VALUE!</v>
      </c>
      <c r="AM96" s="21" t="str">
        <f t="shared" si="130"/>
        <v>TAG</v>
      </c>
      <c r="AN96" s="15">
        <f t="shared" si="117"/>
        <v>0</v>
      </c>
      <c r="AO96" s="15">
        <f t="shared" si="118"/>
        <v>0</v>
      </c>
      <c r="AP96" s="21" t="str">
        <f>Campanha!$B$3</f>
        <v>BR_AAF_DSY_SUSTN_ND_NC_2021Q1MAR_TCR_Branded-Content</v>
      </c>
      <c r="AQ96" s="21" t="e">
        <f t="shared" si="131"/>
        <v>#N/A</v>
      </c>
      <c r="AR96" s="15" t="s">
        <v>770</v>
      </c>
      <c r="AS96" s="21" t="e">
        <f t="shared" si="132"/>
        <v>#VALUE!</v>
      </c>
      <c r="AT96" s="15" t="str">
        <f t="shared" si="119"/>
        <v/>
      </c>
      <c r="AU96" s="15" t="str">
        <f t="shared" si="133"/>
        <v>BR</v>
      </c>
      <c r="AV96" s="15" t="str">
        <f t="shared" si="120"/>
        <v/>
      </c>
      <c r="AW96" s="15" t="str">
        <f t="shared" si="121"/>
        <v/>
      </c>
      <c r="AX96" s="15" t="str">
        <f t="shared" si="134"/>
        <v>branded-content</v>
      </c>
      <c r="AY96" s="15" t="e">
        <f t="shared" si="122"/>
        <v>#N/A</v>
      </c>
      <c r="AZ96" s="15" t="str">
        <f t="shared" si="123"/>
        <v/>
      </c>
      <c r="BA96" s="15" t="str">
        <f t="shared" si="124"/>
        <v/>
      </c>
      <c r="BB96" s="28" t="s">
        <v>814</v>
      </c>
      <c r="BC96" s="28" t="s">
        <v>814</v>
      </c>
      <c r="BD96" s="38" t="str">
        <f t="shared" si="125"/>
        <v>bc-tcr-aaf-dsy-0321-10096</v>
      </c>
      <c r="BE96" s="15" t="str">
        <f t="shared" si="126"/>
        <v>BR</v>
      </c>
      <c r="BF96" s="15" t="str">
        <f t="shared" si="127"/>
        <v/>
      </c>
      <c r="BG96" s="28"/>
      <c r="BH96" s="28"/>
      <c r="BI96" s="36" t="e">
        <f t="shared" si="135"/>
        <v>#VALUE!</v>
      </c>
      <c r="BL96" t="str">
        <f t="shared" si="136"/>
        <v>alp_vw__aaf_dsy_sustn_nd_nc_tcr_branded-content_projeto-globoplay_</v>
      </c>
      <c r="BM96" t="e">
        <f t="shared" si="137"/>
        <v>#N/A</v>
      </c>
      <c r="BN96" t="e">
        <f t="shared" si="138"/>
        <v>#VALUE!</v>
      </c>
    </row>
    <row r="97" spans="34:66" ht="15.75" customHeight="1" x14ac:dyDescent="0.25">
      <c r="AH97" s="15" t="e">
        <f t="shared" si="115"/>
        <v>#N/A</v>
      </c>
      <c r="AI97" s="21" t="e">
        <f t="shared" si="128"/>
        <v>#N/A</v>
      </c>
      <c r="AJ97" s="40" t="e">
        <f t="shared" si="128"/>
        <v>#N/A</v>
      </c>
      <c r="AK97" s="21" t="str">
        <f t="shared" si="129"/>
        <v>vw_t-cross___adserver</v>
      </c>
      <c r="AL97" s="21" t="e">
        <f t="shared" si="116"/>
        <v>#VALUE!</v>
      </c>
      <c r="AM97" s="21" t="str">
        <f t="shared" si="130"/>
        <v>TAG</v>
      </c>
      <c r="AN97" s="15">
        <f t="shared" si="117"/>
        <v>0</v>
      </c>
      <c r="AO97" s="15">
        <f t="shared" si="118"/>
        <v>0</v>
      </c>
      <c r="AP97" s="21" t="str">
        <f>Campanha!$B$3</f>
        <v>BR_AAF_DSY_SUSTN_ND_NC_2021Q1MAR_TCR_Branded-Content</v>
      </c>
      <c r="AQ97" s="21" t="e">
        <f t="shared" si="131"/>
        <v>#N/A</v>
      </c>
      <c r="AR97" s="15" t="s">
        <v>770</v>
      </c>
      <c r="AS97" s="21" t="e">
        <f t="shared" si="132"/>
        <v>#VALUE!</v>
      </c>
      <c r="AT97" s="15" t="str">
        <f t="shared" si="119"/>
        <v/>
      </c>
      <c r="AU97" s="15" t="str">
        <f t="shared" si="133"/>
        <v>BR</v>
      </c>
      <c r="AV97" s="15" t="str">
        <f t="shared" si="120"/>
        <v/>
      </c>
      <c r="AW97" s="15" t="str">
        <f t="shared" si="121"/>
        <v/>
      </c>
      <c r="AX97" s="15" t="str">
        <f t="shared" si="134"/>
        <v>branded-content</v>
      </c>
      <c r="AY97" s="15" t="e">
        <f t="shared" si="122"/>
        <v>#N/A</v>
      </c>
      <c r="AZ97" s="15" t="str">
        <f t="shared" si="123"/>
        <v/>
      </c>
      <c r="BA97" s="15" t="str">
        <f t="shared" si="124"/>
        <v/>
      </c>
      <c r="BB97" s="28" t="s">
        <v>814</v>
      </c>
      <c r="BC97" s="28" t="s">
        <v>814</v>
      </c>
      <c r="BD97" s="38" t="str">
        <f t="shared" si="125"/>
        <v>bc-tcr-aaf-dsy-0321-10097</v>
      </c>
      <c r="BE97" s="15" t="str">
        <f t="shared" si="126"/>
        <v>BR</v>
      </c>
      <c r="BF97" s="15" t="str">
        <f t="shared" si="127"/>
        <v/>
      </c>
      <c r="BG97" s="28"/>
      <c r="BH97" s="28"/>
      <c r="BI97" s="36" t="e">
        <f t="shared" si="135"/>
        <v>#VALUE!</v>
      </c>
      <c r="BL97" t="str">
        <f t="shared" si="136"/>
        <v>alp_vw__aaf_dsy_sustn_nd_nc_tcr_branded-content_projeto-globoplay_</v>
      </c>
      <c r="BM97" t="e">
        <f t="shared" si="137"/>
        <v>#N/A</v>
      </c>
      <c r="BN97" t="e">
        <f t="shared" si="138"/>
        <v>#VALUE!</v>
      </c>
    </row>
    <row r="98" spans="34:66" ht="15.75" customHeight="1" x14ac:dyDescent="0.25">
      <c r="AH98" s="15" t="e">
        <f t="shared" si="115"/>
        <v>#N/A</v>
      </c>
      <c r="AI98" s="21" t="e">
        <f t="shared" si="128"/>
        <v>#N/A</v>
      </c>
      <c r="AJ98" s="40" t="e">
        <f t="shared" si="128"/>
        <v>#N/A</v>
      </c>
      <c r="AK98" s="21" t="str">
        <f t="shared" si="129"/>
        <v>vw_t-cross___adserver</v>
      </c>
      <c r="AL98" s="21" t="e">
        <f t="shared" si="116"/>
        <v>#VALUE!</v>
      </c>
      <c r="AM98" s="21" t="str">
        <f t="shared" si="130"/>
        <v>TAG</v>
      </c>
      <c r="AN98" s="15">
        <f t="shared" si="117"/>
        <v>0</v>
      </c>
      <c r="AO98" s="15">
        <f t="shared" si="118"/>
        <v>0</v>
      </c>
      <c r="AP98" s="21" t="str">
        <f>Campanha!$B$3</f>
        <v>BR_AAF_DSY_SUSTN_ND_NC_2021Q1MAR_TCR_Branded-Content</v>
      </c>
      <c r="AQ98" s="21" t="e">
        <f t="shared" si="131"/>
        <v>#N/A</v>
      </c>
      <c r="AR98" s="15" t="s">
        <v>770</v>
      </c>
      <c r="AS98" s="21" t="e">
        <f t="shared" si="132"/>
        <v>#VALUE!</v>
      </c>
      <c r="AT98" s="15" t="str">
        <f t="shared" si="119"/>
        <v/>
      </c>
      <c r="AU98" s="15" t="str">
        <f t="shared" si="133"/>
        <v>BR</v>
      </c>
      <c r="AV98" s="15" t="str">
        <f t="shared" si="120"/>
        <v/>
      </c>
      <c r="AW98" s="15" t="str">
        <f t="shared" si="121"/>
        <v/>
      </c>
      <c r="AX98" s="15" t="str">
        <f t="shared" si="134"/>
        <v>branded-content</v>
      </c>
      <c r="AY98" s="15" t="e">
        <f t="shared" si="122"/>
        <v>#N/A</v>
      </c>
      <c r="AZ98" s="15" t="str">
        <f t="shared" si="123"/>
        <v/>
      </c>
      <c r="BA98" s="15" t="str">
        <f t="shared" si="124"/>
        <v/>
      </c>
      <c r="BB98" s="28" t="s">
        <v>814</v>
      </c>
      <c r="BC98" s="28" t="s">
        <v>814</v>
      </c>
      <c r="BD98" s="38" t="str">
        <f t="shared" si="125"/>
        <v>bc-tcr-aaf-dsy-0321-10098</v>
      </c>
      <c r="BE98" s="15" t="str">
        <f t="shared" si="126"/>
        <v>BR</v>
      </c>
      <c r="BF98" s="15" t="str">
        <f t="shared" si="127"/>
        <v/>
      </c>
      <c r="BG98" s="28"/>
      <c r="BH98" s="28"/>
      <c r="BI98" s="36" t="e">
        <f t="shared" si="135"/>
        <v>#VALUE!</v>
      </c>
      <c r="BL98" t="str">
        <f t="shared" si="136"/>
        <v>alp_vw__aaf_dsy_sustn_nd_nc_tcr_branded-content_projeto-globoplay_</v>
      </c>
      <c r="BM98" t="e">
        <f t="shared" si="137"/>
        <v>#N/A</v>
      </c>
      <c r="BN98" t="e">
        <f t="shared" si="138"/>
        <v>#VALUE!</v>
      </c>
    </row>
    <row r="99" spans="34:66" ht="15.75" customHeight="1" x14ac:dyDescent="0.25">
      <c r="AH99" s="15" t="e">
        <f t="shared" si="115"/>
        <v>#N/A</v>
      </c>
      <c r="AI99" s="21" t="e">
        <f t="shared" si="128"/>
        <v>#N/A</v>
      </c>
      <c r="AJ99" s="40" t="e">
        <f t="shared" si="128"/>
        <v>#N/A</v>
      </c>
      <c r="AK99" s="21" t="str">
        <f t="shared" si="129"/>
        <v>vw_t-cross___adserver</v>
      </c>
      <c r="AL99" s="21" t="e">
        <f t="shared" si="116"/>
        <v>#VALUE!</v>
      </c>
      <c r="AM99" s="21" t="str">
        <f t="shared" si="130"/>
        <v>TAG</v>
      </c>
      <c r="AN99" s="15">
        <f t="shared" si="117"/>
        <v>0</v>
      </c>
      <c r="AO99" s="15">
        <f t="shared" si="118"/>
        <v>0</v>
      </c>
      <c r="AP99" s="21" t="str">
        <f>Campanha!$B$3</f>
        <v>BR_AAF_DSY_SUSTN_ND_NC_2021Q1MAR_TCR_Branded-Content</v>
      </c>
      <c r="AQ99" s="21" t="e">
        <f t="shared" si="131"/>
        <v>#N/A</v>
      </c>
      <c r="AR99" s="15" t="s">
        <v>770</v>
      </c>
      <c r="AS99" s="21" t="e">
        <f t="shared" si="132"/>
        <v>#VALUE!</v>
      </c>
      <c r="AT99" s="15" t="str">
        <f t="shared" si="119"/>
        <v/>
      </c>
      <c r="AU99" s="15" t="str">
        <f t="shared" si="133"/>
        <v>BR</v>
      </c>
      <c r="AV99" s="15" t="str">
        <f t="shared" si="120"/>
        <v/>
      </c>
      <c r="AW99" s="15" t="str">
        <f t="shared" si="121"/>
        <v/>
      </c>
      <c r="AX99" s="15" t="str">
        <f t="shared" si="134"/>
        <v>branded-content</v>
      </c>
      <c r="AY99" s="15" t="e">
        <f t="shared" si="122"/>
        <v>#N/A</v>
      </c>
      <c r="AZ99" s="15" t="str">
        <f t="shared" si="123"/>
        <v/>
      </c>
      <c r="BA99" s="15" t="str">
        <f t="shared" si="124"/>
        <v/>
      </c>
      <c r="BB99" s="28" t="s">
        <v>814</v>
      </c>
      <c r="BC99" s="28" t="s">
        <v>814</v>
      </c>
      <c r="BD99" s="38" t="str">
        <f t="shared" si="125"/>
        <v>bc-tcr-aaf-dsy-0321-10099</v>
      </c>
      <c r="BE99" s="15" t="str">
        <f t="shared" si="126"/>
        <v>BR</v>
      </c>
      <c r="BF99" s="15" t="str">
        <f t="shared" si="127"/>
        <v/>
      </c>
      <c r="BG99" s="28"/>
      <c r="BH99" s="28"/>
      <c r="BI99" s="36" t="e">
        <f t="shared" si="135"/>
        <v>#VALUE!</v>
      </c>
      <c r="BL99" t="str">
        <f t="shared" si="136"/>
        <v>alp_vw__aaf_dsy_sustn_nd_nc_tcr_branded-content_projeto-globoplay_</v>
      </c>
      <c r="BM99" t="e">
        <f t="shared" si="137"/>
        <v>#N/A</v>
      </c>
      <c r="BN99" t="e">
        <f t="shared" si="138"/>
        <v>#VALUE!</v>
      </c>
    </row>
    <row r="100" spans="34:66" ht="15.75" customHeight="1" x14ac:dyDescent="0.25">
      <c r="AH100" s="15" t="e">
        <f t="shared" si="115"/>
        <v>#N/A</v>
      </c>
      <c r="AI100" s="21" t="e">
        <f t="shared" si="128"/>
        <v>#N/A</v>
      </c>
      <c r="AJ100" s="40" t="e">
        <f t="shared" si="128"/>
        <v>#N/A</v>
      </c>
      <c r="AK100" s="21" t="str">
        <f t="shared" si="129"/>
        <v>vw_t-cross___adserver</v>
      </c>
      <c r="AL100" s="21" t="e">
        <f t="shared" si="116"/>
        <v>#VALUE!</v>
      </c>
      <c r="AM100" s="21" t="str">
        <f t="shared" si="130"/>
        <v>TAG</v>
      </c>
      <c r="AN100" s="15">
        <f t="shared" si="117"/>
        <v>0</v>
      </c>
      <c r="AO100" s="15">
        <f t="shared" si="118"/>
        <v>0</v>
      </c>
      <c r="AP100" s="21" t="str">
        <f>Campanha!$B$3</f>
        <v>BR_AAF_DSY_SUSTN_ND_NC_2021Q1MAR_TCR_Branded-Content</v>
      </c>
      <c r="AQ100" s="21" t="e">
        <f t="shared" si="131"/>
        <v>#N/A</v>
      </c>
      <c r="AR100" s="15" t="s">
        <v>770</v>
      </c>
      <c r="AS100" s="21" t="e">
        <f t="shared" si="132"/>
        <v>#VALUE!</v>
      </c>
      <c r="AT100" s="15" t="str">
        <f t="shared" si="119"/>
        <v/>
      </c>
      <c r="AU100" s="15" t="str">
        <f t="shared" si="133"/>
        <v>BR</v>
      </c>
      <c r="AV100" s="15" t="str">
        <f t="shared" si="120"/>
        <v/>
      </c>
      <c r="AW100" s="15" t="str">
        <f t="shared" si="121"/>
        <v/>
      </c>
      <c r="AX100" s="15" t="str">
        <f t="shared" si="134"/>
        <v>branded-content</v>
      </c>
      <c r="AY100" s="15" t="e">
        <f t="shared" si="122"/>
        <v>#N/A</v>
      </c>
      <c r="AZ100" s="15" t="str">
        <f t="shared" si="123"/>
        <v/>
      </c>
      <c r="BA100" s="15" t="str">
        <f t="shared" si="124"/>
        <v/>
      </c>
      <c r="BB100" s="28" t="s">
        <v>814</v>
      </c>
      <c r="BC100" s="28" t="s">
        <v>814</v>
      </c>
      <c r="BD100" s="38" t="str">
        <f t="shared" si="125"/>
        <v>bc-tcr-aaf-dsy-0321-10100</v>
      </c>
      <c r="BE100" s="15" t="str">
        <f t="shared" si="126"/>
        <v>BR</v>
      </c>
      <c r="BF100" s="15" t="str">
        <f t="shared" si="127"/>
        <v/>
      </c>
      <c r="BG100" s="28"/>
      <c r="BH100" s="28"/>
      <c r="BI100" s="36" t="e">
        <f t="shared" si="135"/>
        <v>#VALUE!</v>
      </c>
      <c r="BL100" t="str">
        <f t="shared" si="136"/>
        <v>alp_vw__aaf_dsy_sustn_nd_nc_tcr_branded-content_projeto-globoplay_</v>
      </c>
      <c r="BM100" t="e">
        <f t="shared" si="137"/>
        <v>#N/A</v>
      </c>
      <c r="BN100" t="e">
        <f t="shared" si="138"/>
        <v>#VALUE!</v>
      </c>
    </row>
    <row r="101" spans="34:66" ht="15.75" customHeight="1" x14ac:dyDescent="0.25">
      <c r="AH101" s="15" t="e">
        <f t="shared" si="115"/>
        <v>#N/A</v>
      </c>
      <c r="AI101" s="21" t="e">
        <f t="shared" si="128"/>
        <v>#N/A</v>
      </c>
      <c r="AJ101" s="40" t="e">
        <f t="shared" si="128"/>
        <v>#N/A</v>
      </c>
      <c r="AK101" s="21" t="str">
        <f t="shared" si="129"/>
        <v>vw_t-cross___adserver</v>
      </c>
      <c r="AL101" s="21" t="e">
        <f t="shared" si="116"/>
        <v>#VALUE!</v>
      </c>
      <c r="AM101" s="21" t="str">
        <f t="shared" si="130"/>
        <v>TAG</v>
      </c>
      <c r="AN101" s="15">
        <f t="shared" si="117"/>
        <v>0</v>
      </c>
      <c r="AO101" s="15">
        <f t="shared" si="118"/>
        <v>0</v>
      </c>
      <c r="AP101" s="21" t="str">
        <f>Campanha!$B$3</f>
        <v>BR_AAF_DSY_SUSTN_ND_NC_2021Q1MAR_TCR_Branded-Content</v>
      </c>
      <c r="AQ101" s="21" t="e">
        <f t="shared" si="131"/>
        <v>#N/A</v>
      </c>
      <c r="AR101" s="15" t="s">
        <v>770</v>
      </c>
      <c r="AS101" s="21" t="e">
        <f t="shared" si="132"/>
        <v>#VALUE!</v>
      </c>
      <c r="AT101" s="15" t="str">
        <f t="shared" si="119"/>
        <v/>
      </c>
      <c r="AU101" s="15" t="str">
        <f t="shared" si="133"/>
        <v>BR</v>
      </c>
      <c r="AV101" s="15" t="str">
        <f t="shared" si="120"/>
        <v/>
      </c>
      <c r="AW101" s="15" t="str">
        <f t="shared" si="121"/>
        <v/>
      </c>
      <c r="AX101" s="15" t="str">
        <f t="shared" si="134"/>
        <v>branded-content</v>
      </c>
      <c r="AY101" s="15" t="e">
        <f t="shared" si="122"/>
        <v>#N/A</v>
      </c>
      <c r="AZ101" s="15" t="str">
        <f t="shared" si="123"/>
        <v/>
      </c>
      <c r="BA101" s="15" t="str">
        <f t="shared" si="124"/>
        <v/>
      </c>
      <c r="BB101" s="28" t="s">
        <v>814</v>
      </c>
      <c r="BC101" s="28" t="s">
        <v>814</v>
      </c>
      <c r="BD101" s="38" t="str">
        <f t="shared" si="125"/>
        <v>bc-tcr-aaf-dsy-0321-10101</v>
      </c>
      <c r="BE101" s="15" t="str">
        <f t="shared" si="126"/>
        <v>BR</v>
      </c>
      <c r="BF101" s="15" t="str">
        <f t="shared" si="127"/>
        <v/>
      </c>
      <c r="BG101" s="28"/>
      <c r="BH101" s="28"/>
      <c r="BI101" s="36" t="e">
        <f t="shared" si="135"/>
        <v>#VALUE!</v>
      </c>
      <c r="BL101" t="str">
        <f t="shared" si="136"/>
        <v>alp_vw__aaf_dsy_sustn_nd_nc_tcr_branded-content_projeto-globoplay_</v>
      </c>
      <c r="BM101" t="e">
        <f t="shared" si="137"/>
        <v>#N/A</v>
      </c>
      <c r="BN101" t="e">
        <f t="shared" si="138"/>
        <v>#VALUE!</v>
      </c>
    </row>
    <row r="102" spans="34:66" ht="15.75" customHeight="1" x14ac:dyDescent="0.25">
      <c r="AH102" s="15" t="e">
        <f t="shared" si="115"/>
        <v>#N/A</v>
      </c>
      <c r="AI102" s="21" t="e">
        <f t="shared" si="128"/>
        <v>#N/A</v>
      </c>
      <c r="AJ102" s="40" t="e">
        <f t="shared" si="128"/>
        <v>#N/A</v>
      </c>
      <c r="AK102" s="21" t="str">
        <f t="shared" si="129"/>
        <v>vw_t-cross___adserver</v>
      </c>
      <c r="AL102" s="21" t="e">
        <f t="shared" si="116"/>
        <v>#VALUE!</v>
      </c>
      <c r="AM102" s="21" t="str">
        <f t="shared" si="130"/>
        <v>TAG</v>
      </c>
      <c r="AN102" s="15">
        <f t="shared" si="117"/>
        <v>0</v>
      </c>
      <c r="AO102" s="15">
        <f t="shared" si="118"/>
        <v>0</v>
      </c>
      <c r="AP102" s="21" t="str">
        <f>Campanha!$B$3</f>
        <v>BR_AAF_DSY_SUSTN_ND_NC_2021Q1MAR_TCR_Branded-Content</v>
      </c>
      <c r="AQ102" s="21" t="e">
        <f t="shared" si="131"/>
        <v>#N/A</v>
      </c>
      <c r="AR102" s="15" t="s">
        <v>770</v>
      </c>
      <c r="AS102" s="21" t="e">
        <f t="shared" si="132"/>
        <v>#VALUE!</v>
      </c>
      <c r="AT102" s="15" t="str">
        <f t="shared" si="119"/>
        <v/>
      </c>
      <c r="AU102" s="15" t="str">
        <f t="shared" si="133"/>
        <v>BR</v>
      </c>
      <c r="AV102" s="15" t="str">
        <f t="shared" si="120"/>
        <v/>
      </c>
      <c r="AW102" s="15" t="str">
        <f t="shared" si="121"/>
        <v/>
      </c>
      <c r="AX102" s="15" t="str">
        <f t="shared" si="134"/>
        <v>branded-content</v>
      </c>
      <c r="AY102" s="15" t="e">
        <f t="shared" si="122"/>
        <v>#N/A</v>
      </c>
      <c r="AZ102" s="15" t="str">
        <f t="shared" si="123"/>
        <v/>
      </c>
      <c r="BA102" s="15" t="str">
        <f t="shared" si="124"/>
        <v/>
      </c>
      <c r="BB102" s="28" t="s">
        <v>814</v>
      </c>
      <c r="BC102" s="28" t="s">
        <v>814</v>
      </c>
      <c r="BD102" s="38" t="str">
        <f t="shared" si="125"/>
        <v>bc-tcr-aaf-dsy-0321-10102</v>
      </c>
      <c r="BE102" s="15" t="str">
        <f t="shared" si="126"/>
        <v>BR</v>
      </c>
      <c r="BF102" s="15" t="str">
        <f t="shared" si="127"/>
        <v/>
      </c>
      <c r="BG102" s="28"/>
      <c r="BH102" s="28"/>
      <c r="BI102" s="36" t="e">
        <f t="shared" si="135"/>
        <v>#VALUE!</v>
      </c>
      <c r="BL102" t="str">
        <f t="shared" si="136"/>
        <v>alp_vw__aaf_dsy_sustn_nd_nc_tcr_branded-content_projeto-globoplay_</v>
      </c>
      <c r="BM102" t="e">
        <f t="shared" si="137"/>
        <v>#N/A</v>
      </c>
      <c r="BN102" t="e">
        <f t="shared" si="138"/>
        <v>#VALUE!</v>
      </c>
    </row>
    <row r="103" spans="34:66" ht="15.75" customHeight="1" x14ac:dyDescent="0.25">
      <c r="AH103" s="15" t="e">
        <f t="shared" si="115"/>
        <v>#N/A</v>
      </c>
      <c r="AI103" s="21" t="e">
        <f t="shared" si="128"/>
        <v>#N/A</v>
      </c>
      <c r="AJ103" s="40" t="e">
        <f t="shared" si="128"/>
        <v>#N/A</v>
      </c>
      <c r="AK103" s="21" t="str">
        <f t="shared" si="129"/>
        <v>vw_t-cross___adserver</v>
      </c>
      <c r="AL103" s="21" t="e">
        <f t="shared" si="116"/>
        <v>#VALUE!</v>
      </c>
      <c r="AM103" s="21" t="str">
        <f t="shared" si="130"/>
        <v>TAG</v>
      </c>
      <c r="AN103" s="15">
        <f t="shared" si="117"/>
        <v>0</v>
      </c>
      <c r="AO103" s="15">
        <f t="shared" si="118"/>
        <v>0</v>
      </c>
      <c r="AP103" s="21" t="str">
        <f>Campanha!$B$3</f>
        <v>BR_AAF_DSY_SUSTN_ND_NC_2021Q1MAR_TCR_Branded-Content</v>
      </c>
      <c r="AQ103" s="21" t="e">
        <f t="shared" si="131"/>
        <v>#N/A</v>
      </c>
      <c r="AR103" s="15" t="s">
        <v>770</v>
      </c>
      <c r="AS103" s="21" t="e">
        <f t="shared" si="132"/>
        <v>#VALUE!</v>
      </c>
      <c r="AT103" s="15" t="str">
        <f t="shared" si="119"/>
        <v/>
      </c>
      <c r="AU103" s="15" t="str">
        <f t="shared" si="133"/>
        <v>BR</v>
      </c>
      <c r="AV103" s="15" t="str">
        <f t="shared" si="120"/>
        <v/>
      </c>
      <c r="AW103" s="15" t="str">
        <f t="shared" si="121"/>
        <v/>
      </c>
      <c r="AX103" s="15" t="str">
        <f t="shared" si="134"/>
        <v>branded-content</v>
      </c>
      <c r="AY103" s="15" t="e">
        <f t="shared" si="122"/>
        <v>#N/A</v>
      </c>
      <c r="AZ103" s="15" t="str">
        <f t="shared" si="123"/>
        <v/>
      </c>
      <c r="BA103" s="15" t="str">
        <f t="shared" si="124"/>
        <v/>
      </c>
      <c r="BB103" s="28" t="s">
        <v>814</v>
      </c>
      <c r="BC103" s="28" t="s">
        <v>814</v>
      </c>
      <c r="BD103" s="38" t="str">
        <f t="shared" si="125"/>
        <v>bc-tcr-aaf-dsy-0321-10103</v>
      </c>
      <c r="BE103" s="15" t="str">
        <f t="shared" si="126"/>
        <v>BR</v>
      </c>
      <c r="BF103" s="15" t="str">
        <f t="shared" si="127"/>
        <v/>
      </c>
      <c r="BG103" s="28"/>
      <c r="BH103" s="28"/>
      <c r="BI103" s="36" t="e">
        <f t="shared" si="135"/>
        <v>#VALUE!</v>
      </c>
      <c r="BL103" t="str">
        <f t="shared" si="136"/>
        <v>alp_vw__aaf_dsy_sustn_nd_nc_tcr_branded-content_projeto-globoplay_</v>
      </c>
      <c r="BM103" t="e">
        <f t="shared" si="137"/>
        <v>#N/A</v>
      </c>
      <c r="BN103" t="e">
        <f t="shared" si="138"/>
        <v>#VALUE!</v>
      </c>
    </row>
    <row r="104" spans="34:66" ht="15.75" customHeight="1" x14ac:dyDescent="0.25">
      <c r="AH104" s="15" t="e">
        <f t="shared" ref="AH104:AH114" si="139">VLOOKUP(AI104,id_placement,2,FALSE)</f>
        <v>#N/A</v>
      </c>
      <c r="AI104" s="21" t="e">
        <f t="shared" si="128"/>
        <v>#N/A</v>
      </c>
      <c r="AJ104" s="40" t="e">
        <f t="shared" si="128"/>
        <v>#N/A</v>
      </c>
      <c r="AK104" s="21" t="str">
        <f t="shared" si="129"/>
        <v>vw_t-cross___adserver</v>
      </c>
      <c r="AL104" s="21" t="e">
        <f t="shared" ref="AL104:AL114" si="140">IF(col_parametrizacao="GA",AS104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104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104" s="21" t="str">
        <f t="shared" si="130"/>
        <v>TAG</v>
      </c>
      <c r="AN104" s="15">
        <f t="shared" ref="AN104:AN114" si="141">J104</f>
        <v>0</v>
      </c>
      <c r="AO104" s="15">
        <f t="shared" ref="AO104:AO114" si="142">L104</f>
        <v>0</v>
      </c>
      <c r="AP104" s="21" t="str">
        <f>Campanha!$B$3</f>
        <v>BR_AAF_DSY_SUSTN_ND_NC_2021Q1MAR_TCR_Branded-Content</v>
      </c>
      <c r="AQ104" s="21" t="e">
        <f t="shared" si="131"/>
        <v>#N/A</v>
      </c>
      <c r="AR104" s="15" t="s">
        <v>770</v>
      </c>
      <c r="AS104" s="21" t="e">
        <f t="shared" si="132"/>
        <v>#VALUE!</v>
      </c>
      <c r="AT104" s="15" t="str">
        <f t="shared" ref="AT104:AT114" si="143">LOWER(Q104)</f>
        <v/>
      </c>
      <c r="AU104" s="15" t="str">
        <f t="shared" si="133"/>
        <v>BR</v>
      </c>
      <c r="AV104" s="15" t="str">
        <f t="shared" ref="AV104:AV114" si="144">LOWER(K104)</f>
        <v/>
      </c>
      <c r="AW104" s="15" t="str">
        <f t="shared" ref="AW104:AW114" si="145">LOWER(J104)</f>
        <v/>
      </c>
      <c r="AX104" s="15" t="str">
        <f t="shared" si="134"/>
        <v>branded-content</v>
      </c>
      <c r="AY104" s="15" t="e">
        <f t="shared" ref="AY104:AY114" si="146">LOWER(AI104)</f>
        <v>#N/A</v>
      </c>
      <c r="AZ104" s="15" t="str">
        <f t="shared" ref="AZ104:AZ114" si="147">LOWER(Y104)</f>
        <v/>
      </c>
      <c r="BA104" s="15" t="str">
        <f t="shared" ref="BA104:BA114" si="148">LOWER(T104)</f>
        <v/>
      </c>
      <c r="BB104" s="28" t="s">
        <v>814</v>
      </c>
      <c r="BC104" s="28" t="s">
        <v>814</v>
      </c>
      <c r="BD104" s="38" t="str">
        <f t="shared" ref="BD104:BD114" si="149">LOWER(CONCATENATE(cel_idcampaign,"-",SUM(10000+ROW(A104))))</f>
        <v>bc-tcr-aaf-dsy-0321-10104</v>
      </c>
      <c r="BE104" s="15" t="str">
        <f t="shared" ref="BE104:BE114" si="150">AU104</f>
        <v>BR</v>
      </c>
      <c r="BF104" s="15" t="str">
        <f t="shared" ref="BF104:BF114" si="151">LOWER(X104)</f>
        <v/>
      </c>
      <c r="BG104" s="28"/>
      <c r="BH104" s="28"/>
      <c r="BI104" s="36" t="e">
        <f t="shared" si="135"/>
        <v>#VALUE!</v>
      </c>
      <c r="BL104" t="str">
        <f t="shared" si="136"/>
        <v>alp_vw__aaf_dsy_sustn_nd_nc_tcr_branded-content_projeto-globoplay_</v>
      </c>
      <c r="BM104" t="e">
        <f t="shared" si="137"/>
        <v>#N/A</v>
      </c>
      <c r="BN104" t="e">
        <f t="shared" si="138"/>
        <v>#VALUE!</v>
      </c>
    </row>
    <row r="105" spans="34:66" ht="15.75" customHeight="1" x14ac:dyDescent="0.25">
      <c r="AH105" s="15" t="e">
        <f t="shared" si="139"/>
        <v>#N/A</v>
      </c>
      <c r="AI105" s="21" t="e">
        <f t="shared" ref="AI105:AJ114" si="152">LOWER(CONCATENATE(col_campanhaanunciante,"_",col_grupoanunciante,"_",col_localfreetype,"_",col_adlid))</f>
        <v>#N/A</v>
      </c>
      <c r="AJ105" s="40" t="e">
        <f t="shared" si="152"/>
        <v>#N/A</v>
      </c>
      <c r="AK105" s="21" t="str">
        <f t="shared" si="129"/>
        <v>vw_t-cross___adserver</v>
      </c>
      <c r="AL105" s="21" t="e">
        <f t="shared" si="140"/>
        <v>#VALUE!</v>
      </c>
      <c r="AM105" s="21" t="str">
        <f t="shared" si="130"/>
        <v>TAG</v>
      </c>
      <c r="AN105" s="15">
        <f t="shared" si="141"/>
        <v>0</v>
      </c>
      <c r="AO105" s="15">
        <f t="shared" si="142"/>
        <v>0</v>
      </c>
      <c r="AP105" s="21" t="str">
        <f>Campanha!$B$3</f>
        <v>BR_AAF_DSY_SUSTN_ND_NC_2021Q1MAR_TCR_Branded-Content</v>
      </c>
      <c r="AQ105" s="21" t="e">
        <f t="shared" si="131"/>
        <v>#N/A</v>
      </c>
      <c r="AR105" s="15" t="s">
        <v>770</v>
      </c>
      <c r="AS105" s="21" t="e">
        <f t="shared" si="132"/>
        <v>#VALUE!</v>
      </c>
      <c r="AT105" s="15" t="str">
        <f t="shared" si="143"/>
        <v/>
      </c>
      <c r="AU105" s="15" t="str">
        <f t="shared" si="133"/>
        <v>BR</v>
      </c>
      <c r="AV105" s="15" t="str">
        <f t="shared" si="144"/>
        <v/>
      </c>
      <c r="AW105" s="15" t="str">
        <f t="shared" si="145"/>
        <v/>
      </c>
      <c r="AX105" s="15" t="str">
        <f t="shared" si="134"/>
        <v>branded-content</v>
      </c>
      <c r="AY105" s="15" t="e">
        <f t="shared" si="146"/>
        <v>#N/A</v>
      </c>
      <c r="AZ105" s="15" t="str">
        <f t="shared" si="147"/>
        <v/>
      </c>
      <c r="BA105" s="15" t="str">
        <f t="shared" si="148"/>
        <v/>
      </c>
      <c r="BB105" s="28" t="s">
        <v>814</v>
      </c>
      <c r="BC105" s="28" t="s">
        <v>814</v>
      </c>
      <c r="BD105" s="38" t="str">
        <f t="shared" si="149"/>
        <v>bc-tcr-aaf-dsy-0321-10105</v>
      </c>
      <c r="BE105" s="15" t="str">
        <f t="shared" si="150"/>
        <v>BR</v>
      </c>
      <c r="BF105" s="15" t="str">
        <f t="shared" si="151"/>
        <v/>
      </c>
      <c r="BG105" s="28"/>
      <c r="BH105" s="28"/>
      <c r="BI105" s="36" t="e">
        <f t="shared" si="135"/>
        <v>#VALUE!</v>
      </c>
      <c r="BL105" t="str">
        <f t="shared" si="136"/>
        <v>alp_vw__aaf_dsy_sustn_nd_nc_tcr_branded-content_projeto-globoplay_</v>
      </c>
      <c r="BM105" t="e">
        <f t="shared" si="137"/>
        <v>#N/A</v>
      </c>
      <c r="BN105" t="e">
        <f t="shared" si="138"/>
        <v>#VALUE!</v>
      </c>
    </row>
    <row r="106" spans="34:66" ht="15.75" customHeight="1" x14ac:dyDescent="0.25">
      <c r="AH106" s="15" t="e">
        <f t="shared" si="139"/>
        <v>#N/A</v>
      </c>
      <c r="AI106" s="21" t="e">
        <f t="shared" si="152"/>
        <v>#N/A</v>
      </c>
      <c r="AJ106" s="40" t="e">
        <f t="shared" si="152"/>
        <v>#N/A</v>
      </c>
      <c r="AK106" s="21" t="str">
        <f t="shared" si="129"/>
        <v>vw_t-cross___adserver</v>
      </c>
      <c r="AL106" s="21" t="e">
        <f t="shared" si="140"/>
        <v>#VALUE!</v>
      </c>
      <c r="AM106" s="21" t="str">
        <f t="shared" si="130"/>
        <v>TAG</v>
      </c>
      <c r="AN106" s="15">
        <f t="shared" si="141"/>
        <v>0</v>
      </c>
      <c r="AO106" s="15">
        <f t="shared" si="142"/>
        <v>0</v>
      </c>
      <c r="AP106" s="21" t="str">
        <f>Campanha!$B$3</f>
        <v>BR_AAF_DSY_SUSTN_ND_NC_2021Q1MAR_TCR_Branded-Content</v>
      </c>
      <c r="AQ106" s="21" t="e">
        <f t="shared" si="131"/>
        <v>#N/A</v>
      </c>
      <c r="AR106" s="15" t="s">
        <v>770</v>
      </c>
      <c r="AS106" s="21" t="e">
        <f t="shared" si="132"/>
        <v>#VALUE!</v>
      </c>
      <c r="AT106" s="15" t="str">
        <f t="shared" si="143"/>
        <v/>
      </c>
      <c r="AU106" s="15" t="str">
        <f t="shared" si="133"/>
        <v>BR</v>
      </c>
      <c r="AV106" s="15" t="str">
        <f t="shared" si="144"/>
        <v/>
      </c>
      <c r="AW106" s="15" t="str">
        <f t="shared" si="145"/>
        <v/>
      </c>
      <c r="AX106" s="15" t="str">
        <f t="shared" si="134"/>
        <v>branded-content</v>
      </c>
      <c r="AY106" s="15" t="e">
        <f t="shared" si="146"/>
        <v>#N/A</v>
      </c>
      <c r="AZ106" s="15" t="str">
        <f t="shared" si="147"/>
        <v/>
      </c>
      <c r="BA106" s="15" t="str">
        <f t="shared" si="148"/>
        <v/>
      </c>
      <c r="BB106" s="28" t="s">
        <v>814</v>
      </c>
      <c r="BC106" s="28" t="s">
        <v>814</v>
      </c>
      <c r="BD106" s="38" t="str">
        <f t="shared" si="149"/>
        <v>bc-tcr-aaf-dsy-0321-10106</v>
      </c>
      <c r="BE106" s="15" t="str">
        <f t="shared" si="150"/>
        <v>BR</v>
      </c>
      <c r="BF106" s="15" t="str">
        <f t="shared" si="151"/>
        <v/>
      </c>
      <c r="BG106" s="28"/>
      <c r="BH106" s="28"/>
      <c r="BI106" s="36" t="e">
        <f t="shared" si="135"/>
        <v>#VALUE!</v>
      </c>
      <c r="BL106" t="str">
        <f t="shared" si="136"/>
        <v>alp_vw__aaf_dsy_sustn_nd_nc_tcr_branded-content_projeto-globoplay_</v>
      </c>
      <c r="BM106" t="e">
        <f t="shared" si="137"/>
        <v>#N/A</v>
      </c>
      <c r="BN106" t="e">
        <f t="shared" si="138"/>
        <v>#VALUE!</v>
      </c>
    </row>
    <row r="107" spans="34:66" ht="15.75" customHeight="1" x14ac:dyDescent="0.25">
      <c r="AH107" s="15" t="e">
        <f t="shared" si="139"/>
        <v>#N/A</v>
      </c>
      <c r="AI107" s="21" t="e">
        <f t="shared" si="152"/>
        <v>#N/A</v>
      </c>
      <c r="AJ107" s="40" t="e">
        <f t="shared" si="152"/>
        <v>#N/A</v>
      </c>
      <c r="AK107" s="21" t="str">
        <f t="shared" si="129"/>
        <v>vw_t-cross___adserver</v>
      </c>
      <c r="AL107" s="21" t="e">
        <f t="shared" si="140"/>
        <v>#VALUE!</v>
      </c>
      <c r="AM107" s="21" t="str">
        <f t="shared" si="130"/>
        <v>TAG</v>
      </c>
      <c r="AN107" s="15">
        <f t="shared" si="141"/>
        <v>0</v>
      </c>
      <c r="AO107" s="15">
        <f t="shared" si="142"/>
        <v>0</v>
      </c>
      <c r="AP107" s="21" t="str">
        <f>Campanha!$B$3</f>
        <v>BR_AAF_DSY_SUSTN_ND_NC_2021Q1MAR_TCR_Branded-Content</v>
      </c>
      <c r="AQ107" s="21" t="e">
        <f t="shared" si="131"/>
        <v>#N/A</v>
      </c>
      <c r="AR107" s="15" t="s">
        <v>770</v>
      </c>
      <c r="AS107" s="21" t="e">
        <f t="shared" si="132"/>
        <v>#VALUE!</v>
      </c>
      <c r="AT107" s="15" t="str">
        <f t="shared" si="143"/>
        <v/>
      </c>
      <c r="AU107" s="15" t="str">
        <f t="shared" si="133"/>
        <v>BR</v>
      </c>
      <c r="AV107" s="15" t="str">
        <f t="shared" si="144"/>
        <v/>
      </c>
      <c r="AW107" s="15" t="str">
        <f t="shared" si="145"/>
        <v/>
      </c>
      <c r="AX107" s="15" t="str">
        <f t="shared" si="134"/>
        <v>branded-content</v>
      </c>
      <c r="AY107" s="15" t="e">
        <f t="shared" si="146"/>
        <v>#N/A</v>
      </c>
      <c r="AZ107" s="15" t="str">
        <f t="shared" si="147"/>
        <v/>
      </c>
      <c r="BA107" s="15" t="str">
        <f t="shared" si="148"/>
        <v/>
      </c>
      <c r="BB107" s="28" t="s">
        <v>814</v>
      </c>
      <c r="BC107" s="28" t="s">
        <v>814</v>
      </c>
      <c r="BD107" s="38" t="str">
        <f t="shared" si="149"/>
        <v>bc-tcr-aaf-dsy-0321-10107</v>
      </c>
      <c r="BE107" s="15" t="str">
        <f t="shared" si="150"/>
        <v>BR</v>
      </c>
      <c r="BF107" s="15" t="str">
        <f t="shared" si="151"/>
        <v/>
      </c>
      <c r="BG107" s="28"/>
      <c r="BH107" s="28"/>
      <c r="BI107" s="36" t="e">
        <f t="shared" si="135"/>
        <v>#VALUE!</v>
      </c>
      <c r="BL107" t="str">
        <f t="shared" si="136"/>
        <v>alp_vw__aaf_dsy_sustn_nd_nc_tcr_branded-content_projeto-globoplay_</v>
      </c>
      <c r="BM107" t="e">
        <f t="shared" si="137"/>
        <v>#N/A</v>
      </c>
      <c r="BN107" t="e">
        <f t="shared" si="138"/>
        <v>#VALUE!</v>
      </c>
    </row>
    <row r="108" spans="34:66" ht="15.75" customHeight="1" x14ac:dyDescent="0.25">
      <c r="AH108" s="15" t="e">
        <f t="shared" si="139"/>
        <v>#N/A</v>
      </c>
      <c r="AI108" s="21" t="e">
        <f t="shared" si="152"/>
        <v>#N/A</v>
      </c>
      <c r="AJ108" s="40" t="e">
        <f t="shared" si="152"/>
        <v>#N/A</v>
      </c>
      <c r="AK108" s="21" t="str">
        <f t="shared" si="129"/>
        <v>vw_t-cross___adserver</v>
      </c>
      <c r="AL108" s="21" t="e">
        <f t="shared" si="140"/>
        <v>#VALUE!</v>
      </c>
      <c r="AM108" s="21" t="str">
        <f t="shared" si="130"/>
        <v>TAG</v>
      </c>
      <c r="AN108" s="15">
        <f t="shared" si="141"/>
        <v>0</v>
      </c>
      <c r="AO108" s="15">
        <f t="shared" si="142"/>
        <v>0</v>
      </c>
      <c r="AP108" s="21" t="str">
        <f>Campanha!$B$3</f>
        <v>BR_AAF_DSY_SUSTN_ND_NC_2021Q1MAR_TCR_Branded-Content</v>
      </c>
      <c r="AQ108" s="21" t="e">
        <f t="shared" si="131"/>
        <v>#N/A</v>
      </c>
      <c r="AR108" s="15" t="s">
        <v>770</v>
      </c>
      <c r="AS108" s="21" t="e">
        <f t="shared" si="132"/>
        <v>#VALUE!</v>
      </c>
      <c r="AT108" s="15" t="str">
        <f t="shared" si="143"/>
        <v/>
      </c>
      <c r="AU108" s="15" t="str">
        <f t="shared" si="133"/>
        <v>BR</v>
      </c>
      <c r="AV108" s="15" t="str">
        <f t="shared" si="144"/>
        <v/>
      </c>
      <c r="AW108" s="15" t="str">
        <f t="shared" si="145"/>
        <v/>
      </c>
      <c r="AX108" s="15" t="str">
        <f t="shared" si="134"/>
        <v>branded-content</v>
      </c>
      <c r="AY108" s="15" t="e">
        <f t="shared" si="146"/>
        <v>#N/A</v>
      </c>
      <c r="AZ108" s="15" t="str">
        <f t="shared" si="147"/>
        <v/>
      </c>
      <c r="BA108" s="15" t="str">
        <f t="shared" si="148"/>
        <v/>
      </c>
      <c r="BB108" s="28" t="s">
        <v>814</v>
      </c>
      <c r="BC108" s="28" t="s">
        <v>814</v>
      </c>
      <c r="BD108" s="38" t="str">
        <f t="shared" si="149"/>
        <v>bc-tcr-aaf-dsy-0321-10108</v>
      </c>
      <c r="BE108" s="15" t="str">
        <f t="shared" si="150"/>
        <v>BR</v>
      </c>
      <c r="BF108" s="15" t="str">
        <f t="shared" si="151"/>
        <v/>
      </c>
      <c r="BG108" s="28"/>
      <c r="BH108" s="28"/>
      <c r="BI108" s="36" t="e">
        <f t="shared" si="135"/>
        <v>#VALUE!</v>
      </c>
      <c r="BL108" t="str">
        <f t="shared" si="136"/>
        <v>alp_vw__aaf_dsy_sustn_nd_nc_tcr_branded-content_projeto-globoplay_</v>
      </c>
      <c r="BM108" t="e">
        <f t="shared" si="137"/>
        <v>#N/A</v>
      </c>
      <c r="BN108" t="e">
        <f t="shared" si="138"/>
        <v>#VALUE!</v>
      </c>
    </row>
    <row r="109" spans="34:66" ht="15.75" customHeight="1" x14ac:dyDescent="0.25">
      <c r="AH109" s="15" t="e">
        <f t="shared" si="139"/>
        <v>#N/A</v>
      </c>
      <c r="AI109" s="21" t="e">
        <f t="shared" si="152"/>
        <v>#N/A</v>
      </c>
      <c r="AJ109" s="40" t="e">
        <f t="shared" si="152"/>
        <v>#N/A</v>
      </c>
      <c r="AK109" s="21" t="str">
        <f t="shared" si="129"/>
        <v>vw_t-cross___adserver</v>
      </c>
      <c r="AL109" s="21" t="e">
        <f t="shared" si="140"/>
        <v>#VALUE!</v>
      </c>
      <c r="AM109" s="21" t="str">
        <f t="shared" si="130"/>
        <v>TAG</v>
      </c>
      <c r="AN109" s="15">
        <f t="shared" si="141"/>
        <v>0</v>
      </c>
      <c r="AO109" s="15">
        <f t="shared" si="142"/>
        <v>0</v>
      </c>
      <c r="AP109" s="21" t="str">
        <f>Campanha!$B$3</f>
        <v>BR_AAF_DSY_SUSTN_ND_NC_2021Q1MAR_TCR_Branded-Content</v>
      </c>
      <c r="AQ109" s="21" t="e">
        <f t="shared" si="131"/>
        <v>#N/A</v>
      </c>
      <c r="AR109" s="15" t="s">
        <v>770</v>
      </c>
      <c r="AS109" s="21" t="e">
        <f t="shared" si="132"/>
        <v>#VALUE!</v>
      </c>
      <c r="AT109" s="15" t="str">
        <f t="shared" si="143"/>
        <v/>
      </c>
      <c r="AU109" s="15" t="str">
        <f t="shared" si="133"/>
        <v>BR</v>
      </c>
      <c r="AV109" s="15" t="str">
        <f t="shared" si="144"/>
        <v/>
      </c>
      <c r="AW109" s="15" t="str">
        <f t="shared" si="145"/>
        <v/>
      </c>
      <c r="AX109" s="15" t="str">
        <f t="shared" si="134"/>
        <v>branded-content</v>
      </c>
      <c r="AY109" s="15" t="e">
        <f t="shared" si="146"/>
        <v>#N/A</v>
      </c>
      <c r="AZ109" s="15" t="str">
        <f t="shared" si="147"/>
        <v/>
      </c>
      <c r="BA109" s="15" t="str">
        <f t="shared" si="148"/>
        <v/>
      </c>
      <c r="BB109" s="28" t="s">
        <v>814</v>
      </c>
      <c r="BC109" s="28" t="s">
        <v>814</v>
      </c>
      <c r="BD109" s="38" t="str">
        <f t="shared" si="149"/>
        <v>bc-tcr-aaf-dsy-0321-10109</v>
      </c>
      <c r="BE109" s="15" t="str">
        <f t="shared" si="150"/>
        <v>BR</v>
      </c>
      <c r="BF109" s="15" t="str">
        <f t="shared" si="151"/>
        <v/>
      </c>
      <c r="BG109" s="28"/>
      <c r="BH109" s="28"/>
      <c r="BI109" s="36" t="e">
        <f t="shared" si="135"/>
        <v>#VALUE!</v>
      </c>
      <c r="BL109" t="str">
        <f t="shared" si="136"/>
        <v>alp_vw__aaf_dsy_sustn_nd_nc_tcr_branded-content_projeto-globoplay_</v>
      </c>
      <c r="BM109" t="e">
        <f t="shared" si="137"/>
        <v>#N/A</v>
      </c>
      <c r="BN109" t="e">
        <f t="shared" si="138"/>
        <v>#VALUE!</v>
      </c>
    </row>
    <row r="110" spans="34:66" ht="15.75" customHeight="1" x14ac:dyDescent="0.25">
      <c r="AH110" s="15" t="e">
        <f t="shared" si="139"/>
        <v>#N/A</v>
      </c>
      <c r="AI110" s="21" t="e">
        <f t="shared" si="152"/>
        <v>#N/A</v>
      </c>
      <c r="AJ110" s="40" t="e">
        <f t="shared" si="152"/>
        <v>#N/A</v>
      </c>
      <c r="AK110" s="21" t="str">
        <f t="shared" si="129"/>
        <v>vw_t-cross___adserver</v>
      </c>
      <c r="AL110" s="21" t="e">
        <f t="shared" si="140"/>
        <v>#VALUE!</v>
      </c>
      <c r="AM110" s="21" t="str">
        <f t="shared" si="130"/>
        <v>TAG</v>
      </c>
      <c r="AN110" s="15">
        <f t="shared" si="141"/>
        <v>0</v>
      </c>
      <c r="AO110" s="15">
        <f t="shared" si="142"/>
        <v>0</v>
      </c>
      <c r="AP110" s="21" t="str">
        <f>Campanha!$B$3</f>
        <v>BR_AAF_DSY_SUSTN_ND_NC_2021Q1MAR_TCR_Branded-Content</v>
      </c>
      <c r="AQ110" s="21" t="e">
        <f t="shared" si="131"/>
        <v>#N/A</v>
      </c>
      <c r="AR110" s="15" t="s">
        <v>770</v>
      </c>
      <c r="AS110" s="21" t="e">
        <f t="shared" si="132"/>
        <v>#VALUE!</v>
      </c>
      <c r="AT110" s="15" t="str">
        <f t="shared" si="143"/>
        <v/>
      </c>
      <c r="AU110" s="15" t="str">
        <f t="shared" si="133"/>
        <v>BR</v>
      </c>
      <c r="AV110" s="15" t="str">
        <f t="shared" si="144"/>
        <v/>
      </c>
      <c r="AW110" s="15" t="str">
        <f t="shared" si="145"/>
        <v/>
      </c>
      <c r="AX110" s="15" t="str">
        <f t="shared" si="134"/>
        <v>branded-content</v>
      </c>
      <c r="AY110" s="15" t="e">
        <f t="shared" si="146"/>
        <v>#N/A</v>
      </c>
      <c r="AZ110" s="15" t="str">
        <f t="shared" si="147"/>
        <v/>
      </c>
      <c r="BA110" s="15" t="str">
        <f t="shared" si="148"/>
        <v/>
      </c>
      <c r="BB110" s="28" t="s">
        <v>814</v>
      </c>
      <c r="BC110" s="28" t="s">
        <v>814</v>
      </c>
      <c r="BD110" s="38" t="str">
        <f t="shared" si="149"/>
        <v>bc-tcr-aaf-dsy-0321-10110</v>
      </c>
      <c r="BE110" s="15" t="str">
        <f t="shared" si="150"/>
        <v>BR</v>
      </c>
      <c r="BF110" s="15" t="str">
        <f t="shared" si="151"/>
        <v/>
      </c>
      <c r="BG110" s="28"/>
      <c r="BH110" s="28"/>
      <c r="BI110" s="36" t="e">
        <f t="shared" si="135"/>
        <v>#VALUE!</v>
      </c>
      <c r="BL110" t="str">
        <f t="shared" si="136"/>
        <v>alp_vw__aaf_dsy_sustn_nd_nc_tcr_branded-content_projeto-globoplay_</v>
      </c>
      <c r="BM110" t="e">
        <f t="shared" si="137"/>
        <v>#N/A</v>
      </c>
      <c r="BN110" t="e">
        <f t="shared" si="138"/>
        <v>#VALUE!</v>
      </c>
    </row>
    <row r="111" spans="34:66" ht="15.75" customHeight="1" x14ac:dyDescent="0.25">
      <c r="AH111" s="15" t="e">
        <f t="shared" si="139"/>
        <v>#N/A</v>
      </c>
      <c r="AI111" s="21" t="e">
        <f t="shared" si="152"/>
        <v>#N/A</v>
      </c>
      <c r="AJ111" s="40" t="e">
        <f t="shared" si="152"/>
        <v>#N/A</v>
      </c>
      <c r="AK111" s="21" t="str">
        <f t="shared" si="129"/>
        <v>vw_t-cross___adserver</v>
      </c>
      <c r="AL111" s="21" t="e">
        <f t="shared" si="140"/>
        <v>#VALUE!</v>
      </c>
      <c r="AM111" s="21" t="str">
        <f t="shared" si="130"/>
        <v>TAG</v>
      </c>
      <c r="AN111" s="15">
        <f t="shared" si="141"/>
        <v>0</v>
      </c>
      <c r="AO111" s="15">
        <f t="shared" si="142"/>
        <v>0</v>
      </c>
      <c r="AP111" s="21" t="str">
        <f>Campanha!$B$3</f>
        <v>BR_AAF_DSY_SUSTN_ND_NC_2021Q1MAR_TCR_Branded-Content</v>
      </c>
      <c r="AQ111" s="21" t="e">
        <f t="shared" si="131"/>
        <v>#N/A</v>
      </c>
      <c r="AR111" s="15" t="s">
        <v>770</v>
      </c>
      <c r="AS111" s="21" t="e">
        <f t="shared" si="132"/>
        <v>#VALUE!</v>
      </c>
      <c r="AT111" s="15" t="str">
        <f t="shared" si="143"/>
        <v/>
      </c>
      <c r="AU111" s="15" t="str">
        <f t="shared" si="133"/>
        <v>BR</v>
      </c>
      <c r="AV111" s="15" t="str">
        <f t="shared" si="144"/>
        <v/>
      </c>
      <c r="AW111" s="15" t="str">
        <f t="shared" si="145"/>
        <v/>
      </c>
      <c r="AX111" s="15" t="str">
        <f t="shared" si="134"/>
        <v>branded-content</v>
      </c>
      <c r="AY111" s="15" t="e">
        <f t="shared" si="146"/>
        <v>#N/A</v>
      </c>
      <c r="AZ111" s="15" t="str">
        <f t="shared" si="147"/>
        <v/>
      </c>
      <c r="BA111" s="15" t="str">
        <f t="shared" si="148"/>
        <v/>
      </c>
      <c r="BB111" s="28" t="s">
        <v>814</v>
      </c>
      <c r="BC111" s="28" t="s">
        <v>814</v>
      </c>
      <c r="BD111" s="38" t="str">
        <f t="shared" si="149"/>
        <v>bc-tcr-aaf-dsy-0321-10111</v>
      </c>
      <c r="BE111" s="15" t="str">
        <f t="shared" si="150"/>
        <v>BR</v>
      </c>
      <c r="BF111" s="15" t="str">
        <f t="shared" si="151"/>
        <v/>
      </c>
      <c r="BG111" s="28"/>
      <c r="BH111" s="28"/>
      <c r="BI111" s="36" t="e">
        <f t="shared" si="135"/>
        <v>#VALUE!</v>
      </c>
      <c r="BL111" t="str">
        <f t="shared" si="136"/>
        <v>alp_vw__aaf_dsy_sustn_nd_nc_tcr_branded-content_projeto-globoplay_</v>
      </c>
      <c r="BM111" t="e">
        <f t="shared" si="137"/>
        <v>#N/A</v>
      </c>
      <c r="BN111" t="e">
        <f t="shared" si="138"/>
        <v>#VALUE!</v>
      </c>
    </row>
    <row r="112" spans="34:66" ht="15.75" customHeight="1" x14ac:dyDescent="0.25">
      <c r="AH112" s="15" t="e">
        <f t="shared" si="139"/>
        <v>#N/A</v>
      </c>
      <c r="AI112" s="21" t="e">
        <f t="shared" si="152"/>
        <v>#N/A</v>
      </c>
      <c r="AJ112" s="40" t="e">
        <f t="shared" si="152"/>
        <v>#N/A</v>
      </c>
      <c r="AK112" s="21" t="str">
        <f t="shared" si="129"/>
        <v>vw_t-cross___adserver</v>
      </c>
      <c r="AL112" s="21" t="e">
        <f t="shared" si="140"/>
        <v>#VALUE!</v>
      </c>
      <c r="AM112" s="21" t="str">
        <f t="shared" si="130"/>
        <v>TAG</v>
      </c>
      <c r="AN112" s="15">
        <f t="shared" si="141"/>
        <v>0</v>
      </c>
      <c r="AO112" s="15">
        <f t="shared" si="142"/>
        <v>0</v>
      </c>
      <c r="AP112" s="21" t="str">
        <f>Campanha!$B$3</f>
        <v>BR_AAF_DSY_SUSTN_ND_NC_2021Q1MAR_TCR_Branded-Content</v>
      </c>
      <c r="AQ112" s="21" t="e">
        <f t="shared" si="131"/>
        <v>#N/A</v>
      </c>
      <c r="AR112" s="15" t="s">
        <v>770</v>
      </c>
      <c r="AS112" s="21" t="e">
        <f t="shared" si="132"/>
        <v>#VALUE!</v>
      </c>
      <c r="AT112" s="15" t="str">
        <f t="shared" si="143"/>
        <v/>
      </c>
      <c r="AU112" s="15" t="str">
        <f t="shared" si="133"/>
        <v>BR</v>
      </c>
      <c r="AV112" s="15" t="str">
        <f t="shared" si="144"/>
        <v/>
      </c>
      <c r="AW112" s="15" t="str">
        <f t="shared" si="145"/>
        <v/>
      </c>
      <c r="AX112" s="15" t="str">
        <f t="shared" si="134"/>
        <v>branded-content</v>
      </c>
      <c r="AY112" s="15" t="e">
        <f t="shared" si="146"/>
        <v>#N/A</v>
      </c>
      <c r="AZ112" s="15" t="str">
        <f t="shared" si="147"/>
        <v/>
      </c>
      <c r="BA112" s="15" t="str">
        <f t="shared" si="148"/>
        <v/>
      </c>
      <c r="BB112" s="28" t="s">
        <v>814</v>
      </c>
      <c r="BC112" s="28" t="s">
        <v>814</v>
      </c>
      <c r="BD112" s="38" t="str">
        <f t="shared" si="149"/>
        <v>bc-tcr-aaf-dsy-0321-10112</v>
      </c>
      <c r="BE112" s="15" t="str">
        <f t="shared" si="150"/>
        <v>BR</v>
      </c>
      <c r="BF112" s="15" t="str">
        <f t="shared" si="151"/>
        <v/>
      </c>
      <c r="BG112" s="28"/>
      <c r="BH112" s="28"/>
      <c r="BI112" s="36" t="e">
        <f t="shared" si="135"/>
        <v>#VALUE!</v>
      </c>
      <c r="BL112" t="str">
        <f t="shared" si="136"/>
        <v>alp_vw__aaf_dsy_sustn_nd_nc_tcr_branded-content_projeto-globoplay_</v>
      </c>
      <c r="BM112" t="e">
        <f t="shared" si="137"/>
        <v>#N/A</v>
      </c>
      <c r="BN112" t="e">
        <f t="shared" si="138"/>
        <v>#VALUE!</v>
      </c>
    </row>
    <row r="113" spans="34:66" ht="15.75" customHeight="1" x14ac:dyDescent="0.25">
      <c r="AH113" s="15" t="e">
        <f t="shared" si="139"/>
        <v>#N/A</v>
      </c>
      <c r="AI113" s="21" t="e">
        <f t="shared" si="152"/>
        <v>#N/A</v>
      </c>
      <c r="AJ113" s="40" t="e">
        <f t="shared" si="152"/>
        <v>#N/A</v>
      </c>
      <c r="AK113" s="21" t="str">
        <f t="shared" si="129"/>
        <v>vw_t-cross___adserver</v>
      </c>
      <c r="AL113" s="21" t="e">
        <f t="shared" si="140"/>
        <v>#VALUE!</v>
      </c>
      <c r="AM113" s="21" t="str">
        <f t="shared" si="130"/>
        <v>TAG</v>
      </c>
      <c r="AN113" s="15">
        <f t="shared" si="141"/>
        <v>0</v>
      </c>
      <c r="AO113" s="15">
        <f t="shared" si="142"/>
        <v>0</v>
      </c>
      <c r="AP113" s="21" t="str">
        <f>Campanha!$B$3</f>
        <v>BR_AAF_DSY_SUSTN_ND_NC_2021Q1MAR_TCR_Branded-Content</v>
      </c>
      <c r="AQ113" s="21" t="e">
        <f t="shared" si="131"/>
        <v>#N/A</v>
      </c>
      <c r="AR113" s="15" t="s">
        <v>770</v>
      </c>
      <c r="AS113" s="21" t="e">
        <f t="shared" si="132"/>
        <v>#VALUE!</v>
      </c>
      <c r="AT113" s="15" t="str">
        <f t="shared" si="143"/>
        <v/>
      </c>
      <c r="AU113" s="15" t="str">
        <f t="shared" si="133"/>
        <v>BR</v>
      </c>
      <c r="AV113" s="15" t="str">
        <f t="shared" si="144"/>
        <v/>
      </c>
      <c r="AW113" s="15" t="str">
        <f t="shared" si="145"/>
        <v/>
      </c>
      <c r="AX113" s="15" t="str">
        <f t="shared" si="134"/>
        <v>branded-content</v>
      </c>
      <c r="AY113" s="15" t="e">
        <f t="shared" si="146"/>
        <v>#N/A</v>
      </c>
      <c r="AZ113" s="15" t="str">
        <f t="shared" si="147"/>
        <v/>
      </c>
      <c r="BA113" s="15" t="str">
        <f t="shared" si="148"/>
        <v/>
      </c>
      <c r="BB113" s="28" t="s">
        <v>814</v>
      </c>
      <c r="BC113" s="28" t="s">
        <v>814</v>
      </c>
      <c r="BD113" s="38" t="str">
        <f t="shared" si="149"/>
        <v>bc-tcr-aaf-dsy-0321-10113</v>
      </c>
      <c r="BE113" s="15" t="str">
        <f t="shared" si="150"/>
        <v>BR</v>
      </c>
      <c r="BF113" s="15" t="str">
        <f t="shared" si="151"/>
        <v/>
      </c>
      <c r="BG113" s="28"/>
      <c r="BH113" s="28"/>
      <c r="BI113" s="36" t="e">
        <f t="shared" si="135"/>
        <v>#VALUE!</v>
      </c>
      <c r="BL113" t="str">
        <f t="shared" si="136"/>
        <v>alp_vw__aaf_dsy_sustn_nd_nc_tcr_branded-content_projeto-globoplay_</v>
      </c>
      <c r="BM113" t="e">
        <f t="shared" si="137"/>
        <v>#N/A</v>
      </c>
      <c r="BN113" t="e">
        <f t="shared" si="138"/>
        <v>#VALUE!</v>
      </c>
    </row>
    <row r="114" spans="34:66" ht="15.75" customHeight="1" x14ac:dyDescent="0.25">
      <c r="AH114" s="15" t="e">
        <f t="shared" si="139"/>
        <v>#N/A</v>
      </c>
      <c r="AI114" s="21" t="e">
        <f t="shared" si="152"/>
        <v>#N/A</v>
      </c>
      <c r="AJ114" s="40" t="e">
        <f t="shared" si="152"/>
        <v>#N/A</v>
      </c>
      <c r="AK114" s="21" t="str">
        <f t="shared" si="129"/>
        <v>vw_t-cross___adserver</v>
      </c>
      <c r="AL114" s="21" t="e">
        <f t="shared" si="140"/>
        <v>#VALUE!</v>
      </c>
      <c r="AM114" s="21" t="str">
        <f t="shared" si="130"/>
        <v>TAG</v>
      </c>
      <c r="AN114" s="15">
        <f t="shared" si="141"/>
        <v>0</v>
      </c>
      <c r="AO114" s="15">
        <f t="shared" si="142"/>
        <v>0</v>
      </c>
      <c r="AP114" s="21" t="str">
        <f>Campanha!$B$3</f>
        <v>BR_AAF_DSY_SUSTN_ND_NC_2021Q1MAR_TCR_Branded-Content</v>
      </c>
      <c r="AQ114" s="21" t="e">
        <f t="shared" si="131"/>
        <v>#N/A</v>
      </c>
      <c r="AR114" s="15" t="s">
        <v>770</v>
      </c>
      <c r="AS114" s="21" t="e">
        <f t="shared" si="132"/>
        <v>#VALUE!</v>
      </c>
      <c r="AT114" s="15" t="str">
        <f t="shared" si="143"/>
        <v/>
      </c>
      <c r="AU114" s="15" t="str">
        <f t="shared" si="133"/>
        <v>BR</v>
      </c>
      <c r="AV114" s="15" t="str">
        <f t="shared" si="144"/>
        <v/>
      </c>
      <c r="AW114" s="15" t="str">
        <f t="shared" si="145"/>
        <v/>
      </c>
      <c r="AX114" s="15" t="str">
        <f t="shared" si="134"/>
        <v>branded-content</v>
      </c>
      <c r="AY114" s="15" t="e">
        <f t="shared" si="146"/>
        <v>#N/A</v>
      </c>
      <c r="AZ114" s="15" t="str">
        <f t="shared" si="147"/>
        <v/>
      </c>
      <c r="BA114" s="15" t="str">
        <f t="shared" si="148"/>
        <v/>
      </c>
      <c r="BB114" s="28" t="s">
        <v>814</v>
      </c>
      <c r="BC114" s="28" t="s">
        <v>814</v>
      </c>
      <c r="BD114" s="38" t="str">
        <f t="shared" si="149"/>
        <v>bc-tcr-aaf-dsy-0321-10114</v>
      </c>
      <c r="BE114" s="15" t="str">
        <f t="shared" si="150"/>
        <v>BR</v>
      </c>
      <c r="BF114" s="15" t="str">
        <f t="shared" si="151"/>
        <v/>
      </c>
      <c r="BG114" s="28"/>
      <c r="BH114" s="28"/>
      <c r="BI114" s="36" t="e">
        <f t="shared" si="135"/>
        <v>#VALUE!</v>
      </c>
      <c r="BL114" t="str">
        <f t="shared" si="136"/>
        <v>alp_vw__aaf_dsy_sustn_nd_nc_tcr_branded-content_projeto-globoplay_</v>
      </c>
      <c r="BM114" t="e">
        <f t="shared" si="137"/>
        <v>#N/A</v>
      </c>
      <c r="BN114" t="e">
        <f t="shared" si="138"/>
        <v>#VALUE!</v>
      </c>
    </row>
    <row r="115" spans="34:66" ht="15.75" customHeight="1" x14ac:dyDescent="0.25">
      <c r="AH115" s="15"/>
      <c r="AI115" s="21"/>
      <c r="AJ115" s="40"/>
      <c r="AK115" s="21"/>
      <c r="AL115" s="21"/>
      <c r="AM115" s="21"/>
      <c r="AN115" s="15"/>
      <c r="AO115" s="15"/>
      <c r="AP115" s="21"/>
      <c r="AQ115" s="21"/>
      <c r="AR115" s="15"/>
      <c r="AS115" s="21"/>
      <c r="AT115" s="15"/>
      <c r="AU115" s="15"/>
      <c r="AV115" s="15"/>
      <c r="AW115" s="15"/>
      <c r="AX115" s="15"/>
      <c r="AY115" s="15"/>
      <c r="AZ115" s="15"/>
      <c r="BA115" s="15"/>
      <c r="BB115" s="28"/>
      <c r="BC115" s="28"/>
      <c r="BD115" s="38"/>
      <c r="BE115" s="15"/>
      <c r="BF115" s="15"/>
      <c r="BG115" s="28"/>
      <c r="BH115" s="28"/>
      <c r="BI115" s="36"/>
    </row>
    <row r="116" spans="34:66" ht="15.75" customHeight="1" x14ac:dyDescent="0.25">
      <c r="AH116" s="15"/>
      <c r="AI116" s="21"/>
      <c r="AJ116" s="40"/>
      <c r="AK116" s="21"/>
      <c r="AL116" s="21"/>
      <c r="AM116" s="21"/>
      <c r="AN116" s="15"/>
      <c r="AO116" s="15"/>
      <c r="AP116" s="21"/>
      <c r="AQ116" s="21"/>
      <c r="AR116" s="15"/>
      <c r="AS116" s="21"/>
      <c r="AT116" s="15"/>
      <c r="AU116" s="15"/>
      <c r="AV116" s="15"/>
      <c r="AW116" s="15"/>
      <c r="AX116" s="15"/>
      <c r="AY116" s="15"/>
      <c r="AZ116" s="15"/>
      <c r="BA116" s="15"/>
      <c r="BB116" s="28"/>
      <c r="BC116" s="28"/>
      <c r="BD116" s="38"/>
      <c r="BE116" s="15"/>
      <c r="BF116" s="15"/>
      <c r="BG116" s="28"/>
      <c r="BH116" s="28"/>
      <c r="BI116" s="36"/>
    </row>
    <row r="117" spans="34:66" ht="15.75" customHeight="1" x14ac:dyDescent="0.25">
      <c r="AH117" s="15"/>
      <c r="AI117" s="21"/>
      <c r="AJ117" s="40"/>
      <c r="AK117" s="21"/>
      <c r="AL117" s="21"/>
      <c r="AM117" s="21"/>
      <c r="AN117" s="15"/>
      <c r="AO117" s="15"/>
      <c r="AP117" s="21"/>
      <c r="AQ117" s="21"/>
      <c r="AR117" s="15"/>
      <c r="AS117" s="21"/>
      <c r="AT117" s="15"/>
      <c r="AU117" s="15"/>
      <c r="AV117" s="15"/>
      <c r="AW117" s="15"/>
      <c r="AX117" s="15"/>
      <c r="AY117" s="15"/>
      <c r="AZ117" s="15"/>
      <c r="BA117" s="15"/>
      <c r="BB117" s="28"/>
      <c r="BC117" s="28"/>
      <c r="BD117" s="38"/>
      <c r="BE117" s="15"/>
      <c r="BF117" s="15"/>
      <c r="BG117" s="28"/>
      <c r="BH117" s="28"/>
      <c r="BI117" s="36"/>
    </row>
    <row r="118" spans="34:66" ht="15.75" customHeight="1" x14ac:dyDescent="0.25">
      <c r="AH118" s="15"/>
      <c r="AI118" s="21"/>
      <c r="AJ118" s="40"/>
      <c r="AK118" s="21"/>
      <c r="AL118" s="21"/>
      <c r="AM118" s="21"/>
      <c r="AN118" s="15"/>
      <c r="AO118" s="15"/>
      <c r="AP118" s="21"/>
      <c r="AQ118" s="21"/>
      <c r="AR118" s="15"/>
      <c r="AS118" s="21"/>
      <c r="AT118" s="15"/>
      <c r="AU118" s="15"/>
      <c r="AV118" s="15"/>
      <c r="AW118" s="15"/>
      <c r="AX118" s="15"/>
      <c r="AY118" s="15"/>
      <c r="AZ118" s="15"/>
      <c r="BA118" s="15"/>
      <c r="BB118" s="28"/>
      <c r="BC118" s="28"/>
      <c r="BD118" s="38"/>
      <c r="BE118" s="15"/>
      <c r="BF118" s="15"/>
      <c r="BG118" s="28"/>
      <c r="BH118" s="28"/>
      <c r="BI118" s="36"/>
    </row>
    <row r="119" spans="34:66" ht="15.75" customHeight="1" x14ac:dyDescent="0.25">
      <c r="AH119" s="15"/>
      <c r="AI119" s="21"/>
      <c r="AJ119" s="40"/>
      <c r="AK119" s="21"/>
      <c r="AL119" s="21"/>
      <c r="AM119" s="21"/>
      <c r="AN119" s="15"/>
      <c r="AO119" s="15"/>
      <c r="AP119" s="21"/>
      <c r="AQ119" s="21"/>
      <c r="AR119" s="15"/>
      <c r="AS119" s="21"/>
      <c r="AT119" s="15"/>
      <c r="AU119" s="15"/>
      <c r="AV119" s="15"/>
      <c r="AW119" s="15"/>
      <c r="AX119" s="15"/>
      <c r="AY119" s="15"/>
      <c r="AZ119" s="15"/>
      <c r="BA119" s="15"/>
      <c r="BB119" s="28"/>
      <c r="BC119" s="28"/>
      <c r="BD119" s="38"/>
      <c r="BE119" s="15"/>
      <c r="BF119" s="15"/>
      <c r="BG119" s="28"/>
      <c r="BH119" s="28"/>
      <c r="BI119" s="36"/>
    </row>
    <row r="120" spans="34:66" ht="15.75" customHeight="1" x14ac:dyDescent="0.25">
      <c r="AH120" s="15"/>
      <c r="AI120" s="21"/>
      <c r="AJ120" s="40"/>
      <c r="AK120" s="21"/>
      <c r="AL120" s="21"/>
      <c r="AM120" s="21"/>
      <c r="AN120" s="15"/>
      <c r="AO120" s="15"/>
      <c r="AP120" s="21"/>
      <c r="AQ120" s="21"/>
      <c r="AR120" s="15"/>
      <c r="AS120" s="21"/>
      <c r="AT120" s="15"/>
      <c r="AU120" s="15"/>
      <c r="AV120" s="15"/>
      <c r="AW120" s="15"/>
      <c r="AX120" s="15"/>
      <c r="AY120" s="15"/>
      <c r="AZ120" s="15"/>
      <c r="BA120" s="15"/>
      <c r="BB120" s="28"/>
      <c r="BC120" s="28"/>
      <c r="BD120" s="38"/>
      <c r="BE120" s="15"/>
      <c r="BF120" s="15"/>
      <c r="BG120" s="28"/>
      <c r="BH120" s="28"/>
      <c r="BI120" s="36"/>
    </row>
    <row r="121" spans="34:66" ht="15.75" customHeight="1" x14ac:dyDescent="0.25">
      <c r="AH121" s="15"/>
      <c r="AI121" s="21"/>
      <c r="AJ121" s="40"/>
      <c r="AK121" s="21"/>
      <c r="AL121" s="21"/>
      <c r="AM121" s="21"/>
      <c r="AN121" s="15"/>
      <c r="AO121" s="15"/>
      <c r="AP121" s="21"/>
      <c r="AQ121" s="21"/>
      <c r="AR121" s="15"/>
      <c r="AS121" s="21"/>
      <c r="AT121" s="15"/>
      <c r="AU121" s="15"/>
      <c r="AV121" s="15"/>
      <c r="AW121" s="15"/>
      <c r="AX121" s="15"/>
      <c r="AY121" s="15"/>
      <c r="AZ121" s="15"/>
      <c r="BA121" s="15"/>
      <c r="BB121" s="28"/>
      <c r="BC121" s="28"/>
      <c r="BD121" s="38"/>
      <c r="BE121" s="15"/>
      <c r="BF121" s="15"/>
      <c r="BG121" s="28"/>
      <c r="BH121" s="28"/>
      <c r="BI121" s="36"/>
    </row>
    <row r="122" spans="34:66" ht="15.75" customHeight="1" x14ac:dyDescent="0.25">
      <c r="AH122" s="15"/>
      <c r="AI122" s="21"/>
      <c r="AJ122" s="40"/>
      <c r="AK122" s="21"/>
      <c r="AL122" s="21"/>
      <c r="AM122" s="21"/>
      <c r="AN122" s="15"/>
      <c r="AO122" s="15"/>
      <c r="AP122" s="21"/>
      <c r="AQ122" s="21"/>
      <c r="AR122" s="15"/>
      <c r="AS122" s="21"/>
      <c r="AT122" s="15"/>
      <c r="AU122" s="15"/>
      <c r="AV122" s="15"/>
      <c r="AW122" s="15"/>
      <c r="AX122" s="15"/>
      <c r="AY122" s="15"/>
      <c r="AZ122" s="15"/>
      <c r="BA122" s="15"/>
      <c r="BB122" s="28"/>
      <c r="BC122" s="28"/>
      <c r="BD122" s="38"/>
      <c r="BE122" s="15"/>
      <c r="BF122" s="15"/>
      <c r="BG122" s="28"/>
      <c r="BH122" s="28"/>
      <c r="BI122" s="36"/>
    </row>
    <row r="123" spans="34:66" ht="15.75" customHeight="1" x14ac:dyDescent="0.25">
      <c r="AH123" s="15"/>
      <c r="AI123" s="21"/>
      <c r="AJ123" s="40"/>
      <c r="AK123" s="21"/>
      <c r="AL123" s="21"/>
      <c r="AM123" s="21"/>
      <c r="AN123" s="15"/>
      <c r="AO123" s="15"/>
      <c r="AP123" s="21"/>
      <c r="AQ123" s="21"/>
      <c r="AR123" s="15"/>
      <c r="AS123" s="21"/>
      <c r="AT123" s="15"/>
      <c r="AU123" s="15"/>
      <c r="AV123" s="15"/>
      <c r="AW123" s="15"/>
      <c r="AX123" s="15"/>
      <c r="AY123" s="15"/>
      <c r="AZ123" s="15"/>
      <c r="BA123" s="15"/>
      <c r="BB123" s="28"/>
      <c r="BC123" s="28"/>
      <c r="BD123" s="38"/>
      <c r="BE123" s="15"/>
      <c r="BF123" s="15"/>
      <c r="BG123" s="28"/>
      <c r="BH123" s="28"/>
      <c r="BI123" s="36"/>
    </row>
    <row r="124" spans="34:66" ht="15.75" customHeight="1" x14ac:dyDescent="0.25">
      <c r="AH124" s="15"/>
      <c r="AI124" s="21"/>
      <c r="AJ124" s="40"/>
      <c r="AK124" s="21"/>
      <c r="AL124" s="21"/>
      <c r="AM124" s="21"/>
      <c r="AN124" s="15"/>
      <c r="AO124" s="15"/>
      <c r="AP124" s="21"/>
      <c r="AQ124" s="21"/>
      <c r="AR124" s="15"/>
      <c r="AS124" s="21"/>
      <c r="AT124" s="15"/>
      <c r="AU124" s="15"/>
      <c r="AV124" s="15"/>
      <c r="AW124" s="15"/>
      <c r="AX124" s="15"/>
      <c r="AY124" s="15"/>
      <c r="AZ124" s="15"/>
      <c r="BA124" s="15"/>
      <c r="BB124" s="28"/>
      <c r="BC124" s="28"/>
      <c r="BD124" s="38"/>
      <c r="BE124" s="15"/>
      <c r="BF124" s="15"/>
      <c r="BG124" s="28"/>
      <c r="BH124" s="28"/>
      <c r="BI124" s="36"/>
    </row>
    <row r="125" spans="34:66" ht="15.75" customHeight="1" x14ac:dyDescent="0.25">
      <c r="AH125" s="15"/>
      <c r="AI125" s="21"/>
      <c r="AJ125" s="40"/>
      <c r="AK125" s="21"/>
      <c r="AL125" s="21"/>
      <c r="AM125" s="21"/>
      <c r="AN125" s="15"/>
      <c r="AO125" s="15"/>
      <c r="AP125" s="21"/>
      <c r="AQ125" s="21"/>
      <c r="AR125" s="15"/>
      <c r="AS125" s="21"/>
      <c r="AT125" s="15"/>
      <c r="AU125" s="15"/>
      <c r="AV125" s="15"/>
      <c r="AW125" s="15"/>
      <c r="AX125" s="15"/>
      <c r="AY125" s="15"/>
      <c r="AZ125" s="15"/>
      <c r="BA125" s="15"/>
      <c r="BB125" s="28"/>
      <c r="BC125" s="28"/>
      <c r="BD125" s="38"/>
      <c r="BE125" s="15"/>
      <c r="BF125" s="15"/>
      <c r="BG125" s="28"/>
      <c r="BH125" s="28"/>
      <c r="BI125" s="36"/>
    </row>
    <row r="126" spans="34:66" ht="15.75" customHeight="1" x14ac:dyDescent="0.25">
      <c r="AH126" s="15"/>
      <c r="AI126" s="21"/>
      <c r="AJ126" s="40"/>
      <c r="AK126" s="21"/>
      <c r="AL126" s="21"/>
      <c r="AM126" s="21"/>
      <c r="AN126" s="15"/>
      <c r="AO126" s="15"/>
      <c r="AP126" s="21"/>
      <c r="AQ126" s="21"/>
      <c r="AR126" s="15"/>
      <c r="AS126" s="21"/>
      <c r="AT126" s="15"/>
      <c r="AU126" s="15"/>
      <c r="AV126" s="15"/>
      <c r="AW126" s="15"/>
      <c r="AX126" s="15"/>
      <c r="AY126" s="15"/>
      <c r="AZ126" s="15"/>
      <c r="BA126" s="15"/>
      <c r="BB126" s="28"/>
      <c r="BC126" s="28"/>
      <c r="BD126" s="38"/>
      <c r="BE126" s="15"/>
      <c r="BF126" s="15"/>
      <c r="BG126" s="28"/>
      <c r="BH126" s="28"/>
      <c r="BI126" s="36"/>
    </row>
    <row r="127" spans="34:66" ht="15.75" customHeight="1" x14ac:dyDescent="0.25">
      <c r="AH127" s="15"/>
      <c r="AI127" s="21"/>
      <c r="AJ127" s="40"/>
      <c r="AK127" s="21"/>
      <c r="AL127" s="21"/>
      <c r="AM127" s="21"/>
      <c r="AN127" s="15"/>
      <c r="AO127" s="15"/>
      <c r="AP127" s="21"/>
      <c r="AQ127" s="21"/>
      <c r="AR127" s="15"/>
      <c r="AS127" s="21"/>
      <c r="AT127" s="15"/>
      <c r="AU127" s="15"/>
      <c r="AV127" s="15"/>
      <c r="AW127" s="15"/>
      <c r="AX127" s="15"/>
      <c r="AY127" s="15"/>
      <c r="AZ127" s="15"/>
      <c r="BA127" s="15"/>
      <c r="BB127" s="28"/>
      <c r="BC127" s="28"/>
      <c r="BD127" s="38"/>
      <c r="BE127" s="15"/>
      <c r="BF127" s="15"/>
      <c r="BG127" s="28"/>
      <c r="BH127" s="28"/>
      <c r="BI127" s="36"/>
    </row>
    <row r="128" spans="34:66" ht="15.75" customHeight="1" x14ac:dyDescent="0.25">
      <c r="AH128" s="15"/>
      <c r="AI128" s="21"/>
      <c r="AJ128" s="40"/>
      <c r="AK128" s="21"/>
      <c r="AL128" s="21"/>
      <c r="AM128" s="21"/>
      <c r="AN128" s="15"/>
      <c r="AO128" s="15"/>
      <c r="AP128" s="21"/>
      <c r="AQ128" s="21"/>
      <c r="AR128" s="15"/>
      <c r="AS128" s="21"/>
      <c r="AT128" s="15"/>
      <c r="AU128" s="15"/>
      <c r="AV128" s="15"/>
      <c r="AW128" s="15"/>
      <c r="AX128" s="15"/>
      <c r="AY128" s="15"/>
      <c r="AZ128" s="15"/>
      <c r="BA128" s="15"/>
      <c r="BB128" s="28"/>
      <c r="BC128" s="28"/>
      <c r="BD128" s="38"/>
      <c r="BE128" s="15"/>
      <c r="BF128" s="15"/>
      <c r="BG128" s="28"/>
      <c r="BH128" s="28"/>
      <c r="BI128" s="36"/>
    </row>
    <row r="129" spans="34:61" ht="15.75" customHeight="1" x14ac:dyDescent="0.25">
      <c r="AH129" s="15"/>
      <c r="AI129" s="21"/>
      <c r="AJ129" s="40"/>
      <c r="AK129" s="21"/>
      <c r="AL129" s="21"/>
      <c r="AM129" s="21"/>
      <c r="AN129" s="15"/>
      <c r="AO129" s="15"/>
      <c r="AP129" s="21"/>
      <c r="AQ129" s="21"/>
      <c r="AR129" s="15"/>
      <c r="AS129" s="21"/>
      <c r="AT129" s="15"/>
      <c r="AU129" s="15"/>
      <c r="AV129" s="15"/>
      <c r="AW129" s="15"/>
      <c r="AX129" s="15"/>
      <c r="AY129" s="15"/>
      <c r="AZ129" s="15"/>
      <c r="BA129" s="15"/>
      <c r="BB129" s="28"/>
      <c r="BC129" s="28"/>
      <c r="BD129" s="38"/>
      <c r="BE129" s="15"/>
      <c r="BF129" s="15"/>
      <c r="BG129" s="28"/>
      <c r="BH129" s="28"/>
      <c r="BI129" s="36"/>
    </row>
    <row r="130" spans="34:61" ht="15.75" customHeight="1" x14ac:dyDescent="0.25">
      <c r="AH130" s="15"/>
      <c r="AI130" s="21"/>
      <c r="AJ130" s="40"/>
      <c r="AK130" s="21"/>
      <c r="AL130" s="21"/>
      <c r="AM130" s="21"/>
      <c r="AN130" s="15"/>
      <c r="AO130" s="15"/>
      <c r="AP130" s="21"/>
      <c r="AQ130" s="21"/>
      <c r="AR130" s="15"/>
      <c r="AS130" s="21"/>
      <c r="AT130" s="15"/>
      <c r="AU130" s="15"/>
      <c r="AV130" s="15"/>
      <c r="AW130" s="15"/>
      <c r="AX130" s="15"/>
      <c r="AY130" s="15"/>
      <c r="AZ130" s="15"/>
      <c r="BA130" s="15"/>
      <c r="BB130" s="28"/>
      <c r="BC130" s="28"/>
      <c r="BD130" s="38"/>
      <c r="BE130" s="15"/>
      <c r="BF130" s="15"/>
      <c r="BG130" s="28"/>
      <c r="BH130" s="28"/>
      <c r="BI130" s="36"/>
    </row>
    <row r="131" spans="34:61" ht="15.75" customHeight="1" x14ac:dyDescent="0.25">
      <c r="AH131" s="15"/>
      <c r="AI131" s="21"/>
      <c r="AJ131" s="40"/>
      <c r="AK131" s="21"/>
      <c r="AL131" s="21"/>
      <c r="AM131" s="21"/>
      <c r="AN131" s="15"/>
      <c r="AO131" s="15"/>
      <c r="AP131" s="21"/>
      <c r="AQ131" s="21"/>
      <c r="AR131" s="15"/>
      <c r="AS131" s="21"/>
      <c r="AT131" s="15"/>
      <c r="AU131" s="15"/>
      <c r="AV131" s="15"/>
      <c r="AW131" s="15"/>
      <c r="AX131" s="15"/>
      <c r="AY131" s="15"/>
      <c r="AZ131" s="15"/>
      <c r="BA131" s="15"/>
      <c r="BB131" s="28"/>
      <c r="BC131" s="28"/>
      <c r="BD131" s="38"/>
      <c r="BE131" s="15"/>
      <c r="BF131" s="15"/>
      <c r="BG131" s="28"/>
      <c r="BH131" s="28"/>
      <c r="BI131" s="36"/>
    </row>
    <row r="132" spans="34:61" ht="15.75" customHeight="1" x14ac:dyDescent="0.25">
      <c r="AH132" s="15"/>
      <c r="AI132" s="21"/>
      <c r="AJ132" s="40"/>
      <c r="AK132" s="21"/>
      <c r="AL132" s="21"/>
      <c r="AM132" s="21"/>
      <c r="AN132" s="15"/>
      <c r="AO132" s="15"/>
      <c r="AP132" s="21"/>
      <c r="AQ132" s="21"/>
      <c r="AR132" s="15"/>
      <c r="AS132" s="21"/>
      <c r="AT132" s="15"/>
      <c r="AU132" s="15"/>
      <c r="AV132" s="15"/>
      <c r="AW132" s="15"/>
      <c r="AX132" s="15"/>
      <c r="AY132" s="15"/>
      <c r="AZ132" s="15"/>
      <c r="BA132" s="15"/>
      <c r="BB132" s="28"/>
      <c r="BC132" s="28"/>
      <c r="BD132" s="38"/>
      <c r="BE132" s="15"/>
      <c r="BF132" s="15"/>
      <c r="BG132" s="28"/>
      <c r="BH132" s="28"/>
      <c r="BI132" s="36"/>
    </row>
    <row r="133" spans="34:61" ht="15.75" customHeight="1" x14ac:dyDescent="0.25">
      <c r="AH133" s="15"/>
      <c r="AI133" s="21"/>
      <c r="AJ133" s="40"/>
      <c r="AK133" s="21"/>
      <c r="AL133" s="21"/>
      <c r="AM133" s="21"/>
      <c r="AN133" s="15"/>
      <c r="AO133" s="15"/>
      <c r="AP133" s="21"/>
      <c r="AQ133" s="21"/>
      <c r="AR133" s="15"/>
      <c r="AS133" s="21"/>
      <c r="AT133" s="15"/>
      <c r="AU133" s="15"/>
      <c r="AV133" s="15"/>
      <c r="AW133" s="15"/>
      <c r="AX133" s="15"/>
      <c r="AY133" s="15"/>
      <c r="AZ133" s="15"/>
      <c r="BA133" s="15"/>
      <c r="BB133" s="28"/>
      <c r="BC133" s="28"/>
      <c r="BD133" s="38"/>
      <c r="BE133" s="15"/>
      <c r="BF133" s="15"/>
      <c r="BG133" s="28"/>
      <c r="BH133" s="28"/>
      <c r="BI133" s="36"/>
    </row>
    <row r="134" spans="34:61" ht="15.75" customHeight="1" x14ac:dyDescent="0.25">
      <c r="AH134" s="15"/>
      <c r="AI134" s="21"/>
      <c r="AJ134" s="40"/>
      <c r="AK134" s="21"/>
      <c r="AL134" s="21"/>
      <c r="AM134" s="21"/>
      <c r="AN134" s="15"/>
      <c r="AO134" s="15"/>
      <c r="AP134" s="21"/>
      <c r="AQ134" s="21"/>
      <c r="AR134" s="15"/>
      <c r="AS134" s="21"/>
      <c r="AT134" s="15"/>
      <c r="AU134" s="15"/>
      <c r="AV134" s="15"/>
      <c r="AW134" s="15"/>
      <c r="AX134" s="15"/>
      <c r="AY134" s="15"/>
      <c r="AZ134" s="15"/>
      <c r="BA134" s="15"/>
      <c r="BB134" s="28"/>
      <c r="BC134" s="28"/>
      <c r="BD134" s="38"/>
      <c r="BE134" s="15"/>
      <c r="BF134" s="15"/>
      <c r="BG134" s="28"/>
      <c r="BH134" s="28"/>
      <c r="BI134" s="36"/>
    </row>
    <row r="135" spans="34:61" ht="15.75" customHeight="1" x14ac:dyDescent="0.25">
      <c r="AH135" s="15"/>
      <c r="AI135" s="21"/>
      <c r="AJ135" s="40"/>
      <c r="AK135" s="21"/>
      <c r="AL135" s="21"/>
      <c r="AM135" s="21"/>
      <c r="AN135" s="15"/>
      <c r="AO135" s="15"/>
      <c r="AP135" s="21"/>
      <c r="AQ135" s="21"/>
      <c r="AR135" s="15"/>
      <c r="AS135" s="21"/>
      <c r="AT135" s="15"/>
      <c r="AU135" s="15"/>
      <c r="AV135" s="15"/>
      <c r="AW135" s="15"/>
      <c r="AX135" s="15"/>
      <c r="AY135" s="15"/>
      <c r="AZ135" s="15"/>
      <c r="BA135" s="15"/>
      <c r="BB135" s="28"/>
      <c r="BC135" s="28"/>
      <c r="BD135" s="38"/>
      <c r="BE135" s="15"/>
      <c r="BF135" s="15"/>
      <c r="BG135" s="28"/>
      <c r="BH135" s="28"/>
      <c r="BI135" s="36"/>
    </row>
    <row r="136" spans="34:61" ht="15.75" customHeight="1" x14ac:dyDescent="0.25">
      <c r="AH136" s="15"/>
      <c r="AI136" s="21"/>
      <c r="AJ136" s="40"/>
      <c r="AK136" s="21"/>
      <c r="AL136" s="21"/>
      <c r="AM136" s="21"/>
      <c r="AN136" s="15"/>
      <c r="AO136" s="15"/>
      <c r="AP136" s="21"/>
      <c r="AQ136" s="21"/>
      <c r="AR136" s="15"/>
      <c r="AS136" s="21"/>
      <c r="AT136" s="15"/>
      <c r="AU136" s="15"/>
      <c r="AV136" s="15"/>
      <c r="AW136" s="15"/>
      <c r="AX136" s="15"/>
      <c r="AY136" s="15"/>
      <c r="AZ136" s="15"/>
      <c r="BA136" s="15"/>
      <c r="BB136" s="28"/>
      <c r="BC136" s="28"/>
      <c r="BD136" s="38"/>
      <c r="BE136" s="15"/>
      <c r="BF136" s="15"/>
      <c r="BG136" s="28"/>
      <c r="BH136" s="28"/>
      <c r="BI136" s="36"/>
    </row>
    <row r="137" spans="34:61" ht="15.75" customHeight="1" x14ac:dyDescent="0.25">
      <c r="AH137" s="15"/>
      <c r="AI137" s="21"/>
      <c r="AJ137" s="40"/>
      <c r="AK137" s="21"/>
      <c r="AL137" s="21"/>
      <c r="AM137" s="21"/>
      <c r="AN137" s="15"/>
      <c r="AO137" s="15"/>
      <c r="AP137" s="21"/>
      <c r="AQ137" s="21"/>
      <c r="AR137" s="15"/>
      <c r="AS137" s="21"/>
      <c r="AT137" s="15"/>
      <c r="AU137" s="15"/>
      <c r="AV137" s="15"/>
      <c r="AW137" s="15"/>
      <c r="AX137" s="15"/>
      <c r="AY137" s="15"/>
      <c r="AZ137" s="15"/>
      <c r="BA137" s="15"/>
      <c r="BB137" s="28"/>
      <c r="BC137" s="28"/>
      <c r="BD137" s="38"/>
      <c r="BE137" s="15"/>
      <c r="BF137" s="15"/>
      <c r="BG137" s="28"/>
      <c r="BH137" s="28"/>
      <c r="BI137" s="36"/>
    </row>
    <row r="138" spans="34:61" ht="15.75" customHeight="1" x14ac:dyDescent="0.25">
      <c r="AH138" s="15"/>
      <c r="AI138" s="21"/>
      <c r="AJ138" s="40"/>
      <c r="AK138" s="21"/>
      <c r="AL138" s="21"/>
      <c r="AM138" s="21"/>
      <c r="AN138" s="15"/>
      <c r="AO138" s="15"/>
      <c r="AP138" s="21"/>
      <c r="AQ138" s="21"/>
      <c r="AR138" s="15"/>
      <c r="AS138" s="21"/>
      <c r="AT138" s="15"/>
      <c r="AU138" s="15"/>
      <c r="AV138" s="15"/>
      <c r="AW138" s="15"/>
      <c r="AX138" s="15"/>
      <c r="AY138" s="15"/>
      <c r="AZ138" s="15"/>
      <c r="BA138" s="15"/>
      <c r="BB138" s="28"/>
      <c r="BC138" s="28"/>
      <c r="BD138" s="38"/>
      <c r="BE138" s="15"/>
      <c r="BF138" s="15"/>
      <c r="BG138" s="28"/>
      <c r="BH138" s="28"/>
      <c r="BI138" s="36"/>
    </row>
    <row r="139" spans="34:61" ht="15.75" customHeight="1" x14ac:dyDescent="0.25">
      <c r="AH139" s="15"/>
      <c r="AI139" s="21"/>
      <c r="AJ139" s="40"/>
      <c r="AK139" s="21"/>
      <c r="AL139" s="21"/>
      <c r="AM139" s="21"/>
      <c r="AN139" s="15"/>
      <c r="AO139" s="15"/>
      <c r="AP139" s="21"/>
      <c r="AQ139" s="21"/>
      <c r="AR139" s="15"/>
      <c r="AS139" s="21"/>
      <c r="AT139" s="15"/>
      <c r="AU139" s="15"/>
      <c r="AV139" s="15"/>
      <c r="AW139" s="15"/>
      <c r="AX139" s="15"/>
      <c r="AY139" s="15"/>
      <c r="AZ139" s="15"/>
      <c r="BA139" s="15"/>
      <c r="BB139" s="28"/>
      <c r="BC139" s="28"/>
      <c r="BD139" s="38"/>
      <c r="BE139" s="15"/>
      <c r="BF139" s="15"/>
      <c r="BG139" s="28"/>
      <c r="BH139" s="28"/>
      <c r="BI139" s="36"/>
    </row>
    <row r="140" spans="34:61" ht="15.75" customHeight="1" x14ac:dyDescent="0.25">
      <c r="AH140" s="15"/>
      <c r="AI140" s="21"/>
      <c r="AJ140" s="40"/>
      <c r="AK140" s="21"/>
      <c r="AL140" s="21"/>
      <c r="AM140" s="21"/>
      <c r="AN140" s="15"/>
      <c r="AO140" s="15"/>
      <c r="AP140" s="21"/>
      <c r="AQ140" s="21"/>
      <c r="AR140" s="15"/>
      <c r="AS140" s="21"/>
      <c r="AT140" s="15"/>
      <c r="AU140" s="15"/>
      <c r="AV140" s="15"/>
      <c r="AW140" s="15"/>
      <c r="AX140" s="15"/>
      <c r="AY140" s="15"/>
      <c r="AZ140" s="15"/>
      <c r="BA140" s="15"/>
      <c r="BB140" s="28"/>
      <c r="BC140" s="28"/>
      <c r="BD140" s="38"/>
      <c r="BE140" s="15"/>
      <c r="BF140" s="15"/>
      <c r="BG140" s="28"/>
      <c r="BH140" s="28"/>
      <c r="BI140" s="36"/>
    </row>
    <row r="141" spans="34:61" ht="15.75" customHeight="1" x14ac:dyDescent="0.25">
      <c r="AH141" s="15"/>
      <c r="AI141" s="21"/>
      <c r="AJ141" s="40"/>
      <c r="AK141" s="21"/>
      <c r="AL141" s="21"/>
      <c r="AM141" s="21"/>
      <c r="AN141" s="15"/>
      <c r="AO141" s="15"/>
      <c r="AP141" s="21"/>
      <c r="AQ141" s="21"/>
      <c r="AR141" s="15"/>
      <c r="AS141" s="21"/>
      <c r="AT141" s="15"/>
      <c r="AU141" s="15"/>
      <c r="AV141" s="15"/>
      <c r="AW141" s="15"/>
      <c r="AX141" s="15"/>
      <c r="AY141" s="15"/>
      <c r="AZ141" s="15"/>
      <c r="BA141" s="15"/>
      <c r="BB141" s="28"/>
      <c r="BC141" s="28"/>
      <c r="BD141" s="38"/>
      <c r="BE141" s="15"/>
      <c r="BF141" s="15"/>
      <c r="BG141" s="28"/>
      <c r="BH141" s="28"/>
      <c r="BI141" s="36"/>
    </row>
    <row r="142" spans="34:61" ht="15.75" customHeight="1" x14ac:dyDescent="0.25">
      <c r="AH142" s="15"/>
      <c r="AI142" s="21"/>
      <c r="AJ142" s="40"/>
      <c r="AK142" s="21"/>
      <c r="AL142" s="21"/>
      <c r="AM142" s="21"/>
      <c r="AN142" s="15"/>
      <c r="AO142" s="15"/>
      <c r="AP142" s="21"/>
      <c r="AQ142" s="21"/>
      <c r="AR142" s="15"/>
      <c r="AS142" s="21"/>
      <c r="AT142" s="15"/>
      <c r="AU142" s="15"/>
      <c r="AV142" s="15"/>
      <c r="AW142" s="15"/>
      <c r="AX142" s="15"/>
      <c r="AY142" s="15"/>
      <c r="AZ142" s="15"/>
      <c r="BA142" s="15"/>
      <c r="BB142" s="28"/>
      <c r="BC142" s="28"/>
      <c r="BD142" s="38"/>
      <c r="BE142" s="15"/>
      <c r="BF142" s="15"/>
      <c r="BG142" s="28"/>
      <c r="BH142" s="28"/>
      <c r="BI142" s="36"/>
    </row>
    <row r="143" spans="34:61" ht="15.75" customHeight="1" x14ac:dyDescent="0.25">
      <c r="AH143" s="15"/>
      <c r="AI143" s="21"/>
      <c r="AJ143" s="40"/>
      <c r="AK143" s="21"/>
      <c r="AL143" s="21"/>
      <c r="AM143" s="21"/>
      <c r="AN143" s="15"/>
      <c r="AO143" s="15"/>
      <c r="AP143" s="21"/>
      <c r="AQ143" s="21"/>
      <c r="AR143" s="15"/>
      <c r="AS143" s="21"/>
      <c r="AT143" s="15"/>
      <c r="AU143" s="15"/>
      <c r="AV143" s="15"/>
      <c r="AW143" s="15"/>
      <c r="AX143" s="15"/>
      <c r="AY143" s="15"/>
      <c r="AZ143" s="15"/>
      <c r="BA143" s="15"/>
      <c r="BB143" s="28"/>
      <c r="BC143" s="28"/>
      <c r="BD143" s="38"/>
      <c r="BE143" s="15"/>
      <c r="BF143" s="15"/>
      <c r="BG143" s="28"/>
      <c r="BH143" s="28"/>
      <c r="BI143" s="36"/>
    </row>
    <row r="144" spans="34:61" ht="15.75" customHeight="1" x14ac:dyDescent="0.25">
      <c r="AH144" s="15"/>
      <c r="AI144" s="21"/>
      <c r="AJ144" s="40"/>
      <c r="AK144" s="21"/>
      <c r="AL144" s="21"/>
      <c r="AM144" s="21"/>
      <c r="AN144" s="15"/>
      <c r="AO144" s="15"/>
      <c r="AP144" s="21"/>
      <c r="AQ144" s="21"/>
      <c r="AR144" s="15"/>
      <c r="AS144" s="21"/>
      <c r="AT144" s="15"/>
      <c r="AU144" s="15"/>
      <c r="AV144" s="15"/>
      <c r="AW144" s="15"/>
      <c r="AX144" s="15"/>
      <c r="AY144" s="15"/>
      <c r="AZ144" s="15"/>
      <c r="BA144" s="15"/>
      <c r="BB144" s="28"/>
      <c r="BC144" s="28"/>
      <c r="BD144" s="38"/>
      <c r="BE144" s="15"/>
      <c r="BF144" s="15"/>
      <c r="BG144" s="28"/>
      <c r="BH144" s="28"/>
      <c r="BI144" s="36"/>
    </row>
    <row r="145" spans="34:61" ht="15.75" customHeight="1" x14ac:dyDescent="0.25">
      <c r="AH145" s="15"/>
      <c r="AI145" s="21"/>
      <c r="AJ145" s="40"/>
      <c r="AK145" s="21"/>
      <c r="AL145" s="21"/>
      <c r="AM145" s="21"/>
      <c r="AN145" s="15"/>
      <c r="AO145" s="15"/>
      <c r="AP145" s="21"/>
      <c r="AQ145" s="21"/>
      <c r="AR145" s="15"/>
      <c r="AS145" s="21"/>
      <c r="AT145" s="15"/>
      <c r="AU145" s="15"/>
      <c r="AV145" s="15"/>
      <c r="AW145" s="15"/>
      <c r="AX145" s="15"/>
      <c r="AY145" s="15"/>
      <c r="AZ145" s="15"/>
      <c r="BA145" s="15"/>
      <c r="BB145" s="28"/>
      <c r="BC145" s="28"/>
      <c r="BD145" s="38"/>
      <c r="BE145" s="15"/>
      <c r="BF145" s="15"/>
      <c r="BG145" s="28"/>
      <c r="BH145" s="28"/>
      <c r="BI145" s="36"/>
    </row>
    <row r="146" spans="34:61" ht="15.75" customHeight="1" x14ac:dyDescent="0.25">
      <c r="AH146" s="15"/>
      <c r="AI146" s="21"/>
      <c r="AJ146" s="40"/>
      <c r="AK146" s="21"/>
      <c r="AL146" s="21"/>
      <c r="AM146" s="21"/>
      <c r="AN146" s="15"/>
      <c r="AO146" s="15"/>
      <c r="AP146" s="21"/>
      <c r="AQ146" s="21"/>
      <c r="AR146" s="15"/>
      <c r="AS146" s="21"/>
      <c r="AT146" s="15"/>
      <c r="AU146" s="15"/>
      <c r="AV146" s="15"/>
      <c r="AW146" s="15"/>
      <c r="AX146" s="15"/>
      <c r="AY146" s="15"/>
      <c r="AZ146" s="15"/>
      <c r="BA146" s="15"/>
      <c r="BB146" s="28"/>
      <c r="BC146" s="28"/>
      <c r="BD146" s="38"/>
      <c r="BE146" s="15"/>
      <c r="BF146" s="15"/>
      <c r="BG146" s="28"/>
      <c r="BH146" s="28"/>
      <c r="BI146" s="36"/>
    </row>
    <row r="147" spans="34:61" ht="15.75" customHeight="1" x14ac:dyDescent="0.25">
      <c r="AH147" s="15"/>
      <c r="AI147" s="21"/>
      <c r="AJ147" s="40"/>
      <c r="AK147" s="21"/>
      <c r="AL147" s="21"/>
      <c r="AM147" s="21"/>
      <c r="AN147" s="15"/>
      <c r="AO147" s="15"/>
      <c r="AP147" s="21"/>
      <c r="AQ147" s="21"/>
      <c r="AR147" s="15"/>
      <c r="AS147" s="21"/>
      <c r="AT147" s="15"/>
      <c r="AU147" s="15"/>
      <c r="AV147" s="15"/>
      <c r="AW147" s="15"/>
      <c r="AX147" s="15"/>
      <c r="AY147" s="15"/>
      <c r="AZ147" s="15"/>
      <c r="BA147" s="15"/>
      <c r="BB147" s="28"/>
      <c r="BC147" s="28"/>
      <c r="BD147" s="38"/>
      <c r="BE147" s="15"/>
      <c r="BF147" s="15"/>
      <c r="BG147" s="28"/>
      <c r="BH147" s="28"/>
      <c r="BI147" s="36"/>
    </row>
    <row r="148" spans="34:61" ht="15.75" customHeight="1" x14ac:dyDescent="0.25">
      <c r="AH148" s="15"/>
      <c r="AI148" s="21"/>
      <c r="AJ148" s="40"/>
      <c r="AK148" s="21"/>
      <c r="AL148" s="21"/>
      <c r="AM148" s="21"/>
      <c r="AN148" s="15"/>
      <c r="AO148" s="15"/>
      <c r="AP148" s="21"/>
      <c r="AQ148" s="21"/>
      <c r="AR148" s="15"/>
      <c r="AS148" s="21"/>
      <c r="AT148" s="15"/>
      <c r="AU148" s="15"/>
      <c r="AV148" s="15"/>
      <c r="AW148" s="15"/>
      <c r="AX148" s="15"/>
      <c r="AY148" s="15"/>
      <c r="AZ148" s="15"/>
      <c r="BA148" s="15"/>
      <c r="BB148" s="28"/>
      <c r="BC148" s="28"/>
      <c r="BD148" s="38"/>
      <c r="BE148" s="15"/>
      <c r="BF148" s="15"/>
      <c r="BG148" s="28"/>
      <c r="BH148" s="28"/>
      <c r="BI148" s="36"/>
    </row>
    <row r="149" spans="34:61" ht="15.75" customHeight="1" x14ac:dyDescent="0.25">
      <c r="AH149" s="15"/>
      <c r="AI149" s="21"/>
      <c r="AJ149" s="40"/>
      <c r="AK149" s="21"/>
      <c r="AL149" s="21"/>
      <c r="AM149" s="21"/>
      <c r="AN149" s="15"/>
      <c r="AO149" s="15"/>
      <c r="AP149" s="21"/>
      <c r="AQ149" s="21"/>
      <c r="AR149" s="15"/>
      <c r="AS149" s="21"/>
      <c r="AT149" s="15"/>
      <c r="AU149" s="15"/>
      <c r="AV149" s="15"/>
      <c r="AW149" s="15"/>
      <c r="AX149" s="15"/>
      <c r="AY149" s="15"/>
      <c r="AZ149" s="15"/>
      <c r="BA149" s="15"/>
      <c r="BB149" s="28"/>
      <c r="BC149" s="28"/>
      <c r="BD149" s="38"/>
      <c r="BE149" s="15"/>
      <c r="BF149" s="15"/>
      <c r="BG149" s="28"/>
      <c r="BH149" s="28"/>
      <c r="BI149" s="36"/>
    </row>
    <row r="150" spans="34:61" ht="15.75" customHeight="1" x14ac:dyDescent="0.25">
      <c r="AH150" s="15"/>
      <c r="AI150" s="21"/>
      <c r="AJ150" s="40"/>
      <c r="AK150" s="21"/>
      <c r="AL150" s="21"/>
      <c r="AM150" s="21"/>
      <c r="AN150" s="15"/>
      <c r="AO150" s="15"/>
      <c r="AP150" s="21"/>
      <c r="AQ150" s="21"/>
      <c r="AR150" s="15"/>
      <c r="AS150" s="21"/>
      <c r="AT150" s="15"/>
      <c r="AU150" s="15"/>
      <c r="AV150" s="15"/>
      <c r="AW150" s="15"/>
      <c r="AX150" s="15"/>
      <c r="AY150" s="15"/>
      <c r="AZ150" s="15"/>
      <c r="BA150" s="15"/>
      <c r="BB150" s="28"/>
      <c r="BC150" s="28"/>
      <c r="BD150" s="38"/>
      <c r="BE150" s="15"/>
      <c r="BF150" s="15"/>
      <c r="BG150" s="28"/>
      <c r="BH150" s="28"/>
      <c r="BI150" s="36"/>
    </row>
    <row r="151" spans="34:61" ht="15.75" customHeight="1" x14ac:dyDescent="0.25">
      <c r="AH151" s="15"/>
      <c r="AI151" s="21"/>
      <c r="AJ151" s="40"/>
      <c r="AK151" s="21"/>
      <c r="AL151" s="21"/>
      <c r="AM151" s="21"/>
      <c r="AN151" s="15"/>
      <c r="AO151" s="15"/>
      <c r="AP151" s="21"/>
      <c r="AQ151" s="21"/>
      <c r="AR151" s="15"/>
      <c r="AS151" s="21"/>
      <c r="AT151" s="15"/>
      <c r="AU151" s="15"/>
      <c r="AV151" s="15"/>
      <c r="AW151" s="15"/>
      <c r="AX151" s="15"/>
      <c r="AY151" s="15"/>
      <c r="AZ151" s="15"/>
      <c r="BA151" s="15"/>
      <c r="BB151" s="28"/>
      <c r="BC151" s="28"/>
      <c r="BD151" s="38"/>
      <c r="BE151" s="15"/>
      <c r="BF151" s="15"/>
      <c r="BG151" s="28"/>
      <c r="BH151" s="28"/>
      <c r="BI151" s="36"/>
    </row>
    <row r="152" spans="34:61" ht="15.75" customHeight="1" x14ac:dyDescent="0.25">
      <c r="AH152" s="15"/>
      <c r="AI152" s="21"/>
      <c r="AJ152" s="40"/>
      <c r="AK152" s="21"/>
      <c r="AL152" s="21"/>
      <c r="AM152" s="21"/>
      <c r="AN152" s="15"/>
      <c r="AO152" s="15"/>
      <c r="AP152" s="21"/>
      <c r="AQ152" s="21"/>
      <c r="AR152" s="15"/>
      <c r="AS152" s="21"/>
      <c r="AT152" s="15"/>
      <c r="AU152" s="15"/>
      <c r="AV152" s="15"/>
      <c r="AW152" s="15"/>
      <c r="AX152" s="15"/>
      <c r="AY152" s="15"/>
      <c r="AZ152" s="15"/>
      <c r="BA152" s="15"/>
      <c r="BB152" s="28"/>
      <c r="BC152" s="28"/>
      <c r="BD152" s="38"/>
      <c r="BE152" s="15"/>
      <c r="BF152" s="15"/>
      <c r="BG152" s="28"/>
      <c r="BH152" s="28"/>
      <c r="BI152" s="36"/>
    </row>
    <row r="153" spans="34:61" ht="15.75" customHeight="1" x14ac:dyDescent="0.25">
      <c r="AH153" s="15"/>
      <c r="AI153" s="21"/>
      <c r="AJ153" s="40"/>
      <c r="AK153" s="21"/>
      <c r="AL153" s="21"/>
      <c r="AM153" s="21"/>
      <c r="AN153" s="15"/>
      <c r="AO153" s="15"/>
      <c r="AP153" s="21"/>
      <c r="AQ153" s="21"/>
      <c r="AR153" s="15"/>
      <c r="AS153" s="21"/>
      <c r="AT153" s="15"/>
      <c r="AU153" s="15"/>
      <c r="AV153" s="15"/>
      <c r="AW153" s="15"/>
      <c r="AX153" s="15"/>
      <c r="AY153" s="15"/>
      <c r="AZ153" s="15"/>
      <c r="BA153" s="15"/>
      <c r="BB153" s="28"/>
      <c r="BC153" s="28"/>
      <c r="BD153" s="38"/>
      <c r="BE153" s="15"/>
      <c r="BF153" s="15"/>
      <c r="BG153" s="28"/>
      <c r="BH153" s="28"/>
      <c r="BI153" s="36"/>
    </row>
    <row r="154" spans="34:61" ht="15.75" customHeight="1" x14ac:dyDescent="0.25">
      <c r="AH154" s="15"/>
      <c r="AI154" s="21"/>
      <c r="AJ154" s="40"/>
      <c r="AK154" s="21"/>
      <c r="AL154" s="21"/>
      <c r="AM154" s="21"/>
      <c r="AN154" s="15"/>
      <c r="AO154" s="15"/>
      <c r="AP154" s="21"/>
      <c r="AQ154" s="21"/>
      <c r="AR154" s="15"/>
      <c r="AS154" s="21"/>
      <c r="AT154" s="15"/>
      <c r="AU154" s="15"/>
      <c r="AV154" s="15"/>
      <c r="AW154" s="15"/>
      <c r="AX154" s="15"/>
      <c r="AY154" s="15"/>
      <c r="AZ154" s="15"/>
      <c r="BA154" s="15"/>
      <c r="BB154" s="28"/>
      <c r="BC154" s="28"/>
      <c r="BD154" s="38"/>
      <c r="BE154" s="15"/>
      <c r="BF154" s="15"/>
      <c r="BG154" s="28"/>
      <c r="BH154" s="28"/>
      <c r="BI154" s="36"/>
    </row>
    <row r="155" spans="34:61" ht="15.75" customHeight="1" x14ac:dyDescent="0.25">
      <c r="AH155" s="15"/>
      <c r="AI155" s="21"/>
      <c r="AJ155" s="40"/>
      <c r="AK155" s="21"/>
      <c r="AL155" s="21"/>
      <c r="AM155" s="21"/>
      <c r="AN155" s="15"/>
      <c r="AO155" s="15"/>
      <c r="AP155" s="21"/>
      <c r="AQ155" s="21"/>
      <c r="AR155" s="15"/>
      <c r="AS155" s="21"/>
      <c r="AT155" s="15"/>
      <c r="AU155" s="15"/>
      <c r="AV155" s="15"/>
      <c r="AW155" s="15"/>
      <c r="AX155" s="15"/>
      <c r="AY155" s="15"/>
      <c r="AZ155" s="15"/>
      <c r="BA155" s="15"/>
      <c r="BB155" s="28"/>
      <c r="BC155" s="28"/>
      <c r="BD155" s="38"/>
      <c r="BE155" s="15"/>
      <c r="BF155" s="15"/>
      <c r="BG155" s="28"/>
      <c r="BH155" s="28"/>
      <c r="BI155" s="36"/>
    </row>
    <row r="156" spans="34:61" ht="15.75" customHeight="1" x14ac:dyDescent="0.25">
      <c r="AH156" s="15"/>
      <c r="AI156" s="21"/>
      <c r="AJ156" s="40"/>
      <c r="AK156" s="21"/>
      <c r="AL156" s="21"/>
      <c r="AM156" s="21"/>
      <c r="AN156" s="15"/>
      <c r="AO156" s="15"/>
      <c r="AP156" s="21"/>
      <c r="AQ156" s="21"/>
      <c r="AR156" s="15"/>
      <c r="AS156" s="21"/>
      <c r="AT156" s="15"/>
      <c r="AU156" s="15"/>
      <c r="AV156" s="15"/>
      <c r="AW156" s="15"/>
      <c r="AX156" s="15"/>
      <c r="AY156" s="15"/>
      <c r="AZ156" s="15"/>
      <c r="BA156" s="15"/>
      <c r="BB156" s="28"/>
      <c r="BC156" s="28"/>
      <c r="BD156" s="38"/>
      <c r="BE156" s="15"/>
      <c r="BF156" s="15"/>
      <c r="BG156" s="28"/>
      <c r="BH156" s="28"/>
      <c r="BI156" s="36"/>
    </row>
    <row r="157" spans="34:61" ht="15.75" customHeight="1" x14ac:dyDescent="0.25">
      <c r="AH157" s="15"/>
      <c r="AI157" s="21"/>
      <c r="AJ157" s="40"/>
      <c r="AK157" s="21"/>
      <c r="AL157" s="21"/>
      <c r="AM157" s="21"/>
      <c r="AN157" s="15"/>
      <c r="AO157" s="15"/>
      <c r="AP157" s="21"/>
      <c r="AQ157" s="21"/>
      <c r="AR157" s="15"/>
      <c r="AS157" s="21"/>
      <c r="AT157" s="15"/>
      <c r="AU157" s="15"/>
      <c r="AV157" s="15"/>
      <c r="AW157" s="15"/>
      <c r="AX157" s="15"/>
      <c r="AY157" s="15"/>
      <c r="AZ157" s="15"/>
      <c r="BA157" s="15"/>
      <c r="BB157" s="28"/>
      <c r="BC157" s="28"/>
      <c r="BD157" s="38"/>
      <c r="BE157" s="15"/>
      <c r="BF157" s="15"/>
      <c r="BG157" s="28"/>
      <c r="BH157" s="28"/>
      <c r="BI157" s="36"/>
    </row>
    <row r="158" spans="34:61" ht="15.75" customHeight="1" x14ac:dyDescent="0.25">
      <c r="AH158" s="15"/>
      <c r="AI158" s="21"/>
      <c r="AJ158" s="40"/>
      <c r="AK158" s="21"/>
      <c r="AL158" s="21"/>
      <c r="AM158" s="21"/>
      <c r="AN158" s="15"/>
      <c r="AO158" s="15"/>
      <c r="AP158" s="21"/>
      <c r="AQ158" s="21"/>
      <c r="AR158" s="15"/>
      <c r="AS158" s="21"/>
      <c r="AT158" s="15"/>
      <c r="AU158" s="15"/>
      <c r="AV158" s="15"/>
      <c r="AW158" s="15"/>
      <c r="AX158" s="15"/>
      <c r="AY158" s="15"/>
      <c r="AZ158" s="15"/>
      <c r="BA158" s="15"/>
      <c r="BB158" s="28"/>
      <c r="BC158" s="28"/>
      <c r="BD158" s="38"/>
      <c r="BE158" s="15"/>
      <c r="BF158" s="15"/>
      <c r="BG158" s="28"/>
      <c r="BH158" s="28"/>
      <c r="BI158" s="36"/>
    </row>
    <row r="159" spans="34:61" ht="15.75" customHeight="1" x14ac:dyDescent="0.25">
      <c r="AH159" s="15"/>
      <c r="AI159" s="21"/>
      <c r="AJ159" s="40"/>
      <c r="AK159" s="21"/>
      <c r="AL159" s="21"/>
      <c r="AM159" s="21"/>
      <c r="AN159" s="15"/>
      <c r="AO159" s="15"/>
      <c r="AP159" s="21"/>
      <c r="AQ159" s="21"/>
      <c r="AR159" s="15"/>
      <c r="AS159" s="21"/>
      <c r="AT159" s="15"/>
      <c r="AU159" s="15"/>
      <c r="AV159" s="15"/>
      <c r="AW159" s="15"/>
      <c r="AX159" s="15"/>
      <c r="AY159" s="15"/>
      <c r="AZ159" s="15"/>
      <c r="BA159" s="15"/>
      <c r="BB159" s="28"/>
      <c r="BC159" s="28"/>
      <c r="BD159" s="38"/>
      <c r="BE159" s="15"/>
      <c r="BF159" s="15"/>
      <c r="BG159" s="28"/>
      <c r="BH159" s="28"/>
      <c r="BI159" s="36"/>
    </row>
    <row r="160" spans="34:61" ht="15.75" customHeight="1" x14ac:dyDescent="0.25">
      <c r="AH160" s="15"/>
      <c r="AI160" s="21"/>
      <c r="AJ160" s="40"/>
      <c r="AK160" s="21"/>
      <c r="AL160" s="21"/>
      <c r="AM160" s="21"/>
      <c r="AN160" s="15"/>
      <c r="AO160" s="15"/>
      <c r="AP160" s="21"/>
      <c r="AQ160" s="21"/>
      <c r="AR160" s="15"/>
      <c r="AS160" s="21"/>
      <c r="AT160" s="15"/>
      <c r="AU160" s="15"/>
      <c r="AV160" s="15"/>
      <c r="AW160" s="15"/>
      <c r="AX160" s="15"/>
      <c r="AY160" s="15"/>
      <c r="AZ160" s="15"/>
      <c r="BA160" s="15"/>
      <c r="BB160" s="28"/>
      <c r="BC160" s="28"/>
      <c r="BD160" s="38"/>
      <c r="BE160" s="15"/>
      <c r="BF160" s="15"/>
      <c r="BG160" s="28"/>
      <c r="BH160" s="28"/>
      <c r="BI160" s="36"/>
    </row>
    <row r="161" spans="34:61" ht="15.75" customHeight="1" x14ac:dyDescent="0.25">
      <c r="AH161" s="15"/>
      <c r="AI161" s="21"/>
      <c r="AJ161" s="40"/>
      <c r="AK161" s="21"/>
      <c r="AL161" s="21"/>
      <c r="AM161" s="21"/>
      <c r="AN161" s="15"/>
      <c r="AO161" s="15"/>
      <c r="AP161" s="21"/>
      <c r="AQ161" s="21"/>
      <c r="AR161" s="15"/>
      <c r="AS161" s="21"/>
      <c r="AT161" s="15"/>
      <c r="AU161" s="15"/>
      <c r="AV161" s="15"/>
      <c r="AW161" s="15"/>
      <c r="AX161" s="15"/>
      <c r="AY161" s="15"/>
      <c r="AZ161" s="15"/>
      <c r="BA161" s="15"/>
      <c r="BB161" s="28"/>
      <c r="BC161" s="28"/>
      <c r="BD161" s="38"/>
      <c r="BE161" s="15"/>
      <c r="BF161" s="15"/>
      <c r="BG161" s="28"/>
      <c r="BH161" s="28"/>
      <c r="BI161" s="36"/>
    </row>
    <row r="162" spans="34:61" ht="15.75" customHeight="1" x14ac:dyDescent="0.25">
      <c r="AH162" s="15"/>
      <c r="AI162" s="21"/>
      <c r="AJ162" s="40"/>
      <c r="AK162" s="21"/>
      <c r="AL162" s="21"/>
      <c r="AM162" s="21"/>
      <c r="AN162" s="15"/>
      <c r="AO162" s="15"/>
      <c r="AP162" s="21"/>
      <c r="AQ162" s="21"/>
      <c r="AR162" s="15"/>
      <c r="AS162" s="21"/>
      <c r="AT162" s="15"/>
      <c r="AU162" s="15"/>
      <c r="AV162" s="15"/>
      <c r="AW162" s="15"/>
      <c r="AX162" s="15"/>
      <c r="AY162" s="15"/>
      <c r="AZ162" s="15"/>
      <c r="BA162" s="15"/>
      <c r="BB162" s="28"/>
      <c r="BC162" s="28"/>
      <c r="BD162" s="38"/>
      <c r="BE162" s="15"/>
      <c r="BF162" s="15"/>
      <c r="BG162" s="28"/>
      <c r="BH162" s="28"/>
      <c r="BI162" s="36"/>
    </row>
    <row r="163" spans="34:61" ht="15.75" customHeight="1" x14ac:dyDescent="0.25">
      <c r="AH163" s="15"/>
      <c r="AI163" s="21"/>
      <c r="AJ163" s="40"/>
      <c r="AK163" s="21"/>
      <c r="AL163" s="21"/>
      <c r="AM163" s="21"/>
      <c r="AN163" s="15"/>
      <c r="AO163" s="15"/>
      <c r="AP163" s="21"/>
      <c r="AQ163" s="21"/>
      <c r="AR163" s="15"/>
      <c r="AS163" s="21"/>
      <c r="AT163" s="15"/>
      <c r="AU163" s="15"/>
      <c r="AV163" s="15"/>
      <c r="AW163" s="15"/>
      <c r="AX163" s="15"/>
      <c r="AY163" s="15"/>
      <c r="AZ163" s="15"/>
      <c r="BA163" s="15"/>
      <c r="BB163" s="28"/>
      <c r="BC163" s="28"/>
      <c r="BD163" s="38"/>
      <c r="BE163" s="15"/>
      <c r="BF163" s="15"/>
      <c r="BG163" s="28"/>
      <c r="BH163" s="28"/>
      <c r="BI163" s="36"/>
    </row>
    <row r="164" spans="34:61" ht="15.75" customHeight="1" x14ac:dyDescent="0.25">
      <c r="AH164" s="15"/>
      <c r="AI164" s="21"/>
      <c r="AJ164" s="40"/>
      <c r="AK164" s="21"/>
      <c r="AL164" s="21"/>
      <c r="AM164" s="21"/>
      <c r="AN164" s="15"/>
      <c r="AO164" s="15"/>
      <c r="AP164" s="21"/>
      <c r="AQ164" s="21"/>
      <c r="AR164" s="15"/>
      <c r="AS164" s="21"/>
      <c r="AT164" s="15"/>
      <c r="AU164" s="15"/>
      <c r="AV164" s="15"/>
      <c r="AW164" s="15"/>
      <c r="AX164" s="15"/>
      <c r="AY164" s="15"/>
      <c r="AZ164" s="15"/>
      <c r="BA164" s="15"/>
      <c r="BB164" s="28"/>
      <c r="BC164" s="28"/>
      <c r="BD164" s="38"/>
      <c r="BE164" s="15"/>
      <c r="BF164" s="15"/>
      <c r="BG164" s="28"/>
      <c r="BH164" s="28"/>
      <c r="BI164" s="36"/>
    </row>
    <row r="165" spans="34:61" ht="15.75" customHeight="1" x14ac:dyDescent="0.25">
      <c r="AH165" s="15"/>
      <c r="AI165" s="21"/>
      <c r="AJ165" s="40"/>
      <c r="AK165" s="21"/>
      <c r="AL165" s="21"/>
      <c r="AM165" s="21"/>
      <c r="AN165" s="15"/>
      <c r="AO165" s="15"/>
      <c r="AP165" s="21"/>
      <c r="AQ165" s="21"/>
      <c r="AR165" s="15"/>
      <c r="AS165" s="21"/>
      <c r="AT165" s="15"/>
      <c r="AU165" s="15"/>
      <c r="AV165" s="15"/>
      <c r="AW165" s="15"/>
      <c r="AX165" s="15"/>
      <c r="AY165" s="15"/>
      <c r="AZ165" s="15"/>
      <c r="BA165" s="15"/>
      <c r="BB165" s="28"/>
      <c r="BC165" s="28"/>
      <c r="BD165" s="38"/>
      <c r="BE165" s="15"/>
      <c r="BF165" s="15"/>
      <c r="BG165" s="28"/>
      <c r="BH165" s="28"/>
      <c r="BI165" s="36"/>
    </row>
    <row r="166" spans="34:61" ht="15.75" customHeight="1" x14ac:dyDescent="0.25">
      <c r="AH166" s="15"/>
      <c r="AI166" s="21"/>
      <c r="AJ166" s="40"/>
      <c r="AK166" s="21"/>
      <c r="AL166" s="21"/>
      <c r="AM166" s="21"/>
      <c r="AN166" s="15"/>
      <c r="AO166" s="15"/>
      <c r="AP166" s="21"/>
      <c r="AQ166" s="21"/>
      <c r="AR166" s="15"/>
      <c r="AS166" s="21"/>
      <c r="AT166" s="15"/>
      <c r="AU166" s="15"/>
      <c r="AV166" s="15"/>
      <c r="AW166" s="15"/>
      <c r="AX166" s="15"/>
      <c r="AY166" s="15"/>
      <c r="AZ166" s="15"/>
      <c r="BA166" s="15"/>
      <c r="BB166" s="28"/>
      <c r="BC166" s="28"/>
      <c r="BD166" s="38"/>
      <c r="BE166" s="15"/>
      <c r="BF166" s="15"/>
      <c r="BG166" s="28"/>
      <c r="BH166" s="28"/>
      <c r="BI166" s="36"/>
    </row>
    <row r="167" spans="34:61" ht="15.75" customHeight="1" x14ac:dyDescent="0.25">
      <c r="AH167" s="15"/>
      <c r="AI167" s="21"/>
      <c r="AJ167" s="40"/>
      <c r="AK167" s="21"/>
      <c r="AL167" s="21"/>
      <c r="AM167" s="21"/>
      <c r="AN167" s="15"/>
      <c r="AO167" s="15"/>
      <c r="AP167" s="21"/>
      <c r="AQ167" s="21"/>
      <c r="AR167" s="15"/>
      <c r="AS167" s="21"/>
      <c r="AT167" s="15"/>
      <c r="AU167" s="15"/>
      <c r="AV167" s="15"/>
      <c r="AW167" s="15"/>
      <c r="AX167" s="15"/>
      <c r="AY167" s="15"/>
      <c r="AZ167" s="15"/>
      <c r="BA167" s="15"/>
      <c r="BB167" s="28"/>
      <c r="BC167" s="28"/>
      <c r="BD167" s="38"/>
      <c r="BE167" s="15"/>
      <c r="BF167" s="15"/>
      <c r="BG167" s="28"/>
      <c r="BH167" s="28"/>
      <c r="BI167" s="36"/>
    </row>
    <row r="168" spans="34:61" ht="15.75" customHeight="1" x14ac:dyDescent="0.25">
      <c r="AH168" s="15"/>
      <c r="AI168" s="21"/>
      <c r="AJ168" s="40"/>
      <c r="AK168" s="21"/>
      <c r="AL168" s="21"/>
      <c r="AM168" s="21"/>
      <c r="AN168" s="15"/>
      <c r="AO168" s="15"/>
      <c r="AP168" s="21"/>
      <c r="AQ168" s="21"/>
      <c r="AR168" s="15"/>
      <c r="AS168" s="21"/>
      <c r="AT168" s="15"/>
      <c r="AU168" s="15"/>
      <c r="AV168" s="15"/>
      <c r="AW168" s="15"/>
      <c r="AX168" s="15"/>
      <c r="AY168" s="15"/>
      <c r="AZ168" s="15"/>
      <c r="BA168" s="15"/>
      <c r="BB168" s="28"/>
      <c r="BC168" s="28"/>
      <c r="BD168" s="38"/>
      <c r="BE168" s="15"/>
      <c r="BF168" s="15"/>
      <c r="BG168" s="28"/>
      <c r="BH168" s="28"/>
      <c r="BI168" s="36"/>
    </row>
    <row r="169" spans="34:61" ht="15.75" customHeight="1" x14ac:dyDescent="0.25">
      <c r="AH169" s="15"/>
      <c r="AI169" s="21"/>
      <c r="AJ169" s="40"/>
      <c r="AK169" s="21"/>
      <c r="AL169" s="21"/>
      <c r="AM169" s="21"/>
      <c r="AN169" s="15"/>
      <c r="AO169" s="15"/>
      <c r="AP169" s="21"/>
      <c r="AQ169" s="21"/>
      <c r="AR169" s="15"/>
      <c r="AS169" s="21"/>
      <c r="AT169" s="15"/>
      <c r="AU169" s="15"/>
      <c r="AV169" s="15"/>
      <c r="AW169" s="15"/>
      <c r="AX169" s="15"/>
      <c r="AY169" s="15"/>
      <c r="AZ169" s="15"/>
      <c r="BA169" s="15"/>
      <c r="BB169" s="28"/>
      <c r="BC169" s="28"/>
      <c r="BD169" s="38"/>
      <c r="BE169" s="15"/>
      <c r="BF169" s="15"/>
      <c r="BG169" s="28"/>
      <c r="BH169" s="28"/>
      <c r="BI169" s="36"/>
    </row>
    <row r="170" spans="34:61" ht="15.75" customHeight="1" x14ac:dyDescent="0.25">
      <c r="AH170" s="15"/>
      <c r="AI170" s="21"/>
      <c r="AJ170" s="40"/>
      <c r="AK170" s="21"/>
      <c r="AL170" s="21"/>
      <c r="AM170" s="21"/>
      <c r="AN170" s="15"/>
      <c r="AO170" s="15"/>
      <c r="AP170" s="21"/>
      <c r="AQ170" s="21"/>
      <c r="AR170" s="15"/>
      <c r="AS170" s="21"/>
      <c r="AT170" s="15"/>
      <c r="AU170" s="15"/>
      <c r="AV170" s="15"/>
      <c r="AW170" s="15"/>
      <c r="AX170" s="15"/>
      <c r="AY170" s="15"/>
      <c r="AZ170" s="15"/>
      <c r="BA170" s="15"/>
      <c r="BB170" s="28"/>
      <c r="BC170" s="28"/>
      <c r="BD170" s="38"/>
      <c r="BE170" s="15"/>
      <c r="BF170" s="15"/>
      <c r="BG170" s="28"/>
      <c r="BH170" s="28"/>
      <c r="BI170" s="36"/>
    </row>
    <row r="171" spans="34:61" ht="15.75" customHeight="1" x14ac:dyDescent="0.25">
      <c r="AH171" s="15"/>
      <c r="AI171" s="21"/>
      <c r="AJ171" s="40"/>
      <c r="AK171" s="21"/>
      <c r="AL171" s="21"/>
      <c r="AM171" s="21"/>
      <c r="AN171" s="15"/>
      <c r="AO171" s="15"/>
      <c r="AP171" s="21"/>
      <c r="AQ171" s="21"/>
      <c r="AR171" s="15"/>
      <c r="AS171" s="21"/>
      <c r="AT171" s="15"/>
      <c r="AU171" s="15"/>
      <c r="AV171" s="15"/>
      <c r="AW171" s="15"/>
      <c r="AX171" s="15"/>
      <c r="AY171" s="15"/>
      <c r="AZ171" s="15"/>
      <c r="BA171" s="15"/>
      <c r="BB171" s="28"/>
      <c r="BC171" s="28"/>
      <c r="BD171" s="38"/>
      <c r="BE171" s="15"/>
      <c r="BF171" s="15"/>
      <c r="BG171" s="28"/>
      <c r="BH171" s="28"/>
      <c r="BI171" s="36"/>
    </row>
    <row r="172" spans="34:61" ht="15.75" customHeight="1" x14ac:dyDescent="0.25">
      <c r="AH172" s="15"/>
      <c r="AI172" s="21"/>
      <c r="AJ172" s="40"/>
      <c r="AK172" s="21"/>
      <c r="AL172" s="21"/>
      <c r="AM172" s="21"/>
      <c r="AN172" s="15"/>
      <c r="AO172" s="15"/>
      <c r="AP172" s="21"/>
      <c r="AQ172" s="21"/>
      <c r="AR172" s="15"/>
      <c r="AS172" s="21"/>
      <c r="AT172" s="15"/>
      <c r="AU172" s="15"/>
      <c r="AV172" s="15"/>
      <c r="AW172" s="15"/>
      <c r="AX172" s="15"/>
      <c r="AY172" s="15"/>
      <c r="AZ172" s="15"/>
      <c r="BA172" s="15"/>
      <c r="BB172" s="28"/>
      <c r="BC172" s="28"/>
      <c r="BD172" s="38"/>
      <c r="BE172" s="15"/>
      <c r="BF172" s="15"/>
      <c r="BG172" s="28"/>
      <c r="BH172" s="28"/>
      <c r="BI172" s="36"/>
    </row>
    <row r="173" spans="34:61" ht="15.75" customHeight="1" x14ac:dyDescent="0.25">
      <c r="AH173" s="15"/>
      <c r="AI173" s="21"/>
      <c r="AJ173" s="40"/>
      <c r="AK173" s="21"/>
      <c r="AL173" s="21"/>
      <c r="AM173" s="21"/>
      <c r="AN173" s="15"/>
      <c r="AO173" s="15"/>
      <c r="AP173" s="21"/>
      <c r="AQ173" s="21"/>
      <c r="AR173" s="15"/>
      <c r="AS173" s="21"/>
      <c r="AT173" s="15"/>
      <c r="AU173" s="15"/>
      <c r="AV173" s="15"/>
      <c r="AW173" s="15"/>
      <c r="AX173" s="15"/>
      <c r="AY173" s="15"/>
      <c r="AZ173" s="15"/>
      <c r="BA173" s="15"/>
      <c r="BB173" s="28"/>
      <c r="BC173" s="28"/>
      <c r="BD173" s="38"/>
      <c r="BE173" s="15"/>
      <c r="BF173" s="15"/>
      <c r="BG173" s="28"/>
      <c r="BH173" s="28"/>
      <c r="BI173" s="36"/>
    </row>
    <row r="174" spans="34:61" ht="15.75" customHeight="1" x14ac:dyDescent="0.25">
      <c r="AH174" s="15"/>
      <c r="AI174" s="21"/>
      <c r="AJ174" s="40"/>
      <c r="AK174" s="21"/>
      <c r="AL174" s="21"/>
      <c r="AM174" s="21"/>
      <c r="AN174" s="15"/>
      <c r="AO174" s="15"/>
      <c r="AP174" s="21"/>
      <c r="AQ174" s="21"/>
      <c r="AR174" s="15"/>
      <c r="AS174" s="21"/>
      <c r="AT174" s="15"/>
      <c r="AU174" s="15"/>
      <c r="AV174" s="15"/>
      <c r="AW174" s="15"/>
      <c r="AX174" s="15"/>
      <c r="AY174" s="15"/>
      <c r="AZ174" s="15"/>
      <c r="BA174" s="15"/>
      <c r="BB174" s="28"/>
      <c r="BC174" s="28"/>
      <c r="BD174" s="38"/>
      <c r="BE174" s="15"/>
      <c r="BF174" s="15"/>
      <c r="BG174" s="28"/>
      <c r="BH174" s="28"/>
      <c r="BI174" s="36"/>
    </row>
    <row r="175" spans="34:61" ht="15.75" customHeight="1" x14ac:dyDescent="0.25">
      <c r="AH175" s="15"/>
      <c r="AI175" s="21"/>
      <c r="AJ175" s="40"/>
      <c r="AK175" s="21"/>
      <c r="AL175" s="21"/>
      <c r="AM175" s="21"/>
      <c r="AN175" s="15"/>
      <c r="AO175" s="15"/>
      <c r="AP175" s="21"/>
      <c r="AQ175" s="21"/>
      <c r="AR175" s="15"/>
      <c r="AS175" s="21"/>
      <c r="AT175" s="15"/>
      <c r="AU175" s="15"/>
      <c r="AV175" s="15"/>
      <c r="AW175" s="15"/>
      <c r="AX175" s="15"/>
      <c r="AY175" s="15"/>
      <c r="AZ175" s="15"/>
      <c r="BA175" s="15"/>
      <c r="BB175" s="28"/>
      <c r="BC175" s="28"/>
      <c r="BD175" s="38"/>
      <c r="BE175" s="15"/>
      <c r="BF175" s="15"/>
      <c r="BG175" s="28"/>
      <c r="BH175" s="28"/>
      <c r="BI175" s="36"/>
    </row>
    <row r="176" spans="34:61" ht="15.75" customHeight="1" x14ac:dyDescent="0.25">
      <c r="AH176" s="15"/>
      <c r="AI176" s="21"/>
      <c r="AJ176" s="40"/>
      <c r="AK176" s="21"/>
      <c r="AL176" s="21"/>
      <c r="AM176" s="21"/>
      <c r="AN176" s="15"/>
      <c r="AO176" s="15"/>
      <c r="AP176" s="21"/>
      <c r="AQ176" s="21"/>
      <c r="AR176" s="15"/>
      <c r="AS176" s="21"/>
      <c r="AT176" s="15"/>
      <c r="AU176" s="15"/>
      <c r="AV176" s="15"/>
      <c r="AW176" s="15"/>
      <c r="AX176" s="15"/>
      <c r="AY176" s="15"/>
      <c r="AZ176" s="15"/>
      <c r="BA176" s="15"/>
      <c r="BB176" s="28"/>
      <c r="BC176" s="28"/>
      <c r="BD176" s="38"/>
      <c r="BE176" s="15"/>
      <c r="BF176" s="15"/>
      <c r="BG176" s="28"/>
      <c r="BH176" s="28"/>
      <c r="BI176" s="36"/>
    </row>
    <row r="177" spans="34:61" ht="15.75" customHeight="1" x14ac:dyDescent="0.25">
      <c r="AH177" s="15"/>
      <c r="AI177" s="21"/>
      <c r="AJ177" s="40"/>
      <c r="AK177" s="21"/>
      <c r="AL177" s="21"/>
      <c r="AM177" s="21"/>
      <c r="AN177" s="15"/>
      <c r="AO177" s="15"/>
      <c r="AP177" s="21"/>
      <c r="AQ177" s="21"/>
      <c r="AR177" s="15"/>
      <c r="AS177" s="21"/>
      <c r="AT177" s="15"/>
      <c r="AU177" s="15"/>
      <c r="AV177" s="15"/>
      <c r="AW177" s="15"/>
      <c r="AX177" s="15"/>
      <c r="AY177" s="15"/>
      <c r="AZ177" s="15"/>
      <c r="BA177" s="15"/>
      <c r="BB177" s="28"/>
      <c r="BC177" s="28"/>
      <c r="BD177" s="38"/>
      <c r="BE177" s="15"/>
      <c r="BF177" s="15"/>
      <c r="BG177" s="28"/>
      <c r="BH177" s="28"/>
      <c r="BI177" s="36"/>
    </row>
    <row r="178" spans="34:61" ht="15.75" customHeight="1" x14ac:dyDescent="0.25">
      <c r="AH178" s="15"/>
      <c r="AI178" s="21"/>
      <c r="AJ178" s="40"/>
      <c r="AK178" s="21"/>
      <c r="AL178" s="21"/>
      <c r="AM178" s="21"/>
      <c r="AN178" s="15"/>
      <c r="AO178" s="15"/>
      <c r="AP178" s="21"/>
      <c r="AQ178" s="21"/>
      <c r="AR178" s="15"/>
      <c r="AS178" s="21"/>
      <c r="AT178" s="15"/>
      <c r="AU178" s="15"/>
      <c r="AV178" s="15"/>
      <c r="AW178" s="15"/>
      <c r="AX178" s="15"/>
      <c r="AY178" s="15"/>
      <c r="AZ178" s="15"/>
      <c r="BA178" s="15"/>
      <c r="BB178" s="28"/>
      <c r="BC178" s="28"/>
      <c r="BD178" s="38"/>
      <c r="BE178" s="15"/>
      <c r="BF178" s="15"/>
      <c r="BG178" s="28"/>
      <c r="BH178" s="28"/>
      <c r="BI178" s="36"/>
    </row>
    <row r="179" spans="34:61" ht="15.75" customHeight="1" x14ac:dyDescent="0.25">
      <c r="AH179" s="15"/>
      <c r="AI179" s="21"/>
      <c r="AJ179" s="40"/>
      <c r="AK179" s="21"/>
      <c r="AL179" s="21"/>
      <c r="AM179" s="21"/>
      <c r="AN179" s="15"/>
      <c r="AO179" s="15"/>
      <c r="AP179" s="21"/>
      <c r="AQ179" s="21"/>
      <c r="AR179" s="15"/>
      <c r="AS179" s="21"/>
      <c r="AT179" s="15"/>
      <c r="AU179" s="15"/>
      <c r="AV179" s="15"/>
      <c r="AW179" s="15"/>
      <c r="AX179" s="15"/>
      <c r="AY179" s="15"/>
      <c r="AZ179" s="15"/>
      <c r="BA179" s="15"/>
      <c r="BB179" s="28"/>
      <c r="BC179" s="28"/>
      <c r="BD179" s="38"/>
      <c r="BE179" s="15"/>
      <c r="BF179" s="15"/>
      <c r="BG179" s="28"/>
      <c r="BH179" s="28"/>
      <c r="BI179" s="36"/>
    </row>
    <row r="180" spans="34:61" ht="15.75" customHeight="1" x14ac:dyDescent="0.25">
      <c r="AH180" s="15"/>
      <c r="AI180" s="21"/>
      <c r="AJ180" s="40"/>
      <c r="AK180" s="21"/>
      <c r="AL180" s="21"/>
      <c r="AM180" s="21"/>
      <c r="AN180" s="15"/>
      <c r="AO180" s="15"/>
      <c r="AP180" s="21"/>
      <c r="AQ180" s="21"/>
      <c r="AR180" s="15"/>
      <c r="AS180" s="21"/>
      <c r="AT180" s="15"/>
      <c r="AU180" s="15"/>
      <c r="AV180" s="15"/>
      <c r="AW180" s="15"/>
      <c r="AX180" s="15"/>
      <c r="AY180" s="15"/>
      <c r="AZ180" s="15"/>
      <c r="BA180" s="15"/>
      <c r="BB180" s="28"/>
      <c r="BC180" s="28"/>
      <c r="BD180" s="38"/>
      <c r="BE180" s="15"/>
      <c r="BF180" s="15"/>
      <c r="BG180" s="28"/>
      <c r="BH180" s="28"/>
      <c r="BI180" s="36"/>
    </row>
    <row r="181" spans="34:61" ht="15.75" customHeight="1" x14ac:dyDescent="0.25">
      <c r="AH181" s="15"/>
      <c r="AI181" s="21"/>
      <c r="AJ181" s="40"/>
      <c r="AK181" s="21"/>
      <c r="AL181" s="21"/>
      <c r="AM181" s="21"/>
      <c r="AN181" s="15"/>
      <c r="AO181" s="15"/>
      <c r="AP181" s="21"/>
      <c r="AQ181" s="21"/>
      <c r="AR181" s="15"/>
      <c r="AS181" s="21"/>
      <c r="AT181" s="15"/>
      <c r="AU181" s="15"/>
      <c r="AV181" s="15"/>
      <c r="AW181" s="15"/>
      <c r="AX181" s="15"/>
      <c r="AY181" s="15"/>
      <c r="AZ181" s="15"/>
      <c r="BA181" s="15"/>
      <c r="BB181" s="28"/>
      <c r="BC181" s="28"/>
      <c r="BD181" s="38"/>
      <c r="BE181" s="15"/>
      <c r="BF181" s="15"/>
      <c r="BG181" s="28"/>
      <c r="BH181" s="28"/>
      <c r="BI181" s="36"/>
    </row>
    <row r="182" spans="34:61" ht="15.75" customHeight="1" x14ac:dyDescent="0.25">
      <c r="AH182" s="15"/>
      <c r="AI182" s="21"/>
      <c r="AJ182" s="40"/>
      <c r="AK182" s="21"/>
      <c r="AL182" s="21"/>
      <c r="AM182" s="21"/>
      <c r="AN182" s="15"/>
      <c r="AO182" s="15"/>
      <c r="AP182" s="21"/>
      <c r="AQ182" s="21"/>
      <c r="AR182" s="15"/>
      <c r="AS182" s="21"/>
      <c r="AT182" s="15"/>
      <c r="AU182" s="15"/>
      <c r="AV182" s="15"/>
      <c r="AW182" s="15"/>
      <c r="AX182" s="15"/>
      <c r="AY182" s="15"/>
      <c r="AZ182" s="15"/>
      <c r="BA182" s="15"/>
      <c r="BB182" s="28"/>
      <c r="BC182" s="28"/>
      <c r="BD182" s="38"/>
      <c r="BE182" s="15"/>
      <c r="BF182" s="15"/>
      <c r="BG182" s="28"/>
      <c r="BH182" s="28"/>
      <c r="BI182" s="36"/>
    </row>
    <row r="183" spans="34:61" ht="15.75" customHeight="1" x14ac:dyDescent="0.25">
      <c r="AH183" s="15"/>
      <c r="AI183" s="21"/>
      <c r="AJ183" s="40"/>
      <c r="AK183" s="21"/>
      <c r="AL183" s="21"/>
      <c r="AM183" s="21"/>
      <c r="AN183" s="15"/>
      <c r="AO183" s="15"/>
      <c r="AP183" s="21"/>
      <c r="AQ183" s="21"/>
      <c r="AR183" s="15"/>
      <c r="AS183" s="21"/>
      <c r="AT183" s="15"/>
      <c r="AU183" s="15"/>
      <c r="AV183" s="15"/>
      <c r="AW183" s="15"/>
      <c r="AX183" s="15"/>
      <c r="AY183" s="15"/>
      <c r="AZ183" s="15"/>
      <c r="BA183" s="15"/>
      <c r="BB183" s="28"/>
      <c r="BC183" s="28"/>
      <c r="BD183" s="38"/>
      <c r="BE183" s="15"/>
      <c r="BF183" s="15"/>
      <c r="BG183" s="28"/>
      <c r="BH183" s="28"/>
      <c r="BI183" s="36"/>
    </row>
    <row r="184" spans="34:61" ht="15.75" customHeight="1" x14ac:dyDescent="0.25">
      <c r="AH184" s="15"/>
      <c r="AI184" s="21"/>
      <c r="AJ184" s="40"/>
      <c r="AK184" s="21"/>
      <c r="AL184" s="21"/>
      <c r="AM184" s="21"/>
      <c r="AN184" s="15"/>
      <c r="AO184" s="15"/>
      <c r="AP184" s="21"/>
      <c r="AQ184" s="21"/>
      <c r="AR184" s="15"/>
      <c r="AS184" s="21"/>
      <c r="AT184" s="15"/>
      <c r="AU184" s="15"/>
      <c r="AV184" s="15"/>
      <c r="AW184" s="15"/>
      <c r="AX184" s="15"/>
      <c r="AY184" s="15"/>
      <c r="AZ184" s="15"/>
      <c r="BA184" s="15"/>
      <c r="BB184" s="28"/>
      <c r="BC184" s="28"/>
      <c r="BD184" s="38"/>
      <c r="BE184" s="15"/>
      <c r="BF184" s="15"/>
      <c r="BG184" s="28"/>
      <c r="BH184" s="28"/>
      <c r="BI184" s="36"/>
    </row>
    <row r="185" spans="34:61" ht="15.75" customHeight="1" x14ac:dyDescent="0.25">
      <c r="AH185" s="15"/>
      <c r="AI185" s="21"/>
      <c r="AJ185" s="40"/>
      <c r="AK185" s="21"/>
      <c r="AL185" s="21"/>
      <c r="AM185" s="21"/>
      <c r="AN185" s="15"/>
      <c r="AO185" s="15"/>
      <c r="AP185" s="21"/>
      <c r="AQ185" s="21"/>
      <c r="AR185" s="15"/>
      <c r="AS185" s="21"/>
      <c r="AT185" s="15"/>
      <c r="AU185" s="15"/>
      <c r="AV185" s="15"/>
      <c r="AW185" s="15"/>
      <c r="AX185" s="15"/>
      <c r="AY185" s="15"/>
      <c r="AZ185" s="15"/>
      <c r="BA185" s="15"/>
      <c r="BB185" s="28"/>
      <c r="BC185" s="28"/>
      <c r="BD185" s="38"/>
      <c r="BE185" s="15"/>
      <c r="BF185" s="15"/>
      <c r="BG185" s="28"/>
      <c r="BH185" s="28"/>
      <c r="BI185" s="36"/>
    </row>
    <row r="186" spans="34:61" ht="15.75" customHeight="1" x14ac:dyDescent="0.25">
      <c r="AH186" s="15"/>
      <c r="AI186" s="21"/>
      <c r="AJ186" s="40"/>
      <c r="AK186" s="21"/>
      <c r="AL186" s="21"/>
      <c r="AM186" s="21"/>
      <c r="AN186" s="15"/>
      <c r="AO186" s="15"/>
      <c r="AP186" s="21"/>
      <c r="AQ186" s="21"/>
      <c r="AR186" s="15"/>
      <c r="AS186" s="21"/>
      <c r="AT186" s="15"/>
      <c r="AU186" s="15"/>
      <c r="AV186" s="15"/>
      <c r="AW186" s="15"/>
      <c r="AX186" s="15"/>
      <c r="AY186" s="15"/>
      <c r="AZ186" s="15"/>
      <c r="BA186" s="15"/>
      <c r="BB186" s="28"/>
      <c r="BC186" s="28"/>
      <c r="BD186" s="38"/>
      <c r="BE186" s="15"/>
      <c r="BF186" s="15"/>
      <c r="BG186" s="28"/>
      <c r="BH186" s="28"/>
      <c r="BI186" s="36"/>
    </row>
    <row r="187" spans="34:61" ht="15.75" customHeight="1" x14ac:dyDescent="0.25">
      <c r="AH187" s="15"/>
      <c r="AI187" s="21"/>
      <c r="AJ187" s="40"/>
      <c r="AK187" s="21"/>
      <c r="AL187" s="21"/>
      <c r="AM187" s="21"/>
      <c r="AN187" s="15"/>
      <c r="AO187" s="15"/>
      <c r="AP187" s="21"/>
      <c r="AQ187" s="21"/>
      <c r="AR187" s="15"/>
      <c r="AS187" s="21"/>
      <c r="AT187" s="15"/>
      <c r="AU187" s="15"/>
      <c r="AV187" s="15"/>
      <c r="AW187" s="15"/>
      <c r="AX187" s="15"/>
      <c r="AY187" s="15"/>
      <c r="AZ187" s="15"/>
      <c r="BA187" s="15"/>
      <c r="BB187" s="28"/>
      <c r="BC187" s="28"/>
      <c r="BD187" s="38"/>
      <c r="BE187" s="15"/>
      <c r="BF187" s="15"/>
      <c r="BG187" s="28"/>
      <c r="BH187" s="28"/>
      <c r="BI187" s="36"/>
    </row>
    <row r="188" spans="34:61" ht="15.75" customHeight="1" x14ac:dyDescent="0.25">
      <c r="AH188" s="15"/>
      <c r="AI188" s="21"/>
      <c r="AJ188" s="40"/>
      <c r="AK188" s="21"/>
      <c r="AL188" s="21"/>
      <c r="AM188" s="21"/>
      <c r="AN188" s="15"/>
      <c r="AO188" s="15"/>
      <c r="AP188" s="21"/>
      <c r="AQ188" s="21"/>
      <c r="AR188" s="15"/>
      <c r="AS188" s="21"/>
      <c r="AT188" s="15"/>
      <c r="AU188" s="15"/>
      <c r="AV188" s="15"/>
      <c r="AW188" s="15"/>
      <c r="AX188" s="15"/>
      <c r="AY188" s="15"/>
      <c r="AZ188" s="15"/>
      <c r="BA188" s="15"/>
      <c r="BB188" s="28"/>
      <c r="BC188" s="28"/>
      <c r="BD188" s="38"/>
      <c r="BE188" s="15"/>
      <c r="BF188" s="15"/>
      <c r="BG188" s="28"/>
      <c r="BH188" s="28"/>
      <c r="BI188" s="36"/>
    </row>
    <row r="189" spans="34:61" ht="15.75" customHeight="1" x14ac:dyDescent="0.25">
      <c r="AH189" s="15"/>
      <c r="AI189" s="21"/>
      <c r="AJ189" s="40"/>
      <c r="AK189" s="21"/>
      <c r="AL189" s="21"/>
      <c r="AM189" s="21"/>
      <c r="AN189" s="15"/>
      <c r="AO189" s="15"/>
      <c r="AP189" s="21"/>
      <c r="AQ189" s="21"/>
      <c r="AR189" s="15"/>
      <c r="AS189" s="21"/>
      <c r="AT189" s="15"/>
      <c r="AU189" s="15"/>
      <c r="AV189" s="15"/>
      <c r="AW189" s="15"/>
      <c r="AX189" s="15"/>
      <c r="AY189" s="15"/>
      <c r="AZ189" s="15"/>
      <c r="BA189" s="15"/>
      <c r="BB189" s="28"/>
      <c r="BC189" s="28"/>
      <c r="BD189" s="38"/>
      <c r="BE189" s="15"/>
      <c r="BF189" s="15"/>
      <c r="BG189" s="28"/>
      <c r="BH189" s="28"/>
      <c r="BI189" s="36"/>
    </row>
    <row r="190" spans="34:61" ht="15.75" customHeight="1" x14ac:dyDescent="0.25">
      <c r="AH190" s="15"/>
      <c r="AI190" s="21"/>
      <c r="AJ190" s="40"/>
      <c r="AK190" s="21"/>
      <c r="AL190" s="21"/>
      <c r="AM190" s="21"/>
      <c r="AN190" s="15"/>
      <c r="AO190" s="15"/>
      <c r="AP190" s="21"/>
      <c r="AQ190" s="21"/>
      <c r="AR190" s="15"/>
      <c r="AS190" s="21"/>
      <c r="AT190" s="15"/>
      <c r="AU190" s="15"/>
      <c r="AV190" s="15"/>
      <c r="AW190" s="15"/>
      <c r="AX190" s="15"/>
      <c r="AY190" s="15"/>
      <c r="AZ190" s="15"/>
      <c r="BA190" s="15"/>
      <c r="BB190" s="28"/>
      <c r="BC190" s="28"/>
      <c r="BD190" s="38"/>
      <c r="BE190" s="15"/>
      <c r="BF190" s="15"/>
      <c r="BG190" s="28"/>
      <c r="BH190" s="28"/>
      <c r="BI190" s="36"/>
    </row>
    <row r="191" spans="34:61" ht="15.75" customHeight="1" x14ac:dyDescent="0.25">
      <c r="AH191" s="15"/>
      <c r="AI191" s="21"/>
      <c r="AJ191" s="40"/>
      <c r="AK191" s="21"/>
      <c r="AL191" s="21"/>
      <c r="AM191" s="21"/>
      <c r="AN191" s="15"/>
      <c r="AO191" s="15"/>
      <c r="AP191" s="21"/>
      <c r="AQ191" s="21"/>
      <c r="AR191" s="15"/>
      <c r="AS191" s="21"/>
      <c r="AT191" s="15"/>
      <c r="AU191" s="15"/>
      <c r="AV191" s="15"/>
      <c r="AW191" s="15"/>
      <c r="AX191" s="15"/>
      <c r="AY191" s="15"/>
      <c r="AZ191" s="15"/>
      <c r="BA191" s="15"/>
      <c r="BB191" s="28"/>
      <c r="BC191" s="28"/>
      <c r="BD191" s="38"/>
      <c r="BE191" s="15"/>
      <c r="BF191" s="15"/>
      <c r="BG191" s="28"/>
      <c r="BH191" s="28"/>
      <c r="BI191" s="36"/>
    </row>
    <row r="192" spans="34:61" ht="15.75" customHeight="1" x14ac:dyDescent="0.25">
      <c r="AH192" s="15"/>
      <c r="AI192" s="21"/>
      <c r="AJ192" s="40"/>
      <c r="AK192" s="21"/>
      <c r="AL192" s="21"/>
      <c r="AM192" s="21"/>
      <c r="AN192" s="15"/>
      <c r="AO192" s="15"/>
      <c r="AP192" s="21"/>
      <c r="AQ192" s="21"/>
      <c r="AR192" s="15"/>
      <c r="AS192" s="21"/>
      <c r="AT192" s="15"/>
      <c r="AU192" s="15"/>
      <c r="AV192" s="15"/>
      <c r="AW192" s="15"/>
      <c r="AX192" s="15"/>
      <c r="AY192" s="15"/>
      <c r="AZ192" s="15"/>
      <c r="BA192" s="15"/>
      <c r="BB192" s="28"/>
      <c r="BC192" s="28"/>
      <c r="BD192" s="38"/>
      <c r="BE192" s="15"/>
      <c r="BF192" s="15"/>
      <c r="BG192" s="28"/>
      <c r="BH192" s="28"/>
      <c r="BI192" s="36"/>
    </row>
    <row r="193" spans="34:61" ht="15.75" customHeight="1" x14ac:dyDescent="0.25">
      <c r="AH193" s="15"/>
      <c r="AI193" s="21"/>
      <c r="AJ193" s="40"/>
      <c r="AK193" s="21"/>
      <c r="AL193" s="21"/>
      <c r="AM193" s="21"/>
      <c r="AN193" s="15"/>
      <c r="AO193" s="15"/>
      <c r="AP193" s="21"/>
      <c r="AQ193" s="21"/>
      <c r="AR193" s="15"/>
      <c r="AS193" s="21"/>
      <c r="AT193" s="15"/>
      <c r="AU193" s="15"/>
      <c r="AV193" s="15"/>
      <c r="AW193" s="15"/>
      <c r="AX193" s="15"/>
      <c r="AY193" s="15"/>
      <c r="AZ193" s="15"/>
      <c r="BA193" s="15"/>
      <c r="BB193" s="28"/>
      <c r="BC193" s="28"/>
      <c r="BD193" s="38"/>
      <c r="BE193" s="15"/>
      <c r="BF193" s="15"/>
      <c r="BG193" s="28"/>
      <c r="BH193" s="28"/>
      <c r="BI193" s="36"/>
    </row>
    <row r="194" spans="34:61" ht="15.75" customHeight="1" x14ac:dyDescent="0.25">
      <c r="AH194" s="15"/>
      <c r="AI194" s="21"/>
      <c r="AJ194" s="40"/>
      <c r="AK194" s="21"/>
      <c r="AL194" s="21"/>
      <c r="AM194" s="21"/>
      <c r="AN194" s="15"/>
      <c r="AO194" s="15"/>
      <c r="AP194" s="21"/>
      <c r="AQ194" s="21"/>
      <c r="AR194" s="15"/>
      <c r="AS194" s="21"/>
      <c r="AT194" s="15"/>
      <c r="AU194" s="15"/>
      <c r="AV194" s="15"/>
      <c r="AW194" s="15"/>
      <c r="AX194" s="15"/>
      <c r="AY194" s="15"/>
      <c r="AZ194" s="15"/>
      <c r="BA194" s="15"/>
      <c r="BB194" s="28"/>
      <c r="BC194" s="28"/>
      <c r="BD194" s="38"/>
      <c r="BE194" s="15"/>
      <c r="BF194" s="15"/>
      <c r="BG194" s="28"/>
      <c r="BH194" s="28"/>
      <c r="BI194" s="36"/>
    </row>
    <row r="195" spans="34:61" ht="15.75" customHeight="1" x14ac:dyDescent="0.25">
      <c r="AH195" s="15"/>
      <c r="AI195" s="21"/>
      <c r="AJ195" s="40"/>
      <c r="AK195" s="21"/>
      <c r="AL195" s="21"/>
      <c r="AM195" s="21"/>
      <c r="AN195" s="15"/>
      <c r="AO195" s="15"/>
      <c r="AP195" s="21"/>
      <c r="AQ195" s="21"/>
      <c r="AR195" s="15"/>
      <c r="AS195" s="21"/>
      <c r="AT195" s="15"/>
      <c r="AU195" s="15"/>
      <c r="AV195" s="15"/>
      <c r="AW195" s="15"/>
      <c r="AX195" s="15"/>
      <c r="AY195" s="15"/>
      <c r="AZ195" s="15"/>
      <c r="BA195" s="15"/>
      <c r="BB195" s="28"/>
      <c r="BC195" s="28"/>
      <c r="BD195" s="38"/>
      <c r="BE195" s="15"/>
      <c r="BF195" s="15"/>
      <c r="BG195" s="28"/>
      <c r="BH195" s="28"/>
      <c r="BI195" s="36"/>
    </row>
    <row r="196" spans="34:61" ht="15.75" customHeight="1" x14ac:dyDescent="0.25">
      <c r="AH196" s="15"/>
      <c r="AI196" s="21"/>
      <c r="AJ196" s="40"/>
      <c r="AK196" s="21"/>
      <c r="AL196" s="21"/>
      <c r="AM196" s="21"/>
      <c r="AN196" s="15"/>
      <c r="AO196" s="15"/>
      <c r="AP196" s="21"/>
      <c r="AQ196" s="21"/>
      <c r="AR196" s="15"/>
      <c r="AS196" s="21"/>
      <c r="AT196" s="15"/>
      <c r="AU196" s="15"/>
      <c r="AV196" s="15"/>
      <c r="AW196" s="15"/>
      <c r="AX196" s="15"/>
      <c r="AY196" s="15"/>
      <c r="AZ196" s="15"/>
      <c r="BA196" s="15"/>
      <c r="BB196" s="28"/>
      <c r="BC196" s="28"/>
      <c r="BD196" s="38"/>
      <c r="BE196" s="15"/>
      <c r="BF196" s="15"/>
      <c r="BG196" s="28"/>
      <c r="BH196" s="28"/>
      <c r="BI196" s="36"/>
    </row>
    <row r="197" spans="34:61" ht="15.75" customHeight="1" x14ac:dyDescent="0.25">
      <c r="AH197" s="15"/>
      <c r="AI197" s="21"/>
      <c r="AJ197" s="40"/>
      <c r="AK197" s="21"/>
      <c r="AL197" s="21"/>
      <c r="AM197" s="21"/>
      <c r="AN197" s="15"/>
      <c r="AO197" s="15"/>
      <c r="AP197" s="21"/>
      <c r="AQ197" s="21"/>
      <c r="AR197" s="15"/>
      <c r="AS197" s="21"/>
      <c r="AT197" s="15"/>
      <c r="AU197" s="15"/>
      <c r="AV197" s="15"/>
      <c r="AW197" s="15"/>
      <c r="AX197" s="15"/>
      <c r="AY197" s="15"/>
      <c r="AZ197" s="15"/>
      <c r="BA197" s="15"/>
      <c r="BB197" s="28"/>
      <c r="BC197" s="28"/>
      <c r="BD197" s="38"/>
      <c r="BE197" s="15"/>
      <c r="BF197" s="15"/>
      <c r="BG197" s="28"/>
      <c r="BH197" s="28"/>
      <c r="BI197" s="36"/>
    </row>
    <row r="198" spans="34:61" ht="15.75" customHeight="1" x14ac:dyDescent="0.25">
      <c r="AH198" s="15"/>
      <c r="AI198" s="21"/>
      <c r="AJ198" s="40"/>
      <c r="AK198" s="21"/>
      <c r="AL198" s="21"/>
      <c r="AM198" s="21"/>
      <c r="AN198" s="15"/>
      <c r="AO198" s="15"/>
      <c r="AP198" s="21"/>
      <c r="AQ198" s="21"/>
      <c r="AR198" s="15"/>
      <c r="AS198" s="21"/>
      <c r="AT198" s="15"/>
      <c r="AU198" s="15"/>
      <c r="AV198" s="15"/>
      <c r="AW198" s="15"/>
      <c r="AX198" s="15"/>
      <c r="AY198" s="15"/>
      <c r="AZ198" s="15"/>
      <c r="BA198" s="15"/>
      <c r="BB198" s="28"/>
      <c r="BC198" s="28"/>
      <c r="BD198" s="38"/>
      <c r="BE198" s="15"/>
      <c r="BF198" s="15"/>
      <c r="BG198" s="28"/>
      <c r="BH198" s="28"/>
      <c r="BI198" s="36"/>
    </row>
    <row r="199" spans="34:61" ht="15.75" customHeight="1" x14ac:dyDescent="0.25">
      <c r="AH199" s="15"/>
      <c r="AI199" s="21"/>
      <c r="AJ199" s="40"/>
      <c r="AK199" s="21"/>
      <c r="AL199" s="21"/>
      <c r="AM199" s="21"/>
      <c r="AN199" s="15"/>
      <c r="AO199" s="15"/>
      <c r="AP199" s="21"/>
      <c r="AQ199" s="21"/>
      <c r="AR199" s="15"/>
      <c r="AS199" s="21"/>
      <c r="AT199" s="15"/>
      <c r="AU199" s="15"/>
      <c r="AV199" s="15"/>
      <c r="AW199" s="15"/>
      <c r="AX199" s="15"/>
      <c r="AY199" s="15"/>
      <c r="AZ199" s="15"/>
      <c r="BA199" s="15"/>
      <c r="BB199" s="28"/>
      <c r="BC199" s="28"/>
      <c r="BD199" s="38"/>
      <c r="BE199" s="15"/>
      <c r="BF199" s="15"/>
      <c r="BG199" s="28"/>
      <c r="BH199" s="28"/>
      <c r="BI199" s="36"/>
    </row>
    <row r="200" spans="34:61" ht="15.75" customHeight="1" x14ac:dyDescent="0.25">
      <c r="AH200" s="15"/>
      <c r="AI200" s="21"/>
      <c r="AJ200" s="40"/>
      <c r="AK200" s="21"/>
      <c r="AL200" s="21"/>
      <c r="AM200" s="21"/>
      <c r="AN200" s="15"/>
      <c r="AO200" s="15"/>
      <c r="AP200" s="21"/>
      <c r="AQ200" s="21"/>
      <c r="AR200" s="15"/>
      <c r="AS200" s="21"/>
      <c r="AT200" s="15"/>
      <c r="AU200" s="15"/>
      <c r="AV200" s="15"/>
      <c r="AW200" s="15"/>
      <c r="AX200" s="15"/>
      <c r="AY200" s="15"/>
      <c r="AZ200" s="15"/>
      <c r="BA200" s="15"/>
      <c r="BB200" s="28"/>
      <c r="BC200" s="28"/>
      <c r="BD200" s="38"/>
      <c r="BE200" s="15"/>
      <c r="BF200" s="15"/>
      <c r="BG200" s="28"/>
      <c r="BH200" s="28"/>
      <c r="BI200" s="36"/>
    </row>
    <row r="201" spans="34:61" ht="15.75" customHeight="1" x14ac:dyDescent="0.25">
      <c r="AH201" s="15"/>
      <c r="AI201" s="21"/>
      <c r="AJ201" s="40"/>
      <c r="AK201" s="21"/>
      <c r="AL201" s="21"/>
      <c r="AM201" s="21"/>
      <c r="AN201" s="15"/>
      <c r="AO201" s="15"/>
      <c r="AP201" s="21"/>
      <c r="AQ201" s="21"/>
      <c r="AR201" s="15"/>
      <c r="AS201" s="21"/>
      <c r="AT201" s="15"/>
      <c r="AU201" s="15"/>
      <c r="AV201" s="15"/>
      <c r="AW201" s="15"/>
      <c r="AX201" s="15"/>
      <c r="AY201" s="15"/>
      <c r="AZ201" s="15"/>
      <c r="BA201" s="15"/>
      <c r="BB201" s="28"/>
      <c r="BC201" s="28"/>
      <c r="BD201" s="38"/>
      <c r="BE201" s="15"/>
      <c r="BF201" s="15"/>
      <c r="BG201" s="28"/>
      <c r="BH201" s="28"/>
      <c r="BI201" s="36"/>
    </row>
    <row r="202" spans="34:61" ht="15.75" customHeight="1" x14ac:dyDescent="0.25">
      <c r="AH202" s="15"/>
      <c r="AI202" s="21"/>
      <c r="AJ202" s="40"/>
      <c r="AK202" s="21"/>
      <c r="AL202" s="21"/>
      <c r="AM202" s="21"/>
      <c r="AN202" s="15"/>
      <c r="AO202" s="15"/>
      <c r="AP202" s="21"/>
      <c r="AQ202" s="21"/>
      <c r="AR202" s="15"/>
      <c r="AS202" s="21"/>
      <c r="AT202" s="15"/>
      <c r="AU202" s="15"/>
      <c r="AV202" s="15"/>
      <c r="AW202" s="15"/>
      <c r="AX202" s="15"/>
      <c r="AY202" s="15"/>
      <c r="AZ202" s="15"/>
      <c r="BA202" s="15"/>
      <c r="BB202" s="28"/>
      <c r="BC202" s="28"/>
      <c r="BD202" s="38"/>
      <c r="BE202" s="15"/>
      <c r="BF202" s="15"/>
      <c r="BG202" s="28"/>
      <c r="BH202" s="28"/>
      <c r="BI202" s="36"/>
    </row>
    <row r="203" spans="34:61" ht="15.75" customHeight="1" x14ac:dyDescent="0.25">
      <c r="AH203" s="15"/>
      <c r="AI203" s="21"/>
      <c r="AJ203" s="40"/>
      <c r="AK203" s="21"/>
      <c r="AL203" s="21"/>
      <c r="AM203" s="21"/>
      <c r="AN203" s="15"/>
      <c r="AO203" s="15"/>
      <c r="AP203" s="21"/>
      <c r="AQ203" s="21"/>
      <c r="AR203" s="15"/>
      <c r="AS203" s="21"/>
      <c r="AT203" s="15"/>
      <c r="AU203" s="15"/>
      <c r="AV203" s="15"/>
      <c r="AW203" s="15"/>
      <c r="AX203" s="15"/>
      <c r="AY203" s="15"/>
      <c r="AZ203" s="15"/>
      <c r="BA203" s="15"/>
      <c r="BB203" s="28"/>
      <c r="BC203" s="28"/>
      <c r="BD203" s="38"/>
      <c r="BE203" s="15"/>
      <c r="BF203" s="15"/>
      <c r="BG203" s="28"/>
      <c r="BH203" s="28"/>
      <c r="BI203" s="36"/>
    </row>
    <row r="204" spans="34:61" ht="15.75" customHeight="1" x14ac:dyDescent="0.25">
      <c r="AH204" s="15"/>
      <c r="AI204" s="21"/>
      <c r="AJ204" s="40"/>
      <c r="AK204" s="21"/>
      <c r="AL204" s="21"/>
      <c r="AM204" s="21"/>
      <c r="AN204" s="15"/>
      <c r="AO204" s="15"/>
      <c r="AP204" s="21"/>
      <c r="AQ204" s="21"/>
      <c r="AR204" s="15"/>
      <c r="AS204" s="21"/>
      <c r="AT204" s="15"/>
      <c r="AU204" s="15"/>
      <c r="AV204" s="15"/>
      <c r="AW204" s="15"/>
      <c r="AX204" s="15"/>
      <c r="AY204" s="15"/>
      <c r="AZ204" s="15"/>
      <c r="BA204" s="15"/>
      <c r="BB204" s="28"/>
      <c r="BC204" s="28"/>
      <c r="BD204" s="38"/>
      <c r="BE204" s="15"/>
      <c r="BF204" s="15"/>
      <c r="BG204" s="28"/>
      <c r="BH204" s="28"/>
      <c r="BI204" s="36"/>
    </row>
    <row r="205" spans="34:61" ht="15.75" customHeight="1" x14ac:dyDescent="0.25">
      <c r="AH205" s="15"/>
      <c r="AI205" s="21"/>
      <c r="AJ205" s="40"/>
      <c r="AK205" s="21"/>
      <c r="AL205" s="21"/>
      <c r="AM205" s="21"/>
      <c r="AN205" s="15"/>
      <c r="AO205" s="15"/>
      <c r="AP205" s="21"/>
      <c r="AQ205" s="21"/>
      <c r="AR205" s="15"/>
      <c r="AS205" s="21"/>
      <c r="AT205" s="15"/>
      <c r="AU205" s="15"/>
      <c r="AV205" s="15"/>
      <c r="AW205" s="15"/>
      <c r="AX205" s="15"/>
      <c r="AY205" s="15"/>
      <c r="AZ205" s="15"/>
      <c r="BA205" s="15"/>
      <c r="BB205" s="28"/>
      <c r="BC205" s="28"/>
      <c r="BD205" s="38"/>
      <c r="BE205" s="15"/>
      <c r="BF205" s="15"/>
      <c r="BG205" s="28"/>
      <c r="BH205" s="28"/>
      <c r="BI205" s="36"/>
    </row>
    <row r="206" spans="34:61" ht="15.75" customHeight="1" x14ac:dyDescent="0.25">
      <c r="AH206" s="15"/>
      <c r="AI206" s="21"/>
      <c r="AJ206" s="40"/>
      <c r="AK206" s="21"/>
      <c r="AL206" s="21"/>
      <c r="AM206" s="21"/>
      <c r="AN206" s="15"/>
      <c r="AO206" s="15"/>
      <c r="AP206" s="21"/>
      <c r="AQ206" s="21"/>
      <c r="AR206" s="15"/>
      <c r="AS206" s="21"/>
      <c r="AT206" s="15"/>
      <c r="AU206" s="15"/>
      <c r="AV206" s="15"/>
      <c r="AW206" s="15"/>
      <c r="AX206" s="15"/>
      <c r="AY206" s="15"/>
      <c r="AZ206" s="15"/>
      <c r="BA206" s="15"/>
      <c r="BB206" s="28"/>
      <c r="BC206" s="28"/>
      <c r="BD206" s="38"/>
      <c r="BE206" s="15"/>
      <c r="BF206" s="15"/>
      <c r="BG206" s="28"/>
      <c r="BH206" s="28"/>
      <c r="BI206" s="36"/>
    </row>
    <row r="207" spans="34:61" ht="15.75" customHeight="1" x14ac:dyDescent="0.25">
      <c r="AH207" s="15"/>
      <c r="AI207" s="21"/>
      <c r="AJ207" s="40"/>
      <c r="AK207" s="21"/>
      <c r="AL207" s="21"/>
      <c r="AM207" s="21"/>
      <c r="AN207" s="15"/>
      <c r="AO207" s="15"/>
      <c r="AP207" s="21"/>
      <c r="AQ207" s="21"/>
      <c r="AR207" s="15"/>
      <c r="AS207" s="21"/>
      <c r="AT207" s="15"/>
      <c r="AU207" s="15"/>
      <c r="AV207" s="15"/>
      <c r="AW207" s="15"/>
      <c r="AX207" s="15"/>
      <c r="AY207" s="15"/>
      <c r="AZ207" s="15"/>
      <c r="BA207" s="15"/>
      <c r="BB207" s="28"/>
      <c r="BC207" s="28"/>
      <c r="BD207" s="38"/>
      <c r="BE207" s="15"/>
      <c r="BF207" s="15"/>
      <c r="BG207" s="28"/>
      <c r="BH207" s="28"/>
      <c r="BI207" s="36"/>
    </row>
    <row r="208" spans="34:61" ht="15.75" customHeight="1" x14ac:dyDescent="0.25">
      <c r="AH208" s="15"/>
      <c r="AI208" s="21"/>
      <c r="AJ208" s="40"/>
      <c r="AK208" s="21"/>
      <c r="AL208" s="21"/>
      <c r="AM208" s="21"/>
      <c r="AN208" s="15"/>
      <c r="AO208" s="15"/>
      <c r="AP208" s="21"/>
      <c r="AQ208" s="21"/>
      <c r="AR208" s="15"/>
      <c r="AS208" s="21"/>
      <c r="AT208" s="15"/>
      <c r="AU208" s="15"/>
      <c r="AV208" s="15"/>
      <c r="AW208" s="15"/>
      <c r="AX208" s="15"/>
      <c r="AY208" s="15"/>
      <c r="AZ208" s="15"/>
      <c r="BA208" s="15"/>
      <c r="BB208" s="28"/>
      <c r="BC208" s="28"/>
      <c r="BD208" s="38"/>
      <c r="BE208" s="15"/>
      <c r="BF208" s="15"/>
      <c r="BG208" s="28"/>
      <c r="BH208" s="28"/>
      <c r="BI208" s="36"/>
    </row>
    <row r="209" spans="34:61" ht="15.75" customHeight="1" x14ac:dyDescent="0.25">
      <c r="AH209" s="15"/>
      <c r="AI209" s="21"/>
      <c r="AJ209" s="40"/>
      <c r="AK209" s="21"/>
      <c r="AL209" s="21"/>
      <c r="AM209" s="21"/>
      <c r="AN209" s="15"/>
      <c r="AO209" s="15"/>
      <c r="AP209" s="21"/>
      <c r="AQ209" s="21"/>
      <c r="AR209" s="15"/>
      <c r="AS209" s="21"/>
      <c r="AT209" s="15"/>
      <c r="AU209" s="15"/>
      <c r="AV209" s="15"/>
      <c r="AW209" s="15"/>
      <c r="AX209" s="15"/>
      <c r="AY209" s="15"/>
      <c r="AZ209" s="15"/>
      <c r="BA209" s="15"/>
      <c r="BB209" s="28"/>
      <c r="BC209" s="28"/>
      <c r="BD209" s="38"/>
      <c r="BE209" s="15"/>
      <c r="BF209" s="15"/>
      <c r="BG209" s="28"/>
      <c r="BH209" s="28"/>
      <c r="BI209" s="36"/>
    </row>
    <row r="210" spans="34:61" ht="15.75" customHeight="1" x14ac:dyDescent="0.25">
      <c r="AH210" s="15"/>
      <c r="AI210" s="21"/>
      <c r="AJ210" s="40"/>
      <c r="AK210" s="21"/>
      <c r="AL210" s="21"/>
      <c r="AM210" s="21"/>
      <c r="AN210" s="15"/>
      <c r="AO210" s="15"/>
      <c r="AP210" s="21"/>
      <c r="AQ210" s="21"/>
      <c r="AR210" s="15"/>
      <c r="AS210" s="21"/>
      <c r="AT210" s="15"/>
      <c r="AU210" s="15"/>
      <c r="AV210" s="15"/>
      <c r="AW210" s="15"/>
      <c r="AX210" s="15"/>
      <c r="AY210" s="15"/>
      <c r="AZ210" s="15"/>
      <c r="BA210" s="15"/>
      <c r="BB210" s="28"/>
      <c r="BC210" s="28"/>
      <c r="BD210" s="38"/>
      <c r="BE210" s="15"/>
      <c r="BF210" s="15"/>
      <c r="BG210" s="28"/>
      <c r="BH210" s="28"/>
      <c r="BI210" s="36"/>
    </row>
    <row r="211" spans="34:61" ht="15.75" customHeight="1" x14ac:dyDescent="0.25">
      <c r="AH211" s="15"/>
      <c r="AI211" s="21"/>
      <c r="AJ211" s="40"/>
      <c r="AK211" s="21"/>
      <c r="AL211" s="21"/>
      <c r="AM211" s="21"/>
      <c r="AN211" s="15"/>
      <c r="AO211" s="15"/>
      <c r="AP211" s="21"/>
      <c r="AQ211" s="21"/>
      <c r="AR211" s="15"/>
      <c r="AS211" s="21"/>
      <c r="AT211" s="15"/>
      <c r="AU211" s="15"/>
      <c r="AV211" s="15"/>
      <c r="AW211" s="15"/>
      <c r="AX211" s="15"/>
      <c r="AY211" s="15"/>
      <c r="AZ211" s="15"/>
      <c r="BA211" s="15"/>
      <c r="BB211" s="28"/>
      <c r="BC211" s="28"/>
      <c r="BD211" s="38"/>
      <c r="BE211" s="15"/>
      <c r="BF211" s="15"/>
      <c r="BG211" s="28"/>
      <c r="BH211" s="28"/>
      <c r="BI211" s="36"/>
    </row>
    <row r="212" spans="34:61" ht="15.75" customHeight="1" x14ac:dyDescent="0.25">
      <c r="AH212" s="15"/>
      <c r="AI212" s="21"/>
      <c r="AJ212" s="40"/>
      <c r="AK212" s="21"/>
      <c r="AL212" s="21"/>
      <c r="AM212" s="21"/>
      <c r="AN212" s="15"/>
      <c r="AO212" s="15"/>
      <c r="AP212" s="21"/>
      <c r="AQ212" s="21"/>
      <c r="AR212" s="15"/>
      <c r="AS212" s="21"/>
      <c r="AT212" s="15"/>
      <c r="AU212" s="15"/>
      <c r="AV212" s="15"/>
      <c r="AW212" s="15"/>
      <c r="AX212" s="15"/>
      <c r="AY212" s="15"/>
      <c r="AZ212" s="15"/>
      <c r="BA212" s="15"/>
      <c r="BB212" s="28"/>
      <c r="BC212" s="28"/>
      <c r="BD212" s="38"/>
      <c r="BE212" s="15"/>
      <c r="BF212" s="15"/>
      <c r="BG212" s="28"/>
      <c r="BH212" s="28"/>
      <c r="BI212" s="36"/>
    </row>
    <row r="213" spans="34:61" ht="15.75" customHeight="1" x14ac:dyDescent="0.25">
      <c r="AH213" s="15"/>
      <c r="AI213" s="21"/>
      <c r="AJ213" s="40"/>
      <c r="AK213" s="21"/>
      <c r="AL213" s="21"/>
      <c r="AM213" s="21"/>
      <c r="AN213" s="15"/>
      <c r="AO213" s="15"/>
      <c r="AP213" s="21"/>
      <c r="AQ213" s="21"/>
      <c r="AR213" s="15"/>
      <c r="AS213" s="21"/>
      <c r="AT213" s="15"/>
      <c r="AU213" s="15"/>
      <c r="AV213" s="15"/>
      <c r="AW213" s="15"/>
      <c r="AX213" s="15"/>
      <c r="AY213" s="15"/>
      <c r="AZ213" s="15"/>
      <c r="BA213" s="15"/>
      <c r="BB213" s="28"/>
      <c r="BC213" s="28"/>
      <c r="BD213" s="38"/>
      <c r="BE213" s="15"/>
      <c r="BF213" s="15"/>
      <c r="BG213" s="28"/>
      <c r="BH213" s="28"/>
      <c r="BI213" s="36"/>
    </row>
    <row r="214" spans="34:61" ht="15.75" customHeight="1" x14ac:dyDescent="0.25">
      <c r="AH214" s="15"/>
      <c r="AI214" s="21"/>
      <c r="AJ214" s="40"/>
      <c r="AK214" s="21"/>
      <c r="AL214" s="21"/>
      <c r="AM214" s="21"/>
      <c r="AN214" s="15"/>
      <c r="AO214" s="15"/>
      <c r="AP214" s="21"/>
      <c r="AQ214" s="21"/>
      <c r="AR214" s="15"/>
      <c r="AS214" s="21"/>
      <c r="AT214" s="15"/>
      <c r="AU214" s="15"/>
      <c r="AV214" s="15"/>
      <c r="AW214" s="15"/>
      <c r="AX214" s="15"/>
      <c r="AY214" s="15"/>
      <c r="AZ214" s="15"/>
      <c r="BA214" s="15"/>
      <c r="BB214" s="28"/>
      <c r="BC214" s="28"/>
      <c r="BD214" s="38"/>
      <c r="BE214" s="15"/>
      <c r="BF214" s="15"/>
      <c r="BG214" s="28"/>
      <c r="BH214" s="28"/>
      <c r="BI214" s="36"/>
    </row>
    <row r="215" spans="34:61" ht="15.75" customHeight="1" x14ac:dyDescent="0.25">
      <c r="AH215" s="15"/>
      <c r="AI215" s="21"/>
      <c r="AJ215" s="40"/>
      <c r="AK215" s="21"/>
      <c r="AL215" s="21"/>
      <c r="AM215" s="21"/>
      <c r="AN215" s="15"/>
      <c r="AO215" s="15"/>
      <c r="AP215" s="21"/>
      <c r="AQ215" s="21"/>
      <c r="AR215" s="15"/>
      <c r="AS215" s="21"/>
      <c r="AT215" s="15"/>
      <c r="AU215" s="15"/>
      <c r="AV215" s="15"/>
      <c r="AW215" s="15"/>
      <c r="AX215" s="15"/>
      <c r="AY215" s="15"/>
      <c r="AZ215" s="15"/>
      <c r="BA215" s="15"/>
      <c r="BB215" s="28"/>
      <c r="BC215" s="28"/>
      <c r="BD215" s="38"/>
      <c r="BE215" s="15"/>
      <c r="BF215" s="15"/>
      <c r="BG215" s="28"/>
      <c r="BH215" s="28"/>
      <c r="BI215" s="36"/>
    </row>
    <row r="216" spans="34:61" ht="15.75" customHeight="1" x14ac:dyDescent="0.25">
      <c r="AH216" s="15"/>
      <c r="AI216" s="21"/>
      <c r="AJ216" s="40"/>
      <c r="AK216" s="21"/>
      <c r="AL216" s="21"/>
      <c r="AM216" s="21"/>
      <c r="AN216" s="15"/>
      <c r="AO216" s="15"/>
      <c r="AP216" s="21"/>
      <c r="AQ216" s="21"/>
      <c r="AR216" s="15"/>
      <c r="AS216" s="21"/>
      <c r="AT216" s="15"/>
      <c r="AU216" s="15"/>
      <c r="AV216" s="15"/>
      <c r="AW216" s="15"/>
      <c r="AX216" s="15"/>
      <c r="AY216" s="15"/>
      <c r="AZ216" s="15"/>
      <c r="BA216" s="15"/>
      <c r="BB216" s="28"/>
      <c r="BC216" s="28"/>
      <c r="BD216" s="38"/>
      <c r="BE216" s="15"/>
      <c r="BF216" s="15"/>
      <c r="BG216" s="28"/>
      <c r="BH216" s="28"/>
      <c r="BI216" s="36"/>
    </row>
    <row r="217" spans="34:61" ht="15.75" customHeight="1" x14ac:dyDescent="0.25">
      <c r="AH217" s="15"/>
      <c r="AI217" s="21"/>
      <c r="AJ217" s="40"/>
      <c r="AK217" s="21"/>
      <c r="AL217" s="21"/>
      <c r="AM217" s="21"/>
      <c r="AN217" s="15"/>
      <c r="AO217" s="15"/>
      <c r="AP217" s="21"/>
      <c r="AQ217" s="21"/>
      <c r="AR217" s="15"/>
      <c r="AS217" s="21"/>
      <c r="AT217" s="15"/>
      <c r="AU217" s="15"/>
      <c r="AV217" s="15"/>
      <c r="AW217" s="15"/>
      <c r="AX217" s="15"/>
      <c r="AY217" s="15"/>
      <c r="AZ217" s="15"/>
      <c r="BA217" s="15"/>
      <c r="BB217" s="28"/>
      <c r="BC217" s="28"/>
      <c r="BD217" s="38"/>
      <c r="BE217" s="15"/>
      <c r="BF217" s="15"/>
      <c r="BG217" s="28"/>
      <c r="BH217" s="28"/>
      <c r="BI217" s="36"/>
    </row>
    <row r="218" spans="34:61" ht="15.75" customHeight="1" x14ac:dyDescent="0.25">
      <c r="AH218" s="15"/>
      <c r="AI218" s="21"/>
      <c r="AJ218" s="40"/>
      <c r="AK218" s="21"/>
      <c r="AL218" s="21"/>
      <c r="AM218" s="21"/>
      <c r="AN218" s="15"/>
      <c r="AO218" s="15"/>
      <c r="AP218" s="21"/>
      <c r="AQ218" s="21"/>
      <c r="AR218" s="15"/>
      <c r="AS218" s="21"/>
      <c r="AT218" s="15"/>
      <c r="AU218" s="15"/>
      <c r="AV218" s="15"/>
      <c r="AW218" s="15"/>
      <c r="AX218" s="15"/>
      <c r="AY218" s="15"/>
      <c r="AZ218" s="15"/>
      <c r="BA218" s="15"/>
      <c r="BB218" s="28"/>
      <c r="BC218" s="28"/>
      <c r="BD218" s="38"/>
      <c r="BE218" s="15"/>
      <c r="BF218" s="15"/>
      <c r="BG218" s="28"/>
      <c r="BH218" s="28"/>
      <c r="BI218" s="36"/>
    </row>
    <row r="219" spans="34:61" ht="15.75" customHeight="1" x14ac:dyDescent="0.25">
      <c r="AH219" s="15"/>
      <c r="AI219" s="21"/>
      <c r="AJ219" s="40"/>
      <c r="AK219" s="21"/>
      <c r="AL219" s="21"/>
      <c r="AM219" s="21"/>
      <c r="AN219" s="15"/>
      <c r="AO219" s="15"/>
      <c r="AP219" s="21"/>
      <c r="AQ219" s="21"/>
      <c r="AR219" s="15"/>
      <c r="AS219" s="21"/>
      <c r="AT219" s="15"/>
      <c r="AU219" s="15"/>
      <c r="AV219" s="15"/>
      <c r="AW219" s="15"/>
      <c r="AX219" s="15"/>
      <c r="AY219" s="15"/>
      <c r="AZ219" s="15"/>
      <c r="BA219" s="15"/>
      <c r="BB219" s="28"/>
      <c r="BC219" s="28"/>
      <c r="BD219" s="38"/>
      <c r="BE219" s="15"/>
      <c r="BF219" s="15"/>
      <c r="BG219" s="28"/>
      <c r="BH219" s="28"/>
      <c r="BI219" s="36"/>
    </row>
    <row r="220" spans="34:61" ht="15.75" customHeight="1" x14ac:dyDescent="0.25">
      <c r="AH220" s="15"/>
      <c r="AI220" s="21"/>
      <c r="AJ220" s="40"/>
      <c r="AK220" s="21"/>
      <c r="AL220" s="21"/>
      <c r="AM220" s="21"/>
      <c r="AN220" s="15"/>
      <c r="AO220" s="15"/>
      <c r="AP220" s="21"/>
      <c r="AQ220" s="21"/>
      <c r="AR220" s="15"/>
      <c r="AS220" s="21"/>
      <c r="AT220" s="15"/>
      <c r="AU220" s="15"/>
      <c r="AV220" s="15"/>
      <c r="AW220" s="15"/>
      <c r="AX220" s="15"/>
      <c r="AY220" s="15"/>
      <c r="AZ220" s="15"/>
      <c r="BA220" s="15"/>
      <c r="BB220" s="28"/>
      <c r="BC220" s="28"/>
      <c r="BD220" s="38"/>
      <c r="BE220" s="15"/>
      <c r="BF220" s="15"/>
      <c r="BG220" s="28"/>
      <c r="BH220" s="28"/>
      <c r="BI220" s="36"/>
    </row>
    <row r="221" spans="34:61" ht="15.75" customHeight="1" x14ac:dyDescent="0.25">
      <c r="AH221" s="15"/>
      <c r="AI221" s="21"/>
      <c r="AJ221" s="40"/>
      <c r="AK221" s="21"/>
      <c r="AL221" s="21"/>
      <c r="AM221" s="21"/>
      <c r="AN221" s="15"/>
      <c r="AO221" s="15"/>
      <c r="AP221" s="21"/>
      <c r="AQ221" s="21"/>
      <c r="AR221" s="15"/>
      <c r="AS221" s="21"/>
      <c r="AT221" s="15"/>
      <c r="AU221" s="15"/>
      <c r="AV221" s="15"/>
      <c r="AW221" s="15"/>
      <c r="AX221" s="15"/>
      <c r="AY221" s="15"/>
      <c r="AZ221" s="15"/>
      <c r="BA221" s="15"/>
      <c r="BB221" s="28"/>
      <c r="BC221" s="28"/>
      <c r="BD221" s="38"/>
      <c r="BE221" s="15"/>
      <c r="BF221" s="15"/>
      <c r="BG221" s="28"/>
      <c r="BH221" s="28"/>
      <c r="BI221" s="36"/>
    </row>
    <row r="222" spans="34:61" ht="15.75" customHeight="1" x14ac:dyDescent="0.25">
      <c r="AH222" s="15"/>
      <c r="AI222" s="21"/>
      <c r="AJ222" s="40"/>
      <c r="AK222" s="21"/>
      <c r="AL222" s="21"/>
      <c r="AM222" s="21"/>
      <c r="AN222" s="15"/>
      <c r="AO222" s="15"/>
      <c r="AP222" s="21"/>
      <c r="AQ222" s="21"/>
      <c r="AR222" s="15"/>
      <c r="AS222" s="21"/>
      <c r="AT222" s="15"/>
      <c r="AU222" s="15"/>
      <c r="AV222" s="15"/>
      <c r="AW222" s="15"/>
      <c r="AX222" s="15"/>
      <c r="AY222" s="15"/>
      <c r="AZ222" s="15"/>
      <c r="BA222" s="15"/>
      <c r="BB222" s="28"/>
      <c r="BC222" s="28"/>
      <c r="BD222" s="38"/>
      <c r="BE222" s="15"/>
      <c r="BF222" s="15"/>
      <c r="BG222" s="28"/>
      <c r="BH222" s="28"/>
      <c r="BI222" s="36"/>
    </row>
    <row r="223" spans="34:61" ht="15.75" customHeight="1" x14ac:dyDescent="0.25">
      <c r="AH223" s="15"/>
      <c r="AI223" s="21"/>
      <c r="AJ223" s="40"/>
      <c r="AK223" s="21"/>
      <c r="AL223" s="21"/>
      <c r="AM223" s="21"/>
      <c r="AN223" s="15"/>
      <c r="AO223" s="15"/>
      <c r="AP223" s="21"/>
      <c r="AQ223" s="21"/>
      <c r="AR223" s="15"/>
      <c r="AS223" s="21"/>
      <c r="AT223" s="15"/>
      <c r="AU223" s="15"/>
      <c r="AV223" s="15"/>
      <c r="AW223" s="15"/>
      <c r="AX223" s="15"/>
      <c r="AY223" s="15"/>
      <c r="AZ223" s="15"/>
      <c r="BA223" s="15"/>
      <c r="BB223" s="28"/>
      <c r="BC223" s="28"/>
      <c r="BD223" s="38"/>
      <c r="BE223" s="15"/>
      <c r="BF223" s="15"/>
      <c r="BG223" s="28"/>
      <c r="BH223" s="28"/>
      <c r="BI223" s="36"/>
    </row>
    <row r="224" spans="34:61" ht="15.75" customHeight="1" x14ac:dyDescent="0.25">
      <c r="AH224" s="15"/>
      <c r="AI224" s="21"/>
      <c r="AJ224" s="40"/>
      <c r="AK224" s="21"/>
      <c r="AL224" s="21"/>
      <c r="AM224" s="21"/>
      <c r="AN224" s="15"/>
      <c r="AO224" s="15"/>
      <c r="AP224" s="21"/>
      <c r="AQ224" s="21"/>
      <c r="AR224" s="15"/>
      <c r="AS224" s="21"/>
      <c r="AT224" s="15"/>
      <c r="AU224" s="15"/>
      <c r="AV224" s="15"/>
      <c r="AW224" s="15"/>
      <c r="AX224" s="15"/>
      <c r="AY224" s="15"/>
      <c r="AZ224" s="15"/>
      <c r="BA224" s="15"/>
      <c r="BB224" s="28"/>
      <c r="BC224" s="28"/>
      <c r="BD224" s="38"/>
      <c r="BE224" s="15"/>
      <c r="BF224" s="15"/>
      <c r="BG224" s="28"/>
      <c r="BH224" s="28"/>
      <c r="BI224" s="36"/>
    </row>
    <row r="225" spans="34:61" ht="15.75" customHeight="1" x14ac:dyDescent="0.25">
      <c r="AH225" s="15"/>
      <c r="AI225" s="21"/>
      <c r="AJ225" s="40"/>
      <c r="AK225" s="21"/>
      <c r="AL225" s="21"/>
      <c r="AM225" s="21"/>
      <c r="AN225" s="15"/>
      <c r="AO225" s="15"/>
      <c r="AP225" s="21"/>
      <c r="AQ225" s="21"/>
      <c r="AR225" s="15"/>
      <c r="AS225" s="21"/>
      <c r="AT225" s="15"/>
      <c r="AU225" s="15"/>
      <c r="AV225" s="15"/>
      <c r="AW225" s="15"/>
      <c r="AX225" s="15"/>
      <c r="AY225" s="15"/>
      <c r="AZ225" s="15"/>
      <c r="BA225" s="15"/>
      <c r="BB225" s="28"/>
      <c r="BC225" s="28"/>
      <c r="BD225" s="38"/>
      <c r="BE225" s="15"/>
      <c r="BF225" s="15"/>
      <c r="BG225" s="28"/>
      <c r="BH225" s="28"/>
      <c r="BI225" s="36"/>
    </row>
    <row r="226" spans="34:61" ht="15.75" customHeight="1" x14ac:dyDescent="0.25">
      <c r="AH226" s="15"/>
      <c r="AI226" s="21"/>
      <c r="AJ226" s="40"/>
      <c r="AK226" s="21"/>
      <c r="AL226" s="21"/>
      <c r="AM226" s="21"/>
      <c r="AN226" s="15"/>
      <c r="AO226" s="15"/>
      <c r="AP226" s="21"/>
      <c r="AQ226" s="21"/>
      <c r="AR226" s="15"/>
      <c r="AS226" s="21"/>
      <c r="AT226" s="15"/>
      <c r="AU226" s="15"/>
      <c r="AV226" s="15"/>
      <c r="AW226" s="15"/>
      <c r="AX226" s="15"/>
      <c r="AY226" s="15"/>
      <c r="AZ226" s="15"/>
      <c r="BA226" s="15"/>
      <c r="BB226" s="28"/>
      <c r="BC226" s="28"/>
      <c r="BD226" s="38"/>
      <c r="BE226" s="15"/>
      <c r="BF226" s="15"/>
      <c r="BG226" s="28"/>
      <c r="BH226" s="28"/>
      <c r="BI226" s="36"/>
    </row>
    <row r="227" spans="34:61" ht="15.75" customHeight="1" x14ac:dyDescent="0.25">
      <c r="AH227" s="15"/>
      <c r="AI227" s="21"/>
      <c r="AJ227" s="40"/>
      <c r="AK227" s="21"/>
      <c r="AL227" s="21"/>
      <c r="AM227" s="21"/>
      <c r="AN227" s="15"/>
      <c r="AO227" s="15"/>
      <c r="AP227" s="21"/>
      <c r="AQ227" s="21"/>
      <c r="AR227" s="15"/>
      <c r="AS227" s="21"/>
      <c r="AT227" s="15"/>
      <c r="AU227" s="15"/>
      <c r="AV227" s="15"/>
      <c r="AW227" s="15"/>
      <c r="AX227" s="15"/>
      <c r="AY227" s="15"/>
      <c r="AZ227" s="15"/>
      <c r="BA227" s="15"/>
      <c r="BB227" s="28"/>
      <c r="BC227" s="28"/>
      <c r="BD227" s="38"/>
      <c r="BE227" s="15"/>
      <c r="BF227" s="15"/>
      <c r="BG227" s="28"/>
      <c r="BH227" s="28"/>
      <c r="BI227" s="36"/>
    </row>
    <row r="228" spans="34:61" ht="15.75" customHeight="1" x14ac:dyDescent="0.25">
      <c r="AH228" s="15"/>
      <c r="AI228" s="21"/>
      <c r="AJ228" s="40"/>
      <c r="AK228" s="21"/>
      <c r="AL228" s="21"/>
      <c r="AM228" s="21"/>
      <c r="AN228" s="15"/>
      <c r="AO228" s="15"/>
      <c r="AP228" s="21"/>
      <c r="AQ228" s="21"/>
      <c r="AR228" s="15"/>
      <c r="AS228" s="21"/>
      <c r="AT228" s="15"/>
      <c r="AU228" s="15"/>
      <c r="AV228" s="15"/>
      <c r="AW228" s="15"/>
      <c r="AX228" s="15"/>
      <c r="AY228" s="15"/>
      <c r="AZ228" s="15"/>
      <c r="BA228" s="15"/>
      <c r="BB228" s="28"/>
      <c r="BC228" s="28"/>
      <c r="BD228" s="38"/>
      <c r="BE228" s="15"/>
      <c r="BF228" s="15"/>
      <c r="BG228" s="28"/>
      <c r="BH228" s="28"/>
      <c r="BI228" s="36"/>
    </row>
    <row r="229" spans="34:61" ht="15.75" customHeight="1" x14ac:dyDescent="0.25">
      <c r="AH229" s="15"/>
      <c r="AI229" s="21"/>
      <c r="AJ229" s="40"/>
      <c r="AK229" s="21"/>
      <c r="AL229" s="21"/>
      <c r="AM229" s="21"/>
      <c r="AN229" s="15"/>
      <c r="AO229" s="15"/>
      <c r="AP229" s="21"/>
      <c r="AQ229" s="21"/>
      <c r="AR229" s="15"/>
      <c r="AS229" s="21"/>
      <c r="AT229" s="15"/>
      <c r="AU229" s="15"/>
      <c r="AV229" s="15"/>
      <c r="AW229" s="15"/>
      <c r="AX229" s="15"/>
      <c r="AY229" s="15"/>
      <c r="AZ229" s="15"/>
      <c r="BA229" s="15"/>
      <c r="BB229" s="28"/>
      <c r="BC229" s="28"/>
      <c r="BD229" s="38"/>
      <c r="BE229" s="15"/>
      <c r="BF229" s="15"/>
      <c r="BG229" s="28"/>
      <c r="BH229" s="28"/>
      <c r="BI229" s="36"/>
    </row>
    <row r="230" spans="34:61" ht="15.75" customHeight="1" x14ac:dyDescent="0.25">
      <c r="AH230" s="15"/>
      <c r="AI230" s="21"/>
      <c r="AJ230" s="40"/>
      <c r="AK230" s="21"/>
      <c r="AL230" s="21"/>
      <c r="AM230" s="21"/>
      <c r="AN230" s="15"/>
      <c r="AO230" s="15"/>
      <c r="AP230" s="21"/>
      <c r="AQ230" s="21"/>
      <c r="AR230" s="15"/>
      <c r="AS230" s="21"/>
      <c r="AT230" s="15"/>
      <c r="AU230" s="15"/>
      <c r="AV230" s="15"/>
      <c r="AW230" s="15"/>
      <c r="AX230" s="15"/>
      <c r="AY230" s="15"/>
      <c r="AZ230" s="15"/>
      <c r="BA230" s="15"/>
      <c r="BB230" s="28"/>
      <c r="BC230" s="28"/>
      <c r="BD230" s="38"/>
      <c r="BE230" s="15"/>
      <c r="BF230" s="15"/>
      <c r="BG230" s="28"/>
      <c r="BH230" s="28"/>
      <c r="BI230" s="36"/>
    </row>
    <row r="231" spans="34:61" ht="15.75" customHeight="1" x14ac:dyDescent="0.25">
      <c r="AH231" s="15"/>
      <c r="AI231" s="21"/>
      <c r="AJ231" s="40"/>
      <c r="AK231" s="21"/>
      <c r="AL231" s="21"/>
      <c r="AM231" s="21"/>
      <c r="AN231" s="15"/>
      <c r="AO231" s="15"/>
      <c r="AP231" s="21"/>
      <c r="AQ231" s="21"/>
      <c r="AR231" s="15"/>
      <c r="AS231" s="21"/>
      <c r="AT231" s="15"/>
      <c r="AU231" s="15"/>
      <c r="AV231" s="15"/>
      <c r="AW231" s="15"/>
      <c r="AX231" s="15"/>
      <c r="AY231" s="15"/>
      <c r="AZ231" s="15"/>
      <c r="BA231" s="15"/>
      <c r="BB231" s="28"/>
      <c r="BC231" s="28"/>
      <c r="BD231" s="38"/>
      <c r="BE231" s="15"/>
      <c r="BF231" s="15"/>
      <c r="BG231" s="28"/>
      <c r="BH231" s="28"/>
      <c r="BI231" s="36"/>
    </row>
    <row r="232" spans="34:61" ht="15.75" customHeight="1" x14ac:dyDescent="0.25">
      <c r="AH232" s="15"/>
      <c r="AI232" s="21"/>
      <c r="AJ232" s="40"/>
      <c r="AK232" s="21"/>
      <c r="AL232" s="21"/>
      <c r="AM232" s="21"/>
      <c r="AN232" s="15"/>
      <c r="AO232" s="15"/>
      <c r="AP232" s="21"/>
      <c r="AQ232" s="21"/>
      <c r="AR232" s="15"/>
      <c r="AS232" s="21"/>
      <c r="AT232" s="15"/>
      <c r="AU232" s="15"/>
      <c r="AV232" s="15"/>
      <c r="AW232" s="15"/>
      <c r="AX232" s="15"/>
      <c r="AY232" s="15"/>
      <c r="AZ232" s="15"/>
      <c r="BA232" s="15"/>
      <c r="BB232" s="28"/>
      <c r="BC232" s="28"/>
      <c r="BD232" s="38"/>
      <c r="BE232" s="15"/>
      <c r="BF232" s="15"/>
      <c r="BG232" s="28"/>
      <c r="BH232" s="28"/>
      <c r="BI232" s="36"/>
    </row>
    <row r="233" spans="34:61" ht="15.75" customHeight="1" x14ac:dyDescent="0.25">
      <c r="AH233" s="15"/>
      <c r="AI233" s="21"/>
      <c r="AJ233" s="40"/>
      <c r="AK233" s="21"/>
      <c r="AL233" s="21"/>
      <c r="AM233" s="21"/>
      <c r="AN233" s="15"/>
      <c r="AO233" s="15"/>
      <c r="AP233" s="21"/>
      <c r="AQ233" s="21"/>
      <c r="AR233" s="15"/>
      <c r="AS233" s="21"/>
      <c r="AT233" s="15"/>
      <c r="AU233" s="15"/>
      <c r="AV233" s="15"/>
      <c r="AW233" s="15"/>
      <c r="AX233" s="15"/>
      <c r="AY233" s="15"/>
      <c r="AZ233" s="15"/>
      <c r="BA233" s="15"/>
      <c r="BB233" s="28"/>
      <c r="BC233" s="28"/>
      <c r="BD233" s="38"/>
      <c r="BE233" s="15"/>
      <c r="BF233" s="15"/>
      <c r="BG233" s="28"/>
      <c r="BH233" s="28"/>
      <c r="BI233" s="36"/>
    </row>
    <row r="234" spans="34:61" ht="15.75" customHeight="1" x14ac:dyDescent="0.25">
      <c r="AH234" s="15"/>
      <c r="AI234" s="21"/>
      <c r="AJ234" s="40"/>
      <c r="AK234" s="21"/>
      <c r="AL234" s="21"/>
      <c r="AM234" s="21"/>
      <c r="AN234" s="15"/>
      <c r="AO234" s="15"/>
      <c r="AP234" s="21"/>
      <c r="AQ234" s="21"/>
      <c r="AR234" s="15"/>
      <c r="AS234" s="21"/>
      <c r="AT234" s="15"/>
      <c r="AU234" s="15"/>
      <c r="AV234" s="15"/>
      <c r="AW234" s="15"/>
      <c r="AX234" s="15"/>
      <c r="AY234" s="15"/>
      <c r="AZ234" s="15"/>
      <c r="BA234" s="15"/>
      <c r="BB234" s="28"/>
      <c r="BC234" s="28"/>
      <c r="BD234" s="38"/>
      <c r="BE234" s="15"/>
      <c r="BF234" s="15"/>
      <c r="BG234" s="28"/>
      <c r="BH234" s="28"/>
      <c r="BI234" s="36"/>
    </row>
    <row r="235" spans="34:61" ht="15.75" customHeight="1" x14ac:dyDescent="0.25">
      <c r="AH235" s="15"/>
      <c r="AI235" s="21"/>
      <c r="AJ235" s="40"/>
      <c r="AK235" s="21"/>
      <c r="AL235" s="21"/>
      <c r="AM235" s="21"/>
      <c r="AN235" s="15"/>
      <c r="AO235" s="15"/>
      <c r="AP235" s="21"/>
      <c r="AQ235" s="21"/>
      <c r="AR235" s="15"/>
      <c r="AS235" s="21"/>
      <c r="AT235" s="15"/>
      <c r="AU235" s="15"/>
      <c r="AV235" s="15"/>
      <c r="AW235" s="15"/>
      <c r="AX235" s="15"/>
      <c r="AY235" s="15"/>
      <c r="AZ235" s="15"/>
      <c r="BA235" s="15"/>
      <c r="BB235" s="28"/>
      <c r="BC235" s="28"/>
      <c r="BD235" s="38"/>
      <c r="BE235" s="15"/>
      <c r="BF235" s="15"/>
      <c r="BG235" s="28"/>
      <c r="BH235" s="28"/>
      <c r="BI235" s="36"/>
    </row>
    <row r="236" spans="34:61" ht="15.75" customHeight="1" x14ac:dyDescent="0.25">
      <c r="AH236" s="15"/>
      <c r="AI236" s="21"/>
      <c r="AJ236" s="40"/>
      <c r="AK236" s="21"/>
      <c r="AL236" s="21"/>
      <c r="AM236" s="21"/>
      <c r="AN236" s="15"/>
      <c r="AO236" s="15"/>
      <c r="AP236" s="21"/>
      <c r="AQ236" s="21"/>
      <c r="AR236" s="15"/>
      <c r="AS236" s="21"/>
      <c r="AT236" s="15"/>
      <c r="AU236" s="15"/>
      <c r="AV236" s="15"/>
      <c r="AW236" s="15"/>
      <c r="AX236" s="15"/>
      <c r="AY236" s="15"/>
      <c r="AZ236" s="15"/>
      <c r="BA236" s="15"/>
      <c r="BB236" s="28"/>
      <c r="BC236" s="28"/>
      <c r="BD236" s="38"/>
      <c r="BE236" s="15"/>
      <c r="BF236" s="15"/>
      <c r="BG236" s="28"/>
      <c r="BH236" s="28"/>
      <c r="BI236" s="36"/>
    </row>
    <row r="237" spans="34:61" ht="15.75" customHeight="1" x14ac:dyDescent="0.25">
      <c r="AH237" s="15"/>
      <c r="AI237" s="21"/>
      <c r="AJ237" s="40"/>
      <c r="AK237" s="21"/>
      <c r="AL237" s="21"/>
      <c r="AM237" s="21"/>
      <c r="AN237" s="15"/>
      <c r="AO237" s="15"/>
      <c r="AP237" s="21"/>
      <c r="AQ237" s="21"/>
      <c r="AR237" s="15"/>
      <c r="AS237" s="21"/>
      <c r="AT237" s="15"/>
      <c r="AU237" s="15"/>
      <c r="AV237" s="15"/>
      <c r="AW237" s="15"/>
      <c r="AX237" s="15"/>
      <c r="AY237" s="15"/>
      <c r="AZ237" s="15"/>
      <c r="BA237" s="15"/>
      <c r="BB237" s="28"/>
      <c r="BC237" s="28"/>
      <c r="BD237" s="38"/>
      <c r="BE237" s="15"/>
      <c r="BF237" s="15"/>
      <c r="BG237" s="28"/>
      <c r="BH237" s="28"/>
      <c r="BI237" s="36"/>
    </row>
    <row r="238" spans="34:61" ht="15.75" customHeight="1" x14ac:dyDescent="0.25">
      <c r="AH238" s="15"/>
      <c r="AI238" s="21"/>
      <c r="AJ238" s="40"/>
      <c r="AK238" s="21"/>
      <c r="AL238" s="21"/>
      <c r="AM238" s="21"/>
      <c r="AN238" s="15"/>
      <c r="AO238" s="15"/>
      <c r="AP238" s="21"/>
      <c r="AQ238" s="21"/>
      <c r="AR238" s="15"/>
      <c r="AS238" s="21"/>
      <c r="AT238" s="15"/>
      <c r="AU238" s="15"/>
      <c r="AV238" s="15"/>
      <c r="AW238" s="15"/>
      <c r="AX238" s="15"/>
      <c r="AY238" s="15"/>
      <c r="AZ238" s="15"/>
      <c r="BA238" s="15"/>
      <c r="BB238" s="28"/>
      <c r="BC238" s="28"/>
      <c r="BD238" s="38"/>
      <c r="BE238" s="15"/>
      <c r="BF238" s="15"/>
      <c r="BG238" s="28"/>
      <c r="BH238" s="28"/>
      <c r="BI238" s="36"/>
    </row>
    <row r="239" spans="34:61" ht="15.75" customHeight="1" x14ac:dyDescent="0.25">
      <c r="AH239" s="15"/>
      <c r="AI239" s="21"/>
      <c r="AJ239" s="40"/>
      <c r="AK239" s="21"/>
      <c r="AL239" s="21"/>
      <c r="AM239" s="21"/>
      <c r="AN239" s="15"/>
      <c r="AO239" s="15"/>
      <c r="AP239" s="21"/>
      <c r="AQ239" s="21"/>
      <c r="AR239" s="15"/>
      <c r="AS239" s="21"/>
      <c r="AT239" s="15"/>
      <c r="AU239" s="15"/>
      <c r="AV239" s="15"/>
      <c r="AW239" s="15"/>
      <c r="AX239" s="15"/>
      <c r="AY239" s="15"/>
      <c r="AZ239" s="15"/>
      <c r="BA239" s="15"/>
      <c r="BB239" s="28"/>
      <c r="BC239" s="28"/>
      <c r="BD239" s="38"/>
      <c r="BE239" s="15"/>
      <c r="BF239" s="15"/>
      <c r="BG239" s="28"/>
      <c r="BH239" s="28"/>
      <c r="BI239" s="36"/>
    </row>
    <row r="240" spans="34:61" ht="15.75" customHeight="1" x14ac:dyDescent="0.25">
      <c r="AH240" s="15"/>
      <c r="AI240" s="21"/>
      <c r="AJ240" s="40"/>
      <c r="AK240" s="21"/>
      <c r="AL240" s="21"/>
      <c r="AM240" s="21"/>
      <c r="AN240" s="15"/>
      <c r="AO240" s="15"/>
      <c r="AP240" s="21"/>
      <c r="AQ240" s="21"/>
      <c r="AR240" s="15"/>
      <c r="AS240" s="21"/>
      <c r="AT240" s="15"/>
      <c r="AU240" s="15"/>
      <c r="AV240" s="15"/>
      <c r="AW240" s="15"/>
      <c r="AX240" s="15"/>
      <c r="AY240" s="15"/>
      <c r="AZ240" s="15"/>
      <c r="BA240" s="15"/>
      <c r="BB240" s="28"/>
      <c r="BC240" s="28"/>
      <c r="BD240" s="38"/>
      <c r="BE240" s="15"/>
      <c r="BF240" s="15"/>
      <c r="BG240" s="28"/>
      <c r="BH240" s="28"/>
      <c r="BI240" s="36"/>
    </row>
    <row r="241" spans="34:61" ht="15.75" customHeight="1" x14ac:dyDescent="0.25">
      <c r="AH241" s="15"/>
      <c r="AI241" s="21"/>
      <c r="AJ241" s="40"/>
      <c r="AK241" s="21"/>
      <c r="AL241" s="21"/>
      <c r="AM241" s="21"/>
      <c r="AN241" s="15"/>
      <c r="AO241" s="15"/>
      <c r="AP241" s="21"/>
      <c r="AQ241" s="21"/>
      <c r="AR241" s="15"/>
      <c r="AS241" s="21"/>
      <c r="AT241" s="15"/>
      <c r="AU241" s="15"/>
      <c r="AV241" s="15"/>
      <c r="AW241" s="15"/>
      <c r="AX241" s="15"/>
      <c r="AY241" s="15"/>
      <c r="AZ241" s="15"/>
      <c r="BA241" s="15"/>
      <c r="BB241" s="28"/>
      <c r="BC241" s="28"/>
      <c r="BD241" s="38"/>
      <c r="BE241" s="15"/>
      <c r="BF241" s="15"/>
      <c r="BG241" s="28"/>
      <c r="BH241" s="28"/>
      <c r="BI241" s="36"/>
    </row>
    <row r="242" spans="34:61" ht="15.75" customHeight="1" x14ac:dyDescent="0.25">
      <c r="AH242" s="15"/>
      <c r="AI242" s="21"/>
      <c r="AJ242" s="40"/>
      <c r="AK242" s="21"/>
      <c r="AL242" s="21"/>
      <c r="AM242" s="21"/>
      <c r="AN242" s="15"/>
      <c r="AO242" s="15"/>
      <c r="AP242" s="21"/>
      <c r="AQ242" s="21"/>
      <c r="AR242" s="15"/>
      <c r="AS242" s="21"/>
      <c r="AT242" s="15"/>
      <c r="AU242" s="15"/>
      <c r="AV242" s="15"/>
      <c r="AW242" s="15"/>
      <c r="AX242" s="15"/>
      <c r="AY242" s="15"/>
      <c r="AZ242" s="15"/>
      <c r="BA242" s="15"/>
      <c r="BB242" s="28"/>
      <c r="BC242" s="28"/>
      <c r="BD242" s="38"/>
      <c r="BE242" s="15"/>
      <c r="BF242" s="15"/>
      <c r="BG242" s="28"/>
      <c r="BH242" s="28"/>
      <c r="BI242" s="36"/>
    </row>
    <row r="243" spans="34:61" ht="15.75" customHeight="1" x14ac:dyDescent="0.25">
      <c r="AH243" s="15"/>
      <c r="AI243" s="21"/>
      <c r="AJ243" s="40"/>
      <c r="AK243" s="21"/>
      <c r="AL243" s="21"/>
      <c r="AM243" s="21"/>
      <c r="AN243" s="15"/>
      <c r="AO243" s="15"/>
      <c r="AP243" s="21"/>
      <c r="AQ243" s="21"/>
      <c r="AR243" s="15"/>
      <c r="AS243" s="21"/>
      <c r="AT243" s="15"/>
      <c r="AU243" s="15"/>
      <c r="AV243" s="15"/>
      <c r="AW243" s="15"/>
      <c r="AX243" s="15"/>
      <c r="AY243" s="15"/>
      <c r="AZ243" s="15"/>
      <c r="BA243" s="15"/>
      <c r="BB243" s="28"/>
      <c r="BC243" s="28"/>
      <c r="BD243" s="38"/>
      <c r="BE243" s="15"/>
      <c r="BF243" s="15"/>
      <c r="BG243" s="28"/>
      <c r="BH243" s="28"/>
      <c r="BI243" s="36"/>
    </row>
    <row r="244" spans="34:61" ht="15.75" customHeight="1" x14ac:dyDescent="0.25">
      <c r="AH244" s="15"/>
      <c r="AI244" s="21"/>
      <c r="AJ244" s="40"/>
      <c r="AK244" s="21"/>
      <c r="AL244" s="21"/>
      <c r="AM244" s="21"/>
      <c r="AN244" s="15"/>
      <c r="AO244" s="15"/>
      <c r="AP244" s="21"/>
      <c r="AQ244" s="21"/>
      <c r="AR244" s="15"/>
      <c r="AS244" s="21"/>
      <c r="AT244" s="15"/>
      <c r="AU244" s="15"/>
      <c r="AV244" s="15"/>
      <c r="AW244" s="15"/>
      <c r="AX244" s="15"/>
      <c r="AY244" s="15"/>
      <c r="AZ244" s="15"/>
      <c r="BA244" s="15"/>
      <c r="BB244" s="28"/>
      <c r="BC244" s="28"/>
      <c r="BD244" s="38"/>
      <c r="BE244" s="15"/>
      <c r="BF244" s="15"/>
      <c r="BG244" s="28"/>
      <c r="BH244" s="28"/>
      <c r="BI244" s="36"/>
    </row>
    <row r="245" spans="34:61" ht="15.75" customHeight="1" x14ac:dyDescent="0.25">
      <c r="AH245" s="15"/>
      <c r="AI245" s="21"/>
      <c r="AJ245" s="40"/>
      <c r="AK245" s="21"/>
      <c r="AL245" s="21"/>
      <c r="AM245" s="21"/>
      <c r="AN245" s="15"/>
      <c r="AO245" s="15"/>
      <c r="AP245" s="21"/>
      <c r="AQ245" s="21"/>
      <c r="AR245" s="15"/>
      <c r="AS245" s="21"/>
      <c r="AT245" s="15"/>
      <c r="AU245" s="15"/>
      <c r="AV245" s="15"/>
      <c r="AW245" s="15"/>
      <c r="AX245" s="15"/>
      <c r="AY245" s="15"/>
      <c r="AZ245" s="15"/>
      <c r="BA245" s="15"/>
      <c r="BB245" s="28"/>
      <c r="BC245" s="28"/>
      <c r="BD245" s="38"/>
      <c r="BE245" s="15"/>
      <c r="BF245" s="15"/>
      <c r="BG245" s="28"/>
      <c r="BH245" s="28"/>
      <c r="BI245" s="36"/>
    </row>
    <row r="246" spans="34:61" ht="15.75" customHeight="1" x14ac:dyDescent="0.25">
      <c r="AH246" s="15"/>
      <c r="AI246" s="21"/>
      <c r="AJ246" s="40"/>
      <c r="AK246" s="21"/>
      <c r="AL246" s="21"/>
      <c r="AM246" s="21"/>
      <c r="AN246" s="15"/>
      <c r="AO246" s="15"/>
      <c r="AP246" s="21"/>
      <c r="AQ246" s="21"/>
      <c r="AR246" s="15"/>
      <c r="AS246" s="21"/>
      <c r="AT246" s="15"/>
      <c r="AU246" s="15"/>
      <c r="AV246" s="15"/>
      <c r="AW246" s="15"/>
      <c r="AX246" s="15"/>
      <c r="AY246" s="15"/>
      <c r="AZ246" s="15"/>
      <c r="BA246" s="15"/>
      <c r="BB246" s="28"/>
      <c r="BC246" s="28"/>
      <c r="BD246" s="38"/>
      <c r="BE246" s="15"/>
      <c r="BF246" s="15"/>
      <c r="BG246" s="28"/>
      <c r="BH246" s="28"/>
      <c r="BI246" s="36"/>
    </row>
    <row r="247" spans="34:61" ht="15.75" customHeight="1" x14ac:dyDescent="0.25">
      <c r="AH247" s="15"/>
      <c r="AI247" s="21"/>
      <c r="AJ247" s="40"/>
      <c r="AK247" s="21"/>
      <c r="AL247" s="21"/>
      <c r="AM247" s="21"/>
      <c r="AN247" s="15"/>
      <c r="AO247" s="15"/>
      <c r="AP247" s="21"/>
      <c r="AQ247" s="21"/>
      <c r="AR247" s="15"/>
      <c r="AS247" s="21"/>
      <c r="AT247" s="15"/>
      <c r="AU247" s="15"/>
      <c r="AV247" s="15"/>
      <c r="AW247" s="15"/>
      <c r="AX247" s="15"/>
      <c r="AY247" s="15"/>
      <c r="AZ247" s="15"/>
      <c r="BA247" s="15"/>
      <c r="BB247" s="28"/>
      <c r="BC247" s="28"/>
      <c r="BD247" s="38"/>
      <c r="BE247" s="15"/>
      <c r="BF247" s="15"/>
      <c r="BG247" s="28"/>
      <c r="BH247" s="28"/>
      <c r="BI247" s="36"/>
    </row>
    <row r="248" spans="34:61" ht="15.75" customHeight="1" x14ac:dyDescent="0.25">
      <c r="AH248" s="15"/>
      <c r="AI248" s="21"/>
      <c r="AJ248" s="40"/>
      <c r="AK248" s="21"/>
      <c r="AL248" s="21"/>
      <c r="AM248" s="21"/>
      <c r="AN248" s="15"/>
      <c r="AO248" s="15"/>
      <c r="AP248" s="21"/>
      <c r="AQ248" s="21"/>
      <c r="AR248" s="15"/>
      <c r="AS248" s="21"/>
      <c r="AT248" s="15"/>
      <c r="AU248" s="15"/>
      <c r="AV248" s="15"/>
      <c r="AW248" s="15"/>
      <c r="AX248" s="15"/>
      <c r="AY248" s="15"/>
      <c r="AZ248" s="15"/>
      <c r="BA248" s="15"/>
      <c r="BB248" s="28"/>
      <c r="BC248" s="28"/>
      <c r="BD248" s="38"/>
      <c r="BE248" s="15"/>
      <c r="BF248" s="15"/>
      <c r="BG248" s="28"/>
      <c r="BH248" s="28"/>
      <c r="BI248" s="36"/>
    </row>
    <row r="249" spans="34:61" ht="15.75" customHeight="1" x14ac:dyDescent="0.25">
      <c r="AH249" s="15"/>
      <c r="AI249" s="21"/>
      <c r="AJ249" s="40"/>
      <c r="AK249" s="21"/>
      <c r="AL249" s="21"/>
      <c r="AM249" s="21"/>
      <c r="AN249" s="15"/>
      <c r="AO249" s="15"/>
      <c r="AP249" s="21"/>
      <c r="AQ249" s="21"/>
      <c r="AR249" s="15"/>
      <c r="AS249" s="21"/>
      <c r="AT249" s="15"/>
      <c r="AU249" s="15"/>
      <c r="AV249" s="15"/>
      <c r="AW249" s="15"/>
      <c r="AX249" s="15"/>
      <c r="AY249" s="15"/>
      <c r="AZ249" s="15"/>
      <c r="BA249" s="15"/>
      <c r="BB249" s="28"/>
      <c r="BC249" s="28"/>
      <c r="BD249" s="38"/>
      <c r="BE249" s="15"/>
      <c r="BF249" s="15"/>
      <c r="BG249" s="28"/>
      <c r="BH249" s="28"/>
      <c r="BI249" s="36"/>
    </row>
    <row r="250" spans="34:61" ht="15.75" customHeight="1" x14ac:dyDescent="0.25">
      <c r="AH250" s="15"/>
      <c r="AI250" s="21"/>
      <c r="AJ250" s="40"/>
      <c r="AK250" s="21"/>
      <c r="AL250" s="21"/>
      <c r="AM250" s="21"/>
      <c r="AN250" s="15"/>
      <c r="AO250" s="15"/>
      <c r="AP250" s="21"/>
      <c r="AQ250" s="21"/>
      <c r="AR250" s="15"/>
      <c r="AS250" s="21"/>
      <c r="AT250" s="15"/>
      <c r="AU250" s="15"/>
      <c r="AV250" s="15"/>
      <c r="AW250" s="15"/>
      <c r="AX250" s="15"/>
      <c r="AY250" s="15"/>
      <c r="AZ250" s="15"/>
      <c r="BA250" s="15"/>
      <c r="BB250" s="28"/>
      <c r="BC250" s="28"/>
      <c r="BD250" s="38"/>
      <c r="BE250" s="15"/>
      <c r="BF250" s="15"/>
      <c r="BG250" s="28"/>
      <c r="BH250" s="28"/>
      <c r="BI250" s="36"/>
    </row>
    <row r="251" spans="34:61" ht="15.75" customHeight="1" x14ac:dyDescent="0.25">
      <c r="AH251" s="15"/>
      <c r="AI251" s="21"/>
      <c r="AJ251" s="40"/>
      <c r="AK251" s="21"/>
      <c r="AL251" s="21"/>
      <c r="AM251" s="21"/>
      <c r="AN251" s="15"/>
      <c r="AO251" s="15"/>
      <c r="AP251" s="21"/>
      <c r="AQ251" s="21"/>
      <c r="AR251" s="15"/>
      <c r="AS251" s="21"/>
      <c r="AT251" s="15"/>
      <c r="AU251" s="15"/>
      <c r="AV251" s="15"/>
      <c r="AW251" s="15"/>
      <c r="AX251" s="15"/>
      <c r="AY251" s="15"/>
      <c r="AZ251" s="15"/>
      <c r="BA251" s="15"/>
      <c r="BB251" s="28"/>
      <c r="BC251" s="28"/>
      <c r="BD251" s="38"/>
      <c r="BE251" s="15"/>
      <c r="BF251" s="15"/>
      <c r="BG251" s="28"/>
      <c r="BH251" s="28"/>
      <c r="BI251" s="36"/>
    </row>
    <row r="252" spans="34:61" ht="15.75" customHeight="1" x14ac:dyDescent="0.25">
      <c r="AH252" s="15"/>
      <c r="AI252" s="21"/>
      <c r="AJ252" s="40"/>
      <c r="AK252" s="21"/>
      <c r="AL252" s="21"/>
      <c r="AM252" s="21"/>
      <c r="AN252" s="15"/>
      <c r="AO252" s="15"/>
      <c r="AP252" s="21"/>
      <c r="AQ252" s="21"/>
      <c r="AR252" s="15"/>
      <c r="AS252" s="21"/>
      <c r="AT252" s="15"/>
      <c r="AU252" s="15"/>
      <c r="AV252" s="15"/>
      <c r="AW252" s="15"/>
      <c r="AX252" s="15"/>
      <c r="AY252" s="15"/>
      <c r="AZ252" s="15"/>
      <c r="BA252" s="15"/>
      <c r="BB252" s="28"/>
      <c r="BC252" s="28"/>
      <c r="BD252" s="38"/>
      <c r="BE252" s="15"/>
      <c r="BF252" s="15"/>
      <c r="BG252" s="28"/>
      <c r="BH252" s="28"/>
      <c r="BI252" s="36"/>
    </row>
    <row r="253" spans="34:61" ht="15.75" customHeight="1" x14ac:dyDescent="0.25">
      <c r="AH253" s="15"/>
      <c r="AI253" s="21"/>
      <c r="AJ253" s="40"/>
      <c r="AK253" s="21"/>
      <c r="AL253" s="21"/>
      <c r="AM253" s="21"/>
      <c r="AN253" s="15"/>
      <c r="AO253" s="15"/>
      <c r="AP253" s="21"/>
      <c r="AQ253" s="21"/>
      <c r="AR253" s="15"/>
      <c r="AS253" s="21"/>
      <c r="AT253" s="15"/>
      <c r="AU253" s="15"/>
      <c r="AV253" s="15"/>
      <c r="AW253" s="15"/>
      <c r="AX253" s="15"/>
      <c r="AY253" s="15"/>
      <c r="AZ253" s="15"/>
      <c r="BA253" s="15"/>
      <c r="BB253" s="28"/>
      <c r="BC253" s="28"/>
      <c r="BD253" s="38"/>
      <c r="BE253" s="15"/>
      <c r="BF253" s="15"/>
      <c r="BG253" s="28"/>
      <c r="BH253" s="28"/>
      <c r="BI253" s="36"/>
    </row>
    <row r="254" spans="34:61" ht="15.75" customHeight="1" x14ac:dyDescent="0.25">
      <c r="AH254" s="15"/>
      <c r="AI254" s="21"/>
      <c r="AJ254" s="40"/>
      <c r="AK254" s="21"/>
      <c r="AL254" s="21"/>
      <c r="AM254" s="21"/>
      <c r="AN254" s="15"/>
      <c r="AO254" s="15"/>
      <c r="AP254" s="21"/>
      <c r="AQ254" s="21"/>
      <c r="AR254" s="15"/>
      <c r="AS254" s="21"/>
      <c r="AT254" s="15"/>
      <c r="AU254" s="15"/>
      <c r="AV254" s="15"/>
      <c r="AW254" s="15"/>
      <c r="AX254" s="15"/>
      <c r="AY254" s="15"/>
      <c r="AZ254" s="15"/>
      <c r="BA254" s="15"/>
      <c r="BB254" s="28"/>
      <c r="BC254" s="28"/>
      <c r="BD254" s="38"/>
      <c r="BE254" s="15"/>
      <c r="BF254" s="15"/>
      <c r="BG254" s="28"/>
      <c r="BH254" s="28"/>
      <c r="BI254" s="36"/>
    </row>
    <row r="255" spans="34:61" ht="15.75" customHeight="1" x14ac:dyDescent="0.25">
      <c r="AH255" s="15"/>
      <c r="AI255" s="21"/>
      <c r="AJ255" s="40"/>
      <c r="AK255" s="21"/>
      <c r="AL255" s="21"/>
      <c r="AM255" s="21"/>
      <c r="AN255" s="15"/>
      <c r="AO255" s="15"/>
      <c r="AP255" s="21"/>
      <c r="AQ255" s="21"/>
      <c r="AR255" s="15"/>
      <c r="AS255" s="21"/>
      <c r="AT255" s="15"/>
      <c r="AU255" s="15"/>
      <c r="AV255" s="15"/>
      <c r="AW255" s="15"/>
      <c r="AX255" s="15"/>
      <c r="AY255" s="15"/>
      <c r="AZ255" s="15"/>
      <c r="BA255" s="15"/>
      <c r="BB255" s="28"/>
      <c r="BC255" s="28"/>
      <c r="BD255" s="38"/>
      <c r="BE255" s="15"/>
      <c r="BF255" s="15"/>
      <c r="BG255" s="28"/>
      <c r="BH255" s="28"/>
      <c r="BI255" s="36"/>
    </row>
    <row r="256" spans="34:61" ht="15.75" customHeight="1" x14ac:dyDescent="0.25">
      <c r="AH256" s="15"/>
      <c r="AI256" s="21"/>
      <c r="AJ256" s="40"/>
      <c r="AK256" s="21"/>
      <c r="AL256" s="21"/>
      <c r="AM256" s="21"/>
      <c r="AN256" s="15"/>
      <c r="AO256" s="15"/>
      <c r="AP256" s="21"/>
      <c r="AQ256" s="21"/>
      <c r="AR256" s="15"/>
      <c r="AS256" s="21"/>
      <c r="AT256" s="15"/>
      <c r="AU256" s="15"/>
      <c r="AV256" s="15"/>
      <c r="AW256" s="15"/>
      <c r="AX256" s="15"/>
      <c r="AY256" s="15"/>
      <c r="AZ256" s="15"/>
      <c r="BA256" s="15"/>
      <c r="BB256" s="28"/>
      <c r="BC256" s="28"/>
      <c r="BD256" s="38"/>
      <c r="BE256" s="15"/>
      <c r="BF256" s="15"/>
      <c r="BG256" s="28"/>
      <c r="BH256" s="28"/>
      <c r="BI256" s="36"/>
    </row>
    <row r="257" spans="34:61" ht="15.75" customHeight="1" x14ac:dyDescent="0.25">
      <c r="AH257" s="15"/>
      <c r="AI257" s="21"/>
      <c r="AJ257" s="40"/>
      <c r="AK257" s="21"/>
      <c r="AL257" s="21"/>
      <c r="AM257" s="21"/>
      <c r="AN257" s="15"/>
      <c r="AO257" s="15"/>
      <c r="AP257" s="21"/>
      <c r="AQ257" s="21"/>
      <c r="AR257" s="15"/>
      <c r="AS257" s="21"/>
      <c r="AT257" s="15"/>
      <c r="AU257" s="15"/>
      <c r="AV257" s="15"/>
      <c r="AW257" s="15"/>
      <c r="AX257" s="15"/>
      <c r="AY257" s="15"/>
      <c r="AZ257" s="15"/>
      <c r="BA257" s="15"/>
      <c r="BB257" s="28"/>
      <c r="BC257" s="28"/>
      <c r="BD257" s="38"/>
      <c r="BE257" s="15"/>
      <c r="BF257" s="15"/>
      <c r="BG257" s="28"/>
      <c r="BH257" s="28"/>
      <c r="BI257" s="36"/>
    </row>
    <row r="258" spans="34:61" ht="15.75" customHeight="1" x14ac:dyDescent="0.25">
      <c r="AH258" s="15"/>
      <c r="AI258" s="21"/>
      <c r="AJ258" s="40"/>
      <c r="AK258" s="21"/>
      <c r="AL258" s="21"/>
      <c r="AM258" s="21"/>
      <c r="AN258" s="15"/>
      <c r="AO258" s="15"/>
      <c r="AP258" s="21"/>
      <c r="AQ258" s="21"/>
      <c r="AR258" s="15"/>
      <c r="AS258" s="21"/>
      <c r="AT258" s="15"/>
      <c r="AU258" s="15"/>
      <c r="AV258" s="15"/>
      <c r="AW258" s="15"/>
      <c r="AX258" s="15"/>
      <c r="AY258" s="15"/>
      <c r="AZ258" s="15"/>
      <c r="BA258" s="15"/>
      <c r="BB258" s="28"/>
      <c r="BC258" s="28"/>
      <c r="BD258" s="38"/>
      <c r="BE258" s="15"/>
      <c r="BF258" s="15"/>
      <c r="BG258" s="28"/>
      <c r="BH258" s="28"/>
      <c r="BI258" s="36"/>
    </row>
    <row r="259" spans="34:61" ht="15.75" customHeight="1" x14ac:dyDescent="0.25">
      <c r="AH259" s="15"/>
      <c r="AI259" s="21"/>
      <c r="AJ259" s="40"/>
      <c r="AK259" s="21"/>
      <c r="AL259" s="21"/>
      <c r="AM259" s="21"/>
      <c r="AN259" s="15"/>
      <c r="AO259" s="15"/>
      <c r="AP259" s="21"/>
      <c r="AQ259" s="21"/>
      <c r="AR259" s="15"/>
      <c r="AS259" s="21"/>
      <c r="AT259" s="15"/>
      <c r="AU259" s="15"/>
      <c r="AV259" s="15"/>
      <c r="AW259" s="15"/>
      <c r="AX259" s="15"/>
      <c r="AY259" s="15"/>
      <c r="AZ259" s="15"/>
      <c r="BA259" s="15"/>
      <c r="BB259" s="28"/>
      <c r="BC259" s="28"/>
      <c r="BD259" s="38"/>
      <c r="BE259" s="15"/>
      <c r="BF259" s="15"/>
      <c r="BG259" s="28"/>
      <c r="BH259" s="28"/>
      <c r="BI259" s="36"/>
    </row>
    <row r="260" spans="34:61" ht="15.75" customHeight="1" x14ac:dyDescent="0.25">
      <c r="AH260" s="15"/>
      <c r="AI260" s="21"/>
      <c r="AJ260" s="40"/>
      <c r="AK260" s="21"/>
      <c r="AL260" s="21"/>
      <c r="AM260" s="21"/>
      <c r="AN260" s="15"/>
      <c r="AO260" s="15"/>
      <c r="AP260" s="21"/>
      <c r="AQ260" s="21"/>
      <c r="AR260" s="15"/>
      <c r="AS260" s="21"/>
      <c r="AT260" s="15"/>
      <c r="AU260" s="15"/>
      <c r="AV260" s="15"/>
      <c r="AW260" s="15"/>
      <c r="AX260" s="15"/>
      <c r="AY260" s="15"/>
      <c r="AZ260" s="15"/>
      <c r="BA260" s="15"/>
      <c r="BB260" s="28"/>
      <c r="BC260" s="28"/>
      <c r="BD260" s="38"/>
      <c r="BE260" s="15"/>
      <c r="BF260" s="15"/>
      <c r="BG260" s="28"/>
      <c r="BH260" s="28"/>
      <c r="BI260" s="36"/>
    </row>
    <row r="261" spans="34:61" ht="15.75" customHeight="1" x14ac:dyDescent="0.25">
      <c r="AH261" s="15"/>
      <c r="AI261" s="21"/>
      <c r="AJ261" s="40"/>
      <c r="AK261" s="21"/>
      <c r="AL261" s="21"/>
      <c r="AM261" s="21"/>
      <c r="AN261" s="15"/>
      <c r="AO261" s="15"/>
      <c r="AP261" s="21"/>
      <c r="AQ261" s="21"/>
      <c r="AR261" s="15"/>
      <c r="AS261" s="21"/>
      <c r="AT261" s="15"/>
      <c r="AU261" s="15"/>
      <c r="AV261" s="15"/>
      <c r="AW261" s="15"/>
      <c r="AX261" s="15"/>
      <c r="AY261" s="15"/>
      <c r="AZ261" s="15"/>
      <c r="BA261" s="15"/>
      <c r="BB261" s="28"/>
      <c r="BC261" s="28"/>
      <c r="BD261" s="38"/>
      <c r="BE261" s="15"/>
      <c r="BF261" s="15"/>
      <c r="BG261" s="28"/>
      <c r="BH261" s="28"/>
      <c r="BI261" s="36"/>
    </row>
    <row r="262" spans="34:61" ht="15.75" customHeight="1" x14ac:dyDescent="0.25">
      <c r="AH262" s="15"/>
      <c r="AI262" s="21"/>
      <c r="AJ262" s="40"/>
      <c r="AK262" s="21"/>
      <c r="AL262" s="21"/>
      <c r="AM262" s="21"/>
      <c r="AN262" s="15"/>
      <c r="AO262" s="15"/>
      <c r="AP262" s="21"/>
      <c r="AQ262" s="21"/>
      <c r="AR262" s="15"/>
      <c r="AS262" s="21"/>
      <c r="AT262" s="15"/>
      <c r="AU262" s="15"/>
      <c r="AV262" s="15"/>
      <c r="AW262" s="15"/>
      <c r="AX262" s="15"/>
      <c r="AY262" s="15"/>
      <c r="AZ262" s="15"/>
      <c r="BA262" s="15"/>
      <c r="BB262" s="28"/>
      <c r="BC262" s="28"/>
      <c r="BD262" s="38"/>
      <c r="BE262" s="15"/>
      <c r="BF262" s="15"/>
      <c r="BG262" s="28"/>
      <c r="BH262" s="28"/>
      <c r="BI262" s="36"/>
    </row>
    <row r="263" spans="34:61" ht="15.75" customHeight="1" x14ac:dyDescent="0.25">
      <c r="AH263" s="15"/>
      <c r="AI263" s="21"/>
      <c r="AJ263" s="40"/>
      <c r="AK263" s="21"/>
      <c r="AL263" s="21"/>
      <c r="AM263" s="21"/>
      <c r="AN263" s="15"/>
      <c r="AO263" s="15"/>
      <c r="AP263" s="21"/>
      <c r="AQ263" s="21"/>
      <c r="AR263" s="15"/>
      <c r="AS263" s="21"/>
      <c r="AT263" s="15"/>
      <c r="AU263" s="15"/>
      <c r="AV263" s="15"/>
      <c r="AW263" s="15"/>
      <c r="AX263" s="15"/>
      <c r="AY263" s="15"/>
      <c r="AZ263" s="15"/>
      <c r="BA263" s="15"/>
      <c r="BB263" s="28"/>
      <c r="BC263" s="28"/>
      <c r="BD263" s="38"/>
      <c r="BE263" s="15"/>
      <c r="BF263" s="15"/>
      <c r="BG263" s="28"/>
      <c r="BH263" s="28"/>
      <c r="BI263" s="36"/>
    </row>
    <row r="264" spans="34:61" ht="15.75" customHeight="1" x14ac:dyDescent="0.25">
      <c r="AH264" s="15"/>
      <c r="AI264" s="21"/>
      <c r="AJ264" s="40"/>
      <c r="AK264" s="21"/>
      <c r="AL264" s="21"/>
      <c r="AM264" s="21"/>
      <c r="AN264" s="15"/>
      <c r="AO264" s="15"/>
      <c r="AP264" s="21"/>
      <c r="AQ264" s="21"/>
      <c r="AR264" s="15"/>
      <c r="AS264" s="21"/>
      <c r="AT264" s="15"/>
      <c r="AU264" s="15"/>
      <c r="AV264" s="15"/>
      <c r="AW264" s="15"/>
      <c r="AX264" s="15"/>
      <c r="AY264" s="15"/>
      <c r="AZ264" s="15"/>
      <c r="BA264" s="15"/>
      <c r="BB264" s="28"/>
      <c r="BC264" s="28"/>
      <c r="BD264" s="38"/>
      <c r="BE264" s="15"/>
      <c r="BF264" s="15"/>
      <c r="BG264" s="28"/>
      <c r="BH264" s="28"/>
      <c r="BI264" s="36"/>
    </row>
    <row r="265" spans="34:61" ht="15.75" customHeight="1" x14ac:dyDescent="0.25">
      <c r="AH265" s="15"/>
      <c r="AI265" s="21"/>
      <c r="AJ265" s="40"/>
      <c r="AK265" s="21"/>
      <c r="AL265" s="21"/>
      <c r="AM265" s="21"/>
      <c r="AN265" s="15"/>
      <c r="AO265" s="15"/>
      <c r="AP265" s="21"/>
      <c r="AQ265" s="21"/>
      <c r="AR265" s="15"/>
      <c r="AS265" s="21"/>
      <c r="AT265" s="15"/>
      <c r="AU265" s="15"/>
      <c r="AV265" s="15"/>
      <c r="AW265" s="15"/>
      <c r="AX265" s="15"/>
      <c r="AY265" s="15"/>
      <c r="AZ265" s="15"/>
      <c r="BA265" s="15"/>
      <c r="BB265" s="28"/>
      <c r="BC265" s="28"/>
      <c r="BD265" s="38"/>
      <c r="BE265" s="15"/>
      <c r="BF265" s="15"/>
      <c r="BG265" s="28"/>
      <c r="BH265" s="28"/>
      <c r="BI265" s="36"/>
    </row>
    <row r="266" spans="34:61" ht="15.75" customHeight="1" x14ac:dyDescent="0.25">
      <c r="AH266" s="15"/>
      <c r="AI266" s="21"/>
      <c r="AJ266" s="40"/>
      <c r="AK266" s="21"/>
      <c r="AL266" s="21"/>
      <c r="AM266" s="21"/>
      <c r="AN266" s="15"/>
      <c r="AO266" s="15"/>
      <c r="AP266" s="21"/>
      <c r="AQ266" s="21"/>
      <c r="AR266" s="15"/>
      <c r="AS266" s="21"/>
      <c r="AT266" s="15"/>
      <c r="AU266" s="15"/>
      <c r="AV266" s="15"/>
      <c r="AW266" s="15"/>
      <c r="AX266" s="15"/>
      <c r="AY266" s="15"/>
      <c r="AZ266" s="15"/>
      <c r="BA266" s="15"/>
      <c r="BB266" s="28"/>
      <c r="BC266" s="28"/>
      <c r="BD266" s="38"/>
      <c r="BE266" s="15"/>
      <c r="BF266" s="15"/>
      <c r="BG266" s="28"/>
      <c r="BH266" s="28"/>
      <c r="BI266" s="36"/>
    </row>
    <row r="267" spans="34:61" ht="15.75" customHeight="1" x14ac:dyDescent="0.25">
      <c r="AH267" s="15"/>
      <c r="AI267" s="21"/>
      <c r="AJ267" s="40"/>
      <c r="AK267" s="21"/>
      <c r="AL267" s="21"/>
      <c r="AM267" s="21"/>
      <c r="AN267" s="15"/>
      <c r="AO267" s="15"/>
      <c r="AP267" s="21"/>
      <c r="AQ267" s="21"/>
      <c r="AR267" s="15"/>
      <c r="AS267" s="21"/>
      <c r="AT267" s="15"/>
      <c r="AU267" s="15"/>
      <c r="AV267" s="15"/>
      <c r="AW267" s="15"/>
      <c r="AX267" s="15"/>
      <c r="AY267" s="15"/>
      <c r="AZ267" s="15"/>
      <c r="BA267" s="15"/>
      <c r="BB267" s="28"/>
      <c r="BC267" s="28"/>
      <c r="BD267" s="38"/>
      <c r="BE267" s="15"/>
      <c r="BF267" s="15"/>
      <c r="BG267" s="28"/>
      <c r="BH267" s="28"/>
      <c r="BI267" s="36"/>
    </row>
    <row r="268" spans="34:61" ht="15.75" customHeight="1" x14ac:dyDescent="0.25">
      <c r="AH268" s="15"/>
      <c r="AI268" s="21"/>
      <c r="AJ268" s="40"/>
      <c r="AK268" s="21"/>
      <c r="AL268" s="21"/>
      <c r="AM268" s="21"/>
      <c r="AN268" s="15"/>
      <c r="AO268" s="15"/>
      <c r="AP268" s="21"/>
      <c r="AQ268" s="21"/>
      <c r="AR268" s="15"/>
      <c r="AS268" s="21"/>
      <c r="AT268" s="15"/>
      <c r="AU268" s="15"/>
      <c r="AV268" s="15"/>
      <c r="AW268" s="15"/>
      <c r="AX268" s="15"/>
      <c r="AY268" s="15"/>
      <c r="AZ268" s="15"/>
      <c r="BA268" s="15"/>
      <c r="BB268" s="28"/>
      <c r="BC268" s="28"/>
      <c r="BD268" s="38"/>
      <c r="BE268" s="15"/>
      <c r="BF268" s="15"/>
      <c r="BG268" s="28"/>
      <c r="BH268" s="28"/>
      <c r="BI268" s="36"/>
    </row>
    <row r="269" spans="34:61" ht="15.75" customHeight="1" x14ac:dyDescent="0.25">
      <c r="AH269" s="15"/>
      <c r="AI269" s="21"/>
      <c r="AJ269" s="40"/>
      <c r="AK269" s="21"/>
      <c r="AL269" s="21"/>
      <c r="AM269" s="21"/>
      <c r="AN269" s="15"/>
      <c r="AO269" s="15"/>
      <c r="AP269" s="21"/>
      <c r="AQ269" s="21"/>
      <c r="AR269" s="15"/>
      <c r="AS269" s="21"/>
      <c r="AT269" s="15"/>
      <c r="AU269" s="15"/>
      <c r="AV269" s="15"/>
      <c r="AW269" s="15"/>
      <c r="AX269" s="15"/>
      <c r="AY269" s="15"/>
      <c r="AZ269" s="15"/>
      <c r="BA269" s="15"/>
      <c r="BB269" s="28"/>
      <c r="BC269" s="28"/>
      <c r="BD269" s="38"/>
      <c r="BE269" s="15"/>
      <c r="BF269" s="15"/>
      <c r="BG269" s="28"/>
      <c r="BH269" s="28"/>
      <c r="BI269" s="36"/>
    </row>
    <row r="270" spans="34:61" ht="15.75" customHeight="1" x14ac:dyDescent="0.25">
      <c r="AH270" s="15"/>
      <c r="AI270" s="21"/>
      <c r="AJ270" s="40"/>
      <c r="AK270" s="21"/>
      <c r="AL270" s="21"/>
      <c r="AM270" s="21"/>
      <c r="AN270" s="15"/>
      <c r="AO270" s="15"/>
      <c r="AP270" s="21"/>
      <c r="AQ270" s="21"/>
      <c r="AR270" s="15"/>
      <c r="AS270" s="21"/>
      <c r="AT270" s="15"/>
      <c r="AU270" s="15"/>
      <c r="AV270" s="15"/>
      <c r="AW270" s="15"/>
      <c r="AX270" s="15"/>
      <c r="AY270" s="15"/>
      <c r="AZ270" s="15"/>
      <c r="BA270" s="15"/>
      <c r="BB270" s="28"/>
      <c r="BC270" s="28"/>
      <c r="BD270" s="38"/>
      <c r="BE270" s="15"/>
      <c r="BF270" s="15"/>
      <c r="BG270" s="28"/>
      <c r="BH270" s="28"/>
      <c r="BI270" s="36"/>
    </row>
    <row r="271" spans="34:61" ht="15.75" customHeight="1" x14ac:dyDescent="0.25">
      <c r="AH271" s="15"/>
      <c r="AI271" s="21"/>
      <c r="AJ271" s="40"/>
      <c r="AK271" s="21"/>
      <c r="AL271" s="21"/>
      <c r="AM271" s="21"/>
      <c r="AN271" s="15"/>
      <c r="AO271" s="15"/>
      <c r="AP271" s="21"/>
      <c r="AQ271" s="21"/>
      <c r="AR271" s="15"/>
      <c r="AS271" s="21"/>
      <c r="AT271" s="15"/>
      <c r="AU271" s="15"/>
      <c r="AV271" s="15"/>
      <c r="AW271" s="15"/>
      <c r="AX271" s="15"/>
      <c r="AY271" s="15"/>
      <c r="AZ271" s="15"/>
      <c r="BA271" s="15"/>
      <c r="BB271" s="28"/>
      <c r="BC271" s="28"/>
      <c r="BD271" s="38"/>
      <c r="BE271" s="15"/>
      <c r="BF271" s="15"/>
      <c r="BG271" s="28"/>
      <c r="BH271" s="28"/>
      <c r="BI271" s="36"/>
    </row>
    <row r="272" spans="34:61" ht="15.75" customHeight="1" x14ac:dyDescent="0.25">
      <c r="AH272" s="15"/>
      <c r="AI272" s="21"/>
      <c r="AJ272" s="40"/>
      <c r="AK272" s="21"/>
      <c r="AL272" s="21"/>
      <c r="AM272" s="21"/>
      <c r="AN272" s="15"/>
      <c r="AO272" s="15"/>
      <c r="AP272" s="21"/>
      <c r="AQ272" s="21"/>
      <c r="AR272" s="15"/>
      <c r="AS272" s="21"/>
      <c r="AT272" s="15"/>
      <c r="AU272" s="15"/>
      <c r="AV272" s="15"/>
      <c r="AW272" s="15"/>
      <c r="AX272" s="15"/>
      <c r="AY272" s="15"/>
      <c r="AZ272" s="15"/>
      <c r="BA272" s="15"/>
      <c r="BB272" s="28"/>
      <c r="BC272" s="28"/>
      <c r="BD272" s="38"/>
      <c r="BE272" s="15"/>
      <c r="BF272" s="15"/>
      <c r="BG272" s="28"/>
      <c r="BH272" s="28"/>
      <c r="BI272" s="36"/>
    </row>
    <row r="273" spans="34:61" ht="15.75" customHeight="1" x14ac:dyDescent="0.25">
      <c r="AH273" s="15"/>
      <c r="AI273" s="21"/>
      <c r="AJ273" s="40"/>
      <c r="AK273" s="21"/>
      <c r="AL273" s="21"/>
      <c r="AM273" s="21"/>
      <c r="AN273" s="15"/>
      <c r="AO273" s="15"/>
      <c r="AP273" s="21"/>
      <c r="AQ273" s="21"/>
      <c r="AR273" s="15"/>
      <c r="AS273" s="21"/>
      <c r="AT273" s="15"/>
      <c r="AU273" s="15"/>
      <c r="AV273" s="15"/>
      <c r="AW273" s="15"/>
      <c r="AX273" s="15"/>
      <c r="AY273" s="15"/>
      <c r="AZ273" s="15"/>
      <c r="BA273" s="15"/>
      <c r="BB273" s="28"/>
      <c r="BC273" s="28"/>
      <c r="BD273" s="38"/>
      <c r="BE273" s="15"/>
      <c r="BF273" s="15"/>
      <c r="BG273" s="28"/>
      <c r="BH273" s="28"/>
      <c r="BI273" s="36"/>
    </row>
    <row r="274" spans="34:61" ht="15.75" customHeight="1" x14ac:dyDescent="0.25">
      <c r="AH274" s="15"/>
      <c r="AI274" s="21"/>
      <c r="AJ274" s="40"/>
      <c r="AK274" s="21"/>
      <c r="AL274" s="21"/>
      <c r="AM274" s="21"/>
      <c r="AN274" s="15"/>
      <c r="AO274" s="15"/>
      <c r="AP274" s="21"/>
      <c r="AQ274" s="21"/>
      <c r="AR274" s="15"/>
      <c r="AS274" s="21"/>
      <c r="AT274" s="15"/>
      <c r="AU274" s="15"/>
      <c r="AV274" s="15"/>
      <c r="AW274" s="15"/>
      <c r="AX274" s="15"/>
      <c r="AY274" s="15"/>
      <c r="AZ274" s="15"/>
      <c r="BA274" s="15"/>
      <c r="BB274" s="28"/>
      <c r="BC274" s="28"/>
      <c r="BD274" s="38"/>
      <c r="BE274" s="15"/>
      <c r="BF274" s="15"/>
      <c r="BG274" s="28"/>
      <c r="BH274" s="28"/>
      <c r="BI274" s="36"/>
    </row>
    <row r="275" spans="34:61" ht="15.75" customHeight="1" x14ac:dyDescent="0.25">
      <c r="AH275" s="15"/>
      <c r="AI275" s="21"/>
      <c r="AJ275" s="40"/>
      <c r="AK275" s="21"/>
      <c r="AL275" s="21"/>
      <c r="AM275" s="21"/>
      <c r="AN275" s="15"/>
      <c r="AO275" s="15"/>
      <c r="AP275" s="21"/>
      <c r="AQ275" s="21"/>
      <c r="AR275" s="15"/>
      <c r="AS275" s="21"/>
      <c r="AT275" s="15"/>
      <c r="AU275" s="15"/>
      <c r="AV275" s="15"/>
      <c r="AW275" s="15"/>
      <c r="AX275" s="15"/>
      <c r="AY275" s="15"/>
      <c r="AZ275" s="15"/>
      <c r="BA275" s="15"/>
      <c r="BB275" s="28"/>
      <c r="BC275" s="28"/>
      <c r="BD275" s="38"/>
      <c r="BE275" s="15"/>
      <c r="BF275" s="15"/>
      <c r="BG275" s="28"/>
      <c r="BH275" s="28"/>
      <c r="BI275" s="36"/>
    </row>
    <row r="276" spans="34:61" ht="15.75" customHeight="1" x14ac:dyDescent="0.25">
      <c r="AH276" s="15"/>
      <c r="AI276" s="21"/>
      <c r="AJ276" s="40"/>
      <c r="AK276" s="21"/>
      <c r="AL276" s="21"/>
      <c r="AM276" s="21"/>
      <c r="AN276" s="15"/>
      <c r="AO276" s="15"/>
      <c r="AP276" s="21"/>
      <c r="AQ276" s="21"/>
      <c r="AR276" s="15"/>
      <c r="AS276" s="21"/>
      <c r="AT276" s="15"/>
      <c r="AU276" s="15"/>
      <c r="AV276" s="15"/>
      <c r="AW276" s="15"/>
      <c r="AX276" s="15"/>
      <c r="AY276" s="15"/>
      <c r="AZ276" s="15"/>
      <c r="BA276" s="15"/>
      <c r="BB276" s="28"/>
      <c r="BC276" s="28"/>
      <c r="BD276" s="38"/>
      <c r="BE276" s="15"/>
      <c r="BF276" s="15"/>
      <c r="BG276" s="28"/>
      <c r="BH276" s="28"/>
      <c r="BI276" s="36"/>
    </row>
    <row r="277" spans="34:61" ht="15.75" customHeight="1" x14ac:dyDescent="0.25">
      <c r="AH277" s="15"/>
      <c r="AI277" s="21"/>
      <c r="AJ277" s="40"/>
      <c r="AK277" s="21"/>
      <c r="AL277" s="21"/>
      <c r="AM277" s="21"/>
      <c r="AN277" s="15"/>
      <c r="AO277" s="15"/>
      <c r="AP277" s="21"/>
      <c r="AQ277" s="21"/>
      <c r="AR277" s="15"/>
      <c r="AS277" s="21"/>
      <c r="AT277" s="15"/>
      <c r="AU277" s="15"/>
      <c r="AV277" s="15"/>
      <c r="AW277" s="15"/>
      <c r="AX277" s="15"/>
      <c r="AY277" s="15"/>
      <c r="AZ277" s="15"/>
      <c r="BA277" s="15"/>
      <c r="BB277" s="28"/>
      <c r="BC277" s="28"/>
      <c r="BD277" s="38"/>
      <c r="BE277" s="15"/>
      <c r="BF277" s="15"/>
      <c r="BG277" s="28"/>
      <c r="BH277" s="28"/>
      <c r="BI277" s="36"/>
    </row>
    <row r="278" spans="34:61" ht="15.75" customHeight="1" x14ac:dyDescent="0.25">
      <c r="AH278" s="15"/>
      <c r="AI278" s="21"/>
      <c r="AJ278" s="40"/>
      <c r="AK278" s="21"/>
      <c r="AL278" s="21"/>
      <c r="AM278" s="21"/>
      <c r="AN278" s="15"/>
      <c r="AO278" s="15"/>
      <c r="AP278" s="21"/>
      <c r="AQ278" s="21"/>
      <c r="AR278" s="15"/>
      <c r="AS278" s="21"/>
      <c r="AT278" s="15"/>
      <c r="AU278" s="15"/>
      <c r="AV278" s="15"/>
      <c r="AW278" s="15"/>
      <c r="AX278" s="15"/>
      <c r="AY278" s="15"/>
      <c r="AZ278" s="15"/>
      <c r="BA278" s="15"/>
      <c r="BB278" s="28"/>
      <c r="BC278" s="28"/>
      <c r="BD278" s="38"/>
      <c r="BE278" s="15"/>
      <c r="BF278" s="15"/>
      <c r="BG278" s="28"/>
      <c r="BH278" s="28"/>
      <c r="BI278" s="36"/>
    </row>
    <row r="279" spans="34:61" ht="15.75" customHeight="1" x14ac:dyDescent="0.25">
      <c r="AH279" s="15"/>
      <c r="AI279" s="21"/>
      <c r="AJ279" s="40"/>
      <c r="AK279" s="21"/>
      <c r="AL279" s="21"/>
      <c r="AM279" s="21"/>
      <c r="AN279" s="15"/>
      <c r="AO279" s="15"/>
      <c r="AP279" s="21"/>
      <c r="AQ279" s="21"/>
      <c r="AR279" s="15"/>
      <c r="AS279" s="21"/>
      <c r="AT279" s="15"/>
      <c r="AU279" s="15"/>
      <c r="AV279" s="15"/>
      <c r="AW279" s="15"/>
      <c r="AX279" s="15"/>
      <c r="AY279" s="15"/>
      <c r="AZ279" s="15"/>
      <c r="BA279" s="15"/>
      <c r="BB279" s="28"/>
      <c r="BC279" s="28"/>
      <c r="BD279" s="38"/>
      <c r="BE279" s="15"/>
      <c r="BF279" s="15"/>
      <c r="BG279" s="28"/>
      <c r="BH279" s="28"/>
      <c r="BI279" s="36"/>
    </row>
    <row r="280" spans="34:61" ht="15.75" customHeight="1" x14ac:dyDescent="0.25">
      <c r="AH280" s="15"/>
      <c r="AI280" s="21"/>
      <c r="AJ280" s="40"/>
      <c r="AK280" s="21"/>
      <c r="AL280" s="21"/>
      <c r="AM280" s="21"/>
      <c r="AN280" s="15"/>
      <c r="AO280" s="15"/>
      <c r="AP280" s="21"/>
      <c r="AQ280" s="21"/>
      <c r="AR280" s="15"/>
      <c r="AS280" s="21"/>
      <c r="AT280" s="15"/>
      <c r="AU280" s="15"/>
      <c r="AV280" s="15"/>
      <c r="AW280" s="15"/>
      <c r="AX280" s="15"/>
      <c r="AY280" s="15"/>
      <c r="AZ280" s="15"/>
      <c r="BA280" s="15"/>
      <c r="BB280" s="28"/>
      <c r="BC280" s="28"/>
      <c r="BD280" s="38"/>
      <c r="BE280" s="15"/>
      <c r="BF280" s="15"/>
      <c r="BG280" s="28"/>
      <c r="BH280" s="28"/>
      <c r="BI280" s="36"/>
    </row>
    <row r="281" spans="34:61" ht="15.75" customHeight="1" x14ac:dyDescent="0.25">
      <c r="AH281" s="15"/>
      <c r="AI281" s="21"/>
      <c r="AJ281" s="40"/>
      <c r="AK281" s="21"/>
      <c r="AL281" s="21"/>
      <c r="AM281" s="21"/>
      <c r="AN281" s="15"/>
      <c r="AO281" s="15"/>
      <c r="AP281" s="21"/>
      <c r="AQ281" s="21"/>
      <c r="AR281" s="15"/>
      <c r="AS281" s="21"/>
      <c r="AT281" s="15"/>
      <c r="AU281" s="15"/>
      <c r="AV281" s="15"/>
      <c r="AW281" s="15"/>
      <c r="AX281" s="15"/>
      <c r="AY281" s="15"/>
      <c r="AZ281" s="15"/>
      <c r="BA281" s="15"/>
      <c r="BB281" s="28"/>
      <c r="BC281" s="28"/>
      <c r="BD281" s="38"/>
      <c r="BE281" s="15"/>
      <c r="BF281" s="15"/>
      <c r="BG281" s="28"/>
      <c r="BH281" s="28"/>
      <c r="BI281" s="36"/>
    </row>
    <row r="282" spans="34:61" ht="15.75" customHeight="1" x14ac:dyDescent="0.25">
      <c r="AH282" s="15"/>
      <c r="AI282" s="21"/>
      <c r="AJ282" s="40"/>
      <c r="AK282" s="21"/>
      <c r="AL282" s="21"/>
      <c r="AM282" s="21"/>
      <c r="AN282" s="15"/>
      <c r="AO282" s="15"/>
      <c r="AP282" s="21"/>
      <c r="AQ282" s="21"/>
      <c r="AR282" s="15"/>
      <c r="AS282" s="21"/>
      <c r="AT282" s="15"/>
      <c r="AU282" s="15"/>
      <c r="AV282" s="15"/>
      <c r="AW282" s="15"/>
      <c r="AX282" s="15"/>
      <c r="AY282" s="15"/>
      <c r="AZ282" s="15"/>
      <c r="BA282" s="15"/>
      <c r="BB282" s="28"/>
      <c r="BC282" s="28"/>
      <c r="BD282" s="38"/>
      <c r="BE282" s="15"/>
      <c r="BF282" s="15"/>
      <c r="BG282" s="28"/>
      <c r="BH282" s="28"/>
      <c r="BI282" s="36"/>
    </row>
    <row r="283" spans="34:61" ht="15.75" customHeight="1" x14ac:dyDescent="0.25">
      <c r="AH283" s="15"/>
      <c r="AI283" s="21"/>
      <c r="AJ283" s="40"/>
      <c r="AK283" s="21"/>
      <c r="AL283" s="21"/>
      <c r="AM283" s="21"/>
      <c r="AN283" s="15"/>
      <c r="AO283" s="15"/>
      <c r="AP283" s="21"/>
      <c r="AQ283" s="21"/>
      <c r="AR283" s="15"/>
      <c r="AS283" s="21"/>
      <c r="AT283" s="15"/>
      <c r="AU283" s="15"/>
      <c r="AV283" s="15"/>
      <c r="AW283" s="15"/>
      <c r="AX283" s="15"/>
      <c r="AY283" s="15"/>
      <c r="AZ283" s="15"/>
      <c r="BA283" s="15"/>
      <c r="BB283" s="28"/>
      <c r="BC283" s="28"/>
      <c r="BD283" s="38"/>
      <c r="BE283" s="15"/>
      <c r="BF283" s="15"/>
      <c r="BG283" s="28"/>
      <c r="BH283" s="28"/>
      <c r="BI283" s="36"/>
    </row>
    <row r="284" spans="34:61" ht="15.75" customHeight="1" x14ac:dyDescent="0.25">
      <c r="AH284" s="15"/>
      <c r="AI284" s="21"/>
      <c r="AJ284" s="40"/>
      <c r="AK284" s="21"/>
      <c r="AL284" s="21"/>
      <c r="AM284" s="21"/>
      <c r="AN284" s="15"/>
      <c r="AO284" s="15"/>
      <c r="AP284" s="21"/>
      <c r="AQ284" s="21"/>
      <c r="AR284" s="15"/>
      <c r="AS284" s="21"/>
      <c r="AT284" s="15"/>
      <c r="AU284" s="15"/>
      <c r="AV284" s="15"/>
      <c r="AW284" s="15"/>
      <c r="AX284" s="15"/>
      <c r="AY284" s="15"/>
      <c r="AZ284" s="15"/>
      <c r="BA284" s="15"/>
      <c r="BB284" s="28"/>
      <c r="BC284" s="28"/>
      <c r="BD284" s="38"/>
      <c r="BE284" s="15"/>
      <c r="BF284" s="15"/>
      <c r="BG284" s="28"/>
      <c r="BH284" s="28"/>
      <c r="BI284" s="36"/>
    </row>
    <row r="285" spans="34:61" ht="15.75" customHeight="1" x14ac:dyDescent="0.25">
      <c r="AH285" s="15"/>
      <c r="AI285" s="21"/>
      <c r="AJ285" s="40"/>
      <c r="AK285" s="21"/>
      <c r="AL285" s="21"/>
      <c r="AM285" s="21"/>
      <c r="AN285" s="15"/>
      <c r="AO285" s="15"/>
      <c r="AP285" s="21"/>
      <c r="AQ285" s="21"/>
      <c r="AR285" s="15"/>
      <c r="AS285" s="21"/>
      <c r="AT285" s="15"/>
      <c r="AU285" s="15"/>
      <c r="AV285" s="15"/>
      <c r="AW285" s="15"/>
      <c r="AX285" s="15"/>
      <c r="AY285" s="15"/>
      <c r="AZ285" s="15"/>
      <c r="BA285" s="15"/>
      <c r="BB285" s="28"/>
      <c r="BC285" s="28"/>
      <c r="BD285" s="38"/>
      <c r="BE285" s="15"/>
      <c r="BF285" s="15"/>
      <c r="BG285" s="28"/>
      <c r="BH285" s="28"/>
      <c r="BI285" s="36"/>
    </row>
    <row r="286" spans="34:61" ht="15.75" customHeight="1" x14ac:dyDescent="0.25">
      <c r="AH286" s="15"/>
      <c r="AI286" s="21"/>
      <c r="AJ286" s="40"/>
      <c r="AK286" s="21"/>
      <c r="AL286" s="21"/>
      <c r="AM286" s="21"/>
      <c r="AN286" s="15"/>
      <c r="AO286" s="15"/>
      <c r="AP286" s="21"/>
      <c r="AQ286" s="21"/>
      <c r="AR286" s="15"/>
      <c r="AS286" s="21"/>
      <c r="AT286" s="15"/>
      <c r="AU286" s="15"/>
      <c r="AV286" s="15"/>
      <c r="AW286" s="15"/>
      <c r="AX286" s="15"/>
      <c r="AY286" s="15"/>
      <c r="AZ286" s="15"/>
      <c r="BA286" s="15"/>
      <c r="BB286" s="28"/>
      <c r="BC286" s="28"/>
      <c r="BD286" s="38"/>
      <c r="BE286" s="15"/>
      <c r="BF286" s="15"/>
      <c r="BG286" s="28"/>
      <c r="BH286" s="28"/>
      <c r="BI286" s="36"/>
    </row>
    <row r="287" spans="34:61" ht="15.75" customHeight="1" x14ac:dyDescent="0.25">
      <c r="AH287" s="15"/>
      <c r="AI287" s="21"/>
      <c r="AJ287" s="40"/>
      <c r="AK287" s="21"/>
      <c r="AL287" s="21"/>
      <c r="AM287" s="21"/>
      <c r="AN287" s="15"/>
      <c r="AO287" s="15"/>
      <c r="AP287" s="21"/>
      <c r="AQ287" s="21"/>
      <c r="AR287" s="15"/>
      <c r="AS287" s="21"/>
      <c r="AT287" s="15"/>
      <c r="AU287" s="15"/>
      <c r="AV287" s="15"/>
      <c r="AW287" s="15"/>
      <c r="AX287" s="15"/>
      <c r="AY287" s="15"/>
      <c r="AZ287" s="15"/>
      <c r="BA287" s="15"/>
      <c r="BB287" s="28"/>
      <c r="BC287" s="28"/>
      <c r="BD287" s="38"/>
      <c r="BE287" s="15"/>
      <c r="BF287" s="15"/>
      <c r="BG287" s="28"/>
      <c r="BH287" s="28"/>
      <c r="BI287" s="36"/>
    </row>
    <row r="288" spans="34:61" ht="15.75" customHeight="1" x14ac:dyDescent="0.25">
      <c r="AH288" s="15"/>
      <c r="AI288" s="21"/>
      <c r="AJ288" s="40"/>
      <c r="AK288" s="21"/>
      <c r="AL288" s="21"/>
      <c r="AM288" s="21"/>
      <c r="AN288" s="15"/>
      <c r="AO288" s="15"/>
      <c r="AP288" s="21"/>
      <c r="AQ288" s="21"/>
      <c r="AR288" s="15"/>
      <c r="AS288" s="21"/>
      <c r="AT288" s="15"/>
      <c r="AU288" s="15"/>
      <c r="AV288" s="15"/>
      <c r="AW288" s="15"/>
      <c r="AX288" s="15"/>
      <c r="AY288" s="15"/>
      <c r="AZ288" s="15"/>
      <c r="BA288" s="15"/>
      <c r="BB288" s="28"/>
      <c r="BC288" s="28"/>
      <c r="BD288" s="38"/>
      <c r="BE288" s="15"/>
      <c r="BF288" s="15"/>
      <c r="BG288" s="28"/>
      <c r="BH288" s="28"/>
      <c r="BI288" s="36"/>
    </row>
    <row r="289" spans="34:61" ht="15.75" customHeight="1" x14ac:dyDescent="0.25">
      <c r="AH289" s="15"/>
      <c r="AI289" s="21"/>
      <c r="AJ289" s="40"/>
      <c r="AK289" s="21"/>
      <c r="AL289" s="21"/>
      <c r="AM289" s="21"/>
      <c r="AN289" s="15"/>
      <c r="AO289" s="15"/>
      <c r="AP289" s="21"/>
      <c r="AQ289" s="21"/>
      <c r="AR289" s="15"/>
      <c r="AS289" s="21"/>
      <c r="AT289" s="15"/>
      <c r="AU289" s="15"/>
      <c r="AV289" s="15"/>
      <c r="AW289" s="15"/>
      <c r="AX289" s="15"/>
      <c r="AY289" s="15"/>
      <c r="AZ289" s="15"/>
      <c r="BA289" s="15"/>
      <c r="BB289" s="28"/>
      <c r="BC289" s="28"/>
      <c r="BD289" s="38"/>
      <c r="BE289" s="15"/>
      <c r="BF289" s="15"/>
      <c r="BG289" s="28"/>
      <c r="BH289" s="28"/>
      <c r="BI289" s="36"/>
    </row>
    <row r="290" spans="34:61" ht="15.75" customHeight="1" x14ac:dyDescent="0.25">
      <c r="AH290" s="15"/>
      <c r="AI290" s="21"/>
      <c r="AJ290" s="40"/>
      <c r="AK290" s="21"/>
      <c r="AL290" s="21"/>
      <c r="AM290" s="21"/>
      <c r="AN290" s="15"/>
      <c r="AO290" s="15"/>
      <c r="AP290" s="21"/>
      <c r="AQ290" s="21"/>
      <c r="AR290" s="15"/>
      <c r="AS290" s="21"/>
      <c r="AT290" s="15"/>
      <c r="AU290" s="15"/>
      <c r="AV290" s="15"/>
      <c r="AW290" s="15"/>
      <c r="AX290" s="15"/>
      <c r="AY290" s="15"/>
      <c r="AZ290" s="15"/>
      <c r="BA290" s="15"/>
      <c r="BB290" s="28"/>
      <c r="BC290" s="28"/>
      <c r="BD290" s="38"/>
      <c r="BE290" s="15"/>
      <c r="BF290" s="15"/>
      <c r="BG290" s="28"/>
      <c r="BH290" s="28"/>
      <c r="BI290" s="36"/>
    </row>
    <row r="291" spans="34:61" ht="15.75" customHeight="1" x14ac:dyDescent="0.25">
      <c r="AH291" s="15"/>
      <c r="AI291" s="21"/>
      <c r="AJ291" s="40"/>
      <c r="AK291" s="21"/>
      <c r="AL291" s="21"/>
      <c r="AM291" s="21"/>
      <c r="AN291" s="15"/>
      <c r="AO291" s="15"/>
      <c r="AP291" s="21"/>
      <c r="AQ291" s="21"/>
      <c r="AR291" s="15"/>
      <c r="AS291" s="21"/>
      <c r="AT291" s="15"/>
      <c r="AU291" s="15"/>
      <c r="AV291" s="15"/>
      <c r="AW291" s="15"/>
      <c r="AX291" s="15"/>
      <c r="AY291" s="15"/>
      <c r="AZ291" s="15"/>
      <c r="BA291" s="15"/>
      <c r="BB291" s="28"/>
      <c r="BC291" s="28"/>
      <c r="BD291" s="38"/>
      <c r="BE291" s="15"/>
      <c r="BF291" s="15"/>
      <c r="BG291" s="28"/>
      <c r="BH291" s="28"/>
      <c r="BI291" s="36"/>
    </row>
    <row r="292" spans="34:61" ht="15.75" customHeight="1" x14ac:dyDescent="0.25">
      <c r="AH292" s="15"/>
      <c r="AI292" s="21"/>
      <c r="AJ292" s="40"/>
      <c r="AK292" s="21"/>
      <c r="AL292" s="21"/>
      <c r="AM292" s="21"/>
      <c r="AN292" s="15"/>
      <c r="AO292" s="15"/>
      <c r="AP292" s="21"/>
      <c r="AQ292" s="21"/>
      <c r="AR292" s="15"/>
      <c r="AS292" s="21"/>
      <c r="AT292" s="15"/>
      <c r="AU292" s="15"/>
      <c r="AV292" s="15"/>
      <c r="AW292" s="15"/>
      <c r="AX292" s="15"/>
      <c r="AY292" s="15"/>
      <c r="AZ292" s="15"/>
      <c r="BA292" s="15"/>
      <c r="BB292" s="28"/>
      <c r="BC292" s="28"/>
      <c r="BD292" s="38"/>
      <c r="BE292" s="15"/>
      <c r="BF292" s="15"/>
      <c r="BG292" s="28"/>
      <c r="BH292" s="28"/>
      <c r="BI292" s="36"/>
    </row>
    <row r="293" spans="34:61" ht="15.75" customHeight="1" x14ac:dyDescent="0.25">
      <c r="AH293" s="15"/>
      <c r="AI293" s="21"/>
      <c r="AJ293" s="40"/>
      <c r="AK293" s="21"/>
      <c r="AL293" s="21"/>
      <c r="AM293" s="21"/>
      <c r="AN293" s="15"/>
      <c r="AO293" s="15"/>
      <c r="AP293" s="21"/>
      <c r="AQ293" s="21"/>
      <c r="AR293" s="15"/>
      <c r="AS293" s="21"/>
      <c r="AT293" s="15"/>
      <c r="AU293" s="15"/>
      <c r="AV293" s="15"/>
      <c r="AW293" s="15"/>
      <c r="AX293" s="15"/>
      <c r="AY293" s="15"/>
      <c r="AZ293" s="15"/>
      <c r="BA293" s="15"/>
      <c r="BB293" s="28"/>
      <c r="BC293" s="28"/>
      <c r="BD293" s="38"/>
      <c r="BE293" s="15"/>
      <c r="BF293" s="15"/>
      <c r="BG293" s="28"/>
      <c r="BH293" s="28"/>
      <c r="BI293" s="36"/>
    </row>
    <row r="294" spans="34:61" ht="15.75" customHeight="1" x14ac:dyDescent="0.25">
      <c r="AH294" s="15"/>
      <c r="AI294" s="21"/>
      <c r="AJ294" s="40"/>
      <c r="AK294" s="21"/>
      <c r="AL294" s="21"/>
      <c r="AM294" s="21"/>
      <c r="AN294" s="15"/>
      <c r="AO294" s="15"/>
      <c r="AP294" s="21"/>
      <c r="AQ294" s="21"/>
      <c r="AR294" s="15"/>
      <c r="AS294" s="21"/>
      <c r="AT294" s="15"/>
      <c r="AU294" s="15"/>
      <c r="AV294" s="15"/>
      <c r="AW294" s="15"/>
      <c r="AX294" s="15"/>
      <c r="AY294" s="15"/>
      <c r="AZ294" s="15"/>
      <c r="BA294" s="15"/>
      <c r="BB294" s="28"/>
      <c r="BC294" s="28"/>
      <c r="BD294" s="38"/>
      <c r="BE294" s="15"/>
      <c r="BF294" s="15"/>
      <c r="BG294" s="28"/>
      <c r="BH294" s="28"/>
      <c r="BI294" s="36"/>
    </row>
    <row r="295" spans="34:61" ht="15.75" customHeight="1" x14ac:dyDescent="0.25">
      <c r="AH295" s="15"/>
      <c r="AI295" s="21"/>
      <c r="AJ295" s="40"/>
      <c r="AK295" s="21"/>
      <c r="AL295" s="21"/>
      <c r="AM295" s="21"/>
      <c r="AN295" s="15"/>
      <c r="AO295" s="15"/>
      <c r="AP295" s="21"/>
      <c r="AQ295" s="21"/>
      <c r="AR295" s="15"/>
      <c r="AS295" s="21"/>
      <c r="AT295" s="15"/>
      <c r="AU295" s="15"/>
      <c r="AV295" s="15"/>
      <c r="AW295" s="15"/>
      <c r="AX295" s="15"/>
      <c r="AY295" s="15"/>
      <c r="AZ295" s="15"/>
      <c r="BA295" s="15"/>
      <c r="BB295" s="28"/>
      <c r="BC295" s="28"/>
      <c r="BD295" s="38"/>
      <c r="BE295" s="15"/>
      <c r="BF295" s="15"/>
      <c r="BG295" s="28"/>
      <c r="BH295" s="28"/>
      <c r="BI295" s="36"/>
    </row>
    <row r="296" spans="34:61" ht="15.75" customHeight="1" x14ac:dyDescent="0.25">
      <c r="AH296" s="15"/>
      <c r="AI296" s="21"/>
      <c r="AJ296" s="40"/>
      <c r="AK296" s="21"/>
      <c r="AL296" s="21"/>
      <c r="AM296" s="21"/>
      <c r="AN296" s="15"/>
      <c r="AO296" s="15"/>
      <c r="AP296" s="21"/>
      <c r="AQ296" s="21"/>
      <c r="AR296" s="15"/>
      <c r="AS296" s="21"/>
      <c r="AT296" s="15"/>
      <c r="AU296" s="15"/>
      <c r="AV296" s="15"/>
      <c r="AW296" s="15"/>
      <c r="AX296" s="15"/>
      <c r="AY296" s="15"/>
      <c r="AZ296" s="15"/>
      <c r="BA296" s="15"/>
      <c r="BB296" s="28"/>
      <c r="BC296" s="28"/>
      <c r="BD296" s="38"/>
      <c r="BE296" s="15"/>
      <c r="BF296" s="15"/>
      <c r="BG296" s="28"/>
      <c r="BH296" s="28"/>
      <c r="BI296" s="36"/>
    </row>
    <row r="297" spans="34:61" ht="15.75" customHeight="1" x14ac:dyDescent="0.25">
      <c r="AH297" s="15"/>
      <c r="AI297" s="21"/>
      <c r="AJ297" s="40"/>
      <c r="AK297" s="21"/>
      <c r="AL297" s="21"/>
      <c r="AM297" s="21"/>
      <c r="AN297" s="15"/>
      <c r="AO297" s="15"/>
      <c r="AP297" s="21"/>
      <c r="AQ297" s="21"/>
      <c r="AR297" s="15"/>
      <c r="AS297" s="21"/>
      <c r="AT297" s="15"/>
      <c r="AU297" s="15"/>
      <c r="AV297" s="15"/>
      <c r="AW297" s="15"/>
      <c r="AX297" s="15"/>
      <c r="AY297" s="15"/>
      <c r="AZ297" s="15"/>
      <c r="BA297" s="15"/>
      <c r="BB297" s="28"/>
      <c r="BC297" s="28"/>
      <c r="BD297" s="38"/>
      <c r="BE297" s="15"/>
      <c r="BF297" s="15"/>
      <c r="BG297" s="28"/>
      <c r="BH297" s="28"/>
      <c r="BI297" s="36"/>
    </row>
    <row r="298" spans="34:61" ht="15.75" customHeight="1" x14ac:dyDescent="0.25">
      <c r="AH298" s="15"/>
      <c r="AI298" s="21"/>
      <c r="AJ298" s="40"/>
      <c r="AK298" s="21"/>
      <c r="AL298" s="21"/>
      <c r="AM298" s="21"/>
      <c r="AN298" s="15"/>
      <c r="AO298" s="15"/>
      <c r="AP298" s="21"/>
      <c r="AQ298" s="21"/>
      <c r="AR298" s="15"/>
      <c r="AS298" s="21"/>
      <c r="AT298" s="15"/>
      <c r="AU298" s="15"/>
      <c r="AV298" s="15"/>
      <c r="AW298" s="15"/>
      <c r="AX298" s="15"/>
      <c r="AY298" s="15"/>
      <c r="AZ298" s="15"/>
      <c r="BA298" s="15"/>
      <c r="BB298" s="28"/>
      <c r="BC298" s="28"/>
      <c r="BD298" s="38"/>
      <c r="BE298" s="15"/>
      <c r="BF298" s="15"/>
      <c r="BG298" s="28"/>
      <c r="BH298" s="28"/>
      <c r="BI298" s="36"/>
    </row>
    <row r="299" spans="34:61" ht="15.75" customHeight="1" x14ac:dyDescent="0.25">
      <c r="AH299" s="15"/>
      <c r="AI299" s="21"/>
      <c r="AJ299" s="40"/>
      <c r="AK299" s="21"/>
      <c r="AL299" s="21"/>
      <c r="AM299" s="21"/>
      <c r="AN299" s="15"/>
      <c r="AO299" s="15"/>
      <c r="AP299" s="21"/>
      <c r="AQ299" s="21"/>
      <c r="AR299" s="15"/>
      <c r="AS299" s="21"/>
      <c r="AT299" s="15"/>
      <c r="AU299" s="15"/>
      <c r="AV299" s="15"/>
      <c r="AW299" s="15"/>
      <c r="AX299" s="15"/>
      <c r="AY299" s="15"/>
      <c r="AZ299" s="15"/>
      <c r="BA299" s="15"/>
      <c r="BB299" s="28"/>
      <c r="BC299" s="28"/>
      <c r="BD299" s="38"/>
      <c r="BE299" s="15"/>
      <c r="BF299" s="15"/>
      <c r="BG299" s="28"/>
      <c r="BH299" s="28"/>
      <c r="BI299" s="36"/>
    </row>
    <row r="300" spans="34:61" ht="15.75" customHeight="1" x14ac:dyDescent="0.25">
      <c r="AH300" s="15"/>
      <c r="AI300" s="21"/>
      <c r="AJ300" s="40"/>
      <c r="AK300" s="21"/>
      <c r="AL300" s="21"/>
      <c r="AM300" s="21"/>
      <c r="AN300" s="15"/>
      <c r="AO300" s="15"/>
      <c r="AP300" s="21"/>
      <c r="AQ300" s="21"/>
      <c r="AR300" s="15"/>
      <c r="AS300" s="21"/>
      <c r="AT300" s="15"/>
      <c r="AU300" s="15"/>
      <c r="AV300" s="15"/>
      <c r="AW300" s="15"/>
      <c r="AX300" s="15"/>
      <c r="AY300" s="15"/>
      <c r="AZ300" s="15"/>
      <c r="BA300" s="15"/>
      <c r="BB300" s="28"/>
      <c r="BC300" s="28"/>
      <c r="BD300" s="38"/>
      <c r="BE300" s="15"/>
      <c r="BF300" s="15"/>
      <c r="BG300" s="28"/>
      <c r="BH300" s="28"/>
      <c r="BI300" s="36"/>
    </row>
    <row r="301" spans="34:61" ht="15.75" customHeight="1" x14ac:dyDescent="0.25">
      <c r="AH301" s="15"/>
      <c r="AI301" s="21"/>
      <c r="AJ301" s="40"/>
      <c r="AK301" s="21"/>
      <c r="AL301" s="21"/>
      <c r="AM301" s="21"/>
      <c r="AN301" s="15"/>
      <c r="AO301" s="15"/>
      <c r="AP301" s="21"/>
      <c r="AQ301" s="21"/>
      <c r="AR301" s="15"/>
      <c r="AS301" s="21"/>
      <c r="AT301" s="15"/>
      <c r="AU301" s="15"/>
      <c r="AV301" s="15"/>
      <c r="AW301" s="15"/>
      <c r="AX301" s="15"/>
      <c r="AY301" s="15"/>
      <c r="AZ301" s="15"/>
      <c r="BA301" s="15"/>
      <c r="BB301" s="28"/>
      <c r="BC301" s="28"/>
      <c r="BD301" s="38"/>
      <c r="BE301" s="15"/>
      <c r="BF301" s="15"/>
      <c r="BG301" s="28"/>
      <c r="BH301" s="28"/>
      <c r="BI301" s="36"/>
    </row>
    <row r="302" spans="34:61" ht="15.75" customHeight="1" x14ac:dyDescent="0.25">
      <c r="AH302" s="15"/>
      <c r="AI302" s="21"/>
      <c r="AJ302" s="40"/>
      <c r="AK302" s="21"/>
      <c r="AL302" s="21"/>
      <c r="AM302" s="21"/>
      <c r="AN302" s="15"/>
      <c r="AO302" s="15"/>
      <c r="AP302" s="21"/>
      <c r="AQ302" s="21"/>
      <c r="AR302" s="15"/>
      <c r="AS302" s="21"/>
      <c r="AT302" s="15"/>
      <c r="AU302" s="15"/>
      <c r="AV302" s="15"/>
      <c r="AW302" s="15"/>
      <c r="AX302" s="15"/>
      <c r="AY302" s="15"/>
      <c r="AZ302" s="15"/>
      <c r="BA302" s="15"/>
      <c r="BB302" s="28"/>
      <c r="BC302" s="28"/>
      <c r="BD302" s="38"/>
      <c r="BE302" s="15"/>
      <c r="BF302" s="15"/>
      <c r="BG302" s="28"/>
      <c r="BH302" s="28"/>
      <c r="BI302" s="36"/>
    </row>
    <row r="303" spans="34:61" ht="15.75" customHeight="1" x14ac:dyDescent="0.25">
      <c r="AH303" s="15"/>
      <c r="AI303" s="21"/>
      <c r="AJ303" s="40"/>
      <c r="AK303" s="21"/>
      <c r="AL303" s="21"/>
      <c r="AM303" s="21"/>
      <c r="AN303" s="15"/>
      <c r="AO303" s="15"/>
      <c r="AP303" s="21"/>
      <c r="AQ303" s="21"/>
      <c r="AR303" s="15"/>
      <c r="AS303" s="21"/>
      <c r="AT303" s="15"/>
      <c r="AU303" s="15"/>
      <c r="AV303" s="15"/>
      <c r="AW303" s="15"/>
      <c r="AX303" s="15"/>
      <c r="AY303" s="15"/>
      <c r="AZ303" s="15"/>
      <c r="BA303" s="15"/>
      <c r="BB303" s="28"/>
      <c r="BC303" s="28"/>
      <c r="BD303" s="38"/>
      <c r="BE303" s="15"/>
      <c r="BF303" s="15"/>
      <c r="BG303" s="28"/>
      <c r="BH303" s="28"/>
      <c r="BI303" s="36"/>
    </row>
    <row r="304" spans="34:61" ht="15.75" customHeight="1" x14ac:dyDescent="0.25">
      <c r="AH304" s="15"/>
      <c r="AI304" s="21"/>
      <c r="AJ304" s="40"/>
      <c r="AK304" s="21"/>
      <c r="AL304" s="21"/>
      <c r="AM304" s="21"/>
      <c r="AN304" s="15"/>
      <c r="AO304" s="15"/>
      <c r="AP304" s="21"/>
      <c r="AQ304" s="21"/>
      <c r="AR304" s="15"/>
      <c r="AS304" s="21"/>
      <c r="AT304" s="15"/>
      <c r="AU304" s="15"/>
      <c r="AV304" s="15"/>
      <c r="AW304" s="15"/>
      <c r="AX304" s="15"/>
      <c r="AY304" s="15"/>
      <c r="AZ304" s="15"/>
      <c r="BA304" s="15"/>
      <c r="BB304" s="28"/>
      <c r="BC304" s="28"/>
      <c r="BD304" s="38"/>
      <c r="BE304" s="15"/>
      <c r="BF304" s="15"/>
      <c r="BG304" s="28"/>
      <c r="BH304" s="28"/>
      <c r="BI304" s="36"/>
    </row>
    <row r="305" spans="34:61" ht="15.75" customHeight="1" x14ac:dyDescent="0.25">
      <c r="AH305" s="15"/>
      <c r="AI305" s="21"/>
      <c r="AJ305" s="40"/>
      <c r="AK305" s="21"/>
      <c r="AL305" s="21"/>
      <c r="AM305" s="21"/>
      <c r="AN305" s="15"/>
      <c r="AO305" s="15"/>
      <c r="AP305" s="21"/>
      <c r="AQ305" s="21"/>
      <c r="AR305" s="15"/>
      <c r="AS305" s="21"/>
      <c r="AT305" s="15"/>
      <c r="AU305" s="15"/>
      <c r="AV305" s="15"/>
      <c r="AW305" s="15"/>
      <c r="AX305" s="15"/>
      <c r="AY305" s="15"/>
      <c r="AZ305" s="15"/>
      <c r="BA305" s="15"/>
      <c r="BB305" s="28"/>
      <c r="BC305" s="28"/>
      <c r="BD305" s="38"/>
      <c r="BE305" s="15"/>
      <c r="BF305" s="15"/>
      <c r="BG305" s="28"/>
      <c r="BH305" s="28"/>
      <c r="BI305" s="36"/>
    </row>
    <row r="306" spans="34:61" ht="15.75" customHeight="1" x14ac:dyDescent="0.25">
      <c r="AH306" s="15"/>
      <c r="AI306" s="21"/>
      <c r="AJ306" s="40"/>
      <c r="AK306" s="21"/>
      <c r="AL306" s="21"/>
      <c r="AM306" s="21"/>
      <c r="AN306" s="15"/>
      <c r="AO306" s="15"/>
      <c r="AP306" s="21"/>
      <c r="AQ306" s="21"/>
      <c r="AR306" s="15"/>
      <c r="AS306" s="21"/>
      <c r="AT306" s="15"/>
      <c r="AU306" s="15"/>
      <c r="AV306" s="15"/>
      <c r="AW306" s="15"/>
      <c r="AX306" s="15"/>
      <c r="AY306" s="15"/>
      <c r="AZ306" s="15"/>
      <c r="BA306" s="15"/>
      <c r="BB306" s="28"/>
      <c r="BC306" s="28"/>
      <c r="BD306" s="38"/>
      <c r="BE306" s="15"/>
      <c r="BF306" s="15"/>
      <c r="BG306" s="28"/>
      <c r="BH306" s="28"/>
      <c r="BI306" s="36"/>
    </row>
    <row r="307" spans="34:61" ht="15.75" customHeight="1" x14ac:dyDescent="0.25">
      <c r="AH307" s="15"/>
      <c r="AI307" s="21"/>
      <c r="AJ307" s="40"/>
      <c r="AK307" s="21"/>
      <c r="AL307" s="21"/>
      <c r="AM307" s="21"/>
      <c r="AN307" s="15"/>
      <c r="AO307" s="15"/>
      <c r="AP307" s="21"/>
      <c r="AQ307" s="21"/>
      <c r="AR307" s="15"/>
      <c r="AS307" s="21"/>
      <c r="AT307" s="15"/>
      <c r="AU307" s="15"/>
      <c r="AV307" s="15"/>
      <c r="AW307" s="15"/>
      <c r="AX307" s="15"/>
      <c r="AY307" s="15"/>
      <c r="AZ307" s="15"/>
      <c r="BA307" s="15"/>
      <c r="BB307" s="28"/>
      <c r="BC307" s="28"/>
      <c r="BD307" s="38"/>
      <c r="BE307" s="15"/>
      <c r="BF307" s="15"/>
      <c r="BG307" s="28"/>
      <c r="BH307" s="28"/>
      <c r="BI307" s="36"/>
    </row>
    <row r="308" spans="34:61" ht="15.75" customHeight="1" x14ac:dyDescent="0.25">
      <c r="AH308" s="15"/>
      <c r="AI308" s="21"/>
      <c r="AJ308" s="40"/>
      <c r="AK308" s="21"/>
      <c r="AL308" s="21"/>
      <c r="AM308" s="21"/>
      <c r="AN308" s="15"/>
      <c r="AO308" s="15"/>
      <c r="AP308" s="21"/>
      <c r="AQ308" s="21"/>
      <c r="AR308" s="15"/>
      <c r="AS308" s="21"/>
      <c r="AT308" s="15"/>
      <c r="AU308" s="15"/>
      <c r="AV308" s="15"/>
      <c r="AW308" s="15"/>
      <c r="AX308" s="15"/>
      <c r="AY308" s="15"/>
      <c r="AZ308" s="15"/>
      <c r="BA308" s="15"/>
      <c r="BB308" s="28"/>
      <c r="BC308" s="28"/>
      <c r="BD308" s="38"/>
      <c r="BE308" s="15"/>
      <c r="BF308" s="15"/>
      <c r="BG308" s="28"/>
      <c r="BH308" s="28"/>
      <c r="BI308" s="36"/>
    </row>
    <row r="309" spans="34:61" ht="15.75" customHeight="1" x14ac:dyDescent="0.25">
      <c r="AH309" s="15"/>
      <c r="AI309" s="21"/>
      <c r="AJ309" s="40"/>
      <c r="AK309" s="21"/>
      <c r="AL309" s="21"/>
      <c r="AM309" s="21"/>
      <c r="AN309" s="15"/>
      <c r="AO309" s="15"/>
      <c r="AP309" s="21"/>
      <c r="AQ309" s="21"/>
      <c r="AR309" s="15"/>
      <c r="AS309" s="21"/>
      <c r="AT309" s="15"/>
      <c r="AU309" s="15"/>
      <c r="AV309" s="15"/>
      <c r="AW309" s="15"/>
      <c r="AX309" s="15"/>
      <c r="AY309" s="15"/>
      <c r="AZ309" s="15"/>
      <c r="BA309" s="15"/>
      <c r="BB309" s="28"/>
      <c r="BC309" s="28"/>
      <c r="BD309" s="38"/>
      <c r="BE309" s="15"/>
      <c r="BF309" s="15"/>
      <c r="BG309" s="28"/>
      <c r="BH309" s="28"/>
      <c r="BI309" s="36"/>
    </row>
    <row r="310" spans="34:61" ht="15.75" customHeight="1" x14ac:dyDescent="0.25">
      <c r="AH310" s="15"/>
      <c r="AI310" s="21"/>
      <c r="AJ310" s="40"/>
      <c r="AK310" s="21"/>
      <c r="AL310" s="21"/>
      <c r="AM310" s="21"/>
      <c r="AN310" s="15"/>
      <c r="AO310" s="15"/>
      <c r="AP310" s="21"/>
      <c r="AQ310" s="21"/>
      <c r="AR310" s="15"/>
      <c r="AS310" s="21"/>
      <c r="AT310" s="15"/>
      <c r="AU310" s="15"/>
      <c r="AV310" s="15"/>
      <c r="AW310" s="15"/>
      <c r="AX310" s="15"/>
      <c r="AY310" s="15"/>
      <c r="AZ310" s="15"/>
      <c r="BA310" s="15"/>
      <c r="BB310" s="28"/>
      <c r="BC310" s="28"/>
      <c r="BD310" s="38"/>
      <c r="BE310" s="15"/>
      <c r="BF310" s="15"/>
      <c r="BG310" s="28"/>
      <c r="BH310" s="28"/>
      <c r="BI310" s="36"/>
    </row>
    <row r="311" spans="34:61" ht="15.75" customHeight="1" x14ac:dyDescent="0.25">
      <c r="AH311" s="15"/>
      <c r="AI311" s="21"/>
      <c r="AJ311" s="40"/>
      <c r="AK311" s="21"/>
      <c r="AL311" s="21"/>
      <c r="AM311" s="21"/>
      <c r="AN311" s="15"/>
      <c r="AO311" s="15"/>
      <c r="AP311" s="21"/>
      <c r="AQ311" s="21"/>
      <c r="AR311" s="15"/>
      <c r="AS311" s="21"/>
      <c r="AT311" s="15"/>
      <c r="AU311" s="15"/>
      <c r="AV311" s="15"/>
      <c r="AW311" s="15"/>
      <c r="AX311" s="15"/>
      <c r="AY311" s="15"/>
      <c r="AZ311" s="15"/>
      <c r="BA311" s="15"/>
      <c r="BB311" s="28"/>
      <c r="BC311" s="28"/>
      <c r="BD311" s="38"/>
      <c r="BE311" s="15"/>
      <c r="BF311" s="15"/>
      <c r="BG311" s="28"/>
      <c r="BH311" s="28"/>
      <c r="BI311" s="36"/>
    </row>
    <row r="312" spans="34:61" ht="15.75" customHeight="1" x14ac:dyDescent="0.25">
      <c r="AH312" s="15"/>
      <c r="AI312" s="21"/>
      <c r="AJ312" s="40"/>
      <c r="AK312" s="21"/>
      <c r="AL312" s="21"/>
      <c r="AM312" s="21"/>
      <c r="AN312" s="15"/>
      <c r="AO312" s="15"/>
      <c r="AP312" s="21"/>
      <c r="AQ312" s="21"/>
      <c r="AR312" s="15"/>
      <c r="AS312" s="21"/>
      <c r="AT312" s="15"/>
      <c r="AU312" s="15"/>
      <c r="AV312" s="15"/>
      <c r="AW312" s="15"/>
      <c r="AX312" s="15"/>
      <c r="AY312" s="15"/>
      <c r="AZ312" s="15"/>
      <c r="BA312" s="15"/>
      <c r="BB312" s="28"/>
      <c r="BC312" s="28"/>
      <c r="BD312" s="38"/>
      <c r="BE312" s="15"/>
      <c r="BF312" s="15"/>
      <c r="BG312" s="28"/>
      <c r="BH312" s="28"/>
      <c r="BI312" s="36"/>
    </row>
    <row r="313" spans="34:61" ht="15.75" customHeight="1" x14ac:dyDescent="0.25">
      <c r="AH313" s="15"/>
      <c r="AI313" s="21"/>
      <c r="AJ313" s="40"/>
      <c r="AK313" s="21"/>
      <c r="AL313" s="21"/>
      <c r="AM313" s="21"/>
      <c r="AN313" s="15"/>
      <c r="AO313" s="15"/>
      <c r="AP313" s="21"/>
      <c r="AQ313" s="21"/>
      <c r="AR313" s="15"/>
      <c r="AS313" s="21"/>
      <c r="AT313" s="15"/>
      <c r="AU313" s="15"/>
      <c r="AV313" s="15"/>
      <c r="AW313" s="15"/>
      <c r="AX313" s="15"/>
      <c r="AY313" s="15"/>
      <c r="AZ313" s="15"/>
      <c r="BA313" s="15"/>
      <c r="BB313" s="28"/>
      <c r="BC313" s="28"/>
      <c r="BD313" s="38"/>
      <c r="BE313" s="15"/>
      <c r="BF313" s="15"/>
      <c r="BG313" s="28"/>
      <c r="BH313" s="28"/>
      <c r="BI313" s="36"/>
    </row>
    <row r="314" spans="34:61" ht="15.75" customHeight="1" x14ac:dyDescent="0.25">
      <c r="AH314" s="15"/>
      <c r="AI314" s="21"/>
      <c r="AJ314" s="40"/>
      <c r="AK314" s="21"/>
      <c r="AL314" s="21"/>
      <c r="AM314" s="21"/>
      <c r="AN314" s="15"/>
      <c r="AO314" s="15"/>
      <c r="AP314" s="21"/>
      <c r="AQ314" s="21"/>
      <c r="AR314" s="15"/>
      <c r="AS314" s="21"/>
      <c r="AT314" s="15"/>
      <c r="AU314" s="15"/>
      <c r="AV314" s="15"/>
      <c r="AW314" s="15"/>
      <c r="AX314" s="15"/>
      <c r="AY314" s="15"/>
      <c r="AZ314" s="15"/>
      <c r="BA314" s="15"/>
      <c r="BB314" s="28"/>
      <c r="BC314" s="28"/>
      <c r="BD314" s="38"/>
      <c r="BE314" s="15"/>
      <c r="BF314" s="15"/>
      <c r="BG314" s="28"/>
      <c r="BH314" s="28"/>
      <c r="BI314" s="36"/>
    </row>
    <row r="315" spans="34:61" ht="15.75" customHeight="1" x14ac:dyDescent="0.25">
      <c r="AH315" s="15"/>
      <c r="AI315" s="21"/>
      <c r="AJ315" s="40"/>
      <c r="AK315" s="21"/>
      <c r="AL315" s="21"/>
      <c r="AM315" s="21"/>
      <c r="AN315" s="15"/>
      <c r="AO315" s="15"/>
      <c r="AP315" s="21"/>
      <c r="AQ315" s="21"/>
      <c r="AR315" s="15"/>
      <c r="AS315" s="21"/>
      <c r="AT315" s="15"/>
      <c r="AU315" s="15"/>
      <c r="AV315" s="15"/>
      <c r="AW315" s="15"/>
      <c r="AX315" s="15"/>
      <c r="AY315" s="15"/>
      <c r="AZ315" s="15"/>
      <c r="BA315" s="15"/>
      <c r="BB315" s="28"/>
      <c r="BC315" s="28"/>
      <c r="BD315" s="38"/>
      <c r="BE315" s="15"/>
      <c r="BF315" s="15"/>
      <c r="BG315" s="28"/>
      <c r="BH315" s="28"/>
      <c r="BI315" s="36"/>
    </row>
    <row r="316" spans="34:61" ht="15.75" customHeight="1" x14ac:dyDescent="0.25">
      <c r="AH316" s="15"/>
      <c r="AI316" s="21"/>
      <c r="AJ316" s="40"/>
      <c r="AK316" s="21"/>
      <c r="AL316" s="21"/>
      <c r="AM316" s="21"/>
      <c r="AN316" s="15"/>
      <c r="AO316" s="15"/>
      <c r="AP316" s="21"/>
      <c r="AQ316" s="21"/>
      <c r="AR316" s="15"/>
      <c r="AS316" s="21"/>
      <c r="AT316" s="15"/>
      <c r="AU316" s="15"/>
      <c r="AV316" s="15"/>
      <c r="AW316" s="15"/>
      <c r="AX316" s="15"/>
      <c r="AY316" s="15"/>
      <c r="AZ316" s="15"/>
      <c r="BA316" s="15"/>
      <c r="BB316" s="28"/>
      <c r="BC316" s="28"/>
      <c r="BD316" s="38"/>
      <c r="BE316" s="15"/>
      <c r="BF316" s="15"/>
      <c r="BG316" s="28"/>
      <c r="BH316" s="28"/>
      <c r="BI316" s="36"/>
    </row>
    <row r="317" spans="34:61" ht="15.75" customHeight="1" x14ac:dyDescent="0.25">
      <c r="AH317" s="15"/>
      <c r="AI317" s="21"/>
      <c r="AJ317" s="40"/>
      <c r="AK317" s="21"/>
      <c r="AL317" s="21"/>
      <c r="AM317" s="21"/>
      <c r="AN317" s="15"/>
      <c r="AO317" s="15"/>
      <c r="AP317" s="21"/>
      <c r="AQ317" s="21"/>
      <c r="AR317" s="15"/>
      <c r="AS317" s="21"/>
      <c r="AT317" s="15"/>
      <c r="AU317" s="15"/>
      <c r="AV317" s="15"/>
      <c r="AW317" s="15"/>
      <c r="AX317" s="15"/>
      <c r="AY317" s="15"/>
      <c r="AZ317" s="15"/>
      <c r="BA317" s="15"/>
      <c r="BB317" s="28"/>
      <c r="BC317" s="28"/>
      <c r="BD317" s="38"/>
      <c r="BE317" s="15"/>
      <c r="BF317" s="15"/>
      <c r="BG317" s="28"/>
      <c r="BH317" s="28"/>
      <c r="BI317" s="36"/>
    </row>
    <row r="318" spans="34:61" ht="15.75" customHeight="1" x14ac:dyDescent="0.25">
      <c r="AH318" s="15"/>
      <c r="AI318" s="21"/>
      <c r="AJ318" s="40"/>
      <c r="AK318" s="21"/>
      <c r="AL318" s="21"/>
      <c r="AM318" s="21"/>
      <c r="AN318" s="15"/>
      <c r="AO318" s="15"/>
      <c r="AP318" s="21"/>
      <c r="AQ318" s="21"/>
      <c r="AR318" s="15"/>
      <c r="AS318" s="21"/>
      <c r="AT318" s="15"/>
      <c r="AU318" s="15"/>
      <c r="AV318" s="15"/>
      <c r="AW318" s="15"/>
      <c r="AX318" s="15"/>
      <c r="AY318" s="15"/>
      <c r="AZ318" s="15"/>
      <c r="BA318" s="15"/>
      <c r="BB318" s="28"/>
      <c r="BC318" s="28"/>
      <c r="BD318" s="38"/>
      <c r="BE318" s="15"/>
      <c r="BF318" s="15"/>
      <c r="BG318" s="28"/>
      <c r="BH318" s="28"/>
      <c r="BI318" s="36"/>
    </row>
    <row r="319" spans="34:61" ht="15.75" customHeight="1" x14ac:dyDescent="0.25">
      <c r="AH319" s="15"/>
      <c r="AI319" s="21"/>
      <c r="AJ319" s="40"/>
      <c r="AK319" s="21"/>
      <c r="AL319" s="21"/>
      <c r="AM319" s="21"/>
      <c r="AN319" s="15"/>
      <c r="AO319" s="15"/>
      <c r="AP319" s="21"/>
      <c r="AQ319" s="21"/>
      <c r="AR319" s="15"/>
      <c r="AS319" s="21"/>
      <c r="AT319" s="15"/>
      <c r="AU319" s="15"/>
      <c r="AV319" s="15"/>
      <c r="AW319" s="15"/>
      <c r="AX319" s="15"/>
      <c r="AY319" s="15"/>
      <c r="AZ319" s="15"/>
      <c r="BA319" s="15"/>
      <c r="BB319" s="28"/>
      <c r="BC319" s="28"/>
      <c r="BD319" s="38"/>
      <c r="BE319" s="15"/>
      <c r="BF319" s="15"/>
      <c r="BG319" s="28"/>
      <c r="BH319" s="28"/>
      <c r="BI319" s="36"/>
    </row>
    <row r="320" spans="34:61" ht="15.75" customHeight="1" x14ac:dyDescent="0.25">
      <c r="AH320" s="15"/>
      <c r="AI320" s="21"/>
      <c r="AJ320" s="40"/>
      <c r="AK320" s="21"/>
      <c r="AL320" s="21"/>
      <c r="AM320" s="21"/>
      <c r="AN320" s="15"/>
      <c r="AO320" s="15"/>
      <c r="AP320" s="21"/>
      <c r="AQ320" s="21"/>
      <c r="AR320" s="15"/>
      <c r="AS320" s="21"/>
      <c r="AT320" s="15"/>
      <c r="AU320" s="15"/>
      <c r="AV320" s="15"/>
      <c r="AW320" s="15"/>
      <c r="AX320" s="15"/>
      <c r="AY320" s="15"/>
      <c r="AZ320" s="15"/>
      <c r="BA320" s="15"/>
      <c r="BB320" s="28"/>
      <c r="BC320" s="28"/>
      <c r="BD320" s="38"/>
      <c r="BE320" s="15"/>
      <c r="BF320" s="15"/>
      <c r="BG320" s="28"/>
      <c r="BH320" s="28"/>
      <c r="BI320" s="36"/>
    </row>
    <row r="321" spans="34:61" ht="15.75" customHeight="1" x14ac:dyDescent="0.25">
      <c r="AH321" s="15"/>
      <c r="AI321" s="21"/>
      <c r="AJ321" s="40"/>
      <c r="AK321" s="21"/>
      <c r="AL321" s="21"/>
      <c r="AM321" s="21"/>
      <c r="AN321" s="15"/>
      <c r="AO321" s="15"/>
      <c r="AP321" s="21"/>
      <c r="AQ321" s="21"/>
      <c r="AR321" s="15"/>
      <c r="AS321" s="21"/>
      <c r="AT321" s="15"/>
      <c r="AU321" s="15"/>
      <c r="AV321" s="15"/>
      <c r="AW321" s="15"/>
      <c r="AX321" s="15"/>
      <c r="AY321" s="15"/>
      <c r="AZ321" s="15"/>
      <c r="BA321" s="15"/>
      <c r="BB321" s="28"/>
      <c r="BC321" s="28"/>
      <c r="BD321" s="38"/>
      <c r="BE321" s="15"/>
      <c r="BF321" s="15"/>
      <c r="BG321" s="28"/>
      <c r="BH321" s="28"/>
      <c r="BI321" s="36"/>
    </row>
    <row r="322" spans="34:61" ht="15.75" customHeight="1" x14ac:dyDescent="0.25">
      <c r="AH322" s="15"/>
      <c r="AI322" s="21"/>
      <c r="AJ322" s="40"/>
      <c r="AK322" s="21"/>
      <c r="AL322" s="21"/>
      <c r="AM322" s="21"/>
      <c r="AN322" s="15"/>
      <c r="AO322" s="15"/>
      <c r="AP322" s="21"/>
      <c r="AQ322" s="21"/>
      <c r="AR322" s="15"/>
      <c r="AS322" s="21"/>
      <c r="AT322" s="15"/>
      <c r="AU322" s="15"/>
      <c r="AV322" s="15"/>
      <c r="AW322" s="15"/>
      <c r="AX322" s="15"/>
      <c r="AY322" s="15"/>
      <c r="AZ322" s="15"/>
      <c r="BA322" s="15"/>
      <c r="BB322" s="28"/>
      <c r="BC322" s="28"/>
      <c r="BD322" s="38"/>
      <c r="BE322" s="15"/>
      <c r="BF322" s="15"/>
      <c r="BG322" s="28"/>
      <c r="BH322" s="28"/>
      <c r="BI322" s="36"/>
    </row>
    <row r="323" spans="34:61" ht="15.75" customHeight="1" x14ac:dyDescent="0.25">
      <c r="AH323" s="15"/>
      <c r="AI323" s="21"/>
      <c r="AJ323" s="40"/>
      <c r="AK323" s="21"/>
      <c r="AL323" s="21"/>
      <c r="AM323" s="21"/>
      <c r="AN323" s="15"/>
      <c r="AO323" s="15"/>
      <c r="AP323" s="21"/>
      <c r="AQ323" s="21"/>
      <c r="AR323" s="15"/>
      <c r="AS323" s="21"/>
      <c r="AT323" s="15"/>
      <c r="AU323" s="15"/>
      <c r="AV323" s="15"/>
      <c r="AW323" s="15"/>
      <c r="AX323" s="15"/>
      <c r="AY323" s="15"/>
      <c r="AZ323" s="15"/>
      <c r="BA323" s="15"/>
      <c r="BB323" s="28"/>
      <c r="BC323" s="28"/>
      <c r="BD323" s="38"/>
      <c r="BE323" s="15"/>
      <c r="BF323" s="15"/>
      <c r="BG323" s="28"/>
      <c r="BH323" s="28"/>
      <c r="BI323" s="36"/>
    </row>
    <row r="324" spans="34:61" ht="15.75" customHeight="1" x14ac:dyDescent="0.25">
      <c r="AH324" s="15"/>
      <c r="AI324" s="21"/>
      <c r="AJ324" s="40"/>
      <c r="AK324" s="21"/>
      <c r="AL324" s="21"/>
      <c r="AM324" s="21"/>
      <c r="AN324" s="15"/>
      <c r="AO324" s="15"/>
      <c r="AP324" s="21"/>
      <c r="AQ324" s="21"/>
      <c r="AR324" s="15"/>
      <c r="AS324" s="21"/>
      <c r="AT324" s="15"/>
      <c r="AU324" s="15"/>
      <c r="AV324" s="15"/>
      <c r="AW324" s="15"/>
      <c r="AX324" s="15"/>
      <c r="AY324" s="15"/>
      <c r="AZ324" s="15"/>
      <c r="BA324" s="15"/>
      <c r="BB324" s="28"/>
      <c r="BC324" s="28"/>
      <c r="BD324" s="38"/>
      <c r="BE324" s="15"/>
      <c r="BF324" s="15"/>
      <c r="BG324" s="28"/>
      <c r="BH324" s="28"/>
      <c r="BI324" s="36"/>
    </row>
    <row r="325" spans="34:61" ht="15.75" customHeight="1" x14ac:dyDescent="0.25">
      <c r="AH325" s="15"/>
      <c r="AI325" s="21"/>
      <c r="AJ325" s="40"/>
      <c r="AK325" s="21"/>
      <c r="AL325" s="21"/>
      <c r="AM325" s="21"/>
      <c r="AN325" s="15"/>
      <c r="AO325" s="15"/>
      <c r="AP325" s="21"/>
      <c r="AQ325" s="21"/>
      <c r="AR325" s="15"/>
      <c r="AS325" s="21"/>
      <c r="AT325" s="15"/>
      <c r="AU325" s="15"/>
      <c r="AV325" s="15"/>
      <c r="AW325" s="15"/>
      <c r="AX325" s="15"/>
      <c r="AY325" s="15"/>
      <c r="AZ325" s="15"/>
      <c r="BA325" s="15"/>
      <c r="BB325" s="28"/>
      <c r="BC325" s="28"/>
      <c r="BD325" s="38"/>
      <c r="BE325" s="15"/>
      <c r="BF325" s="15"/>
      <c r="BG325" s="28"/>
      <c r="BH325" s="28"/>
      <c r="BI325" s="36"/>
    </row>
    <row r="326" spans="34:61" ht="15.75" customHeight="1" x14ac:dyDescent="0.25">
      <c r="AH326" s="15"/>
      <c r="AI326" s="21"/>
      <c r="AJ326" s="40"/>
      <c r="AK326" s="21"/>
      <c r="AL326" s="21"/>
      <c r="AM326" s="21"/>
      <c r="AN326" s="15"/>
      <c r="AO326" s="15"/>
      <c r="AP326" s="21"/>
      <c r="AQ326" s="21"/>
      <c r="AR326" s="15"/>
      <c r="AS326" s="21"/>
      <c r="AT326" s="15"/>
      <c r="AU326" s="15"/>
      <c r="AV326" s="15"/>
      <c r="AW326" s="15"/>
      <c r="AX326" s="15"/>
      <c r="AY326" s="15"/>
      <c r="AZ326" s="15"/>
      <c r="BA326" s="15"/>
      <c r="BB326" s="28"/>
      <c r="BC326" s="28"/>
      <c r="BD326" s="38"/>
      <c r="BE326" s="15"/>
      <c r="BF326" s="15"/>
      <c r="BG326" s="28"/>
      <c r="BH326" s="28"/>
      <c r="BI326" s="36"/>
    </row>
    <row r="327" spans="34:61" ht="15.75" customHeight="1" x14ac:dyDescent="0.25">
      <c r="AH327" s="15"/>
      <c r="AI327" s="21"/>
      <c r="AJ327" s="40"/>
      <c r="AK327" s="21"/>
      <c r="AL327" s="21"/>
      <c r="AM327" s="21"/>
      <c r="AN327" s="15"/>
      <c r="AO327" s="15"/>
      <c r="AP327" s="21"/>
      <c r="AQ327" s="21"/>
      <c r="AR327" s="15"/>
      <c r="AS327" s="21"/>
      <c r="AT327" s="15"/>
      <c r="AU327" s="15"/>
      <c r="AV327" s="15"/>
      <c r="AW327" s="15"/>
      <c r="AX327" s="15"/>
      <c r="AY327" s="15"/>
      <c r="AZ327" s="15"/>
      <c r="BA327" s="15"/>
      <c r="BB327" s="28"/>
      <c r="BC327" s="28"/>
      <c r="BD327" s="38"/>
      <c r="BE327" s="15"/>
      <c r="BF327" s="15"/>
      <c r="BG327" s="28"/>
      <c r="BH327" s="28"/>
      <c r="BI327" s="36"/>
    </row>
    <row r="328" spans="34:61" ht="15.75" customHeight="1" x14ac:dyDescent="0.25">
      <c r="AH328" s="15"/>
      <c r="AI328" s="21"/>
      <c r="AJ328" s="40"/>
      <c r="AK328" s="21"/>
      <c r="AL328" s="21"/>
      <c r="AM328" s="21"/>
      <c r="AN328" s="15"/>
      <c r="AO328" s="15"/>
      <c r="AP328" s="21"/>
      <c r="AQ328" s="21"/>
      <c r="AR328" s="15"/>
      <c r="AS328" s="21"/>
      <c r="AT328" s="15"/>
      <c r="AU328" s="15"/>
      <c r="AV328" s="15"/>
      <c r="AW328" s="15"/>
      <c r="AX328" s="15"/>
      <c r="AY328" s="15"/>
      <c r="AZ328" s="15"/>
      <c r="BA328" s="15"/>
      <c r="BB328" s="28"/>
      <c r="BC328" s="28"/>
      <c r="BD328" s="38"/>
      <c r="BE328" s="15"/>
      <c r="BF328" s="15"/>
      <c r="BG328" s="28"/>
      <c r="BH328" s="28"/>
      <c r="BI328" s="36"/>
    </row>
    <row r="329" spans="34:61" ht="15.75" customHeight="1" x14ac:dyDescent="0.25">
      <c r="AH329" s="15"/>
      <c r="AI329" s="21"/>
      <c r="AJ329" s="40"/>
      <c r="AK329" s="21"/>
      <c r="AL329" s="21"/>
      <c r="AM329" s="21"/>
      <c r="AN329" s="15"/>
      <c r="AO329" s="15"/>
      <c r="AP329" s="21"/>
      <c r="AQ329" s="21"/>
      <c r="AR329" s="15"/>
      <c r="AS329" s="21"/>
      <c r="AT329" s="15"/>
      <c r="AU329" s="15"/>
      <c r="AV329" s="15"/>
      <c r="AW329" s="15"/>
      <c r="AX329" s="15"/>
      <c r="AY329" s="15"/>
      <c r="AZ329" s="15"/>
      <c r="BA329" s="15"/>
      <c r="BB329" s="28"/>
      <c r="BC329" s="28"/>
      <c r="BD329" s="38"/>
      <c r="BE329" s="15"/>
      <c r="BF329" s="15"/>
      <c r="BG329" s="28"/>
      <c r="BH329" s="28"/>
      <c r="BI329" s="36"/>
    </row>
    <row r="330" spans="34:61" ht="15.75" customHeight="1" x14ac:dyDescent="0.25">
      <c r="AH330" s="15"/>
      <c r="AI330" s="21"/>
      <c r="AJ330" s="40"/>
      <c r="AK330" s="21"/>
      <c r="AL330" s="21"/>
      <c r="AM330" s="21"/>
      <c r="AN330" s="15"/>
      <c r="AO330" s="15"/>
      <c r="AP330" s="21"/>
      <c r="AQ330" s="21"/>
      <c r="AR330" s="15"/>
      <c r="AS330" s="21"/>
      <c r="AT330" s="15"/>
      <c r="AU330" s="15"/>
      <c r="AV330" s="15"/>
      <c r="AW330" s="15"/>
      <c r="AX330" s="15"/>
      <c r="AY330" s="15"/>
      <c r="AZ330" s="15"/>
      <c r="BA330" s="15"/>
      <c r="BB330" s="28"/>
      <c r="BC330" s="28"/>
      <c r="BD330" s="38"/>
      <c r="BE330" s="15"/>
      <c r="BF330" s="15"/>
      <c r="BG330" s="28"/>
      <c r="BH330" s="28"/>
      <c r="BI330" s="36"/>
    </row>
    <row r="331" spans="34:61" ht="15.75" customHeight="1" x14ac:dyDescent="0.25">
      <c r="AH331" s="15"/>
      <c r="AI331" s="21"/>
      <c r="AJ331" s="40"/>
      <c r="AK331" s="21"/>
      <c r="AL331" s="21"/>
      <c r="AM331" s="21"/>
      <c r="AN331" s="15"/>
      <c r="AO331" s="15"/>
      <c r="AP331" s="21"/>
      <c r="AQ331" s="21"/>
      <c r="AR331" s="15"/>
      <c r="AS331" s="21"/>
      <c r="AT331" s="15"/>
      <c r="AU331" s="15"/>
      <c r="AV331" s="15"/>
      <c r="AW331" s="15"/>
      <c r="AX331" s="15"/>
      <c r="AY331" s="15"/>
      <c r="AZ331" s="15"/>
      <c r="BA331" s="15"/>
      <c r="BB331" s="28"/>
      <c r="BC331" s="28"/>
      <c r="BD331" s="38"/>
      <c r="BE331" s="15"/>
      <c r="BF331" s="15"/>
      <c r="BG331" s="28"/>
      <c r="BH331" s="28"/>
      <c r="BI331" s="36"/>
    </row>
    <row r="332" spans="34:61" ht="15.75" customHeight="1" x14ac:dyDescent="0.25">
      <c r="AH332" s="15"/>
      <c r="AI332" s="21"/>
      <c r="AJ332" s="40"/>
      <c r="AK332" s="21"/>
      <c r="AL332" s="21"/>
      <c r="AM332" s="21"/>
      <c r="AN332" s="15"/>
      <c r="AO332" s="15"/>
      <c r="AP332" s="21"/>
      <c r="AQ332" s="21"/>
      <c r="AR332" s="15"/>
      <c r="AS332" s="21"/>
      <c r="AT332" s="15"/>
      <c r="AU332" s="15"/>
      <c r="AV332" s="15"/>
      <c r="AW332" s="15"/>
      <c r="AX332" s="15"/>
      <c r="AY332" s="15"/>
      <c r="AZ332" s="15"/>
      <c r="BA332" s="15"/>
      <c r="BB332" s="28"/>
      <c r="BC332" s="28"/>
      <c r="BD332" s="38"/>
      <c r="BE332" s="15"/>
      <c r="BF332" s="15"/>
      <c r="BG332" s="28"/>
      <c r="BH332" s="28"/>
      <c r="BI332" s="36"/>
    </row>
    <row r="333" spans="34:61" ht="15.75" customHeight="1" x14ac:dyDescent="0.25">
      <c r="AH333" s="15"/>
      <c r="AI333" s="21"/>
      <c r="AJ333" s="40"/>
      <c r="AK333" s="21"/>
      <c r="AL333" s="21"/>
      <c r="AM333" s="21"/>
      <c r="AN333" s="15"/>
      <c r="AO333" s="15"/>
      <c r="AP333" s="21"/>
      <c r="AQ333" s="21"/>
      <c r="AR333" s="15"/>
      <c r="AS333" s="21"/>
      <c r="AT333" s="15"/>
      <c r="AU333" s="15"/>
      <c r="AV333" s="15"/>
      <c r="AW333" s="15"/>
      <c r="AX333" s="15"/>
      <c r="AY333" s="15"/>
      <c r="AZ333" s="15"/>
      <c r="BA333" s="15"/>
      <c r="BB333" s="28"/>
      <c r="BC333" s="28"/>
      <c r="BD333" s="38"/>
      <c r="BE333" s="15"/>
      <c r="BF333" s="15"/>
      <c r="BG333" s="28"/>
      <c r="BH333" s="28"/>
      <c r="BI333" s="36"/>
    </row>
    <row r="334" spans="34:61" ht="15.75" customHeight="1" x14ac:dyDescent="0.25">
      <c r="AH334" s="15"/>
      <c r="AI334" s="21"/>
      <c r="AJ334" s="40"/>
      <c r="AK334" s="21"/>
      <c r="AL334" s="21"/>
      <c r="AM334" s="21"/>
      <c r="AN334" s="15"/>
      <c r="AO334" s="15"/>
      <c r="AP334" s="21"/>
      <c r="AQ334" s="21"/>
      <c r="AR334" s="15"/>
      <c r="AS334" s="21"/>
      <c r="AT334" s="15"/>
      <c r="AU334" s="15"/>
      <c r="AV334" s="15"/>
      <c r="AW334" s="15"/>
      <c r="AX334" s="15"/>
      <c r="AY334" s="15"/>
      <c r="AZ334" s="15"/>
      <c r="BA334" s="15"/>
      <c r="BB334" s="28"/>
      <c r="BC334" s="28"/>
      <c r="BD334" s="38"/>
      <c r="BE334" s="15"/>
      <c r="BF334" s="15"/>
      <c r="BG334" s="28"/>
      <c r="BH334" s="28"/>
      <c r="BI334" s="36"/>
    </row>
    <row r="335" spans="34:61" ht="15.75" customHeight="1" x14ac:dyDescent="0.25">
      <c r="AH335" s="15"/>
      <c r="AI335" s="21"/>
      <c r="AJ335" s="40"/>
      <c r="AK335" s="21"/>
      <c r="AL335" s="21"/>
      <c r="AM335" s="21"/>
      <c r="AN335" s="15"/>
      <c r="AO335" s="15"/>
      <c r="AP335" s="21"/>
      <c r="AQ335" s="21"/>
      <c r="AR335" s="15"/>
      <c r="AS335" s="21"/>
      <c r="AT335" s="15"/>
      <c r="AU335" s="15"/>
      <c r="AV335" s="15"/>
      <c r="AW335" s="15"/>
      <c r="AX335" s="15"/>
      <c r="AY335" s="15"/>
      <c r="AZ335" s="15"/>
      <c r="BA335" s="15"/>
      <c r="BB335" s="28"/>
      <c r="BC335" s="28"/>
      <c r="BD335" s="38"/>
      <c r="BE335" s="15"/>
      <c r="BF335" s="15"/>
      <c r="BG335" s="28"/>
      <c r="BH335" s="28"/>
      <c r="BI335" s="36"/>
    </row>
    <row r="336" spans="34:61" ht="15.75" customHeight="1" x14ac:dyDescent="0.25">
      <c r="AH336" s="15"/>
      <c r="AI336" s="21"/>
      <c r="AJ336" s="40"/>
      <c r="AK336" s="21"/>
      <c r="AL336" s="21"/>
      <c r="AM336" s="21"/>
      <c r="AN336" s="15"/>
      <c r="AO336" s="15"/>
      <c r="AP336" s="21"/>
      <c r="AQ336" s="21"/>
      <c r="AR336" s="15"/>
      <c r="AS336" s="21"/>
      <c r="AT336" s="15"/>
      <c r="AU336" s="15"/>
      <c r="AV336" s="15"/>
      <c r="AW336" s="15"/>
      <c r="AX336" s="15"/>
      <c r="AY336" s="15"/>
      <c r="AZ336" s="15"/>
      <c r="BA336" s="15"/>
      <c r="BB336" s="28"/>
      <c r="BC336" s="28"/>
      <c r="BD336" s="38"/>
      <c r="BE336" s="15"/>
      <c r="BF336" s="15"/>
      <c r="BG336" s="28"/>
      <c r="BH336" s="28"/>
      <c r="BI336" s="36"/>
    </row>
    <row r="337" spans="34:61" ht="15.75" customHeight="1" x14ac:dyDescent="0.25">
      <c r="AH337" s="15"/>
      <c r="AI337" s="21"/>
      <c r="AJ337" s="40"/>
      <c r="AK337" s="21"/>
      <c r="AL337" s="21"/>
      <c r="AM337" s="21"/>
      <c r="AN337" s="15"/>
      <c r="AO337" s="15"/>
      <c r="AP337" s="21"/>
      <c r="AQ337" s="21"/>
      <c r="AR337" s="15"/>
      <c r="AS337" s="21"/>
      <c r="AT337" s="15"/>
      <c r="AU337" s="15"/>
      <c r="AV337" s="15"/>
      <c r="AW337" s="15"/>
      <c r="AX337" s="15"/>
      <c r="AY337" s="15"/>
      <c r="AZ337" s="15"/>
      <c r="BA337" s="15"/>
      <c r="BB337" s="28"/>
      <c r="BC337" s="28"/>
      <c r="BD337" s="38"/>
      <c r="BE337" s="15"/>
      <c r="BF337" s="15"/>
      <c r="BG337" s="28"/>
      <c r="BH337" s="28"/>
      <c r="BI337" s="36"/>
    </row>
    <row r="338" spans="34:61" ht="15.75" customHeight="1" x14ac:dyDescent="0.25">
      <c r="AH338" s="15"/>
      <c r="AI338" s="21"/>
      <c r="AJ338" s="40"/>
      <c r="AK338" s="21"/>
      <c r="AL338" s="21"/>
      <c r="AM338" s="21"/>
      <c r="AN338" s="15"/>
      <c r="AO338" s="15"/>
      <c r="AP338" s="21"/>
      <c r="AQ338" s="21"/>
      <c r="AR338" s="15"/>
      <c r="AS338" s="21"/>
      <c r="AT338" s="15"/>
      <c r="AU338" s="15"/>
      <c r="AV338" s="15"/>
      <c r="AW338" s="15"/>
      <c r="AX338" s="15"/>
      <c r="AY338" s="15"/>
      <c r="AZ338" s="15"/>
      <c r="BA338" s="15"/>
      <c r="BB338" s="28"/>
      <c r="BC338" s="28"/>
      <c r="BD338" s="38"/>
      <c r="BE338" s="15"/>
      <c r="BF338" s="15"/>
      <c r="BG338" s="28"/>
      <c r="BH338" s="28"/>
      <c r="BI338" s="36"/>
    </row>
    <row r="339" spans="34:61" ht="15.75" customHeight="1" x14ac:dyDescent="0.25">
      <c r="AH339" s="15"/>
      <c r="AI339" s="21"/>
      <c r="AJ339" s="40"/>
      <c r="AK339" s="21"/>
      <c r="AL339" s="21"/>
      <c r="AM339" s="21"/>
      <c r="AN339" s="15"/>
      <c r="AO339" s="15"/>
      <c r="AP339" s="21"/>
      <c r="AQ339" s="21"/>
      <c r="AR339" s="15"/>
      <c r="AS339" s="21"/>
      <c r="AT339" s="15"/>
      <c r="AU339" s="15"/>
      <c r="AV339" s="15"/>
      <c r="AW339" s="15"/>
      <c r="AX339" s="15"/>
      <c r="AY339" s="15"/>
      <c r="AZ339" s="15"/>
      <c r="BA339" s="15"/>
      <c r="BB339" s="28"/>
      <c r="BC339" s="28"/>
      <c r="BD339" s="38"/>
      <c r="BE339" s="15"/>
      <c r="BF339" s="15"/>
      <c r="BG339" s="28"/>
      <c r="BH339" s="28"/>
      <c r="BI339" s="36"/>
    </row>
    <row r="340" spans="34:61" ht="15.75" customHeight="1" x14ac:dyDescent="0.25">
      <c r="AH340" s="15"/>
      <c r="AI340" s="21"/>
      <c r="AJ340" s="40"/>
      <c r="AK340" s="21"/>
      <c r="AL340" s="21"/>
      <c r="AM340" s="21"/>
      <c r="AN340" s="15"/>
      <c r="AO340" s="15"/>
      <c r="AP340" s="21"/>
      <c r="AQ340" s="21"/>
      <c r="AR340" s="15"/>
      <c r="AS340" s="21"/>
      <c r="AT340" s="15"/>
      <c r="AU340" s="15"/>
      <c r="AV340" s="15"/>
      <c r="AW340" s="15"/>
      <c r="AX340" s="15"/>
      <c r="AY340" s="15"/>
      <c r="AZ340" s="15"/>
      <c r="BA340" s="15"/>
      <c r="BB340" s="28"/>
      <c r="BC340" s="28"/>
      <c r="BD340" s="38"/>
      <c r="BE340" s="15"/>
      <c r="BF340" s="15"/>
      <c r="BG340" s="28"/>
      <c r="BH340" s="28"/>
      <c r="BI340" s="36"/>
    </row>
    <row r="341" spans="34:61" ht="15.75" customHeight="1" x14ac:dyDescent="0.25">
      <c r="AH341" s="15"/>
      <c r="AI341" s="21"/>
      <c r="AJ341" s="40"/>
      <c r="AK341" s="21"/>
      <c r="AL341" s="21"/>
      <c r="AM341" s="21"/>
      <c r="AN341" s="15"/>
      <c r="AO341" s="15"/>
      <c r="AP341" s="21"/>
      <c r="AQ341" s="21"/>
      <c r="AR341" s="15"/>
      <c r="AS341" s="21"/>
      <c r="AT341" s="15"/>
      <c r="AU341" s="15"/>
      <c r="AV341" s="15"/>
      <c r="AW341" s="15"/>
      <c r="AX341" s="15"/>
      <c r="AY341" s="15"/>
      <c r="AZ341" s="15"/>
      <c r="BA341" s="15"/>
      <c r="BB341" s="28"/>
      <c r="BC341" s="28"/>
      <c r="BD341" s="38"/>
      <c r="BE341" s="15"/>
      <c r="BF341" s="15"/>
      <c r="BG341" s="28"/>
      <c r="BH341" s="28"/>
      <c r="BI341" s="36"/>
    </row>
    <row r="342" spans="34:61" ht="15.75" customHeight="1" x14ac:dyDescent="0.25">
      <c r="AH342" s="15"/>
      <c r="AI342" s="21"/>
      <c r="AJ342" s="40"/>
      <c r="AK342" s="21"/>
      <c r="AL342" s="21"/>
      <c r="AM342" s="21"/>
      <c r="AN342" s="15"/>
      <c r="AO342" s="15"/>
      <c r="AP342" s="21"/>
      <c r="AQ342" s="21"/>
      <c r="AR342" s="15"/>
      <c r="AS342" s="21"/>
      <c r="AT342" s="15"/>
      <c r="AU342" s="15"/>
      <c r="AV342" s="15"/>
      <c r="AW342" s="15"/>
      <c r="AX342" s="15"/>
      <c r="AY342" s="15"/>
      <c r="AZ342" s="15"/>
      <c r="BA342" s="15"/>
      <c r="BB342" s="28"/>
      <c r="BC342" s="28"/>
      <c r="BD342" s="38"/>
      <c r="BE342" s="15"/>
      <c r="BF342" s="15"/>
      <c r="BG342" s="28"/>
      <c r="BH342" s="28"/>
      <c r="BI342" s="36"/>
    </row>
    <row r="343" spans="34:61" ht="15.75" customHeight="1" x14ac:dyDescent="0.25">
      <c r="AH343" s="15"/>
      <c r="AI343" s="21"/>
      <c r="AJ343" s="40"/>
      <c r="AK343" s="21"/>
      <c r="AL343" s="21"/>
      <c r="AM343" s="21"/>
      <c r="AN343" s="15"/>
      <c r="AO343" s="15"/>
      <c r="AP343" s="21"/>
      <c r="AQ343" s="21"/>
      <c r="AR343" s="15"/>
      <c r="AS343" s="21"/>
      <c r="AT343" s="15"/>
      <c r="AU343" s="15"/>
      <c r="AV343" s="15"/>
      <c r="AW343" s="15"/>
      <c r="AX343" s="15"/>
      <c r="AY343" s="15"/>
      <c r="AZ343" s="15"/>
      <c r="BA343" s="15"/>
      <c r="BB343" s="28"/>
      <c r="BC343" s="28"/>
      <c r="BD343" s="38"/>
      <c r="BE343" s="15"/>
      <c r="BF343" s="15"/>
      <c r="BG343" s="28"/>
      <c r="BH343" s="28"/>
      <c r="BI343" s="36"/>
    </row>
    <row r="344" spans="34:61" ht="15.75" customHeight="1" x14ac:dyDescent="0.25">
      <c r="AH344" s="15"/>
      <c r="AI344" s="21"/>
      <c r="AJ344" s="40"/>
      <c r="AK344" s="21"/>
      <c r="AL344" s="21"/>
      <c r="AM344" s="21"/>
      <c r="AN344" s="15"/>
      <c r="AO344" s="15"/>
      <c r="AP344" s="21"/>
      <c r="AQ344" s="21"/>
      <c r="AR344" s="15"/>
      <c r="AS344" s="21"/>
      <c r="AT344" s="15"/>
      <c r="AU344" s="15"/>
      <c r="AV344" s="15"/>
      <c r="AW344" s="15"/>
      <c r="AX344" s="15"/>
      <c r="AY344" s="15"/>
      <c r="AZ344" s="15"/>
      <c r="BA344" s="15"/>
      <c r="BB344" s="28"/>
      <c r="BC344" s="28"/>
      <c r="BD344" s="38"/>
      <c r="BE344" s="15"/>
      <c r="BF344" s="15"/>
      <c r="BG344" s="28"/>
      <c r="BH344" s="28"/>
      <c r="BI344" s="36"/>
    </row>
    <row r="345" spans="34:61" ht="15.75" customHeight="1" x14ac:dyDescent="0.25">
      <c r="AH345" s="15"/>
      <c r="AI345" s="21"/>
      <c r="AJ345" s="40"/>
      <c r="AK345" s="21"/>
      <c r="AL345" s="21"/>
      <c r="AM345" s="21"/>
      <c r="AN345" s="15"/>
      <c r="AO345" s="15"/>
      <c r="AP345" s="21"/>
      <c r="AQ345" s="21"/>
      <c r="AR345" s="15"/>
      <c r="AS345" s="21"/>
      <c r="AT345" s="15"/>
      <c r="AU345" s="15"/>
      <c r="AV345" s="15"/>
      <c r="AW345" s="15"/>
      <c r="AX345" s="15"/>
      <c r="AY345" s="15"/>
      <c r="AZ345" s="15"/>
      <c r="BA345" s="15"/>
      <c r="BB345" s="28"/>
      <c r="BC345" s="28"/>
      <c r="BD345" s="38"/>
      <c r="BE345" s="15"/>
      <c r="BF345" s="15"/>
      <c r="BG345" s="28"/>
      <c r="BH345" s="28"/>
      <c r="BI345" s="36"/>
    </row>
    <row r="346" spans="34:61" ht="15.75" customHeight="1" x14ac:dyDescent="0.25">
      <c r="AH346" s="15"/>
      <c r="AI346" s="21"/>
      <c r="AJ346" s="40"/>
      <c r="AK346" s="21"/>
      <c r="AL346" s="21"/>
      <c r="AM346" s="21"/>
      <c r="AN346" s="15"/>
      <c r="AO346" s="15"/>
      <c r="AP346" s="21"/>
      <c r="AQ346" s="21"/>
      <c r="AR346" s="15"/>
      <c r="AS346" s="21"/>
      <c r="AT346" s="15"/>
      <c r="AU346" s="15"/>
      <c r="AV346" s="15"/>
      <c r="AW346" s="15"/>
      <c r="AX346" s="15"/>
      <c r="AY346" s="15"/>
      <c r="AZ346" s="15"/>
      <c r="BA346" s="15"/>
      <c r="BB346" s="28"/>
      <c r="BC346" s="28"/>
      <c r="BD346" s="38"/>
      <c r="BE346" s="15"/>
      <c r="BF346" s="15"/>
      <c r="BG346" s="28"/>
      <c r="BH346" s="28"/>
      <c r="BI346" s="36"/>
    </row>
    <row r="347" spans="34:61" ht="15.75" customHeight="1" x14ac:dyDescent="0.25">
      <c r="AH347" s="15"/>
      <c r="AI347" s="21"/>
      <c r="AJ347" s="40"/>
      <c r="AK347" s="21"/>
      <c r="AL347" s="21"/>
      <c r="AM347" s="21"/>
      <c r="AN347" s="15"/>
      <c r="AO347" s="15"/>
      <c r="AP347" s="21"/>
      <c r="AQ347" s="21"/>
      <c r="AR347" s="15"/>
      <c r="AS347" s="21"/>
      <c r="AT347" s="15"/>
      <c r="AU347" s="15"/>
      <c r="AV347" s="15"/>
      <c r="AW347" s="15"/>
      <c r="AX347" s="15"/>
      <c r="AY347" s="15"/>
      <c r="AZ347" s="15"/>
      <c r="BA347" s="15"/>
      <c r="BB347" s="28"/>
      <c r="BC347" s="28"/>
      <c r="BD347" s="38"/>
      <c r="BE347" s="15"/>
      <c r="BF347" s="15"/>
      <c r="BG347" s="28"/>
      <c r="BH347" s="28"/>
      <c r="BI347" s="36"/>
    </row>
    <row r="348" spans="34:61" ht="15.75" customHeight="1" x14ac:dyDescent="0.25">
      <c r="AH348" s="15"/>
      <c r="AI348" s="21"/>
      <c r="AJ348" s="40"/>
      <c r="AK348" s="21"/>
      <c r="AL348" s="21"/>
      <c r="AM348" s="21"/>
      <c r="AN348" s="15"/>
      <c r="AO348" s="15"/>
      <c r="AP348" s="21"/>
      <c r="AQ348" s="21"/>
      <c r="AR348" s="15"/>
      <c r="AS348" s="21"/>
      <c r="AT348" s="15"/>
      <c r="AU348" s="15"/>
      <c r="AV348" s="15"/>
      <c r="AW348" s="15"/>
      <c r="AX348" s="15"/>
      <c r="AY348" s="15"/>
      <c r="AZ348" s="15"/>
      <c r="BA348" s="15"/>
      <c r="BB348" s="28"/>
      <c r="BC348" s="28"/>
      <c r="BD348" s="38"/>
      <c r="BE348" s="15"/>
      <c r="BF348" s="15"/>
      <c r="BG348" s="28"/>
      <c r="BH348" s="28"/>
      <c r="BI348" s="36"/>
    </row>
    <row r="349" spans="34:61" ht="15.75" customHeight="1" x14ac:dyDescent="0.25">
      <c r="AH349" s="15"/>
      <c r="AI349" s="21"/>
      <c r="AJ349" s="40"/>
      <c r="AK349" s="21"/>
      <c r="AL349" s="21"/>
      <c r="AM349" s="21"/>
      <c r="AN349" s="15"/>
      <c r="AO349" s="15"/>
      <c r="AP349" s="21"/>
      <c r="AQ349" s="21"/>
      <c r="AR349" s="15"/>
      <c r="AS349" s="21"/>
      <c r="AT349" s="15"/>
      <c r="AU349" s="15"/>
      <c r="AV349" s="15"/>
      <c r="AW349" s="15"/>
      <c r="AX349" s="15"/>
      <c r="AY349" s="15"/>
      <c r="AZ349" s="15"/>
      <c r="BA349" s="15"/>
      <c r="BB349" s="28"/>
      <c r="BC349" s="28"/>
      <c r="BD349" s="38"/>
      <c r="BE349" s="15"/>
      <c r="BF349" s="15"/>
      <c r="BG349" s="28"/>
      <c r="BH349" s="28"/>
      <c r="BI349" s="36"/>
    </row>
    <row r="350" spans="34:61" ht="15.75" customHeight="1" x14ac:dyDescent="0.25">
      <c r="AH350" s="15"/>
      <c r="AI350" s="21"/>
      <c r="AJ350" s="40"/>
      <c r="AK350" s="21"/>
      <c r="AL350" s="21"/>
      <c r="AM350" s="21"/>
      <c r="AN350" s="15"/>
      <c r="AO350" s="15"/>
      <c r="AP350" s="21"/>
      <c r="AQ350" s="21"/>
      <c r="AR350" s="15"/>
      <c r="AS350" s="21"/>
      <c r="AT350" s="15"/>
      <c r="AU350" s="15"/>
      <c r="AV350" s="15"/>
      <c r="AW350" s="15"/>
      <c r="AX350" s="15"/>
      <c r="AY350" s="15"/>
      <c r="AZ350" s="15"/>
      <c r="BA350" s="15"/>
      <c r="BB350" s="28"/>
      <c r="BC350" s="28"/>
      <c r="BD350" s="38"/>
      <c r="BE350" s="15"/>
      <c r="BF350" s="15"/>
      <c r="BG350" s="28"/>
      <c r="BH350" s="28"/>
      <c r="BI350" s="36"/>
    </row>
    <row r="351" spans="34:61" ht="15.75" customHeight="1" x14ac:dyDescent="0.25">
      <c r="AH351" s="15"/>
      <c r="AI351" s="21"/>
      <c r="AJ351" s="40"/>
      <c r="AK351" s="21"/>
      <c r="AL351" s="21"/>
      <c r="AM351" s="21"/>
      <c r="AN351" s="15"/>
      <c r="AO351" s="15"/>
      <c r="AP351" s="21"/>
      <c r="AQ351" s="21"/>
      <c r="AR351" s="15"/>
      <c r="AS351" s="21"/>
      <c r="AT351" s="15"/>
      <c r="AU351" s="15"/>
      <c r="AV351" s="15"/>
      <c r="AW351" s="15"/>
      <c r="AX351" s="15"/>
      <c r="AY351" s="15"/>
      <c r="AZ351" s="15"/>
      <c r="BA351" s="15"/>
      <c r="BB351" s="28"/>
      <c r="BC351" s="28"/>
      <c r="BD351" s="38"/>
      <c r="BE351" s="15"/>
      <c r="BF351" s="15"/>
      <c r="BG351" s="28"/>
      <c r="BH351" s="28"/>
      <c r="BI351" s="36"/>
    </row>
    <row r="352" spans="34:61" ht="15.75" customHeight="1" x14ac:dyDescent="0.25">
      <c r="AH352" s="15"/>
      <c r="AI352" s="21"/>
      <c r="AJ352" s="40"/>
      <c r="AK352" s="21"/>
      <c r="AL352" s="21"/>
      <c r="AM352" s="21"/>
      <c r="AN352" s="15"/>
      <c r="AO352" s="15"/>
      <c r="AP352" s="21"/>
      <c r="AQ352" s="21"/>
      <c r="AR352" s="15"/>
      <c r="AS352" s="21"/>
      <c r="AT352" s="15"/>
      <c r="AU352" s="15"/>
      <c r="AV352" s="15"/>
      <c r="AW352" s="15"/>
      <c r="AX352" s="15"/>
      <c r="AY352" s="15"/>
      <c r="AZ352" s="15"/>
      <c r="BA352" s="15"/>
      <c r="BB352" s="28"/>
      <c r="BC352" s="28"/>
      <c r="BD352" s="38"/>
      <c r="BE352" s="15"/>
      <c r="BF352" s="15"/>
      <c r="BG352" s="28"/>
      <c r="BH352" s="28"/>
      <c r="BI352" s="36"/>
    </row>
    <row r="353" spans="34:61" ht="15.75" customHeight="1" x14ac:dyDescent="0.25">
      <c r="AH353" s="15"/>
      <c r="AI353" s="21"/>
      <c r="AJ353" s="40"/>
      <c r="AK353" s="21"/>
      <c r="AL353" s="21"/>
      <c r="AM353" s="21"/>
      <c r="AN353" s="15"/>
      <c r="AO353" s="15"/>
      <c r="AP353" s="21"/>
      <c r="AQ353" s="21"/>
      <c r="AR353" s="15"/>
      <c r="AS353" s="21"/>
      <c r="AT353" s="15"/>
      <c r="AU353" s="15"/>
      <c r="AV353" s="15"/>
      <c r="AW353" s="15"/>
      <c r="AX353" s="15"/>
      <c r="AY353" s="15"/>
      <c r="AZ353" s="15"/>
      <c r="BA353" s="15"/>
      <c r="BB353" s="28"/>
      <c r="BC353" s="28"/>
      <c r="BD353" s="38"/>
      <c r="BE353" s="15"/>
      <c r="BF353" s="15"/>
      <c r="BG353" s="28"/>
      <c r="BH353" s="28"/>
      <c r="BI353" s="36"/>
    </row>
    <row r="354" spans="34:61" ht="15.75" customHeight="1" x14ac:dyDescent="0.25">
      <c r="AH354" s="15"/>
      <c r="AI354" s="21"/>
      <c r="AJ354" s="40"/>
      <c r="AK354" s="21"/>
      <c r="AL354" s="21"/>
      <c r="AM354" s="21"/>
      <c r="AN354" s="15"/>
      <c r="AO354" s="15"/>
      <c r="AP354" s="21"/>
      <c r="AQ354" s="21"/>
      <c r="AR354" s="15"/>
      <c r="AS354" s="21"/>
      <c r="AT354" s="15"/>
      <c r="AU354" s="15"/>
      <c r="AV354" s="15"/>
      <c r="AW354" s="15"/>
      <c r="AX354" s="15"/>
      <c r="AY354" s="15"/>
      <c r="AZ354" s="15"/>
      <c r="BA354" s="15"/>
      <c r="BB354" s="28"/>
      <c r="BC354" s="28"/>
      <c r="BD354" s="38"/>
      <c r="BE354" s="15"/>
      <c r="BF354" s="15"/>
      <c r="BG354" s="28"/>
      <c r="BH354" s="28"/>
      <c r="BI354" s="36"/>
    </row>
    <row r="355" spans="34:61" ht="15.75" customHeight="1" x14ac:dyDescent="0.25">
      <c r="AH355" s="15"/>
      <c r="AI355" s="21"/>
      <c r="AJ355" s="40"/>
      <c r="AK355" s="21"/>
      <c r="AL355" s="21"/>
      <c r="AM355" s="21"/>
      <c r="AN355" s="15"/>
      <c r="AO355" s="15"/>
      <c r="AP355" s="21"/>
      <c r="AQ355" s="21"/>
      <c r="AR355" s="15"/>
      <c r="AS355" s="21"/>
      <c r="AT355" s="15"/>
      <c r="AU355" s="15"/>
      <c r="AV355" s="15"/>
      <c r="AW355" s="15"/>
      <c r="AX355" s="15"/>
      <c r="AY355" s="15"/>
      <c r="AZ355" s="15"/>
      <c r="BA355" s="15"/>
      <c r="BB355" s="28"/>
      <c r="BC355" s="28"/>
      <c r="BD355" s="38"/>
      <c r="BE355" s="15"/>
      <c r="BF355" s="15"/>
      <c r="BG355" s="28"/>
      <c r="BH355" s="28"/>
      <c r="BI355" s="36"/>
    </row>
    <row r="356" spans="34:61" ht="15.75" customHeight="1" x14ac:dyDescent="0.25">
      <c r="AH356" s="15"/>
      <c r="AI356" s="21"/>
      <c r="AJ356" s="40"/>
      <c r="AK356" s="21"/>
      <c r="AL356" s="21"/>
      <c r="AM356" s="21"/>
      <c r="AN356" s="15"/>
      <c r="AO356" s="15"/>
      <c r="AP356" s="21"/>
      <c r="AQ356" s="21"/>
      <c r="AR356" s="15"/>
      <c r="AS356" s="21"/>
      <c r="AT356" s="15"/>
      <c r="AU356" s="15"/>
      <c r="AV356" s="15"/>
      <c r="AW356" s="15"/>
      <c r="AX356" s="15"/>
      <c r="AY356" s="15"/>
      <c r="AZ356" s="15"/>
      <c r="BA356" s="15"/>
      <c r="BB356" s="28"/>
      <c r="BC356" s="28"/>
      <c r="BD356" s="38"/>
      <c r="BE356" s="15"/>
      <c r="BF356" s="15"/>
      <c r="BG356" s="28"/>
      <c r="BH356" s="28"/>
      <c r="BI356" s="36"/>
    </row>
    <row r="357" spans="34:61" ht="15.75" customHeight="1" x14ac:dyDescent="0.25">
      <c r="AH357" s="15"/>
      <c r="AI357" s="21"/>
      <c r="AJ357" s="40"/>
      <c r="AK357" s="21"/>
      <c r="AL357" s="21"/>
      <c r="AM357" s="21"/>
      <c r="AN357" s="15"/>
      <c r="AO357" s="15"/>
      <c r="AP357" s="21"/>
      <c r="AQ357" s="21"/>
      <c r="AR357" s="15"/>
      <c r="AS357" s="21"/>
      <c r="AT357" s="15"/>
      <c r="AU357" s="15"/>
      <c r="AV357" s="15"/>
      <c r="AW357" s="15"/>
      <c r="AX357" s="15"/>
      <c r="AY357" s="15"/>
      <c r="AZ357" s="15"/>
      <c r="BA357" s="15"/>
      <c r="BB357" s="28"/>
      <c r="BC357" s="28"/>
      <c r="BD357" s="38"/>
      <c r="BE357" s="15"/>
      <c r="BF357" s="15"/>
      <c r="BG357" s="28"/>
      <c r="BH357" s="28"/>
      <c r="BI357" s="36"/>
    </row>
    <row r="358" spans="34:61" ht="15.75" customHeight="1" x14ac:dyDescent="0.25">
      <c r="AH358" s="15"/>
      <c r="AI358" s="21"/>
      <c r="AJ358" s="40"/>
      <c r="AK358" s="21"/>
      <c r="AL358" s="21"/>
      <c r="AM358" s="21"/>
      <c r="AN358" s="15"/>
      <c r="AO358" s="15"/>
      <c r="AP358" s="21"/>
      <c r="AQ358" s="21"/>
      <c r="AR358" s="15"/>
      <c r="AS358" s="21"/>
      <c r="AT358" s="15"/>
      <c r="AU358" s="15"/>
      <c r="AV358" s="15"/>
      <c r="AW358" s="15"/>
      <c r="AX358" s="15"/>
      <c r="AY358" s="15"/>
      <c r="AZ358" s="15"/>
      <c r="BA358" s="15"/>
      <c r="BB358" s="28"/>
      <c r="BC358" s="28"/>
      <c r="BD358" s="38"/>
      <c r="BE358" s="15"/>
      <c r="BF358" s="15"/>
      <c r="BG358" s="28"/>
      <c r="BH358" s="28"/>
      <c r="BI358" s="36"/>
    </row>
    <row r="359" spans="34:61" ht="15.75" customHeight="1" x14ac:dyDescent="0.25">
      <c r="AH359" s="15"/>
      <c r="AI359" s="21"/>
      <c r="AJ359" s="40"/>
      <c r="AK359" s="21"/>
      <c r="AL359" s="21"/>
      <c r="AM359" s="21"/>
      <c r="AN359" s="15"/>
      <c r="AO359" s="15"/>
      <c r="AP359" s="21"/>
      <c r="AQ359" s="21"/>
      <c r="AR359" s="15"/>
      <c r="AS359" s="21"/>
      <c r="AT359" s="15"/>
      <c r="AU359" s="15"/>
      <c r="AV359" s="15"/>
      <c r="AW359" s="15"/>
      <c r="AX359" s="15"/>
      <c r="AY359" s="15"/>
      <c r="AZ359" s="15"/>
      <c r="BA359" s="15"/>
      <c r="BB359" s="28"/>
      <c r="BC359" s="28"/>
      <c r="BD359" s="38"/>
      <c r="BE359" s="15"/>
      <c r="BF359" s="15"/>
      <c r="BG359" s="28"/>
      <c r="BH359" s="28"/>
      <c r="BI359" s="36"/>
    </row>
    <row r="360" spans="34:61" ht="15.75" customHeight="1" x14ac:dyDescent="0.25">
      <c r="AH360" s="15"/>
      <c r="AI360" s="21"/>
      <c r="AJ360" s="40"/>
      <c r="AK360" s="21"/>
      <c r="AL360" s="21"/>
      <c r="AM360" s="21"/>
      <c r="AN360" s="15"/>
      <c r="AO360" s="15"/>
      <c r="AP360" s="21"/>
      <c r="AQ360" s="21"/>
      <c r="AR360" s="15"/>
      <c r="AS360" s="21"/>
      <c r="AT360" s="15"/>
      <c r="AU360" s="15"/>
      <c r="AV360" s="15"/>
      <c r="AW360" s="15"/>
      <c r="AX360" s="15"/>
      <c r="AY360" s="15"/>
      <c r="AZ360" s="15"/>
      <c r="BA360" s="15"/>
      <c r="BB360" s="28"/>
      <c r="BC360" s="28"/>
      <c r="BD360" s="38"/>
      <c r="BE360" s="15"/>
      <c r="BF360" s="15"/>
      <c r="BG360" s="28"/>
      <c r="BH360" s="28"/>
      <c r="BI360" s="36"/>
    </row>
    <row r="361" spans="34:61" ht="15.75" customHeight="1" x14ac:dyDescent="0.25">
      <c r="AH361" s="15"/>
      <c r="AI361" s="21"/>
      <c r="AJ361" s="40"/>
      <c r="AK361" s="21"/>
      <c r="AL361" s="21"/>
      <c r="AM361" s="21"/>
      <c r="AN361" s="15"/>
      <c r="AO361" s="15"/>
      <c r="AP361" s="21"/>
      <c r="AQ361" s="21"/>
      <c r="AR361" s="15"/>
      <c r="AS361" s="21"/>
      <c r="AT361" s="15"/>
      <c r="AU361" s="15"/>
      <c r="AV361" s="15"/>
      <c r="AW361" s="15"/>
      <c r="AX361" s="15"/>
      <c r="AY361" s="15"/>
      <c r="AZ361" s="15"/>
      <c r="BA361" s="15"/>
      <c r="BB361" s="28"/>
      <c r="BC361" s="28"/>
      <c r="BD361" s="38"/>
      <c r="BE361" s="15"/>
      <c r="BF361" s="15"/>
      <c r="BG361" s="28"/>
      <c r="BH361" s="28"/>
      <c r="BI361" s="36"/>
    </row>
    <row r="362" spans="34:61" ht="15.75" customHeight="1" x14ac:dyDescent="0.25">
      <c r="AH362" s="15"/>
      <c r="AI362" s="21"/>
      <c r="AJ362" s="40"/>
      <c r="AK362" s="21"/>
      <c r="AL362" s="21"/>
      <c r="AM362" s="21"/>
      <c r="AN362" s="15"/>
      <c r="AO362" s="15"/>
      <c r="AP362" s="21"/>
      <c r="AQ362" s="21"/>
      <c r="AR362" s="15"/>
      <c r="AS362" s="21"/>
      <c r="AT362" s="15"/>
      <c r="AU362" s="15"/>
      <c r="AV362" s="15"/>
      <c r="AW362" s="15"/>
      <c r="AX362" s="15"/>
      <c r="AY362" s="15"/>
      <c r="AZ362" s="15"/>
      <c r="BA362" s="15"/>
      <c r="BB362" s="28"/>
      <c r="BC362" s="28"/>
      <c r="BD362" s="38"/>
      <c r="BE362" s="15"/>
      <c r="BF362" s="15"/>
      <c r="BG362" s="28"/>
      <c r="BH362" s="28"/>
      <c r="BI362" s="36"/>
    </row>
    <row r="363" spans="34:61" ht="15.75" customHeight="1" x14ac:dyDescent="0.25">
      <c r="AH363" s="15"/>
      <c r="AI363" s="21"/>
      <c r="AJ363" s="40"/>
      <c r="AK363" s="21"/>
      <c r="AL363" s="21"/>
      <c r="AM363" s="21"/>
      <c r="AN363" s="15"/>
      <c r="AO363" s="15"/>
      <c r="AP363" s="21"/>
      <c r="AQ363" s="21"/>
      <c r="AR363" s="15"/>
      <c r="AS363" s="21"/>
      <c r="AT363" s="15"/>
      <c r="AU363" s="15"/>
      <c r="AV363" s="15"/>
      <c r="AW363" s="15"/>
      <c r="AX363" s="15"/>
      <c r="AY363" s="15"/>
      <c r="AZ363" s="15"/>
      <c r="BA363" s="15"/>
      <c r="BB363" s="28"/>
      <c r="BC363" s="28"/>
      <c r="BD363" s="38"/>
      <c r="BE363" s="15"/>
      <c r="BF363" s="15"/>
      <c r="BG363" s="28"/>
      <c r="BH363" s="28"/>
      <c r="BI363" s="36"/>
    </row>
    <row r="364" spans="34:61" ht="15.75" customHeight="1" x14ac:dyDescent="0.25">
      <c r="AH364" s="15"/>
      <c r="AI364" s="21"/>
      <c r="AJ364" s="40"/>
      <c r="AK364" s="21"/>
      <c r="AL364" s="21"/>
      <c r="AM364" s="21"/>
      <c r="AN364" s="15"/>
      <c r="AO364" s="15"/>
      <c r="AP364" s="21"/>
      <c r="AQ364" s="21"/>
      <c r="AR364" s="15"/>
      <c r="AS364" s="21"/>
      <c r="AT364" s="15"/>
      <c r="AU364" s="15"/>
      <c r="AV364" s="15"/>
      <c r="AW364" s="15"/>
      <c r="AX364" s="15"/>
      <c r="AY364" s="15"/>
      <c r="AZ364" s="15"/>
      <c r="BA364" s="15"/>
      <c r="BB364" s="28"/>
      <c r="BC364" s="28"/>
      <c r="BD364" s="38"/>
      <c r="BE364" s="15"/>
      <c r="BF364" s="15"/>
      <c r="BG364" s="28"/>
      <c r="BH364" s="28"/>
      <c r="BI364" s="36"/>
    </row>
    <row r="365" spans="34:61" ht="15.75" customHeight="1" x14ac:dyDescent="0.25">
      <c r="AH365" s="15"/>
      <c r="AI365" s="21"/>
      <c r="AJ365" s="40"/>
      <c r="AK365" s="21"/>
      <c r="AL365" s="21"/>
      <c r="AM365" s="21"/>
      <c r="AN365" s="15"/>
      <c r="AO365" s="15"/>
      <c r="AP365" s="21"/>
      <c r="AQ365" s="21"/>
      <c r="AR365" s="15"/>
      <c r="AS365" s="21"/>
      <c r="AT365" s="15"/>
      <c r="AU365" s="15"/>
      <c r="AV365" s="15"/>
      <c r="AW365" s="15"/>
      <c r="AX365" s="15"/>
      <c r="AY365" s="15"/>
      <c r="AZ365" s="15"/>
      <c r="BA365" s="15"/>
      <c r="BB365" s="28"/>
      <c r="BC365" s="28"/>
      <c r="BD365" s="38"/>
      <c r="BE365" s="15"/>
      <c r="BF365" s="15"/>
      <c r="BG365" s="28"/>
      <c r="BH365" s="28"/>
      <c r="BI365" s="36"/>
    </row>
    <row r="366" spans="34:61" ht="15.75" customHeight="1" x14ac:dyDescent="0.25">
      <c r="AH366" s="15"/>
      <c r="AI366" s="21"/>
      <c r="AJ366" s="40"/>
      <c r="AK366" s="21"/>
      <c r="AL366" s="21"/>
      <c r="AM366" s="21"/>
      <c r="AN366" s="15"/>
      <c r="AO366" s="15"/>
      <c r="AP366" s="21"/>
      <c r="AQ366" s="21"/>
      <c r="AR366" s="15"/>
      <c r="AS366" s="21"/>
      <c r="AT366" s="15"/>
      <c r="AU366" s="15"/>
      <c r="AV366" s="15"/>
      <c r="AW366" s="15"/>
      <c r="AX366" s="15"/>
      <c r="AY366" s="15"/>
      <c r="AZ366" s="15"/>
      <c r="BA366" s="15"/>
      <c r="BB366" s="28"/>
      <c r="BC366" s="28"/>
      <c r="BD366" s="38"/>
      <c r="BE366" s="15"/>
      <c r="BF366" s="15"/>
      <c r="BG366" s="28"/>
      <c r="BH366" s="28"/>
      <c r="BI366" s="36"/>
    </row>
    <row r="367" spans="34:61" ht="15.75" customHeight="1" x14ac:dyDescent="0.25">
      <c r="AH367" s="15"/>
      <c r="AI367" s="21"/>
      <c r="AJ367" s="40"/>
      <c r="AK367" s="21"/>
      <c r="AL367" s="21"/>
      <c r="AM367" s="21"/>
      <c r="AN367" s="15"/>
      <c r="AO367" s="15"/>
      <c r="AP367" s="21"/>
      <c r="AQ367" s="21"/>
      <c r="AR367" s="15"/>
      <c r="AS367" s="21"/>
      <c r="AT367" s="15"/>
      <c r="AU367" s="15"/>
      <c r="AV367" s="15"/>
      <c r="AW367" s="15"/>
      <c r="AX367" s="15"/>
      <c r="AY367" s="15"/>
      <c r="AZ367" s="15"/>
      <c r="BA367" s="15"/>
      <c r="BB367" s="28"/>
      <c r="BC367" s="28"/>
      <c r="BD367" s="38"/>
      <c r="BE367" s="15"/>
      <c r="BF367" s="15"/>
      <c r="BG367" s="28"/>
      <c r="BH367" s="28"/>
      <c r="BI367" s="36"/>
    </row>
    <row r="368" spans="34:61" ht="15.75" customHeight="1" x14ac:dyDescent="0.25">
      <c r="AH368" s="15"/>
      <c r="AI368" s="21"/>
      <c r="AJ368" s="40"/>
      <c r="AK368" s="21"/>
      <c r="AL368" s="21"/>
      <c r="AM368" s="21"/>
      <c r="AN368" s="15"/>
      <c r="AO368" s="15"/>
      <c r="AP368" s="21"/>
      <c r="AQ368" s="21"/>
      <c r="AR368" s="15"/>
      <c r="AS368" s="21"/>
      <c r="AT368" s="15"/>
      <c r="AU368" s="15"/>
      <c r="AV368" s="15"/>
      <c r="AW368" s="15"/>
      <c r="AX368" s="15"/>
      <c r="AY368" s="15"/>
      <c r="AZ368" s="15"/>
      <c r="BA368" s="15"/>
      <c r="BB368" s="28"/>
      <c r="BC368" s="28"/>
      <c r="BD368" s="38"/>
      <c r="BE368" s="15"/>
      <c r="BF368" s="15"/>
      <c r="BG368" s="28"/>
      <c r="BH368" s="28"/>
      <c r="BI368" s="36"/>
    </row>
    <row r="369" spans="34:61" ht="15.75" customHeight="1" x14ac:dyDescent="0.25">
      <c r="AH369" s="15"/>
      <c r="AI369" s="21"/>
      <c r="AJ369" s="40"/>
      <c r="AK369" s="21"/>
      <c r="AL369" s="21"/>
      <c r="AM369" s="21"/>
      <c r="AN369" s="15"/>
      <c r="AO369" s="15"/>
      <c r="AP369" s="21"/>
      <c r="AQ369" s="21"/>
      <c r="AR369" s="15"/>
      <c r="AS369" s="21"/>
      <c r="AT369" s="15"/>
      <c r="AU369" s="15"/>
      <c r="AV369" s="15"/>
      <c r="AW369" s="15"/>
      <c r="AX369" s="15"/>
      <c r="AY369" s="15"/>
      <c r="AZ369" s="15"/>
      <c r="BA369" s="15"/>
      <c r="BB369" s="28"/>
      <c r="BC369" s="28"/>
      <c r="BD369" s="38"/>
      <c r="BE369" s="15"/>
      <c r="BF369" s="15"/>
      <c r="BG369" s="28"/>
      <c r="BH369" s="28"/>
      <c r="BI369" s="36"/>
    </row>
    <row r="370" spans="34:61" ht="15.75" customHeight="1" x14ac:dyDescent="0.25">
      <c r="AH370" s="15"/>
      <c r="AI370" s="21"/>
      <c r="AJ370" s="40"/>
      <c r="AK370" s="21"/>
      <c r="AL370" s="21"/>
      <c r="AM370" s="21"/>
      <c r="AN370" s="15"/>
      <c r="AO370" s="15"/>
      <c r="AP370" s="21"/>
      <c r="AQ370" s="21"/>
      <c r="AR370" s="15"/>
      <c r="AS370" s="21"/>
      <c r="AT370" s="15"/>
      <c r="AU370" s="15"/>
      <c r="AV370" s="15"/>
      <c r="AW370" s="15"/>
      <c r="AX370" s="15"/>
      <c r="AY370" s="15"/>
      <c r="AZ370" s="15"/>
      <c r="BA370" s="15"/>
      <c r="BB370" s="28"/>
      <c r="BC370" s="28"/>
      <c r="BD370" s="38"/>
      <c r="BE370" s="15"/>
      <c r="BF370" s="15"/>
      <c r="BG370" s="28"/>
      <c r="BH370" s="28"/>
      <c r="BI370" s="36"/>
    </row>
    <row r="371" spans="34:61" ht="15.75" customHeight="1" x14ac:dyDescent="0.25">
      <c r="AH371" s="15"/>
      <c r="AI371" s="21"/>
      <c r="AJ371" s="40"/>
      <c r="AK371" s="21"/>
      <c r="AL371" s="21"/>
      <c r="AM371" s="21"/>
      <c r="AN371" s="15"/>
      <c r="AO371" s="15"/>
      <c r="AP371" s="21"/>
      <c r="AQ371" s="21"/>
      <c r="AR371" s="15"/>
      <c r="AS371" s="21"/>
      <c r="AT371" s="15"/>
      <c r="AU371" s="15"/>
      <c r="AV371" s="15"/>
      <c r="AW371" s="15"/>
      <c r="AX371" s="15"/>
      <c r="AY371" s="15"/>
      <c r="AZ371" s="15"/>
      <c r="BA371" s="15"/>
      <c r="BB371" s="28"/>
      <c r="BC371" s="28"/>
      <c r="BD371" s="38"/>
      <c r="BE371" s="15"/>
      <c r="BF371" s="15"/>
      <c r="BG371" s="28"/>
      <c r="BH371" s="28"/>
      <c r="BI371" s="36"/>
    </row>
    <row r="372" spans="34:61" ht="15.75" customHeight="1" x14ac:dyDescent="0.25">
      <c r="AH372" s="15"/>
      <c r="AI372" s="21"/>
      <c r="AJ372" s="40"/>
      <c r="AK372" s="21"/>
      <c r="AL372" s="21"/>
      <c r="AM372" s="21"/>
      <c r="AN372" s="15"/>
      <c r="AO372" s="15"/>
      <c r="AP372" s="21"/>
      <c r="AQ372" s="21"/>
      <c r="AR372" s="15"/>
      <c r="AS372" s="21"/>
      <c r="AT372" s="15"/>
      <c r="AU372" s="15"/>
      <c r="AV372" s="15"/>
      <c r="AW372" s="15"/>
      <c r="AX372" s="15"/>
      <c r="AY372" s="15"/>
      <c r="AZ372" s="15"/>
      <c r="BA372" s="15"/>
      <c r="BB372" s="28"/>
      <c r="BC372" s="28"/>
      <c r="BD372" s="38"/>
      <c r="BE372" s="15"/>
      <c r="BF372" s="15"/>
      <c r="BG372" s="28"/>
      <c r="BH372" s="28"/>
      <c r="BI372" s="36"/>
    </row>
    <row r="373" spans="34:61" ht="15.75" customHeight="1" x14ac:dyDescent="0.25">
      <c r="AH373" s="15"/>
      <c r="AI373" s="21"/>
      <c r="AJ373" s="40"/>
      <c r="AK373" s="21"/>
      <c r="AL373" s="21"/>
      <c r="AM373" s="21"/>
      <c r="AN373" s="15"/>
      <c r="AO373" s="15"/>
      <c r="AP373" s="21"/>
      <c r="AQ373" s="21"/>
      <c r="AR373" s="15"/>
      <c r="AS373" s="21"/>
      <c r="AT373" s="15"/>
      <c r="AU373" s="15"/>
      <c r="AV373" s="15"/>
      <c r="AW373" s="15"/>
      <c r="AX373" s="15"/>
      <c r="AY373" s="15"/>
      <c r="AZ373" s="15"/>
      <c r="BA373" s="15"/>
      <c r="BB373" s="28"/>
      <c r="BC373" s="28"/>
      <c r="BD373" s="38"/>
      <c r="BE373" s="15"/>
      <c r="BF373" s="15"/>
      <c r="BG373" s="28"/>
      <c r="BH373" s="28"/>
      <c r="BI373" s="36"/>
    </row>
    <row r="374" spans="34:61" ht="15.75" customHeight="1" x14ac:dyDescent="0.25">
      <c r="AH374" s="15"/>
      <c r="AI374" s="21"/>
      <c r="AJ374" s="40"/>
      <c r="AK374" s="21"/>
      <c r="AL374" s="21"/>
      <c r="AM374" s="21"/>
      <c r="AN374" s="15"/>
      <c r="AO374" s="15"/>
      <c r="AP374" s="21"/>
      <c r="AQ374" s="21"/>
      <c r="AR374" s="15"/>
      <c r="AS374" s="21"/>
      <c r="AT374" s="15"/>
      <c r="AU374" s="15"/>
      <c r="AV374" s="15"/>
      <c r="AW374" s="15"/>
      <c r="AX374" s="15"/>
      <c r="AY374" s="15"/>
      <c r="AZ374" s="15"/>
      <c r="BA374" s="15"/>
      <c r="BB374" s="28"/>
      <c r="BC374" s="28"/>
      <c r="BD374" s="38"/>
      <c r="BE374" s="15"/>
      <c r="BF374" s="15"/>
      <c r="BG374" s="28"/>
      <c r="BH374" s="28"/>
      <c r="BI374" s="36"/>
    </row>
    <row r="375" spans="34:61" ht="15.75" customHeight="1" x14ac:dyDescent="0.25">
      <c r="AH375" s="15"/>
      <c r="AI375" s="21"/>
      <c r="AJ375" s="40"/>
      <c r="AK375" s="21"/>
      <c r="AL375" s="21"/>
      <c r="AM375" s="21"/>
      <c r="AN375" s="15"/>
      <c r="AO375" s="15"/>
      <c r="AP375" s="21"/>
      <c r="AQ375" s="21"/>
      <c r="AR375" s="15"/>
      <c r="AS375" s="21"/>
      <c r="AT375" s="15"/>
      <c r="AU375" s="15"/>
      <c r="AV375" s="15"/>
      <c r="AW375" s="15"/>
      <c r="AX375" s="15"/>
      <c r="AY375" s="15"/>
      <c r="AZ375" s="15"/>
      <c r="BA375" s="15"/>
      <c r="BB375" s="28"/>
      <c r="BC375" s="28"/>
      <c r="BD375" s="38"/>
      <c r="BE375" s="15"/>
      <c r="BF375" s="15"/>
      <c r="BG375" s="28"/>
      <c r="BH375" s="28"/>
      <c r="BI375" s="36"/>
    </row>
    <row r="376" spans="34:61" ht="15.75" customHeight="1" x14ac:dyDescent="0.25">
      <c r="AH376" s="15"/>
      <c r="AI376" s="21"/>
      <c r="AJ376" s="40"/>
      <c r="AK376" s="21"/>
      <c r="AL376" s="21"/>
      <c r="AM376" s="21"/>
      <c r="AN376" s="15"/>
      <c r="AO376" s="15"/>
      <c r="AP376" s="21"/>
      <c r="AQ376" s="21"/>
      <c r="AR376" s="15"/>
      <c r="AS376" s="21"/>
      <c r="AT376" s="15"/>
      <c r="AU376" s="15"/>
      <c r="AV376" s="15"/>
      <c r="AW376" s="15"/>
      <c r="AX376" s="15"/>
      <c r="AY376" s="15"/>
      <c r="AZ376" s="15"/>
      <c r="BA376" s="15"/>
      <c r="BB376" s="28"/>
      <c r="BC376" s="28"/>
      <c r="BD376" s="38"/>
      <c r="BE376" s="15"/>
      <c r="BF376" s="15"/>
      <c r="BG376" s="28"/>
      <c r="BH376" s="28"/>
      <c r="BI376" s="36"/>
    </row>
    <row r="377" spans="34:61" ht="15.75" customHeight="1" x14ac:dyDescent="0.25">
      <c r="AH377" s="15"/>
      <c r="AI377" s="21"/>
      <c r="AJ377" s="40"/>
      <c r="AK377" s="21"/>
      <c r="AL377" s="21"/>
      <c r="AM377" s="21"/>
      <c r="AN377" s="15"/>
      <c r="AO377" s="15"/>
      <c r="AP377" s="21"/>
      <c r="AQ377" s="21"/>
      <c r="AR377" s="15"/>
      <c r="AS377" s="21"/>
      <c r="AT377" s="15"/>
      <c r="AU377" s="15"/>
      <c r="AV377" s="15"/>
      <c r="AW377" s="15"/>
      <c r="AX377" s="15"/>
      <c r="AY377" s="15"/>
      <c r="AZ377" s="15"/>
      <c r="BA377" s="15"/>
      <c r="BB377" s="28"/>
      <c r="BC377" s="28"/>
      <c r="BD377" s="38"/>
      <c r="BE377" s="15"/>
      <c r="BF377" s="15"/>
      <c r="BG377" s="28"/>
      <c r="BH377" s="28"/>
      <c r="BI377" s="36"/>
    </row>
    <row r="378" spans="34:61" ht="15.75" customHeight="1" x14ac:dyDescent="0.25">
      <c r="AH378" s="15"/>
      <c r="AI378" s="21"/>
      <c r="AJ378" s="40"/>
      <c r="AK378" s="21"/>
      <c r="AL378" s="21"/>
      <c r="AM378" s="21"/>
      <c r="AN378" s="15"/>
      <c r="AO378" s="15"/>
      <c r="AP378" s="21"/>
      <c r="AQ378" s="21"/>
      <c r="AR378" s="15"/>
      <c r="AS378" s="21"/>
      <c r="AT378" s="15"/>
      <c r="AU378" s="15"/>
      <c r="AV378" s="15"/>
      <c r="AW378" s="15"/>
      <c r="AX378" s="15"/>
      <c r="AY378" s="15"/>
      <c r="AZ378" s="15"/>
      <c r="BA378" s="15"/>
      <c r="BB378" s="28"/>
      <c r="BC378" s="28"/>
      <c r="BD378" s="38"/>
      <c r="BE378" s="15"/>
      <c r="BF378" s="15"/>
      <c r="BG378" s="28"/>
      <c r="BH378" s="28"/>
      <c r="BI378" s="36"/>
    </row>
    <row r="379" spans="34:61" ht="15.75" customHeight="1" x14ac:dyDescent="0.25">
      <c r="AH379" s="15"/>
      <c r="AI379" s="21"/>
      <c r="AJ379" s="40"/>
      <c r="AK379" s="21"/>
      <c r="AL379" s="21"/>
      <c r="AM379" s="21"/>
      <c r="AN379" s="15"/>
      <c r="AO379" s="15"/>
      <c r="AP379" s="21"/>
      <c r="AQ379" s="21"/>
      <c r="AR379" s="15"/>
      <c r="AS379" s="21"/>
      <c r="AT379" s="15"/>
      <c r="AU379" s="15"/>
      <c r="AV379" s="15"/>
      <c r="AW379" s="15"/>
      <c r="AX379" s="15"/>
      <c r="AY379" s="15"/>
      <c r="AZ379" s="15"/>
      <c r="BA379" s="15"/>
      <c r="BB379" s="28"/>
      <c r="BC379" s="28"/>
      <c r="BD379" s="38"/>
      <c r="BE379" s="15"/>
      <c r="BF379" s="15"/>
      <c r="BG379" s="28"/>
      <c r="BH379" s="28"/>
      <c r="BI379" s="36"/>
    </row>
    <row r="380" spans="34:61" ht="15.75" customHeight="1" x14ac:dyDescent="0.25">
      <c r="AH380" s="15"/>
      <c r="AI380" s="21"/>
      <c r="AJ380" s="40"/>
      <c r="AK380" s="21"/>
      <c r="AL380" s="21"/>
      <c r="AM380" s="21"/>
      <c r="AN380" s="15"/>
      <c r="AO380" s="15"/>
      <c r="AP380" s="21"/>
      <c r="AQ380" s="21"/>
      <c r="AR380" s="15"/>
      <c r="AS380" s="21"/>
      <c r="AT380" s="15"/>
      <c r="AU380" s="15"/>
      <c r="AV380" s="15"/>
      <c r="AW380" s="15"/>
      <c r="AX380" s="15"/>
      <c r="AY380" s="15"/>
      <c r="AZ380" s="15"/>
      <c r="BA380" s="15"/>
      <c r="BB380" s="28"/>
      <c r="BC380" s="28"/>
      <c r="BD380" s="38"/>
      <c r="BE380" s="15"/>
      <c r="BF380" s="15"/>
      <c r="BG380" s="28"/>
      <c r="BH380" s="28"/>
      <c r="BI380" s="36"/>
    </row>
    <row r="381" spans="34:61" ht="15.75" customHeight="1" x14ac:dyDescent="0.25">
      <c r="AH381" s="15"/>
      <c r="AI381" s="21"/>
      <c r="AJ381" s="40"/>
      <c r="AK381" s="21"/>
      <c r="AL381" s="21"/>
      <c r="AM381" s="21"/>
      <c r="AN381" s="15"/>
      <c r="AO381" s="15"/>
      <c r="AP381" s="21"/>
      <c r="AQ381" s="21"/>
      <c r="AR381" s="15"/>
      <c r="AS381" s="21"/>
      <c r="AT381" s="15"/>
      <c r="AU381" s="15"/>
      <c r="AV381" s="15"/>
      <c r="AW381" s="15"/>
      <c r="AX381" s="15"/>
      <c r="AY381" s="15"/>
      <c r="AZ381" s="15"/>
      <c r="BA381" s="15"/>
      <c r="BB381" s="28"/>
      <c r="BC381" s="28"/>
      <c r="BD381" s="38"/>
      <c r="BE381" s="15"/>
      <c r="BF381" s="15"/>
      <c r="BG381" s="28"/>
      <c r="BH381" s="28"/>
      <c r="BI381" s="36"/>
    </row>
    <row r="382" spans="34:61" ht="15.75" customHeight="1" x14ac:dyDescent="0.25">
      <c r="AH382" s="15"/>
      <c r="AI382" s="21"/>
      <c r="AJ382" s="40"/>
      <c r="AK382" s="21"/>
      <c r="AL382" s="21"/>
      <c r="AM382" s="21"/>
      <c r="AN382" s="15"/>
      <c r="AO382" s="15"/>
      <c r="AP382" s="21"/>
      <c r="AQ382" s="21"/>
      <c r="AR382" s="15"/>
      <c r="AS382" s="21"/>
      <c r="AT382" s="15"/>
      <c r="AU382" s="15"/>
      <c r="AV382" s="15"/>
      <c r="AW382" s="15"/>
      <c r="AX382" s="15"/>
      <c r="AY382" s="15"/>
      <c r="AZ382" s="15"/>
      <c r="BA382" s="15"/>
      <c r="BB382" s="28"/>
      <c r="BC382" s="28"/>
      <c r="BD382" s="38"/>
      <c r="BE382" s="15"/>
      <c r="BF382" s="15"/>
      <c r="BG382" s="28"/>
      <c r="BH382" s="28"/>
      <c r="BI382" s="36"/>
    </row>
    <row r="383" spans="34:61" ht="15.75" customHeight="1" x14ac:dyDescent="0.25">
      <c r="AH383" s="15"/>
      <c r="AI383" s="21"/>
      <c r="AJ383" s="40"/>
      <c r="AK383" s="21"/>
      <c r="AL383" s="21"/>
      <c r="AM383" s="21"/>
      <c r="AN383" s="15"/>
      <c r="AO383" s="15"/>
      <c r="AP383" s="21"/>
      <c r="AQ383" s="21"/>
      <c r="AR383" s="15"/>
      <c r="AS383" s="21"/>
      <c r="AT383" s="15"/>
      <c r="AU383" s="15"/>
      <c r="AV383" s="15"/>
      <c r="AW383" s="15"/>
      <c r="AX383" s="15"/>
      <c r="AY383" s="15"/>
      <c r="AZ383" s="15"/>
      <c r="BA383" s="15"/>
      <c r="BB383" s="28"/>
      <c r="BC383" s="28"/>
      <c r="BD383" s="38"/>
      <c r="BE383" s="15"/>
      <c r="BF383" s="15"/>
      <c r="BG383" s="28"/>
      <c r="BH383" s="28"/>
      <c r="BI383" s="36"/>
    </row>
    <row r="384" spans="34:61" ht="15.75" customHeight="1" x14ac:dyDescent="0.25">
      <c r="AH384" s="15"/>
      <c r="AI384" s="21"/>
      <c r="AJ384" s="40"/>
      <c r="AK384" s="21"/>
      <c r="AL384" s="21"/>
      <c r="AM384" s="21"/>
      <c r="AN384" s="15"/>
      <c r="AO384" s="15"/>
      <c r="AP384" s="21"/>
      <c r="AQ384" s="21"/>
      <c r="AR384" s="15"/>
      <c r="AS384" s="21"/>
      <c r="AT384" s="15"/>
      <c r="AU384" s="15"/>
      <c r="AV384" s="15"/>
      <c r="AW384" s="15"/>
      <c r="AX384" s="15"/>
      <c r="AY384" s="15"/>
      <c r="AZ384" s="15"/>
      <c r="BA384" s="15"/>
      <c r="BB384" s="28"/>
      <c r="BC384" s="28"/>
      <c r="BD384" s="38"/>
      <c r="BE384" s="15"/>
      <c r="BF384" s="15"/>
      <c r="BG384" s="28"/>
      <c r="BH384" s="28"/>
      <c r="BI384" s="36"/>
    </row>
    <row r="385" spans="34:61" ht="15.75" customHeight="1" x14ac:dyDescent="0.25">
      <c r="AH385" s="15"/>
      <c r="AI385" s="21"/>
      <c r="AJ385" s="40"/>
      <c r="AK385" s="21"/>
      <c r="AL385" s="21"/>
      <c r="AM385" s="21"/>
      <c r="AN385" s="15"/>
      <c r="AO385" s="15"/>
      <c r="AP385" s="21"/>
      <c r="AQ385" s="21"/>
      <c r="AR385" s="15"/>
      <c r="AS385" s="21"/>
      <c r="AT385" s="15"/>
      <c r="AU385" s="15"/>
      <c r="AV385" s="15"/>
      <c r="AW385" s="15"/>
      <c r="AX385" s="15"/>
      <c r="AY385" s="15"/>
      <c r="AZ385" s="15"/>
      <c r="BA385" s="15"/>
      <c r="BB385" s="28"/>
      <c r="BC385" s="28"/>
      <c r="BD385" s="38"/>
      <c r="BE385" s="15"/>
      <c r="BF385" s="15"/>
      <c r="BG385" s="28"/>
      <c r="BH385" s="28"/>
      <c r="BI385" s="36"/>
    </row>
    <row r="386" spans="34:61" ht="15.75" customHeight="1" x14ac:dyDescent="0.25">
      <c r="AH386" s="15"/>
      <c r="AI386" s="21"/>
      <c r="AJ386" s="40"/>
      <c r="AK386" s="21"/>
      <c r="AL386" s="21"/>
      <c r="AM386" s="21"/>
      <c r="AN386" s="15"/>
      <c r="AO386" s="15"/>
      <c r="AP386" s="21"/>
      <c r="AQ386" s="21"/>
      <c r="AR386" s="15"/>
      <c r="AS386" s="21"/>
      <c r="AT386" s="15"/>
      <c r="AU386" s="15"/>
      <c r="AV386" s="15"/>
      <c r="AW386" s="15"/>
      <c r="AX386" s="15"/>
      <c r="AY386" s="15"/>
      <c r="AZ386" s="15"/>
      <c r="BA386" s="15"/>
      <c r="BB386" s="28"/>
      <c r="BC386" s="28"/>
      <c r="BD386" s="38"/>
      <c r="BE386" s="15"/>
      <c r="BF386" s="15"/>
      <c r="BG386" s="28"/>
      <c r="BH386" s="28"/>
      <c r="BI386" s="36"/>
    </row>
    <row r="387" spans="34:61" ht="15.75" customHeight="1" x14ac:dyDescent="0.25">
      <c r="AH387" s="15"/>
      <c r="AI387" s="21"/>
      <c r="AJ387" s="40"/>
      <c r="AK387" s="21"/>
      <c r="AL387" s="21"/>
      <c r="AM387" s="21"/>
      <c r="AN387" s="15"/>
      <c r="AO387" s="15"/>
      <c r="AP387" s="21"/>
      <c r="AQ387" s="21"/>
      <c r="AR387" s="15"/>
      <c r="AS387" s="21"/>
      <c r="AT387" s="15"/>
      <c r="AU387" s="15"/>
      <c r="AV387" s="15"/>
      <c r="AW387" s="15"/>
      <c r="AX387" s="15"/>
      <c r="AY387" s="15"/>
      <c r="AZ387" s="15"/>
      <c r="BA387" s="15"/>
      <c r="BB387" s="28"/>
      <c r="BC387" s="28"/>
      <c r="BD387" s="38"/>
      <c r="BE387" s="15"/>
      <c r="BF387" s="15"/>
      <c r="BG387" s="28"/>
      <c r="BH387" s="28"/>
      <c r="BI387" s="36"/>
    </row>
    <row r="388" spans="34:61" ht="15.75" customHeight="1" x14ac:dyDescent="0.25">
      <c r="AH388" s="15"/>
      <c r="AI388" s="21"/>
      <c r="AJ388" s="40"/>
      <c r="AK388" s="21"/>
      <c r="AL388" s="21"/>
      <c r="AM388" s="21"/>
      <c r="AN388" s="15"/>
      <c r="AO388" s="15"/>
      <c r="AP388" s="21"/>
      <c r="AQ388" s="21"/>
      <c r="AR388" s="15"/>
      <c r="AS388" s="21"/>
      <c r="AT388" s="15"/>
      <c r="AU388" s="15"/>
      <c r="AV388" s="15"/>
      <c r="AW388" s="15"/>
      <c r="AX388" s="15"/>
      <c r="AY388" s="15"/>
      <c r="AZ388" s="15"/>
      <c r="BA388" s="15"/>
      <c r="BB388" s="28"/>
      <c r="BC388" s="28"/>
      <c r="BD388" s="38"/>
      <c r="BE388" s="15"/>
      <c r="BF388" s="15"/>
      <c r="BG388" s="28"/>
      <c r="BH388" s="28"/>
      <c r="BI388" s="36"/>
    </row>
    <row r="389" spans="34:61" ht="15.75" customHeight="1" x14ac:dyDescent="0.25">
      <c r="AH389" s="15"/>
      <c r="AI389" s="21"/>
      <c r="AJ389" s="40"/>
      <c r="AK389" s="21"/>
      <c r="AL389" s="21"/>
      <c r="AM389" s="21"/>
      <c r="AN389" s="15"/>
      <c r="AO389" s="15"/>
      <c r="AP389" s="21"/>
      <c r="AQ389" s="21"/>
      <c r="AR389" s="15"/>
      <c r="AS389" s="21"/>
      <c r="AT389" s="15"/>
      <c r="AU389" s="15"/>
      <c r="AV389" s="15"/>
      <c r="AW389" s="15"/>
      <c r="AX389" s="15"/>
      <c r="AY389" s="15"/>
      <c r="AZ389" s="15"/>
      <c r="BA389" s="15"/>
      <c r="BB389" s="28"/>
      <c r="BC389" s="28"/>
      <c r="BD389" s="38"/>
      <c r="BE389" s="15"/>
      <c r="BF389" s="15"/>
      <c r="BG389" s="28"/>
      <c r="BH389" s="28"/>
      <c r="BI389" s="36"/>
    </row>
    <row r="390" spans="34:61" ht="15.75" customHeight="1" x14ac:dyDescent="0.25">
      <c r="AH390" s="15"/>
      <c r="AI390" s="21"/>
      <c r="AJ390" s="40"/>
      <c r="AK390" s="21"/>
      <c r="AL390" s="21"/>
      <c r="AM390" s="21"/>
      <c r="AN390" s="15"/>
      <c r="AO390" s="15"/>
      <c r="AP390" s="21"/>
      <c r="AQ390" s="21"/>
      <c r="AR390" s="15"/>
      <c r="AS390" s="21"/>
      <c r="AT390" s="15"/>
      <c r="AU390" s="15"/>
      <c r="AV390" s="15"/>
      <c r="AW390" s="15"/>
      <c r="AX390" s="15"/>
      <c r="AY390" s="15"/>
      <c r="AZ390" s="15"/>
      <c r="BA390" s="15"/>
      <c r="BB390" s="28"/>
      <c r="BC390" s="28"/>
      <c r="BD390" s="38"/>
      <c r="BE390" s="15"/>
      <c r="BF390" s="15"/>
      <c r="BG390" s="28"/>
      <c r="BH390" s="28"/>
      <c r="BI390" s="36"/>
    </row>
    <row r="391" spans="34:61" ht="15.75" customHeight="1" x14ac:dyDescent="0.25">
      <c r="AH391" s="15"/>
      <c r="AI391" s="21"/>
      <c r="AJ391" s="40"/>
      <c r="AK391" s="21"/>
      <c r="AL391" s="21"/>
      <c r="AM391" s="21"/>
      <c r="AN391" s="15"/>
      <c r="AO391" s="15"/>
      <c r="AP391" s="21"/>
      <c r="AQ391" s="21"/>
      <c r="AR391" s="15"/>
      <c r="AS391" s="21"/>
      <c r="AT391" s="15"/>
      <c r="AU391" s="15"/>
      <c r="AV391" s="15"/>
      <c r="AW391" s="15"/>
      <c r="AX391" s="15"/>
      <c r="AY391" s="15"/>
      <c r="AZ391" s="15"/>
      <c r="BA391" s="15"/>
      <c r="BB391" s="28"/>
      <c r="BC391" s="28"/>
      <c r="BD391" s="38"/>
      <c r="BE391" s="15"/>
      <c r="BF391" s="15"/>
      <c r="BG391" s="28"/>
      <c r="BH391" s="28"/>
      <c r="BI391" s="36"/>
    </row>
    <row r="392" spans="34:61" ht="15.75" customHeight="1" x14ac:dyDescent="0.25">
      <c r="AH392" s="15"/>
      <c r="AI392" s="21"/>
      <c r="AJ392" s="40"/>
      <c r="AK392" s="21"/>
      <c r="AL392" s="21"/>
      <c r="AM392" s="21"/>
      <c r="AN392" s="15"/>
      <c r="AO392" s="15"/>
      <c r="AP392" s="21"/>
      <c r="AQ392" s="21"/>
      <c r="AR392" s="15"/>
      <c r="AS392" s="21"/>
      <c r="AT392" s="15"/>
      <c r="AU392" s="15"/>
      <c r="AV392" s="15"/>
      <c r="AW392" s="15"/>
      <c r="AX392" s="15"/>
      <c r="AY392" s="15"/>
      <c r="AZ392" s="15"/>
      <c r="BA392" s="15"/>
      <c r="BB392" s="28"/>
      <c r="BC392" s="28"/>
      <c r="BD392" s="38"/>
      <c r="BE392" s="15"/>
      <c r="BF392" s="15"/>
      <c r="BG392" s="28"/>
      <c r="BH392" s="28"/>
      <c r="BI392" s="36"/>
    </row>
    <row r="393" spans="34:61" ht="15.75" customHeight="1" x14ac:dyDescent="0.25">
      <c r="AH393" s="15"/>
      <c r="AI393" s="21"/>
      <c r="AJ393" s="40"/>
      <c r="AK393" s="21"/>
      <c r="AL393" s="21"/>
      <c r="AM393" s="21"/>
      <c r="AN393" s="15"/>
      <c r="AO393" s="15"/>
      <c r="AP393" s="21"/>
      <c r="AQ393" s="21"/>
      <c r="AR393" s="15"/>
      <c r="AS393" s="21"/>
      <c r="AT393" s="15"/>
      <c r="AU393" s="15"/>
      <c r="AV393" s="15"/>
      <c r="AW393" s="15"/>
      <c r="AX393" s="15"/>
      <c r="AY393" s="15"/>
      <c r="AZ393" s="15"/>
      <c r="BA393" s="15"/>
      <c r="BB393" s="28"/>
      <c r="BC393" s="28"/>
      <c r="BD393" s="38"/>
      <c r="BE393" s="15"/>
      <c r="BF393" s="15"/>
      <c r="BG393" s="28"/>
      <c r="BH393" s="28"/>
      <c r="BI393" s="36"/>
    </row>
    <row r="394" spans="34:61" ht="15.75" customHeight="1" x14ac:dyDescent="0.25">
      <c r="AH394" s="15"/>
      <c r="AI394" s="21"/>
      <c r="AJ394" s="40"/>
      <c r="AK394" s="21"/>
      <c r="AL394" s="21"/>
      <c r="AM394" s="21"/>
      <c r="AN394" s="15"/>
      <c r="AO394" s="15"/>
      <c r="AP394" s="21"/>
      <c r="AQ394" s="21"/>
      <c r="AR394" s="15"/>
      <c r="AS394" s="21"/>
      <c r="AT394" s="15"/>
      <c r="AU394" s="15"/>
      <c r="AV394" s="15"/>
      <c r="AW394" s="15"/>
      <c r="AX394" s="15"/>
      <c r="AY394" s="15"/>
      <c r="AZ394" s="15"/>
      <c r="BA394" s="15"/>
      <c r="BB394" s="28"/>
      <c r="BC394" s="28"/>
      <c r="BD394" s="38"/>
      <c r="BE394" s="15"/>
      <c r="BF394" s="15"/>
      <c r="BG394" s="28"/>
      <c r="BH394" s="28"/>
      <c r="BI394" s="36"/>
    </row>
    <row r="395" spans="34:61" ht="15.75" customHeight="1" x14ac:dyDescent="0.25">
      <c r="AH395" s="15"/>
      <c r="AI395" s="21"/>
      <c r="AJ395" s="40"/>
      <c r="AK395" s="21"/>
      <c r="AL395" s="21"/>
      <c r="AM395" s="21"/>
      <c r="AN395" s="15"/>
      <c r="AO395" s="15"/>
      <c r="AP395" s="21"/>
      <c r="AQ395" s="21"/>
      <c r="AR395" s="15"/>
      <c r="AS395" s="21"/>
      <c r="AT395" s="15"/>
      <c r="AU395" s="15"/>
      <c r="AV395" s="15"/>
      <c r="AW395" s="15"/>
      <c r="AX395" s="15"/>
      <c r="AY395" s="15"/>
      <c r="AZ395" s="15"/>
      <c r="BA395" s="15"/>
      <c r="BB395" s="28"/>
      <c r="BC395" s="28"/>
      <c r="BD395" s="38"/>
      <c r="BE395" s="15"/>
      <c r="BF395" s="15"/>
      <c r="BG395" s="28"/>
      <c r="BH395" s="28"/>
      <c r="BI395" s="36"/>
    </row>
    <row r="396" spans="34:61" ht="15.75" customHeight="1" x14ac:dyDescent="0.25">
      <c r="AH396" s="15"/>
      <c r="AI396" s="21"/>
      <c r="AJ396" s="40"/>
      <c r="AK396" s="21"/>
      <c r="AL396" s="21"/>
      <c r="AM396" s="21"/>
      <c r="AN396" s="15"/>
      <c r="AO396" s="15"/>
      <c r="AP396" s="21"/>
      <c r="AQ396" s="21"/>
      <c r="AR396" s="15"/>
      <c r="AS396" s="21"/>
      <c r="AT396" s="15"/>
      <c r="AU396" s="15"/>
      <c r="AV396" s="15"/>
      <c r="AW396" s="15"/>
      <c r="AX396" s="15"/>
      <c r="AY396" s="15"/>
      <c r="AZ396" s="15"/>
      <c r="BA396" s="15"/>
      <c r="BB396" s="28"/>
      <c r="BC396" s="28"/>
      <c r="BD396" s="38"/>
      <c r="BE396" s="15"/>
      <c r="BF396" s="15"/>
      <c r="BG396" s="28"/>
      <c r="BH396" s="28"/>
      <c r="BI396" s="36"/>
    </row>
    <row r="397" spans="34:61" ht="15.75" customHeight="1" x14ac:dyDescent="0.25">
      <c r="AH397" s="15"/>
      <c r="AI397" s="21"/>
      <c r="AJ397" s="40"/>
      <c r="AK397" s="21"/>
      <c r="AL397" s="21"/>
      <c r="AM397" s="21"/>
      <c r="AN397" s="15"/>
      <c r="AO397" s="15"/>
      <c r="AP397" s="21"/>
      <c r="AQ397" s="21"/>
      <c r="AR397" s="15"/>
      <c r="AS397" s="21"/>
      <c r="AT397" s="15"/>
      <c r="AU397" s="15"/>
      <c r="AV397" s="15"/>
      <c r="AW397" s="15"/>
      <c r="AX397" s="15"/>
      <c r="AY397" s="15"/>
      <c r="AZ397" s="15"/>
      <c r="BA397" s="15"/>
      <c r="BB397" s="28"/>
      <c r="BC397" s="28"/>
      <c r="BD397" s="38"/>
      <c r="BE397" s="15"/>
      <c r="BF397" s="15"/>
      <c r="BG397" s="28"/>
      <c r="BH397" s="28"/>
      <c r="BI397" s="36"/>
    </row>
    <row r="398" spans="34:61" ht="15.75" customHeight="1" x14ac:dyDescent="0.25">
      <c r="AH398" s="15"/>
      <c r="AI398" s="21"/>
      <c r="AJ398" s="40"/>
      <c r="AK398" s="21"/>
      <c r="AL398" s="21"/>
      <c r="AM398" s="21"/>
      <c r="AN398" s="15"/>
      <c r="AO398" s="15"/>
      <c r="AP398" s="21"/>
      <c r="AQ398" s="21"/>
      <c r="AR398" s="15"/>
      <c r="AS398" s="21"/>
      <c r="AT398" s="15"/>
      <c r="AU398" s="15"/>
      <c r="AV398" s="15"/>
      <c r="AW398" s="15"/>
      <c r="AX398" s="15"/>
      <c r="AY398" s="15"/>
      <c r="AZ398" s="15"/>
      <c r="BA398" s="15"/>
      <c r="BB398" s="28"/>
      <c r="BC398" s="28"/>
      <c r="BD398" s="38"/>
      <c r="BE398" s="15"/>
      <c r="BF398" s="15"/>
      <c r="BG398" s="28"/>
      <c r="BH398" s="28"/>
      <c r="BI398" s="36"/>
    </row>
    <row r="399" spans="34:61" ht="15.75" customHeight="1" x14ac:dyDescent="0.25">
      <c r="AH399" s="15"/>
      <c r="AI399" s="21"/>
      <c r="AJ399" s="40"/>
      <c r="AK399" s="21"/>
      <c r="AL399" s="21"/>
      <c r="AM399" s="21"/>
      <c r="AN399" s="15"/>
      <c r="AO399" s="15"/>
      <c r="AP399" s="21"/>
      <c r="AQ399" s="21"/>
      <c r="AR399" s="15"/>
      <c r="AS399" s="21"/>
      <c r="AT399" s="15"/>
      <c r="AU399" s="15"/>
      <c r="AV399" s="15"/>
      <c r="AW399" s="15"/>
      <c r="AX399" s="15"/>
      <c r="AY399" s="15"/>
      <c r="AZ399" s="15"/>
      <c r="BA399" s="15"/>
      <c r="BB399" s="28"/>
      <c r="BC399" s="28"/>
      <c r="BD399" s="38"/>
      <c r="BE399" s="15"/>
      <c r="BF399" s="15"/>
      <c r="BG399" s="28"/>
      <c r="BH399" s="28"/>
      <c r="BI399" s="36"/>
    </row>
    <row r="400" spans="34:61" ht="15.75" customHeight="1" x14ac:dyDescent="0.25">
      <c r="AH400" s="15"/>
      <c r="AI400" s="21"/>
      <c r="AJ400" s="40"/>
      <c r="AK400" s="21"/>
      <c r="AL400" s="21"/>
      <c r="AM400" s="21"/>
      <c r="AN400" s="15"/>
      <c r="AO400" s="15"/>
      <c r="AP400" s="21"/>
      <c r="AQ400" s="21"/>
      <c r="AR400" s="15"/>
      <c r="AS400" s="21"/>
      <c r="AT400" s="15"/>
      <c r="AU400" s="15"/>
      <c r="AV400" s="15"/>
      <c r="AW400" s="15"/>
      <c r="AX400" s="15"/>
      <c r="AY400" s="15"/>
      <c r="AZ400" s="15"/>
      <c r="BA400" s="15"/>
      <c r="BB400" s="28"/>
      <c r="BC400" s="28"/>
      <c r="BD400" s="38"/>
      <c r="BE400" s="15"/>
      <c r="BF400" s="15"/>
      <c r="BG400" s="28"/>
      <c r="BH400" s="28"/>
      <c r="BI400" s="36"/>
    </row>
    <row r="401" spans="34:61" ht="15.75" customHeight="1" x14ac:dyDescent="0.25">
      <c r="AH401" s="15"/>
      <c r="AI401" s="21"/>
      <c r="AJ401" s="40"/>
      <c r="AK401" s="21"/>
      <c r="AL401" s="21"/>
      <c r="AM401" s="21"/>
      <c r="AN401" s="15"/>
      <c r="AO401" s="15"/>
      <c r="AP401" s="21"/>
      <c r="AQ401" s="21"/>
      <c r="AR401" s="15"/>
      <c r="AS401" s="21"/>
      <c r="AT401" s="15"/>
      <c r="AU401" s="15"/>
      <c r="AV401" s="15"/>
      <c r="AW401" s="15"/>
      <c r="AX401" s="15"/>
      <c r="AY401" s="15"/>
      <c r="AZ401" s="15"/>
      <c r="BA401" s="15"/>
      <c r="BB401" s="28"/>
      <c r="BC401" s="28"/>
      <c r="BD401" s="38"/>
      <c r="BE401" s="15"/>
      <c r="BF401" s="15"/>
      <c r="BG401" s="28"/>
      <c r="BH401" s="28"/>
      <c r="BI401" s="36"/>
    </row>
    <row r="402" spans="34:61" ht="15.75" customHeight="1" x14ac:dyDescent="0.25">
      <c r="AH402" s="15"/>
      <c r="AI402" s="21"/>
      <c r="AJ402" s="40"/>
      <c r="AK402" s="21"/>
      <c r="AL402" s="21"/>
      <c r="AM402" s="21"/>
      <c r="AN402" s="15"/>
      <c r="AO402" s="15"/>
      <c r="AP402" s="21"/>
      <c r="AQ402" s="21"/>
      <c r="AR402" s="15"/>
      <c r="AS402" s="21"/>
      <c r="AT402" s="15"/>
      <c r="AU402" s="15"/>
      <c r="AV402" s="15"/>
      <c r="AW402" s="15"/>
      <c r="AX402" s="15"/>
      <c r="AY402" s="15"/>
      <c r="AZ402" s="15"/>
      <c r="BA402" s="15"/>
      <c r="BB402" s="28"/>
      <c r="BC402" s="28"/>
      <c r="BD402" s="38"/>
      <c r="BE402" s="15"/>
      <c r="BF402" s="15"/>
      <c r="BG402" s="28"/>
      <c r="BH402" s="28"/>
      <c r="BI402" s="36"/>
    </row>
    <row r="403" spans="34:61" ht="15.75" customHeight="1" x14ac:dyDescent="0.25">
      <c r="AH403" s="15"/>
      <c r="AI403" s="21"/>
      <c r="AJ403" s="40"/>
      <c r="AK403" s="21"/>
      <c r="AL403" s="21"/>
      <c r="AM403" s="21"/>
      <c r="AN403" s="15"/>
      <c r="AO403" s="15"/>
      <c r="AP403" s="21"/>
      <c r="AQ403" s="21"/>
      <c r="AR403" s="15"/>
      <c r="AS403" s="21"/>
      <c r="AT403" s="15"/>
      <c r="AU403" s="15"/>
      <c r="AV403" s="15"/>
      <c r="AW403" s="15"/>
      <c r="AX403" s="15"/>
      <c r="AY403" s="15"/>
      <c r="AZ403" s="15"/>
      <c r="BA403" s="15"/>
      <c r="BB403" s="28"/>
      <c r="BC403" s="28"/>
      <c r="BD403" s="38"/>
      <c r="BE403" s="15"/>
      <c r="BF403" s="15"/>
      <c r="BG403" s="28"/>
      <c r="BH403" s="28"/>
      <c r="BI403" s="36"/>
    </row>
    <row r="404" spans="34:61" ht="15.75" customHeight="1" x14ac:dyDescent="0.25">
      <c r="AH404" s="15"/>
      <c r="AI404" s="21"/>
      <c r="AJ404" s="40"/>
      <c r="AK404" s="21"/>
      <c r="AL404" s="21"/>
      <c r="AM404" s="21"/>
      <c r="AN404" s="15"/>
      <c r="AO404" s="15"/>
      <c r="AP404" s="21"/>
      <c r="AQ404" s="21"/>
      <c r="AR404" s="15"/>
      <c r="AS404" s="21"/>
      <c r="AT404" s="15"/>
      <c r="AU404" s="15"/>
      <c r="AV404" s="15"/>
      <c r="AW404" s="15"/>
      <c r="AX404" s="15"/>
      <c r="AY404" s="15"/>
      <c r="AZ404" s="15"/>
      <c r="BA404" s="15"/>
      <c r="BB404" s="28"/>
      <c r="BC404" s="28"/>
      <c r="BD404" s="38"/>
      <c r="BE404" s="15"/>
      <c r="BF404" s="15"/>
      <c r="BG404" s="28"/>
      <c r="BH404" s="28"/>
      <c r="BI404" s="36"/>
    </row>
    <row r="405" spans="34:61" ht="15.75" customHeight="1" x14ac:dyDescent="0.25">
      <c r="AH405" s="15"/>
      <c r="AI405" s="21"/>
      <c r="AJ405" s="40"/>
      <c r="AK405" s="21"/>
      <c r="AL405" s="21"/>
      <c r="AM405" s="21"/>
      <c r="AN405" s="15"/>
      <c r="AO405" s="15"/>
      <c r="AP405" s="21"/>
      <c r="AQ405" s="21"/>
      <c r="AR405" s="15"/>
      <c r="AS405" s="21"/>
      <c r="AT405" s="15"/>
      <c r="AU405" s="15"/>
      <c r="AV405" s="15"/>
      <c r="AW405" s="15"/>
      <c r="AX405" s="15"/>
      <c r="AY405" s="15"/>
      <c r="AZ405" s="15"/>
      <c r="BA405" s="15"/>
      <c r="BB405" s="28"/>
      <c r="BC405" s="28"/>
      <c r="BD405" s="38"/>
      <c r="BE405" s="15"/>
      <c r="BF405" s="15"/>
      <c r="BG405" s="28"/>
      <c r="BH405" s="28"/>
      <c r="BI405" s="36"/>
    </row>
    <row r="406" spans="34:61" ht="15.75" customHeight="1" x14ac:dyDescent="0.25">
      <c r="AH406" s="15"/>
      <c r="AI406" s="21"/>
      <c r="AJ406" s="40"/>
      <c r="AK406" s="21"/>
      <c r="AL406" s="21"/>
      <c r="AM406" s="21"/>
      <c r="AN406" s="15"/>
      <c r="AO406" s="15"/>
      <c r="AP406" s="21"/>
      <c r="AQ406" s="21"/>
      <c r="AR406" s="15"/>
      <c r="AS406" s="21"/>
      <c r="AT406" s="15"/>
      <c r="AU406" s="15"/>
      <c r="AV406" s="15"/>
      <c r="AW406" s="15"/>
      <c r="AX406" s="15"/>
      <c r="AY406" s="15"/>
      <c r="AZ406" s="15"/>
      <c r="BA406" s="15"/>
      <c r="BB406" s="28"/>
      <c r="BC406" s="28"/>
      <c r="BD406" s="38"/>
      <c r="BE406" s="15"/>
      <c r="BF406" s="15"/>
      <c r="BG406" s="28"/>
      <c r="BH406" s="28"/>
      <c r="BI406" s="36"/>
    </row>
    <row r="407" spans="34:61" ht="15.75" customHeight="1" x14ac:dyDescent="0.25">
      <c r="AH407" s="15"/>
      <c r="AI407" s="21"/>
      <c r="AJ407" s="40"/>
      <c r="AK407" s="21"/>
      <c r="AL407" s="21"/>
      <c r="AM407" s="21"/>
      <c r="AN407" s="15"/>
      <c r="AO407" s="15"/>
      <c r="AP407" s="21"/>
      <c r="AQ407" s="21"/>
      <c r="AR407" s="15"/>
      <c r="AS407" s="21"/>
      <c r="AT407" s="15"/>
      <c r="AU407" s="15"/>
      <c r="AV407" s="15"/>
      <c r="AW407" s="15"/>
      <c r="AX407" s="15"/>
      <c r="AY407" s="15"/>
      <c r="AZ407" s="15"/>
      <c r="BA407" s="15"/>
      <c r="BB407" s="28"/>
      <c r="BC407" s="28"/>
      <c r="BD407" s="38"/>
      <c r="BE407" s="15"/>
      <c r="BF407" s="15"/>
      <c r="BG407" s="28"/>
      <c r="BH407" s="28"/>
      <c r="BI407" s="36"/>
    </row>
    <row r="408" spans="34:61" ht="15.75" customHeight="1" x14ac:dyDescent="0.25">
      <c r="AH408" s="15"/>
      <c r="AI408" s="21"/>
      <c r="AJ408" s="40"/>
      <c r="AK408" s="21"/>
      <c r="AL408" s="21"/>
      <c r="AM408" s="21"/>
      <c r="AN408" s="15"/>
      <c r="AO408" s="15"/>
      <c r="AP408" s="21"/>
      <c r="AQ408" s="21"/>
      <c r="AR408" s="15"/>
      <c r="AS408" s="21"/>
      <c r="AT408" s="15"/>
      <c r="AU408" s="15"/>
      <c r="AV408" s="15"/>
      <c r="AW408" s="15"/>
      <c r="AX408" s="15"/>
      <c r="AY408" s="15"/>
      <c r="AZ408" s="15"/>
      <c r="BA408" s="15"/>
      <c r="BB408" s="28"/>
      <c r="BC408" s="28"/>
      <c r="BD408" s="38"/>
      <c r="BE408" s="15"/>
      <c r="BF408" s="15"/>
      <c r="BG408" s="28"/>
      <c r="BH408" s="28"/>
      <c r="BI408" s="36"/>
    </row>
    <row r="409" spans="34:61" ht="15.75" customHeight="1" x14ac:dyDescent="0.25">
      <c r="AH409" s="15"/>
      <c r="AI409" s="21"/>
      <c r="AJ409" s="40"/>
      <c r="AK409" s="21"/>
      <c r="AL409" s="21"/>
      <c r="AM409" s="21"/>
      <c r="AN409" s="15"/>
      <c r="AO409" s="15"/>
      <c r="AP409" s="21"/>
      <c r="AQ409" s="21"/>
      <c r="AR409" s="15"/>
      <c r="AS409" s="21"/>
      <c r="AT409" s="15"/>
      <c r="AU409" s="15"/>
      <c r="AV409" s="15"/>
      <c r="AW409" s="15"/>
      <c r="AX409" s="15"/>
      <c r="AY409" s="15"/>
      <c r="AZ409" s="15"/>
      <c r="BA409" s="15"/>
      <c r="BB409" s="28"/>
      <c r="BC409" s="28"/>
      <c r="BD409" s="38"/>
      <c r="BE409" s="15"/>
      <c r="BF409" s="15"/>
      <c r="BG409" s="28"/>
      <c r="BH409" s="28"/>
      <c r="BI409" s="36"/>
    </row>
    <row r="410" spans="34:61" ht="15.75" customHeight="1" x14ac:dyDescent="0.25">
      <c r="AH410" s="15"/>
      <c r="AI410" s="21"/>
      <c r="AJ410" s="40"/>
      <c r="AK410" s="21"/>
      <c r="AL410" s="21"/>
      <c r="AM410" s="21"/>
      <c r="AN410" s="15"/>
      <c r="AO410" s="15"/>
      <c r="AP410" s="21"/>
      <c r="AQ410" s="21"/>
      <c r="AR410" s="15"/>
      <c r="AS410" s="21"/>
      <c r="AT410" s="15"/>
      <c r="AU410" s="15"/>
      <c r="AV410" s="15"/>
      <c r="AW410" s="15"/>
      <c r="AX410" s="15"/>
      <c r="AY410" s="15"/>
      <c r="AZ410" s="15"/>
      <c r="BA410" s="15"/>
      <c r="BB410" s="28"/>
      <c r="BC410" s="28"/>
      <c r="BD410" s="38"/>
      <c r="BE410" s="15"/>
      <c r="BF410" s="15"/>
      <c r="BG410" s="28"/>
      <c r="BH410" s="28"/>
      <c r="BI410" s="36"/>
    </row>
    <row r="411" spans="34:61" ht="15.75" customHeight="1" x14ac:dyDescent="0.25">
      <c r="AH411" s="15"/>
      <c r="AI411" s="21"/>
      <c r="AJ411" s="40"/>
      <c r="AK411" s="21"/>
      <c r="AL411" s="21"/>
      <c r="AM411" s="21"/>
      <c r="AN411" s="15"/>
      <c r="AO411" s="15"/>
      <c r="AP411" s="21"/>
      <c r="AQ411" s="21"/>
      <c r="AR411" s="15"/>
      <c r="AS411" s="21"/>
      <c r="AT411" s="15"/>
      <c r="AU411" s="15"/>
      <c r="AV411" s="15"/>
      <c r="AW411" s="15"/>
      <c r="AX411" s="15"/>
      <c r="AY411" s="15"/>
      <c r="AZ411" s="15"/>
      <c r="BA411" s="15"/>
      <c r="BB411" s="28"/>
      <c r="BC411" s="28"/>
      <c r="BD411" s="38"/>
      <c r="BE411" s="15"/>
      <c r="BF411" s="15"/>
      <c r="BG411" s="28"/>
      <c r="BH411" s="28"/>
      <c r="BI411" s="36"/>
    </row>
    <row r="412" spans="34:61" ht="15.75" customHeight="1" x14ac:dyDescent="0.25">
      <c r="AH412" s="15"/>
      <c r="AI412" s="21"/>
      <c r="AJ412" s="40"/>
      <c r="AK412" s="21"/>
      <c r="AL412" s="21"/>
      <c r="AM412" s="21"/>
      <c r="AN412" s="15"/>
      <c r="AO412" s="15"/>
      <c r="AP412" s="21"/>
      <c r="AQ412" s="21"/>
      <c r="AR412" s="15"/>
      <c r="AS412" s="21"/>
      <c r="AT412" s="15"/>
      <c r="AU412" s="15"/>
      <c r="AV412" s="15"/>
      <c r="AW412" s="15"/>
      <c r="AX412" s="15"/>
      <c r="AY412" s="15"/>
      <c r="AZ412" s="15"/>
      <c r="BA412" s="15"/>
      <c r="BB412" s="28"/>
      <c r="BC412" s="28"/>
      <c r="BD412" s="38"/>
      <c r="BE412" s="15"/>
      <c r="BF412" s="15"/>
      <c r="BG412" s="28"/>
      <c r="BH412" s="28"/>
      <c r="BI412" s="36"/>
    </row>
    <row r="413" spans="34:61" ht="15.75" customHeight="1" x14ac:dyDescent="0.25">
      <c r="AH413" s="15"/>
      <c r="AI413" s="21"/>
      <c r="AJ413" s="40"/>
      <c r="AK413" s="21"/>
      <c r="AL413" s="21"/>
      <c r="AM413" s="21"/>
      <c r="AN413" s="15"/>
      <c r="AO413" s="15"/>
      <c r="AP413" s="21"/>
      <c r="AQ413" s="21"/>
      <c r="AR413" s="15"/>
      <c r="AS413" s="21"/>
      <c r="AT413" s="15"/>
      <c r="AU413" s="15"/>
      <c r="AV413" s="15"/>
      <c r="AW413" s="15"/>
      <c r="AX413" s="15"/>
      <c r="AY413" s="15"/>
      <c r="AZ413" s="15"/>
      <c r="BA413" s="15"/>
      <c r="BB413" s="28"/>
      <c r="BC413" s="28"/>
      <c r="BD413" s="38"/>
      <c r="BE413" s="15"/>
      <c r="BF413" s="15"/>
      <c r="BG413" s="28"/>
      <c r="BH413" s="28"/>
      <c r="BI413" s="36"/>
    </row>
    <row r="414" spans="34:61" ht="15.75" customHeight="1" x14ac:dyDescent="0.25">
      <c r="AH414" s="15"/>
      <c r="AI414" s="21"/>
      <c r="AJ414" s="40"/>
      <c r="AK414" s="21"/>
      <c r="AL414" s="21"/>
      <c r="AM414" s="21"/>
      <c r="AN414" s="15"/>
      <c r="AO414" s="15"/>
      <c r="AP414" s="21"/>
      <c r="AQ414" s="21"/>
      <c r="AR414" s="15"/>
      <c r="AS414" s="21"/>
      <c r="AT414" s="15"/>
      <c r="AU414" s="15"/>
      <c r="AV414" s="15"/>
      <c r="AW414" s="15"/>
      <c r="AX414" s="15"/>
      <c r="AY414" s="15"/>
      <c r="AZ414" s="15"/>
      <c r="BA414" s="15"/>
      <c r="BB414" s="28"/>
      <c r="BC414" s="28"/>
      <c r="BD414" s="38"/>
      <c r="BE414" s="15"/>
      <c r="BF414" s="15"/>
      <c r="BG414" s="28"/>
      <c r="BH414" s="28"/>
      <c r="BI414" s="36"/>
    </row>
    <row r="415" spans="34:61" ht="15.75" customHeight="1" x14ac:dyDescent="0.25">
      <c r="AH415" s="15"/>
      <c r="AI415" s="21"/>
      <c r="AJ415" s="40"/>
      <c r="AK415" s="21"/>
      <c r="AL415" s="21"/>
      <c r="AM415" s="21"/>
      <c r="AN415" s="15"/>
      <c r="AO415" s="15"/>
      <c r="AP415" s="21"/>
      <c r="AQ415" s="21"/>
      <c r="AR415" s="15"/>
      <c r="AS415" s="21"/>
      <c r="AT415" s="15"/>
      <c r="AU415" s="15"/>
      <c r="AV415" s="15"/>
      <c r="AW415" s="15"/>
      <c r="AX415" s="15"/>
      <c r="AY415" s="15"/>
      <c r="AZ415" s="15"/>
      <c r="BA415" s="15"/>
      <c r="BB415" s="28"/>
      <c r="BC415" s="28"/>
      <c r="BD415" s="38"/>
      <c r="BE415" s="15"/>
      <c r="BF415" s="15"/>
      <c r="BG415" s="28"/>
      <c r="BH415" s="28"/>
      <c r="BI415" s="36"/>
    </row>
    <row r="416" spans="34:61" ht="15.75" customHeight="1" x14ac:dyDescent="0.25">
      <c r="AH416" s="15"/>
      <c r="AI416" s="21"/>
      <c r="AJ416" s="40"/>
      <c r="AK416" s="21"/>
      <c r="AL416" s="21"/>
      <c r="AM416" s="21"/>
      <c r="AN416" s="15"/>
      <c r="AO416" s="15"/>
      <c r="AP416" s="21"/>
      <c r="AQ416" s="21"/>
      <c r="AR416" s="15"/>
      <c r="AS416" s="21"/>
      <c r="AT416" s="15"/>
      <c r="AU416" s="15"/>
      <c r="AV416" s="15"/>
      <c r="AW416" s="15"/>
      <c r="AX416" s="15"/>
      <c r="AY416" s="15"/>
      <c r="AZ416" s="15"/>
      <c r="BA416" s="15"/>
      <c r="BB416" s="28"/>
      <c r="BC416" s="28"/>
      <c r="BD416" s="38"/>
      <c r="BE416" s="15"/>
      <c r="BF416" s="15"/>
      <c r="BG416" s="28"/>
      <c r="BH416" s="28"/>
      <c r="BI416" s="36"/>
    </row>
    <row r="417" spans="34:61" ht="15.75" customHeight="1" x14ac:dyDescent="0.25">
      <c r="AH417" s="15"/>
      <c r="AI417" s="21"/>
      <c r="AJ417" s="40"/>
      <c r="AK417" s="21"/>
      <c r="AL417" s="21"/>
      <c r="AM417" s="21"/>
      <c r="AN417" s="15"/>
      <c r="AO417" s="15"/>
      <c r="AP417" s="21"/>
      <c r="AQ417" s="21"/>
      <c r="AR417" s="15"/>
      <c r="AS417" s="21"/>
      <c r="AT417" s="15"/>
      <c r="AU417" s="15"/>
      <c r="AV417" s="15"/>
      <c r="AW417" s="15"/>
      <c r="AX417" s="15"/>
      <c r="AY417" s="15"/>
      <c r="AZ417" s="15"/>
      <c r="BA417" s="15"/>
      <c r="BB417" s="28"/>
      <c r="BC417" s="28"/>
      <c r="BD417" s="38"/>
      <c r="BE417" s="15"/>
      <c r="BF417" s="15"/>
      <c r="BG417" s="28"/>
      <c r="BH417" s="28"/>
      <c r="BI417" s="36"/>
    </row>
    <row r="418" spans="34:61" ht="15.75" customHeight="1" x14ac:dyDescent="0.25">
      <c r="AH418" s="15"/>
      <c r="AI418" s="21"/>
      <c r="AJ418" s="40"/>
      <c r="AK418" s="21"/>
      <c r="AL418" s="21"/>
      <c r="AM418" s="21"/>
      <c r="AN418" s="15"/>
      <c r="AO418" s="15"/>
      <c r="AP418" s="21"/>
      <c r="AQ418" s="21"/>
      <c r="AR418" s="15"/>
      <c r="AS418" s="21"/>
      <c r="AT418" s="15"/>
      <c r="AU418" s="15"/>
      <c r="AV418" s="15"/>
      <c r="AW418" s="15"/>
      <c r="AX418" s="15"/>
      <c r="AY418" s="15"/>
      <c r="AZ418" s="15"/>
      <c r="BA418" s="15"/>
      <c r="BB418" s="28"/>
      <c r="BC418" s="28"/>
      <c r="BD418" s="38"/>
      <c r="BE418" s="15"/>
      <c r="BF418" s="15"/>
      <c r="BG418" s="28"/>
      <c r="BH418" s="28"/>
      <c r="BI418" s="36"/>
    </row>
    <row r="419" spans="34:61" ht="15.75" customHeight="1" x14ac:dyDescent="0.25">
      <c r="AH419" s="15"/>
      <c r="AI419" s="21"/>
      <c r="AJ419" s="40"/>
      <c r="AK419" s="21"/>
      <c r="AL419" s="21"/>
      <c r="AM419" s="21"/>
      <c r="AN419" s="15"/>
      <c r="AO419" s="15"/>
      <c r="AP419" s="21"/>
      <c r="AQ419" s="21"/>
      <c r="AR419" s="15"/>
      <c r="AS419" s="21"/>
      <c r="AT419" s="15"/>
      <c r="AU419" s="15"/>
      <c r="AV419" s="15"/>
      <c r="AW419" s="15"/>
      <c r="AX419" s="15"/>
      <c r="AY419" s="15"/>
      <c r="AZ419" s="15"/>
      <c r="BA419" s="15"/>
      <c r="BB419" s="28"/>
      <c r="BC419" s="28"/>
      <c r="BD419" s="38"/>
      <c r="BE419" s="15"/>
      <c r="BF419" s="15"/>
      <c r="BG419" s="28"/>
      <c r="BH419" s="28"/>
      <c r="BI419" s="36"/>
    </row>
    <row r="420" spans="34:61" ht="15.75" customHeight="1" x14ac:dyDescent="0.25">
      <c r="AH420" s="15"/>
      <c r="AI420" s="21"/>
      <c r="AJ420" s="40"/>
      <c r="AK420" s="21"/>
      <c r="AL420" s="21"/>
      <c r="AM420" s="21"/>
      <c r="AN420" s="15"/>
      <c r="AO420" s="15"/>
      <c r="AP420" s="21"/>
      <c r="AQ420" s="21"/>
      <c r="AR420" s="15"/>
      <c r="AS420" s="21"/>
      <c r="AT420" s="15"/>
      <c r="AU420" s="15"/>
      <c r="AV420" s="15"/>
      <c r="AW420" s="15"/>
      <c r="AX420" s="15"/>
      <c r="AY420" s="15"/>
      <c r="AZ420" s="15"/>
      <c r="BA420" s="15"/>
      <c r="BB420" s="28"/>
      <c r="BC420" s="28"/>
      <c r="BD420" s="38"/>
      <c r="BE420" s="15"/>
      <c r="BF420" s="15"/>
      <c r="BG420" s="28"/>
      <c r="BH420" s="28"/>
      <c r="BI420" s="36"/>
    </row>
    <row r="421" spans="34:61" ht="15.75" customHeight="1" x14ac:dyDescent="0.25">
      <c r="AH421" s="15"/>
      <c r="AI421" s="21"/>
      <c r="AJ421" s="40"/>
      <c r="AK421" s="21"/>
      <c r="AL421" s="21"/>
      <c r="AM421" s="21"/>
      <c r="AN421" s="15"/>
      <c r="AO421" s="15"/>
      <c r="AP421" s="21"/>
      <c r="AQ421" s="21"/>
      <c r="AR421" s="15"/>
      <c r="AS421" s="21"/>
      <c r="AT421" s="15"/>
      <c r="AU421" s="15"/>
      <c r="AV421" s="15"/>
      <c r="AW421" s="15"/>
      <c r="AX421" s="15"/>
      <c r="AY421" s="15"/>
      <c r="AZ421" s="15"/>
      <c r="BA421" s="15"/>
      <c r="BB421" s="28"/>
      <c r="BC421" s="28"/>
      <c r="BD421" s="38"/>
      <c r="BE421" s="15"/>
      <c r="BF421" s="15"/>
      <c r="BG421" s="28"/>
      <c r="BH421" s="28"/>
      <c r="BI421" s="36"/>
    </row>
    <row r="422" spans="34:61" ht="15.75" customHeight="1" x14ac:dyDescent="0.25">
      <c r="AH422" s="15"/>
      <c r="AI422" s="21"/>
      <c r="AJ422" s="40"/>
      <c r="AK422" s="21"/>
      <c r="AL422" s="21"/>
      <c r="AM422" s="21"/>
      <c r="AN422" s="15"/>
      <c r="AO422" s="15"/>
      <c r="AP422" s="21"/>
      <c r="AQ422" s="21"/>
      <c r="AR422" s="15"/>
      <c r="AS422" s="21"/>
      <c r="AT422" s="15"/>
      <c r="AU422" s="15"/>
      <c r="AV422" s="15"/>
      <c r="AW422" s="15"/>
      <c r="AX422" s="15"/>
      <c r="AY422" s="15"/>
      <c r="AZ422" s="15"/>
      <c r="BA422" s="15"/>
      <c r="BB422" s="28"/>
      <c r="BC422" s="28"/>
      <c r="BD422" s="38"/>
      <c r="BE422" s="15"/>
      <c r="BF422" s="15"/>
      <c r="BG422" s="28"/>
      <c r="BH422" s="28"/>
      <c r="BI422" s="36"/>
    </row>
    <row r="423" spans="34:61" ht="15.75" customHeight="1" x14ac:dyDescent="0.25">
      <c r="AH423" s="15"/>
      <c r="AI423" s="21"/>
      <c r="AJ423" s="40"/>
      <c r="AK423" s="21"/>
      <c r="AL423" s="21"/>
      <c r="AM423" s="21"/>
      <c r="AN423" s="15"/>
      <c r="AO423" s="15"/>
      <c r="AP423" s="21"/>
      <c r="AQ423" s="21"/>
      <c r="AR423" s="15"/>
      <c r="AS423" s="21"/>
      <c r="AT423" s="15"/>
      <c r="AU423" s="15"/>
      <c r="AV423" s="15"/>
      <c r="AW423" s="15"/>
      <c r="AX423" s="15"/>
      <c r="AY423" s="15"/>
      <c r="AZ423" s="15"/>
      <c r="BA423" s="15"/>
      <c r="BB423" s="28"/>
      <c r="BC423" s="28"/>
      <c r="BD423" s="38"/>
      <c r="BE423" s="15"/>
      <c r="BF423" s="15"/>
      <c r="BG423" s="28"/>
      <c r="BH423" s="28"/>
      <c r="BI423" s="36"/>
    </row>
    <row r="424" spans="34:61" ht="15.75" customHeight="1" x14ac:dyDescent="0.25">
      <c r="AH424" s="15"/>
      <c r="AI424" s="21"/>
      <c r="AJ424" s="40"/>
      <c r="AK424" s="21"/>
      <c r="AL424" s="21"/>
      <c r="AM424" s="21"/>
      <c r="AN424" s="15"/>
      <c r="AO424" s="15"/>
      <c r="AP424" s="21"/>
      <c r="AQ424" s="21"/>
      <c r="AR424" s="15"/>
      <c r="AS424" s="21"/>
      <c r="AT424" s="15"/>
      <c r="AU424" s="15"/>
      <c r="AV424" s="15"/>
      <c r="AW424" s="15"/>
      <c r="AX424" s="15"/>
      <c r="AY424" s="15"/>
      <c r="AZ424" s="15"/>
      <c r="BA424" s="15"/>
      <c r="BB424" s="28"/>
      <c r="BC424" s="28"/>
      <c r="BD424" s="38"/>
      <c r="BE424" s="15"/>
      <c r="BF424" s="15"/>
      <c r="BG424" s="28"/>
      <c r="BH424" s="28"/>
      <c r="BI424" s="36"/>
    </row>
    <row r="425" spans="34:61" ht="15.75" customHeight="1" x14ac:dyDescent="0.25">
      <c r="AH425" s="15"/>
      <c r="AI425" s="21"/>
      <c r="AJ425" s="40"/>
      <c r="AK425" s="21"/>
      <c r="AL425" s="21"/>
      <c r="AM425" s="21"/>
      <c r="AN425" s="15"/>
      <c r="AO425" s="15"/>
      <c r="AP425" s="21"/>
      <c r="AQ425" s="21"/>
      <c r="AR425" s="15"/>
      <c r="AS425" s="21"/>
      <c r="AT425" s="15"/>
      <c r="AU425" s="15"/>
      <c r="AV425" s="15"/>
      <c r="AW425" s="15"/>
      <c r="AX425" s="15"/>
      <c r="AY425" s="15"/>
      <c r="AZ425" s="15"/>
      <c r="BA425" s="15"/>
      <c r="BB425" s="28"/>
      <c r="BC425" s="28"/>
      <c r="BD425" s="38"/>
      <c r="BE425" s="15"/>
      <c r="BF425" s="15"/>
      <c r="BG425" s="28"/>
      <c r="BH425" s="28"/>
      <c r="BI425" s="36"/>
    </row>
    <row r="426" spans="34:61" ht="15.75" customHeight="1" x14ac:dyDescent="0.25">
      <c r="AH426" s="15"/>
      <c r="AI426" s="21"/>
      <c r="AJ426" s="40"/>
      <c r="AK426" s="21"/>
      <c r="AL426" s="21"/>
      <c r="AM426" s="21"/>
      <c r="AN426" s="15"/>
      <c r="AO426" s="15"/>
      <c r="AP426" s="21"/>
      <c r="AQ426" s="21"/>
      <c r="AR426" s="15"/>
      <c r="AS426" s="21"/>
      <c r="AT426" s="15"/>
      <c r="AU426" s="15"/>
      <c r="AV426" s="15"/>
      <c r="AW426" s="15"/>
      <c r="AX426" s="15"/>
      <c r="AY426" s="15"/>
      <c r="AZ426" s="15"/>
      <c r="BA426" s="15"/>
      <c r="BB426" s="28"/>
      <c r="BC426" s="28"/>
      <c r="BD426" s="38"/>
      <c r="BE426" s="15"/>
      <c r="BF426" s="15"/>
      <c r="BG426" s="28"/>
      <c r="BH426" s="28"/>
      <c r="BI426" s="36"/>
    </row>
    <row r="427" spans="34:61" ht="15.75" customHeight="1" x14ac:dyDescent="0.25">
      <c r="AH427" s="15"/>
      <c r="AI427" s="21"/>
      <c r="AJ427" s="40"/>
      <c r="AK427" s="21"/>
      <c r="AL427" s="21"/>
      <c r="AM427" s="21"/>
      <c r="AN427" s="15"/>
      <c r="AO427" s="15"/>
      <c r="AP427" s="21"/>
      <c r="AQ427" s="21"/>
      <c r="AR427" s="15"/>
      <c r="AS427" s="21"/>
      <c r="AT427" s="15"/>
      <c r="AU427" s="15"/>
      <c r="AV427" s="15"/>
      <c r="AW427" s="15"/>
      <c r="AX427" s="15"/>
      <c r="AY427" s="15"/>
      <c r="AZ427" s="15"/>
      <c r="BA427" s="15"/>
      <c r="BB427" s="28"/>
      <c r="BC427" s="28"/>
      <c r="BD427" s="38"/>
      <c r="BE427" s="15"/>
      <c r="BF427" s="15"/>
      <c r="BG427" s="28"/>
      <c r="BH427" s="28"/>
      <c r="BI427" s="36"/>
    </row>
    <row r="428" spans="34:61" ht="15.75" customHeight="1" x14ac:dyDescent="0.25">
      <c r="AH428" s="15"/>
      <c r="AI428" s="21"/>
      <c r="AJ428" s="40"/>
      <c r="AK428" s="21"/>
      <c r="AL428" s="21"/>
      <c r="AM428" s="21"/>
      <c r="AN428" s="15"/>
      <c r="AO428" s="15"/>
      <c r="AP428" s="21"/>
      <c r="AQ428" s="21"/>
      <c r="AR428" s="15"/>
      <c r="AS428" s="21"/>
      <c r="AT428" s="15"/>
      <c r="AU428" s="15"/>
      <c r="AV428" s="15"/>
      <c r="AW428" s="15"/>
      <c r="AX428" s="15"/>
      <c r="AY428" s="15"/>
      <c r="AZ428" s="15"/>
      <c r="BA428" s="15"/>
      <c r="BB428" s="28"/>
      <c r="BC428" s="28"/>
      <c r="BD428" s="38"/>
      <c r="BE428" s="15"/>
      <c r="BF428" s="15"/>
      <c r="BG428" s="28"/>
      <c r="BH428" s="28"/>
      <c r="BI428" s="36"/>
    </row>
    <row r="429" spans="34:61" ht="15.75" customHeight="1" x14ac:dyDescent="0.25">
      <c r="AH429" s="15"/>
      <c r="AI429" s="21"/>
      <c r="AJ429" s="40"/>
      <c r="AK429" s="21"/>
      <c r="AL429" s="21"/>
      <c r="AM429" s="21"/>
      <c r="AN429" s="15"/>
      <c r="AO429" s="15"/>
      <c r="AP429" s="21"/>
      <c r="AQ429" s="21"/>
      <c r="AR429" s="15"/>
      <c r="AS429" s="21"/>
      <c r="AT429" s="15"/>
      <c r="AU429" s="15"/>
      <c r="AV429" s="15"/>
      <c r="AW429" s="15"/>
      <c r="AX429" s="15"/>
      <c r="AY429" s="15"/>
      <c r="AZ429" s="15"/>
      <c r="BA429" s="15"/>
      <c r="BB429" s="28"/>
      <c r="BC429" s="28"/>
      <c r="BD429" s="38"/>
      <c r="BE429" s="15"/>
      <c r="BF429" s="15"/>
      <c r="BG429" s="28"/>
      <c r="BH429" s="28"/>
      <c r="BI429" s="36"/>
    </row>
    <row r="430" spans="34:61" ht="15.75" customHeight="1" x14ac:dyDescent="0.25">
      <c r="AH430" s="15"/>
      <c r="AI430" s="21"/>
      <c r="AJ430" s="40"/>
      <c r="AK430" s="21"/>
      <c r="AL430" s="21"/>
      <c r="AM430" s="21"/>
      <c r="AN430" s="15"/>
      <c r="AO430" s="15"/>
      <c r="AP430" s="21"/>
      <c r="AQ430" s="21"/>
      <c r="AR430" s="15"/>
      <c r="AS430" s="21"/>
      <c r="AT430" s="15"/>
      <c r="AU430" s="15"/>
      <c r="AV430" s="15"/>
      <c r="AW430" s="15"/>
      <c r="AX430" s="15"/>
      <c r="AY430" s="15"/>
      <c r="AZ430" s="15"/>
      <c r="BA430" s="15"/>
      <c r="BB430" s="28"/>
      <c r="BC430" s="28"/>
      <c r="BD430" s="38"/>
      <c r="BE430" s="15"/>
      <c r="BF430" s="15"/>
      <c r="BG430" s="28"/>
      <c r="BH430" s="28"/>
      <c r="BI430" s="36"/>
    </row>
    <row r="431" spans="34:61" ht="15.75" customHeight="1" x14ac:dyDescent="0.25">
      <c r="AH431" s="15"/>
      <c r="AI431" s="21"/>
      <c r="AJ431" s="40"/>
      <c r="AK431" s="21"/>
      <c r="AL431" s="21"/>
      <c r="AM431" s="21"/>
      <c r="AN431" s="15"/>
      <c r="AO431" s="15"/>
      <c r="AP431" s="21"/>
      <c r="AQ431" s="21"/>
      <c r="AR431" s="15"/>
      <c r="AS431" s="21"/>
      <c r="AT431" s="15"/>
      <c r="AU431" s="15"/>
      <c r="AV431" s="15"/>
      <c r="AW431" s="15"/>
      <c r="AX431" s="15"/>
      <c r="AY431" s="15"/>
      <c r="AZ431" s="15"/>
      <c r="BA431" s="15"/>
      <c r="BB431" s="28"/>
      <c r="BC431" s="28"/>
      <c r="BD431" s="38"/>
      <c r="BE431" s="15"/>
      <c r="BF431" s="15"/>
      <c r="BG431" s="28"/>
      <c r="BH431" s="28"/>
      <c r="BI431" s="36"/>
    </row>
    <row r="432" spans="34:61" ht="15.75" customHeight="1" x14ac:dyDescent="0.25">
      <c r="AH432" s="15"/>
      <c r="AI432" s="21"/>
      <c r="AJ432" s="40"/>
      <c r="AK432" s="21"/>
      <c r="AL432" s="21"/>
      <c r="AM432" s="21"/>
      <c r="AN432" s="15"/>
      <c r="AO432" s="15"/>
      <c r="AP432" s="21"/>
      <c r="AQ432" s="21"/>
      <c r="AR432" s="15"/>
      <c r="AS432" s="21"/>
      <c r="AT432" s="15"/>
      <c r="AU432" s="15"/>
      <c r="AV432" s="15"/>
      <c r="AW432" s="15"/>
      <c r="AX432" s="15"/>
      <c r="AY432" s="15"/>
      <c r="AZ432" s="15"/>
      <c r="BA432" s="15"/>
      <c r="BB432" s="28"/>
      <c r="BC432" s="28"/>
      <c r="BD432" s="38"/>
      <c r="BE432" s="15"/>
      <c r="BF432" s="15"/>
      <c r="BG432" s="28"/>
      <c r="BH432" s="28"/>
      <c r="BI432" s="36"/>
    </row>
    <row r="433" spans="34:61" ht="15.75" customHeight="1" x14ac:dyDescent="0.25">
      <c r="AH433" s="15"/>
      <c r="AI433" s="21"/>
      <c r="AJ433" s="40"/>
      <c r="AK433" s="21"/>
      <c r="AL433" s="21"/>
      <c r="AM433" s="21"/>
      <c r="AN433" s="15"/>
      <c r="AO433" s="15"/>
      <c r="AP433" s="21"/>
      <c r="AQ433" s="21"/>
      <c r="AR433" s="15"/>
      <c r="AS433" s="21"/>
      <c r="AT433" s="15"/>
      <c r="AU433" s="15"/>
      <c r="AV433" s="15"/>
      <c r="AW433" s="15"/>
      <c r="AX433" s="15"/>
      <c r="AY433" s="15"/>
      <c r="AZ433" s="15"/>
      <c r="BA433" s="15"/>
      <c r="BB433" s="28"/>
      <c r="BC433" s="28"/>
      <c r="BD433" s="38"/>
      <c r="BE433" s="15"/>
      <c r="BF433" s="15"/>
      <c r="BG433" s="28"/>
      <c r="BH433" s="28"/>
      <c r="BI433" s="36"/>
    </row>
    <row r="434" spans="34:61" ht="15.75" customHeight="1" x14ac:dyDescent="0.25">
      <c r="AH434" s="15"/>
      <c r="AI434" s="21"/>
      <c r="AJ434" s="40"/>
      <c r="AK434" s="21"/>
      <c r="AL434" s="21"/>
      <c r="AM434" s="21"/>
      <c r="AN434" s="15"/>
      <c r="AO434" s="15"/>
      <c r="AP434" s="21"/>
      <c r="AQ434" s="21"/>
      <c r="AR434" s="15"/>
      <c r="AS434" s="21"/>
      <c r="AT434" s="15"/>
      <c r="AU434" s="15"/>
      <c r="AV434" s="15"/>
      <c r="AW434" s="15"/>
      <c r="AX434" s="15"/>
      <c r="AY434" s="15"/>
      <c r="AZ434" s="15"/>
      <c r="BA434" s="15"/>
      <c r="BB434" s="28"/>
      <c r="BC434" s="28"/>
      <c r="BD434" s="38"/>
      <c r="BE434" s="15"/>
      <c r="BF434" s="15"/>
      <c r="BG434" s="28"/>
      <c r="BH434" s="28"/>
      <c r="BI434" s="36"/>
    </row>
    <row r="435" spans="34:61" ht="15.75" customHeight="1" x14ac:dyDescent="0.25">
      <c r="AH435" s="15"/>
      <c r="AI435" s="21"/>
      <c r="AJ435" s="40"/>
      <c r="AK435" s="21"/>
      <c r="AL435" s="21"/>
      <c r="AM435" s="21"/>
      <c r="AN435" s="15"/>
      <c r="AO435" s="15"/>
      <c r="AP435" s="21"/>
      <c r="AQ435" s="21"/>
      <c r="AR435" s="15"/>
      <c r="AS435" s="21"/>
      <c r="AT435" s="15"/>
      <c r="AU435" s="15"/>
      <c r="AV435" s="15"/>
      <c r="AW435" s="15"/>
      <c r="AX435" s="15"/>
      <c r="AY435" s="15"/>
      <c r="AZ435" s="15"/>
      <c r="BA435" s="15"/>
      <c r="BB435" s="28"/>
      <c r="BC435" s="28"/>
      <c r="BD435" s="38"/>
      <c r="BE435" s="15"/>
      <c r="BF435" s="15"/>
      <c r="BG435" s="28"/>
      <c r="BH435" s="28"/>
      <c r="BI435" s="36"/>
    </row>
    <row r="436" spans="34:61" ht="15.75" customHeight="1" x14ac:dyDescent="0.25">
      <c r="AH436" s="15"/>
      <c r="AI436" s="21"/>
      <c r="AJ436" s="40"/>
      <c r="AK436" s="21"/>
      <c r="AL436" s="21"/>
      <c r="AM436" s="21"/>
      <c r="AN436" s="15"/>
      <c r="AO436" s="15"/>
      <c r="AP436" s="21"/>
      <c r="AQ436" s="21"/>
      <c r="AR436" s="15"/>
      <c r="AS436" s="21"/>
      <c r="AT436" s="15"/>
      <c r="AU436" s="15"/>
      <c r="AV436" s="15"/>
      <c r="AW436" s="15"/>
      <c r="AX436" s="15"/>
      <c r="AY436" s="15"/>
      <c r="AZ436" s="15"/>
      <c r="BA436" s="15"/>
      <c r="BB436" s="28"/>
      <c r="BC436" s="28"/>
      <c r="BD436" s="38"/>
      <c r="BE436" s="15"/>
      <c r="BF436" s="15"/>
      <c r="BG436" s="28"/>
      <c r="BH436" s="28"/>
      <c r="BI436" s="36"/>
    </row>
    <row r="437" spans="34:61" ht="15.75" customHeight="1" x14ac:dyDescent="0.25">
      <c r="AH437" s="15"/>
      <c r="AI437" s="21"/>
      <c r="AJ437" s="40"/>
      <c r="AK437" s="21"/>
      <c r="AL437" s="21"/>
      <c r="AM437" s="21"/>
      <c r="AN437" s="15"/>
      <c r="AO437" s="15"/>
      <c r="AP437" s="21"/>
      <c r="AQ437" s="21"/>
      <c r="AR437" s="15"/>
      <c r="AS437" s="21"/>
      <c r="AT437" s="15"/>
      <c r="AU437" s="15"/>
      <c r="AV437" s="15"/>
      <c r="AW437" s="15"/>
      <c r="AX437" s="15"/>
      <c r="AY437" s="15"/>
      <c r="AZ437" s="15"/>
      <c r="BA437" s="15"/>
      <c r="BB437" s="28"/>
      <c r="BC437" s="28"/>
      <c r="BD437" s="38"/>
      <c r="BE437" s="15"/>
      <c r="BF437" s="15"/>
      <c r="BG437" s="28"/>
      <c r="BH437" s="28"/>
      <c r="BI437" s="36"/>
    </row>
    <row r="438" spans="34:61" ht="15.75" customHeight="1" x14ac:dyDescent="0.25">
      <c r="AH438" s="15"/>
      <c r="AI438" s="21"/>
      <c r="AJ438" s="40"/>
      <c r="AK438" s="21"/>
      <c r="AL438" s="21"/>
      <c r="AM438" s="21"/>
      <c r="AN438" s="15"/>
      <c r="AO438" s="15"/>
      <c r="AP438" s="21"/>
      <c r="AQ438" s="21"/>
      <c r="AR438" s="15"/>
      <c r="AS438" s="21"/>
      <c r="AT438" s="15"/>
      <c r="AU438" s="15"/>
      <c r="AV438" s="15"/>
      <c r="AW438" s="15"/>
      <c r="AX438" s="15"/>
      <c r="AY438" s="15"/>
      <c r="AZ438" s="15"/>
      <c r="BA438" s="15"/>
      <c r="BB438" s="28"/>
      <c r="BC438" s="28"/>
      <c r="BD438" s="38"/>
      <c r="BE438" s="15"/>
      <c r="BF438" s="15"/>
      <c r="BG438" s="28"/>
      <c r="BH438" s="28"/>
      <c r="BI438" s="36"/>
    </row>
    <row r="439" spans="34:61" ht="15.75" customHeight="1" x14ac:dyDescent="0.25">
      <c r="AH439" s="15"/>
      <c r="AI439" s="21"/>
      <c r="AJ439" s="40"/>
      <c r="AK439" s="21"/>
      <c r="AL439" s="21"/>
      <c r="AM439" s="21"/>
      <c r="AN439" s="15"/>
      <c r="AO439" s="15"/>
      <c r="AP439" s="21"/>
      <c r="AQ439" s="21"/>
      <c r="AR439" s="15"/>
      <c r="AS439" s="21"/>
      <c r="AT439" s="15"/>
      <c r="AU439" s="15"/>
      <c r="AV439" s="15"/>
      <c r="AW439" s="15"/>
      <c r="AX439" s="15"/>
      <c r="AY439" s="15"/>
      <c r="AZ439" s="15"/>
      <c r="BA439" s="15"/>
      <c r="BB439" s="28"/>
      <c r="BC439" s="28"/>
      <c r="BD439" s="38"/>
      <c r="BE439" s="15"/>
      <c r="BF439" s="15"/>
      <c r="BG439" s="28"/>
      <c r="BH439" s="28"/>
      <c r="BI439" s="36"/>
    </row>
    <row r="440" spans="34:61" ht="15.75" customHeight="1" x14ac:dyDescent="0.25">
      <c r="AH440" s="15"/>
      <c r="AI440" s="21"/>
      <c r="AJ440" s="40"/>
      <c r="AK440" s="21"/>
      <c r="AL440" s="21"/>
      <c r="AM440" s="21"/>
      <c r="AN440" s="15"/>
      <c r="AO440" s="15"/>
      <c r="AP440" s="21"/>
      <c r="AQ440" s="21"/>
      <c r="AR440" s="15"/>
      <c r="AS440" s="21"/>
      <c r="AT440" s="15"/>
      <c r="AU440" s="15"/>
      <c r="AV440" s="15"/>
      <c r="AW440" s="15"/>
      <c r="AX440" s="15"/>
      <c r="AY440" s="15"/>
      <c r="AZ440" s="15"/>
      <c r="BA440" s="15"/>
      <c r="BB440" s="28"/>
      <c r="BC440" s="28"/>
      <c r="BD440" s="38"/>
      <c r="BE440" s="15"/>
      <c r="BF440" s="15"/>
      <c r="BG440" s="28"/>
      <c r="BH440" s="28"/>
      <c r="BI440" s="36"/>
    </row>
    <row r="441" spans="34:61" ht="15.75" customHeight="1" x14ac:dyDescent="0.25">
      <c r="AH441" s="15"/>
      <c r="AI441" s="21"/>
      <c r="AJ441" s="40"/>
      <c r="AK441" s="21"/>
      <c r="AL441" s="21"/>
      <c r="AM441" s="21"/>
      <c r="AN441" s="15"/>
      <c r="AO441" s="15"/>
      <c r="AP441" s="21"/>
      <c r="AQ441" s="21"/>
      <c r="AR441" s="15"/>
      <c r="AS441" s="21"/>
      <c r="AT441" s="15"/>
      <c r="AU441" s="15"/>
      <c r="AV441" s="15"/>
      <c r="AW441" s="15"/>
      <c r="AX441" s="15"/>
      <c r="AY441" s="15"/>
      <c r="AZ441" s="15"/>
      <c r="BA441" s="15"/>
      <c r="BB441" s="28"/>
      <c r="BC441" s="28"/>
      <c r="BD441" s="38"/>
      <c r="BE441" s="15"/>
      <c r="BF441" s="15"/>
      <c r="BG441" s="28"/>
      <c r="BH441" s="28"/>
      <c r="BI441" s="36"/>
    </row>
    <row r="442" spans="34:61" ht="15.75" customHeight="1" x14ac:dyDescent="0.25">
      <c r="AH442" s="15"/>
      <c r="AI442" s="21"/>
      <c r="AJ442" s="40"/>
      <c r="AK442" s="21"/>
      <c r="AL442" s="21"/>
      <c r="AM442" s="21"/>
      <c r="AN442" s="15"/>
      <c r="AO442" s="15"/>
      <c r="AP442" s="21"/>
      <c r="AQ442" s="21"/>
      <c r="AR442" s="15"/>
      <c r="AS442" s="21"/>
      <c r="AT442" s="15"/>
      <c r="AU442" s="15"/>
      <c r="AV442" s="15"/>
      <c r="AW442" s="15"/>
      <c r="AX442" s="15"/>
      <c r="AY442" s="15"/>
      <c r="AZ442" s="15"/>
      <c r="BA442" s="15"/>
      <c r="BB442" s="28"/>
      <c r="BC442" s="28"/>
      <c r="BD442" s="38"/>
      <c r="BE442" s="15"/>
      <c r="BF442" s="15"/>
      <c r="BG442" s="28"/>
      <c r="BH442" s="28"/>
      <c r="BI442" s="36"/>
    </row>
    <row r="443" spans="34:61" ht="15.75" customHeight="1" x14ac:dyDescent="0.25">
      <c r="AH443" s="15"/>
      <c r="AI443" s="21"/>
      <c r="AJ443" s="40"/>
      <c r="AK443" s="21"/>
      <c r="AL443" s="21"/>
      <c r="AM443" s="21"/>
      <c r="AN443" s="15"/>
      <c r="AO443" s="15"/>
      <c r="AP443" s="21"/>
      <c r="AQ443" s="21"/>
      <c r="AR443" s="15"/>
      <c r="AS443" s="21"/>
      <c r="AT443" s="15"/>
      <c r="AU443" s="15"/>
      <c r="AV443" s="15"/>
      <c r="AW443" s="15"/>
      <c r="AX443" s="15"/>
      <c r="AY443" s="15"/>
      <c r="AZ443" s="15"/>
      <c r="BA443" s="15"/>
      <c r="BB443" s="28"/>
      <c r="BC443" s="28"/>
      <c r="BD443" s="38"/>
      <c r="BE443" s="15"/>
      <c r="BF443" s="15"/>
      <c r="BG443" s="28"/>
      <c r="BH443" s="28"/>
      <c r="BI443" s="36"/>
    </row>
    <row r="444" spans="34:61" ht="15.75" customHeight="1" x14ac:dyDescent="0.25">
      <c r="AH444" s="15"/>
      <c r="AI444" s="21"/>
      <c r="AJ444" s="40"/>
      <c r="AK444" s="21"/>
      <c r="AL444" s="21"/>
      <c r="AM444" s="21"/>
      <c r="AN444" s="15"/>
      <c r="AO444" s="15"/>
      <c r="AP444" s="21"/>
      <c r="AQ444" s="21"/>
      <c r="AR444" s="15"/>
      <c r="AS444" s="21"/>
      <c r="AT444" s="15"/>
      <c r="AU444" s="15"/>
      <c r="AV444" s="15"/>
      <c r="AW444" s="15"/>
      <c r="AX444" s="15"/>
      <c r="AY444" s="15"/>
      <c r="AZ444" s="15"/>
      <c r="BA444" s="15"/>
      <c r="BB444" s="28"/>
      <c r="BC444" s="28"/>
      <c r="BD444" s="38"/>
      <c r="BE444" s="15"/>
      <c r="BF444" s="15"/>
      <c r="BG444" s="28"/>
      <c r="BH444" s="28"/>
      <c r="BI444" s="36"/>
    </row>
    <row r="445" spans="34:61" ht="15.75" customHeight="1" x14ac:dyDescent="0.25">
      <c r="AH445" s="15"/>
      <c r="AI445" s="21"/>
      <c r="AJ445" s="40"/>
      <c r="AK445" s="21"/>
      <c r="AL445" s="21"/>
      <c r="AM445" s="21"/>
      <c r="AN445" s="15"/>
      <c r="AO445" s="15"/>
      <c r="AP445" s="21"/>
      <c r="AQ445" s="21"/>
      <c r="AR445" s="15"/>
      <c r="AS445" s="21"/>
      <c r="AT445" s="15"/>
      <c r="AU445" s="15"/>
      <c r="AV445" s="15"/>
      <c r="AW445" s="15"/>
      <c r="AX445" s="15"/>
      <c r="AY445" s="15"/>
      <c r="AZ445" s="15"/>
      <c r="BA445" s="15"/>
      <c r="BB445" s="28"/>
      <c r="BC445" s="28"/>
      <c r="BD445" s="38"/>
      <c r="BE445" s="15"/>
      <c r="BF445" s="15"/>
      <c r="BG445" s="28"/>
      <c r="BH445" s="28"/>
      <c r="BI445" s="36"/>
    </row>
    <row r="446" spans="34:61" ht="15.75" customHeight="1" x14ac:dyDescent="0.25">
      <c r="AH446" s="15"/>
      <c r="AI446" s="21"/>
      <c r="AJ446" s="40"/>
      <c r="AK446" s="21"/>
      <c r="AL446" s="21"/>
      <c r="AM446" s="21"/>
      <c r="AN446" s="15"/>
      <c r="AO446" s="15"/>
      <c r="AP446" s="21"/>
      <c r="AQ446" s="21"/>
      <c r="AR446" s="15"/>
      <c r="AS446" s="21"/>
      <c r="AT446" s="15"/>
      <c r="AU446" s="15"/>
      <c r="AV446" s="15"/>
      <c r="AW446" s="15"/>
      <c r="AX446" s="15"/>
      <c r="AY446" s="15"/>
      <c r="AZ446" s="15"/>
      <c r="BA446" s="15"/>
      <c r="BB446" s="28"/>
      <c r="BC446" s="28"/>
      <c r="BD446" s="38"/>
      <c r="BE446" s="15"/>
      <c r="BF446" s="15"/>
      <c r="BG446" s="28"/>
      <c r="BH446" s="28"/>
      <c r="BI446" s="36"/>
    </row>
    <row r="447" spans="34:61" ht="15.75" customHeight="1" x14ac:dyDescent="0.25">
      <c r="AH447" s="15"/>
      <c r="AI447" s="21"/>
      <c r="AJ447" s="40"/>
      <c r="AK447" s="21"/>
      <c r="AL447" s="21"/>
      <c r="AM447" s="21"/>
      <c r="AN447" s="15"/>
      <c r="AO447" s="15"/>
      <c r="AP447" s="21"/>
      <c r="AQ447" s="21"/>
      <c r="AR447" s="15"/>
      <c r="AS447" s="21"/>
      <c r="AT447" s="15"/>
      <c r="AU447" s="15"/>
      <c r="AV447" s="15"/>
      <c r="AW447" s="15"/>
      <c r="AX447" s="15"/>
      <c r="AY447" s="15"/>
      <c r="AZ447" s="15"/>
      <c r="BA447" s="15"/>
      <c r="BB447" s="28"/>
      <c r="BC447" s="28"/>
      <c r="BD447" s="38"/>
      <c r="BE447" s="15"/>
      <c r="BF447" s="15"/>
      <c r="BG447" s="28"/>
      <c r="BH447" s="28"/>
      <c r="BI447" s="36"/>
    </row>
    <row r="448" spans="34:61" ht="15.75" customHeight="1" x14ac:dyDescent="0.25">
      <c r="AH448" s="15"/>
      <c r="AI448" s="21"/>
      <c r="AJ448" s="40"/>
      <c r="AK448" s="21"/>
      <c r="AL448" s="21"/>
      <c r="AM448" s="21"/>
      <c r="AN448" s="15"/>
      <c r="AO448" s="15"/>
      <c r="AP448" s="21"/>
      <c r="AQ448" s="21"/>
      <c r="AR448" s="15"/>
      <c r="AS448" s="21"/>
      <c r="AT448" s="15"/>
      <c r="AU448" s="15"/>
      <c r="AV448" s="15"/>
      <c r="AW448" s="15"/>
      <c r="AX448" s="15"/>
      <c r="AY448" s="15"/>
      <c r="AZ448" s="15"/>
      <c r="BA448" s="15"/>
      <c r="BB448" s="28"/>
      <c r="BC448" s="28"/>
      <c r="BD448" s="38"/>
      <c r="BE448" s="15"/>
      <c r="BF448" s="15"/>
      <c r="BG448" s="28"/>
      <c r="BH448" s="28"/>
      <c r="BI448" s="36"/>
    </row>
    <row r="449" spans="34:61" ht="15.75" customHeight="1" x14ac:dyDescent="0.25">
      <c r="AH449" s="15"/>
      <c r="AI449" s="21"/>
      <c r="AJ449" s="40"/>
      <c r="AK449" s="21"/>
      <c r="AL449" s="21"/>
      <c r="AM449" s="21"/>
      <c r="AN449" s="15"/>
      <c r="AO449" s="15"/>
      <c r="AP449" s="21"/>
      <c r="AQ449" s="21"/>
      <c r="AR449" s="15"/>
      <c r="AS449" s="21"/>
      <c r="AT449" s="15"/>
      <c r="AU449" s="15"/>
      <c r="AV449" s="15"/>
      <c r="AW449" s="15"/>
      <c r="AX449" s="15"/>
      <c r="AY449" s="15"/>
      <c r="AZ449" s="15"/>
      <c r="BA449" s="15"/>
      <c r="BB449" s="28"/>
      <c r="BC449" s="28"/>
      <c r="BD449" s="38"/>
      <c r="BE449" s="15"/>
      <c r="BF449" s="15"/>
      <c r="BG449" s="28"/>
      <c r="BH449" s="28"/>
      <c r="BI449" s="36"/>
    </row>
    <row r="450" spans="34:61" ht="15.75" customHeight="1" x14ac:dyDescent="0.25">
      <c r="AH450" s="15"/>
      <c r="AI450" s="21"/>
      <c r="AJ450" s="40"/>
      <c r="AK450" s="21"/>
      <c r="AL450" s="21"/>
      <c r="AM450" s="21"/>
      <c r="AN450" s="15"/>
      <c r="AO450" s="15"/>
      <c r="AP450" s="21"/>
      <c r="AQ450" s="21"/>
      <c r="AR450" s="15"/>
      <c r="AS450" s="21"/>
      <c r="AT450" s="15"/>
      <c r="AU450" s="15"/>
      <c r="AV450" s="15"/>
      <c r="AW450" s="15"/>
      <c r="AX450" s="15"/>
      <c r="AY450" s="15"/>
      <c r="AZ450" s="15"/>
      <c r="BA450" s="15"/>
      <c r="BB450" s="28"/>
      <c r="BC450" s="28"/>
      <c r="BD450" s="38"/>
      <c r="BE450" s="15"/>
      <c r="BF450" s="15"/>
      <c r="BG450" s="28"/>
      <c r="BH450" s="28"/>
      <c r="BI450" s="36"/>
    </row>
    <row r="451" spans="34:61" ht="15.75" customHeight="1" x14ac:dyDescent="0.25">
      <c r="AH451" s="15"/>
      <c r="AI451" s="21"/>
      <c r="AJ451" s="40"/>
      <c r="AK451" s="21"/>
      <c r="AL451" s="21"/>
      <c r="AM451" s="21"/>
      <c r="AN451" s="15"/>
      <c r="AO451" s="15"/>
      <c r="AP451" s="21"/>
      <c r="AQ451" s="21"/>
      <c r="AR451" s="15"/>
      <c r="AS451" s="21"/>
      <c r="AT451" s="15"/>
      <c r="AU451" s="15"/>
      <c r="AV451" s="15"/>
      <c r="AW451" s="15"/>
      <c r="AX451" s="15"/>
      <c r="AY451" s="15"/>
      <c r="AZ451" s="15"/>
      <c r="BA451" s="15"/>
      <c r="BB451" s="28"/>
      <c r="BC451" s="28"/>
      <c r="BD451" s="38"/>
      <c r="BE451" s="15"/>
      <c r="BF451" s="15"/>
      <c r="BG451" s="28"/>
      <c r="BH451" s="28"/>
      <c r="BI451" s="36"/>
    </row>
    <row r="452" spans="34:61" ht="15.75" customHeight="1" x14ac:dyDescent="0.25">
      <c r="AH452" s="15"/>
      <c r="AI452" s="21"/>
      <c r="AJ452" s="40"/>
      <c r="AK452" s="21"/>
      <c r="AL452" s="21"/>
      <c r="AM452" s="21"/>
      <c r="AN452" s="15"/>
      <c r="AO452" s="15"/>
      <c r="AP452" s="21"/>
      <c r="AQ452" s="21"/>
      <c r="AR452" s="15"/>
      <c r="AS452" s="21"/>
      <c r="AT452" s="15"/>
      <c r="AU452" s="15"/>
      <c r="AV452" s="15"/>
      <c r="AW452" s="15"/>
      <c r="AX452" s="15"/>
      <c r="AY452" s="15"/>
      <c r="AZ452" s="15"/>
      <c r="BA452" s="15"/>
      <c r="BB452" s="28"/>
      <c r="BC452" s="28"/>
      <c r="BD452" s="38"/>
      <c r="BE452" s="15"/>
      <c r="BF452" s="15"/>
      <c r="BG452" s="28"/>
      <c r="BH452" s="28"/>
      <c r="BI452" s="36"/>
    </row>
    <row r="453" spans="34:61" ht="15.75" customHeight="1" x14ac:dyDescent="0.25">
      <c r="AH453" s="15"/>
      <c r="AI453" s="21"/>
      <c r="AJ453" s="40"/>
      <c r="AK453" s="21"/>
      <c r="AL453" s="21"/>
      <c r="AM453" s="21"/>
      <c r="AN453" s="15"/>
      <c r="AO453" s="15"/>
      <c r="AP453" s="21"/>
      <c r="AQ453" s="21"/>
      <c r="AR453" s="15"/>
      <c r="AS453" s="21"/>
      <c r="AT453" s="15"/>
      <c r="AU453" s="15"/>
      <c r="AV453" s="15"/>
      <c r="AW453" s="15"/>
      <c r="AX453" s="15"/>
      <c r="AY453" s="15"/>
      <c r="AZ453" s="15"/>
      <c r="BA453" s="15"/>
      <c r="BB453" s="28"/>
      <c r="BC453" s="28"/>
      <c r="BD453" s="38"/>
      <c r="BE453" s="15"/>
      <c r="BF453" s="15"/>
      <c r="BG453" s="28"/>
      <c r="BH453" s="28"/>
      <c r="BI453" s="36"/>
    </row>
    <row r="454" spans="34:61" ht="15.75" customHeight="1" x14ac:dyDescent="0.25">
      <c r="AH454" s="15"/>
      <c r="AI454" s="21"/>
      <c r="AJ454" s="40"/>
      <c r="AK454" s="21"/>
      <c r="AL454" s="21"/>
      <c r="AM454" s="21"/>
      <c r="AN454" s="15"/>
      <c r="AO454" s="15"/>
      <c r="AP454" s="21"/>
      <c r="AQ454" s="21"/>
      <c r="AR454" s="15"/>
      <c r="AS454" s="21"/>
      <c r="AT454" s="15"/>
      <c r="AU454" s="15"/>
      <c r="AV454" s="15"/>
      <c r="AW454" s="15"/>
      <c r="AX454" s="15"/>
      <c r="AY454" s="15"/>
      <c r="AZ454" s="15"/>
      <c r="BA454" s="15"/>
      <c r="BB454" s="28"/>
      <c r="BC454" s="28"/>
      <c r="BD454" s="38"/>
      <c r="BE454" s="15"/>
      <c r="BF454" s="15"/>
      <c r="BG454" s="28"/>
      <c r="BH454" s="28"/>
      <c r="BI454" s="36"/>
    </row>
    <row r="455" spans="34:61" ht="15.75" customHeight="1" x14ac:dyDescent="0.25">
      <c r="AH455" s="15"/>
      <c r="AI455" s="21"/>
      <c r="AJ455" s="40"/>
      <c r="AK455" s="21"/>
      <c r="AL455" s="21"/>
      <c r="AM455" s="21"/>
      <c r="AN455" s="15"/>
      <c r="AO455" s="15"/>
      <c r="AP455" s="21"/>
      <c r="AQ455" s="21"/>
      <c r="AR455" s="15"/>
      <c r="AS455" s="21"/>
      <c r="AT455" s="15"/>
      <c r="AU455" s="15"/>
      <c r="AV455" s="15"/>
      <c r="AW455" s="15"/>
      <c r="AX455" s="15"/>
      <c r="AY455" s="15"/>
      <c r="AZ455" s="15"/>
      <c r="BA455" s="15"/>
      <c r="BB455" s="28"/>
      <c r="BC455" s="28"/>
      <c r="BD455" s="38"/>
      <c r="BE455" s="15"/>
      <c r="BF455" s="15"/>
      <c r="BG455" s="28"/>
      <c r="BH455" s="28"/>
      <c r="BI455" s="36"/>
    </row>
    <row r="456" spans="34:61" ht="15.75" customHeight="1" x14ac:dyDescent="0.25">
      <c r="AH456" s="15"/>
      <c r="AI456" s="21"/>
      <c r="AJ456" s="40"/>
      <c r="AK456" s="21"/>
      <c r="AL456" s="21"/>
      <c r="AM456" s="21"/>
      <c r="AN456" s="15"/>
      <c r="AO456" s="15"/>
      <c r="AP456" s="21"/>
      <c r="AQ456" s="21"/>
      <c r="AR456" s="15"/>
      <c r="AS456" s="21"/>
      <c r="AT456" s="15"/>
      <c r="AU456" s="15"/>
      <c r="AV456" s="15"/>
      <c r="AW456" s="15"/>
      <c r="AX456" s="15"/>
      <c r="AY456" s="15"/>
      <c r="AZ456" s="15"/>
      <c r="BA456" s="15"/>
      <c r="BB456" s="28"/>
      <c r="BC456" s="28"/>
      <c r="BD456" s="38"/>
      <c r="BE456" s="15"/>
      <c r="BF456" s="15"/>
      <c r="BG456" s="28"/>
      <c r="BH456" s="28"/>
      <c r="BI456" s="36"/>
    </row>
    <row r="457" spans="34:61" ht="15.75" customHeight="1" x14ac:dyDescent="0.25">
      <c r="AH457" s="15"/>
      <c r="AI457" s="21"/>
      <c r="AJ457" s="40"/>
      <c r="AK457" s="21"/>
      <c r="AL457" s="21"/>
      <c r="AM457" s="21"/>
      <c r="AN457" s="15"/>
      <c r="AO457" s="15"/>
      <c r="AP457" s="21"/>
      <c r="AQ457" s="21"/>
      <c r="AR457" s="15"/>
      <c r="AS457" s="21"/>
      <c r="AT457" s="15"/>
      <c r="AU457" s="15"/>
      <c r="AV457" s="15"/>
      <c r="AW457" s="15"/>
      <c r="AX457" s="15"/>
      <c r="AY457" s="15"/>
      <c r="AZ457" s="15"/>
      <c r="BA457" s="15"/>
      <c r="BB457" s="28"/>
      <c r="BC457" s="28"/>
      <c r="BD457" s="38"/>
      <c r="BE457" s="15"/>
      <c r="BF457" s="15"/>
      <c r="BG457" s="28"/>
      <c r="BH457" s="28"/>
      <c r="BI457" s="36"/>
    </row>
    <row r="458" spans="34:61" ht="15.75" customHeight="1" x14ac:dyDescent="0.25">
      <c r="AH458" s="15"/>
      <c r="AI458" s="21"/>
      <c r="AJ458" s="40"/>
      <c r="AK458" s="21"/>
      <c r="AL458" s="21"/>
      <c r="AM458" s="21"/>
      <c r="AN458" s="15"/>
      <c r="AO458" s="15"/>
      <c r="AP458" s="21"/>
      <c r="AQ458" s="21"/>
      <c r="AR458" s="15"/>
      <c r="AS458" s="21"/>
      <c r="AT458" s="15"/>
      <c r="AU458" s="15"/>
      <c r="AV458" s="15"/>
      <c r="AW458" s="15"/>
      <c r="AX458" s="15"/>
      <c r="AY458" s="15"/>
      <c r="AZ458" s="15"/>
      <c r="BA458" s="15"/>
      <c r="BB458" s="28"/>
      <c r="BC458" s="28"/>
      <c r="BD458" s="38"/>
      <c r="BE458" s="15"/>
      <c r="BF458" s="15"/>
      <c r="BG458" s="28"/>
      <c r="BH458" s="28"/>
      <c r="BI458" s="36"/>
    </row>
    <row r="459" spans="34:61" ht="15.75" customHeight="1" x14ac:dyDescent="0.25">
      <c r="AH459" s="15"/>
      <c r="AI459" s="21"/>
      <c r="AJ459" s="40"/>
      <c r="AK459" s="21"/>
      <c r="AL459" s="21"/>
      <c r="AM459" s="21"/>
      <c r="AN459" s="15"/>
      <c r="AO459" s="15"/>
      <c r="AP459" s="21"/>
      <c r="AQ459" s="21"/>
      <c r="AR459" s="15"/>
      <c r="AS459" s="21"/>
      <c r="AT459" s="15"/>
      <c r="AU459" s="15"/>
      <c r="AV459" s="15"/>
      <c r="AW459" s="15"/>
      <c r="AX459" s="15"/>
      <c r="AY459" s="15"/>
      <c r="AZ459" s="15"/>
      <c r="BA459" s="15"/>
      <c r="BB459" s="28"/>
      <c r="BC459" s="28"/>
      <c r="BD459" s="38"/>
      <c r="BE459" s="15"/>
      <c r="BF459" s="15"/>
      <c r="BG459" s="28"/>
      <c r="BH459" s="28"/>
      <c r="BI459" s="36"/>
    </row>
    <row r="460" spans="34:61" ht="15.75" customHeight="1" x14ac:dyDescent="0.25">
      <c r="AH460" s="15"/>
      <c r="AI460" s="21"/>
      <c r="AJ460" s="40"/>
      <c r="AK460" s="21"/>
      <c r="AL460" s="21"/>
      <c r="AM460" s="21"/>
      <c r="AN460" s="15"/>
      <c r="AO460" s="15"/>
      <c r="AP460" s="21"/>
      <c r="AQ460" s="21"/>
      <c r="AR460" s="15"/>
      <c r="AS460" s="21"/>
      <c r="AT460" s="15"/>
      <c r="AU460" s="15"/>
      <c r="AV460" s="15"/>
      <c r="AW460" s="15"/>
      <c r="AX460" s="15"/>
      <c r="AY460" s="15"/>
      <c r="AZ460" s="15"/>
      <c r="BA460" s="15"/>
      <c r="BB460" s="28"/>
      <c r="BC460" s="28"/>
      <c r="BD460" s="38"/>
      <c r="BE460" s="15"/>
      <c r="BF460" s="15"/>
      <c r="BG460" s="28"/>
      <c r="BH460" s="28"/>
      <c r="BI460" s="36"/>
    </row>
    <row r="461" spans="34:61" ht="15.75" customHeight="1" x14ac:dyDescent="0.25">
      <c r="AH461" s="15"/>
      <c r="AI461" s="21"/>
      <c r="AJ461" s="40"/>
      <c r="AK461" s="21"/>
      <c r="AL461" s="21"/>
      <c r="AM461" s="21"/>
      <c r="AN461" s="15"/>
      <c r="AO461" s="15"/>
      <c r="AP461" s="21"/>
      <c r="AQ461" s="21"/>
      <c r="AR461" s="15"/>
      <c r="AS461" s="21"/>
      <c r="AT461" s="15"/>
      <c r="AU461" s="15"/>
      <c r="AV461" s="15"/>
      <c r="AW461" s="15"/>
      <c r="AX461" s="15"/>
      <c r="AY461" s="15"/>
      <c r="AZ461" s="15"/>
      <c r="BA461" s="15"/>
      <c r="BB461" s="28"/>
      <c r="BC461" s="28"/>
      <c r="BD461" s="38"/>
      <c r="BE461" s="15"/>
      <c r="BF461" s="15"/>
      <c r="BG461" s="28"/>
      <c r="BH461" s="28"/>
      <c r="BI461" s="36"/>
    </row>
    <row r="462" spans="34:61" ht="15.75" customHeight="1" x14ac:dyDescent="0.25">
      <c r="AH462" s="15"/>
      <c r="AI462" s="21"/>
      <c r="AJ462" s="40"/>
      <c r="AK462" s="21"/>
      <c r="AL462" s="21"/>
      <c r="AM462" s="21"/>
      <c r="AN462" s="15"/>
      <c r="AO462" s="15"/>
      <c r="AP462" s="21"/>
      <c r="AQ462" s="21"/>
      <c r="AR462" s="15"/>
      <c r="AS462" s="21"/>
      <c r="AT462" s="15"/>
      <c r="AU462" s="15"/>
      <c r="AV462" s="15"/>
      <c r="AW462" s="15"/>
      <c r="AX462" s="15"/>
      <c r="AY462" s="15"/>
      <c r="AZ462" s="15"/>
      <c r="BA462" s="15"/>
      <c r="BB462" s="28"/>
      <c r="BC462" s="28"/>
      <c r="BD462" s="38"/>
      <c r="BE462" s="15"/>
      <c r="BF462" s="15"/>
      <c r="BG462" s="28"/>
      <c r="BH462" s="28"/>
      <c r="BI462" s="36"/>
    </row>
    <row r="463" spans="34:61" ht="15.75" customHeight="1" x14ac:dyDescent="0.25">
      <c r="AH463" s="15"/>
      <c r="AI463" s="21"/>
      <c r="AJ463" s="40"/>
      <c r="AK463" s="21"/>
      <c r="AL463" s="21"/>
      <c r="AM463" s="21"/>
      <c r="AN463" s="15"/>
      <c r="AO463" s="15"/>
      <c r="AP463" s="21"/>
      <c r="AQ463" s="21"/>
      <c r="AR463" s="15"/>
      <c r="AS463" s="21"/>
      <c r="AT463" s="15"/>
      <c r="AU463" s="15"/>
      <c r="AV463" s="15"/>
      <c r="AW463" s="15"/>
      <c r="AX463" s="15"/>
      <c r="AY463" s="15"/>
      <c r="AZ463" s="15"/>
      <c r="BA463" s="15"/>
      <c r="BB463" s="28"/>
      <c r="BC463" s="28"/>
      <c r="BD463" s="38"/>
      <c r="BE463" s="15"/>
      <c r="BF463" s="15"/>
      <c r="BG463" s="28"/>
      <c r="BH463" s="28"/>
      <c r="BI463" s="36"/>
    </row>
    <row r="464" spans="34:61" ht="15.75" customHeight="1" x14ac:dyDescent="0.25">
      <c r="AH464" s="15"/>
      <c r="AI464" s="21"/>
      <c r="AJ464" s="40"/>
      <c r="AK464" s="21"/>
      <c r="AL464" s="21"/>
      <c r="AM464" s="21"/>
      <c r="AN464" s="15"/>
      <c r="AO464" s="15"/>
      <c r="AP464" s="21"/>
      <c r="AQ464" s="21"/>
      <c r="AR464" s="15"/>
      <c r="AS464" s="21"/>
      <c r="AT464" s="15"/>
      <c r="AU464" s="15"/>
      <c r="AV464" s="15"/>
      <c r="AW464" s="15"/>
      <c r="AX464" s="15"/>
      <c r="AY464" s="15"/>
      <c r="AZ464" s="15"/>
      <c r="BA464" s="15"/>
      <c r="BB464" s="28"/>
      <c r="BC464" s="28"/>
      <c r="BD464" s="38"/>
      <c r="BE464" s="15"/>
      <c r="BF464" s="15"/>
      <c r="BG464" s="28"/>
      <c r="BH464" s="28"/>
      <c r="BI464" s="36"/>
    </row>
    <row r="465" spans="34:61" ht="15.75" customHeight="1" x14ac:dyDescent="0.25">
      <c r="AH465" s="15"/>
      <c r="AI465" s="21"/>
      <c r="AJ465" s="40"/>
      <c r="AK465" s="21"/>
      <c r="AL465" s="21"/>
      <c r="AM465" s="21"/>
      <c r="AN465" s="15"/>
      <c r="AO465" s="15"/>
      <c r="AP465" s="21"/>
      <c r="AQ465" s="21"/>
      <c r="AR465" s="15"/>
      <c r="AS465" s="21"/>
      <c r="AT465" s="15"/>
      <c r="AU465" s="15"/>
      <c r="AV465" s="15"/>
      <c r="AW465" s="15"/>
      <c r="AX465" s="15"/>
      <c r="AY465" s="15"/>
      <c r="AZ465" s="15"/>
      <c r="BA465" s="15"/>
      <c r="BB465" s="28"/>
      <c r="BC465" s="28"/>
      <c r="BD465" s="38"/>
      <c r="BE465" s="15"/>
      <c r="BF465" s="15"/>
      <c r="BG465" s="28"/>
      <c r="BH465" s="28"/>
      <c r="BI465" s="36"/>
    </row>
    <row r="466" spans="34:61" ht="15.75" customHeight="1" x14ac:dyDescent="0.25">
      <c r="AH466" s="15"/>
      <c r="AI466" s="21"/>
      <c r="AJ466" s="40"/>
      <c r="AK466" s="21"/>
      <c r="AL466" s="21"/>
      <c r="AM466" s="21"/>
      <c r="AN466" s="15"/>
      <c r="AO466" s="15"/>
      <c r="AP466" s="21"/>
      <c r="AQ466" s="21"/>
      <c r="AR466" s="15"/>
      <c r="AS466" s="21"/>
      <c r="AT466" s="15"/>
      <c r="AU466" s="15"/>
      <c r="AV466" s="15"/>
      <c r="AW466" s="15"/>
      <c r="AX466" s="15"/>
      <c r="AY466" s="15"/>
      <c r="AZ466" s="15"/>
      <c r="BA466" s="15"/>
      <c r="BB466" s="28"/>
      <c r="BC466" s="28"/>
      <c r="BD466" s="38"/>
      <c r="BE466" s="15"/>
      <c r="BF466" s="15"/>
      <c r="BG466" s="28"/>
      <c r="BH466" s="28"/>
      <c r="BI466" s="36"/>
    </row>
    <row r="467" spans="34:61" ht="15.75" customHeight="1" x14ac:dyDescent="0.25">
      <c r="AH467" s="15"/>
      <c r="AI467" s="21"/>
      <c r="AJ467" s="40"/>
      <c r="AK467" s="21"/>
      <c r="AL467" s="21"/>
      <c r="AM467" s="21"/>
      <c r="AN467" s="15"/>
      <c r="AO467" s="15"/>
      <c r="AP467" s="21"/>
      <c r="AQ467" s="21"/>
      <c r="AR467" s="15"/>
      <c r="AS467" s="21"/>
      <c r="AT467" s="15"/>
      <c r="AU467" s="15"/>
      <c r="AV467" s="15"/>
      <c r="AW467" s="15"/>
      <c r="AX467" s="15"/>
      <c r="AY467" s="15"/>
      <c r="AZ467" s="15"/>
      <c r="BA467" s="15"/>
      <c r="BB467" s="28"/>
      <c r="BC467" s="28"/>
      <c r="BD467" s="38"/>
      <c r="BE467" s="15"/>
      <c r="BF467" s="15"/>
      <c r="BG467" s="28"/>
      <c r="BH467" s="28"/>
      <c r="BI467" s="36"/>
    </row>
    <row r="468" spans="34:61" ht="15.75" customHeight="1" x14ac:dyDescent="0.25">
      <c r="AH468" s="15"/>
      <c r="AI468" s="21"/>
      <c r="AJ468" s="40"/>
      <c r="AK468" s="21"/>
      <c r="AL468" s="21"/>
      <c r="AM468" s="21"/>
      <c r="AN468" s="15"/>
      <c r="AO468" s="15"/>
      <c r="AP468" s="21"/>
      <c r="AQ468" s="21"/>
      <c r="AR468" s="15"/>
      <c r="AS468" s="21"/>
      <c r="AT468" s="15"/>
      <c r="AU468" s="15"/>
      <c r="AV468" s="15"/>
      <c r="AW468" s="15"/>
      <c r="AX468" s="15"/>
      <c r="AY468" s="15"/>
      <c r="AZ468" s="15"/>
      <c r="BA468" s="15"/>
      <c r="BB468" s="28"/>
      <c r="BC468" s="28"/>
      <c r="BD468" s="38"/>
      <c r="BE468" s="15"/>
      <c r="BF468" s="15"/>
      <c r="BG468" s="28"/>
      <c r="BH468" s="28"/>
      <c r="BI468" s="36"/>
    </row>
    <row r="469" spans="34:61" ht="15.75" customHeight="1" x14ac:dyDescent="0.25">
      <c r="AH469" s="15"/>
      <c r="AI469" s="21"/>
      <c r="AJ469" s="40"/>
      <c r="AK469" s="21"/>
      <c r="AL469" s="21"/>
      <c r="AM469" s="21"/>
      <c r="AN469" s="15"/>
      <c r="AO469" s="15"/>
      <c r="AP469" s="21"/>
      <c r="AQ469" s="21"/>
      <c r="AR469" s="15"/>
      <c r="AS469" s="21"/>
      <c r="AT469" s="15"/>
      <c r="AU469" s="15"/>
      <c r="AV469" s="15"/>
      <c r="AW469" s="15"/>
      <c r="AX469" s="15"/>
      <c r="AY469" s="15"/>
      <c r="AZ469" s="15"/>
      <c r="BA469" s="15"/>
      <c r="BB469" s="28"/>
      <c r="BC469" s="28"/>
      <c r="BD469" s="38"/>
      <c r="BE469" s="15"/>
      <c r="BF469" s="15"/>
      <c r="BG469" s="28"/>
      <c r="BH469" s="28"/>
      <c r="BI469" s="36"/>
    </row>
    <row r="470" spans="34:61" ht="15.75" customHeight="1" x14ac:dyDescent="0.25">
      <c r="AH470" s="15"/>
      <c r="AI470" s="21"/>
      <c r="AJ470" s="40"/>
      <c r="AK470" s="21"/>
      <c r="AL470" s="21"/>
      <c r="AM470" s="21"/>
      <c r="AN470" s="15"/>
      <c r="AO470" s="15"/>
      <c r="AP470" s="21"/>
      <c r="AQ470" s="21"/>
      <c r="AR470" s="15"/>
      <c r="AS470" s="21"/>
      <c r="AT470" s="15"/>
      <c r="AU470" s="15"/>
      <c r="AV470" s="15"/>
      <c r="AW470" s="15"/>
      <c r="AX470" s="15"/>
      <c r="AY470" s="15"/>
      <c r="AZ470" s="15"/>
      <c r="BA470" s="15"/>
      <c r="BB470" s="28"/>
      <c r="BC470" s="28"/>
      <c r="BD470" s="38"/>
      <c r="BE470" s="15"/>
      <c r="BF470" s="15"/>
      <c r="BG470" s="28"/>
      <c r="BH470" s="28"/>
      <c r="BI470" s="36"/>
    </row>
    <row r="471" spans="34:61" ht="15.75" customHeight="1" x14ac:dyDescent="0.25">
      <c r="AH471" s="15"/>
      <c r="AI471" s="21"/>
      <c r="AJ471" s="40"/>
      <c r="AK471" s="21"/>
      <c r="AL471" s="21"/>
      <c r="AM471" s="21"/>
      <c r="AN471" s="15"/>
      <c r="AO471" s="15"/>
      <c r="AP471" s="21"/>
      <c r="AQ471" s="21"/>
      <c r="AR471" s="15"/>
      <c r="AS471" s="21"/>
      <c r="AT471" s="15"/>
      <c r="AU471" s="15"/>
      <c r="AV471" s="15"/>
      <c r="AW471" s="15"/>
      <c r="AX471" s="15"/>
      <c r="AY471" s="15"/>
      <c r="AZ471" s="15"/>
      <c r="BA471" s="15"/>
      <c r="BB471" s="28"/>
      <c r="BC471" s="28"/>
      <c r="BD471" s="38"/>
      <c r="BE471" s="15"/>
      <c r="BF471" s="15"/>
      <c r="BG471" s="28"/>
      <c r="BH471" s="28"/>
      <c r="BI471" s="36"/>
    </row>
    <row r="472" spans="34:61" ht="15.75" customHeight="1" x14ac:dyDescent="0.25">
      <c r="AH472" s="15"/>
      <c r="AI472" s="21"/>
      <c r="AJ472" s="40"/>
      <c r="AK472" s="21"/>
      <c r="AL472" s="21"/>
      <c r="AM472" s="21"/>
      <c r="AN472" s="15"/>
      <c r="AO472" s="15"/>
      <c r="AP472" s="21"/>
      <c r="AQ472" s="21"/>
      <c r="AR472" s="15"/>
      <c r="AS472" s="21"/>
      <c r="AT472" s="15"/>
      <c r="AU472" s="15"/>
      <c r="AV472" s="15"/>
      <c r="AW472" s="15"/>
      <c r="AX472" s="15"/>
      <c r="AY472" s="15"/>
      <c r="AZ472" s="15"/>
      <c r="BA472" s="15"/>
      <c r="BB472" s="28"/>
      <c r="BC472" s="28"/>
      <c r="BD472" s="38"/>
      <c r="BE472" s="15"/>
      <c r="BF472" s="15"/>
      <c r="BG472" s="28"/>
      <c r="BH472" s="28"/>
      <c r="BI472" s="36"/>
    </row>
    <row r="473" spans="34:61" ht="15.75" customHeight="1" x14ac:dyDescent="0.25">
      <c r="AH473" s="15"/>
      <c r="AI473" s="21"/>
      <c r="AJ473" s="40"/>
      <c r="AK473" s="21"/>
      <c r="AL473" s="21"/>
      <c r="AM473" s="21"/>
      <c r="AN473" s="15"/>
      <c r="AO473" s="15"/>
      <c r="AP473" s="21"/>
      <c r="AQ473" s="21"/>
      <c r="AR473" s="15"/>
      <c r="AS473" s="21"/>
      <c r="AT473" s="15"/>
      <c r="AU473" s="15"/>
      <c r="AV473" s="15"/>
      <c r="AW473" s="15"/>
      <c r="AX473" s="15"/>
      <c r="AY473" s="15"/>
      <c r="AZ473" s="15"/>
      <c r="BA473" s="15"/>
      <c r="BB473" s="28"/>
      <c r="BC473" s="28"/>
      <c r="BD473" s="38"/>
      <c r="BE473" s="15"/>
      <c r="BF473" s="15"/>
      <c r="BG473" s="28"/>
      <c r="BH473" s="28"/>
      <c r="BI473" s="36"/>
    </row>
    <row r="474" spans="34:61" ht="15.75" customHeight="1" x14ac:dyDescent="0.25">
      <c r="AH474" s="15"/>
      <c r="AI474" s="21"/>
      <c r="AJ474" s="40"/>
      <c r="AK474" s="21"/>
      <c r="AL474" s="21"/>
      <c r="AM474" s="21"/>
      <c r="AN474" s="15"/>
      <c r="AO474" s="15"/>
      <c r="AP474" s="21"/>
      <c r="AQ474" s="21"/>
      <c r="AR474" s="15"/>
      <c r="AS474" s="21"/>
      <c r="AT474" s="15"/>
      <c r="AU474" s="15"/>
      <c r="AV474" s="15"/>
      <c r="AW474" s="15"/>
      <c r="AX474" s="15"/>
      <c r="AY474" s="15"/>
      <c r="AZ474" s="15"/>
      <c r="BA474" s="15"/>
      <c r="BB474" s="28"/>
      <c r="BC474" s="28"/>
      <c r="BD474" s="38"/>
      <c r="BE474" s="15"/>
      <c r="BF474" s="15"/>
      <c r="BG474" s="28"/>
      <c r="BH474" s="28"/>
      <c r="BI474" s="36"/>
    </row>
    <row r="475" spans="34:61" ht="15.75" customHeight="1" x14ac:dyDescent="0.25">
      <c r="AH475" s="15"/>
      <c r="AI475" s="21"/>
      <c r="AJ475" s="40"/>
      <c r="AK475" s="21"/>
      <c r="AL475" s="21"/>
      <c r="AM475" s="21"/>
      <c r="AN475" s="15"/>
      <c r="AO475" s="15"/>
      <c r="AP475" s="21"/>
      <c r="AQ475" s="21"/>
      <c r="AR475" s="15"/>
      <c r="AS475" s="21"/>
      <c r="AT475" s="15"/>
      <c r="AU475" s="15"/>
      <c r="AV475" s="15"/>
      <c r="AW475" s="15"/>
      <c r="AX475" s="15"/>
      <c r="AY475" s="15"/>
      <c r="AZ475" s="15"/>
      <c r="BA475" s="15"/>
      <c r="BB475" s="28"/>
      <c r="BC475" s="28"/>
      <c r="BD475" s="38"/>
      <c r="BE475" s="15"/>
      <c r="BF475" s="15"/>
      <c r="BG475" s="28"/>
      <c r="BH475" s="28"/>
      <c r="BI475" s="36"/>
    </row>
    <row r="476" spans="34:61" ht="15.75" customHeight="1" x14ac:dyDescent="0.25">
      <c r="AH476" s="15"/>
      <c r="AI476" s="21"/>
      <c r="AJ476" s="40"/>
      <c r="AK476" s="21"/>
      <c r="AL476" s="21"/>
      <c r="AM476" s="21"/>
      <c r="AN476" s="15"/>
      <c r="AO476" s="15"/>
      <c r="AP476" s="21"/>
      <c r="AQ476" s="21"/>
      <c r="AR476" s="15"/>
      <c r="AS476" s="21"/>
      <c r="AT476" s="15"/>
      <c r="AU476" s="15"/>
      <c r="AV476" s="15"/>
      <c r="AW476" s="15"/>
      <c r="AX476" s="15"/>
      <c r="AY476" s="15"/>
      <c r="AZ476" s="15"/>
      <c r="BA476" s="15"/>
      <c r="BB476" s="28"/>
      <c r="BC476" s="28"/>
      <c r="BD476" s="38"/>
      <c r="BE476" s="15"/>
      <c r="BF476" s="15"/>
      <c r="BG476" s="28"/>
      <c r="BH476" s="28"/>
      <c r="BI476" s="36"/>
    </row>
    <row r="477" spans="34:61" ht="15.75" customHeight="1" x14ac:dyDescent="0.25">
      <c r="AH477" s="15"/>
      <c r="AI477" s="21"/>
      <c r="AJ477" s="40"/>
      <c r="AK477" s="21"/>
      <c r="AL477" s="21"/>
      <c r="AM477" s="21"/>
      <c r="AN477" s="15"/>
      <c r="AO477" s="15"/>
      <c r="AP477" s="21"/>
      <c r="AQ477" s="21"/>
      <c r="AR477" s="15"/>
      <c r="AS477" s="21"/>
      <c r="AT477" s="15"/>
      <c r="AU477" s="15"/>
      <c r="AV477" s="15"/>
      <c r="AW477" s="15"/>
      <c r="AX477" s="15"/>
      <c r="AY477" s="15"/>
      <c r="AZ477" s="15"/>
      <c r="BA477" s="15"/>
      <c r="BB477" s="28"/>
      <c r="BC477" s="28"/>
      <c r="BD477" s="38"/>
      <c r="BE477" s="15"/>
      <c r="BF477" s="15"/>
      <c r="BG477" s="28"/>
      <c r="BH477" s="28"/>
      <c r="BI477" s="36"/>
    </row>
    <row r="478" spans="34:61" ht="15.75" customHeight="1" x14ac:dyDescent="0.25">
      <c r="AH478" s="15"/>
      <c r="AI478" s="21"/>
      <c r="AJ478" s="40"/>
      <c r="AK478" s="21"/>
      <c r="AL478" s="21"/>
      <c r="AM478" s="21"/>
      <c r="AN478" s="15"/>
      <c r="AO478" s="15"/>
      <c r="AP478" s="21"/>
      <c r="AQ478" s="21"/>
      <c r="AR478" s="15"/>
      <c r="AS478" s="21"/>
      <c r="AT478" s="15"/>
      <c r="AU478" s="15"/>
      <c r="AV478" s="15"/>
      <c r="AW478" s="15"/>
      <c r="AX478" s="15"/>
      <c r="AY478" s="15"/>
      <c r="AZ478" s="15"/>
      <c r="BA478" s="15"/>
      <c r="BB478" s="28"/>
      <c r="BC478" s="28"/>
      <c r="BD478" s="38"/>
      <c r="BE478" s="15"/>
      <c r="BF478" s="15"/>
      <c r="BG478" s="28"/>
      <c r="BH478" s="28"/>
      <c r="BI478" s="36"/>
    </row>
    <row r="479" spans="34:61" ht="15.75" customHeight="1" x14ac:dyDescent="0.25">
      <c r="AH479" s="15"/>
      <c r="AI479" s="21"/>
      <c r="AJ479" s="40"/>
      <c r="AK479" s="21"/>
      <c r="AL479" s="21"/>
      <c r="AM479" s="21"/>
      <c r="AN479" s="15"/>
      <c r="AO479" s="15"/>
      <c r="AP479" s="21"/>
      <c r="AQ479" s="21"/>
      <c r="AR479" s="15"/>
      <c r="AS479" s="21"/>
      <c r="AT479" s="15"/>
      <c r="AU479" s="15"/>
      <c r="AV479" s="15"/>
      <c r="AW479" s="15"/>
      <c r="AX479" s="15"/>
      <c r="AY479" s="15"/>
      <c r="AZ479" s="15"/>
      <c r="BA479" s="15"/>
      <c r="BB479" s="28"/>
      <c r="BC479" s="28"/>
      <c r="BD479" s="38"/>
      <c r="BE479" s="15"/>
      <c r="BF479" s="15"/>
      <c r="BG479" s="28"/>
      <c r="BH479" s="28"/>
      <c r="BI479" s="36"/>
    </row>
    <row r="480" spans="34:61" ht="15.75" customHeight="1" x14ac:dyDescent="0.25">
      <c r="AH480" s="15"/>
      <c r="AI480" s="21"/>
      <c r="AJ480" s="40"/>
      <c r="AK480" s="21"/>
      <c r="AL480" s="21"/>
      <c r="AM480" s="21"/>
      <c r="AN480" s="15"/>
      <c r="AO480" s="15"/>
      <c r="AP480" s="21"/>
      <c r="AQ480" s="21"/>
      <c r="AR480" s="15"/>
      <c r="AS480" s="21"/>
      <c r="AT480" s="15"/>
      <c r="AU480" s="15"/>
      <c r="AV480" s="15"/>
      <c r="AW480" s="15"/>
      <c r="AX480" s="15"/>
      <c r="AY480" s="15"/>
      <c r="AZ480" s="15"/>
      <c r="BA480" s="15"/>
      <c r="BB480" s="28"/>
      <c r="BC480" s="28"/>
      <c r="BD480" s="38"/>
      <c r="BE480" s="15"/>
      <c r="BF480" s="15"/>
      <c r="BG480" s="28"/>
      <c r="BH480" s="28"/>
      <c r="BI480" s="36"/>
    </row>
    <row r="481" spans="34:61" ht="15.75" customHeight="1" x14ac:dyDescent="0.25">
      <c r="AH481" s="15"/>
      <c r="AI481" s="21"/>
      <c r="AJ481" s="40"/>
      <c r="AK481" s="21"/>
      <c r="AL481" s="21"/>
      <c r="AM481" s="21"/>
      <c r="AN481" s="15"/>
      <c r="AO481" s="15"/>
      <c r="AP481" s="21"/>
      <c r="AQ481" s="21"/>
      <c r="AR481" s="15"/>
      <c r="AS481" s="21"/>
      <c r="AT481" s="15"/>
      <c r="AU481" s="15"/>
      <c r="AV481" s="15"/>
      <c r="AW481" s="15"/>
      <c r="AX481" s="15"/>
      <c r="AY481" s="15"/>
      <c r="AZ481" s="15"/>
      <c r="BA481" s="15"/>
      <c r="BB481" s="28"/>
      <c r="BC481" s="28"/>
      <c r="BD481" s="38"/>
      <c r="BE481" s="15"/>
      <c r="BF481" s="15"/>
      <c r="BG481" s="28"/>
      <c r="BH481" s="28"/>
      <c r="BI481" s="36"/>
    </row>
    <row r="482" spans="34:61" ht="15.75" customHeight="1" x14ac:dyDescent="0.25">
      <c r="AH482" s="15"/>
      <c r="AI482" s="21"/>
      <c r="AJ482" s="40"/>
      <c r="AK482" s="21"/>
      <c r="AL482" s="21"/>
      <c r="AM482" s="21"/>
      <c r="AN482" s="15"/>
      <c r="AO482" s="15"/>
      <c r="AP482" s="21"/>
      <c r="AQ482" s="21"/>
      <c r="AR482" s="15"/>
      <c r="AS482" s="21"/>
      <c r="AT482" s="15"/>
      <c r="AU482" s="15"/>
      <c r="AV482" s="15"/>
      <c r="AW482" s="15"/>
      <c r="AX482" s="15"/>
      <c r="AY482" s="15"/>
      <c r="AZ482" s="15"/>
      <c r="BA482" s="15"/>
      <c r="BB482" s="28"/>
      <c r="BC482" s="28"/>
      <c r="BD482" s="38"/>
      <c r="BE482" s="15"/>
      <c r="BF482" s="15"/>
      <c r="BG482" s="28"/>
      <c r="BH482" s="28"/>
      <c r="BI482" s="36"/>
    </row>
    <row r="483" spans="34:61" ht="15.75" customHeight="1" x14ac:dyDescent="0.25">
      <c r="AH483" s="15"/>
      <c r="AI483" s="21"/>
      <c r="AJ483" s="40"/>
      <c r="AK483" s="21"/>
      <c r="AL483" s="21"/>
      <c r="AM483" s="21"/>
      <c r="AN483" s="15"/>
      <c r="AO483" s="15"/>
      <c r="AP483" s="21"/>
      <c r="AQ483" s="21"/>
      <c r="AR483" s="15"/>
      <c r="AS483" s="21"/>
      <c r="AT483" s="15"/>
      <c r="AU483" s="15"/>
      <c r="AV483" s="15"/>
      <c r="AW483" s="15"/>
      <c r="AX483" s="15"/>
      <c r="AY483" s="15"/>
      <c r="AZ483" s="15"/>
      <c r="BA483" s="15"/>
      <c r="BB483" s="28"/>
      <c r="BC483" s="28"/>
      <c r="BD483" s="38"/>
      <c r="BE483" s="15"/>
      <c r="BF483" s="15"/>
      <c r="BG483" s="28"/>
      <c r="BH483" s="28"/>
      <c r="BI483" s="36"/>
    </row>
    <row r="484" spans="34:61" ht="15.75" customHeight="1" x14ac:dyDescent="0.25">
      <c r="AH484" s="15"/>
      <c r="AI484" s="21"/>
      <c r="AJ484" s="40"/>
      <c r="AK484" s="21"/>
      <c r="AL484" s="21"/>
      <c r="AM484" s="21"/>
      <c r="AN484" s="15"/>
      <c r="AO484" s="15"/>
      <c r="AP484" s="21"/>
      <c r="AQ484" s="21"/>
      <c r="AR484" s="15"/>
      <c r="AS484" s="21"/>
      <c r="AT484" s="15"/>
      <c r="AU484" s="15"/>
      <c r="AV484" s="15"/>
      <c r="AW484" s="15"/>
      <c r="AX484" s="15"/>
      <c r="AY484" s="15"/>
      <c r="AZ484" s="15"/>
      <c r="BA484" s="15"/>
      <c r="BB484" s="28"/>
      <c r="BC484" s="28"/>
      <c r="BD484" s="38"/>
      <c r="BE484" s="15"/>
      <c r="BF484" s="15"/>
      <c r="BG484" s="28"/>
      <c r="BH484" s="28"/>
      <c r="BI484" s="36"/>
    </row>
    <row r="485" spans="34:61" ht="15.75" customHeight="1" x14ac:dyDescent="0.25">
      <c r="AH485" s="15"/>
      <c r="AI485" s="21"/>
      <c r="AJ485" s="40"/>
      <c r="AK485" s="21"/>
      <c r="AL485" s="21"/>
      <c r="AM485" s="21"/>
      <c r="AN485" s="15"/>
      <c r="AO485" s="15"/>
      <c r="AP485" s="21"/>
      <c r="AQ485" s="21"/>
      <c r="AR485" s="15"/>
      <c r="AS485" s="21"/>
      <c r="AT485" s="15"/>
      <c r="AU485" s="15"/>
      <c r="AV485" s="15"/>
      <c r="AW485" s="15"/>
      <c r="AX485" s="15"/>
      <c r="AY485" s="15"/>
      <c r="AZ485" s="15"/>
      <c r="BA485" s="15"/>
      <c r="BB485" s="28"/>
      <c r="BC485" s="28"/>
      <c r="BD485" s="38"/>
      <c r="BE485" s="15"/>
      <c r="BF485" s="15"/>
      <c r="BG485" s="28"/>
      <c r="BH485" s="28"/>
      <c r="BI485" s="36"/>
    </row>
    <row r="486" spans="34:61" ht="15.75" customHeight="1" x14ac:dyDescent="0.25">
      <c r="AH486" s="15"/>
      <c r="AI486" s="21"/>
      <c r="AJ486" s="40"/>
      <c r="AK486" s="21"/>
      <c r="AL486" s="21"/>
      <c r="AM486" s="21"/>
      <c r="AN486" s="15"/>
      <c r="AO486" s="15"/>
      <c r="AP486" s="21"/>
      <c r="AQ486" s="21"/>
      <c r="AR486" s="15"/>
      <c r="AS486" s="21"/>
      <c r="AT486" s="15"/>
      <c r="AU486" s="15"/>
      <c r="AV486" s="15"/>
      <c r="AW486" s="15"/>
      <c r="AX486" s="15"/>
      <c r="AY486" s="15"/>
      <c r="AZ486" s="15"/>
      <c r="BA486" s="15"/>
      <c r="BB486" s="28"/>
      <c r="BC486" s="28"/>
      <c r="BD486" s="38"/>
      <c r="BE486" s="15"/>
      <c r="BF486" s="15"/>
      <c r="BG486" s="28"/>
      <c r="BH486" s="28"/>
      <c r="BI486" s="36"/>
    </row>
    <row r="487" spans="34:61" ht="15.75" customHeight="1" x14ac:dyDescent="0.25">
      <c r="AH487" s="15"/>
      <c r="AI487" s="21"/>
      <c r="AJ487" s="40"/>
      <c r="AK487" s="21"/>
      <c r="AL487" s="21"/>
      <c r="AM487" s="21"/>
      <c r="AN487" s="15"/>
      <c r="AO487" s="15"/>
      <c r="AP487" s="21"/>
      <c r="AQ487" s="21"/>
      <c r="AR487" s="15"/>
      <c r="AS487" s="21"/>
      <c r="AT487" s="15"/>
      <c r="AU487" s="15"/>
      <c r="AV487" s="15"/>
      <c r="AW487" s="15"/>
      <c r="AX487" s="15"/>
      <c r="AY487" s="15"/>
      <c r="AZ487" s="15"/>
      <c r="BA487" s="15"/>
      <c r="BB487" s="28"/>
      <c r="BC487" s="28"/>
      <c r="BD487" s="38"/>
      <c r="BE487" s="15"/>
      <c r="BF487" s="15"/>
      <c r="BG487" s="28"/>
      <c r="BH487" s="28"/>
      <c r="BI487" s="36"/>
    </row>
    <row r="488" spans="34:61" ht="15.75" customHeight="1" x14ac:dyDescent="0.25">
      <c r="AH488" s="15"/>
      <c r="AI488" s="21"/>
      <c r="AJ488" s="40"/>
      <c r="AK488" s="21"/>
      <c r="AL488" s="21"/>
      <c r="AM488" s="21"/>
      <c r="AN488" s="15"/>
      <c r="AO488" s="15"/>
      <c r="AP488" s="21"/>
      <c r="AQ488" s="21"/>
      <c r="AR488" s="15"/>
      <c r="AS488" s="21"/>
      <c r="AT488" s="15"/>
      <c r="AU488" s="15"/>
      <c r="AV488" s="15"/>
      <c r="AW488" s="15"/>
      <c r="AX488" s="15"/>
      <c r="AY488" s="15"/>
      <c r="AZ488" s="15"/>
      <c r="BA488" s="15"/>
      <c r="BB488" s="28"/>
      <c r="BC488" s="28"/>
      <c r="BD488" s="38"/>
      <c r="BE488" s="15"/>
      <c r="BF488" s="15"/>
      <c r="BG488" s="28"/>
      <c r="BH488" s="28"/>
      <c r="BI488" s="36"/>
    </row>
    <row r="1048528" spans="24:24" ht="15.75" customHeight="1" x14ac:dyDescent="0.25">
      <c r="X1048528" s="15"/>
    </row>
    <row r="1048531" spans="6:7" ht="15.75" customHeight="1" x14ac:dyDescent="0.25">
      <c r="F1048531" s="22"/>
      <c r="G1048531" s="15"/>
    </row>
  </sheetData>
  <autoFilter ref="B4:BI114" xr:uid="{0E0BF046-F5EA-4815-96D7-1AC0DDC04514}"/>
  <conditionalFormatting sqref="B1:B4 B57:B1048576">
    <cfRule type="containsText" dxfId="7" priority="432" operator="containsText" text="Reenviar">
      <formula>NOT(ISERROR(SEARCH("Reenviar",B1)))</formula>
    </cfRule>
    <cfRule type="containsText" dxfId="6" priority="528" operator="containsText" text="Inserir">
      <formula>NOT(ISERROR(SEARCH("Inserir",B1)))</formula>
    </cfRule>
  </conditionalFormatting>
  <conditionalFormatting sqref="E57:E1048576 E1:E4">
    <cfRule type="colorScale" priority="499">
      <colorScale>
        <cfvo type="min"/>
        <cfvo type="max"/>
        <color rgb="FFFFEF9C"/>
        <color rgb="FF63BE7B"/>
      </colorScale>
    </cfRule>
  </conditionalFormatting>
  <conditionalFormatting sqref="E57:E1048576">
    <cfRule type="colorScale" priority="444">
      <colorScale>
        <cfvo type="min"/>
        <cfvo type="max"/>
        <color rgb="FFFFEF9C"/>
        <color rgb="FF63BE7B"/>
      </colorScale>
    </cfRule>
  </conditionalFormatting>
  <conditionalFormatting sqref="E5:E3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ntainsText" dxfId="5" priority="195" operator="containsText" text="Reenviar">
      <formula>NOT(ISERROR(SEARCH("Reenviar",B5)))</formula>
    </cfRule>
    <cfRule type="containsText" dxfId="4" priority="196" operator="containsText" text="Inserir">
      <formula>NOT(ISERROR(SEARCH("Inserir",B5)))</formula>
    </cfRule>
  </conditionalFormatting>
  <conditionalFormatting sqref="E6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E14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E20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:E25">
    <cfRule type="colorScale" priority="5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:E3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4:E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45">
    <cfRule type="containsText" dxfId="3" priority="34" operator="containsText" text="Reenviar">
      <formula>NOT(ISERROR(SEARCH("Reenviar",B6)))</formula>
    </cfRule>
    <cfRule type="containsText" dxfId="2" priority="35" operator="containsText" text="Inserir">
      <formula>NOT(ISERROR(SEARCH("Inserir",B6)))</formula>
    </cfRule>
  </conditionalFormatting>
  <conditionalFormatting sqref="E40:E4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:E4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:E5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:E5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2:E5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:B56">
    <cfRule type="containsText" dxfId="1" priority="5" operator="containsText" text="Reenviar">
      <formula>NOT(ISERROR(SEARCH("Reenviar",B46)))</formula>
    </cfRule>
    <cfRule type="containsText" dxfId="0" priority="6" operator="containsText" text="Inserir">
      <formula>NOT(ISERROR(SEARCH("Inserir",B46)))</formula>
    </cfRule>
  </conditionalFormatting>
  <dataValidations count="13">
    <dataValidation type="list" allowBlank="1" showInputMessage="1" showErrorMessage="1" sqref="X1048528:X1048576 X5:X62" xr:uid="{1B400641-824A-4EF4-A4E5-8C1E8BE3F96F}">
      <formula1>list_paidvsav</formula1>
    </dataValidation>
    <dataValidation type="list" allowBlank="1" showInputMessage="1" showErrorMessage="1" sqref="G1048531:I1048576 G5:H62" xr:uid="{F3EDD462-CAB6-4096-9138-038E80268201}">
      <formula1>list_servidopor</formula1>
    </dataValidation>
    <dataValidation type="list" allowBlank="1" showInputMessage="1" showErrorMessage="1" sqref="B5:B62" xr:uid="{29AC5E17-7D1C-4382-9932-53ADE6558719}">
      <formula1>"Inativar,Aguardando Material,Aguardando Correção,Manter / No Ar,Inserir,Ativar,Reenviar,Alterar Tipo de Compra, Substituir Criativo,Pausado, Atualizar"</formula1>
    </dataValidation>
    <dataValidation type="list" allowBlank="1" showInputMessage="1" showErrorMessage="1" sqref="J5:K62" xr:uid="{CF454DFB-91F9-4401-89F8-8D01E2DD81B9}">
      <formula1>list_site</formula1>
    </dataValidation>
    <dataValidation type="list" allowBlank="1" showInputMessage="1" showErrorMessage="1" sqref="L5:L62" xr:uid="{D74FCCF6-C02A-4CF9-93D1-A149F74353EA}">
      <formula1>list_submediachannel</formula1>
    </dataValidation>
    <dataValidation type="list" allowBlank="1" showInputMessage="1" showErrorMessage="1" sqref="M5:M62" xr:uid="{C2664176-F527-4B55-B433-1E2C6205AFC7}">
      <formula1>list_buyingtype</formula1>
    </dataValidation>
    <dataValidation type="list" allowBlank="1" showInputMessage="1" showErrorMessage="1" sqref="N5:N62" xr:uid="{22A81EB8-9C2C-43CB-B30C-7CC7B938313D}">
      <formula1>list_buyingmetric</formula1>
    </dataValidation>
    <dataValidation type="list" allowBlank="1" showInputMessage="1" showErrorMessage="1" sqref="O5:O62" xr:uid="{D4EEE80F-2CD8-4552-9944-26A69F28393E}">
      <formula1>list_trackingtype</formula1>
    </dataValidation>
    <dataValidation type="list" allowBlank="1" showInputMessage="1" showErrorMessage="1" sqref="Q5:Q62" xr:uid="{4B1F7BED-A7E2-445C-807C-9324117A8B28}">
      <formula1>list_sitesection</formula1>
    </dataValidation>
    <dataValidation type="list" allowBlank="1" showInputMessage="1" showErrorMessage="1" sqref="R5:R62" xr:uid="{1D225AAC-DC24-41D6-A800-49B61341B485}">
      <formula1>list_device</formula1>
    </dataValidation>
    <dataValidation type="list" allowBlank="1" showInputMessage="1" showErrorMessage="1" sqref="Y5:Y62" xr:uid="{8D051B61-D362-42C5-BE0F-9A48CC8AACE0}">
      <formula1>list_size</formula1>
    </dataValidation>
    <dataValidation type="list" allowBlank="1" showInputMessage="1" showErrorMessage="1" sqref="I5:I62" xr:uid="{CA29CFD4-61A7-4F24-A26C-485CD545B4BA}">
      <formula1>tab_parametrizacao</formula1>
    </dataValidation>
    <dataValidation type="list" allowBlank="1" showInputMessage="1" showErrorMessage="1" sqref="S5:S62" xr:uid="{5E5A7DD8-3A99-44CD-9618-C25F476C9E8A}">
      <formula1>tab_objetivo</formula1>
    </dataValidation>
  </dataValidations>
  <hyperlinks>
    <hyperlink ref="H5" r:id="rId1" display="https://www.vw.com.br/pt/carros/t-cross.html?" xr:uid="{2C0833AA-2E90-4377-9A1E-F05D7FBE945D}"/>
  </hyperlinks>
  <pageMargins left="0.511811024" right="0.511811024" top="0.78740157499999996" bottom="0.78740157499999996" header="0.31496062000000002" footer="0.31496062000000002"/>
  <pageSetup paperSize="9" scale="1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B3F4-D4B0-4F9A-BBC5-F9706AC74868}">
  <sheetPr codeName="Planilha4"/>
  <dimension ref="A1:B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50.7109375" customWidth="1"/>
  </cols>
  <sheetData>
    <row r="1" spans="1:2" x14ac:dyDescent="0.25">
      <c r="A1" s="33" t="s">
        <v>337</v>
      </c>
      <c r="B1" s="33" t="s">
        <v>823</v>
      </c>
    </row>
  </sheetData>
  <autoFilter ref="A1:B1" xr:uid="{0AE3F5B7-D8C6-4C44-AF77-14A7E664A626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993C-CAA6-442B-8D41-ECF6A499FBAE}">
  <sheetPr codeName="Planilha5"/>
  <dimension ref="A1:B1"/>
  <sheetViews>
    <sheetView showGridLines="0" workbookViewId="0">
      <pane ySplit="1" topLeftCell="A2" activePane="bottomLeft" state="frozen"/>
      <selection pane="bottomLeft" activeCell="A9" sqref="A9"/>
    </sheetView>
  </sheetViews>
  <sheetFormatPr defaultRowHeight="15" x14ac:dyDescent="0.25"/>
  <cols>
    <col min="1" max="2" width="121" customWidth="1"/>
  </cols>
  <sheetData>
    <row r="1" spans="1:2" x14ac:dyDescent="0.25">
      <c r="A1" s="33" t="s">
        <v>337</v>
      </c>
      <c r="B1" s="33" t="s">
        <v>771</v>
      </c>
    </row>
  </sheetData>
  <autoFilter ref="A1:B1" xr:uid="{0AE3F5B7-D8C6-4C44-AF77-14A7E664A626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ACF48-C95C-4CBC-A17F-364DFD37B8D9}">
  <sheetPr codeName="Planilha3"/>
  <dimension ref="B1:CB267"/>
  <sheetViews>
    <sheetView showGridLines="0" workbookViewId="0"/>
  </sheetViews>
  <sheetFormatPr defaultRowHeight="15" x14ac:dyDescent="0.25"/>
  <cols>
    <col min="1" max="1" width="3.42578125" customWidth="1"/>
    <col min="2" max="2" width="11.7109375" bestFit="1" customWidth="1"/>
    <col min="3" max="3" width="4.140625" bestFit="1" customWidth="1"/>
    <col min="4" max="4" width="5" customWidth="1"/>
    <col min="5" max="5" width="13.42578125" bestFit="1" customWidth="1"/>
    <col min="6" max="6" width="5" bestFit="1" customWidth="1"/>
    <col min="7" max="7" width="4.140625" customWidth="1"/>
    <col min="8" max="8" width="13.42578125" bestFit="1" customWidth="1"/>
    <col min="9" max="9" width="6" bestFit="1" customWidth="1"/>
    <col min="10" max="10" width="4.85546875" customWidth="1"/>
    <col min="11" max="11" width="13.5703125" customWidth="1"/>
    <col min="12" max="12" width="8" customWidth="1"/>
    <col min="13" max="13" width="2" bestFit="1" customWidth="1"/>
    <col min="14" max="14" width="6.140625" customWidth="1"/>
    <col min="15" max="15" width="14.5703125" bestFit="1" customWidth="1"/>
    <col min="16" max="16" width="7.5703125" bestFit="1" customWidth="1"/>
    <col min="17" max="17" width="5.85546875" customWidth="1"/>
    <col min="18" max="18" width="15.42578125" bestFit="1" customWidth="1"/>
    <col min="19" max="19" width="3.85546875" bestFit="1" customWidth="1"/>
    <col min="20" max="20" width="5.7109375" customWidth="1"/>
    <col min="21" max="22" width="11.5703125" bestFit="1" customWidth="1"/>
    <col min="23" max="23" width="5" bestFit="1" customWidth="1"/>
    <col min="24" max="24" width="4.85546875" customWidth="1"/>
    <col min="25" max="25" width="12" bestFit="1" customWidth="1"/>
    <col min="26" max="26" width="5.28515625" bestFit="1" customWidth="1"/>
    <col min="27" max="27" width="2.5703125" style="29" customWidth="1"/>
    <col min="28" max="28" width="15.5703125" customWidth="1"/>
    <col min="29" max="29" width="4" customWidth="1"/>
    <col min="30" max="30" width="14.5703125" bestFit="1" customWidth="1"/>
    <col min="31" max="31" width="8.28515625" bestFit="1" customWidth="1"/>
    <col min="32" max="32" width="2" bestFit="1" customWidth="1"/>
    <col min="33" max="33" width="5.140625" customWidth="1"/>
    <col min="34" max="34" width="21.85546875" bestFit="1" customWidth="1"/>
    <col min="35" max="35" width="5.42578125" bestFit="1" customWidth="1"/>
    <col min="36" max="36" width="5.42578125" customWidth="1"/>
    <col min="37" max="37" width="6.7109375" customWidth="1"/>
    <col min="38" max="38" width="16.28515625" customWidth="1"/>
    <col min="39" max="40" width="8" customWidth="1"/>
    <col min="41" max="41" width="6.140625" customWidth="1"/>
    <col min="42" max="42" width="15.5703125" bestFit="1" customWidth="1"/>
    <col min="43" max="43" width="4" bestFit="1" customWidth="1"/>
    <col min="44" max="44" width="6.140625" customWidth="1"/>
    <col min="45" max="45" width="23" bestFit="1" customWidth="1"/>
    <col min="46" max="46" width="4.5703125" bestFit="1" customWidth="1"/>
    <col min="47" max="48" width="4.5703125" customWidth="1"/>
    <col min="49" max="49" width="7.42578125" customWidth="1"/>
    <col min="50" max="50" width="5.140625" customWidth="1"/>
    <col min="51" max="51" width="4.5703125" customWidth="1"/>
    <col min="52" max="52" width="8.85546875" customWidth="1"/>
    <col min="53" max="53" width="6" customWidth="1"/>
    <col min="54" max="54" width="5.85546875" customWidth="1"/>
    <col min="55" max="55" width="19.42578125" bestFit="1" customWidth="1"/>
    <col min="56" max="56" width="5" bestFit="1" customWidth="1"/>
    <col min="57" max="57" width="5" customWidth="1"/>
    <col min="58" max="58" width="19.42578125" bestFit="1" customWidth="1"/>
    <col min="59" max="59" width="19" bestFit="1" customWidth="1"/>
    <col min="60" max="60" width="5.140625" customWidth="1"/>
    <col min="61" max="61" width="20.7109375" bestFit="1" customWidth="1"/>
    <col min="62" max="62" width="8.28515625" bestFit="1" customWidth="1"/>
    <col min="63" max="63" width="8.28515625" customWidth="1"/>
    <col min="64" max="64" width="3.140625" customWidth="1"/>
    <col min="65" max="65" width="14.42578125" bestFit="1" customWidth="1"/>
    <col min="66" max="66" width="5.28515625" bestFit="1" customWidth="1"/>
    <col min="67" max="67" width="5.28515625" customWidth="1"/>
    <col min="68" max="68" width="5.140625" customWidth="1"/>
    <col min="69" max="69" width="21.140625" bestFit="1" customWidth="1"/>
    <col min="70" max="70" width="4.5703125" bestFit="1" customWidth="1"/>
    <col min="71" max="71" width="3" customWidth="1"/>
    <col min="72" max="72" width="11.7109375" customWidth="1"/>
    <col min="73" max="73" width="3.7109375" bestFit="1" customWidth="1"/>
    <col min="74" max="74" width="3.7109375" customWidth="1"/>
    <col min="75" max="75" width="4.42578125" customWidth="1"/>
    <col min="76" max="76" width="18.7109375" bestFit="1" customWidth="1"/>
    <col min="77" max="77" width="5.5703125" bestFit="1" customWidth="1"/>
    <col min="78" max="78" width="5.140625" customWidth="1"/>
    <col min="79" max="79" width="11.5703125" customWidth="1"/>
    <col min="80" max="80" width="6.42578125" customWidth="1"/>
  </cols>
  <sheetData>
    <row r="1" spans="2:80" ht="17.25" customHeight="1" thickBot="1" x14ac:dyDescent="0.3"/>
    <row r="2" spans="2:80" s="6" customFormat="1" ht="38.25" customHeight="1" thickBot="1" x14ac:dyDescent="0.3">
      <c r="B2" s="49" t="s">
        <v>283</v>
      </c>
      <c r="C2" s="50"/>
      <c r="E2" s="49" t="s">
        <v>666</v>
      </c>
      <c r="F2" s="50"/>
      <c r="H2" s="49" t="s">
        <v>667</v>
      </c>
      <c r="I2" s="50"/>
      <c r="K2" s="47" t="s">
        <v>668</v>
      </c>
      <c r="L2" s="48"/>
      <c r="M2" s="48"/>
      <c r="O2" s="49" t="s">
        <v>669</v>
      </c>
      <c r="P2" s="50"/>
      <c r="R2" s="49" t="s">
        <v>7</v>
      </c>
      <c r="S2" s="50"/>
      <c r="U2" s="47" t="s">
        <v>3</v>
      </c>
      <c r="V2" s="48"/>
      <c r="W2" s="48"/>
      <c r="Y2" s="49" t="s">
        <v>267</v>
      </c>
      <c r="Z2" s="50"/>
      <c r="AA2" s="30"/>
      <c r="AB2" s="24" t="s">
        <v>815</v>
      </c>
      <c r="AD2" s="47" t="s">
        <v>670</v>
      </c>
      <c r="AE2" s="48"/>
      <c r="AF2" s="48"/>
      <c r="AH2" s="47" t="s">
        <v>284</v>
      </c>
      <c r="AI2" s="48"/>
      <c r="AJ2" s="48"/>
      <c r="AL2" s="47" t="s">
        <v>671</v>
      </c>
      <c r="AM2" s="48"/>
      <c r="AN2" s="48"/>
      <c r="AP2" s="49" t="s">
        <v>672</v>
      </c>
      <c r="AQ2" s="50"/>
      <c r="AS2" s="47" t="s">
        <v>673</v>
      </c>
      <c r="AT2" s="48"/>
      <c r="AU2" s="48"/>
      <c r="AW2" s="48" t="s">
        <v>674</v>
      </c>
      <c r="AX2" s="48"/>
      <c r="AZ2" s="48" t="s">
        <v>338</v>
      </c>
      <c r="BA2" s="48"/>
      <c r="BC2" s="49" t="s">
        <v>675</v>
      </c>
      <c r="BD2" s="50"/>
      <c r="BF2" s="18" t="s">
        <v>269</v>
      </c>
      <c r="BG2" s="18" t="s">
        <v>6</v>
      </c>
      <c r="BH2" s="17" t="s">
        <v>6</v>
      </c>
      <c r="BI2" s="49" t="s">
        <v>676</v>
      </c>
      <c r="BJ2" s="50"/>
      <c r="BK2" s="35"/>
      <c r="BM2" s="49" t="s">
        <v>677</v>
      </c>
      <c r="BN2" s="50"/>
      <c r="BO2" s="35"/>
      <c r="BQ2" s="49" t="s">
        <v>678</v>
      </c>
      <c r="BR2" s="50"/>
      <c r="BT2" s="49" t="s">
        <v>1</v>
      </c>
      <c r="BU2" s="50"/>
      <c r="BV2" s="35"/>
      <c r="BX2" s="49" t="s">
        <v>679</v>
      </c>
      <c r="BY2" s="50"/>
      <c r="CA2" s="49" t="s">
        <v>877</v>
      </c>
      <c r="CB2" s="50"/>
    </row>
    <row r="3" spans="2:80" x14ac:dyDescent="0.25">
      <c r="B3" t="s">
        <v>286</v>
      </c>
      <c r="C3" t="s">
        <v>285</v>
      </c>
      <c r="E3" t="s">
        <v>287</v>
      </c>
      <c r="F3" t="s">
        <v>287</v>
      </c>
      <c r="H3" t="s">
        <v>289</v>
      </c>
      <c r="I3" t="s">
        <v>288</v>
      </c>
      <c r="K3" t="s">
        <v>680</v>
      </c>
      <c r="L3" t="s">
        <v>17</v>
      </c>
      <c r="M3">
        <v>1</v>
      </c>
      <c r="O3" t="s">
        <v>291</v>
      </c>
      <c r="P3" t="s">
        <v>290</v>
      </c>
      <c r="R3" t="s">
        <v>10</v>
      </c>
      <c r="S3" t="s">
        <v>9</v>
      </c>
      <c r="U3" t="s">
        <v>829</v>
      </c>
      <c r="V3" t="s">
        <v>830</v>
      </c>
      <c r="W3" s="37" t="s">
        <v>856</v>
      </c>
      <c r="Y3" t="s">
        <v>290</v>
      </c>
      <c r="Z3" t="s">
        <v>290</v>
      </c>
      <c r="AB3" t="s">
        <v>816</v>
      </c>
      <c r="AD3" t="s">
        <v>13</v>
      </c>
      <c r="AE3" t="s">
        <v>12</v>
      </c>
      <c r="AF3">
        <v>1</v>
      </c>
      <c r="AH3" t="s">
        <v>680</v>
      </c>
      <c r="AI3" t="s">
        <v>18</v>
      </c>
      <c r="AJ3">
        <v>1</v>
      </c>
      <c r="AL3" t="s">
        <v>680</v>
      </c>
      <c r="AM3" t="s">
        <v>18</v>
      </c>
      <c r="AN3">
        <v>1</v>
      </c>
      <c r="AP3" t="s">
        <v>681</v>
      </c>
      <c r="AQ3" t="s">
        <v>292</v>
      </c>
      <c r="AS3" t="s">
        <v>664</v>
      </c>
      <c r="AT3" t="s">
        <v>11</v>
      </c>
      <c r="AU3">
        <v>1</v>
      </c>
      <c r="AW3" t="s">
        <v>660</v>
      </c>
      <c r="AZ3" t="s">
        <v>339</v>
      </c>
      <c r="BC3" t="s">
        <v>682</v>
      </c>
      <c r="BD3" t="s">
        <v>293</v>
      </c>
      <c r="BF3" t="s">
        <v>413</v>
      </c>
      <c r="BG3" t="s">
        <v>297</v>
      </c>
      <c r="BI3" t="s">
        <v>683</v>
      </c>
      <c r="BJ3" t="s">
        <v>14</v>
      </c>
      <c r="BK3">
        <v>1</v>
      </c>
      <c r="BM3" t="s">
        <v>684</v>
      </c>
      <c r="BN3" t="s">
        <v>294</v>
      </c>
      <c r="BO3">
        <v>1</v>
      </c>
      <c r="BQ3" t="s">
        <v>295</v>
      </c>
      <c r="BR3" t="s">
        <v>295</v>
      </c>
      <c r="BT3" t="s">
        <v>16</v>
      </c>
      <c r="BU3" t="s">
        <v>15</v>
      </c>
      <c r="BV3">
        <v>1</v>
      </c>
      <c r="BX3" t="s">
        <v>297</v>
      </c>
      <c r="BY3" t="s">
        <v>296</v>
      </c>
      <c r="CA3" t="s">
        <v>880</v>
      </c>
    </row>
    <row r="4" spans="2:80" x14ac:dyDescent="0.25">
      <c r="E4" t="s">
        <v>298</v>
      </c>
      <c r="F4" t="s">
        <v>298</v>
      </c>
      <c r="H4" t="s">
        <v>300</v>
      </c>
      <c r="I4" t="s">
        <v>299</v>
      </c>
      <c r="K4" t="s">
        <v>16</v>
      </c>
      <c r="L4" t="s">
        <v>15</v>
      </c>
      <c r="M4">
        <v>2</v>
      </c>
      <c r="O4" t="s">
        <v>283</v>
      </c>
      <c r="P4" t="s">
        <v>301</v>
      </c>
      <c r="R4" t="s">
        <v>20</v>
      </c>
      <c r="S4" t="s">
        <v>19</v>
      </c>
      <c r="U4" t="s">
        <v>831</v>
      </c>
      <c r="V4" t="s">
        <v>832</v>
      </c>
      <c r="W4" s="37" t="s">
        <v>857</v>
      </c>
      <c r="Y4" t="s">
        <v>302</v>
      </c>
      <c r="Z4" t="s">
        <v>302</v>
      </c>
      <c r="AB4" t="s">
        <v>817</v>
      </c>
      <c r="AD4" t="s">
        <v>23</v>
      </c>
      <c r="AE4" t="s">
        <v>22</v>
      </c>
      <c r="AF4">
        <v>2</v>
      </c>
      <c r="AH4" t="s">
        <v>29</v>
      </c>
      <c r="AI4" t="s">
        <v>28</v>
      </c>
      <c r="AJ4">
        <v>2</v>
      </c>
      <c r="AL4" t="s">
        <v>29</v>
      </c>
      <c r="AM4" t="s">
        <v>28</v>
      </c>
      <c r="AN4">
        <v>2</v>
      </c>
      <c r="AP4" t="s">
        <v>685</v>
      </c>
      <c r="AQ4" t="s">
        <v>303</v>
      </c>
      <c r="AS4" t="s">
        <v>686</v>
      </c>
      <c r="AT4" t="s">
        <v>21</v>
      </c>
      <c r="AU4">
        <v>2</v>
      </c>
      <c r="AW4" t="s">
        <v>661</v>
      </c>
      <c r="AZ4" t="s">
        <v>340</v>
      </c>
      <c r="BC4" t="s">
        <v>179</v>
      </c>
      <c r="BD4" t="s">
        <v>304</v>
      </c>
      <c r="BF4" t="s">
        <v>415</v>
      </c>
      <c r="BG4" t="s">
        <v>297</v>
      </c>
      <c r="BI4" t="s">
        <v>25</v>
      </c>
      <c r="BJ4" t="s">
        <v>24</v>
      </c>
      <c r="BK4">
        <v>2</v>
      </c>
      <c r="BM4" t="s">
        <v>687</v>
      </c>
      <c r="BN4" t="s">
        <v>305</v>
      </c>
      <c r="BO4">
        <v>2</v>
      </c>
      <c r="BQ4" t="s">
        <v>688</v>
      </c>
      <c r="BR4" t="s">
        <v>306</v>
      </c>
      <c r="BT4" t="s">
        <v>27</v>
      </c>
      <c r="BU4" t="s">
        <v>26</v>
      </c>
      <c r="BV4">
        <v>2</v>
      </c>
      <c r="BX4" t="s">
        <v>689</v>
      </c>
      <c r="BY4" t="s">
        <v>307</v>
      </c>
      <c r="CA4" t="s">
        <v>893</v>
      </c>
    </row>
    <row r="5" spans="2:80" x14ac:dyDescent="0.25">
      <c r="E5" t="s">
        <v>308</v>
      </c>
      <c r="F5" t="s">
        <v>308</v>
      </c>
      <c r="K5" t="s">
        <v>690</v>
      </c>
      <c r="L5" t="s">
        <v>36</v>
      </c>
      <c r="M5">
        <v>3</v>
      </c>
      <c r="O5" t="s">
        <v>310</v>
      </c>
      <c r="P5" t="s">
        <v>309</v>
      </c>
      <c r="R5" t="s">
        <v>31</v>
      </c>
      <c r="S5" t="s">
        <v>30</v>
      </c>
      <c r="U5" t="s">
        <v>833</v>
      </c>
      <c r="V5" t="s">
        <v>834</v>
      </c>
      <c r="W5" s="37" t="s">
        <v>858</v>
      </c>
      <c r="Y5" t="s">
        <v>311</v>
      </c>
      <c r="Z5" t="s">
        <v>311</v>
      </c>
      <c r="AD5" t="s">
        <v>34</v>
      </c>
      <c r="AE5" t="s">
        <v>33</v>
      </c>
      <c r="AF5">
        <v>3</v>
      </c>
      <c r="AH5" t="s">
        <v>46</v>
      </c>
      <c r="AI5" t="s">
        <v>45</v>
      </c>
      <c r="AJ5">
        <v>3</v>
      </c>
      <c r="AL5" t="s">
        <v>38</v>
      </c>
      <c r="AM5" t="s">
        <v>37</v>
      </c>
      <c r="AN5">
        <v>3</v>
      </c>
      <c r="AP5" t="s">
        <v>691</v>
      </c>
      <c r="AQ5" t="s">
        <v>312</v>
      </c>
      <c r="AS5" t="s">
        <v>665</v>
      </c>
      <c r="AT5" t="s">
        <v>32</v>
      </c>
      <c r="AU5">
        <v>3</v>
      </c>
      <c r="AW5" t="s">
        <v>662</v>
      </c>
      <c r="AZ5" t="s">
        <v>341</v>
      </c>
      <c r="BC5" t="s">
        <v>692</v>
      </c>
      <c r="BD5" t="s">
        <v>313</v>
      </c>
      <c r="BF5" t="s">
        <v>416</v>
      </c>
      <c r="BG5" t="s">
        <v>297</v>
      </c>
      <c r="BI5" t="s">
        <v>693</v>
      </c>
      <c r="BJ5" t="s">
        <v>35</v>
      </c>
      <c r="BK5">
        <v>3</v>
      </c>
      <c r="BM5" t="s">
        <v>694</v>
      </c>
      <c r="BN5" t="s">
        <v>311</v>
      </c>
      <c r="BO5">
        <v>3</v>
      </c>
      <c r="BQ5" t="s">
        <v>315</v>
      </c>
      <c r="BR5" t="s">
        <v>314</v>
      </c>
      <c r="BX5" t="s">
        <v>695</v>
      </c>
      <c r="BY5" t="s">
        <v>316</v>
      </c>
      <c r="CA5" t="s">
        <v>885</v>
      </c>
    </row>
    <row r="6" spans="2:80" x14ac:dyDescent="0.25">
      <c r="E6" t="s">
        <v>317</v>
      </c>
      <c r="F6" t="s">
        <v>317</v>
      </c>
      <c r="K6" t="s">
        <v>696</v>
      </c>
      <c r="L6" t="s">
        <v>44</v>
      </c>
      <c r="M6">
        <v>4</v>
      </c>
      <c r="R6" t="s">
        <v>40</v>
      </c>
      <c r="S6" t="s">
        <v>39</v>
      </c>
      <c r="U6" t="s">
        <v>835</v>
      </c>
      <c r="V6" t="s">
        <v>836</v>
      </c>
      <c r="W6" s="37" t="s">
        <v>859</v>
      </c>
      <c r="Y6" t="s">
        <v>318</v>
      </c>
      <c r="Z6" t="s">
        <v>318</v>
      </c>
      <c r="AD6" t="s">
        <v>42</v>
      </c>
      <c r="AE6" t="s">
        <v>41</v>
      </c>
      <c r="AF6">
        <v>4</v>
      </c>
      <c r="AH6" t="s">
        <v>53</v>
      </c>
      <c r="AI6" t="s">
        <v>52</v>
      </c>
      <c r="AJ6">
        <v>4</v>
      </c>
      <c r="AL6" t="s">
        <v>46</v>
      </c>
      <c r="AM6" t="s">
        <v>45</v>
      </c>
      <c r="AN6">
        <v>4</v>
      </c>
      <c r="AP6" t="s">
        <v>320</v>
      </c>
      <c r="AQ6" t="s">
        <v>319</v>
      </c>
      <c r="AW6" t="s">
        <v>663</v>
      </c>
      <c r="AZ6" t="s">
        <v>342</v>
      </c>
      <c r="BC6" t="s">
        <v>697</v>
      </c>
      <c r="BD6" t="s">
        <v>321</v>
      </c>
      <c r="BF6" t="s">
        <v>417</v>
      </c>
      <c r="BG6" t="s">
        <v>324</v>
      </c>
      <c r="BI6" t="s">
        <v>698</v>
      </c>
      <c r="BJ6" t="s">
        <v>43</v>
      </c>
      <c r="BK6">
        <v>4</v>
      </c>
      <c r="BM6" t="s">
        <v>699</v>
      </c>
      <c r="BN6" t="s">
        <v>304</v>
      </c>
      <c r="BO6">
        <v>4</v>
      </c>
      <c r="BQ6" t="s">
        <v>323</v>
      </c>
      <c r="BR6" t="s">
        <v>322</v>
      </c>
      <c r="BX6" t="s">
        <v>324</v>
      </c>
      <c r="BY6" t="s">
        <v>324</v>
      </c>
      <c r="CA6" t="s">
        <v>888</v>
      </c>
    </row>
    <row r="7" spans="2:80" x14ac:dyDescent="0.25">
      <c r="E7" t="s">
        <v>179</v>
      </c>
      <c r="F7" t="s">
        <v>304</v>
      </c>
      <c r="R7" t="s">
        <v>48</v>
      </c>
      <c r="S7" t="s">
        <v>47</v>
      </c>
      <c r="U7" t="s">
        <v>837</v>
      </c>
      <c r="V7" t="s">
        <v>838</v>
      </c>
      <c r="W7" s="37" t="s">
        <v>860</v>
      </c>
      <c r="AD7" t="s">
        <v>50</v>
      </c>
      <c r="AE7" t="s">
        <v>49</v>
      </c>
      <c r="AF7">
        <v>5</v>
      </c>
      <c r="AH7" t="s">
        <v>63</v>
      </c>
      <c r="AI7" t="s">
        <v>62</v>
      </c>
      <c r="AJ7">
        <v>5</v>
      </c>
      <c r="AL7" t="s">
        <v>53</v>
      </c>
      <c r="AM7" t="s">
        <v>52</v>
      </c>
      <c r="AN7">
        <v>5</v>
      </c>
      <c r="AZ7" t="s">
        <v>343</v>
      </c>
      <c r="BF7" t="s">
        <v>418</v>
      </c>
      <c r="BG7" t="s">
        <v>324</v>
      </c>
      <c r="BI7" t="s">
        <v>700</v>
      </c>
      <c r="BJ7" t="s">
        <v>51</v>
      </c>
      <c r="BK7">
        <v>5</v>
      </c>
      <c r="BM7" t="s">
        <v>701</v>
      </c>
      <c r="BN7" t="s">
        <v>33</v>
      </c>
      <c r="BO7">
        <v>5</v>
      </c>
      <c r="BQ7" t="s">
        <v>179</v>
      </c>
      <c r="BR7" t="s">
        <v>304</v>
      </c>
      <c r="BX7" t="s">
        <v>326</v>
      </c>
      <c r="BY7" t="s">
        <v>325</v>
      </c>
      <c r="CA7" t="s">
        <v>890</v>
      </c>
    </row>
    <row r="8" spans="2:80" x14ac:dyDescent="0.25">
      <c r="E8" t="s">
        <v>328</v>
      </c>
      <c r="F8" t="s">
        <v>327</v>
      </c>
      <c r="R8" t="s">
        <v>55</v>
      </c>
      <c r="S8" t="s">
        <v>54</v>
      </c>
      <c r="U8" t="s">
        <v>839</v>
      </c>
      <c r="V8" t="s">
        <v>840</v>
      </c>
      <c r="W8" s="37" t="s">
        <v>861</v>
      </c>
      <c r="AH8" t="s">
        <v>69</v>
      </c>
      <c r="AI8" t="s">
        <v>68</v>
      </c>
      <c r="AJ8">
        <v>6</v>
      </c>
      <c r="AL8" t="s">
        <v>702</v>
      </c>
      <c r="AM8" t="s">
        <v>58</v>
      </c>
      <c r="AN8">
        <v>6</v>
      </c>
      <c r="AZ8" t="s">
        <v>344</v>
      </c>
      <c r="BF8" t="s">
        <v>419</v>
      </c>
      <c r="BG8" t="s">
        <v>324</v>
      </c>
      <c r="BI8" t="s">
        <v>57</v>
      </c>
      <c r="BJ8" t="s">
        <v>56</v>
      </c>
      <c r="BK8">
        <v>6</v>
      </c>
      <c r="BM8" t="s">
        <v>703</v>
      </c>
      <c r="BN8" t="s">
        <v>41</v>
      </c>
      <c r="BO8">
        <v>6</v>
      </c>
      <c r="BQ8" t="s">
        <v>330</v>
      </c>
      <c r="BR8" t="s">
        <v>329</v>
      </c>
      <c r="BX8" t="s">
        <v>332</v>
      </c>
      <c r="BY8" t="s">
        <v>331</v>
      </c>
      <c r="CA8" t="s">
        <v>887</v>
      </c>
    </row>
    <row r="9" spans="2:80" x14ac:dyDescent="0.25">
      <c r="R9" t="s">
        <v>60</v>
      </c>
      <c r="S9" t="s">
        <v>59</v>
      </c>
      <c r="U9" t="s">
        <v>841</v>
      </c>
      <c r="V9" t="s">
        <v>842</v>
      </c>
      <c r="W9" s="37" t="s">
        <v>862</v>
      </c>
      <c r="AH9" t="s">
        <v>87</v>
      </c>
      <c r="AI9" t="s">
        <v>86</v>
      </c>
      <c r="AJ9">
        <v>7</v>
      </c>
      <c r="AL9" t="s">
        <v>63</v>
      </c>
      <c r="AM9" t="s">
        <v>62</v>
      </c>
      <c r="AN9">
        <v>7</v>
      </c>
      <c r="AZ9" t="s">
        <v>345</v>
      </c>
      <c r="BF9" t="s">
        <v>420</v>
      </c>
      <c r="BG9" t="s">
        <v>297</v>
      </c>
      <c r="BI9" t="s">
        <v>704</v>
      </c>
      <c r="BJ9" t="s">
        <v>61</v>
      </c>
      <c r="BK9">
        <v>7</v>
      </c>
      <c r="BM9" t="s">
        <v>50</v>
      </c>
      <c r="BN9" t="s">
        <v>49</v>
      </c>
      <c r="BO9">
        <v>7</v>
      </c>
      <c r="BQ9" t="s">
        <v>705</v>
      </c>
      <c r="BR9" t="s">
        <v>333</v>
      </c>
      <c r="BX9" t="s">
        <v>706</v>
      </c>
      <c r="BY9" t="s">
        <v>334</v>
      </c>
      <c r="CA9" t="s">
        <v>883</v>
      </c>
    </row>
    <row r="10" spans="2:80" x14ac:dyDescent="0.25">
      <c r="R10" t="s">
        <v>65</v>
      </c>
      <c r="S10" t="s">
        <v>64</v>
      </c>
      <c r="U10" t="s">
        <v>843</v>
      </c>
      <c r="V10" t="s">
        <v>844</v>
      </c>
      <c r="W10" s="37" t="s">
        <v>863</v>
      </c>
      <c r="AH10" t="s">
        <v>90</v>
      </c>
      <c r="AI10" t="s">
        <v>89</v>
      </c>
      <c r="AJ10">
        <v>8</v>
      </c>
      <c r="AL10" t="s">
        <v>69</v>
      </c>
      <c r="AM10" t="s">
        <v>68</v>
      </c>
      <c r="AN10">
        <v>8</v>
      </c>
      <c r="AZ10" t="s">
        <v>346</v>
      </c>
      <c r="BF10" t="s">
        <v>421</v>
      </c>
      <c r="BG10" t="s">
        <v>297</v>
      </c>
      <c r="BI10" t="s">
        <v>67</v>
      </c>
      <c r="BJ10" t="s">
        <v>66</v>
      </c>
      <c r="BK10">
        <v>8</v>
      </c>
      <c r="CA10" t="s">
        <v>886</v>
      </c>
    </row>
    <row r="11" spans="2:80" x14ac:dyDescent="0.25">
      <c r="R11" t="s">
        <v>71</v>
      </c>
      <c r="S11" t="s">
        <v>70</v>
      </c>
      <c r="U11" t="s">
        <v>845</v>
      </c>
      <c r="V11" t="s">
        <v>846</v>
      </c>
      <c r="W11" s="37" t="s">
        <v>864</v>
      </c>
      <c r="AH11" t="s">
        <v>94</v>
      </c>
      <c r="AI11" t="s">
        <v>93</v>
      </c>
      <c r="AJ11">
        <v>9</v>
      </c>
      <c r="AL11" t="s">
        <v>707</v>
      </c>
      <c r="AM11" t="s">
        <v>72</v>
      </c>
      <c r="AN11">
        <v>9</v>
      </c>
      <c r="AZ11" t="s">
        <v>347</v>
      </c>
      <c r="BF11" t="s">
        <v>422</v>
      </c>
      <c r="BG11" t="s">
        <v>706</v>
      </c>
      <c r="CA11" t="s">
        <v>882</v>
      </c>
    </row>
    <row r="12" spans="2:80" x14ac:dyDescent="0.25">
      <c r="R12" t="s">
        <v>74</v>
      </c>
      <c r="S12" t="s">
        <v>73</v>
      </c>
      <c r="U12" t="s">
        <v>847</v>
      </c>
      <c r="V12" t="s">
        <v>848</v>
      </c>
      <c r="W12" s="37" t="s">
        <v>865</v>
      </c>
      <c r="AH12" t="s">
        <v>708</v>
      </c>
      <c r="AI12" t="s">
        <v>97</v>
      </c>
      <c r="AJ12">
        <v>10</v>
      </c>
      <c r="AL12" t="s">
        <v>76</v>
      </c>
      <c r="AM12" t="s">
        <v>75</v>
      </c>
      <c r="AN12">
        <v>10</v>
      </c>
      <c r="AZ12" t="s">
        <v>348</v>
      </c>
      <c r="BF12" t="s">
        <v>773</v>
      </c>
      <c r="BG12" t="s">
        <v>706</v>
      </c>
      <c r="CA12" t="s">
        <v>881</v>
      </c>
    </row>
    <row r="13" spans="2:80" x14ac:dyDescent="0.25">
      <c r="R13" t="s">
        <v>78</v>
      </c>
      <c r="S13" t="s">
        <v>77</v>
      </c>
      <c r="U13" t="s">
        <v>849</v>
      </c>
      <c r="V13" t="s">
        <v>850</v>
      </c>
      <c r="W13" s="37" t="s">
        <v>866</v>
      </c>
      <c r="AH13" t="s">
        <v>104</v>
      </c>
      <c r="AI13" t="s">
        <v>103</v>
      </c>
      <c r="AJ13">
        <v>11</v>
      </c>
      <c r="AL13" t="s">
        <v>80</v>
      </c>
      <c r="AM13" t="s">
        <v>79</v>
      </c>
      <c r="AN13">
        <v>11</v>
      </c>
      <c r="AZ13" t="s">
        <v>349</v>
      </c>
      <c r="BF13" t="s">
        <v>423</v>
      </c>
      <c r="BG13" t="s">
        <v>297</v>
      </c>
      <c r="CA13" t="s">
        <v>891</v>
      </c>
    </row>
    <row r="14" spans="2:80" x14ac:dyDescent="0.25">
      <c r="R14" t="s">
        <v>82</v>
      </c>
      <c r="S14" t="s">
        <v>81</v>
      </c>
      <c r="U14" t="s">
        <v>851</v>
      </c>
      <c r="V14" t="s">
        <v>852</v>
      </c>
      <c r="W14" s="37" t="s">
        <v>867</v>
      </c>
      <c r="AH14" t="s">
        <v>111</v>
      </c>
      <c r="AI14" t="s">
        <v>110</v>
      </c>
      <c r="AJ14">
        <v>12</v>
      </c>
      <c r="AL14" t="s">
        <v>84</v>
      </c>
      <c r="AM14" t="s">
        <v>83</v>
      </c>
      <c r="AN14">
        <v>12</v>
      </c>
      <c r="AZ14" t="s">
        <v>350</v>
      </c>
      <c r="BF14" t="s">
        <v>424</v>
      </c>
      <c r="BG14" t="s">
        <v>324</v>
      </c>
      <c r="CA14" t="s">
        <v>884</v>
      </c>
    </row>
    <row r="15" spans="2:80" x14ac:dyDescent="0.25">
      <c r="R15" t="s">
        <v>709</v>
      </c>
      <c r="S15" t="s">
        <v>85</v>
      </c>
      <c r="U15" t="s">
        <v>905</v>
      </c>
      <c r="V15" t="s">
        <v>906</v>
      </c>
      <c r="W15" s="37" t="s">
        <v>907</v>
      </c>
      <c r="AH15" t="s">
        <v>710</v>
      </c>
      <c r="AI15" t="s">
        <v>117</v>
      </c>
      <c r="AJ15">
        <v>13</v>
      </c>
      <c r="AL15" t="s">
        <v>87</v>
      </c>
      <c r="AM15" t="s">
        <v>86</v>
      </c>
      <c r="AN15">
        <v>13</v>
      </c>
      <c r="AZ15" t="s">
        <v>351</v>
      </c>
      <c r="BF15" t="s">
        <v>425</v>
      </c>
      <c r="BG15" t="s">
        <v>297</v>
      </c>
      <c r="CA15" t="s">
        <v>889</v>
      </c>
    </row>
    <row r="16" spans="2:80" x14ac:dyDescent="0.25">
      <c r="R16" t="s">
        <v>711</v>
      </c>
      <c r="S16" t="s">
        <v>88</v>
      </c>
      <c r="U16" t="s">
        <v>908</v>
      </c>
      <c r="V16" t="s">
        <v>909</v>
      </c>
      <c r="W16" s="37" t="s">
        <v>910</v>
      </c>
      <c r="AH16" t="s">
        <v>134</v>
      </c>
      <c r="AI16" t="s">
        <v>335</v>
      </c>
      <c r="AJ16">
        <v>14</v>
      </c>
      <c r="AL16" t="s">
        <v>90</v>
      </c>
      <c r="AM16" t="s">
        <v>89</v>
      </c>
      <c r="AN16">
        <v>14</v>
      </c>
      <c r="AZ16" t="s">
        <v>352</v>
      </c>
      <c r="BF16" t="s">
        <v>426</v>
      </c>
      <c r="BG16" t="s">
        <v>297</v>
      </c>
    </row>
    <row r="17" spans="18:59" x14ac:dyDescent="0.25">
      <c r="R17" t="s">
        <v>92</v>
      </c>
      <c r="S17" t="s">
        <v>91</v>
      </c>
      <c r="U17" t="s">
        <v>911</v>
      </c>
      <c r="V17" t="s">
        <v>912</v>
      </c>
      <c r="W17" s="37" t="s">
        <v>913</v>
      </c>
      <c r="AH17" t="s">
        <v>148</v>
      </c>
      <c r="AI17" t="s">
        <v>147</v>
      </c>
      <c r="AJ17">
        <v>15</v>
      </c>
      <c r="AL17" t="s">
        <v>94</v>
      </c>
      <c r="AM17" t="s">
        <v>93</v>
      </c>
      <c r="AN17">
        <v>15</v>
      </c>
      <c r="AZ17" t="s">
        <v>353</v>
      </c>
      <c r="BF17" t="s">
        <v>427</v>
      </c>
      <c r="BG17" t="s">
        <v>297</v>
      </c>
    </row>
    <row r="18" spans="18:59" x14ac:dyDescent="0.25">
      <c r="R18" t="s">
        <v>96</v>
      </c>
      <c r="S18" t="s">
        <v>95</v>
      </c>
      <c r="U18" t="s">
        <v>914</v>
      </c>
      <c r="V18" t="s">
        <v>915</v>
      </c>
      <c r="W18" s="37" t="s">
        <v>916</v>
      </c>
      <c r="AH18" t="s">
        <v>712</v>
      </c>
      <c r="AI18" t="s">
        <v>150</v>
      </c>
      <c r="AJ18">
        <v>16</v>
      </c>
      <c r="AL18" t="s">
        <v>708</v>
      </c>
      <c r="AM18" t="s">
        <v>97</v>
      </c>
      <c r="AN18">
        <v>16</v>
      </c>
      <c r="AZ18" t="s">
        <v>354</v>
      </c>
      <c r="BF18" t="s">
        <v>428</v>
      </c>
      <c r="BG18" t="s">
        <v>706</v>
      </c>
    </row>
    <row r="19" spans="18:59" x14ac:dyDescent="0.25">
      <c r="R19" t="s">
        <v>99</v>
      </c>
      <c r="S19" t="s">
        <v>98</v>
      </c>
      <c r="U19" t="s">
        <v>917</v>
      </c>
      <c r="V19" t="s">
        <v>918</v>
      </c>
      <c r="W19" s="37" t="s">
        <v>919</v>
      </c>
      <c r="AH19" t="s">
        <v>152</v>
      </c>
      <c r="AI19" t="s">
        <v>151</v>
      </c>
      <c r="AJ19">
        <v>17</v>
      </c>
      <c r="AL19" t="s">
        <v>713</v>
      </c>
      <c r="AM19" t="s">
        <v>100</v>
      </c>
      <c r="AN19">
        <v>17</v>
      </c>
      <c r="AZ19" t="s">
        <v>355</v>
      </c>
      <c r="BF19" t="s">
        <v>429</v>
      </c>
      <c r="BG19" t="s">
        <v>706</v>
      </c>
    </row>
    <row r="20" spans="18:59" x14ac:dyDescent="0.25">
      <c r="R20" t="s">
        <v>102</v>
      </c>
      <c r="S20" t="s">
        <v>101</v>
      </c>
      <c r="U20" t="s">
        <v>920</v>
      </c>
      <c r="V20" t="s">
        <v>921</v>
      </c>
      <c r="W20" s="37" t="s">
        <v>922</v>
      </c>
      <c r="AH20" t="s">
        <v>157</v>
      </c>
      <c r="AI20" t="s">
        <v>156</v>
      </c>
      <c r="AJ20">
        <v>18</v>
      </c>
      <c r="AL20" t="s">
        <v>104</v>
      </c>
      <c r="AM20" t="s">
        <v>103</v>
      </c>
      <c r="AN20">
        <v>18</v>
      </c>
      <c r="AZ20" t="s">
        <v>356</v>
      </c>
      <c r="BF20" t="s">
        <v>430</v>
      </c>
      <c r="BG20" t="s">
        <v>706</v>
      </c>
    </row>
    <row r="21" spans="18:59" x14ac:dyDescent="0.25">
      <c r="R21" t="s">
        <v>106</v>
      </c>
      <c r="S21" t="s">
        <v>105</v>
      </c>
      <c r="U21" t="s">
        <v>923</v>
      </c>
      <c r="V21" t="s">
        <v>924</v>
      </c>
      <c r="W21" s="37" t="s">
        <v>925</v>
      </c>
      <c r="AH21" t="s">
        <v>714</v>
      </c>
      <c r="AI21" t="s">
        <v>163</v>
      </c>
      <c r="AJ21">
        <v>19</v>
      </c>
      <c r="AL21" t="s">
        <v>715</v>
      </c>
      <c r="AM21" t="s">
        <v>107</v>
      </c>
      <c r="AN21">
        <v>19</v>
      </c>
      <c r="AZ21" t="s">
        <v>357</v>
      </c>
      <c r="BF21" t="s">
        <v>431</v>
      </c>
      <c r="BG21" t="s">
        <v>706</v>
      </c>
    </row>
    <row r="22" spans="18:59" x14ac:dyDescent="0.25">
      <c r="R22" t="s">
        <v>109</v>
      </c>
      <c r="S22" t="s">
        <v>108</v>
      </c>
      <c r="U22" t="s">
        <v>926</v>
      </c>
      <c r="V22" t="s">
        <v>927</v>
      </c>
      <c r="W22" s="37" t="s">
        <v>928</v>
      </c>
      <c r="AH22" t="s">
        <v>165</v>
      </c>
      <c r="AI22" t="s">
        <v>164</v>
      </c>
      <c r="AJ22">
        <v>20</v>
      </c>
      <c r="AL22" t="s">
        <v>111</v>
      </c>
      <c r="AM22" t="s">
        <v>110</v>
      </c>
      <c r="AN22">
        <v>20</v>
      </c>
      <c r="AZ22" t="s">
        <v>358</v>
      </c>
      <c r="BF22" t="s">
        <v>774</v>
      </c>
      <c r="BG22" t="s">
        <v>706</v>
      </c>
    </row>
    <row r="23" spans="18:59" x14ac:dyDescent="0.25">
      <c r="R23" t="s">
        <v>113</v>
      </c>
      <c r="S23" t="s">
        <v>112</v>
      </c>
      <c r="U23" t="s">
        <v>929</v>
      </c>
      <c r="V23" t="s">
        <v>930</v>
      </c>
      <c r="W23" s="37" t="s">
        <v>931</v>
      </c>
      <c r="AH23" t="s">
        <v>172</v>
      </c>
      <c r="AI23" t="s">
        <v>171</v>
      </c>
      <c r="AJ23">
        <v>21</v>
      </c>
      <c r="AL23" t="s">
        <v>716</v>
      </c>
      <c r="AM23" t="s">
        <v>114</v>
      </c>
      <c r="AN23">
        <v>21</v>
      </c>
      <c r="AZ23" t="s">
        <v>359</v>
      </c>
      <c r="BF23" t="s">
        <v>432</v>
      </c>
      <c r="BG23" t="s">
        <v>324</v>
      </c>
    </row>
    <row r="24" spans="18:59" x14ac:dyDescent="0.25">
      <c r="R24" t="s">
        <v>116</v>
      </c>
      <c r="S24" t="s">
        <v>115</v>
      </c>
      <c r="U24" t="s">
        <v>932</v>
      </c>
      <c r="V24" t="s">
        <v>933</v>
      </c>
      <c r="W24" s="37" t="s">
        <v>934</v>
      </c>
      <c r="AH24" t="s">
        <v>174</v>
      </c>
      <c r="AI24" t="s">
        <v>173</v>
      </c>
      <c r="AJ24">
        <v>22</v>
      </c>
      <c r="AL24" t="s">
        <v>710</v>
      </c>
      <c r="AM24" t="s">
        <v>117</v>
      </c>
      <c r="AN24">
        <v>22</v>
      </c>
      <c r="AZ24" t="s">
        <v>360</v>
      </c>
      <c r="BF24" t="s">
        <v>433</v>
      </c>
      <c r="BG24" t="s">
        <v>324</v>
      </c>
    </row>
    <row r="25" spans="18:59" x14ac:dyDescent="0.25">
      <c r="R25" t="s">
        <v>119</v>
      </c>
      <c r="S25" t="s">
        <v>118</v>
      </c>
      <c r="U25" t="s">
        <v>935</v>
      </c>
      <c r="V25" t="s">
        <v>936</v>
      </c>
      <c r="W25" s="37" t="s">
        <v>937</v>
      </c>
      <c r="AH25" t="s">
        <v>176</v>
      </c>
      <c r="AI25" t="s">
        <v>175</v>
      </c>
      <c r="AJ25">
        <v>23</v>
      </c>
      <c r="AL25" t="s">
        <v>717</v>
      </c>
      <c r="AM25" t="s">
        <v>120</v>
      </c>
      <c r="AN25">
        <v>23</v>
      </c>
      <c r="AZ25" t="s">
        <v>361</v>
      </c>
      <c r="BF25" t="s">
        <v>434</v>
      </c>
      <c r="BG25" t="s">
        <v>324</v>
      </c>
    </row>
    <row r="26" spans="18:59" x14ac:dyDescent="0.25">
      <c r="R26" t="s">
        <v>122</v>
      </c>
      <c r="S26" t="s">
        <v>121</v>
      </c>
      <c r="U26" t="s">
        <v>938</v>
      </c>
      <c r="V26" t="s">
        <v>939</v>
      </c>
      <c r="W26" s="37" t="s">
        <v>940</v>
      </c>
      <c r="AH26" t="s">
        <v>177</v>
      </c>
      <c r="AI26" t="s">
        <v>177</v>
      </c>
      <c r="AJ26">
        <v>24</v>
      </c>
      <c r="AL26" t="s">
        <v>718</v>
      </c>
      <c r="AM26" t="s">
        <v>123</v>
      </c>
      <c r="AN26">
        <v>24</v>
      </c>
      <c r="AZ26" t="s">
        <v>362</v>
      </c>
      <c r="BF26" t="s">
        <v>435</v>
      </c>
      <c r="BG26" t="s">
        <v>324</v>
      </c>
    </row>
    <row r="27" spans="18:59" x14ac:dyDescent="0.25">
      <c r="R27" t="s">
        <v>125</v>
      </c>
      <c r="S27" t="s">
        <v>124</v>
      </c>
      <c r="AH27" t="s">
        <v>179</v>
      </c>
      <c r="AI27" t="s">
        <v>178</v>
      </c>
      <c r="AJ27">
        <v>25</v>
      </c>
      <c r="AL27" t="s">
        <v>719</v>
      </c>
      <c r="AM27" t="s">
        <v>126</v>
      </c>
      <c r="AN27">
        <v>25</v>
      </c>
      <c r="AZ27" t="s">
        <v>363</v>
      </c>
      <c r="BF27" t="s">
        <v>436</v>
      </c>
      <c r="BG27" t="s">
        <v>324</v>
      </c>
    </row>
    <row r="28" spans="18:59" x14ac:dyDescent="0.25">
      <c r="R28" t="s">
        <v>128</v>
      </c>
      <c r="S28" t="s">
        <v>127</v>
      </c>
      <c r="AH28" t="s">
        <v>184</v>
      </c>
      <c r="AI28" t="s">
        <v>183</v>
      </c>
      <c r="AJ28">
        <v>26</v>
      </c>
      <c r="AL28" t="s">
        <v>130</v>
      </c>
      <c r="AM28" t="s">
        <v>129</v>
      </c>
      <c r="AN28">
        <v>26</v>
      </c>
      <c r="AZ28" t="s">
        <v>364</v>
      </c>
      <c r="BF28" t="s">
        <v>437</v>
      </c>
      <c r="BG28" t="s">
        <v>332</v>
      </c>
    </row>
    <row r="29" spans="18:59" x14ac:dyDescent="0.25">
      <c r="R29" t="s">
        <v>132</v>
      </c>
      <c r="S29" t="s">
        <v>131</v>
      </c>
      <c r="AH29" t="s">
        <v>187</v>
      </c>
      <c r="AI29" t="s">
        <v>186</v>
      </c>
      <c r="AJ29">
        <v>27</v>
      </c>
      <c r="AL29" t="s">
        <v>134</v>
      </c>
      <c r="AM29" t="s">
        <v>133</v>
      </c>
      <c r="AN29">
        <v>27</v>
      </c>
      <c r="AZ29" t="s">
        <v>365</v>
      </c>
      <c r="BF29" t="s">
        <v>438</v>
      </c>
      <c r="BG29" t="s">
        <v>324</v>
      </c>
    </row>
    <row r="30" spans="18:59" x14ac:dyDescent="0.25">
      <c r="R30" t="s">
        <v>136</v>
      </c>
      <c r="S30" t="s">
        <v>135</v>
      </c>
      <c r="AH30" t="s">
        <v>720</v>
      </c>
      <c r="AI30" t="s">
        <v>190</v>
      </c>
      <c r="AJ30">
        <v>28</v>
      </c>
      <c r="AL30" t="s">
        <v>138</v>
      </c>
      <c r="AM30" t="s">
        <v>137</v>
      </c>
      <c r="AN30">
        <v>28</v>
      </c>
      <c r="AZ30" t="s">
        <v>366</v>
      </c>
      <c r="BF30" t="s">
        <v>439</v>
      </c>
      <c r="BG30" t="s">
        <v>706</v>
      </c>
    </row>
    <row r="31" spans="18:59" x14ac:dyDescent="0.25">
      <c r="R31" t="s">
        <v>140</v>
      </c>
      <c r="S31" t="s">
        <v>139</v>
      </c>
      <c r="AH31" t="s">
        <v>192</v>
      </c>
      <c r="AI31" t="s">
        <v>191</v>
      </c>
      <c r="AJ31">
        <v>29</v>
      </c>
      <c r="AL31" t="s">
        <v>721</v>
      </c>
      <c r="AM31" t="s">
        <v>141</v>
      </c>
      <c r="AN31">
        <v>29</v>
      </c>
      <c r="AZ31" t="s">
        <v>367</v>
      </c>
      <c r="BF31" t="s">
        <v>440</v>
      </c>
      <c r="BG31" t="s">
        <v>324</v>
      </c>
    </row>
    <row r="32" spans="18:59" x14ac:dyDescent="0.25">
      <c r="R32" t="s">
        <v>143</v>
      </c>
      <c r="S32" t="s">
        <v>142</v>
      </c>
      <c r="AH32" t="s">
        <v>196</v>
      </c>
      <c r="AI32" t="s">
        <v>195</v>
      </c>
      <c r="AJ32">
        <v>30</v>
      </c>
      <c r="AL32" t="s">
        <v>145</v>
      </c>
      <c r="AM32" t="s">
        <v>144</v>
      </c>
      <c r="AN32">
        <v>30</v>
      </c>
      <c r="AZ32" t="s">
        <v>368</v>
      </c>
      <c r="BF32" t="s">
        <v>441</v>
      </c>
      <c r="BG32" t="s">
        <v>324</v>
      </c>
    </row>
    <row r="33" spans="18:59" x14ac:dyDescent="0.25">
      <c r="R33" t="s">
        <v>722</v>
      </c>
      <c r="S33" t="s">
        <v>146</v>
      </c>
      <c r="AH33" t="s">
        <v>200</v>
      </c>
      <c r="AI33" t="s">
        <v>199</v>
      </c>
      <c r="AJ33">
        <v>31</v>
      </c>
      <c r="AL33" t="s">
        <v>148</v>
      </c>
      <c r="AM33" t="s">
        <v>147</v>
      </c>
      <c r="AN33">
        <v>31</v>
      </c>
      <c r="AZ33" t="s">
        <v>369</v>
      </c>
      <c r="BF33" t="s">
        <v>442</v>
      </c>
      <c r="BG33" t="s">
        <v>324</v>
      </c>
    </row>
    <row r="34" spans="18:59" x14ac:dyDescent="0.25">
      <c r="R34" t="s">
        <v>723</v>
      </c>
      <c r="S34" t="s">
        <v>149</v>
      </c>
      <c r="AH34" t="s">
        <v>212</v>
      </c>
      <c r="AI34" t="s">
        <v>211</v>
      </c>
      <c r="AJ34">
        <v>32</v>
      </c>
      <c r="AL34" t="s">
        <v>712</v>
      </c>
      <c r="AM34" t="s">
        <v>150</v>
      </c>
      <c r="AN34">
        <v>32</v>
      </c>
      <c r="AZ34" t="s">
        <v>370</v>
      </c>
      <c r="BF34" t="s">
        <v>443</v>
      </c>
      <c r="BG34" t="s">
        <v>324</v>
      </c>
    </row>
    <row r="35" spans="18:59" x14ac:dyDescent="0.25">
      <c r="AH35" t="s">
        <v>217</v>
      </c>
      <c r="AI35" t="s">
        <v>216</v>
      </c>
      <c r="AJ35">
        <v>33</v>
      </c>
      <c r="AL35" t="s">
        <v>152</v>
      </c>
      <c r="AM35" t="s">
        <v>151</v>
      </c>
      <c r="AN35">
        <v>33</v>
      </c>
      <c r="AZ35" t="s">
        <v>371</v>
      </c>
      <c r="BF35" t="s">
        <v>444</v>
      </c>
      <c r="BG35" t="s">
        <v>324</v>
      </c>
    </row>
    <row r="36" spans="18:59" x14ac:dyDescent="0.25">
      <c r="AH36" t="s">
        <v>219</v>
      </c>
      <c r="AI36" t="s">
        <v>218</v>
      </c>
      <c r="AJ36">
        <v>34</v>
      </c>
      <c r="AL36" t="s">
        <v>724</v>
      </c>
      <c r="AM36" t="s">
        <v>153</v>
      </c>
      <c r="AN36">
        <v>34</v>
      </c>
      <c r="AZ36" t="s">
        <v>372</v>
      </c>
      <c r="BF36" t="s">
        <v>445</v>
      </c>
      <c r="BG36" t="s">
        <v>324</v>
      </c>
    </row>
    <row r="37" spans="18:59" x14ac:dyDescent="0.25">
      <c r="AH37" t="s">
        <v>221</v>
      </c>
      <c r="AI37" t="s">
        <v>220</v>
      </c>
      <c r="AJ37">
        <v>35</v>
      </c>
      <c r="AL37" t="s">
        <v>725</v>
      </c>
      <c r="AM37" t="s">
        <v>154</v>
      </c>
      <c r="AN37">
        <v>35</v>
      </c>
      <c r="AZ37" t="s">
        <v>373</v>
      </c>
      <c r="BF37" t="s">
        <v>446</v>
      </c>
      <c r="BG37" t="s">
        <v>332</v>
      </c>
    </row>
    <row r="38" spans="18:59" x14ac:dyDescent="0.25">
      <c r="AH38" t="s">
        <v>228</v>
      </c>
      <c r="AI38" t="s">
        <v>227</v>
      </c>
      <c r="AJ38">
        <v>36</v>
      </c>
      <c r="AL38" t="s">
        <v>726</v>
      </c>
      <c r="AM38" t="s">
        <v>155</v>
      </c>
      <c r="AN38">
        <v>36</v>
      </c>
      <c r="AZ38" t="s">
        <v>727</v>
      </c>
      <c r="BF38" t="s">
        <v>447</v>
      </c>
      <c r="BG38" t="s">
        <v>332</v>
      </c>
    </row>
    <row r="39" spans="18:59" x14ac:dyDescent="0.25">
      <c r="AH39" t="s">
        <v>230</v>
      </c>
      <c r="AI39" t="s">
        <v>229</v>
      </c>
      <c r="AJ39">
        <v>37</v>
      </c>
      <c r="AL39" t="s">
        <v>157</v>
      </c>
      <c r="AM39" t="s">
        <v>156</v>
      </c>
      <c r="AN39">
        <v>37</v>
      </c>
      <c r="AZ39" t="s">
        <v>728</v>
      </c>
      <c r="BF39" t="s">
        <v>448</v>
      </c>
      <c r="BG39" t="s">
        <v>324</v>
      </c>
    </row>
    <row r="40" spans="18:59" x14ac:dyDescent="0.25">
      <c r="AH40" t="s">
        <v>233</v>
      </c>
      <c r="AI40" t="s">
        <v>232</v>
      </c>
      <c r="AJ40">
        <v>38</v>
      </c>
      <c r="AL40" t="s">
        <v>158</v>
      </c>
      <c r="AM40" t="s">
        <v>158</v>
      </c>
      <c r="AN40">
        <v>38</v>
      </c>
      <c r="AZ40" t="s">
        <v>374</v>
      </c>
      <c r="BF40" t="s">
        <v>449</v>
      </c>
      <c r="BG40" t="s">
        <v>324</v>
      </c>
    </row>
    <row r="41" spans="18:59" x14ac:dyDescent="0.25">
      <c r="AH41" t="s">
        <v>235</v>
      </c>
      <c r="AI41" t="s">
        <v>234</v>
      </c>
      <c r="AJ41">
        <v>39</v>
      </c>
      <c r="AL41" t="s">
        <v>159</v>
      </c>
      <c r="AM41" t="s">
        <v>159</v>
      </c>
      <c r="AN41">
        <v>39</v>
      </c>
      <c r="AZ41" t="s">
        <v>375</v>
      </c>
      <c r="BF41" t="s">
        <v>450</v>
      </c>
      <c r="BG41" t="s">
        <v>324</v>
      </c>
    </row>
    <row r="42" spans="18:59" x14ac:dyDescent="0.25">
      <c r="AH42" t="s">
        <v>237</v>
      </c>
      <c r="AI42" t="s">
        <v>236</v>
      </c>
      <c r="AJ42">
        <v>40</v>
      </c>
      <c r="AL42" t="s">
        <v>729</v>
      </c>
      <c r="AM42" t="s">
        <v>160</v>
      </c>
      <c r="AN42">
        <v>40</v>
      </c>
      <c r="AZ42" t="s">
        <v>376</v>
      </c>
      <c r="BF42" t="s">
        <v>451</v>
      </c>
      <c r="BG42" t="s">
        <v>324</v>
      </c>
    </row>
    <row r="43" spans="18:59" x14ac:dyDescent="0.25">
      <c r="AH43" t="s">
        <v>239</v>
      </c>
      <c r="AI43" t="s">
        <v>238</v>
      </c>
      <c r="AJ43">
        <v>41</v>
      </c>
      <c r="AL43" t="s">
        <v>162</v>
      </c>
      <c r="AM43" t="s">
        <v>161</v>
      </c>
      <c r="AN43">
        <v>41</v>
      </c>
      <c r="AZ43" t="s">
        <v>377</v>
      </c>
      <c r="BF43" t="s">
        <v>452</v>
      </c>
      <c r="BG43" t="s">
        <v>332</v>
      </c>
    </row>
    <row r="44" spans="18:59" x14ac:dyDescent="0.25">
      <c r="AH44" t="s">
        <v>241</v>
      </c>
      <c r="AI44" t="s">
        <v>240</v>
      </c>
      <c r="AJ44">
        <v>42</v>
      </c>
      <c r="AL44" t="s">
        <v>714</v>
      </c>
      <c r="AM44" t="s">
        <v>163</v>
      </c>
      <c r="AN44">
        <v>42</v>
      </c>
      <c r="AZ44" t="s">
        <v>730</v>
      </c>
      <c r="BF44" t="s">
        <v>453</v>
      </c>
      <c r="BG44" t="s">
        <v>297</v>
      </c>
    </row>
    <row r="45" spans="18:59" x14ac:dyDescent="0.25">
      <c r="AH45" t="s">
        <v>243</v>
      </c>
      <c r="AI45" t="s">
        <v>242</v>
      </c>
      <c r="AJ45">
        <v>43</v>
      </c>
      <c r="AL45" t="s">
        <v>165</v>
      </c>
      <c r="AM45" t="s">
        <v>164</v>
      </c>
      <c r="AN45">
        <v>43</v>
      </c>
      <c r="AZ45" t="s">
        <v>378</v>
      </c>
      <c r="BF45" t="s">
        <v>454</v>
      </c>
      <c r="BG45" t="s">
        <v>324</v>
      </c>
    </row>
    <row r="46" spans="18:59" x14ac:dyDescent="0.25">
      <c r="AH46" t="s">
        <v>245</v>
      </c>
      <c r="AI46" t="s">
        <v>244</v>
      </c>
      <c r="AJ46">
        <v>44</v>
      </c>
      <c r="AL46" t="s">
        <v>167</v>
      </c>
      <c r="AM46" t="s">
        <v>166</v>
      </c>
      <c r="AN46">
        <v>44</v>
      </c>
      <c r="AZ46" t="s">
        <v>379</v>
      </c>
      <c r="BF46" t="s">
        <v>455</v>
      </c>
      <c r="BG46" t="s">
        <v>332</v>
      </c>
    </row>
    <row r="47" spans="18:59" x14ac:dyDescent="0.25">
      <c r="AH47" t="s">
        <v>249</v>
      </c>
      <c r="AI47" t="s">
        <v>248</v>
      </c>
      <c r="AJ47">
        <v>45</v>
      </c>
      <c r="AL47" t="s">
        <v>731</v>
      </c>
      <c r="AM47" t="s">
        <v>168</v>
      </c>
      <c r="AN47">
        <v>45</v>
      </c>
      <c r="AZ47" t="s">
        <v>380</v>
      </c>
      <c r="BF47" t="s">
        <v>456</v>
      </c>
      <c r="BG47" t="s">
        <v>332</v>
      </c>
    </row>
    <row r="48" spans="18:59" x14ac:dyDescent="0.25">
      <c r="AH48" t="s">
        <v>251</v>
      </c>
      <c r="AI48" t="s">
        <v>250</v>
      </c>
      <c r="AJ48">
        <v>46</v>
      </c>
      <c r="AL48" t="s">
        <v>170</v>
      </c>
      <c r="AM48" t="s">
        <v>169</v>
      </c>
      <c r="AN48">
        <v>46</v>
      </c>
      <c r="AZ48" t="s">
        <v>381</v>
      </c>
      <c r="BF48" t="s">
        <v>457</v>
      </c>
      <c r="BG48" t="s">
        <v>324</v>
      </c>
    </row>
    <row r="49" spans="34:59" x14ac:dyDescent="0.25">
      <c r="AH49" t="s">
        <v>732</v>
      </c>
      <c r="AI49" t="s">
        <v>252</v>
      </c>
      <c r="AJ49">
        <v>47</v>
      </c>
      <c r="AL49" t="s">
        <v>172</v>
      </c>
      <c r="AM49" t="s">
        <v>171</v>
      </c>
      <c r="AN49">
        <v>47</v>
      </c>
      <c r="AZ49" t="s">
        <v>382</v>
      </c>
      <c r="BF49" t="s">
        <v>458</v>
      </c>
      <c r="BG49" t="s">
        <v>324</v>
      </c>
    </row>
    <row r="50" spans="34:59" x14ac:dyDescent="0.25">
      <c r="AH50" t="s">
        <v>253</v>
      </c>
      <c r="AI50" t="s">
        <v>253</v>
      </c>
      <c r="AJ50">
        <v>48</v>
      </c>
      <c r="AL50" t="s">
        <v>174</v>
      </c>
      <c r="AM50" t="s">
        <v>173</v>
      </c>
      <c r="AN50">
        <v>48</v>
      </c>
      <c r="AZ50" t="s">
        <v>383</v>
      </c>
      <c r="BF50" t="s">
        <v>459</v>
      </c>
      <c r="BG50" t="s">
        <v>332</v>
      </c>
    </row>
    <row r="51" spans="34:59" x14ac:dyDescent="0.25">
      <c r="AH51" t="s">
        <v>945</v>
      </c>
      <c r="AI51" t="s">
        <v>946</v>
      </c>
      <c r="AJ51">
        <v>49</v>
      </c>
      <c r="AL51" t="s">
        <v>176</v>
      </c>
      <c r="AM51" t="s">
        <v>175</v>
      </c>
      <c r="AN51">
        <v>49</v>
      </c>
      <c r="AZ51" t="s">
        <v>384</v>
      </c>
      <c r="BF51" t="s">
        <v>460</v>
      </c>
      <c r="BG51" t="s">
        <v>324</v>
      </c>
    </row>
    <row r="52" spans="34:59" x14ac:dyDescent="0.25">
      <c r="AL52" t="s">
        <v>177</v>
      </c>
      <c r="AM52" t="s">
        <v>177</v>
      </c>
      <c r="AN52">
        <v>50</v>
      </c>
      <c r="AZ52" t="s">
        <v>385</v>
      </c>
      <c r="BF52" t="s">
        <v>461</v>
      </c>
      <c r="BG52" t="s">
        <v>324</v>
      </c>
    </row>
    <row r="53" spans="34:59" x14ac:dyDescent="0.25">
      <c r="AL53" t="s">
        <v>179</v>
      </c>
      <c r="AM53" t="s">
        <v>178</v>
      </c>
      <c r="AN53">
        <v>51</v>
      </c>
      <c r="AZ53" t="s">
        <v>386</v>
      </c>
      <c r="BF53" t="s">
        <v>462</v>
      </c>
      <c r="BG53" t="s">
        <v>324</v>
      </c>
    </row>
    <row r="54" spans="34:59" x14ac:dyDescent="0.25">
      <c r="AL54" t="s">
        <v>733</v>
      </c>
      <c r="AM54" t="s">
        <v>180</v>
      </c>
      <c r="AN54">
        <v>52</v>
      </c>
      <c r="AZ54" t="s">
        <v>387</v>
      </c>
      <c r="BF54" t="s">
        <v>463</v>
      </c>
      <c r="BG54" t="s">
        <v>324</v>
      </c>
    </row>
    <row r="55" spans="34:59" x14ac:dyDescent="0.25">
      <c r="AL55" t="s">
        <v>182</v>
      </c>
      <c r="AM55" t="s">
        <v>181</v>
      </c>
      <c r="AN55">
        <v>53</v>
      </c>
      <c r="AZ55" t="s">
        <v>388</v>
      </c>
      <c r="BF55" t="s">
        <v>464</v>
      </c>
      <c r="BG55" t="s">
        <v>332</v>
      </c>
    </row>
    <row r="56" spans="34:59" x14ac:dyDescent="0.25">
      <c r="AL56" t="s">
        <v>184</v>
      </c>
      <c r="AM56" t="s">
        <v>183</v>
      </c>
      <c r="AN56">
        <v>54</v>
      </c>
      <c r="AZ56" t="s">
        <v>389</v>
      </c>
      <c r="BF56" t="s">
        <v>465</v>
      </c>
      <c r="BG56" t="s">
        <v>332</v>
      </c>
    </row>
    <row r="57" spans="34:59" x14ac:dyDescent="0.25">
      <c r="AL57" t="s">
        <v>734</v>
      </c>
      <c r="AM57" t="s">
        <v>185</v>
      </c>
      <c r="AN57">
        <v>55</v>
      </c>
      <c r="AZ57" t="s">
        <v>390</v>
      </c>
      <c r="BF57" t="s">
        <v>466</v>
      </c>
      <c r="BG57" t="s">
        <v>324</v>
      </c>
    </row>
    <row r="58" spans="34:59" x14ac:dyDescent="0.25">
      <c r="AL58" t="s">
        <v>187</v>
      </c>
      <c r="AM58" t="s">
        <v>186</v>
      </c>
      <c r="AN58">
        <v>56</v>
      </c>
      <c r="AZ58" t="s">
        <v>391</v>
      </c>
      <c r="BF58" t="s">
        <v>467</v>
      </c>
      <c r="BG58" t="s">
        <v>324</v>
      </c>
    </row>
    <row r="59" spans="34:59" x14ac:dyDescent="0.25">
      <c r="AL59" t="s">
        <v>189</v>
      </c>
      <c r="AM59" t="s">
        <v>188</v>
      </c>
      <c r="AN59">
        <v>57</v>
      </c>
      <c r="AZ59" t="s">
        <v>392</v>
      </c>
      <c r="BF59" t="s">
        <v>468</v>
      </c>
      <c r="BG59" t="s">
        <v>324</v>
      </c>
    </row>
    <row r="60" spans="34:59" x14ac:dyDescent="0.25">
      <c r="AL60" t="s">
        <v>720</v>
      </c>
      <c r="AM60" t="s">
        <v>190</v>
      </c>
      <c r="AN60">
        <v>58</v>
      </c>
      <c r="AZ60" t="s">
        <v>393</v>
      </c>
      <c r="BF60" t="s">
        <v>469</v>
      </c>
      <c r="BG60" t="s">
        <v>324</v>
      </c>
    </row>
    <row r="61" spans="34:59" x14ac:dyDescent="0.25">
      <c r="AL61" t="s">
        <v>192</v>
      </c>
      <c r="AM61" t="s">
        <v>191</v>
      </c>
      <c r="AN61">
        <v>59</v>
      </c>
      <c r="AZ61" t="s">
        <v>394</v>
      </c>
      <c r="BF61" t="s">
        <v>470</v>
      </c>
      <c r="BG61" t="s">
        <v>324</v>
      </c>
    </row>
    <row r="62" spans="34:59" x14ac:dyDescent="0.25">
      <c r="AL62" t="s">
        <v>735</v>
      </c>
      <c r="AM62" t="s">
        <v>193</v>
      </c>
      <c r="AN62">
        <v>60</v>
      </c>
      <c r="AZ62" t="s">
        <v>395</v>
      </c>
      <c r="BF62" t="s">
        <v>471</v>
      </c>
      <c r="BG62" t="s">
        <v>324</v>
      </c>
    </row>
    <row r="63" spans="34:59" x14ac:dyDescent="0.25">
      <c r="AL63" t="s">
        <v>736</v>
      </c>
      <c r="AM63" t="s">
        <v>194</v>
      </c>
      <c r="AN63">
        <v>61</v>
      </c>
      <c r="AZ63" t="s">
        <v>396</v>
      </c>
      <c r="BF63" t="s">
        <v>472</v>
      </c>
      <c r="BG63" t="s">
        <v>324</v>
      </c>
    </row>
    <row r="64" spans="34:59" x14ac:dyDescent="0.25">
      <c r="AL64" t="s">
        <v>196</v>
      </c>
      <c r="AM64" t="s">
        <v>195</v>
      </c>
      <c r="AN64">
        <v>62</v>
      </c>
      <c r="AZ64" t="s">
        <v>397</v>
      </c>
      <c r="BF64" t="s">
        <v>473</v>
      </c>
      <c r="BG64" t="s">
        <v>324</v>
      </c>
    </row>
    <row r="65" spans="38:59" x14ac:dyDescent="0.25">
      <c r="AL65" t="s">
        <v>198</v>
      </c>
      <c r="AM65" t="s">
        <v>197</v>
      </c>
      <c r="AN65">
        <v>63</v>
      </c>
      <c r="AZ65" t="s">
        <v>398</v>
      </c>
      <c r="BF65" t="s">
        <v>474</v>
      </c>
      <c r="BG65" t="s">
        <v>324</v>
      </c>
    </row>
    <row r="66" spans="38:59" x14ac:dyDescent="0.25">
      <c r="AL66" t="s">
        <v>200</v>
      </c>
      <c r="AM66" t="s">
        <v>199</v>
      </c>
      <c r="AN66">
        <v>64</v>
      </c>
      <c r="AZ66" t="s">
        <v>399</v>
      </c>
      <c r="BF66" t="s">
        <v>475</v>
      </c>
      <c r="BG66" t="s">
        <v>332</v>
      </c>
    </row>
    <row r="67" spans="38:59" x14ac:dyDescent="0.25">
      <c r="AL67" t="s">
        <v>202</v>
      </c>
      <c r="AM67" t="s">
        <v>201</v>
      </c>
      <c r="AN67">
        <v>65</v>
      </c>
      <c r="AZ67" t="s">
        <v>400</v>
      </c>
      <c r="BF67" t="s">
        <v>476</v>
      </c>
      <c r="BG67" t="s">
        <v>324</v>
      </c>
    </row>
    <row r="68" spans="38:59" x14ac:dyDescent="0.25">
      <c r="AL68" t="s">
        <v>204</v>
      </c>
      <c r="AM68" t="s">
        <v>203</v>
      </c>
      <c r="AN68">
        <v>66</v>
      </c>
      <c r="AZ68" t="s">
        <v>401</v>
      </c>
      <c r="BF68" t="s">
        <v>477</v>
      </c>
      <c r="BG68" t="s">
        <v>332</v>
      </c>
    </row>
    <row r="69" spans="38:59" x14ac:dyDescent="0.25">
      <c r="AL69" t="s">
        <v>206</v>
      </c>
      <c r="AM69" t="s">
        <v>205</v>
      </c>
      <c r="AN69">
        <v>67</v>
      </c>
      <c r="AZ69" t="s">
        <v>402</v>
      </c>
      <c r="BF69" t="s">
        <v>478</v>
      </c>
      <c r="BG69" t="s">
        <v>324</v>
      </c>
    </row>
    <row r="70" spans="38:59" x14ac:dyDescent="0.25">
      <c r="AL70" t="s">
        <v>208</v>
      </c>
      <c r="AM70" t="s">
        <v>207</v>
      </c>
      <c r="AN70">
        <v>68</v>
      </c>
      <c r="AZ70" t="s">
        <v>403</v>
      </c>
      <c r="BF70" t="s">
        <v>479</v>
      </c>
      <c r="BG70" t="s">
        <v>332</v>
      </c>
    </row>
    <row r="71" spans="38:59" x14ac:dyDescent="0.25">
      <c r="AL71" t="s">
        <v>210</v>
      </c>
      <c r="AM71" t="s">
        <v>209</v>
      </c>
      <c r="AN71">
        <v>69</v>
      </c>
      <c r="AZ71" t="s">
        <v>404</v>
      </c>
      <c r="BF71" t="s">
        <v>480</v>
      </c>
      <c r="BG71" t="s">
        <v>332</v>
      </c>
    </row>
    <row r="72" spans="38:59" x14ac:dyDescent="0.25">
      <c r="AL72" t="s">
        <v>212</v>
      </c>
      <c r="AM72" t="s">
        <v>211</v>
      </c>
      <c r="AN72">
        <v>70</v>
      </c>
      <c r="AZ72" t="s">
        <v>405</v>
      </c>
      <c r="BF72" t="s">
        <v>481</v>
      </c>
      <c r="BG72" t="s">
        <v>324</v>
      </c>
    </row>
    <row r="73" spans="38:59" x14ac:dyDescent="0.25">
      <c r="AL73" t="s">
        <v>214</v>
      </c>
      <c r="AM73" t="s">
        <v>213</v>
      </c>
      <c r="AN73">
        <v>71</v>
      </c>
      <c r="AZ73" t="s">
        <v>406</v>
      </c>
      <c r="BF73" t="s">
        <v>482</v>
      </c>
      <c r="BG73" t="s">
        <v>332</v>
      </c>
    </row>
    <row r="74" spans="38:59" x14ac:dyDescent="0.25">
      <c r="AL74" t="s">
        <v>737</v>
      </c>
      <c r="AM74" t="s">
        <v>215</v>
      </c>
      <c r="AN74">
        <v>72</v>
      </c>
      <c r="AZ74" t="s">
        <v>407</v>
      </c>
      <c r="BF74" t="s">
        <v>483</v>
      </c>
      <c r="BG74" t="s">
        <v>324</v>
      </c>
    </row>
    <row r="75" spans="38:59" x14ac:dyDescent="0.25">
      <c r="AL75" t="s">
        <v>217</v>
      </c>
      <c r="AM75" t="s">
        <v>216</v>
      </c>
      <c r="AN75">
        <v>73</v>
      </c>
      <c r="AZ75" t="s">
        <v>408</v>
      </c>
      <c r="BF75" t="s">
        <v>484</v>
      </c>
      <c r="BG75" t="s">
        <v>324</v>
      </c>
    </row>
    <row r="76" spans="38:59" x14ac:dyDescent="0.25">
      <c r="AL76" t="s">
        <v>219</v>
      </c>
      <c r="AM76" t="s">
        <v>218</v>
      </c>
      <c r="AN76">
        <v>74</v>
      </c>
      <c r="AZ76" t="s">
        <v>409</v>
      </c>
      <c r="BF76" t="s">
        <v>485</v>
      </c>
      <c r="BG76" t="s">
        <v>324</v>
      </c>
    </row>
    <row r="77" spans="38:59" x14ac:dyDescent="0.25">
      <c r="AL77" t="s">
        <v>221</v>
      </c>
      <c r="AM77" t="s">
        <v>220</v>
      </c>
      <c r="AN77">
        <v>75</v>
      </c>
      <c r="AZ77" t="s">
        <v>410</v>
      </c>
      <c r="BF77" t="s">
        <v>486</v>
      </c>
      <c r="BG77" t="s">
        <v>324</v>
      </c>
    </row>
    <row r="78" spans="38:59" x14ac:dyDescent="0.25">
      <c r="AL78" t="s">
        <v>223</v>
      </c>
      <c r="AM78" t="s">
        <v>222</v>
      </c>
      <c r="AN78">
        <v>76</v>
      </c>
      <c r="AZ78" t="s">
        <v>411</v>
      </c>
      <c r="BF78" t="s">
        <v>487</v>
      </c>
      <c r="BG78" t="s">
        <v>324</v>
      </c>
    </row>
    <row r="79" spans="38:59" x14ac:dyDescent="0.25">
      <c r="AL79" t="s">
        <v>225</v>
      </c>
      <c r="AM79" t="s">
        <v>224</v>
      </c>
      <c r="AN79">
        <v>77</v>
      </c>
      <c r="AZ79" t="s">
        <v>412</v>
      </c>
      <c r="BF79" t="s">
        <v>488</v>
      </c>
      <c r="BG79" t="s">
        <v>324</v>
      </c>
    </row>
    <row r="80" spans="38:59" x14ac:dyDescent="0.25">
      <c r="AL80" t="s">
        <v>738</v>
      </c>
      <c r="AM80" t="s">
        <v>226</v>
      </c>
      <c r="AN80">
        <v>78</v>
      </c>
      <c r="AZ80" t="s">
        <v>821</v>
      </c>
      <c r="BF80" t="s">
        <v>489</v>
      </c>
      <c r="BG80" t="s">
        <v>324</v>
      </c>
    </row>
    <row r="81" spans="38:59" x14ac:dyDescent="0.25">
      <c r="AL81" t="s">
        <v>228</v>
      </c>
      <c r="AM81" t="s">
        <v>227</v>
      </c>
      <c r="AN81">
        <v>79</v>
      </c>
      <c r="AZ81" t="s">
        <v>822</v>
      </c>
      <c r="BF81" t="s">
        <v>490</v>
      </c>
      <c r="BG81" t="s">
        <v>324</v>
      </c>
    </row>
    <row r="82" spans="38:59" x14ac:dyDescent="0.25">
      <c r="AL82" t="s">
        <v>230</v>
      </c>
      <c r="AM82" t="s">
        <v>229</v>
      </c>
      <c r="AN82">
        <v>80</v>
      </c>
      <c r="BF82" t="s">
        <v>491</v>
      </c>
      <c r="BG82" t="s">
        <v>324</v>
      </c>
    </row>
    <row r="83" spans="38:59" x14ac:dyDescent="0.25">
      <c r="AL83" t="s">
        <v>739</v>
      </c>
      <c r="AM83" t="s">
        <v>231</v>
      </c>
      <c r="AN83">
        <v>81</v>
      </c>
      <c r="BF83" t="s">
        <v>492</v>
      </c>
      <c r="BG83" t="s">
        <v>324</v>
      </c>
    </row>
    <row r="84" spans="38:59" x14ac:dyDescent="0.25">
      <c r="AL84" t="s">
        <v>233</v>
      </c>
      <c r="AM84" t="s">
        <v>232</v>
      </c>
      <c r="AN84">
        <v>82</v>
      </c>
      <c r="BF84" t="s">
        <v>493</v>
      </c>
      <c r="BG84" t="s">
        <v>332</v>
      </c>
    </row>
    <row r="85" spans="38:59" x14ac:dyDescent="0.25">
      <c r="AL85" t="s">
        <v>235</v>
      </c>
      <c r="AM85" t="s">
        <v>234</v>
      </c>
      <c r="AN85">
        <v>83</v>
      </c>
      <c r="BF85" t="s">
        <v>494</v>
      </c>
      <c r="BG85" t="s">
        <v>332</v>
      </c>
    </row>
    <row r="86" spans="38:59" x14ac:dyDescent="0.25">
      <c r="AL86" t="s">
        <v>237</v>
      </c>
      <c r="AM86" t="s">
        <v>236</v>
      </c>
      <c r="AN86">
        <v>84</v>
      </c>
      <c r="BF86" t="s">
        <v>495</v>
      </c>
      <c r="BG86" t="s">
        <v>324</v>
      </c>
    </row>
    <row r="87" spans="38:59" x14ac:dyDescent="0.25">
      <c r="AL87" t="s">
        <v>239</v>
      </c>
      <c r="AM87" t="s">
        <v>238</v>
      </c>
      <c r="AN87">
        <v>85</v>
      </c>
      <c r="BF87" t="s">
        <v>496</v>
      </c>
      <c r="BG87" t="s">
        <v>324</v>
      </c>
    </row>
    <row r="88" spans="38:59" x14ac:dyDescent="0.25">
      <c r="AL88" t="s">
        <v>241</v>
      </c>
      <c r="AM88" t="s">
        <v>240</v>
      </c>
      <c r="AN88">
        <v>86</v>
      </c>
      <c r="BF88" t="s">
        <v>497</v>
      </c>
      <c r="BG88" t="s">
        <v>324</v>
      </c>
    </row>
    <row r="89" spans="38:59" x14ac:dyDescent="0.25">
      <c r="AL89" t="s">
        <v>243</v>
      </c>
      <c r="AM89" t="s">
        <v>242</v>
      </c>
      <c r="AN89">
        <v>87</v>
      </c>
      <c r="BF89" t="s">
        <v>498</v>
      </c>
      <c r="BG89" t="s">
        <v>324</v>
      </c>
    </row>
    <row r="90" spans="38:59" x14ac:dyDescent="0.25">
      <c r="AL90" t="s">
        <v>245</v>
      </c>
      <c r="AM90" t="s">
        <v>244</v>
      </c>
      <c r="AN90">
        <v>88</v>
      </c>
      <c r="BF90" t="s">
        <v>499</v>
      </c>
      <c r="BG90" t="s">
        <v>332</v>
      </c>
    </row>
    <row r="91" spans="38:59" x14ac:dyDescent="0.25">
      <c r="AL91" t="s">
        <v>247</v>
      </c>
      <c r="AM91" t="s">
        <v>246</v>
      </c>
      <c r="AN91">
        <v>89</v>
      </c>
      <c r="BF91" t="s">
        <v>500</v>
      </c>
      <c r="BG91" t="s">
        <v>324</v>
      </c>
    </row>
    <row r="92" spans="38:59" x14ac:dyDescent="0.25">
      <c r="AL92" t="s">
        <v>249</v>
      </c>
      <c r="AM92" t="s">
        <v>248</v>
      </c>
      <c r="AN92">
        <v>90</v>
      </c>
      <c r="BF92" t="s">
        <v>501</v>
      </c>
      <c r="BG92" t="s">
        <v>332</v>
      </c>
    </row>
    <row r="93" spans="38:59" x14ac:dyDescent="0.25">
      <c r="AL93" t="s">
        <v>251</v>
      </c>
      <c r="AM93" t="s">
        <v>250</v>
      </c>
      <c r="AN93">
        <v>91</v>
      </c>
      <c r="BF93" t="s">
        <v>502</v>
      </c>
      <c r="BG93" t="s">
        <v>324</v>
      </c>
    </row>
    <row r="94" spans="38:59" x14ac:dyDescent="0.25">
      <c r="AL94" t="s">
        <v>732</v>
      </c>
      <c r="AM94" t="s">
        <v>252</v>
      </c>
      <c r="AN94">
        <v>92</v>
      </c>
      <c r="BF94" t="s">
        <v>776</v>
      </c>
      <c r="BG94" t="s">
        <v>324</v>
      </c>
    </row>
    <row r="95" spans="38:59" x14ac:dyDescent="0.25">
      <c r="AL95" t="s">
        <v>253</v>
      </c>
      <c r="AM95" t="s">
        <v>253</v>
      </c>
      <c r="AN95">
        <v>93</v>
      </c>
      <c r="BF95" t="s">
        <v>503</v>
      </c>
      <c r="BG95" t="s">
        <v>324</v>
      </c>
    </row>
    <row r="96" spans="38:59" x14ac:dyDescent="0.25">
      <c r="AL96" t="s">
        <v>876</v>
      </c>
      <c r="AM96" t="s">
        <v>874</v>
      </c>
      <c r="AN96">
        <v>94</v>
      </c>
      <c r="BF96" t="s">
        <v>504</v>
      </c>
      <c r="BG96" t="s">
        <v>297</v>
      </c>
    </row>
    <row r="97" spans="38:59" x14ac:dyDescent="0.25">
      <c r="AL97" t="s">
        <v>945</v>
      </c>
      <c r="AM97" t="s">
        <v>946</v>
      </c>
      <c r="AN97">
        <v>95</v>
      </c>
      <c r="BF97" t="s">
        <v>505</v>
      </c>
      <c r="BG97" t="s">
        <v>297</v>
      </c>
    </row>
    <row r="98" spans="38:59" x14ac:dyDescent="0.25">
      <c r="BF98" t="s">
        <v>506</v>
      </c>
      <c r="BG98" t="s">
        <v>297</v>
      </c>
    </row>
    <row r="99" spans="38:59" x14ac:dyDescent="0.25">
      <c r="BF99" t="s">
        <v>507</v>
      </c>
      <c r="BG99" t="s">
        <v>297</v>
      </c>
    </row>
    <row r="100" spans="38:59" x14ac:dyDescent="0.25">
      <c r="BF100" t="s">
        <v>508</v>
      </c>
      <c r="BG100" t="s">
        <v>324</v>
      </c>
    </row>
    <row r="101" spans="38:59" x14ac:dyDescent="0.25">
      <c r="BF101" t="s">
        <v>509</v>
      </c>
      <c r="BG101" t="s">
        <v>297</v>
      </c>
    </row>
    <row r="102" spans="38:59" x14ac:dyDescent="0.25">
      <c r="BF102" t="s">
        <v>510</v>
      </c>
      <c r="BG102" t="s">
        <v>297</v>
      </c>
    </row>
    <row r="103" spans="38:59" x14ac:dyDescent="0.25">
      <c r="BF103" t="s">
        <v>511</v>
      </c>
      <c r="BG103" t="s">
        <v>324</v>
      </c>
    </row>
    <row r="104" spans="38:59" x14ac:dyDescent="0.25">
      <c r="BF104" t="s">
        <v>512</v>
      </c>
      <c r="BG104" t="s">
        <v>297</v>
      </c>
    </row>
    <row r="105" spans="38:59" x14ac:dyDescent="0.25">
      <c r="BF105" t="s">
        <v>513</v>
      </c>
      <c r="BG105" t="s">
        <v>706</v>
      </c>
    </row>
    <row r="106" spans="38:59" x14ac:dyDescent="0.25">
      <c r="BF106" t="s">
        <v>514</v>
      </c>
      <c r="BG106" t="s">
        <v>324</v>
      </c>
    </row>
    <row r="107" spans="38:59" x14ac:dyDescent="0.25">
      <c r="BF107" t="s">
        <v>515</v>
      </c>
      <c r="BG107" t="s">
        <v>706</v>
      </c>
    </row>
    <row r="108" spans="38:59" x14ac:dyDescent="0.25">
      <c r="BF108" t="s">
        <v>516</v>
      </c>
      <c r="BG108" t="s">
        <v>706</v>
      </c>
    </row>
    <row r="109" spans="38:59" x14ac:dyDescent="0.25">
      <c r="BF109" t="s">
        <v>517</v>
      </c>
      <c r="BG109" t="s">
        <v>706</v>
      </c>
    </row>
    <row r="110" spans="38:59" x14ac:dyDescent="0.25">
      <c r="BF110" t="s">
        <v>518</v>
      </c>
      <c r="BG110" t="s">
        <v>297</v>
      </c>
    </row>
    <row r="111" spans="38:59" x14ac:dyDescent="0.25">
      <c r="BF111" t="s">
        <v>519</v>
      </c>
      <c r="BG111" t="s">
        <v>706</v>
      </c>
    </row>
    <row r="112" spans="38:59" x14ac:dyDescent="0.25">
      <c r="BF112" t="s">
        <v>520</v>
      </c>
      <c r="BG112" t="s">
        <v>297</v>
      </c>
    </row>
    <row r="113" spans="58:59" x14ac:dyDescent="0.25">
      <c r="BF113" t="s">
        <v>521</v>
      </c>
      <c r="BG113" t="s">
        <v>706</v>
      </c>
    </row>
    <row r="114" spans="58:59" x14ac:dyDescent="0.25">
      <c r="BF114" t="s">
        <v>522</v>
      </c>
      <c r="BG114" t="s">
        <v>297</v>
      </c>
    </row>
    <row r="115" spans="58:59" x14ac:dyDescent="0.25">
      <c r="BF115" t="s">
        <v>523</v>
      </c>
      <c r="BG115" t="s">
        <v>297</v>
      </c>
    </row>
    <row r="116" spans="58:59" x14ac:dyDescent="0.25">
      <c r="BF116" t="s">
        <v>524</v>
      </c>
      <c r="BG116" t="s">
        <v>297</v>
      </c>
    </row>
    <row r="117" spans="58:59" x14ac:dyDescent="0.25">
      <c r="BF117" t="s">
        <v>525</v>
      </c>
      <c r="BG117" t="s">
        <v>297</v>
      </c>
    </row>
    <row r="118" spans="58:59" x14ac:dyDescent="0.25">
      <c r="BF118" t="s">
        <v>526</v>
      </c>
      <c r="BG118" t="s">
        <v>297</v>
      </c>
    </row>
    <row r="119" spans="58:59" x14ac:dyDescent="0.25">
      <c r="BF119" t="s">
        <v>527</v>
      </c>
      <c r="BG119" t="s">
        <v>297</v>
      </c>
    </row>
    <row r="120" spans="58:59" x14ac:dyDescent="0.25">
      <c r="BF120" t="s">
        <v>528</v>
      </c>
      <c r="BG120" t="s">
        <v>297</v>
      </c>
    </row>
    <row r="121" spans="58:59" x14ac:dyDescent="0.25">
      <c r="BF121" t="s">
        <v>529</v>
      </c>
      <c r="BG121" t="s">
        <v>297</v>
      </c>
    </row>
    <row r="122" spans="58:59" x14ac:dyDescent="0.25">
      <c r="BF122" t="s">
        <v>530</v>
      </c>
      <c r="BG122" t="s">
        <v>297</v>
      </c>
    </row>
    <row r="123" spans="58:59" x14ac:dyDescent="0.25">
      <c r="BF123" t="s">
        <v>531</v>
      </c>
      <c r="BG123" t="s">
        <v>297</v>
      </c>
    </row>
    <row r="124" spans="58:59" x14ac:dyDescent="0.25">
      <c r="BF124" t="s">
        <v>532</v>
      </c>
      <c r="BG124" t="s">
        <v>297</v>
      </c>
    </row>
    <row r="125" spans="58:59" x14ac:dyDescent="0.25">
      <c r="BF125" t="s">
        <v>533</v>
      </c>
      <c r="BG125" t="s">
        <v>706</v>
      </c>
    </row>
    <row r="126" spans="58:59" x14ac:dyDescent="0.25">
      <c r="BF126" t="s">
        <v>534</v>
      </c>
      <c r="BG126" t="s">
        <v>706</v>
      </c>
    </row>
    <row r="127" spans="58:59" x14ac:dyDescent="0.25">
      <c r="BF127" t="s">
        <v>535</v>
      </c>
      <c r="BG127" t="s">
        <v>706</v>
      </c>
    </row>
    <row r="128" spans="58:59" x14ac:dyDescent="0.25">
      <c r="BF128" t="s">
        <v>782</v>
      </c>
      <c r="BG128" t="s">
        <v>706</v>
      </c>
    </row>
    <row r="129" spans="58:59" x14ac:dyDescent="0.25">
      <c r="BF129" t="s">
        <v>536</v>
      </c>
      <c r="BG129" t="s">
        <v>297</v>
      </c>
    </row>
    <row r="130" spans="58:59" x14ac:dyDescent="0.25">
      <c r="BF130" t="s">
        <v>537</v>
      </c>
      <c r="BG130" t="s">
        <v>297</v>
      </c>
    </row>
    <row r="131" spans="58:59" x14ac:dyDescent="0.25">
      <c r="BF131" t="s">
        <v>538</v>
      </c>
      <c r="BG131" t="s">
        <v>297</v>
      </c>
    </row>
    <row r="132" spans="58:59" x14ac:dyDescent="0.25">
      <c r="BF132" t="s">
        <v>539</v>
      </c>
      <c r="BG132" t="s">
        <v>297</v>
      </c>
    </row>
    <row r="133" spans="58:59" x14ac:dyDescent="0.25">
      <c r="BF133" t="s">
        <v>540</v>
      </c>
      <c r="BG133" t="s">
        <v>297</v>
      </c>
    </row>
    <row r="134" spans="58:59" x14ac:dyDescent="0.25">
      <c r="BF134" t="s">
        <v>541</v>
      </c>
      <c r="BG134" t="s">
        <v>297</v>
      </c>
    </row>
    <row r="135" spans="58:59" x14ac:dyDescent="0.25">
      <c r="BF135" t="s">
        <v>542</v>
      </c>
      <c r="BG135" t="s">
        <v>297</v>
      </c>
    </row>
    <row r="136" spans="58:59" x14ac:dyDescent="0.25">
      <c r="BF136" t="s">
        <v>543</v>
      </c>
      <c r="BG136" t="s">
        <v>297</v>
      </c>
    </row>
    <row r="137" spans="58:59" x14ac:dyDescent="0.25">
      <c r="BF137" t="s">
        <v>544</v>
      </c>
      <c r="BG137" t="s">
        <v>297</v>
      </c>
    </row>
    <row r="138" spans="58:59" x14ac:dyDescent="0.25">
      <c r="BF138" t="s">
        <v>772</v>
      </c>
      <c r="BG138" t="s">
        <v>297</v>
      </c>
    </row>
    <row r="139" spans="58:59" x14ac:dyDescent="0.25">
      <c r="BF139" t="s">
        <v>545</v>
      </c>
      <c r="BG139" t="s">
        <v>297</v>
      </c>
    </row>
    <row r="140" spans="58:59" x14ac:dyDescent="0.25">
      <c r="BF140" t="s">
        <v>546</v>
      </c>
      <c r="BG140" t="s">
        <v>297</v>
      </c>
    </row>
    <row r="141" spans="58:59" x14ac:dyDescent="0.25">
      <c r="BF141" t="s">
        <v>547</v>
      </c>
      <c r="BG141" t="s">
        <v>297</v>
      </c>
    </row>
    <row r="142" spans="58:59" x14ac:dyDescent="0.25">
      <c r="BF142" t="s">
        <v>548</v>
      </c>
      <c r="BG142" t="s">
        <v>706</v>
      </c>
    </row>
    <row r="143" spans="58:59" x14ac:dyDescent="0.25">
      <c r="BF143" t="s">
        <v>549</v>
      </c>
      <c r="BG143" t="s">
        <v>297</v>
      </c>
    </row>
    <row r="144" spans="58:59" x14ac:dyDescent="0.25">
      <c r="BF144" t="s">
        <v>550</v>
      </c>
      <c r="BG144" t="s">
        <v>297</v>
      </c>
    </row>
    <row r="145" spans="58:59" x14ac:dyDescent="0.25">
      <c r="BF145" t="s">
        <v>551</v>
      </c>
      <c r="BG145" t="s">
        <v>297</v>
      </c>
    </row>
    <row r="146" spans="58:59" x14ac:dyDescent="0.25">
      <c r="BF146" t="s">
        <v>552</v>
      </c>
      <c r="BG146" t="s">
        <v>297</v>
      </c>
    </row>
    <row r="147" spans="58:59" x14ac:dyDescent="0.25">
      <c r="BF147" t="s">
        <v>553</v>
      </c>
      <c r="BG147" t="s">
        <v>297</v>
      </c>
    </row>
    <row r="148" spans="58:59" x14ac:dyDescent="0.25">
      <c r="BF148" t="s">
        <v>554</v>
      </c>
      <c r="BG148" t="s">
        <v>297</v>
      </c>
    </row>
    <row r="149" spans="58:59" x14ac:dyDescent="0.25">
      <c r="BF149" t="s">
        <v>555</v>
      </c>
      <c r="BG149" t="s">
        <v>297</v>
      </c>
    </row>
    <row r="150" spans="58:59" x14ac:dyDescent="0.25">
      <c r="BF150" t="s">
        <v>556</v>
      </c>
      <c r="BG150" t="s">
        <v>297</v>
      </c>
    </row>
    <row r="151" spans="58:59" x14ac:dyDescent="0.25">
      <c r="BF151" t="s">
        <v>557</v>
      </c>
      <c r="BG151" t="s">
        <v>297</v>
      </c>
    </row>
    <row r="152" spans="58:59" x14ac:dyDescent="0.25">
      <c r="BF152" t="s">
        <v>558</v>
      </c>
      <c r="BG152" t="s">
        <v>297</v>
      </c>
    </row>
    <row r="153" spans="58:59" x14ac:dyDescent="0.25">
      <c r="BF153" t="s">
        <v>559</v>
      </c>
      <c r="BG153" t="s">
        <v>332</v>
      </c>
    </row>
    <row r="154" spans="58:59" x14ac:dyDescent="0.25">
      <c r="BF154" t="s">
        <v>560</v>
      </c>
      <c r="BG154" t="s">
        <v>297</v>
      </c>
    </row>
    <row r="155" spans="58:59" x14ac:dyDescent="0.25">
      <c r="BF155" t="s">
        <v>561</v>
      </c>
      <c r="BG155" t="s">
        <v>297</v>
      </c>
    </row>
    <row r="156" spans="58:59" x14ac:dyDescent="0.25">
      <c r="BF156" t="s">
        <v>562</v>
      </c>
      <c r="BG156" t="s">
        <v>297</v>
      </c>
    </row>
    <row r="157" spans="58:59" x14ac:dyDescent="0.25">
      <c r="BF157" t="s">
        <v>563</v>
      </c>
      <c r="BG157" t="s">
        <v>297</v>
      </c>
    </row>
    <row r="158" spans="58:59" x14ac:dyDescent="0.25">
      <c r="BF158" t="s">
        <v>564</v>
      </c>
      <c r="BG158" t="s">
        <v>297</v>
      </c>
    </row>
    <row r="159" spans="58:59" x14ac:dyDescent="0.25">
      <c r="BF159" t="s">
        <v>565</v>
      </c>
      <c r="BG159" t="s">
        <v>297</v>
      </c>
    </row>
    <row r="160" spans="58:59" x14ac:dyDescent="0.25">
      <c r="BF160" t="s">
        <v>566</v>
      </c>
      <c r="BG160" t="s">
        <v>332</v>
      </c>
    </row>
    <row r="161" spans="58:59" x14ac:dyDescent="0.25">
      <c r="BF161" t="s">
        <v>567</v>
      </c>
      <c r="BG161" t="s">
        <v>297</v>
      </c>
    </row>
    <row r="162" spans="58:59" x14ac:dyDescent="0.25">
      <c r="BF162" t="s">
        <v>568</v>
      </c>
      <c r="BG162" t="s">
        <v>297</v>
      </c>
    </row>
    <row r="163" spans="58:59" x14ac:dyDescent="0.25">
      <c r="BF163" t="s">
        <v>569</v>
      </c>
      <c r="BG163" t="s">
        <v>297</v>
      </c>
    </row>
    <row r="164" spans="58:59" x14ac:dyDescent="0.25">
      <c r="BF164" t="s">
        <v>570</v>
      </c>
      <c r="BG164" t="s">
        <v>297</v>
      </c>
    </row>
    <row r="165" spans="58:59" x14ac:dyDescent="0.25">
      <c r="BF165" t="s">
        <v>571</v>
      </c>
      <c r="BG165" t="s">
        <v>706</v>
      </c>
    </row>
    <row r="166" spans="58:59" x14ac:dyDescent="0.25">
      <c r="BF166" t="s">
        <v>572</v>
      </c>
      <c r="BG166" t="s">
        <v>297</v>
      </c>
    </row>
    <row r="167" spans="58:59" x14ac:dyDescent="0.25">
      <c r="BF167" t="s">
        <v>573</v>
      </c>
      <c r="BG167" t="s">
        <v>297</v>
      </c>
    </row>
    <row r="168" spans="58:59" x14ac:dyDescent="0.25">
      <c r="BF168" t="s">
        <v>574</v>
      </c>
      <c r="BG168" t="s">
        <v>297</v>
      </c>
    </row>
    <row r="169" spans="58:59" x14ac:dyDescent="0.25">
      <c r="BF169" t="s">
        <v>575</v>
      </c>
      <c r="BG169" t="s">
        <v>297</v>
      </c>
    </row>
    <row r="170" spans="58:59" x14ac:dyDescent="0.25">
      <c r="BF170" t="s">
        <v>576</v>
      </c>
      <c r="BG170" t="s">
        <v>297</v>
      </c>
    </row>
    <row r="171" spans="58:59" x14ac:dyDescent="0.25">
      <c r="BF171" t="s">
        <v>577</v>
      </c>
      <c r="BG171" t="s">
        <v>706</v>
      </c>
    </row>
    <row r="172" spans="58:59" x14ac:dyDescent="0.25">
      <c r="BF172" t="s">
        <v>578</v>
      </c>
      <c r="BG172" t="s">
        <v>297</v>
      </c>
    </row>
    <row r="173" spans="58:59" x14ac:dyDescent="0.25">
      <c r="BF173" t="s">
        <v>579</v>
      </c>
      <c r="BG173" t="s">
        <v>297</v>
      </c>
    </row>
    <row r="174" spans="58:59" x14ac:dyDescent="0.25">
      <c r="BF174" t="s">
        <v>580</v>
      </c>
      <c r="BG174" t="s">
        <v>297</v>
      </c>
    </row>
    <row r="175" spans="58:59" x14ac:dyDescent="0.25">
      <c r="BF175" t="s">
        <v>581</v>
      </c>
      <c r="BG175" t="s">
        <v>297</v>
      </c>
    </row>
    <row r="176" spans="58:59" x14ac:dyDescent="0.25">
      <c r="BF176" t="s">
        <v>582</v>
      </c>
      <c r="BG176" t="s">
        <v>297</v>
      </c>
    </row>
    <row r="177" spans="58:59" x14ac:dyDescent="0.25">
      <c r="BF177" t="s">
        <v>583</v>
      </c>
      <c r="BG177" t="s">
        <v>297</v>
      </c>
    </row>
    <row r="178" spans="58:59" x14ac:dyDescent="0.25">
      <c r="BF178" t="s">
        <v>584</v>
      </c>
      <c r="BG178" t="s">
        <v>297</v>
      </c>
    </row>
    <row r="179" spans="58:59" x14ac:dyDescent="0.25">
      <c r="BF179" t="s">
        <v>585</v>
      </c>
      <c r="BG179" t="s">
        <v>297</v>
      </c>
    </row>
    <row r="180" spans="58:59" x14ac:dyDescent="0.25">
      <c r="BF180" t="s">
        <v>586</v>
      </c>
      <c r="BG180" t="s">
        <v>297</v>
      </c>
    </row>
    <row r="181" spans="58:59" x14ac:dyDescent="0.25">
      <c r="BF181" t="s">
        <v>587</v>
      </c>
      <c r="BG181" t="s">
        <v>297</v>
      </c>
    </row>
    <row r="182" spans="58:59" x14ac:dyDescent="0.25">
      <c r="BF182" t="s">
        <v>588</v>
      </c>
      <c r="BG182" t="s">
        <v>297</v>
      </c>
    </row>
    <row r="183" spans="58:59" x14ac:dyDescent="0.25">
      <c r="BF183" t="s">
        <v>589</v>
      </c>
      <c r="BG183" t="s">
        <v>297</v>
      </c>
    </row>
    <row r="184" spans="58:59" x14ac:dyDescent="0.25">
      <c r="BF184" t="s">
        <v>590</v>
      </c>
      <c r="BG184" t="s">
        <v>297</v>
      </c>
    </row>
    <row r="185" spans="58:59" x14ac:dyDescent="0.25">
      <c r="BF185" t="s">
        <v>591</v>
      </c>
      <c r="BG185" t="s">
        <v>297</v>
      </c>
    </row>
    <row r="186" spans="58:59" x14ac:dyDescent="0.25">
      <c r="BF186" t="s">
        <v>592</v>
      </c>
      <c r="BG186" t="s">
        <v>297</v>
      </c>
    </row>
    <row r="187" spans="58:59" x14ac:dyDescent="0.25">
      <c r="BF187" t="s">
        <v>593</v>
      </c>
      <c r="BG187" t="s">
        <v>297</v>
      </c>
    </row>
    <row r="188" spans="58:59" x14ac:dyDescent="0.25">
      <c r="BF188" t="s">
        <v>594</v>
      </c>
      <c r="BG188" t="s">
        <v>297</v>
      </c>
    </row>
    <row r="189" spans="58:59" x14ac:dyDescent="0.25">
      <c r="BF189" t="s">
        <v>595</v>
      </c>
      <c r="BG189" t="s">
        <v>297</v>
      </c>
    </row>
    <row r="190" spans="58:59" x14ac:dyDescent="0.25">
      <c r="BF190" t="s">
        <v>596</v>
      </c>
      <c r="BG190" t="s">
        <v>297</v>
      </c>
    </row>
    <row r="191" spans="58:59" x14ac:dyDescent="0.25">
      <c r="BF191" t="s">
        <v>597</v>
      </c>
      <c r="BG191" t="s">
        <v>297</v>
      </c>
    </row>
    <row r="192" spans="58:59" x14ac:dyDescent="0.25">
      <c r="BF192" t="s">
        <v>598</v>
      </c>
      <c r="BG192" t="s">
        <v>297</v>
      </c>
    </row>
    <row r="193" spans="58:59" x14ac:dyDescent="0.25">
      <c r="BF193" t="s">
        <v>599</v>
      </c>
      <c r="BG193" t="s">
        <v>297</v>
      </c>
    </row>
    <row r="194" spans="58:59" x14ac:dyDescent="0.25">
      <c r="BF194" t="s">
        <v>600</v>
      </c>
      <c r="BG194" t="s">
        <v>297</v>
      </c>
    </row>
    <row r="195" spans="58:59" x14ac:dyDescent="0.25">
      <c r="BF195" t="s">
        <v>601</v>
      </c>
      <c r="BG195" t="s">
        <v>297</v>
      </c>
    </row>
    <row r="196" spans="58:59" x14ac:dyDescent="0.25">
      <c r="BF196" t="s">
        <v>602</v>
      </c>
      <c r="BG196" t="s">
        <v>706</v>
      </c>
    </row>
    <row r="197" spans="58:59" x14ac:dyDescent="0.25">
      <c r="BF197" t="s">
        <v>603</v>
      </c>
      <c r="BG197" t="s">
        <v>297</v>
      </c>
    </row>
    <row r="198" spans="58:59" x14ac:dyDescent="0.25">
      <c r="BF198" t="s">
        <v>604</v>
      </c>
      <c r="BG198" t="s">
        <v>297</v>
      </c>
    </row>
    <row r="199" spans="58:59" x14ac:dyDescent="0.25">
      <c r="BF199" t="s">
        <v>605</v>
      </c>
      <c r="BG199" t="s">
        <v>297</v>
      </c>
    </row>
    <row r="200" spans="58:59" x14ac:dyDescent="0.25">
      <c r="BF200" t="s">
        <v>606</v>
      </c>
      <c r="BG200" t="s">
        <v>706</v>
      </c>
    </row>
    <row r="201" spans="58:59" x14ac:dyDescent="0.25">
      <c r="BF201" t="s">
        <v>607</v>
      </c>
      <c r="BG201" t="s">
        <v>297</v>
      </c>
    </row>
    <row r="202" spans="58:59" x14ac:dyDescent="0.25">
      <c r="BF202" t="s">
        <v>608</v>
      </c>
      <c r="BG202" t="s">
        <v>297</v>
      </c>
    </row>
    <row r="203" spans="58:59" x14ac:dyDescent="0.25">
      <c r="BF203" t="s">
        <v>609</v>
      </c>
      <c r="BG203" t="s">
        <v>706</v>
      </c>
    </row>
    <row r="204" spans="58:59" x14ac:dyDescent="0.25">
      <c r="BF204" t="s">
        <v>610</v>
      </c>
      <c r="BG204" t="s">
        <v>297</v>
      </c>
    </row>
    <row r="205" spans="58:59" x14ac:dyDescent="0.25">
      <c r="BF205" t="s">
        <v>611</v>
      </c>
      <c r="BG205" t="s">
        <v>297</v>
      </c>
    </row>
    <row r="206" spans="58:59" x14ac:dyDescent="0.25">
      <c r="BF206" t="s">
        <v>612</v>
      </c>
      <c r="BG206" t="s">
        <v>332</v>
      </c>
    </row>
    <row r="207" spans="58:59" x14ac:dyDescent="0.25">
      <c r="BF207" t="s">
        <v>613</v>
      </c>
      <c r="BG207" t="s">
        <v>297</v>
      </c>
    </row>
    <row r="208" spans="58:59" x14ac:dyDescent="0.25">
      <c r="BF208" t="s">
        <v>614</v>
      </c>
      <c r="BG208" t="s">
        <v>297</v>
      </c>
    </row>
    <row r="209" spans="58:59" x14ac:dyDescent="0.25">
      <c r="BF209" t="s">
        <v>615</v>
      </c>
      <c r="BG209" t="s">
        <v>297</v>
      </c>
    </row>
    <row r="210" spans="58:59" x14ac:dyDescent="0.25">
      <c r="BF210" t="s">
        <v>616</v>
      </c>
      <c r="BG210" t="s">
        <v>297</v>
      </c>
    </row>
    <row r="211" spans="58:59" x14ac:dyDescent="0.25">
      <c r="BF211" t="s">
        <v>617</v>
      </c>
      <c r="BG211" t="s">
        <v>297</v>
      </c>
    </row>
    <row r="212" spans="58:59" x14ac:dyDescent="0.25">
      <c r="BF212" t="s">
        <v>618</v>
      </c>
      <c r="BG212" t="s">
        <v>297</v>
      </c>
    </row>
    <row r="213" spans="58:59" x14ac:dyDescent="0.25">
      <c r="BF213" t="s">
        <v>619</v>
      </c>
      <c r="BG213" t="s">
        <v>297</v>
      </c>
    </row>
    <row r="214" spans="58:59" x14ac:dyDescent="0.25">
      <c r="BF214" t="s">
        <v>620</v>
      </c>
      <c r="BG214" t="s">
        <v>706</v>
      </c>
    </row>
    <row r="215" spans="58:59" x14ac:dyDescent="0.25">
      <c r="BF215" t="s">
        <v>621</v>
      </c>
      <c r="BG215" t="s">
        <v>324</v>
      </c>
    </row>
    <row r="216" spans="58:59" x14ac:dyDescent="0.25">
      <c r="BF216" t="s">
        <v>622</v>
      </c>
      <c r="BG216" t="s">
        <v>297</v>
      </c>
    </row>
    <row r="217" spans="58:59" x14ac:dyDescent="0.25">
      <c r="BF217" t="s">
        <v>623</v>
      </c>
      <c r="BG217" t="s">
        <v>706</v>
      </c>
    </row>
    <row r="218" spans="58:59" x14ac:dyDescent="0.25">
      <c r="BF218" t="s">
        <v>624</v>
      </c>
      <c r="BG218" t="s">
        <v>297</v>
      </c>
    </row>
    <row r="219" spans="58:59" x14ac:dyDescent="0.25">
      <c r="BF219" t="s">
        <v>625</v>
      </c>
      <c r="BG219" t="s">
        <v>297</v>
      </c>
    </row>
    <row r="220" spans="58:59" x14ac:dyDescent="0.25">
      <c r="BF220" t="s">
        <v>626</v>
      </c>
      <c r="BG220" t="s">
        <v>297</v>
      </c>
    </row>
    <row r="221" spans="58:59" x14ac:dyDescent="0.25">
      <c r="BF221" t="s">
        <v>627</v>
      </c>
      <c r="BG221" t="s">
        <v>297</v>
      </c>
    </row>
    <row r="222" spans="58:59" x14ac:dyDescent="0.25">
      <c r="BF222" t="s">
        <v>628</v>
      </c>
      <c r="BG222" t="s">
        <v>297</v>
      </c>
    </row>
    <row r="223" spans="58:59" x14ac:dyDescent="0.25">
      <c r="BF223" t="s">
        <v>629</v>
      </c>
      <c r="BG223" t="s">
        <v>760</v>
      </c>
    </row>
    <row r="224" spans="58:59" x14ac:dyDescent="0.25">
      <c r="BF224" t="s">
        <v>630</v>
      </c>
      <c r="BG224" t="s">
        <v>706</v>
      </c>
    </row>
    <row r="225" spans="58:59" x14ac:dyDescent="0.25">
      <c r="BF225" t="s">
        <v>775</v>
      </c>
      <c r="BG225" t="s">
        <v>297</v>
      </c>
    </row>
    <row r="226" spans="58:59" x14ac:dyDescent="0.25">
      <c r="BF226" t="s">
        <v>631</v>
      </c>
      <c r="BG226" t="s">
        <v>297</v>
      </c>
    </row>
    <row r="227" spans="58:59" x14ac:dyDescent="0.25">
      <c r="BF227" t="s">
        <v>632</v>
      </c>
      <c r="BG227" t="s">
        <v>297</v>
      </c>
    </row>
    <row r="228" spans="58:59" x14ac:dyDescent="0.25">
      <c r="BF228" t="s">
        <v>633</v>
      </c>
      <c r="BG228" t="s">
        <v>297</v>
      </c>
    </row>
    <row r="229" spans="58:59" x14ac:dyDescent="0.25">
      <c r="BF229" t="s">
        <v>634</v>
      </c>
      <c r="BG229" t="s">
        <v>297</v>
      </c>
    </row>
    <row r="230" spans="58:59" x14ac:dyDescent="0.25">
      <c r="BF230" t="s">
        <v>635</v>
      </c>
      <c r="BG230" t="s">
        <v>297</v>
      </c>
    </row>
    <row r="231" spans="58:59" x14ac:dyDescent="0.25">
      <c r="BF231" t="s">
        <v>636</v>
      </c>
      <c r="BG231" t="s">
        <v>332</v>
      </c>
    </row>
    <row r="232" spans="58:59" x14ac:dyDescent="0.25">
      <c r="BF232" t="s">
        <v>637</v>
      </c>
      <c r="BG232" t="s">
        <v>297</v>
      </c>
    </row>
    <row r="233" spans="58:59" x14ac:dyDescent="0.25">
      <c r="BF233" t="s">
        <v>638</v>
      </c>
      <c r="BG233" t="s">
        <v>297</v>
      </c>
    </row>
    <row r="234" spans="58:59" x14ac:dyDescent="0.25">
      <c r="BF234" t="s">
        <v>639</v>
      </c>
      <c r="BG234" t="s">
        <v>297</v>
      </c>
    </row>
    <row r="235" spans="58:59" x14ac:dyDescent="0.25">
      <c r="BF235" t="s">
        <v>640</v>
      </c>
      <c r="BG235" t="s">
        <v>297</v>
      </c>
    </row>
    <row r="236" spans="58:59" x14ac:dyDescent="0.25">
      <c r="BF236" t="s">
        <v>641</v>
      </c>
      <c r="BG236" t="s">
        <v>297</v>
      </c>
    </row>
    <row r="237" spans="58:59" x14ac:dyDescent="0.25">
      <c r="BF237" t="s">
        <v>642</v>
      </c>
      <c r="BG237" t="s">
        <v>297</v>
      </c>
    </row>
    <row r="238" spans="58:59" x14ac:dyDescent="0.25">
      <c r="BF238" t="s">
        <v>643</v>
      </c>
      <c r="BG238" t="s">
        <v>297</v>
      </c>
    </row>
    <row r="239" spans="58:59" x14ac:dyDescent="0.25">
      <c r="BF239" t="s">
        <v>644</v>
      </c>
      <c r="BG239" t="s">
        <v>297</v>
      </c>
    </row>
    <row r="240" spans="58:59" x14ac:dyDescent="0.25">
      <c r="BF240" t="s">
        <v>645</v>
      </c>
      <c r="BG240" t="s">
        <v>297</v>
      </c>
    </row>
    <row r="241" spans="58:59" x14ac:dyDescent="0.25">
      <c r="BF241" t="s">
        <v>646</v>
      </c>
      <c r="BG241" t="s">
        <v>297</v>
      </c>
    </row>
    <row r="242" spans="58:59" x14ac:dyDescent="0.25">
      <c r="BF242" t="s">
        <v>647</v>
      </c>
      <c r="BG242" t="s">
        <v>297</v>
      </c>
    </row>
    <row r="243" spans="58:59" x14ac:dyDescent="0.25">
      <c r="BF243" t="s">
        <v>648</v>
      </c>
      <c r="BG243" t="s">
        <v>297</v>
      </c>
    </row>
    <row r="244" spans="58:59" x14ac:dyDescent="0.25">
      <c r="BF244" t="s">
        <v>649</v>
      </c>
      <c r="BG244" t="s">
        <v>297</v>
      </c>
    </row>
    <row r="245" spans="58:59" x14ac:dyDescent="0.25">
      <c r="BF245" t="s">
        <v>650</v>
      </c>
      <c r="BG245" t="s">
        <v>297</v>
      </c>
    </row>
    <row r="246" spans="58:59" x14ac:dyDescent="0.25">
      <c r="BF246" t="s">
        <v>651</v>
      </c>
      <c r="BG246" t="s">
        <v>297</v>
      </c>
    </row>
    <row r="247" spans="58:59" x14ac:dyDescent="0.25">
      <c r="BF247" t="s">
        <v>943</v>
      </c>
      <c r="BG247" t="s">
        <v>326</v>
      </c>
    </row>
    <row r="248" spans="58:59" x14ac:dyDescent="0.25">
      <c r="BF248" t="s">
        <v>652</v>
      </c>
      <c r="BG248" t="s">
        <v>326</v>
      </c>
    </row>
    <row r="249" spans="58:59" x14ac:dyDescent="0.25">
      <c r="BF249" t="s">
        <v>653</v>
      </c>
      <c r="BG249" t="s">
        <v>706</v>
      </c>
    </row>
    <row r="250" spans="58:59" x14ac:dyDescent="0.25">
      <c r="BF250" t="s">
        <v>654</v>
      </c>
      <c r="BG250" t="s">
        <v>706</v>
      </c>
    </row>
    <row r="251" spans="58:59" x14ac:dyDescent="0.25">
      <c r="BF251" t="s">
        <v>655</v>
      </c>
      <c r="BG251" t="s">
        <v>706</v>
      </c>
    </row>
    <row r="252" spans="58:59" x14ac:dyDescent="0.25">
      <c r="BF252" t="s">
        <v>656</v>
      </c>
      <c r="BG252" t="s">
        <v>706</v>
      </c>
    </row>
    <row r="253" spans="58:59" x14ac:dyDescent="0.25">
      <c r="BF253" t="s">
        <v>657</v>
      </c>
      <c r="BG253" t="s">
        <v>326</v>
      </c>
    </row>
    <row r="254" spans="58:59" x14ac:dyDescent="0.25">
      <c r="BF254" t="s">
        <v>658</v>
      </c>
      <c r="BG254" t="s">
        <v>326</v>
      </c>
    </row>
    <row r="255" spans="58:59" x14ac:dyDescent="0.25">
      <c r="BF255" t="s">
        <v>659</v>
      </c>
      <c r="BG255" t="s">
        <v>326</v>
      </c>
    </row>
    <row r="256" spans="58:59" x14ac:dyDescent="0.25">
      <c r="BF256" t="s">
        <v>942</v>
      </c>
      <c r="BG256" t="s">
        <v>326</v>
      </c>
    </row>
    <row r="257" spans="58:59" x14ac:dyDescent="0.25">
      <c r="BF257" t="s">
        <v>941</v>
      </c>
      <c r="BG257" t="s">
        <v>706</v>
      </c>
    </row>
    <row r="258" spans="58:59" x14ac:dyDescent="0.25">
      <c r="BF258" t="s">
        <v>741</v>
      </c>
      <c r="BG258" t="s">
        <v>324</v>
      </c>
    </row>
    <row r="259" spans="58:59" x14ac:dyDescent="0.25">
      <c r="BF259" t="s">
        <v>740</v>
      </c>
      <c r="BG259" t="s">
        <v>324</v>
      </c>
    </row>
    <row r="260" spans="58:59" x14ac:dyDescent="0.25">
      <c r="BF260" t="s">
        <v>50</v>
      </c>
      <c r="BG260" t="s">
        <v>324</v>
      </c>
    </row>
    <row r="261" spans="58:59" x14ac:dyDescent="0.25">
      <c r="BF261" t="s">
        <v>778</v>
      </c>
      <c r="BG261" t="s">
        <v>706</v>
      </c>
    </row>
    <row r="262" spans="58:59" x14ac:dyDescent="0.25">
      <c r="BF262" t="s">
        <v>777</v>
      </c>
      <c r="BG262" t="s">
        <v>706</v>
      </c>
    </row>
    <row r="263" spans="58:59" x14ac:dyDescent="0.25">
      <c r="BF263" t="s">
        <v>779</v>
      </c>
      <c r="BG263" t="s">
        <v>706</v>
      </c>
    </row>
    <row r="264" spans="58:59" x14ac:dyDescent="0.25">
      <c r="BF264" t="s">
        <v>780</v>
      </c>
      <c r="BG264" t="s">
        <v>324</v>
      </c>
    </row>
    <row r="265" spans="58:59" x14ac:dyDescent="0.25">
      <c r="BF265" t="s">
        <v>781</v>
      </c>
      <c r="BG265" t="s">
        <v>324</v>
      </c>
    </row>
    <row r="266" spans="58:59" x14ac:dyDescent="0.25">
      <c r="BF266" t="s">
        <v>944</v>
      </c>
      <c r="BG266" t="s">
        <v>326</v>
      </c>
    </row>
    <row r="267" spans="58:59" x14ac:dyDescent="0.25">
      <c r="BF267" t="s">
        <v>947</v>
      </c>
      <c r="BG267" t="s">
        <v>326</v>
      </c>
    </row>
  </sheetData>
  <autoFilter ref="BF2:BG280" xr:uid="{1920F90E-DDDC-4BCE-A34D-E0CA7AEC5E25}">
    <sortState xmlns:xlrd2="http://schemas.microsoft.com/office/spreadsheetml/2017/richdata2" ref="BF3:BG284">
      <sortCondition ref="BF2:BF284"/>
    </sortState>
  </autoFilter>
  <sortState xmlns:xlrd2="http://schemas.microsoft.com/office/spreadsheetml/2017/richdata2" ref="CA3:CB15">
    <sortCondition ref="CA3"/>
  </sortState>
  <mergeCells count="22">
    <mergeCell ref="B2:C2"/>
    <mergeCell ref="E2:F2"/>
    <mergeCell ref="H2:I2"/>
    <mergeCell ref="O2:P2"/>
    <mergeCell ref="R2:S2"/>
    <mergeCell ref="K2:M2"/>
    <mergeCell ref="CA2:CB2"/>
    <mergeCell ref="BX2:BY2"/>
    <mergeCell ref="AZ2:BA2"/>
    <mergeCell ref="AW2:AX2"/>
    <mergeCell ref="BC2:BD2"/>
    <mergeCell ref="BI2:BJ2"/>
    <mergeCell ref="BM2:BN2"/>
    <mergeCell ref="BQ2:BR2"/>
    <mergeCell ref="BT2:BU2"/>
    <mergeCell ref="AS2:AU2"/>
    <mergeCell ref="AP2:AQ2"/>
    <mergeCell ref="Y2:Z2"/>
    <mergeCell ref="AD2:AF2"/>
    <mergeCell ref="U2:W2"/>
    <mergeCell ref="AH2:AJ2"/>
    <mergeCell ref="AL2:AN2"/>
  </mergeCells>
  <phoneticPr fontId="8" type="noConversion"/>
  <dataValidations disablePrompts="1" count="1">
    <dataValidation type="list" allowBlank="1" showInputMessage="1" showErrorMessage="1" sqref="BF138" xr:uid="{4FBC9D9E-7ACD-4026-BE49-5DDDFC38051F}">
      <formula1>list_size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95</vt:i4>
      </vt:variant>
    </vt:vector>
  </HeadingPairs>
  <TitlesOfParts>
    <vt:vector size="100" baseType="lpstr">
      <vt:lpstr>Campanha</vt:lpstr>
      <vt:lpstr>ADP</vt:lpstr>
      <vt:lpstr>ID's</vt:lpstr>
      <vt:lpstr>Contadores</vt:lpstr>
      <vt:lpstr>All Codes</vt:lpstr>
      <vt:lpstr>adchan</vt:lpstr>
      <vt:lpstr>adcr</vt:lpstr>
      <vt:lpstr>adpay</vt:lpstr>
      <vt:lpstr>adpl</vt:lpstr>
      <vt:lpstr>adplt</vt:lpstr>
      <vt:lpstr>campaign</vt:lpstr>
      <vt:lpstr>cel_campaing</vt:lpstr>
      <vt:lpstr>cel_country</vt:lpstr>
      <vt:lpstr>cel_freefield</vt:lpstr>
      <vt:lpstr>cel_idcampaign</vt:lpstr>
      <vt:lpstr>cel_idcampaignname</vt:lpstr>
      <vt:lpstr>cel_mediachannel</vt:lpstr>
      <vt:lpstr>cel_modelvariant</vt:lpstr>
      <vt:lpstr>cel_name</vt:lpstr>
      <vt:lpstr>cel_planningprinciple</vt:lpstr>
      <vt:lpstr>cel_structurename</vt:lpstr>
      <vt:lpstr>col_adlid</vt:lpstr>
      <vt:lpstr>col_adname</vt:lpstr>
      <vt:lpstr>col_buyingmetric</vt:lpstr>
      <vt:lpstr>col_buyingtype</vt:lpstr>
      <vt:lpstr>col_campanhaanunciante</vt:lpstr>
      <vt:lpstr>col_device</vt:lpstr>
      <vt:lpstr>col_grupoanunciante</vt:lpstr>
      <vt:lpstr>col_keyword</vt:lpstr>
      <vt:lpstr>col_linhacriativa2</vt:lpstr>
      <vt:lpstr>col_localfreetype</vt:lpstr>
      <vt:lpstr>col_objetivo</vt:lpstr>
      <vt:lpstr>col_paidvsav</vt:lpstr>
      <vt:lpstr>col_parametrizacao</vt:lpstr>
      <vt:lpstr>col_placement</vt:lpstr>
      <vt:lpstr>col_segmentacao</vt:lpstr>
      <vt:lpstr>col_segmentacaodeanun</vt:lpstr>
      <vt:lpstr>col_servidopor</vt:lpstr>
      <vt:lpstr>col_sitesection</vt:lpstr>
      <vt:lpstr>col_size</vt:lpstr>
      <vt:lpstr>col_submediachannel</vt:lpstr>
      <vt:lpstr>col_supplier</vt:lpstr>
      <vt:lpstr>col_trackingtype</vt:lpstr>
      <vt:lpstr>col_unitname</vt:lpstr>
      <vt:lpstr>col_url</vt:lpstr>
      <vt:lpstr>col_utmcampaign</vt:lpstr>
      <vt:lpstr>col_utmcontent</vt:lpstr>
      <vt:lpstr>col_utmmedium</vt:lpstr>
      <vt:lpstr>col_utmsource</vt:lpstr>
      <vt:lpstr>country</vt:lpstr>
      <vt:lpstr>format</vt:lpstr>
      <vt:lpstr>id_placement</vt:lpstr>
      <vt:lpstr>language</vt:lpstr>
      <vt:lpstr>list_brand</vt:lpstr>
      <vt:lpstr>list_buyingmetric</vt:lpstr>
      <vt:lpstr>list_buyingtype</vt:lpstr>
      <vt:lpstr>list_campaigncategory</vt:lpstr>
      <vt:lpstr>list_campaigntype</vt:lpstr>
      <vt:lpstr>list_country</vt:lpstr>
      <vt:lpstr>list_date</vt:lpstr>
      <vt:lpstr>list_device</vt:lpstr>
      <vt:lpstr>list_mediachannel</vt:lpstr>
      <vt:lpstr>list_model</vt:lpstr>
      <vt:lpstr>list_modelvariant</vt:lpstr>
      <vt:lpstr>list_paidvsav</vt:lpstr>
      <vt:lpstr>list_planningprinciple</vt:lpstr>
      <vt:lpstr>list_servidopor</vt:lpstr>
      <vt:lpstr>list_site</vt:lpstr>
      <vt:lpstr>list_sitesection</vt:lpstr>
      <vt:lpstr>list_size</vt:lpstr>
      <vt:lpstr>list_strategyphase</vt:lpstr>
      <vt:lpstr>list_submediachannel</vt:lpstr>
      <vt:lpstr>list_trackingtype</vt:lpstr>
      <vt:lpstr>list_type</vt:lpstr>
      <vt:lpstr>list_unitname</vt:lpstr>
      <vt:lpstr>publisher</vt:lpstr>
      <vt:lpstr>tab_buyingmetric</vt:lpstr>
      <vt:lpstr>tab_buyingtype</vt:lpstr>
      <vt:lpstr>tab_campaigncategory</vt:lpstr>
      <vt:lpstr>tab_campaigntype</vt:lpstr>
      <vt:lpstr>'ID''s'!tab_contadores</vt:lpstr>
      <vt:lpstr>tab_contadores</vt:lpstr>
      <vt:lpstr>tab_country</vt:lpstr>
      <vt:lpstr>tab_date</vt:lpstr>
      <vt:lpstr>tab_device</vt:lpstr>
      <vt:lpstr>tab_mediachannel</vt:lpstr>
      <vt:lpstr>tab_model</vt:lpstr>
      <vt:lpstr>tab_modelvariant</vt:lpstr>
      <vt:lpstr>tab_objetivo</vt:lpstr>
      <vt:lpstr>tab_paidvsav</vt:lpstr>
      <vt:lpstr>tab_parametrizacao</vt:lpstr>
      <vt:lpstr>tab_planningprinciple</vt:lpstr>
      <vt:lpstr>tab_sitesection</vt:lpstr>
      <vt:lpstr>tab_strategyphase</vt:lpstr>
      <vt:lpstr>tab_submediachannel</vt:lpstr>
      <vt:lpstr>tab_trackingtype</vt:lpstr>
      <vt:lpstr>tab_type</vt:lpstr>
      <vt:lpstr>tab_unitname</vt:lpstr>
      <vt:lpstr>url_adobe</vt:lpstr>
      <vt:lpstr>url_ga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Yoshio Nishisaki - Almap BBDO;wilson.silva@almapbbdo.com.br</dc:creator>
  <cp:lastModifiedBy>Victor Gonsalves - Almap BBDO</cp:lastModifiedBy>
  <cp:lastPrinted>2019-04-17T19:18:50Z</cp:lastPrinted>
  <dcterms:created xsi:type="dcterms:W3CDTF">2019-01-30T17:15:32Z</dcterms:created>
  <dcterms:modified xsi:type="dcterms:W3CDTF">2021-03-04T20:53:44Z</dcterms:modified>
</cp:coreProperties>
</file>