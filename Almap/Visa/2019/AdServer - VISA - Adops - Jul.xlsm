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isa\"/>
    </mc:Choice>
  </mc:AlternateContent>
  <xr:revisionPtr revIDLastSave="0" documentId="13_ncr:1_{AA316BAD-6519-4043-94FC-0996B0878D07}" xr6:coauthVersionLast="41" xr6:coauthVersionMax="41" xr10:uidLastSave="{00000000-0000-0000-0000-000000000000}"/>
  <bookViews>
    <workbookView xWindow="-120" yWindow="-120" windowWidth="20730" windowHeight="1116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Resumo!$A$19:$O$1226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8" l="1"/>
  <c r="E7" i="8" s="1"/>
  <c r="D9" i="8"/>
  <c r="E9" i="8" s="1"/>
  <c r="E801" i="6"/>
  <c r="G5" i="8"/>
  <c r="E2" i="6"/>
  <c r="L2" i="6" s="1"/>
  <c r="I2" i="6"/>
  <c r="J2" i="6"/>
  <c r="D4" i="8"/>
  <c r="E4" i="8" s="1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K263" i="6" s="1"/>
  <c r="E262" i="6"/>
  <c r="E261" i="6"/>
  <c r="E260" i="6"/>
  <c r="E259" i="6"/>
  <c r="E258" i="6"/>
  <c r="E257" i="6"/>
  <c r="E256" i="6"/>
  <c r="E255" i="6"/>
  <c r="K255" i="6" s="1"/>
  <c r="E254" i="6"/>
  <c r="E253" i="6"/>
  <c r="E252" i="6"/>
  <c r="E251" i="6"/>
  <c r="E250" i="6"/>
  <c r="E249" i="6"/>
  <c r="E248" i="6"/>
  <c r="E247" i="6"/>
  <c r="E246" i="6"/>
  <c r="E245" i="6"/>
  <c r="E244" i="6"/>
  <c r="E243" i="6"/>
  <c r="K243" i="6" s="1"/>
  <c r="E242" i="6"/>
  <c r="E241" i="6"/>
  <c r="E240" i="6"/>
  <c r="E239" i="6"/>
  <c r="E238" i="6"/>
  <c r="E237" i="6"/>
  <c r="E236" i="6"/>
  <c r="E235" i="6"/>
  <c r="K235" i="6" s="1"/>
  <c r="E234" i="6"/>
  <c r="E233" i="6"/>
  <c r="E232" i="6"/>
  <c r="E231" i="6"/>
  <c r="E230" i="6"/>
  <c r="E229" i="6"/>
  <c r="E228" i="6"/>
  <c r="E227" i="6"/>
  <c r="K227" i="6" s="1"/>
  <c r="E226" i="6"/>
  <c r="E225" i="6"/>
  <c r="E224" i="6"/>
  <c r="E223" i="6"/>
  <c r="E222" i="6"/>
  <c r="E221" i="6"/>
  <c r="E220" i="6"/>
  <c r="E219" i="6"/>
  <c r="K219" i="6" s="1"/>
  <c r="M219" i="6" s="1"/>
  <c r="E218" i="6"/>
  <c r="E217" i="6"/>
  <c r="E216" i="6"/>
  <c r="E215" i="6"/>
  <c r="K215" i="6" s="1"/>
  <c r="M215" i="6" s="1"/>
  <c r="E214" i="6"/>
  <c r="E213" i="6"/>
  <c r="E212" i="6"/>
  <c r="E211" i="6"/>
  <c r="E210" i="6"/>
  <c r="E209" i="6"/>
  <c r="E208" i="6"/>
  <c r="E207" i="6"/>
  <c r="K207" i="6" s="1"/>
  <c r="M207" i="6" s="1"/>
  <c r="E206" i="6"/>
  <c r="E205" i="6"/>
  <c r="E204" i="6"/>
  <c r="E203" i="6"/>
  <c r="E202" i="6"/>
  <c r="E201" i="6"/>
  <c r="E200" i="6"/>
  <c r="E199" i="6"/>
  <c r="K199" i="6" s="1"/>
  <c r="M199" i="6" s="1"/>
  <c r="E198" i="6"/>
  <c r="E197" i="6"/>
  <c r="E196" i="6"/>
  <c r="E195" i="6"/>
  <c r="E194" i="6"/>
  <c r="E193" i="6"/>
  <c r="E192" i="6"/>
  <c r="E191" i="6"/>
  <c r="K191" i="6" s="1"/>
  <c r="M191" i="6" s="1"/>
  <c r="E190" i="6"/>
  <c r="E189" i="6"/>
  <c r="E188" i="6"/>
  <c r="E187" i="6"/>
  <c r="E186" i="6"/>
  <c r="E185" i="6"/>
  <c r="E184" i="6"/>
  <c r="E183" i="6"/>
  <c r="E182" i="6"/>
  <c r="E181" i="6"/>
  <c r="E180" i="6"/>
  <c r="E179" i="6"/>
  <c r="K179" i="6" s="1"/>
  <c r="M179" i="6" s="1"/>
  <c r="E178" i="6"/>
  <c r="E177" i="6"/>
  <c r="E176" i="6"/>
  <c r="E175" i="6"/>
  <c r="E174" i="6"/>
  <c r="E173" i="6"/>
  <c r="E172" i="6"/>
  <c r="E171" i="6"/>
  <c r="K171" i="6" s="1"/>
  <c r="M171" i="6" s="1"/>
  <c r="E170" i="6"/>
  <c r="E169" i="6"/>
  <c r="E168" i="6"/>
  <c r="E167" i="6"/>
  <c r="E166" i="6"/>
  <c r="E165" i="6"/>
  <c r="E164" i="6"/>
  <c r="E163" i="6"/>
  <c r="E162" i="6"/>
  <c r="E161" i="6"/>
  <c r="E160" i="6"/>
  <c r="E159" i="6"/>
  <c r="L159" i="6" s="1"/>
  <c r="E158" i="6"/>
  <c r="E157" i="6"/>
  <c r="E156" i="6"/>
  <c r="E155" i="6"/>
  <c r="K155" i="6" s="1"/>
  <c r="E154" i="6"/>
  <c r="E153" i="6"/>
  <c r="E152" i="6"/>
  <c r="E151" i="6"/>
  <c r="E150" i="6"/>
  <c r="E149" i="6"/>
  <c r="E148" i="6"/>
  <c r="E147" i="6"/>
  <c r="E146" i="6"/>
  <c r="E145" i="6"/>
  <c r="E144" i="6"/>
  <c r="E143" i="6"/>
  <c r="K143" i="6" s="1"/>
  <c r="E142" i="6"/>
  <c r="E141" i="6"/>
  <c r="E140" i="6"/>
  <c r="E139" i="6"/>
  <c r="L139" i="6" s="1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L123" i="6" s="1"/>
  <c r="E122" i="6"/>
  <c r="E121" i="6"/>
  <c r="E120" i="6"/>
  <c r="E119" i="6"/>
  <c r="L119" i="6" s="1"/>
  <c r="E118" i="6"/>
  <c r="E117" i="6"/>
  <c r="E116" i="6"/>
  <c r="E115" i="6"/>
  <c r="K115" i="6" s="1"/>
  <c r="E114" i="6"/>
  <c r="E113" i="6"/>
  <c r="E112" i="6"/>
  <c r="E111" i="6"/>
  <c r="K111" i="6" s="1"/>
  <c r="E110" i="6"/>
  <c r="E109" i="6"/>
  <c r="E108" i="6"/>
  <c r="E107" i="6"/>
  <c r="E106" i="6"/>
  <c r="E105" i="6"/>
  <c r="E104" i="6"/>
  <c r="E103" i="6"/>
  <c r="L103" i="6" s="1"/>
  <c r="E102" i="6"/>
  <c r="E101" i="6"/>
  <c r="E100" i="6"/>
  <c r="E99" i="6"/>
  <c r="E98" i="6"/>
  <c r="E97" i="6"/>
  <c r="E96" i="6"/>
  <c r="E95" i="6"/>
  <c r="K95" i="6" s="1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 s="1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N43" i="6" s="1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M56" i="6" s="1"/>
  <c r="I57" i="6"/>
  <c r="I58" i="6"/>
  <c r="I59" i="6"/>
  <c r="I60" i="6"/>
  <c r="I61" i="6"/>
  <c r="I62" i="6"/>
  <c r="I63" i="6"/>
  <c r="I64" i="6"/>
  <c r="I65" i="6"/>
  <c r="I66" i="6"/>
  <c r="I67" i="6"/>
  <c r="I68" i="6"/>
  <c r="M68" i="6" s="1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L58" i="6" s="1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L75" i="6" s="1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K6" i="6" s="1"/>
  <c r="B7" i="6"/>
  <c r="B8" i="6"/>
  <c r="B9" i="6"/>
  <c r="B10" i="6"/>
  <c r="K10" i="6" s="1"/>
  <c r="M10" i="6" s="1"/>
  <c r="B11" i="6"/>
  <c r="B12" i="6"/>
  <c r="B13" i="6"/>
  <c r="B14" i="6"/>
  <c r="K14" i="6" s="1"/>
  <c r="M14" i="6" s="1"/>
  <c r="B15" i="6"/>
  <c r="B16" i="6"/>
  <c r="B17" i="6"/>
  <c r="B18" i="6"/>
  <c r="K18" i="6" s="1"/>
  <c r="M18" i="6" s="1"/>
  <c r="B19" i="6"/>
  <c r="B20" i="6"/>
  <c r="B21" i="6"/>
  <c r="B22" i="6"/>
  <c r="K22" i="6" s="1"/>
  <c r="M22" i="6" s="1"/>
  <c r="B23" i="6"/>
  <c r="B24" i="6"/>
  <c r="B25" i="6"/>
  <c r="B26" i="6"/>
  <c r="K26" i="6" s="1"/>
  <c r="B27" i="6"/>
  <c r="B28" i="6"/>
  <c r="B29" i="6"/>
  <c r="B30" i="6"/>
  <c r="K30" i="6" s="1"/>
  <c r="M30" i="6" s="1"/>
  <c r="B31" i="6"/>
  <c r="B32" i="6"/>
  <c r="B33" i="6"/>
  <c r="B34" i="6"/>
  <c r="K34" i="6" s="1"/>
  <c r="B35" i="6"/>
  <c r="B36" i="6"/>
  <c r="B37" i="6"/>
  <c r="B38" i="6"/>
  <c r="K38" i="6" s="1"/>
  <c r="B39" i="6"/>
  <c r="B40" i="6"/>
  <c r="B41" i="6"/>
  <c r="B42" i="6"/>
  <c r="K42" i="6" s="1"/>
  <c r="M42" i="6" s="1"/>
  <c r="B43" i="6"/>
  <c r="B44" i="6"/>
  <c r="B45" i="6"/>
  <c r="K45" i="6" s="1"/>
  <c r="M45" i="6" s="1"/>
  <c r="B46" i="6"/>
  <c r="K46" i="6" s="1"/>
  <c r="B47" i="6"/>
  <c r="B48" i="6"/>
  <c r="K48" i="6" s="1"/>
  <c r="B49" i="6"/>
  <c r="K49" i="6" s="1"/>
  <c r="B50" i="6"/>
  <c r="K50" i="6" s="1"/>
  <c r="B51" i="6"/>
  <c r="B52" i="6"/>
  <c r="K52" i="6" s="1"/>
  <c r="B53" i="6"/>
  <c r="K53" i="6" s="1"/>
  <c r="B54" i="6"/>
  <c r="K54" i="6" s="1"/>
  <c r="B55" i="6"/>
  <c r="B56" i="6"/>
  <c r="K56" i="6" s="1"/>
  <c r="B57" i="6"/>
  <c r="K57" i="6" s="1"/>
  <c r="B58" i="6"/>
  <c r="K58" i="6" s="1"/>
  <c r="B59" i="6"/>
  <c r="B60" i="6"/>
  <c r="K60" i="6" s="1"/>
  <c r="B61" i="6"/>
  <c r="K61" i="6" s="1"/>
  <c r="B62" i="6"/>
  <c r="B63" i="6"/>
  <c r="B64" i="6"/>
  <c r="K64" i="6" s="1"/>
  <c r="B65" i="6"/>
  <c r="K65" i="6" s="1"/>
  <c r="B66" i="6"/>
  <c r="B67" i="6"/>
  <c r="B68" i="6"/>
  <c r="K68" i="6" s="1"/>
  <c r="B69" i="6"/>
  <c r="K69" i="6" s="1"/>
  <c r="B70" i="6"/>
  <c r="B71" i="6"/>
  <c r="B72" i="6"/>
  <c r="K72" i="6" s="1"/>
  <c r="B73" i="6"/>
  <c r="K73" i="6" s="1"/>
  <c r="M73" i="6" s="1"/>
  <c r="B74" i="6"/>
  <c r="K74" i="6" s="1"/>
  <c r="B75" i="6"/>
  <c r="B76" i="6"/>
  <c r="B77" i="6"/>
  <c r="K77" i="6" s="1"/>
  <c r="M77" i="6" s="1"/>
  <c r="B78" i="6"/>
  <c r="K78" i="6" s="1"/>
  <c r="B79" i="6"/>
  <c r="B80" i="6"/>
  <c r="B81" i="6"/>
  <c r="K81" i="6" s="1"/>
  <c r="M81" i="6" s="1"/>
  <c r="B82" i="6"/>
  <c r="K82" i="6" s="1"/>
  <c r="B83" i="6"/>
  <c r="B84" i="6"/>
  <c r="B85" i="6"/>
  <c r="K85" i="6" s="1"/>
  <c r="B86" i="6"/>
  <c r="K86" i="6" s="1"/>
  <c r="B87" i="6"/>
  <c r="B88" i="6"/>
  <c r="B89" i="6"/>
  <c r="K89" i="6" s="1"/>
  <c r="M89" i="6" s="1"/>
  <c r="B90" i="6"/>
  <c r="K90" i="6" s="1"/>
  <c r="B91" i="6"/>
  <c r="B92" i="6"/>
  <c r="B93" i="6"/>
  <c r="K93" i="6" s="1"/>
  <c r="M93" i="6" s="1"/>
  <c r="B94" i="6"/>
  <c r="K94" i="6" s="1"/>
  <c r="B95" i="6"/>
  <c r="B96" i="6"/>
  <c r="B97" i="6"/>
  <c r="K97" i="6" s="1"/>
  <c r="M97" i="6" s="1"/>
  <c r="B98" i="6"/>
  <c r="K98" i="6" s="1"/>
  <c r="B99" i="6"/>
  <c r="B100" i="6"/>
  <c r="B101" i="6"/>
  <c r="K101" i="6" s="1"/>
  <c r="M101" i="6" s="1"/>
  <c r="B102" i="6"/>
  <c r="K102" i="6" s="1"/>
  <c r="B103" i="6"/>
  <c r="B104" i="6"/>
  <c r="B105" i="6"/>
  <c r="K105" i="6" s="1"/>
  <c r="M105" i="6" s="1"/>
  <c r="B106" i="6"/>
  <c r="K106" i="6" s="1"/>
  <c r="B107" i="6"/>
  <c r="B108" i="6"/>
  <c r="B109" i="6"/>
  <c r="K109" i="6" s="1"/>
  <c r="M109" i="6" s="1"/>
  <c r="B110" i="6"/>
  <c r="K110" i="6" s="1"/>
  <c r="B111" i="6"/>
  <c r="B112" i="6"/>
  <c r="B113" i="6"/>
  <c r="K113" i="6" s="1"/>
  <c r="M113" i="6" s="1"/>
  <c r="B114" i="6"/>
  <c r="K114" i="6" s="1"/>
  <c r="B115" i="6"/>
  <c r="B116" i="6"/>
  <c r="B117" i="6"/>
  <c r="K117" i="6" s="1"/>
  <c r="M117" i="6" s="1"/>
  <c r="B118" i="6"/>
  <c r="K118" i="6" s="1"/>
  <c r="B119" i="6"/>
  <c r="B120" i="6"/>
  <c r="B121" i="6"/>
  <c r="K121" i="6" s="1"/>
  <c r="M121" i="6" s="1"/>
  <c r="B122" i="6"/>
  <c r="K122" i="6" s="1"/>
  <c r="B123" i="6"/>
  <c r="B124" i="6"/>
  <c r="B125" i="6"/>
  <c r="K125" i="6" s="1"/>
  <c r="M125" i="6" s="1"/>
  <c r="B126" i="6"/>
  <c r="K126" i="6" s="1"/>
  <c r="B127" i="6"/>
  <c r="B128" i="6"/>
  <c r="B129" i="6"/>
  <c r="K129" i="6" s="1"/>
  <c r="M129" i="6" s="1"/>
  <c r="B130" i="6"/>
  <c r="K130" i="6" s="1"/>
  <c r="B131" i="6"/>
  <c r="B132" i="6"/>
  <c r="B133" i="6"/>
  <c r="K133" i="6" s="1"/>
  <c r="M133" i="6" s="1"/>
  <c r="B134" i="6"/>
  <c r="K134" i="6" s="1"/>
  <c r="B135" i="6"/>
  <c r="B136" i="6"/>
  <c r="B137" i="6"/>
  <c r="K137" i="6" s="1"/>
  <c r="M137" i="6" s="1"/>
  <c r="B138" i="6"/>
  <c r="K138" i="6" s="1"/>
  <c r="B139" i="6"/>
  <c r="B140" i="6"/>
  <c r="B141" i="6"/>
  <c r="K141" i="6" s="1"/>
  <c r="M141" i="6" s="1"/>
  <c r="B142" i="6"/>
  <c r="K142" i="6" s="1"/>
  <c r="B143" i="6"/>
  <c r="B144" i="6"/>
  <c r="B145" i="6"/>
  <c r="K145" i="6" s="1"/>
  <c r="M145" i="6" s="1"/>
  <c r="B146" i="6"/>
  <c r="K146" i="6" s="1"/>
  <c r="B147" i="6"/>
  <c r="B148" i="6"/>
  <c r="B149" i="6"/>
  <c r="K149" i="6" s="1"/>
  <c r="M149" i="6" s="1"/>
  <c r="B150" i="6"/>
  <c r="K150" i="6" s="1"/>
  <c r="B151" i="6"/>
  <c r="B152" i="6"/>
  <c r="B153" i="6"/>
  <c r="K153" i="6" s="1"/>
  <c r="B154" i="6"/>
  <c r="K154" i="6" s="1"/>
  <c r="M154" i="6" s="1"/>
  <c r="B155" i="6"/>
  <c r="B156" i="6"/>
  <c r="B157" i="6"/>
  <c r="K157" i="6" s="1"/>
  <c r="M157" i="6" s="1"/>
  <c r="B158" i="6"/>
  <c r="K158" i="6" s="1"/>
  <c r="B159" i="6"/>
  <c r="B160" i="6"/>
  <c r="B161" i="6"/>
  <c r="K161" i="6" s="1"/>
  <c r="M161" i="6" s="1"/>
  <c r="B162" i="6"/>
  <c r="K162" i="6" s="1"/>
  <c r="B163" i="6"/>
  <c r="B164" i="6"/>
  <c r="B165" i="6"/>
  <c r="K165" i="6" s="1"/>
  <c r="B166" i="6"/>
  <c r="K166" i="6" s="1"/>
  <c r="M166" i="6" s="1"/>
  <c r="B167" i="6"/>
  <c r="B168" i="6"/>
  <c r="B169" i="6"/>
  <c r="B170" i="6"/>
  <c r="K170" i="6" s="1"/>
  <c r="M170" i="6" s="1"/>
  <c r="B171" i="6"/>
  <c r="B172" i="6"/>
  <c r="B173" i="6"/>
  <c r="K173" i="6" s="1"/>
  <c r="B174" i="6"/>
  <c r="B175" i="6"/>
  <c r="B176" i="6"/>
  <c r="B177" i="6"/>
  <c r="K177" i="6" s="1"/>
  <c r="B178" i="6"/>
  <c r="K178" i="6" s="1"/>
  <c r="M178" i="6" s="1"/>
  <c r="B179" i="6"/>
  <c r="B180" i="6"/>
  <c r="B181" i="6"/>
  <c r="K181" i="6" s="1"/>
  <c r="B182" i="6"/>
  <c r="K182" i="6" s="1"/>
  <c r="M182" i="6" s="1"/>
  <c r="B183" i="6"/>
  <c r="B184" i="6"/>
  <c r="B185" i="6"/>
  <c r="K185" i="6" s="1"/>
  <c r="B186" i="6"/>
  <c r="K186" i="6" s="1"/>
  <c r="B187" i="6"/>
  <c r="B188" i="6"/>
  <c r="B189" i="6"/>
  <c r="K189" i="6" s="1"/>
  <c r="B190" i="6"/>
  <c r="B191" i="6"/>
  <c r="B192" i="6"/>
  <c r="B193" i="6"/>
  <c r="K193" i="6" s="1"/>
  <c r="B194" i="6"/>
  <c r="K194" i="6" s="1"/>
  <c r="B195" i="6"/>
  <c r="B196" i="6"/>
  <c r="B197" i="6"/>
  <c r="K197" i="6" s="1"/>
  <c r="B198" i="6"/>
  <c r="K198" i="6" s="1"/>
  <c r="B199" i="6"/>
  <c r="B200" i="6"/>
  <c r="B201" i="6"/>
  <c r="K201" i="6" s="1"/>
  <c r="B202" i="6"/>
  <c r="B203" i="6"/>
  <c r="B204" i="6"/>
  <c r="B205" i="6"/>
  <c r="K205" i="6" s="1"/>
  <c r="B206" i="6"/>
  <c r="K206" i="6" s="1"/>
  <c r="B207" i="6"/>
  <c r="B208" i="6"/>
  <c r="B209" i="6"/>
  <c r="K209" i="6" s="1"/>
  <c r="B210" i="6"/>
  <c r="K210" i="6" s="1"/>
  <c r="B211" i="6"/>
  <c r="B212" i="6"/>
  <c r="B213" i="6"/>
  <c r="K213" i="6" s="1"/>
  <c r="B214" i="6"/>
  <c r="K214" i="6" s="1"/>
  <c r="B215" i="6"/>
  <c r="B216" i="6"/>
  <c r="B217" i="6"/>
  <c r="B218" i="6"/>
  <c r="B219" i="6"/>
  <c r="B220" i="6"/>
  <c r="B221" i="6"/>
  <c r="K221" i="6" s="1"/>
  <c r="B222" i="6"/>
  <c r="K222" i="6" s="1"/>
  <c r="B223" i="6"/>
  <c r="B224" i="6"/>
  <c r="B225" i="6"/>
  <c r="K225" i="6" s="1"/>
  <c r="B226" i="6"/>
  <c r="K226" i="6" s="1"/>
  <c r="B227" i="6"/>
  <c r="B228" i="6"/>
  <c r="B229" i="6"/>
  <c r="K229" i="6" s="1"/>
  <c r="M229" i="6" s="1"/>
  <c r="B230" i="6"/>
  <c r="K230" i="6" s="1"/>
  <c r="B231" i="6"/>
  <c r="B232" i="6"/>
  <c r="B233" i="6"/>
  <c r="B234" i="6"/>
  <c r="K234" i="6" s="1"/>
  <c r="B235" i="6"/>
  <c r="B236" i="6"/>
  <c r="B237" i="6"/>
  <c r="K237" i="6" s="1"/>
  <c r="M237" i="6" s="1"/>
  <c r="B238" i="6"/>
  <c r="K238" i="6" s="1"/>
  <c r="B239" i="6"/>
  <c r="B240" i="6"/>
  <c r="B241" i="6"/>
  <c r="K241" i="6" s="1"/>
  <c r="M241" i="6" s="1"/>
  <c r="B242" i="6"/>
  <c r="K242" i="6" s="1"/>
  <c r="B243" i="6"/>
  <c r="B244" i="6"/>
  <c r="B245" i="6"/>
  <c r="K245" i="6" s="1"/>
  <c r="M245" i="6" s="1"/>
  <c r="B246" i="6"/>
  <c r="B247" i="6"/>
  <c r="B248" i="6"/>
  <c r="B249" i="6"/>
  <c r="K249" i="6" s="1"/>
  <c r="M249" i="6" s="1"/>
  <c r="B250" i="6"/>
  <c r="K250" i="6" s="1"/>
  <c r="B251" i="6"/>
  <c r="B252" i="6"/>
  <c r="B253" i="6"/>
  <c r="K253" i="6" s="1"/>
  <c r="M253" i="6" s="1"/>
  <c r="B254" i="6"/>
  <c r="K254" i="6" s="1"/>
  <c r="B255" i="6"/>
  <c r="B256" i="6"/>
  <c r="B257" i="6"/>
  <c r="K257" i="6" s="1"/>
  <c r="M257" i="6" s="1"/>
  <c r="B258" i="6"/>
  <c r="K258" i="6" s="1"/>
  <c r="B259" i="6"/>
  <c r="B260" i="6"/>
  <c r="B261" i="6"/>
  <c r="K261" i="6" s="1"/>
  <c r="M261" i="6" s="1"/>
  <c r="B262" i="6"/>
  <c r="B263" i="6"/>
  <c r="B264" i="6"/>
  <c r="B265" i="6"/>
  <c r="K265" i="6" s="1"/>
  <c r="M265" i="6" s="1"/>
  <c r="B266" i="6"/>
  <c r="K266" i="6" s="1"/>
  <c r="B267" i="6"/>
  <c r="B268" i="6"/>
  <c r="B269" i="6"/>
  <c r="B270" i="6"/>
  <c r="K270" i="6" s="1"/>
  <c r="B271" i="6"/>
  <c r="B272" i="6"/>
  <c r="B273" i="6"/>
  <c r="B274" i="6"/>
  <c r="K274" i="6" s="1"/>
  <c r="B275" i="6"/>
  <c r="B276" i="6"/>
  <c r="B277" i="6"/>
  <c r="B278" i="6"/>
  <c r="K278" i="6" s="1"/>
  <c r="B279" i="6"/>
  <c r="B280" i="6"/>
  <c r="B281" i="6"/>
  <c r="B282" i="6"/>
  <c r="K282" i="6" s="1"/>
  <c r="M282" i="6" s="1"/>
  <c r="B283" i="6"/>
  <c r="B284" i="6"/>
  <c r="B285" i="6"/>
  <c r="B286" i="6"/>
  <c r="K286" i="6" s="1"/>
  <c r="M286" i="6" s="1"/>
  <c r="B287" i="6"/>
  <c r="B288" i="6"/>
  <c r="B289" i="6"/>
  <c r="B290" i="6"/>
  <c r="K290" i="6" s="1"/>
  <c r="M290" i="6" s="1"/>
  <c r="B291" i="6"/>
  <c r="B292" i="6"/>
  <c r="B293" i="6"/>
  <c r="B294" i="6"/>
  <c r="K294" i="6" s="1"/>
  <c r="B295" i="6"/>
  <c r="B296" i="6"/>
  <c r="B297" i="6"/>
  <c r="B298" i="6"/>
  <c r="K298" i="6" s="1"/>
  <c r="B299" i="6"/>
  <c r="B300" i="6"/>
  <c r="B301" i="6"/>
  <c r="B302" i="6"/>
  <c r="K302" i="6" s="1"/>
  <c r="B303" i="6"/>
  <c r="B304" i="6"/>
  <c r="B305" i="6"/>
  <c r="B306" i="6"/>
  <c r="K306" i="6" s="1"/>
  <c r="B307" i="6"/>
  <c r="B308" i="6"/>
  <c r="B309" i="6"/>
  <c r="B310" i="6"/>
  <c r="K310" i="6" s="1"/>
  <c r="B311" i="6"/>
  <c r="B312" i="6"/>
  <c r="B313" i="6"/>
  <c r="B314" i="6"/>
  <c r="K314" i="6" s="1"/>
  <c r="M314" i="6" s="1"/>
  <c r="B315" i="6"/>
  <c r="B316" i="6"/>
  <c r="B317" i="6"/>
  <c r="B318" i="6"/>
  <c r="K318" i="6" s="1"/>
  <c r="M318" i="6" s="1"/>
  <c r="B319" i="6"/>
  <c r="B320" i="6"/>
  <c r="B321" i="6"/>
  <c r="B322" i="6"/>
  <c r="K322" i="6" s="1"/>
  <c r="M322" i="6" s="1"/>
  <c r="B323" i="6"/>
  <c r="B324" i="6"/>
  <c r="B325" i="6"/>
  <c r="B326" i="6"/>
  <c r="K326" i="6" s="1"/>
  <c r="M326" i="6" s="1"/>
  <c r="B327" i="6"/>
  <c r="B328" i="6"/>
  <c r="B329" i="6"/>
  <c r="B330" i="6"/>
  <c r="K330" i="6" s="1"/>
  <c r="M330" i="6" s="1"/>
  <c r="B331" i="6"/>
  <c r="B332" i="6"/>
  <c r="B333" i="6"/>
  <c r="B334" i="6"/>
  <c r="K334" i="6" s="1"/>
  <c r="B335" i="6"/>
  <c r="B336" i="6"/>
  <c r="B337" i="6"/>
  <c r="B338" i="6"/>
  <c r="K338" i="6" s="1"/>
  <c r="B339" i="6"/>
  <c r="B340" i="6"/>
  <c r="B341" i="6"/>
  <c r="B342" i="6"/>
  <c r="K342" i="6" s="1"/>
  <c r="M342" i="6" s="1"/>
  <c r="B343" i="6"/>
  <c r="B344" i="6"/>
  <c r="B345" i="6"/>
  <c r="B346" i="6"/>
  <c r="K346" i="6" s="1"/>
  <c r="M346" i="6" s="1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K2" i="6" s="1"/>
  <c r="M2" i="6" s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3" i="6"/>
  <c r="M3" i="6" s="1"/>
  <c r="K7" i="6"/>
  <c r="M7" i="6" s="1"/>
  <c r="K11" i="6"/>
  <c r="M11" i="6" s="1"/>
  <c r="K15" i="6"/>
  <c r="M15" i="6" s="1"/>
  <c r="K19" i="6"/>
  <c r="M19" i="6" s="1"/>
  <c r="K23" i="6"/>
  <c r="M23" i="6" s="1"/>
  <c r="M26" i="6"/>
  <c r="K27" i="6"/>
  <c r="M27" i="6" s="1"/>
  <c r="K31" i="6"/>
  <c r="M31" i="6" s="1"/>
  <c r="M34" i="6"/>
  <c r="K35" i="6"/>
  <c r="M35" i="6" s="1"/>
  <c r="K39" i="6"/>
  <c r="K43" i="6"/>
  <c r="M43" i="6" s="1"/>
  <c r="K47" i="6"/>
  <c r="M48" i="6"/>
  <c r="K51" i="6"/>
  <c r="M51" i="6" s="1"/>
  <c r="M52" i="6"/>
  <c r="K55" i="6"/>
  <c r="M55" i="6" s="1"/>
  <c r="M60" i="6"/>
  <c r="M64" i="6"/>
  <c r="M72" i="6"/>
  <c r="K91" i="6"/>
  <c r="M91" i="6" s="1"/>
  <c r="K103" i="6"/>
  <c r="M103" i="6" s="1"/>
  <c r="K107" i="6"/>
  <c r="M107" i="6" s="1"/>
  <c r="K119" i="6"/>
  <c r="M119" i="6" s="1"/>
  <c r="K123" i="6"/>
  <c r="M123" i="6" s="1"/>
  <c r="K135" i="6"/>
  <c r="M135" i="6" s="1"/>
  <c r="K139" i="6"/>
  <c r="M139" i="6" s="1"/>
  <c r="M146" i="6"/>
  <c r="K147" i="6"/>
  <c r="M147" i="6" s="1"/>
  <c r="M153" i="6"/>
  <c r="K159" i="6"/>
  <c r="M159" i="6" s="1"/>
  <c r="M162" i="6"/>
  <c r="K167" i="6"/>
  <c r="M167" i="6" s="1"/>
  <c r="K169" i="6"/>
  <c r="K174" i="6"/>
  <c r="M174" i="6" s="1"/>
  <c r="K175" i="6"/>
  <c r="M175" i="6" s="1"/>
  <c r="K183" i="6"/>
  <c r="M183" i="6" s="1"/>
  <c r="K187" i="6"/>
  <c r="M187" i="6" s="1"/>
  <c r="K190" i="6"/>
  <c r="K195" i="6"/>
  <c r="M195" i="6" s="1"/>
  <c r="K202" i="6"/>
  <c r="K203" i="6"/>
  <c r="M203" i="6" s="1"/>
  <c r="K211" i="6"/>
  <c r="M211" i="6" s="1"/>
  <c r="K217" i="6"/>
  <c r="M217" i="6" s="1"/>
  <c r="K218" i="6"/>
  <c r="K223" i="6"/>
  <c r="M223" i="6" s="1"/>
  <c r="K231" i="6"/>
  <c r="M231" i="6" s="1"/>
  <c r="K233" i="6"/>
  <c r="M233" i="6" s="1"/>
  <c r="K239" i="6"/>
  <c r="M239" i="6" s="1"/>
  <c r="K246" i="6"/>
  <c r="K247" i="6"/>
  <c r="M247" i="6" s="1"/>
  <c r="K251" i="6"/>
  <c r="M251" i="6" s="1"/>
  <c r="K259" i="6"/>
  <c r="M259" i="6" s="1"/>
  <c r="K262" i="6"/>
  <c r="K267" i="6"/>
  <c r="M267" i="6" s="1"/>
  <c r="K269" i="6"/>
  <c r="M269" i="6" s="1"/>
  <c r="K271" i="6"/>
  <c r="M271" i="6" s="1"/>
  <c r="K273" i="6"/>
  <c r="M273" i="6"/>
  <c r="K275" i="6"/>
  <c r="M275" i="6" s="1"/>
  <c r="K277" i="6"/>
  <c r="M277" i="6" s="1"/>
  <c r="K279" i="6"/>
  <c r="M279" i="6" s="1"/>
  <c r="K281" i="6"/>
  <c r="M281" i="6" s="1"/>
  <c r="K283" i="6"/>
  <c r="M283" i="6" s="1"/>
  <c r="K285" i="6"/>
  <c r="M285" i="6" s="1"/>
  <c r="K287" i="6"/>
  <c r="M287" i="6" s="1"/>
  <c r="K289" i="6"/>
  <c r="M289" i="6"/>
  <c r="K291" i="6"/>
  <c r="M291" i="6" s="1"/>
  <c r="K293" i="6"/>
  <c r="M293" i="6"/>
  <c r="K295" i="6"/>
  <c r="M295" i="6" s="1"/>
  <c r="K297" i="6"/>
  <c r="M297" i="6"/>
  <c r="K299" i="6"/>
  <c r="M299" i="6" s="1"/>
  <c r="K301" i="6"/>
  <c r="M301" i="6"/>
  <c r="K303" i="6"/>
  <c r="M303" i="6" s="1"/>
  <c r="K305" i="6"/>
  <c r="M305" i="6"/>
  <c r="K307" i="6"/>
  <c r="M307" i="6" s="1"/>
  <c r="K309" i="6"/>
  <c r="M309" i="6"/>
  <c r="K311" i="6"/>
  <c r="M311" i="6" s="1"/>
  <c r="K313" i="6"/>
  <c r="M313" i="6"/>
  <c r="K315" i="6"/>
  <c r="M315" i="6" s="1"/>
  <c r="K317" i="6"/>
  <c r="M317" i="6"/>
  <c r="K319" i="6"/>
  <c r="M319" i="6" s="1"/>
  <c r="K321" i="6"/>
  <c r="M321" i="6"/>
  <c r="K323" i="6"/>
  <c r="M323" i="6" s="1"/>
  <c r="K325" i="6"/>
  <c r="M325" i="6"/>
  <c r="K327" i="6"/>
  <c r="M327" i="6" s="1"/>
  <c r="K329" i="6"/>
  <c r="M329" i="6"/>
  <c r="K331" i="6"/>
  <c r="M331" i="6" s="1"/>
  <c r="K333" i="6"/>
  <c r="M333" i="6"/>
  <c r="K335" i="6"/>
  <c r="M335" i="6" s="1"/>
  <c r="K337" i="6"/>
  <c r="M337" i="6"/>
  <c r="K339" i="6"/>
  <c r="M339" i="6" s="1"/>
  <c r="K341" i="6"/>
  <c r="M341" i="6"/>
  <c r="K343" i="6"/>
  <c r="M343" i="6" s="1"/>
  <c r="K345" i="6"/>
  <c r="M345" i="6"/>
  <c r="K347" i="6"/>
  <c r="M347" i="6" s="1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 s="1"/>
  <c r="L6" i="6"/>
  <c r="L7" i="6"/>
  <c r="N7" i="6" s="1"/>
  <c r="L10" i="6"/>
  <c r="N10" i="6" s="1"/>
  <c r="L11" i="6"/>
  <c r="N11" i="6"/>
  <c r="L14" i="6"/>
  <c r="N14" i="6" s="1"/>
  <c r="L15" i="6"/>
  <c r="N15" i="6"/>
  <c r="L18" i="6"/>
  <c r="N18" i="6" s="1"/>
  <c r="L19" i="6"/>
  <c r="N19" i="6" s="1"/>
  <c r="L22" i="6"/>
  <c r="N22" i="6"/>
  <c r="L23" i="6"/>
  <c r="N23" i="6" s="1"/>
  <c r="L26" i="6"/>
  <c r="N26" i="6" s="1"/>
  <c r="L27" i="6"/>
  <c r="N27" i="6"/>
  <c r="L30" i="6"/>
  <c r="N30" i="6" s="1"/>
  <c r="L31" i="6"/>
  <c r="N31" i="6" s="1"/>
  <c r="L34" i="6"/>
  <c r="N34" i="6" s="1"/>
  <c r="L35" i="6"/>
  <c r="N35" i="6" s="1"/>
  <c r="L38" i="6"/>
  <c r="L39" i="6"/>
  <c r="N39" i="6" s="1"/>
  <c r="L42" i="6"/>
  <c r="N42" i="6" s="1"/>
  <c r="L43" i="6"/>
  <c r="L45" i="6"/>
  <c r="N45" i="6" s="1"/>
  <c r="L46" i="6"/>
  <c r="L47" i="6"/>
  <c r="L48" i="6"/>
  <c r="N48" i="6" s="1"/>
  <c r="L50" i="6"/>
  <c r="L51" i="6"/>
  <c r="N51" i="6" s="1"/>
  <c r="L52" i="6"/>
  <c r="L54" i="6"/>
  <c r="L55" i="6"/>
  <c r="N55" i="6" s="1"/>
  <c r="L56" i="6"/>
  <c r="L60" i="6"/>
  <c r="N60" i="6" s="1"/>
  <c r="L61" i="6"/>
  <c r="N61" i="6" s="1"/>
  <c r="L64" i="6"/>
  <c r="L65" i="6"/>
  <c r="N65" i="6"/>
  <c r="L68" i="6"/>
  <c r="N68" i="6" s="1"/>
  <c r="L69" i="6"/>
  <c r="N69" i="6" s="1"/>
  <c r="L72" i="6"/>
  <c r="N72" i="6" s="1"/>
  <c r="L73" i="6"/>
  <c r="N73" i="6" s="1"/>
  <c r="L74" i="6"/>
  <c r="L76" i="6"/>
  <c r="N76" i="6" s="1"/>
  <c r="L77" i="6"/>
  <c r="N77" i="6" s="1"/>
  <c r="L78" i="6"/>
  <c r="L79" i="6"/>
  <c r="L80" i="6"/>
  <c r="L81" i="6"/>
  <c r="N81" i="6" s="1"/>
  <c r="L82" i="6"/>
  <c r="L84" i="6"/>
  <c r="L85" i="6"/>
  <c r="L86" i="6"/>
  <c r="L88" i="6"/>
  <c r="L89" i="6"/>
  <c r="N89" i="6" s="1"/>
  <c r="L90" i="6"/>
  <c r="L91" i="6"/>
  <c r="N91" i="6" s="1"/>
  <c r="L93" i="6"/>
  <c r="N93" i="6" s="1"/>
  <c r="L94" i="6"/>
  <c r="L95" i="6"/>
  <c r="N95" i="6" s="1"/>
  <c r="L97" i="6"/>
  <c r="N97" i="6" s="1"/>
  <c r="L98" i="6"/>
  <c r="L101" i="6"/>
  <c r="N101" i="6" s="1"/>
  <c r="L102" i="6"/>
  <c r="L105" i="6"/>
  <c r="N105" i="6" s="1"/>
  <c r="L106" i="6"/>
  <c r="L107" i="6"/>
  <c r="N107" i="6" s="1"/>
  <c r="L109" i="6"/>
  <c r="N109" i="6" s="1"/>
  <c r="L110" i="6"/>
  <c r="L111" i="6"/>
  <c r="N111" i="6" s="1"/>
  <c r="L113" i="6"/>
  <c r="N113" i="6" s="1"/>
  <c r="L114" i="6"/>
  <c r="L115" i="6"/>
  <c r="N115" i="6" s="1"/>
  <c r="L117" i="6"/>
  <c r="N117" i="6" s="1"/>
  <c r="L118" i="6"/>
  <c r="L121" i="6"/>
  <c r="N121" i="6" s="1"/>
  <c r="L122" i="6"/>
  <c r="L125" i="6"/>
  <c r="N125" i="6"/>
  <c r="L126" i="6"/>
  <c r="L129" i="6"/>
  <c r="N129" i="6" s="1"/>
  <c r="L130" i="6"/>
  <c r="L133" i="6"/>
  <c r="N133" i="6"/>
  <c r="L134" i="6"/>
  <c r="L137" i="6"/>
  <c r="N137" i="6" s="1"/>
  <c r="L138" i="6"/>
  <c r="N139" i="6"/>
  <c r="L141" i="6"/>
  <c r="N141" i="6" s="1"/>
  <c r="L142" i="6"/>
  <c r="N142" i="6"/>
  <c r="L143" i="6"/>
  <c r="N143" i="6" s="1"/>
  <c r="L145" i="6"/>
  <c r="N145" i="6" s="1"/>
  <c r="L146" i="6"/>
  <c r="N146" i="6"/>
  <c r="L147" i="6"/>
  <c r="N147" i="6" s="1"/>
  <c r="L149" i="6"/>
  <c r="N149" i="6"/>
  <c r="L150" i="6"/>
  <c r="N150" i="6"/>
  <c r="L153" i="6"/>
  <c r="N153" i="6" s="1"/>
  <c r="L154" i="6"/>
  <c r="N154" i="6"/>
  <c r="L155" i="6"/>
  <c r="N155" i="6" s="1"/>
  <c r="L157" i="6"/>
  <c r="N157" i="6"/>
  <c r="L158" i="6"/>
  <c r="N158" i="6" s="1"/>
  <c r="L161" i="6"/>
  <c r="N161" i="6" s="1"/>
  <c r="L162" i="6"/>
  <c r="N162" i="6" s="1"/>
  <c r="L165" i="6"/>
  <c r="N165" i="6"/>
  <c r="L166" i="6"/>
  <c r="N166" i="6" s="1"/>
  <c r="L167" i="6"/>
  <c r="N167" i="6" s="1"/>
  <c r="L169" i="6"/>
  <c r="N169" i="6"/>
  <c r="L170" i="6"/>
  <c r="N170" i="6" s="1"/>
  <c r="L171" i="6"/>
  <c r="N171" i="6"/>
  <c r="L173" i="6"/>
  <c r="N173" i="6" s="1"/>
  <c r="L174" i="6"/>
  <c r="N174" i="6"/>
  <c r="L175" i="6"/>
  <c r="N175" i="6" s="1"/>
  <c r="L177" i="6"/>
  <c r="N177" i="6" s="1"/>
  <c r="L178" i="6"/>
  <c r="N178" i="6"/>
  <c r="L179" i="6"/>
  <c r="N179" i="6" s="1"/>
  <c r="L181" i="6"/>
  <c r="N181" i="6"/>
  <c r="L182" i="6"/>
  <c r="N182" i="6" s="1"/>
  <c r="L183" i="6"/>
  <c r="N183" i="6" s="1"/>
  <c r="L185" i="6"/>
  <c r="N185" i="6" s="1"/>
  <c r="L186" i="6"/>
  <c r="L187" i="6"/>
  <c r="N187" i="6"/>
  <c r="L189" i="6"/>
  <c r="N189" i="6" s="1"/>
  <c r="L190" i="6"/>
  <c r="N190" i="6"/>
  <c r="L191" i="6"/>
  <c r="N191" i="6" s="1"/>
  <c r="L193" i="6"/>
  <c r="N193" i="6" s="1"/>
  <c r="L194" i="6"/>
  <c r="L195" i="6"/>
  <c r="N195" i="6" s="1"/>
  <c r="L197" i="6"/>
  <c r="N197" i="6" s="1"/>
  <c r="L198" i="6"/>
  <c r="L199" i="6"/>
  <c r="N199" i="6" s="1"/>
  <c r="L201" i="6"/>
  <c r="N201" i="6" s="1"/>
  <c r="L202" i="6"/>
  <c r="L203" i="6"/>
  <c r="N203" i="6" s="1"/>
  <c r="L205" i="6"/>
  <c r="N205" i="6"/>
  <c r="L206" i="6"/>
  <c r="N206" i="6" s="1"/>
  <c r="L207" i="6"/>
  <c r="N207" i="6" s="1"/>
  <c r="L209" i="6"/>
  <c r="N209" i="6" s="1"/>
  <c r="L210" i="6"/>
  <c r="L211" i="6"/>
  <c r="N211" i="6" s="1"/>
  <c r="L213" i="6"/>
  <c r="N213" i="6"/>
  <c r="L214" i="6"/>
  <c r="L215" i="6"/>
  <c r="N215" i="6" s="1"/>
  <c r="L217" i="6"/>
  <c r="N217" i="6" s="1"/>
  <c r="L218" i="6"/>
  <c r="L219" i="6"/>
  <c r="N219" i="6"/>
  <c r="L221" i="6"/>
  <c r="N221" i="6" s="1"/>
  <c r="L222" i="6"/>
  <c r="N222" i="6" s="1"/>
  <c r="L223" i="6"/>
  <c r="N223" i="6" s="1"/>
  <c r="L225" i="6"/>
  <c r="N225" i="6" s="1"/>
  <c r="L226" i="6"/>
  <c r="L227" i="6"/>
  <c r="N227" i="6" s="1"/>
  <c r="L229" i="6"/>
  <c r="N229" i="6" s="1"/>
  <c r="L230" i="6"/>
  <c r="L231" i="6"/>
  <c r="N231" i="6"/>
  <c r="L233" i="6"/>
  <c r="N233" i="6" s="1"/>
  <c r="L234" i="6"/>
  <c r="L235" i="6"/>
  <c r="N235" i="6" s="1"/>
  <c r="L237" i="6"/>
  <c r="N237" i="6" s="1"/>
  <c r="L238" i="6"/>
  <c r="N238" i="6" s="1"/>
  <c r="L239" i="6"/>
  <c r="N239" i="6" s="1"/>
  <c r="L241" i="6"/>
  <c r="N241" i="6" s="1"/>
  <c r="L242" i="6"/>
  <c r="L243" i="6"/>
  <c r="N243" i="6" s="1"/>
  <c r="L245" i="6"/>
  <c r="N245" i="6" s="1"/>
  <c r="L246" i="6"/>
  <c r="L247" i="6"/>
  <c r="N247" i="6" s="1"/>
  <c r="L249" i="6"/>
  <c r="N249" i="6"/>
  <c r="L250" i="6"/>
  <c r="L251" i="6"/>
  <c r="N251" i="6" s="1"/>
  <c r="L253" i="6"/>
  <c r="N253" i="6" s="1"/>
  <c r="L254" i="6"/>
  <c r="N254" i="6" s="1"/>
  <c r="L255" i="6"/>
  <c r="N255" i="6" s="1"/>
  <c r="L257" i="6"/>
  <c r="N257" i="6" s="1"/>
  <c r="L258" i="6"/>
  <c r="L259" i="6"/>
  <c r="N259" i="6" s="1"/>
  <c r="L261" i="6"/>
  <c r="N261" i="6" s="1"/>
  <c r="L262" i="6"/>
  <c r="L263" i="6"/>
  <c r="N263" i="6" s="1"/>
  <c r="L265" i="6"/>
  <c r="N265" i="6" s="1"/>
  <c r="L266" i="6"/>
  <c r="L267" i="6"/>
  <c r="N267" i="6" s="1"/>
  <c r="L268" i="6"/>
  <c r="N268" i="6"/>
  <c r="L269" i="6"/>
  <c r="N269" i="6" s="1"/>
  <c r="L270" i="6"/>
  <c r="N270" i="6"/>
  <c r="L271" i="6"/>
  <c r="N271" i="6" s="1"/>
  <c r="L272" i="6"/>
  <c r="N272" i="6"/>
  <c r="L273" i="6"/>
  <c r="N273" i="6" s="1"/>
  <c r="L274" i="6"/>
  <c r="N274" i="6"/>
  <c r="L275" i="6"/>
  <c r="N275" i="6" s="1"/>
  <c r="L276" i="6"/>
  <c r="N276" i="6"/>
  <c r="L277" i="6"/>
  <c r="N277" i="6" s="1"/>
  <c r="L278" i="6"/>
  <c r="N278" i="6"/>
  <c r="L279" i="6"/>
  <c r="N279" i="6" s="1"/>
  <c r="L280" i="6"/>
  <c r="N280" i="6"/>
  <c r="L281" i="6"/>
  <c r="N281" i="6" s="1"/>
  <c r="L282" i="6"/>
  <c r="N282" i="6"/>
  <c r="L283" i="6"/>
  <c r="N283" i="6" s="1"/>
  <c r="L284" i="6"/>
  <c r="N284" i="6"/>
  <c r="L285" i="6"/>
  <c r="N285" i="6" s="1"/>
  <c r="L286" i="6"/>
  <c r="N286" i="6"/>
  <c r="L287" i="6"/>
  <c r="N287" i="6" s="1"/>
  <c r="L288" i="6"/>
  <c r="N288" i="6"/>
  <c r="L289" i="6"/>
  <c r="N289" i="6" s="1"/>
  <c r="L290" i="6"/>
  <c r="N290" i="6"/>
  <c r="L291" i="6"/>
  <c r="N291" i="6" s="1"/>
  <c r="L292" i="6"/>
  <c r="N292" i="6"/>
  <c r="L293" i="6"/>
  <c r="N293" i="6" s="1"/>
  <c r="L294" i="6"/>
  <c r="N294" i="6"/>
  <c r="L295" i="6"/>
  <c r="N295" i="6" s="1"/>
  <c r="L296" i="6"/>
  <c r="N296" i="6"/>
  <c r="L297" i="6"/>
  <c r="N297" i="6" s="1"/>
  <c r="L298" i="6"/>
  <c r="N298" i="6"/>
  <c r="L299" i="6"/>
  <c r="N299" i="6" s="1"/>
  <c r="L300" i="6"/>
  <c r="N300" i="6"/>
  <c r="L301" i="6"/>
  <c r="N301" i="6" s="1"/>
  <c r="L302" i="6"/>
  <c r="N302" i="6"/>
  <c r="L303" i="6"/>
  <c r="N303" i="6" s="1"/>
  <c r="L304" i="6"/>
  <c r="N304" i="6"/>
  <c r="L305" i="6"/>
  <c r="N305" i="6" s="1"/>
  <c r="L306" i="6"/>
  <c r="N306" i="6"/>
  <c r="L307" i="6"/>
  <c r="N307" i="6" s="1"/>
  <c r="L308" i="6"/>
  <c r="N308" i="6"/>
  <c r="L309" i="6"/>
  <c r="N309" i="6" s="1"/>
  <c r="L310" i="6"/>
  <c r="N310" i="6"/>
  <c r="L311" i="6"/>
  <c r="N311" i="6" s="1"/>
  <c r="L312" i="6"/>
  <c r="N312" i="6"/>
  <c r="L313" i="6"/>
  <c r="N313" i="6" s="1"/>
  <c r="L314" i="6"/>
  <c r="N314" i="6"/>
  <c r="L315" i="6"/>
  <c r="N315" i="6" s="1"/>
  <c r="L316" i="6"/>
  <c r="N316" i="6"/>
  <c r="L317" i="6"/>
  <c r="N317" i="6" s="1"/>
  <c r="L318" i="6"/>
  <c r="N318" i="6"/>
  <c r="L319" i="6"/>
  <c r="N319" i="6" s="1"/>
  <c r="L320" i="6"/>
  <c r="N320" i="6"/>
  <c r="L321" i="6"/>
  <c r="N321" i="6" s="1"/>
  <c r="L322" i="6"/>
  <c r="N322" i="6"/>
  <c r="L323" i="6"/>
  <c r="N323" i="6" s="1"/>
  <c r="L324" i="6"/>
  <c r="N324" i="6"/>
  <c r="L325" i="6"/>
  <c r="N325" i="6" s="1"/>
  <c r="L326" i="6"/>
  <c r="N326" i="6"/>
  <c r="L327" i="6"/>
  <c r="N327" i="6" s="1"/>
  <c r="L328" i="6"/>
  <c r="N328" i="6"/>
  <c r="L329" i="6"/>
  <c r="N329" i="6" s="1"/>
  <c r="L330" i="6"/>
  <c r="N330" i="6"/>
  <c r="L331" i="6"/>
  <c r="N331" i="6" s="1"/>
  <c r="L332" i="6"/>
  <c r="N332" i="6"/>
  <c r="L333" i="6"/>
  <c r="N333" i="6" s="1"/>
  <c r="L334" i="6"/>
  <c r="N334" i="6"/>
  <c r="L335" i="6"/>
  <c r="N335" i="6" s="1"/>
  <c r="L336" i="6"/>
  <c r="N336" i="6"/>
  <c r="L337" i="6"/>
  <c r="N337" i="6" s="1"/>
  <c r="L338" i="6"/>
  <c r="N338" i="6"/>
  <c r="L339" i="6"/>
  <c r="N339" i="6" s="1"/>
  <c r="L340" i="6"/>
  <c r="N340" i="6"/>
  <c r="L341" i="6"/>
  <c r="N341" i="6" s="1"/>
  <c r="L342" i="6"/>
  <c r="N342" i="6"/>
  <c r="L343" i="6"/>
  <c r="N343" i="6" s="1"/>
  <c r="L344" i="6"/>
  <c r="N344" i="6"/>
  <c r="L345" i="6"/>
  <c r="N345" i="6" s="1"/>
  <c r="L346" i="6"/>
  <c r="N346" i="6"/>
  <c r="L347" i="6"/>
  <c r="N347" i="6" s="1"/>
  <c r="L348" i="6"/>
  <c r="N348" i="6"/>
  <c r="L349" i="6"/>
  <c r="N349" i="6" s="1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N88" i="6" l="1"/>
  <c r="N84" i="6"/>
  <c r="N80" i="6"/>
  <c r="M95" i="6"/>
  <c r="K99" i="6"/>
  <c r="M99" i="6" s="1"/>
  <c r="L99" i="6"/>
  <c r="N99" i="6" s="1"/>
  <c r="N103" i="6"/>
  <c r="M111" i="6"/>
  <c r="M115" i="6"/>
  <c r="N119" i="6"/>
  <c r="N123" i="6"/>
  <c r="K127" i="6"/>
  <c r="M127" i="6" s="1"/>
  <c r="L127" i="6"/>
  <c r="N127" i="6" s="1"/>
  <c r="L131" i="6"/>
  <c r="N131" i="6" s="1"/>
  <c r="K131" i="6"/>
  <c r="M131" i="6" s="1"/>
  <c r="L135" i="6"/>
  <c r="N135" i="6" s="1"/>
  <c r="M143" i="6"/>
  <c r="L151" i="6"/>
  <c r="N151" i="6" s="1"/>
  <c r="K151" i="6"/>
  <c r="M151" i="6" s="1"/>
  <c r="M155" i="6"/>
  <c r="N159" i="6"/>
  <c r="K163" i="6"/>
  <c r="M163" i="6" s="1"/>
  <c r="L163" i="6"/>
  <c r="N163" i="6" s="1"/>
  <c r="M227" i="6"/>
  <c r="M235" i="6"/>
  <c r="M243" i="6"/>
  <c r="M255" i="6"/>
  <c r="M263" i="6"/>
  <c r="M169" i="6"/>
  <c r="M225" i="6"/>
  <c r="M221" i="6"/>
  <c r="M213" i="6"/>
  <c r="M209" i="6"/>
  <c r="M205" i="6"/>
  <c r="M201" i="6"/>
  <c r="M197" i="6"/>
  <c r="M193" i="6"/>
  <c r="M189" i="6"/>
  <c r="M185" i="6"/>
  <c r="M181" i="6"/>
  <c r="M177" i="6"/>
  <c r="M173" i="6"/>
  <c r="M165" i="6"/>
  <c r="M85" i="6"/>
  <c r="M69" i="6"/>
  <c r="M65" i="6"/>
  <c r="M61" i="6"/>
  <c r="M338" i="6"/>
  <c r="M334" i="6"/>
  <c r="M310" i="6"/>
  <c r="M306" i="6"/>
  <c r="M302" i="6"/>
  <c r="M298" i="6"/>
  <c r="M294" i="6"/>
  <c r="M278" i="6"/>
  <c r="M274" i="6"/>
  <c r="M270" i="6"/>
  <c r="M266" i="6"/>
  <c r="M262" i="6"/>
  <c r="M258" i="6"/>
  <c r="M254" i="6"/>
  <c r="M250" i="6"/>
  <c r="M246" i="6"/>
  <c r="M242" i="6"/>
  <c r="M238" i="6"/>
  <c r="M234" i="6"/>
  <c r="M230" i="6"/>
  <c r="M226" i="6"/>
  <c r="M222" i="6"/>
  <c r="M218" i="6"/>
  <c r="M214" i="6"/>
  <c r="M210" i="6"/>
  <c r="M206" i="6"/>
  <c r="M202" i="6"/>
  <c r="M198" i="6"/>
  <c r="M194" i="6"/>
  <c r="M190" i="6"/>
  <c r="M186" i="6"/>
  <c r="M158" i="6"/>
  <c r="M150" i="6"/>
  <c r="M142" i="6"/>
  <c r="M138" i="6"/>
  <c r="M134" i="6"/>
  <c r="M130" i="6"/>
  <c r="M126" i="6"/>
  <c r="N126" i="6"/>
  <c r="M122" i="6"/>
  <c r="M118" i="6"/>
  <c r="M114" i="6"/>
  <c r="N114" i="6"/>
  <c r="M110" i="6"/>
  <c r="M106" i="6"/>
  <c r="M102" i="6"/>
  <c r="M58" i="6"/>
  <c r="M54" i="6"/>
  <c r="M50" i="6"/>
  <c r="M46" i="6"/>
  <c r="M38" i="6"/>
  <c r="N38" i="6"/>
  <c r="M6" i="6"/>
  <c r="K268" i="6"/>
  <c r="M268" i="6"/>
  <c r="K272" i="6"/>
  <c r="M272" i="6" s="1"/>
  <c r="K276" i="6"/>
  <c r="M276" i="6" s="1"/>
  <c r="K280" i="6"/>
  <c r="M280" i="6" s="1"/>
  <c r="K284" i="6"/>
  <c r="M284" i="6" s="1"/>
  <c r="K288" i="6"/>
  <c r="M288" i="6" s="1"/>
  <c r="K292" i="6"/>
  <c r="M292" i="6" s="1"/>
  <c r="K296" i="6"/>
  <c r="M296" i="6" s="1"/>
  <c r="K300" i="6"/>
  <c r="M300" i="6" s="1"/>
  <c r="K304" i="6"/>
  <c r="M304" i="6" s="1"/>
  <c r="K308" i="6"/>
  <c r="M308" i="6" s="1"/>
  <c r="K312" i="6"/>
  <c r="M312" i="6" s="1"/>
  <c r="K316" i="6"/>
  <c r="M316" i="6" s="1"/>
  <c r="K320" i="6"/>
  <c r="M320" i="6" s="1"/>
  <c r="K324" i="6"/>
  <c r="M324" i="6" s="1"/>
  <c r="K328" i="6"/>
  <c r="M328" i="6" s="1"/>
  <c r="K332" i="6"/>
  <c r="M332" i="6" s="1"/>
  <c r="K336" i="6"/>
  <c r="M336" i="6" s="1"/>
  <c r="K340" i="6"/>
  <c r="M340" i="6" s="1"/>
  <c r="K344" i="6"/>
  <c r="M344" i="6" s="1"/>
  <c r="K348" i="6"/>
  <c r="M348" i="6" s="1"/>
  <c r="N85" i="6"/>
  <c r="N52" i="6"/>
  <c r="M39" i="6"/>
  <c r="N64" i="6"/>
  <c r="N56" i="6"/>
  <c r="N47" i="6"/>
  <c r="M47" i="6"/>
  <c r="E10" i="8"/>
  <c r="K87" i="6"/>
  <c r="M87" i="6" s="1"/>
  <c r="L32" i="6"/>
  <c r="N32" i="6"/>
  <c r="L20" i="6"/>
  <c r="N20" i="6" s="1"/>
  <c r="L4" i="6"/>
  <c r="N4" i="6" s="1"/>
  <c r="M98" i="6"/>
  <c r="N98" i="6"/>
  <c r="M82" i="6"/>
  <c r="N82" i="6"/>
  <c r="L100" i="6"/>
  <c r="L112" i="6"/>
  <c r="L128" i="6"/>
  <c r="L144" i="6"/>
  <c r="N144" i="6" s="1"/>
  <c r="L156" i="6"/>
  <c r="N156" i="6" s="1"/>
  <c r="L176" i="6"/>
  <c r="K176" i="6"/>
  <c r="M176" i="6" s="1"/>
  <c r="L188" i="6"/>
  <c r="N188" i="6" s="1"/>
  <c r="K188" i="6"/>
  <c r="M188" i="6" s="1"/>
  <c r="K200" i="6"/>
  <c r="M200" i="6" s="1"/>
  <c r="L200" i="6"/>
  <c r="K212" i="6"/>
  <c r="M212" i="6" s="1"/>
  <c r="L212" i="6"/>
  <c r="K232" i="6"/>
  <c r="M232" i="6" s="1"/>
  <c r="L232" i="6"/>
  <c r="K244" i="6"/>
  <c r="M244" i="6" s="1"/>
  <c r="L244" i="6"/>
  <c r="K256" i="6"/>
  <c r="M256" i="6" s="1"/>
  <c r="L256" i="6"/>
  <c r="N256" i="6" s="1"/>
  <c r="N258" i="6"/>
  <c r="N242" i="6"/>
  <c r="N226" i="6"/>
  <c r="N210" i="6"/>
  <c r="N194" i="6"/>
  <c r="N176" i="6"/>
  <c r="N130" i="6"/>
  <c r="N128" i="6"/>
  <c r="N110" i="6"/>
  <c r="L66" i="6"/>
  <c r="N66" i="6" s="1"/>
  <c r="L44" i="6"/>
  <c r="N44" i="6" s="1"/>
  <c r="N6" i="6"/>
  <c r="K83" i="6"/>
  <c r="M83" i="6" s="1"/>
  <c r="K75" i="6"/>
  <c r="M75" i="6" s="1"/>
  <c r="N75" i="6"/>
  <c r="L62" i="6"/>
  <c r="N62" i="6" s="1"/>
  <c r="L53" i="6"/>
  <c r="N53" i="6" s="1"/>
  <c r="M53" i="6"/>
  <c r="L40" i="6"/>
  <c r="N40" i="6" s="1"/>
  <c r="L16" i="6"/>
  <c r="N16" i="6" s="1"/>
  <c r="L8" i="6"/>
  <c r="M94" i="6"/>
  <c r="N94" i="6"/>
  <c r="M86" i="6"/>
  <c r="N86" i="6"/>
  <c r="M74" i="6"/>
  <c r="N74" i="6"/>
  <c r="K59" i="6"/>
  <c r="M59" i="6" s="1"/>
  <c r="L59" i="6"/>
  <c r="N59" i="6" s="1"/>
  <c r="L96" i="6"/>
  <c r="N96" i="6" s="1"/>
  <c r="L108" i="6"/>
  <c r="N108" i="6" s="1"/>
  <c r="L116" i="6"/>
  <c r="L124" i="6"/>
  <c r="N124" i="6" s="1"/>
  <c r="L136" i="6"/>
  <c r="L148" i="6"/>
  <c r="L160" i="6"/>
  <c r="N160" i="6" s="1"/>
  <c r="L168" i="6"/>
  <c r="K168" i="6"/>
  <c r="M168" i="6" s="1"/>
  <c r="L180" i="6"/>
  <c r="N180" i="6" s="1"/>
  <c r="K180" i="6"/>
  <c r="M180" i="6" s="1"/>
  <c r="L192" i="6"/>
  <c r="N192" i="6" s="1"/>
  <c r="K192" i="6"/>
  <c r="M192" i="6" s="1"/>
  <c r="K204" i="6"/>
  <c r="M204" i="6" s="1"/>
  <c r="L204" i="6"/>
  <c r="N204" i="6" s="1"/>
  <c r="K216" i="6"/>
  <c r="M216" i="6" s="1"/>
  <c r="L216" i="6"/>
  <c r="K224" i="6"/>
  <c r="L224" i="6"/>
  <c r="N224" i="6" s="1"/>
  <c r="M224" i="6"/>
  <c r="K236" i="6"/>
  <c r="M236" i="6" s="1"/>
  <c r="L236" i="6"/>
  <c r="N236" i="6" s="1"/>
  <c r="K252" i="6"/>
  <c r="M252" i="6" s="1"/>
  <c r="L252" i="6"/>
  <c r="N252" i="6" s="1"/>
  <c r="K264" i="6"/>
  <c r="L264" i="6"/>
  <c r="M264" i="6"/>
  <c r="N262" i="6"/>
  <c r="N246" i="6"/>
  <c r="N244" i="6"/>
  <c r="N230" i="6"/>
  <c r="N214" i="6"/>
  <c r="N212" i="6"/>
  <c r="N198" i="6"/>
  <c r="N148" i="6"/>
  <c r="N134" i="6"/>
  <c r="N122" i="6"/>
  <c r="N116" i="6"/>
  <c r="N106" i="6"/>
  <c r="N100" i="6"/>
  <c r="L87" i="6"/>
  <c r="N87" i="6" s="1"/>
  <c r="L28" i="6"/>
  <c r="N28" i="6" s="1"/>
  <c r="K79" i="6"/>
  <c r="M79" i="6" s="1"/>
  <c r="N79" i="6"/>
  <c r="L70" i="6"/>
  <c r="N70" i="6" s="1"/>
  <c r="M57" i="6"/>
  <c r="L57" i="6"/>
  <c r="N57" i="6" s="1"/>
  <c r="M49" i="6"/>
  <c r="L49" i="6"/>
  <c r="N49" i="6" s="1"/>
  <c r="L36" i="6"/>
  <c r="N36" i="6" s="1"/>
  <c r="L24" i="6"/>
  <c r="N24" i="6" s="1"/>
  <c r="M90" i="6"/>
  <c r="N90" i="6"/>
  <c r="M78" i="6"/>
  <c r="N78" i="6"/>
  <c r="L92" i="6"/>
  <c r="N92" i="6"/>
  <c r="L104" i="6"/>
  <c r="N104" i="6" s="1"/>
  <c r="L120" i="6"/>
  <c r="N120" i="6" s="1"/>
  <c r="L132" i="6"/>
  <c r="N132" i="6" s="1"/>
  <c r="L140" i="6"/>
  <c r="N140" i="6" s="1"/>
  <c r="L152" i="6"/>
  <c r="L164" i="6"/>
  <c r="N164" i="6" s="1"/>
  <c r="L172" i="6"/>
  <c r="N172" i="6" s="1"/>
  <c r="K172" i="6"/>
  <c r="M172" i="6" s="1"/>
  <c r="L184" i="6"/>
  <c r="K184" i="6"/>
  <c r="M184" i="6" s="1"/>
  <c r="K196" i="6"/>
  <c r="M196" i="6" s="1"/>
  <c r="L196" i="6"/>
  <c r="N196" i="6" s="1"/>
  <c r="K208" i="6"/>
  <c r="M208" i="6" s="1"/>
  <c r="L208" i="6"/>
  <c r="N208" i="6" s="1"/>
  <c r="K220" i="6"/>
  <c r="L220" i="6"/>
  <c r="N220" i="6" s="1"/>
  <c r="M220" i="6"/>
  <c r="K228" i="6"/>
  <c r="M228" i="6" s="1"/>
  <c r="L228" i="6"/>
  <c r="N228" i="6" s="1"/>
  <c r="K240" i="6"/>
  <c r="M240" i="6" s="1"/>
  <c r="L240" i="6"/>
  <c r="N240" i="6" s="1"/>
  <c r="K248" i="6"/>
  <c r="M248" i="6" s="1"/>
  <c r="L248" i="6"/>
  <c r="K260" i="6"/>
  <c r="M260" i="6" s="1"/>
  <c r="L260" i="6"/>
  <c r="N260" i="6" s="1"/>
  <c r="N266" i="6"/>
  <c r="N264" i="6"/>
  <c r="N250" i="6"/>
  <c r="N248" i="6"/>
  <c r="N234" i="6"/>
  <c r="N232" i="6"/>
  <c r="N218" i="6"/>
  <c r="N216" i="6"/>
  <c r="N202" i="6"/>
  <c r="N200" i="6"/>
  <c r="N186" i="6"/>
  <c r="N184" i="6"/>
  <c r="N168" i="6"/>
  <c r="N152" i="6"/>
  <c r="N138" i="6"/>
  <c r="N136" i="6"/>
  <c r="N118" i="6"/>
  <c r="N112" i="6"/>
  <c r="N102" i="6"/>
  <c r="L83" i="6"/>
  <c r="N83" i="6" s="1"/>
  <c r="L12" i="6"/>
  <c r="N12" i="6" s="1"/>
  <c r="N8" i="6"/>
  <c r="N54" i="6"/>
  <c r="N46" i="6"/>
  <c r="N58" i="6"/>
  <c r="N50" i="6"/>
  <c r="K164" i="6"/>
  <c r="M164" i="6" s="1"/>
  <c r="K160" i="6"/>
  <c r="M160" i="6" s="1"/>
  <c r="K156" i="6"/>
  <c r="M156" i="6" s="1"/>
  <c r="K152" i="6"/>
  <c r="M152" i="6" s="1"/>
  <c r="K148" i="6"/>
  <c r="M148" i="6" s="1"/>
  <c r="K144" i="6"/>
  <c r="M144" i="6" s="1"/>
  <c r="K140" i="6"/>
  <c r="M140" i="6" s="1"/>
  <c r="K136" i="6"/>
  <c r="M136" i="6" s="1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M108" i="6" s="1"/>
  <c r="K104" i="6"/>
  <c r="M104" i="6" s="1"/>
  <c r="K100" i="6"/>
  <c r="M100" i="6" s="1"/>
  <c r="K96" i="6"/>
  <c r="M96" i="6" s="1"/>
  <c r="K92" i="6"/>
  <c r="M92" i="6" s="1"/>
  <c r="K44" i="6"/>
  <c r="M44" i="6" s="1"/>
  <c r="K40" i="6"/>
  <c r="M40" i="6" s="1"/>
  <c r="K36" i="6"/>
  <c r="M36" i="6" s="1"/>
  <c r="K32" i="6"/>
  <c r="M32" i="6" s="1"/>
  <c r="K28" i="6"/>
  <c r="M28" i="6" s="1"/>
  <c r="K24" i="6"/>
  <c r="M24" i="6" s="1"/>
  <c r="K20" i="6"/>
  <c r="M20" i="6" s="1"/>
  <c r="K16" i="6"/>
  <c r="M16" i="6" s="1"/>
  <c r="K12" i="6"/>
  <c r="M12" i="6" s="1"/>
  <c r="K8" i="6"/>
  <c r="M8" i="6" s="1"/>
  <c r="K4" i="6"/>
  <c r="M4" i="6" s="1"/>
  <c r="K70" i="6"/>
  <c r="M70" i="6" s="1"/>
  <c r="K66" i="6"/>
  <c r="M66" i="6" s="1"/>
  <c r="K62" i="6"/>
  <c r="M62" i="6" s="1"/>
  <c r="N2" i="6"/>
  <c r="K88" i="6"/>
  <c r="M88" i="6" s="1"/>
  <c r="K84" i="6"/>
  <c r="M84" i="6" s="1"/>
  <c r="K80" i="6"/>
  <c r="M80" i="6" s="1"/>
  <c r="K76" i="6"/>
  <c r="M76" i="6" s="1"/>
  <c r="K71" i="6"/>
  <c r="M71" i="6" s="1"/>
  <c r="L71" i="6"/>
  <c r="N71" i="6" s="1"/>
  <c r="K67" i="6"/>
  <c r="M67" i="6" s="1"/>
  <c r="L67" i="6"/>
  <c r="N67" i="6" s="1"/>
  <c r="K63" i="6"/>
  <c r="M63" i="6" s="1"/>
  <c r="L63" i="6"/>
  <c r="N63" i="6" s="1"/>
  <c r="K41" i="6"/>
  <c r="M41" i="6" s="1"/>
  <c r="L41" i="6"/>
  <c r="N41" i="6" s="1"/>
  <c r="K37" i="6"/>
  <c r="M37" i="6" s="1"/>
  <c r="L37" i="6"/>
  <c r="N37" i="6" s="1"/>
  <c r="K33" i="6"/>
  <c r="M33" i="6" s="1"/>
  <c r="L33" i="6"/>
  <c r="N33" i="6" s="1"/>
  <c r="K29" i="6"/>
  <c r="M29" i="6" s="1"/>
  <c r="L29" i="6"/>
  <c r="N29" i="6" s="1"/>
  <c r="K25" i="6"/>
  <c r="M25" i="6" s="1"/>
  <c r="L25" i="6"/>
  <c r="N25" i="6" s="1"/>
  <c r="K21" i="6"/>
  <c r="M21" i="6" s="1"/>
  <c r="L21" i="6"/>
  <c r="N21" i="6" s="1"/>
  <c r="K17" i="6"/>
  <c r="M17" i="6" s="1"/>
  <c r="L17" i="6"/>
  <c r="N17" i="6" s="1"/>
  <c r="K13" i="6"/>
  <c r="M13" i="6" s="1"/>
  <c r="L13" i="6"/>
  <c r="N13" i="6" s="1"/>
  <c r="K9" i="6"/>
  <c r="M9" i="6" s="1"/>
  <c r="L9" i="6"/>
  <c r="N9" i="6" s="1"/>
  <c r="K5" i="6"/>
  <c r="M5" i="6" s="1"/>
  <c r="L5" i="6"/>
  <c r="N5" i="6" s="1"/>
</calcChain>
</file>

<file path=xl/sharedStrings.xml><?xml version="1.0" encoding="utf-8"?>
<sst xmlns="http://schemas.openxmlformats.org/spreadsheetml/2006/main" count="5676" uniqueCount="1103">
  <si>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</si>
  <si>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</si>
  <si>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</si>
  <si>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</si>
  <si>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</si>
  <si>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</si>
  <si>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</si>
  <si>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</si>
  <si>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</si>
  <si>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</si>
  <si>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</si>
  <si>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</si>
  <si>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</si>
  <si>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</si>
  <si>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</si>
  <si>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</si>
  <si>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</si>
  <si>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</si>
  <si>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</si>
  <si>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</si>
  <si>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</si>
  <si>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</si>
  <si>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</si>
  <si>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</si>
  <si>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</si>
  <si>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</si>
  <si>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</si>
  <si>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</si>
  <si>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</si>
  <si>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</si>
  <si>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</si>
  <si>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</si>
  <si>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</si>
  <si>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</si>
  <si>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</si>
  <si>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</si>
  <si>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</si>
  <si>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</si>
  <si>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</si>
  <si>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</si>
  <si>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</si>
  <si>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</si>
  <si>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</si>
  <si>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</si>
  <si>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</si>
  <si>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</si>
  <si>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</si>
  <si>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</si>
  <si>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</si>
  <si>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</si>
  <si>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</si>
  <si>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</si>
  <si>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</si>
  <si>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Month</t>
  </si>
  <si>
    <t>PG ALMAP</t>
  </si>
  <si>
    <t>PG CM</t>
  </si>
  <si>
    <t>MK~BR_CN~Causas_MN~CCV_YQ~19Q1Q4_CP~NONE_OB~LDS_PK~NONE</t>
  </si>
  <si>
    <t>CH~SOCIAL_DT~MULTI_PB~FCBK_FM~LINKAD_RT~CPM_PD~CAUSAS_CADASTRE_SE_NATAL_LINKAD_ANIMADO_FB_1X1_TG~BHVDEM_TS~NONE_SZ~1X1_SOCIAL_MK~BR_IT~SOCIAL_VV~NONE</t>
  </si>
  <si>
    <t>236524072</t>
  </si>
  <si>
    <t>433986273</t>
  </si>
  <si>
    <t>CH~SOCIAL_DT~MULTI_PB~FCBK_FM~VIDEO_RT~CPM_PD~CAUSAS_CAMERA_ESCONDIDA_LONGO06-1-LEG_1X1_TG~BHVDEM_TS~NONE_SZ~1X1_SOCIAL_MK~BR_IT~SOCIAL_VV~NONE</t>
  </si>
  <si>
    <t>236902928</t>
  </si>
  <si>
    <t>434283725</t>
  </si>
  <si>
    <t>CH~DISPLAY_DT~MULTI_PB~OAT_FM~NATIVE_AD_RT~CPM_PD~CAUSAS_ICONE_STANDARAD_1200X627_970X250_TG~BHVDEM_TS~NONE_SZ~970X250_SOCIAL_MK~BR_IT~SOCIAL_VV~NONE</t>
  </si>
  <si>
    <t>233562474</t>
  </si>
  <si>
    <t>431068489</t>
  </si>
  <si>
    <t>CH~DISPLAY_DT~MULTI_PB~OAT_FM~NATIVE_AD_RT~CPM_PD~CAUSAS_TINTURA_STANDARAD_1200X627_1200X627_TG~BHVDEM_TS~NONE_SZ~1200X627_SOCIAL_MK~BR_IT~SOCIAL_VV~NONE</t>
  </si>
  <si>
    <t>233562483</t>
  </si>
  <si>
    <t>431068498</t>
  </si>
  <si>
    <t>Shopback Brazil 1</t>
  </si>
  <si>
    <t>CH~DISPLAY_DT~MULTI_PB~SPB_FM~POPUP_RT~CPL_PD~CAUSAS_SHOPBACK_1X1_TG~BHVDEM_TS~NONE_SZ~1X1_SOCIAL_MK~BR_IT~SOCIAL_VV~NONE</t>
  </si>
  <si>
    <t>233444519</t>
  </si>
  <si>
    <t>431191476</t>
  </si>
  <si>
    <t>MK~BR_CN~Vai_de_Visa_MN~NONE_YQ~19Q1Q4_CP~NONE_OB~LDS_PK~NONE</t>
  </si>
  <si>
    <t>Ads Movil</t>
  </si>
  <si>
    <t>MK~LM_CN~AFFLUENT_MN~NONE_YQ~19Q1Q4_CP~PO5020004141-9_OB~TRAFFIC_PK~NONE</t>
  </si>
  <si>
    <t>CH~SOCIAL_DT~MULTI_PB~FCBK_FM~LINKAD_RT~CPM_PD~AFFLUENT_DINNING_FREEVALET_LINKAD_VEGETARIANA_1X1_TG~BHVDEM_TS~NONE_SZ~1X1_SOCIAL_MK~BR_IT~SOCIAL_VV~NONE</t>
  </si>
  <si>
    <t>240447772</t>
  </si>
  <si>
    <t>437412386</t>
  </si>
  <si>
    <t>MK~LM_CN~CROSS_BORDER_PREMIUM_MN~NONE_YQ~19Q1Q4_CP~PO5020004141-13_OB~AWA_PK~NONE</t>
  </si>
  <si>
    <t>CH~DISPLAY_DT~MULTI_PB~GDBM_FM~BANNER_RT~CPM_PD~CROSSBORDER_CASHBACK_NAOCADASTRADOS_DNA_VIAJANTES_DBM_300X250_300X250_TG~BHVDEM_TS~NONE_SZ~300X250_PROGRAMMATIC_MK~BR_IT~PROGRAMMATIC_VV~NONE</t>
  </si>
  <si>
    <t>238517612</t>
  </si>
  <si>
    <t>435795051</t>
  </si>
  <si>
    <t>MK~BR_CN~FWWC_MN~CCV_YQ~19Q1Q4_CP~NONE_OB~LDS_PK~NONE</t>
  </si>
  <si>
    <t>CH~SOCIAL_DT~MULTI_PB~FCBK_FM~CARROSSEL_RT~CPM_PD~FWWC_CARROSSEL_AWARENESS_CURIOSIDADES_1X1_TG~BHVDEM_TS~NONE_SZ~1X1_SOCIAL_MK~BR_IT~SOCIAL_VV~NONE</t>
  </si>
  <si>
    <t>241795829</t>
  </si>
  <si>
    <t>438749003</t>
  </si>
  <si>
    <t>CH~SOCIAL_DT~MULTI_PB~FCBK_FM~CARROSSEL_RT~CPM_PD~FWWC_CARROSSEL_PERFORMANCE_PASSOAPASSO_1X1_TG~BHVDEM_TS~NONE_SZ~1X1_SOCIAL_MK~BR_IT~SOCIAL_VV~NONE</t>
  </si>
  <si>
    <t>241898512</t>
  </si>
  <si>
    <t>438745621</t>
  </si>
  <si>
    <t>CH~SOCIAL_DT~MULTI_PB~FCBK_FM~VERTICAL_POST_RT~CPM_PD~FWWC_VIDEO_PERFORMANCE_PROMOCAO_VERTICAL_1X1_TG~BHVDEM_TS~NONE_SZ~1X1_SOCIAL_MK~BR_IT~SOCIAL_VV~NONE</t>
  </si>
  <si>
    <t>242690427</t>
  </si>
  <si>
    <t>439192253</t>
  </si>
  <si>
    <t>CH~DISPLAY_DT~MULTI_PB~ADSM_FM~BANNER_RT~CPM_PD~VDV_NATURA_ADSMOVIL_BANNER_300X250_1X1_TG~BHVDEM_TS~NONE_SZ~1X1_DISPLAY_MK~BR_IT~DISPLAY_VV~NONE</t>
  </si>
  <si>
    <t>242687533</t>
  </si>
  <si>
    <t>439386278</t>
  </si>
  <si>
    <t>CH~SOCIAL_DT~MULTI_PB~FCBK_FM~LINKAD_RT~CPM_PD~CROSSBORDER_CASHBACK_DNA_GOURMET_LINKAD_ANIMADO_1X1_TG~BHVDEM_TS~NONE_SZ~1X1_SOCIAL_MK~BR_IT~SOCIAL_VV~NONE</t>
  </si>
  <si>
    <t>245524382</t>
  </si>
  <si>
    <t>442306258</t>
  </si>
  <si>
    <t>CH~SOCIAL_DT~MULTI_PB~FCBK_FM~CARROSSEL_RT~CPM_PD~VDV_AMAZON_AWARENESS_DIADASMAES_CARROSSEL_AZUL_FB_1X1_TG~BHVDEM_TS~NONE_SZ~1X1_SOCIAL_MK~BR_IT~SOCIAL_VV~NONE</t>
  </si>
  <si>
    <t>244921175</t>
  </si>
  <si>
    <t>441783560</t>
  </si>
  <si>
    <t>CH~SOCIAL_DT~MULTI_PB~FCBK_FM~CARROSSEL_RT~CPM_PD~VDV_NETSHOES_FWWC_AWARENESS_CARROSSEL_FB_1X1_TG~BHVDEM_TS~NONE_SZ~1X1_SOCIAL_MK~BR_IT~SOCIAL_VV~NONE</t>
  </si>
  <si>
    <t>244606124</t>
  </si>
  <si>
    <t>441446913</t>
  </si>
  <si>
    <t>CH~SOCIAL_DT~MULTI_PB~FCBK_FM~LINKAD_RT~CPM_PD~VDV_DECOLAR_PERFORMANCE_FACEBOOK_LINKAD_15OFF_CAMPO_1X1_TG~BHVDEM_TS~NONE_SZ~1X1_SOCIAL_MK~BR_IT~SOCIAL_VV~NONE</t>
  </si>
  <si>
    <t>245600986</t>
  </si>
  <si>
    <t>442156437</t>
  </si>
  <si>
    <t>CH~SOCIAL_DT~MULTI_PB~FCBK_FM~LINKAD_RT~CPM_PD~VDV_DECOLAR_PERFORMANCE_FACEBOOK_LINKAD_15OFF_MAR_1X1_TG~BHVDEM_TS~NONE_SZ~1X1_SOCIAL_MK~BR_IT~SOCIAL_VV~NONE</t>
  </si>
  <si>
    <t>245601013</t>
  </si>
  <si>
    <t>442156464</t>
  </si>
  <si>
    <t>CH~SOCIAL_DT~MULTI_PB~FCBK_FM~LINKAD_RT~CPM_PD~VDV_DECOLAR_PERFORMANCE_FACEBOOK_LINKAD_15OFF_PREDIOS_1X1_TG~BHVDEM_TS~NONE_SZ~1X1_SOCIAL_MK~BR_IT~SOCIAL_VV~NONE</t>
  </si>
  <si>
    <t>245600938</t>
  </si>
  <si>
    <t>442155900</t>
  </si>
  <si>
    <t>CH~DISPLAY_DT~MULTI_PB~GDBM_FM~BANNER_RT~CPM_PD~VDV_DECOLAR_PERFORMANCE_DBM_BANNER_15OFF_CAMPO_1080X1920_1080X1920_TG~BHVDEM_TS~NONE_SZ~1080X1920_DISPLAY_MK~BR_IT~DISPLAY_VV~NONE</t>
  </si>
  <si>
    <t>245504165</t>
  </si>
  <si>
    <t>442177923</t>
  </si>
  <si>
    <t>CH~DISPLAY_DT~MULTI_PB~GDBM_FM~BANNER_RT~CPM_PD~VDV_DECOLAR_PERFORMANCE_DBM_BANNER_15OFF_CAMPO_1200X627_1200X627_TG~BHVDEM_TS~NONE_SZ~1200X627_DISPLAY_MK~BR_IT~DISPLAY_VV~NONE</t>
  </si>
  <si>
    <t>245507975</t>
  </si>
  <si>
    <t>442296340</t>
  </si>
  <si>
    <t>CH~DISPLAY_DT~MULTI_PB~GDBM_FM~BANNER_RT~CPM_PD~VDV_DECOLAR_PERFORMANCE_DBM_BANNER_15OFF_CAMPO_180X180_180X180_TG~BHVDEM_TS~NONE_SZ~180X180_DISPLAY_MK~BR_IT~DISPLAY_VV~NONE</t>
  </si>
  <si>
    <t>245848134</t>
  </si>
  <si>
    <t>442176669</t>
  </si>
  <si>
    <t>CH~DISPLAY_DT~MULTI_PB~GDBM_FM~BANNER_RT~CPM_PD~VDV_DECOLAR_PERFORMANCE_DBM_BANNER_15OFF_CAMPO_627X627_627X627_TG~BHVDEM_TS~NONE_SZ~627X627_DISPLAY_MK~BR_IT~DISPLAY_VV~NONE</t>
  </si>
  <si>
    <t>245502515</t>
  </si>
  <si>
    <t>442177584</t>
  </si>
  <si>
    <t>CH~DISPLAY_DT~MULTI_PB~GDBM_FM~BANNER_RT~CPM_PD~VDV_DECOLAR_PERFORMANCE_DBM_BANNER_15OFF_CAMPO_720X1280_720X1280_TG~BHVDEM_TS~NONE_SZ~720X1280_DISPLAY_MK~BR_IT~DISPLAY_VV~NONE</t>
  </si>
  <si>
    <t>245503598</t>
  </si>
  <si>
    <t>442296196</t>
  </si>
  <si>
    <t>CH~DISPLAY_DT~MULTI_PB~GDBM_FM~BANNER_RT~CPM_PD~VDV_DECOLAR_PERFORMANCE_DBM_BANNER_15OFF_MAR_1080X1920_1080X1920_TG~BHVDEM_TS~NONE_SZ~1080X1920_DISPLAY_MK~BR_IT~DISPLAY_VV~NONE</t>
  </si>
  <si>
    <t>245631391</t>
  </si>
  <si>
    <t>442289807</t>
  </si>
  <si>
    <t>CH~DISPLAY_DT~MULTI_PB~GDBM_FM~BANNER_RT~CPM_PD~VDV_DECOLAR_PERFORMANCE_DBM_BANNER_15OFF_MAR_1200X627_1200X627_TG~BHVDEM_TS~NONE_SZ~1200X627_DISPLAY_MK~BR_IT~DISPLAY_VV~NONE</t>
  </si>
  <si>
    <t>245506598</t>
  </si>
  <si>
    <t>442179006</t>
  </si>
  <si>
    <t>CH~DISPLAY_DT~MULTI_PB~GDBM_FM~BANNER_RT~CPM_PD~VDV_DECOLAR_PERFORMANCE_DBM_BANNER_15OFF_MAR_180X180_180X180_TG~BHVDEM_TS~NONE_SZ~180X180_DISPLAY_MK~BR_IT~DISPLAY_VV~NONE</t>
  </si>
  <si>
    <t>245503220</t>
  </si>
  <si>
    <t>442177749</t>
  </si>
  <si>
    <t>CH~DISPLAY_DT~MULTI_PB~GDBM_FM~BANNER_RT~CPM_PD~VDV_DECOLAR_PERFORMANCE_DBM_BANNER_15OFF_MAR_627X627_627X627_TG~BHVDEM_TS~NONE_SZ~627X627_DISPLAY_MK~BR_IT~DISPLAY_VV~NONE</t>
  </si>
  <si>
    <t>245502545</t>
  </si>
  <si>
    <t>442176972</t>
  </si>
  <si>
    <t>CH~DISPLAY_DT~MULTI_PB~GDBM_FM~BANNER_RT~CPM_PD~VDV_DECOLAR_PERFORMANCE_DBM_BANNER_15OFF_MAR_720X1280_720X1280_TG~BHVDEM_TS~NONE_SZ~720X1280_DISPLAY_MK~BR_IT~DISPLAY_VV~NONE</t>
  </si>
  <si>
    <t>245849922</t>
  </si>
  <si>
    <t>442296208</t>
  </si>
  <si>
    <t>CH~DISPLAY_DT~MULTI_PB~GDBM_FM~BANNER_RT~CPM_PD~VDV_DECOLAR_PERFORMANCE_DBM_BANNER_15OFF_PREDIOS_1080X1920_1080X1920_TG~BHVDEM_TS~NONE_SZ~1080X1920_DISPLAY_MK~BR_IT~DISPLAY_VV~NONE</t>
  </si>
  <si>
    <t>245850069</t>
  </si>
  <si>
    <t>442296238</t>
  </si>
  <si>
    <t>CH~DISPLAY_DT~MULTI_PB~GDBM_FM~BANNER_RT~CPM_PD~VDV_DECOLAR_PERFORMANCE_DBM_BANNER_15OFF_PREDIOS_1200X627_1200X627_TG~BHVDEM_TS~NONE_SZ~1200X627_DISPLAY_MK~BR_IT~DISPLAY_VV~NONE</t>
  </si>
  <si>
    <t>245506550</t>
  </si>
  <si>
    <t>442296316</t>
  </si>
  <si>
    <t>CH~DISPLAY_DT~MULTI_PB~GDBM_FM~BANNER_RT~CPM_PD~VDV_DECOLAR_PERFORMANCE_DBM_BANNER_15OFF_PREDIOS_180X180_180X180_TG~BHVDEM_TS~NONE_SZ~180X180_DISPLAY_MK~BR_IT~DISPLAY_VV~NONE</t>
  </si>
  <si>
    <t>245502269</t>
  </si>
  <si>
    <t>442294429</t>
  </si>
  <si>
    <t>CH~DISPLAY_DT~MULTI_PB~GDBM_FM~BANNER_RT~CPM_PD~VDV_DECOLAR_PERFORMANCE_DBM_BANNER_15OFF_PREDIOS_627X627_627X627_TG~BHVDEM_TS~NONE_SZ~627X627_DISPLAY_MK~BR_IT~DISPLAY_VV~NONE</t>
  </si>
  <si>
    <t>245503262</t>
  </si>
  <si>
    <t>442294483</t>
  </si>
  <si>
    <t>CH~DISPLAY_DT~MULTI_PB~GDBM_FM~BANNER_RT~CPM_PD~VDV_DECOLAR_PERFORMANCE_DBM_BANNER_15OFF_PREDIOS_720X1280_720X1280_TG~BHVDEM_TS~NONE_SZ~720X1280_DISPLAY_MK~BR_IT~DISPLAY_VV~NONE</t>
  </si>
  <si>
    <t>245503808</t>
  </si>
  <si>
    <t>442177812</t>
  </si>
  <si>
    <t>CH~SOCIAL_DT~MULTI_PB~IG_FM~LINKAD_RT~CPM_PD~VDV_DECOLAR_PERFORMANCE_INSTAGRAM_LINKAD_15OFF_MAR_1X1_TG~BHVDEM_TS~NONE_SZ~1X1_SOCIAL_MK~BR_IT~SOCIAL_VV~NONE</t>
  </si>
  <si>
    <t>245810385</t>
  </si>
  <si>
    <t>442143252</t>
  </si>
  <si>
    <t>CH~SOCIAL_DT~MULTI_PB~FCBK_FM~CARROSSEL_RT~CPM_PD~CAUSAS_PERFORMANCE_CARROSSEL_CADASTRE_1X1_TG~BHVDEM_TS~NONE_SZ~1X1_SOCIAL_MK~BR_IT~SOCIAL_VV~NONE</t>
  </si>
  <si>
    <t>247124503</t>
  </si>
  <si>
    <t>443585401</t>
  </si>
  <si>
    <t>CH~SOCIAL_DT~MULTI_PB~FCBK_FM~LINKAD_RT~CPM_PD~CAUSAS_PERFORMANCE_LINKAD_FUNDOAZUL1_CADASTRE_1X1_TG~BHVDEM_TS~NONE_SZ~1X1_SOCIAL_MK~BR_IT~SOCIAL_VV~NONE</t>
  </si>
  <si>
    <t>247124488</t>
  </si>
  <si>
    <t>443585386</t>
  </si>
  <si>
    <t>CH~SOCIAL_DT~MULTI_PB~FCBK_FM~LINKAD_RT~CPM_PD~CAUSAS_PERFORMANCE_LINKAD_FUNDOBRANCO1_CADASTRE_1X1_TG~BHVDEM_TS~NONE_SZ~1X1_SOCIAL_MK~BR_IT~SOCIAL_VV~NONE</t>
  </si>
  <si>
    <t>247124497</t>
  </si>
  <si>
    <t>443585395</t>
  </si>
  <si>
    <t>CH~SOCIAL_DT~MULTI_PB~FCBK_FM~LINKAD_RT~CPM_PD~CAUSAS_PERFORMANCE_LINKAD_PASSOAPASSO_CADASTRE_1X1_TG~BHVDEM_TS~NONE_SZ~1X1_SOCIAL_MK~BR_IT~SOCIAL_VV~NONE</t>
  </si>
  <si>
    <t>247124491</t>
  </si>
  <si>
    <t>443585389</t>
  </si>
  <si>
    <t>CH~SOCIAL_DT~MULTI_PB~FCBK_FM~VIDEO_RT~CPM_PD~CAUSAS_AWARENESS_ALCANCE_VIDEO_INSTITUTOVERTER_30''_1X1_TG~BHVDEM_TS~NONE_SZ~1X1_SOCIAL_MK~BR_IT~SOCIAL_VV~NONE</t>
  </si>
  <si>
    <t>247640106</t>
  </si>
  <si>
    <t>443733576</t>
  </si>
  <si>
    <t>CH~SOCIAL_DT~MULTI_PB~FCBK_FM~VIDEO_RT~CPM_PD~CAUSAS_AWARENESS_RECONHECIMENTO_VIDEO_INSTITUTOVERTER_30''_1X1_TG~BHVDEM_TS~NONE_SZ~1X1_SOCIAL_MK~BR_IT~SOCIAL_VV~NONE</t>
  </si>
  <si>
    <t>247640136</t>
  </si>
  <si>
    <t>443733606</t>
  </si>
  <si>
    <t>246942068</t>
  </si>
  <si>
    <t>443434200</t>
  </si>
  <si>
    <t>246942056</t>
  </si>
  <si>
    <t>443403852</t>
  </si>
  <si>
    <t>CH~SOCIAL_DT~MULTI_PB~IG_FM~STORIES_RT~CPM_PD~VDV_PERFORMANCE_RENTCARS_INSTAGRAM_STORIES_KV2A_1X1_TG~BHVDEM_TS~NONE_SZ~1X1_DISPLAY_MK~BR_IT~DISPLAY_VV~NONE</t>
  </si>
  <si>
    <t>247489390</t>
  </si>
  <si>
    <t>443818328</t>
  </si>
  <si>
    <t>CH~SOCIAL_DT~MULTI_PB~FCBK_FM~CARROSSEL_RT~CPM_PD~AFFLUENT_MALLS_FACEBOOK_CARROSSEL_CIDADEJARDIM_1X1_TG~BHVDEM_TS~NONE_SZ~1X1_SOCIAL_MK~BR_IT~SOCIAL_VV~NONE</t>
  </si>
  <si>
    <t>247404645</t>
  </si>
  <si>
    <t>443634464</t>
  </si>
  <si>
    <t>CH~SOCIAL_DT~MULTI_PB~FCBK_FM~CARROSSEL_RT~CPM_PD~AFFLUENT_MALLS_FACEBOOK_CARROSSEL_DESIGNBARRA_1X1_TG~BHVDEM_TS~NONE_SZ~1X1_SOCIAL_MK~BR_IT~SOCIAL_VV~NONE</t>
  </si>
  <si>
    <t>247259992</t>
  </si>
  <si>
    <t>443634488</t>
  </si>
  <si>
    <t>CH~SOCIAL_DT~MULTI_PB~FCBK_FM~CARROSSEL_RT~CPM_PD~AFFLUENT_MALLS_FACEBOOK_CARROSSEL_DESIGNLEBLON_1X1_TG~BHVDEM_TS~NONE_SZ~1X1_SOCIAL_MK~BR_IT~SOCIAL_VV~NONE</t>
  </si>
  <si>
    <t>246991505</t>
  </si>
  <si>
    <t>443476887</t>
  </si>
  <si>
    <t>CH~SOCIAL_DT~MULTI_PB~FCBK_FM~CARROSSEL_RT~CPM_PD~AFFLUENT_MALLS_FACEBOOK_CARROSSEL_IGUATEMIBSB_1X1_TG~BHVDEM_TS~NONE_SZ~1X1_SOCIAL_MK~BR_IT~SOCIAL_VV~NONE</t>
  </si>
  <si>
    <t>247259989</t>
  </si>
  <si>
    <t>443634485</t>
  </si>
  <si>
    <t>CH~SOCIAL_DT~MULTI_PB~FCBK_FM~CARROSSEL_RT~CPM_PD~AFFLUENT_MALLS_FACEBOOK_CARROSSEL_IGUATEMISP_1X1_TG~BHVDEM_TS~NONE_SZ~1X1_SOCIAL_MK~BR_IT~SOCIAL_VV~NONE</t>
  </si>
  <si>
    <t>247404633</t>
  </si>
  <si>
    <t>443634452</t>
  </si>
  <si>
    <t>CH~SOCIAL_DT~MULTI_PB~FCBK_FM~CARROSSEL_RT~CPM_PD~AFFLUENT_MALLS_FACEBOOK_CARROSSEL_PATIOHIGIENOPOLIS_1X1_TG~BHVDEM_TS~NONE_SZ~1X1_SOCIAL_MK~BR_IT~SOCIAL_VV~NONE</t>
  </si>
  <si>
    <t>247404621</t>
  </si>
  <si>
    <t>443634440</t>
  </si>
  <si>
    <t>CH~SOCIAL_DT~MULTI_PB~FCBK_FM~GIF_RT~CPM_PD~AFFLUENT_MALLS_FACEBOOK_GIF_CIDADEJARDIM_1X1_TG~BHVDEM_TS~NONE_SZ~1X1_SOCIAL_MK~BR_IT~SOCIAL_VV~NONE</t>
  </si>
  <si>
    <t>247404639</t>
  </si>
  <si>
    <t>443634458</t>
  </si>
  <si>
    <t>CH~SOCIAL_DT~MULTI_PB~FCBK_FM~GIF_RT~CPM_PD~AFFLUENT_MALLS_FACEBOOK_GIF_DESIGNBARRA_1X1_TG~BHVDEM_TS~NONE_SZ~1X1_SOCIAL_MK~BR_IT~SOCIAL_VV~NONE</t>
  </si>
  <si>
    <t>247259980</t>
  </si>
  <si>
    <t>443634476</t>
  </si>
  <si>
    <t>CH~SOCIAL_DT~MULTI_PB~FCBK_FM~GIF_RT~CPM_PD~AFFLUENT_MALLS_FACEBOOK_GIF_DESIGNLEBLON_1X1_TG~BHVDEM_TS~NONE_SZ~1X1_SOCIAL_MK~BR_IT~SOCIAL_VV~NONE</t>
  </si>
  <si>
    <t>246991499</t>
  </si>
  <si>
    <t>443476875</t>
  </si>
  <si>
    <t>CH~SOCIAL_DT~MULTI_PB~FCBK_FM~GIF_RT~CPM_PD~AFFLUENT_MALLS_FACEBOOK_GIF_IGUATEMIBSB_1X1_TG~BHVDEM_TS~NONE_SZ~1X1_SOCIAL_MK~BR_IT~SOCIAL_VV~NONE</t>
  </si>
  <si>
    <t>247404654</t>
  </si>
  <si>
    <t>443634473</t>
  </si>
  <si>
    <t>CH~SOCIAL_DT~MULTI_PB~FCBK_FM~GIF_RT~CPM_PD~AFFLUENT_MALLS_FACEBOOK_GIF_IGUATEMISP_1X1_TG~BHVDEM_TS~NONE_SZ~1X1_SOCIAL_MK~BR_IT~SOCIAL_VV~NONE</t>
  </si>
  <si>
    <t>247404627</t>
  </si>
  <si>
    <t>443634446</t>
  </si>
  <si>
    <t>CH~SOCIAL_DT~MULTI_PB~FCBK_FM~GIF_RT~CPM_PD~AFFLUENT_MALLS_FACEBOOK_GIF_PATIOHIGIENOPOLIS_1X1_TG~BHVDEM_TS~NONE_SZ~1X1_SOCIAL_MK~BR_IT~SOCIAL_VV~NONE</t>
  </si>
  <si>
    <t>247404615</t>
  </si>
  <si>
    <t>443634434</t>
  </si>
  <si>
    <t>CH~SOCIAL_DT~MULTI_PB~FCBK_FM~LINKAD_RT~CPM_PD~AFFLUENT_MALLS_FACEBOOK_LINKAD_CIDADEJARDIM_1X1_TG~BHVDEM_TS~NONE_SZ~1X1_SOCIAL_MK~BR_IT~SOCIAL_VV~NONE</t>
  </si>
  <si>
    <t>247404642</t>
  </si>
  <si>
    <t>443634461</t>
  </si>
  <si>
    <t>CH~SOCIAL_DT~MULTI_PB~FCBK_FM~LINKAD_RT~CPM_PD~AFFLUENT_MALLS_FACEBOOK_LINKAD_DESIGNBARRA_1X1_TG~BHVDEM_TS~NONE_SZ~1X1_SOCIAL_MK~BR_IT~SOCIAL_VV~NONE</t>
  </si>
  <si>
    <t>247259986</t>
  </si>
  <si>
    <t>443634482</t>
  </si>
  <si>
    <t>CH~SOCIAL_DT~MULTI_PB~FCBK_FM~LINKAD_RT~CPM_PD~AFFLUENT_MALLS_FACEBOOK_LINKAD_DESIGNLEBLON_1X1_TG~BHVDEM_TS~NONE_SZ~1X1_SOCIAL_MK~BR_IT~SOCIAL_VV~NONE</t>
  </si>
  <si>
    <t>246991502</t>
  </si>
  <si>
    <t>443476881</t>
  </si>
  <si>
    <t>CH~SOCIAL_DT~MULTI_PB~FCBK_FM~LINKAD_RT~CPM_PD~AFFLUENT_MALLS_FACEBOOK_LINKAD_IGUATEMIBSB_1X1_TG~BHVDEM_TS~NONE_SZ~1X1_SOCIAL_MK~BR_IT~SOCIAL_VV~NONE</t>
  </si>
  <si>
    <t>247259983</t>
  </si>
  <si>
    <t>443634479</t>
  </si>
  <si>
    <t>CH~SOCIAL_DT~MULTI_PB~FCBK_FM~LINKAD_RT~CPM_PD~AFFLUENT_MALLS_FACEBOOK_LINKAD_IGUATEMISP_1X1_TG~BHVDEM_TS~NONE_SZ~1X1_SOCIAL_MK~BR_IT~SOCIAL_VV~NONE</t>
  </si>
  <si>
    <t>247404630</t>
  </si>
  <si>
    <t>443634449</t>
  </si>
  <si>
    <t>CH~SOCIAL_DT~MULTI_PB~FCBK_FM~LINKAD_RT~CPM_PD~AFFLUENT_MALLS_FACEBOOK_LINKAD_PATIOHIGIENOPOLIS_1X1_TG~BHVDEM_TS~NONE_SZ~1X1_SOCIAL_MK~BR_IT~SOCIAL_VV~NONE</t>
  </si>
  <si>
    <t>247404618</t>
  </si>
  <si>
    <t>443634437</t>
  </si>
  <si>
    <t>MK~BR_CN~BRAND_REPUTATION_MN~NONE_YQ~19Q1Q4_CP~PO5020004141-7_OB~AWA_PK~NONE</t>
  </si>
  <si>
    <t>Google - YouTube</t>
  </si>
  <si>
    <t>CH~VIDEO_DT~MULTI_PB~_FM~VIDEO_RT~CPM_PD~DV360_FWWC_GLOBO_ESPORTE_VIDEO_12S_BELIEVE_1X1_TG~BHVDEM_TS~NONE_SZ~1X1_PROGRAMMATIC_MK~BR_IT~PROGRAMMATIC_VV~NONE</t>
  </si>
  <si>
    <t>248600678</t>
  </si>
  <si>
    <t>In-Stream Video</t>
  </si>
  <si>
    <t>445069010</t>
  </si>
  <si>
    <t>CH~VIDEO_DT~MULTI_PB~_FM~VIDEO_RT~CPM_PD~DV360_FWWC_GLOBO_ESPORTE_VIDEO_12S_KICK_1X1_TG~BHVDEM_TS~NONE_SZ~1X1_PROGRAMMATIC_MK~BR_IT~PROGRAMMATIC_VV~NONE</t>
  </si>
  <si>
    <t>248600684</t>
  </si>
  <si>
    <t>445069016</t>
  </si>
  <si>
    <t>CH~VIDEO_DT~MULTI_PB~_FM~VIDEO_RT~CPM_PD~DV360_FWWC_GLOBO_ESPORTE_VIDEO_12S_PASS_1X1_TG~BHVDEM_TS~NONE_SZ~1X1_PROGRAMMATIC_MK~BR_IT~PROGRAMMATIC_VV~NONE</t>
  </si>
  <si>
    <t>248600681</t>
  </si>
  <si>
    <t>445069013</t>
  </si>
  <si>
    <t>CH~VIDEO_DT~MULTI_PB~_FM~VIDEO_RT~CPM_PD~DV360_FWWC_GLOBO_ESPORTE_VIDEO_30S_HERO_1X1_TG~BHVDEM_TS~NONE_SZ~1X1_PROGRAMMATIC_MK~BR_IT~PROGRAMMATIC_VV~NONE</t>
  </si>
  <si>
    <t>248600687</t>
  </si>
  <si>
    <t>445069019</t>
  </si>
  <si>
    <t>CH~VIDEO_DT~MULTI_PB~_FM~VIDEO_RT~CPM_PD~DV360_FWWC_GLOBO_ESPORTE_VIDEO_6S_BELIEVE_1X1_TG~BHVDEM_TS~NONE_SZ~1X1_PROGRAMMATIC_MK~BR_IT~PROGRAMMATIC_VV~NONE</t>
  </si>
  <si>
    <t>248600669</t>
  </si>
  <si>
    <t>445069001</t>
  </si>
  <si>
    <t>CH~VIDEO_DT~MULTI_PB~_FM~VIDEO_RT~CPM_PD~DV360_FWWC_GLOBO_ESPORTE_VIDEO_6S_KICK_1X1_TG~BHVDEM_TS~NONE_SZ~1X1_PROGRAMMATIC_MK~BR_IT~PROGRAMMATIC_VV~NONE</t>
  </si>
  <si>
    <t>248600675</t>
  </si>
  <si>
    <t>445069007</t>
  </si>
  <si>
    <t>CH~VIDEO_DT~MULTI_PB~_FM~VIDEO_RT~CPM_PD~DV360_FWWC_GLOBO_ESPORTE_VIDEO_6S_WELCOME_1X1_TG~BHVDEM_TS~NONE_SZ~1X1_PROGRAMMATIC_MK~BR_IT~PROGRAMMATIC_VV~NONE</t>
  </si>
  <si>
    <t>248600672</t>
  </si>
  <si>
    <t>445069004</t>
  </si>
  <si>
    <t>CH~VIDEO_DT~MULTI_PB~_FM~VIDEO_RT~CPM_PD~DV360_FWWC_LANCE_VIDEO_12S_BELIEVE_1X1_TG~BHVDEM_TS~NONE_SZ~1X1_PROGRAMMATIC_MK~BR_IT~PROGRAMMATIC_VV~NONE</t>
  </si>
  <si>
    <t>248600615</t>
  </si>
  <si>
    <t>445068947</t>
  </si>
  <si>
    <t>CH~VIDEO_DT~MULTI_PB~_FM~VIDEO_RT~CPM_PD~DV360_FWWC_LANCE_VIDEO_12S_KICK_1X1_TG~BHVDEM_TS~NONE_SZ~1X1_PROGRAMMATIC_MK~BR_IT~PROGRAMMATIC_VV~NONE</t>
  </si>
  <si>
    <t>248600621</t>
  </si>
  <si>
    <t>445068953</t>
  </si>
  <si>
    <t>CH~VIDEO_DT~MULTI_PB~_FM~VIDEO_RT~CPM_PD~DV360_FWWC_LANCE_VIDEO_12S_PASS_1X1_TG~BHVDEM_TS~NONE_SZ~1X1_PROGRAMMATIC_MK~BR_IT~PROGRAMMATIC_VV~NONE</t>
  </si>
  <si>
    <t>248600618</t>
  </si>
  <si>
    <t>445068950</t>
  </si>
  <si>
    <t>CH~VIDEO_DT~MULTI_PB~_FM~VIDEO_RT~CPM_PD~DV360_FWWC_LANCE_VIDEO_6S_BELIEVE_1X1_TG~BHVDEM_TS~NONE_SZ~1X1_PROGRAMMATIC_MK~BR_IT~PROGRAMMATIC_VV~NONE</t>
  </si>
  <si>
    <t>248600702</t>
  </si>
  <si>
    <t>445069034</t>
  </si>
  <si>
    <t>CH~VIDEO_DT~MULTI_PB~_FM~VIDEO_RT~CPM_PD~DV360_FWWC_OPEN_AUCTION_VIDEO_12S_BELIEVE_1X1_TG~BHVDEM_TS~NONE_SZ~1X1_PROGRAMMATIC_MK~BR_IT~PROGRAMMATIC_VV~NONE</t>
  </si>
  <si>
    <t>248600699</t>
  </si>
  <si>
    <t>445069031</t>
  </si>
  <si>
    <t>CH~VIDEO_DT~MULTI_PB~_FM~VIDEO_RT~CPM_PD~DV360_FWWC_OPEN_AUCTION_VIDEO_12S_KICK_1X1_TG~BHVDEM_TS~NONE_SZ~1X1_PROGRAMMATIC_MK~BR_IT~PROGRAMMATIC_VV~NONE</t>
  </si>
  <si>
    <t>248600711</t>
  </si>
  <si>
    <t>445069043</t>
  </si>
  <si>
    <t>CH~VIDEO_DT~MULTI_PB~_FM~VIDEO_RT~CPM_PD~DV360_FWWC_OPEN_AUCTION_VIDEO_12S_PASS_1X1_TG~BHVDEM_TS~NONE_SZ~1X1_PROGRAMMATIC_MK~BR_IT~PROGRAMMATIC_VV~NONE</t>
  </si>
  <si>
    <t>248600705</t>
  </si>
  <si>
    <t>445069037</t>
  </si>
  <si>
    <t>CH~VIDEO_DT~MULTI_PB~_FM~VIDEO_RT~CPM_PD~DV360_FWWC_OPEN_AUCTION_VIDEO_30S_HERO_1X1_TG~BHVDEM_TS~NONE_SZ~1X1_PROGRAMMATIC_MK~BR_IT~PROGRAMMATIC_VV~NONE</t>
  </si>
  <si>
    <t>248994990</t>
  </si>
  <si>
    <t>445002894</t>
  </si>
  <si>
    <t>CH~VIDEO_DT~MULTI_PB~_FM~VIDEO_RT~CPM_PD~DV360_FWWC_OPEN_AUCTION_VIDEO_6S_BELIEVE_1X1_TG~BHVDEM_TS~NONE_SZ~1X1_PROGRAMMATIC_MK~BR_IT~PROGRAMMATIC_VV~NONE</t>
  </si>
  <si>
    <t>248600690</t>
  </si>
  <si>
    <t>445069022</t>
  </si>
  <si>
    <t>CH~VIDEO_DT~MULTI_PB~_FM~VIDEO_RT~CPM_PD~DV360_FWWC_OPEN_AUCTION_VIDEO_6S_KICK_1X1_TG~BHVDEM_TS~NONE_SZ~1X1_PROGRAMMATIC_MK~BR_IT~PROGRAMMATIC_VV~NONE</t>
  </si>
  <si>
    <t>248600696</t>
  </si>
  <si>
    <t>445069028</t>
  </si>
  <si>
    <t>CH~VIDEO_DT~MULTI_PB~_FM~VIDEO_RT~CPM_PD~DV360_FWWC_OPEN_AUCTION_VIDEO_6S_WELCOME_1X1_TG~BHVDEM_TS~NONE_SZ~1X1_PROGRAMMATIC_MK~BR_IT~PROGRAMMATIC_VV~NONE</t>
  </si>
  <si>
    <t>248600693</t>
  </si>
  <si>
    <t>445069025</t>
  </si>
  <si>
    <t>CH~VIDEO_DT~MULTI_PB~_FM~VIDEO_RT~CPM_PD~DV360_FWWC_TEADS_VIDEO_12S_BELIEVE_1X1_TG~BHVDEM_TS~NONE_SZ~1X1_PROGRAMMATIC_MK~BR_IT~PROGRAMMATIC_VV~NONE</t>
  </si>
  <si>
    <t>248600636</t>
  </si>
  <si>
    <t>445068968</t>
  </si>
  <si>
    <t>CH~VIDEO_DT~MULTI_PB~_FM~VIDEO_RT~CPM_PD~DV360_FWWC_TEADS_VIDEO_12S_KICK_1X1_TG~BHVDEM_TS~NONE_SZ~1X1_PROGRAMMATIC_MK~BR_IT~PROGRAMMATIC_VV~NONE</t>
  </si>
  <si>
    <t>248600642</t>
  </si>
  <si>
    <t>445068974</t>
  </si>
  <si>
    <t>CH~VIDEO_DT~MULTI_PB~_FM~VIDEO_RT~CPM_PD~DV360_FWWC_TEADS_VIDEO_12S_PASS_1X1_TG~BHVDEM_TS~NONE_SZ~1X1_PROGRAMMATIC_MK~BR_IT~PROGRAMMATIC_VV~NONE</t>
  </si>
  <si>
    <t>248600639</t>
  </si>
  <si>
    <t>445068971</t>
  </si>
  <si>
    <t>CH~VIDEO_DT~MULTI_PB~_FM~VIDEO_RT~CPM_PD~DV360_FWWC_TEADS_VIDEO_30S_HERO_1X1_TG~BHVDEM_TS~NONE_SZ~1X1_PROGRAMMATIC_MK~BR_IT~PROGRAMMATIC_VV~NONE</t>
  </si>
  <si>
    <t>248600645</t>
  </si>
  <si>
    <t>445068977</t>
  </si>
  <si>
    <t>CH~VIDEO_DT~MULTI_PB~_FM~VIDEO_RT~CPM_PD~DV360_FWWC_TEADS_VIDEO_6S_BELIEVE_1X1_TG~BHVDEM_TS~NONE_SZ~1X1_PROGRAMMATIC_MK~BR_IT~PROGRAMMATIC_VV~NONE</t>
  </si>
  <si>
    <t>248600627</t>
  </si>
  <si>
    <t>445068959</t>
  </si>
  <si>
    <t>CH~VIDEO_DT~MULTI_PB~_FM~VIDEO_RT~CPM_PD~DV360_FWWC_TEADS_VIDEO_6S_KICK_1X1_TG~BHVDEM_TS~NONE_SZ~1X1_PROGRAMMATIC_MK~BR_IT~PROGRAMMATIC_VV~NONE</t>
  </si>
  <si>
    <t>248600633</t>
  </si>
  <si>
    <t>445068965</t>
  </si>
  <si>
    <t>CH~VIDEO_DT~MULTI_PB~_FM~VIDEO_RT~CPM_PD~DV360_FWWC_TEADS_VIDEO_6S_WELCOME_1X1_TG~BHVDEM_TS~NONE_SZ~1X1_PROGRAMMATIC_MK~BR_IT~PROGRAMMATIC_VV~NONE</t>
  </si>
  <si>
    <t>248600630</t>
  </si>
  <si>
    <t>445068962</t>
  </si>
  <si>
    <t>CH~VIDEO_DT~MULTI_PB~_FM~VIDEO_RT~CPM_PD~DV360_FWWC_UOL.COM_VIDEO_12S_BELIEVE_1X1_TG~BHVDEM_TS~NONE_SZ~1X1_PROGRAMMATIC_MK~BR_IT~PROGRAMMATIC_VV~NONE</t>
  </si>
  <si>
    <t>248600657</t>
  </si>
  <si>
    <t>445068989</t>
  </si>
  <si>
    <t>CH~VIDEO_DT~MULTI_PB~_FM~VIDEO_RT~CPM_PD~DV360_FWWC_UOL.COM_VIDEO_12S_KICK_1X1_TG~BHVDEM_TS~NONE_SZ~1X1_PROGRAMMATIC_MK~BR_IT~PROGRAMMATIC_VV~NONE</t>
  </si>
  <si>
    <t>248600663</t>
  </si>
  <si>
    <t>445068995</t>
  </si>
  <si>
    <t>CH~VIDEO_DT~MULTI_PB~_FM~VIDEO_RT~CPM_PD~DV360_FWWC_UOL.COM_VIDEO_12S_PASS_1X1_TG~BHVDEM_TS~NONE_SZ~1X1_PROGRAMMATIC_MK~BR_IT~PROGRAMMATIC_VV~NONE</t>
  </si>
  <si>
    <t>248600660</t>
  </si>
  <si>
    <t>445068992</t>
  </si>
  <si>
    <t>CH~VIDEO_DT~MULTI_PB~_FM~VIDEO_RT~CPM_PD~DV360_FWWC_UOL.COM_VIDEO_6S_BELIEVE_1X1_TG~BHVDEM_TS~NONE_SZ~1X1_PROGRAMMATIC_MK~BR_IT~PROGRAMMATIC_VV~NONE</t>
  </si>
  <si>
    <t>248600648</t>
  </si>
  <si>
    <t>445068980</t>
  </si>
  <si>
    <t>CH~VIDEO_DT~MULTI_PB~_FM~VIDEO_RT~CPM_PD~DV360_FWWC_UOL.COM_VIDEO_6S_KICK_1X1_TG~BHVDEM_TS~NONE_SZ~1X1_PROGRAMMATIC_MK~BR_IT~PROGRAMMATIC_VV~NONE</t>
  </si>
  <si>
    <t>248600654</t>
  </si>
  <si>
    <t>445068986</t>
  </si>
  <si>
    <t>CH~VIDEO_DT~MULTI_PB~_FM~VIDEO_RT~CPM_PD~DV360_FWWC_UOL.COM_VIDEO_6S_WELCOME_1X1_TG~BHVDEM_TS~NONE_SZ~1X1_PROGRAMMATIC_MK~BR_IT~PROGRAMMATIC_VV~NONE</t>
  </si>
  <si>
    <t>248600651</t>
  </si>
  <si>
    <t>445068983</t>
  </si>
  <si>
    <t>Twitter</t>
  </si>
  <si>
    <t>CH~VÍDEO_DT~MULTI_PB~TW_FM~VIDEO_RT~CPM_PD~TWITTER_FWWC_VIDEO_6S_1X1_TG~BHVDEM_TS~NONE_SZ~1X1_SOCIAL_MK~BR_IT~SOCIAL_VV~NONE</t>
  </si>
  <si>
    <t>249101445</t>
  </si>
  <si>
    <t>445183583</t>
  </si>
  <si>
    <t>CH~DISPLAY_DT~MOBILE_PB~FCBK_FM~LINKAD_RT~CPM_PD~CROSSBORDER_CASHBACK_LINKAD_GOURMET_BASEEUA_1X1_TG~BHVDEM_TS~NONE_SZ~1X1_DISPLAY_MK~BR_IT~DISPLAY_VV~NONE</t>
  </si>
  <si>
    <t>249253701</t>
  </si>
  <si>
    <t>445278498</t>
  </si>
  <si>
    <t>CH~DISPLAY_DT~MULTI_PB~OAT_FM~NATIVE_AD_RT~CPM_PD~CAUSAS_ICONE_STREAMAD_FUNDOAZUL_1200X627_1200X627_TG~BHVDEM_TS~NONE_SZ~1200X627_SOCIAL_MK~BR_IT~SOCIAL_VV~NONE</t>
  </si>
  <si>
    <t>240606020</t>
  </si>
  <si>
    <t>437679655</t>
  </si>
  <si>
    <t>CH~DISPLAY_DT~MULTI_PB~ADSM_FM~PUSH_RT~CPM_PD~VDV_MOVIDA_ADSMOVIL_PUSH_FUNDO_BRANCO_1X1_TG~BHVDEM_TS~NONE_SZ~1X1_DISPLAY_MK~BR_IT~DISPLAY_VV~NONE</t>
  </si>
  <si>
    <t>240746255</t>
  </si>
  <si>
    <t>437780822</t>
  </si>
  <si>
    <t>CH~SOCIAL_DT~MULTI_PB~FCBK_FM~CARROSSEL_RT~CPM_PD~VCO_AWARENESS_GOL_FACEBOOK_CARROSSEL_NOTICIAS_1X1_TG~BHVDEM_TS~NONE_SZ~1X1_DISPLAY_MK~BR_IT~DISPLAY_VV~NONE</t>
  </si>
  <si>
    <t>248336444</t>
  </si>
  <si>
    <t>444858055</t>
  </si>
  <si>
    <t>CH~SOCIAL_DT~MULTI_PB~FCBK_FM~CARROSSEL_RT~CPM_PD~VCO_AWARENESS_GOL_FACEBOOK_OFERTA_EDUCACIONAL_CARROSSEL_REDESSOCIAIS_1X1_TG~BHVDEM_TS~NONE_SZ~1X1_DISPLAY_MK~BR_IT~DISPLAY_VV~NONE</t>
  </si>
  <si>
    <t>248648926</t>
  </si>
  <si>
    <t>444972367</t>
  </si>
  <si>
    <t>CH~SOCIAL_DT~MULTI_PB~FCBK_FM~CARROSSEL_RT~CPM_PD~VDV_CABIFY_PERFORMANCE_FACEBOOK_CARROSSEL_1X1_TG~BHVDEM_TS~NONE_SZ~1X1_DISPLAY_MK~BR_IT~DISPLAY_VV~NONE</t>
  </si>
  <si>
    <t>249403670</t>
  </si>
  <si>
    <t>445760790</t>
  </si>
  <si>
    <t>CH~SOCIAL_DT~MULTI_PB~FCBK_FM~CARROSSEL_RT~CPM_PD~VDV_NETSHOES_PERFORMANCE_FACEBOOK_CARROSSEL_1X1_TG~BHVDEM_TS~NONE_SZ~1X1_DISPLAY_MK~BR_IT~DISPLAY_VV~NONE</t>
  </si>
  <si>
    <t>249609130</t>
  </si>
  <si>
    <t>445806137</t>
  </si>
  <si>
    <t>CH~SOCIAL_DT~MULTI_PB~FCBK_FM~CARROSSEL_RT~CPM_PD~VDV_PERFORMANCE_DECOLAR_OFERTAEDUCACIONAL_FACEBOOK_CARROSSEL_1X1_TG~BHVDEM_TS~NONE_SZ~1X1_DISPLAY_MK~BR_IT~DISPLAY_VV~NONE</t>
  </si>
  <si>
    <t>248336408</t>
  </si>
  <si>
    <t>444858019</t>
  </si>
  <si>
    <t>CH~SOCIAL_DT~MULTI_PB~FCBK_FM~CARROSSEL_RT~CPM_PD~VDV_PERFORMANCE_MOVIDA_OFERTAEDUCACIONAL_FACEBOOK_CARROSSEL_1X1_TG~BHVDEM_TS~NONE_SZ~1X1_DISPLAY_MK~BR_IT~DISPLAY_VV~NONE</t>
  </si>
  <si>
    <t>248336396</t>
  </si>
  <si>
    <t>444858007</t>
  </si>
  <si>
    <t>CH~SOCIAL_DT~MULTI_PB~FCBK_FM~CARROSSEL_RT~CPM_PD~VDV_PERFORMANCE_PROMONACIONAL_FACEBOOK_CARROSSEL_CADASTRE-SE_1X1_TG~BHVDEM_TS~NONE_SZ~1X1_DISPLAY_MK~BR_IT~DISPLAY_VV~NONE</t>
  </si>
  <si>
    <t>249651994</t>
  </si>
  <si>
    <t>445759977</t>
  </si>
  <si>
    <t>CH~SOCIAL_DT~MULTI_PB~FCBK_FM~CARROSSEL_RT~CPM_PD~VDV_PERFORMANCE_PROMONACIONAL_FACEBOOK_CARROSSEL_PAGUECOMVISA_1X1_TG~BHVDEM_TS~NONE_SZ~1X1_DISPLAY_MK~BR_IT~DISPLAY_VV~NONE</t>
  </si>
  <si>
    <t>249133180</t>
  </si>
  <si>
    <t>445446523</t>
  </si>
  <si>
    <t>CH~SOCIAL_DT~MULTI_PB~FCBK_FM~CARROSSEL_RT~CPM_PD~VDV_PERFORMANCE_PROMONACIONAL_FACEBOOK_CARROSSEL_PARTICIPE_1X1_TG~BHVDEM_TS~NONE_SZ~1X1_DISPLAY_MK~BR_IT~DISPLAY_VV~NONE</t>
  </si>
  <si>
    <t>249651985</t>
  </si>
  <si>
    <t>445759968</t>
  </si>
  <si>
    <t>CH~SOCIAL_DT~MULTI_PB~FCBK_FM~CARROSSEL_RT~CPM_PD~VDV_PERFORMANCE_RENTCARS_FACEBOOK_CARROSSEL_KV1AZUL_1X1_TG~BHVDEM_TS~NONE_SZ~1X1_DISPLAY_MK~BR_IT~DISPLAY_VV~NONE</t>
  </si>
  <si>
    <t>248723099</t>
  </si>
  <si>
    <t>445165322</t>
  </si>
  <si>
    <t>CH~SOCIAL_DT~MULTI_PB~FCBK_FM~GIF_RT~CPM_PD~VDV_PERFORMANCE_PROMONACIONAL_FACEBOOK_GIF_CADASTRE-SE_1X1_TG~BHVDEM_TS~NONE_SZ~1X1_DISPLAY_MK~BR_IT~DISPLAY_VV~NONE</t>
  </si>
  <si>
    <t>249651991</t>
  </si>
  <si>
    <t>445759974</t>
  </si>
  <si>
    <t>CH~SOCIAL_DT~MULTI_PB~FCBK_FM~GIF_RT~CPM_PD~VDV_PERFORMANCE_PROMONACIONAL_FACEBOOK_GIF_PARTICIPE_1X1_TG~BHVDEM_TS~NONE_SZ~1X1_DISPLAY_MK~BR_IT~DISPLAY_VV~NONE</t>
  </si>
  <si>
    <t>249651982</t>
  </si>
  <si>
    <t>445759965</t>
  </si>
  <si>
    <t>CH~SOCIAL_DT~MULTI_PB~FCBK_FM~LINKAD_RT~CPM_PD~CV~VDV_PERFORMANCE_PROMOÇÃO_NACIONAL_AMARELO_CS~LINK_AD_CT~FB_1X1_TG~BHVDEM_TS~NONE_SZ~1X1_DISPLAY_MK~BR_IT~DISPLAY_VV~NONE</t>
  </si>
  <si>
    <t>CH~SOCIAL_DT~MULTI_PB~FCBK_FM~LINKAD_RT~CPM_PD~VCO_AWARENESS_GOL_FACEBOOK_LINKAD_ANIMADO_CHAT_1X1_TG~BHVDEM_TS~NONE_SZ~1X1_DISPLAY_MK~BR_IT~DISPLAY_VV~NONE</t>
  </si>
  <si>
    <t>248336432</t>
  </si>
  <si>
    <t>444858043</t>
  </si>
  <si>
    <t>CH~SOCIAL_DT~MULTI_PB~FCBK_FM~LINKAD_RT~CPM_PD~VCO_AWARENESS_GOL_FACEBOOK_LINKAD_ANIMADO_COMPLETO_1X1_TG~BHVDEM_TS~NONE_SZ~1X1_DISPLAY_MK~BR_IT~DISPLAY_VV~NONE</t>
  </si>
  <si>
    <t>248336426</t>
  </si>
  <si>
    <t>444858037</t>
  </si>
  <si>
    <t>CH~SOCIAL_DT~MULTI_PB~FCBK_FM~LINKAD_RT~CPM_PD~VCO_AWARENESS_GOL_FACEBOOK_LINKAD_ANIMADO_EMAIL_1X1_TG~BHVDEM_TS~NONE_SZ~1X1_DISPLAY_MK~BR_IT~DISPLAY_VV~NONE</t>
  </si>
  <si>
    <t>248336429</t>
  </si>
  <si>
    <t>444858040</t>
  </si>
  <si>
    <t>CH~SOCIAL_DT~MULTI_PB~FCBK_FM~LINKAD_RT~CPM_PD~VCO_AWARENESS_GOL_FACEBOOK_LINKAD_ESTATICO_1X1_TG~BHVDEM_TS~NONE_SZ~1X1_DISPLAY_MK~BR_IT~DISPLAY_VV~NONE</t>
  </si>
  <si>
    <t>248336435</t>
  </si>
  <si>
    <t>444858046</t>
  </si>
  <si>
    <t>CH~SOCIAL_DT~MULTI_PB~FCBK_FM~LINKAD_RT~CPM_PD~VCO_AWARENESS_GOL_FACEBOOK_LINKAD_WIFI_CELULAR_1X1_TG~BHVDEM_TS~NONE_SZ~1X1_DISPLAY_MK~BR_IT~DISPLAY_VV~NONE</t>
  </si>
  <si>
    <t>248648920</t>
  </si>
  <si>
    <t>444972361</t>
  </si>
  <si>
    <t>CH~SOCIAL_DT~MULTI_PB~FCBK_FM~LINKAD_RT~CPM_PD~VCO_AWARENESS_GOL_FACEBOOK_LINKAD_WIFI_MULHER_1X1_TG~BHVDEM_TS~NONE_SZ~1X1_DISPLAY_MK~BR_IT~DISPLAY_VV~NONE</t>
  </si>
  <si>
    <t>248648917</t>
  </si>
  <si>
    <t>444972358</t>
  </si>
  <si>
    <t>CH~SOCIAL_DT~MULTI_PB~FCBK_FM~LINKAD_RT~CPM_PD~VDV_AWARENESS_CAMICADO_FACEBOOK_LINKAD_10OFF_1X1_TG~BHVDEM_TS~NONE_SZ~1X1_DISPLAY_MK~BR_IT~DISPLAY_VV~NONE</t>
  </si>
  <si>
    <t>248693300</t>
  </si>
  <si>
    <t>445251628</t>
  </si>
  <si>
    <t>CH~SOCIAL_DT~MULTI_PB~FCBK_FM~LINKAD_RT~CPM_PD~VDV_CABIFY_PERFORMANCE_FACEBOOK_LINKAD_QUADRADO_1X1_TG~BHVDEM_TS~NONE_SZ~1X1_DISPLAY_MK~BR_IT~DISPLAY_VV~NONE</t>
  </si>
  <si>
    <t>249404378</t>
  </si>
  <si>
    <t>445838459</t>
  </si>
  <si>
    <t>CH~SOCIAL_DT~MULTI_PB~FCBK_FM~LINKAD_RT~CPM_PD~VDV_CABIFY_PERFORMANCE_FACEBOOK_LINKAD_RETANGULAR_1X1_TG~BHVDEM_TS~NONE_SZ~1X1_DISPLAY_MK~BR_IT~DISPLAY_VV~NONE</t>
  </si>
  <si>
    <t>249404582</t>
  </si>
  <si>
    <t>445760799</t>
  </si>
  <si>
    <t>CH~SOCIAL_DT~MULTI_PB~FCBK_FM~LINKAD_RT~CPM_PD~VDV_NETSHOES_PERFORMANCE_FACEBOOK_LINKAD_RETANGULAR_1X1_TG~BHVDEM_TS~NONE_SZ~1X1_DISPLAY_MK~BR_IT~DISPLAY_VV~NONE</t>
  </si>
  <si>
    <t>249359162</t>
  </si>
  <si>
    <t>445871695</t>
  </si>
  <si>
    <t>CH~SOCIAL_DT~MULTI_PB~FCBK_FM~LINKAD_RT~CPM_PD~VDV_PERFORMANCE_DECOLAR_OFERTA_FACEBOOK_LINKAD_1X1_TG~BHVDEM_TS~NONE_SZ~1X1_DISPLAY_MK~BR_IT~DISPLAY_VV~NONE</t>
  </si>
  <si>
    <t>248336414</t>
  </si>
  <si>
    <t>444858025</t>
  </si>
  <si>
    <t>CH~SOCIAL_DT~MULTI_PB~FCBK_FM~LINKAD_RT~CPM_PD~VDV_PERFORMANCE_MOVIDA_OFERTAEDUCACIONAL_FACEBOOK_LINKAD_1X1_TG~BHVDEM_TS~NONE_SZ~1X1_DISPLAY_MK~BR_IT~DISPLAY_VV~NONE</t>
  </si>
  <si>
    <t>248336441</t>
  </si>
  <si>
    <t>444858052</t>
  </si>
  <si>
    <t>CH~SOCIAL_DT~MULTI_PB~FCBK_FM~LINKAD_RT~CPM_PD~VDV_PERFORMANCE_MOVIDA_OFERTA_FACEBOOK_LINKAD_1X1_TG~BHVDEM_TS~NONE_SZ~1X1_DISPLAY_MK~BR_IT~DISPLAY_VV~NONE</t>
  </si>
  <si>
    <t>248336399</t>
  </si>
  <si>
    <t>444858010</t>
  </si>
  <si>
    <t>CH~SOCIAL_DT~MULTI_PB~FCBK_FM~LINKAD_RT~CPM_PD~VDV_PERFORMANCE_PROMONACIONAL_FACEBOOK_LINKAD_CADASTRE-SE_1X1_TG~BHVDEM_TS~NONE_SZ~1X1_DISPLAY_MK~BR_IT~DISPLAY_VV~NONE</t>
  </si>
  <si>
    <t>249651988</t>
  </si>
  <si>
    <t>445759971</t>
  </si>
  <si>
    <t>CH~SOCIAL_DT~MULTI_PB~FCBK_FM~LINKAD_RT~CPM_PD~VDV_PERFORMANCE_PROMONACIONAL_FACEBOOK_LINKAD_PARTICIPE_1X1_TG~BHVDEM_TS~NONE_SZ~1X1_DISPLAY_MK~BR_IT~DISPLAY_VV~NONE</t>
  </si>
  <si>
    <t>249651979</t>
  </si>
  <si>
    <t>445759962</t>
  </si>
  <si>
    <t>CH~SOCIAL_DT~MULTI_PB~FCBK_FM~LINKAD_RT~CPM_PD~VDV_PERFORMANCE_PUKET_FACEBOOK_LINKAD_QUADRADO_AMARELO_1X1_TG~BHVDEM_TS~NONE_SZ~1X1_DISPLAY_MK~BR_IT~DISPLAY_VV~NONE</t>
  </si>
  <si>
    <t>249936850</t>
  </si>
  <si>
    <t>446091863</t>
  </si>
  <si>
    <t>CH~SOCIAL_DT~MULTI_PB~FCBK_FM~LINKAD_RT~CPM_PD~VDV_PERFORMANCE_PUKET_FACEBOOK_LINKAD_QUADRADO_AZUL_1X1_TG~BHVDEM_TS~NONE_SZ~1X1_DISPLAY_MK~BR_IT~DISPLAY_VV~NONE</t>
  </si>
  <si>
    <t>249936847</t>
  </si>
  <si>
    <t>446091860</t>
  </si>
  <si>
    <t>CH~SOCIAL_DT~MULTI_PB~FCBK_FM~LINKAD_RT~CPM_PD~VDV_PERFORMANCE_PUKET_FACEBOOK_LINKAD_RETANGULAR_AZUL_1X1_TG~BHVDEM_TS~NONE_SZ~1X1_DISPLAY_MK~BR_IT~DISPLAY_VV~NONE</t>
  </si>
  <si>
    <t>249936853</t>
  </si>
  <si>
    <t>446091866</t>
  </si>
  <si>
    <t>CH~SOCIAL_DT~MULTI_PB~FCBK_FM~VERTICAL_RT~CPM_PD~VCO_AWARENESS_GOL_FACEBOOK_OFERTA_EDUCACIONAL_VERTICAL_WIFI_COMPLETO_1X1_TG~BHVDEM_TS~NONE_SZ~1X1_DISPLAY_MK~BR_IT~DISPLAY_VV~NONE</t>
  </si>
  <si>
    <t>248648923</t>
  </si>
  <si>
    <t>444972364</t>
  </si>
  <si>
    <t>CH~DISPLAY_DT~MULTI_PB~GDBM_FM~BANNER_RT~CPM_PD~VCO_GOL_AWARENESS_GOOGLEDV360_BANNER_300X250_300X250_TG~BHVDEM_TS~NONE_SZ~300X250_DISPLAY_MK~BR_IT~DISPLAY_VV~NONE</t>
  </si>
  <si>
    <t>249383382</t>
  </si>
  <si>
    <t>445398441</t>
  </si>
  <si>
    <t>CH~DISPLAY_DT~MULTI_PB~GDBM_FM~BANNER_RT~CPM_PD~VCO_GOL_AWARENESS_GOOGLEDV360_BANNER_300X600_300X600_TG~BHVDEM_TS~NONE_SZ~300X600_DISPLAY_MK~BR_IT~DISPLAY_VV~NONE</t>
  </si>
  <si>
    <t>249383400</t>
  </si>
  <si>
    <t>445546645</t>
  </si>
  <si>
    <t>CH~DISPLAY_DT~MULTI_PB~GDBM_FM~BANNER_RT~CPM_PD~VCO_GOL_AWARENESS_GOOGLEDV360_BANNER_970X250_970X250_TG~BHVDEM_TS~NONE_SZ~970X250_DISPLAY_MK~BR_IT~DISPLAY_VV~NONE</t>
  </si>
  <si>
    <t>249373965</t>
  </si>
  <si>
    <t>445492046</t>
  </si>
  <si>
    <t>CH~DISPLAY_DT~MULTI_PB~GDBM_FM~BANNER_RT~CPM_PD~VDV_NETSHOES_TRAFEGO_GOOGLE_DV360_BANNER_160X600_160X600_TG~BHVDEM_TS~NONE_SZ~160X600_DISPLAY_MK~BR_IT~DISPLAY_VV~NONE</t>
  </si>
  <si>
    <t>249670195</t>
  </si>
  <si>
    <t>445753461</t>
  </si>
  <si>
    <t>CH~DISPLAY_DT~MULTI_PB~GDBM_FM~BANNER_RT~CPM_PD~VDV_NETSHOES_TRAFEGO_GOOGLE_DV360_BANNER_300X250_300X250_TG~BHVDEM_TS~NONE_SZ~300X250_DISPLAY_MK~BR_IT~DISPLAY_VV~NONE</t>
  </si>
  <si>
    <t>249670192</t>
  </si>
  <si>
    <t>445753464</t>
  </si>
  <si>
    <t>CH~DISPLAY_DT~MULTI_PB~GDBM_FM~BANNER_RT~CPM_PD~VDV_NETSHOES_TRAFEGO_GOOGLE_DV360_BANNER_300X600_300X600_TG~BHVDEM_TS~NONE_SZ~300X600_DISPLAY_MK~BR_IT~DISPLAY_VV~NONE</t>
  </si>
  <si>
    <t>249670189</t>
  </si>
  <si>
    <t>445753467</t>
  </si>
  <si>
    <t>CH~DISPLAY_DT~MULTI_PB~GDBM_FM~BANNER_RT~CPM_PD~VDV_NETSHOES_TRAFEGO_GOOGLE_DV360_BANNER_970X250_970X250_TG~BHVDEM_TS~NONE_SZ~970X250_DISPLAY_MK~BR_IT~DISPLAY_VV~NONE</t>
  </si>
  <si>
    <t>249670186</t>
  </si>
  <si>
    <t>445753470</t>
  </si>
  <si>
    <t>CH~DISPLAY_DT~MULTI_PB~GDBM_FM~BANNER_RT~CPM_PD~VDV_PERFORMANCE_MOVIDA_GOOGLE_DV360_BANNER_300X250_300X250_TG~BHVDEM_TS~NONE_SZ~300X250_DISPLAY_MK~BR_IT~DISPLAY_VV~NONE</t>
  </si>
  <si>
    <t>250307508</t>
  </si>
  <si>
    <t>446277747</t>
  </si>
  <si>
    <t>CH~DISPLAY_DT~MULTI_PB~GDBM_FM~BANNER_RT~CPM_PD~VDV_PERFORMANCE_MOVIDA_GOOGLE_DV360_BANNER_300X600_300X600_TG~BHVDEM_TS~NONE_SZ~300X600_DISPLAY_MK~BR_IT~DISPLAY_VV~NONE</t>
  </si>
  <si>
    <t>250307556</t>
  </si>
  <si>
    <t>446379175</t>
  </si>
  <si>
    <t>CH~DISPLAY_DT~MULTI_PB~GDBM_FM~BANNER_RT~CPM_PD~VDV_PERFORMANCE_PROMONACIONAL_GOOGLE_DV360_BANNER_120X600_120X600_TG~BHVDEM_TS~NONE_SZ~120X600_DISPLAY_MK~BR_IT~DISPLAY_VV~NONE</t>
  </si>
  <si>
    <t>249681242</t>
  </si>
  <si>
    <t>446172766</t>
  </si>
  <si>
    <t>CH~DISPLAY_DT~MULTI_PB~GDBM_FM~BANNER_RT~CPM_PD~VDV_PERFORMANCE_PROMONACIONAL_GOOGLE_DV360_BANNER_300X250_300X250_TG~BHVDEM_TS~NONE_SZ~300X250_DISPLAY_MK~BR_IT~DISPLAY_VV~NONE</t>
  </si>
  <si>
    <t>250077549</t>
  </si>
  <si>
    <t>446106455</t>
  </si>
  <si>
    <t>CH~DISPLAY_DT~MULTI_PB~GDBM_FM~BANNER_RT~CPM_PD~VDV_PERFORMANCE_PROMONACIONAL_GOOGLE_DV360_BANNER_300X50_300X50_TG~BHVDEM_TS~NONE_SZ~300X50_DISPLAY_MK~BR_IT~DISPLAY_VV~NONE</t>
  </si>
  <si>
    <t>250076931</t>
  </si>
  <si>
    <t>446036475</t>
  </si>
  <si>
    <t>CH~DISPLAY_DT~MULTI_PB~GDBM_FM~BANNER_RT~CPM_PD~VDV_PERFORMANCE_PROMONACIONAL_GOOGLE_DV360_BANNER_320X100_320X100_TG~BHVDEM_TS~NONE_SZ~320X100_DISPLAY_MK~BR_IT~DISPLAY_VV~NONE</t>
  </si>
  <si>
    <t>250076991</t>
  </si>
  <si>
    <t>446106470</t>
  </si>
  <si>
    <t>CH~DISPLAY_DT~MULTI_PB~GDBM_FM~BANNER_RT~CPM_PD~VDV_PERFORMANCE_PROMONACIONAL_GOOGLE_DV360_BANNER_728X90_728X90_TG~BHVDEM_TS~NONE_SZ~728X90_DISPLAY_MK~BR_IT~DISPLAY_VV~NONE</t>
  </si>
  <si>
    <t>250077009</t>
  </si>
  <si>
    <t>446036520</t>
  </si>
  <si>
    <t>CH~DISPLAY_DT~MULTI_PB~GDBM_FM~BANNER_RT~CPM_PD~VDV_RENTCARS_TRAFEGO_GOOGLE_DV360_BANNER_KV1_300X250_300X250_TG~BHVDEM_TS~NONE_SZ~300X250_DISPLAY_MK~BR_IT~DISPLAY_VV~NONE</t>
  </si>
  <si>
    <t>249670216</t>
  </si>
  <si>
    <t>445753440</t>
  </si>
  <si>
    <t>CH~DISPLAY_DT~MULTI_PB~GDBM_FM~BANNER_RT~CPM_PD~VDV_RENTCARS_TRAFEGO_GOOGLE_DV360_BANNER_KV1_300X600_300X600_TG~BHVDEM_TS~NONE_SZ~300X600_DISPLAY_MK~BR_IT~DISPLAY_VV~NONE</t>
  </si>
  <si>
    <t>249670213</t>
  </si>
  <si>
    <t>445753443</t>
  </si>
  <si>
    <t>CH~DISPLAY_DT~MULTI_PB~GDBM_FM~BANNER_RT~CPM_PD~VDV_RENTCARS_TRAFEGO_GOOGLE_DV360_BANNER_KV2_300X250_300X250_TG~BHVDEM_TS~NONE_SZ~300X250_DISPLAY_MK~BR_IT~DISPLAY_VV~NONE</t>
  </si>
  <si>
    <t>249670204</t>
  </si>
  <si>
    <t>445753452</t>
  </si>
  <si>
    <t>CH~DISPLAY_DT~MULTI_PB~GDBM_FM~BANNER_RT~CPM_PD~VDV_RENTCARS_TRAFEGO_GOOGLE_DV360_BANNER_KV2_300X600_300X600_TG~BHVDEM_TS~NONE_SZ~300X600_DISPLAY_MK~BR_IT~DISPLAY_VV~NONE</t>
  </si>
  <si>
    <t>249670201</t>
  </si>
  <si>
    <t>445753455</t>
  </si>
  <si>
    <t>CH~DISPLAY_DT~MULTI_PB~OTH_FM~BANNER_RT~CPM_PD~VDV_PERFORMANCE_PROMONACIONAL_OATH_BANNER_627X627_627X627_TG~BHVDEM_TS~NONE_SZ~627X627_DISPLAY_MK~BR_IT~DISPLAY_VV~NONE</t>
  </si>
  <si>
    <t>249663197</t>
  </si>
  <si>
    <t>446099921</t>
  </si>
  <si>
    <t>CH~SOCIAL_DT~MULTI_PB~IG_FM~STORIES_RT~CPM_PD~CV~VDV_PERFORMANCE_PROMOÇÃO_NACIONAL_AMARELO_CS~STORIES_CT~INSTA_1X1_TG~BHVDEM_TS~NONE_SZ~1X1_DISPLAY_MK~BR_IT~DISPLAY_VV~NONE</t>
  </si>
  <si>
    <t>CH~SOCIAL_DT~MULTI_PB~IG_FM~STORIES_RT~CPM_PD~VDV_NETSHOES_PERFORMANCE_INSTAGRAM_STORIES_NORMAL_1X1_TG~BHVDEM_TS~NONE_SZ~1X1_DISPLAY_MK~BR_IT~DISPLAY_VV~NONE</t>
  </si>
  <si>
    <t>249609190</t>
  </si>
  <si>
    <t>445808066</t>
  </si>
  <si>
    <t>CH~SOCIAL_DT~MULTI_PB~IG_FM~STORIES_RT~CPM_PD~VDV_NETSHOES_PERFORMANCE_INSTAGRAM_STORIES_STEP_FINAL_1X1_TG~BHVDEM_TS~NONE_SZ~1X1_DISPLAY_MK~BR_IT~DISPLAY_VV~NONE</t>
  </si>
  <si>
    <t>249363362</t>
  </si>
  <si>
    <t>445728951</t>
  </si>
  <si>
    <t>CH~SOCIAL_DT~MULTI_PB~IG_FM~STORIES_RT~CPM_PD~VDV_PERFORMANCE_DECOLAR_OFERTAEDUCACIONAL_INSTAGRAM_STORIES_1X1_TG~BHVDEM_TS~NONE_SZ~1X1_DISPLAY_MK~BR_IT~DISPLAY_VV~NONE</t>
  </si>
  <si>
    <t>248336405</t>
  </si>
  <si>
    <t>444858016</t>
  </si>
  <si>
    <t>CH~SOCIAL_DT~MULTI_PB~IG_FM~STORIES_RT~CPM_PD~VDV_PERFORMANCE_MOVIDA_OFERTA_INSTAGRAM_STORIES_1X1_TG~BHVDEM_TS~NONE_SZ~1X1_DISPLAY_MK~BR_IT~DISPLAY_VV~NONE</t>
  </si>
  <si>
    <t>248336402</t>
  </si>
  <si>
    <t>444858013</t>
  </si>
  <si>
    <t>CH~SOCIAL_DT~MULTI_PB~IG_FM~STORIES_RT~CPM_PD~VDV_PERFORMANCE_PROMONACIONAL_INSTAGRAM_STORIES_PAGUECOMVISA_1X1_TG~BHVDEM_TS~NONE_SZ~1X1_DISPLAY_MK~BR_IT~DISPLAY_VV~NONE</t>
  </si>
  <si>
    <t>249133270</t>
  </si>
  <si>
    <t>445448845</t>
  </si>
  <si>
    <t>CH~SOCIAL_DT~MULTI_PB~IG_FM~STORIES_RT~CPM_PD~VDV_PERFORMANCE_PROMONACIONAL_INSTAGRAM_STORIES_PARTICIPE_1X1_TG~BHVDEM_TS~NONE_SZ~1X1_DISPLAY_MK~BR_IT~DISPLAY_VV~NONE</t>
  </si>
  <si>
    <t>249651976</t>
  </si>
  <si>
    <t>445759959</t>
  </si>
  <si>
    <t>CH~SOCIAL_DT~MULTI_PB~IG_FM~STORIES_RT~CPM_PD~VDV_PERFORMANCE_PUKET_INSTAGRAM_STORIES_AMARELO_1X1_TG~BHVDEM_TS~NONE_SZ~1X1_DISPLAY_MK~BR_IT~DISPLAY_VV~NONE</t>
  </si>
  <si>
    <t>249936838</t>
  </si>
  <si>
    <t>446091851</t>
  </si>
  <si>
    <t>CH~SOCIAL_DT~MULTI_PB~IG_FM~STORIES_RT~CPM_PD~VDV_PERFORMANCE_PUKET_INSTAGRAM_STORIES_AZUL_1X1_TG~BHVDEM_TS~NONE_SZ~1X1_DISPLAY_MK~BR_IT~DISPLAY_VV~NONE</t>
  </si>
  <si>
    <t>249936835</t>
  </si>
  <si>
    <t>446091848</t>
  </si>
  <si>
    <t>CH~SOCIAL_DT~MULTI_PB~FCBK_FM~CARROSSEL_RT~CPM_PD~AFFLUENT_AWARENESS_CARROSSEL_DNA_DINING_1X1_TG~BHVDEM_TS~NONE_SZ~1X1_SOCIAL_MK~BR_IT~SOCIAL_VV~NONE</t>
  </si>
  <si>
    <t>249763773</t>
  </si>
  <si>
    <t>445749618</t>
  </si>
  <si>
    <t>CH~SOCIAL_DT~MULTI_PB~FCBK_FM~CARROSSEL_RT~CPM_PD~AFFLUENT_AWARENESS_CARROSSEL_DNA_TRAVEL_1X1_TG~BHVDEM_TS~NONE_SZ~1X1_SOCIAL_MK~BR_IT~SOCIAL_VV~NONE</t>
  </si>
  <si>
    <t>249766188</t>
  </si>
  <si>
    <t>445830668</t>
  </si>
  <si>
    <t>CH~DISPLAY_DT~MULTI_PB~YOUT_FM~VIDEO_RT~CPC_PD~AFFLUENT_YOUTUBE_TRUEVIEW_FILMEBIKER_1X1_TG~BHVDEM_TS~NONE_SZ~1X1_DISPLAY_MK~BR_IT~DISPLAY_VV~NONE</t>
  </si>
  <si>
    <t>249096551</t>
  </si>
  <si>
    <t>445472751</t>
  </si>
  <si>
    <t>CH~DISPLAY_DT~MULTI_PB~GDBM_FM~VIDEO_RT~CPM_PD~AFFLUENT_AWARENESS_VIDEO_DBM_BIKER_1X1_TG~BHVDEM_TS~NONE_SZ~1X1_PROGRAMMATIC_MK~BR_IT~PROGRAMMATIC_VV~NONE</t>
  </si>
  <si>
    <t>249635214</t>
  </si>
  <si>
    <t>445654989</t>
  </si>
  <si>
    <t>Verizon</t>
  </si>
  <si>
    <t>CH~DISPLAY_DT~MULTI_PB~VZN_FM~VIDEO_RT~CPM_PD~AFFLUENT_AWARENESS_VIDEO_VERIZON_BIKER_1X1_TG~BHVDEM_TS~NONE_SZ~1X1_DISPLAY_MK~BR_IT~DISPLAY_VV~NONE</t>
  </si>
  <si>
    <t>249733611</t>
  </si>
  <si>
    <t>445728618</t>
  </si>
  <si>
    <t>CH~SOCIAL_DT~MULTI_PB~FCBK_FM~CARROSSEL_RT~CPM_PD~CROSSBORDER_CASHBACK_DNA_GOURMET_CARROSSEL_1X1_TG~BHVDEM_TS~NONE_SZ~1X1_SOCIAL_MK~BR_IT~SOCIAL_VV~NONE</t>
  </si>
  <si>
    <t>235445599</t>
  </si>
  <si>
    <t>433057337</t>
  </si>
  <si>
    <t>CH~SOCIAL_DT~MULTI_PB~FCBK_FM~CARROSSEL_RT~CPM_PD~CROSSBORDER_CASHBACK_DNA_VIAJANTE_2_CARROSSEL_1X1_TG~BHVDEM_TS~NONE_SZ~1X1_SOCIAL_MK~BR_IT~SOCIAL_VV~NONE</t>
  </si>
  <si>
    <t>235445602</t>
  </si>
  <si>
    <t>433057340</t>
  </si>
  <si>
    <t>CH~SOCIAL_DT~MULTI_PB~FCBK_FM~LINKAD_RT~CPM_PD~CROSSBORDER_CASHBACK_DNA_VIAJANTE_2_LINKAD_ANIMADO_1X1_TG~BHVDEM_TS~NONE_SZ~1X1_SOCIAL_MK~BR_IT~SOCIAL_VV~NONE</t>
  </si>
  <si>
    <t>235445608</t>
  </si>
  <si>
    <t>433057346</t>
  </si>
  <si>
    <t>CH~SOCIAL_DT~MULTI_PB~FCBK_FM~VIDEO_RT~CPM_PD~CAUSAS_CAMERA_ESCONDIDA_CURTO_GERANDOFALCOES-ONG5-03_1X1_TG~BHVDEM_TS~NONE_SZ~1X1_SOCIAL_MK~BR_IT~SOCIAL_VV~NONE</t>
  </si>
  <si>
    <t>236902913</t>
  </si>
  <si>
    <t>434283710</t>
  </si>
  <si>
    <t>CH~DISPLAY_DT~MULTI_PB~YOUT_FM~VIDEO_RT~CPM_PD~CAUSAS_PERFORMANCE_VIDEO_CIDA_15'_SQUARE_1X1_TG~BHVDEM_TS~NONE_SZ~1X1_SOCIAL_MK~BR_IT~SOCIAL_VV~NONE</t>
  </si>
  <si>
    <t>251542187</t>
  </si>
  <si>
    <t>447874776</t>
  </si>
  <si>
    <t>CH~DISPLAY_DT~MULTI_PB~YOUT_FM~VIDEO_RT~CPM_PD~CAUSAS_PERFORMANCE_VIDEO_CIDA_15'_WIDE_1X1_TG~BHVDEM_TS~NONE_SZ~1X1_SOCIAL_MK~BR_IT~SOCIAL_VV~NONE</t>
  </si>
  <si>
    <t>251542226</t>
  </si>
  <si>
    <t>447875451</t>
  </si>
  <si>
    <t>CH~DISPLAY_DT~MULTI_PB~YOUT_FM~VIDEO_RT~CPM_PD~CAUSAS_PERFORMANCE_VIDEO_THAIS_15'_1X1_TG~BHVDEM_TS~NONE_SZ~1X1_SOCIAL_MK~BR_IT~SOCIAL_VV~NONE</t>
  </si>
  <si>
    <t>251861569</t>
  </si>
  <si>
    <t>447935651</t>
  </si>
  <si>
    <t>CH~DISPLAY_DT~MULTI_PB~YOUT_FM~VIDEO_RT~CPM_PD~CAUSAS_PERFORMANCE_VIDEO_THAIS_15'_SQUARE_1X1_TG~BHVDEM_TS~NONE_SZ~1X1_SOCIAL_MK~BR_IT~SOCIAL_VV~NONE</t>
  </si>
  <si>
    <t>251948403</t>
  </si>
  <si>
    <t>447935669</t>
  </si>
  <si>
    <t>CH~DISPLAY_DT~MOBILE_PB~GDV_FM~BANNER_RT~CPM_PD~CROSSBORDER_BANNER_GOURMET_DV360_300X250_300X250_TG~BHVDEM_TS~NONE_SZ~300X250_DISPLAY_MK~BR_IT~DISPLAY_VV~NONE</t>
  </si>
  <si>
    <t>250890020</t>
  </si>
  <si>
    <t>447389614</t>
  </si>
  <si>
    <t>CH~DISPLAY_DT~MOBILE_PB~GDV_FM~BANNER_RT~CPM_PD~CROSSBORDER_BANNER_VIAJANTE_DV360_300X250_300X250_TG~BHVDEM_TS~NONE_SZ~300X250_DISPLAY_MK~BR_IT~DISPLAY_VV~NONE</t>
  </si>
  <si>
    <t>250890119</t>
  </si>
  <si>
    <t>447304868</t>
  </si>
  <si>
    <t>CH~DISPLAY_DT~MULTI_PB~DV360_FM~BANNER_RT~CPM_PD~CAUSAS_PERFORMANCE_BANNER_CADASTRO_120X600_120X60_TG~BHVDEM_TS~NONE_SZ~120X60_SOCIAL_MK~BR_IT~SOCIAL_VV~NONE</t>
  </si>
  <si>
    <t>251789205</t>
  </si>
  <si>
    <t>447765716</t>
  </si>
  <si>
    <t>CH~DISPLAY_DT~MULTI_PB~DV360_FM~BANNER_RT~CPM_PD~CAUSAS_PERFORMANCE_BANNER_CADASTRO_160X600_160X600_TG~BHVDEM_TS~NONE_SZ~160X600_SOCIAL_MK~BR_IT~SOCIAL_VV~NONE</t>
  </si>
  <si>
    <t>251790066</t>
  </si>
  <si>
    <t>447766796</t>
  </si>
  <si>
    <t>CH~DISPLAY_DT~MULTI_PB~DV360_FM~BANNER_RT~CPM_PD~CAUSAS_PERFORMANCE_BANNER_CADASTRO_300X250_300X250_TG~BHVDEM_TS~NONE_SZ~300X250_SOCIAL_MK~BR_IT~SOCIAL_VV~NONE</t>
  </si>
  <si>
    <t>251369360</t>
  </si>
  <si>
    <t>300x250 Default Web Ad</t>
  </si>
  <si>
    <t>430984262</t>
  </si>
  <si>
    <t>447756125</t>
  </si>
  <si>
    <t>CH~DISPLAY_DT~MULTI_PB~DV360_FM~BANNER_RT~CPM_PD~CAUSAS_PERFORMANCE_BANNER_CADASTRO_300X50_300X50_TG~BHVDEM_TS~NONE_SZ~300X50_SOCIAL_MK~BR_IT~SOCIAL_VV~NONE</t>
  </si>
  <si>
    <t>251367896</t>
  </si>
  <si>
    <t>447851710</t>
  </si>
  <si>
    <t>CH~DISPLAY_DT~MULTI_PB~DV360_FM~BANNER_RT~CPM_PD~CAUSAS_PERFORMANCE_BANNER_CADASTRO_300X600_300X600_TG~BHVDEM_TS~NONE_SZ~300X600_SOCIAL_MK~BR_IT~SOCIAL_VV~NONE</t>
  </si>
  <si>
    <t>251375756</t>
  </si>
  <si>
    <t>447866704</t>
  </si>
  <si>
    <t>CV~BAN_CAUSAS_PERFORMANCE_BANNER_CADASTRO_300X600_CT~300X600~DV360</t>
  </si>
  <si>
    <t>447756131</t>
  </si>
  <si>
    <t>CH~DISPLAY_DT~MULTI_PB~DV360_FM~BANNER_RT~CPM_PD~CAUSAS_PERFORMANCE_BANNER_CADASTRO_320X50_320X50_TG~BHVDEM_TS~NONE_SZ~320X50_SOCIAL_MK~BR_IT~SOCIAL_VV~NONE</t>
  </si>
  <si>
    <t>251367902</t>
  </si>
  <si>
    <t>320x50 Default Web Ad</t>
  </si>
  <si>
    <t>431064562</t>
  </si>
  <si>
    <t>447862879</t>
  </si>
  <si>
    <t>CH~DISPLAY_DT~MULTI_PB~DV360_FM~BANNER_RT~CPM_PD~CAUSAS_PERFORMANCE_BANNER_CADASTRO_728X90_728X90_TG~BHVDEM_TS~NONE_SZ~728X90_SOCIAL_MK~BR_IT~SOCIAL_VV~NONE</t>
  </si>
  <si>
    <t>251790237</t>
  </si>
  <si>
    <t>447771095</t>
  </si>
  <si>
    <t>CH~DISPLAY_DT~MULTI_PB~DV360_FM~BANNER_RT~CPM_PD~CAUSAS_PERFORMANCE_BANNER_CADASTRO_970X250_970X250_TG~BHVDEM_TS~NONE_SZ~970X250_SOCIAL_MK~BR_IT~SOCIAL_VV~NONE</t>
  </si>
  <si>
    <t>251690116</t>
  </si>
  <si>
    <t>447713607</t>
  </si>
  <si>
    <t>CH~DISPLAY_DT~MULTI_PB~DV360_FM~BANNER_RT~CPM_PD~CAUSAS_PERFORMANCE_BANNER_CADASTRO_970X90_970X90_TG~BHVDEM_TS~NONE_SZ~970X90_SOCIAL_MK~BR_IT~SOCIAL_VV~NONE</t>
  </si>
  <si>
    <t>251381657</t>
  </si>
  <si>
    <t>447715026</t>
  </si>
  <si>
    <t>CH~DISPLAY_DT~MULTI_PB~DV360_FM~BANNER_RT~CPM_PD~CAUSAS_PERFORMANCE_BANNER_FINALIZE_120X600_120X60_TG~BHVDEM_TS~NONE_SZ~120X60_SOCIAL_MK~BR_IT~SOCIAL_VV~NONE</t>
  </si>
  <si>
    <t>251688667</t>
  </si>
  <si>
    <t>447764378</t>
  </si>
  <si>
    <t>CH~DISPLAY_DT~MULTI_PB~DV360_FM~BANNER_RT~CPM_PD~CAUSAS_PERFORMANCE_BANNER_FINALIZE_160X600_160X600_TG~BHVDEM_TS~NONE_SZ~160X600_SOCIAL_MK~BR_IT~SOCIAL_VV~NONE</t>
  </si>
  <si>
    <t>251380907</t>
  </si>
  <si>
    <t>447711045</t>
  </si>
  <si>
    <t>CH~DISPLAY_DT~MULTI_PB~DV360_FM~BANNER_RT~CPM_PD~CAUSAS_PERFORMANCE_BANNER_FINALIZE_300X250_300X250_TG~BHVDEM_TS~NONE_SZ~300X250_SOCIAL_MK~BR_IT~SOCIAL_VV~NONE</t>
  </si>
  <si>
    <t>251691433</t>
  </si>
  <si>
    <t>447773282</t>
  </si>
  <si>
    <t>251778231</t>
  </si>
  <si>
    <t>CH~DISPLAY_DT~MULTI_PB~DV360_FM~BANNER_RT~CPM_PD~CAUSAS_PERFORMANCE_BANNER_FINALIZE_300X50_300X50_TG~BHVDEM_TS~NONE_SZ~300X50_SOCIAL_MK~BR_IT~SOCIAL_VV~NONE</t>
  </si>
  <si>
    <t>251789319</t>
  </si>
  <si>
    <t>447766556</t>
  </si>
  <si>
    <t>CH~DISPLAY_DT~MULTI_PB~DV360_FM~BANNER_RT~CPM_PD~CAUSAS_PERFORMANCE_BANNER_FINALIZE_300X600_300X600_TG~BHVDEM_TS~NONE_SZ~300X600_SOCIAL_MK~BR_IT~SOCIAL_VV~NONE</t>
  </si>
  <si>
    <t>251369363</t>
  </si>
  <si>
    <t>447756128</t>
  </si>
  <si>
    <t>CH~DISPLAY_DT~MULTI_PB~DV360_FM~BANNER_RT~CPM_PD~CAUSAS_PERFORMANCE_BANNER_FINALIZE_320X50_320X50_TG~BHVDEM_TS~NONE_SZ~320X50_SOCIAL_MK~BR_IT~SOCIAL_VV~NONE</t>
  </si>
  <si>
    <t>251375759</t>
  </si>
  <si>
    <t>447756134</t>
  </si>
  <si>
    <t>CH~DISPLAY_DT~MULTI_PB~DV360_FM~BANNER_RT~CPM_PD~CAUSAS_PERFORMANCE_BANNER_FINALIZE_728X90_728X90_TG~BHVDEM_TS~NONE_SZ~728X90_SOCIAL_MK~BR_IT~SOCIAL_VV~NONE</t>
  </si>
  <si>
    <t>251381576</t>
  </si>
  <si>
    <t>447863137</t>
  </si>
  <si>
    <t>CH~DISPLAY_DT~MULTI_PB~DV360_FM~BANNER_RT~CPM_PD~CAUSAS_PERFORMANCE_BANNER_FINALIZE_970X90_970X90_TG~BHVDEM_TS~NONE_SZ~970X90_SOCIAL_MK~BR_IT~SOCIAL_VV~NONE</t>
  </si>
  <si>
    <t>251382875</t>
  </si>
  <si>
    <t>447862984</t>
  </si>
  <si>
    <t>CH~DISPLAY_DT~MULTI_PB~DV360_FM~VIDEO_RT~CPM_PD~CAUSAS_PERFORMANCE_VIDEO_DONA_CIDA_15''_1X1_TG~BHVDEM_TS~NONE_SZ~1X1_SOCIAL_MK~BR_IT~SOCIAL_VV~NONE</t>
  </si>
  <si>
    <t>251325632</t>
  </si>
  <si>
    <t>447812203</t>
  </si>
  <si>
    <t>CH~DISPLAY_DT~MULTI_PB~DV360_FM~VIDEO_RT~CPM_PD~CAUSAS_PERFORMANCE_VIDEO_DONA_CIDA_2'_1X1_TG~BHVDEM_TS~NONE_SZ~1X1_SOCIAL_MK~BR_IT~SOCIAL_VV~NONE</t>
  </si>
  <si>
    <t>251338592</t>
  </si>
  <si>
    <t>447666591</t>
  </si>
  <si>
    <t>CH~DISPLAY_DT~MULTI_PB~DV360_FM~VIDEO_RT~CPM_PD~CAUSAS_PERFORMANCE_VIDEO_IDOSO_2'_1X1_TG~BHVDEM_TS~NONE_SZ~1X1_SOCIAL_MK~BR_IT~SOCIAL_VV~NONE</t>
  </si>
  <si>
    <t>251728422</t>
  </si>
  <si>
    <t>447792979</t>
  </si>
  <si>
    <t>CH~DISPLAY_DT~MULTI_PB~OAT_FM~BANNER_RT~CPM_PD~CAUSAS_CADASTRE_SE_TINTURA_300X600_300X600_TG~BHVDEM_TS~NONE_SZ~300X600_SOCIAL_MK~BR_IT~SOCIAL_VV~NONE</t>
  </si>
  <si>
    <t>233318419</t>
  </si>
  <si>
    <t>430986785</t>
  </si>
  <si>
    <t>CH~DISPLAY_DT~MULTI_PB~OAT_FM~VIDEO_RT~CPM_PD~CAUSAS_AWARENESS_VIDEO_DONA_CIDA_2'_1X1_TG~BHVDEM_TS~NONE_SZ~1X1_SOCIAL_MK~BR_IT~SOCIAL_VV~NONE</t>
  </si>
  <si>
    <t>251641003</t>
  </si>
  <si>
    <t>447718565</t>
  </si>
  <si>
    <t>CH~DISPLAY_DT~MULTI_PB~OAT_FM~VIDEO_RT~CPM_PD~CAUSAS_AWARENESS_VIDEO_IDOSO_2'_1X1_TG~BHVDEM_TS~NONE_SZ~1X1_SOCIAL_MK~BR_IT~SOCIAL_VV~NONE</t>
  </si>
  <si>
    <t>251620264</t>
  </si>
  <si>
    <t>447699923</t>
  </si>
  <si>
    <t>CH~DISPLAY_DT~MULTI_PB~OAT_FM~VIDEO_RT~CPM_PD~CAUSAS_PERFORMANCE_VIDEO_DONA_CIDA_15''_1X1_TG~BHVDEM_TS~NONE_SZ~1X1_SOCIAL_MK~BR_IT~SOCIAL_VV~NONE</t>
  </si>
  <si>
    <t>251353394</t>
  </si>
  <si>
    <t>447685680</t>
  </si>
  <si>
    <t>CH~DISPLAY_DT~MULTI_PB~OAT_FM~VIDEO_RT~CPM_PD~CAUSAS_PERFORMANCE_VIDEO_IDOSO_15''_1X1_TG~BHVDEM_TS~NONE_SZ~1X1_SOCIAL_MK~BR_IT~SOCIAL_VV~NONE</t>
  </si>
  <si>
    <t>251723682</t>
  </si>
  <si>
    <t>447648528</t>
  </si>
  <si>
    <t>CH~DISPLAY_DT~MULTI_PB~VRZ_FM~BANNER_RT~CPM_PD~CROSSBORDER_BANNER_GOURMET_VERIZON_300X250_300X250_TG~BHVDEM_TS~NONE_SZ~300X250_DISPLAY_MK~BR_IT~DISPLAY_VV~NONE</t>
  </si>
  <si>
    <t>250892975</t>
  </si>
  <si>
    <t>447393484</t>
  </si>
  <si>
    <t>CH~DISPLAY_DT~MULTI_PB~VRZ_FM~BANNER_RT~CPM_PD~CROSSBORDER_BANNER_GOURMET__VERIZON_300X50_300X50_TG~BHVDEM_TS~NONE_SZ~300X50_DISPLAY_MK~BR_IT~DISPLAY_VV~NONE</t>
  </si>
  <si>
    <t>250892990</t>
  </si>
  <si>
    <t>447393487</t>
  </si>
  <si>
    <t>CH~SOCIAL_DT~MULTI_PB~FCBK_FM~CARROSSEL_RT~CPM_PD~CV~VDV_PERFORMANCE_MOVIDA_20OFF_AZUL_CS~CARROSSEL_CT~FB_1X1_TG~BHVDEM_TS~NONE_SZ~1X1_DISPLAY_MK~BR_IT~DISPLAY_VV~NONE</t>
  </si>
  <si>
    <t>252263902</t>
  </si>
  <si>
    <t>448388158</t>
  </si>
  <si>
    <t>CH~SOCIAL_DT~MULTI_PB~FCBK_FM~CARROSSEL_RT~CPM_PD~CV~VDV_PERFORMANCE_RAPPI_LARANJA_CS~CARROSSEL_CT~FB_1X1_TG~BHVDEM_TS~NONE_SZ~1X1_DISPLAY_MK~BR_IT~DISPLAY_VV~NONE</t>
  </si>
  <si>
    <t>252207529</t>
  </si>
  <si>
    <t>448257743</t>
  </si>
  <si>
    <t>CH~SOCIAL_DT~MULTI_PB~FCBK_FM~CARROSSEL_RT~CPM_PD~CV~VDV_PERFORMANCE_RAPPI_VERDE_CS~CARROSSEL_CT~FB_1X1_TG~BHVDEM_TS~NONE_SZ~1X1_DISPLAY_MK~BR_IT~DISPLAY_VV~NONE</t>
  </si>
  <si>
    <t>251421407</t>
  </si>
  <si>
    <t>447817544</t>
  </si>
  <si>
    <t>CH~SOCIAL_DT~MULTI_PB~FCBK_FM~CARROSSEL_RT~CPM_PD~VDV_EDUCACIONAL_AWARENESS_CARROSSEL_FACEBOOK_DESCONTO_1X1_TG~BHVDEM_TS~NONE_SZ~1X1_DISPLAY_MK~BR_IT~DISPLAY_VV~NONE</t>
  </si>
  <si>
    <t>251509818</t>
  </si>
  <si>
    <t>447530855</t>
  </si>
  <si>
    <t>CH~SOCIAL_DT~MULTI_PB~FCBK_FM~CARROSSEL_RT~CPM_PD~VDV_EDUCACIONAL_AWARENESS_CARROSSEL_FACEBOOK_VIAGEM_OFERTA_1X1_TG~BHVDEM_TS~NONE_SZ~1X1_DISPLAY_MK~BR_IT~DISPLAY_VV~NONE</t>
  </si>
  <si>
    <t>251413654</t>
  </si>
  <si>
    <t>447613612</t>
  </si>
  <si>
    <t>CH~SOCIAL_DT~MULTI_PB~FCBK_FM~CARROSSEL_RT~CPM_PD~VDV_PERFORMANCE_CAMICADO_FACEBOOK_CARROSSEL_10OFF_1X1_TG~BHVDEM_TS~NONE_SZ~1X1_DISPLAY_MK~BR_IT~DISPLAY_VV~NONE</t>
  </si>
  <si>
    <t>252293266</t>
  </si>
  <si>
    <t>448297662</t>
  </si>
  <si>
    <t>CH~SOCIAL_DT~MULTI_PB~FCBK_FM~CARROSSEL_RT~CPM_PD~VDV_PERFORMANCE_CAMICADO_FACEBOOK_CARROSSEL_60OFF_1X1_TG~BHVDEM_TS~NONE_SZ~1X1_DISPLAY_MK~BR_IT~DISPLAY_VV~NONE</t>
  </si>
  <si>
    <t>252291103</t>
  </si>
  <si>
    <t>448350476</t>
  </si>
  <si>
    <t>CH~SOCIAL_DT~MULTI_PB~FCBK_FM~CARROSSEL_RT~CPM_PD~VDV_PERFORMANCE_FACEBOOK_MOVIDA_20OFF_CARROSSEL_1X1_TG~BHVDEM_TS~NONE_SZ~1X1_DISPLAY_MK~BR_IT~DISPLAY_VV~NONE</t>
  </si>
  <si>
    <t>251270277</t>
  </si>
  <si>
    <t>447378202</t>
  </si>
  <si>
    <t>CH~SOCIAL_DT~MULTI_PB~FCBK_FM~GIF_RT~CPM_PD~VDV_AWARENESS_EDUCACIONAL_DÉBITO_GIF_COMPRAS_DESKTOP_1X1_TG~BHVDEM_TS~NONE_SZ~1X1_DISPLAY_MK~BR_IT~DISPLAY_VV~NONE</t>
  </si>
  <si>
    <t>252202842</t>
  </si>
  <si>
    <t>448276378</t>
  </si>
  <si>
    <t>CH~SOCIAL_DT~MULTI_PB~FCBK_FM~GIF_RT~CPM_PD~VDV_AWARENESS_EDUCACIONAL_DÉBITO_GIF_COMPRAS_MOBILE_1X1_TG~BHVDEM_TS~NONE_SZ~1X1_DISPLAY_MK~BR_IT~DISPLAY_VV~NONE</t>
  </si>
  <si>
    <t>252132775</t>
  </si>
  <si>
    <t>448185446</t>
  </si>
  <si>
    <t>CH~SOCIAL_DT~MULTI_PB~FCBK_FM~GIF_RT~CPM_PD~VDV_PROMONACIONAL_AWARENESS_GIF_FACEBOOK_CAMPING_PARTICIPE_1X1_TG~BHVDEM_TS~NONE_SZ~1X1_DISPLAY_MK~BR_IT~DISPLAY_VV~NONE</t>
  </si>
  <si>
    <t>251011299</t>
  </si>
  <si>
    <t>447051953</t>
  </si>
  <si>
    <t>CH~SOCIAL_DT~MULTI_PB~FCBK_FM~GIF_RT~CPM_PD~VDV_PROMONACIONAL_AWARENESS_GIF_FACEBOOK_PRAIA_PARTICIPE_1X1_TG~BHVDEM_TS~NONE_SZ~1X1_DISPLAY_MK~BR_IT~DISPLAY_VV~NONE</t>
  </si>
  <si>
    <t>251011278</t>
  </si>
  <si>
    <t>447051932</t>
  </si>
  <si>
    <t>CH~SOCIAL_DT~MULTI_PB~FCBK_FM~GIF_RT~CPM_PD~VDV_PROMONACIONAL_PERFORMANCE_GIF_FACEBOOK_CAMPING_CADASTRE-SE_1X1_TG~BHVDEM_TS~NONE_SZ~1X1_DISPLAY_MK~BR_IT~DISPLAY_VV~NONE</t>
  </si>
  <si>
    <t>251011302</t>
  </si>
  <si>
    <t>447051956</t>
  </si>
  <si>
    <t>CH~SOCIAL_DT~MULTI_PB~FCBK_FM~GIF_RT~CPM_PD~VDV_PROMONACIONAL_PERFORMANCE_GIF_FACEBOOK_PRAIA_CADASTRE-SE_1X1_TG~BHVDEM_TS~NONE_SZ~1X1_DISPLAY_MK~BR_IT~DISPLAY_VV~NONE</t>
  </si>
  <si>
    <t>251011281</t>
  </si>
  <si>
    <t>447051935</t>
  </si>
  <si>
    <t>CH~SOCIAL_DT~MULTI_PB~FCBK_FM~LINKAD_RT~CPM_PD~CV~VDV_PERFORMANCE_MOVIDA_20OFF_AZUL_CS~LINK_AD_QUADRADO_CT~FB_1X1_TG~BHVDEM_TS~NONE_SZ~1X1_DISPLAY_MK~BR_IT~DISPLAY_VV~NONE</t>
  </si>
  <si>
    <t>252263551</t>
  </si>
  <si>
    <t>448389472</t>
  </si>
  <si>
    <t>CH~SOCIAL_DT~MULTI_PB~FCBK_FM~LINKAD_RT~CPM_PD~CV~VDV_PERFORMANCE_MOVIDA_20OFF_AZUL_CS~LINK_AD_RETANGULAR_CT~FB_1X1_TG~BHVDEM_TS~NONE_SZ~1X1_DISPLAY_MK~BR_IT~DISPLAY_VV~NONE</t>
  </si>
  <si>
    <t>252262216</t>
  </si>
  <si>
    <t>448316714</t>
  </si>
  <si>
    <t>CH~SOCIAL_DT~MULTI_PB~FCBK_FM~LINKAD_RT~CPM_PD~CV~VDV_PERFORMANCE_RAPPI_LARANJA_CS~LINK_AD_QUADRADO_CT~FB_1X1_TG~BHVDEM_TS~NONE_SZ~1X1_DISPLAY_MK~BR_IT~DISPLAY_VV~NONE</t>
  </si>
  <si>
    <t>251876690</t>
  </si>
  <si>
    <t>448258892</t>
  </si>
  <si>
    <t>CH~SOCIAL_DT~MULTI_PB~FCBK_FM~LINKAD_RT~CPM_PD~CV~VDV_PERFORMANCE_RAPPI_LARANJA_CS~LINK_AD_RETANGULAR_CT~FB_1X1_TG~BHVDEM_TS~NONE_SZ~1X1_DISPLAY_MK~BR_IT~DISPLAY_VV~NONE</t>
  </si>
  <si>
    <t>252207496</t>
  </si>
  <si>
    <t>448341427</t>
  </si>
  <si>
    <t>CH~SOCIAL_DT~MULTI_PB~FCBK_FM~LINKAD_RT~CPM_PD~CV~VDV_PERFORMANCE_RAPPI_VERDE_CS~LINK_AD_QUADRADO_CT~FB_1X1_TG~BHVDEM_TS~NONE_SZ~1X1_DISPLAY_MK~BR_IT~DISPLAY_VV~NONE</t>
  </si>
  <si>
    <t>251834199</t>
  </si>
  <si>
    <t>447756114</t>
  </si>
  <si>
    <t>CH~SOCIAL_DT~MULTI_PB~FCBK_FM~LINKAD_RT~CPM_PD~CV~VDV_PERFORMANCE_RAPPI_VERDE_CS~LINK_AD_RETANGULAR_CT~FB_1X1_TG~BHVDEM_TS~NONE_SZ~1X1_DISPLAY_MK~BR_IT~DISPLAY_VV~NONE</t>
  </si>
  <si>
    <t>251422685</t>
  </si>
  <si>
    <t>447907132</t>
  </si>
  <si>
    <t>CH~SOCIAL_DT~MULTI_PB~FCBK_FM~LINKAD_RT~CPM_PD~VDV_AWARENESS_EDUCACIONAL_DÉBITO_LINKAD_1X1_TG~BHVDEM_TS~NONE_SZ~1X1_DISPLAY_MK~BR_IT~DISPLAY_VV~NONE</t>
  </si>
  <si>
    <t>251802356</t>
  </si>
  <si>
    <t>448275580</t>
  </si>
  <si>
    <t>CH~SOCIAL_DT~MULTI_PB~FCBK_FM~LINKAD_RT~CPM_PD~VDV_EDUCACIONAL_AWARENESS_LINKAD_FACEBOOOK_DESCONTO_1X1_TG~BHVDEM_TS~NONE_SZ~1X1_DISPLAY_MK~BR_IT~DISPLAY_VV~NONE</t>
  </si>
  <si>
    <t>251415541</t>
  </si>
  <si>
    <t>447534086</t>
  </si>
  <si>
    <t>CH~SOCIAL_DT~MULTI_PB~FCBK_FM~LINKAD_RT~CPM_PD~VDV_EDUCACIONAL_AWARENESS_LINKAD_FACEBOOOK_VIAGEM_OFERTA_1X1_TG~BHVDEM_TS~NONE_SZ~1X1_DISPLAY_MK~BR_IT~DISPLAY_VV~NONE</t>
  </si>
  <si>
    <t>251510214</t>
  </si>
  <si>
    <t>447534095</t>
  </si>
  <si>
    <t>CH~SOCIAL_DT~MULTI_PB~FCBK_FM~LINKAD_RT~CPM_PD~VDV_MOVIDA_LINKAD_15_OFF_CARRO_RELOGIO_1X1_TG~BHVDEM_TS~NONE_SZ~1X1_SOCIAL_MK~BR_IT~SOCIAL_VV~NONE</t>
  </si>
  <si>
    <t>240049025</t>
  </si>
  <si>
    <t>437151374</t>
  </si>
  <si>
    <t>CH~SOCIAL_DT~MULTI_PB~FCBK_FM~LINKAD_RT~CPM_PD~VDV_PERFORMANCE_CAMICADO_FACEBOOK_LINKAD_ANIMADO_10OFF_1X1_TG~BHVDEM_TS~NONE_SZ~1X1_DISPLAY_MK~BR_IT~DISPLAY_VV~NONE</t>
  </si>
  <si>
    <t>252368751</t>
  </si>
  <si>
    <t>448430059</t>
  </si>
  <si>
    <t>CH~SOCIAL_DT~MULTI_PB~FCBK_FM~LINKAD_RT~CPM_PD~VDV_PERFORMANCE_CAMICADO_FACEBOOK_LINKAD_ANIMADO_60OFF_1X1_TG~BHVDEM_TS~NONE_SZ~1X1_DISPLAY_MK~BR_IT~DISPLAY_VV~NONE</t>
  </si>
  <si>
    <t>252291142</t>
  </si>
  <si>
    <t>448430053</t>
  </si>
  <si>
    <t>CH~SOCIAL_DT~MULTI_PB~FCBK_FM~LINKAD_RT~CPM_PD~VDV_PERFORMANCE_FACEBOOK_MOVIDA_20OFF_LINKAD_QUADRADO_1X1_TG~BHVDEM_TS~NONE_SZ~1X1_DISPLAY_MK~BR_IT~DISPLAY_VV~NONE</t>
  </si>
  <si>
    <t>251254944</t>
  </si>
  <si>
    <t>447291278</t>
  </si>
  <si>
    <t>CH~SOCIAL_DT~MULTI_PB~FCBK_FM~LINKAD_RT~CPM_PD~VDV_PERFORMANCE_FACEBOOK_MOVIDA_20OFF_LINKAD_RETANGULAR_1X1_TG~BHVDEM_TS~NONE_SZ~1X1_DISPLAY_MK~BR_IT~DISPLAY_VV~NONE</t>
  </si>
  <si>
    <t>251272710</t>
  </si>
  <si>
    <t>447291281</t>
  </si>
  <si>
    <t>CH~SOCIAL_DT~MULTI_PB~FCBK_FM~LINKAD_RT~CPM_PD~VDV_PERFORMANCE_FACEBOOK_TEMAVIAGEM_LINKAD_QUADRADO_1X1_TG~BHVDEM_TS~NONE_SZ~1X1_DISPLAY_MK~BR_IT~DISPLAY_VV~NONE</t>
  </si>
  <si>
    <t>251789325</t>
  </si>
  <si>
    <t>447712515</t>
  </si>
  <si>
    <t>CH~SOCIAL_DT~MULTI_PB~FCBK_FM~LINKAD_RT~CPM_PD~VDV_PERFORMANCE_TEMAVIAGEM_FACEBOOK_LINKAD_QUADRADO_1X1_TG~BHVDEM_TS~NONE_SZ~1X1_DISPLAY_MK~BR_IT~DISPLAY_VV~NONE</t>
  </si>
  <si>
    <t>251607449</t>
  </si>
  <si>
    <t>447946866</t>
  </si>
  <si>
    <t>CH~SOCIAL_DT~MULTI_PB~FCBK_FM~LINKAD_RT~CPM_PD~VDV_PROMONACIONAL_AWARENESS_LINKAD_FACEBOOK_CAMPING_PARTICIPE_1X1_TG~BHVDEM_TS~NONE_SZ~1X1_DISPLAY_MK~BR_IT~DISPLAY_VV~NONE</t>
  </si>
  <si>
    <t>251011293</t>
  </si>
  <si>
    <t>447051947</t>
  </si>
  <si>
    <t>CH~SOCIAL_DT~MULTI_PB~FCBK_FM~LINKAD_RT~CPM_PD~VDV_PROMONACIONAL_AWARENESS_LINKAD_FACEBOOK_PRAIA_PARTICIPE_1X1_TG~BHVDEM_TS~NONE_SZ~1X1_DISPLAY_MK~BR_IT~DISPLAY_VV~NONE</t>
  </si>
  <si>
    <t>251011272</t>
  </si>
  <si>
    <t>447051926</t>
  </si>
  <si>
    <t>CH~SOCIAL_DT~MULTI_PB~FCBK_FM~LINKAD_RT~CPM_PD~VDV_PROMONACIONAL_PERFORMANCE_LINKAD_FACEBOOK_CAMPING_CADASTRE-SE_1X1_TG~BHVDEM_TS~NONE_SZ~1X1_DISPLAY_MK~BR_IT~DISPLAY_VV~NONE</t>
  </si>
  <si>
    <t>251011296</t>
  </si>
  <si>
    <t>447051950</t>
  </si>
  <si>
    <t>CH~SOCIAL_DT~MULTI_PB~FCBK_FM~LINKAD_RT~CPM_PD~VDV_PROMONACIONAL_PERFORMANCE_LINKAD_FACEBOOK_PRAIA_CADASTRE-SE_1X1_TG~BHVDEM_TS~NONE_SZ~1X1_DISPLAY_MK~BR_IT~DISPLAY_VV~NONE</t>
  </si>
  <si>
    <t>251011275</t>
  </si>
  <si>
    <t>447051929</t>
  </si>
  <si>
    <t>CH~SOCIAL_DT~MULTI_PB~YOUT_FM~BUMPERAD_RT~CPM_PD~VDV_PROMONACIONAL_AWARENESS_BUMPERAD_YOUTUBE_KVFÉRIAS_PRAIA_1X1_TG~BHVDEM_TS~NONE_SZ~1X1_DISPLAY_MK~BR_IT~DISPLAY_VV~NONE</t>
  </si>
  <si>
    <t>251343159</t>
  </si>
  <si>
    <t>447382424</t>
  </si>
  <si>
    <t>CH~SOCIAL_DT~MULTI_PB~YOUT_FM~VIDEO_RT~CPM_PD~VDV_PROMONACIONAL_AWARENESS_VIDEO_YOUTUBE_KVFÉRIAS_PRAIA_1X1_TG~BHVDEM_TS~NONE_SZ~1X1_DISPLAY_MK~BR_IT~DISPLAY_VV~NONE</t>
  </si>
  <si>
    <t>251351886</t>
  </si>
  <si>
    <t>447378698</t>
  </si>
  <si>
    <t>CH~DISPLAY_DT~MULTI_PB~GDBM_FM~BANNER_RT~CPM_PD~VDV_AWARENESS_EDUCACIONAL_DV360_BANNER_160X600_160X600_TG~BHVDEM_TS~NONE_SZ~160X600_DISPLAY_MK~BR_IT~DISPLAY_VV~NONE</t>
  </si>
  <si>
    <t>251696792</t>
  </si>
  <si>
    <t>448174294</t>
  </si>
  <si>
    <t>CH~DISPLAY_DT~MULTI_PB~GDBM_FM~BANNER_RT~CPM_PD~VDV_AWARENESS_EDUCACIONAL_DV360_BANNER_300X250_300X250_TG~BHVDEM_TS~NONE_SZ~300X250_DISPLAY_MK~BR_IT~DISPLAY_VV~NONE</t>
  </si>
  <si>
    <t>252103032</t>
  </si>
  <si>
    <t>448174348</t>
  </si>
  <si>
    <t>CH~DISPLAY_DT~MULTI_PB~GDBM_FM~BANNER_RT~CPM_PD~VDV_AWARENESS_EDUCACIONAL_DV360_BANNER_300X600_300X600_TG~BHVDEM_TS~NONE_SZ~300X600_DISPLAY_MK~BR_IT~DISPLAY_VV~NONE</t>
  </si>
  <si>
    <t>251698928</t>
  </si>
  <si>
    <t>448088975</t>
  </si>
  <si>
    <t>CH~DISPLAY_DT~MULTI_PB~GDBM_FM~BANNER_RT~CPM_PD~VDV_AWARENESS_EDUCACIONAL_DV360_BANNER_970X250_970X250_TG~BHVDEM_TS~NONE_SZ~970X250_DISPLAY_MK~BR_IT~DISPLAY_VV~NONE</t>
  </si>
  <si>
    <t>252103536</t>
  </si>
  <si>
    <t>448174843</t>
  </si>
  <si>
    <t>CH~DISPLAY_DT~MULTI_PB~GDBM_FM~BANNER_RT~CPM_PD~VDV_EDUCACIONAL_AWARENESS_BANNER__DV360_CREDITO_160X600_160X600_TG~BHVDEM_TS~NONE_SZ~160X600_DISPLAY_MK~BR_IT~DISPLAY_VV~NONE</t>
  </si>
  <si>
    <t>251830933</t>
  </si>
  <si>
    <t>447910445</t>
  </si>
  <si>
    <t>CH~DISPLAY_DT~MULTI_PB~GDBM_FM~BANNER_RT~CPM_PD~VDV_EDUCACIONAL_AWARENESS_BANNER__DV360_CREDITO_300X250_300X250_TG~BHVDEM_TS~NONE_SZ~300X250_DISPLAY_MK~BR_IT~DISPLAY_VV~NONE</t>
  </si>
  <si>
    <t>251524148</t>
  </si>
  <si>
    <t>447850161</t>
  </si>
  <si>
    <t>CH~DISPLAY_DT~MULTI_PB~GDBM_FM~BANNER_RT~CPM_PD~VDV_EDUCACIONAL_AWARENESS_BANNER__DV360_CREDITO_300X600_300X600_TG~BHVDEM_TS~NONE_SZ~300X600_DISPLAY_MK~BR_IT~DISPLAY_VV~NONE</t>
  </si>
  <si>
    <t>251831053</t>
  </si>
  <si>
    <t>447911813</t>
  </si>
  <si>
    <t>CH~DISPLAY_DT~MULTI_PB~GDBM_FM~BANNER_RT~CPM_PD~VDV_EDUCACIONAL_AWARENESS_BANNER__DV360_CREDITO_970X250_970X250_TG~BHVDEM_TS~NONE_SZ~970X250_DISPLAY_MK~BR_IT~DISPLAY_VV~NONE</t>
  </si>
  <si>
    <t>251522756</t>
  </si>
  <si>
    <t>448005643</t>
  </si>
  <si>
    <t>CH~DISPLAY_DT~MULTI_PB~GDBM_FM~BANNER_RT~CPM_PD~VDV_PAODEACUCAR_DBM_BANNER_ESTATICO_970X250_970X250_TG~BHVDEM_TS~NONE_SZ~970X250_DISPLAY_MK~BR_IT~DISPLAY_VV~NONE</t>
  </si>
  <si>
    <t>240746273</t>
  </si>
  <si>
    <t>437780186</t>
  </si>
  <si>
    <t>CH~DISPLAY_DT~MULTI_PB~GDBM_FM~BANNER_RT~CPM_PD~VDV_PERFORMANCE_DV360_MOVIDA_20OFF_BANNER_160X600_160X600_TG~BHVDEM_TS~NONE_SZ~160X600_DISPLAY_MK~BR_IT~DISPLAY_VV~NONE</t>
  </si>
  <si>
    <t>250878035</t>
  </si>
  <si>
    <t>447253284</t>
  </si>
  <si>
    <t>CH~DISPLAY_DT~MULTI_PB~GDBM_FM~BANNER_RT~CPM_PD~VDV_PERFORMANCE_DV360_MOVIDA_20OFF_BANNER_300X250_300X250_TG~BHVDEM_TS~NONE_SZ~300X250_DISPLAY_MK~BR_IT~DISPLAY_VV~NONE</t>
  </si>
  <si>
    <t>251270502</t>
  </si>
  <si>
    <t>447294482</t>
  </si>
  <si>
    <t>CH~DISPLAY_DT~MULTI_PB~GDBM_FM~BANNER_RT~CPM_PD~VDV_PERFORMANCE_DV360_MOVIDA_20OFF_BANNER_300X600_300X600_TG~BHVDEM_TS~NONE_SZ~300X600_DISPLAY_MK~BR_IT~DISPLAY_VV~NONE</t>
  </si>
  <si>
    <t>250882151</t>
  </si>
  <si>
    <t>447383530</t>
  </si>
  <si>
    <t>CH~DISPLAY_DT~MULTI_PB~GDBM_FM~BANNER_RT~CPM_PD~VDV_PERFORMANCE_DV360_MOVIDA_20OFF_BANNER_970X250_970X250_TG~BHVDEM_TS~NONE_SZ~970X250_DISPLAY_MK~BR_IT~DISPLAY_VV~NONE</t>
  </si>
  <si>
    <t>251275422</t>
  </si>
  <si>
    <t>447385030</t>
  </si>
  <si>
    <t>CH~DISPLAY_DT~MULTI_PB~GDBM_FM~BANNER_RT~CPM_PD~VDV_PERFORMANCE_PROMONACIONAL_BANNER_PRAIA_300X250_300X250_TG~BHVDEM_TS~NONE_SZ~300X250_DISPLAY_MK~BR_IT~DISPLAY_VV~NONE</t>
  </si>
  <si>
    <t>251250342</t>
  </si>
  <si>
    <t>447271310</t>
  </si>
  <si>
    <t>CH~DISPLAY_DT~MULTI_PB~GDBM_FM~BANNER_RT~CPM_PD~VDV_PERFORMANCE_PROMONACIONAL_BANNER_PRAIA_300X50_300X50_TG~BHVDEM_TS~NONE_SZ~300X50_DISPLAY_MK~BR_IT~DISPLAY_VV~NONE</t>
  </si>
  <si>
    <t>251137570</t>
  </si>
  <si>
    <t>447279974</t>
  </si>
  <si>
    <t>CH~DISPLAY_DT~MULTI_PB~GDBM_FM~BANNER_RT~CPM_PD~VDV_PERFORMANCE_PROMONACIONAL_BANNER_PRAIA_320X100_320X100_TG~BHVDEM_TS~NONE_SZ~320X100_DISPLAY_MK~BR_IT~DISPLAY_VV~NONE</t>
  </si>
  <si>
    <t>251250405</t>
  </si>
  <si>
    <t>447240180</t>
  </si>
  <si>
    <t>CH~DISPLAY_DT~MULTI_PB~GDBM_FM~BANNER_RT~CPM_PD~VDV_PERFORMANCE_PROMONACIONAL_BANNER_PRAIA_728X90_728X90_TG~BHVDEM_TS~NONE_SZ~728X90_DISPLAY_MK~BR_IT~DISPLAY_VV~NONE</t>
  </si>
  <si>
    <t>251254665</t>
  </si>
  <si>
    <t>447242094</t>
  </si>
  <si>
    <t>CH~DISPLAY_DT~MULTI_PB~GDBM_FM~BANNER_RT~CPM_PD~VDV_PERFORMANCE_PROMONACIONAL_BANNER__PRAIA_120X600_120X600_TG~BHVDEM_TS~NONE_SZ~120X600_DISPLAY_MK~BR_IT~DISPLAY_VV~NONE</t>
  </si>
  <si>
    <t>250852511</t>
  </si>
  <si>
    <t>447280646</t>
  </si>
  <si>
    <t>CH~SOCIAL_DT~MULTI_PB~GDBM_FM~BANNER_RT~CPM_PD~VDV_PERFORMANCE_MOVIDA_DV360_BANNER_20OFF_160X600_160X600_TG~BHVDEM_TS~NONE_SZ~160X600_DISPLAY_MK~BR_IT~DISPLAY_VV~NONE</t>
  </si>
  <si>
    <t>252366951</t>
  </si>
  <si>
    <t>448425469</t>
  </si>
  <si>
    <t>CH~SOCIAL_DT~MULTI_PB~GDBM_FM~BANNER_RT~CPM_PD~VDV_PERFORMANCE_MOVIDA_DV360_BANNER_20OFF_300X250_300X250_TG~BHVDEM_TS~NONE_SZ~300X250_DISPLAY_MK~BR_IT~DISPLAY_VV~NONE</t>
  </si>
  <si>
    <t>252352503</t>
  </si>
  <si>
    <t>448349033</t>
  </si>
  <si>
    <t>CH~SOCIAL_DT~MULTI_PB~GDBM_FM~BANNER_RT~CPM_PD~VDV_PERFORMANCE_MOVIDA_DV360_BANNER_20OFF_300X600_300X600_TG~BHVDEM_TS~NONE_SZ~300X600_DISPLAY_MK~BR_IT~DISPLAY_VV~NONE</t>
  </si>
  <si>
    <t>251958257</t>
  </si>
  <si>
    <t>448349042</t>
  </si>
  <si>
    <t>CH~SOCIAL_DT~MULTI_PB~GDBM_FM~BANNER_RT~CPM_PD~VDV_PERFORMANCE_MOVIDA_DV360_BANNER_20OFF_970X250_970X250_TG~BHVDEM_TS~NONE_SZ~970X250_DISPLAY_MK~BR_IT~DISPLAY_VV~NONE</t>
  </si>
  <si>
    <t>251956586</t>
  </si>
  <si>
    <t>448426237</t>
  </si>
  <si>
    <t>CH~DISPLAY_DT~MULTI_PB~OTH_FM~BANNER_RT~CPM_PD~VDV_AWARENESS_EDUCACIONAL_OATH_BANNER_160X600_160X600_TG~BHVDEM_TS~NONE_SZ~160X600_DISPLAY_MK~BR_IT~DISPLAY_VV~NONE</t>
  </si>
  <si>
    <t>252102792</t>
  </si>
  <si>
    <t>448174861</t>
  </si>
  <si>
    <t>CH~DISPLAY_DT~MULTI_PB~OTH_FM~BANNER_RT~CPM_PD~VDV_AWARENESS_EDUCACIONAL_OATH_BANNER_300X250_300X250_TG~BHVDEM_TS~NONE_SZ~300X250_DISPLAY_MK~BR_IT~DISPLAY_VV~NONE</t>
  </si>
  <si>
    <t>251703248</t>
  </si>
  <si>
    <t>448032093</t>
  </si>
  <si>
    <t>CH~DISPLAY_DT~MULTI_PB~OTH_FM~BANNER_RT~CPM_PD~VDV_AWARENESS_EDUCACIONAL_OATH_BANNER_300X600_300X600_TG~BHVDEM_TS~NONE_SZ~300X600_DISPLAY_MK~BR_IT~DISPLAY_VV~NONE</t>
  </si>
  <si>
    <t>252105414</t>
  </si>
  <si>
    <t>448176577</t>
  </si>
  <si>
    <t>CH~DISPLAY_DT~MULTI_PB~OTH_FM~BANNER_RT~CPM_PD~VDV_AWARENESS_EDUCACIONAL_OATH_BANNER_970X250_970X250_TG~BHVDEM_TS~NONE_SZ~970X250_DISPLAY_MK~BR_IT~DISPLAY_VV~NONE</t>
  </si>
  <si>
    <t>252031132</t>
  </si>
  <si>
    <t>448176781</t>
  </si>
  <si>
    <t>CH~DISPLAY_DT~MULTI_PB~OTH_FM~BANNER_RT~CPM_PD~VDV_EDUCACIONAL_AWARENESS_BANNER__OATH_CREDITO_160X600_160X600_TG~BHVDEM_TS~NONE_SZ~160X600_DISPLAY_MK~BR_IT~DISPLAY_VV~NONE</t>
  </si>
  <si>
    <t>251850745</t>
  </si>
  <si>
    <t>1x1 Default Web Ad</t>
  </si>
  <si>
    <t>431184438</t>
  </si>
  <si>
    <t>447923303</t>
  </si>
  <si>
    <t>CH~DISPLAY_DT~MULTI_PB~OTH_FM~BANNER_RT~CPM_PD~VDV_EDUCACIONAL_AWARENESS_BANNER__OATH_CREDITO_300X250_300X250_TG~BHVDEM_TS~NONE_SZ~300X250_DISPLAY_MK~BR_IT~DISPLAY_VV~NONE</t>
  </si>
  <si>
    <t>251534660</t>
  </si>
  <si>
    <t>448020685</t>
  </si>
  <si>
    <t>CH~DISPLAY_DT~MULTI_PB~OTH_FM~BANNER_RT~CPM_PD~VDV_EDUCACIONAL_AWARENESS_BANNER__OATH_CREDITO_300X600_300X600_TG~BHVDEM_TS~NONE_SZ~300X600_DISPLAY_MK~BR_IT~DISPLAY_VV~NONE</t>
  </si>
  <si>
    <t>251850790</t>
  </si>
  <si>
    <t>447864999</t>
  </si>
  <si>
    <t>CH~DISPLAY_DT~MULTI_PB~OTH_FM~BANNER_RT~CPM_PD~VDV_EDUCACIONAL_AWARENESS_BANNER__OATH_CREDITO_970X250_970X250_TG~BHVDEM_TS~NONE_SZ~970X250_DISPLAY_MK~BR_IT~DISPLAY_VV~NONE</t>
  </si>
  <si>
    <t>251849950</t>
  </si>
  <si>
    <t>447865002</t>
  </si>
  <si>
    <t>CH~DISPLAY_DT~MULTI_PB~OTH_FM~BANNER_RT~CPM_PD~VDV_GOL_OATH_BANNER_627X627_627X627_TG~BHVDEM_TS~NONE_SZ~627X627_DISPLAY_MK~BR_IT~DISPLAY_VV~NONE</t>
  </si>
  <si>
    <t>240843175</t>
  </si>
  <si>
    <t>437838733</t>
  </si>
  <si>
    <t>CH~SOCIAL_DT~MULTI_PB~OTH_FM~BANNER_RT~CPM_PD~VDV_PROMONACIONAL_PERFORMANCE_BANNER_OATH_CAMPO_627X627_627X627_TG~BHVDEM_TS~NONE_SZ~627X627_DISPLAY_MK~BR_IT~DISPLAY_VV~NONE</t>
  </si>
  <si>
    <t>251155108</t>
  </si>
  <si>
    <t>447263105</t>
  </si>
  <si>
    <t>CH~SOCIAL_DT~MULTI_PB~OTH_FM~BANNER_RT~CPM_PD~VDV_PROMONACIONAL_PERFORMANCE_BANNER_OATH_PRAIA_627X627_627X627_TG~BHVDEM_TS~NONE_SZ~627X627_DISPLAY_MK~BR_IT~DISPLAY_VV~NONE</t>
  </si>
  <si>
    <t>251155096</t>
  </si>
  <si>
    <t>447263093</t>
  </si>
  <si>
    <t>CH~DISPLAY_DT~MULTI_PB~IG_FM~STORIES_RT~CPM_PD~VDV_PERFORMANCE_MOVIDA_INSTAGRAM_STORIES_OFERTA20OFF_1X1_TG~BHVDEM_TS~NONE_SZ~1X1_DISPLAY_MK~BR_IT~DISPLAY_VV~NONE</t>
  </si>
  <si>
    <t>250880041</t>
  </si>
  <si>
    <t>446989788</t>
  </si>
  <si>
    <t>CH~SOCIAL_DT~MULTI_PB~IG_FM~STORIES_RT~CPM_PD~CV~VDV_PERFORMANCE_MOVIDA_20OFF_AZUL_CS~STORIES_CT~INSTA_1X1_TG~BHVDEM_TS~NONE_SZ~1X1_DISPLAY_MK~BR_IT~DISPLAY_VV~NONE</t>
  </si>
  <si>
    <t>252344829</t>
  </si>
  <si>
    <t>448316771</t>
  </si>
  <si>
    <t>CH~SOCIAL_DT~MULTI_PB~IG_FM~STORIES_RT~CPM_PD~CV~VDV_PERFORMANCE_RAPPI_LARANJA_CS~STORIES_CT~INSTA_1X1_TG~BHVDEM_TS~NONE_SZ~1X1_DISPLAY_MK~BR_IT~DISPLAY_VV~NONE</t>
  </si>
  <si>
    <t>251876717</t>
  </si>
  <si>
    <t>448257749</t>
  </si>
  <si>
    <t>CH~SOCIAL_DT~MULTI_PB~IG_FM~STORIES_RT~CPM_PD~CV~VDV_PERFORMANCE_RAPPI_VERDE_CS~STORIES_CT~INSTA_1X1_TG~BHVDEM_TS~NONE_SZ~1X1_DISPLAY_MK~BR_IT~DISPLAY_VV~NONE</t>
  </si>
  <si>
    <t>251834238</t>
  </si>
  <si>
    <t>447819794</t>
  </si>
  <si>
    <t>CH~SOCIAL_DT~MULTI_PB~IG_FM~STORIES_RT~CPM_PD~VDV_AWARENESS_EDUCACIONAL_DÉBITO_STORIES_1X1_TG~BHVDEM_TS~NONE_SZ~1X1_DISPLAY_MK~BR_IT~DISPLAY_VV~NONE</t>
  </si>
  <si>
    <t>252202866</t>
  </si>
  <si>
    <t>448185455</t>
  </si>
  <si>
    <t>CH~SOCIAL_DT~MULTI_PB~IG_FM~STORIES_RT~CPM_PD~VDV_EDUCACIONAL_AWARENESS_STORIES_INSTAGRAM_DESCONTO_1X1_TG~BHVDEM_TS~NONE_SZ~1X1_DISPLAY_MK~BR_IT~DISPLAY_VV~NONE</t>
  </si>
  <si>
    <t>251415409</t>
  </si>
  <si>
    <t>447484704</t>
  </si>
  <si>
    <t>CH~SOCIAL_DT~MULTI_PB~IG_FM~STORIES_RT~CPM_PD~VDV_EDUCACIONAL_AWARENESS_STORIES__INSTAGRAM_VIAGEM_OFERTA_1X1_TG~BHVDEM_TS~NONE_SZ~1X1_DISPLAY_MK~BR_IT~DISPLAY_VV~NONE</t>
  </si>
  <si>
    <t>251415754</t>
  </si>
  <si>
    <t>447486120</t>
  </si>
  <si>
    <t>CH~SOCIAL_DT~MULTI_PB~IG_FM~STORIES_RT~CPM_PD~VDV_PERFORMANCE_INSTAGRAM_MOVIDA_20OFF_STORIES_1X1_TG~BHVDEM_TS~NONE_SZ~1X1_DISPLAY_MK~BR_IT~DISPLAY_VV~NONE</t>
  </si>
  <si>
    <t>251272737</t>
  </si>
  <si>
    <t>447378208</t>
  </si>
  <si>
    <t>CH~SOCIAL_DT~MULTI_PB~IG_FM~STORIES_RT~CPM_PD~VDV_PERFORMANCE_RAPPI_INSTAGRAM_STORIES_1X1_TG~BHVDEM_TS~NONE_SZ~1X1_DISPLAY_MK~BR_IT~DISPLAY_VV~NONE</t>
  </si>
  <si>
    <t>251425379</t>
  </si>
  <si>
    <t>447908209</t>
  </si>
  <si>
    <t>CH~SOCIAL_DT~MULTI_PB~IG_FM~STORIES_RT~CPM_PD~VDV_PROMONACIONAL_PERFORMANCE_STORIES_INSTAGRAM_CAMPING_CADASTRE-SE_1X1_TG~BHVDEM_TS~NONE_SZ~1X1_DISPLAY_MK~BR_IT~DISPLAY_VV~NONE</t>
  </si>
  <si>
    <t>251011290</t>
  </si>
  <si>
    <t>447051944</t>
  </si>
  <si>
    <t>CH~SOCIAL_DT~MULTI_PB~IG_FM~STORIES_RT~CPM_PD~VDV_PROMONACIONAL_PERFORMANCE_STORIES_INSTAGRAM_CAMPING_PARTICIPE_1X1_TG~BHVDEM_TS~NONE_SZ~1X1_DISPLAY_MK~BR_IT~DISPLAY_VV~NONE</t>
  </si>
  <si>
    <t>251011284</t>
  </si>
  <si>
    <t>447051938</t>
  </si>
  <si>
    <t>CH~SOCIAL_DT~MULTI_PB~IG_FM~STORIES_RT~CPM_PD~VDV_PROMONACIONAL_PERFORMANCE_STORIES_INSTAGRAM_PRAIA_CADASTRE-SE_1X1_TG~BHVDEM_TS~NONE_SZ~1X1_DISPLAY_MK~BR_IT~DISPLAY_VV~NONE</t>
  </si>
  <si>
    <t>251011269</t>
  </si>
  <si>
    <t>447051923</t>
  </si>
  <si>
    <t>CH~SOCIAL_DT~MULTI_PB~IG_FM~STORIES_RT~CPM_PD~VDV_PROMONACIONAL_PERFORMANCE_STORIES_INSTAGRAM_PRAIA_PARTICIPE_1X1_TG~BHVDEM_TS~NONE_SZ~1X1_DISPLAY_MK~BR_IT~DISPLAY_VV~NONE</t>
  </si>
  <si>
    <t>251011266</t>
  </si>
  <si>
    <t>447051920</t>
  </si>
  <si>
    <t>CH~SOCIAL_DT~MULTI_PB~FCBK_FM~CARROSSEL_RT~CPM_PD~AFFLUENT_DINNING_DIGITAL_CONCIERGE_FACEBOOK_CARROSSEL_1X1_TG~BHVDEM_TS~NONE_SZ~1X1_SOCIAL_MK~BR_IT~SOCIAL_VV~NONE</t>
  </si>
  <si>
    <t>252164912</t>
  </si>
  <si>
    <t>448564919</t>
  </si>
  <si>
    <t>CH~DISLPLAY_DT~MULTI_PB~DV360_FM~BANNER_RT~CPC_PD~AFFLUENT_TRAVEL_MEDICO_ONLINE_DV360_BANNER_120X600_120X600_TG~BHVDEM_TS~NONE_SZ~120X600_DISPLAY_MK~BR_IT~DISPLAY_VV~NONE</t>
  </si>
  <si>
    <t>252310921</t>
  </si>
  <si>
    <t>448312767</t>
  </si>
  <si>
    <t>CH~DISLPLAY_DT~MULTI_PB~DV360_FM~BANNER_RT~CPC_PD~AFFLUENT_TRAVEL_MEDICO_ONLINE_DV360_BANNER_300X250_300X250_TG~BHVDEM_TS~NONE_SZ~300X250_DISPLAY_MK~BR_IT~DISPLAY_VV~NONE</t>
  </si>
  <si>
    <t>252392916</t>
  </si>
  <si>
    <t>448311156</t>
  </si>
  <si>
    <t>CH~DISLPLAY_DT~MULTI_PB~DV360_FM~BANNER_RT~CPC_PD~AFFLUENT_TRAVEL_MEDICO_ONLINE_DV360_BANNER_320X100_320X100_TG~BHVDEM_TS~NONE_SZ~320X100_DISPLAY_MK~BR_IT~DISPLAY_VV~NONE</t>
  </si>
  <si>
    <t>252312328</t>
  </si>
  <si>
    <t>448363946</t>
  </si>
  <si>
    <t>CH~DISLPLAY_DT~MULTI_PB~DV360_FM~BANNER_RT~CPC_PD~AFFLUENT_TRAVEL_MEDICO_ONLINE_DV360_BANNER_320X50_320X50_TG~BHVDEM_TS~NONE_SZ~320X50_DISPLAY_MK~BR_IT~DISPLAY_VV~NONE</t>
  </si>
  <si>
    <t>252313573</t>
  </si>
  <si>
    <t>448444390</t>
  </si>
  <si>
    <t>CH~DISLPLAY_DT~MULTI_PB~DV360_FM~BANNER_RT~CPC_PD~AFFLUENT_TRAVEL_MEDICO_ONLINE_DV360_BANNER_728X90_728X90_TG~BHVDEM_TS~NONE_SZ~728X90_DISPLAY_MK~BR_IT~DISPLAY_VV~NONE</t>
  </si>
  <si>
    <t>252311743</t>
  </si>
  <si>
    <t>448363982</t>
  </si>
  <si>
    <t>CH~DISLPLAY_DT~MULTI_PB~DV360_FM~BANNER_RT~CPC_PD~AFFLUENT_TRAVEL_SEGURO_VIAGEM_DV360_BANNER_120X600_120X600_TG~BHVDEM_TS~NONE_SZ~120X600_DISPLAY_MK~BR_IT~DISPLAY_VV~NONE</t>
  </si>
  <si>
    <t>251979596</t>
  </si>
  <si>
    <t>448314204</t>
  </si>
  <si>
    <t>CH~DISLPLAY_DT~MULTI_PB~DV360_FM~BANNER_RT~CPC_PD~AFFLUENT_TRAVEL_SEGURO_VIAGEM_DV360_BANNER_300X250_300X250_TG~BHVDEM_TS~NONE_SZ~300X250_DISPLAY_MK~BR_IT~DISPLAY_VV~NONE</t>
  </si>
  <si>
    <t>251980490</t>
  </si>
  <si>
    <t>448362617</t>
  </si>
  <si>
    <t>CH~DISLPLAY_DT~MULTI_PB~DV360_FM~BANNER_RT~CPC_PD~AFFLUENT_TRAVEL_SEGURO_VIAGEM_DV360_BANNER_320X100_320X100_TG~BHVDEM_TS~NONE_SZ~320X100_DISPLAY_MK~BR_IT~DISPLAY_VV~NONE</t>
  </si>
  <si>
    <t>252395151</t>
  </si>
  <si>
    <t>448444462</t>
  </si>
  <si>
    <t>CH~DISLPLAY_DT~MULTI_PB~DV360_FM~BANNER_RT~CPC_PD~AFFLUENT_TRAVEL_SEGURO_VIAGEM_DV360_BANNER_320X50_320X50_TG~BHVDEM_TS~NONE_SZ~320X50_DISPLAY_MK~BR_IT~DISPLAY_VV~NONE</t>
  </si>
  <si>
    <t>252394917</t>
  </si>
  <si>
    <t>448314219</t>
  </si>
  <si>
    <t>CH~DISLPLAY_DT~MULTI_PB~DV360_FM~BANNER_RT~CPC_PD~AFFLUENT_TRAVEL_SEGURO_VIAGEM_DV360_BANNER_728X90_728X90_TG~BHVDEM_TS~NONE_SZ~728X90_DISPLAY_MK~BR_IT~DISPLAY_VV~NONE</t>
  </si>
  <si>
    <t>251981672</t>
  </si>
  <si>
    <t>448363385</t>
  </si>
  <si>
    <t>CH~NATIVE_DT~MULTI_PB~VRZ_FM~NATIVE_RT~CPC_PD~AFFLUENT_TRAVEL_DIGITAL_CONCIERGE_NATIVE_720X1280_720X1280_TG~BHVDEM_TS~NONE_SZ~720X1280_NATIVE_MK~BR_IT~NATIVE_VV~NONE</t>
  </si>
  <si>
    <t>252165329</t>
  </si>
  <si>
    <t>448630528</t>
  </si>
  <si>
    <t>CH~NATIVE_DT~MULTI_PB~VRZ_FM~NATIVE_RT~CPC_PD~AFFLUENT_TRAVEL_SEGURO_VIAGEM_NATIVE_720X1280_720X1280_TG~BHVDEM_TS~NONE_SZ~720X1280_NATIVE_MK~BR_IT~NATIVE_VV~NONE</t>
  </si>
  <si>
    <t>252516034</t>
  </si>
  <si>
    <t>448630534</t>
  </si>
  <si>
    <t>Waze, Inc</t>
  </si>
  <si>
    <t>CH~DISPLAY_DT~MULTI_PB~WAZE_FM~TAKEOVER_RT~CPC_PD~AFFLUENT_DINNING_FREE_VALET_WAZE_TAKEOVER_1X1_TG~BHVDEM_TS~NONE_SZ~1X1_DISPLAY_MK~BR_IT~DISPLAY_VV~NONE</t>
  </si>
  <si>
    <t>252163802</t>
  </si>
  <si>
    <t>448562957</t>
  </si>
  <si>
    <t>CH~SOCIAL_DT~MULTI_PB~FCBK_FM~CARROSSEL_RT~CPM_PD~CIDADESDOFUTURO_CONSIDERACAO_FACEBOOK_CARROSSEL_APPLE_1X1_TG~BHVDEM_TS~NONE_SZ~1X1_SOCIAL_MK~BR_IT~SOCIAL_VV~NONE</t>
  </si>
  <si>
    <t>249789393</t>
  </si>
  <si>
    <t>445759539</t>
  </si>
  <si>
    <t>CH~SOCIAL_DT~MULTI_PB~FCBK_FM~CARROSSEL_RT~CPM_PD~COMPRAFORA_AWARENESS_CARROSSEL_FASHION_1X1_TG~BHVDEM_TS~NONE_SZ~1X1_SOCIAL_MK~BR_IT~SOCIAL_VV~NONE</t>
  </si>
  <si>
    <t>251670963</t>
  </si>
  <si>
    <t>447619917</t>
  </si>
  <si>
    <t>CH~SOCIAL_DT~MULTI_PB~FCBK_FM~CARROSSEL_RT~CPM_PD~COMPRAFORA_AWARENESS_CARROSSEL_GAMERS_1X1_TG~BHVDEM_TS~NONE_SZ~1X1_SOCIAL_MK~BR_IT~SOCIAL_VV~NONE</t>
  </si>
  <si>
    <t>251672067</t>
  </si>
  <si>
    <t>447620457</t>
  </si>
  <si>
    <t>CH~SOCIAL_DT~MULTI_PB~FCBK_FM~CARROSSEL_RT~CPM_PD~COMPRAFORA_AWARENESS_CARROSSEL_GRAVIDAS_1X1_TG~BHVDEM_TS~NONE_SZ~1X1_SOCIAL_MK~BR_IT~SOCIAL_VV~NONE</t>
  </si>
  <si>
    <t>251573758</t>
  </si>
  <si>
    <t>447669023</t>
  </si>
  <si>
    <t>CH~SOCIAL_DT~MULTI_PB~FCBK_FM~CARROSSEL_RT~CPM_PD~COMPRAFORA_AWARENESS_CARROSSEL_ROUPAS_1X1_TG~BHVDEM_TS~NONE_SZ~1X1_SOCIAL_MK~BR_IT~SOCIAL_VV~NONE</t>
  </si>
  <si>
    <t>251670474</t>
  </si>
  <si>
    <t>447669065</t>
  </si>
  <si>
    <t>CH~SOCIAL_DT~MULTI_PB~FCBK_FM~GIF_RT~CPM_PD~COMPRAFORA_AWARENESS_GIF_FASHION_1X1_TG~BHVDEM_TS~NONE_SZ~1X1_SOCIAL_MK~BR_IT~SOCIAL_VV~NONE</t>
  </si>
  <si>
    <t>251575567</t>
  </si>
  <si>
    <t>447619137</t>
  </si>
  <si>
    <t>CH~SOCIAL_DT~MULTI_PB~FCBK_FM~GIF_RT~CPM_PD~COMPRAFORA_AWARENESS_GIF_GAMERS_1X1_TG~BHVDEM_TS~NONE_SZ~1X1_SOCIAL_MK~BR_IT~SOCIAL_VV~NONE</t>
  </si>
  <si>
    <t>251575882</t>
  </si>
  <si>
    <t>447619998</t>
  </si>
  <si>
    <t>CH~SOCIAL_DT~MULTI_PB~FCBK_FM~GIF_RT~CPM_PD~COMPRAFORA_AWARENESS_GIF_GRAVIDAS_1X1_TG~BHVDEM_TS~NONE_SZ~1X1_SOCIAL_MK~BR_IT~SOCIAL_VV~NONE</t>
  </si>
  <si>
    <t>251671020</t>
  </si>
  <si>
    <t>447759556</t>
  </si>
  <si>
    <t>CH~SOCIAL_DT~MULTI_PB~FCBK_FM~GIF_RT~CPM_PD~COMPRAFORA_AWARENESS_GIF_ROUPAS_1X1_TG~BHVDEM_TS~NONE_SZ~1X1_SOCIAL_MK~BR_IT~SOCIAL_VV~NONE</t>
  </si>
  <si>
    <t>251274323</t>
  </si>
  <si>
    <t>447759925</t>
  </si>
  <si>
    <t>CH~SOCIAL_DT~MULTI_PB~FCBK_FM~LINKAD_RT~CPM_PD~COMPRAFORA_AWARENESS_LINKAD_FASHION_ATUALIZADO_1X1_TG~BHVDEM_TS~NONE_SZ~1X1_SOCIAL_MK~BR_IT~SOCIAL_VV~NONE</t>
  </si>
  <si>
    <t>251428205</t>
  </si>
  <si>
    <t>447930964</t>
  </si>
  <si>
    <t>CH~SOCIAL_DT~MULTI_PB~FCBK_FM~LINKAD_RT~CPM_PD~COMPRAFORA_AWARENESS_LINKAD_GAMERS_ATUALIZADO_1X1_TG~BHVDEM_TS~NONE_SZ~1X1_SOCIAL_MK~BR_IT~SOCIAL_VV~NONE</t>
  </si>
  <si>
    <t>251435354</t>
  </si>
  <si>
    <t>447935686</t>
  </si>
  <si>
    <t>CH~SOCIAL_DT~MULTI_PB~FCBK_FM~LINKAD_RT~CPM_PD~COMPRAFORA_AWARENESS_LINKAD_GRAVIDAS_ATUALIZADO_1X1_TG~BHVDEM_TS~NONE_SZ~1X1_SOCIAL_MK~BR_IT~SOCIAL_VV~NONE</t>
  </si>
  <si>
    <t>251435357</t>
  </si>
  <si>
    <t>447935443</t>
  </si>
  <si>
    <t>CH~DISPLAY_DT~MOBILE_PB~KAK_FM~BANNER_RT~CPM_PD~CROSSBORDER_BANNER_GOURMET_160X600_160X600_TG~BHVDEM_TS~NONE_SZ~160X600_DISPLAY_MK~BR_IT~DISPLAY_VV~NONE</t>
  </si>
  <si>
    <t>251414580</t>
  </si>
  <si>
    <t>447391455</t>
  </si>
  <si>
    <t>CH~DISPLAY_DT~MOBILE_PB~KAK_FM~BANNER_RT~CPM_PD~CROSSBORDER_BANNER_GOURMET_300X250_300X250_TG~BHVDEM_TS~NONE_SZ~300X250_DISPLAY_MK~BR_IT~DISPLAY_VV~NONE</t>
  </si>
  <si>
    <t>251319922</t>
  </si>
  <si>
    <t>447522973</t>
  </si>
  <si>
    <t>CH~DISPLAY_DT~MOBILE_PB~KAK_FM~BANNER_RT~CPM_PD~CROSSBORDER_BANNER_GOURMET_300X50_300X50_TG~BHVDEM_TS~NONE_SZ~300X50_DISPLAY_MK~BR_IT~DISPLAY_VV~NONE</t>
  </si>
  <si>
    <t>251020868</t>
  </si>
  <si>
    <t>447398079</t>
  </si>
  <si>
    <t>CH~DISPLAY_DT~MOBILE_PB~KAK_FM~BANNER_RT~CPM_PD~CROSSBORDER_BANNER_GOURMET_728X90_728X90_TG~BHVDEM_TS~NONE_SZ~728X90_DISPLAY_MK~BR_IT~DISPLAY_VV~NONE</t>
  </si>
  <si>
    <t>251319550</t>
  </si>
  <si>
    <t>447523234</t>
  </si>
  <si>
    <t>CH~DISPLAY_DT~MOBILE_PB~KAK_FM~BANNER_RT~CPM_PD~CROSSBORDER_BANNER_VIAJANTE_160X600_160X600_TG~BHVDEM_TS~NONE_SZ~160X600_DISPLAY_MK~BR_IT~DISPLAY_VV~NONE</t>
  </si>
  <si>
    <t>251421723</t>
  </si>
  <si>
    <t>447398088</t>
  </si>
  <si>
    <t>CH~DISPLAY_DT~MOBILE_PB~KAK_FM~BANNER_RT~CPM_PD~CROSSBORDER_BANNER_VIAJANTE_300X250_300X250_TG~BHVDEM_TS~NONE_SZ~300X250_DISPLAY_MK~BR_IT~DISPLAY_VV~NONE</t>
  </si>
  <si>
    <t>251020730</t>
  </si>
  <si>
    <t>447440489</t>
  </si>
  <si>
    <t>CH~DISPLAY_DT~MOBILE_PB~KAK_FM~BANNER_RT~CPM_PD~CROSSBORDER_BANNER_VIAJANTE_300X50_300X50_TG~BHVDEM_TS~NONE_SZ~300X50_DISPLAY_MK~BR_IT~DISPLAY_VV~NONE</t>
  </si>
  <si>
    <t>251321683</t>
  </si>
  <si>
    <t>447440507</t>
  </si>
  <si>
    <t>CH~DISPLAY_DT~MOBILE_PB~KAK_FM~BANNER_RT~CPM_PD~CROSSBORDER_BANNER_VIAJANTE_728X90_728X90_TG~BHVDEM_TS~NONE_SZ~728X90_DISPLAY_MK~BR_IT~DISPLAY_VV~NONE</t>
  </si>
  <si>
    <t>251423949</t>
  </si>
  <si>
    <t>447398124</t>
  </si>
  <si>
    <t>CH~DISPLAY_DT~MULTI_PB~GDV_FM~BANNER_RT~CPM_PD~CROSSBORDER_BANNER_GOURMET_DV360_160X600_160X600_TG~BHVDEM_TS~NONE_SZ~160X600_DISPLAY_MK~BR_IT~DISPLAY_VV~NONE</t>
  </si>
  <si>
    <t>251369417</t>
  </si>
  <si>
    <t>447716043</t>
  </si>
  <si>
    <t>CH~DISPLAY_DT~MULTI_PB~GDV_FM~BANNER_RT~CPM_PD~CROSSBORDER_BANNER_GOURMET_DV360_300X250_300X250_TG~BHVDEM_TS~NONE_SZ~300X250_DISPLAY_MK~BR_IT~DISPLAY_VV~NONE</t>
  </si>
  <si>
    <t>251777586</t>
  </si>
  <si>
    <t>447864766</t>
  </si>
  <si>
    <t>CH~DISPLAY_DT~MULTI_PB~GDV_FM~BANNER_RT~CPM_PD~CROSSBORDER_BANNER_GOURMET_DV360_300X50_300X50_TG~BHVDEM_TS~NONE_SZ~300X50_DISPLAY_MK~BR_IT~DISPLAY_VV~NONE</t>
  </si>
  <si>
    <t>251369429</t>
  </si>
  <si>
    <t>447864952</t>
  </si>
  <si>
    <t>CH~DISPLAY_DT~MULTI_PB~GDV_FM~BANNER_RT~CPM_PD~CROSSBORDER_BANNER_GOURMET_DV360_300X600_300X600_TG~BHVDEM_TS~NONE_SZ~300X600_DISPLAY_MK~BR_IT~DISPLAY_VV~NONE</t>
  </si>
  <si>
    <t>251690296</t>
  </si>
  <si>
    <t>447772922</t>
  </si>
  <si>
    <t>CH~DISPLAY_DT~MULTI_PB~GDV_FM~BANNER_RT~CPM_PD~CROSSBORDER_BANNER_GOURMET_DV360_728X90_728X90_TG~BHVDEM_TS~NONE_SZ~728X90_DISPLAY_MK~BR_IT~DISPLAY_VV~NONE</t>
  </si>
  <si>
    <t>251793729</t>
  </si>
  <si>
    <t>447772988</t>
  </si>
  <si>
    <t>CH~DISPLAY_DT~MULTI_PB~GDV_FM~BANNER_RT~CPM_PD~CROSSBORDER_BANNER_VIAJANTE_DV360_160X600_160X600_TG~BHVDEM_TS~NONE_SZ~160X600_DISPLAY_MK~BR_IT~DISPLAY_VV~NONE</t>
  </si>
  <si>
    <t>251794041</t>
  </si>
  <si>
    <t>447865006</t>
  </si>
  <si>
    <t>CH~DISPLAY_DT~MULTI_PB~GDV_FM~BANNER_RT~CPM_PD~CROSSBORDER_BANNER_VIAJANTE_DV360_300X250_300X250_TG~BHVDEM_TS~NONE_SZ~300X250_DISPLAY_MK~BR_IT~DISPLAY_VV~NONE</t>
  </si>
  <si>
    <t>251793786</t>
  </si>
  <si>
    <t>447774620</t>
  </si>
  <si>
    <t>CH~DISPLAY_DT~MULTI_PB~GDV_FM~BANNER_RT~CPM_PD~CROSSBORDER_BANNER_VIAJANTE_DV360_300X50_300X50_TG~BHVDEM_TS~NONE_SZ~300X50_DISPLAY_MK~BR_IT~DISPLAY_VV~NONE</t>
  </si>
  <si>
    <t>251385977</t>
  </si>
  <si>
    <t>447865087</t>
  </si>
  <si>
    <t>CH~DISPLAY_DT~MULTI_PB~GDV_FM~BANNER_RT~CPM_PD~CROSSBORDER_BANNER_VIAJANTE_DV360_300X600_300X600_TG~BHVDEM_TS~NONE_SZ~300X600_DISPLAY_MK~BR_IT~DISPLAY_VV~NONE</t>
  </si>
  <si>
    <t>251795715</t>
  </si>
  <si>
    <t>447865027</t>
  </si>
  <si>
    <t>CH~DISPLAY_DT~MULTI_PB~GDV_FM~BANNER_RT~CPM_PD~CROSSBORDER_BANNER_VIAJANTE_DV360_728X90_728X90_TG~BHVDEM_TS~NONE_SZ~728X90_DISPLAY_MK~BR_IT~DISPLAY_VV~NONE</t>
  </si>
  <si>
    <t>251796870</t>
  </si>
  <si>
    <t>447865114</t>
  </si>
  <si>
    <t>CH~DISPLAY_DT~MULTI_PB~KAK_FM~BANNER_RT~CPM_PD~CROSSBORDER_BANNER_GOURMET_300X600_300X600_TG~BHVDEM_TS~NONE_SZ~300X600_DISPLAY_MK~BR_IT~DISPLAY_VV~NONE</t>
  </si>
  <si>
    <t>251293520</t>
  </si>
  <si>
    <t>447695084</t>
  </si>
  <si>
    <t>CH~DISPLAY_DT~MULTI_PB~KAK_FM~BANNER_RT~CPM_PD~CROSSBORDER_BANNER_VIAJANTE_300X600_300X600_TG~BHVDEM_TS~NONE_SZ~300X600_DISPLAY_MK~BR_IT~DISPLAY_VV~NONE</t>
  </si>
  <si>
    <t>251694816</t>
  </si>
  <si>
    <t>447777235</t>
  </si>
  <si>
    <t>Logan Media</t>
  </si>
  <si>
    <t>CH~DISPLAY_DT~MULTI_PB~LGN_FM~PUSHNOTIFICATION_RT~CPM_PD~CROSSBORDER_PUSHNOTIFICATIOON_LOGAN_320X50_320X50_TG~BHVDEM_TS~NONE_SZ~320X50_DISPLAY_MK~BR_IT~DISPLAY_VV~NONE</t>
  </si>
  <si>
    <t>251591877</t>
  </si>
  <si>
    <t>447564630</t>
  </si>
  <si>
    <t>CH~DISPLAY_DT~MULTI_PB~LGN_FM~PUSHNOTIFICATION_RT~CPM_PD~CROSSBORDER_PUSHNOTIFICATIOON_LOGAN_400X250_400X250_TG~BHVDEM_TS~NONE_SZ~400X250_DISPLAY_MK~BR_IT~DISPLAY_VV~NONE</t>
  </si>
  <si>
    <t>251599506</t>
  </si>
  <si>
    <t>447694447</t>
  </si>
  <si>
    <t>CH~DISPLAY_DT~MULTI_PB~LGN_FM~PUSHNOTIFICATION_RT~CPM_PD~CROSSBORDER_PUSHNOTIFICATIOON_LOGAN_728X90_728X90_TG~BHVDEM_TS~NONE_SZ~728X90_DISPLAY_MK~BR_IT~DISPLAY_VV~NONE</t>
  </si>
  <si>
    <t>251205614</t>
  </si>
  <si>
    <t>447694990</t>
  </si>
  <si>
    <t>CH~DISPLAY_DT~MULTI_PB~LGN_FM~PUSHNOTIFICATION_RT~CPM_PD~CROSSBORDER_PUSHNOTIFICATIOON_LOGAN_72X72_72X72_TG~BHVDEM_TS~NONE_SZ~72X72_DISPLAY_MK~BR_IT~DISPLAY_VV~NONE</t>
  </si>
  <si>
    <t>251502970</t>
  </si>
  <si>
    <t>447694981</t>
  </si>
  <si>
    <t>CH~DISPLAY_DT~MULTI_PB~LGN_FM~PUSHNOTIFICATION_RT~CPM_PD~CROSSBORDER_PUSHNOTIFICATIOON_LOGAN_96X96_96X96_TG~BHVDEM_TS~NONE_SZ~96X96_DISPLAY_MK~BR_IT~DISPLAY_VV~NONE</t>
  </si>
  <si>
    <t>251600400</t>
  </si>
  <si>
    <t>447695155</t>
  </si>
  <si>
    <t>CH~DISPLAY_DT~MULTI_PB~VRZ_FM~NATIVE_ADS_RT~CPC_PD~CROSSBORDER_NATIVE_GOURMET_627X627_627X627_TG~BHVDEM_TS~NONE_SZ~627X627_DISPLAY_MK~BR_IT~DISPLAY_VV~NONE</t>
  </si>
  <si>
    <t>251618365</t>
  </si>
  <si>
    <t>447787279</t>
  </si>
  <si>
    <t>CH~DISPLAY_DT~MULTI_PB~VRZ_FM~NATIVE_ADS_RT~CPC_PD~CROSSBORDER_NATIVE_VIAJANTE_627X627_627X627_TG~BHVDEM_TS~NONE_SZ~627X627_DISPLAY_MK~BR_IT~DISPLAY_VV~NONE</t>
  </si>
  <si>
    <t>251618410</t>
  </si>
  <si>
    <t>447786535</t>
  </si>
  <si>
    <t>CH~DISPLAY_DT~MULTI_PB~VZN_FM~BANNER_RT~CPM_PD~CROSSBORDER_BANNER_GOURMET_VERIZON_160X600_160X600_TG~BHVDEM_TS~NONE_SZ~160X600_DISPLAY_MK~BR_IT~DISPLAY_VV~NONE</t>
  </si>
  <si>
    <t>251358864</t>
  </si>
  <si>
    <t>447378551</t>
  </si>
  <si>
    <t>CH~DISPLAY_DT~MULTI_PB~VZN_FM~BANNER_RT~CPM_PD~CROSSBORDER_BANNER_GOURMET_VERIZON_300X250_300X250_TG~BHVDEM_TS~NONE_SZ~300X250_DISPLAY_MK~BR_IT~DISPLAY_VV~NONE</t>
  </si>
  <si>
    <t>251359164</t>
  </si>
  <si>
    <t>447379001</t>
  </si>
  <si>
    <t>CH~DISPLAY_DT~MULTI_PB~VZN_FM~BANNER_RT~CPM_PD~CROSSBORDER_BANNER_GOURMET_VERIZON_728X90_728X90_TG~BHVDEM_TS~NONE_SZ~728X90_DISPLAY_MK~BR_IT~DISPLAY_VV~NONE</t>
  </si>
  <si>
    <t>251359203</t>
  </si>
  <si>
    <t>447459784</t>
  </si>
  <si>
    <t>CH~DISPLAY_DT~MULTI_PB~VZN_FM~BANNER_RT~CPM_PD~CROSSBORDER_BANNER_GOURMET__VERIZON_300X50_300X50_TG~BHVDEM_TS~NONE_SZ~300X50_DISPLAY_MK~BR_IT~DISPLAY_VV~NONE</t>
  </si>
  <si>
    <t>251358396</t>
  </si>
  <si>
    <t>447459736</t>
  </si>
  <si>
    <t>CH~DISPLAY_DT~MULTI_PB~VZN_FM~BANNER_RT~CPM_PD~CROSSBORDER_BANNER_VIAJANTE_VERIZON_160X600_160X600_TG~BHVDEM_TS~NONE_SZ~160X600_DISPLAY_MK~BR_IT~DISPLAY_VV~NONE</t>
  </si>
  <si>
    <t>251253988</t>
  </si>
  <si>
    <t>447379793</t>
  </si>
  <si>
    <t>CH~DISPLAY_DT~MULTI_PB~VZN_FM~BANNER_RT~CPM_PD~CROSSBORDER_BANNER_VIAJANTE_VERIZON_300X250_300X250_TG~BHVDEM_TS~NONE_SZ~300X250_DISPLAY_MK~BR_IT~DISPLAY_VV~NONE</t>
  </si>
  <si>
    <t>251253994</t>
  </si>
  <si>
    <t>447339303</t>
  </si>
  <si>
    <t>CH~DISPLAY_DT~MULTI_PB~VZN_FM~BANNER_RT~CPM_PD~CROSSBORDER_BANNER_VIAJANTE_VERIZON_300X50_300X50_TG~BHVDEM_TS~NONE_SZ~300X50_DISPLAY_MK~BR_IT~DISPLAY_VV~NONE</t>
  </si>
  <si>
    <t>251359557</t>
  </si>
  <si>
    <t>447338772</t>
  </si>
  <si>
    <t>CH~DISPLAY_DT~MULTI_PB~VZN_FM~BANNER_RT~CPM_PD~CROSSBORDER_BANNER_VIAJANTE_VERIZON_728X90_728X90_TG~BHVDEM_TS~NONE_SZ~728X90_DISPLAY_MK~BR_IT~DISPLAY_VV~NONE</t>
  </si>
  <si>
    <t>251254012</t>
  </si>
  <si>
    <t>447339312</t>
  </si>
  <si>
    <t>kayak.com.br</t>
  </si>
  <si>
    <t>CH~DISPLAY_DT~MULTI_PB~KAK_FM~BANNER_RT~CPM_PD~CROSSBORDER_BANNER_GOURMET_KAYAK_160X600_160X600_TG~BHVDEM_TS~NONE_SZ~160X600_DISPLAY_MK~BR_IT~DISPLAY_VV~NONE</t>
  </si>
  <si>
    <t>251253355</t>
  </si>
  <si>
    <t>447378827</t>
  </si>
  <si>
    <t>CH~DISPLAY_DT~MULTI_PB~KAK_FM~BANNER_RT~CPM_PD~CROSSBORDER_BANNER_GOURMET_KAYAK_300X50_300X50_TG~BHVDEM_TS~NONE_SZ~300X50_DISPLAY_MK~BR_IT~DISPLAY_VV~NONE</t>
  </si>
  <si>
    <t>250955828</t>
  </si>
  <si>
    <t>447378452</t>
  </si>
  <si>
    <t>CH~DISPLAY_DT~MULTI_PB~KAK_FM~BANNER_RT~CPM_PD~CROSSBORDER_BANNER_VIAJANTE_KAYAK_300X50_300X50_TG~BHVDEM_TS~NONE_SZ~300X50_DISPLAY_MK~BR_IT~DISPLAY_VV~NONE</t>
  </si>
  <si>
    <t>251253838</t>
  </si>
  <si>
    <t>447378962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</si>
</sst>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workbookViewId="0">
      <selection activeCell="A2" sqref="A2:J349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53</v>
      </c>
    </row>
    <row r="2" spans="1:11">
      <c r="A2" s="17" t="s">
        <v>241</v>
      </c>
      <c r="B2" s="19" t="s">
        <v>49</v>
      </c>
      <c r="C2" s="19" t="s">
        <v>243</v>
      </c>
      <c r="D2" s="19" t="s">
        <v>244</v>
      </c>
      <c r="E2" s="20" t="s">
        <v>245</v>
      </c>
      <c r="F2" s="19" t="s">
        <v>243</v>
      </c>
      <c r="G2" s="19" t="s">
        <v>246</v>
      </c>
      <c r="H2" s="19" t="s">
        <v>245</v>
      </c>
      <c r="I2">
        <v>1228</v>
      </c>
      <c r="J2">
        <v>21</v>
      </c>
      <c r="K2" s="1"/>
    </row>
    <row r="3" spans="1:11">
      <c r="A3" s="17" t="s">
        <v>241</v>
      </c>
      <c r="B3" s="19" t="s">
        <v>49</v>
      </c>
      <c r="C3" s="19" t="s">
        <v>247</v>
      </c>
      <c r="D3" s="19" t="s">
        <v>248</v>
      </c>
      <c r="E3" s="20" t="s">
        <v>245</v>
      </c>
      <c r="F3" s="19" t="s">
        <v>247</v>
      </c>
      <c r="G3" s="19" t="s">
        <v>249</v>
      </c>
      <c r="H3" s="19" t="s">
        <v>245</v>
      </c>
      <c r="I3">
        <v>1266</v>
      </c>
      <c r="J3">
        <v>20</v>
      </c>
      <c r="K3" s="1"/>
    </row>
    <row r="4" spans="1:11">
      <c r="A4" s="17" t="s">
        <v>241</v>
      </c>
      <c r="B4" s="19" t="s">
        <v>49</v>
      </c>
      <c r="C4" s="19" t="s">
        <v>250</v>
      </c>
      <c r="D4" s="19" t="s">
        <v>251</v>
      </c>
      <c r="E4" s="20" t="s">
        <v>245</v>
      </c>
      <c r="F4" s="19" t="s">
        <v>250</v>
      </c>
      <c r="G4" s="19" t="s">
        <v>252</v>
      </c>
      <c r="H4" s="19" t="s">
        <v>245</v>
      </c>
      <c r="I4">
        <v>1236</v>
      </c>
      <c r="J4">
        <v>16</v>
      </c>
      <c r="K4" s="1"/>
    </row>
    <row r="5" spans="1:11">
      <c r="A5" s="17" t="s">
        <v>241</v>
      </c>
      <c r="B5" s="19" t="s">
        <v>49</v>
      </c>
      <c r="C5" s="19" t="s">
        <v>253</v>
      </c>
      <c r="D5" s="19" t="s">
        <v>254</v>
      </c>
      <c r="E5" s="20" t="s">
        <v>245</v>
      </c>
      <c r="F5" s="19" t="s">
        <v>253</v>
      </c>
      <c r="G5" s="19" t="s">
        <v>255</v>
      </c>
      <c r="H5" s="19" t="s">
        <v>245</v>
      </c>
      <c r="I5">
        <v>1215</v>
      </c>
      <c r="J5">
        <v>43</v>
      </c>
      <c r="K5" s="1"/>
    </row>
    <row r="6" spans="1:11">
      <c r="A6" s="17" t="s">
        <v>241</v>
      </c>
      <c r="B6" s="19" t="s">
        <v>49</v>
      </c>
      <c r="C6" s="19" t="s">
        <v>256</v>
      </c>
      <c r="D6" s="19" t="s">
        <v>257</v>
      </c>
      <c r="E6" s="20" t="s">
        <v>245</v>
      </c>
      <c r="F6" s="19" t="s">
        <v>256</v>
      </c>
      <c r="G6" s="19" t="s">
        <v>258</v>
      </c>
      <c r="H6" s="19" t="s">
        <v>245</v>
      </c>
      <c r="I6">
        <v>78490</v>
      </c>
      <c r="J6">
        <v>726</v>
      </c>
      <c r="K6" s="1"/>
    </row>
    <row r="7" spans="1:11">
      <c r="A7" s="17" t="s">
        <v>241</v>
      </c>
      <c r="B7" s="19" t="s">
        <v>49</v>
      </c>
      <c r="C7" s="19" t="s">
        <v>259</v>
      </c>
      <c r="D7" s="19" t="s">
        <v>260</v>
      </c>
      <c r="E7" s="20" t="s">
        <v>245</v>
      </c>
      <c r="F7" s="19" t="s">
        <v>259</v>
      </c>
      <c r="G7" s="19" t="s">
        <v>261</v>
      </c>
      <c r="H7" s="19" t="s">
        <v>245</v>
      </c>
      <c r="I7">
        <v>1168</v>
      </c>
      <c r="J7">
        <v>9</v>
      </c>
      <c r="K7" s="1"/>
    </row>
    <row r="8" spans="1:11">
      <c r="A8" s="17" t="s">
        <v>241</v>
      </c>
      <c r="B8" s="19" t="s">
        <v>49</v>
      </c>
      <c r="C8" s="19" t="s">
        <v>262</v>
      </c>
      <c r="D8" s="19" t="s">
        <v>263</v>
      </c>
      <c r="E8" s="20" t="s">
        <v>245</v>
      </c>
      <c r="F8" s="19" t="s">
        <v>262</v>
      </c>
      <c r="G8" s="19" t="s">
        <v>264</v>
      </c>
      <c r="H8" s="19" t="s">
        <v>245</v>
      </c>
      <c r="I8">
        <v>1262</v>
      </c>
      <c r="J8">
        <v>12</v>
      </c>
      <c r="K8" s="1"/>
    </row>
    <row r="9" spans="1:11">
      <c r="A9" s="17" t="s">
        <v>241</v>
      </c>
      <c r="B9" s="19" t="s">
        <v>49</v>
      </c>
      <c r="C9" s="19" t="s">
        <v>265</v>
      </c>
      <c r="D9" s="19" t="s">
        <v>266</v>
      </c>
      <c r="E9" s="20" t="s">
        <v>245</v>
      </c>
      <c r="F9" s="19" t="s">
        <v>265</v>
      </c>
      <c r="G9" s="19" t="s">
        <v>267</v>
      </c>
      <c r="H9" s="19" t="s">
        <v>245</v>
      </c>
      <c r="I9">
        <v>162</v>
      </c>
      <c r="J9">
        <v>0</v>
      </c>
      <c r="K9" s="1"/>
    </row>
    <row r="10" spans="1:11">
      <c r="A10" s="17" t="s">
        <v>241</v>
      </c>
      <c r="B10" s="19" t="s">
        <v>49</v>
      </c>
      <c r="C10" s="19" t="s">
        <v>268</v>
      </c>
      <c r="D10" s="19" t="s">
        <v>269</v>
      </c>
      <c r="E10" s="20" t="s">
        <v>245</v>
      </c>
      <c r="F10" s="19" t="s">
        <v>268</v>
      </c>
      <c r="G10" s="19" t="s">
        <v>270</v>
      </c>
      <c r="H10" s="19" t="s">
        <v>245</v>
      </c>
      <c r="I10">
        <v>275</v>
      </c>
      <c r="J10">
        <v>0</v>
      </c>
      <c r="K10" s="1"/>
    </row>
    <row r="11" spans="1:11">
      <c r="A11" s="17" t="s">
        <v>241</v>
      </c>
      <c r="B11" s="19" t="s">
        <v>49</v>
      </c>
      <c r="C11" s="19" t="s">
        <v>271</v>
      </c>
      <c r="D11" s="19" t="s">
        <v>272</v>
      </c>
      <c r="E11" s="20" t="s">
        <v>245</v>
      </c>
      <c r="F11" s="19" t="s">
        <v>271</v>
      </c>
      <c r="G11" s="19" t="s">
        <v>273</v>
      </c>
      <c r="H11" s="19" t="s">
        <v>245</v>
      </c>
      <c r="I11">
        <v>590</v>
      </c>
      <c r="J11">
        <v>0</v>
      </c>
      <c r="K11" s="1"/>
    </row>
    <row r="12" spans="1:11">
      <c r="A12" s="17" t="s">
        <v>241</v>
      </c>
      <c r="B12" s="19" t="s">
        <v>49</v>
      </c>
      <c r="C12" s="19" t="s">
        <v>274</v>
      </c>
      <c r="D12" s="19" t="s">
        <v>275</v>
      </c>
      <c r="E12" s="20" t="s">
        <v>245</v>
      </c>
      <c r="F12" s="19" t="s">
        <v>274</v>
      </c>
      <c r="G12" s="19" t="s">
        <v>276</v>
      </c>
      <c r="H12" s="19" t="s">
        <v>245</v>
      </c>
      <c r="I12">
        <v>587</v>
      </c>
      <c r="J12">
        <v>2</v>
      </c>
      <c r="K12" s="1"/>
    </row>
    <row r="13" spans="1:11">
      <c r="A13" s="17" t="s">
        <v>241</v>
      </c>
      <c r="B13" s="19" t="s">
        <v>49</v>
      </c>
      <c r="C13" s="19" t="s">
        <v>277</v>
      </c>
      <c r="D13" s="19" t="s">
        <v>278</v>
      </c>
      <c r="E13" s="20" t="s">
        <v>245</v>
      </c>
      <c r="F13" s="19" t="s">
        <v>277</v>
      </c>
      <c r="G13" s="19" t="s">
        <v>279</v>
      </c>
      <c r="H13" s="19" t="s">
        <v>245</v>
      </c>
      <c r="I13">
        <v>686820</v>
      </c>
      <c r="J13">
        <v>1405</v>
      </c>
      <c r="K13" s="1"/>
    </row>
    <row r="14" spans="1:11">
      <c r="A14" s="17" t="s">
        <v>241</v>
      </c>
      <c r="B14" s="19" t="s">
        <v>49</v>
      </c>
      <c r="C14" s="19" t="s">
        <v>280</v>
      </c>
      <c r="D14" s="19" t="s">
        <v>281</v>
      </c>
      <c r="E14" s="20" t="s">
        <v>245</v>
      </c>
      <c r="F14" s="19" t="s">
        <v>280</v>
      </c>
      <c r="G14" s="19" t="s">
        <v>282</v>
      </c>
      <c r="H14" s="19" t="s">
        <v>245</v>
      </c>
      <c r="I14">
        <v>686001</v>
      </c>
      <c r="J14">
        <v>1332</v>
      </c>
      <c r="K14" s="1"/>
    </row>
    <row r="15" spans="1:11">
      <c r="A15" s="17" t="s">
        <v>241</v>
      </c>
      <c r="B15" s="19" t="s">
        <v>49</v>
      </c>
      <c r="C15" s="19" t="s">
        <v>283</v>
      </c>
      <c r="D15" s="19" t="s">
        <v>284</v>
      </c>
      <c r="E15" s="20" t="s">
        <v>245</v>
      </c>
      <c r="F15" s="19" t="s">
        <v>283</v>
      </c>
      <c r="G15" s="19" t="s">
        <v>285</v>
      </c>
      <c r="H15" s="19" t="s">
        <v>245</v>
      </c>
      <c r="I15">
        <v>687295</v>
      </c>
      <c r="J15">
        <v>1247</v>
      </c>
      <c r="K15" s="1"/>
    </row>
    <row r="16" spans="1:11">
      <c r="A16" s="17" t="s">
        <v>241</v>
      </c>
      <c r="B16" s="19" t="s">
        <v>49</v>
      </c>
      <c r="C16" s="19" t="s">
        <v>286</v>
      </c>
      <c r="D16" s="19" t="s">
        <v>287</v>
      </c>
      <c r="E16" s="20" t="s">
        <v>245</v>
      </c>
      <c r="F16" s="19" t="s">
        <v>286</v>
      </c>
      <c r="G16" s="19" t="s">
        <v>288</v>
      </c>
      <c r="H16" s="19" t="s">
        <v>245</v>
      </c>
      <c r="I16">
        <v>682407</v>
      </c>
      <c r="J16">
        <v>1607</v>
      </c>
      <c r="K16" s="1"/>
    </row>
    <row r="17" spans="1:11">
      <c r="A17" s="17" t="s">
        <v>241</v>
      </c>
      <c r="B17" s="19" t="s">
        <v>49</v>
      </c>
      <c r="C17" s="19" t="s">
        <v>289</v>
      </c>
      <c r="D17" s="19" t="s">
        <v>290</v>
      </c>
      <c r="E17" s="20" t="s">
        <v>245</v>
      </c>
      <c r="F17" s="19" t="s">
        <v>289</v>
      </c>
      <c r="G17" s="19" t="s">
        <v>291</v>
      </c>
      <c r="H17" s="19" t="s">
        <v>245</v>
      </c>
      <c r="I17">
        <v>6579293</v>
      </c>
      <c r="J17">
        <v>10041</v>
      </c>
      <c r="K17" s="1"/>
    </row>
    <row r="18" spans="1:11">
      <c r="A18" s="17" t="s">
        <v>241</v>
      </c>
      <c r="B18" s="19" t="s">
        <v>49</v>
      </c>
      <c r="C18" s="19" t="s">
        <v>292</v>
      </c>
      <c r="D18" s="19" t="s">
        <v>293</v>
      </c>
      <c r="E18" s="20" t="s">
        <v>245</v>
      </c>
      <c r="F18" s="19" t="s">
        <v>292</v>
      </c>
      <c r="G18" s="19" t="s">
        <v>294</v>
      </c>
      <c r="H18" s="19" t="s">
        <v>245</v>
      </c>
      <c r="I18">
        <v>21822075</v>
      </c>
      <c r="J18">
        <v>39178</v>
      </c>
      <c r="K18" s="1"/>
    </row>
    <row r="19" spans="1:11">
      <c r="A19" s="17" t="s">
        <v>241</v>
      </c>
      <c r="B19" s="19" t="s">
        <v>49</v>
      </c>
      <c r="C19" s="19" t="s">
        <v>295</v>
      </c>
      <c r="D19" s="19" t="s">
        <v>296</v>
      </c>
      <c r="E19" s="20" t="s">
        <v>245</v>
      </c>
      <c r="F19" s="19" t="s">
        <v>295</v>
      </c>
      <c r="G19" s="19" t="s">
        <v>297</v>
      </c>
      <c r="H19" s="19" t="s">
        <v>245</v>
      </c>
      <c r="I19">
        <v>16473649</v>
      </c>
      <c r="J19">
        <v>29946</v>
      </c>
      <c r="K19" s="1"/>
    </row>
    <row r="20" spans="1:11">
      <c r="A20" s="17" t="s">
        <v>241</v>
      </c>
      <c r="B20" s="19" t="s">
        <v>49</v>
      </c>
      <c r="C20" s="19" t="s">
        <v>298</v>
      </c>
      <c r="D20" s="19" t="s">
        <v>299</v>
      </c>
      <c r="E20" s="20" t="s">
        <v>245</v>
      </c>
      <c r="F20" s="19" t="s">
        <v>298</v>
      </c>
      <c r="G20" s="19" t="s">
        <v>300</v>
      </c>
      <c r="H20" s="19" t="s">
        <v>245</v>
      </c>
      <c r="I20">
        <v>3345</v>
      </c>
      <c r="J20">
        <v>5</v>
      </c>
      <c r="K20" s="1"/>
    </row>
    <row r="21" spans="1:11">
      <c r="A21" s="17" t="s">
        <v>241</v>
      </c>
      <c r="B21" s="19" t="s">
        <v>49</v>
      </c>
      <c r="C21" s="19" t="s">
        <v>301</v>
      </c>
      <c r="D21" s="19" t="s">
        <v>302</v>
      </c>
      <c r="E21" s="20" t="s">
        <v>245</v>
      </c>
      <c r="F21" s="19" t="s">
        <v>301</v>
      </c>
      <c r="G21" s="19" t="s">
        <v>303</v>
      </c>
      <c r="H21" s="19" t="s">
        <v>245</v>
      </c>
      <c r="I21">
        <v>3312</v>
      </c>
      <c r="J21">
        <v>2</v>
      </c>
      <c r="K21" s="1"/>
    </row>
    <row r="22" spans="1:11">
      <c r="A22" s="17" t="s">
        <v>241</v>
      </c>
      <c r="B22" s="19" t="s">
        <v>49</v>
      </c>
      <c r="C22" s="19" t="s">
        <v>304</v>
      </c>
      <c r="D22" s="19" t="s">
        <v>305</v>
      </c>
      <c r="E22" s="20" t="s">
        <v>245</v>
      </c>
      <c r="F22" s="19" t="s">
        <v>304</v>
      </c>
      <c r="G22" s="19" t="s">
        <v>306</v>
      </c>
      <c r="H22" s="19" t="s">
        <v>245</v>
      </c>
      <c r="I22">
        <v>3315</v>
      </c>
      <c r="J22">
        <v>2</v>
      </c>
      <c r="K22" s="1"/>
    </row>
    <row r="23" spans="1:11">
      <c r="A23" s="17" t="s">
        <v>241</v>
      </c>
      <c r="B23" s="19" t="s">
        <v>49</v>
      </c>
      <c r="C23" s="19" t="s">
        <v>307</v>
      </c>
      <c r="D23" s="19" t="s">
        <v>308</v>
      </c>
      <c r="E23" s="20" t="s">
        <v>245</v>
      </c>
      <c r="F23" s="19" t="s">
        <v>307</v>
      </c>
      <c r="G23" s="19" t="s">
        <v>309</v>
      </c>
      <c r="H23" s="19" t="s">
        <v>245</v>
      </c>
      <c r="I23">
        <v>3390</v>
      </c>
      <c r="J23">
        <v>10</v>
      </c>
      <c r="K23" s="1"/>
    </row>
    <row r="24" spans="1:11">
      <c r="A24" s="17" t="s">
        <v>241</v>
      </c>
      <c r="B24" s="19" t="s">
        <v>49</v>
      </c>
      <c r="C24" s="19" t="s">
        <v>310</v>
      </c>
      <c r="D24" s="19" t="s">
        <v>311</v>
      </c>
      <c r="E24" s="20" t="s">
        <v>245</v>
      </c>
      <c r="F24" s="19" t="s">
        <v>310</v>
      </c>
      <c r="G24" s="19" t="s">
        <v>312</v>
      </c>
      <c r="H24" s="19" t="s">
        <v>245</v>
      </c>
      <c r="I24">
        <v>131797</v>
      </c>
      <c r="J24">
        <v>164</v>
      </c>
      <c r="K24" s="1"/>
    </row>
    <row r="25" spans="1:11">
      <c r="A25" s="17" t="s">
        <v>241</v>
      </c>
      <c r="B25" s="19" t="s">
        <v>49</v>
      </c>
      <c r="C25" s="19" t="s">
        <v>313</v>
      </c>
      <c r="D25" s="19" t="s">
        <v>314</v>
      </c>
      <c r="E25" s="20" t="s">
        <v>245</v>
      </c>
      <c r="F25" s="19" t="s">
        <v>313</v>
      </c>
      <c r="G25" s="19" t="s">
        <v>315</v>
      </c>
      <c r="H25" s="19" t="s">
        <v>245</v>
      </c>
      <c r="I25">
        <v>18075</v>
      </c>
      <c r="J25">
        <v>24</v>
      </c>
      <c r="K25" s="1"/>
    </row>
    <row r="26" spans="1:11">
      <c r="A26" s="17" t="s">
        <v>241</v>
      </c>
      <c r="B26" s="19" t="s">
        <v>49</v>
      </c>
      <c r="C26" s="19" t="s">
        <v>316</v>
      </c>
      <c r="D26" s="19" t="s">
        <v>317</v>
      </c>
      <c r="E26" s="20" t="s">
        <v>245</v>
      </c>
      <c r="F26" s="19" t="s">
        <v>316</v>
      </c>
      <c r="G26" s="19" t="s">
        <v>318</v>
      </c>
      <c r="H26" s="19" t="s">
        <v>245</v>
      </c>
      <c r="I26">
        <v>70221</v>
      </c>
      <c r="J26">
        <v>86</v>
      </c>
      <c r="K26" s="1"/>
    </row>
    <row r="27" spans="1:11">
      <c r="A27" s="17" t="s">
        <v>241</v>
      </c>
      <c r="B27" s="19" t="s">
        <v>49</v>
      </c>
      <c r="C27" s="19" t="s">
        <v>319</v>
      </c>
      <c r="D27" s="19" t="s">
        <v>320</v>
      </c>
      <c r="E27" s="20" t="s">
        <v>245</v>
      </c>
      <c r="F27" s="19" t="s">
        <v>319</v>
      </c>
      <c r="G27" s="19" t="s">
        <v>321</v>
      </c>
      <c r="H27" s="19" t="s">
        <v>245</v>
      </c>
      <c r="I27">
        <v>21150</v>
      </c>
      <c r="J27">
        <v>485</v>
      </c>
      <c r="K27" s="1"/>
    </row>
    <row r="28" spans="1:11">
      <c r="A28" s="17" t="s">
        <v>241</v>
      </c>
      <c r="B28" s="19" t="s">
        <v>49</v>
      </c>
      <c r="C28" s="19" t="s">
        <v>322</v>
      </c>
      <c r="D28" s="19" t="s">
        <v>323</v>
      </c>
      <c r="E28" s="20" t="s">
        <v>245</v>
      </c>
      <c r="F28" s="19" t="s">
        <v>322</v>
      </c>
      <c r="G28" s="19" t="s">
        <v>324</v>
      </c>
      <c r="H28" s="19" t="s">
        <v>245</v>
      </c>
      <c r="I28">
        <v>38997</v>
      </c>
      <c r="J28">
        <v>809</v>
      </c>
      <c r="K28" s="1"/>
    </row>
    <row r="29" spans="1:11">
      <c r="A29" s="17" t="s">
        <v>241</v>
      </c>
      <c r="B29" s="19" t="s">
        <v>49</v>
      </c>
      <c r="C29" s="19" t="s">
        <v>325</v>
      </c>
      <c r="D29" s="19" t="s">
        <v>326</v>
      </c>
      <c r="E29" s="20" t="s">
        <v>245</v>
      </c>
      <c r="F29" s="19" t="s">
        <v>325</v>
      </c>
      <c r="G29" s="19" t="s">
        <v>327</v>
      </c>
      <c r="H29" s="19" t="s">
        <v>245</v>
      </c>
      <c r="I29">
        <v>25900</v>
      </c>
      <c r="J29">
        <v>537</v>
      </c>
      <c r="K29" s="1"/>
    </row>
    <row r="30" spans="1:11">
      <c r="A30" s="17" t="s">
        <v>241</v>
      </c>
      <c r="B30" s="19" t="s">
        <v>49</v>
      </c>
      <c r="C30" s="19" t="s">
        <v>328</v>
      </c>
      <c r="D30" s="19" t="s">
        <v>329</v>
      </c>
      <c r="E30" s="20" t="s">
        <v>245</v>
      </c>
      <c r="F30" s="19" t="s">
        <v>328</v>
      </c>
      <c r="G30" s="19" t="s">
        <v>330</v>
      </c>
      <c r="H30" s="19" t="s">
        <v>245</v>
      </c>
      <c r="I30">
        <v>80165</v>
      </c>
      <c r="J30">
        <v>1159</v>
      </c>
      <c r="K30" s="1"/>
    </row>
    <row r="31" spans="1:11">
      <c r="A31" s="17" t="s">
        <v>241</v>
      </c>
      <c r="B31" s="19" t="s">
        <v>49</v>
      </c>
      <c r="C31" s="19" t="s">
        <v>331</v>
      </c>
      <c r="D31" s="19" t="s">
        <v>332</v>
      </c>
      <c r="E31" s="20" t="s">
        <v>245</v>
      </c>
      <c r="F31" s="19" t="s">
        <v>331</v>
      </c>
      <c r="G31" s="19" t="s">
        <v>333</v>
      </c>
      <c r="H31" s="19" t="s">
        <v>245</v>
      </c>
      <c r="I31">
        <v>2965</v>
      </c>
      <c r="J31">
        <v>37</v>
      </c>
      <c r="K31" s="1"/>
    </row>
    <row r="32" spans="1:11">
      <c r="A32" s="17" t="s">
        <v>241</v>
      </c>
      <c r="B32" s="19" t="s">
        <v>49</v>
      </c>
      <c r="C32" s="19" t="s">
        <v>334</v>
      </c>
      <c r="D32" s="19" t="s">
        <v>335</v>
      </c>
      <c r="E32" s="20" t="s">
        <v>245</v>
      </c>
      <c r="F32" s="19" t="s">
        <v>334</v>
      </c>
      <c r="G32" s="19" t="s">
        <v>336</v>
      </c>
      <c r="H32" s="19" t="s">
        <v>245</v>
      </c>
      <c r="I32">
        <v>2959</v>
      </c>
      <c r="J32">
        <v>55</v>
      </c>
      <c r="K32" s="1"/>
    </row>
    <row r="33" spans="1:11">
      <c r="A33" s="17" t="s">
        <v>241</v>
      </c>
      <c r="B33" s="19" t="s">
        <v>337</v>
      </c>
      <c r="C33" s="19" t="s">
        <v>338</v>
      </c>
      <c r="D33" s="19" t="s">
        <v>339</v>
      </c>
      <c r="E33" s="20" t="s">
        <v>32</v>
      </c>
      <c r="F33" s="19" t="s">
        <v>338</v>
      </c>
      <c r="G33" s="19" t="s">
        <v>340</v>
      </c>
      <c r="H33" s="19" t="s">
        <v>32</v>
      </c>
      <c r="I33">
        <v>0</v>
      </c>
      <c r="J33">
        <v>293</v>
      </c>
      <c r="K33" s="1"/>
    </row>
    <row r="34" spans="1:11">
      <c r="A34" s="17" t="s">
        <v>56</v>
      </c>
      <c r="B34" s="19" t="s">
        <v>50</v>
      </c>
      <c r="C34" s="19" t="s">
        <v>341</v>
      </c>
      <c r="D34" s="19" t="s">
        <v>342</v>
      </c>
      <c r="E34" s="20" t="s">
        <v>32</v>
      </c>
      <c r="F34" s="19" t="s">
        <v>341</v>
      </c>
      <c r="G34" s="19" t="s">
        <v>343</v>
      </c>
      <c r="H34" s="19" t="s">
        <v>32</v>
      </c>
      <c r="I34">
        <v>0</v>
      </c>
      <c r="J34">
        <v>673</v>
      </c>
      <c r="K34" s="1"/>
    </row>
    <row r="35" spans="1:11">
      <c r="A35" s="17" t="s">
        <v>56</v>
      </c>
      <c r="B35" s="19" t="s">
        <v>50</v>
      </c>
      <c r="C35" s="19" t="s">
        <v>162</v>
      </c>
      <c r="D35" s="19" t="s">
        <v>163</v>
      </c>
      <c r="E35" s="20" t="s">
        <v>32</v>
      </c>
      <c r="F35" s="19" t="s">
        <v>162</v>
      </c>
      <c r="G35" s="19" t="s">
        <v>164</v>
      </c>
      <c r="H35" s="19" t="s">
        <v>32</v>
      </c>
      <c r="I35">
        <v>0</v>
      </c>
      <c r="J35">
        <v>4905</v>
      </c>
      <c r="K35" s="1"/>
    </row>
    <row r="36" spans="1:11">
      <c r="A36" s="17" t="s">
        <v>56</v>
      </c>
      <c r="B36" s="19" t="s">
        <v>50</v>
      </c>
      <c r="C36" s="19" t="s">
        <v>57</v>
      </c>
      <c r="D36" s="19" t="s">
        <v>58</v>
      </c>
      <c r="E36" s="20" t="s">
        <v>32</v>
      </c>
      <c r="F36" s="19" t="s">
        <v>57</v>
      </c>
      <c r="G36" s="19" t="s">
        <v>59</v>
      </c>
      <c r="H36" s="19" t="s">
        <v>32</v>
      </c>
      <c r="I36">
        <v>0</v>
      </c>
      <c r="J36">
        <v>33</v>
      </c>
      <c r="K36" s="1"/>
    </row>
    <row r="37" spans="1:11">
      <c r="A37" s="17" t="s">
        <v>56</v>
      </c>
      <c r="B37" s="19" t="s">
        <v>50</v>
      </c>
      <c r="C37" s="19" t="s">
        <v>165</v>
      </c>
      <c r="D37" s="19" t="s">
        <v>166</v>
      </c>
      <c r="E37" s="20" t="s">
        <v>32</v>
      </c>
      <c r="F37" s="19" t="s">
        <v>165</v>
      </c>
      <c r="G37" s="19" t="s">
        <v>167</v>
      </c>
      <c r="H37" s="19" t="s">
        <v>32</v>
      </c>
      <c r="I37">
        <v>0</v>
      </c>
      <c r="J37">
        <v>7</v>
      </c>
      <c r="K37" s="1"/>
    </row>
    <row r="38" spans="1:11">
      <c r="A38" s="17" t="s">
        <v>56</v>
      </c>
      <c r="B38" s="19" t="s">
        <v>50</v>
      </c>
      <c r="C38" s="19" t="s">
        <v>168</v>
      </c>
      <c r="D38" s="19" t="s">
        <v>169</v>
      </c>
      <c r="E38" s="20" t="s">
        <v>32</v>
      </c>
      <c r="F38" s="19" t="s">
        <v>168</v>
      </c>
      <c r="G38" s="19" t="s">
        <v>170</v>
      </c>
      <c r="H38" s="19" t="s">
        <v>32</v>
      </c>
      <c r="I38">
        <v>0</v>
      </c>
      <c r="J38">
        <v>17828</v>
      </c>
      <c r="K38" s="1"/>
    </row>
    <row r="39" spans="1:11">
      <c r="A39" s="17" t="s">
        <v>56</v>
      </c>
      <c r="B39" s="19" t="s">
        <v>50</v>
      </c>
      <c r="C39" s="19" t="s">
        <v>171</v>
      </c>
      <c r="D39" s="19" t="s">
        <v>172</v>
      </c>
      <c r="E39" s="20" t="s">
        <v>32</v>
      </c>
      <c r="F39" s="19" t="s">
        <v>171</v>
      </c>
      <c r="G39" s="19" t="s">
        <v>173</v>
      </c>
      <c r="H39" s="19" t="s">
        <v>32</v>
      </c>
      <c r="I39">
        <v>0</v>
      </c>
      <c r="J39">
        <v>1278</v>
      </c>
      <c r="K39" s="1"/>
    </row>
    <row r="40" spans="1:11">
      <c r="A40" s="17" t="s">
        <v>56</v>
      </c>
      <c r="B40" s="19" t="s">
        <v>50</v>
      </c>
      <c r="C40" s="19" t="s">
        <v>96</v>
      </c>
      <c r="D40" s="19" t="s">
        <v>97</v>
      </c>
      <c r="E40" s="20" t="s">
        <v>32</v>
      </c>
      <c r="F40" s="19" t="s">
        <v>96</v>
      </c>
      <c r="G40" s="19" t="s">
        <v>98</v>
      </c>
      <c r="H40" s="19" t="s">
        <v>32</v>
      </c>
      <c r="I40">
        <v>0</v>
      </c>
      <c r="J40">
        <v>1</v>
      </c>
      <c r="K40" s="1"/>
    </row>
    <row r="41" spans="1:11">
      <c r="A41" s="17" t="s">
        <v>56</v>
      </c>
      <c r="B41" s="19" t="s">
        <v>50</v>
      </c>
      <c r="C41" s="19" t="s">
        <v>174</v>
      </c>
      <c r="D41" s="19" t="s">
        <v>175</v>
      </c>
      <c r="E41" s="20" t="s">
        <v>32</v>
      </c>
      <c r="F41" s="19" t="s">
        <v>174</v>
      </c>
      <c r="G41" s="19" t="s">
        <v>176</v>
      </c>
      <c r="H41" s="19" t="s">
        <v>32</v>
      </c>
      <c r="I41">
        <v>0</v>
      </c>
      <c r="J41">
        <v>1</v>
      </c>
      <c r="K41" s="1"/>
    </row>
    <row r="42" spans="1:11">
      <c r="A42" s="17" t="s">
        <v>56</v>
      </c>
      <c r="B42" s="19" t="s">
        <v>50</v>
      </c>
      <c r="C42" s="19" t="s">
        <v>177</v>
      </c>
      <c r="D42" s="19" t="s">
        <v>178</v>
      </c>
      <c r="E42" s="20" t="s">
        <v>32</v>
      </c>
      <c r="F42" s="19" t="s">
        <v>177</v>
      </c>
      <c r="G42" s="19" t="s">
        <v>179</v>
      </c>
      <c r="H42" s="19" t="s">
        <v>32</v>
      </c>
      <c r="I42">
        <v>0</v>
      </c>
      <c r="J42">
        <v>2</v>
      </c>
      <c r="K42" s="1"/>
    </row>
    <row r="43" spans="1:11">
      <c r="A43" s="17" t="s">
        <v>56</v>
      </c>
      <c r="B43" s="19" t="s">
        <v>50</v>
      </c>
      <c r="C43" s="19" t="s">
        <v>551</v>
      </c>
      <c r="D43" s="19" t="s">
        <v>552</v>
      </c>
      <c r="E43" s="20" t="s">
        <v>32</v>
      </c>
      <c r="F43" s="19" t="s">
        <v>551</v>
      </c>
      <c r="G43" s="19" t="s">
        <v>553</v>
      </c>
      <c r="H43" s="19" t="s">
        <v>32</v>
      </c>
      <c r="I43">
        <v>0</v>
      </c>
      <c r="J43">
        <v>1</v>
      </c>
      <c r="K43" s="1"/>
    </row>
    <row r="44" spans="1:11">
      <c r="A44" s="17" t="s">
        <v>56</v>
      </c>
      <c r="B44" s="19" t="s">
        <v>50</v>
      </c>
      <c r="C44" s="19" t="s">
        <v>60</v>
      </c>
      <c r="D44" s="19" t="s">
        <v>61</v>
      </c>
      <c r="E44" s="20" t="s">
        <v>32</v>
      </c>
      <c r="F44" s="19" t="s">
        <v>60</v>
      </c>
      <c r="G44" s="19" t="s">
        <v>62</v>
      </c>
      <c r="H44" s="19" t="s">
        <v>32</v>
      </c>
      <c r="I44">
        <v>0</v>
      </c>
      <c r="J44">
        <v>23</v>
      </c>
      <c r="K44" s="1"/>
    </row>
    <row r="45" spans="1:11">
      <c r="A45" s="17" t="s">
        <v>56</v>
      </c>
      <c r="B45" s="19" t="s">
        <v>242</v>
      </c>
      <c r="C45" s="19" t="s">
        <v>554</v>
      </c>
      <c r="D45" s="19" t="s">
        <v>555</v>
      </c>
      <c r="E45" s="20" t="s">
        <v>32</v>
      </c>
      <c r="F45" s="19" t="s">
        <v>554</v>
      </c>
      <c r="G45" s="19" t="s">
        <v>556</v>
      </c>
      <c r="H45" s="19" t="s">
        <v>32</v>
      </c>
      <c r="I45">
        <v>0</v>
      </c>
      <c r="J45">
        <v>1</v>
      </c>
      <c r="K45" s="1"/>
    </row>
    <row r="46" spans="1:11">
      <c r="A46" s="17" t="s">
        <v>56</v>
      </c>
      <c r="B46" s="19" t="s">
        <v>242</v>
      </c>
      <c r="C46" s="19" t="s">
        <v>557</v>
      </c>
      <c r="D46" s="19" t="s">
        <v>558</v>
      </c>
      <c r="E46" s="20" t="s">
        <v>32</v>
      </c>
      <c r="F46" s="19" t="s">
        <v>557</v>
      </c>
      <c r="G46" s="19" t="s">
        <v>559</v>
      </c>
      <c r="H46" s="19" t="s">
        <v>32</v>
      </c>
      <c r="I46">
        <v>0</v>
      </c>
      <c r="J46">
        <v>1</v>
      </c>
      <c r="K46" s="1"/>
    </row>
    <row r="47" spans="1:11">
      <c r="A47" s="17" t="s">
        <v>56</v>
      </c>
      <c r="B47" s="19" t="s">
        <v>242</v>
      </c>
      <c r="C47" s="19" t="s">
        <v>560</v>
      </c>
      <c r="D47" s="19" t="s">
        <v>561</v>
      </c>
      <c r="E47" s="20" t="s">
        <v>32</v>
      </c>
      <c r="F47" s="19" t="s">
        <v>560</v>
      </c>
      <c r="G47" s="19" t="s">
        <v>562</v>
      </c>
      <c r="H47" s="19" t="s">
        <v>32</v>
      </c>
      <c r="I47">
        <v>0</v>
      </c>
      <c r="J47">
        <v>1</v>
      </c>
      <c r="K47" s="1"/>
    </row>
    <row r="48" spans="1:11">
      <c r="A48" s="17" t="s">
        <v>56</v>
      </c>
      <c r="B48" s="19" t="s">
        <v>242</v>
      </c>
      <c r="C48" s="19" t="s">
        <v>563</v>
      </c>
      <c r="D48" s="19" t="s">
        <v>564</v>
      </c>
      <c r="E48" s="20" t="s">
        <v>32</v>
      </c>
      <c r="F48" s="19" t="s">
        <v>563</v>
      </c>
      <c r="G48" s="19" t="s">
        <v>565</v>
      </c>
      <c r="H48" s="19" t="s">
        <v>32</v>
      </c>
      <c r="I48">
        <v>0</v>
      </c>
      <c r="J48">
        <v>1</v>
      </c>
      <c r="K48" s="1"/>
    </row>
    <row r="49" spans="1:11">
      <c r="A49" s="17" t="s">
        <v>56</v>
      </c>
      <c r="B49" s="19" t="s">
        <v>49</v>
      </c>
      <c r="C49" s="19" t="s">
        <v>566</v>
      </c>
      <c r="D49" s="19" t="s">
        <v>567</v>
      </c>
      <c r="E49" s="20" t="s">
        <v>12</v>
      </c>
      <c r="F49" s="19" t="s">
        <v>566</v>
      </c>
      <c r="G49" s="19" t="s">
        <v>568</v>
      </c>
      <c r="H49" s="19" t="s">
        <v>31</v>
      </c>
      <c r="I49">
        <v>1</v>
      </c>
      <c r="J49">
        <v>1</v>
      </c>
      <c r="K49" s="1"/>
    </row>
    <row r="50" spans="1:11">
      <c r="A50" s="17" t="s">
        <v>56</v>
      </c>
      <c r="B50" s="19" t="s">
        <v>49</v>
      </c>
      <c r="C50" s="19" t="s">
        <v>569</v>
      </c>
      <c r="D50" s="19" t="s">
        <v>570</v>
      </c>
      <c r="E50" s="20" t="s">
        <v>12</v>
      </c>
      <c r="F50" s="19" t="s">
        <v>569</v>
      </c>
      <c r="G50" s="19" t="s">
        <v>571</v>
      </c>
      <c r="H50" s="19" t="s">
        <v>31</v>
      </c>
      <c r="I50">
        <v>1</v>
      </c>
      <c r="J50">
        <v>1</v>
      </c>
      <c r="K50" s="1"/>
    </row>
    <row r="51" spans="1:11">
      <c r="A51" s="17" t="s">
        <v>56</v>
      </c>
      <c r="B51" s="19" t="s">
        <v>49</v>
      </c>
      <c r="C51" s="19" t="s">
        <v>572</v>
      </c>
      <c r="D51" s="19" t="s">
        <v>573</v>
      </c>
      <c r="E51" s="20" t="s">
        <v>12</v>
      </c>
      <c r="F51" s="19" t="s">
        <v>572</v>
      </c>
      <c r="G51" s="19" t="s">
        <v>574</v>
      </c>
      <c r="H51" s="19" t="s">
        <v>31</v>
      </c>
      <c r="I51">
        <v>161814</v>
      </c>
      <c r="J51">
        <v>718</v>
      </c>
      <c r="K51" s="1"/>
    </row>
    <row r="52" spans="1:11">
      <c r="A52" s="17" t="s">
        <v>56</v>
      </c>
      <c r="B52" s="19" t="s">
        <v>49</v>
      </c>
      <c r="C52" s="19" t="s">
        <v>575</v>
      </c>
      <c r="D52" s="19" t="s">
        <v>576</v>
      </c>
      <c r="E52" s="20" t="s">
        <v>12</v>
      </c>
      <c r="F52" s="19" t="s">
        <v>575</v>
      </c>
      <c r="G52" s="19" t="s">
        <v>577</v>
      </c>
      <c r="H52" s="19" t="s">
        <v>31</v>
      </c>
      <c r="I52">
        <v>393589</v>
      </c>
      <c r="J52">
        <v>1742</v>
      </c>
      <c r="K52" s="1"/>
    </row>
    <row r="53" spans="1:11">
      <c r="A53" s="17" t="s">
        <v>56</v>
      </c>
      <c r="B53" s="19" t="s">
        <v>49</v>
      </c>
      <c r="C53" s="19" t="s">
        <v>578</v>
      </c>
      <c r="D53" s="19" t="s">
        <v>579</v>
      </c>
      <c r="E53" s="20" t="s">
        <v>11</v>
      </c>
      <c r="F53" s="19" t="s">
        <v>580</v>
      </c>
      <c r="G53" s="19" t="s">
        <v>581</v>
      </c>
      <c r="H53" s="19" t="s">
        <v>31</v>
      </c>
      <c r="I53">
        <v>1</v>
      </c>
      <c r="J53">
        <v>0</v>
      </c>
      <c r="K53" s="1"/>
    </row>
    <row r="54" spans="1:11">
      <c r="A54" s="17" t="s">
        <v>56</v>
      </c>
      <c r="B54" s="19" t="s">
        <v>49</v>
      </c>
      <c r="C54" s="19" t="s">
        <v>578</v>
      </c>
      <c r="D54" s="19" t="s">
        <v>579</v>
      </c>
      <c r="E54" s="20" t="s">
        <v>12</v>
      </c>
      <c r="F54" s="19" t="s">
        <v>578</v>
      </c>
      <c r="G54" s="19" t="s">
        <v>582</v>
      </c>
      <c r="H54" s="19" t="s">
        <v>31</v>
      </c>
      <c r="I54">
        <v>29787692</v>
      </c>
      <c r="J54">
        <v>329664</v>
      </c>
      <c r="K54" s="1"/>
    </row>
    <row r="55" spans="1:11">
      <c r="A55" s="17" t="s">
        <v>56</v>
      </c>
      <c r="B55" s="19" t="s">
        <v>49</v>
      </c>
      <c r="C55" s="19" t="s">
        <v>583</v>
      </c>
      <c r="D55" s="19" t="s">
        <v>584</v>
      </c>
      <c r="E55" s="20" t="s">
        <v>12</v>
      </c>
      <c r="F55" s="19" t="s">
        <v>583</v>
      </c>
      <c r="G55" s="19" t="s">
        <v>585</v>
      </c>
      <c r="H55" s="19" t="s">
        <v>31</v>
      </c>
      <c r="I55">
        <v>401123</v>
      </c>
      <c r="J55">
        <v>2692</v>
      </c>
      <c r="K55" s="1"/>
    </row>
    <row r="56" spans="1:11">
      <c r="A56" s="17" t="s">
        <v>56</v>
      </c>
      <c r="B56" s="19" t="s">
        <v>49</v>
      </c>
      <c r="C56" s="19" t="s">
        <v>586</v>
      </c>
      <c r="D56" s="19" t="s">
        <v>587</v>
      </c>
      <c r="E56" s="20" t="s">
        <v>12</v>
      </c>
      <c r="F56" s="19" t="s">
        <v>586</v>
      </c>
      <c r="G56" s="19" t="s">
        <v>588</v>
      </c>
      <c r="H56" s="19" t="s">
        <v>31</v>
      </c>
      <c r="I56">
        <v>3503117</v>
      </c>
      <c r="J56">
        <v>63428</v>
      </c>
      <c r="K56" s="1"/>
    </row>
    <row r="57" spans="1:11">
      <c r="A57" s="17" t="s">
        <v>56</v>
      </c>
      <c r="B57" s="19" t="s">
        <v>49</v>
      </c>
      <c r="C57" s="19" t="s">
        <v>586</v>
      </c>
      <c r="D57" s="19" t="s">
        <v>587</v>
      </c>
      <c r="E57" s="20" t="s">
        <v>12</v>
      </c>
      <c r="F57" s="19" t="s">
        <v>589</v>
      </c>
      <c r="G57" s="19" t="s">
        <v>590</v>
      </c>
      <c r="H57" s="19" t="s">
        <v>31</v>
      </c>
      <c r="I57">
        <v>3510996</v>
      </c>
      <c r="J57">
        <v>63822</v>
      </c>
      <c r="K57" s="1"/>
    </row>
    <row r="58" spans="1:11">
      <c r="A58" s="17" t="s">
        <v>56</v>
      </c>
      <c r="B58" s="19" t="s">
        <v>49</v>
      </c>
      <c r="C58" s="19" t="s">
        <v>591</v>
      </c>
      <c r="D58" s="19" t="s">
        <v>592</v>
      </c>
      <c r="E58" s="20" t="s">
        <v>11</v>
      </c>
      <c r="F58" s="19" t="s">
        <v>593</v>
      </c>
      <c r="G58" s="19" t="s">
        <v>594</v>
      </c>
      <c r="H58" s="19" t="s">
        <v>31</v>
      </c>
      <c r="I58">
        <v>14</v>
      </c>
      <c r="J58">
        <v>0</v>
      </c>
      <c r="K58" s="1"/>
    </row>
    <row r="59" spans="1:11">
      <c r="A59" s="17" t="s">
        <v>56</v>
      </c>
      <c r="B59" s="19" t="s">
        <v>49</v>
      </c>
      <c r="C59" s="19" t="s">
        <v>591</v>
      </c>
      <c r="D59" s="19" t="s">
        <v>592</v>
      </c>
      <c r="E59" s="20" t="s">
        <v>12</v>
      </c>
      <c r="F59" s="19" t="s">
        <v>591</v>
      </c>
      <c r="G59" s="19" t="s">
        <v>595</v>
      </c>
      <c r="H59" s="19" t="s">
        <v>31</v>
      </c>
      <c r="I59">
        <v>233164186</v>
      </c>
      <c r="J59">
        <v>1717631</v>
      </c>
      <c r="K59" s="1"/>
    </row>
    <row r="60" spans="1:11">
      <c r="A60" s="17" t="s">
        <v>56</v>
      </c>
      <c r="B60" s="19" t="s">
        <v>49</v>
      </c>
      <c r="C60" s="19" t="s">
        <v>596</v>
      </c>
      <c r="D60" s="19" t="s">
        <v>597</v>
      </c>
      <c r="E60" s="20" t="s">
        <v>12</v>
      </c>
      <c r="F60" s="19" t="s">
        <v>596</v>
      </c>
      <c r="G60" s="19" t="s">
        <v>598</v>
      </c>
      <c r="H60" s="19" t="s">
        <v>31</v>
      </c>
      <c r="I60">
        <v>3483466</v>
      </c>
      <c r="J60">
        <v>33252</v>
      </c>
      <c r="K60" s="1"/>
    </row>
    <row r="61" spans="1:11">
      <c r="A61" s="17" t="s">
        <v>56</v>
      </c>
      <c r="B61" s="19" t="s">
        <v>49</v>
      </c>
      <c r="C61" s="19" t="s">
        <v>599</v>
      </c>
      <c r="D61" s="19" t="s">
        <v>600</v>
      </c>
      <c r="E61" s="20" t="s">
        <v>12</v>
      </c>
      <c r="F61" s="19" t="s">
        <v>599</v>
      </c>
      <c r="G61" s="19" t="s">
        <v>601</v>
      </c>
      <c r="H61" s="19" t="s">
        <v>31</v>
      </c>
      <c r="I61">
        <v>531253</v>
      </c>
      <c r="J61">
        <v>6456</v>
      </c>
      <c r="K61" s="1"/>
    </row>
    <row r="62" spans="1:11">
      <c r="A62" s="17" t="s">
        <v>56</v>
      </c>
      <c r="B62" s="19" t="s">
        <v>49</v>
      </c>
      <c r="C62" s="19" t="s">
        <v>602</v>
      </c>
      <c r="D62" s="19" t="s">
        <v>603</v>
      </c>
      <c r="E62" s="20" t="s">
        <v>12</v>
      </c>
      <c r="F62" s="19" t="s">
        <v>602</v>
      </c>
      <c r="G62" s="19" t="s">
        <v>604</v>
      </c>
      <c r="H62" s="19" t="s">
        <v>31</v>
      </c>
      <c r="I62">
        <v>45752</v>
      </c>
      <c r="J62">
        <v>152</v>
      </c>
      <c r="K62" s="1"/>
    </row>
    <row r="63" spans="1:11">
      <c r="A63" s="17" t="s">
        <v>56</v>
      </c>
      <c r="B63" s="19" t="s">
        <v>49</v>
      </c>
      <c r="C63" s="19" t="s">
        <v>605</v>
      </c>
      <c r="D63" s="19" t="s">
        <v>606</v>
      </c>
      <c r="E63" s="20" t="s">
        <v>12</v>
      </c>
      <c r="F63" s="19" t="s">
        <v>605</v>
      </c>
      <c r="G63" s="19" t="s">
        <v>607</v>
      </c>
      <c r="H63" s="19" t="s">
        <v>31</v>
      </c>
      <c r="I63">
        <v>2</v>
      </c>
      <c r="J63">
        <v>0</v>
      </c>
      <c r="K63" s="1"/>
    </row>
    <row r="64" spans="1:11">
      <c r="A64" s="17" t="s">
        <v>56</v>
      </c>
      <c r="B64" s="19" t="s">
        <v>49</v>
      </c>
      <c r="C64" s="19" t="s">
        <v>608</v>
      </c>
      <c r="D64" s="19" t="s">
        <v>609</v>
      </c>
      <c r="E64" s="20" t="s">
        <v>12</v>
      </c>
      <c r="F64" s="19" t="s">
        <v>608</v>
      </c>
      <c r="G64" s="19" t="s">
        <v>610</v>
      </c>
      <c r="H64" s="19" t="s">
        <v>31</v>
      </c>
      <c r="I64">
        <v>2</v>
      </c>
      <c r="J64">
        <v>0</v>
      </c>
      <c r="K64" s="1"/>
    </row>
    <row r="65" spans="1:11">
      <c r="A65" s="17" t="s">
        <v>56</v>
      </c>
      <c r="B65" s="19" t="s">
        <v>49</v>
      </c>
      <c r="C65" s="19" t="s">
        <v>611</v>
      </c>
      <c r="D65" s="19" t="s">
        <v>612</v>
      </c>
      <c r="E65" s="20" t="s">
        <v>12</v>
      </c>
      <c r="F65" s="19" t="s">
        <v>611</v>
      </c>
      <c r="G65" s="19" t="s">
        <v>613</v>
      </c>
      <c r="H65" s="19" t="s">
        <v>31</v>
      </c>
      <c r="I65">
        <v>1</v>
      </c>
      <c r="J65">
        <v>0</v>
      </c>
      <c r="K65" s="1"/>
    </row>
    <row r="66" spans="1:11">
      <c r="A66" s="17" t="s">
        <v>56</v>
      </c>
      <c r="B66" s="19" t="s">
        <v>49</v>
      </c>
      <c r="C66" s="19" t="s">
        <v>611</v>
      </c>
      <c r="D66" s="19" t="s">
        <v>614</v>
      </c>
      <c r="E66" s="20" t="s">
        <v>11</v>
      </c>
      <c r="F66" s="19" t="s">
        <v>580</v>
      </c>
      <c r="G66" s="19" t="s">
        <v>581</v>
      </c>
      <c r="H66" s="19" t="s">
        <v>31</v>
      </c>
      <c r="I66">
        <v>1</v>
      </c>
      <c r="J66">
        <v>0</v>
      </c>
      <c r="K66" s="1"/>
    </row>
    <row r="67" spans="1:11">
      <c r="A67" s="17" t="s">
        <v>56</v>
      </c>
      <c r="B67" s="19" t="s">
        <v>49</v>
      </c>
      <c r="C67" s="19" t="s">
        <v>615</v>
      </c>
      <c r="D67" s="19" t="s">
        <v>616</v>
      </c>
      <c r="E67" s="20" t="s">
        <v>12</v>
      </c>
      <c r="F67" s="19" t="s">
        <v>615</v>
      </c>
      <c r="G67" s="19" t="s">
        <v>617</v>
      </c>
      <c r="H67" s="19" t="s">
        <v>31</v>
      </c>
      <c r="I67">
        <v>2</v>
      </c>
      <c r="J67">
        <v>0</v>
      </c>
      <c r="K67" s="1"/>
    </row>
    <row r="68" spans="1:11">
      <c r="A68" s="17" t="s">
        <v>56</v>
      </c>
      <c r="B68" s="19" t="s">
        <v>49</v>
      </c>
      <c r="C68" s="19" t="s">
        <v>618</v>
      </c>
      <c r="D68" s="19" t="s">
        <v>619</v>
      </c>
      <c r="E68" s="20" t="s">
        <v>12</v>
      </c>
      <c r="F68" s="19" t="s">
        <v>618</v>
      </c>
      <c r="G68" s="19" t="s">
        <v>620</v>
      </c>
      <c r="H68" s="19" t="s">
        <v>31</v>
      </c>
      <c r="I68">
        <v>2</v>
      </c>
      <c r="J68">
        <v>0</v>
      </c>
      <c r="K68" s="1"/>
    </row>
    <row r="69" spans="1:11">
      <c r="A69" s="17" t="s">
        <v>56</v>
      </c>
      <c r="B69" s="19" t="s">
        <v>49</v>
      </c>
      <c r="C69" s="19" t="s">
        <v>621</v>
      </c>
      <c r="D69" s="19" t="s">
        <v>622</v>
      </c>
      <c r="E69" s="20" t="s">
        <v>12</v>
      </c>
      <c r="F69" s="19" t="s">
        <v>621</v>
      </c>
      <c r="G69" s="19" t="s">
        <v>623</v>
      </c>
      <c r="H69" s="19" t="s">
        <v>31</v>
      </c>
      <c r="I69">
        <v>2</v>
      </c>
      <c r="J69">
        <v>0</v>
      </c>
      <c r="K69" s="1"/>
    </row>
    <row r="70" spans="1:11">
      <c r="A70" s="17" t="s">
        <v>56</v>
      </c>
      <c r="B70" s="19" t="s">
        <v>49</v>
      </c>
      <c r="C70" s="19" t="s">
        <v>624</v>
      </c>
      <c r="D70" s="19" t="s">
        <v>625</v>
      </c>
      <c r="E70" s="20" t="s">
        <v>12</v>
      </c>
      <c r="F70" s="19" t="s">
        <v>624</v>
      </c>
      <c r="G70" s="19" t="s">
        <v>626</v>
      </c>
      <c r="H70" s="19" t="s">
        <v>31</v>
      </c>
      <c r="I70">
        <v>2</v>
      </c>
      <c r="J70">
        <v>0</v>
      </c>
      <c r="K70" s="1"/>
    </row>
    <row r="71" spans="1:11">
      <c r="A71" s="17" t="s">
        <v>56</v>
      </c>
      <c r="B71" s="19" t="s">
        <v>49</v>
      </c>
      <c r="C71" s="19" t="s">
        <v>627</v>
      </c>
      <c r="D71" s="19" t="s">
        <v>628</v>
      </c>
      <c r="E71" s="20" t="s">
        <v>12</v>
      </c>
      <c r="F71" s="19" t="s">
        <v>627</v>
      </c>
      <c r="G71" s="19" t="s">
        <v>629</v>
      </c>
      <c r="H71" s="19" t="s">
        <v>31</v>
      </c>
      <c r="I71">
        <v>3</v>
      </c>
      <c r="J71">
        <v>0</v>
      </c>
      <c r="K71" s="1"/>
    </row>
    <row r="72" spans="1:11">
      <c r="A72" s="17" t="s">
        <v>56</v>
      </c>
      <c r="B72" s="19" t="s">
        <v>49</v>
      </c>
      <c r="C72" s="19" t="s">
        <v>630</v>
      </c>
      <c r="D72" s="19" t="s">
        <v>631</v>
      </c>
      <c r="E72" s="20" t="s">
        <v>32</v>
      </c>
      <c r="F72" s="19" t="s">
        <v>630</v>
      </c>
      <c r="G72" s="19" t="s">
        <v>632</v>
      </c>
      <c r="H72" s="19" t="s">
        <v>32</v>
      </c>
      <c r="I72">
        <v>0</v>
      </c>
      <c r="J72">
        <v>1</v>
      </c>
      <c r="K72" s="1"/>
    </row>
    <row r="73" spans="1:11">
      <c r="A73" s="17" t="s">
        <v>56</v>
      </c>
      <c r="B73" s="19" t="s">
        <v>49</v>
      </c>
      <c r="C73" s="19" t="s">
        <v>633</v>
      </c>
      <c r="D73" s="19" t="s">
        <v>634</v>
      </c>
      <c r="E73" s="20" t="s">
        <v>32</v>
      </c>
      <c r="F73" s="19" t="s">
        <v>633</v>
      </c>
      <c r="G73" s="19" t="s">
        <v>635</v>
      </c>
      <c r="H73" s="19" t="s">
        <v>32</v>
      </c>
      <c r="I73">
        <v>6572235</v>
      </c>
      <c r="J73">
        <v>197686</v>
      </c>
      <c r="K73" s="1"/>
    </row>
    <row r="74" spans="1:11">
      <c r="A74" s="17" t="s">
        <v>56</v>
      </c>
      <c r="B74" s="19" t="s">
        <v>49</v>
      </c>
      <c r="C74" s="19" t="s">
        <v>636</v>
      </c>
      <c r="D74" s="19" t="s">
        <v>637</v>
      </c>
      <c r="E74" s="20" t="s">
        <v>32</v>
      </c>
      <c r="F74" s="19" t="s">
        <v>636</v>
      </c>
      <c r="G74" s="19" t="s">
        <v>638</v>
      </c>
      <c r="H74" s="19" t="s">
        <v>32</v>
      </c>
      <c r="I74">
        <v>0</v>
      </c>
      <c r="J74">
        <v>59786</v>
      </c>
      <c r="K74" s="1"/>
    </row>
    <row r="75" spans="1:11">
      <c r="A75" s="17" t="s">
        <v>56</v>
      </c>
      <c r="B75" s="19" t="s">
        <v>52</v>
      </c>
      <c r="C75" s="19" t="s">
        <v>639</v>
      </c>
      <c r="D75" s="19" t="s">
        <v>640</v>
      </c>
      <c r="E75" s="20" t="s">
        <v>12</v>
      </c>
      <c r="F75" s="19" t="s">
        <v>639</v>
      </c>
      <c r="G75" s="19" t="s">
        <v>641</v>
      </c>
      <c r="H75" s="19" t="s">
        <v>31</v>
      </c>
      <c r="I75">
        <v>7</v>
      </c>
      <c r="J75">
        <v>0</v>
      </c>
      <c r="K75" s="1"/>
    </row>
    <row r="76" spans="1:11">
      <c r="A76" s="17" t="s">
        <v>56</v>
      </c>
      <c r="B76" s="19" t="s">
        <v>52</v>
      </c>
      <c r="C76" s="19" t="s">
        <v>63</v>
      </c>
      <c r="D76" s="19" t="s">
        <v>64</v>
      </c>
      <c r="E76" s="20" t="s">
        <v>32</v>
      </c>
      <c r="F76" s="19" t="s">
        <v>63</v>
      </c>
      <c r="G76" s="19" t="s">
        <v>65</v>
      </c>
      <c r="H76" s="19" t="s">
        <v>32</v>
      </c>
      <c r="I76">
        <v>6</v>
      </c>
      <c r="J76">
        <v>5</v>
      </c>
      <c r="K76" s="1"/>
    </row>
    <row r="77" spans="1:11">
      <c r="A77" s="17" t="s">
        <v>56</v>
      </c>
      <c r="B77" s="19" t="s">
        <v>52</v>
      </c>
      <c r="C77" s="19" t="s">
        <v>344</v>
      </c>
      <c r="D77" s="19" t="s">
        <v>345</v>
      </c>
      <c r="E77" s="20" t="s">
        <v>32</v>
      </c>
      <c r="F77" s="19" t="s">
        <v>344</v>
      </c>
      <c r="G77" s="19" t="s">
        <v>346</v>
      </c>
      <c r="H77" s="19" t="s">
        <v>32</v>
      </c>
      <c r="I77">
        <v>9532047</v>
      </c>
      <c r="J77">
        <v>42807</v>
      </c>
      <c r="K77" s="1"/>
    </row>
    <row r="78" spans="1:11">
      <c r="A78" s="17" t="s">
        <v>56</v>
      </c>
      <c r="B78" s="19" t="s">
        <v>52</v>
      </c>
      <c r="C78" s="19" t="s">
        <v>66</v>
      </c>
      <c r="D78" s="19" t="s">
        <v>67</v>
      </c>
      <c r="E78" s="20" t="s">
        <v>32</v>
      </c>
      <c r="F78" s="19" t="s">
        <v>66</v>
      </c>
      <c r="G78" s="19" t="s">
        <v>68</v>
      </c>
      <c r="H78" s="19" t="s">
        <v>32</v>
      </c>
      <c r="I78">
        <v>4</v>
      </c>
      <c r="J78">
        <v>1</v>
      </c>
      <c r="K78" s="1"/>
    </row>
    <row r="79" spans="1:11">
      <c r="A79" s="17" t="s">
        <v>56</v>
      </c>
      <c r="B79" s="19" t="s">
        <v>52</v>
      </c>
      <c r="C79" s="19" t="s">
        <v>642</v>
      </c>
      <c r="D79" s="19" t="s">
        <v>643</v>
      </c>
      <c r="E79" s="20" t="s">
        <v>32</v>
      </c>
      <c r="F79" s="19" t="s">
        <v>642</v>
      </c>
      <c r="G79" s="19" t="s">
        <v>644</v>
      </c>
      <c r="H79" s="19" t="s">
        <v>32</v>
      </c>
      <c r="I79">
        <v>0</v>
      </c>
      <c r="J79">
        <v>1</v>
      </c>
      <c r="K79" s="1"/>
    </row>
    <row r="80" spans="1:11">
      <c r="A80" s="17" t="s">
        <v>56</v>
      </c>
      <c r="B80" s="19" t="s">
        <v>52</v>
      </c>
      <c r="C80" s="19" t="s">
        <v>645</v>
      </c>
      <c r="D80" s="19" t="s">
        <v>646</v>
      </c>
      <c r="E80" s="20" t="s">
        <v>32</v>
      </c>
      <c r="F80" s="19" t="s">
        <v>645</v>
      </c>
      <c r="G80" s="19" t="s">
        <v>647</v>
      </c>
      <c r="H80" s="19" t="s">
        <v>32</v>
      </c>
      <c r="I80">
        <v>0</v>
      </c>
      <c r="J80">
        <v>77980</v>
      </c>
      <c r="K80" s="1"/>
    </row>
    <row r="81" spans="1:11">
      <c r="A81" s="17" t="s">
        <v>56</v>
      </c>
      <c r="B81" s="19" t="s">
        <v>52</v>
      </c>
      <c r="C81" s="19" t="s">
        <v>648</v>
      </c>
      <c r="D81" s="19" t="s">
        <v>649</v>
      </c>
      <c r="E81" s="20" t="s">
        <v>32</v>
      </c>
      <c r="F81" s="19" t="s">
        <v>648</v>
      </c>
      <c r="G81" s="19" t="s">
        <v>650</v>
      </c>
      <c r="H81" s="19" t="s">
        <v>32</v>
      </c>
      <c r="I81">
        <v>0</v>
      </c>
      <c r="J81">
        <v>1191</v>
      </c>
      <c r="K81" s="1"/>
    </row>
    <row r="82" spans="1:11">
      <c r="A82" s="17" t="s">
        <v>56</v>
      </c>
      <c r="B82" s="19" t="s">
        <v>52</v>
      </c>
      <c r="C82" s="19" t="s">
        <v>651</v>
      </c>
      <c r="D82" s="19" t="s">
        <v>652</v>
      </c>
      <c r="E82" s="20" t="s">
        <v>32</v>
      </c>
      <c r="F82" s="19" t="s">
        <v>651</v>
      </c>
      <c r="G82" s="19" t="s">
        <v>653</v>
      </c>
      <c r="H82" s="19" t="s">
        <v>32</v>
      </c>
      <c r="I82">
        <v>0</v>
      </c>
      <c r="J82">
        <v>750</v>
      </c>
      <c r="K82" s="1"/>
    </row>
    <row r="83" spans="1:11">
      <c r="A83" s="17" t="s">
        <v>56</v>
      </c>
      <c r="B83" s="19" t="s">
        <v>69</v>
      </c>
      <c r="C83" s="19" t="s">
        <v>70</v>
      </c>
      <c r="D83" s="19" t="s">
        <v>71</v>
      </c>
      <c r="E83" s="20" t="s">
        <v>32</v>
      </c>
      <c r="F83" s="19" t="s">
        <v>70</v>
      </c>
      <c r="G83" s="19" t="s">
        <v>72</v>
      </c>
      <c r="H83" s="19" t="s">
        <v>32</v>
      </c>
      <c r="I83">
        <v>0</v>
      </c>
      <c r="J83">
        <v>20370</v>
      </c>
      <c r="K83" s="1"/>
    </row>
    <row r="84" spans="1:11">
      <c r="A84" s="17" t="s">
        <v>56</v>
      </c>
      <c r="B84" s="19" t="s">
        <v>538</v>
      </c>
      <c r="C84" s="19" t="s">
        <v>654</v>
      </c>
      <c r="D84" s="19" t="s">
        <v>655</v>
      </c>
      <c r="E84" s="20" t="s">
        <v>12</v>
      </c>
      <c r="F84" s="19" t="s">
        <v>654</v>
      </c>
      <c r="G84" s="19" t="s">
        <v>656</v>
      </c>
      <c r="H84" s="19" t="s">
        <v>31</v>
      </c>
      <c r="I84">
        <v>1</v>
      </c>
      <c r="J84">
        <v>1</v>
      </c>
      <c r="K84" s="1"/>
    </row>
    <row r="85" spans="1:11">
      <c r="A85" s="17" t="s">
        <v>56</v>
      </c>
      <c r="B85" s="19" t="s">
        <v>538</v>
      </c>
      <c r="C85" s="19" t="s">
        <v>657</v>
      </c>
      <c r="D85" s="19" t="s">
        <v>658</v>
      </c>
      <c r="E85" s="20" t="s">
        <v>12</v>
      </c>
      <c r="F85" s="19" t="s">
        <v>657</v>
      </c>
      <c r="G85" s="19" t="s">
        <v>659</v>
      </c>
      <c r="H85" s="19" t="s">
        <v>31</v>
      </c>
      <c r="I85">
        <v>1</v>
      </c>
      <c r="J85">
        <v>1</v>
      </c>
      <c r="K85" s="1"/>
    </row>
    <row r="86" spans="1:11">
      <c r="A86" s="17" t="s">
        <v>83</v>
      </c>
      <c r="B86" s="19" t="s">
        <v>50</v>
      </c>
      <c r="C86" s="19" t="s">
        <v>84</v>
      </c>
      <c r="D86" s="19" t="s">
        <v>85</v>
      </c>
      <c r="E86" s="20" t="s">
        <v>32</v>
      </c>
      <c r="F86" s="19" t="s">
        <v>84</v>
      </c>
      <c r="G86" s="19" t="s">
        <v>86</v>
      </c>
      <c r="H86" s="19" t="s">
        <v>32</v>
      </c>
      <c r="I86">
        <v>0</v>
      </c>
      <c r="J86">
        <v>11</v>
      </c>
      <c r="K86" s="1"/>
    </row>
    <row r="87" spans="1:11">
      <c r="A87" s="17" t="s">
        <v>83</v>
      </c>
      <c r="B87" s="19" t="s">
        <v>50</v>
      </c>
      <c r="C87" s="19" t="s">
        <v>87</v>
      </c>
      <c r="D87" s="19" t="s">
        <v>88</v>
      </c>
      <c r="E87" s="20" t="s">
        <v>32</v>
      </c>
      <c r="F87" s="19" t="s">
        <v>87</v>
      </c>
      <c r="G87" s="19" t="s">
        <v>89</v>
      </c>
      <c r="H87" s="19" t="s">
        <v>32</v>
      </c>
      <c r="I87">
        <v>0</v>
      </c>
      <c r="J87">
        <v>6</v>
      </c>
      <c r="K87" s="1"/>
    </row>
    <row r="88" spans="1:11">
      <c r="A88" s="17" t="s">
        <v>83</v>
      </c>
      <c r="B88" s="19" t="s">
        <v>50</v>
      </c>
      <c r="C88" s="19" t="s">
        <v>90</v>
      </c>
      <c r="D88" s="19" t="s">
        <v>91</v>
      </c>
      <c r="E88" s="20" t="s">
        <v>32</v>
      </c>
      <c r="F88" s="19" t="s">
        <v>90</v>
      </c>
      <c r="G88" s="19" t="s">
        <v>92</v>
      </c>
      <c r="H88" s="19" t="s">
        <v>32</v>
      </c>
      <c r="I88">
        <v>0</v>
      </c>
      <c r="J88">
        <v>1</v>
      </c>
      <c r="K88" s="1"/>
    </row>
    <row r="89" spans="1:11">
      <c r="A89" s="17" t="s">
        <v>73</v>
      </c>
      <c r="B89" s="19" t="s">
        <v>74</v>
      </c>
      <c r="C89" s="19" t="s">
        <v>93</v>
      </c>
      <c r="D89" s="19" t="s">
        <v>94</v>
      </c>
      <c r="E89" s="20" t="s">
        <v>32</v>
      </c>
      <c r="F89" s="19" t="s">
        <v>93</v>
      </c>
      <c r="G89" s="19" t="s">
        <v>95</v>
      </c>
      <c r="H89" s="19" t="s">
        <v>32</v>
      </c>
      <c r="I89">
        <v>0</v>
      </c>
      <c r="J89">
        <v>2</v>
      </c>
      <c r="K89" s="1"/>
    </row>
    <row r="90" spans="1:11">
      <c r="A90" s="17" t="s">
        <v>73</v>
      </c>
      <c r="B90" s="19" t="s">
        <v>74</v>
      </c>
      <c r="C90" s="19" t="s">
        <v>347</v>
      </c>
      <c r="D90" s="19" t="s">
        <v>348</v>
      </c>
      <c r="E90" s="20" t="s">
        <v>32</v>
      </c>
      <c r="F90" s="19" t="s">
        <v>347</v>
      </c>
      <c r="G90" s="19" t="s">
        <v>349</v>
      </c>
      <c r="H90" s="19" t="s">
        <v>32</v>
      </c>
      <c r="I90">
        <v>0</v>
      </c>
      <c r="J90">
        <v>1</v>
      </c>
      <c r="K90" s="1"/>
    </row>
    <row r="91" spans="1:11">
      <c r="A91" s="17" t="s">
        <v>73</v>
      </c>
      <c r="B91" s="19" t="s">
        <v>50</v>
      </c>
      <c r="C91" s="19" t="s">
        <v>660</v>
      </c>
      <c r="D91" s="19" t="s">
        <v>661</v>
      </c>
      <c r="E91" s="20" t="s">
        <v>32</v>
      </c>
      <c r="F91" s="19" t="s">
        <v>660</v>
      </c>
      <c r="G91" s="19" t="s">
        <v>662</v>
      </c>
      <c r="H91" s="19" t="s">
        <v>32</v>
      </c>
      <c r="I91">
        <v>0</v>
      </c>
      <c r="J91">
        <v>2</v>
      </c>
      <c r="K91" s="1"/>
    </row>
    <row r="92" spans="1:11">
      <c r="A92" s="17" t="s">
        <v>73</v>
      </c>
      <c r="B92" s="19" t="s">
        <v>50</v>
      </c>
      <c r="C92" s="19" t="s">
        <v>663</v>
      </c>
      <c r="D92" s="19" t="s">
        <v>664</v>
      </c>
      <c r="E92" s="20" t="s">
        <v>32</v>
      </c>
      <c r="F92" s="19" t="s">
        <v>663</v>
      </c>
      <c r="G92" s="19" t="s">
        <v>665</v>
      </c>
      <c r="H92" s="19" t="s">
        <v>32</v>
      </c>
      <c r="I92">
        <v>0</v>
      </c>
      <c r="J92">
        <v>3</v>
      </c>
      <c r="K92" s="1"/>
    </row>
    <row r="93" spans="1:11">
      <c r="A93" s="17" t="s">
        <v>73</v>
      </c>
      <c r="B93" s="19" t="s">
        <v>50</v>
      </c>
      <c r="C93" s="19" t="s">
        <v>666</v>
      </c>
      <c r="D93" s="19" t="s">
        <v>667</v>
      </c>
      <c r="E93" s="20" t="s">
        <v>32</v>
      </c>
      <c r="F93" s="19" t="s">
        <v>666</v>
      </c>
      <c r="G93" s="19" t="s">
        <v>668</v>
      </c>
      <c r="H93" s="19" t="s">
        <v>32</v>
      </c>
      <c r="I93">
        <v>0</v>
      </c>
      <c r="J93">
        <v>409</v>
      </c>
      <c r="K93" s="1"/>
    </row>
    <row r="94" spans="1:11">
      <c r="A94" s="17" t="s">
        <v>73</v>
      </c>
      <c r="B94" s="19" t="s">
        <v>50</v>
      </c>
      <c r="C94" s="19" t="s">
        <v>350</v>
      </c>
      <c r="D94" s="19" t="s">
        <v>351</v>
      </c>
      <c r="E94" s="20" t="s">
        <v>32</v>
      </c>
      <c r="F94" s="19" t="s">
        <v>350</v>
      </c>
      <c r="G94" s="19" t="s">
        <v>352</v>
      </c>
      <c r="H94" s="19" t="s">
        <v>32</v>
      </c>
      <c r="I94">
        <v>0</v>
      </c>
      <c r="J94">
        <v>21</v>
      </c>
      <c r="K94" s="1"/>
    </row>
    <row r="95" spans="1:11">
      <c r="A95" s="17" t="s">
        <v>73</v>
      </c>
      <c r="B95" s="19" t="s">
        <v>50</v>
      </c>
      <c r="C95" s="19" t="s">
        <v>353</v>
      </c>
      <c r="D95" s="19" t="s">
        <v>354</v>
      </c>
      <c r="E95" s="20" t="s">
        <v>32</v>
      </c>
      <c r="F95" s="19" t="s">
        <v>353</v>
      </c>
      <c r="G95" s="19" t="s">
        <v>355</v>
      </c>
      <c r="H95" s="19" t="s">
        <v>32</v>
      </c>
      <c r="I95">
        <v>0</v>
      </c>
      <c r="J95">
        <v>1</v>
      </c>
      <c r="K95" s="1"/>
    </row>
    <row r="96" spans="1:11">
      <c r="A96" s="17" t="s">
        <v>73</v>
      </c>
      <c r="B96" s="19" t="s">
        <v>50</v>
      </c>
      <c r="C96" s="19" t="s">
        <v>99</v>
      </c>
      <c r="D96" s="19" t="s">
        <v>100</v>
      </c>
      <c r="E96" s="20" t="s">
        <v>32</v>
      </c>
      <c r="F96" s="19" t="s">
        <v>99</v>
      </c>
      <c r="G96" s="19" t="s">
        <v>101</v>
      </c>
      <c r="H96" s="19" t="s">
        <v>32</v>
      </c>
      <c r="I96">
        <v>0</v>
      </c>
      <c r="J96">
        <v>1</v>
      </c>
      <c r="K96" s="1"/>
    </row>
    <row r="97" spans="1:11">
      <c r="A97" s="17" t="s">
        <v>73</v>
      </c>
      <c r="B97" s="19" t="s">
        <v>50</v>
      </c>
      <c r="C97" s="19" t="s">
        <v>356</v>
      </c>
      <c r="D97" s="19" t="s">
        <v>357</v>
      </c>
      <c r="E97" s="20" t="s">
        <v>32</v>
      </c>
      <c r="F97" s="19" t="s">
        <v>356</v>
      </c>
      <c r="G97" s="19" t="s">
        <v>358</v>
      </c>
      <c r="H97" s="19" t="s">
        <v>32</v>
      </c>
      <c r="I97">
        <v>0</v>
      </c>
      <c r="J97">
        <v>1</v>
      </c>
      <c r="K97" s="1"/>
    </row>
    <row r="98" spans="1:11">
      <c r="A98" s="17" t="s">
        <v>73</v>
      </c>
      <c r="B98" s="19" t="s">
        <v>50</v>
      </c>
      <c r="C98" s="19" t="s">
        <v>669</v>
      </c>
      <c r="D98" s="19" t="s">
        <v>670</v>
      </c>
      <c r="E98" s="20" t="s">
        <v>32</v>
      </c>
      <c r="F98" s="19" t="s">
        <v>669</v>
      </c>
      <c r="G98" s="19" t="s">
        <v>671</v>
      </c>
      <c r="H98" s="19" t="s">
        <v>32</v>
      </c>
      <c r="I98">
        <v>0</v>
      </c>
      <c r="J98">
        <v>2</v>
      </c>
      <c r="K98" s="1"/>
    </row>
    <row r="99" spans="1:11">
      <c r="A99" s="17" t="s">
        <v>73</v>
      </c>
      <c r="B99" s="19" t="s">
        <v>50</v>
      </c>
      <c r="C99" s="19" t="s">
        <v>672</v>
      </c>
      <c r="D99" s="19" t="s">
        <v>673</v>
      </c>
      <c r="E99" s="20" t="s">
        <v>32</v>
      </c>
      <c r="F99" s="19" t="s">
        <v>672</v>
      </c>
      <c r="G99" s="19" t="s">
        <v>674</v>
      </c>
      <c r="H99" s="19" t="s">
        <v>32</v>
      </c>
      <c r="I99">
        <v>0</v>
      </c>
      <c r="J99">
        <v>17922</v>
      </c>
      <c r="K99" s="1"/>
    </row>
    <row r="100" spans="1:11">
      <c r="A100" s="17" t="s">
        <v>73</v>
      </c>
      <c r="B100" s="19" t="s">
        <v>50</v>
      </c>
      <c r="C100" s="19" t="s">
        <v>102</v>
      </c>
      <c r="D100" s="19" t="s">
        <v>103</v>
      </c>
      <c r="E100" s="20" t="s">
        <v>32</v>
      </c>
      <c r="F100" s="19" t="s">
        <v>102</v>
      </c>
      <c r="G100" s="19" t="s">
        <v>104</v>
      </c>
      <c r="H100" s="19" t="s">
        <v>32</v>
      </c>
      <c r="I100">
        <v>0</v>
      </c>
      <c r="J100">
        <v>8</v>
      </c>
      <c r="K100" s="1"/>
    </row>
    <row r="101" spans="1:11">
      <c r="A101" s="17" t="s">
        <v>73</v>
      </c>
      <c r="B101" s="19" t="s">
        <v>50</v>
      </c>
      <c r="C101" s="19" t="s">
        <v>359</v>
      </c>
      <c r="D101" s="19" t="s">
        <v>360</v>
      </c>
      <c r="E101" s="20" t="s">
        <v>32</v>
      </c>
      <c r="F101" s="19" t="s">
        <v>359</v>
      </c>
      <c r="G101" s="19" t="s">
        <v>361</v>
      </c>
      <c r="H101" s="19" t="s">
        <v>32</v>
      </c>
      <c r="I101">
        <v>0</v>
      </c>
      <c r="J101">
        <v>8122</v>
      </c>
      <c r="K101" s="1"/>
    </row>
    <row r="102" spans="1:11">
      <c r="A102" s="17" t="s">
        <v>73</v>
      </c>
      <c r="B102" s="19" t="s">
        <v>50</v>
      </c>
      <c r="C102" s="19" t="s">
        <v>675</v>
      </c>
      <c r="D102" s="19" t="s">
        <v>676</v>
      </c>
      <c r="E102" s="20" t="s">
        <v>32</v>
      </c>
      <c r="F102" s="19" t="s">
        <v>675</v>
      </c>
      <c r="G102" s="19" t="s">
        <v>677</v>
      </c>
      <c r="H102" s="19" t="s">
        <v>32</v>
      </c>
      <c r="I102">
        <v>0</v>
      </c>
      <c r="J102">
        <v>3</v>
      </c>
      <c r="K102" s="1"/>
    </row>
    <row r="103" spans="1:11">
      <c r="A103" s="17" t="s">
        <v>73</v>
      </c>
      <c r="B103" s="19" t="s">
        <v>50</v>
      </c>
      <c r="C103" s="19" t="s">
        <v>678</v>
      </c>
      <c r="D103" s="19" t="s">
        <v>679</v>
      </c>
      <c r="E103" s="20" t="s">
        <v>32</v>
      </c>
      <c r="F103" s="19" t="s">
        <v>678</v>
      </c>
      <c r="G103" s="19" t="s">
        <v>680</v>
      </c>
      <c r="H103" s="19" t="s">
        <v>32</v>
      </c>
      <c r="I103">
        <v>0</v>
      </c>
      <c r="J103">
        <v>3</v>
      </c>
      <c r="K103" s="1"/>
    </row>
    <row r="104" spans="1:11">
      <c r="A104" s="17" t="s">
        <v>73</v>
      </c>
      <c r="B104" s="19" t="s">
        <v>50</v>
      </c>
      <c r="C104" s="19" t="s">
        <v>362</v>
      </c>
      <c r="D104" s="19" t="s">
        <v>363</v>
      </c>
      <c r="E104" s="20" t="s">
        <v>32</v>
      </c>
      <c r="F104" s="19" t="s">
        <v>362</v>
      </c>
      <c r="G104" s="19" t="s">
        <v>364</v>
      </c>
      <c r="H104" s="19" t="s">
        <v>32</v>
      </c>
      <c r="I104">
        <v>0</v>
      </c>
      <c r="J104">
        <v>891</v>
      </c>
      <c r="K104" s="1"/>
    </row>
    <row r="105" spans="1:11">
      <c r="A105" s="17" t="s">
        <v>73</v>
      </c>
      <c r="B105" s="19" t="s">
        <v>50</v>
      </c>
      <c r="C105" s="19" t="s">
        <v>681</v>
      </c>
      <c r="D105" s="19" t="s">
        <v>682</v>
      </c>
      <c r="E105" s="20" t="s">
        <v>32</v>
      </c>
      <c r="F105" s="19" t="s">
        <v>681</v>
      </c>
      <c r="G105" s="19" t="s">
        <v>683</v>
      </c>
      <c r="H105" s="19" t="s">
        <v>32</v>
      </c>
      <c r="I105">
        <v>0</v>
      </c>
      <c r="J105">
        <v>2058</v>
      </c>
      <c r="K105" s="1"/>
    </row>
    <row r="106" spans="1:11">
      <c r="A106" s="17" t="s">
        <v>73</v>
      </c>
      <c r="B106" s="19" t="s">
        <v>50</v>
      </c>
      <c r="C106" s="19" t="s">
        <v>365</v>
      </c>
      <c r="D106" s="19" t="s">
        <v>366</v>
      </c>
      <c r="E106" s="20" t="s">
        <v>32</v>
      </c>
      <c r="F106" s="19" t="s">
        <v>365</v>
      </c>
      <c r="G106" s="19" t="s">
        <v>367</v>
      </c>
      <c r="H106" s="19" t="s">
        <v>32</v>
      </c>
      <c r="I106">
        <v>0</v>
      </c>
      <c r="J106">
        <v>27</v>
      </c>
      <c r="K106" s="1"/>
    </row>
    <row r="107" spans="1:11">
      <c r="A107" s="17" t="s">
        <v>73</v>
      </c>
      <c r="B107" s="19" t="s">
        <v>50</v>
      </c>
      <c r="C107" s="19" t="s">
        <v>368</v>
      </c>
      <c r="D107" s="19" t="s">
        <v>369</v>
      </c>
      <c r="E107" s="20" t="s">
        <v>32</v>
      </c>
      <c r="F107" s="19" t="s">
        <v>368</v>
      </c>
      <c r="G107" s="19" t="s">
        <v>370</v>
      </c>
      <c r="H107" s="19" t="s">
        <v>32</v>
      </c>
      <c r="I107">
        <v>0</v>
      </c>
      <c r="J107">
        <v>55</v>
      </c>
      <c r="K107" s="1"/>
    </row>
    <row r="108" spans="1:11">
      <c r="A108" s="17" t="s">
        <v>73</v>
      </c>
      <c r="B108" s="19" t="s">
        <v>50</v>
      </c>
      <c r="C108" s="19" t="s">
        <v>371</v>
      </c>
      <c r="D108" s="19" t="s">
        <v>372</v>
      </c>
      <c r="E108" s="20" t="s">
        <v>32</v>
      </c>
      <c r="F108" s="19" t="s">
        <v>371</v>
      </c>
      <c r="G108" s="19" t="s">
        <v>373</v>
      </c>
      <c r="H108" s="19" t="s">
        <v>32</v>
      </c>
      <c r="I108">
        <v>0</v>
      </c>
      <c r="J108">
        <v>2</v>
      </c>
      <c r="K108" s="1"/>
    </row>
    <row r="109" spans="1:11">
      <c r="A109" s="17" t="s">
        <v>73</v>
      </c>
      <c r="B109" s="19" t="s">
        <v>50</v>
      </c>
      <c r="C109" s="19" t="s">
        <v>374</v>
      </c>
      <c r="D109" s="19" t="s">
        <v>375</v>
      </c>
      <c r="E109" s="20" t="s">
        <v>32</v>
      </c>
      <c r="F109" s="19" t="s">
        <v>374</v>
      </c>
      <c r="G109" s="19" t="s">
        <v>376</v>
      </c>
      <c r="H109" s="19" t="s">
        <v>32</v>
      </c>
      <c r="I109">
        <v>0</v>
      </c>
      <c r="J109">
        <v>18</v>
      </c>
      <c r="K109" s="1"/>
    </row>
    <row r="110" spans="1:11">
      <c r="A110" s="17" t="s">
        <v>73</v>
      </c>
      <c r="B110" s="19" t="s">
        <v>50</v>
      </c>
      <c r="C110" s="19" t="s">
        <v>377</v>
      </c>
      <c r="D110" s="19" t="s">
        <v>378</v>
      </c>
      <c r="E110" s="20" t="s">
        <v>32</v>
      </c>
      <c r="F110" s="19" t="s">
        <v>377</v>
      </c>
      <c r="G110" s="19" t="s">
        <v>379</v>
      </c>
      <c r="H110" s="19" t="s">
        <v>32</v>
      </c>
      <c r="I110">
        <v>0</v>
      </c>
      <c r="J110">
        <v>1</v>
      </c>
      <c r="K110" s="1"/>
    </row>
    <row r="111" spans="1:11">
      <c r="A111" s="17" t="s">
        <v>73</v>
      </c>
      <c r="B111" s="19" t="s">
        <v>50</v>
      </c>
      <c r="C111" s="19" t="s">
        <v>684</v>
      </c>
      <c r="D111" s="19" t="s">
        <v>685</v>
      </c>
      <c r="E111" s="20" t="s">
        <v>32</v>
      </c>
      <c r="F111" s="19" t="s">
        <v>684</v>
      </c>
      <c r="G111" s="19" t="s">
        <v>686</v>
      </c>
      <c r="H111" s="19" t="s">
        <v>32</v>
      </c>
      <c r="I111">
        <v>0</v>
      </c>
      <c r="J111">
        <v>2980</v>
      </c>
      <c r="K111" s="1"/>
    </row>
    <row r="112" spans="1:11">
      <c r="A112" s="17" t="s">
        <v>73</v>
      </c>
      <c r="B112" s="19" t="s">
        <v>50</v>
      </c>
      <c r="C112" s="19" t="s">
        <v>687</v>
      </c>
      <c r="D112" s="19" t="s">
        <v>688</v>
      </c>
      <c r="E112" s="20" t="s">
        <v>32</v>
      </c>
      <c r="F112" s="19" t="s">
        <v>687</v>
      </c>
      <c r="G112" s="19" t="s">
        <v>689</v>
      </c>
      <c r="H112" s="19" t="s">
        <v>32</v>
      </c>
      <c r="I112">
        <v>0</v>
      </c>
      <c r="J112">
        <v>3257</v>
      </c>
      <c r="K112" s="1"/>
    </row>
    <row r="113" spans="1:11">
      <c r="A113" s="17" t="s">
        <v>73</v>
      </c>
      <c r="B113" s="19" t="s">
        <v>50</v>
      </c>
      <c r="C113" s="19" t="s">
        <v>380</v>
      </c>
      <c r="D113" s="19" t="s">
        <v>381</v>
      </c>
      <c r="E113" s="20" t="s">
        <v>32</v>
      </c>
      <c r="F113" s="19" t="s">
        <v>380</v>
      </c>
      <c r="G113" s="19" t="s">
        <v>382</v>
      </c>
      <c r="H113" s="19" t="s">
        <v>32</v>
      </c>
      <c r="I113">
        <v>0</v>
      </c>
      <c r="J113">
        <v>9874</v>
      </c>
      <c r="K113" s="1"/>
    </row>
    <row r="114" spans="1:11">
      <c r="A114" s="17" t="s">
        <v>73</v>
      </c>
      <c r="B114" s="19" t="s">
        <v>50</v>
      </c>
      <c r="C114" s="19" t="s">
        <v>383</v>
      </c>
      <c r="D114" s="19" t="s">
        <v>384</v>
      </c>
      <c r="E114" s="20" t="s">
        <v>32</v>
      </c>
      <c r="F114" s="19" t="s">
        <v>383</v>
      </c>
      <c r="G114" s="19" t="s">
        <v>385</v>
      </c>
      <c r="H114" s="19" t="s">
        <v>32</v>
      </c>
      <c r="I114">
        <v>0</v>
      </c>
      <c r="J114">
        <v>492</v>
      </c>
      <c r="K114" s="1"/>
    </row>
    <row r="115" spans="1:11">
      <c r="A115" s="17" t="s">
        <v>73</v>
      </c>
      <c r="B115" s="19" t="s">
        <v>50</v>
      </c>
      <c r="C115" s="19" t="s">
        <v>690</v>
      </c>
      <c r="D115" s="19" t="s">
        <v>691</v>
      </c>
      <c r="E115" s="20" t="s">
        <v>32</v>
      </c>
      <c r="F115" s="19" t="s">
        <v>690</v>
      </c>
      <c r="G115" s="19" t="s">
        <v>692</v>
      </c>
      <c r="H115" s="19" t="s">
        <v>32</v>
      </c>
      <c r="I115">
        <v>0</v>
      </c>
      <c r="J115">
        <v>239</v>
      </c>
      <c r="K115" s="1"/>
    </row>
    <row r="116" spans="1:11">
      <c r="A116" s="17" t="s">
        <v>73</v>
      </c>
      <c r="B116" s="19" t="s">
        <v>50</v>
      </c>
      <c r="C116" s="19" t="s">
        <v>693</v>
      </c>
      <c r="D116" s="19" t="s">
        <v>694</v>
      </c>
      <c r="E116" s="20" t="s">
        <v>32</v>
      </c>
      <c r="F116" s="19" t="s">
        <v>693</v>
      </c>
      <c r="G116" s="19" t="s">
        <v>695</v>
      </c>
      <c r="H116" s="19" t="s">
        <v>32</v>
      </c>
      <c r="I116">
        <v>0</v>
      </c>
      <c r="J116">
        <v>528</v>
      </c>
      <c r="K116" s="1"/>
    </row>
    <row r="117" spans="1:11">
      <c r="A117" s="17" t="s">
        <v>73</v>
      </c>
      <c r="B117" s="19" t="s">
        <v>50</v>
      </c>
      <c r="C117" s="19" t="s">
        <v>696</v>
      </c>
      <c r="D117" s="19" t="s">
        <v>697</v>
      </c>
      <c r="E117" s="20" t="s">
        <v>32</v>
      </c>
      <c r="F117" s="19" t="s">
        <v>696</v>
      </c>
      <c r="G117" s="19" t="s">
        <v>698</v>
      </c>
      <c r="H117" s="19" t="s">
        <v>32</v>
      </c>
      <c r="I117">
        <v>0</v>
      </c>
      <c r="J117">
        <v>56908</v>
      </c>
      <c r="K117" s="1"/>
    </row>
    <row r="118" spans="1:11">
      <c r="A118" s="17" t="s">
        <v>73</v>
      </c>
      <c r="B118" s="19" t="s">
        <v>50</v>
      </c>
      <c r="C118" s="19" t="s">
        <v>699</v>
      </c>
      <c r="D118" s="19" t="s">
        <v>700</v>
      </c>
      <c r="E118" s="20" t="s">
        <v>32</v>
      </c>
      <c r="F118" s="19" t="s">
        <v>699</v>
      </c>
      <c r="G118" s="19" t="s">
        <v>701</v>
      </c>
      <c r="H118" s="19" t="s">
        <v>32</v>
      </c>
      <c r="I118">
        <v>0</v>
      </c>
      <c r="J118">
        <v>230</v>
      </c>
      <c r="K118" s="1"/>
    </row>
    <row r="119" spans="1:11">
      <c r="A119" s="17" t="s">
        <v>73</v>
      </c>
      <c r="B119" s="19" t="s">
        <v>50</v>
      </c>
      <c r="C119" s="19" t="s">
        <v>702</v>
      </c>
      <c r="D119" s="19" t="s">
        <v>703</v>
      </c>
      <c r="E119" s="20" t="s">
        <v>32</v>
      </c>
      <c r="F119" s="19" t="s">
        <v>702</v>
      </c>
      <c r="G119" s="19" t="s">
        <v>704</v>
      </c>
      <c r="H119" s="19" t="s">
        <v>32</v>
      </c>
      <c r="I119">
        <v>0</v>
      </c>
      <c r="J119">
        <v>5</v>
      </c>
      <c r="K119" s="1"/>
    </row>
    <row r="120" spans="1:11">
      <c r="A120" s="17" t="s">
        <v>73</v>
      </c>
      <c r="B120" s="19" t="s">
        <v>50</v>
      </c>
      <c r="C120" s="19" t="s">
        <v>705</v>
      </c>
      <c r="D120" s="19" t="s">
        <v>706</v>
      </c>
      <c r="E120" s="20" t="s">
        <v>32</v>
      </c>
      <c r="F120" s="19" t="s">
        <v>705</v>
      </c>
      <c r="G120" s="19" t="s">
        <v>707</v>
      </c>
      <c r="H120" s="19" t="s">
        <v>32</v>
      </c>
      <c r="I120">
        <v>0</v>
      </c>
      <c r="J120">
        <v>3</v>
      </c>
      <c r="K120" s="1"/>
    </row>
    <row r="121" spans="1:11">
      <c r="A121" s="17" t="s">
        <v>73</v>
      </c>
      <c r="B121" s="19" t="s">
        <v>50</v>
      </c>
      <c r="C121" s="19" t="s">
        <v>386</v>
      </c>
      <c r="D121" s="19" t="s">
        <v>180</v>
      </c>
      <c r="E121" s="20" t="s">
        <v>32</v>
      </c>
      <c r="F121" s="19" t="s">
        <v>386</v>
      </c>
      <c r="G121" s="19" t="s">
        <v>181</v>
      </c>
      <c r="H121" s="19" t="s">
        <v>32</v>
      </c>
      <c r="I121">
        <v>0</v>
      </c>
      <c r="J121">
        <v>5</v>
      </c>
      <c r="K121" s="1"/>
    </row>
    <row r="122" spans="1:11">
      <c r="A122" s="17" t="s">
        <v>73</v>
      </c>
      <c r="B122" s="19" t="s">
        <v>50</v>
      </c>
      <c r="C122" s="19" t="s">
        <v>708</v>
      </c>
      <c r="D122" s="19" t="s">
        <v>709</v>
      </c>
      <c r="E122" s="20" t="s">
        <v>32</v>
      </c>
      <c r="F122" s="19" t="s">
        <v>708</v>
      </c>
      <c r="G122" s="19" t="s">
        <v>710</v>
      </c>
      <c r="H122" s="19" t="s">
        <v>32</v>
      </c>
      <c r="I122">
        <v>0</v>
      </c>
      <c r="J122">
        <v>7</v>
      </c>
      <c r="K122" s="1"/>
    </row>
    <row r="123" spans="1:11">
      <c r="A123" s="17" t="s">
        <v>73</v>
      </c>
      <c r="B123" s="19" t="s">
        <v>50</v>
      </c>
      <c r="C123" s="19" t="s">
        <v>711</v>
      </c>
      <c r="D123" s="19" t="s">
        <v>712</v>
      </c>
      <c r="E123" s="20" t="s">
        <v>32</v>
      </c>
      <c r="F123" s="19" t="s">
        <v>711</v>
      </c>
      <c r="G123" s="19" t="s">
        <v>713</v>
      </c>
      <c r="H123" s="19" t="s">
        <v>32</v>
      </c>
      <c r="I123">
        <v>0</v>
      </c>
      <c r="J123">
        <v>5</v>
      </c>
      <c r="K123" s="1"/>
    </row>
    <row r="124" spans="1:11">
      <c r="A124" s="17" t="s">
        <v>73</v>
      </c>
      <c r="B124" s="19" t="s">
        <v>50</v>
      </c>
      <c r="C124" s="19" t="s">
        <v>714</v>
      </c>
      <c r="D124" s="19" t="s">
        <v>715</v>
      </c>
      <c r="E124" s="20" t="s">
        <v>32</v>
      </c>
      <c r="F124" s="19" t="s">
        <v>714</v>
      </c>
      <c r="G124" s="19" t="s">
        <v>716</v>
      </c>
      <c r="H124" s="19" t="s">
        <v>32</v>
      </c>
      <c r="I124">
        <v>0</v>
      </c>
      <c r="J124">
        <v>1666</v>
      </c>
      <c r="K124" s="1"/>
    </row>
    <row r="125" spans="1:11">
      <c r="A125" s="17" t="s">
        <v>73</v>
      </c>
      <c r="B125" s="19" t="s">
        <v>50</v>
      </c>
      <c r="C125" s="19" t="s">
        <v>717</v>
      </c>
      <c r="D125" s="19" t="s">
        <v>718</v>
      </c>
      <c r="E125" s="20" t="s">
        <v>32</v>
      </c>
      <c r="F125" s="19" t="s">
        <v>717</v>
      </c>
      <c r="G125" s="19" t="s">
        <v>719</v>
      </c>
      <c r="H125" s="19" t="s">
        <v>32</v>
      </c>
      <c r="I125">
        <v>0</v>
      </c>
      <c r="J125">
        <v>515</v>
      </c>
      <c r="K125" s="1"/>
    </row>
    <row r="126" spans="1:11">
      <c r="A126" s="17" t="s">
        <v>73</v>
      </c>
      <c r="B126" s="19" t="s">
        <v>50</v>
      </c>
      <c r="C126" s="19" t="s">
        <v>387</v>
      </c>
      <c r="D126" s="19" t="s">
        <v>388</v>
      </c>
      <c r="E126" s="20" t="s">
        <v>32</v>
      </c>
      <c r="F126" s="19" t="s">
        <v>387</v>
      </c>
      <c r="G126" s="19" t="s">
        <v>389</v>
      </c>
      <c r="H126" s="19" t="s">
        <v>32</v>
      </c>
      <c r="I126">
        <v>0</v>
      </c>
      <c r="J126">
        <v>15201</v>
      </c>
      <c r="K126" s="1"/>
    </row>
    <row r="127" spans="1:11">
      <c r="A127" s="17" t="s">
        <v>73</v>
      </c>
      <c r="B127" s="19" t="s">
        <v>50</v>
      </c>
      <c r="C127" s="19" t="s">
        <v>390</v>
      </c>
      <c r="D127" s="19" t="s">
        <v>391</v>
      </c>
      <c r="E127" s="20" t="s">
        <v>32</v>
      </c>
      <c r="F127" s="19" t="s">
        <v>390</v>
      </c>
      <c r="G127" s="19" t="s">
        <v>392</v>
      </c>
      <c r="H127" s="19" t="s">
        <v>32</v>
      </c>
      <c r="I127">
        <v>0</v>
      </c>
      <c r="J127">
        <v>6278</v>
      </c>
      <c r="K127" s="1"/>
    </row>
    <row r="128" spans="1:11">
      <c r="A128" s="17" t="s">
        <v>73</v>
      </c>
      <c r="B128" s="19" t="s">
        <v>50</v>
      </c>
      <c r="C128" s="19" t="s">
        <v>393</v>
      </c>
      <c r="D128" s="19" t="s">
        <v>394</v>
      </c>
      <c r="E128" s="20" t="s">
        <v>32</v>
      </c>
      <c r="F128" s="19" t="s">
        <v>393</v>
      </c>
      <c r="G128" s="19" t="s">
        <v>395</v>
      </c>
      <c r="H128" s="19" t="s">
        <v>32</v>
      </c>
      <c r="I128">
        <v>0</v>
      </c>
      <c r="J128">
        <v>98</v>
      </c>
      <c r="K128" s="1"/>
    </row>
    <row r="129" spans="1:11">
      <c r="A129" s="17" t="s">
        <v>73</v>
      </c>
      <c r="B129" s="19" t="s">
        <v>50</v>
      </c>
      <c r="C129" s="19" t="s">
        <v>396</v>
      </c>
      <c r="D129" s="19" t="s">
        <v>397</v>
      </c>
      <c r="E129" s="20" t="s">
        <v>32</v>
      </c>
      <c r="F129" s="19" t="s">
        <v>396</v>
      </c>
      <c r="G129" s="19" t="s">
        <v>398</v>
      </c>
      <c r="H129" s="19" t="s">
        <v>32</v>
      </c>
      <c r="I129">
        <v>0</v>
      </c>
      <c r="J129">
        <v>1</v>
      </c>
      <c r="K129" s="1"/>
    </row>
    <row r="130" spans="1:11">
      <c r="A130" s="17" t="s">
        <v>73</v>
      </c>
      <c r="B130" s="19" t="s">
        <v>50</v>
      </c>
      <c r="C130" s="19" t="s">
        <v>399</v>
      </c>
      <c r="D130" s="19" t="s">
        <v>400</v>
      </c>
      <c r="E130" s="20" t="s">
        <v>32</v>
      </c>
      <c r="F130" s="19" t="s">
        <v>399</v>
      </c>
      <c r="G130" s="19" t="s">
        <v>401</v>
      </c>
      <c r="H130" s="19" t="s">
        <v>32</v>
      </c>
      <c r="I130">
        <v>0</v>
      </c>
      <c r="J130">
        <v>1</v>
      </c>
      <c r="K130" s="1"/>
    </row>
    <row r="131" spans="1:11">
      <c r="A131" s="17" t="s">
        <v>73</v>
      </c>
      <c r="B131" s="19" t="s">
        <v>50</v>
      </c>
      <c r="C131" s="19" t="s">
        <v>402</v>
      </c>
      <c r="D131" s="19" t="s">
        <v>403</v>
      </c>
      <c r="E131" s="20" t="s">
        <v>32</v>
      </c>
      <c r="F131" s="19" t="s">
        <v>402</v>
      </c>
      <c r="G131" s="19" t="s">
        <v>404</v>
      </c>
      <c r="H131" s="19" t="s">
        <v>32</v>
      </c>
      <c r="I131">
        <v>0</v>
      </c>
      <c r="J131">
        <v>2</v>
      </c>
      <c r="K131" s="1"/>
    </row>
    <row r="132" spans="1:11">
      <c r="A132" s="17" t="s">
        <v>73</v>
      </c>
      <c r="B132" s="19" t="s">
        <v>50</v>
      </c>
      <c r="C132" s="19" t="s">
        <v>405</v>
      </c>
      <c r="D132" s="19" t="s">
        <v>406</v>
      </c>
      <c r="E132" s="20" t="s">
        <v>32</v>
      </c>
      <c r="F132" s="19" t="s">
        <v>405</v>
      </c>
      <c r="G132" s="19" t="s">
        <v>407</v>
      </c>
      <c r="H132" s="19" t="s">
        <v>32</v>
      </c>
      <c r="I132">
        <v>0</v>
      </c>
      <c r="J132">
        <v>16</v>
      </c>
      <c r="K132" s="1"/>
    </row>
    <row r="133" spans="1:11">
      <c r="A133" s="17" t="s">
        <v>73</v>
      </c>
      <c r="B133" s="19" t="s">
        <v>50</v>
      </c>
      <c r="C133" s="19" t="s">
        <v>720</v>
      </c>
      <c r="D133" s="19" t="s">
        <v>721</v>
      </c>
      <c r="E133" s="20" t="s">
        <v>32</v>
      </c>
      <c r="F133" s="19" t="s">
        <v>720</v>
      </c>
      <c r="G133" s="19" t="s">
        <v>722</v>
      </c>
      <c r="H133" s="19" t="s">
        <v>32</v>
      </c>
      <c r="I133">
        <v>0</v>
      </c>
      <c r="J133">
        <v>680</v>
      </c>
      <c r="K133" s="1"/>
    </row>
    <row r="134" spans="1:11">
      <c r="A134" s="17" t="s">
        <v>73</v>
      </c>
      <c r="B134" s="19" t="s">
        <v>50</v>
      </c>
      <c r="C134" s="19" t="s">
        <v>408</v>
      </c>
      <c r="D134" s="19" t="s">
        <v>409</v>
      </c>
      <c r="E134" s="20" t="s">
        <v>32</v>
      </c>
      <c r="F134" s="19" t="s">
        <v>408</v>
      </c>
      <c r="G134" s="19" t="s">
        <v>410</v>
      </c>
      <c r="H134" s="19" t="s">
        <v>32</v>
      </c>
      <c r="I134">
        <v>0</v>
      </c>
      <c r="J134">
        <v>1</v>
      </c>
      <c r="K134" s="1"/>
    </row>
    <row r="135" spans="1:11">
      <c r="A135" s="17" t="s">
        <v>73</v>
      </c>
      <c r="B135" s="19" t="s">
        <v>50</v>
      </c>
      <c r="C135" s="19" t="s">
        <v>411</v>
      </c>
      <c r="D135" s="19" t="s">
        <v>412</v>
      </c>
      <c r="E135" s="20" t="s">
        <v>32</v>
      </c>
      <c r="F135" s="19" t="s">
        <v>411</v>
      </c>
      <c r="G135" s="19" t="s">
        <v>413</v>
      </c>
      <c r="H135" s="19" t="s">
        <v>32</v>
      </c>
      <c r="I135">
        <v>0</v>
      </c>
      <c r="J135">
        <v>2</v>
      </c>
      <c r="K135" s="1"/>
    </row>
    <row r="136" spans="1:11">
      <c r="A136" s="17" t="s">
        <v>73</v>
      </c>
      <c r="B136" s="19" t="s">
        <v>50</v>
      </c>
      <c r="C136" s="19" t="s">
        <v>105</v>
      </c>
      <c r="D136" s="19" t="s">
        <v>106</v>
      </c>
      <c r="E136" s="20" t="s">
        <v>32</v>
      </c>
      <c r="F136" s="19" t="s">
        <v>105</v>
      </c>
      <c r="G136" s="19" t="s">
        <v>107</v>
      </c>
      <c r="H136" s="19" t="s">
        <v>32</v>
      </c>
      <c r="I136">
        <v>0</v>
      </c>
      <c r="J136">
        <v>3963</v>
      </c>
      <c r="K136" s="1"/>
    </row>
    <row r="137" spans="1:11">
      <c r="A137" s="17" t="s">
        <v>73</v>
      </c>
      <c r="B137" s="19" t="s">
        <v>50</v>
      </c>
      <c r="C137" s="19" t="s">
        <v>108</v>
      </c>
      <c r="D137" s="19" t="s">
        <v>109</v>
      </c>
      <c r="E137" s="20" t="s">
        <v>32</v>
      </c>
      <c r="F137" s="19" t="s">
        <v>108</v>
      </c>
      <c r="G137" s="19" t="s">
        <v>110</v>
      </c>
      <c r="H137" s="19" t="s">
        <v>32</v>
      </c>
      <c r="I137">
        <v>0</v>
      </c>
      <c r="J137">
        <v>34</v>
      </c>
      <c r="K137" s="1"/>
    </row>
    <row r="138" spans="1:11">
      <c r="A138" s="17" t="s">
        <v>73</v>
      </c>
      <c r="B138" s="19" t="s">
        <v>50</v>
      </c>
      <c r="C138" s="19" t="s">
        <v>111</v>
      </c>
      <c r="D138" s="19" t="s">
        <v>112</v>
      </c>
      <c r="E138" s="20" t="s">
        <v>32</v>
      </c>
      <c r="F138" s="19" t="s">
        <v>111</v>
      </c>
      <c r="G138" s="19" t="s">
        <v>113</v>
      </c>
      <c r="H138" s="19" t="s">
        <v>32</v>
      </c>
      <c r="I138">
        <v>0</v>
      </c>
      <c r="J138">
        <v>3371</v>
      </c>
      <c r="K138" s="1"/>
    </row>
    <row r="139" spans="1:11">
      <c r="A139" s="17" t="s">
        <v>73</v>
      </c>
      <c r="B139" s="19" t="s">
        <v>50</v>
      </c>
      <c r="C139" s="19" t="s">
        <v>723</v>
      </c>
      <c r="D139" s="19" t="s">
        <v>724</v>
      </c>
      <c r="E139" s="20" t="s">
        <v>32</v>
      </c>
      <c r="F139" s="19" t="s">
        <v>723</v>
      </c>
      <c r="G139" s="19" t="s">
        <v>725</v>
      </c>
      <c r="H139" s="19" t="s">
        <v>32</v>
      </c>
      <c r="I139">
        <v>0</v>
      </c>
      <c r="J139">
        <v>966</v>
      </c>
      <c r="K139" s="1"/>
    </row>
    <row r="140" spans="1:11">
      <c r="A140" s="17" t="s">
        <v>73</v>
      </c>
      <c r="B140" s="19" t="s">
        <v>50</v>
      </c>
      <c r="C140" s="19" t="s">
        <v>726</v>
      </c>
      <c r="D140" s="19" t="s">
        <v>727</v>
      </c>
      <c r="E140" s="20" t="s">
        <v>32</v>
      </c>
      <c r="F140" s="19" t="s">
        <v>726</v>
      </c>
      <c r="G140" s="19" t="s">
        <v>728</v>
      </c>
      <c r="H140" s="19" t="s">
        <v>32</v>
      </c>
      <c r="I140">
        <v>0</v>
      </c>
      <c r="J140">
        <v>3</v>
      </c>
      <c r="K140" s="1"/>
    </row>
    <row r="141" spans="1:11">
      <c r="A141" s="17" t="s">
        <v>73</v>
      </c>
      <c r="B141" s="19" t="s">
        <v>50</v>
      </c>
      <c r="C141" s="19" t="s">
        <v>729</v>
      </c>
      <c r="D141" s="19" t="s">
        <v>730</v>
      </c>
      <c r="E141" s="20" t="s">
        <v>32</v>
      </c>
      <c r="F141" s="19" t="s">
        <v>729</v>
      </c>
      <c r="G141" s="19" t="s">
        <v>731</v>
      </c>
      <c r="H141" s="19" t="s">
        <v>32</v>
      </c>
      <c r="I141">
        <v>0</v>
      </c>
      <c r="J141">
        <v>1</v>
      </c>
      <c r="K141" s="1"/>
    </row>
    <row r="142" spans="1:11">
      <c r="A142" s="17" t="s">
        <v>73</v>
      </c>
      <c r="B142" s="19" t="s">
        <v>50</v>
      </c>
      <c r="C142" s="19" t="s">
        <v>414</v>
      </c>
      <c r="D142" s="19" t="s">
        <v>415</v>
      </c>
      <c r="E142" s="20" t="s">
        <v>32</v>
      </c>
      <c r="F142" s="19" t="s">
        <v>414</v>
      </c>
      <c r="G142" s="19" t="s">
        <v>416</v>
      </c>
      <c r="H142" s="19" t="s">
        <v>32</v>
      </c>
      <c r="I142">
        <v>0</v>
      </c>
      <c r="J142">
        <v>16</v>
      </c>
      <c r="K142" s="1"/>
    </row>
    <row r="143" spans="1:11">
      <c r="A143" s="17" t="s">
        <v>73</v>
      </c>
      <c r="B143" s="19" t="s">
        <v>50</v>
      </c>
      <c r="C143" s="19" t="s">
        <v>732</v>
      </c>
      <c r="D143" s="19" t="s">
        <v>733</v>
      </c>
      <c r="E143" s="20" t="s">
        <v>32</v>
      </c>
      <c r="F143" s="19" t="s">
        <v>732</v>
      </c>
      <c r="G143" s="19" t="s">
        <v>734</v>
      </c>
      <c r="H143" s="19" t="s">
        <v>32</v>
      </c>
      <c r="I143">
        <v>0</v>
      </c>
      <c r="J143">
        <v>1</v>
      </c>
      <c r="K143" s="1"/>
    </row>
    <row r="144" spans="1:11">
      <c r="A144" s="17" t="s">
        <v>73</v>
      </c>
      <c r="B144" s="19" t="s">
        <v>50</v>
      </c>
      <c r="C144" s="19" t="s">
        <v>735</v>
      </c>
      <c r="D144" s="19" t="s">
        <v>736</v>
      </c>
      <c r="E144" s="20" t="s">
        <v>32</v>
      </c>
      <c r="F144" s="19" t="s">
        <v>735</v>
      </c>
      <c r="G144" s="19" t="s">
        <v>737</v>
      </c>
      <c r="H144" s="19" t="s">
        <v>32</v>
      </c>
      <c r="I144">
        <v>0</v>
      </c>
      <c r="J144">
        <v>6</v>
      </c>
      <c r="K144" s="1"/>
    </row>
    <row r="145" spans="1:11">
      <c r="A145" s="17" t="s">
        <v>73</v>
      </c>
      <c r="B145" s="19" t="s">
        <v>50</v>
      </c>
      <c r="C145" s="19" t="s">
        <v>417</v>
      </c>
      <c r="D145" s="19" t="s">
        <v>418</v>
      </c>
      <c r="E145" s="20" t="s">
        <v>32</v>
      </c>
      <c r="F145" s="19" t="s">
        <v>417</v>
      </c>
      <c r="G145" s="19" t="s">
        <v>419</v>
      </c>
      <c r="H145" s="19" t="s">
        <v>32</v>
      </c>
      <c r="I145">
        <v>0</v>
      </c>
      <c r="J145">
        <v>7</v>
      </c>
      <c r="K145" s="1"/>
    </row>
    <row r="146" spans="1:11">
      <c r="A146" s="17" t="s">
        <v>73</v>
      </c>
      <c r="B146" s="19" t="s">
        <v>50</v>
      </c>
      <c r="C146" s="19" t="s">
        <v>738</v>
      </c>
      <c r="D146" s="19" t="s">
        <v>739</v>
      </c>
      <c r="E146" s="20" t="s">
        <v>32</v>
      </c>
      <c r="F146" s="19" t="s">
        <v>738</v>
      </c>
      <c r="G146" s="19" t="s">
        <v>740</v>
      </c>
      <c r="H146" s="19" t="s">
        <v>32</v>
      </c>
      <c r="I146">
        <v>0</v>
      </c>
      <c r="J146">
        <v>7301</v>
      </c>
      <c r="K146" s="1"/>
    </row>
    <row r="147" spans="1:11">
      <c r="A147" s="17" t="s">
        <v>73</v>
      </c>
      <c r="B147" s="19" t="s">
        <v>50</v>
      </c>
      <c r="C147" s="19" t="s">
        <v>741</v>
      </c>
      <c r="D147" s="19" t="s">
        <v>742</v>
      </c>
      <c r="E147" s="20" t="s">
        <v>32</v>
      </c>
      <c r="F147" s="19" t="s">
        <v>741</v>
      </c>
      <c r="G147" s="19" t="s">
        <v>743</v>
      </c>
      <c r="H147" s="19" t="s">
        <v>32</v>
      </c>
      <c r="I147">
        <v>0</v>
      </c>
      <c r="J147">
        <v>374</v>
      </c>
      <c r="K147" s="1"/>
    </row>
    <row r="148" spans="1:11">
      <c r="A148" s="17" t="s">
        <v>73</v>
      </c>
      <c r="B148" s="19" t="s">
        <v>50</v>
      </c>
      <c r="C148" s="19" t="s">
        <v>744</v>
      </c>
      <c r="D148" s="19" t="s">
        <v>745</v>
      </c>
      <c r="E148" s="20" t="s">
        <v>32</v>
      </c>
      <c r="F148" s="19" t="s">
        <v>744</v>
      </c>
      <c r="G148" s="19" t="s">
        <v>746</v>
      </c>
      <c r="H148" s="19" t="s">
        <v>32</v>
      </c>
      <c r="I148">
        <v>0</v>
      </c>
      <c r="J148">
        <v>1175</v>
      </c>
      <c r="K148" s="1"/>
    </row>
    <row r="149" spans="1:11">
      <c r="A149" s="17" t="s">
        <v>73</v>
      </c>
      <c r="B149" s="19" t="s">
        <v>50</v>
      </c>
      <c r="C149" s="19" t="s">
        <v>420</v>
      </c>
      <c r="D149" s="19" t="s">
        <v>421</v>
      </c>
      <c r="E149" s="20" t="s">
        <v>32</v>
      </c>
      <c r="F149" s="19" t="s">
        <v>420</v>
      </c>
      <c r="G149" s="19" t="s">
        <v>422</v>
      </c>
      <c r="H149" s="19" t="s">
        <v>32</v>
      </c>
      <c r="I149">
        <v>0</v>
      </c>
      <c r="J149">
        <v>1</v>
      </c>
      <c r="K149" s="1"/>
    </row>
    <row r="150" spans="1:11">
      <c r="A150" s="17" t="s">
        <v>73</v>
      </c>
      <c r="B150" s="19" t="s">
        <v>50</v>
      </c>
      <c r="C150" s="19" t="s">
        <v>423</v>
      </c>
      <c r="D150" s="19" t="s">
        <v>424</v>
      </c>
      <c r="E150" s="20" t="s">
        <v>32</v>
      </c>
      <c r="F150" s="19" t="s">
        <v>423</v>
      </c>
      <c r="G150" s="19" t="s">
        <v>425</v>
      </c>
      <c r="H150" s="19" t="s">
        <v>32</v>
      </c>
      <c r="I150">
        <v>0</v>
      </c>
      <c r="J150">
        <v>2</v>
      </c>
      <c r="K150" s="1"/>
    </row>
    <row r="151" spans="1:11">
      <c r="A151" s="17" t="s">
        <v>73</v>
      </c>
      <c r="B151" s="19" t="s">
        <v>50</v>
      </c>
      <c r="C151" s="19" t="s">
        <v>426</v>
      </c>
      <c r="D151" s="19" t="s">
        <v>427</v>
      </c>
      <c r="E151" s="20" t="s">
        <v>32</v>
      </c>
      <c r="F151" s="19" t="s">
        <v>426</v>
      </c>
      <c r="G151" s="19" t="s">
        <v>428</v>
      </c>
      <c r="H151" s="19" t="s">
        <v>32</v>
      </c>
      <c r="I151">
        <v>0</v>
      </c>
      <c r="J151">
        <v>445</v>
      </c>
      <c r="K151" s="1"/>
    </row>
    <row r="152" spans="1:11">
      <c r="A152" s="17" t="s">
        <v>73</v>
      </c>
      <c r="B152" s="19" t="s">
        <v>50</v>
      </c>
      <c r="C152" s="19" t="s">
        <v>429</v>
      </c>
      <c r="D152" s="19" t="s">
        <v>430</v>
      </c>
      <c r="E152" s="20" t="s">
        <v>32</v>
      </c>
      <c r="F152" s="19" t="s">
        <v>429</v>
      </c>
      <c r="G152" s="19" t="s">
        <v>431</v>
      </c>
      <c r="H152" s="19" t="s">
        <v>32</v>
      </c>
      <c r="I152">
        <v>0</v>
      </c>
      <c r="J152">
        <v>420</v>
      </c>
      <c r="K152" s="1"/>
    </row>
    <row r="153" spans="1:11">
      <c r="A153" s="17" t="s">
        <v>73</v>
      </c>
      <c r="B153" s="19" t="s">
        <v>50</v>
      </c>
      <c r="C153" s="19" t="s">
        <v>432</v>
      </c>
      <c r="D153" s="19" t="s">
        <v>433</v>
      </c>
      <c r="E153" s="20" t="s">
        <v>32</v>
      </c>
      <c r="F153" s="19" t="s">
        <v>432</v>
      </c>
      <c r="G153" s="19" t="s">
        <v>434</v>
      </c>
      <c r="H153" s="19" t="s">
        <v>32</v>
      </c>
      <c r="I153">
        <v>0</v>
      </c>
      <c r="J153">
        <v>107</v>
      </c>
      <c r="K153" s="1"/>
    </row>
    <row r="154" spans="1:11">
      <c r="A154" s="17" t="s">
        <v>73</v>
      </c>
      <c r="B154" s="19" t="s">
        <v>50</v>
      </c>
      <c r="C154" s="19" t="s">
        <v>435</v>
      </c>
      <c r="D154" s="19" t="s">
        <v>436</v>
      </c>
      <c r="E154" s="20" t="s">
        <v>32</v>
      </c>
      <c r="F154" s="19" t="s">
        <v>435</v>
      </c>
      <c r="G154" s="19" t="s">
        <v>437</v>
      </c>
      <c r="H154" s="19" t="s">
        <v>32</v>
      </c>
      <c r="I154">
        <v>0</v>
      </c>
      <c r="J154">
        <v>396</v>
      </c>
      <c r="K154" s="1"/>
    </row>
    <row r="155" spans="1:11">
      <c r="A155" s="17" t="s">
        <v>73</v>
      </c>
      <c r="B155" s="19" t="s">
        <v>50</v>
      </c>
      <c r="C155" s="19" t="s">
        <v>438</v>
      </c>
      <c r="D155" s="19" t="s">
        <v>439</v>
      </c>
      <c r="E155" s="20" t="s">
        <v>32</v>
      </c>
      <c r="F155" s="19" t="s">
        <v>438</v>
      </c>
      <c r="G155" s="19" t="s">
        <v>440</v>
      </c>
      <c r="H155" s="19" t="s">
        <v>32</v>
      </c>
      <c r="I155">
        <v>0</v>
      </c>
      <c r="J155">
        <v>56</v>
      </c>
      <c r="K155" s="1"/>
    </row>
    <row r="156" spans="1:11">
      <c r="A156" s="17" t="s">
        <v>73</v>
      </c>
      <c r="B156" s="19" t="s">
        <v>50</v>
      </c>
      <c r="C156" s="19" t="s">
        <v>747</v>
      </c>
      <c r="D156" s="19" t="s">
        <v>748</v>
      </c>
      <c r="E156" s="20" t="s">
        <v>32</v>
      </c>
      <c r="F156" s="19" t="s">
        <v>747</v>
      </c>
      <c r="G156" s="19" t="s">
        <v>749</v>
      </c>
      <c r="H156" s="19" t="s">
        <v>32</v>
      </c>
      <c r="I156">
        <v>0</v>
      </c>
      <c r="J156">
        <v>554</v>
      </c>
      <c r="K156" s="1"/>
    </row>
    <row r="157" spans="1:11">
      <c r="A157" s="17" t="s">
        <v>73</v>
      </c>
      <c r="B157" s="19" t="s">
        <v>50</v>
      </c>
      <c r="C157" s="19" t="s">
        <v>750</v>
      </c>
      <c r="D157" s="19" t="s">
        <v>751</v>
      </c>
      <c r="E157" s="20" t="s">
        <v>32</v>
      </c>
      <c r="F157" s="19" t="s">
        <v>750</v>
      </c>
      <c r="G157" s="19" t="s">
        <v>752</v>
      </c>
      <c r="H157" s="19" t="s">
        <v>32</v>
      </c>
      <c r="I157">
        <v>0</v>
      </c>
      <c r="J157">
        <v>1544</v>
      </c>
      <c r="K157" s="1"/>
    </row>
    <row r="158" spans="1:11">
      <c r="A158" s="17" t="s">
        <v>73</v>
      </c>
      <c r="B158" s="19" t="s">
        <v>50</v>
      </c>
      <c r="C158" s="19" t="s">
        <v>753</v>
      </c>
      <c r="D158" s="19" t="s">
        <v>754</v>
      </c>
      <c r="E158" s="20" t="s">
        <v>32</v>
      </c>
      <c r="F158" s="19" t="s">
        <v>753</v>
      </c>
      <c r="G158" s="19" t="s">
        <v>755</v>
      </c>
      <c r="H158" s="19" t="s">
        <v>32</v>
      </c>
      <c r="I158">
        <v>0</v>
      </c>
      <c r="J158">
        <v>324</v>
      </c>
      <c r="K158" s="1"/>
    </row>
    <row r="159" spans="1:11">
      <c r="A159" s="17" t="s">
        <v>73</v>
      </c>
      <c r="B159" s="19" t="s">
        <v>50</v>
      </c>
      <c r="C159" s="19" t="s">
        <v>756</v>
      </c>
      <c r="D159" s="19" t="s">
        <v>757</v>
      </c>
      <c r="E159" s="20" t="s">
        <v>32</v>
      </c>
      <c r="F159" s="19" t="s">
        <v>756</v>
      </c>
      <c r="G159" s="19" t="s">
        <v>758</v>
      </c>
      <c r="H159" s="19" t="s">
        <v>32</v>
      </c>
      <c r="I159">
        <v>0</v>
      </c>
      <c r="J159">
        <v>934</v>
      </c>
      <c r="K159" s="1"/>
    </row>
    <row r="160" spans="1:11">
      <c r="A160" s="17" t="s">
        <v>73</v>
      </c>
      <c r="B160" s="19" t="s">
        <v>50</v>
      </c>
      <c r="C160" s="19" t="s">
        <v>759</v>
      </c>
      <c r="D160" s="19" t="s">
        <v>760</v>
      </c>
      <c r="E160" s="20" t="s">
        <v>32</v>
      </c>
      <c r="F160" s="19" t="s">
        <v>759</v>
      </c>
      <c r="G160" s="19" t="s">
        <v>761</v>
      </c>
      <c r="H160" s="19" t="s">
        <v>32</v>
      </c>
      <c r="I160">
        <v>0</v>
      </c>
      <c r="J160">
        <v>73</v>
      </c>
      <c r="K160" s="1"/>
    </row>
    <row r="161" spans="1:11">
      <c r="A161" s="17" t="s">
        <v>73</v>
      </c>
      <c r="B161" s="19" t="s">
        <v>50</v>
      </c>
      <c r="C161" s="19" t="s">
        <v>441</v>
      </c>
      <c r="D161" s="19" t="s">
        <v>442</v>
      </c>
      <c r="E161" s="20" t="s">
        <v>32</v>
      </c>
      <c r="F161" s="19" t="s">
        <v>441</v>
      </c>
      <c r="G161" s="19" t="s">
        <v>443</v>
      </c>
      <c r="H161" s="19" t="s">
        <v>32</v>
      </c>
      <c r="I161">
        <v>0</v>
      </c>
      <c r="J161">
        <v>1</v>
      </c>
      <c r="K161" s="1"/>
    </row>
    <row r="162" spans="1:11">
      <c r="A162" s="17" t="s">
        <v>73</v>
      </c>
      <c r="B162" s="19" t="s">
        <v>242</v>
      </c>
      <c r="C162" s="19" t="s">
        <v>762</v>
      </c>
      <c r="D162" s="19" t="s">
        <v>763</v>
      </c>
      <c r="E162" s="20" t="s">
        <v>32</v>
      </c>
      <c r="F162" s="19" t="s">
        <v>762</v>
      </c>
      <c r="G162" s="19" t="s">
        <v>764</v>
      </c>
      <c r="H162" s="19" t="s">
        <v>32</v>
      </c>
      <c r="I162">
        <v>0</v>
      </c>
      <c r="J162">
        <v>16294</v>
      </c>
      <c r="K162" s="1"/>
    </row>
    <row r="163" spans="1:11">
      <c r="A163" s="17" t="s">
        <v>73</v>
      </c>
      <c r="B163" s="19" t="s">
        <v>242</v>
      </c>
      <c r="C163" s="19" t="s">
        <v>765</v>
      </c>
      <c r="D163" s="19" t="s">
        <v>766</v>
      </c>
      <c r="E163" s="20" t="s">
        <v>245</v>
      </c>
      <c r="F163" s="19" t="s">
        <v>765</v>
      </c>
      <c r="G163" s="19" t="s">
        <v>767</v>
      </c>
      <c r="H163" s="19" t="s">
        <v>245</v>
      </c>
      <c r="I163">
        <v>2</v>
      </c>
      <c r="J163">
        <v>2</v>
      </c>
      <c r="K163" s="1"/>
    </row>
    <row r="164" spans="1:11">
      <c r="A164" s="17" t="s">
        <v>73</v>
      </c>
      <c r="B164" s="19" t="s">
        <v>49</v>
      </c>
      <c r="C164" s="19" t="s">
        <v>444</v>
      </c>
      <c r="D164" s="19" t="s">
        <v>445</v>
      </c>
      <c r="E164" s="20" t="s">
        <v>12</v>
      </c>
      <c r="F164" s="19" t="s">
        <v>444</v>
      </c>
      <c r="G164" s="19" t="s">
        <v>446</v>
      </c>
      <c r="H164" s="19" t="s">
        <v>31</v>
      </c>
      <c r="I164">
        <v>0</v>
      </c>
      <c r="J164">
        <v>1</v>
      </c>
      <c r="K164" s="1"/>
    </row>
    <row r="165" spans="1:11">
      <c r="A165" s="17" t="s">
        <v>73</v>
      </c>
      <c r="B165" s="19" t="s">
        <v>49</v>
      </c>
      <c r="C165" s="19" t="s">
        <v>447</v>
      </c>
      <c r="D165" s="19" t="s">
        <v>448</v>
      </c>
      <c r="E165" s="20" t="s">
        <v>12</v>
      </c>
      <c r="F165" s="19" t="s">
        <v>447</v>
      </c>
      <c r="G165" s="19" t="s">
        <v>449</v>
      </c>
      <c r="H165" s="19" t="s">
        <v>31</v>
      </c>
      <c r="I165">
        <v>0</v>
      </c>
      <c r="J165">
        <v>2</v>
      </c>
      <c r="K165" s="1"/>
    </row>
    <row r="166" spans="1:11">
      <c r="A166" s="17" t="s">
        <v>73</v>
      </c>
      <c r="B166" s="19" t="s">
        <v>49</v>
      </c>
      <c r="C166" s="19" t="s">
        <v>450</v>
      </c>
      <c r="D166" s="19" t="s">
        <v>451</v>
      </c>
      <c r="E166" s="20" t="s">
        <v>12</v>
      </c>
      <c r="F166" s="19" t="s">
        <v>450</v>
      </c>
      <c r="G166" s="19" t="s">
        <v>452</v>
      </c>
      <c r="H166" s="19" t="s">
        <v>31</v>
      </c>
      <c r="I166">
        <v>0</v>
      </c>
      <c r="J166">
        <v>1</v>
      </c>
      <c r="K166" s="1"/>
    </row>
    <row r="167" spans="1:11">
      <c r="A167" s="17" t="s">
        <v>73</v>
      </c>
      <c r="B167" s="19" t="s">
        <v>49</v>
      </c>
      <c r="C167" s="19" t="s">
        <v>768</v>
      </c>
      <c r="D167" s="19" t="s">
        <v>769</v>
      </c>
      <c r="E167" s="20" t="s">
        <v>12</v>
      </c>
      <c r="F167" s="19" t="s">
        <v>768</v>
      </c>
      <c r="G167" s="19" t="s">
        <v>770</v>
      </c>
      <c r="H167" s="19" t="s">
        <v>31</v>
      </c>
      <c r="I167">
        <v>16888</v>
      </c>
      <c r="J167">
        <v>21</v>
      </c>
      <c r="K167" s="1"/>
    </row>
    <row r="168" spans="1:11">
      <c r="A168" s="17" t="s">
        <v>73</v>
      </c>
      <c r="B168" s="19" t="s">
        <v>49</v>
      </c>
      <c r="C168" s="19" t="s">
        <v>771</v>
      </c>
      <c r="D168" s="19" t="s">
        <v>772</v>
      </c>
      <c r="E168" s="20" t="s">
        <v>12</v>
      </c>
      <c r="F168" s="19" t="s">
        <v>771</v>
      </c>
      <c r="G168" s="19" t="s">
        <v>773</v>
      </c>
      <c r="H168" s="19" t="s">
        <v>31</v>
      </c>
      <c r="I168">
        <v>2179338</v>
      </c>
      <c r="J168">
        <v>27043</v>
      </c>
      <c r="K168" s="1"/>
    </row>
    <row r="169" spans="1:11">
      <c r="A169" s="17" t="s">
        <v>73</v>
      </c>
      <c r="B169" s="19" t="s">
        <v>49</v>
      </c>
      <c r="C169" s="19" t="s">
        <v>774</v>
      </c>
      <c r="D169" s="19" t="s">
        <v>775</v>
      </c>
      <c r="E169" s="20" t="s">
        <v>12</v>
      </c>
      <c r="F169" s="19" t="s">
        <v>774</v>
      </c>
      <c r="G169" s="19" t="s">
        <v>776</v>
      </c>
      <c r="H169" s="19" t="s">
        <v>31</v>
      </c>
      <c r="I169">
        <v>1376817</v>
      </c>
      <c r="J169">
        <v>46087</v>
      </c>
      <c r="K169" s="1"/>
    </row>
    <row r="170" spans="1:11">
      <c r="A170" s="17" t="s">
        <v>73</v>
      </c>
      <c r="B170" s="19" t="s">
        <v>49</v>
      </c>
      <c r="C170" s="19" t="s">
        <v>777</v>
      </c>
      <c r="D170" s="19" t="s">
        <v>778</v>
      </c>
      <c r="E170" s="20" t="s">
        <v>12</v>
      </c>
      <c r="F170" s="19" t="s">
        <v>777</v>
      </c>
      <c r="G170" s="19" t="s">
        <v>779</v>
      </c>
      <c r="H170" s="19" t="s">
        <v>31</v>
      </c>
      <c r="I170">
        <v>30825</v>
      </c>
      <c r="J170">
        <v>461</v>
      </c>
      <c r="K170" s="1"/>
    </row>
    <row r="171" spans="1:11">
      <c r="A171" s="17" t="s">
        <v>73</v>
      </c>
      <c r="B171" s="19" t="s">
        <v>49</v>
      </c>
      <c r="C171" s="19" t="s">
        <v>114</v>
      </c>
      <c r="D171" s="19" t="s">
        <v>115</v>
      </c>
      <c r="E171" s="20" t="s">
        <v>12</v>
      </c>
      <c r="F171" s="19" t="s">
        <v>114</v>
      </c>
      <c r="G171" s="19" t="s">
        <v>116</v>
      </c>
      <c r="H171" s="19" t="s">
        <v>31</v>
      </c>
      <c r="I171">
        <v>2551</v>
      </c>
      <c r="J171">
        <v>72</v>
      </c>
      <c r="K171" s="1"/>
    </row>
    <row r="172" spans="1:11">
      <c r="A172" s="17" t="s">
        <v>73</v>
      </c>
      <c r="B172" s="19" t="s">
        <v>49</v>
      </c>
      <c r="C172" s="19" t="s">
        <v>117</v>
      </c>
      <c r="D172" s="19" t="s">
        <v>118</v>
      </c>
      <c r="E172" s="20" t="s">
        <v>12</v>
      </c>
      <c r="F172" s="19" t="s">
        <v>117</v>
      </c>
      <c r="G172" s="19" t="s">
        <v>119</v>
      </c>
      <c r="H172" s="19" t="s">
        <v>31</v>
      </c>
      <c r="I172">
        <v>383305</v>
      </c>
      <c r="J172">
        <v>7556</v>
      </c>
      <c r="K172" s="1"/>
    </row>
    <row r="173" spans="1:11">
      <c r="A173" s="17" t="s">
        <v>73</v>
      </c>
      <c r="B173" s="19" t="s">
        <v>49</v>
      </c>
      <c r="C173" s="19" t="s">
        <v>120</v>
      </c>
      <c r="D173" s="19" t="s">
        <v>121</v>
      </c>
      <c r="E173" s="20" t="s">
        <v>12</v>
      </c>
      <c r="F173" s="19" t="s">
        <v>120</v>
      </c>
      <c r="G173" s="19" t="s">
        <v>122</v>
      </c>
      <c r="H173" s="19" t="s">
        <v>31</v>
      </c>
      <c r="I173">
        <v>3668</v>
      </c>
      <c r="J173">
        <v>99</v>
      </c>
      <c r="K173" s="1"/>
    </row>
    <row r="174" spans="1:11">
      <c r="A174" s="17" t="s">
        <v>73</v>
      </c>
      <c r="B174" s="19" t="s">
        <v>49</v>
      </c>
      <c r="C174" s="19" t="s">
        <v>123</v>
      </c>
      <c r="D174" s="19" t="s">
        <v>124</v>
      </c>
      <c r="E174" s="20" t="s">
        <v>12</v>
      </c>
      <c r="F174" s="19" t="s">
        <v>123</v>
      </c>
      <c r="G174" s="19" t="s">
        <v>125</v>
      </c>
      <c r="H174" s="19" t="s">
        <v>31</v>
      </c>
      <c r="I174">
        <v>1325</v>
      </c>
      <c r="J174">
        <v>36</v>
      </c>
      <c r="K174" s="1"/>
    </row>
    <row r="175" spans="1:11">
      <c r="A175" s="17" t="s">
        <v>73</v>
      </c>
      <c r="B175" s="19" t="s">
        <v>49</v>
      </c>
      <c r="C175" s="19" t="s">
        <v>126</v>
      </c>
      <c r="D175" s="19" t="s">
        <v>127</v>
      </c>
      <c r="E175" s="20" t="s">
        <v>12</v>
      </c>
      <c r="F175" s="19" t="s">
        <v>126</v>
      </c>
      <c r="G175" s="19" t="s">
        <v>128</v>
      </c>
      <c r="H175" s="19" t="s">
        <v>31</v>
      </c>
      <c r="I175">
        <v>5358</v>
      </c>
      <c r="J175">
        <v>109</v>
      </c>
      <c r="K175" s="1"/>
    </row>
    <row r="176" spans="1:11">
      <c r="A176" s="17" t="s">
        <v>73</v>
      </c>
      <c r="B176" s="19" t="s">
        <v>49</v>
      </c>
      <c r="C176" s="19" t="s">
        <v>129</v>
      </c>
      <c r="D176" s="19" t="s">
        <v>130</v>
      </c>
      <c r="E176" s="20" t="s">
        <v>12</v>
      </c>
      <c r="F176" s="19" t="s">
        <v>129</v>
      </c>
      <c r="G176" s="19" t="s">
        <v>131</v>
      </c>
      <c r="H176" s="19" t="s">
        <v>31</v>
      </c>
      <c r="I176">
        <v>8380</v>
      </c>
      <c r="J176">
        <v>275</v>
      </c>
      <c r="K176" s="1"/>
    </row>
    <row r="177" spans="1:11">
      <c r="A177" s="17" t="s">
        <v>73</v>
      </c>
      <c r="B177" s="19" t="s">
        <v>49</v>
      </c>
      <c r="C177" s="19" t="s">
        <v>132</v>
      </c>
      <c r="D177" s="19" t="s">
        <v>133</v>
      </c>
      <c r="E177" s="20" t="s">
        <v>12</v>
      </c>
      <c r="F177" s="19" t="s">
        <v>132</v>
      </c>
      <c r="G177" s="19" t="s">
        <v>134</v>
      </c>
      <c r="H177" s="19" t="s">
        <v>31</v>
      </c>
      <c r="I177">
        <v>289467</v>
      </c>
      <c r="J177">
        <v>5771</v>
      </c>
      <c r="K177" s="1"/>
    </row>
    <row r="178" spans="1:11">
      <c r="A178" s="17" t="s">
        <v>73</v>
      </c>
      <c r="B178" s="19" t="s">
        <v>49</v>
      </c>
      <c r="C178" s="19" t="s">
        <v>135</v>
      </c>
      <c r="D178" s="19" t="s">
        <v>136</v>
      </c>
      <c r="E178" s="20" t="s">
        <v>12</v>
      </c>
      <c r="F178" s="19" t="s">
        <v>135</v>
      </c>
      <c r="G178" s="19" t="s">
        <v>137</v>
      </c>
      <c r="H178" s="19" t="s">
        <v>31</v>
      </c>
      <c r="I178">
        <v>4796</v>
      </c>
      <c r="J178">
        <v>113</v>
      </c>
      <c r="K178" s="1"/>
    </row>
    <row r="179" spans="1:11">
      <c r="A179" s="17" t="s">
        <v>73</v>
      </c>
      <c r="B179" s="19" t="s">
        <v>49</v>
      </c>
      <c r="C179" s="19" t="s">
        <v>138</v>
      </c>
      <c r="D179" s="19" t="s">
        <v>139</v>
      </c>
      <c r="E179" s="20" t="s">
        <v>12</v>
      </c>
      <c r="F179" s="19" t="s">
        <v>138</v>
      </c>
      <c r="G179" s="19" t="s">
        <v>140</v>
      </c>
      <c r="H179" s="19" t="s">
        <v>31</v>
      </c>
      <c r="I179">
        <v>4566</v>
      </c>
      <c r="J179">
        <v>122</v>
      </c>
      <c r="K179" s="1"/>
    </row>
    <row r="180" spans="1:11">
      <c r="A180" s="17" t="s">
        <v>73</v>
      </c>
      <c r="B180" s="19" t="s">
        <v>49</v>
      </c>
      <c r="C180" s="19" t="s">
        <v>141</v>
      </c>
      <c r="D180" s="19" t="s">
        <v>142</v>
      </c>
      <c r="E180" s="20" t="s">
        <v>12</v>
      </c>
      <c r="F180" s="19" t="s">
        <v>141</v>
      </c>
      <c r="G180" s="19" t="s">
        <v>143</v>
      </c>
      <c r="H180" s="19" t="s">
        <v>31</v>
      </c>
      <c r="I180">
        <v>3124</v>
      </c>
      <c r="J180">
        <v>73</v>
      </c>
      <c r="K180" s="1"/>
    </row>
    <row r="181" spans="1:11">
      <c r="A181" s="17" t="s">
        <v>73</v>
      </c>
      <c r="B181" s="19" t="s">
        <v>49</v>
      </c>
      <c r="C181" s="19" t="s">
        <v>144</v>
      </c>
      <c r="D181" s="19" t="s">
        <v>145</v>
      </c>
      <c r="E181" s="20" t="s">
        <v>12</v>
      </c>
      <c r="F181" s="19" t="s">
        <v>144</v>
      </c>
      <c r="G181" s="19" t="s">
        <v>146</v>
      </c>
      <c r="H181" s="19" t="s">
        <v>31</v>
      </c>
      <c r="I181">
        <v>737</v>
      </c>
      <c r="J181">
        <v>21</v>
      </c>
      <c r="K181" s="1"/>
    </row>
    <row r="182" spans="1:11">
      <c r="A182" s="17" t="s">
        <v>73</v>
      </c>
      <c r="B182" s="19" t="s">
        <v>49</v>
      </c>
      <c r="C182" s="19" t="s">
        <v>147</v>
      </c>
      <c r="D182" s="19" t="s">
        <v>148</v>
      </c>
      <c r="E182" s="20" t="s">
        <v>12</v>
      </c>
      <c r="F182" s="19" t="s">
        <v>147</v>
      </c>
      <c r="G182" s="19" t="s">
        <v>149</v>
      </c>
      <c r="H182" s="19" t="s">
        <v>31</v>
      </c>
      <c r="I182">
        <v>428178</v>
      </c>
      <c r="J182">
        <v>9354</v>
      </c>
      <c r="K182" s="1"/>
    </row>
    <row r="183" spans="1:11">
      <c r="A183" s="17" t="s">
        <v>73</v>
      </c>
      <c r="B183" s="19" t="s">
        <v>49</v>
      </c>
      <c r="C183" s="19" t="s">
        <v>150</v>
      </c>
      <c r="D183" s="19" t="s">
        <v>151</v>
      </c>
      <c r="E183" s="20" t="s">
        <v>12</v>
      </c>
      <c r="F183" s="19" t="s">
        <v>150</v>
      </c>
      <c r="G183" s="19" t="s">
        <v>152</v>
      </c>
      <c r="H183" s="19" t="s">
        <v>31</v>
      </c>
      <c r="I183">
        <v>2962</v>
      </c>
      <c r="J183">
        <v>54</v>
      </c>
      <c r="K183" s="1"/>
    </row>
    <row r="184" spans="1:11">
      <c r="A184" s="17" t="s">
        <v>73</v>
      </c>
      <c r="B184" s="19" t="s">
        <v>49</v>
      </c>
      <c r="C184" s="19" t="s">
        <v>153</v>
      </c>
      <c r="D184" s="19" t="s">
        <v>154</v>
      </c>
      <c r="E184" s="20" t="s">
        <v>12</v>
      </c>
      <c r="F184" s="19" t="s">
        <v>153</v>
      </c>
      <c r="G184" s="19" t="s">
        <v>155</v>
      </c>
      <c r="H184" s="19" t="s">
        <v>31</v>
      </c>
      <c r="I184">
        <v>4130</v>
      </c>
      <c r="J184">
        <v>111</v>
      </c>
      <c r="K184" s="1"/>
    </row>
    <row r="185" spans="1:11">
      <c r="A185" s="17" t="s">
        <v>73</v>
      </c>
      <c r="B185" s="19" t="s">
        <v>49</v>
      </c>
      <c r="C185" s="19" t="s">
        <v>156</v>
      </c>
      <c r="D185" s="19" t="s">
        <v>157</v>
      </c>
      <c r="E185" s="20" t="s">
        <v>12</v>
      </c>
      <c r="F185" s="19" t="s">
        <v>156</v>
      </c>
      <c r="G185" s="19" t="s">
        <v>158</v>
      </c>
      <c r="H185" s="19" t="s">
        <v>31</v>
      </c>
      <c r="I185">
        <v>10754</v>
      </c>
      <c r="J185">
        <v>302</v>
      </c>
      <c r="K185" s="1"/>
    </row>
    <row r="186" spans="1:11">
      <c r="A186" s="17" t="s">
        <v>73</v>
      </c>
      <c r="B186" s="19" t="s">
        <v>49</v>
      </c>
      <c r="C186" s="19" t="s">
        <v>780</v>
      </c>
      <c r="D186" s="19" t="s">
        <v>781</v>
      </c>
      <c r="E186" s="20" t="s">
        <v>12</v>
      </c>
      <c r="F186" s="19" t="s">
        <v>780</v>
      </c>
      <c r="G186" s="19" t="s">
        <v>782</v>
      </c>
      <c r="H186" s="19" t="s">
        <v>31</v>
      </c>
      <c r="I186">
        <v>45881</v>
      </c>
      <c r="J186">
        <v>52</v>
      </c>
      <c r="K186" s="1"/>
    </row>
    <row r="187" spans="1:11">
      <c r="A187" s="17" t="s">
        <v>73</v>
      </c>
      <c r="B187" s="19" t="s">
        <v>49</v>
      </c>
      <c r="C187" s="19" t="s">
        <v>783</v>
      </c>
      <c r="D187" s="19" t="s">
        <v>784</v>
      </c>
      <c r="E187" s="20" t="s">
        <v>12</v>
      </c>
      <c r="F187" s="19" t="s">
        <v>783</v>
      </c>
      <c r="G187" s="19" t="s">
        <v>785</v>
      </c>
      <c r="H187" s="19" t="s">
        <v>31</v>
      </c>
      <c r="I187">
        <v>4701107</v>
      </c>
      <c r="J187">
        <v>34590</v>
      </c>
      <c r="K187" s="1"/>
    </row>
    <row r="188" spans="1:11">
      <c r="A188" s="17" t="s">
        <v>73</v>
      </c>
      <c r="B188" s="19" t="s">
        <v>49</v>
      </c>
      <c r="C188" s="19" t="s">
        <v>786</v>
      </c>
      <c r="D188" s="19" t="s">
        <v>787</v>
      </c>
      <c r="E188" s="20" t="s">
        <v>12</v>
      </c>
      <c r="F188" s="19" t="s">
        <v>786</v>
      </c>
      <c r="G188" s="19" t="s">
        <v>788</v>
      </c>
      <c r="H188" s="19" t="s">
        <v>31</v>
      </c>
      <c r="I188">
        <v>2989136</v>
      </c>
      <c r="J188">
        <v>41619</v>
      </c>
      <c r="K188" s="1"/>
    </row>
    <row r="189" spans="1:11">
      <c r="A189" s="17" t="s">
        <v>73</v>
      </c>
      <c r="B189" s="19" t="s">
        <v>49</v>
      </c>
      <c r="C189" s="19" t="s">
        <v>789</v>
      </c>
      <c r="D189" s="19" t="s">
        <v>790</v>
      </c>
      <c r="E189" s="20" t="s">
        <v>12</v>
      </c>
      <c r="F189" s="19" t="s">
        <v>789</v>
      </c>
      <c r="G189" s="19" t="s">
        <v>791</v>
      </c>
      <c r="H189" s="19" t="s">
        <v>31</v>
      </c>
      <c r="I189">
        <v>76273</v>
      </c>
      <c r="J189">
        <v>508</v>
      </c>
      <c r="K189" s="1"/>
    </row>
    <row r="190" spans="1:11">
      <c r="A190" s="17" t="s">
        <v>73</v>
      </c>
      <c r="B190" s="19" t="s">
        <v>49</v>
      </c>
      <c r="C190" s="19" t="s">
        <v>453</v>
      </c>
      <c r="D190" s="19" t="s">
        <v>454</v>
      </c>
      <c r="E190" s="20" t="s">
        <v>12</v>
      </c>
      <c r="F190" s="19" t="s">
        <v>453</v>
      </c>
      <c r="G190" s="19" t="s">
        <v>455</v>
      </c>
      <c r="H190" s="19" t="s">
        <v>31</v>
      </c>
      <c r="I190">
        <v>9924</v>
      </c>
      <c r="J190">
        <v>28</v>
      </c>
      <c r="K190" s="1"/>
    </row>
    <row r="191" spans="1:11">
      <c r="A191" s="17" t="s">
        <v>73</v>
      </c>
      <c r="B191" s="19" t="s">
        <v>49</v>
      </c>
      <c r="C191" s="19" t="s">
        <v>456</v>
      </c>
      <c r="D191" s="19" t="s">
        <v>457</v>
      </c>
      <c r="E191" s="20" t="s">
        <v>12</v>
      </c>
      <c r="F191" s="19" t="s">
        <v>456</v>
      </c>
      <c r="G191" s="19" t="s">
        <v>458</v>
      </c>
      <c r="H191" s="19" t="s">
        <v>31</v>
      </c>
      <c r="I191">
        <v>3653610</v>
      </c>
      <c r="J191">
        <v>124456</v>
      </c>
      <c r="K191" s="1"/>
    </row>
    <row r="192" spans="1:11">
      <c r="A192" s="17" t="s">
        <v>73</v>
      </c>
      <c r="B192" s="19" t="s">
        <v>49</v>
      </c>
      <c r="C192" s="19" t="s">
        <v>459</v>
      </c>
      <c r="D192" s="19" t="s">
        <v>460</v>
      </c>
      <c r="E192" s="20" t="s">
        <v>12</v>
      </c>
      <c r="F192" s="19" t="s">
        <v>459</v>
      </c>
      <c r="G192" s="19" t="s">
        <v>461</v>
      </c>
      <c r="H192" s="19" t="s">
        <v>31</v>
      </c>
      <c r="I192">
        <v>3351351</v>
      </c>
      <c r="J192">
        <v>168620</v>
      </c>
      <c r="K192" s="1"/>
    </row>
    <row r="193" spans="1:11">
      <c r="A193" s="17" t="s">
        <v>73</v>
      </c>
      <c r="B193" s="19" t="s">
        <v>49</v>
      </c>
      <c r="C193" s="19" t="s">
        <v>462</v>
      </c>
      <c r="D193" s="19" t="s">
        <v>463</v>
      </c>
      <c r="E193" s="20" t="s">
        <v>12</v>
      </c>
      <c r="F193" s="19" t="s">
        <v>462</v>
      </c>
      <c r="G193" s="19" t="s">
        <v>464</v>
      </c>
      <c r="H193" s="19" t="s">
        <v>31</v>
      </c>
      <c r="I193">
        <v>637143</v>
      </c>
      <c r="J193">
        <v>29924</v>
      </c>
      <c r="K193" s="1"/>
    </row>
    <row r="194" spans="1:11">
      <c r="A194" s="17" t="s">
        <v>73</v>
      </c>
      <c r="B194" s="19" t="s">
        <v>49</v>
      </c>
      <c r="C194" s="19" t="s">
        <v>792</v>
      </c>
      <c r="D194" s="19" t="s">
        <v>793</v>
      </c>
      <c r="E194" s="20" t="s">
        <v>12</v>
      </c>
      <c r="F194" s="19" t="s">
        <v>792</v>
      </c>
      <c r="G194" s="19" t="s">
        <v>794</v>
      </c>
      <c r="H194" s="19" t="s">
        <v>31</v>
      </c>
      <c r="I194">
        <v>3</v>
      </c>
      <c r="J194">
        <v>0</v>
      </c>
      <c r="K194" s="1"/>
    </row>
    <row r="195" spans="1:11">
      <c r="A195" s="17" t="s">
        <v>73</v>
      </c>
      <c r="B195" s="19" t="s">
        <v>49</v>
      </c>
      <c r="C195" s="19" t="s">
        <v>795</v>
      </c>
      <c r="D195" s="19" t="s">
        <v>796</v>
      </c>
      <c r="E195" s="20" t="s">
        <v>12</v>
      </c>
      <c r="F195" s="19" t="s">
        <v>795</v>
      </c>
      <c r="G195" s="19" t="s">
        <v>797</v>
      </c>
      <c r="H195" s="19" t="s">
        <v>31</v>
      </c>
      <c r="I195">
        <v>6229</v>
      </c>
      <c r="J195">
        <v>9</v>
      </c>
      <c r="K195" s="1"/>
    </row>
    <row r="196" spans="1:11">
      <c r="A196" s="17" t="s">
        <v>73</v>
      </c>
      <c r="B196" s="19" t="s">
        <v>49</v>
      </c>
      <c r="C196" s="19" t="s">
        <v>798</v>
      </c>
      <c r="D196" s="19" t="s">
        <v>799</v>
      </c>
      <c r="E196" s="20" t="s">
        <v>12</v>
      </c>
      <c r="F196" s="19" t="s">
        <v>798</v>
      </c>
      <c r="G196" s="19" t="s">
        <v>800</v>
      </c>
      <c r="H196" s="19" t="s">
        <v>31</v>
      </c>
      <c r="I196">
        <v>598273</v>
      </c>
      <c r="J196">
        <v>12450</v>
      </c>
      <c r="K196" s="1"/>
    </row>
    <row r="197" spans="1:11">
      <c r="A197" s="17" t="s">
        <v>73</v>
      </c>
      <c r="B197" s="19" t="s">
        <v>49</v>
      </c>
      <c r="C197" s="19" t="s">
        <v>801</v>
      </c>
      <c r="D197" s="19" t="s">
        <v>802</v>
      </c>
      <c r="E197" s="20" t="s">
        <v>12</v>
      </c>
      <c r="F197" s="19" t="s">
        <v>801</v>
      </c>
      <c r="G197" s="19" t="s">
        <v>803</v>
      </c>
      <c r="H197" s="19" t="s">
        <v>31</v>
      </c>
      <c r="I197">
        <v>1017759</v>
      </c>
      <c r="J197">
        <v>50154</v>
      </c>
      <c r="K197" s="1"/>
    </row>
    <row r="198" spans="1:11">
      <c r="A198" s="17" t="s">
        <v>73</v>
      </c>
      <c r="B198" s="19" t="s">
        <v>49</v>
      </c>
      <c r="C198" s="19" t="s">
        <v>804</v>
      </c>
      <c r="D198" s="19" t="s">
        <v>805</v>
      </c>
      <c r="E198" s="20" t="s">
        <v>12</v>
      </c>
      <c r="F198" s="19" t="s">
        <v>804</v>
      </c>
      <c r="G198" s="19" t="s">
        <v>806</v>
      </c>
      <c r="H198" s="19" t="s">
        <v>31</v>
      </c>
      <c r="I198">
        <v>9713</v>
      </c>
      <c r="J198">
        <v>256</v>
      </c>
      <c r="K198" s="1"/>
    </row>
    <row r="199" spans="1:11">
      <c r="A199" s="17" t="s">
        <v>73</v>
      </c>
      <c r="B199" s="19" t="s">
        <v>49</v>
      </c>
      <c r="C199" s="19" t="s">
        <v>465</v>
      </c>
      <c r="D199" s="19" t="s">
        <v>466</v>
      </c>
      <c r="E199" s="20" t="s">
        <v>12</v>
      </c>
      <c r="F199" s="19" t="s">
        <v>465</v>
      </c>
      <c r="G199" s="19" t="s">
        <v>467</v>
      </c>
      <c r="H199" s="19" t="s">
        <v>31</v>
      </c>
      <c r="I199">
        <v>0</v>
      </c>
      <c r="J199">
        <v>26</v>
      </c>
      <c r="K199" s="1"/>
    </row>
    <row r="200" spans="1:11">
      <c r="A200" s="17" t="s">
        <v>73</v>
      </c>
      <c r="B200" s="19" t="s">
        <v>49</v>
      </c>
      <c r="C200" s="19" t="s">
        <v>468</v>
      </c>
      <c r="D200" s="19" t="s">
        <v>469</v>
      </c>
      <c r="E200" s="20" t="s">
        <v>12</v>
      </c>
      <c r="F200" s="19" t="s">
        <v>468</v>
      </c>
      <c r="G200" s="19" t="s">
        <v>470</v>
      </c>
      <c r="H200" s="19" t="s">
        <v>31</v>
      </c>
      <c r="I200">
        <v>0</v>
      </c>
      <c r="J200">
        <v>36</v>
      </c>
      <c r="K200" s="1"/>
    </row>
    <row r="201" spans="1:11">
      <c r="A201" s="17" t="s">
        <v>73</v>
      </c>
      <c r="B201" s="19" t="s">
        <v>49</v>
      </c>
      <c r="C201" s="19" t="s">
        <v>807</v>
      </c>
      <c r="D201" s="19" t="s">
        <v>808</v>
      </c>
      <c r="E201" s="20" t="s">
        <v>12</v>
      </c>
      <c r="F201" s="19" t="s">
        <v>807</v>
      </c>
      <c r="G201" s="19" t="s">
        <v>809</v>
      </c>
      <c r="H201" s="19" t="s">
        <v>31</v>
      </c>
      <c r="I201">
        <v>4526604</v>
      </c>
      <c r="J201">
        <v>91868</v>
      </c>
      <c r="K201" s="1"/>
    </row>
    <row r="202" spans="1:11">
      <c r="A202" s="17" t="s">
        <v>73</v>
      </c>
      <c r="B202" s="19" t="s">
        <v>49</v>
      </c>
      <c r="C202" s="19" t="s">
        <v>810</v>
      </c>
      <c r="D202" s="19" t="s">
        <v>811</v>
      </c>
      <c r="E202" s="20" t="s">
        <v>12</v>
      </c>
      <c r="F202" s="19" t="s">
        <v>810</v>
      </c>
      <c r="G202" s="19" t="s">
        <v>812</v>
      </c>
      <c r="H202" s="19" t="s">
        <v>31</v>
      </c>
      <c r="I202">
        <v>16302787</v>
      </c>
      <c r="J202">
        <v>86621</v>
      </c>
      <c r="K202" s="1"/>
    </row>
    <row r="203" spans="1:11">
      <c r="A203" s="17" t="s">
        <v>73</v>
      </c>
      <c r="B203" s="19" t="s">
        <v>49</v>
      </c>
      <c r="C203" s="19" t="s">
        <v>813</v>
      </c>
      <c r="D203" s="19" t="s">
        <v>814</v>
      </c>
      <c r="E203" s="20" t="s">
        <v>12</v>
      </c>
      <c r="F203" s="19" t="s">
        <v>813</v>
      </c>
      <c r="G203" s="19" t="s">
        <v>815</v>
      </c>
      <c r="H203" s="19" t="s">
        <v>31</v>
      </c>
      <c r="I203">
        <v>107075</v>
      </c>
      <c r="J203">
        <v>769</v>
      </c>
      <c r="K203" s="1"/>
    </row>
    <row r="204" spans="1:11">
      <c r="A204" s="17" t="s">
        <v>73</v>
      </c>
      <c r="B204" s="19" t="s">
        <v>49</v>
      </c>
      <c r="C204" s="19" t="s">
        <v>816</v>
      </c>
      <c r="D204" s="19" t="s">
        <v>817</v>
      </c>
      <c r="E204" s="20" t="s">
        <v>12</v>
      </c>
      <c r="F204" s="19" t="s">
        <v>816</v>
      </c>
      <c r="G204" s="19" t="s">
        <v>818</v>
      </c>
      <c r="H204" s="19" t="s">
        <v>31</v>
      </c>
      <c r="I204">
        <v>139817</v>
      </c>
      <c r="J204">
        <v>676</v>
      </c>
      <c r="K204" s="1"/>
    </row>
    <row r="205" spans="1:11">
      <c r="A205" s="17" t="s">
        <v>73</v>
      </c>
      <c r="B205" s="19" t="s">
        <v>49</v>
      </c>
      <c r="C205" s="19" t="s">
        <v>819</v>
      </c>
      <c r="D205" s="19" t="s">
        <v>820</v>
      </c>
      <c r="E205" s="20" t="s">
        <v>12</v>
      </c>
      <c r="F205" s="19" t="s">
        <v>819</v>
      </c>
      <c r="G205" s="19" t="s">
        <v>821</v>
      </c>
      <c r="H205" s="19" t="s">
        <v>31</v>
      </c>
      <c r="I205">
        <v>28580</v>
      </c>
      <c r="J205">
        <v>112</v>
      </c>
      <c r="K205" s="1"/>
    </row>
    <row r="206" spans="1:11">
      <c r="A206" s="17" t="s">
        <v>73</v>
      </c>
      <c r="B206" s="19" t="s">
        <v>49</v>
      </c>
      <c r="C206" s="19" t="s">
        <v>471</v>
      </c>
      <c r="D206" s="19" t="s">
        <v>472</v>
      </c>
      <c r="E206" s="20" t="s">
        <v>12</v>
      </c>
      <c r="F206" s="19" t="s">
        <v>471</v>
      </c>
      <c r="G206" s="19" t="s">
        <v>473</v>
      </c>
      <c r="H206" s="19" t="s">
        <v>31</v>
      </c>
      <c r="I206">
        <v>2881</v>
      </c>
      <c r="J206">
        <v>14</v>
      </c>
      <c r="K206" s="1"/>
    </row>
    <row r="207" spans="1:11">
      <c r="A207" s="17" t="s">
        <v>73</v>
      </c>
      <c r="B207" s="19" t="s">
        <v>49</v>
      </c>
      <c r="C207" s="19" t="s">
        <v>474</v>
      </c>
      <c r="D207" s="19" t="s">
        <v>475</v>
      </c>
      <c r="E207" s="20" t="s">
        <v>12</v>
      </c>
      <c r="F207" s="19" t="s">
        <v>474</v>
      </c>
      <c r="G207" s="19" t="s">
        <v>476</v>
      </c>
      <c r="H207" s="19" t="s">
        <v>31</v>
      </c>
      <c r="I207">
        <v>362293</v>
      </c>
      <c r="J207">
        <v>5404</v>
      </c>
      <c r="K207" s="1"/>
    </row>
    <row r="208" spans="1:11">
      <c r="A208" s="17" t="s">
        <v>73</v>
      </c>
      <c r="B208" s="19" t="s">
        <v>49</v>
      </c>
      <c r="C208" s="19" t="s">
        <v>477</v>
      </c>
      <c r="D208" s="19" t="s">
        <v>478</v>
      </c>
      <c r="E208" s="20" t="s">
        <v>12</v>
      </c>
      <c r="F208" s="19" t="s">
        <v>477</v>
      </c>
      <c r="G208" s="19" t="s">
        <v>479</v>
      </c>
      <c r="H208" s="19" t="s">
        <v>31</v>
      </c>
      <c r="I208">
        <v>615213</v>
      </c>
      <c r="J208">
        <v>4118</v>
      </c>
      <c r="K208" s="1"/>
    </row>
    <row r="209" spans="1:11">
      <c r="A209" s="17" t="s">
        <v>73</v>
      </c>
      <c r="B209" s="19" t="s">
        <v>49</v>
      </c>
      <c r="C209" s="19" t="s">
        <v>480</v>
      </c>
      <c r="D209" s="19" t="s">
        <v>481</v>
      </c>
      <c r="E209" s="20" t="s">
        <v>12</v>
      </c>
      <c r="F209" s="19" t="s">
        <v>480</v>
      </c>
      <c r="G209" s="19" t="s">
        <v>482</v>
      </c>
      <c r="H209" s="19" t="s">
        <v>31</v>
      </c>
      <c r="I209">
        <v>21786</v>
      </c>
      <c r="J209">
        <v>160</v>
      </c>
      <c r="K209" s="1"/>
    </row>
    <row r="210" spans="1:11">
      <c r="A210" s="17" t="s">
        <v>73</v>
      </c>
      <c r="B210" s="19" t="s">
        <v>49</v>
      </c>
      <c r="C210" s="19" t="s">
        <v>483</v>
      </c>
      <c r="D210" s="19" t="s">
        <v>484</v>
      </c>
      <c r="E210" s="20" t="s">
        <v>12</v>
      </c>
      <c r="F210" s="19" t="s">
        <v>483</v>
      </c>
      <c r="G210" s="19" t="s">
        <v>485</v>
      </c>
      <c r="H210" s="19" t="s">
        <v>31</v>
      </c>
      <c r="I210">
        <v>13566</v>
      </c>
      <c r="J210">
        <v>74</v>
      </c>
      <c r="K210" s="1"/>
    </row>
    <row r="211" spans="1:11">
      <c r="A211" s="17" t="s">
        <v>73</v>
      </c>
      <c r="B211" s="19" t="s">
        <v>49</v>
      </c>
      <c r="C211" s="19" t="s">
        <v>486</v>
      </c>
      <c r="D211" s="19" t="s">
        <v>487</v>
      </c>
      <c r="E211" s="20" t="s">
        <v>12</v>
      </c>
      <c r="F211" s="19" t="s">
        <v>486</v>
      </c>
      <c r="G211" s="19" t="s">
        <v>488</v>
      </c>
      <c r="H211" s="19" t="s">
        <v>31</v>
      </c>
      <c r="I211">
        <v>4</v>
      </c>
      <c r="J211">
        <v>10</v>
      </c>
      <c r="K211" s="1"/>
    </row>
    <row r="212" spans="1:11">
      <c r="A212" s="17" t="s">
        <v>73</v>
      </c>
      <c r="B212" s="19" t="s">
        <v>49</v>
      </c>
      <c r="C212" s="19" t="s">
        <v>489</v>
      </c>
      <c r="D212" s="19" t="s">
        <v>490</v>
      </c>
      <c r="E212" s="20" t="s">
        <v>12</v>
      </c>
      <c r="F212" s="19" t="s">
        <v>489</v>
      </c>
      <c r="G212" s="19" t="s">
        <v>491</v>
      </c>
      <c r="H212" s="19" t="s">
        <v>31</v>
      </c>
      <c r="I212">
        <v>1</v>
      </c>
      <c r="J212">
        <v>41</v>
      </c>
      <c r="K212" s="1"/>
    </row>
    <row r="213" spans="1:11">
      <c r="A213" s="17" t="s">
        <v>73</v>
      </c>
      <c r="B213" s="19" t="s">
        <v>49</v>
      </c>
      <c r="C213" s="19" t="s">
        <v>492</v>
      </c>
      <c r="D213" s="19" t="s">
        <v>493</v>
      </c>
      <c r="E213" s="20" t="s">
        <v>12</v>
      </c>
      <c r="F213" s="19" t="s">
        <v>492</v>
      </c>
      <c r="G213" s="19" t="s">
        <v>494</v>
      </c>
      <c r="H213" s="19" t="s">
        <v>31</v>
      </c>
      <c r="I213">
        <v>5</v>
      </c>
      <c r="J213">
        <v>23</v>
      </c>
      <c r="K213" s="1"/>
    </row>
    <row r="214" spans="1:11">
      <c r="A214" s="17" t="s">
        <v>73</v>
      </c>
      <c r="B214" s="19" t="s">
        <v>49</v>
      </c>
      <c r="C214" s="19" t="s">
        <v>495</v>
      </c>
      <c r="D214" s="19" t="s">
        <v>496</v>
      </c>
      <c r="E214" s="20" t="s">
        <v>12</v>
      </c>
      <c r="F214" s="19" t="s">
        <v>495</v>
      </c>
      <c r="G214" s="19" t="s">
        <v>497</v>
      </c>
      <c r="H214" s="19" t="s">
        <v>31</v>
      </c>
      <c r="I214">
        <v>4</v>
      </c>
      <c r="J214">
        <v>66</v>
      </c>
      <c r="K214" s="1"/>
    </row>
    <row r="215" spans="1:11">
      <c r="A215" s="17" t="s">
        <v>73</v>
      </c>
      <c r="B215" s="19" t="s">
        <v>49</v>
      </c>
      <c r="C215" s="19" t="s">
        <v>822</v>
      </c>
      <c r="D215" s="19" t="s">
        <v>823</v>
      </c>
      <c r="E215" s="20" t="s">
        <v>12</v>
      </c>
      <c r="F215" s="19" t="s">
        <v>822</v>
      </c>
      <c r="G215" s="19" t="s">
        <v>824</v>
      </c>
      <c r="H215" s="19" t="s">
        <v>31</v>
      </c>
      <c r="I215">
        <v>1</v>
      </c>
      <c r="J215">
        <v>0</v>
      </c>
      <c r="K215" s="1"/>
    </row>
    <row r="216" spans="1:11">
      <c r="A216" s="17" t="s">
        <v>73</v>
      </c>
      <c r="B216" s="19" t="s">
        <v>49</v>
      </c>
      <c r="C216" s="19" t="s">
        <v>825</v>
      </c>
      <c r="D216" s="19" t="s">
        <v>826</v>
      </c>
      <c r="E216" s="20" t="s">
        <v>12</v>
      </c>
      <c r="F216" s="19" t="s">
        <v>825</v>
      </c>
      <c r="G216" s="19" t="s">
        <v>827</v>
      </c>
      <c r="H216" s="19" t="s">
        <v>31</v>
      </c>
      <c r="I216">
        <v>1</v>
      </c>
      <c r="J216">
        <v>0</v>
      </c>
      <c r="K216" s="1"/>
    </row>
    <row r="217" spans="1:11">
      <c r="A217" s="17" t="s">
        <v>73</v>
      </c>
      <c r="B217" s="19" t="s">
        <v>49</v>
      </c>
      <c r="C217" s="19" t="s">
        <v>828</v>
      </c>
      <c r="D217" s="19" t="s">
        <v>829</v>
      </c>
      <c r="E217" s="20" t="s">
        <v>12</v>
      </c>
      <c r="F217" s="19" t="s">
        <v>828</v>
      </c>
      <c r="G217" s="19" t="s">
        <v>830</v>
      </c>
      <c r="H217" s="19" t="s">
        <v>31</v>
      </c>
      <c r="I217">
        <v>1</v>
      </c>
      <c r="J217">
        <v>0</v>
      </c>
      <c r="K217" s="1"/>
    </row>
    <row r="218" spans="1:11">
      <c r="A218" s="17" t="s">
        <v>73</v>
      </c>
      <c r="B218" s="19" t="s">
        <v>49</v>
      </c>
      <c r="C218" s="19" t="s">
        <v>831</v>
      </c>
      <c r="D218" s="19" t="s">
        <v>832</v>
      </c>
      <c r="E218" s="20" t="s">
        <v>12</v>
      </c>
      <c r="F218" s="19" t="s">
        <v>831</v>
      </c>
      <c r="G218" s="19" t="s">
        <v>833</v>
      </c>
      <c r="H218" s="19" t="s">
        <v>31</v>
      </c>
      <c r="I218">
        <v>1</v>
      </c>
      <c r="J218">
        <v>0</v>
      </c>
      <c r="K218" s="1"/>
    </row>
    <row r="219" spans="1:11">
      <c r="A219" s="17" t="s">
        <v>73</v>
      </c>
      <c r="B219" s="19" t="s">
        <v>52</v>
      </c>
      <c r="C219" s="19" t="s">
        <v>834</v>
      </c>
      <c r="D219" s="19" t="s">
        <v>835</v>
      </c>
      <c r="E219" s="20" t="s">
        <v>12</v>
      </c>
      <c r="F219" s="19" t="s">
        <v>834</v>
      </c>
      <c r="G219" s="19" t="s">
        <v>836</v>
      </c>
      <c r="H219" s="19" t="s">
        <v>31</v>
      </c>
      <c r="I219">
        <v>3937844</v>
      </c>
      <c r="J219">
        <v>2678</v>
      </c>
      <c r="K219" s="1"/>
    </row>
    <row r="220" spans="1:11">
      <c r="A220" s="17" t="s">
        <v>73</v>
      </c>
      <c r="B220" s="19" t="s">
        <v>52</v>
      </c>
      <c r="C220" s="19" t="s">
        <v>837</v>
      </c>
      <c r="D220" s="19" t="s">
        <v>838</v>
      </c>
      <c r="E220" s="20" t="s">
        <v>12</v>
      </c>
      <c r="F220" s="19" t="s">
        <v>837</v>
      </c>
      <c r="G220" s="19" t="s">
        <v>839</v>
      </c>
      <c r="H220" s="19" t="s">
        <v>31</v>
      </c>
      <c r="I220">
        <v>2207458</v>
      </c>
      <c r="J220">
        <v>1326</v>
      </c>
      <c r="K220" s="1"/>
    </row>
    <row r="221" spans="1:11">
      <c r="A221" s="17" t="s">
        <v>73</v>
      </c>
      <c r="B221" s="19" t="s">
        <v>52</v>
      </c>
      <c r="C221" s="19" t="s">
        <v>840</v>
      </c>
      <c r="D221" s="19" t="s">
        <v>841</v>
      </c>
      <c r="E221" s="20" t="s">
        <v>12</v>
      </c>
      <c r="F221" s="19" t="s">
        <v>840</v>
      </c>
      <c r="G221" s="19" t="s">
        <v>842</v>
      </c>
      <c r="H221" s="19" t="s">
        <v>31</v>
      </c>
      <c r="I221">
        <v>1401444</v>
      </c>
      <c r="J221">
        <v>291</v>
      </c>
      <c r="K221" s="1"/>
    </row>
    <row r="222" spans="1:11">
      <c r="A222" s="17" t="s">
        <v>73</v>
      </c>
      <c r="B222" s="19" t="s">
        <v>52</v>
      </c>
      <c r="C222" s="19" t="s">
        <v>843</v>
      </c>
      <c r="D222" s="19" t="s">
        <v>844</v>
      </c>
      <c r="E222" s="20" t="s">
        <v>12</v>
      </c>
      <c r="F222" s="19" t="s">
        <v>843</v>
      </c>
      <c r="G222" s="19" t="s">
        <v>845</v>
      </c>
      <c r="H222" s="19" t="s">
        <v>31</v>
      </c>
      <c r="I222">
        <v>267344</v>
      </c>
      <c r="J222">
        <v>65</v>
      </c>
      <c r="K222" s="1"/>
    </row>
    <row r="223" spans="1:11">
      <c r="A223" s="17" t="s">
        <v>73</v>
      </c>
      <c r="B223" s="19" t="s">
        <v>52</v>
      </c>
      <c r="C223" s="19" t="s">
        <v>846</v>
      </c>
      <c r="D223" s="19" t="s">
        <v>847</v>
      </c>
      <c r="E223" s="20" t="s">
        <v>11</v>
      </c>
      <c r="F223" s="19" t="s">
        <v>848</v>
      </c>
      <c r="G223" s="19" t="s">
        <v>849</v>
      </c>
      <c r="H223" s="19" t="s">
        <v>31</v>
      </c>
      <c r="I223">
        <v>1</v>
      </c>
      <c r="J223">
        <v>0</v>
      </c>
      <c r="K223" s="1"/>
    </row>
    <row r="224" spans="1:11">
      <c r="A224" s="17" t="s">
        <v>73</v>
      </c>
      <c r="B224" s="19" t="s">
        <v>52</v>
      </c>
      <c r="C224" s="19" t="s">
        <v>846</v>
      </c>
      <c r="D224" s="19" t="s">
        <v>847</v>
      </c>
      <c r="E224" s="20" t="s">
        <v>32</v>
      </c>
      <c r="F224" s="19" t="s">
        <v>846</v>
      </c>
      <c r="G224" s="19" t="s">
        <v>850</v>
      </c>
      <c r="H224" s="19" t="s">
        <v>32</v>
      </c>
      <c r="I224">
        <v>17</v>
      </c>
      <c r="J224">
        <v>4</v>
      </c>
      <c r="K224" s="1"/>
    </row>
    <row r="225" spans="1:11">
      <c r="A225" s="17" t="s">
        <v>73</v>
      </c>
      <c r="B225" s="19" t="s">
        <v>52</v>
      </c>
      <c r="C225" s="19" t="s">
        <v>851</v>
      </c>
      <c r="D225" s="19" t="s">
        <v>852</v>
      </c>
      <c r="E225" s="20" t="s">
        <v>11</v>
      </c>
      <c r="F225" s="19" t="s">
        <v>848</v>
      </c>
      <c r="G225" s="19" t="s">
        <v>849</v>
      </c>
      <c r="H225" s="19" t="s">
        <v>31</v>
      </c>
      <c r="I225">
        <v>4</v>
      </c>
      <c r="J225">
        <v>0</v>
      </c>
      <c r="K225" s="1"/>
    </row>
    <row r="226" spans="1:11">
      <c r="A226" s="17" t="s">
        <v>73</v>
      </c>
      <c r="B226" s="19" t="s">
        <v>52</v>
      </c>
      <c r="C226" s="19" t="s">
        <v>851</v>
      </c>
      <c r="D226" s="19" t="s">
        <v>852</v>
      </c>
      <c r="E226" s="20" t="s">
        <v>32</v>
      </c>
      <c r="F226" s="19" t="s">
        <v>851</v>
      </c>
      <c r="G226" s="19" t="s">
        <v>853</v>
      </c>
      <c r="H226" s="19" t="s">
        <v>32</v>
      </c>
      <c r="I226">
        <v>9</v>
      </c>
      <c r="J226">
        <v>2</v>
      </c>
      <c r="K226" s="1"/>
    </row>
    <row r="227" spans="1:11">
      <c r="A227" s="17" t="s">
        <v>73</v>
      </c>
      <c r="B227" s="19" t="s">
        <v>52</v>
      </c>
      <c r="C227" s="19" t="s">
        <v>854</v>
      </c>
      <c r="D227" s="19" t="s">
        <v>855</v>
      </c>
      <c r="E227" s="20" t="s">
        <v>32</v>
      </c>
      <c r="F227" s="19" t="s">
        <v>854</v>
      </c>
      <c r="G227" s="19" t="s">
        <v>856</v>
      </c>
      <c r="H227" s="19" t="s">
        <v>32</v>
      </c>
      <c r="I227">
        <v>19</v>
      </c>
      <c r="J227">
        <v>4</v>
      </c>
      <c r="K227" s="1"/>
    </row>
    <row r="228" spans="1:11">
      <c r="A228" s="17" t="s">
        <v>73</v>
      </c>
      <c r="B228" s="19" t="s">
        <v>52</v>
      </c>
      <c r="C228" s="19" t="s">
        <v>857</v>
      </c>
      <c r="D228" s="19" t="s">
        <v>858</v>
      </c>
      <c r="E228" s="20" t="s">
        <v>11</v>
      </c>
      <c r="F228" s="19" t="s">
        <v>848</v>
      </c>
      <c r="G228" s="19" t="s">
        <v>849</v>
      </c>
      <c r="H228" s="19" t="s">
        <v>31</v>
      </c>
      <c r="I228">
        <v>2</v>
      </c>
      <c r="J228">
        <v>0</v>
      </c>
      <c r="K228" s="1"/>
    </row>
    <row r="229" spans="1:11">
      <c r="A229" s="17" t="s">
        <v>73</v>
      </c>
      <c r="B229" s="19" t="s">
        <v>52</v>
      </c>
      <c r="C229" s="19" t="s">
        <v>857</v>
      </c>
      <c r="D229" s="19" t="s">
        <v>858</v>
      </c>
      <c r="E229" s="20" t="s">
        <v>32</v>
      </c>
      <c r="F229" s="19" t="s">
        <v>857</v>
      </c>
      <c r="G229" s="19" t="s">
        <v>859</v>
      </c>
      <c r="H229" s="19" t="s">
        <v>32</v>
      </c>
      <c r="I229">
        <v>10</v>
      </c>
      <c r="J229">
        <v>2</v>
      </c>
      <c r="K229" s="1"/>
    </row>
    <row r="230" spans="1:11">
      <c r="A230" s="17" t="s">
        <v>73</v>
      </c>
      <c r="B230" s="19" t="s">
        <v>52</v>
      </c>
      <c r="C230" s="19" t="s">
        <v>860</v>
      </c>
      <c r="D230" s="19" t="s">
        <v>861</v>
      </c>
      <c r="E230" s="20" t="s">
        <v>32</v>
      </c>
      <c r="F230" s="19" t="s">
        <v>860</v>
      </c>
      <c r="G230" s="19" t="s">
        <v>862</v>
      </c>
      <c r="H230" s="19" t="s">
        <v>32</v>
      </c>
      <c r="I230">
        <v>0</v>
      </c>
      <c r="J230">
        <v>1</v>
      </c>
      <c r="K230" s="1"/>
    </row>
    <row r="231" spans="1:11">
      <c r="A231" s="17" t="s">
        <v>73</v>
      </c>
      <c r="B231" s="19" t="s">
        <v>52</v>
      </c>
      <c r="C231" s="19" t="s">
        <v>498</v>
      </c>
      <c r="D231" s="19" t="s">
        <v>499</v>
      </c>
      <c r="E231" s="20" t="s">
        <v>32</v>
      </c>
      <c r="F231" s="19" t="s">
        <v>498</v>
      </c>
      <c r="G231" s="19" t="s">
        <v>500</v>
      </c>
      <c r="H231" s="19" t="s">
        <v>32</v>
      </c>
      <c r="I231">
        <v>0</v>
      </c>
      <c r="J231">
        <v>28853</v>
      </c>
      <c r="K231" s="1"/>
    </row>
    <row r="232" spans="1:11">
      <c r="A232" s="17" t="s">
        <v>73</v>
      </c>
      <c r="B232" s="19" t="s">
        <v>52</v>
      </c>
      <c r="C232" s="19" t="s">
        <v>863</v>
      </c>
      <c r="D232" s="19" t="s">
        <v>864</v>
      </c>
      <c r="E232" s="20" t="s">
        <v>32</v>
      </c>
      <c r="F232" s="19" t="s">
        <v>863</v>
      </c>
      <c r="G232" s="19" t="s">
        <v>865</v>
      </c>
      <c r="H232" s="19" t="s">
        <v>32</v>
      </c>
      <c r="I232">
        <v>0</v>
      </c>
      <c r="J232">
        <v>90460</v>
      </c>
      <c r="K232" s="1"/>
    </row>
    <row r="233" spans="1:11">
      <c r="A233" s="17" t="s">
        <v>73</v>
      </c>
      <c r="B233" s="19" t="s">
        <v>52</v>
      </c>
      <c r="C233" s="19" t="s">
        <v>866</v>
      </c>
      <c r="D233" s="19" t="s">
        <v>867</v>
      </c>
      <c r="E233" s="20" t="s">
        <v>32</v>
      </c>
      <c r="F233" s="19" t="s">
        <v>866</v>
      </c>
      <c r="G233" s="19" t="s">
        <v>868</v>
      </c>
      <c r="H233" s="19" t="s">
        <v>32</v>
      </c>
      <c r="I233">
        <v>0</v>
      </c>
      <c r="J233">
        <v>40272</v>
      </c>
      <c r="K233" s="1"/>
    </row>
    <row r="234" spans="1:11">
      <c r="A234" s="17" t="s">
        <v>73</v>
      </c>
      <c r="B234" s="19" t="s">
        <v>51</v>
      </c>
      <c r="C234" s="19" t="s">
        <v>869</v>
      </c>
      <c r="D234" s="19" t="s">
        <v>870</v>
      </c>
      <c r="E234" s="20" t="s">
        <v>32</v>
      </c>
      <c r="F234" s="19" t="s">
        <v>869</v>
      </c>
      <c r="G234" s="19" t="s">
        <v>871</v>
      </c>
      <c r="H234" s="19" t="s">
        <v>32</v>
      </c>
      <c r="I234">
        <v>0</v>
      </c>
      <c r="J234">
        <v>1</v>
      </c>
      <c r="K234" s="1"/>
    </row>
    <row r="235" spans="1:11">
      <c r="A235" s="17" t="s">
        <v>73</v>
      </c>
      <c r="B235" s="19" t="s">
        <v>51</v>
      </c>
      <c r="C235" s="19" t="s">
        <v>159</v>
      </c>
      <c r="D235" s="19" t="s">
        <v>160</v>
      </c>
      <c r="E235" s="20" t="s">
        <v>32</v>
      </c>
      <c r="F235" s="19" t="s">
        <v>159</v>
      </c>
      <c r="G235" s="19" t="s">
        <v>161</v>
      </c>
      <c r="H235" s="19" t="s">
        <v>32</v>
      </c>
      <c r="I235">
        <v>0</v>
      </c>
      <c r="J235">
        <v>396</v>
      </c>
      <c r="K235" s="1"/>
    </row>
    <row r="236" spans="1:11">
      <c r="A236" s="17" t="s">
        <v>73</v>
      </c>
      <c r="B236" s="19" t="s">
        <v>51</v>
      </c>
      <c r="C236" s="19" t="s">
        <v>872</v>
      </c>
      <c r="D236" s="19" t="s">
        <v>873</v>
      </c>
      <c r="E236" s="20" t="s">
        <v>32</v>
      </c>
      <c r="F236" s="19" t="s">
        <v>872</v>
      </c>
      <c r="G236" s="19" t="s">
        <v>874</v>
      </c>
      <c r="H236" s="19" t="s">
        <v>32</v>
      </c>
      <c r="I236">
        <v>0</v>
      </c>
      <c r="J236">
        <v>1</v>
      </c>
      <c r="K236" s="1"/>
    </row>
    <row r="237" spans="1:11">
      <c r="A237" s="17" t="s">
        <v>73</v>
      </c>
      <c r="B237" s="19" t="s">
        <v>51</v>
      </c>
      <c r="C237" s="19" t="s">
        <v>501</v>
      </c>
      <c r="D237" s="19" t="s">
        <v>182</v>
      </c>
      <c r="E237" s="20" t="s">
        <v>32</v>
      </c>
      <c r="F237" s="19" t="s">
        <v>501</v>
      </c>
      <c r="G237" s="19" t="s">
        <v>183</v>
      </c>
      <c r="H237" s="19" t="s">
        <v>32</v>
      </c>
      <c r="I237">
        <v>0</v>
      </c>
      <c r="J237">
        <v>2</v>
      </c>
      <c r="K237" s="1"/>
    </row>
    <row r="238" spans="1:11">
      <c r="A238" s="17" t="s">
        <v>73</v>
      </c>
      <c r="B238" s="19" t="s">
        <v>51</v>
      </c>
      <c r="C238" s="19" t="s">
        <v>875</v>
      </c>
      <c r="D238" s="19" t="s">
        <v>876</v>
      </c>
      <c r="E238" s="20" t="s">
        <v>32</v>
      </c>
      <c r="F238" s="19" t="s">
        <v>875</v>
      </c>
      <c r="G238" s="19" t="s">
        <v>877</v>
      </c>
      <c r="H238" s="19" t="s">
        <v>32</v>
      </c>
      <c r="I238">
        <v>0</v>
      </c>
      <c r="J238">
        <v>8</v>
      </c>
      <c r="K238" s="1"/>
    </row>
    <row r="239" spans="1:11">
      <c r="A239" s="17" t="s">
        <v>73</v>
      </c>
      <c r="B239" s="19" t="s">
        <v>51</v>
      </c>
      <c r="C239" s="19" t="s">
        <v>878</v>
      </c>
      <c r="D239" s="19" t="s">
        <v>879</v>
      </c>
      <c r="E239" s="20" t="s">
        <v>32</v>
      </c>
      <c r="F239" s="19" t="s">
        <v>878</v>
      </c>
      <c r="G239" s="19" t="s">
        <v>880</v>
      </c>
      <c r="H239" s="19" t="s">
        <v>32</v>
      </c>
      <c r="I239">
        <v>0</v>
      </c>
      <c r="J239">
        <v>1</v>
      </c>
      <c r="K239" s="1"/>
    </row>
    <row r="240" spans="1:11">
      <c r="A240" s="17" t="s">
        <v>73</v>
      </c>
      <c r="B240" s="19" t="s">
        <v>51</v>
      </c>
      <c r="C240" s="19" t="s">
        <v>881</v>
      </c>
      <c r="D240" s="19" t="s">
        <v>882</v>
      </c>
      <c r="E240" s="20" t="s">
        <v>32</v>
      </c>
      <c r="F240" s="19" t="s">
        <v>881</v>
      </c>
      <c r="G240" s="19" t="s">
        <v>883</v>
      </c>
      <c r="H240" s="19" t="s">
        <v>32</v>
      </c>
      <c r="I240">
        <v>0</v>
      </c>
      <c r="J240">
        <v>819</v>
      </c>
      <c r="K240" s="1"/>
    </row>
    <row r="241" spans="1:11">
      <c r="A241" s="17" t="s">
        <v>73</v>
      </c>
      <c r="B241" s="19" t="s">
        <v>51</v>
      </c>
      <c r="C241" s="19" t="s">
        <v>884</v>
      </c>
      <c r="D241" s="19" t="s">
        <v>885</v>
      </c>
      <c r="E241" s="20" t="s">
        <v>32</v>
      </c>
      <c r="F241" s="19" t="s">
        <v>884</v>
      </c>
      <c r="G241" s="19" t="s">
        <v>886</v>
      </c>
      <c r="H241" s="19" t="s">
        <v>32</v>
      </c>
      <c r="I241">
        <v>0</v>
      </c>
      <c r="J241">
        <v>2511</v>
      </c>
      <c r="K241" s="1"/>
    </row>
    <row r="242" spans="1:11">
      <c r="A242" s="17" t="s">
        <v>73</v>
      </c>
      <c r="B242" s="19" t="s">
        <v>51</v>
      </c>
      <c r="C242" s="19" t="s">
        <v>887</v>
      </c>
      <c r="D242" s="19" t="s">
        <v>888</v>
      </c>
      <c r="E242" s="20" t="s">
        <v>32</v>
      </c>
      <c r="F242" s="19" t="s">
        <v>887</v>
      </c>
      <c r="G242" s="19" t="s">
        <v>889</v>
      </c>
      <c r="H242" s="19" t="s">
        <v>32</v>
      </c>
      <c r="I242">
        <v>0</v>
      </c>
      <c r="J242">
        <v>5414</v>
      </c>
      <c r="K242" s="1"/>
    </row>
    <row r="243" spans="1:11">
      <c r="A243" s="17" t="s">
        <v>73</v>
      </c>
      <c r="B243" s="19" t="s">
        <v>51</v>
      </c>
      <c r="C243" s="19" t="s">
        <v>502</v>
      </c>
      <c r="D243" s="19" t="s">
        <v>503</v>
      </c>
      <c r="E243" s="20" t="s">
        <v>32</v>
      </c>
      <c r="F243" s="19" t="s">
        <v>502</v>
      </c>
      <c r="G243" s="19" t="s">
        <v>504</v>
      </c>
      <c r="H243" s="19" t="s">
        <v>32</v>
      </c>
      <c r="I243">
        <v>0</v>
      </c>
      <c r="J243">
        <v>60</v>
      </c>
      <c r="K243" s="1"/>
    </row>
    <row r="244" spans="1:11">
      <c r="A244" s="17" t="s">
        <v>73</v>
      </c>
      <c r="B244" s="19" t="s">
        <v>51</v>
      </c>
      <c r="C244" s="19" t="s">
        <v>505</v>
      </c>
      <c r="D244" s="19" t="s">
        <v>506</v>
      </c>
      <c r="E244" s="20" t="s">
        <v>32</v>
      </c>
      <c r="F244" s="19" t="s">
        <v>505</v>
      </c>
      <c r="G244" s="19" t="s">
        <v>507</v>
      </c>
      <c r="H244" s="19" t="s">
        <v>32</v>
      </c>
      <c r="I244">
        <v>0</v>
      </c>
      <c r="J244">
        <v>285</v>
      </c>
      <c r="K244" s="1"/>
    </row>
    <row r="245" spans="1:11">
      <c r="A245" s="17" t="s">
        <v>73</v>
      </c>
      <c r="B245" s="19" t="s">
        <v>51</v>
      </c>
      <c r="C245" s="19" t="s">
        <v>508</v>
      </c>
      <c r="D245" s="19" t="s">
        <v>509</v>
      </c>
      <c r="E245" s="20" t="s">
        <v>32</v>
      </c>
      <c r="F245" s="19" t="s">
        <v>508</v>
      </c>
      <c r="G245" s="19" t="s">
        <v>510</v>
      </c>
      <c r="H245" s="19" t="s">
        <v>32</v>
      </c>
      <c r="I245">
        <v>0</v>
      </c>
      <c r="J245">
        <v>256</v>
      </c>
      <c r="K245" s="1"/>
    </row>
    <row r="246" spans="1:11">
      <c r="A246" s="17" t="s">
        <v>73</v>
      </c>
      <c r="B246" s="19" t="s">
        <v>51</v>
      </c>
      <c r="C246" s="19" t="s">
        <v>890</v>
      </c>
      <c r="D246" s="19" t="s">
        <v>891</v>
      </c>
      <c r="E246" s="20" t="s">
        <v>32</v>
      </c>
      <c r="F246" s="19" t="s">
        <v>890</v>
      </c>
      <c r="G246" s="19" t="s">
        <v>892</v>
      </c>
      <c r="H246" s="19" t="s">
        <v>32</v>
      </c>
      <c r="I246">
        <v>0</v>
      </c>
      <c r="J246">
        <v>669</v>
      </c>
      <c r="K246" s="1"/>
    </row>
    <row r="247" spans="1:11">
      <c r="A247" s="17" t="s">
        <v>73</v>
      </c>
      <c r="B247" s="19" t="s">
        <v>51</v>
      </c>
      <c r="C247" s="19" t="s">
        <v>511</v>
      </c>
      <c r="D247" s="19" t="s">
        <v>512</v>
      </c>
      <c r="E247" s="20" t="s">
        <v>32</v>
      </c>
      <c r="F247" s="19" t="s">
        <v>511</v>
      </c>
      <c r="G247" s="19" t="s">
        <v>513</v>
      </c>
      <c r="H247" s="19" t="s">
        <v>32</v>
      </c>
      <c r="I247">
        <v>0</v>
      </c>
      <c r="J247">
        <v>1</v>
      </c>
      <c r="K247" s="1"/>
    </row>
    <row r="248" spans="1:11">
      <c r="A248" s="17" t="s">
        <v>73</v>
      </c>
      <c r="B248" s="19" t="s">
        <v>51</v>
      </c>
      <c r="C248" s="19" t="s">
        <v>514</v>
      </c>
      <c r="D248" s="19" t="s">
        <v>515</v>
      </c>
      <c r="E248" s="20" t="s">
        <v>32</v>
      </c>
      <c r="F248" s="19" t="s">
        <v>514</v>
      </c>
      <c r="G248" s="19" t="s">
        <v>516</v>
      </c>
      <c r="H248" s="19" t="s">
        <v>32</v>
      </c>
      <c r="I248">
        <v>0</v>
      </c>
      <c r="J248">
        <v>2059</v>
      </c>
      <c r="K248" s="1"/>
    </row>
    <row r="249" spans="1:11">
      <c r="A249" s="17" t="s">
        <v>73</v>
      </c>
      <c r="B249" s="19" t="s">
        <v>51</v>
      </c>
      <c r="C249" s="19" t="s">
        <v>517</v>
      </c>
      <c r="D249" s="19" t="s">
        <v>518</v>
      </c>
      <c r="E249" s="20" t="s">
        <v>32</v>
      </c>
      <c r="F249" s="19" t="s">
        <v>517</v>
      </c>
      <c r="G249" s="19" t="s">
        <v>519</v>
      </c>
      <c r="H249" s="19" t="s">
        <v>32</v>
      </c>
      <c r="I249">
        <v>0</v>
      </c>
      <c r="J249">
        <v>629</v>
      </c>
      <c r="K249" s="1"/>
    </row>
    <row r="250" spans="1:11">
      <c r="A250" s="17" t="s">
        <v>73</v>
      </c>
      <c r="B250" s="19" t="s">
        <v>51</v>
      </c>
      <c r="C250" s="19" t="s">
        <v>520</v>
      </c>
      <c r="D250" s="19" t="s">
        <v>521</v>
      </c>
      <c r="E250" s="20" t="s">
        <v>32</v>
      </c>
      <c r="F250" s="19" t="s">
        <v>520</v>
      </c>
      <c r="G250" s="19" t="s">
        <v>522</v>
      </c>
      <c r="H250" s="19" t="s">
        <v>32</v>
      </c>
      <c r="I250">
        <v>0</v>
      </c>
      <c r="J250">
        <v>14</v>
      </c>
      <c r="K250" s="1"/>
    </row>
    <row r="251" spans="1:11">
      <c r="A251" s="17" t="s">
        <v>73</v>
      </c>
      <c r="B251" s="19" t="s">
        <v>51</v>
      </c>
      <c r="C251" s="19" t="s">
        <v>523</v>
      </c>
      <c r="D251" s="19" t="s">
        <v>524</v>
      </c>
      <c r="E251" s="20" t="s">
        <v>32</v>
      </c>
      <c r="F251" s="19" t="s">
        <v>523</v>
      </c>
      <c r="G251" s="19" t="s">
        <v>525</v>
      </c>
      <c r="H251" s="19" t="s">
        <v>32</v>
      </c>
      <c r="I251">
        <v>0</v>
      </c>
      <c r="J251">
        <v>8</v>
      </c>
      <c r="K251" s="1"/>
    </row>
    <row r="252" spans="1:11">
      <c r="A252" s="17" t="s">
        <v>73</v>
      </c>
      <c r="B252" s="19" t="s">
        <v>51</v>
      </c>
      <c r="C252" s="19" t="s">
        <v>893</v>
      </c>
      <c r="D252" s="19" t="s">
        <v>894</v>
      </c>
      <c r="E252" s="20" t="s">
        <v>32</v>
      </c>
      <c r="F252" s="19" t="s">
        <v>893</v>
      </c>
      <c r="G252" s="19" t="s">
        <v>895</v>
      </c>
      <c r="H252" s="19" t="s">
        <v>32</v>
      </c>
      <c r="I252">
        <v>0</v>
      </c>
      <c r="J252">
        <v>925</v>
      </c>
      <c r="K252" s="1"/>
    </row>
    <row r="253" spans="1:11">
      <c r="A253" s="17" t="s">
        <v>73</v>
      </c>
      <c r="B253" s="19" t="s">
        <v>51</v>
      </c>
      <c r="C253" s="19" t="s">
        <v>184</v>
      </c>
      <c r="D253" s="19" t="s">
        <v>185</v>
      </c>
      <c r="E253" s="20" t="s">
        <v>32</v>
      </c>
      <c r="F253" s="19" t="s">
        <v>184</v>
      </c>
      <c r="G253" s="19" t="s">
        <v>186</v>
      </c>
      <c r="H253" s="19" t="s">
        <v>32</v>
      </c>
      <c r="I253">
        <v>0</v>
      </c>
      <c r="J253">
        <v>1</v>
      </c>
      <c r="K253" s="1"/>
    </row>
    <row r="254" spans="1:11">
      <c r="A254" s="17" t="s">
        <v>73</v>
      </c>
      <c r="B254" s="19" t="s">
        <v>51</v>
      </c>
      <c r="C254" s="19" t="s">
        <v>896</v>
      </c>
      <c r="D254" s="19" t="s">
        <v>897</v>
      </c>
      <c r="E254" s="20" t="s">
        <v>32</v>
      </c>
      <c r="F254" s="19" t="s">
        <v>896</v>
      </c>
      <c r="G254" s="19" t="s">
        <v>898</v>
      </c>
      <c r="H254" s="19" t="s">
        <v>32</v>
      </c>
      <c r="I254">
        <v>0</v>
      </c>
      <c r="J254">
        <v>298</v>
      </c>
      <c r="K254" s="1"/>
    </row>
    <row r="255" spans="1:11">
      <c r="A255" s="17" t="s">
        <v>73</v>
      </c>
      <c r="B255" s="19" t="s">
        <v>51</v>
      </c>
      <c r="C255" s="19" t="s">
        <v>899</v>
      </c>
      <c r="D255" s="19" t="s">
        <v>900</v>
      </c>
      <c r="E255" s="20" t="s">
        <v>32</v>
      </c>
      <c r="F255" s="19" t="s">
        <v>899</v>
      </c>
      <c r="G255" s="19" t="s">
        <v>901</v>
      </c>
      <c r="H255" s="19" t="s">
        <v>32</v>
      </c>
      <c r="I255">
        <v>0</v>
      </c>
      <c r="J255">
        <v>195</v>
      </c>
      <c r="K255" s="1"/>
    </row>
    <row r="256" spans="1:11">
      <c r="A256" s="17" t="s">
        <v>73</v>
      </c>
      <c r="B256" s="19" t="s">
        <v>51</v>
      </c>
      <c r="C256" s="19" t="s">
        <v>902</v>
      </c>
      <c r="D256" s="19" t="s">
        <v>903</v>
      </c>
      <c r="E256" s="20" t="s">
        <v>32</v>
      </c>
      <c r="F256" s="19" t="s">
        <v>902</v>
      </c>
      <c r="G256" s="19" t="s">
        <v>904</v>
      </c>
      <c r="H256" s="19" t="s">
        <v>32</v>
      </c>
      <c r="I256">
        <v>0</v>
      </c>
      <c r="J256">
        <v>4859</v>
      </c>
      <c r="K256" s="1"/>
    </row>
    <row r="257" spans="1:11">
      <c r="A257" s="17" t="s">
        <v>73</v>
      </c>
      <c r="B257" s="19" t="s">
        <v>51</v>
      </c>
      <c r="C257" s="19" t="s">
        <v>905</v>
      </c>
      <c r="D257" s="19" t="s">
        <v>906</v>
      </c>
      <c r="E257" s="20" t="s">
        <v>32</v>
      </c>
      <c r="F257" s="19" t="s">
        <v>905</v>
      </c>
      <c r="G257" s="19" t="s">
        <v>907</v>
      </c>
      <c r="H257" s="19" t="s">
        <v>32</v>
      </c>
      <c r="I257">
        <v>0</v>
      </c>
      <c r="J257">
        <v>1313</v>
      </c>
      <c r="K257" s="1"/>
    </row>
    <row r="258" spans="1:11">
      <c r="A258" s="17" t="s">
        <v>75</v>
      </c>
      <c r="B258" s="19" t="s">
        <v>50</v>
      </c>
      <c r="C258" s="19" t="s">
        <v>526</v>
      </c>
      <c r="D258" s="19" t="s">
        <v>527</v>
      </c>
      <c r="E258" s="20" t="s">
        <v>32</v>
      </c>
      <c r="F258" s="19" t="s">
        <v>526</v>
      </c>
      <c r="G258" s="19" t="s">
        <v>528</v>
      </c>
      <c r="H258" s="19" t="s">
        <v>32</v>
      </c>
      <c r="I258">
        <v>0</v>
      </c>
      <c r="J258">
        <v>3714</v>
      </c>
      <c r="K258" s="1"/>
    </row>
    <row r="259" spans="1:11">
      <c r="A259" s="17" t="s">
        <v>75</v>
      </c>
      <c r="B259" s="19" t="s">
        <v>50</v>
      </c>
      <c r="C259" s="19" t="s">
        <v>529</v>
      </c>
      <c r="D259" s="19" t="s">
        <v>530</v>
      </c>
      <c r="E259" s="20" t="s">
        <v>32</v>
      </c>
      <c r="F259" s="19" t="s">
        <v>529</v>
      </c>
      <c r="G259" s="19" t="s">
        <v>531</v>
      </c>
      <c r="H259" s="19" t="s">
        <v>32</v>
      </c>
      <c r="I259">
        <v>0</v>
      </c>
      <c r="J259">
        <v>8910</v>
      </c>
      <c r="K259" s="1"/>
    </row>
    <row r="260" spans="1:11">
      <c r="A260" s="17" t="s">
        <v>75</v>
      </c>
      <c r="B260" s="19" t="s">
        <v>50</v>
      </c>
      <c r="C260" s="19" t="s">
        <v>908</v>
      </c>
      <c r="D260" s="19" t="s">
        <v>909</v>
      </c>
      <c r="E260" s="20" t="s">
        <v>32</v>
      </c>
      <c r="F260" s="19" t="s">
        <v>908</v>
      </c>
      <c r="G260" s="19" t="s">
        <v>910</v>
      </c>
      <c r="H260" s="19" t="s">
        <v>32</v>
      </c>
      <c r="I260">
        <v>0</v>
      </c>
      <c r="J260">
        <v>1</v>
      </c>
      <c r="K260" s="1"/>
    </row>
    <row r="261" spans="1:11">
      <c r="A261" s="17" t="s">
        <v>75</v>
      </c>
      <c r="B261" s="19" t="s">
        <v>50</v>
      </c>
      <c r="C261" s="19" t="s">
        <v>187</v>
      </c>
      <c r="D261" s="19" t="s">
        <v>188</v>
      </c>
      <c r="E261" s="20" t="s">
        <v>32</v>
      </c>
      <c r="F261" s="19" t="s">
        <v>187</v>
      </c>
      <c r="G261" s="19" t="s">
        <v>189</v>
      </c>
      <c r="H261" s="19" t="s">
        <v>32</v>
      </c>
      <c r="I261">
        <v>0</v>
      </c>
      <c r="J261">
        <v>4</v>
      </c>
      <c r="K261" s="1"/>
    </row>
    <row r="262" spans="1:11">
      <c r="A262" s="17" t="s">
        <v>75</v>
      </c>
      <c r="B262" s="19" t="s">
        <v>50</v>
      </c>
      <c r="C262" s="19" t="s">
        <v>190</v>
      </c>
      <c r="D262" s="19" t="s">
        <v>191</v>
      </c>
      <c r="E262" s="20" t="s">
        <v>32</v>
      </c>
      <c r="F262" s="19" t="s">
        <v>190</v>
      </c>
      <c r="G262" s="19" t="s">
        <v>192</v>
      </c>
      <c r="H262" s="19" t="s">
        <v>32</v>
      </c>
      <c r="I262">
        <v>0</v>
      </c>
      <c r="J262">
        <v>1</v>
      </c>
      <c r="K262" s="1"/>
    </row>
    <row r="263" spans="1:11">
      <c r="A263" s="17" t="s">
        <v>75</v>
      </c>
      <c r="B263" s="19" t="s">
        <v>50</v>
      </c>
      <c r="C263" s="19" t="s">
        <v>193</v>
      </c>
      <c r="D263" s="19" t="s">
        <v>194</v>
      </c>
      <c r="E263" s="20" t="s">
        <v>32</v>
      </c>
      <c r="F263" s="19" t="s">
        <v>193</v>
      </c>
      <c r="G263" s="19" t="s">
        <v>195</v>
      </c>
      <c r="H263" s="19" t="s">
        <v>32</v>
      </c>
      <c r="I263">
        <v>0</v>
      </c>
      <c r="J263">
        <v>4</v>
      </c>
      <c r="K263" s="1"/>
    </row>
    <row r="264" spans="1:11">
      <c r="A264" s="17" t="s">
        <v>75</v>
      </c>
      <c r="B264" s="19" t="s">
        <v>50</v>
      </c>
      <c r="C264" s="19" t="s">
        <v>196</v>
      </c>
      <c r="D264" s="19" t="s">
        <v>197</v>
      </c>
      <c r="E264" s="20" t="s">
        <v>32</v>
      </c>
      <c r="F264" s="19" t="s">
        <v>196</v>
      </c>
      <c r="G264" s="19" t="s">
        <v>198</v>
      </c>
      <c r="H264" s="19" t="s">
        <v>32</v>
      </c>
      <c r="I264">
        <v>0</v>
      </c>
      <c r="J264">
        <v>1</v>
      </c>
      <c r="K264" s="1"/>
    </row>
    <row r="265" spans="1:11">
      <c r="A265" s="17" t="s">
        <v>75</v>
      </c>
      <c r="B265" s="19" t="s">
        <v>50</v>
      </c>
      <c r="C265" s="19" t="s">
        <v>199</v>
      </c>
      <c r="D265" s="19" t="s">
        <v>200</v>
      </c>
      <c r="E265" s="20" t="s">
        <v>32</v>
      </c>
      <c r="F265" s="19" t="s">
        <v>199</v>
      </c>
      <c r="G265" s="19" t="s">
        <v>201</v>
      </c>
      <c r="H265" s="19" t="s">
        <v>32</v>
      </c>
      <c r="I265">
        <v>0</v>
      </c>
      <c r="J265">
        <v>1</v>
      </c>
      <c r="K265" s="1"/>
    </row>
    <row r="266" spans="1:11">
      <c r="A266" s="17" t="s">
        <v>75</v>
      </c>
      <c r="B266" s="19" t="s">
        <v>50</v>
      </c>
      <c r="C266" s="19" t="s">
        <v>202</v>
      </c>
      <c r="D266" s="19" t="s">
        <v>203</v>
      </c>
      <c r="E266" s="20" t="s">
        <v>32</v>
      </c>
      <c r="F266" s="19" t="s">
        <v>202</v>
      </c>
      <c r="G266" s="19" t="s">
        <v>204</v>
      </c>
      <c r="H266" s="19" t="s">
        <v>32</v>
      </c>
      <c r="I266">
        <v>0</v>
      </c>
      <c r="J266">
        <v>1</v>
      </c>
      <c r="K266" s="1"/>
    </row>
    <row r="267" spans="1:11">
      <c r="A267" s="17" t="s">
        <v>75</v>
      </c>
      <c r="B267" s="19" t="s">
        <v>50</v>
      </c>
      <c r="C267" s="19" t="s">
        <v>205</v>
      </c>
      <c r="D267" s="19" t="s">
        <v>206</v>
      </c>
      <c r="E267" s="20" t="s">
        <v>32</v>
      </c>
      <c r="F267" s="19" t="s">
        <v>205</v>
      </c>
      <c r="G267" s="19" t="s">
        <v>207</v>
      </c>
      <c r="H267" s="19" t="s">
        <v>32</v>
      </c>
      <c r="I267">
        <v>0</v>
      </c>
      <c r="J267">
        <v>53</v>
      </c>
      <c r="K267" s="1"/>
    </row>
    <row r="268" spans="1:11">
      <c r="A268" s="17" t="s">
        <v>75</v>
      </c>
      <c r="B268" s="19" t="s">
        <v>50</v>
      </c>
      <c r="C268" s="19" t="s">
        <v>208</v>
      </c>
      <c r="D268" s="19" t="s">
        <v>209</v>
      </c>
      <c r="E268" s="20" t="s">
        <v>32</v>
      </c>
      <c r="F268" s="19" t="s">
        <v>208</v>
      </c>
      <c r="G268" s="19" t="s">
        <v>210</v>
      </c>
      <c r="H268" s="19" t="s">
        <v>32</v>
      </c>
      <c r="I268">
        <v>0</v>
      </c>
      <c r="J268">
        <v>35</v>
      </c>
      <c r="K268" s="1"/>
    </row>
    <row r="269" spans="1:11">
      <c r="A269" s="17" t="s">
        <v>75</v>
      </c>
      <c r="B269" s="19" t="s">
        <v>50</v>
      </c>
      <c r="C269" s="19" t="s">
        <v>211</v>
      </c>
      <c r="D269" s="19" t="s">
        <v>212</v>
      </c>
      <c r="E269" s="20" t="s">
        <v>32</v>
      </c>
      <c r="F269" s="19" t="s">
        <v>211</v>
      </c>
      <c r="G269" s="19" t="s">
        <v>213</v>
      </c>
      <c r="H269" s="19" t="s">
        <v>32</v>
      </c>
      <c r="I269">
        <v>0</v>
      </c>
      <c r="J269">
        <v>8</v>
      </c>
      <c r="K269" s="1"/>
    </row>
    <row r="270" spans="1:11">
      <c r="A270" s="17" t="s">
        <v>75</v>
      </c>
      <c r="B270" s="19" t="s">
        <v>50</v>
      </c>
      <c r="C270" s="19" t="s">
        <v>214</v>
      </c>
      <c r="D270" s="19" t="s">
        <v>215</v>
      </c>
      <c r="E270" s="20" t="s">
        <v>32</v>
      </c>
      <c r="F270" s="19" t="s">
        <v>214</v>
      </c>
      <c r="G270" s="19" t="s">
        <v>216</v>
      </c>
      <c r="H270" s="19" t="s">
        <v>32</v>
      </c>
      <c r="I270">
        <v>0</v>
      </c>
      <c r="J270">
        <v>4</v>
      </c>
      <c r="K270" s="1"/>
    </row>
    <row r="271" spans="1:11">
      <c r="A271" s="17" t="s">
        <v>75</v>
      </c>
      <c r="B271" s="19" t="s">
        <v>50</v>
      </c>
      <c r="C271" s="19" t="s">
        <v>217</v>
      </c>
      <c r="D271" s="19" t="s">
        <v>218</v>
      </c>
      <c r="E271" s="20" t="s">
        <v>32</v>
      </c>
      <c r="F271" s="19" t="s">
        <v>217</v>
      </c>
      <c r="G271" s="19" t="s">
        <v>219</v>
      </c>
      <c r="H271" s="19" t="s">
        <v>32</v>
      </c>
      <c r="I271">
        <v>0</v>
      </c>
      <c r="J271">
        <v>10</v>
      </c>
      <c r="K271" s="1"/>
    </row>
    <row r="272" spans="1:11">
      <c r="A272" s="17" t="s">
        <v>75</v>
      </c>
      <c r="B272" s="19" t="s">
        <v>50</v>
      </c>
      <c r="C272" s="19" t="s">
        <v>220</v>
      </c>
      <c r="D272" s="19" t="s">
        <v>221</v>
      </c>
      <c r="E272" s="20" t="s">
        <v>32</v>
      </c>
      <c r="F272" s="19" t="s">
        <v>220</v>
      </c>
      <c r="G272" s="19" t="s">
        <v>222</v>
      </c>
      <c r="H272" s="19" t="s">
        <v>32</v>
      </c>
      <c r="I272">
        <v>0</v>
      </c>
      <c r="J272">
        <v>37</v>
      </c>
      <c r="K272" s="1"/>
    </row>
    <row r="273" spans="1:11">
      <c r="A273" s="17" t="s">
        <v>75</v>
      </c>
      <c r="B273" s="19" t="s">
        <v>50</v>
      </c>
      <c r="C273" s="19" t="s">
        <v>76</v>
      </c>
      <c r="D273" s="19" t="s">
        <v>77</v>
      </c>
      <c r="E273" s="20" t="s">
        <v>32</v>
      </c>
      <c r="F273" s="19" t="s">
        <v>76</v>
      </c>
      <c r="G273" s="19" t="s">
        <v>78</v>
      </c>
      <c r="H273" s="19" t="s">
        <v>32</v>
      </c>
      <c r="I273">
        <v>0</v>
      </c>
      <c r="J273">
        <v>1</v>
      </c>
      <c r="K273" s="1"/>
    </row>
    <row r="274" spans="1:11">
      <c r="A274" s="17" t="s">
        <v>75</v>
      </c>
      <c r="B274" s="19" t="s">
        <v>50</v>
      </c>
      <c r="C274" s="19" t="s">
        <v>223</v>
      </c>
      <c r="D274" s="19" t="s">
        <v>224</v>
      </c>
      <c r="E274" s="20" t="s">
        <v>32</v>
      </c>
      <c r="F274" s="19" t="s">
        <v>223</v>
      </c>
      <c r="G274" s="19" t="s">
        <v>225</v>
      </c>
      <c r="H274" s="19" t="s">
        <v>32</v>
      </c>
      <c r="I274">
        <v>0</v>
      </c>
      <c r="J274">
        <v>4</v>
      </c>
      <c r="K274" s="1"/>
    </row>
    <row r="275" spans="1:11">
      <c r="A275" s="17" t="s">
        <v>75</v>
      </c>
      <c r="B275" s="19" t="s">
        <v>50</v>
      </c>
      <c r="C275" s="19" t="s">
        <v>226</v>
      </c>
      <c r="D275" s="19" t="s">
        <v>227</v>
      </c>
      <c r="E275" s="20" t="s">
        <v>32</v>
      </c>
      <c r="F275" s="19" t="s">
        <v>226</v>
      </c>
      <c r="G275" s="19" t="s">
        <v>228</v>
      </c>
      <c r="H275" s="19" t="s">
        <v>32</v>
      </c>
      <c r="I275">
        <v>0</v>
      </c>
      <c r="J275">
        <v>6</v>
      </c>
      <c r="K275" s="1"/>
    </row>
    <row r="276" spans="1:11">
      <c r="A276" s="17" t="s">
        <v>75</v>
      </c>
      <c r="B276" s="19" t="s">
        <v>50</v>
      </c>
      <c r="C276" s="19" t="s">
        <v>229</v>
      </c>
      <c r="D276" s="19" t="s">
        <v>230</v>
      </c>
      <c r="E276" s="20" t="s">
        <v>32</v>
      </c>
      <c r="F276" s="19" t="s">
        <v>229</v>
      </c>
      <c r="G276" s="19" t="s">
        <v>231</v>
      </c>
      <c r="H276" s="19" t="s">
        <v>32</v>
      </c>
      <c r="I276">
        <v>0</v>
      </c>
      <c r="J276">
        <v>12</v>
      </c>
      <c r="K276" s="1"/>
    </row>
    <row r="277" spans="1:11">
      <c r="A277" s="17" t="s">
        <v>75</v>
      </c>
      <c r="B277" s="19" t="s">
        <v>50</v>
      </c>
      <c r="C277" s="19" t="s">
        <v>232</v>
      </c>
      <c r="D277" s="19" t="s">
        <v>233</v>
      </c>
      <c r="E277" s="20" t="s">
        <v>32</v>
      </c>
      <c r="F277" s="19" t="s">
        <v>232</v>
      </c>
      <c r="G277" s="19" t="s">
        <v>234</v>
      </c>
      <c r="H277" s="19" t="s">
        <v>32</v>
      </c>
      <c r="I277">
        <v>0</v>
      </c>
      <c r="J277">
        <v>9</v>
      </c>
      <c r="K277" s="1"/>
    </row>
    <row r="278" spans="1:11">
      <c r="A278" s="17" t="s">
        <v>75</v>
      </c>
      <c r="B278" s="19" t="s">
        <v>50</v>
      </c>
      <c r="C278" s="19" t="s">
        <v>235</v>
      </c>
      <c r="D278" s="19" t="s">
        <v>236</v>
      </c>
      <c r="E278" s="20" t="s">
        <v>32</v>
      </c>
      <c r="F278" s="19" t="s">
        <v>235</v>
      </c>
      <c r="G278" s="19" t="s">
        <v>237</v>
      </c>
      <c r="H278" s="19" t="s">
        <v>32</v>
      </c>
      <c r="I278">
        <v>0</v>
      </c>
      <c r="J278">
        <v>23</v>
      </c>
      <c r="K278" s="1"/>
    </row>
    <row r="279" spans="1:11">
      <c r="A279" s="17" t="s">
        <v>75</v>
      </c>
      <c r="B279" s="19" t="s">
        <v>50</v>
      </c>
      <c r="C279" s="19" t="s">
        <v>238</v>
      </c>
      <c r="D279" s="19" t="s">
        <v>239</v>
      </c>
      <c r="E279" s="20" t="s">
        <v>32</v>
      </c>
      <c r="F279" s="19" t="s">
        <v>238</v>
      </c>
      <c r="G279" s="19" t="s">
        <v>240</v>
      </c>
      <c r="H279" s="19" t="s">
        <v>32</v>
      </c>
      <c r="I279">
        <v>0</v>
      </c>
      <c r="J279">
        <v>42</v>
      </c>
      <c r="K279" s="1"/>
    </row>
    <row r="280" spans="1:11">
      <c r="A280" s="17" t="s">
        <v>75</v>
      </c>
      <c r="B280" s="19" t="s">
        <v>242</v>
      </c>
      <c r="C280" s="19" t="s">
        <v>532</v>
      </c>
      <c r="D280" s="19" t="s">
        <v>533</v>
      </c>
      <c r="E280" s="20" t="s">
        <v>32</v>
      </c>
      <c r="F280" s="19" t="s">
        <v>532</v>
      </c>
      <c r="G280" s="19" t="s">
        <v>534</v>
      </c>
      <c r="H280" s="19" t="s">
        <v>32</v>
      </c>
      <c r="I280">
        <v>9630392</v>
      </c>
      <c r="J280">
        <v>79061</v>
      </c>
      <c r="K280" s="1"/>
    </row>
    <row r="281" spans="1:11">
      <c r="A281" s="17" t="s">
        <v>75</v>
      </c>
      <c r="B281" s="19" t="s">
        <v>49</v>
      </c>
      <c r="C281" s="19" t="s">
        <v>911</v>
      </c>
      <c r="D281" s="19" t="s">
        <v>912</v>
      </c>
      <c r="E281" s="20" t="s">
        <v>12</v>
      </c>
      <c r="F281" s="19" t="s">
        <v>911</v>
      </c>
      <c r="G281" s="19" t="s">
        <v>913</v>
      </c>
      <c r="H281" s="19" t="s">
        <v>31</v>
      </c>
      <c r="I281">
        <v>1</v>
      </c>
      <c r="J281">
        <v>0</v>
      </c>
      <c r="K281" s="1"/>
    </row>
    <row r="282" spans="1:11">
      <c r="A282" s="17" t="s">
        <v>75</v>
      </c>
      <c r="B282" s="19" t="s">
        <v>49</v>
      </c>
      <c r="C282" s="19" t="s">
        <v>914</v>
      </c>
      <c r="D282" s="19" t="s">
        <v>915</v>
      </c>
      <c r="E282" s="20" t="s">
        <v>12</v>
      </c>
      <c r="F282" s="19" t="s">
        <v>914</v>
      </c>
      <c r="G282" s="19" t="s">
        <v>916</v>
      </c>
      <c r="H282" s="19" t="s">
        <v>31</v>
      </c>
      <c r="I282">
        <v>1</v>
      </c>
      <c r="J282">
        <v>0</v>
      </c>
      <c r="K282" s="1"/>
    </row>
    <row r="283" spans="1:11">
      <c r="A283" s="17" t="s">
        <v>75</v>
      </c>
      <c r="B283" s="19" t="s">
        <v>49</v>
      </c>
      <c r="C283" s="19" t="s">
        <v>917</v>
      </c>
      <c r="D283" s="19" t="s">
        <v>918</v>
      </c>
      <c r="E283" s="20" t="s">
        <v>12</v>
      </c>
      <c r="F283" s="19" t="s">
        <v>917</v>
      </c>
      <c r="G283" s="19" t="s">
        <v>919</v>
      </c>
      <c r="H283" s="19" t="s">
        <v>31</v>
      </c>
      <c r="I283">
        <v>1</v>
      </c>
      <c r="J283">
        <v>0</v>
      </c>
      <c r="K283" s="1"/>
    </row>
    <row r="284" spans="1:11">
      <c r="A284" s="17" t="s">
        <v>75</v>
      </c>
      <c r="B284" s="19" t="s">
        <v>49</v>
      </c>
      <c r="C284" s="19" t="s">
        <v>920</v>
      </c>
      <c r="D284" s="19" t="s">
        <v>921</v>
      </c>
      <c r="E284" s="20" t="s">
        <v>12</v>
      </c>
      <c r="F284" s="19" t="s">
        <v>920</v>
      </c>
      <c r="G284" s="19" t="s">
        <v>922</v>
      </c>
      <c r="H284" s="19" t="s">
        <v>31</v>
      </c>
      <c r="I284">
        <v>1</v>
      </c>
      <c r="J284">
        <v>0</v>
      </c>
      <c r="K284" s="1"/>
    </row>
    <row r="285" spans="1:11">
      <c r="A285" s="17" t="s">
        <v>75</v>
      </c>
      <c r="B285" s="19" t="s">
        <v>49</v>
      </c>
      <c r="C285" s="19" t="s">
        <v>923</v>
      </c>
      <c r="D285" s="19" t="s">
        <v>924</v>
      </c>
      <c r="E285" s="20" t="s">
        <v>12</v>
      </c>
      <c r="F285" s="19" t="s">
        <v>923</v>
      </c>
      <c r="G285" s="19" t="s">
        <v>925</v>
      </c>
      <c r="H285" s="19" t="s">
        <v>31</v>
      </c>
      <c r="I285">
        <v>1</v>
      </c>
      <c r="J285">
        <v>0</v>
      </c>
      <c r="K285" s="1"/>
    </row>
    <row r="286" spans="1:11">
      <c r="A286" s="17" t="s">
        <v>75</v>
      </c>
      <c r="B286" s="19" t="s">
        <v>49</v>
      </c>
      <c r="C286" s="19" t="s">
        <v>926</v>
      </c>
      <c r="D286" s="19" t="s">
        <v>927</v>
      </c>
      <c r="E286" s="20" t="s">
        <v>12</v>
      </c>
      <c r="F286" s="19" t="s">
        <v>926</v>
      </c>
      <c r="G286" s="19" t="s">
        <v>928</v>
      </c>
      <c r="H286" s="19" t="s">
        <v>31</v>
      </c>
      <c r="I286">
        <v>1</v>
      </c>
      <c r="J286">
        <v>0</v>
      </c>
      <c r="K286" s="1"/>
    </row>
    <row r="287" spans="1:11">
      <c r="A287" s="17" t="s">
        <v>75</v>
      </c>
      <c r="B287" s="19" t="s">
        <v>49</v>
      </c>
      <c r="C287" s="19" t="s">
        <v>929</v>
      </c>
      <c r="D287" s="19" t="s">
        <v>930</v>
      </c>
      <c r="E287" s="20" t="s">
        <v>12</v>
      </c>
      <c r="F287" s="19" t="s">
        <v>929</v>
      </c>
      <c r="G287" s="19" t="s">
        <v>931</v>
      </c>
      <c r="H287" s="19" t="s">
        <v>31</v>
      </c>
      <c r="I287">
        <v>1</v>
      </c>
      <c r="J287">
        <v>0</v>
      </c>
      <c r="K287" s="1"/>
    </row>
    <row r="288" spans="1:11">
      <c r="A288" s="17" t="s">
        <v>75</v>
      </c>
      <c r="B288" s="19" t="s">
        <v>49</v>
      </c>
      <c r="C288" s="19" t="s">
        <v>932</v>
      </c>
      <c r="D288" s="19" t="s">
        <v>933</v>
      </c>
      <c r="E288" s="20" t="s">
        <v>12</v>
      </c>
      <c r="F288" s="19" t="s">
        <v>932</v>
      </c>
      <c r="G288" s="19" t="s">
        <v>934</v>
      </c>
      <c r="H288" s="19" t="s">
        <v>31</v>
      </c>
      <c r="I288">
        <v>1</v>
      </c>
      <c r="J288">
        <v>0</v>
      </c>
      <c r="K288" s="1"/>
    </row>
    <row r="289" spans="1:11">
      <c r="A289" s="17" t="s">
        <v>75</v>
      </c>
      <c r="B289" s="19" t="s">
        <v>49</v>
      </c>
      <c r="C289" s="19" t="s">
        <v>935</v>
      </c>
      <c r="D289" s="19" t="s">
        <v>936</v>
      </c>
      <c r="E289" s="20" t="s">
        <v>12</v>
      </c>
      <c r="F289" s="19" t="s">
        <v>935</v>
      </c>
      <c r="G289" s="19" t="s">
        <v>937</v>
      </c>
      <c r="H289" s="19" t="s">
        <v>31</v>
      </c>
      <c r="I289">
        <v>1</v>
      </c>
      <c r="J289">
        <v>0</v>
      </c>
      <c r="K289" s="1"/>
    </row>
    <row r="290" spans="1:11">
      <c r="A290" s="17" t="s">
        <v>75</v>
      </c>
      <c r="B290" s="19" t="s">
        <v>49</v>
      </c>
      <c r="C290" s="19" t="s">
        <v>938</v>
      </c>
      <c r="D290" s="19" t="s">
        <v>939</v>
      </c>
      <c r="E290" s="20" t="s">
        <v>12</v>
      </c>
      <c r="F290" s="19" t="s">
        <v>938</v>
      </c>
      <c r="G290" s="19" t="s">
        <v>940</v>
      </c>
      <c r="H290" s="19" t="s">
        <v>31</v>
      </c>
      <c r="I290">
        <v>1</v>
      </c>
      <c r="J290">
        <v>0</v>
      </c>
      <c r="K290" s="1"/>
    </row>
    <row r="291" spans="1:11">
      <c r="A291" s="17" t="s">
        <v>75</v>
      </c>
      <c r="B291" s="19" t="s">
        <v>49</v>
      </c>
      <c r="C291" s="19" t="s">
        <v>535</v>
      </c>
      <c r="D291" s="19" t="s">
        <v>536</v>
      </c>
      <c r="E291" s="20" t="s">
        <v>245</v>
      </c>
      <c r="F291" s="19" t="s">
        <v>535</v>
      </c>
      <c r="G291" s="19" t="s">
        <v>537</v>
      </c>
      <c r="H291" s="19" t="s">
        <v>245</v>
      </c>
      <c r="I291">
        <v>4160445</v>
      </c>
      <c r="J291">
        <v>15517</v>
      </c>
      <c r="K291" s="1"/>
    </row>
    <row r="292" spans="1:11">
      <c r="A292" s="17" t="s">
        <v>75</v>
      </c>
      <c r="B292" s="19" t="s">
        <v>538</v>
      </c>
      <c r="C292" s="19" t="s">
        <v>539</v>
      </c>
      <c r="D292" s="19" t="s">
        <v>540</v>
      </c>
      <c r="E292" s="20" t="s">
        <v>245</v>
      </c>
      <c r="F292" s="19" t="s">
        <v>539</v>
      </c>
      <c r="G292" s="19" t="s">
        <v>541</v>
      </c>
      <c r="H292" s="19" t="s">
        <v>245</v>
      </c>
      <c r="I292">
        <v>65</v>
      </c>
      <c r="J292">
        <v>84</v>
      </c>
      <c r="K292" s="1"/>
    </row>
    <row r="293" spans="1:11">
      <c r="A293" s="17" t="s">
        <v>75</v>
      </c>
      <c r="B293" s="19" t="s">
        <v>538</v>
      </c>
      <c r="C293" s="19" t="s">
        <v>941</v>
      </c>
      <c r="D293" s="19" t="s">
        <v>942</v>
      </c>
      <c r="E293" s="20" t="s">
        <v>32</v>
      </c>
      <c r="F293" s="19" t="s">
        <v>941</v>
      </c>
      <c r="G293" s="19" t="s">
        <v>943</v>
      </c>
      <c r="H293" s="19" t="s">
        <v>32</v>
      </c>
      <c r="I293">
        <v>0</v>
      </c>
      <c r="J293">
        <v>1</v>
      </c>
      <c r="K293" s="1"/>
    </row>
    <row r="294" spans="1:11">
      <c r="A294" s="17" t="s">
        <v>75</v>
      </c>
      <c r="B294" s="19" t="s">
        <v>538</v>
      </c>
      <c r="C294" s="19" t="s">
        <v>944</v>
      </c>
      <c r="D294" s="19" t="s">
        <v>945</v>
      </c>
      <c r="E294" s="20" t="s">
        <v>32</v>
      </c>
      <c r="F294" s="19" t="s">
        <v>944</v>
      </c>
      <c r="G294" s="19" t="s">
        <v>946</v>
      </c>
      <c r="H294" s="19" t="s">
        <v>32</v>
      </c>
      <c r="I294">
        <v>0</v>
      </c>
      <c r="J294">
        <v>1</v>
      </c>
      <c r="K294" s="1"/>
    </row>
    <row r="295" spans="1:11">
      <c r="A295" s="17" t="s">
        <v>75</v>
      </c>
      <c r="B295" s="19" t="s">
        <v>947</v>
      </c>
      <c r="C295" s="19" t="s">
        <v>948</v>
      </c>
      <c r="D295" s="19" t="s">
        <v>949</v>
      </c>
      <c r="E295" s="20" t="s">
        <v>32</v>
      </c>
      <c r="F295" s="19" t="s">
        <v>948</v>
      </c>
      <c r="G295" s="19" t="s">
        <v>950</v>
      </c>
      <c r="H295" s="19" t="s">
        <v>32</v>
      </c>
      <c r="I295">
        <v>0</v>
      </c>
      <c r="J295">
        <v>1</v>
      </c>
      <c r="K295" s="1"/>
    </row>
    <row r="296" spans="1:11">
      <c r="A296" s="17" t="s">
        <v>79</v>
      </c>
      <c r="B296" s="19" t="s">
        <v>50</v>
      </c>
      <c r="C296" s="19" t="s">
        <v>951</v>
      </c>
      <c r="D296" s="19" t="s">
        <v>952</v>
      </c>
      <c r="E296" s="20" t="s">
        <v>32</v>
      </c>
      <c r="F296" s="19" t="s">
        <v>951</v>
      </c>
      <c r="G296" s="19" t="s">
        <v>953</v>
      </c>
      <c r="H296" s="19" t="s">
        <v>32</v>
      </c>
      <c r="I296">
        <v>0</v>
      </c>
      <c r="J296">
        <v>1</v>
      </c>
      <c r="K296" s="1"/>
    </row>
    <row r="297" spans="1:11">
      <c r="A297" s="17" t="s">
        <v>79</v>
      </c>
      <c r="B297" s="19" t="s">
        <v>50</v>
      </c>
      <c r="C297" s="19" t="s">
        <v>954</v>
      </c>
      <c r="D297" s="19" t="s">
        <v>955</v>
      </c>
      <c r="E297" s="20" t="s">
        <v>32</v>
      </c>
      <c r="F297" s="19" t="s">
        <v>954</v>
      </c>
      <c r="G297" s="19" t="s">
        <v>956</v>
      </c>
      <c r="H297" s="19" t="s">
        <v>32</v>
      </c>
      <c r="I297">
        <v>0</v>
      </c>
      <c r="J297">
        <v>454</v>
      </c>
      <c r="K297" s="1"/>
    </row>
    <row r="298" spans="1:11">
      <c r="A298" s="17" t="s">
        <v>79</v>
      </c>
      <c r="B298" s="19" t="s">
        <v>50</v>
      </c>
      <c r="C298" s="19" t="s">
        <v>957</v>
      </c>
      <c r="D298" s="19" t="s">
        <v>958</v>
      </c>
      <c r="E298" s="20" t="s">
        <v>32</v>
      </c>
      <c r="F298" s="19" t="s">
        <v>957</v>
      </c>
      <c r="G298" s="19" t="s">
        <v>959</v>
      </c>
      <c r="H298" s="19" t="s">
        <v>32</v>
      </c>
      <c r="I298">
        <v>0</v>
      </c>
      <c r="J298">
        <v>16155</v>
      </c>
      <c r="K298" s="1"/>
    </row>
    <row r="299" spans="1:11">
      <c r="A299" s="17" t="s">
        <v>79</v>
      </c>
      <c r="B299" s="19" t="s">
        <v>50</v>
      </c>
      <c r="C299" s="19" t="s">
        <v>960</v>
      </c>
      <c r="D299" s="19" t="s">
        <v>961</v>
      </c>
      <c r="E299" s="20" t="s">
        <v>32</v>
      </c>
      <c r="F299" s="19" t="s">
        <v>960</v>
      </c>
      <c r="G299" s="19" t="s">
        <v>962</v>
      </c>
      <c r="H299" s="19" t="s">
        <v>32</v>
      </c>
      <c r="I299">
        <v>0</v>
      </c>
      <c r="J299">
        <v>959</v>
      </c>
      <c r="K299" s="1"/>
    </row>
    <row r="300" spans="1:11">
      <c r="A300" s="17" t="s">
        <v>79</v>
      </c>
      <c r="B300" s="19" t="s">
        <v>50</v>
      </c>
      <c r="C300" s="19" t="s">
        <v>963</v>
      </c>
      <c r="D300" s="19" t="s">
        <v>964</v>
      </c>
      <c r="E300" s="20" t="s">
        <v>32</v>
      </c>
      <c r="F300" s="19" t="s">
        <v>963</v>
      </c>
      <c r="G300" s="19" t="s">
        <v>965</v>
      </c>
      <c r="H300" s="19" t="s">
        <v>32</v>
      </c>
      <c r="I300">
        <v>0</v>
      </c>
      <c r="J300">
        <v>2338</v>
      </c>
      <c r="K300" s="1"/>
    </row>
    <row r="301" spans="1:11">
      <c r="A301" s="17" t="s">
        <v>79</v>
      </c>
      <c r="B301" s="19" t="s">
        <v>50</v>
      </c>
      <c r="C301" s="19" t="s">
        <v>542</v>
      </c>
      <c r="D301" s="19" t="s">
        <v>543</v>
      </c>
      <c r="E301" s="20" t="s">
        <v>32</v>
      </c>
      <c r="F301" s="19" t="s">
        <v>542</v>
      </c>
      <c r="G301" s="19" t="s">
        <v>544</v>
      </c>
      <c r="H301" s="19" t="s">
        <v>32</v>
      </c>
      <c r="I301">
        <v>0</v>
      </c>
      <c r="J301">
        <v>6</v>
      </c>
      <c r="K301" s="1"/>
    </row>
    <row r="302" spans="1:11">
      <c r="A302" s="17" t="s">
        <v>79</v>
      </c>
      <c r="B302" s="19" t="s">
        <v>50</v>
      </c>
      <c r="C302" s="19" t="s">
        <v>545</v>
      </c>
      <c r="D302" s="19" t="s">
        <v>546</v>
      </c>
      <c r="E302" s="20" t="s">
        <v>32</v>
      </c>
      <c r="F302" s="19" t="s">
        <v>545</v>
      </c>
      <c r="G302" s="19" t="s">
        <v>547</v>
      </c>
      <c r="H302" s="19" t="s">
        <v>32</v>
      </c>
      <c r="I302">
        <v>0</v>
      </c>
      <c r="J302">
        <v>34</v>
      </c>
      <c r="K302" s="1"/>
    </row>
    <row r="303" spans="1:11">
      <c r="A303" s="17" t="s">
        <v>79</v>
      </c>
      <c r="B303" s="19" t="s">
        <v>50</v>
      </c>
      <c r="C303" s="19" t="s">
        <v>966</v>
      </c>
      <c r="D303" s="19" t="s">
        <v>967</v>
      </c>
      <c r="E303" s="20" t="s">
        <v>32</v>
      </c>
      <c r="F303" s="19" t="s">
        <v>966</v>
      </c>
      <c r="G303" s="19" t="s">
        <v>968</v>
      </c>
      <c r="H303" s="19" t="s">
        <v>32</v>
      </c>
      <c r="I303">
        <v>0</v>
      </c>
      <c r="J303">
        <v>1764</v>
      </c>
      <c r="K303" s="1"/>
    </row>
    <row r="304" spans="1:11">
      <c r="A304" s="17" t="s">
        <v>79</v>
      </c>
      <c r="B304" s="19" t="s">
        <v>50</v>
      </c>
      <c r="C304" s="19" t="s">
        <v>969</v>
      </c>
      <c r="D304" s="19" t="s">
        <v>970</v>
      </c>
      <c r="E304" s="20" t="s">
        <v>32</v>
      </c>
      <c r="F304" s="19" t="s">
        <v>969</v>
      </c>
      <c r="G304" s="19" t="s">
        <v>971</v>
      </c>
      <c r="H304" s="19" t="s">
        <v>32</v>
      </c>
      <c r="I304">
        <v>0</v>
      </c>
      <c r="J304">
        <v>2</v>
      </c>
      <c r="K304" s="1"/>
    </row>
    <row r="305" spans="1:11">
      <c r="A305" s="17" t="s">
        <v>79</v>
      </c>
      <c r="B305" s="19" t="s">
        <v>50</v>
      </c>
      <c r="C305" s="19" t="s">
        <v>972</v>
      </c>
      <c r="D305" s="19" t="s">
        <v>973</v>
      </c>
      <c r="E305" s="20" t="s">
        <v>32</v>
      </c>
      <c r="F305" s="19" t="s">
        <v>972</v>
      </c>
      <c r="G305" s="19" t="s">
        <v>974</v>
      </c>
      <c r="H305" s="19" t="s">
        <v>32</v>
      </c>
      <c r="I305">
        <v>0</v>
      </c>
      <c r="J305">
        <v>3</v>
      </c>
      <c r="K305" s="1"/>
    </row>
    <row r="306" spans="1:11">
      <c r="A306" s="17" t="s">
        <v>79</v>
      </c>
      <c r="B306" s="19" t="s">
        <v>50</v>
      </c>
      <c r="C306" s="19" t="s">
        <v>975</v>
      </c>
      <c r="D306" s="19" t="s">
        <v>976</v>
      </c>
      <c r="E306" s="20" t="s">
        <v>32</v>
      </c>
      <c r="F306" s="19" t="s">
        <v>975</v>
      </c>
      <c r="G306" s="19" t="s">
        <v>977</v>
      </c>
      <c r="H306" s="19" t="s">
        <v>32</v>
      </c>
      <c r="I306">
        <v>0</v>
      </c>
      <c r="J306">
        <v>4899</v>
      </c>
      <c r="K306" s="1"/>
    </row>
    <row r="307" spans="1:11">
      <c r="A307" s="17" t="s">
        <v>79</v>
      </c>
      <c r="B307" s="19" t="s">
        <v>50</v>
      </c>
      <c r="C307" s="19" t="s">
        <v>978</v>
      </c>
      <c r="D307" s="19" t="s">
        <v>979</v>
      </c>
      <c r="E307" s="20" t="s">
        <v>32</v>
      </c>
      <c r="F307" s="19" t="s">
        <v>978</v>
      </c>
      <c r="G307" s="19" t="s">
        <v>980</v>
      </c>
      <c r="H307" s="19" t="s">
        <v>32</v>
      </c>
      <c r="I307">
        <v>0</v>
      </c>
      <c r="J307">
        <v>4295</v>
      </c>
      <c r="K307" s="1"/>
    </row>
    <row r="308" spans="1:11">
      <c r="A308" s="17" t="s">
        <v>79</v>
      </c>
      <c r="B308" s="19" t="s">
        <v>50</v>
      </c>
      <c r="C308" s="19" t="s">
        <v>981</v>
      </c>
      <c r="D308" s="19" t="s">
        <v>982</v>
      </c>
      <c r="E308" s="20" t="s">
        <v>32</v>
      </c>
      <c r="F308" s="19" t="s">
        <v>981</v>
      </c>
      <c r="G308" s="19" t="s">
        <v>983</v>
      </c>
      <c r="H308" s="19" t="s">
        <v>32</v>
      </c>
      <c r="I308">
        <v>0</v>
      </c>
      <c r="J308">
        <v>4296</v>
      </c>
      <c r="K308" s="1"/>
    </row>
    <row r="309" spans="1:11">
      <c r="A309" s="17" t="s">
        <v>79</v>
      </c>
      <c r="B309" s="19" t="s">
        <v>50</v>
      </c>
      <c r="C309" s="19" t="s">
        <v>984</v>
      </c>
      <c r="D309" s="19" t="s">
        <v>985</v>
      </c>
      <c r="E309" s="20" t="s">
        <v>32</v>
      </c>
      <c r="F309" s="19" t="s">
        <v>984</v>
      </c>
      <c r="G309" s="19" t="s">
        <v>986</v>
      </c>
      <c r="H309" s="19" t="s">
        <v>32</v>
      </c>
      <c r="I309">
        <v>0</v>
      </c>
      <c r="J309">
        <v>7415</v>
      </c>
      <c r="K309" s="1"/>
    </row>
    <row r="310" spans="1:11">
      <c r="A310" s="17" t="s">
        <v>79</v>
      </c>
      <c r="B310" s="19" t="s">
        <v>50</v>
      </c>
      <c r="C310" s="19" t="s">
        <v>548</v>
      </c>
      <c r="D310" s="19" t="s">
        <v>549</v>
      </c>
      <c r="E310" s="20" t="s">
        <v>32</v>
      </c>
      <c r="F310" s="19" t="s">
        <v>548</v>
      </c>
      <c r="G310" s="19" t="s">
        <v>550</v>
      </c>
      <c r="H310" s="19" t="s">
        <v>32</v>
      </c>
      <c r="I310">
        <v>0</v>
      </c>
      <c r="J310">
        <v>50</v>
      </c>
      <c r="K310" s="1"/>
    </row>
    <row r="311" spans="1:11">
      <c r="A311" s="17" t="s">
        <v>79</v>
      </c>
      <c r="B311" s="19" t="s">
        <v>49</v>
      </c>
      <c r="C311" s="19" t="s">
        <v>987</v>
      </c>
      <c r="D311" s="19" t="s">
        <v>988</v>
      </c>
      <c r="E311" s="20" t="s">
        <v>12</v>
      </c>
      <c r="F311" s="19" t="s">
        <v>987</v>
      </c>
      <c r="G311" s="19" t="s">
        <v>989</v>
      </c>
      <c r="H311" s="19" t="s">
        <v>31</v>
      </c>
      <c r="I311">
        <v>58423</v>
      </c>
      <c r="J311">
        <v>17</v>
      </c>
      <c r="K311" s="1"/>
    </row>
    <row r="312" spans="1:11">
      <c r="A312" s="17" t="s">
        <v>79</v>
      </c>
      <c r="B312" s="19" t="s">
        <v>49</v>
      </c>
      <c r="C312" s="19" t="s">
        <v>990</v>
      </c>
      <c r="D312" s="19" t="s">
        <v>991</v>
      </c>
      <c r="E312" s="20" t="s">
        <v>12</v>
      </c>
      <c r="F312" s="19" t="s">
        <v>990</v>
      </c>
      <c r="G312" s="19" t="s">
        <v>992</v>
      </c>
      <c r="H312" s="19" t="s">
        <v>31</v>
      </c>
      <c r="I312">
        <v>158762</v>
      </c>
      <c r="J312">
        <v>94</v>
      </c>
      <c r="K312" s="1"/>
    </row>
    <row r="313" spans="1:11">
      <c r="A313" s="17" t="s">
        <v>79</v>
      </c>
      <c r="B313" s="19" t="s">
        <v>49</v>
      </c>
      <c r="C313" s="19" t="s">
        <v>993</v>
      </c>
      <c r="D313" s="19" t="s">
        <v>994</v>
      </c>
      <c r="E313" s="20" t="s">
        <v>12</v>
      </c>
      <c r="F313" s="19" t="s">
        <v>993</v>
      </c>
      <c r="G313" s="19" t="s">
        <v>995</v>
      </c>
      <c r="H313" s="19" t="s">
        <v>31</v>
      </c>
      <c r="I313">
        <v>1</v>
      </c>
      <c r="J313">
        <v>0</v>
      </c>
      <c r="K313" s="1"/>
    </row>
    <row r="314" spans="1:11">
      <c r="A314" s="17" t="s">
        <v>79</v>
      </c>
      <c r="B314" s="19" t="s">
        <v>49</v>
      </c>
      <c r="C314" s="19" t="s">
        <v>996</v>
      </c>
      <c r="D314" s="19" t="s">
        <v>997</v>
      </c>
      <c r="E314" s="20" t="s">
        <v>12</v>
      </c>
      <c r="F314" s="19" t="s">
        <v>996</v>
      </c>
      <c r="G314" s="19" t="s">
        <v>998</v>
      </c>
      <c r="H314" s="19" t="s">
        <v>31</v>
      </c>
      <c r="I314">
        <v>1</v>
      </c>
      <c r="J314">
        <v>0</v>
      </c>
      <c r="K314" s="1"/>
    </row>
    <row r="315" spans="1:11">
      <c r="A315" s="17" t="s">
        <v>79</v>
      </c>
      <c r="B315" s="19" t="s">
        <v>49</v>
      </c>
      <c r="C315" s="19" t="s">
        <v>999</v>
      </c>
      <c r="D315" s="19" t="s">
        <v>1000</v>
      </c>
      <c r="E315" s="20" t="s">
        <v>12</v>
      </c>
      <c r="F315" s="19" t="s">
        <v>999</v>
      </c>
      <c r="G315" s="19" t="s">
        <v>1001</v>
      </c>
      <c r="H315" s="19" t="s">
        <v>31</v>
      </c>
      <c r="I315">
        <v>57217</v>
      </c>
      <c r="J315">
        <v>12</v>
      </c>
      <c r="K315" s="1"/>
    </row>
    <row r="316" spans="1:11">
      <c r="A316" s="17" t="s">
        <v>79</v>
      </c>
      <c r="B316" s="19" t="s">
        <v>49</v>
      </c>
      <c r="C316" s="19" t="s">
        <v>1002</v>
      </c>
      <c r="D316" s="19" t="s">
        <v>1003</v>
      </c>
      <c r="E316" s="20" t="s">
        <v>12</v>
      </c>
      <c r="F316" s="19" t="s">
        <v>1002</v>
      </c>
      <c r="G316" s="19" t="s">
        <v>1004</v>
      </c>
      <c r="H316" s="19" t="s">
        <v>31</v>
      </c>
      <c r="I316">
        <v>165446</v>
      </c>
      <c r="J316">
        <v>123</v>
      </c>
      <c r="K316" s="1"/>
    </row>
    <row r="317" spans="1:11">
      <c r="A317" s="17" t="s">
        <v>79</v>
      </c>
      <c r="B317" s="19" t="s">
        <v>49</v>
      </c>
      <c r="C317" s="19" t="s">
        <v>1005</v>
      </c>
      <c r="D317" s="19" t="s">
        <v>1006</v>
      </c>
      <c r="E317" s="20" t="s">
        <v>12</v>
      </c>
      <c r="F317" s="19" t="s">
        <v>1005</v>
      </c>
      <c r="G317" s="19" t="s">
        <v>1007</v>
      </c>
      <c r="H317" s="19" t="s">
        <v>31</v>
      </c>
      <c r="I317">
        <v>1</v>
      </c>
      <c r="J317">
        <v>0</v>
      </c>
      <c r="K317" s="1"/>
    </row>
    <row r="318" spans="1:11">
      <c r="A318" s="17" t="s">
        <v>79</v>
      </c>
      <c r="B318" s="19" t="s">
        <v>49</v>
      </c>
      <c r="C318" s="19" t="s">
        <v>1008</v>
      </c>
      <c r="D318" s="19" t="s">
        <v>1009</v>
      </c>
      <c r="E318" s="20" t="s">
        <v>12</v>
      </c>
      <c r="F318" s="19" t="s">
        <v>1008</v>
      </c>
      <c r="G318" s="19" t="s">
        <v>1010</v>
      </c>
      <c r="H318" s="19" t="s">
        <v>31</v>
      </c>
      <c r="I318">
        <v>1</v>
      </c>
      <c r="J318">
        <v>0</v>
      </c>
      <c r="K318" s="1"/>
    </row>
    <row r="319" spans="1:11">
      <c r="A319" s="17" t="s">
        <v>79</v>
      </c>
      <c r="B319" s="19" t="s">
        <v>49</v>
      </c>
      <c r="C319" s="19" t="s">
        <v>80</v>
      </c>
      <c r="D319" s="19" t="s">
        <v>81</v>
      </c>
      <c r="E319" s="20" t="s">
        <v>12</v>
      </c>
      <c r="F319" s="19" t="s">
        <v>80</v>
      </c>
      <c r="G319" s="19" t="s">
        <v>82</v>
      </c>
      <c r="H319" s="19" t="s">
        <v>31</v>
      </c>
      <c r="I319">
        <v>300</v>
      </c>
      <c r="J319">
        <v>22</v>
      </c>
      <c r="K319" s="1"/>
    </row>
    <row r="320" spans="1:11">
      <c r="A320" s="17" t="s">
        <v>79</v>
      </c>
      <c r="B320" s="19" t="s">
        <v>49</v>
      </c>
      <c r="C320" s="19" t="s">
        <v>1011</v>
      </c>
      <c r="D320" s="19" t="s">
        <v>1012</v>
      </c>
      <c r="E320" s="20" t="s">
        <v>12</v>
      </c>
      <c r="F320" s="19" t="s">
        <v>1011</v>
      </c>
      <c r="G320" s="19" t="s">
        <v>1013</v>
      </c>
      <c r="H320" s="19" t="s">
        <v>31</v>
      </c>
      <c r="I320">
        <v>12190</v>
      </c>
      <c r="J320">
        <v>11</v>
      </c>
      <c r="K320" s="1"/>
    </row>
    <row r="321" spans="1:11">
      <c r="A321" s="17" t="s">
        <v>79</v>
      </c>
      <c r="B321" s="19" t="s">
        <v>49</v>
      </c>
      <c r="C321" s="19" t="s">
        <v>1014</v>
      </c>
      <c r="D321" s="19" t="s">
        <v>1015</v>
      </c>
      <c r="E321" s="20" t="s">
        <v>12</v>
      </c>
      <c r="F321" s="19" t="s">
        <v>1014</v>
      </c>
      <c r="G321" s="19" t="s">
        <v>1016</v>
      </c>
      <c r="H321" s="19" t="s">
        <v>31</v>
      </c>
      <c r="I321">
        <v>241964</v>
      </c>
      <c r="J321">
        <v>104</v>
      </c>
      <c r="K321" s="1"/>
    </row>
    <row r="322" spans="1:11">
      <c r="A322" s="17" t="s">
        <v>79</v>
      </c>
      <c r="B322" s="19" t="s">
        <v>49</v>
      </c>
      <c r="C322" s="19" t="s">
        <v>1017</v>
      </c>
      <c r="D322" s="19" t="s">
        <v>1018</v>
      </c>
      <c r="E322" s="20" t="s">
        <v>12</v>
      </c>
      <c r="F322" s="19" t="s">
        <v>1017</v>
      </c>
      <c r="G322" s="19" t="s">
        <v>1019</v>
      </c>
      <c r="H322" s="19" t="s">
        <v>31</v>
      </c>
      <c r="I322">
        <v>51255</v>
      </c>
      <c r="J322">
        <v>35</v>
      </c>
      <c r="K322" s="1"/>
    </row>
    <row r="323" spans="1:11">
      <c r="A323" s="17" t="s">
        <v>79</v>
      </c>
      <c r="B323" s="19" t="s">
        <v>49</v>
      </c>
      <c r="C323" s="19" t="s">
        <v>1020</v>
      </c>
      <c r="D323" s="19" t="s">
        <v>1021</v>
      </c>
      <c r="E323" s="20" t="s">
        <v>12</v>
      </c>
      <c r="F323" s="19" t="s">
        <v>1020</v>
      </c>
      <c r="G323" s="19" t="s">
        <v>1022</v>
      </c>
      <c r="H323" s="19" t="s">
        <v>31</v>
      </c>
      <c r="I323">
        <v>24221</v>
      </c>
      <c r="J323">
        <v>16</v>
      </c>
      <c r="K323" s="1"/>
    </row>
    <row r="324" spans="1:11">
      <c r="A324" s="17" t="s">
        <v>79</v>
      </c>
      <c r="B324" s="19" t="s">
        <v>49</v>
      </c>
      <c r="C324" s="19" t="s">
        <v>1023</v>
      </c>
      <c r="D324" s="19" t="s">
        <v>1024</v>
      </c>
      <c r="E324" s="20" t="s">
        <v>12</v>
      </c>
      <c r="F324" s="19" t="s">
        <v>1023</v>
      </c>
      <c r="G324" s="19" t="s">
        <v>1025</v>
      </c>
      <c r="H324" s="19" t="s">
        <v>31</v>
      </c>
      <c r="I324">
        <v>14380</v>
      </c>
      <c r="J324">
        <v>7</v>
      </c>
      <c r="K324" s="1"/>
    </row>
    <row r="325" spans="1:11">
      <c r="A325" s="17" t="s">
        <v>79</v>
      </c>
      <c r="B325" s="19" t="s">
        <v>49</v>
      </c>
      <c r="C325" s="19" t="s">
        <v>1026</v>
      </c>
      <c r="D325" s="19" t="s">
        <v>1027</v>
      </c>
      <c r="E325" s="20" t="s">
        <v>12</v>
      </c>
      <c r="F325" s="19" t="s">
        <v>1026</v>
      </c>
      <c r="G325" s="19" t="s">
        <v>1028</v>
      </c>
      <c r="H325" s="19" t="s">
        <v>31</v>
      </c>
      <c r="I325">
        <v>5525</v>
      </c>
      <c r="J325">
        <v>4</v>
      </c>
      <c r="K325" s="1"/>
    </row>
    <row r="326" spans="1:11">
      <c r="A326" s="17" t="s">
        <v>79</v>
      </c>
      <c r="B326" s="19" t="s">
        <v>49</v>
      </c>
      <c r="C326" s="19" t="s">
        <v>1029</v>
      </c>
      <c r="D326" s="19" t="s">
        <v>1030</v>
      </c>
      <c r="E326" s="20" t="s">
        <v>12</v>
      </c>
      <c r="F326" s="19" t="s">
        <v>1029</v>
      </c>
      <c r="G326" s="19" t="s">
        <v>1031</v>
      </c>
      <c r="H326" s="19" t="s">
        <v>31</v>
      </c>
      <c r="I326">
        <v>132810</v>
      </c>
      <c r="J326">
        <v>71</v>
      </c>
      <c r="K326" s="1"/>
    </row>
    <row r="327" spans="1:11">
      <c r="A327" s="17" t="s">
        <v>79</v>
      </c>
      <c r="B327" s="19" t="s">
        <v>49</v>
      </c>
      <c r="C327" s="19" t="s">
        <v>1032</v>
      </c>
      <c r="D327" s="19" t="s">
        <v>1033</v>
      </c>
      <c r="E327" s="20" t="s">
        <v>12</v>
      </c>
      <c r="F327" s="19" t="s">
        <v>1032</v>
      </c>
      <c r="G327" s="19" t="s">
        <v>1034</v>
      </c>
      <c r="H327" s="19" t="s">
        <v>31</v>
      </c>
      <c r="I327">
        <v>34278</v>
      </c>
      <c r="J327">
        <v>20</v>
      </c>
      <c r="K327" s="1"/>
    </row>
    <row r="328" spans="1:11">
      <c r="A328" s="17" t="s">
        <v>79</v>
      </c>
      <c r="B328" s="19" t="s">
        <v>49</v>
      </c>
      <c r="C328" s="19" t="s">
        <v>1035</v>
      </c>
      <c r="D328" s="19" t="s">
        <v>1036</v>
      </c>
      <c r="E328" s="20" t="s">
        <v>12</v>
      </c>
      <c r="F328" s="19" t="s">
        <v>1035</v>
      </c>
      <c r="G328" s="19" t="s">
        <v>1037</v>
      </c>
      <c r="H328" s="19" t="s">
        <v>31</v>
      </c>
      <c r="I328">
        <v>35313</v>
      </c>
      <c r="J328">
        <v>32</v>
      </c>
      <c r="K328" s="1"/>
    </row>
    <row r="329" spans="1:11">
      <c r="A329" s="17" t="s">
        <v>79</v>
      </c>
      <c r="B329" s="19" t="s">
        <v>49</v>
      </c>
      <c r="C329" s="19" t="s">
        <v>1038</v>
      </c>
      <c r="D329" s="19" t="s">
        <v>1039</v>
      </c>
      <c r="E329" s="20" t="s">
        <v>12</v>
      </c>
      <c r="F329" s="19" t="s">
        <v>1038</v>
      </c>
      <c r="G329" s="19" t="s">
        <v>1040</v>
      </c>
      <c r="H329" s="19" t="s">
        <v>31</v>
      </c>
      <c r="I329">
        <v>74091</v>
      </c>
      <c r="J329">
        <v>72</v>
      </c>
      <c r="K329" s="1"/>
    </row>
    <row r="330" spans="1:11">
      <c r="A330" s="17" t="s">
        <v>79</v>
      </c>
      <c r="B330" s="19" t="s">
        <v>49</v>
      </c>
      <c r="C330" s="19" t="s">
        <v>1041</v>
      </c>
      <c r="D330" s="19" t="s">
        <v>1042</v>
      </c>
      <c r="E330" s="20" t="s">
        <v>12</v>
      </c>
      <c r="F330" s="19" t="s">
        <v>1041</v>
      </c>
      <c r="G330" s="19" t="s">
        <v>1043</v>
      </c>
      <c r="H330" s="19" t="s">
        <v>31</v>
      </c>
      <c r="I330">
        <v>26830</v>
      </c>
      <c r="J330">
        <v>36</v>
      </c>
      <c r="K330" s="1"/>
    </row>
    <row r="331" spans="1:11">
      <c r="A331" s="17" t="s">
        <v>79</v>
      </c>
      <c r="B331" s="19" t="s">
        <v>49</v>
      </c>
      <c r="C331" s="19" t="s">
        <v>1044</v>
      </c>
      <c r="D331" s="19" t="s">
        <v>1045</v>
      </c>
      <c r="E331" s="20" t="s">
        <v>12</v>
      </c>
      <c r="F331" s="19" t="s">
        <v>1044</v>
      </c>
      <c r="G331" s="19" t="s">
        <v>1046</v>
      </c>
      <c r="H331" s="19" t="s">
        <v>31</v>
      </c>
      <c r="I331">
        <v>25615</v>
      </c>
      <c r="J331">
        <v>36</v>
      </c>
      <c r="K331" s="1"/>
    </row>
    <row r="332" spans="1:11">
      <c r="A332" s="17" t="s">
        <v>79</v>
      </c>
      <c r="B332" s="19" t="s">
        <v>1047</v>
      </c>
      <c r="C332" s="19" t="s">
        <v>1048</v>
      </c>
      <c r="D332" s="19" t="s">
        <v>1049</v>
      </c>
      <c r="E332" s="20" t="s">
        <v>32</v>
      </c>
      <c r="F332" s="19" t="s">
        <v>1048</v>
      </c>
      <c r="G332" s="19" t="s">
        <v>1050</v>
      </c>
      <c r="H332" s="19" t="s">
        <v>32</v>
      </c>
      <c r="I332">
        <v>0</v>
      </c>
      <c r="J332">
        <v>261</v>
      </c>
      <c r="K332" s="1"/>
    </row>
    <row r="333" spans="1:11">
      <c r="A333" s="17" t="s">
        <v>79</v>
      </c>
      <c r="B333" s="19" t="s">
        <v>1047</v>
      </c>
      <c r="C333" s="19" t="s">
        <v>1051</v>
      </c>
      <c r="D333" s="19" t="s">
        <v>1052</v>
      </c>
      <c r="E333" s="20" t="s">
        <v>32</v>
      </c>
      <c r="F333" s="19" t="s">
        <v>1051</v>
      </c>
      <c r="G333" s="19" t="s">
        <v>1053</v>
      </c>
      <c r="H333" s="19" t="s">
        <v>32</v>
      </c>
      <c r="I333">
        <v>0</v>
      </c>
      <c r="J333">
        <v>162</v>
      </c>
      <c r="K333" s="1"/>
    </row>
    <row r="334" spans="1:11">
      <c r="A334" s="17" t="s">
        <v>79</v>
      </c>
      <c r="B334" s="19" t="s">
        <v>1047</v>
      </c>
      <c r="C334" s="19" t="s">
        <v>1054</v>
      </c>
      <c r="D334" s="19" t="s">
        <v>1055</v>
      </c>
      <c r="E334" s="20" t="s">
        <v>32</v>
      </c>
      <c r="F334" s="19" t="s">
        <v>1054</v>
      </c>
      <c r="G334" s="19" t="s">
        <v>1056</v>
      </c>
      <c r="H334" s="19" t="s">
        <v>32</v>
      </c>
      <c r="I334">
        <v>0</v>
      </c>
      <c r="J334">
        <v>109</v>
      </c>
      <c r="K334" s="1"/>
    </row>
    <row r="335" spans="1:11">
      <c r="A335" s="17" t="s">
        <v>79</v>
      </c>
      <c r="B335" s="19" t="s">
        <v>1047</v>
      </c>
      <c r="C335" s="19" t="s">
        <v>1057</v>
      </c>
      <c r="D335" s="19" t="s">
        <v>1058</v>
      </c>
      <c r="E335" s="20" t="s">
        <v>32</v>
      </c>
      <c r="F335" s="19" t="s">
        <v>1057</v>
      </c>
      <c r="G335" s="19" t="s">
        <v>1059</v>
      </c>
      <c r="H335" s="19" t="s">
        <v>32</v>
      </c>
      <c r="I335">
        <v>0</v>
      </c>
      <c r="J335">
        <v>8693</v>
      </c>
      <c r="K335" s="1"/>
    </row>
    <row r="336" spans="1:11">
      <c r="A336" s="17" t="s">
        <v>79</v>
      </c>
      <c r="B336" s="19" t="s">
        <v>1047</v>
      </c>
      <c r="C336" s="19" t="s">
        <v>1060</v>
      </c>
      <c r="D336" s="19" t="s">
        <v>1061</v>
      </c>
      <c r="E336" s="20" t="s">
        <v>32</v>
      </c>
      <c r="F336" s="19" t="s">
        <v>1060</v>
      </c>
      <c r="G336" s="19" t="s">
        <v>1062</v>
      </c>
      <c r="H336" s="19" t="s">
        <v>32</v>
      </c>
      <c r="I336">
        <v>0</v>
      </c>
      <c r="J336">
        <v>1</v>
      </c>
      <c r="K336" s="1"/>
    </row>
    <row r="337" spans="1:11">
      <c r="A337" s="17" t="s">
        <v>79</v>
      </c>
      <c r="B337" s="19" t="s">
        <v>538</v>
      </c>
      <c r="C337" s="19" t="s">
        <v>1063</v>
      </c>
      <c r="D337" s="19" t="s">
        <v>1064</v>
      </c>
      <c r="E337" s="20" t="s">
        <v>32</v>
      </c>
      <c r="F337" s="19" t="s">
        <v>1063</v>
      </c>
      <c r="G337" s="19" t="s">
        <v>1065</v>
      </c>
      <c r="H337" s="19" t="s">
        <v>32</v>
      </c>
      <c r="I337">
        <v>1217967</v>
      </c>
      <c r="J337">
        <v>8517</v>
      </c>
      <c r="K337" s="1"/>
    </row>
    <row r="338" spans="1:11">
      <c r="A338" s="17" t="s">
        <v>79</v>
      </c>
      <c r="B338" s="19" t="s">
        <v>538</v>
      </c>
      <c r="C338" s="19" t="s">
        <v>1066</v>
      </c>
      <c r="D338" s="19" t="s">
        <v>1067</v>
      </c>
      <c r="E338" s="20" t="s">
        <v>32</v>
      </c>
      <c r="F338" s="19" t="s">
        <v>1066</v>
      </c>
      <c r="G338" s="19" t="s">
        <v>1068</v>
      </c>
      <c r="H338" s="19" t="s">
        <v>32</v>
      </c>
      <c r="I338">
        <v>892082</v>
      </c>
      <c r="J338">
        <v>7100</v>
      </c>
      <c r="K338" s="1"/>
    </row>
    <row r="339" spans="1:11">
      <c r="A339" s="17" t="s">
        <v>79</v>
      </c>
      <c r="B339" s="19" t="s">
        <v>538</v>
      </c>
      <c r="C339" s="19" t="s">
        <v>1069</v>
      </c>
      <c r="D339" s="19" t="s">
        <v>1070</v>
      </c>
      <c r="E339" s="20" t="s">
        <v>12</v>
      </c>
      <c r="F339" s="19" t="s">
        <v>1069</v>
      </c>
      <c r="G339" s="19" t="s">
        <v>1071</v>
      </c>
      <c r="H339" s="19" t="s">
        <v>31</v>
      </c>
      <c r="I339">
        <v>4678166</v>
      </c>
      <c r="J339">
        <v>2579</v>
      </c>
      <c r="K339" s="1"/>
    </row>
    <row r="340" spans="1:11">
      <c r="A340" s="17" t="s">
        <v>79</v>
      </c>
      <c r="B340" s="19" t="s">
        <v>538</v>
      </c>
      <c r="C340" s="19" t="s">
        <v>1072</v>
      </c>
      <c r="D340" s="19" t="s">
        <v>1073</v>
      </c>
      <c r="E340" s="20" t="s">
        <v>12</v>
      </c>
      <c r="F340" s="19" t="s">
        <v>1072</v>
      </c>
      <c r="G340" s="19" t="s">
        <v>1074</v>
      </c>
      <c r="H340" s="19" t="s">
        <v>31</v>
      </c>
      <c r="I340">
        <v>2233365</v>
      </c>
      <c r="J340">
        <v>1295</v>
      </c>
      <c r="K340" s="1"/>
    </row>
    <row r="341" spans="1:11">
      <c r="A341" s="17" t="s">
        <v>79</v>
      </c>
      <c r="B341" s="19" t="s">
        <v>538</v>
      </c>
      <c r="C341" s="19" t="s">
        <v>1075</v>
      </c>
      <c r="D341" s="19" t="s">
        <v>1076</v>
      </c>
      <c r="E341" s="20" t="s">
        <v>12</v>
      </c>
      <c r="F341" s="19" t="s">
        <v>1075</v>
      </c>
      <c r="G341" s="19" t="s">
        <v>1077</v>
      </c>
      <c r="H341" s="19" t="s">
        <v>31</v>
      </c>
      <c r="I341">
        <v>485029</v>
      </c>
      <c r="J341">
        <v>259</v>
      </c>
      <c r="K341" s="1"/>
    </row>
    <row r="342" spans="1:11">
      <c r="A342" s="17" t="s">
        <v>79</v>
      </c>
      <c r="B342" s="19" t="s">
        <v>538</v>
      </c>
      <c r="C342" s="19" t="s">
        <v>1078</v>
      </c>
      <c r="D342" s="19" t="s">
        <v>1079</v>
      </c>
      <c r="E342" s="20" t="s">
        <v>12</v>
      </c>
      <c r="F342" s="19" t="s">
        <v>1078</v>
      </c>
      <c r="G342" s="19" t="s">
        <v>1080</v>
      </c>
      <c r="H342" s="19" t="s">
        <v>31</v>
      </c>
      <c r="I342">
        <v>13</v>
      </c>
      <c r="J342">
        <v>2</v>
      </c>
      <c r="K342" s="1"/>
    </row>
    <row r="343" spans="1:11">
      <c r="A343" s="17" t="s">
        <v>79</v>
      </c>
      <c r="B343" s="19" t="s">
        <v>538</v>
      </c>
      <c r="C343" s="19" t="s">
        <v>1081</v>
      </c>
      <c r="D343" s="19" t="s">
        <v>1082</v>
      </c>
      <c r="E343" s="20" t="s">
        <v>12</v>
      </c>
      <c r="F343" s="19" t="s">
        <v>1081</v>
      </c>
      <c r="G343" s="19" t="s">
        <v>1083</v>
      </c>
      <c r="H343" s="19" t="s">
        <v>31</v>
      </c>
      <c r="I343">
        <v>34</v>
      </c>
      <c r="J343">
        <v>4</v>
      </c>
      <c r="K343" s="1"/>
    </row>
    <row r="344" spans="1:11">
      <c r="A344" s="17" t="s">
        <v>79</v>
      </c>
      <c r="B344" s="19" t="s">
        <v>538</v>
      </c>
      <c r="C344" s="19" t="s">
        <v>1084</v>
      </c>
      <c r="D344" s="19" t="s">
        <v>1085</v>
      </c>
      <c r="E344" s="20" t="s">
        <v>12</v>
      </c>
      <c r="F344" s="19" t="s">
        <v>1084</v>
      </c>
      <c r="G344" s="19" t="s">
        <v>1086</v>
      </c>
      <c r="H344" s="19" t="s">
        <v>31</v>
      </c>
      <c r="I344">
        <v>2234207</v>
      </c>
      <c r="J344">
        <v>1276</v>
      </c>
      <c r="K344" s="1"/>
    </row>
    <row r="345" spans="1:11">
      <c r="A345" s="17" t="s">
        <v>79</v>
      </c>
      <c r="B345" s="19" t="s">
        <v>538</v>
      </c>
      <c r="C345" s="19" t="s">
        <v>1087</v>
      </c>
      <c r="D345" s="19" t="s">
        <v>1088</v>
      </c>
      <c r="E345" s="20" t="s">
        <v>12</v>
      </c>
      <c r="F345" s="19" t="s">
        <v>1087</v>
      </c>
      <c r="G345" s="19" t="s">
        <v>1089</v>
      </c>
      <c r="H345" s="19" t="s">
        <v>31</v>
      </c>
      <c r="I345">
        <v>10</v>
      </c>
      <c r="J345">
        <v>2</v>
      </c>
      <c r="K345" s="1"/>
    </row>
    <row r="346" spans="1:11">
      <c r="A346" s="17" t="s">
        <v>79</v>
      </c>
      <c r="B346" s="19" t="s">
        <v>538</v>
      </c>
      <c r="C346" s="19" t="s">
        <v>1090</v>
      </c>
      <c r="D346" s="19" t="s">
        <v>1091</v>
      </c>
      <c r="E346" s="20" t="s">
        <v>12</v>
      </c>
      <c r="F346" s="19" t="s">
        <v>1090</v>
      </c>
      <c r="G346" s="19" t="s">
        <v>1092</v>
      </c>
      <c r="H346" s="19" t="s">
        <v>31</v>
      </c>
      <c r="I346">
        <v>484818</v>
      </c>
      <c r="J346">
        <v>250</v>
      </c>
      <c r="K346" s="1"/>
    </row>
    <row r="347" spans="1:11">
      <c r="A347" s="17" t="s">
        <v>79</v>
      </c>
      <c r="B347" s="19" t="s">
        <v>1093</v>
      </c>
      <c r="C347" s="19" t="s">
        <v>1094</v>
      </c>
      <c r="D347" s="19" t="s">
        <v>1095</v>
      </c>
      <c r="E347" s="20" t="s">
        <v>12</v>
      </c>
      <c r="F347" s="19" t="s">
        <v>1094</v>
      </c>
      <c r="G347" s="19" t="s">
        <v>1096</v>
      </c>
      <c r="H347" s="19" t="s">
        <v>31</v>
      </c>
      <c r="I347">
        <v>1</v>
      </c>
      <c r="J347">
        <v>1</v>
      </c>
      <c r="K347" s="1"/>
    </row>
    <row r="348" spans="1:11">
      <c r="A348" s="17" t="s">
        <v>79</v>
      </c>
      <c r="B348" s="19" t="s">
        <v>1093</v>
      </c>
      <c r="C348" s="19" t="s">
        <v>1097</v>
      </c>
      <c r="D348" s="19" t="s">
        <v>1098</v>
      </c>
      <c r="E348" s="20" t="s">
        <v>12</v>
      </c>
      <c r="F348" s="19" t="s">
        <v>1097</v>
      </c>
      <c r="G348" s="19" t="s">
        <v>1099</v>
      </c>
      <c r="H348" s="19" t="s">
        <v>31</v>
      </c>
      <c r="I348">
        <v>1</v>
      </c>
      <c r="J348">
        <v>1</v>
      </c>
      <c r="K348" s="1"/>
    </row>
    <row r="349" spans="1:11">
      <c r="A349" s="17" t="s">
        <v>79</v>
      </c>
      <c r="B349" s="19" t="s">
        <v>1093</v>
      </c>
      <c r="C349" s="19" t="s">
        <v>1100</v>
      </c>
      <c r="D349" s="19" t="s">
        <v>1101</v>
      </c>
      <c r="E349" s="20" t="s">
        <v>12</v>
      </c>
      <c r="F349" s="19" t="s">
        <v>1100</v>
      </c>
      <c r="G349" s="19" t="s">
        <v>1102</v>
      </c>
      <c r="H349" s="19" t="s">
        <v>31</v>
      </c>
      <c r="I349">
        <v>1</v>
      </c>
      <c r="J349">
        <v>1</v>
      </c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6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A23" sqref="A2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MK~BR_CN~BRAND_REPUTATION_MN~NONE_YQ~19Q1Q4_CP~PO5020004141-7_OB~AWA_PK~NONE</v>
      </c>
      <c r="B2" t="str">
        <f t="shared" ref="B2:B65" si="1">bd_site</f>
        <v>Google Brasil</v>
      </c>
      <c r="C2" t="str">
        <f t="shared" ref="C2:C65" si="2">bd_placement</f>
        <v>CH~VIDEO_DT~MULTI_PB~_FM~VIDEO_RT~CPM_PD~DV360_FWWC_GLOBO_ESPORTE_VIDEO_12S_BELIEVE_1X1_TG~BHVDEM_TS~NONE_SZ~1X1_PROGRAMMATIC_MK~BR_IT~PROGRAMMATIC_VV~NONE</v>
      </c>
      <c r="D2" t="str">
        <f t="shared" ref="D2:D65" si="3">bd_placementID</f>
        <v>248600678</v>
      </c>
      <c r="E2" t="str">
        <f t="shared" ref="E2:E65" si="4">VLOOKUP(CONCATENATE(bd_adtype,"_",bd_creativetype),tabela,2,FALSE)</f>
        <v>Rich Media display banner</v>
      </c>
      <c r="F2" t="str">
        <f t="shared" ref="F2:F65" si="5">bd_ad</f>
        <v>CH~VIDEO_DT~MULTI_PB~_FM~VIDEO_RT~CPM_PD~DV360_FWWC_GLOBO_ESPORTE_VIDEO_12S_BELIEVE_1X1_TG~BHVDEM_TS~NONE_SZ~1X1_PROGRAMMATIC_MK~BR_IT~PROGRAMMATIC_VV~NONE</v>
      </c>
      <c r="G2" t="str">
        <f t="shared" ref="G2:G65" si="6">bd_adid</f>
        <v>445069010</v>
      </c>
      <c r="H2" t="str">
        <f t="shared" ref="H2:H65" si="7">bd_creativetype</f>
        <v>In-Stream Video</v>
      </c>
      <c r="I2">
        <f t="shared" ref="I2:I65" si="8">bd_impression</f>
        <v>1228</v>
      </c>
      <c r="J2">
        <f t="shared" ref="J2:J65" si="9">bd_clicks</f>
        <v>21</v>
      </c>
      <c r="K2" s="4">
        <f t="shared" ref="K2:K43" si="10">IF(LEFT(B2,3)="DBM",0,VLOOKUP(E2,tabela,2,FALSE))</f>
        <v>0.6</v>
      </c>
      <c r="L2">
        <f t="shared" ref="L2:L43" si="11">VLOOKUP(E2,tabela,3,FALSE)</f>
        <v>0.35</v>
      </c>
      <c r="M2" s="4">
        <f t="shared" ref="M2:M34" si="12">IF(E2="Dynamic Click",J2*K2,K2*$I2/1000)</f>
        <v>0.7367999999999999</v>
      </c>
      <c r="N2" s="4">
        <f>IF(E2="Dynamic Click",J2*L2,L2*$I2/1000)</f>
        <v>0.42979999999999996</v>
      </c>
    </row>
    <row r="3" spans="1:14">
      <c r="A3" t="str">
        <f t="shared" si="0"/>
        <v>MK~BR_CN~BRAND_REPUTATION_MN~NONE_YQ~19Q1Q4_CP~PO5020004141-7_OB~AWA_PK~NONE</v>
      </c>
      <c r="B3" t="str">
        <f t="shared" si="1"/>
        <v>Google Brasil</v>
      </c>
      <c r="C3" t="str">
        <f t="shared" si="2"/>
        <v>CH~VIDEO_DT~MULTI_PB~_FM~VIDEO_RT~CPM_PD~DV360_FWWC_GLOBO_ESPORTE_VIDEO_12S_KICK_1X1_TG~BHVDEM_TS~NONE_SZ~1X1_PROGRAMMATIC_MK~BR_IT~PROGRAMMATIC_VV~NONE</v>
      </c>
      <c r="D3" t="str">
        <f t="shared" si="3"/>
        <v>248600684</v>
      </c>
      <c r="E3" t="str">
        <f t="shared" si="4"/>
        <v>Rich Media display banner</v>
      </c>
      <c r="F3" t="str">
        <f t="shared" si="5"/>
        <v>CH~VIDEO_DT~MULTI_PB~_FM~VIDEO_RT~CPM_PD~DV360_FWWC_GLOBO_ESPORTE_VIDEO_12S_KICK_1X1_TG~BHVDEM_TS~NONE_SZ~1X1_PROGRAMMATIC_MK~BR_IT~PROGRAMMATIC_VV~NONE</v>
      </c>
      <c r="G3" t="str">
        <f t="shared" si="6"/>
        <v>445069016</v>
      </c>
      <c r="H3" t="str">
        <f t="shared" si="7"/>
        <v>In-Stream Video</v>
      </c>
      <c r="I3">
        <f t="shared" si="8"/>
        <v>1266</v>
      </c>
      <c r="J3">
        <f t="shared" si="9"/>
        <v>20</v>
      </c>
      <c r="K3" s="4">
        <f t="shared" si="10"/>
        <v>0.6</v>
      </c>
      <c r="L3">
        <f t="shared" si="11"/>
        <v>0.35</v>
      </c>
      <c r="M3" s="4">
        <f t="shared" si="12"/>
        <v>0.75960000000000005</v>
      </c>
      <c r="N3" s="4">
        <f t="shared" ref="N3:N34" si="13">IF(E3="Dynamic Click",J3*L3,L3*$I3/1000)</f>
        <v>0.44309999999999994</v>
      </c>
    </row>
    <row r="4" spans="1:14">
      <c r="A4" t="str">
        <f t="shared" si="0"/>
        <v>MK~BR_CN~BRAND_REPUTATION_MN~NONE_YQ~19Q1Q4_CP~PO5020004141-7_OB~AWA_PK~NONE</v>
      </c>
      <c r="B4" t="str">
        <f t="shared" si="1"/>
        <v>Google Brasil</v>
      </c>
      <c r="C4" t="str">
        <f t="shared" si="2"/>
        <v>CH~VIDEO_DT~MULTI_PB~_FM~VIDEO_RT~CPM_PD~DV360_FWWC_GLOBO_ESPORTE_VIDEO_12S_PASS_1X1_TG~BHVDEM_TS~NONE_SZ~1X1_PROGRAMMATIC_MK~BR_IT~PROGRAMMATIC_VV~NONE</v>
      </c>
      <c r="D4" t="str">
        <f t="shared" si="3"/>
        <v>248600681</v>
      </c>
      <c r="E4" t="str">
        <f t="shared" si="4"/>
        <v>Rich Media display banner</v>
      </c>
      <c r="F4" t="str">
        <f t="shared" si="5"/>
        <v>CH~VIDEO_DT~MULTI_PB~_FM~VIDEO_RT~CPM_PD~DV360_FWWC_GLOBO_ESPORTE_VIDEO_12S_PASS_1X1_TG~BHVDEM_TS~NONE_SZ~1X1_PROGRAMMATIC_MK~BR_IT~PROGRAMMATIC_VV~NONE</v>
      </c>
      <c r="G4" t="str">
        <f t="shared" si="6"/>
        <v>445069013</v>
      </c>
      <c r="H4" t="str">
        <f t="shared" si="7"/>
        <v>In-Stream Video</v>
      </c>
      <c r="I4">
        <f t="shared" si="8"/>
        <v>1236</v>
      </c>
      <c r="J4">
        <f t="shared" si="9"/>
        <v>16</v>
      </c>
      <c r="K4" s="4">
        <f t="shared" si="10"/>
        <v>0.6</v>
      </c>
      <c r="L4">
        <f t="shared" si="11"/>
        <v>0.35</v>
      </c>
      <c r="M4" s="4">
        <f t="shared" si="12"/>
        <v>0.74160000000000004</v>
      </c>
      <c r="N4" s="4">
        <f t="shared" si="13"/>
        <v>0.43259999999999998</v>
      </c>
    </row>
    <row r="5" spans="1:14">
      <c r="A5" t="str">
        <f t="shared" si="0"/>
        <v>MK~BR_CN~BRAND_REPUTATION_MN~NONE_YQ~19Q1Q4_CP~PO5020004141-7_OB~AWA_PK~NONE</v>
      </c>
      <c r="B5" t="str">
        <f t="shared" si="1"/>
        <v>Google Brasil</v>
      </c>
      <c r="C5" t="str">
        <f t="shared" si="2"/>
        <v>CH~VIDEO_DT~MULTI_PB~_FM~VIDEO_RT~CPM_PD~DV360_FWWC_GLOBO_ESPORTE_VIDEO_30S_HERO_1X1_TG~BHVDEM_TS~NONE_SZ~1X1_PROGRAMMATIC_MK~BR_IT~PROGRAMMATIC_VV~NONE</v>
      </c>
      <c r="D5" t="str">
        <f t="shared" si="3"/>
        <v>248600687</v>
      </c>
      <c r="E5" t="str">
        <f t="shared" si="4"/>
        <v>Rich Media display banner</v>
      </c>
      <c r="F5" t="str">
        <f t="shared" si="5"/>
        <v>CH~VIDEO_DT~MULTI_PB~_FM~VIDEO_RT~CPM_PD~DV360_FWWC_GLOBO_ESPORTE_VIDEO_30S_HERO_1X1_TG~BHVDEM_TS~NONE_SZ~1X1_PROGRAMMATIC_MK~BR_IT~PROGRAMMATIC_VV~NONE</v>
      </c>
      <c r="G5" t="str">
        <f t="shared" si="6"/>
        <v>445069019</v>
      </c>
      <c r="H5" t="str">
        <f t="shared" si="7"/>
        <v>In-Stream Video</v>
      </c>
      <c r="I5">
        <f t="shared" si="8"/>
        <v>1215</v>
      </c>
      <c r="J5">
        <f t="shared" si="9"/>
        <v>43</v>
      </c>
      <c r="K5" s="4">
        <f t="shared" si="10"/>
        <v>0.6</v>
      </c>
      <c r="L5">
        <f t="shared" si="11"/>
        <v>0.35</v>
      </c>
      <c r="M5" s="4">
        <f t="shared" si="12"/>
        <v>0.72899999999999998</v>
      </c>
      <c r="N5" s="4">
        <f t="shared" si="13"/>
        <v>0.42525000000000002</v>
      </c>
    </row>
    <row r="6" spans="1:14">
      <c r="A6" t="str">
        <f t="shared" si="0"/>
        <v>MK~BR_CN~BRAND_REPUTATION_MN~NONE_YQ~19Q1Q4_CP~PO5020004141-7_OB~AWA_PK~NONE</v>
      </c>
      <c r="B6" t="str">
        <f t="shared" si="1"/>
        <v>Google Brasil</v>
      </c>
      <c r="C6" t="str">
        <f t="shared" si="2"/>
        <v>CH~VIDEO_DT~MULTI_PB~_FM~VIDEO_RT~CPM_PD~DV360_FWWC_GLOBO_ESPORTE_VIDEO_6S_BELIEVE_1X1_TG~BHVDEM_TS~NONE_SZ~1X1_PROGRAMMATIC_MK~BR_IT~PROGRAMMATIC_VV~NONE</v>
      </c>
      <c r="D6" t="str">
        <f t="shared" si="3"/>
        <v>248600669</v>
      </c>
      <c r="E6" t="str">
        <f t="shared" si="4"/>
        <v>Rich Media display banner</v>
      </c>
      <c r="F6" t="str">
        <f t="shared" si="5"/>
        <v>CH~VIDEO_DT~MULTI_PB~_FM~VIDEO_RT~CPM_PD~DV360_FWWC_GLOBO_ESPORTE_VIDEO_6S_BELIEVE_1X1_TG~BHVDEM_TS~NONE_SZ~1X1_PROGRAMMATIC_MK~BR_IT~PROGRAMMATIC_VV~NONE</v>
      </c>
      <c r="G6" t="str">
        <f t="shared" si="6"/>
        <v>445069001</v>
      </c>
      <c r="H6" t="str">
        <f t="shared" si="7"/>
        <v>In-Stream Video</v>
      </c>
      <c r="I6">
        <f t="shared" si="8"/>
        <v>78490</v>
      </c>
      <c r="J6">
        <f t="shared" si="9"/>
        <v>726</v>
      </c>
      <c r="K6" s="4">
        <f t="shared" si="10"/>
        <v>0.6</v>
      </c>
      <c r="L6">
        <f t="shared" si="11"/>
        <v>0.35</v>
      </c>
      <c r="M6" s="4">
        <f t="shared" si="12"/>
        <v>47.094000000000001</v>
      </c>
      <c r="N6" s="4">
        <f t="shared" si="13"/>
        <v>27.471499999999999</v>
      </c>
    </row>
    <row r="7" spans="1:14">
      <c r="A7" t="str">
        <f t="shared" si="0"/>
        <v>MK~BR_CN~BRAND_REPUTATION_MN~NONE_YQ~19Q1Q4_CP~PO5020004141-7_OB~AWA_PK~NONE</v>
      </c>
      <c r="B7" t="str">
        <f t="shared" si="1"/>
        <v>Google Brasil</v>
      </c>
      <c r="C7" t="str">
        <f t="shared" si="2"/>
        <v>CH~VIDEO_DT~MULTI_PB~_FM~VIDEO_RT~CPM_PD~DV360_FWWC_GLOBO_ESPORTE_VIDEO_6S_KICK_1X1_TG~BHVDEM_TS~NONE_SZ~1X1_PROGRAMMATIC_MK~BR_IT~PROGRAMMATIC_VV~NONE</v>
      </c>
      <c r="D7" t="str">
        <f t="shared" si="3"/>
        <v>248600675</v>
      </c>
      <c r="E7" t="str">
        <f t="shared" si="4"/>
        <v>Rich Media display banner</v>
      </c>
      <c r="F7" t="str">
        <f t="shared" si="5"/>
        <v>CH~VIDEO_DT~MULTI_PB~_FM~VIDEO_RT~CPM_PD~DV360_FWWC_GLOBO_ESPORTE_VIDEO_6S_KICK_1X1_TG~BHVDEM_TS~NONE_SZ~1X1_PROGRAMMATIC_MK~BR_IT~PROGRAMMATIC_VV~NONE</v>
      </c>
      <c r="G7" t="str">
        <f t="shared" si="6"/>
        <v>445069007</v>
      </c>
      <c r="H7" t="str">
        <f t="shared" si="7"/>
        <v>In-Stream Video</v>
      </c>
      <c r="I7">
        <f t="shared" si="8"/>
        <v>1168</v>
      </c>
      <c r="J7">
        <f t="shared" si="9"/>
        <v>9</v>
      </c>
      <c r="K7" s="4">
        <f t="shared" si="10"/>
        <v>0.6</v>
      </c>
      <c r="L7">
        <f t="shared" si="11"/>
        <v>0.35</v>
      </c>
      <c r="M7" s="4">
        <f t="shared" si="12"/>
        <v>0.70079999999999998</v>
      </c>
      <c r="N7" s="4">
        <f t="shared" si="13"/>
        <v>0.40879999999999994</v>
      </c>
    </row>
    <row r="8" spans="1:14">
      <c r="A8" t="str">
        <f t="shared" si="0"/>
        <v>MK~BR_CN~BRAND_REPUTATION_MN~NONE_YQ~19Q1Q4_CP~PO5020004141-7_OB~AWA_PK~NONE</v>
      </c>
      <c r="B8" t="str">
        <f t="shared" si="1"/>
        <v>Google Brasil</v>
      </c>
      <c r="C8" t="str">
        <f t="shared" si="2"/>
        <v>CH~VIDEO_DT~MULTI_PB~_FM~VIDEO_RT~CPM_PD~DV360_FWWC_GLOBO_ESPORTE_VIDEO_6S_WELCOME_1X1_TG~BHVDEM_TS~NONE_SZ~1X1_PROGRAMMATIC_MK~BR_IT~PROGRAMMATIC_VV~NONE</v>
      </c>
      <c r="D8" t="str">
        <f t="shared" si="3"/>
        <v>248600672</v>
      </c>
      <c r="E8" t="str">
        <f t="shared" si="4"/>
        <v>Rich Media display banner</v>
      </c>
      <c r="F8" t="str">
        <f t="shared" si="5"/>
        <v>CH~VIDEO_DT~MULTI_PB~_FM~VIDEO_RT~CPM_PD~DV360_FWWC_GLOBO_ESPORTE_VIDEO_6S_WELCOME_1X1_TG~BHVDEM_TS~NONE_SZ~1X1_PROGRAMMATIC_MK~BR_IT~PROGRAMMATIC_VV~NONE</v>
      </c>
      <c r="G8" t="str">
        <f t="shared" si="6"/>
        <v>445069004</v>
      </c>
      <c r="H8" t="str">
        <f t="shared" si="7"/>
        <v>In-Stream Video</v>
      </c>
      <c r="I8">
        <f t="shared" si="8"/>
        <v>1262</v>
      </c>
      <c r="J8">
        <f t="shared" si="9"/>
        <v>12</v>
      </c>
      <c r="K8" s="4">
        <f t="shared" si="10"/>
        <v>0.6</v>
      </c>
      <c r="L8">
        <f t="shared" si="11"/>
        <v>0.35</v>
      </c>
      <c r="M8" s="4">
        <f t="shared" si="12"/>
        <v>0.75719999999999998</v>
      </c>
      <c r="N8" s="4">
        <f t="shared" si="13"/>
        <v>0.44169999999999998</v>
      </c>
    </row>
    <row r="9" spans="1:14">
      <c r="A9" t="str">
        <f t="shared" si="0"/>
        <v>MK~BR_CN~BRAND_REPUTATION_MN~NONE_YQ~19Q1Q4_CP~PO5020004141-7_OB~AWA_PK~NONE</v>
      </c>
      <c r="B9" t="str">
        <f t="shared" si="1"/>
        <v>Google Brasil</v>
      </c>
      <c r="C9" t="str">
        <f t="shared" si="2"/>
        <v>CH~VIDEO_DT~MULTI_PB~_FM~VIDEO_RT~CPM_PD~DV360_FWWC_LANCE_VIDEO_12S_BELIEVE_1X1_TG~BHVDEM_TS~NONE_SZ~1X1_PROGRAMMATIC_MK~BR_IT~PROGRAMMATIC_VV~NONE</v>
      </c>
      <c r="D9" t="str">
        <f t="shared" si="3"/>
        <v>248600615</v>
      </c>
      <c r="E9" t="str">
        <f t="shared" si="4"/>
        <v>Rich Media display banner</v>
      </c>
      <c r="F9" t="str">
        <f t="shared" si="5"/>
        <v>CH~VIDEO_DT~MULTI_PB~_FM~VIDEO_RT~CPM_PD~DV360_FWWC_LANCE_VIDEO_12S_BELIEVE_1X1_TG~BHVDEM_TS~NONE_SZ~1X1_PROGRAMMATIC_MK~BR_IT~PROGRAMMATIC_VV~NONE</v>
      </c>
      <c r="G9" t="str">
        <f t="shared" si="6"/>
        <v>445068947</v>
      </c>
      <c r="H9" t="str">
        <f t="shared" si="7"/>
        <v>In-Stream Video</v>
      </c>
      <c r="I9">
        <f t="shared" si="8"/>
        <v>162</v>
      </c>
      <c r="J9">
        <f t="shared" si="9"/>
        <v>0</v>
      </c>
      <c r="K9" s="4">
        <f t="shared" si="10"/>
        <v>0.6</v>
      </c>
      <c r="L9">
        <f t="shared" si="11"/>
        <v>0.35</v>
      </c>
      <c r="M9" s="4">
        <f t="shared" si="12"/>
        <v>9.7200000000000009E-2</v>
      </c>
      <c r="N9" s="4">
        <f t="shared" si="13"/>
        <v>5.6699999999999993E-2</v>
      </c>
    </row>
    <row r="10" spans="1:14">
      <c r="A10" t="str">
        <f t="shared" si="0"/>
        <v>MK~BR_CN~BRAND_REPUTATION_MN~NONE_YQ~19Q1Q4_CP~PO5020004141-7_OB~AWA_PK~NONE</v>
      </c>
      <c r="B10" t="str">
        <f t="shared" si="1"/>
        <v>Google Brasil</v>
      </c>
      <c r="C10" t="str">
        <f t="shared" si="2"/>
        <v>CH~VIDEO_DT~MULTI_PB~_FM~VIDEO_RT~CPM_PD~DV360_FWWC_LANCE_VIDEO_12S_KICK_1X1_TG~BHVDEM_TS~NONE_SZ~1X1_PROGRAMMATIC_MK~BR_IT~PROGRAMMATIC_VV~NONE</v>
      </c>
      <c r="D10" t="str">
        <f t="shared" si="3"/>
        <v>248600621</v>
      </c>
      <c r="E10" t="str">
        <f t="shared" si="4"/>
        <v>Rich Media display banner</v>
      </c>
      <c r="F10" t="str">
        <f t="shared" si="5"/>
        <v>CH~VIDEO_DT~MULTI_PB~_FM~VIDEO_RT~CPM_PD~DV360_FWWC_LANCE_VIDEO_12S_KICK_1X1_TG~BHVDEM_TS~NONE_SZ~1X1_PROGRAMMATIC_MK~BR_IT~PROGRAMMATIC_VV~NONE</v>
      </c>
      <c r="G10" t="str">
        <f t="shared" si="6"/>
        <v>445068953</v>
      </c>
      <c r="H10" t="str">
        <f t="shared" si="7"/>
        <v>In-Stream Video</v>
      </c>
      <c r="I10">
        <f t="shared" si="8"/>
        <v>275</v>
      </c>
      <c r="J10">
        <f t="shared" si="9"/>
        <v>0</v>
      </c>
      <c r="K10" s="4">
        <f t="shared" si="10"/>
        <v>0.6</v>
      </c>
      <c r="L10">
        <f t="shared" si="11"/>
        <v>0.35</v>
      </c>
      <c r="M10" s="4">
        <f t="shared" si="12"/>
        <v>0.16500000000000001</v>
      </c>
      <c r="N10" s="4">
        <f t="shared" si="13"/>
        <v>9.6250000000000002E-2</v>
      </c>
    </row>
    <row r="11" spans="1:14">
      <c r="A11" t="str">
        <f t="shared" si="0"/>
        <v>MK~BR_CN~BRAND_REPUTATION_MN~NONE_YQ~19Q1Q4_CP~PO5020004141-7_OB~AWA_PK~NONE</v>
      </c>
      <c r="B11" t="str">
        <f t="shared" si="1"/>
        <v>Google Brasil</v>
      </c>
      <c r="C11" t="str">
        <f t="shared" si="2"/>
        <v>CH~VIDEO_DT~MULTI_PB~_FM~VIDEO_RT~CPM_PD~DV360_FWWC_LANCE_VIDEO_12S_PASS_1X1_TG~BHVDEM_TS~NONE_SZ~1X1_PROGRAMMATIC_MK~BR_IT~PROGRAMMATIC_VV~NONE</v>
      </c>
      <c r="D11" t="str">
        <f t="shared" si="3"/>
        <v>248600618</v>
      </c>
      <c r="E11" t="str">
        <f t="shared" si="4"/>
        <v>Rich Media display banner</v>
      </c>
      <c r="F11" t="str">
        <f t="shared" si="5"/>
        <v>CH~VIDEO_DT~MULTI_PB~_FM~VIDEO_RT~CPM_PD~DV360_FWWC_LANCE_VIDEO_12S_PASS_1X1_TG~BHVDEM_TS~NONE_SZ~1X1_PROGRAMMATIC_MK~BR_IT~PROGRAMMATIC_VV~NONE</v>
      </c>
      <c r="G11" t="str">
        <f t="shared" si="6"/>
        <v>445068950</v>
      </c>
      <c r="H11" t="str">
        <f t="shared" si="7"/>
        <v>In-Stream Video</v>
      </c>
      <c r="I11">
        <f t="shared" si="8"/>
        <v>590</v>
      </c>
      <c r="J11">
        <f t="shared" si="9"/>
        <v>0</v>
      </c>
      <c r="K11" s="4">
        <f t="shared" si="10"/>
        <v>0.6</v>
      </c>
      <c r="L11">
        <f t="shared" si="11"/>
        <v>0.35</v>
      </c>
      <c r="M11" s="4">
        <f t="shared" si="12"/>
        <v>0.35399999999999998</v>
      </c>
      <c r="N11" s="4">
        <f t="shared" si="13"/>
        <v>0.20649999999999999</v>
      </c>
    </row>
    <row r="12" spans="1:14">
      <c r="A12" t="str">
        <f t="shared" si="0"/>
        <v>MK~BR_CN~BRAND_REPUTATION_MN~NONE_YQ~19Q1Q4_CP~PO5020004141-7_OB~AWA_PK~NONE</v>
      </c>
      <c r="B12" t="str">
        <f t="shared" si="1"/>
        <v>Google Brasil</v>
      </c>
      <c r="C12" t="str">
        <f t="shared" si="2"/>
        <v>CH~VIDEO_DT~MULTI_PB~_FM~VIDEO_RT~CPM_PD~DV360_FWWC_LANCE_VIDEO_6S_BELIEVE_1X1_TG~BHVDEM_TS~NONE_SZ~1X1_PROGRAMMATIC_MK~BR_IT~PROGRAMMATIC_VV~NONE</v>
      </c>
      <c r="D12" t="str">
        <f t="shared" si="3"/>
        <v>248600702</v>
      </c>
      <c r="E12" t="str">
        <f t="shared" si="4"/>
        <v>Rich Media display banner</v>
      </c>
      <c r="F12" t="str">
        <f t="shared" si="5"/>
        <v>CH~VIDEO_DT~MULTI_PB~_FM~VIDEO_RT~CPM_PD~DV360_FWWC_LANCE_VIDEO_6S_BELIEVE_1X1_TG~BHVDEM_TS~NONE_SZ~1X1_PROGRAMMATIC_MK~BR_IT~PROGRAMMATIC_VV~NONE</v>
      </c>
      <c r="G12" t="str">
        <f t="shared" si="6"/>
        <v>445069034</v>
      </c>
      <c r="H12" t="str">
        <f t="shared" si="7"/>
        <v>In-Stream Video</v>
      </c>
      <c r="I12">
        <f t="shared" si="8"/>
        <v>587</v>
      </c>
      <c r="J12">
        <f t="shared" si="9"/>
        <v>2</v>
      </c>
      <c r="K12" s="4">
        <f t="shared" si="10"/>
        <v>0.6</v>
      </c>
      <c r="L12">
        <f t="shared" si="11"/>
        <v>0.35</v>
      </c>
      <c r="M12" s="4">
        <f t="shared" si="12"/>
        <v>0.35220000000000001</v>
      </c>
      <c r="N12" s="4">
        <f t="shared" si="13"/>
        <v>0.20544999999999999</v>
      </c>
    </row>
    <row r="13" spans="1:14">
      <c r="A13" t="str">
        <f t="shared" si="0"/>
        <v>MK~BR_CN~BRAND_REPUTATION_MN~NONE_YQ~19Q1Q4_CP~PO5020004141-7_OB~AWA_PK~NONE</v>
      </c>
      <c r="B13" t="str">
        <f t="shared" si="1"/>
        <v>Google Brasil</v>
      </c>
      <c r="C13" t="str">
        <f t="shared" si="2"/>
        <v>CH~VIDEO_DT~MULTI_PB~_FM~VIDEO_RT~CPM_PD~DV360_FWWC_OPEN_AUCTION_VIDEO_12S_BELIEVE_1X1_TG~BHVDEM_TS~NONE_SZ~1X1_PROGRAMMATIC_MK~BR_IT~PROGRAMMATIC_VV~NONE</v>
      </c>
      <c r="D13" t="str">
        <f t="shared" si="3"/>
        <v>248600699</v>
      </c>
      <c r="E13" t="str">
        <f t="shared" si="4"/>
        <v>Rich Media display banner</v>
      </c>
      <c r="F13" t="str">
        <f t="shared" si="5"/>
        <v>CH~VIDEO_DT~MULTI_PB~_FM~VIDEO_RT~CPM_PD~DV360_FWWC_OPEN_AUCTION_VIDEO_12S_BELIEVE_1X1_TG~BHVDEM_TS~NONE_SZ~1X1_PROGRAMMATIC_MK~BR_IT~PROGRAMMATIC_VV~NONE</v>
      </c>
      <c r="G13" t="str">
        <f t="shared" si="6"/>
        <v>445069031</v>
      </c>
      <c r="H13" t="str">
        <f t="shared" si="7"/>
        <v>In-Stream Video</v>
      </c>
      <c r="I13">
        <f t="shared" si="8"/>
        <v>686820</v>
      </c>
      <c r="J13">
        <f t="shared" si="9"/>
        <v>1405</v>
      </c>
      <c r="K13" s="4">
        <f t="shared" si="10"/>
        <v>0.6</v>
      </c>
      <c r="L13">
        <f t="shared" si="11"/>
        <v>0.35</v>
      </c>
      <c r="M13" s="4">
        <f t="shared" si="12"/>
        <v>412.09199999999998</v>
      </c>
      <c r="N13" s="4">
        <f t="shared" si="13"/>
        <v>240.38699999999997</v>
      </c>
    </row>
    <row r="14" spans="1:14">
      <c r="A14" t="str">
        <f t="shared" si="0"/>
        <v>MK~BR_CN~BRAND_REPUTATION_MN~NONE_YQ~19Q1Q4_CP~PO5020004141-7_OB~AWA_PK~NONE</v>
      </c>
      <c r="B14" t="str">
        <f t="shared" si="1"/>
        <v>Google Brasil</v>
      </c>
      <c r="C14" t="str">
        <f t="shared" si="2"/>
        <v>CH~VIDEO_DT~MULTI_PB~_FM~VIDEO_RT~CPM_PD~DV360_FWWC_OPEN_AUCTION_VIDEO_12S_KICK_1X1_TG~BHVDEM_TS~NONE_SZ~1X1_PROGRAMMATIC_MK~BR_IT~PROGRAMMATIC_VV~NONE</v>
      </c>
      <c r="D14" t="str">
        <f t="shared" si="3"/>
        <v>248600711</v>
      </c>
      <c r="E14" t="str">
        <f t="shared" si="4"/>
        <v>Rich Media display banner</v>
      </c>
      <c r="F14" t="str">
        <f t="shared" si="5"/>
        <v>CH~VIDEO_DT~MULTI_PB~_FM~VIDEO_RT~CPM_PD~DV360_FWWC_OPEN_AUCTION_VIDEO_12S_KICK_1X1_TG~BHVDEM_TS~NONE_SZ~1X1_PROGRAMMATIC_MK~BR_IT~PROGRAMMATIC_VV~NONE</v>
      </c>
      <c r="G14" t="str">
        <f t="shared" si="6"/>
        <v>445069043</v>
      </c>
      <c r="H14" t="str">
        <f t="shared" si="7"/>
        <v>In-Stream Video</v>
      </c>
      <c r="I14">
        <f t="shared" si="8"/>
        <v>686001</v>
      </c>
      <c r="J14">
        <f t="shared" si="9"/>
        <v>1332</v>
      </c>
      <c r="K14" s="4">
        <f t="shared" si="10"/>
        <v>0.6</v>
      </c>
      <c r="L14">
        <f t="shared" si="11"/>
        <v>0.35</v>
      </c>
      <c r="M14" s="4">
        <f t="shared" si="12"/>
        <v>411.60059999999999</v>
      </c>
      <c r="N14" s="4">
        <f t="shared" si="13"/>
        <v>240.10034999999996</v>
      </c>
    </row>
    <row r="15" spans="1:14">
      <c r="A15" t="str">
        <f t="shared" si="0"/>
        <v>MK~BR_CN~BRAND_REPUTATION_MN~NONE_YQ~19Q1Q4_CP~PO5020004141-7_OB~AWA_PK~NONE</v>
      </c>
      <c r="B15" t="str">
        <f t="shared" si="1"/>
        <v>Google Brasil</v>
      </c>
      <c r="C15" t="str">
        <f t="shared" si="2"/>
        <v>CH~VIDEO_DT~MULTI_PB~_FM~VIDEO_RT~CPM_PD~DV360_FWWC_OPEN_AUCTION_VIDEO_12S_PASS_1X1_TG~BHVDEM_TS~NONE_SZ~1X1_PROGRAMMATIC_MK~BR_IT~PROGRAMMATIC_VV~NONE</v>
      </c>
      <c r="D15" t="str">
        <f t="shared" si="3"/>
        <v>248600705</v>
      </c>
      <c r="E15" t="str">
        <f t="shared" si="4"/>
        <v>Rich Media display banner</v>
      </c>
      <c r="F15" t="str">
        <f t="shared" si="5"/>
        <v>CH~VIDEO_DT~MULTI_PB~_FM~VIDEO_RT~CPM_PD~DV360_FWWC_OPEN_AUCTION_VIDEO_12S_PASS_1X1_TG~BHVDEM_TS~NONE_SZ~1X1_PROGRAMMATIC_MK~BR_IT~PROGRAMMATIC_VV~NONE</v>
      </c>
      <c r="G15" t="str">
        <f t="shared" si="6"/>
        <v>445069037</v>
      </c>
      <c r="H15" t="str">
        <f t="shared" si="7"/>
        <v>In-Stream Video</v>
      </c>
      <c r="I15">
        <f t="shared" si="8"/>
        <v>687295</v>
      </c>
      <c r="J15">
        <f t="shared" si="9"/>
        <v>1247</v>
      </c>
      <c r="K15" s="4">
        <f t="shared" si="10"/>
        <v>0.6</v>
      </c>
      <c r="L15">
        <f t="shared" si="11"/>
        <v>0.35</v>
      </c>
      <c r="M15" s="4">
        <f t="shared" si="12"/>
        <v>412.37700000000001</v>
      </c>
      <c r="N15" s="4">
        <f t="shared" si="13"/>
        <v>240.55324999999996</v>
      </c>
    </row>
    <row r="16" spans="1:14">
      <c r="A16" t="str">
        <f t="shared" si="0"/>
        <v>MK~BR_CN~BRAND_REPUTATION_MN~NONE_YQ~19Q1Q4_CP~PO5020004141-7_OB~AWA_PK~NONE</v>
      </c>
      <c r="B16" t="str">
        <f t="shared" si="1"/>
        <v>Google Brasil</v>
      </c>
      <c r="C16" t="str">
        <f t="shared" si="2"/>
        <v>CH~VIDEO_DT~MULTI_PB~_FM~VIDEO_RT~CPM_PD~DV360_FWWC_OPEN_AUCTION_VIDEO_30S_HERO_1X1_TG~BHVDEM_TS~NONE_SZ~1X1_PROGRAMMATIC_MK~BR_IT~PROGRAMMATIC_VV~NONE</v>
      </c>
      <c r="D16" t="str">
        <f t="shared" si="3"/>
        <v>248994990</v>
      </c>
      <c r="E16" t="str">
        <f t="shared" si="4"/>
        <v>Rich Media display banner</v>
      </c>
      <c r="F16" t="str">
        <f t="shared" si="5"/>
        <v>CH~VIDEO_DT~MULTI_PB~_FM~VIDEO_RT~CPM_PD~DV360_FWWC_OPEN_AUCTION_VIDEO_30S_HERO_1X1_TG~BHVDEM_TS~NONE_SZ~1X1_PROGRAMMATIC_MK~BR_IT~PROGRAMMATIC_VV~NONE</v>
      </c>
      <c r="G16" t="str">
        <f t="shared" si="6"/>
        <v>445002894</v>
      </c>
      <c r="H16" t="str">
        <f t="shared" si="7"/>
        <v>In-Stream Video</v>
      </c>
      <c r="I16">
        <f t="shared" si="8"/>
        <v>682407</v>
      </c>
      <c r="J16">
        <f t="shared" si="9"/>
        <v>1607</v>
      </c>
      <c r="K16" s="4">
        <f t="shared" si="10"/>
        <v>0.6</v>
      </c>
      <c r="L16">
        <f t="shared" si="11"/>
        <v>0.35</v>
      </c>
      <c r="M16" s="4">
        <f t="shared" si="12"/>
        <v>409.44420000000002</v>
      </c>
      <c r="N16" s="4">
        <f t="shared" si="13"/>
        <v>238.84244999999999</v>
      </c>
    </row>
    <row r="17" spans="1:14">
      <c r="A17" t="str">
        <f t="shared" si="0"/>
        <v>MK~BR_CN~BRAND_REPUTATION_MN~NONE_YQ~19Q1Q4_CP~PO5020004141-7_OB~AWA_PK~NONE</v>
      </c>
      <c r="B17" t="str">
        <f t="shared" si="1"/>
        <v>Google Brasil</v>
      </c>
      <c r="C17" t="str">
        <f t="shared" si="2"/>
        <v>CH~VIDEO_DT~MULTI_PB~_FM~VIDEO_RT~CPM_PD~DV360_FWWC_OPEN_AUCTION_VIDEO_6S_BELIEVE_1X1_TG~BHVDEM_TS~NONE_SZ~1X1_PROGRAMMATIC_MK~BR_IT~PROGRAMMATIC_VV~NONE</v>
      </c>
      <c r="D17" t="str">
        <f t="shared" si="3"/>
        <v>248600690</v>
      </c>
      <c r="E17" t="str">
        <f t="shared" si="4"/>
        <v>Rich Media display banner</v>
      </c>
      <c r="F17" t="str">
        <f t="shared" si="5"/>
        <v>CH~VIDEO_DT~MULTI_PB~_FM~VIDEO_RT~CPM_PD~DV360_FWWC_OPEN_AUCTION_VIDEO_6S_BELIEVE_1X1_TG~BHVDEM_TS~NONE_SZ~1X1_PROGRAMMATIC_MK~BR_IT~PROGRAMMATIC_VV~NONE</v>
      </c>
      <c r="G17" t="str">
        <f t="shared" si="6"/>
        <v>445069022</v>
      </c>
      <c r="H17" t="str">
        <f t="shared" si="7"/>
        <v>In-Stream Video</v>
      </c>
      <c r="I17">
        <f t="shared" si="8"/>
        <v>6579293</v>
      </c>
      <c r="J17">
        <f t="shared" si="9"/>
        <v>10041</v>
      </c>
      <c r="K17" s="4">
        <f t="shared" si="10"/>
        <v>0.6</v>
      </c>
      <c r="L17">
        <f t="shared" si="11"/>
        <v>0.35</v>
      </c>
      <c r="M17" s="4">
        <f t="shared" si="12"/>
        <v>3947.5757999999996</v>
      </c>
      <c r="N17" s="4">
        <f t="shared" si="13"/>
        <v>2302.7525499999997</v>
      </c>
    </row>
    <row r="18" spans="1:14">
      <c r="A18" t="str">
        <f t="shared" si="0"/>
        <v>MK~BR_CN~BRAND_REPUTATION_MN~NONE_YQ~19Q1Q4_CP~PO5020004141-7_OB~AWA_PK~NONE</v>
      </c>
      <c r="B18" t="str">
        <f t="shared" si="1"/>
        <v>Google Brasil</v>
      </c>
      <c r="C18" t="str">
        <f t="shared" si="2"/>
        <v>CH~VIDEO_DT~MULTI_PB~_FM~VIDEO_RT~CPM_PD~DV360_FWWC_OPEN_AUCTION_VIDEO_6S_KICK_1X1_TG~BHVDEM_TS~NONE_SZ~1X1_PROGRAMMATIC_MK~BR_IT~PROGRAMMATIC_VV~NONE</v>
      </c>
      <c r="D18" t="str">
        <f t="shared" si="3"/>
        <v>248600696</v>
      </c>
      <c r="E18" t="str">
        <f t="shared" si="4"/>
        <v>Rich Media display banner</v>
      </c>
      <c r="F18" t="str">
        <f t="shared" si="5"/>
        <v>CH~VIDEO_DT~MULTI_PB~_FM~VIDEO_RT~CPM_PD~DV360_FWWC_OPEN_AUCTION_VIDEO_6S_KICK_1X1_TG~BHVDEM_TS~NONE_SZ~1X1_PROGRAMMATIC_MK~BR_IT~PROGRAMMATIC_VV~NONE</v>
      </c>
      <c r="G18" t="str">
        <f t="shared" si="6"/>
        <v>445069028</v>
      </c>
      <c r="H18" t="str">
        <f t="shared" si="7"/>
        <v>In-Stream Video</v>
      </c>
      <c r="I18">
        <f t="shared" si="8"/>
        <v>21822075</v>
      </c>
      <c r="J18">
        <f t="shared" si="9"/>
        <v>39178</v>
      </c>
      <c r="K18" s="4">
        <f t="shared" si="10"/>
        <v>0.6</v>
      </c>
      <c r="L18">
        <f t="shared" si="11"/>
        <v>0.35</v>
      </c>
      <c r="M18" s="4">
        <f t="shared" si="12"/>
        <v>13093.245000000001</v>
      </c>
      <c r="N18" s="4">
        <f t="shared" si="13"/>
        <v>7637.7262499999988</v>
      </c>
    </row>
    <row r="19" spans="1:14">
      <c r="A19" t="str">
        <f t="shared" si="0"/>
        <v>MK~BR_CN~BRAND_REPUTATION_MN~NONE_YQ~19Q1Q4_CP~PO5020004141-7_OB~AWA_PK~NONE</v>
      </c>
      <c r="B19" t="str">
        <f t="shared" si="1"/>
        <v>Google Brasil</v>
      </c>
      <c r="C19" t="str">
        <f t="shared" si="2"/>
        <v>CH~VIDEO_DT~MULTI_PB~_FM~VIDEO_RT~CPM_PD~DV360_FWWC_OPEN_AUCTION_VIDEO_6S_WELCOME_1X1_TG~BHVDEM_TS~NONE_SZ~1X1_PROGRAMMATIC_MK~BR_IT~PROGRAMMATIC_VV~NONE</v>
      </c>
      <c r="D19" t="str">
        <f t="shared" si="3"/>
        <v>248600693</v>
      </c>
      <c r="E19" t="str">
        <f t="shared" si="4"/>
        <v>Rich Media display banner</v>
      </c>
      <c r="F19" t="str">
        <f t="shared" si="5"/>
        <v>CH~VIDEO_DT~MULTI_PB~_FM~VIDEO_RT~CPM_PD~DV360_FWWC_OPEN_AUCTION_VIDEO_6S_WELCOME_1X1_TG~BHVDEM_TS~NONE_SZ~1X1_PROGRAMMATIC_MK~BR_IT~PROGRAMMATIC_VV~NONE</v>
      </c>
      <c r="G19" t="str">
        <f t="shared" si="6"/>
        <v>445069025</v>
      </c>
      <c r="H19" t="str">
        <f t="shared" si="7"/>
        <v>In-Stream Video</v>
      </c>
      <c r="I19">
        <f t="shared" si="8"/>
        <v>16473649</v>
      </c>
      <c r="J19">
        <f t="shared" si="9"/>
        <v>29946</v>
      </c>
      <c r="K19" s="4">
        <f t="shared" si="10"/>
        <v>0.6</v>
      </c>
      <c r="L19">
        <f t="shared" si="11"/>
        <v>0.35</v>
      </c>
      <c r="M19" s="4">
        <f t="shared" si="12"/>
        <v>9884.1894000000011</v>
      </c>
      <c r="N19" s="4">
        <f t="shared" si="13"/>
        <v>5765.7771499999999</v>
      </c>
    </row>
    <row r="20" spans="1:14">
      <c r="A20" t="str">
        <f t="shared" si="0"/>
        <v>MK~BR_CN~BRAND_REPUTATION_MN~NONE_YQ~19Q1Q4_CP~PO5020004141-7_OB~AWA_PK~NONE</v>
      </c>
      <c r="B20" t="str">
        <f t="shared" si="1"/>
        <v>Google Brasil</v>
      </c>
      <c r="C20" t="str">
        <f t="shared" si="2"/>
        <v>CH~VIDEO_DT~MULTI_PB~_FM~VIDEO_RT~CPM_PD~DV360_FWWC_TEADS_VIDEO_12S_BELIEVE_1X1_TG~BHVDEM_TS~NONE_SZ~1X1_PROGRAMMATIC_MK~BR_IT~PROGRAMMATIC_VV~NONE</v>
      </c>
      <c r="D20" t="str">
        <f t="shared" si="3"/>
        <v>248600636</v>
      </c>
      <c r="E20" t="str">
        <f t="shared" si="4"/>
        <v>Rich Media display banner</v>
      </c>
      <c r="F20" t="str">
        <f t="shared" si="5"/>
        <v>CH~VIDEO_DT~MULTI_PB~_FM~VIDEO_RT~CPM_PD~DV360_FWWC_TEADS_VIDEO_12S_BELIEVE_1X1_TG~BHVDEM_TS~NONE_SZ~1X1_PROGRAMMATIC_MK~BR_IT~PROGRAMMATIC_VV~NONE</v>
      </c>
      <c r="G20" t="str">
        <f t="shared" si="6"/>
        <v>445068968</v>
      </c>
      <c r="H20" t="str">
        <f t="shared" si="7"/>
        <v>In-Stream Video</v>
      </c>
      <c r="I20">
        <f t="shared" si="8"/>
        <v>3345</v>
      </c>
      <c r="J20">
        <f t="shared" si="9"/>
        <v>5</v>
      </c>
      <c r="K20" s="4">
        <f t="shared" si="10"/>
        <v>0.6</v>
      </c>
      <c r="L20">
        <f t="shared" si="11"/>
        <v>0.35</v>
      </c>
      <c r="M20" s="4">
        <f t="shared" si="12"/>
        <v>2.0070000000000001</v>
      </c>
      <c r="N20" s="4">
        <f t="shared" si="13"/>
        <v>1.17075</v>
      </c>
    </row>
    <row r="21" spans="1:14">
      <c r="A21" t="str">
        <f t="shared" si="0"/>
        <v>MK~BR_CN~BRAND_REPUTATION_MN~NONE_YQ~19Q1Q4_CP~PO5020004141-7_OB~AWA_PK~NONE</v>
      </c>
      <c r="B21" t="str">
        <f t="shared" si="1"/>
        <v>Google Brasil</v>
      </c>
      <c r="C21" t="str">
        <f t="shared" si="2"/>
        <v>CH~VIDEO_DT~MULTI_PB~_FM~VIDEO_RT~CPM_PD~DV360_FWWC_TEADS_VIDEO_12S_KICK_1X1_TG~BHVDEM_TS~NONE_SZ~1X1_PROGRAMMATIC_MK~BR_IT~PROGRAMMATIC_VV~NONE</v>
      </c>
      <c r="D21" t="str">
        <f t="shared" si="3"/>
        <v>248600642</v>
      </c>
      <c r="E21" t="str">
        <f t="shared" si="4"/>
        <v>Rich Media display banner</v>
      </c>
      <c r="F21" t="str">
        <f t="shared" si="5"/>
        <v>CH~VIDEO_DT~MULTI_PB~_FM~VIDEO_RT~CPM_PD~DV360_FWWC_TEADS_VIDEO_12S_KICK_1X1_TG~BHVDEM_TS~NONE_SZ~1X1_PROGRAMMATIC_MK~BR_IT~PROGRAMMATIC_VV~NONE</v>
      </c>
      <c r="G21" t="str">
        <f t="shared" si="6"/>
        <v>445068974</v>
      </c>
      <c r="H21" t="str">
        <f t="shared" si="7"/>
        <v>In-Stream Video</v>
      </c>
      <c r="I21">
        <f t="shared" si="8"/>
        <v>3312</v>
      </c>
      <c r="J21">
        <f t="shared" si="9"/>
        <v>2</v>
      </c>
      <c r="K21" s="4">
        <f t="shared" si="10"/>
        <v>0.6</v>
      </c>
      <c r="L21">
        <f t="shared" si="11"/>
        <v>0.35</v>
      </c>
      <c r="M21" s="4">
        <f t="shared" si="12"/>
        <v>1.9871999999999999</v>
      </c>
      <c r="N21" s="4">
        <f t="shared" si="13"/>
        <v>1.1591999999999998</v>
      </c>
    </row>
    <row r="22" spans="1:14">
      <c r="A22" t="str">
        <f t="shared" si="0"/>
        <v>MK~BR_CN~BRAND_REPUTATION_MN~NONE_YQ~19Q1Q4_CP~PO5020004141-7_OB~AWA_PK~NONE</v>
      </c>
      <c r="B22" t="str">
        <f t="shared" si="1"/>
        <v>Google Brasil</v>
      </c>
      <c r="C22" t="str">
        <f t="shared" si="2"/>
        <v>CH~VIDEO_DT~MULTI_PB~_FM~VIDEO_RT~CPM_PD~DV360_FWWC_TEADS_VIDEO_12S_PASS_1X1_TG~BHVDEM_TS~NONE_SZ~1X1_PROGRAMMATIC_MK~BR_IT~PROGRAMMATIC_VV~NONE</v>
      </c>
      <c r="D22" t="str">
        <f t="shared" si="3"/>
        <v>248600639</v>
      </c>
      <c r="E22" t="str">
        <f t="shared" si="4"/>
        <v>Rich Media display banner</v>
      </c>
      <c r="F22" t="str">
        <f t="shared" si="5"/>
        <v>CH~VIDEO_DT~MULTI_PB~_FM~VIDEO_RT~CPM_PD~DV360_FWWC_TEADS_VIDEO_12S_PASS_1X1_TG~BHVDEM_TS~NONE_SZ~1X1_PROGRAMMATIC_MK~BR_IT~PROGRAMMATIC_VV~NONE</v>
      </c>
      <c r="G22" t="str">
        <f t="shared" si="6"/>
        <v>445068971</v>
      </c>
      <c r="H22" t="str">
        <f t="shared" si="7"/>
        <v>In-Stream Video</v>
      </c>
      <c r="I22">
        <f t="shared" si="8"/>
        <v>3315</v>
      </c>
      <c r="J22">
        <f t="shared" si="9"/>
        <v>2</v>
      </c>
      <c r="K22" s="4">
        <f t="shared" si="10"/>
        <v>0.6</v>
      </c>
      <c r="L22">
        <f t="shared" si="11"/>
        <v>0.35</v>
      </c>
      <c r="M22" s="4">
        <f t="shared" si="12"/>
        <v>1.9890000000000001</v>
      </c>
      <c r="N22" s="4">
        <f t="shared" si="13"/>
        <v>1.16025</v>
      </c>
    </row>
    <row r="23" spans="1:14">
      <c r="A23" t="str">
        <f t="shared" si="0"/>
        <v>MK~BR_CN~BRAND_REPUTATION_MN~NONE_YQ~19Q1Q4_CP~PO5020004141-7_OB~AWA_PK~NONE</v>
      </c>
      <c r="B23" t="str">
        <f t="shared" si="1"/>
        <v>Google Brasil</v>
      </c>
      <c r="C23" t="str">
        <f t="shared" si="2"/>
        <v>CH~VIDEO_DT~MULTI_PB~_FM~VIDEO_RT~CPM_PD~DV360_FWWC_TEADS_VIDEO_30S_HERO_1X1_TG~BHVDEM_TS~NONE_SZ~1X1_PROGRAMMATIC_MK~BR_IT~PROGRAMMATIC_VV~NONE</v>
      </c>
      <c r="D23" t="str">
        <f t="shared" si="3"/>
        <v>248600645</v>
      </c>
      <c r="E23" t="str">
        <f t="shared" si="4"/>
        <v>Rich Media display banner</v>
      </c>
      <c r="F23" t="str">
        <f t="shared" si="5"/>
        <v>CH~VIDEO_DT~MULTI_PB~_FM~VIDEO_RT~CPM_PD~DV360_FWWC_TEADS_VIDEO_30S_HERO_1X1_TG~BHVDEM_TS~NONE_SZ~1X1_PROGRAMMATIC_MK~BR_IT~PROGRAMMATIC_VV~NONE</v>
      </c>
      <c r="G23" t="str">
        <f t="shared" si="6"/>
        <v>445068977</v>
      </c>
      <c r="H23" t="str">
        <f t="shared" si="7"/>
        <v>In-Stream Video</v>
      </c>
      <c r="I23">
        <f t="shared" si="8"/>
        <v>3390</v>
      </c>
      <c r="J23">
        <f t="shared" si="9"/>
        <v>10</v>
      </c>
      <c r="K23" s="4">
        <f t="shared" si="10"/>
        <v>0.6</v>
      </c>
      <c r="L23">
        <f t="shared" si="11"/>
        <v>0.35</v>
      </c>
      <c r="M23" s="4">
        <f t="shared" si="12"/>
        <v>2.0339999999999998</v>
      </c>
      <c r="N23" s="4">
        <f t="shared" si="13"/>
        <v>1.1865000000000001</v>
      </c>
    </row>
    <row r="24" spans="1:14">
      <c r="A24" t="str">
        <f t="shared" si="0"/>
        <v>MK~BR_CN~BRAND_REPUTATION_MN~NONE_YQ~19Q1Q4_CP~PO5020004141-7_OB~AWA_PK~NONE</v>
      </c>
      <c r="B24" t="str">
        <f t="shared" si="1"/>
        <v>Google Brasil</v>
      </c>
      <c r="C24" t="str">
        <f t="shared" si="2"/>
        <v>CH~VIDEO_DT~MULTI_PB~_FM~VIDEO_RT~CPM_PD~DV360_FWWC_TEADS_VIDEO_6S_BELIEVE_1X1_TG~BHVDEM_TS~NONE_SZ~1X1_PROGRAMMATIC_MK~BR_IT~PROGRAMMATIC_VV~NONE</v>
      </c>
      <c r="D24" t="str">
        <f t="shared" si="3"/>
        <v>248600627</v>
      </c>
      <c r="E24" t="str">
        <f t="shared" si="4"/>
        <v>Rich Media display banner</v>
      </c>
      <c r="F24" t="str">
        <f t="shared" si="5"/>
        <v>CH~VIDEO_DT~MULTI_PB~_FM~VIDEO_RT~CPM_PD~DV360_FWWC_TEADS_VIDEO_6S_BELIEVE_1X1_TG~BHVDEM_TS~NONE_SZ~1X1_PROGRAMMATIC_MK~BR_IT~PROGRAMMATIC_VV~NONE</v>
      </c>
      <c r="G24" t="str">
        <f t="shared" si="6"/>
        <v>445068959</v>
      </c>
      <c r="H24" t="str">
        <f t="shared" si="7"/>
        <v>In-Stream Video</v>
      </c>
      <c r="I24">
        <f t="shared" si="8"/>
        <v>131797</v>
      </c>
      <c r="J24">
        <f t="shared" si="9"/>
        <v>164</v>
      </c>
      <c r="K24" s="4">
        <f t="shared" si="10"/>
        <v>0.6</v>
      </c>
      <c r="L24">
        <f t="shared" si="11"/>
        <v>0.35</v>
      </c>
      <c r="M24" s="4">
        <f t="shared" si="12"/>
        <v>79.078199999999995</v>
      </c>
      <c r="N24" s="4">
        <f t="shared" si="13"/>
        <v>46.128949999999996</v>
      </c>
    </row>
    <row r="25" spans="1:14">
      <c r="A25" t="str">
        <f t="shared" si="0"/>
        <v>MK~BR_CN~BRAND_REPUTATION_MN~NONE_YQ~19Q1Q4_CP~PO5020004141-7_OB~AWA_PK~NONE</v>
      </c>
      <c r="B25" t="str">
        <f t="shared" si="1"/>
        <v>Google Brasil</v>
      </c>
      <c r="C25" t="str">
        <f t="shared" si="2"/>
        <v>CH~VIDEO_DT~MULTI_PB~_FM~VIDEO_RT~CPM_PD~DV360_FWWC_TEADS_VIDEO_6S_KICK_1X1_TG~BHVDEM_TS~NONE_SZ~1X1_PROGRAMMATIC_MK~BR_IT~PROGRAMMATIC_VV~NONE</v>
      </c>
      <c r="D25" t="str">
        <f t="shared" si="3"/>
        <v>248600633</v>
      </c>
      <c r="E25" t="str">
        <f t="shared" si="4"/>
        <v>Rich Media display banner</v>
      </c>
      <c r="F25" t="str">
        <f t="shared" si="5"/>
        <v>CH~VIDEO_DT~MULTI_PB~_FM~VIDEO_RT~CPM_PD~DV360_FWWC_TEADS_VIDEO_6S_KICK_1X1_TG~BHVDEM_TS~NONE_SZ~1X1_PROGRAMMATIC_MK~BR_IT~PROGRAMMATIC_VV~NONE</v>
      </c>
      <c r="G25" t="str">
        <f t="shared" si="6"/>
        <v>445068965</v>
      </c>
      <c r="H25" t="str">
        <f t="shared" si="7"/>
        <v>In-Stream Video</v>
      </c>
      <c r="I25">
        <f t="shared" si="8"/>
        <v>18075</v>
      </c>
      <c r="J25">
        <f t="shared" si="9"/>
        <v>24</v>
      </c>
      <c r="K25" s="4">
        <f t="shared" si="10"/>
        <v>0.6</v>
      </c>
      <c r="L25">
        <f t="shared" si="11"/>
        <v>0.35</v>
      </c>
      <c r="M25" s="4">
        <f t="shared" si="12"/>
        <v>10.845000000000001</v>
      </c>
      <c r="N25" s="4">
        <f t="shared" si="13"/>
        <v>6.3262499999999999</v>
      </c>
    </row>
    <row r="26" spans="1:14">
      <c r="A26" t="str">
        <f t="shared" si="0"/>
        <v>MK~BR_CN~BRAND_REPUTATION_MN~NONE_YQ~19Q1Q4_CP~PO5020004141-7_OB~AWA_PK~NONE</v>
      </c>
      <c r="B26" t="str">
        <f t="shared" si="1"/>
        <v>Google Brasil</v>
      </c>
      <c r="C26" t="str">
        <f t="shared" si="2"/>
        <v>CH~VIDEO_DT~MULTI_PB~_FM~VIDEO_RT~CPM_PD~DV360_FWWC_TEADS_VIDEO_6S_WELCOME_1X1_TG~BHVDEM_TS~NONE_SZ~1X1_PROGRAMMATIC_MK~BR_IT~PROGRAMMATIC_VV~NONE</v>
      </c>
      <c r="D26" t="str">
        <f t="shared" si="3"/>
        <v>248600630</v>
      </c>
      <c r="E26" t="str">
        <f t="shared" si="4"/>
        <v>Rich Media display banner</v>
      </c>
      <c r="F26" t="str">
        <f t="shared" si="5"/>
        <v>CH~VIDEO_DT~MULTI_PB~_FM~VIDEO_RT~CPM_PD~DV360_FWWC_TEADS_VIDEO_6S_WELCOME_1X1_TG~BHVDEM_TS~NONE_SZ~1X1_PROGRAMMATIC_MK~BR_IT~PROGRAMMATIC_VV~NONE</v>
      </c>
      <c r="G26" t="str">
        <f t="shared" si="6"/>
        <v>445068962</v>
      </c>
      <c r="H26" t="str">
        <f t="shared" si="7"/>
        <v>In-Stream Video</v>
      </c>
      <c r="I26">
        <f t="shared" si="8"/>
        <v>70221</v>
      </c>
      <c r="J26">
        <f t="shared" si="9"/>
        <v>86</v>
      </c>
      <c r="K26" s="4">
        <f t="shared" si="10"/>
        <v>0.6</v>
      </c>
      <c r="L26">
        <f t="shared" si="11"/>
        <v>0.35</v>
      </c>
      <c r="M26" s="4">
        <f t="shared" si="12"/>
        <v>42.132599999999996</v>
      </c>
      <c r="N26" s="4">
        <f t="shared" si="13"/>
        <v>24.577349999999999</v>
      </c>
    </row>
    <row r="27" spans="1:14">
      <c r="A27" t="str">
        <f t="shared" si="0"/>
        <v>MK~BR_CN~BRAND_REPUTATION_MN~NONE_YQ~19Q1Q4_CP~PO5020004141-7_OB~AWA_PK~NONE</v>
      </c>
      <c r="B27" t="str">
        <f t="shared" si="1"/>
        <v>Google Brasil</v>
      </c>
      <c r="C27" t="str">
        <f t="shared" si="2"/>
        <v>CH~VIDEO_DT~MULTI_PB~_FM~VIDEO_RT~CPM_PD~DV360_FWWC_UOL.COM_VIDEO_12S_BELIEVE_1X1_TG~BHVDEM_TS~NONE_SZ~1X1_PROGRAMMATIC_MK~BR_IT~PROGRAMMATIC_VV~NONE</v>
      </c>
      <c r="D27" t="str">
        <f t="shared" si="3"/>
        <v>248600657</v>
      </c>
      <c r="E27" t="str">
        <f t="shared" si="4"/>
        <v>Rich Media display banner</v>
      </c>
      <c r="F27" t="str">
        <f t="shared" si="5"/>
        <v>CH~VIDEO_DT~MULTI_PB~_FM~VIDEO_RT~CPM_PD~DV360_FWWC_UOL.COM_VIDEO_12S_BELIEVE_1X1_TG~BHVDEM_TS~NONE_SZ~1X1_PROGRAMMATIC_MK~BR_IT~PROGRAMMATIC_VV~NONE</v>
      </c>
      <c r="G27" t="str">
        <f t="shared" si="6"/>
        <v>445068989</v>
      </c>
      <c r="H27" t="str">
        <f t="shared" si="7"/>
        <v>In-Stream Video</v>
      </c>
      <c r="I27">
        <f t="shared" si="8"/>
        <v>21150</v>
      </c>
      <c r="J27">
        <f t="shared" si="9"/>
        <v>485</v>
      </c>
      <c r="K27" s="4">
        <f t="shared" si="10"/>
        <v>0.6</v>
      </c>
      <c r="L27">
        <f t="shared" si="11"/>
        <v>0.35</v>
      </c>
      <c r="M27" s="4">
        <f t="shared" si="12"/>
        <v>12.69</v>
      </c>
      <c r="N27" s="4">
        <f t="shared" si="13"/>
        <v>7.402499999999999</v>
      </c>
    </row>
    <row r="28" spans="1:14">
      <c r="A28" t="str">
        <f t="shared" si="0"/>
        <v>MK~BR_CN~BRAND_REPUTATION_MN~NONE_YQ~19Q1Q4_CP~PO5020004141-7_OB~AWA_PK~NONE</v>
      </c>
      <c r="B28" t="str">
        <f t="shared" si="1"/>
        <v>Google Brasil</v>
      </c>
      <c r="C28" t="str">
        <f t="shared" si="2"/>
        <v>CH~VIDEO_DT~MULTI_PB~_FM~VIDEO_RT~CPM_PD~DV360_FWWC_UOL.COM_VIDEO_12S_KICK_1X1_TG~BHVDEM_TS~NONE_SZ~1X1_PROGRAMMATIC_MK~BR_IT~PROGRAMMATIC_VV~NONE</v>
      </c>
      <c r="D28" t="str">
        <f t="shared" si="3"/>
        <v>248600663</v>
      </c>
      <c r="E28" t="str">
        <f t="shared" si="4"/>
        <v>Rich Media display banner</v>
      </c>
      <c r="F28" t="str">
        <f t="shared" si="5"/>
        <v>CH~VIDEO_DT~MULTI_PB~_FM~VIDEO_RT~CPM_PD~DV360_FWWC_UOL.COM_VIDEO_12S_KICK_1X1_TG~BHVDEM_TS~NONE_SZ~1X1_PROGRAMMATIC_MK~BR_IT~PROGRAMMATIC_VV~NONE</v>
      </c>
      <c r="G28" t="str">
        <f t="shared" si="6"/>
        <v>445068995</v>
      </c>
      <c r="H28" t="str">
        <f t="shared" si="7"/>
        <v>In-Stream Video</v>
      </c>
      <c r="I28">
        <f t="shared" si="8"/>
        <v>38997</v>
      </c>
      <c r="J28">
        <f t="shared" si="9"/>
        <v>809</v>
      </c>
      <c r="K28" s="4">
        <f t="shared" si="10"/>
        <v>0.6</v>
      </c>
      <c r="L28">
        <f t="shared" si="11"/>
        <v>0.35</v>
      </c>
      <c r="M28" s="4">
        <f t="shared" si="12"/>
        <v>23.398199999999999</v>
      </c>
      <c r="N28" s="4">
        <f t="shared" si="13"/>
        <v>13.648949999999999</v>
      </c>
    </row>
    <row r="29" spans="1:14">
      <c r="A29" t="str">
        <f t="shared" si="0"/>
        <v>MK~BR_CN~BRAND_REPUTATION_MN~NONE_YQ~19Q1Q4_CP~PO5020004141-7_OB~AWA_PK~NONE</v>
      </c>
      <c r="B29" t="str">
        <f t="shared" si="1"/>
        <v>Google Brasil</v>
      </c>
      <c r="C29" t="str">
        <f t="shared" si="2"/>
        <v>CH~VIDEO_DT~MULTI_PB~_FM~VIDEO_RT~CPM_PD~DV360_FWWC_UOL.COM_VIDEO_12S_PASS_1X1_TG~BHVDEM_TS~NONE_SZ~1X1_PROGRAMMATIC_MK~BR_IT~PROGRAMMATIC_VV~NONE</v>
      </c>
      <c r="D29" t="str">
        <f t="shared" si="3"/>
        <v>248600660</v>
      </c>
      <c r="E29" t="str">
        <f t="shared" si="4"/>
        <v>Rich Media display banner</v>
      </c>
      <c r="F29" t="str">
        <f t="shared" si="5"/>
        <v>CH~VIDEO_DT~MULTI_PB~_FM~VIDEO_RT~CPM_PD~DV360_FWWC_UOL.COM_VIDEO_12S_PASS_1X1_TG~BHVDEM_TS~NONE_SZ~1X1_PROGRAMMATIC_MK~BR_IT~PROGRAMMATIC_VV~NONE</v>
      </c>
      <c r="G29" t="str">
        <f t="shared" si="6"/>
        <v>445068992</v>
      </c>
      <c r="H29" t="str">
        <f t="shared" si="7"/>
        <v>In-Stream Video</v>
      </c>
      <c r="I29">
        <f t="shared" si="8"/>
        <v>25900</v>
      </c>
      <c r="J29">
        <f t="shared" si="9"/>
        <v>537</v>
      </c>
      <c r="K29" s="4">
        <f t="shared" si="10"/>
        <v>0.6</v>
      </c>
      <c r="L29">
        <f t="shared" si="11"/>
        <v>0.35</v>
      </c>
      <c r="M29" s="4">
        <f t="shared" si="12"/>
        <v>15.54</v>
      </c>
      <c r="N29" s="4">
        <f t="shared" si="13"/>
        <v>9.0649999999999995</v>
      </c>
    </row>
    <row r="30" spans="1:14">
      <c r="A30" t="str">
        <f t="shared" si="0"/>
        <v>MK~BR_CN~BRAND_REPUTATION_MN~NONE_YQ~19Q1Q4_CP~PO5020004141-7_OB~AWA_PK~NONE</v>
      </c>
      <c r="B30" t="str">
        <f t="shared" si="1"/>
        <v>Google Brasil</v>
      </c>
      <c r="C30" t="str">
        <f t="shared" si="2"/>
        <v>CH~VIDEO_DT~MULTI_PB~_FM~VIDEO_RT~CPM_PD~DV360_FWWC_UOL.COM_VIDEO_6S_BELIEVE_1X1_TG~BHVDEM_TS~NONE_SZ~1X1_PROGRAMMATIC_MK~BR_IT~PROGRAMMATIC_VV~NONE</v>
      </c>
      <c r="D30" t="str">
        <f t="shared" si="3"/>
        <v>248600648</v>
      </c>
      <c r="E30" t="str">
        <f t="shared" si="4"/>
        <v>Rich Media display banner</v>
      </c>
      <c r="F30" t="str">
        <f t="shared" si="5"/>
        <v>CH~VIDEO_DT~MULTI_PB~_FM~VIDEO_RT~CPM_PD~DV360_FWWC_UOL.COM_VIDEO_6S_BELIEVE_1X1_TG~BHVDEM_TS~NONE_SZ~1X1_PROGRAMMATIC_MK~BR_IT~PROGRAMMATIC_VV~NONE</v>
      </c>
      <c r="G30" t="str">
        <f t="shared" si="6"/>
        <v>445068980</v>
      </c>
      <c r="H30" t="str">
        <f t="shared" si="7"/>
        <v>In-Stream Video</v>
      </c>
      <c r="I30">
        <f t="shared" si="8"/>
        <v>80165</v>
      </c>
      <c r="J30">
        <f t="shared" si="9"/>
        <v>1159</v>
      </c>
      <c r="K30" s="4">
        <f t="shared" si="10"/>
        <v>0.6</v>
      </c>
      <c r="L30">
        <f t="shared" si="11"/>
        <v>0.35</v>
      </c>
      <c r="M30" s="4">
        <f t="shared" si="12"/>
        <v>48.098999999999997</v>
      </c>
      <c r="N30" s="4">
        <f t="shared" si="13"/>
        <v>28.057749999999999</v>
      </c>
    </row>
    <row r="31" spans="1:14">
      <c r="A31" t="str">
        <f t="shared" si="0"/>
        <v>MK~BR_CN~BRAND_REPUTATION_MN~NONE_YQ~19Q1Q4_CP~PO5020004141-7_OB~AWA_PK~NONE</v>
      </c>
      <c r="B31" t="str">
        <f t="shared" si="1"/>
        <v>Google Brasil</v>
      </c>
      <c r="C31" t="str">
        <f t="shared" si="2"/>
        <v>CH~VIDEO_DT~MULTI_PB~_FM~VIDEO_RT~CPM_PD~DV360_FWWC_UOL.COM_VIDEO_6S_KICK_1X1_TG~BHVDEM_TS~NONE_SZ~1X1_PROGRAMMATIC_MK~BR_IT~PROGRAMMATIC_VV~NONE</v>
      </c>
      <c r="D31" t="str">
        <f t="shared" si="3"/>
        <v>248600654</v>
      </c>
      <c r="E31" t="str">
        <f t="shared" si="4"/>
        <v>Rich Media display banner</v>
      </c>
      <c r="F31" t="str">
        <f t="shared" si="5"/>
        <v>CH~VIDEO_DT~MULTI_PB~_FM~VIDEO_RT~CPM_PD~DV360_FWWC_UOL.COM_VIDEO_6S_KICK_1X1_TG~BHVDEM_TS~NONE_SZ~1X1_PROGRAMMATIC_MK~BR_IT~PROGRAMMATIC_VV~NONE</v>
      </c>
      <c r="G31" t="str">
        <f t="shared" si="6"/>
        <v>445068986</v>
      </c>
      <c r="H31" t="str">
        <f t="shared" si="7"/>
        <v>In-Stream Video</v>
      </c>
      <c r="I31">
        <f t="shared" si="8"/>
        <v>2965</v>
      </c>
      <c r="J31">
        <f t="shared" si="9"/>
        <v>37</v>
      </c>
      <c r="K31" s="4">
        <f t="shared" si="10"/>
        <v>0.6</v>
      </c>
      <c r="L31">
        <f t="shared" si="11"/>
        <v>0.35</v>
      </c>
      <c r="M31" s="4">
        <f t="shared" si="12"/>
        <v>1.7789999999999999</v>
      </c>
      <c r="N31" s="4">
        <f t="shared" si="13"/>
        <v>1.03775</v>
      </c>
    </row>
    <row r="32" spans="1:14">
      <c r="A32" t="str">
        <f t="shared" si="0"/>
        <v>MK~BR_CN~BRAND_REPUTATION_MN~NONE_YQ~19Q1Q4_CP~PO5020004141-7_OB~AWA_PK~NONE</v>
      </c>
      <c r="B32" t="str">
        <f t="shared" si="1"/>
        <v>Google Brasil</v>
      </c>
      <c r="C32" t="str">
        <f t="shared" si="2"/>
        <v>CH~VIDEO_DT~MULTI_PB~_FM~VIDEO_RT~CPM_PD~DV360_FWWC_UOL.COM_VIDEO_6S_WELCOME_1X1_TG~BHVDEM_TS~NONE_SZ~1X1_PROGRAMMATIC_MK~BR_IT~PROGRAMMATIC_VV~NONE</v>
      </c>
      <c r="D32" t="str">
        <f t="shared" si="3"/>
        <v>248600651</v>
      </c>
      <c r="E32" t="str">
        <f t="shared" si="4"/>
        <v>Rich Media display banner</v>
      </c>
      <c r="F32" t="str">
        <f t="shared" si="5"/>
        <v>CH~VIDEO_DT~MULTI_PB~_FM~VIDEO_RT~CPM_PD~DV360_FWWC_UOL.COM_VIDEO_6S_WELCOME_1X1_TG~BHVDEM_TS~NONE_SZ~1X1_PROGRAMMATIC_MK~BR_IT~PROGRAMMATIC_VV~NONE</v>
      </c>
      <c r="G32" t="str">
        <f t="shared" si="6"/>
        <v>445068983</v>
      </c>
      <c r="H32" t="str">
        <f t="shared" si="7"/>
        <v>In-Stream Video</v>
      </c>
      <c r="I32">
        <f t="shared" si="8"/>
        <v>2959</v>
      </c>
      <c r="J32">
        <f t="shared" si="9"/>
        <v>55</v>
      </c>
      <c r="K32" s="4">
        <f t="shared" si="10"/>
        <v>0.6</v>
      </c>
      <c r="L32">
        <f t="shared" si="11"/>
        <v>0.35</v>
      </c>
      <c r="M32" s="4">
        <f t="shared" si="12"/>
        <v>1.7753999999999999</v>
      </c>
      <c r="N32" s="4">
        <f t="shared" si="13"/>
        <v>1.03565</v>
      </c>
    </row>
    <row r="33" spans="1:14">
      <c r="A33" t="str">
        <f t="shared" si="0"/>
        <v>MK~BR_CN~BRAND_REPUTATION_MN~NONE_YQ~19Q1Q4_CP~PO5020004141-7_OB~AWA_PK~NONE</v>
      </c>
      <c r="B33" t="str">
        <f t="shared" si="1"/>
        <v>Twitter</v>
      </c>
      <c r="C33" t="str">
        <f t="shared" si="2"/>
        <v>CH~VÍDEO_DT~MULTI_PB~TW_FM~VIDEO_RT~CPM_PD~TWITTER_FWWC_VIDEO_6S_1X1_TG~BHVDEM_TS~NONE_SZ~1X1_SOCIAL_MK~BR_IT~SOCIAL_VV~NONE</v>
      </c>
      <c r="D33" t="str">
        <f t="shared" si="3"/>
        <v>249101445</v>
      </c>
      <c r="E33" t="str">
        <f t="shared" si="4"/>
        <v>Dynamic Click</v>
      </c>
      <c r="F33" t="str">
        <f t="shared" si="5"/>
        <v>CH~VÍDEO_DT~MULTI_PB~TW_FM~VIDEO_RT~CPM_PD~TWITTER_FWWC_VIDEO_6S_1X1_TG~BHVDEM_TS~NONE_SZ~1X1_SOCIAL_MK~BR_IT~SOCIAL_VV~NONE</v>
      </c>
      <c r="G33" t="str">
        <f t="shared" si="6"/>
        <v>445183583</v>
      </c>
      <c r="H33" t="str">
        <f t="shared" si="7"/>
        <v>Tracking</v>
      </c>
      <c r="I33">
        <f t="shared" si="8"/>
        <v>0</v>
      </c>
      <c r="J33">
        <f t="shared" si="9"/>
        <v>293</v>
      </c>
      <c r="K33" s="4">
        <f t="shared" si="10"/>
        <v>3.5000000000000001E-3</v>
      </c>
      <c r="L33">
        <f t="shared" si="11"/>
        <v>0.02</v>
      </c>
      <c r="M33" s="4">
        <f t="shared" si="12"/>
        <v>1.0255000000000001</v>
      </c>
      <c r="N33" s="4">
        <f t="shared" si="13"/>
        <v>5.86</v>
      </c>
    </row>
    <row r="34" spans="1:14">
      <c r="A34" t="str">
        <f t="shared" si="0"/>
        <v>MK~BR_CN~Causas_MN~CCV_YQ~19Q1Q4_CP~NONE_OB~LDS_PK~NONE</v>
      </c>
      <c r="B34" t="str">
        <f t="shared" si="1"/>
        <v>Facebook</v>
      </c>
      <c r="C34" t="str">
        <f t="shared" si="2"/>
        <v>CH~DISPLAY_DT~MOBILE_PB~FCBK_FM~LINKAD_RT~CPM_PD~CROSSBORDER_CASHBACK_LINKAD_GOURMET_BASEEUA_1X1_TG~BHVDEM_TS~NONE_SZ~1X1_DISPLAY_MK~BR_IT~DISPLAY_VV~NONE</v>
      </c>
      <c r="D34" t="str">
        <f t="shared" si="3"/>
        <v>249253701</v>
      </c>
      <c r="E34" t="str">
        <f t="shared" si="4"/>
        <v>Dynamic Click</v>
      </c>
      <c r="F34" t="str">
        <f t="shared" si="5"/>
        <v>CH~DISPLAY_DT~MOBILE_PB~FCBK_FM~LINKAD_RT~CPM_PD~CROSSBORDER_CASHBACK_LINKAD_GOURMET_BASEEUA_1X1_TG~BHVDEM_TS~NONE_SZ~1X1_DISPLAY_MK~BR_IT~DISPLAY_VV~NONE</v>
      </c>
      <c r="G34" t="str">
        <f t="shared" si="6"/>
        <v>445278498</v>
      </c>
      <c r="H34" t="str">
        <f t="shared" si="7"/>
        <v>Tracking</v>
      </c>
      <c r="I34">
        <f t="shared" si="8"/>
        <v>0</v>
      </c>
      <c r="J34">
        <f t="shared" si="9"/>
        <v>673</v>
      </c>
      <c r="K34" s="4">
        <f t="shared" si="10"/>
        <v>3.5000000000000001E-3</v>
      </c>
      <c r="L34">
        <f t="shared" si="11"/>
        <v>0.02</v>
      </c>
      <c r="M34" s="4">
        <f t="shared" si="12"/>
        <v>2.3555000000000001</v>
      </c>
      <c r="N34" s="4">
        <f t="shared" si="13"/>
        <v>13.46</v>
      </c>
    </row>
    <row r="35" spans="1:14">
      <c r="A35" t="str">
        <f t="shared" si="0"/>
        <v>MK~BR_CN~Causas_MN~CCV_YQ~19Q1Q4_CP~NONE_OB~LDS_PK~NONE</v>
      </c>
      <c r="B35" t="str">
        <f t="shared" si="1"/>
        <v>Facebook</v>
      </c>
      <c r="C35" t="str">
        <f t="shared" si="2"/>
        <v>CH~SOCIAL_DT~MULTI_PB~FCBK_FM~CARROSSEL_RT~CPM_PD~CAUSAS_PERFORMANCE_CARROSSEL_CADASTRE_1X1_TG~BHVDEM_TS~NONE_SZ~1X1_SOCIAL_MK~BR_IT~SOCIAL_VV~NONE</v>
      </c>
      <c r="D35" t="str">
        <f t="shared" si="3"/>
        <v>247124503</v>
      </c>
      <c r="E35" t="str">
        <f t="shared" si="4"/>
        <v>Dynamic Click</v>
      </c>
      <c r="F35" t="str">
        <f t="shared" si="5"/>
        <v>CH~SOCIAL_DT~MULTI_PB~FCBK_FM~CARROSSEL_RT~CPM_PD~CAUSAS_PERFORMANCE_CARROSSEL_CADASTRE_1X1_TG~BHVDEM_TS~NONE_SZ~1X1_SOCIAL_MK~BR_IT~SOCIAL_VV~NONE</v>
      </c>
      <c r="G35" t="str">
        <f t="shared" si="6"/>
        <v>443585401</v>
      </c>
      <c r="H35" t="str">
        <f t="shared" si="7"/>
        <v>Tracking</v>
      </c>
      <c r="I35">
        <f t="shared" si="8"/>
        <v>0</v>
      </c>
      <c r="J35">
        <f t="shared" si="9"/>
        <v>4905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17.1675</v>
      </c>
      <c r="N35" s="4">
        <f t="shared" ref="N35:N98" si="15">IF(E35="Dynamic Click",J35*L35,L35*$I35/1000)</f>
        <v>98.100000000000009</v>
      </c>
    </row>
    <row r="36" spans="1:14">
      <c r="A36" t="str">
        <f t="shared" si="0"/>
        <v>MK~BR_CN~Causas_MN~CCV_YQ~19Q1Q4_CP~NONE_OB~LDS_PK~NONE</v>
      </c>
      <c r="B36" t="str">
        <f t="shared" si="1"/>
        <v>Facebook</v>
      </c>
      <c r="C36" t="str">
        <f t="shared" si="2"/>
        <v>CH~SOCIAL_DT~MULTI_PB~FCBK_FM~LINKAD_RT~CPM_PD~CAUSAS_CADASTRE_SE_NATAL_LINKAD_ANIMADO_FB_1X1_TG~BHVDEM_TS~NONE_SZ~1X1_SOCIAL_MK~BR_IT~SOCIAL_VV~NONE</v>
      </c>
      <c r="D36" t="str">
        <f t="shared" si="3"/>
        <v>236524072</v>
      </c>
      <c r="E36" t="str">
        <f t="shared" si="4"/>
        <v>Dynamic Click</v>
      </c>
      <c r="F36" t="str">
        <f t="shared" si="5"/>
        <v>CH~SOCIAL_DT~MULTI_PB~FCBK_FM~LINKAD_RT~CPM_PD~CAUSAS_CADASTRE_SE_NATAL_LINKAD_ANIMADO_FB_1X1_TG~BHVDEM_TS~NONE_SZ~1X1_SOCIAL_MK~BR_IT~SOCIAL_VV~NONE</v>
      </c>
      <c r="G36" t="str">
        <f t="shared" si="6"/>
        <v>433986273</v>
      </c>
      <c r="H36" t="str">
        <f t="shared" si="7"/>
        <v>Tracking</v>
      </c>
      <c r="I36">
        <f t="shared" si="8"/>
        <v>0</v>
      </c>
      <c r="J36">
        <f t="shared" si="9"/>
        <v>33</v>
      </c>
      <c r="K36" s="4">
        <f t="shared" si="10"/>
        <v>3.5000000000000001E-3</v>
      </c>
      <c r="L36">
        <f t="shared" si="11"/>
        <v>0.02</v>
      </c>
      <c r="M36" s="4">
        <f t="shared" si="14"/>
        <v>0.11550000000000001</v>
      </c>
      <c r="N36" s="4">
        <f t="shared" si="15"/>
        <v>0.66</v>
      </c>
    </row>
    <row r="37" spans="1:14">
      <c r="A37" t="str">
        <f t="shared" si="0"/>
        <v>MK~BR_CN~Causas_MN~CCV_YQ~19Q1Q4_CP~NONE_OB~LDS_PK~NONE</v>
      </c>
      <c r="B37" t="str">
        <f t="shared" si="1"/>
        <v>Facebook</v>
      </c>
      <c r="C37" t="str">
        <f t="shared" si="2"/>
        <v>CH~SOCIAL_DT~MULTI_PB~FCBK_FM~LINKAD_RT~CPM_PD~CAUSAS_PERFORMANCE_LINKAD_FUNDOAZUL1_CADASTRE_1X1_TG~BHVDEM_TS~NONE_SZ~1X1_SOCIAL_MK~BR_IT~SOCIAL_VV~NONE</v>
      </c>
      <c r="D37" t="str">
        <f t="shared" si="3"/>
        <v>247124488</v>
      </c>
      <c r="E37" t="str">
        <f t="shared" si="4"/>
        <v>Dynamic Click</v>
      </c>
      <c r="F37" t="str">
        <f t="shared" si="5"/>
        <v>CH~SOCIAL_DT~MULTI_PB~FCBK_FM~LINKAD_RT~CPM_PD~CAUSAS_PERFORMANCE_LINKAD_FUNDOAZUL1_CADASTRE_1X1_TG~BHVDEM_TS~NONE_SZ~1X1_SOCIAL_MK~BR_IT~SOCIAL_VV~NONE</v>
      </c>
      <c r="G37" t="str">
        <f t="shared" si="6"/>
        <v>443585386</v>
      </c>
      <c r="H37" t="str">
        <f t="shared" si="7"/>
        <v>Tracking</v>
      </c>
      <c r="I37">
        <f t="shared" si="8"/>
        <v>0</v>
      </c>
      <c r="J37">
        <f t="shared" si="9"/>
        <v>7</v>
      </c>
      <c r="K37" s="4">
        <f t="shared" si="10"/>
        <v>3.5000000000000001E-3</v>
      </c>
      <c r="L37">
        <f t="shared" si="11"/>
        <v>0.02</v>
      </c>
      <c r="M37" s="4">
        <f t="shared" si="14"/>
        <v>2.4500000000000001E-2</v>
      </c>
      <c r="N37" s="4">
        <f t="shared" si="15"/>
        <v>0.14000000000000001</v>
      </c>
    </row>
    <row r="38" spans="1:14">
      <c r="A38" t="str">
        <f t="shared" si="0"/>
        <v>MK~BR_CN~Causas_MN~CCV_YQ~19Q1Q4_CP~NONE_OB~LDS_PK~NONE</v>
      </c>
      <c r="B38" t="str">
        <f t="shared" si="1"/>
        <v>Facebook</v>
      </c>
      <c r="C38" t="str">
        <f t="shared" si="2"/>
        <v>CH~SOCIAL_DT~MULTI_PB~FCBK_FM~LINKAD_RT~CPM_PD~CAUSAS_PERFORMANCE_LINKAD_FUNDOBRANCO1_CADASTRE_1X1_TG~BHVDEM_TS~NONE_SZ~1X1_SOCIAL_MK~BR_IT~SOCIAL_VV~NONE</v>
      </c>
      <c r="D38" t="str">
        <f t="shared" si="3"/>
        <v>247124497</v>
      </c>
      <c r="E38" t="str">
        <f t="shared" si="4"/>
        <v>Dynamic Click</v>
      </c>
      <c r="F38" t="str">
        <f t="shared" si="5"/>
        <v>CH~SOCIAL_DT~MULTI_PB~FCBK_FM~LINKAD_RT~CPM_PD~CAUSAS_PERFORMANCE_LINKAD_FUNDOBRANCO1_CADASTRE_1X1_TG~BHVDEM_TS~NONE_SZ~1X1_SOCIAL_MK~BR_IT~SOCIAL_VV~NONE</v>
      </c>
      <c r="G38" t="str">
        <f t="shared" si="6"/>
        <v>443585395</v>
      </c>
      <c r="H38" t="str">
        <f t="shared" si="7"/>
        <v>Tracking</v>
      </c>
      <c r="I38">
        <f t="shared" si="8"/>
        <v>0</v>
      </c>
      <c r="J38">
        <f t="shared" si="9"/>
        <v>17828</v>
      </c>
      <c r="K38" s="4">
        <f t="shared" si="10"/>
        <v>3.5000000000000001E-3</v>
      </c>
      <c r="L38">
        <f t="shared" si="11"/>
        <v>0.02</v>
      </c>
      <c r="M38" s="4">
        <f t="shared" si="14"/>
        <v>62.398000000000003</v>
      </c>
      <c r="N38" s="4">
        <f t="shared" si="15"/>
        <v>356.56</v>
      </c>
    </row>
    <row r="39" spans="1:14">
      <c r="A39" t="str">
        <f t="shared" si="0"/>
        <v>MK~BR_CN~Causas_MN~CCV_YQ~19Q1Q4_CP~NONE_OB~LDS_PK~NONE</v>
      </c>
      <c r="B39" t="str">
        <f t="shared" si="1"/>
        <v>Facebook</v>
      </c>
      <c r="C39" t="str">
        <f t="shared" si="2"/>
        <v>CH~SOCIAL_DT~MULTI_PB~FCBK_FM~LINKAD_RT~CPM_PD~CAUSAS_PERFORMANCE_LINKAD_PASSOAPASSO_CADASTRE_1X1_TG~BHVDEM_TS~NONE_SZ~1X1_SOCIAL_MK~BR_IT~SOCIAL_VV~NONE</v>
      </c>
      <c r="D39" t="str">
        <f t="shared" si="3"/>
        <v>247124491</v>
      </c>
      <c r="E39" t="str">
        <f t="shared" si="4"/>
        <v>Dynamic Click</v>
      </c>
      <c r="F39" t="str">
        <f t="shared" si="5"/>
        <v>CH~SOCIAL_DT~MULTI_PB~FCBK_FM~LINKAD_RT~CPM_PD~CAUSAS_PERFORMANCE_LINKAD_PASSOAPASSO_CADASTRE_1X1_TG~BHVDEM_TS~NONE_SZ~1X1_SOCIAL_MK~BR_IT~SOCIAL_VV~NONE</v>
      </c>
      <c r="G39" t="str">
        <f t="shared" si="6"/>
        <v>443585389</v>
      </c>
      <c r="H39" t="str">
        <f t="shared" si="7"/>
        <v>Tracking</v>
      </c>
      <c r="I39">
        <f t="shared" si="8"/>
        <v>0</v>
      </c>
      <c r="J39">
        <f t="shared" si="9"/>
        <v>1278</v>
      </c>
      <c r="K39" s="4">
        <f t="shared" si="10"/>
        <v>3.5000000000000001E-3</v>
      </c>
      <c r="L39">
        <f t="shared" si="11"/>
        <v>0.02</v>
      </c>
      <c r="M39" s="4">
        <f t="shared" si="14"/>
        <v>4.4729999999999999</v>
      </c>
      <c r="N39" s="4">
        <f t="shared" si="15"/>
        <v>25.560000000000002</v>
      </c>
    </row>
    <row r="40" spans="1:14">
      <c r="A40" t="str">
        <f t="shared" si="0"/>
        <v>MK~BR_CN~Causas_MN~CCV_YQ~19Q1Q4_CP~NONE_OB~LDS_PK~NONE</v>
      </c>
      <c r="B40" t="str">
        <f t="shared" si="1"/>
        <v>Facebook</v>
      </c>
      <c r="C40" t="str">
        <f t="shared" si="2"/>
        <v>CH~SOCIAL_DT~MULTI_PB~FCBK_FM~LINKAD_RT~CPM_PD~CROSSBORDER_CASHBACK_DNA_GOURMET_LINKAD_ANIMADO_1X1_TG~BHVDEM_TS~NONE_SZ~1X1_SOCIAL_MK~BR_IT~SOCIAL_VV~NONE</v>
      </c>
      <c r="D40" t="str">
        <f t="shared" si="3"/>
        <v>245524382</v>
      </c>
      <c r="E40" t="str">
        <f t="shared" si="4"/>
        <v>Dynamic Click</v>
      </c>
      <c r="F40" t="str">
        <f t="shared" si="5"/>
        <v>CH~SOCIAL_DT~MULTI_PB~FCBK_FM~LINKAD_RT~CPM_PD~CROSSBORDER_CASHBACK_DNA_GOURMET_LINKAD_ANIMADO_1X1_TG~BHVDEM_TS~NONE_SZ~1X1_SOCIAL_MK~BR_IT~SOCIAL_VV~NONE</v>
      </c>
      <c r="G40" t="str">
        <f t="shared" si="6"/>
        <v>442306258</v>
      </c>
      <c r="H40" t="str">
        <f t="shared" si="7"/>
        <v>Tracking</v>
      </c>
      <c r="I40">
        <f t="shared" si="8"/>
        <v>0</v>
      </c>
      <c r="J40">
        <f t="shared" si="9"/>
        <v>1</v>
      </c>
      <c r="K40" s="4">
        <f t="shared" si="10"/>
        <v>3.5000000000000001E-3</v>
      </c>
      <c r="L40">
        <f t="shared" si="11"/>
        <v>0.02</v>
      </c>
      <c r="M40" s="4">
        <f t="shared" si="14"/>
        <v>3.5000000000000001E-3</v>
      </c>
      <c r="N40" s="4">
        <f t="shared" si="15"/>
        <v>0.02</v>
      </c>
    </row>
    <row r="41" spans="1:14">
      <c r="A41" t="str">
        <f t="shared" si="0"/>
        <v>MK~BR_CN~Causas_MN~CCV_YQ~19Q1Q4_CP~NONE_OB~LDS_PK~NONE</v>
      </c>
      <c r="B41" t="str">
        <f t="shared" si="1"/>
        <v>Facebook</v>
      </c>
      <c r="C41" t="str">
        <f t="shared" si="2"/>
        <v>CH~SOCIAL_DT~MULTI_PB~FCBK_FM~VIDEO_RT~CPM_PD~CAUSAS_AWARENESS_ALCANCE_VIDEO_INSTITUTOVERTER_30''_1X1_TG~BHVDEM_TS~NONE_SZ~1X1_SOCIAL_MK~BR_IT~SOCIAL_VV~NONE</v>
      </c>
      <c r="D41" t="str">
        <f t="shared" si="3"/>
        <v>247640106</v>
      </c>
      <c r="E41" t="str">
        <f t="shared" si="4"/>
        <v>Dynamic Click</v>
      </c>
      <c r="F41" t="str">
        <f t="shared" si="5"/>
        <v>CH~SOCIAL_DT~MULTI_PB~FCBK_FM~VIDEO_RT~CPM_PD~CAUSAS_AWARENESS_ALCANCE_VIDEO_INSTITUTOVERTER_30''_1X1_TG~BHVDEM_TS~NONE_SZ~1X1_SOCIAL_MK~BR_IT~SOCIAL_VV~NONE</v>
      </c>
      <c r="G41" t="str">
        <f t="shared" si="6"/>
        <v>443733576</v>
      </c>
      <c r="H41" t="str">
        <f t="shared" si="7"/>
        <v>Tracking</v>
      </c>
      <c r="I41">
        <f t="shared" si="8"/>
        <v>0</v>
      </c>
      <c r="J41">
        <f t="shared" si="9"/>
        <v>1</v>
      </c>
      <c r="K41" s="4">
        <f t="shared" si="10"/>
        <v>3.5000000000000001E-3</v>
      </c>
      <c r="L41">
        <f t="shared" si="11"/>
        <v>0.02</v>
      </c>
      <c r="M41" s="4">
        <f t="shared" si="14"/>
        <v>3.5000000000000001E-3</v>
      </c>
      <c r="N41" s="4">
        <f t="shared" si="15"/>
        <v>0.02</v>
      </c>
    </row>
    <row r="42" spans="1:14">
      <c r="A42" t="str">
        <f t="shared" si="0"/>
        <v>MK~BR_CN~Causas_MN~CCV_YQ~19Q1Q4_CP~NONE_OB~LDS_PK~NONE</v>
      </c>
      <c r="B42" t="str">
        <f t="shared" si="1"/>
        <v>Facebook</v>
      </c>
      <c r="C42" t="str">
        <f t="shared" si="2"/>
        <v>CH~SOCIAL_DT~MULTI_PB~FCBK_FM~VIDEO_RT~CPM_PD~CAUSAS_AWARENESS_RECONHECIMENTO_VIDEO_INSTITUTOVERTER_30''_1X1_TG~BHVDEM_TS~NONE_SZ~1X1_SOCIAL_MK~BR_IT~SOCIAL_VV~NONE</v>
      </c>
      <c r="D42" t="str">
        <f t="shared" si="3"/>
        <v>247640136</v>
      </c>
      <c r="E42" t="str">
        <f t="shared" si="4"/>
        <v>Dynamic Click</v>
      </c>
      <c r="F42" t="str">
        <f t="shared" si="5"/>
        <v>CH~SOCIAL_DT~MULTI_PB~FCBK_FM~VIDEO_RT~CPM_PD~CAUSAS_AWARENESS_RECONHECIMENTO_VIDEO_INSTITUTOVERTER_30''_1X1_TG~BHVDEM_TS~NONE_SZ~1X1_SOCIAL_MK~BR_IT~SOCIAL_VV~NONE</v>
      </c>
      <c r="G42" t="str">
        <f t="shared" si="6"/>
        <v>443733606</v>
      </c>
      <c r="H42" t="str">
        <f t="shared" si="7"/>
        <v>Tracking</v>
      </c>
      <c r="I42">
        <f t="shared" si="8"/>
        <v>0</v>
      </c>
      <c r="J42">
        <f t="shared" si="9"/>
        <v>2</v>
      </c>
      <c r="K42" s="4">
        <f t="shared" si="10"/>
        <v>3.5000000000000001E-3</v>
      </c>
      <c r="L42">
        <f t="shared" si="11"/>
        <v>0.02</v>
      </c>
      <c r="M42" s="4">
        <f t="shared" si="14"/>
        <v>7.0000000000000001E-3</v>
      </c>
      <c r="N42" s="4">
        <f t="shared" si="15"/>
        <v>0.04</v>
      </c>
    </row>
    <row r="43" spans="1:14">
      <c r="A43" t="str">
        <f t="shared" si="0"/>
        <v>MK~BR_CN~Causas_MN~CCV_YQ~19Q1Q4_CP~NONE_OB~LDS_PK~NONE</v>
      </c>
      <c r="B43" t="str">
        <f t="shared" si="1"/>
        <v>Facebook</v>
      </c>
      <c r="C43" t="str">
        <f t="shared" si="2"/>
        <v>CH~SOCIAL_DT~MULTI_PB~FCBK_FM~VIDEO_RT~CPM_PD~CAUSAS_CAMERA_ESCONDIDA_CURTO_GERANDOFALCOES-ONG5-03_1X1_TG~BHVDEM_TS~NONE_SZ~1X1_SOCIAL_MK~BR_IT~SOCIAL_VV~NONE</v>
      </c>
      <c r="D43" t="str">
        <f t="shared" si="3"/>
        <v>236902913</v>
      </c>
      <c r="E43" t="str">
        <f t="shared" si="4"/>
        <v>Dynamic Click</v>
      </c>
      <c r="F43" t="str">
        <f t="shared" si="5"/>
        <v>CH~SOCIAL_DT~MULTI_PB~FCBK_FM~VIDEO_RT~CPM_PD~CAUSAS_CAMERA_ESCONDIDA_CURTO_GERANDOFALCOES-ONG5-03_1X1_TG~BHVDEM_TS~NONE_SZ~1X1_SOCIAL_MK~BR_IT~SOCIAL_VV~NONE</v>
      </c>
      <c r="G43" t="str">
        <f t="shared" si="6"/>
        <v>434283710</v>
      </c>
      <c r="H43" t="str">
        <f t="shared" si="7"/>
        <v>Tracking</v>
      </c>
      <c r="I43">
        <f t="shared" si="8"/>
        <v>0</v>
      </c>
      <c r="J43">
        <f t="shared" si="9"/>
        <v>1</v>
      </c>
      <c r="K43" s="4">
        <f t="shared" si="10"/>
        <v>3.5000000000000001E-3</v>
      </c>
      <c r="L43">
        <f t="shared" si="11"/>
        <v>0.02</v>
      </c>
      <c r="M43" s="4">
        <f t="shared" si="14"/>
        <v>3.5000000000000001E-3</v>
      </c>
      <c r="N43" s="4">
        <f t="shared" si="15"/>
        <v>0.02</v>
      </c>
    </row>
    <row r="44" spans="1:14">
      <c r="A44" t="str">
        <f t="shared" si="0"/>
        <v>MK~BR_CN~Causas_MN~CCV_YQ~19Q1Q4_CP~NONE_OB~LDS_PK~NONE</v>
      </c>
      <c r="B44" t="str">
        <f t="shared" si="1"/>
        <v>Facebook</v>
      </c>
      <c r="C44" t="str">
        <f t="shared" si="2"/>
        <v>CH~SOCIAL_DT~MULTI_PB~FCBK_FM~VIDEO_RT~CPM_PD~CAUSAS_CAMERA_ESCONDIDA_LONGO06-1-LEG_1X1_TG~BHVDEM_TS~NONE_SZ~1X1_SOCIAL_MK~BR_IT~SOCIAL_VV~NONE</v>
      </c>
      <c r="D44" t="str">
        <f t="shared" si="3"/>
        <v>236902928</v>
      </c>
      <c r="E44" t="str">
        <f t="shared" si="4"/>
        <v>Dynamic Click</v>
      </c>
      <c r="F44" t="str">
        <f t="shared" si="5"/>
        <v>CH~SOCIAL_DT~MULTI_PB~FCBK_FM~VIDEO_RT~CPM_PD~CAUSAS_CAMERA_ESCONDIDA_LONGO06-1-LEG_1X1_TG~BHVDEM_TS~NONE_SZ~1X1_SOCIAL_MK~BR_IT~SOCIAL_VV~NONE</v>
      </c>
      <c r="G44" t="str">
        <f t="shared" si="6"/>
        <v>434283725</v>
      </c>
      <c r="H44" t="str">
        <f t="shared" si="7"/>
        <v>Tracking</v>
      </c>
      <c r="I44">
        <f t="shared" si="8"/>
        <v>0</v>
      </c>
      <c r="J44">
        <f t="shared" si="9"/>
        <v>23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8.0500000000000002E-2</v>
      </c>
      <c r="N44" s="4">
        <f t="shared" si="15"/>
        <v>0.46</v>
      </c>
    </row>
    <row r="45" spans="1:14">
      <c r="A45" t="str">
        <f t="shared" si="0"/>
        <v>MK~BR_CN~Causas_MN~CCV_YQ~19Q1Q4_CP~NONE_OB~LDS_PK~NONE</v>
      </c>
      <c r="B45" t="str">
        <f t="shared" si="1"/>
        <v>Google - YouTube</v>
      </c>
      <c r="C45" t="str">
        <f t="shared" si="2"/>
        <v>CH~DISPLAY_DT~MULTI_PB~YOUT_FM~VIDEO_RT~CPM_PD~CAUSAS_PERFORMANCE_VIDEO_CIDA_15'_SQUARE_1X1_TG~BHVDEM_TS~NONE_SZ~1X1_SOCIAL_MK~BR_IT~SOCIAL_VV~NONE</v>
      </c>
      <c r="D45" t="str">
        <f t="shared" si="3"/>
        <v>251542187</v>
      </c>
      <c r="E45" t="str">
        <f t="shared" si="4"/>
        <v>Dynamic Click</v>
      </c>
      <c r="F45" t="str">
        <f t="shared" si="5"/>
        <v>CH~DISPLAY_DT~MULTI_PB~YOUT_FM~VIDEO_RT~CPM_PD~CAUSAS_PERFORMANCE_VIDEO_CIDA_15'_SQUARE_1X1_TG~BHVDEM_TS~NONE_SZ~1X1_SOCIAL_MK~BR_IT~SOCIAL_VV~NONE</v>
      </c>
      <c r="G45" t="str">
        <f t="shared" si="6"/>
        <v>447874776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6"/>
        <v>3.5000000000000001E-3</v>
      </c>
      <c r="L45">
        <f t="shared" si="17"/>
        <v>0.02</v>
      </c>
      <c r="M45" s="4">
        <f t="shared" si="14"/>
        <v>3.5000000000000001E-3</v>
      </c>
      <c r="N45" s="4">
        <f t="shared" si="15"/>
        <v>0.02</v>
      </c>
    </row>
    <row r="46" spans="1:14">
      <c r="A46" t="str">
        <f t="shared" si="0"/>
        <v>MK~BR_CN~Causas_MN~CCV_YQ~19Q1Q4_CP~NONE_OB~LDS_PK~NONE</v>
      </c>
      <c r="B46" t="str">
        <f t="shared" si="1"/>
        <v>Google - YouTube</v>
      </c>
      <c r="C46" t="str">
        <f t="shared" si="2"/>
        <v>CH~DISPLAY_DT~MULTI_PB~YOUT_FM~VIDEO_RT~CPM_PD~CAUSAS_PERFORMANCE_VIDEO_CIDA_15'_WIDE_1X1_TG~BHVDEM_TS~NONE_SZ~1X1_SOCIAL_MK~BR_IT~SOCIAL_VV~NONE</v>
      </c>
      <c r="D46" t="str">
        <f t="shared" si="3"/>
        <v>251542226</v>
      </c>
      <c r="E46" t="str">
        <f t="shared" si="4"/>
        <v>Dynamic Click</v>
      </c>
      <c r="F46" t="str">
        <f t="shared" si="5"/>
        <v>CH~DISPLAY_DT~MULTI_PB~YOUT_FM~VIDEO_RT~CPM_PD~CAUSAS_PERFORMANCE_VIDEO_CIDA_15'_WIDE_1X1_TG~BHVDEM_TS~NONE_SZ~1X1_SOCIAL_MK~BR_IT~SOCIAL_VV~NONE</v>
      </c>
      <c r="G46" t="str">
        <f t="shared" si="6"/>
        <v>447875451</v>
      </c>
      <c r="H46" t="str">
        <f t="shared" si="7"/>
        <v>Tracking</v>
      </c>
      <c r="I46">
        <f t="shared" si="8"/>
        <v>0</v>
      </c>
      <c r="J46">
        <f t="shared" si="9"/>
        <v>1</v>
      </c>
      <c r="K46" s="4">
        <f t="shared" si="16"/>
        <v>3.5000000000000001E-3</v>
      </c>
      <c r="L46">
        <f t="shared" si="17"/>
        <v>0.02</v>
      </c>
      <c r="M46" s="4">
        <f t="shared" si="14"/>
        <v>3.5000000000000001E-3</v>
      </c>
      <c r="N46" s="4">
        <f t="shared" si="15"/>
        <v>0.02</v>
      </c>
    </row>
    <row r="47" spans="1:14">
      <c r="A47" t="str">
        <f t="shared" si="0"/>
        <v>MK~BR_CN~Causas_MN~CCV_YQ~19Q1Q4_CP~NONE_OB~LDS_PK~NONE</v>
      </c>
      <c r="B47" t="str">
        <f t="shared" si="1"/>
        <v>Google - YouTube</v>
      </c>
      <c r="C47" t="str">
        <f t="shared" si="2"/>
        <v>CH~DISPLAY_DT~MULTI_PB~YOUT_FM~VIDEO_RT~CPM_PD~CAUSAS_PERFORMANCE_VIDEO_THAIS_15'_1X1_TG~BHVDEM_TS~NONE_SZ~1X1_SOCIAL_MK~BR_IT~SOCIAL_VV~NONE</v>
      </c>
      <c r="D47" t="str">
        <f t="shared" si="3"/>
        <v>251861569</v>
      </c>
      <c r="E47" t="str">
        <f t="shared" si="4"/>
        <v>Dynamic Click</v>
      </c>
      <c r="F47" t="str">
        <f t="shared" si="5"/>
        <v>CH~DISPLAY_DT~MULTI_PB~YOUT_FM~VIDEO_RT~CPM_PD~CAUSAS_PERFORMANCE_VIDEO_THAIS_15'_1X1_TG~BHVDEM_TS~NONE_SZ~1X1_SOCIAL_MK~BR_IT~SOCIAL_VV~NONE</v>
      </c>
      <c r="G47" t="str">
        <f t="shared" si="6"/>
        <v>447935651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6"/>
        <v>3.5000000000000001E-3</v>
      </c>
      <c r="L47">
        <f t="shared" si="17"/>
        <v>0.02</v>
      </c>
      <c r="M47" s="4">
        <f t="shared" si="14"/>
        <v>3.5000000000000001E-3</v>
      </c>
      <c r="N47" s="4">
        <f t="shared" si="15"/>
        <v>0.02</v>
      </c>
    </row>
    <row r="48" spans="1:14">
      <c r="A48" t="str">
        <f t="shared" si="0"/>
        <v>MK~BR_CN~Causas_MN~CCV_YQ~19Q1Q4_CP~NONE_OB~LDS_PK~NONE</v>
      </c>
      <c r="B48" t="str">
        <f t="shared" si="1"/>
        <v>Google - YouTube</v>
      </c>
      <c r="C48" t="str">
        <f t="shared" si="2"/>
        <v>CH~DISPLAY_DT~MULTI_PB~YOUT_FM~VIDEO_RT~CPM_PD~CAUSAS_PERFORMANCE_VIDEO_THAIS_15'_SQUARE_1X1_TG~BHVDEM_TS~NONE_SZ~1X1_SOCIAL_MK~BR_IT~SOCIAL_VV~NONE</v>
      </c>
      <c r="D48" t="str">
        <f t="shared" si="3"/>
        <v>251948403</v>
      </c>
      <c r="E48" t="str">
        <f t="shared" si="4"/>
        <v>Dynamic Click</v>
      </c>
      <c r="F48" t="str">
        <f t="shared" si="5"/>
        <v>CH~DISPLAY_DT~MULTI_PB~YOUT_FM~VIDEO_RT~CPM_PD~CAUSAS_PERFORMANCE_VIDEO_THAIS_15'_SQUARE_1X1_TG~BHVDEM_TS~NONE_SZ~1X1_SOCIAL_MK~BR_IT~SOCIAL_VV~NONE</v>
      </c>
      <c r="G48" t="str">
        <f t="shared" si="6"/>
        <v>447935669</v>
      </c>
      <c r="H48" t="str">
        <f t="shared" si="7"/>
        <v>Tracking</v>
      </c>
      <c r="I48">
        <f t="shared" si="8"/>
        <v>0</v>
      </c>
      <c r="J48">
        <f t="shared" si="9"/>
        <v>1</v>
      </c>
      <c r="K48" s="4">
        <f t="shared" si="16"/>
        <v>3.5000000000000001E-3</v>
      </c>
      <c r="L48">
        <f t="shared" si="17"/>
        <v>0.02</v>
      </c>
      <c r="M48" s="4">
        <f t="shared" si="14"/>
        <v>3.5000000000000001E-3</v>
      </c>
      <c r="N48" s="4">
        <f t="shared" si="15"/>
        <v>0.02</v>
      </c>
    </row>
    <row r="49" spans="1:14">
      <c r="A49" t="str">
        <f t="shared" si="0"/>
        <v>MK~BR_CN~Causas_MN~CCV_YQ~19Q1Q4_CP~NONE_OB~LDS_PK~NONE</v>
      </c>
      <c r="B49" t="str">
        <f t="shared" si="1"/>
        <v>Google Brasil</v>
      </c>
      <c r="C49" t="str">
        <f t="shared" si="2"/>
        <v>CH~DISPLAY_DT~MOBILE_PB~GDV_FM~BANNER_RT~CPM_PD~CROSSBORDER_BANNER_GOURMET_DV360_300X250_300X250_TG~BHVDEM_TS~NONE_SZ~300X250_DISPLAY_MK~BR_IT~DISPLAY_VV~NONE</v>
      </c>
      <c r="D49" t="str">
        <f t="shared" si="3"/>
        <v>250890020</v>
      </c>
      <c r="E49" t="str">
        <f t="shared" si="4"/>
        <v>Standard</v>
      </c>
      <c r="F49" t="str">
        <f t="shared" si="5"/>
        <v>CH~DISPLAY_DT~MOBILE_PB~GDV_FM~BANNER_RT~CPM_PD~CROSSBORDER_BANNER_GOURMET_DV360_300X250_300X250_TG~BHVDEM_TS~NONE_SZ~300X250_DISPLAY_MK~BR_IT~DISPLAY_VV~NONE</v>
      </c>
      <c r="G49" t="str">
        <f t="shared" si="6"/>
        <v>447389614</v>
      </c>
      <c r="H49" t="str">
        <f t="shared" si="7"/>
        <v>Display</v>
      </c>
      <c r="I49">
        <f t="shared" si="8"/>
        <v>1</v>
      </c>
      <c r="J49">
        <f t="shared" si="9"/>
        <v>1</v>
      </c>
      <c r="K49" s="4">
        <f t="shared" si="16"/>
        <v>3.8199999999999998E-2</v>
      </c>
      <c r="L49">
        <f t="shared" si="17"/>
        <v>0.09</v>
      </c>
      <c r="M49" s="4">
        <f t="shared" si="14"/>
        <v>3.82E-5</v>
      </c>
      <c r="N49" s="4">
        <f t="shared" si="15"/>
        <v>8.9999999999999992E-5</v>
      </c>
    </row>
    <row r="50" spans="1:14">
      <c r="A50" t="str">
        <f t="shared" si="0"/>
        <v>MK~BR_CN~Causas_MN~CCV_YQ~19Q1Q4_CP~NONE_OB~LDS_PK~NONE</v>
      </c>
      <c r="B50" t="str">
        <f t="shared" si="1"/>
        <v>Google Brasil</v>
      </c>
      <c r="C50" t="str">
        <f t="shared" si="2"/>
        <v>CH~DISPLAY_DT~MOBILE_PB~GDV_FM~BANNER_RT~CPM_PD~CROSSBORDER_BANNER_VIAJANTE_DV360_300X250_300X250_TG~BHVDEM_TS~NONE_SZ~300X250_DISPLAY_MK~BR_IT~DISPLAY_VV~NONE</v>
      </c>
      <c r="D50" t="str">
        <f t="shared" si="3"/>
        <v>250890119</v>
      </c>
      <c r="E50" t="str">
        <f t="shared" si="4"/>
        <v>Standard</v>
      </c>
      <c r="F50" t="str">
        <f t="shared" si="5"/>
        <v>CH~DISPLAY_DT~MOBILE_PB~GDV_FM~BANNER_RT~CPM_PD~CROSSBORDER_BANNER_VIAJANTE_DV360_300X250_300X250_TG~BHVDEM_TS~NONE_SZ~300X250_DISPLAY_MK~BR_IT~DISPLAY_VV~NONE</v>
      </c>
      <c r="G50" t="str">
        <f t="shared" si="6"/>
        <v>447304868</v>
      </c>
      <c r="H50" t="str">
        <f t="shared" si="7"/>
        <v>Display</v>
      </c>
      <c r="I50">
        <f t="shared" si="8"/>
        <v>1</v>
      </c>
      <c r="J50">
        <f t="shared" si="9"/>
        <v>1</v>
      </c>
      <c r="K50" s="4">
        <f t="shared" si="16"/>
        <v>3.8199999999999998E-2</v>
      </c>
      <c r="L50">
        <f t="shared" si="17"/>
        <v>0.09</v>
      </c>
      <c r="M50" s="4">
        <f t="shared" si="14"/>
        <v>3.82E-5</v>
      </c>
      <c r="N50" s="4">
        <f t="shared" si="15"/>
        <v>8.9999999999999992E-5</v>
      </c>
    </row>
    <row r="51" spans="1:14">
      <c r="A51" t="str">
        <f t="shared" si="0"/>
        <v>MK~BR_CN~Causas_MN~CCV_YQ~19Q1Q4_CP~NONE_OB~LDS_PK~NONE</v>
      </c>
      <c r="B51" t="str">
        <f t="shared" si="1"/>
        <v>Google Brasil</v>
      </c>
      <c r="C51" t="str">
        <f t="shared" si="2"/>
        <v>CH~DISPLAY_DT~MULTI_PB~DV360_FM~BANNER_RT~CPM_PD~CAUSAS_PERFORMANCE_BANNER_CADASTRO_120X600_120X60_TG~BHVDEM_TS~NONE_SZ~120X60_SOCIAL_MK~BR_IT~SOCIAL_VV~NONE</v>
      </c>
      <c r="D51" t="str">
        <f t="shared" si="3"/>
        <v>251789205</v>
      </c>
      <c r="E51" t="str">
        <f t="shared" si="4"/>
        <v>Standard</v>
      </c>
      <c r="F51" t="str">
        <f t="shared" si="5"/>
        <v>CH~DISPLAY_DT~MULTI_PB~DV360_FM~BANNER_RT~CPM_PD~CAUSAS_PERFORMANCE_BANNER_CADASTRO_120X600_120X60_TG~BHVDEM_TS~NONE_SZ~120X60_SOCIAL_MK~BR_IT~SOCIAL_VV~NONE</v>
      </c>
      <c r="G51" t="str">
        <f t="shared" si="6"/>
        <v>447765716</v>
      </c>
      <c r="H51" t="str">
        <f t="shared" si="7"/>
        <v>Display</v>
      </c>
      <c r="I51">
        <f t="shared" si="8"/>
        <v>161814</v>
      </c>
      <c r="J51">
        <f t="shared" si="9"/>
        <v>718</v>
      </c>
      <c r="K51" s="4">
        <f t="shared" si="16"/>
        <v>3.8199999999999998E-2</v>
      </c>
      <c r="L51">
        <f t="shared" si="17"/>
        <v>0.09</v>
      </c>
      <c r="M51" s="4">
        <f t="shared" si="14"/>
        <v>6.1812947999999999</v>
      </c>
      <c r="N51" s="4">
        <f t="shared" si="15"/>
        <v>14.56326</v>
      </c>
    </row>
    <row r="52" spans="1:14">
      <c r="A52" t="str">
        <f t="shared" si="0"/>
        <v>MK~BR_CN~Causas_MN~CCV_YQ~19Q1Q4_CP~NONE_OB~LDS_PK~NONE</v>
      </c>
      <c r="B52" t="str">
        <f t="shared" si="1"/>
        <v>Google Brasil</v>
      </c>
      <c r="C52" t="str">
        <f t="shared" si="2"/>
        <v>CH~DISPLAY_DT~MULTI_PB~DV360_FM~BANNER_RT~CPM_PD~CAUSAS_PERFORMANCE_BANNER_CADASTRO_160X600_160X600_TG~BHVDEM_TS~NONE_SZ~160X600_SOCIAL_MK~BR_IT~SOCIAL_VV~NONE</v>
      </c>
      <c r="D52" t="str">
        <f t="shared" si="3"/>
        <v>251790066</v>
      </c>
      <c r="E52" t="str">
        <f t="shared" si="4"/>
        <v>Standard</v>
      </c>
      <c r="F52" t="str">
        <f t="shared" si="5"/>
        <v>CH~DISPLAY_DT~MULTI_PB~DV360_FM~BANNER_RT~CPM_PD~CAUSAS_PERFORMANCE_BANNER_CADASTRO_160X600_160X600_TG~BHVDEM_TS~NONE_SZ~160X600_SOCIAL_MK~BR_IT~SOCIAL_VV~NONE</v>
      </c>
      <c r="G52" t="str">
        <f t="shared" si="6"/>
        <v>447766796</v>
      </c>
      <c r="H52" t="str">
        <f t="shared" si="7"/>
        <v>Display</v>
      </c>
      <c r="I52">
        <f t="shared" si="8"/>
        <v>393589</v>
      </c>
      <c r="J52">
        <f t="shared" si="9"/>
        <v>1742</v>
      </c>
      <c r="K52" s="4">
        <f t="shared" si="16"/>
        <v>3.8199999999999998E-2</v>
      </c>
      <c r="L52">
        <f t="shared" si="17"/>
        <v>0.09</v>
      </c>
      <c r="M52" s="4">
        <f t="shared" si="14"/>
        <v>15.035099799999999</v>
      </c>
      <c r="N52" s="4">
        <f t="shared" si="15"/>
        <v>35.423010000000005</v>
      </c>
    </row>
    <row r="53" spans="1:14">
      <c r="A53" t="str">
        <f t="shared" si="0"/>
        <v>MK~BR_CN~Causas_MN~CCV_YQ~19Q1Q4_CP~NONE_OB~LDS_PK~NONE</v>
      </c>
      <c r="B53" t="str">
        <f t="shared" si="1"/>
        <v>Google Brasil</v>
      </c>
      <c r="C53" t="str">
        <f t="shared" si="2"/>
        <v>CH~DISPLAY_DT~MULTI_PB~DV360_FM~BANNER_RT~CPM_PD~CAUSAS_PERFORMANCE_BANNER_CADASTRO_300X250_300X250_TG~BHVDEM_TS~NONE_SZ~300X250_SOCIAL_MK~BR_IT~SOCIAL_VV~NONE</v>
      </c>
      <c r="D53" t="str">
        <f t="shared" si="3"/>
        <v>251369360</v>
      </c>
      <c r="E53" t="str">
        <f t="shared" si="4"/>
        <v>Default</v>
      </c>
      <c r="F53" t="str">
        <f t="shared" si="5"/>
        <v>300x250 Default Web Ad</v>
      </c>
      <c r="G53" t="str">
        <f t="shared" si="6"/>
        <v>430984262</v>
      </c>
      <c r="H53" t="str">
        <f t="shared" si="7"/>
        <v>Display</v>
      </c>
      <c r="I53">
        <f t="shared" si="8"/>
        <v>1</v>
      </c>
      <c r="J53">
        <f t="shared" si="9"/>
        <v>0</v>
      </c>
      <c r="K53" s="4">
        <f t="shared" si="16"/>
        <v>3.8199999999999998E-2</v>
      </c>
      <c r="L53">
        <f t="shared" si="17"/>
        <v>0.09</v>
      </c>
      <c r="M53" s="4">
        <f t="shared" si="14"/>
        <v>3.82E-5</v>
      </c>
      <c r="N53" s="4">
        <f t="shared" si="15"/>
        <v>8.9999999999999992E-5</v>
      </c>
    </row>
    <row r="54" spans="1:14">
      <c r="A54" t="str">
        <f t="shared" si="0"/>
        <v>MK~BR_CN~Causas_MN~CCV_YQ~19Q1Q4_CP~NONE_OB~LDS_PK~NONE</v>
      </c>
      <c r="B54" t="str">
        <f t="shared" si="1"/>
        <v>Google Brasil</v>
      </c>
      <c r="C54" t="str">
        <f t="shared" si="2"/>
        <v>CH~DISPLAY_DT~MULTI_PB~DV360_FM~BANNER_RT~CPM_PD~CAUSAS_PERFORMANCE_BANNER_CADASTRO_300X250_300X250_TG~BHVDEM_TS~NONE_SZ~300X250_SOCIAL_MK~BR_IT~SOCIAL_VV~NONE</v>
      </c>
      <c r="D54" t="str">
        <f t="shared" si="3"/>
        <v>251369360</v>
      </c>
      <c r="E54" t="str">
        <f t="shared" si="4"/>
        <v>Standard</v>
      </c>
      <c r="F54" t="str">
        <f t="shared" si="5"/>
        <v>CH~DISPLAY_DT~MULTI_PB~DV360_FM~BANNER_RT~CPM_PD~CAUSAS_PERFORMANCE_BANNER_CADASTRO_300X250_300X250_TG~BHVDEM_TS~NONE_SZ~300X250_SOCIAL_MK~BR_IT~SOCIAL_VV~NONE</v>
      </c>
      <c r="G54" t="str">
        <f t="shared" si="6"/>
        <v>447756125</v>
      </c>
      <c r="H54" t="str">
        <f t="shared" si="7"/>
        <v>Display</v>
      </c>
      <c r="I54">
        <f t="shared" si="8"/>
        <v>29787692</v>
      </c>
      <c r="J54">
        <f t="shared" si="9"/>
        <v>329664</v>
      </c>
      <c r="K54" s="4">
        <f t="shared" si="16"/>
        <v>3.8199999999999998E-2</v>
      </c>
      <c r="L54">
        <f t="shared" si="17"/>
        <v>0.09</v>
      </c>
      <c r="M54" s="4">
        <f t="shared" si="14"/>
        <v>1137.8898344000002</v>
      </c>
      <c r="N54" s="4">
        <f t="shared" si="15"/>
        <v>2680.8922799999996</v>
      </c>
    </row>
    <row r="55" spans="1:14">
      <c r="A55" t="str">
        <f t="shared" si="0"/>
        <v>MK~BR_CN~Causas_MN~CCV_YQ~19Q1Q4_CP~NONE_OB~LDS_PK~NONE</v>
      </c>
      <c r="B55" t="str">
        <f t="shared" si="1"/>
        <v>Google Brasil</v>
      </c>
      <c r="C55" t="str">
        <f t="shared" si="2"/>
        <v>CH~DISPLAY_DT~MULTI_PB~DV360_FM~BANNER_RT~CPM_PD~CAUSAS_PERFORMANCE_BANNER_CADASTRO_300X50_300X50_TG~BHVDEM_TS~NONE_SZ~300X50_SOCIAL_MK~BR_IT~SOCIAL_VV~NONE</v>
      </c>
      <c r="D55" t="str">
        <f t="shared" si="3"/>
        <v>251367896</v>
      </c>
      <c r="E55" t="str">
        <f t="shared" si="4"/>
        <v>Standard</v>
      </c>
      <c r="F55" t="str">
        <f t="shared" si="5"/>
        <v>CH~DISPLAY_DT~MULTI_PB~DV360_FM~BANNER_RT~CPM_PD~CAUSAS_PERFORMANCE_BANNER_CADASTRO_300X50_300X50_TG~BHVDEM_TS~NONE_SZ~300X50_SOCIAL_MK~BR_IT~SOCIAL_VV~NONE</v>
      </c>
      <c r="G55" t="str">
        <f t="shared" si="6"/>
        <v>447851710</v>
      </c>
      <c r="H55" t="str">
        <f t="shared" si="7"/>
        <v>Display</v>
      </c>
      <c r="I55">
        <f t="shared" si="8"/>
        <v>401123</v>
      </c>
      <c r="J55">
        <f t="shared" si="9"/>
        <v>2692</v>
      </c>
      <c r="K55" s="4">
        <f t="shared" si="16"/>
        <v>3.8199999999999998E-2</v>
      </c>
      <c r="L55">
        <f t="shared" si="17"/>
        <v>0.09</v>
      </c>
      <c r="M55" s="4">
        <f t="shared" si="14"/>
        <v>15.322898599999998</v>
      </c>
      <c r="N55" s="4">
        <f t="shared" si="15"/>
        <v>36.10107</v>
      </c>
    </row>
    <row r="56" spans="1:14">
      <c r="A56" t="str">
        <f t="shared" si="0"/>
        <v>MK~BR_CN~Causas_MN~CCV_YQ~19Q1Q4_CP~NONE_OB~LDS_PK~NONE</v>
      </c>
      <c r="B56" t="str">
        <f t="shared" si="1"/>
        <v>Google Brasil</v>
      </c>
      <c r="C56" t="str">
        <f t="shared" si="2"/>
        <v>CH~DISPLAY_DT~MULTI_PB~DV360_FM~BANNER_RT~CPM_PD~CAUSAS_PERFORMANCE_BANNER_CADASTRO_300X600_300X600_TG~BHVDEM_TS~NONE_SZ~300X600_SOCIAL_MK~BR_IT~SOCIAL_VV~NONE</v>
      </c>
      <c r="D56" t="str">
        <f t="shared" si="3"/>
        <v>251375756</v>
      </c>
      <c r="E56" t="str">
        <f t="shared" si="4"/>
        <v>Standard</v>
      </c>
      <c r="F56" t="str">
        <f t="shared" si="5"/>
        <v>CH~DISPLAY_DT~MULTI_PB~DV360_FM~BANNER_RT~CPM_PD~CAUSAS_PERFORMANCE_BANNER_CADASTRO_300X600_300X600_TG~BHVDEM_TS~NONE_SZ~300X600_SOCIAL_MK~BR_IT~SOCIAL_VV~NONE</v>
      </c>
      <c r="G56" t="str">
        <f t="shared" si="6"/>
        <v>447866704</v>
      </c>
      <c r="H56" t="str">
        <f t="shared" si="7"/>
        <v>Display</v>
      </c>
      <c r="I56">
        <f t="shared" si="8"/>
        <v>3503117</v>
      </c>
      <c r="J56">
        <f t="shared" si="9"/>
        <v>63428</v>
      </c>
      <c r="K56" s="4">
        <f t="shared" si="16"/>
        <v>3.8199999999999998E-2</v>
      </c>
      <c r="L56">
        <f t="shared" si="17"/>
        <v>0.09</v>
      </c>
      <c r="M56" s="4">
        <f t="shared" si="14"/>
        <v>133.81906939999999</v>
      </c>
      <c r="N56" s="4">
        <f t="shared" si="15"/>
        <v>315.28052999999994</v>
      </c>
    </row>
    <row r="57" spans="1:14">
      <c r="A57" t="str">
        <f t="shared" si="0"/>
        <v>MK~BR_CN~Causas_MN~CCV_YQ~19Q1Q4_CP~NONE_OB~LDS_PK~NONE</v>
      </c>
      <c r="B57" t="str">
        <f t="shared" si="1"/>
        <v>Google Brasil</v>
      </c>
      <c r="C57" t="str">
        <f t="shared" si="2"/>
        <v>CH~DISPLAY_DT~MULTI_PB~DV360_FM~BANNER_RT~CPM_PD~CAUSAS_PERFORMANCE_BANNER_CADASTRO_300X600_300X600_TG~BHVDEM_TS~NONE_SZ~300X600_SOCIAL_MK~BR_IT~SOCIAL_VV~NONE</v>
      </c>
      <c r="D57" t="str">
        <f t="shared" si="3"/>
        <v>251375756</v>
      </c>
      <c r="E57" t="str">
        <f t="shared" si="4"/>
        <v>Standard</v>
      </c>
      <c r="F57" t="str">
        <f t="shared" si="5"/>
        <v>CV~BAN_CAUSAS_PERFORMANCE_BANNER_CADASTRO_300X600_CT~300X600~DV360</v>
      </c>
      <c r="G57" t="str">
        <f t="shared" si="6"/>
        <v>447756131</v>
      </c>
      <c r="H57" t="str">
        <f t="shared" si="7"/>
        <v>Display</v>
      </c>
      <c r="I57">
        <f t="shared" si="8"/>
        <v>3510996</v>
      </c>
      <c r="J57">
        <f t="shared" si="9"/>
        <v>63822</v>
      </c>
      <c r="K57" s="4">
        <f t="shared" si="16"/>
        <v>3.8199999999999998E-2</v>
      </c>
      <c r="L57">
        <f t="shared" si="17"/>
        <v>0.09</v>
      </c>
      <c r="M57" s="4">
        <f t="shared" si="14"/>
        <v>134.12004719999999</v>
      </c>
      <c r="N57" s="4">
        <f t="shared" si="15"/>
        <v>315.98964000000001</v>
      </c>
    </row>
    <row r="58" spans="1:14">
      <c r="A58" t="str">
        <f t="shared" si="0"/>
        <v>MK~BR_CN~Causas_MN~CCV_YQ~19Q1Q4_CP~NONE_OB~LDS_PK~NONE</v>
      </c>
      <c r="B58" t="str">
        <f t="shared" si="1"/>
        <v>Google Brasil</v>
      </c>
      <c r="C58" t="str">
        <f t="shared" si="2"/>
        <v>CH~DISPLAY_DT~MULTI_PB~DV360_FM~BANNER_RT~CPM_PD~CAUSAS_PERFORMANCE_BANNER_CADASTRO_320X50_320X50_TG~BHVDEM_TS~NONE_SZ~320X50_SOCIAL_MK~BR_IT~SOCIAL_VV~NONE</v>
      </c>
      <c r="D58" t="str">
        <f t="shared" si="3"/>
        <v>251367902</v>
      </c>
      <c r="E58" t="str">
        <f t="shared" si="4"/>
        <v>Default</v>
      </c>
      <c r="F58" t="str">
        <f t="shared" si="5"/>
        <v>320x50 Default Web Ad</v>
      </c>
      <c r="G58" t="str">
        <f t="shared" si="6"/>
        <v>431064562</v>
      </c>
      <c r="H58" t="str">
        <f t="shared" si="7"/>
        <v>Display</v>
      </c>
      <c r="I58">
        <f t="shared" si="8"/>
        <v>14</v>
      </c>
      <c r="J58">
        <f t="shared" si="9"/>
        <v>0</v>
      </c>
      <c r="K58" s="4">
        <f t="shared" si="16"/>
        <v>3.8199999999999998E-2</v>
      </c>
      <c r="L58">
        <f t="shared" si="17"/>
        <v>0.09</v>
      </c>
      <c r="M58" s="4">
        <f t="shared" si="14"/>
        <v>5.3479999999999999E-4</v>
      </c>
      <c r="N58" s="4">
        <f t="shared" si="15"/>
        <v>1.2600000000000001E-3</v>
      </c>
    </row>
    <row r="59" spans="1:14">
      <c r="A59" t="str">
        <f t="shared" si="0"/>
        <v>MK~BR_CN~Causas_MN~CCV_YQ~19Q1Q4_CP~NONE_OB~LDS_PK~NONE</v>
      </c>
      <c r="B59" t="str">
        <f t="shared" si="1"/>
        <v>Google Brasil</v>
      </c>
      <c r="C59" t="str">
        <f t="shared" si="2"/>
        <v>CH~DISPLAY_DT~MULTI_PB~DV360_FM~BANNER_RT~CPM_PD~CAUSAS_PERFORMANCE_BANNER_CADASTRO_320X50_320X50_TG~BHVDEM_TS~NONE_SZ~320X50_SOCIAL_MK~BR_IT~SOCIAL_VV~NONE</v>
      </c>
      <c r="D59" t="str">
        <f t="shared" si="3"/>
        <v>251367902</v>
      </c>
      <c r="E59" t="str">
        <f t="shared" si="4"/>
        <v>Standard</v>
      </c>
      <c r="F59" t="str">
        <f t="shared" si="5"/>
        <v>CH~DISPLAY_DT~MULTI_PB~DV360_FM~BANNER_RT~CPM_PD~CAUSAS_PERFORMANCE_BANNER_CADASTRO_320X50_320X50_TG~BHVDEM_TS~NONE_SZ~320X50_SOCIAL_MK~BR_IT~SOCIAL_VV~NONE</v>
      </c>
      <c r="G59" t="str">
        <f t="shared" si="6"/>
        <v>447862879</v>
      </c>
      <c r="H59" t="str">
        <f t="shared" si="7"/>
        <v>Display</v>
      </c>
      <c r="I59">
        <f t="shared" si="8"/>
        <v>233164186</v>
      </c>
      <c r="J59">
        <f t="shared" si="9"/>
        <v>1717631</v>
      </c>
      <c r="K59" s="4">
        <f t="shared" si="16"/>
        <v>3.8199999999999998E-2</v>
      </c>
      <c r="L59">
        <f t="shared" si="17"/>
        <v>0.09</v>
      </c>
      <c r="M59" s="4">
        <f t="shared" si="14"/>
        <v>8906.8719051999997</v>
      </c>
      <c r="N59" s="4">
        <f t="shared" si="15"/>
        <v>20984.776739999998</v>
      </c>
    </row>
    <row r="60" spans="1:14">
      <c r="A60" t="str">
        <f t="shared" si="0"/>
        <v>MK~BR_CN~Causas_MN~CCV_YQ~19Q1Q4_CP~NONE_OB~LDS_PK~NONE</v>
      </c>
      <c r="B60" t="str">
        <f t="shared" si="1"/>
        <v>Google Brasil</v>
      </c>
      <c r="C60" t="str">
        <f t="shared" si="2"/>
        <v>CH~DISPLAY_DT~MULTI_PB~DV360_FM~BANNER_RT~CPM_PD~CAUSAS_PERFORMANCE_BANNER_CADASTRO_728X90_728X90_TG~BHVDEM_TS~NONE_SZ~728X90_SOCIAL_MK~BR_IT~SOCIAL_VV~NONE</v>
      </c>
      <c r="D60" t="str">
        <f t="shared" si="3"/>
        <v>251790237</v>
      </c>
      <c r="E60" t="str">
        <f t="shared" si="4"/>
        <v>Standard</v>
      </c>
      <c r="F60" t="str">
        <f t="shared" si="5"/>
        <v>CH~DISPLAY_DT~MULTI_PB~DV360_FM~BANNER_RT~CPM_PD~CAUSAS_PERFORMANCE_BANNER_CADASTRO_728X90_728X90_TG~BHVDEM_TS~NONE_SZ~728X90_SOCIAL_MK~BR_IT~SOCIAL_VV~NONE</v>
      </c>
      <c r="G60" t="str">
        <f t="shared" si="6"/>
        <v>447771095</v>
      </c>
      <c r="H60" t="str">
        <f t="shared" si="7"/>
        <v>Display</v>
      </c>
      <c r="I60">
        <f t="shared" si="8"/>
        <v>3483466</v>
      </c>
      <c r="J60">
        <f t="shared" si="9"/>
        <v>33252</v>
      </c>
      <c r="K60" s="4">
        <f t="shared" si="16"/>
        <v>3.8199999999999998E-2</v>
      </c>
      <c r="L60">
        <f t="shared" si="17"/>
        <v>0.09</v>
      </c>
      <c r="M60" s="4">
        <f t="shared" si="14"/>
        <v>133.06840119999998</v>
      </c>
      <c r="N60" s="4">
        <f t="shared" si="15"/>
        <v>313.51193999999998</v>
      </c>
    </row>
    <row r="61" spans="1:14">
      <c r="A61" t="str">
        <f t="shared" si="0"/>
        <v>MK~BR_CN~Causas_MN~CCV_YQ~19Q1Q4_CP~NONE_OB~LDS_PK~NONE</v>
      </c>
      <c r="B61" t="str">
        <f t="shared" si="1"/>
        <v>Google Brasil</v>
      </c>
      <c r="C61" t="str">
        <f t="shared" si="2"/>
        <v>CH~DISPLAY_DT~MULTI_PB~DV360_FM~BANNER_RT~CPM_PD~CAUSAS_PERFORMANCE_BANNER_CADASTRO_970X250_970X250_TG~BHVDEM_TS~NONE_SZ~970X250_SOCIAL_MK~BR_IT~SOCIAL_VV~NONE</v>
      </c>
      <c r="D61" t="str">
        <f t="shared" si="3"/>
        <v>251690116</v>
      </c>
      <c r="E61" t="str">
        <f t="shared" si="4"/>
        <v>Standard</v>
      </c>
      <c r="F61" t="str">
        <f t="shared" si="5"/>
        <v>CH~DISPLAY_DT~MULTI_PB~DV360_FM~BANNER_RT~CPM_PD~CAUSAS_PERFORMANCE_BANNER_CADASTRO_970X250_970X250_TG~BHVDEM_TS~NONE_SZ~970X250_SOCIAL_MK~BR_IT~SOCIAL_VV~NONE</v>
      </c>
      <c r="G61" t="str">
        <f t="shared" si="6"/>
        <v>447713607</v>
      </c>
      <c r="H61" t="str">
        <f t="shared" si="7"/>
        <v>Display</v>
      </c>
      <c r="I61">
        <f t="shared" si="8"/>
        <v>531253</v>
      </c>
      <c r="J61">
        <f t="shared" si="9"/>
        <v>6456</v>
      </c>
      <c r="K61" s="4">
        <f t="shared" si="16"/>
        <v>3.8199999999999998E-2</v>
      </c>
      <c r="L61">
        <f t="shared" si="17"/>
        <v>0.09</v>
      </c>
      <c r="M61" s="4">
        <f t="shared" si="14"/>
        <v>20.293864599999996</v>
      </c>
      <c r="N61" s="4">
        <f t="shared" si="15"/>
        <v>47.812769999999993</v>
      </c>
    </row>
    <row r="62" spans="1:14">
      <c r="A62" t="str">
        <f t="shared" si="0"/>
        <v>MK~BR_CN~Causas_MN~CCV_YQ~19Q1Q4_CP~NONE_OB~LDS_PK~NONE</v>
      </c>
      <c r="B62" t="str">
        <f t="shared" si="1"/>
        <v>Google Brasil</v>
      </c>
      <c r="C62" t="str">
        <f t="shared" si="2"/>
        <v>CH~DISPLAY_DT~MULTI_PB~DV360_FM~BANNER_RT~CPM_PD~CAUSAS_PERFORMANCE_BANNER_CADASTRO_970X90_970X90_TG~BHVDEM_TS~NONE_SZ~970X90_SOCIAL_MK~BR_IT~SOCIAL_VV~NONE</v>
      </c>
      <c r="D62" t="str">
        <f t="shared" si="3"/>
        <v>251381657</v>
      </c>
      <c r="E62" t="str">
        <f t="shared" si="4"/>
        <v>Standard</v>
      </c>
      <c r="F62" t="str">
        <f t="shared" si="5"/>
        <v>CH~DISPLAY_DT~MULTI_PB~DV360_FM~BANNER_RT~CPM_PD~CAUSAS_PERFORMANCE_BANNER_CADASTRO_970X90_970X90_TG~BHVDEM_TS~NONE_SZ~970X90_SOCIAL_MK~BR_IT~SOCIAL_VV~NONE</v>
      </c>
      <c r="G62" t="str">
        <f t="shared" si="6"/>
        <v>447715026</v>
      </c>
      <c r="H62" t="str">
        <f t="shared" si="7"/>
        <v>Display</v>
      </c>
      <c r="I62">
        <f t="shared" si="8"/>
        <v>45752</v>
      </c>
      <c r="J62">
        <f t="shared" si="9"/>
        <v>152</v>
      </c>
      <c r="K62" s="4">
        <f t="shared" si="16"/>
        <v>3.8199999999999998E-2</v>
      </c>
      <c r="L62">
        <f t="shared" si="17"/>
        <v>0.09</v>
      </c>
      <c r="M62" s="4">
        <f t="shared" si="14"/>
        <v>1.7477263999999999</v>
      </c>
      <c r="N62" s="4">
        <f t="shared" si="15"/>
        <v>4.11768</v>
      </c>
    </row>
    <row r="63" spans="1:14">
      <c r="A63" t="str">
        <f t="shared" si="0"/>
        <v>MK~BR_CN~Causas_MN~CCV_YQ~19Q1Q4_CP~NONE_OB~LDS_PK~NONE</v>
      </c>
      <c r="B63" t="str">
        <f t="shared" si="1"/>
        <v>Google Brasil</v>
      </c>
      <c r="C63" t="str">
        <f t="shared" si="2"/>
        <v>CH~DISPLAY_DT~MULTI_PB~DV360_FM~BANNER_RT~CPM_PD~CAUSAS_PERFORMANCE_BANNER_FINALIZE_120X600_120X60_TG~BHVDEM_TS~NONE_SZ~120X60_SOCIAL_MK~BR_IT~SOCIAL_VV~NONE</v>
      </c>
      <c r="D63" t="str">
        <f t="shared" si="3"/>
        <v>251688667</v>
      </c>
      <c r="E63" t="str">
        <f t="shared" si="4"/>
        <v>Standard</v>
      </c>
      <c r="F63" t="str">
        <f t="shared" si="5"/>
        <v>CH~DISPLAY_DT~MULTI_PB~DV360_FM~BANNER_RT~CPM_PD~CAUSAS_PERFORMANCE_BANNER_FINALIZE_120X600_120X60_TG~BHVDEM_TS~NONE_SZ~120X60_SOCIAL_MK~BR_IT~SOCIAL_VV~NONE</v>
      </c>
      <c r="G63" t="str">
        <f t="shared" si="6"/>
        <v>447764378</v>
      </c>
      <c r="H63" t="str">
        <f t="shared" si="7"/>
        <v>Display</v>
      </c>
      <c r="I63">
        <f t="shared" si="8"/>
        <v>2</v>
      </c>
      <c r="J63">
        <f t="shared" si="9"/>
        <v>0</v>
      </c>
      <c r="K63" s="4">
        <f t="shared" si="16"/>
        <v>3.8199999999999998E-2</v>
      </c>
      <c r="L63">
        <f t="shared" si="17"/>
        <v>0.09</v>
      </c>
      <c r="M63" s="4">
        <f t="shared" si="14"/>
        <v>7.64E-5</v>
      </c>
      <c r="N63" s="4">
        <f t="shared" si="15"/>
        <v>1.7999999999999998E-4</v>
      </c>
    </row>
    <row r="64" spans="1:14">
      <c r="A64" t="str">
        <f t="shared" si="0"/>
        <v>MK~BR_CN~Causas_MN~CCV_YQ~19Q1Q4_CP~NONE_OB~LDS_PK~NONE</v>
      </c>
      <c r="B64" t="str">
        <f t="shared" si="1"/>
        <v>Google Brasil</v>
      </c>
      <c r="C64" t="str">
        <f t="shared" si="2"/>
        <v>CH~DISPLAY_DT~MULTI_PB~DV360_FM~BANNER_RT~CPM_PD~CAUSAS_PERFORMANCE_BANNER_FINALIZE_160X600_160X600_TG~BHVDEM_TS~NONE_SZ~160X600_SOCIAL_MK~BR_IT~SOCIAL_VV~NONE</v>
      </c>
      <c r="D64" t="str">
        <f t="shared" si="3"/>
        <v>251380907</v>
      </c>
      <c r="E64" t="str">
        <f t="shared" si="4"/>
        <v>Standard</v>
      </c>
      <c r="F64" t="str">
        <f t="shared" si="5"/>
        <v>CH~DISPLAY_DT~MULTI_PB~DV360_FM~BANNER_RT~CPM_PD~CAUSAS_PERFORMANCE_BANNER_FINALIZE_160X600_160X600_TG~BHVDEM_TS~NONE_SZ~160X600_SOCIAL_MK~BR_IT~SOCIAL_VV~NONE</v>
      </c>
      <c r="G64" t="str">
        <f t="shared" si="6"/>
        <v>447711045</v>
      </c>
      <c r="H64" t="str">
        <f t="shared" si="7"/>
        <v>Display</v>
      </c>
      <c r="I64">
        <f t="shared" si="8"/>
        <v>2</v>
      </c>
      <c r="J64">
        <f t="shared" si="9"/>
        <v>0</v>
      </c>
      <c r="K64" s="4">
        <f t="shared" si="16"/>
        <v>3.8199999999999998E-2</v>
      </c>
      <c r="L64">
        <f t="shared" si="17"/>
        <v>0.09</v>
      </c>
      <c r="M64" s="4">
        <f t="shared" si="14"/>
        <v>7.64E-5</v>
      </c>
      <c r="N64" s="4">
        <f t="shared" si="15"/>
        <v>1.7999999999999998E-4</v>
      </c>
    </row>
    <row r="65" spans="1:14">
      <c r="A65" t="str">
        <f t="shared" si="0"/>
        <v>MK~BR_CN~Causas_MN~CCV_YQ~19Q1Q4_CP~NONE_OB~LDS_PK~NONE</v>
      </c>
      <c r="B65" t="str">
        <f t="shared" si="1"/>
        <v>Google Brasil</v>
      </c>
      <c r="C65" t="str">
        <f t="shared" si="2"/>
        <v>CH~DISPLAY_DT~MULTI_PB~DV360_FM~BANNER_RT~CPM_PD~CAUSAS_PERFORMANCE_BANNER_FINALIZE_300X250_300X250_TG~BHVDEM_TS~NONE_SZ~300X250_SOCIAL_MK~BR_IT~SOCIAL_VV~NONE</v>
      </c>
      <c r="D65" t="str">
        <f t="shared" si="3"/>
        <v>251691433</v>
      </c>
      <c r="E65" t="str">
        <f t="shared" si="4"/>
        <v>Standard</v>
      </c>
      <c r="F65" t="str">
        <f t="shared" si="5"/>
        <v>CH~DISPLAY_DT~MULTI_PB~DV360_FM~BANNER_RT~CPM_PD~CAUSAS_PERFORMANCE_BANNER_FINALIZE_300X250_300X250_TG~BHVDEM_TS~NONE_SZ~300X250_SOCIAL_MK~BR_IT~SOCIAL_VV~NONE</v>
      </c>
      <c r="G65" t="str">
        <f t="shared" si="6"/>
        <v>447773282</v>
      </c>
      <c r="H65" t="str">
        <f t="shared" si="7"/>
        <v>Display</v>
      </c>
      <c r="I65">
        <f t="shared" si="8"/>
        <v>1</v>
      </c>
      <c r="J65">
        <f t="shared" si="9"/>
        <v>0</v>
      </c>
      <c r="K65" s="4">
        <f t="shared" si="16"/>
        <v>3.8199999999999998E-2</v>
      </c>
      <c r="L65">
        <f t="shared" si="17"/>
        <v>0.09</v>
      </c>
      <c r="M65" s="4">
        <f t="shared" si="14"/>
        <v>3.82E-5</v>
      </c>
      <c r="N65" s="4">
        <f t="shared" si="15"/>
        <v>8.9999999999999992E-5</v>
      </c>
    </row>
    <row r="66" spans="1:14">
      <c r="A66" t="str">
        <f t="shared" ref="A66:A129" si="18">bd_campaign</f>
        <v>MK~BR_CN~Causas_MN~CCV_YQ~19Q1Q4_CP~NONE_OB~LDS_PK~NONE</v>
      </c>
      <c r="B66" t="str">
        <f t="shared" ref="B66:B129" si="19">bd_site</f>
        <v>Google Brasil</v>
      </c>
      <c r="C66" t="str">
        <f t="shared" ref="C66:C129" si="20">bd_placement</f>
        <v>CH~DISPLAY_DT~MULTI_PB~DV360_FM~BANNER_RT~CPM_PD~CAUSAS_PERFORMANCE_BANNER_FINALIZE_300X250_300X250_TG~BHVDEM_TS~NONE_SZ~300X250_SOCIAL_MK~BR_IT~SOCIAL_VV~NONE</v>
      </c>
      <c r="D66" t="str">
        <f t="shared" ref="D66:D129" si="21">bd_placementID</f>
        <v>251778231</v>
      </c>
      <c r="E66" t="str">
        <f t="shared" ref="E66:E129" si="22">VLOOKUP(CONCATENATE(bd_adtype,"_",bd_creativetype),tabela,2,FALSE)</f>
        <v>Default</v>
      </c>
      <c r="F66" t="str">
        <f t="shared" ref="F66:F129" si="23">bd_ad</f>
        <v>300x250 Default Web Ad</v>
      </c>
      <c r="G66" t="str">
        <f t="shared" ref="G66:G129" si="24">bd_adid</f>
        <v>430984262</v>
      </c>
      <c r="H66" t="str">
        <f t="shared" ref="H66:H129" si="25">bd_creativetype</f>
        <v>Display</v>
      </c>
      <c r="I66">
        <f t="shared" ref="I66:I129" si="26">bd_impression</f>
        <v>1</v>
      </c>
      <c r="J66">
        <f t="shared" ref="J66:J129" si="27">bd_clicks</f>
        <v>0</v>
      </c>
      <c r="K66" s="4">
        <f t="shared" si="16"/>
        <v>3.8199999999999998E-2</v>
      </c>
      <c r="L66">
        <f t="shared" si="17"/>
        <v>0.09</v>
      </c>
      <c r="M66" s="4">
        <f t="shared" si="14"/>
        <v>3.82E-5</v>
      </c>
      <c r="N66" s="4">
        <f t="shared" si="15"/>
        <v>8.9999999999999992E-5</v>
      </c>
    </row>
    <row r="67" spans="1:14">
      <c r="A67" t="str">
        <f t="shared" si="18"/>
        <v>MK~BR_CN~Causas_MN~CCV_YQ~19Q1Q4_CP~NONE_OB~LDS_PK~NONE</v>
      </c>
      <c r="B67" t="str">
        <f t="shared" si="19"/>
        <v>Google Brasil</v>
      </c>
      <c r="C67" t="str">
        <f t="shared" si="20"/>
        <v>CH~DISPLAY_DT~MULTI_PB~DV360_FM~BANNER_RT~CPM_PD~CAUSAS_PERFORMANCE_BANNER_FINALIZE_300X50_300X50_TG~BHVDEM_TS~NONE_SZ~300X50_SOCIAL_MK~BR_IT~SOCIAL_VV~NONE</v>
      </c>
      <c r="D67" t="str">
        <f t="shared" si="21"/>
        <v>251789319</v>
      </c>
      <c r="E67" t="str">
        <f t="shared" si="22"/>
        <v>Standard</v>
      </c>
      <c r="F67" t="str">
        <f t="shared" si="23"/>
        <v>CH~DISPLAY_DT~MULTI_PB~DV360_FM~BANNER_RT~CPM_PD~CAUSAS_PERFORMANCE_BANNER_FINALIZE_300X50_300X50_TG~BHVDEM_TS~NONE_SZ~300X50_SOCIAL_MK~BR_IT~SOCIAL_VV~NONE</v>
      </c>
      <c r="G67" t="str">
        <f t="shared" si="24"/>
        <v>447766556</v>
      </c>
      <c r="H67" t="str">
        <f t="shared" si="25"/>
        <v>Display</v>
      </c>
      <c r="I67">
        <f t="shared" si="26"/>
        <v>2</v>
      </c>
      <c r="J67">
        <f t="shared" si="27"/>
        <v>0</v>
      </c>
      <c r="K67" s="4">
        <f t="shared" si="16"/>
        <v>3.8199999999999998E-2</v>
      </c>
      <c r="L67">
        <f t="shared" si="17"/>
        <v>0.09</v>
      </c>
      <c r="M67" s="4">
        <f t="shared" si="14"/>
        <v>7.64E-5</v>
      </c>
      <c r="N67" s="4">
        <f t="shared" si="15"/>
        <v>1.7999999999999998E-4</v>
      </c>
    </row>
    <row r="68" spans="1:14">
      <c r="A68" t="str">
        <f t="shared" si="18"/>
        <v>MK~BR_CN~Causas_MN~CCV_YQ~19Q1Q4_CP~NONE_OB~LDS_PK~NONE</v>
      </c>
      <c r="B68" t="str">
        <f t="shared" si="19"/>
        <v>Google Brasil</v>
      </c>
      <c r="C68" t="str">
        <f t="shared" si="20"/>
        <v>CH~DISPLAY_DT~MULTI_PB~DV360_FM~BANNER_RT~CPM_PD~CAUSAS_PERFORMANCE_BANNER_FINALIZE_300X600_300X600_TG~BHVDEM_TS~NONE_SZ~300X600_SOCIAL_MK~BR_IT~SOCIAL_VV~NONE</v>
      </c>
      <c r="D68" t="str">
        <f t="shared" si="21"/>
        <v>251369363</v>
      </c>
      <c r="E68" t="str">
        <f t="shared" si="22"/>
        <v>Standard</v>
      </c>
      <c r="F68" t="str">
        <f t="shared" si="23"/>
        <v>CH~DISPLAY_DT~MULTI_PB~DV360_FM~BANNER_RT~CPM_PD~CAUSAS_PERFORMANCE_BANNER_FINALIZE_300X600_300X600_TG~BHVDEM_TS~NONE_SZ~300X600_SOCIAL_MK~BR_IT~SOCIAL_VV~NONE</v>
      </c>
      <c r="G68" t="str">
        <f t="shared" si="24"/>
        <v>447756128</v>
      </c>
      <c r="H68" t="str">
        <f t="shared" si="25"/>
        <v>Display</v>
      </c>
      <c r="I68">
        <f t="shared" si="26"/>
        <v>2</v>
      </c>
      <c r="J68">
        <f t="shared" si="27"/>
        <v>0</v>
      </c>
      <c r="K68" s="4">
        <f t="shared" si="16"/>
        <v>3.8199999999999998E-2</v>
      </c>
      <c r="L68">
        <f t="shared" si="17"/>
        <v>0.09</v>
      </c>
      <c r="M68" s="4">
        <f t="shared" si="14"/>
        <v>7.64E-5</v>
      </c>
      <c r="N68" s="4">
        <f t="shared" si="15"/>
        <v>1.7999999999999998E-4</v>
      </c>
    </row>
    <row r="69" spans="1:14">
      <c r="A69" t="str">
        <f t="shared" si="18"/>
        <v>MK~BR_CN~Causas_MN~CCV_YQ~19Q1Q4_CP~NONE_OB~LDS_PK~NONE</v>
      </c>
      <c r="B69" t="str">
        <f t="shared" si="19"/>
        <v>Google Brasil</v>
      </c>
      <c r="C69" t="str">
        <f t="shared" si="20"/>
        <v>CH~DISPLAY_DT~MULTI_PB~DV360_FM~BANNER_RT~CPM_PD~CAUSAS_PERFORMANCE_BANNER_FINALIZE_320X50_320X50_TG~BHVDEM_TS~NONE_SZ~320X50_SOCIAL_MK~BR_IT~SOCIAL_VV~NONE</v>
      </c>
      <c r="D69" t="str">
        <f t="shared" si="21"/>
        <v>251375759</v>
      </c>
      <c r="E69" t="str">
        <f t="shared" si="22"/>
        <v>Standard</v>
      </c>
      <c r="F69" t="str">
        <f t="shared" si="23"/>
        <v>CH~DISPLAY_DT~MULTI_PB~DV360_FM~BANNER_RT~CPM_PD~CAUSAS_PERFORMANCE_BANNER_FINALIZE_320X50_320X50_TG~BHVDEM_TS~NONE_SZ~320X50_SOCIAL_MK~BR_IT~SOCIAL_VV~NONE</v>
      </c>
      <c r="G69" t="str">
        <f t="shared" si="24"/>
        <v>447756134</v>
      </c>
      <c r="H69" t="str">
        <f t="shared" si="25"/>
        <v>Display</v>
      </c>
      <c r="I69">
        <f t="shared" si="26"/>
        <v>2</v>
      </c>
      <c r="J69">
        <f t="shared" si="27"/>
        <v>0</v>
      </c>
      <c r="K69" s="4">
        <f t="shared" si="16"/>
        <v>3.8199999999999998E-2</v>
      </c>
      <c r="L69">
        <f t="shared" si="17"/>
        <v>0.09</v>
      </c>
      <c r="M69" s="4">
        <f t="shared" si="14"/>
        <v>7.64E-5</v>
      </c>
      <c r="N69" s="4">
        <f t="shared" si="15"/>
        <v>1.7999999999999998E-4</v>
      </c>
    </row>
    <row r="70" spans="1:14">
      <c r="A70" t="str">
        <f t="shared" si="18"/>
        <v>MK~BR_CN~Causas_MN~CCV_YQ~19Q1Q4_CP~NONE_OB~LDS_PK~NONE</v>
      </c>
      <c r="B70" t="str">
        <f t="shared" si="19"/>
        <v>Google Brasil</v>
      </c>
      <c r="C70" t="str">
        <f t="shared" si="20"/>
        <v>CH~DISPLAY_DT~MULTI_PB~DV360_FM~BANNER_RT~CPM_PD~CAUSAS_PERFORMANCE_BANNER_FINALIZE_728X90_728X90_TG~BHVDEM_TS~NONE_SZ~728X90_SOCIAL_MK~BR_IT~SOCIAL_VV~NONE</v>
      </c>
      <c r="D70" t="str">
        <f t="shared" si="21"/>
        <v>251381576</v>
      </c>
      <c r="E70" t="str">
        <f t="shared" si="22"/>
        <v>Standard</v>
      </c>
      <c r="F70" t="str">
        <f t="shared" si="23"/>
        <v>CH~DISPLAY_DT~MULTI_PB~DV360_FM~BANNER_RT~CPM_PD~CAUSAS_PERFORMANCE_BANNER_FINALIZE_728X90_728X90_TG~BHVDEM_TS~NONE_SZ~728X90_SOCIAL_MK~BR_IT~SOCIAL_VV~NONE</v>
      </c>
      <c r="G70" t="str">
        <f t="shared" si="24"/>
        <v>447863137</v>
      </c>
      <c r="H70" t="str">
        <f t="shared" si="25"/>
        <v>Display</v>
      </c>
      <c r="I70">
        <f t="shared" si="26"/>
        <v>2</v>
      </c>
      <c r="J70">
        <f t="shared" si="27"/>
        <v>0</v>
      </c>
      <c r="K70" s="4">
        <f t="shared" si="16"/>
        <v>3.8199999999999998E-2</v>
      </c>
      <c r="L70">
        <f t="shared" si="17"/>
        <v>0.09</v>
      </c>
      <c r="M70" s="4">
        <f t="shared" si="14"/>
        <v>7.64E-5</v>
      </c>
      <c r="N70" s="4">
        <f t="shared" si="15"/>
        <v>1.7999999999999998E-4</v>
      </c>
    </row>
    <row r="71" spans="1:14">
      <c r="A71" t="str">
        <f t="shared" si="18"/>
        <v>MK~BR_CN~Causas_MN~CCV_YQ~19Q1Q4_CP~NONE_OB~LDS_PK~NONE</v>
      </c>
      <c r="B71" t="str">
        <f t="shared" si="19"/>
        <v>Google Brasil</v>
      </c>
      <c r="C71" t="str">
        <f t="shared" si="20"/>
        <v>CH~DISPLAY_DT~MULTI_PB~DV360_FM~BANNER_RT~CPM_PD~CAUSAS_PERFORMANCE_BANNER_FINALIZE_970X90_970X90_TG~BHVDEM_TS~NONE_SZ~970X90_SOCIAL_MK~BR_IT~SOCIAL_VV~NONE</v>
      </c>
      <c r="D71" t="str">
        <f t="shared" si="21"/>
        <v>251382875</v>
      </c>
      <c r="E71" t="str">
        <f t="shared" si="22"/>
        <v>Standard</v>
      </c>
      <c r="F71" t="str">
        <f t="shared" si="23"/>
        <v>CH~DISPLAY_DT~MULTI_PB~DV360_FM~BANNER_RT~CPM_PD~CAUSAS_PERFORMANCE_BANNER_FINALIZE_970X90_970X90_TG~BHVDEM_TS~NONE_SZ~970X90_SOCIAL_MK~BR_IT~SOCIAL_VV~NONE</v>
      </c>
      <c r="G71" t="str">
        <f t="shared" si="24"/>
        <v>447862984</v>
      </c>
      <c r="H71" t="str">
        <f t="shared" si="25"/>
        <v>Display</v>
      </c>
      <c r="I71">
        <f t="shared" si="26"/>
        <v>3</v>
      </c>
      <c r="J71">
        <f t="shared" si="27"/>
        <v>0</v>
      </c>
      <c r="K71" s="4">
        <f t="shared" si="16"/>
        <v>3.8199999999999998E-2</v>
      </c>
      <c r="L71">
        <f t="shared" si="17"/>
        <v>0.09</v>
      </c>
      <c r="M71" s="4">
        <f t="shared" si="14"/>
        <v>1.1459999999999999E-4</v>
      </c>
      <c r="N71" s="4">
        <f t="shared" si="15"/>
        <v>2.7E-4</v>
      </c>
    </row>
    <row r="72" spans="1:14">
      <c r="A72" t="str">
        <f t="shared" si="18"/>
        <v>MK~BR_CN~Causas_MN~CCV_YQ~19Q1Q4_CP~NONE_OB~LDS_PK~NONE</v>
      </c>
      <c r="B72" t="str">
        <f t="shared" si="19"/>
        <v>Google Brasil</v>
      </c>
      <c r="C72" t="str">
        <f t="shared" si="20"/>
        <v>CH~DISPLAY_DT~MULTI_PB~DV360_FM~VIDEO_RT~CPM_PD~CAUSAS_PERFORMANCE_VIDEO_DONA_CIDA_15''_1X1_TG~BHVDEM_TS~NONE_SZ~1X1_SOCIAL_MK~BR_IT~SOCIAL_VV~NONE</v>
      </c>
      <c r="D72" t="str">
        <f t="shared" si="21"/>
        <v>251325632</v>
      </c>
      <c r="E72" t="str">
        <f t="shared" si="22"/>
        <v>Dynamic Click</v>
      </c>
      <c r="F72" t="str">
        <f t="shared" si="23"/>
        <v>CH~DISPLAY_DT~MULTI_PB~DV360_FM~VIDEO_RT~CPM_PD~CAUSAS_PERFORMANCE_VIDEO_DONA_CIDA_15''_1X1_TG~BHVDEM_TS~NONE_SZ~1X1_SOCIAL_MK~BR_IT~SOCIAL_VV~NONE</v>
      </c>
      <c r="G72" t="str">
        <f t="shared" si="24"/>
        <v>447812203</v>
      </c>
      <c r="H72" t="str">
        <f t="shared" si="25"/>
        <v>Tracking</v>
      </c>
      <c r="I72">
        <f t="shared" si="26"/>
        <v>0</v>
      </c>
      <c r="J72">
        <f t="shared" si="27"/>
        <v>1</v>
      </c>
      <c r="K72" s="4">
        <f t="shared" si="16"/>
        <v>3.5000000000000001E-3</v>
      </c>
      <c r="L72">
        <f t="shared" si="17"/>
        <v>0.02</v>
      </c>
      <c r="M72" s="4">
        <f t="shared" si="14"/>
        <v>3.5000000000000001E-3</v>
      </c>
      <c r="N72" s="4">
        <f t="shared" si="15"/>
        <v>0.02</v>
      </c>
    </row>
    <row r="73" spans="1:14">
      <c r="A73" t="str">
        <f t="shared" si="18"/>
        <v>MK~BR_CN~Causas_MN~CCV_YQ~19Q1Q4_CP~NONE_OB~LDS_PK~NONE</v>
      </c>
      <c r="B73" t="str">
        <f t="shared" si="19"/>
        <v>Google Brasil</v>
      </c>
      <c r="C73" t="str">
        <f t="shared" si="20"/>
        <v>CH~DISPLAY_DT~MULTI_PB~DV360_FM~VIDEO_RT~CPM_PD~CAUSAS_PERFORMANCE_VIDEO_DONA_CIDA_2'_1X1_TG~BHVDEM_TS~NONE_SZ~1X1_SOCIAL_MK~BR_IT~SOCIAL_VV~NONE</v>
      </c>
      <c r="D73" t="str">
        <f t="shared" si="21"/>
        <v>251338592</v>
      </c>
      <c r="E73" t="str">
        <f t="shared" si="22"/>
        <v>Dynamic Click</v>
      </c>
      <c r="F73" t="str">
        <f t="shared" si="23"/>
        <v>CH~DISPLAY_DT~MULTI_PB~DV360_FM~VIDEO_RT~CPM_PD~CAUSAS_PERFORMANCE_VIDEO_DONA_CIDA_2'_1X1_TG~BHVDEM_TS~NONE_SZ~1X1_SOCIAL_MK~BR_IT~SOCIAL_VV~NONE</v>
      </c>
      <c r="G73" t="str">
        <f t="shared" si="24"/>
        <v>447666591</v>
      </c>
      <c r="H73" t="str">
        <f t="shared" si="25"/>
        <v>Tracking</v>
      </c>
      <c r="I73">
        <f t="shared" si="26"/>
        <v>6572235</v>
      </c>
      <c r="J73">
        <f t="shared" si="27"/>
        <v>197686</v>
      </c>
      <c r="K73" s="4">
        <f t="shared" si="16"/>
        <v>3.5000000000000001E-3</v>
      </c>
      <c r="L73">
        <f t="shared" si="17"/>
        <v>0.02</v>
      </c>
      <c r="M73" s="4">
        <f t="shared" si="14"/>
        <v>691.90100000000007</v>
      </c>
      <c r="N73" s="4">
        <f t="shared" si="15"/>
        <v>3953.7200000000003</v>
      </c>
    </row>
    <row r="74" spans="1:14">
      <c r="A74" t="str">
        <f t="shared" si="18"/>
        <v>MK~BR_CN~Causas_MN~CCV_YQ~19Q1Q4_CP~NONE_OB~LDS_PK~NONE</v>
      </c>
      <c r="B74" t="str">
        <f t="shared" si="19"/>
        <v>Google Brasil</v>
      </c>
      <c r="C74" t="str">
        <f t="shared" si="20"/>
        <v>CH~DISPLAY_DT~MULTI_PB~DV360_FM~VIDEO_RT~CPM_PD~CAUSAS_PERFORMANCE_VIDEO_IDOSO_2'_1X1_TG~BHVDEM_TS~NONE_SZ~1X1_SOCIAL_MK~BR_IT~SOCIAL_VV~NONE</v>
      </c>
      <c r="D74" t="str">
        <f t="shared" si="21"/>
        <v>251728422</v>
      </c>
      <c r="E74" t="str">
        <f t="shared" si="22"/>
        <v>Dynamic Click</v>
      </c>
      <c r="F74" t="str">
        <f t="shared" si="23"/>
        <v>CH~DISPLAY_DT~MULTI_PB~DV360_FM~VIDEO_RT~CPM_PD~CAUSAS_PERFORMANCE_VIDEO_IDOSO_2'_1X1_TG~BHVDEM_TS~NONE_SZ~1X1_SOCIAL_MK~BR_IT~SOCIAL_VV~NONE</v>
      </c>
      <c r="G74" t="str">
        <f t="shared" si="24"/>
        <v>447792979</v>
      </c>
      <c r="H74" t="str">
        <f t="shared" si="25"/>
        <v>Tracking</v>
      </c>
      <c r="I74">
        <f t="shared" si="26"/>
        <v>0</v>
      </c>
      <c r="J74">
        <f t="shared" si="27"/>
        <v>59786</v>
      </c>
      <c r="K74" s="4">
        <f t="shared" si="16"/>
        <v>3.5000000000000001E-3</v>
      </c>
      <c r="L74">
        <f t="shared" si="17"/>
        <v>0.02</v>
      </c>
      <c r="M74" s="4">
        <f t="shared" si="14"/>
        <v>209.251</v>
      </c>
      <c r="N74" s="4">
        <f t="shared" si="15"/>
        <v>1195.72</v>
      </c>
    </row>
    <row r="75" spans="1:14">
      <c r="A75" t="str">
        <f t="shared" si="18"/>
        <v>MK~BR_CN~Causas_MN~CCV_YQ~19Q1Q4_CP~NONE_OB~LDS_PK~NONE</v>
      </c>
      <c r="B75" t="str">
        <f t="shared" si="19"/>
        <v>Oath BR</v>
      </c>
      <c r="C75" t="str">
        <f t="shared" si="20"/>
        <v>CH~DISPLAY_DT~MULTI_PB~OAT_FM~BANNER_RT~CPM_PD~CAUSAS_CADASTRE_SE_TINTURA_300X600_300X600_TG~BHVDEM_TS~NONE_SZ~300X600_SOCIAL_MK~BR_IT~SOCIAL_VV~NONE</v>
      </c>
      <c r="D75" t="str">
        <f t="shared" si="21"/>
        <v>233318419</v>
      </c>
      <c r="E75" t="str">
        <f t="shared" si="22"/>
        <v>Standard</v>
      </c>
      <c r="F75" t="str">
        <f t="shared" si="23"/>
        <v>CH~DISPLAY_DT~MULTI_PB~OAT_FM~BANNER_RT~CPM_PD~CAUSAS_CADASTRE_SE_TINTURA_300X600_300X600_TG~BHVDEM_TS~NONE_SZ~300X600_SOCIAL_MK~BR_IT~SOCIAL_VV~NONE</v>
      </c>
      <c r="G75" t="str">
        <f t="shared" si="24"/>
        <v>430986785</v>
      </c>
      <c r="H75" t="str">
        <f t="shared" si="25"/>
        <v>Display</v>
      </c>
      <c r="I75">
        <f t="shared" si="26"/>
        <v>7</v>
      </c>
      <c r="J75">
        <f t="shared" si="27"/>
        <v>0</v>
      </c>
      <c r="K75" s="4">
        <f t="shared" si="16"/>
        <v>3.8199999999999998E-2</v>
      </c>
      <c r="L75">
        <f t="shared" si="17"/>
        <v>0.09</v>
      </c>
      <c r="M75" s="4">
        <f t="shared" si="14"/>
        <v>2.6739999999999999E-4</v>
      </c>
      <c r="N75" s="4">
        <f t="shared" si="15"/>
        <v>6.3000000000000003E-4</v>
      </c>
    </row>
    <row r="76" spans="1:14">
      <c r="A76" t="str">
        <f t="shared" si="18"/>
        <v>MK~BR_CN~Causas_MN~CCV_YQ~19Q1Q4_CP~NONE_OB~LDS_PK~NONE</v>
      </c>
      <c r="B76" t="str">
        <f t="shared" si="19"/>
        <v>Oath BR</v>
      </c>
      <c r="C76" t="str">
        <f t="shared" si="20"/>
        <v>CH~DISPLAY_DT~MULTI_PB~OAT_FM~NATIVE_AD_RT~CPM_PD~CAUSAS_ICONE_STANDARAD_1200X627_970X250_TG~BHVDEM_TS~NONE_SZ~970X250_SOCIAL_MK~BR_IT~SOCIAL_VV~NONE</v>
      </c>
      <c r="D76" t="str">
        <f t="shared" si="21"/>
        <v>233562474</v>
      </c>
      <c r="E76" t="str">
        <f t="shared" si="22"/>
        <v>Dynamic Click</v>
      </c>
      <c r="F76" t="str">
        <f t="shared" si="23"/>
        <v>CH~DISPLAY_DT~MULTI_PB~OAT_FM~NATIVE_AD_RT~CPM_PD~CAUSAS_ICONE_STANDARAD_1200X627_970X250_TG~BHVDEM_TS~NONE_SZ~970X250_SOCIAL_MK~BR_IT~SOCIAL_VV~NONE</v>
      </c>
      <c r="G76" t="str">
        <f t="shared" si="24"/>
        <v>431068489</v>
      </c>
      <c r="H76" t="str">
        <f t="shared" si="25"/>
        <v>Tracking</v>
      </c>
      <c r="I76">
        <f t="shared" si="26"/>
        <v>6</v>
      </c>
      <c r="J76">
        <f t="shared" si="27"/>
        <v>5</v>
      </c>
      <c r="K76" s="4">
        <f t="shared" si="16"/>
        <v>3.5000000000000001E-3</v>
      </c>
      <c r="L76">
        <f t="shared" si="17"/>
        <v>0.02</v>
      </c>
      <c r="M76" s="4">
        <f t="shared" si="14"/>
        <v>1.7500000000000002E-2</v>
      </c>
      <c r="N76" s="4">
        <f t="shared" si="15"/>
        <v>0.1</v>
      </c>
    </row>
    <row r="77" spans="1:14">
      <c r="A77" t="str">
        <f t="shared" si="18"/>
        <v>MK~BR_CN~Causas_MN~CCV_YQ~19Q1Q4_CP~NONE_OB~LDS_PK~NONE</v>
      </c>
      <c r="B77" t="str">
        <f t="shared" si="19"/>
        <v>Oath BR</v>
      </c>
      <c r="C77" t="str">
        <f t="shared" si="20"/>
        <v>CH~DISPLAY_DT~MULTI_PB~OAT_FM~NATIVE_AD_RT~CPM_PD~CAUSAS_ICONE_STREAMAD_FUNDOAZUL_1200X627_1200X627_TG~BHVDEM_TS~NONE_SZ~1200X627_SOCIAL_MK~BR_IT~SOCIAL_VV~NONE</v>
      </c>
      <c r="D77" t="str">
        <f t="shared" si="21"/>
        <v>240606020</v>
      </c>
      <c r="E77" t="str">
        <f t="shared" si="22"/>
        <v>Dynamic Click</v>
      </c>
      <c r="F77" t="str">
        <f t="shared" si="23"/>
        <v>CH~DISPLAY_DT~MULTI_PB~OAT_FM~NATIVE_AD_RT~CPM_PD~CAUSAS_ICONE_STREAMAD_FUNDOAZUL_1200X627_1200X627_TG~BHVDEM_TS~NONE_SZ~1200X627_SOCIAL_MK~BR_IT~SOCIAL_VV~NONE</v>
      </c>
      <c r="G77" t="str">
        <f t="shared" si="24"/>
        <v>437679655</v>
      </c>
      <c r="H77" t="str">
        <f t="shared" si="25"/>
        <v>Tracking</v>
      </c>
      <c r="I77">
        <f t="shared" si="26"/>
        <v>9532047</v>
      </c>
      <c r="J77">
        <f t="shared" si="27"/>
        <v>42807</v>
      </c>
      <c r="K77" s="4">
        <f t="shared" si="16"/>
        <v>3.5000000000000001E-3</v>
      </c>
      <c r="L77">
        <f t="shared" si="17"/>
        <v>0.02</v>
      </c>
      <c r="M77" s="4">
        <f t="shared" si="14"/>
        <v>149.8245</v>
      </c>
      <c r="N77" s="4">
        <f t="shared" si="15"/>
        <v>856.14</v>
      </c>
    </row>
    <row r="78" spans="1:14">
      <c r="A78" t="str">
        <f t="shared" si="18"/>
        <v>MK~BR_CN~Causas_MN~CCV_YQ~19Q1Q4_CP~NONE_OB~LDS_PK~NONE</v>
      </c>
      <c r="B78" t="str">
        <f t="shared" si="19"/>
        <v>Oath BR</v>
      </c>
      <c r="C78" t="str">
        <f t="shared" si="20"/>
        <v>CH~DISPLAY_DT~MULTI_PB~OAT_FM~NATIVE_AD_RT~CPM_PD~CAUSAS_TINTURA_STANDARAD_1200X627_1200X627_TG~BHVDEM_TS~NONE_SZ~1200X627_SOCIAL_MK~BR_IT~SOCIAL_VV~NONE</v>
      </c>
      <c r="D78" t="str">
        <f t="shared" si="21"/>
        <v>233562483</v>
      </c>
      <c r="E78" t="str">
        <f t="shared" si="22"/>
        <v>Dynamic Click</v>
      </c>
      <c r="F78" t="str">
        <f t="shared" si="23"/>
        <v>CH~DISPLAY_DT~MULTI_PB~OAT_FM~NATIVE_AD_RT~CPM_PD~CAUSAS_TINTURA_STANDARAD_1200X627_1200X627_TG~BHVDEM_TS~NONE_SZ~1200X627_SOCIAL_MK~BR_IT~SOCIAL_VV~NONE</v>
      </c>
      <c r="G78" t="str">
        <f t="shared" si="24"/>
        <v>431068498</v>
      </c>
      <c r="H78" t="str">
        <f t="shared" si="25"/>
        <v>Tracking</v>
      </c>
      <c r="I78">
        <f t="shared" si="26"/>
        <v>4</v>
      </c>
      <c r="J78">
        <f t="shared" si="27"/>
        <v>1</v>
      </c>
      <c r="K78" s="4">
        <f t="shared" si="16"/>
        <v>3.5000000000000001E-3</v>
      </c>
      <c r="L78">
        <f t="shared" si="17"/>
        <v>0.02</v>
      </c>
      <c r="M78" s="4">
        <f t="shared" si="14"/>
        <v>3.5000000000000001E-3</v>
      </c>
      <c r="N78" s="4">
        <f t="shared" si="15"/>
        <v>0.02</v>
      </c>
    </row>
    <row r="79" spans="1:14">
      <c r="A79" t="str">
        <f t="shared" si="18"/>
        <v>MK~BR_CN~Causas_MN~CCV_YQ~19Q1Q4_CP~NONE_OB~LDS_PK~NONE</v>
      </c>
      <c r="B79" t="str">
        <f t="shared" si="19"/>
        <v>Oath BR</v>
      </c>
      <c r="C79" t="str">
        <f t="shared" si="20"/>
        <v>CH~DISPLAY_DT~MULTI_PB~OAT_FM~VIDEO_RT~CPM_PD~CAUSAS_AWARENESS_VIDEO_DONA_CIDA_2'_1X1_TG~BHVDEM_TS~NONE_SZ~1X1_SOCIAL_MK~BR_IT~SOCIAL_VV~NONE</v>
      </c>
      <c r="D79" t="str">
        <f t="shared" si="21"/>
        <v>251641003</v>
      </c>
      <c r="E79" t="str">
        <f t="shared" si="22"/>
        <v>Dynamic Click</v>
      </c>
      <c r="F79" t="str">
        <f t="shared" si="23"/>
        <v>CH~DISPLAY_DT~MULTI_PB~OAT_FM~VIDEO_RT~CPM_PD~CAUSAS_AWARENESS_VIDEO_DONA_CIDA_2'_1X1_TG~BHVDEM_TS~NONE_SZ~1X1_SOCIAL_MK~BR_IT~SOCIAL_VV~NONE</v>
      </c>
      <c r="G79" t="str">
        <f t="shared" si="24"/>
        <v>447718565</v>
      </c>
      <c r="H79" t="str">
        <f t="shared" si="25"/>
        <v>Tracking</v>
      </c>
      <c r="I79">
        <f t="shared" si="26"/>
        <v>0</v>
      </c>
      <c r="J79">
        <f t="shared" si="27"/>
        <v>1</v>
      </c>
      <c r="K79" s="4">
        <f t="shared" si="16"/>
        <v>3.5000000000000001E-3</v>
      </c>
      <c r="L79">
        <f t="shared" si="17"/>
        <v>0.02</v>
      </c>
      <c r="M79" s="4">
        <f t="shared" si="14"/>
        <v>3.5000000000000001E-3</v>
      </c>
      <c r="N79" s="4">
        <f t="shared" si="15"/>
        <v>0.02</v>
      </c>
    </row>
    <row r="80" spans="1:14">
      <c r="A80" t="str">
        <f t="shared" si="18"/>
        <v>MK~BR_CN~Causas_MN~CCV_YQ~19Q1Q4_CP~NONE_OB~LDS_PK~NONE</v>
      </c>
      <c r="B80" t="str">
        <f t="shared" si="19"/>
        <v>Oath BR</v>
      </c>
      <c r="C80" t="str">
        <f t="shared" si="20"/>
        <v>CH~DISPLAY_DT~MULTI_PB~OAT_FM~VIDEO_RT~CPM_PD~CAUSAS_AWARENESS_VIDEO_IDOSO_2'_1X1_TG~BHVDEM_TS~NONE_SZ~1X1_SOCIAL_MK~BR_IT~SOCIAL_VV~NONE</v>
      </c>
      <c r="D80" t="str">
        <f t="shared" si="21"/>
        <v>251620264</v>
      </c>
      <c r="E80" t="str">
        <f t="shared" si="22"/>
        <v>Dynamic Click</v>
      </c>
      <c r="F80" t="str">
        <f t="shared" si="23"/>
        <v>CH~DISPLAY_DT~MULTI_PB~OAT_FM~VIDEO_RT~CPM_PD~CAUSAS_AWARENESS_VIDEO_IDOSO_2'_1X1_TG~BHVDEM_TS~NONE_SZ~1X1_SOCIAL_MK~BR_IT~SOCIAL_VV~NONE</v>
      </c>
      <c r="G80" t="str">
        <f t="shared" si="24"/>
        <v>447699923</v>
      </c>
      <c r="H80" t="str">
        <f t="shared" si="25"/>
        <v>Tracking</v>
      </c>
      <c r="I80">
        <f t="shared" si="26"/>
        <v>0</v>
      </c>
      <c r="J80">
        <f t="shared" si="27"/>
        <v>77980</v>
      </c>
      <c r="K80" s="4">
        <f t="shared" si="16"/>
        <v>3.5000000000000001E-3</v>
      </c>
      <c r="L80">
        <f t="shared" si="17"/>
        <v>0.02</v>
      </c>
      <c r="M80" s="4">
        <f t="shared" si="14"/>
        <v>272.93</v>
      </c>
      <c r="N80" s="4">
        <f t="shared" si="15"/>
        <v>1559.6000000000001</v>
      </c>
    </row>
    <row r="81" spans="1:14">
      <c r="A81" t="str">
        <f t="shared" si="18"/>
        <v>MK~BR_CN~Causas_MN~CCV_YQ~19Q1Q4_CP~NONE_OB~LDS_PK~NONE</v>
      </c>
      <c r="B81" t="str">
        <f t="shared" si="19"/>
        <v>Oath BR</v>
      </c>
      <c r="C81" t="str">
        <f t="shared" si="20"/>
        <v>CH~DISPLAY_DT~MULTI_PB~OAT_FM~VIDEO_RT~CPM_PD~CAUSAS_PERFORMANCE_VIDEO_DONA_CIDA_15''_1X1_TG~BHVDEM_TS~NONE_SZ~1X1_SOCIAL_MK~BR_IT~SOCIAL_VV~NONE</v>
      </c>
      <c r="D81" t="str">
        <f t="shared" si="21"/>
        <v>251353394</v>
      </c>
      <c r="E81" t="str">
        <f t="shared" si="22"/>
        <v>Dynamic Click</v>
      </c>
      <c r="F81" t="str">
        <f t="shared" si="23"/>
        <v>CH~DISPLAY_DT~MULTI_PB~OAT_FM~VIDEO_RT~CPM_PD~CAUSAS_PERFORMANCE_VIDEO_DONA_CIDA_15''_1X1_TG~BHVDEM_TS~NONE_SZ~1X1_SOCIAL_MK~BR_IT~SOCIAL_VV~NONE</v>
      </c>
      <c r="G81" t="str">
        <f t="shared" si="24"/>
        <v>447685680</v>
      </c>
      <c r="H81" t="str">
        <f t="shared" si="25"/>
        <v>Tracking</v>
      </c>
      <c r="I81">
        <f t="shared" si="26"/>
        <v>0</v>
      </c>
      <c r="J81">
        <f t="shared" si="27"/>
        <v>1191</v>
      </c>
      <c r="K81" s="4">
        <f t="shared" si="16"/>
        <v>3.5000000000000001E-3</v>
      </c>
      <c r="L81">
        <f t="shared" si="17"/>
        <v>0.02</v>
      </c>
      <c r="M81" s="4">
        <f t="shared" si="14"/>
        <v>4.1684999999999999</v>
      </c>
      <c r="N81" s="4">
        <f t="shared" si="15"/>
        <v>23.82</v>
      </c>
    </row>
    <row r="82" spans="1:14">
      <c r="A82" t="str">
        <f t="shared" si="18"/>
        <v>MK~BR_CN~Causas_MN~CCV_YQ~19Q1Q4_CP~NONE_OB~LDS_PK~NONE</v>
      </c>
      <c r="B82" t="str">
        <f t="shared" si="19"/>
        <v>Oath BR</v>
      </c>
      <c r="C82" t="str">
        <f t="shared" si="20"/>
        <v>CH~DISPLAY_DT~MULTI_PB~OAT_FM~VIDEO_RT~CPM_PD~CAUSAS_PERFORMANCE_VIDEO_IDOSO_15''_1X1_TG~BHVDEM_TS~NONE_SZ~1X1_SOCIAL_MK~BR_IT~SOCIAL_VV~NONE</v>
      </c>
      <c r="D82" t="str">
        <f t="shared" si="21"/>
        <v>251723682</v>
      </c>
      <c r="E82" t="str">
        <f t="shared" si="22"/>
        <v>Dynamic Click</v>
      </c>
      <c r="F82" t="str">
        <f t="shared" si="23"/>
        <v>CH~DISPLAY_DT~MULTI_PB~OAT_FM~VIDEO_RT~CPM_PD~CAUSAS_PERFORMANCE_VIDEO_IDOSO_15''_1X1_TG~BHVDEM_TS~NONE_SZ~1X1_SOCIAL_MK~BR_IT~SOCIAL_VV~NONE</v>
      </c>
      <c r="G82" t="str">
        <f t="shared" si="24"/>
        <v>447648528</v>
      </c>
      <c r="H82" t="str">
        <f t="shared" si="25"/>
        <v>Tracking</v>
      </c>
      <c r="I82">
        <f t="shared" si="26"/>
        <v>0</v>
      </c>
      <c r="J82">
        <f t="shared" si="27"/>
        <v>750</v>
      </c>
      <c r="K82" s="4">
        <f t="shared" si="16"/>
        <v>3.5000000000000001E-3</v>
      </c>
      <c r="L82">
        <f t="shared" si="17"/>
        <v>0.02</v>
      </c>
      <c r="M82" s="4">
        <f t="shared" si="14"/>
        <v>2.625</v>
      </c>
      <c r="N82" s="4">
        <f t="shared" si="15"/>
        <v>15</v>
      </c>
    </row>
    <row r="83" spans="1:14">
      <c r="A83" t="str">
        <f t="shared" si="18"/>
        <v>MK~BR_CN~Causas_MN~CCV_YQ~19Q1Q4_CP~NONE_OB~LDS_PK~NONE</v>
      </c>
      <c r="B83" t="str">
        <f t="shared" si="19"/>
        <v>Shopback Brazil 1</v>
      </c>
      <c r="C83" t="str">
        <f t="shared" si="20"/>
        <v>CH~DISPLAY_DT~MULTI_PB~SPB_FM~POPUP_RT~CPL_PD~CAUSAS_SHOPBACK_1X1_TG~BHVDEM_TS~NONE_SZ~1X1_SOCIAL_MK~BR_IT~SOCIAL_VV~NONE</v>
      </c>
      <c r="D83" t="str">
        <f t="shared" si="21"/>
        <v>233444519</v>
      </c>
      <c r="E83" t="str">
        <f t="shared" si="22"/>
        <v>Dynamic Click</v>
      </c>
      <c r="F83" t="str">
        <f t="shared" si="23"/>
        <v>CH~DISPLAY_DT~MULTI_PB~SPB_FM~POPUP_RT~CPL_PD~CAUSAS_SHOPBACK_1X1_TG~BHVDEM_TS~NONE_SZ~1X1_SOCIAL_MK~BR_IT~SOCIAL_VV~NONE</v>
      </c>
      <c r="G83" t="str">
        <f t="shared" si="24"/>
        <v>431191476</v>
      </c>
      <c r="H83" t="str">
        <f t="shared" si="25"/>
        <v>Tracking</v>
      </c>
      <c r="I83">
        <f t="shared" si="26"/>
        <v>0</v>
      </c>
      <c r="J83">
        <f t="shared" si="27"/>
        <v>20370</v>
      </c>
      <c r="K83" s="4">
        <f t="shared" si="16"/>
        <v>3.5000000000000001E-3</v>
      </c>
      <c r="L83">
        <f t="shared" si="17"/>
        <v>0.02</v>
      </c>
      <c r="M83" s="4">
        <f t="shared" si="14"/>
        <v>71.295000000000002</v>
      </c>
      <c r="N83" s="4">
        <f t="shared" si="15"/>
        <v>407.40000000000003</v>
      </c>
    </row>
    <row r="84" spans="1:14">
      <c r="A84" t="str">
        <f t="shared" si="18"/>
        <v>MK~BR_CN~Causas_MN~CCV_YQ~19Q1Q4_CP~NONE_OB~LDS_PK~NONE</v>
      </c>
      <c r="B84" t="str">
        <f t="shared" si="19"/>
        <v>Verizon</v>
      </c>
      <c r="C84" t="str">
        <f t="shared" si="20"/>
        <v>CH~DISPLAY_DT~MULTI_PB~VRZ_FM~BANNER_RT~CPM_PD~CROSSBORDER_BANNER_GOURMET_VERIZON_300X250_300X250_TG~BHVDEM_TS~NONE_SZ~300X250_DISPLAY_MK~BR_IT~DISPLAY_VV~NONE</v>
      </c>
      <c r="D84" t="str">
        <f t="shared" si="21"/>
        <v>250892975</v>
      </c>
      <c r="E84" t="str">
        <f t="shared" si="22"/>
        <v>Standard</v>
      </c>
      <c r="F84" t="str">
        <f t="shared" si="23"/>
        <v>CH~DISPLAY_DT~MULTI_PB~VRZ_FM~BANNER_RT~CPM_PD~CROSSBORDER_BANNER_GOURMET_VERIZON_300X250_300X250_TG~BHVDEM_TS~NONE_SZ~300X250_DISPLAY_MK~BR_IT~DISPLAY_VV~NONE</v>
      </c>
      <c r="G84" t="str">
        <f t="shared" si="24"/>
        <v>447393484</v>
      </c>
      <c r="H84" t="str">
        <f t="shared" si="25"/>
        <v>Display</v>
      </c>
      <c r="I84">
        <f t="shared" si="26"/>
        <v>1</v>
      </c>
      <c r="J84">
        <f t="shared" si="27"/>
        <v>1</v>
      </c>
      <c r="K84" s="4">
        <f t="shared" si="16"/>
        <v>3.8199999999999998E-2</v>
      </c>
      <c r="L84">
        <f t="shared" si="17"/>
        <v>0.09</v>
      </c>
      <c r="M84" s="4">
        <f t="shared" si="14"/>
        <v>3.82E-5</v>
      </c>
      <c r="N84" s="4">
        <f t="shared" si="15"/>
        <v>8.9999999999999992E-5</v>
      </c>
    </row>
    <row r="85" spans="1:14">
      <c r="A85" t="str">
        <f t="shared" si="18"/>
        <v>MK~BR_CN~Causas_MN~CCV_YQ~19Q1Q4_CP~NONE_OB~LDS_PK~NONE</v>
      </c>
      <c r="B85" t="str">
        <f t="shared" si="19"/>
        <v>Verizon</v>
      </c>
      <c r="C85" t="str">
        <f t="shared" si="20"/>
        <v>CH~DISPLAY_DT~MULTI_PB~VRZ_FM~BANNER_RT~CPM_PD~CROSSBORDER_BANNER_GOURMET__VERIZON_300X50_300X50_TG~BHVDEM_TS~NONE_SZ~300X50_DISPLAY_MK~BR_IT~DISPLAY_VV~NONE</v>
      </c>
      <c r="D85" t="str">
        <f t="shared" si="21"/>
        <v>250892990</v>
      </c>
      <c r="E85" t="str">
        <f t="shared" si="22"/>
        <v>Standard</v>
      </c>
      <c r="F85" t="str">
        <f t="shared" si="23"/>
        <v>CH~DISPLAY_DT~MULTI_PB~VRZ_FM~BANNER_RT~CPM_PD~CROSSBORDER_BANNER_GOURMET__VERIZON_300X50_300X50_TG~BHVDEM_TS~NONE_SZ~300X50_DISPLAY_MK~BR_IT~DISPLAY_VV~NONE</v>
      </c>
      <c r="G85" t="str">
        <f t="shared" si="24"/>
        <v>447393487</v>
      </c>
      <c r="H85" t="str">
        <f t="shared" si="25"/>
        <v>Display</v>
      </c>
      <c r="I85">
        <f t="shared" si="26"/>
        <v>1</v>
      </c>
      <c r="J85">
        <f t="shared" si="27"/>
        <v>1</v>
      </c>
      <c r="K85" s="4">
        <f t="shared" si="16"/>
        <v>3.8199999999999998E-2</v>
      </c>
      <c r="L85">
        <f t="shared" si="17"/>
        <v>0.09</v>
      </c>
      <c r="M85" s="4">
        <f t="shared" si="14"/>
        <v>3.82E-5</v>
      </c>
      <c r="N85" s="4">
        <f t="shared" si="15"/>
        <v>8.9999999999999992E-5</v>
      </c>
    </row>
    <row r="86" spans="1:14">
      <c r="A86" t="str">
        <f t="shared" si="18"/>
        <v>MK~BR_CN~FWWC_MN~CCV_YQ~19Q1Q4_CP~NONE_OB~LDS_PK~NONE</v>
      </c>
      <c r="B86" t="str">
        <f t="shared" si="19"/>
        <v>Facebook</v>
      </c>
      <c r="C86" t="str">
        <f t="shared" si="20"/>
        <v>CH~SOCIAL_DT~MULTI_PB~FCBK_FM~CARROSSEL_RT~CPM_PD~FWWC_CARROSSEL_AWARENESS_CURIOSIDADES_1X1_TG~BHVDEM_TS~NONE_SZ~1X1_SOCIAL_MK~BR_IT~SOCIAL_VV~NONE</v>
      </c>
      <c r="D86" t="str">
        <f t="shared" si="21"/>
        <v>241795829</v>
      </c>
      <c r="E86" t="str">
        <f t="shared" si="22"/>
        <v>Dynamic Click</v>
      </c>
      <c r="F86" t="str">
        <f t="shared" si="23"/>
        <v>CH~SOCIAL_DT~MULTI_PB~FCBK_FM~CARROSSEL_RT~CPM_PD~FWWC_CARROSSEL_AWARENESS_CURIOSIDADES_1X1_TG~BHVDEM_TS~NONE_SZ~1X1_SOCIAL_MK~BR_IT~SOCIAL_VV~NONE</v>
      </c>
      <c r="G86" t="str">
        <f t="shared" si="24"/>
        <v>438749003</v>
      </c>
      <c r="H86" t="str">
        <f t="shared" si="25"/>
        <v>Tracking</v>
      </c>
      <c r="I86">
        <f t="shared" si="26"/>
        <v>0</v>
      </c>
      <c r="J86">
        <f t="shared" si="27"/>
        <v>11</v>
      </c>
      <c r="K86" s="4">
        <f t="shared" si="16"/>
        <v>3.5000000000000001E-3</v>
      </c>
      <c r="L86">
        <f t="shared" si="17"/>
        <v>0.02</v>
      </c>
      <c r="M86" s="4">
        <f t="shared" si="14"/>
        <v>3.85E-2</v>
      </c>
      <c r="N86" s="4">
        <f t="shared" si="15"/>
        <v>0.22</v>
      </c>
    </row>
    <row r="87" spans="1:14">
      <c r="A87" t="str">
        <f t="shared" si="18"/>
        <v>MK~BR_CN~FWWC_MN~CCV_YQ~19Q1Q4_CP~NONE_OB~LDS_PK~NONE</v>
      </c>
      <c r="B87" t="str">
        <f t="shared" si="19"/>
        <v>Facebook</v>
      </c>
      <c r="C87" t="str">
        <f t="shared" si="20"/>
        <v>CH~SOCIAL_DT~MULTI_PB~FCBK_FM~CARROSSEL_RT~CPM_PD~FWWC_CARROSSEL_PERFORMANCE_PASSOAPASSO_1X1_TG~BHVDEM_TS~NONE_SZ~1X1_SOCIAL_MK~BR_IT~SOCIAL_VV~NONE</v>
      </c>
      <c r="D87" t="str">
        <f t="shared" si="21"/>
        <v>241898512</v>
      </c>
      <c r="E87" t="str">
        <f t="shared" si="22"/>
        <v>Dynamic Click</v>
      </c>
      <c r="F87" t="str">
        <f t="shared" si="23"/>
        <v>CH~SOCIAL_DT~MULTI_PB~FCBK_FM~CARROSSEL_RT~CPM_PD~FWWC_CARROSSEL_PERFORMANCE_PASSOAPASSO_1X1_TG~BHVDEM_TS~NONE_SZ~1X1_SOCIAL_MK~BR_IT~SOCIAL_VV~NONE</v>
      </c>
      <c r="G87" t="str">
        <f t="shared" si="24"/>
        <v>438745621</v>
      </c>
      <c r="H87" t="str">
        <f t="shared" si="25"/>
        <v>Tracking</v>
      </c>
      <c r="I87">
        <f t="shared" si="26"/>
        <v>0</v>
      </c>
      <c r="J87">
        <f t="shared" si="27"/>
        <v>6</v>
      </c>
      <c r="K87" s="4">
        <f t="shared" si="16"/>
        <v>3.5000000000000001E-3</v>
      </c>
      <c r="L87">
        <f t="shared" si="17"/>
        <v>0.02</v>
      </c>
      <c r="M87" s="4">
        <f t="shared" si="14"/>
        <v>2.1000000000000001E-2</v>
      </c>
      <c r="N87" s="4">
        <f t="shared" si="15"/>
        <v>0.12</v>
      </c>
    </row>
    <row r="88" spans="1:14">
      <c r="A88" t="str">
        <f t="shared" si="18"/>
        <v>MK~BR_CN~FWWC_MN~CCV_YQ~19Q1Q4_CP~NONE_OB~LDS_PK~NONE</v>
      </c>
      <c r="B88" t="str">
        <f t="shared" si="19"/>
        <v>Facebook</v>
      </c>
      <c r="C88" t="str">
        <f t="shared" si="20"/>
        <v>CH~SOCIAL_DT~MULTI_PB~FCBK_FM~VERTICAL_POST_RT~CPM_PD~FWWC_VIDEO_PERFORMANCE_PROMOCAO_VERTICAL_1X1_TG~BHVDEM_TS~NONE_SZ~1X1_SOCIAL_MK~BR_IT~SOCIAL_VV~NONE</v>
      </c>
      <c r="D88" t="str">
        <f t="shared" si="21"/>
        <v>242690427</v>
      </c>
      <c r="E88" t="str">
        <f t="shared" si="22"/>
        <v>Dynamic Click</v>
      </c>
      <c r="F88" t="str">
        <f t="shared" si="23"/>
        <v>CH~SOCIAL_DT~MULTI_PB~FCBK_FM~VERTICAL_POST_RT~CPM_PD~FWWC_VIDEO_PERFORMANCE_PROMOCAO_VERTICAL_1X1_TG~BHVDEM_TS~NONE_SZ~1X1_SOCIAL_MK~BR_IT~SOCIAL_VV~NONE</v>
      </c>
      <c r="G88" t="str">
        <f t="shared" si="24"/>
        <v>439192253</v>
      </c>
      <c r="H88" t="str">
        <f t="shared" si="25"/>
        <v>Tracking</v>
      </c>
      <c r="I88">
        <f t="shared" si="26"/>
        <v>0</v>
      </c>
      <c r="J88">
        <f t="shared" si="27"/>
        <v>1</v>
      </c>
      <c r="K88" s="4">
        <f t="shared" si="16"/>
        <v>3.5000000000000001E-3</v>
      </c>
      <c r="L88">
        <f t="shared" si="17"/>
        <v>0.02</v>
      </c>
      <c r="M88" s="4">
        <f t="shared" si="14"/>
        <v>3.5000000000000001E-3</v>
      </c>
      <c r="N88" s="4">
        <f t="shared" si="15"/>
        <v>0.02</v>
      </c>
    </row>
    <row r="89" spans="1:14">
      <c r="A89" t="str">
        <f t="shared" si="18"/>
        <v>MK~BR_CN~Vai_de_Visa_MN~NONE_YQ~19Q1Q4_CP~NONE_OB~LDS_PK~NONE</v>
      </c>
      <c r="B89" t="str">
        <f t="shared" si="19"/>
        <v>Ads Movil</v>
      </c>
      <c r="C89" t="str">
        <f t="shared" si="20"/>
        <v>CH~DISPLAY_DT~MULTI_PB~ADSM_FM~BANNER_RT~CPM_PD~VDV_NATURA_ADSMOVIL_BANNER_300X250_1X1_TG~BHVDEM_TS~NONE_SZ~1X1_DISPLAY_MK~BR_IT~DISPLAY_VV~NONE</v>
      </c>
      <c r="D89" t="str">
        <f t="shared" si="21"/>
        <v>242687533</v>
      </c>
      <c r="E89" t="str">
        <f t="shared" si="22"/>
        <v>Dynamic Click</v>
      </c>
      <c r="F89" t="str">
        <f t="shared" si="23"/>
        <v>CH~DISPLAY_DT~MULTI_PB~ADSM_FM~BANNER_RT~CPM_PD~VDV_NATURA_ADSMOVIL_BANNER_300X250_1X1_TG~BHVDEM_TS~NONE_SZ~1X1_DISPLAY_MK~BR_IT~DISPLAY_VV~NONE</v>
      </c>
      <c r="G89" t="str">
        <f t="shared" si="24"/>
        <v>439386278</v>
      </c>
      <c r="H89" t="str">
        <f t="shared" si="25"/>
        <v>Tracking</v>
      </c>
      <c r="I89">
        <f t="shared" si="26"/>
        <v>0</v>
      </c>
      <c r="J89">
        <f t="shared" si="27"/>
        <v>2</v>
      </c>
      <c r="K89" s="4">
        <f t="shared" si="16"/>
        <v>3.5000000000000001E-3</v>
      </c>
      <c r="L89">
        <f t="shared" si="17"/>
        <v>0.02</v>
      </c>
      <c r="M89" s="4">
        <f t="shared" si="14"/>
        <v>7.0000000000000001E-3</v>
      </c>
      <c r="N89" s="4">
        <f t="shared" si="15"/>
        <v>0.04</v>
      </c>
    </row>
    <row r="90" spans="1:14">
      <c r="A90" t="str">
        <f t="shared" si="18"/>
        <v>MK~BR_CN~Vai_de_Visa_MN~NONE_YQ~19Q1Q4_CP~NONE_OB~LDS_PK~NONE</v>
      </c>
      <c r="B90" t="str">
        <f t="shared" si="19"/>
        <v>Ads Movil</v>
      </c>
      <c r="C90" t="str">
        <f t="shared" si="20"/>
        <v>CH~DISPLAY_DT~MULTI_PB~ADSM_FM~PUSH_RT~CPM_PD~VDV_MOVIDA_ADSMOVIL_PUSH_FUNDO_BRANCO_1X1_TG~BHVDEM_TS~NONE_SZ~1X1_DISPLAY_MK~BR_IT~DISPLAY_VV~NONE</v>
      </c>
      <c r="D90" t="str">
        <f t="shared" si="21"/>
        <v>240746255</v>
      </c>
      <c r="E90" t="str">
        <f t="shared" si="22"/>
        <v>Dynamic Click</v>
      </c>
      <c r="F90" t="str">
        <f t="shared" si="23"/>
        <v>CH~DISPLAY_DT~MULTI_PB~ADSM_FM~PUSH_RT~CPM_PD~VDV_MOVIDA_ADSMOVIL_PUSH_FUNDO_BRANCO_1X1_TG~BHVDEM_TS~NONE_SZ~1X1_DISPLAY_MK~BR_IT~DISPLAY_VV~NONE</v>
      </c>
      <c r="G90" t="str">
        <f t="shared" si="24"/>
        <v>437780822</v>
      </c>
      <c r="H90" t="str">
        <f t="shared" si="25"/>
        <v>Tracking</v>
      </c>
      <c r="I90">
        <f t="shared" si="26"/>
        <v>0</v>
      </c>
      <c r="J90">
        <f t="shared" si="27"/>
        <v>1</v>
      </c>
      <c r="K90" s="4">
        <f t="shared" si="16"/>
        <v>3.5000000000000001E-3</v>
      </c>
      <c r="L90">
        <f t="shared" si="17"/>
        <v>0.02</v>
      </c>
      <c r="M90" s="4">
        <f t="shared" si="14"/>
        <v>3.5000000000000001E-3</v>
      </c>
      <c r="N90" s="4">
        <f t="shared" si="15"/>
        <v>0.02</v>
      </c>
    </row>
    <row r="91" spans="1:14">
      <c r="A91" t="str">
        <f t="shared" si="18"/>
        <v>MK~BR_CN~Vai_de_Visa_MN~NONE_YQ~19Q1Q4_CP~NONE_OB~LDS_PK~NONE</v>
      </c>
      <c r="B91" t="str">
        <f t="shared" si="19"/>
        <v>Facebook</v>
      </c>
      <c r="C91" t="str">
        <f t="shared" si="20"/>
        <v>CH~SOCIAL_DT~MULTI_PB~FCBK_FM~CARROSSEL_RT~CPM_PD~CV~VDV_PERFORMANCE_MOVIDA_20OFF_AZUL_CS~CARROSSEL_CT~FB_1X1_TG~BHVDEM_TS~NONE_SZ~1X1_DISPLAY_MK~BR_IT~DISPLAY_VV~NONE</v>
      </c>
      <c r="D91" t="str">
        <f t="shared" si="21"/>
        <v>252263902</v>
      </c>
      <c r="E91" t="str">
        <f t="shared" si="22"/>
        <v>Dynamic Click</v>
      </c>
      <c r="F91" t="str">
        <f t="shared" si="23"/>
        <v>CH~SOCIAL_DT~MULTI_PB~FCBK_FM~CARROSSEL_RT~CPM_PD~CV~VDV_PERFORMANCE_MOVIDA_20OFF_AZUL_CS~CARROSSEL_CT~FB_1X1_TG~BHVDEM_TS~NONE_SZ~1X1_DISPLAY_MK~BR_IT~DISPLAY_VV~NONE</v>
      </c>
      <c r="G91" t="str">
        <f t="shared" si="24"/>
        <v>448388158</v>
      </c>
      <c r="H91" t="str">
        <f t="shared" si="25"/>
        <v>Tracking</v>
      </c>
      <c r="I91">
        <f t="shared" si="26"/>
        <v>0</v>
      </c>
      <c r="J91">
        <f t="shared" si="27"/>
        <v>2</v>
      </c>
      <c r="K91" s="4">
        <f t="shared" si="16"/>
        <v>3.5000000000000001E-3</v>
      </c>
      <c r="L91">
        <f t="shared" si="17"/>
        <v>0.02</v>
      </c>
      <c r="M91" s="4">
        <f t="shared" si="14"/>
        <v>7.0000000000000001E-3</v>
      </c>
      <c r="N91" s="4">
        <f t="shared" si="15"/>
        <v>0.04</v>
      </c>
    </row>
    <row r="92" spans="1:14">
      <c r="A92" t="str">
        <f t="shared" si="18"/>
        <v>MK~BR_CN~Vai_de_Visa_MN~NONE_YQ~19Q1Q4_CP~NONE_OB~LDS_PK~NONE</v>
      </c>
      <c r="B92" t="str">
        <f t="shared" si="19"/>
        <v>Facebook</v>
      </c>
      <c r="C92" t="str">
        <f t="shared" si="20"/>
        <v>CH~SOCIAL_DT~MULTI_PB~FCBK_FM~CARROSSEL_RT~CPM_PD~CV~VDV_PERFORMANCE_RAPPI_LARANJA_CS~CARROSSEL_CT~FB_1X1_TG~BHVDEM_TS~NONE_SZ~1X1_DISPLAY_MK~BR_IT~DISPLAY_VV~NONE</v>
      </c>
      <c r="D92" t="str">
        <f t="shared" si="21"/>
        <v>252207529</v>
      </c>
      <c r="E92" t="str">
        <f t="shared" si="22"/>
        <v>Dynamic Click</v>
      </c>
      <c r="F92" t="str">
        <f t="shared" si="23"/>
        <v>CH~SOCIAL_DT~MULTI_PB~FCBK_FM~CARROSSEL_RT~CPM_PD~CV~VDV_PERFORMANCE_RAPPI_LARANJA_CS~CARROSSEL_CT~FB_1X1_TG~BHVDEM_TS~NONE_SZ~1X1_DISPLAY_MK~BR_IT~DISPLAY_VV~NONE</v>
      </c>
      <c r="G92" t="str">
        <f t="shared" si="24"/>
        <v>448257743</v>
      </c>
      <c r="H92" t="str">
        <f t="shared" si="25"/>
        <v>Tracking</v>
      </c>
      <c r="I92">
        <f t="shared" si="26"/>
        <v>0</v>
      </c>
      <c r="J92">
        <f t="shared" si="27"/>
        <v>3</v>
      </c>
      <c r="K92" s="4">
        <f t="shared" si="16"/>
        <v>3.5000000000000001E-3</v>
      </c>
      <c r="L92">
        <f t="shared" si="17"/>
        <v>0.02</v>
      </c>
      <c r="M92" s="4">
        <f t="shared" si="14"/>
        <v>1.0500000000000001E-2</v>
      </c>
      <c r="N92" s="4">
        <f t="shared" si="15"/>
        <v>0.06</v>
      </c>
    </row>
    <row r="93" spans="1:14">
      <c r="A93" t="str">
        <f t="shared" si="18"/>
        <v>MK~BR_CN~Vai_de_Visa_MN~NONE_YQ~19Q1Q4_CP~NONE_OB~LDS_PK~NONE</v>
      </c>
      <c r="B93" t="str">
        <f t="shared" si="19"/>
        <v>Facebook</v>
      </c>
      <c r="C93" t="str">
        <f t="shared" si="20"/>
        <v>CH~SOCIAL_DT~MULTI_PB~FCBK_FM~CARROSSEL_RT~CPM_PD~CV~VDV_PERFORMANCE_RAPPI_VERDE_CS~CARROSSEL_CT~FB_1X1_TG~BHVDEM_TS~NONE_SZ~1X1_DISPLAY_MK~BR_IT~DISPLAY_VV~NONE</v>
      </c>
      <c r="D93" t="str">
        <f t="shared" si="21"/>
        <v>251421407</v>
      </c>
      <c r="E93" t="str">
        <f t="shared" si="22"/>
        <v>Dynamic Click</v>
      </c>
      <c r="F93" t="str">
        <f t="shared" si="23"/>
        <v>CH~SOCIAL_DT~MULTI_PB~FCBK_FM~CARROSSEL_RT~CPM_PD~CV~VDV_PERFORMANCE_RAPPI_VERDE_CS~CARROSSEL_CT~FB_1X1_TG~BHVDEM_TS~NONE_SZ~1X1_DISPLAY_MK~BR_IT~DISPLAY_VV~NONE</v>
      </c>
      <c r="G93" t="str">
        <f t="shared" si="24"/>
        <v>447817544</v>
      </c>
      <c r="H93" t="str">
        <f t="shared" si="25"/>
        <v>Tracking</v>
      </c>
      <c r="I93">
        <f t="shared" si="26"/>
        <v>0</v>
      </c>
      <c r="J93">
        <f t="shared" si="27"/>
        <v>409</v>
      </c>
      <c r="K93" s="4">
        <f t="shared" si="16"/>
        <v>3.5000000000000001E-3</v>
      </c>
      <c r="L93">
        <f t="shared" si="17"/>
        <v>0.02</v>
      </c>
      <c r="M93" s="4">
        <f t="shared" si="14"/>
        <v>1.4315</v>
      </c>
      <c r="N93" s="4">
        <f t="shared" si="15"/>
        <v>8.18</v>
      </c>
    </row>
    <row r="94" spans="1:14">
      <c r="A94" t="str">
        <f t="shared" si="18"/>
        <v>MK~BR_CN~Vai_de_Visa_MN~NONE_YQ~19Q1Q4_CP~NONE_OB~LDS_PK~NONE</v>
      </c>
      <c r="B94" t="str">
        <f t="shared" si="19"/>
        <v>Facebook</v>
      </c>
      <c r="C94" t="str">
        <f t="shared" si="20"/>
        <v>CH~SOCIAL_DT~MULTI_PB~FCBK_FM~CARROSSEL_RT~CPM_PD~VCO_AWARENESS_GOL_FACEBOOK_CARROSSEL_NOTICIAS_1X1_TG~BHVDEM_TS~NONE_SZ~1X1_DISPLAY_MK~BR_IT~DISPLAY_VV~NONE</v>
      </c>
      <c r="D94" t="str">
        <f t="shared" si="21"/>
        <v>248336444</v>
      </c>
      <c r="E94" t="str">
        <f t="shared" si="22"/>
        <v>Dynamic Click</v>
      </c>
      <c r="F94" t="str">
        <f t="shared" si="23"/>
        <v>CH~SOCIAL_DT~MULTI_PB~FCBK_FM~CARROSSEL_RT~CPM_PD~VCO_AWARENESS_GOL_FACEBOOK_CARROSSEL_NOTICIAS_1X1_TG~BHVDEM_TS~NONE_SZ~1X1_DISPLAY_MK~BR_IT~DISPLAY_VV~NONE</v>
      </c>
      <c r="G94" t="str">
        <f t="shared" si="24"/>
        <v>444858055</v>
      </c>
      <c r="H94" t="str">
        <f t="shared" si="25"/>
        <v>Tracking</v>
      </c>
      <c r="I94">
        <f t="shared" si="26"/>
        <v>0</v>
      </c>
      <c r="J94">
        <f t="shared" si="27"/>
        <v>21</v>
      </c>
      <c r="K94" s="4">
        <f t="shared" si="16"/>
        <v>3.5000000000000001E-3</v>
      </c>
      <c r="L94">
        <f t="shared" si="17"/>
        <v>0.02</v>
      </c>
      <c r="M94" s="4">
        <f t="shared" si="14"/>
        <v>7.3499999999999996E-2</v>
      </c>
      <c r="N94" s="4">
        <f t="shared" si="15"/>
        <v>0.42</v>
      </c>
    </row>
    <row r="95" spans="1:14">
      <c r="A95" t="str">
        <f t="shared" si="18"/>
        <v>MK~BR_CN~Vai_de_Visa_MN~NONE_YQ~19Q1Q4_CP~NONE_OB~LDS_PK~NONE</v>
      </c>
      <c r="B95" t="str">
        <f t="shared" si="19"/>
        <v>Facebook</v>
      </c>
      <c r="C95" t="str">
        <f t="shared" si="20"/>
        <v>CH~SOCIAL_DT~MULTI_PB~FCBK_FM~CARROSSEL_RT~CPM_PD~VCO_AWARENESS_GOL_FACEBOOK_OFERTA_EDUCACIONAL_CARROSSEL_REDESSOCIAIS_1X1_TG~BHVDEM_TS~NONE_SZ~1X1_DISPLAY_MK~BR_IT~DISPLAY_VV~NONE</v>
      </c>
      <c r="D95" t="str">
        <f t="shared" si="21"/>
        <v>248648926</v>
      </c>
      <c r="E95" t="str">
        <f t="shared" si="22"/>
        <v>Dynamic Click</v>
      </c>
      <c r="F95" t="str">
        <f t="shared" si="23"/>
        <v>CH~SOCIAL_DT~MULTI_PB~FCBK_FM~CARROSSEL_RT~CPM_PD~VCO_AWARENESS_GOL_FACEBOOK_OFERTA_EDUCACIONAL_CARROSSEL_REDESSOCIAIS_1X1_TG~BHVDEM_TS~NONE_SZ~1X1_DISPLAY_MK~BR_IT~DISPLAY_VV~NONE</v>
      </c>
      <c r="G95" t="str">
        <f t="shared" si="24"/>
        <v>444972367</v>
      </c>
      <c r="H95" t="str">
        <f t="shared" si="25"/>
        <v>Tracking</v>
      </c>
      <c r="I95">
        <f t="shared" si="26"/>
        <v>0</v>
      </c>
      <c r="J95">
        <f t="shared" si="27"/>
        <v>1</v>
      </c>
      <c r="K95" s="4">
        <f t="shared" si="16"/>
        <v>3.5000000000000001E-3</v>
      </c>
      <c r="L95">
        <f t="shared" si="17"/>
        <v>0.02</v>
      </c>
      <c r="M95" s="4">
        <f t="shared" si="14"/>
        <v>3.5000000000000001E-3</v>
      </c>
      <c r="N95" s="4">
        <f t="shared" si="15"/>
        <v>0.02</v>
      </c>
    </row>
    <row r="96" spans="1:14">
      <c r="A96" t="str">
        <f t="shared" si="18"/>
        <v>MK~BR_CN~Vai_de_Visa_MN~NONE_YQ~19Q1Q4_CP~NONE_OB~LDS_PK~NONE</v>
      </c>
      <c r="B96" t="str">
        <f t="shared" si="19"/>
        <v>Facebook</v>
      </c>
      <c r="C96" t="str">
        <f t="shared" si="20"/>
        <v>CH~SOCIAL_DT~MULTI_PB~FCBK_FM~CARROSSEL_RT~CPM_PD~VDV_AMAZON_AWARENESS_DIADASMAES_CARROSSEL_AZUL_FB_1X1_TG~BHVDEM_TS~NONE_SZ~1X1_SOCIAL_MK~BR_IT~SOCIAL_VV~NONE</v>
      </c>
      <c r="D96" t="str">
        <f t="shared" si="21"/>
        <v>244921175</v>
      </c>
      <c r="E96" t="str">
        <f t="shared" si="22"/>
        <v>Dynamic Click</v>
      </c>
      <c r="F96" t="str">
        <f t="shared" si="23"/>
        <v>CH~SOCIAL_DT~MULTI_PB~FCBK_FM~CARROSSEL_RT~CPM_PD~VDV_AMAZON_AWARENESS_DIADASMAES_CARROSSEL_AZUL_FB_1X1_TG~BHVDEM_TS~NONE_SZ~1X1_SOCIAL_MK~BR_IT~SOCIAL_VV~NONE</v>
      </c>
      <c r="G96" t="str">
        <f t="shared" si="24"/>
        <v>441783560</v>
      </c>
      <c r="H96" t="str">
        <f t="shared" si="25"/>
        <v>Tracking</v>
      </c>
      <c r="I96">
        <f t="shared" si="26"/>
        <v>0</v>
      </c>
      <c r="J96">
        <f t="shared" si="27"/>
        <v>1</v>
      </c>
      <c r="K96" s="4">
        <f t="shared" si="16"/>
        <v>3.5000000000000001E-3</v>
      </c>
      <c r="L96">
        <f t="shared" si="17"/>
        <v>0.02</v>
      </c>
      <c r="M96" s="4">
        <f t="shared" si="14"/>
        <v>3.5000000000000001E-3</v>
      </c>
      <c r="N96" s="4">
        <f t="shared" si="15"/>
        <v>0.02</v>
      </c>
    </row>
    <row r="97" spans="1:14">
      <c r="A97" t="str">
        <f t="shared" si="18"/>
        <v>MK~BR_CN~Vai_de_Visa_MN~NONE_YQ~19Q1Q4_CP~NONE_OB~LDS_PK~NONE</v>
      </c>
      <c r="B97" t="str">
        <f t="shared" si="19"/>
        <v>Facebook</v>
      </c>
      <c r="C97" t="str">
        <f t="shared" si="20"/>
        <v>CH~SOCIAL_DT~MULTI_PB~FCBK_FM~CARROSSEL_RT~CPM_PD~VDV_CABIFY_PERFORMANCE_FACEBOOK_CARROSSEL_1X1_TG~BHVDEM_TS~NONE_SZ~1X1_DISPLAY_MK~BR_IT~DISPLAY_VV~NONE</v>
      </c>
      <c r="D97" t="str">
        <f t="shared" si="21"/>
        <v>249403670</v>
      </c>
      <c r="E97" t="str">
        <f t="shared" si="22"/>
        <v>Dynamic Click</v>
      </c>
      <c r="F97" t="str">
        <f t="shared" si="23"/>
        <v>CH~SOCIAL_DT~MULTI_PB~FCBK_FM~CARROSSEL_RT~CPM_PD~VDV_CABIFY_PERFORMANCE_FACEBOOK_CARROSSEL_1X1_TG~BHVDEM_TS~NONE_SZ~1X1_DISPLAY_MK~BR_IT~DISPLAY_VV~NONE</v>
      </c>
      <c r="G97" t="str">
        <f t="shared" si="24"/>
        <v>445760790</v>
      </c>
      <c r="H97" t="str">
        <f t="shared" si="25"/>
        <v>Tracking</v>
      </c>
      <c r="I97">
        <f t="shared" si="26"/>
        <v>0</v>
      </c>
      <c r="J97">
        <f t="shared" si="27"/>
        <v>1</v>
      </c>
      <c r="K97" s="4">
        <f t="shared" si="16"/>
        <v>3.5000000000000001E-3</v>
      </c>
      <c r="L97">
        <f t="shared" si="17"/>
        <v>0.02</v>
      </c>
      <c r="M97" s="4">
        <f t="shared" si="14"/>
        <v>3.5000000000000001E-3</v>
      </c>
      <c r="N97" s="4">
        <f t="shared" si="15"/>
        <v>0.02</v>
      </c>
    </row>
    <row r="98" spans="1:14">
      <c r="A98" t="str">
        <f t="shared" si="18"/>
        <v>MK~BR_CN~Vai_de_Visa_MN~NONE_YQ~19Q1Q4_CP~NONE_OB~LDS_PK~NONE</v>
      </c>
      <c r="B98" t="str">
        <f t="shared" si="19"/>
        <v>Facebook</v>
      </c>
      <c r="C98" t="str">
        <f t="shared" si="20"/>
        <v>CH~SOCIAL_DT~MULTI_PB~FCBK_FM~CARROSSEL_RT~CPM_PD~VDV_EDUCACIONAL_AWARENESS_CARROSSEL_FACEBOOK_DESCONTO_1X1_TG~BHVDEM_TS~NONE_SZ~1X1_DISPLAY_MK~BR_IT~DISPLAY_VV~NONE</v>
      </c>
      <c r="D98" t="str">
        <f t="shared" si="21"/>
        <v>251509818</v>
      </c>
      <c r="E98" t="str">
        <f t="shared" si="22"/>
        <v>Dynamic Click</v>
      </c>
      <c r="F98" t="str">
        <f t="shared" si="23"/>
        <v>CH~SOCIAL_DT~MULTI_PB~FCBK_FM~CARROSSEL_RT~CPM_PD~VDV_EDUCACIONAL_AWARENESS_CARROSSEL_FACEBOOK_DESCONTO_1X1_TG~BHVDEM_TS~NONE_SZ~1X1_DISPLAY_MK~BR_IT~DISPLAY_VV~NONE</v>
      </c>
      <c r="G98" t="str">
        <f t="shared" si="24"/>
        <v>447530855</v>
      </c>
      <c r="H98" t="str">
        <f t="shared" si="25"/>
        <v>Tracking</v>
      </c>
      <c r="I98">
        <f t="shared" si="26"/>
        <v>0</v>
      </c>
      <c r="J98">
        <f t="shared" si="27"/>
        <v>2</v>
      </c>
      <c r="K98" s="4">
        <f t="shared" si="16"/>
        <v>3.5000000000000001E-3</v>
      </c>
      <c r="L98">
        <f t="shared" si="17"/>
        <v>0.02</v>
      </c>
      <c r="M98" s="4">
        <f t="shared" si="14"/>
        <v>7.0000000000000001E-3</v>
      </c>
      <c r="N98" s="4">
        <f t="shared" si="15"/>
        <v>0.04</v>
      </c>
    </row>
    <row r="99" spans="1:14">
      <c r="A99" t="str">
        <f t="shared" si="18"/>
        <v>MK~BR_CN~Vai_de_Visa_MN~NONE_YQ~19Q1Q4_CP~NONE_OB~LDS_PK~NONE</v>
      </c>
      <c r="B99" t="str">
        <f t="shared" si="19"/>
        <v>Facebook</v>
      </c>
      <c r="C99" t="str">
        <f t="shared" si="20"/>
        <v>CH~SOCIAL_DT~MULTI_PB~FCBK_FM~CARROSSEL_RT~CPM_PD~VDV_EDUCACIONAL_AWARENESS_CARROSSEL_FACEBOOK_VIAGEM_OFERTA_1X1_TG~BHVDEM_TS~NONE_SZ~1X1_DISPLAY_MK~BR_IT~DISPLAY_VV~NONE</v>
      </c>
      <c r="D99" t="str">
        <f t="shared" si="21"/>
        <v>251413654</v>
      </c>
      <c r="E99" t="str">
        <f t="shared" si="22"/>
        <v>Dynamic Click</v>
      </c>
      <c r="F99" t="str">
        <f t="shared" si="23"/>
        <v>CH~SOCIAL_DT~MULTI_PB~FCBK_FM~CARROSSEL_RT~CPM_PD~VDV_EDUCACIONAL_AWARENESS_CARROSSEL_FACEBOOK_VIAGEM_OFERTA_1X1_TG~BHVDEM_TS~NONE_SZ~1X1_DISPLAY_MK~BR_IT~DISPLAY_VV~NONE</v>
      </c>
      <c r="G99" t="str">
        <f t="shared" si="24"/>
        <v>447613612</v>
      </c>
      <c r="H99" t="str">
        <f t="shared" si="25"/>
        <v>Tracking</v>
      </c>
      <c r="I99">
        <f t="shared" si="26"/>
        <v>0</v>
      </c>
      <c r="J99">
        <f t="shared" si="27"/>
        <v>17922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62.727000000000004</v>
      </c>
      <c r="N99" s="4">
        <f t="shared" ref="N99:N162" si="29">IF(E99="Dynamic Click",J99*L99,L99*$I99/1000)</f>
        <v>358.44</v>
      </c>
    </row>
    <row r="100" spans="1:14">
      <c r="A100" t="str">
        <f t="shared" si="18"/>
        <v>MK~BR_CN~Vai_de_Visa_MN~NONE_YQ~19Q1Q4_CP~NONE_OB~LDS_PK~NONE</v>
      </c>
      <c r="B100" t="str">
        <f t="shared" si="19"/>
        <v>Facebook</v>
      </c>
      <c r="C100" t="str">
        <f t="shared" si="20"/>
        <v>CH~SOCIAL_DT~MULTI_PB~FCBK_FM~CARROSSEL_RT~CPM_PD~VDV_NETSHOES_FWWC_AWARENESS_CARROSSEL_FB_1X1_TG~BHVDEM_TS~NONE_SZ~1X1_SOCIAL_MK~BR_IT~SOCIAL_VV~NONE</v>
      </c>
      <c r="D100" t="str">
        <f t="shared" si="21"/>
        <v>244606124</v>
      </c>
      <c r="E100" t="str">
        <f t="shared" si="22"/>
        <v>Dynamic Click</v>
      </c>
      <c r="F100" t="str">
        <f t="shared" si="23"/>
        <v>CH~SOCIAL_DT~MULTI_PB~FCBK_FM~CARROSSEL_RT~CPM_PD~VDV_NETSHOES_FWWC_AWARENESS_CARROSSEL_FB_1X1_TG~BHVDEM_TS~NONE_SZ~1X1_SOCIAL_MK~BR_IT~SOCIAL_VV~NONE</v>
      </c>
      <c r="G100" t="str">
        <f t="shared" si="24"/>
        <v>441446913</v>
      </c>
      <c r="H100" t="str">
        <f t="shared" si="25"/>
        <v>Tracking</v>
      </c>
      <c r="I100">
        <f t="shared" si="26"/>
        <v>0</v>
      </c>
      <c r="J100">
        <f t="shared" si="27"/>
        <v>8</v>
      </c>
      <c r="K100" s="4">
        <f t="shared" si="16"/>
        <v>3.5000000000000001E-3</v>
      </c>
      <c r="L100">
        <f t="shared" si="17"/>
        <v>0.02</v>
      </c>
      <c r="M100" s="4">
        <f t="shared" si="28"/>
        <v>2.8000000000000001E-2</v>
      </c>
      <c r="N100" s="4">
        <f t="shared" si="29"/>
        <v>0.16</v>
      </c>
    </row>
    <row r="101" spans="1:14">
      <c r="A101" t="str">
        <f t="shared" si="18"/>
        <v>MK~BR_CN~Vai_de_Visa_MN~NONE_YQ~19Q1Q4_CP~NONE_OB~LDS_PK~NONE</v>
      </c>
      <c r="B101" t="str">
        <f t="shared" si="19"/>
        <v>Facebook</v>
      </c>
      <c r="C101" t="str">
        <f t="shared" si="20"/>
        <v>CH~SOCIAL_DT~MULTI_PB~FCBK_FM~CARROSSEL_RT~CPM_PD~VDV_NETSHOES_PERFORMANCE_FACEBOOK_CARROSSEL_1X1_TG~BHVDEM_TS~NONE_SZ~1X1_DISPLAY_MK~BR_IT~DISPLAY_VV~NONE</v>
      </c>
      <c r="D101" t="str">
        <f t="shared" si="21"/>
        <v>249609130</v>
      </c>
      <c r="E101" t="str">
        <f t="shared" si="22"/>
        <v>Dynamic Click</v>
      </c>
      <c r="F101" t="str">
        <f t="shared" si="23"/>
        <v>CH~SOCIAL_DT~MULTI_PB~FCBK_FM~CARROSSEL_RT~CPM_PD~VDV_NETSHOES_PERFORMANCE_FACEBOOK_CARROSSEL_1X1_TG~BHVDEM_TS~NONE_SZ~1X1_DISPLAY_MK~BR_IT~DISPLAY_VV~NONE</v>
      </c>
      <c r="G101" t="str">
        <f t="shared" si="24"/>
        <v>445806137</v>
      </c>
      <c r="H101" t="str">
        <f t="shared" si="25"/>
        <v>Tracking</v>
      </c>
      <c r="I101">
        <f t="shared" si="26"/>
        <v>0</v>
      </c>
      <c r="J101">
        <f t="shared" si="27"/>
        <v>8122</v>
      </c>
      <c r="K101" s="4">
        <f t="shared" si="16"/>
        <v>3.5000000000000001E-3</v>
      </c>
      <c r="L101">
        <f t="shared" si="17"/>
        <v>0.02</v>
      </c>
      <c r="M101" s="4">
        <f t="shared" si="28"/>
        <v>28.427</v>
      </c>
      <c r="N101" s="4">
        <f t="shared" si="29"/>
        <v>162.44</v>
      </c>
    </row>
    <row r="102" spans="1:14">
      <c r="A102" t="str">
        <f t="shared" si="18"/>
        <v>MK~BR_CN~Vai_de_Visa_MN~NONE_YQ~19Q1Q4_CP~NONE_OB~LDS_PK~NONE</v>
      </c>
      <c r="B102" t="str">
        <f t="shared" si="19"/>
        <v>Facebook</v>
      </c>
      <c r="C102" t="str">
        <f t="shared" si="20"/>
        <v>CH~SOCIAL_DT~MULTI_PB~FCBK_FM~CARROSSEL_RT~CPM_PD~VDV_PERFORMANCE_CAMICADO_FACEBOOK_CARROSSEL_10OFF_1X1_TG~BHVDEM_TS~NONE_SZ~1X1_DISPLAY_MK~BR_IT~DISPLAY_VV~NONE</v>
      </c>
      <c r="D102" t="str">
        <f t="shared" si="21"/>
        <v>252293266</v>
      </c>
      <c r="E102" t="str">
        <f t="shared" si="22"/>
        <v>Dynamic Click</v>
      </c>
      <c r="F102" t="str">
        <f t="shared" si="23"/>
        <v>CH~SOCIAL_DT~MULTI_PB~FCBK_FM~CARROSSEL_RT~CPM_PD~VDV_PERFORMANCE_CAMICADO_FACEBOOK_CARROSSEL_10OFF_1X1_TG~BHVDEM_TS~NONE_SZ~1X1_DISPLAY_MK~BR_IT~DISPLAY_VV~NONE</v>
      </c>
      <c r="G102" t="str">
        <f t="shared" si="24"/>
        <v>448297662</v>
      </c>
      <c r="H102" t="str">
        <f t="shared" si="25"/>
        <v>Tracking</v>
      </c>
      <c r="I102">
        <f t="shared" si="26"/>
        <v>0</v>
      </c>
      <c r="J102">
        <f t="shared" si="27"/>
        <v>3</v>
      </c>
      <c r="K102" s="4">
        <f t="shared" si="16"/>
        <v>3.5000000000000001E-3</v>
      </c>
      <c r="L102">
        <f t="shared" si="17"/>
        <v>0.02</v>
      </c>
      <c r="M102" s="4">
        <f t="shared" si="28"/>
        <v>1.0500000000000001E-2</v>
      </c>
      <c r="N102" s="4">
        <f t="shared" si="29"/>
        <v>0.06</v>
      </c>
    </row>
    <row r="103" spans="1:14">
      <c r="A103" t="str">
        <f t="shared" si="18"/>
        <v>MK~BR_CN~Vai_de_Visa_MN~NONE_YQ~19Q1Q4_CP~NONE_OB~LDS_PK~NONE</v>
      </c>
      <c r="B103" t="str">
        <f t="shared" si="19"/>
        <v>Facebook</v>
      </c>
      <c r="C103" t="str">
        <f t="shared" si="20"/>
        <v>CH~SOCIAL_DT~MULTI_PB~FCBK_FM~CARROSSEL_RT~CPM_PD~VDV_PERFORMANCE_CAMICADO_FACEBOOK_CARROSSEL_60OFF_1X1_TG~BHVDEM_TS~NONE_SZ~1X1_DISPLAY_MK~BR_IT~DISPLAY_VV~NONE</v>
      </c>
      <c r="D103" t="str">
        <f t="shared" si="21"/>
        <v>252291103</v>
      </c>
      <c r="E103" t="str">
        <f t="shared" si="22"/>
        <v>Dynamic Click</v>
      </c>
      <c r="F103" t="str">
        <f t="shared" si="23"/>
        <v>CH~SOCIAL_DT~MULTI_PB~FCBK_FM~CARROSSEL_RT~CPM_PD~VDV_PERFORMANCE_CAMICADO_FACEBOOK_CARROSSEL_60OFF_1X1_TG~BHVDEM_TS~NONE_SZ~1X1_DISPLAY_MK~BR_IT~DISPLAY_VV~NONE</v>
      </c>
      <c r="G103" t="str">
        <f t="shared" si="24"/>
        <v>448350476</v>
      </c>
      <c r="H103" t="str">
        <f t="shared" si="25"/>
        <v>Tracking</v>
      </c>
      <c r="I103">
        <f t="shared" si="26"/>
        <v>0</v>
      </c>
      <c r="J103">
        <f t="shared" si="27"/>
        <v>3</v>
      </c>
      <c r="K103" s="4">
        <f t="shared" si="16"/>
        <v>3.5000000000000001E-3</v>
      </c>
      <c r="L103">
        <f t="shared" si="17"/>
        <v>0.02</v>
      </c>
      <c r="M103" s="4">
        <f t="shared" si="28"/>
        <v>1.0500000000000001E-2</v>
      </c>
      <c r="N103" s="4">
        <f t="shared" si="29"/>
        <v>0.06</v>
      </c>
    </row>
    <row r="104" spans="1:14">
      <c r="A104" t="str">
        <f t="shared" si="18"/>
        <v>MK~BR_CN~Vai_de_Visa_MN~NONE_YQ~19Q1Q4_CP~NONE_OB~LDS_PK~NONE</v>
      </c>
      <c r="B104" t="str">
        <f t="shared" si="19"/>
        <v>Facebook</v>
      </c>
      <c r="C104" t="str">
        <f t="shared" si="20"/>
        <v>CH~SOCIAL_DT~MULTI_PB~FCBK_FM~CARROSSEL_RT~CPM_PD~VDV_PERFORMANCE_DECOLAR_OFERTAEDUCACIONAL_FACEBOOK_CARROSSEL_1X1_TG~BHVDEM_TS~NONE_SZ~1X1_DISPLAY_MK~BR_IT~DISPLAY_VV~NONE</v>
      </c>
      <c r="D104" t="str">
        <f t="shared" si="21"/>
        <v>248336408</v>
      </c>
      <c r="E104" t="str">
        <f t="shared" si="22"/>
        <v>Dynamic Click</v>
      </c>
      <c r="F104" t="str">
        <f t="shared" si="23"/>
        <v>CH~SOCIAL_DT~MULTI_PB~FCBK_FM~CARROSSEL_RT~CPM_PD~VDV_PERFORMANCE_DECOLAR_OFERTAEDUCACIONAL_FACEBOOK_CARROSSEL_1X1_TG~BHVDEM_TS~NONE_SZ~1X1_DISPLAY_MK~BR_IT~DISPLAY_VV~NONE</v>
      </c>
      <c r="G104" t="str">
        <f t="shared" si="24"/>
        <v>444858019</v>
      </c>
      <c r="H104" t="str">
        <f t="shared" si="25"/>
        <v>Tracking</v>
      </c>
      <c r="I104">
        <f t="shared" si="26"/>
        <v>0</v>
      </c>
      <c r="J104">
        <f t="shared" si="27"/>
        <v>891</v>
      </c>
      <c r="K104" s="4">
        <f t="shared" si="16"/>
        <v>3.5000000000000001E-3</v>
      </c>
      <c r="L104">
        <f t="shared" si="17"/>
        <v>0.02</v>
      </c>
      <c r="M104" s="4">
        <f t="shared" si="28"/>
        <v>3.1185</v>
      </c>
      <c r="N104" s="4">
        <f t="shared" si="29"/>
        <v>17.82</v>
      </c>
    </row>
    <row r="105" spans="1:14">
      <c r="A105" t="str">
        <f t="shared" si="18"/>
        <v>MK~BR_CN~Vai_de_Visa_MN~NONE_YQ~19Q1Q4_CP~NONE_OB~LDS_PK~NONE</v>
      </c>
      <c r="B105" t="str">
        <f t="shared" si="19"/>
        <v>Facebook</v>
      </c>
      <c r="C105" t="str">
        <f t="shared" si="20"/>
        <v>CH~SOCIAL_DT~MULTI_PB~FCBK_FM~CARROSSEL_RT~CPM_PD~VDV_PERFORMANCE_FACEBOOK_MOVIDA_20OFF_CARROSSEL_1X1_TG~BHVDEM_TS~NONE_SZ~1X1_DISPLAY_MK~BR_IT~DISPLAY_VV~NONE</v>
      </c>
      <c r="D105" t="str">
        <f t="shared" si="21"/>
        <v>251270277</v>
      </c>
      <c r="E105" t="str">
        <f t="shared" si="22"/>
        <v>Dynamic Click</v>
      </c>
      <c r="F105" t="str">
        <f t="shared" si="23"/>
        <v>CH~SOCIAL_DT~MULTI_PB~FCBK_FM~CARROSSEL_RT~CPM_PD~VDV_PERFORMANCE_FACEBOOK_MOVIDA_20OFF_CARROSSEL_1X1_TG~BHVDEM_TS~NONE_SZ~1X1_DISPLAY_MK~BR_IT~DISPLAY_VV~NONE</v>
      </c>
      <c r="G105" t="str">
        <f t="shared" si="24"/>
        <v>447378202</v>
      </c>
      <c r="H105" t="str">
        <f t="shared" si="25"/>
        <v>Tracking</v>
      </c>
      <c r="I105">
        <f t="shared" si="26"/>
        <v>0</v>
      </c>
      <c r="J105">
        <f t="shared" si="27"/>
        <v>2058</v>
      </c>
      <c r="K105" s="4">
        <f t="shared" si="16"/>
        <v>3.5000000000000001E-3</v>
      </c>
      <c r="L105">
        <f t="shared" si="17"/>
        <v>0.02</v>
      </c>
      <c r="M105" s="4">
        <f t="shared" si="28"/>
        <v>7.2030000000000003</v>
      </c>
      <c r="N105" s="4">
        <f t="shared" si="29"/>
        <v>41.160000000000004</v>
      </c>
    </row>
    <row r="106" spans="1:14">
      <c r="A106" t="str">
        <f t="shared" si="18"/>
        <v>MK~BR_CN~Vai_de_Visa_MN~NONE_YQ~19Q1Q4_CP~NONE_OB~LDS_PK~NONE</v>
      </c>
      <c r="B106" t="str">
        <f t="shared" si="19"/>
        <v>Facebook</v>
      </c>
      <c r="C106" t="str">
        <f t="shared" si="20"/>
        <v>CH~SOCIAL_DT~MULTI_PB~FCBK_FM~CARROSSEL_RT~CPM_PD~VDV_PERFORMANCE_MOVIDA_OFERTAEDUCACIONAL_FACEBOOK_CARROSSEL_1X1_TG~BHVDEM_TS~NONE_SZ~1X1_DISPLAY_MK~BR_IT~DISPLAY_VV~NONE</v>
      </c>
      <c r="D106" t="str">
        <f t="shared" si="21"/>
        <v>248336396</v>
      </c>
      <c r="E106" t="str">
        <f t="shared" si="22"/>
        <v>Dynamic Click</v>
      </c>
      <c r="F106" t="str">
        <f t="shared" si="23"/>
        <v>CH~SOCIAL_DT~MULTI_PB~FCBK_FM~CARROSSEL_RT~CPM_PD~VDV_PERFORMANCE_MOVIDA_OFERTAEDUCACIONAL_FACEBOOK_CARROSSEL_1X1_TG~BHVDEM_TS~NONE_SZ~1X1_DISPLAY_MK~BR_IT~DISPLAY_VV~NONE</v>
      </c>
      <c r="G106" t="str">
        <f t="shared" si="24"/>
        <v>444858007</v>
      </c>
      <c r="H106" t="str">
        <f t="shared" si="25"/>
        <v>Tracking</v>
      </c>
      <c r="I106">
        <f t="shared" si="26"/>
        <v>0</v>
      </c>
      <c r="J106">
        <f t="shared" si="27"/>
        <v>27</v>
      </c>
      <c r="K106" s="4">
        <f t="shared" si="16"/>
        <v>3.5000000000000001E-3</v>
      </c>
      <c r="L106">
        <f t="shared" si="17"/>
        <v>0.02</v>
      </c>
      <c r="M106" s="4">
        <f t="shared" si="28"/>
        <v>9.4500000000000001E-2</v>
      </c>
      <c r="N106" s="4">
        <f t="shared" si="29"/>
        <v>0.54</v>
      </c>
    </row>
    <row r="107" spans="1:14">
      <c r="A107" t="str">
        <f t="shared" si="18"/>
        <v>MK~BR_CN~Vai_de_Visa_MN~NONE_YQ~19Q1Q4_CP~NONE_OB~LDS_PK~NONE</v>
      </c>
      <c r="B107" t="str">
        <f t="shared" si="19"/>
        <v>Facebook</v>
      </c>
      <c r="C107" t="str">
        <f t="shared" si="20"/>
        <v>CH~SOCIAL_DT~MULTI_PB~FCBK_FM~CARROSSEL_RT~CPM_PD~VDV_PERFORMANCE_PROMONACIONAL_FACEBOOK_CARROSSEL_CADASTRE-SE_1X1_TG~BHVDEM_TS~NONE_SZ~1X1_DISPLAY_MK~BR_IT~DISPLAY_VV~NONE</v>
      </c>
      <c r="D107" t="str">
        <f t="shared" si="21"/>
        <v>249651994</v>
      </c>
      <c r="E107" t="str">
        <f t="shared" si="22"/>
        <v>Dynamic Click</v>
      </c>
      <c r="F107" t="str">
        <f t="shared" si="23"/>
        <v>CH~SOCIAL_DT~MULTI_PB~FCBK_FM~CARROSSEL_RT~CPM_PD~VDV_PERFORMANCE_PROMONACIONAL_FACEBOOK_CARROSSEL_CADASTRE-SE_1X1_TG~BHVDEM_TS~NONE_SZ~1X1_DISPLAY_MK~BR_IT~DISPLAY_VV~NONE</v>
      </c>
      <c r="G107" t="str">
        <f t="shared" si="24"/>
        <v>445759977</v>
      </c>
      <c r="H107" t="str">
        <f t="shared" si="25"/>
        <v>Tracking</v>
      </c>
      <c r="I107">
        <f t="shared" si="26"/>
        <v>0</v>
      </c>
      <c r="J107">
        <f t="shared" si="27"/>
        <v>55</v>
      </c>
      <c r="K107" s="4">
        <f t="shared" si="16"/>
        <v>3.5000000000000001E-3</v>
      </c>
      <c r="L107">
        <f t="shared" si="17"/>
        <v>0.02</v>
      </c>
      <c r="M107" s="4">
        <f t="shared" si="28"/>
        <v>0.1925</v>
      </c>
      <c r="N107" s="4">
        <f t="shared" si="29"/>
        <v>1.1000000000000001</v>
      </c>
    </row>
    <row r="108" spans="1:14">
      <c r="A108" t="str">
        <f t="shared" si="18"/>
        <v>MK~BR_CN~Vai_de_Visa_MN~NONE_YQ~19Q1Q4_CP~NONE_OB~LDS_PK~NONE</v>
      </c>
      <c r="B108" t="str">
        <f t="shared" si="19"/>
        <v>Facebook</v>
      </c>
      <c r="C108" t="str">
        <f t="shared" si="20"/>
        <v>CH~SOCIAL_DT~MULTI_PB~FCBK_FM~CARROSSEL_RT~CPM_PD~VDV_PERFORMANCE_PROMONACIONAL_FACEBOOK_CARROSSEL_PAGUECOMVISA_1X1_TG~BHVDEM_TS~NONE_SZ~1X1_DISPLAY_MK~BR_IT~DISPLAY_VV~NONE</v>
      </c>
      <c r="D108" t="str">
        <f t="shared" si="21"/>
        <v>249133180</v>
      </c>
      <c r="E108" t="str">
        <f t="shared" si="22"/>
        <v>Dynamic Click</v>
      </c>
      <c r="F108" t="str">
        <f t="shared" si="23"/>
        <v>CH~SOCIAL_DT~MULTI_PB~FCBK_FM~CARROSSEL_RT~CPM_PD~VDV_PERFORMANCE_PROMONACIONAL_FACEBOOK_CARROSSEL_PAGUECOMVISA_1X1_TG~BHVDEM_TS~NONE_SZ~1X1_DISPLAY_MK~BR_IT~DISPLAY_VV~NONE</v>
      </c>
      <c r="G108" t="str">
        <f t="shared" si="24"/>
        <v>445446523</v>
      </c>
      <c r="H108" t="str">
        <f t="shared" si="25"/>
        <v>Tracking</v>
      </c>
      <c r="I108">
        <f t="shared" si="26"/>
        <v>0</v>
      </c>
      <c r="J108">
        <f t="shared" si="27"/>
        <v>2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7.0000000000000001E-3</v>
      </c>
      <c r="N108" s="4">
        <f t="shared" si="29"/>
        <v>0.04</v>
      </c>
    </row>
    <row r="109" spans="1:14">
      <c r="A109" t="str">
        <f t="shared" si="18"/>
        <v>MK~BR_CN~Vai_de_Visa_MN~NONE_YQ~19Q1Q4_CP~NONE_OB~LDS_PK~NONE</v>
      </c>
      <c r="B109" t="str">
        <f t="shared" si="19"/>
        <v>Facebook</v>
      </c>
      <c r="C109" t="str">
        <f t="shared" si="20"/>
        <v>CH~SOCIAL_DT~MULTI_PB~FCBK_FM~CARROSSEL_RT~CPM_PD~VDV_PERFORMANCE_PROMONACIONAL_FACEBOOK_CARROSSEL_PARTICIPE_1X1_TG~BHVDEM_TS~NONE_SZ~1X1_DISPLAY_MK~BR_IT~DISPLAY_VV~NONE</v>
      </c>
      <c r="D109" t="str">
        <f t="shared" si="21"/>
        <v>249651985</v>
      </c>
      <c r="E109" t="str">
        <f t="shared" si="22"/>
        <v>Dynamic Click</v>
      </c>
      <c r="F109" t="str">
        <f t="shared" si="23"/>
        <v>CH~SOCIAL_DT~MULTI_PB~FCBK_FM~CARROSSEL_RT~CPM_PD~VDV_PERFORMANCE_PROMONACIONAL_FACEBOOK_CARROSSEL_PARTICIPE_1X1_TG~BHVDEM_TS~NONE_SZ~1X1_DISPLAY_MK~BR_IT~DISPLAY_VV~NONE</v>
      </c>
      <c r="G109" t="str">
        <f t="shared" si="24"/>
        <v>445759968</v>
      </c>
      <c r="H109" t="str">
        <f t="shared" si="25"/>
        <v>Tracking</v>
      </c>
      <c r="I109">
        <f t="shared" si="26"/>
        <v>0</v>
      </c>
      <c r="J109">
        <f t="shared" si="27"/>
        <v>18</v>
      </c>
      <c r="K109" s="4">
        <f t="shared" si="30"/>
        <v>3.5000000000000001E-3</v>
      </c>
      <c r="L109">
        <f t="shared" si="31"/>
        <v>0.02</v>
      </c>
      <c r="M109" s="4">
        <f t="shared" si="28"/>
        <v>6.3E-2</v>
      </c>
      <c r="N109" s="4">
        <f t="shared" si="29"/>
        <v>0.36</v>
      </c>
    </row>
    <row r="110" spans="1:14">
      <c r="A110" t="str">
        <f t="shared" si="18"/>
        <v>MK~BR_CN~Vai_de_Visa_MN~NONE_YQ~19Q1Q4_CP~NONE_OB~LDS_PK~NONE</v>
      </c>
      <c r="B110" t="str">
        <f t="shared" si="19"/>
        <v>Facebook</v>
      </c>
      <c r="C110" t="str">
        <f t="shared" si="20"/>
        <v>CH~SOCIAL_DT~MULTI_PB~FCBK_FM~CARROSSEL_RT~CPM_PD~VDV_PERFORMANCE_RENTCARS_FACEBOOK_CARROSSEL_KV1AZUL_1X1_TG~BHVDEM_TS~NONE_SZ~1X1_DISPLAY_MK~BR_IT~DISPLAY_VV~NONE</v>
      </c>
      <c r="D110" t="str">
        <f t="shared" si="21"/>
        <v>248723099</v>
      </c>
      <c r="E110" t="str">
        <f t="shared" si="22"/>
        <v>Dynamic Click</v>
      </c>
      <c r="F110" t="str">
        <f t="shared" si="23"/>
        <v>CH~SOCIAL_DT~MULTI_PB~FCBK_FM~CARROSSEL_RT~CPM_PD~VDV_PERFORMANCE_RENTCARS_FACEBOOK_CARROSSEL_KV1AZUL_1X1_TG~BHVDEM_TS~NONE_SZ~1X1_DISPLAY_MK~BR_IT~DISPLAY_VV~NONE</v>
      </c>
      <c r="G110" t="str">
        <f t="shared" si="24"/>
        <v>445165322</v>
      </c>
      <c r="H110" t="str">
        <f t="shared" si="25"/>
        <v>Tracking</v>
      </c>
      <c r="I110">
        <f t="shared" si="26"/>
        <v>0</v>
      </c>
      <c r="J110">
        <f t="shared" si="27"/>
        <v>1</v>
      </c>
      <c r="K110" s="4">
        <f t="shared" si="30"/>
        <v>3.5000000000000001E-3</v>
      </c>
      <c r="L110">
        <f t="shared" si="31"/>
        <v>0.02</v>
      </c>
      <c r="M110" s="4">
        <f t="shared" si="28"/>
        <v>3.5000000000000001E-3</v>
      </c>
      <c r="N110" s="4">
        <f t="shared" si="29"/>
        <v>0.02</v>
      </c>
    </row>
    <row r="111" spans="1:14">
      <c r="A111" t="str">
        <f t="shared" si="18"/>
        <v>MK~BR_CN~Vai_de_Visa_MN~NONE_YQ~19Q1Q4_CP~NONE_OB~LDS_PK~NONE</v>
      </c>
      <c r="B111" t="str">
        <f t="shared" si="19"/>
        <v>Facebook</v>
      </c>
      <c r="C111" t="str">
        <f t="shared" si="20"/>
        <v>CH~SOCIAL_DT~MULTI_PB~FCBK_FM~GIF_RT~CPM_PD~VDV_AWARENESS_EDUCACIONAL_DÉBITO_GIF_COMPRAS_DESKTOP_1X1_TG~BHVDEM_TS~NONE_SZ~1X1_DISPLAY_MK~BR_IT~DISPLAY_VV~NONE</v>
      </c>
      <c r="D111" t="str">
        <f t="shared" si="21"/>
        <v>252202842</v>
      </c>
      <c r="E111" t="str">
        <f t="shared" si="22"/>
        <v>Dynamic Click</v>
      </c>
      <c r="F111" t="str">
        <f t="shared" si="23"/>
        <v>CH~SOCIAL_DT~MULTI_PB~FCBK_FM~GIF_RT~CPM_PD~VDV_AWARENESS_EDUCACIONAL_DÉBITO_GIF_COMPRAS_DESKTOP_1X1_TG~BHVDEM_TS~NONE_SZ~1X1_DISPLAY_MK~BR_IT~DISPLAY_VV~NONE</v>
      </c>
      <c r="G111" t="str">
        <f t="shared" si="24"/>
        <v>448276378</v>
      </c>
      <c r="H111" t="str">
        <f t="shared" si="25"/>
        <v>Tracking</v>
      </c>
      <c r="I111">
        <f t="shared" si="26"/>
        <v>0</v>
      </c>
      <c r="J111">
        <f t="shared" si="27"/>
        <v>2980</v>
      </c>
      <c r="K111" s="4">
        <f t="shared" si="30"/>
        <v>3.5000000000000001E-3</v>
      </c>
      <c r="L111">
        <f t="shared" si="31"/>
        <v>0.02</v>
      </c>
      <c r="M111" s="4">
        <f t="shared" si="28"/>
        <v>10.43</v>
      </c>
      <c r="N111" s="4">
        <f t="shared" si="29"/>
        <v>59.6</v>
      </c>
    </row>
    <row r="112" spans="1:14">
      <c r="A112" t="str">
        <f t="shared" si="18"/>
        <v>MK~BR_CN~Vai_de_Visa_MN~NONE_YQ~19Q1Q4_CP~NONE_OB~LDS_PK~NONE</v>
      </c>
      <c r="B112" t="str">
        <f t="shared" si="19"/>
        <v>Facebook</v>
      </c>
      <c r="C112" t="str">
        <f t="shared" si="20"/>
        <v>CH~SOCIAL_DT~MULTI_PB~FCBK_FM~GIF_RT~CPM_PD~VDV_AWARENESS_EDUCACIONAL_DÉBITO_GIF_COMPRAS_MOBILE_1X1_TG~BHVDEM_TS~NONE_SZ~1X1_DISPLAY_MK~BR_IT~DISPLAY_VV~NONE</v>
      </c>
      <c r="D112" t="str">
        <f t="shared" si="21"/>
        <v>252132775</v>
      </c>
      <c r="E112" t="str">
        <f t="shared" si="22"/>
        <v>Dynamic Click</v>
      </c>
      <c r="F112" t="str">
        <f t="shared" si="23"/>
        <v>CH~SOCIAL_DT~MULTI_PB~FCBK_FM~GIF_RT~CPM_PD~VDV_AWARENESS_EDUCACIONAL_DÉBITO_GIF_COMPRAS_MOBILE_1X1_TG~BHVDEM_TS~NONE_SZ~1X1_DISPLAY_MK~BR_IT~DISPLAY_VV~NONE</v>
      </c>
      <c r="G112" t="str">
        <f t="shared" si="24"/>
        <v>448185446</v>
      </c>
      <c r="H112" t="str">
        <f t="shared" si="25"/>
        <v>Tracking</v>
      </c>
      <c r="I112">
        <f t="shared" si="26"/>
        <v>0</v>
      </c>
      <c r="J112">
        <f t="shared" si="27"/>
        <v>3257</v>
      </c>
      <c r="K112" s="4">
        <f t="shared" si="30"/>
        <v>3.5000000000000001E-3</v>
      </c>
      <c r="L112">
        <f t="shared" si="31"/>
        <v>0.02</v>
      </c>
      <c r="M112" s="4">
        <f t="shared" si="28"/>
        <v>11.3995</v>
      </c>
      <c r="N112" s="4">
        <f t="shared" si="29"/>
        <v>65.14</v>
      </c>
    </row>
    <row r="113" spans="1:14">
      <c r="A113" t="str">
        <f t="shared" si="18"/>
        <v>MK~BR_CN~Vai_de_Visa_MN~NONE_YQ~19Q1Q4_CP~NONE_OB~LDS_PK~NONE</v>
      </c>
      <c r="B113" t="str">
        <f t="shared" si="19"/>
        <v>Facebook</v>
      </c>
      <c r="C113" t="str">
        <f t="shared" si="20"/>
        <v>CH~SOCIAL_DT~MULTI_PB~FCBK_FM~GIF_RT~CPM_PD~VDV_PERFORMANCE_PROMONACIONAL_FACEBOOK_GIF_CADASTRE-SE_1X1_TG~BHVDEM_TS~NONE_SZ~1X1_DISPLAY_MK~BR_IT~DISPLAY_VV~NONE</v>
      </c>
      <c r="D113" t="str">
        <f t="shared" si="21"/>
        <v>249651991</v>
      </c>
      <c r="E113" t="str">
        <f t="shared" si="22"/>
        <v>Dynamic Click</v>
      </c>
      <c r="F113" t="str">
        <f t="shared" si="23"/>
        <v>CH~SOCIAL_DT~MULTI_PB~FCBK_FM~GIF_RT~CPM_PD~VDV_PERFORMANCE_PROMONACIONAL_FACEBOOK_GIF_CADASTRE-SE_1X1_TG~BHVDEM_TS~NONE_SZ~1X1_DISPLAY_MK~BR_IT~DISPLAY_VV~NONE</v>
      </c>
      <c r="G113" t="str">
        <f t="shared" si="24"/>
        <v>445759974</v>
      </c>
      <c r="H113" t="str">
        <f t="shared" si="25"/>
        <v>Tracking</v>
      </c>
      <c r="I113">
        <f t="shared" si="26"/>
        <v>0</v>
      </c>
      <c r="J113">
        <f t="shared" si="27"/>
        <v>9874</v>
      </c>
      <c r="K113" s="4">
        <f t="shared" si="30"/>
        <v>3.5000000000000001E-3</v>
      </c>
      <c r="L113">
        <f t="shared" si="31"/>
        <v>0.02</v>
      </c>
      <c r="M113" s="4">
        <f t="shared" si="28"/>
        <v>34.558999999999997</v>
      </c>
      <c r="N113" s="4">
        <f t="shared" si="29"/>
        <v>197.48000000000002</v>
      </c>
    </row>
    <row r="114" spans="1:14">
      <c r="A114" t="str">
        <f t="shared" si="18"/>
        <v>MK~BR_CN~Vai_de_Visa_MN~NONE_YQ~19Q1Q4_CP~NONE_OB~LDS_PK~NONE</v>
      </c>
      <c r="B114" t="str">
        <f t="shared" si="19"/>
        <v>Facebook</v>
      </c>
      <c r="C114" t="str">
        <f t="shared" si="20"/>
        <v>CH~SOCIAL_DT~MULTI_PB~FCBK_FM~GIF_RT~CPM_PD~VDV_PERFORMANCE_PROMONACIONAL_FACEBOOK_GIF_PARTICIPE_1X1_TG~BHVDEM_TS~NONE_SZ~1X1_DISPLAY_MK~BR_IT~DISPLAY_VV~NONE</v>
      </c>
      <c r="D114" t="str">
        <f t="shared" si="21"/>
        <v>249651982</v>
      </c>
      <c r="E114" t="str">
        <f t="shared" si="22"/>
        <v>Dynamic Click</v>
      </c>
      <c r="F114" t="str">
        <f t="shared" si="23"/>
        <v>CH~SOCIAL_DT~MULTI_PB~FCBK_FM~GIF_RT~CPM_PD~VDV_PERFORMANCE_PROMONACIONAL_FACEBOOK_GIF_PARTICIPE_1X1_TG~BHVDEM_TS~NONE_SZ~1X1_DISPLAY_MK~BR_IT~DISPLAY_VV~NONE</v>
      </c>
      <c r="G114" t="str">
        <f t="shared" si="24"/>
        <v>445759965</v>
      </c>
      <c r="H114" t="str">
        <f t="shared" si="25"/>
        <v>Tracking</v>
      </c>
      <c r="I114">
        <f t="shared" si="26"/>
        <v>0</v>
      </c>
      <c r="J114">
        <f t="shared" si="27"/>
        <v>492</v>
      </c>
      <c r="K114" s="4">
        <f t="shared" si="30"/>
        <v>3.5000000000000001E-3</v>
      </c>
      <c r="L114">
        <f t="shared" si="31"/>
        <v>0.02</v>
      </c>
      <c r="M114" s="4">
        <f t="shared" si="28"/>
        <v>1.722</v>
      </c>
      <c r="N114" s="4">
        <f t="shared" si="29"/>
        <v>9.84</v>
      </c>
    </row>
    <row r="115" spans="1:14">
      <c r="A115" t="str">
        <f t="shared" si="18"/>
        <v>MK~BR_CN~Vai_de_Visa_MN~NONE_YQ~19Q1Q4_CP~NONE_OB~LDS_PK~NONE</v>
      </c>
      <c r="B115" t="str">
        <f t="shared" si="19"/>
        <v>Facebook</v>
      </c>
      <c r="C115" t="str">
        <f t="shared" si="20"/>
        <v>CH~SOCIAL_DT~MULTI_PB~FCBK_FM~GIF_RT~CPM_PD~VDV_PROMONACIONAL_AWARENESS_GIF_FACEBOOK_CAMPING_PARTICIPE_1X1_TG~BHVDEM_TS~NONE_SZ~1X1_DISPLAY_MK~BR_IT~DISPLAY_VV~NONE</v>
      </c>
      <c r="D115" t="str">
        <f t="shared" si="21"/>
        <v>251011299</v>
      </c>
      <c r="E115" t="str">
        <f t="shared" si="22"/>
        <v>Dynamic Click</v>
      </c>
      <c r="F115" t="str">
        <f t="shared" si="23"/>
        <v>CH~SOCIAL_DT~MULTI_PB~FCBK_FM~GIF_RT~CPM_PD~VDV_PROMONACIONAL_AWARENESS_GIF_FACEBOOK_CAMPING_PARTICIPE_1X1_TG~BHVDEM_TS~NONE_SZ~1X1_DISPLAY_MK~BR_IT~DISPLAY_VV~NONE</v>
      </c>
      <c r="G115" t="str">
        <f t="shared" si="24"/>
        <v>447051953</v>
      </c>
      <c r="H115" t="str">
        <f t="shared" si="25"/>
        <v>Tracking</v>
      </c>
      <c r="I115">
        <f t="shared" si="26"/>
        <v>0</v>
      </c>
      <c r="J115">
        <f t="shared" si="27"/>
        <v>239</v>
      </c>
      <c r="K115" s="4">
        <f t="shared" si="30"/>
        <v>3.5000000000000001E-3</v>
      </c>
      <c r="L115">
        <f t="shared" si="31"/>
        <v>0.02</v>
      </c>
      <c r="M115" s="4">
        <f t="shared" si="28"/>
        <v>0.83650000000000002</v>
      </c>
      <c r="N115" s="4">
        <f t="shared" si="29"/>
        <v>4.78</v>
      </c>
    </row>
    <row r="116" spans="1:14">
      <c r="A116" t="str">
        <f t="shared" si="18"/>
        <v>MK~BR_CN~Vai_de_Visa_MN~NONE_YQ~19Q1Q4_CP~NONE_OB~LDS_PK~NONE</v>
      </c>
      <c r="B116" t="str">
        <f t="shared" si="19"/>
        <v>Facebook</v>
      </c>
      <c r="C116" t="str">
        <f t="shared" si="20"/>
        <v>CH~SOCIAL_DT~MULTI_PB~FCBK_FM~GIF_RT~CPM_PD~VDV_PROMONACIONAL_AWARENESS_GIF_FACEBOOK_PRAIA_PARTICIPE_1X1_TG~BHVDEM_TS~NONE_SZ~1X1_DISPLAY_MK~BR_IT~DISPLAY_VV~NONE</v>
      </c>
      <c r="D116" t="str">
        <f t="shared" si="21"/>
        <v>251011278</v>
      </c>
      <c r="E116" t="str">
        <f t="shared" si="22"/>
        <v>Dynamic Click</v>
      </c>
      <c r="F116" t="str">
        <f t="shared" si="23"/>
        <v>CH~SOCIAL_DT~MULTI_PB~FCBK_FM~GIF_RT~CPM_PD~VDV_PROMONACIONAL_AWARENESS_GIF_FACEBOOK_PRAIA_PARTICIPE_1X1_TG~BHVDEM_TS~NONE_SZ~1X1_DISPLAY_MK~BR_IT~DISPLAY_VV~NONE</v>
      </c>
      <c r="G116" t="str">
        <f t="shared" si="24"/>
        <v>447051932</v>
      </c>
      <c r="H116" t="str">
        <f t="shared" si="25"/>
        <v>Tracking</v>
      </c>
      <c r="I116">
        <f t="shared" si="26"/>
        <v>0</v>
      </c>
      <c r="J116">
        <f t="shared" si="27"/>
        <v>528</v>
      </c>
      <c r="K116" s="4">
        <f t="shared" si="30"/>
        <v>3.5000000000000001E-3</v>
      </c>
      <c r="L116">
        <f t="shared" si="31"/>
        <v>0.02</v>
      </c>
      <c r="M116" s="4">
        <f t="shared" si="28"/>
        <v>1.8480000000000001</v>
      </c>
      <c r="N116" s="4">
        <f t="shared" si="29"/>
        <v>10.56</v>
      </c>
    </row>
    <row r="117" spans="1:14">
      <c r="A117" t="str">
        <f t="shared" si="18"/>
        <v>MK~BR_CN~Vai_de_Visa_MN~NONE_YQ~19Q1Q4_CP~NONE_OB~LDS_PK~NONE</v>
      </c>
      <c r="B117" t="str">
        <f t="shared" si="19"/>
        <v>Facebook</v>
      </c>
      <c r="C117" t="str">
        <f t="shared" si="20"/>
        <v>CH~SOCIAL_DT~MULTI_PB~FCBK_FM~GIF_RT~CPM_PD~VDV_PROMONACIONAL_PERFORMANCE_GIF_FACEBOOK_CAMPING_CADASTRE-SE_1X1_TG~BHVDEM_TS~NONE_SZ~1X1_DISPLAY_MK~BR_IT~DISPLAY_VV~NONE</v>
      </c>
      <c r="D117" t="str">
        <f t="shared" si="21"/>
        <v>251011302</v>
      </c>
      <c r="E117" t="str">
        <f t="shared" si="22"/>
        <v>Dynamic Click</v>
      </c>
      <c r="F117" t="str">
        <f t="shared" si="23"/>
        <v>CH~SOCIAL_DT~MULTI_PB~FCBK_FM~GIF_RT~CPM_PD~VDV_PROMONACIONAL_PERFORMANCE_GIF_FACEBOOK_CAMPING_CADASTRE-SE_1X1_TG~BHVDEM_TS~NONE_SZ~1X1_DISPLAY_MK~BR_IT~DISPLAY_VV~NONE</v>
      </c>
      <c r="G117" t="str">
        <f t="shared" si="24"/>
        <v>447051956</v>
      </c>
      <c r="H117" t="str">
        <f t="shared" si="25"/>
        <v>Tracking</v>
      </c>
      <c r="I117">
        <f t="shared" si="26"/>
        <v>0</v>
      </c>
      <c r="J117">
        <f t="shared" si="27"/>
        <v>56908</v>
      </c>
      <c r="K117" s="4">
        <f t="shared" si="30"/>
        <v>3.5000000000000001E-3</v>
      </c>
      <c r="L117">
        <f t="shared" si="31"/>
        <v>0.02</v>
      </c>
      <c r="M117" s="4">
        <f t="shared" si="28"/>
        <v>199.178</v>
      </c>
      <c r="N117" s="4">
        <f t="shared" si="29"/>
        <v>1138.1600000000001</v>
      </c>
    </row>
    <row r="118" spans="1:14">
      <c r="A118" t="str">
        <f t="shared" si="18"/>
        <v>MK~BR_CN~Vai_de_Visa_MN~NONE_YQ~19Q1Q4_CP~NONE_OB~LDS_PK~NONE</v>
      </c>
      <c r="B118" t="str">
        <f t="shared" si="19"/>
        <v>Facebook</v>
      </c>
      <c r="C118" t="str">
        <f t="shared" si="20"/>
        <v>CH~SOCIAL_DT~MULTI_PB~FCBK_FM~GIF_RT~CPM_PD~VDV_PROMONACIONAL_PERFORMANCE_GIF_FACEBOOK_PRAIA_CADASTRE-SE_1X1_TG~BHVDEM_TS~NONE_SZ~1X1_DISPLAY_MK~BR_IT~DISPLAY_VV~NONE</v>
      </c>
      <c r="D118" t="str">
        <f t="shared" si="21"/>
        <v>251011281</v>
      </c>
      <c r="E118" t="str">
        <f t="shared" si="22"/>
        <v>Dynamic Click</v>
      </c>
      <c r="F118" t="str">
        <f t="shared" si="23"/>
        <v>CH~SOCIAL_DT~MULTI_PB~FCBK_FM~GIF_RT~CPM_PD~VDV_PROMONACIONAL_PERFORMANCE_GIF_FACEBOOK_PRAIA_CADASTRE-SE_1X1_TG~BHVDEM_TS~NONE_SZ~1X1_DISPLAY_MK~BR_IT~DISPLAY_VV~NONE</v>
      </c>
      <c r="G118" t="str">
        <f t="shared" si="24"/>
        <v>447051935</v>
      </c>
      <c r="H118" t="str">
        <f t="shared" si="25"/>
        <v>Tracking</v>
      </c>
      <c r="I118">
        <f t="shared" si="26"/>
        <v>0</v>
      </c>
      <c r="J118">
        <f t="shared" si="27"/>
        <v>230</v>
      </c>
      <c r="K118" s="4">
        <f t="shared" si="30"/>
        <v>3.5000000000000001E-3</v>
      </c>
      <c r="L118">
        <f t="shared" si="31"/>
        <v>0.02</v>
      </c>
      <c r="M118" s="4">
        <f t="shared" si="28"/>
        <v>0.80500000000000005</v>
      </c>
      <c r="N118" s="4">
        <f t="shared" si="29"/>
        <v>4.6000000000000005</v>
      </c>
    </row>
    <row r="119" spans="1:14">
      <c r="A119" t="str">
        <f t="shared" si="18"/>
        <v>MK~BR_CN~Vai_de_Visa_MN~NONE_YQ~19Q1Q4_CP~NONE_OB~LDS_PK~NONE</v>
      </c>
      <c r="B119" t="str">
        <f t="shared" si="19"/>
        <v>Facebook</v>
      </c>
      <c r="C119" t="str">
        <f t="shared" si="20"/>
        <v>CH~SOCIAL_DT~MULTI_PB~FCBK_FM~LINKAD_RT~CPM_PD~CV~VDV_PERFORMANCE_MOVIDA_20OFF_AZUL_CS~LINK_AD_QUADRADO_CT~FB_1X1_TG~BHVDEM_TS~NONE_SZ~1X1_DISPLAY_MK~BR_IT~DISPLAY_VV~NONE</v>
      </c>
      <c r="D119" t="str">
        <f t="shared" si="21"/>
        <v>252263551</v>
      </c>
      <c r="E119" t="str">
        <f t="shared" si="22"/>
        <v>Dynamic Click</v>
      </c>
      <c r="F119" t="str">
        <f t="shared" si="23"/>
        <v>CH~SOCIAL_DT~MULTI_PB~FCBK_FM~LINKAD_RT~CPM_PD~CV~VDV_PERFORMANCE_MOVIDA_20OFF_AZUL_CS~LINK_AD_QUADRADO_CT~FB_1X1_TG~BHVDEM_TS~NONE_SZ~1X1_DISPLAY_MK~BR_IT~DISPLAY_VV~NONE</v>
      </c>
      <c r="G119" t="str">
        <f t="shared" si="24"/>
        <v>448389472</v>
      </c>
      <c r="H119" t="str">
        <f t="shared" si="25"/>
        <v>Tracking</v>
      </c>
      <c r="I119">
        <f t="shared" si="26"/>
        <v>0</v>
      </c>
      <c r="J119">
        <f t="shared" si="27"/>
        <v>5</v>
      </c>
      <c r="K119" s="4">
        <f t="shared" si="30"/>
        <v>3.5000000000000001E-3</v>
      </c>
      <c r="L119">
        <f t="shared" si="31"/>
        <v>0.02</v>
      </c>
      <c r="M119" s="4">
        <f t="shared" si="28"/>
        <v>1.7500000000000002E-2</v>
      </c>
      <c r="N119" s="4">
        <f t="shared" si="29"/>
        <v>0.1</v>
      </c>
    </row>
    <row r="120" spans="1:14">
      <c r="A120" t="str">
        <f t="shared" si="18"/>
        <v>MK~BR_CN~Vai_de_Visa_MN~NONE_YQ~19Q1Q4_CP~NONE_OB~LDS_PK~NONE</v>
      </c>
      <c r="B120" t="str">
        <f t="shared" si="19"/>
        <v>Facebook</v>
      </c>
      <c r="C120" t="str">
        <f t="shared" si="20"/>
        <v>CH~SOCIAL_DT~MULTI_PB~FCBK_FM~LINKAD_RT~CPM_PD~CV~VDV_PERFORMANCE_MOVIDA_20OFF_AZUL_CS~LINK_AD_RETANGULAR_CT~FB_1X1_TG~BHVDEM_TS~NONE_SZ~1X1_DISPLAY_MK~BR_IT~DISPLAY_VV~NONE</v>
      </c>
      <c r="D120" t="str">
        <f t="shared" si="21"/>
        <v>252262216</v>
      </c>
      <c r="E120" t="str">
        <f t="shared" si="22"/>
        <v>Dynamic Click</v>
      </c>
      <c r="F120" t="str">
        <f t="shared" si="23"/>
        <v>CH~SOCIAL_DT~MULTI_PB~FCBK_FM~LINKAD_RT~CPM_PD~CV~VDV_PERFORMANCE_MOVIDA_20OFF_AZUL_CS~LINK_AD_RETANGULAR_CT~FB_1X1_TG~BHVDEM_TS~NONE_SZ~1X1_DISPLAY_MK~BR_IT~DISPLAY_VV~NONE</v>
      </c>
      <c r="G120" t="str">
        <f t="shared" si="24"/>
        <v>448316714</v>
      </c>
      <c r="H120" t="str">
        <f t="shared" si="25"/>
        <v>Tracking</v>
      </c>
      <c r="I120">
        <f t="shared" si="26"/>
        <v>0</v>
      </c>
      <c r="J120">
        <f t="shared" si="27"/>
        <v>3</v>
      </c>
      <c r="K120" s="4">
        <f t="shared" si="30"/>
        <v>3.5000000000000001E-3</v>
      </c>
      <c r="L120">
        <f t="shared" si="31"/>
        <v>0.02</v>
      </c>
      <c r="M120" s="4">
        <f t="shared" si="28"/>
        <v>1.0500000000000001E-2</v>
      </c>
      <c r="N120" s="4">
        <f t="shared" si="29"/>
        <v>0.06</v>
      </c>
    </row>
    <row r="121" spans="1:14">
      <c r="A121" t="str">
        <f t="shared" si="18"/>
        <v>MK~BR_CN~Vai_de_Visa_MN~NONE_YQ~19Q1Q4_CP~NONE_OB~LDS_PK~NONE</v>
      </c>
      <c r="B121" t="str">
        <f t="shared" si="19"/>
        <v>Facebook</v>
      </c>
      <c r="C121" t="str">
        <f t="shared" si="20"/>
        <v>CH~SOCIAL_DT~MULTI_PB~FCBK_FM~LINKAD_RT~CPM_PD~CV~VDV_PERFORMANCE_PROMOÇÃO_NACIONAL_AMARELO_CS~LINK_AD_CT~FB_1X1_TG~BHVDEM_TS~NONE_SZ~1X1_DISPLAY_MK~BR_IT~DISPLAY_VV~NONE</v>
      </c>
      <c r="D121" t="str">
        <f t="shared" si="21"/>
        <v>246942068</v>
      </c>
      <c r="E121" t="str">
        <f t="shared" si="22"/>
        <v>Dynamic Click</v>
      </c>
      <c r="F121" t="str">
        <f t="shared" si="23"/>
        <v>CH~SOCIAL_DT~MULTI_PB~FCBK_FM~LINKAD_RT~CPM_PD~CV~VDV_PERFORMANCE_PROMOÇÃO_NACIONAL_AMARELO_CS~LINK_AD_CT~FB_1X1_TG~BHVDEM_TS~NONE_SZ~1X1_DISPLAY_MK~BR_IT~DISPLAY_VV~NONE</v>
      </c>
      <c r="G121" t="str">
        <f t="shared" si="24"/>
        <v>443434200</v>
      </c>
      <c r="H121" t="str">
        <f t="shared" si="25"/>
        <v>Tracking</v>
      </c>
      <c r="I121">
        <f t="shared" si="26"/>
        <v>0</v>
      </c>
      <c r="J121">
        <f t="shared" si="27"/>
        <v>5</v>
      </c>
      <c r="K121" s="4">
        <f t="shared" si="30"/>
        <v>3.5000000000000001E-3</v>
      </c>
      <c r="L121">
        <f t="shared" si="31"/>
        <v>0.02</v>
      </c>
      <c r="M121" s="4">
        <f t="shared" si="28"/>
        <v>1.7500000000000002E-2</v>
      </c>
      <c r="N121" s="4">
        <f t="shared" si="29"/>
        <v>0.1</v>
      </c>
    </row>
    <row r="122" spans="1:14">
      <c r="A122" t="str">
        <f t="shared" si="18"/>
        <v>MK~BR_CN~Vai_de_Visa_MN~NONE_YQ~19Q1Q4_CP~NONE_OB~LDS_PK~NONE</v>
      </c>
      <c r="B122" t="str">
        <f t="shared" si="19"/>
        <v>Facebook</v>
      </c>
      <c r="C122" t="str">
        <f t="shared" si="20"/>
        <v>CH~SOCIAL_DT~MULTI_PB~FCBK_FM~LINKAD_RT~CPM_PD~CV~VDV_PERFORMANCE_RAPPI_LARANJA_CS~LINK_AD_QUADRADO_CT~FB_1X1_TG~BHVDEM_TS~NONE_SZ~1X1_DISPLAY_MK~BR_IT~DISPLAY_VV~NONE</v>
      </c>
      <c r="D122" t="str">
        <f t="shared" si="21"/>
        <v>251876690</v>
      </c>
      <c r="E122" t="str">
        <f t="shared" si="22"/>
        <v>Dynamic Click</v>
      </c>
      <c r="F122" t="str">
        <f t="shared" si="23"/>
        <v>CH~SOCIAL_DT~MULTI_PB~FCBK_FM~LINKAD_RT~CPM_PD~CV~VDV_PERFORMANCE_RAPPI_LARANJA_CS~LINK_AD_QUADRADO_CT~FB_1X1_TG~BHVDEM_TS~NONE_SZ~1X1_DISPLAY_MK~BR_IT~DISPLAY_VV~NONE</v>
      </c>
      <c r="G122" t="str">
        <f t="shared" si="24"/>
        <v>448258892</v>
      </c>
      <c r="H122" t="str">
        <f t="shared" si="25"/>
        <v>Tracking</v>
      </c>
      <c r="I122">
        <f t="shared" si="26"/>
        <v>0</v>
      </c>
      <c r="J122">
        <f t="shared" si="27"/>
        <v>7</v>
      </c>
      <c r="K122" s="4">
        <f t="shared" si="30"/>
        <v>3.5000000000000001E-3</v>
      </c>
      <c r="L122">
        <f t="shared" si="31"/>
        <v>0.02</v>
      </c>
      <c r="M122" s="4">
        <f t="shared" si="28"/>
        <v>2.4500000000000001E-2</v>
      </c>
      <c r="N122" s="4">
        <f t="shared" si="29"/>
        <v>0.14000000000000001</v>
      </c>
    </row>
    <row r="123" spans="1:14">
      <c r="A123" t="str">
        <f t="shared" si="18"/>
        <v>MK~BR_CN~Vai_de_Visa_MN~NONE_YQ~19Q1Q4_CP~NONE_OB~LDS_PK~NONE</v>
      </c>
      <c r="B123" t="str">
        <f t="shared" si="19"/>
        <v>Facebook</v>
      </c>
      <c r="C123" t="str">
        <f t="shared" si="20"/>
        <v>CH~SOCIAL_DT~MULTI_PB~FCBK_FM~LINKAD_RT~CPM_PD~CV~VDV_PERFORMANCE_RAPPI_LARANJA_CS~LINK_AD_RETANGULAR_CT~FB_1X1_TG~BHVDEM_TS~NONE_SZ~1X1_DISPLAY_MK~BR_IT~DISPLAY_VV~NONE</v>
      </c>
      <c r="D123" t="str">
        <f t="shared" si="21"/>
        <v>252207496</v>
      </c>
      <c r="E123" t="str">
        <f t="shared" si="22"/>
        <v>Dynamic Click</v>
      </c>
      <c r="F123" t="str">
        <f t="shared" si="23"/>
        <v>CH~SOCIAL_DT~MULTI_PB~FCBK_FM~LINKAD_RT~CPM_PD~CV~VDV_PERFORMANCE_RAPPI_LARANJA_CS~LINK_AD_RETANGULAR_CT~FB_1X1_TG~BHVDEM_TS~NONE_SZ~1X1_DISPLAY_MK~BR_IT~DISPLAY_VV~NONE</v>
      </c>
      <c r="G123" t="str">
        <f t="shared" si="24"/>
        <v>448341427</v>
      </c>
      <c r="H123" t="str">
        <f t="shared" si="25"/>
        <v>Tracking</v>
      </c>
      <c r="I123">
        <f t="shared" si="26"/>
        <v>0</v>
      </c>
      <c r="J123">
        <f t="shared" si="27"/>
        <v>5</v>
      </c>
      <c r="K123" s="4">
        <f t="shared" si="30"/>
        <v>3.5000000000000001E-3</v>
      </c>
      <c r="L123">
        <f t="shared" si="31"/>
        <v>0.02</v>
      </c>
      <c r="M123" s="4">
        <f t="shared" si="28"/>
        <v>1.7500000000000002E-2</v>
      </c>
      <c r="N123" s="4">
        <f t="shared" si="29"/>
        <v>0.1</v>
      </c>
    </row>
    <row r="124" spans="1:14">
      <c r="A124" t="str">
        <f t="shared" si="18"/>
        <v>MK~BR_CN~Vai_de_Visa_MN~NONE_YQ~19Q1Q4_CP~NONE_OB~LDS_PK~NONE</v>
      </c>
      <c r="B124" t="str">
        <f t="shared" si="19"/>
        <v>Facebook</v>
      </c>
      <c r="C124" t="str">
        <f t="shared" si="20"/>
        <v>CH~SOCIAL_DT~MULTI_PB~FCBK_FM~LINKAD_RT~CPM_PD~CV~VDV_PERFORMANCE_RAPPI_VERDE_CS~LINK_AD_QUADRADO_CT~FB_1X1_TG~BHVDEM_TS~NONE_SZ~1X1_DISPLAY_MK~BR_IT~DISPLAY_VV~NONE</v>
      </c>
      <c r="D124" t="str">
        <f t="shared" si="21"/>
        <v>251834199</v>
      </c>
      <c r="E124" t="str">
        <f t="shared" si="22"/>
        <v>Dynamic Click</v>
      </c>
      <c r="F124" t="str">
        <f t="shared" si="23"/>
        <v>CH~SOCIAL_DT~MULTI_PB~FCBK_FM~LINKAD_RT~CPM_PD~CV~VDV_PERFORMANCE_RAPPI_VERDE_CS~LINK_AD_QUADRADO_CT~FB_1X1_TG~BHVDEM_TS~NONE_SZ~1X1_DISPLAY_MK~BR_IT~DISPLAY_VV~NONE</v>
      </c>
      <c r="G124" t="str">
        <f t="shared" si="24"/>
        <v>447756114</v>
      </c>
      <c r="H124" t="str">
        <f t="shared" si="25"/>
        <v>Tracking</v>
      </c>
      <c r="I124">
        <f t="shared" si="26"/>
        <v>0</v>
      </c>
      <c r="J124">
        <f t="shared" si="27"/>
        <v>1666</v>
      </c>
      <c r="K124" s="4">
        <f t="shared" si="30"/>
        <v>3.5000000000000001E-3</v>
      </c>
      <c r="L124">
        <f t="shared" si="31"/>
        <v>0.02</v>
      </c>
      <c r="M124" s="4">
        <f t="shared" si="28"/>
        <v>5.8310000000000004</v>
      </c>
      <c r="N124" s="4">
        <f t="shared" si="29"/>
        <v>33.32</v>
      </c>
    </row>
    <row r="125" spans="1:14">
      <c r="A125" t="str">
        <f t="shared" si="18"/>
        <v>MK~BR_CN~Vai_de_Visa_MN~NONE_YQ~19Q1Q4_CP~NONE_OB~LDS_PK~NONE</v>
      </c>
      <c r="B125" t="str">
        <f t="shared" si="19"/>
        <v>Facebook</v>
      </c>
      <c r="C125" t="str">
        <f t="shared" si="20"/>
        <v>CH~SOCIAL_DT~MULTI_PB~FCBK_FM~LINKAD_RT~CPM_PD~CV~VDV_PERFORMANCE_RAPPI_VERDE_CS~LINK_AD_RETANGULAR_CT~FB_1X1_TG~BHVDEM_TS~NONE_SZ~1X1_DISPLAY_MK~BR_IT~DISPLAY_VV~NONE</v>
      </c>
      <c r="D125" t="str">
        <f t="shared" si="21"/>
        <v>251422685</v>
      </c>
      <c r="E125" t="str">
        <f t="shared" si="22"/>
        <v>Dynamic Click</v>
      </c>
      <c r="F125" t="str">
        <f t="shared" si="23"/>
        <v>CH~SOCIAL_DT~MULTI_PB~FCBK_FM~LINKAD_RT~CPM_PD~CV~VDV_PERFORMANCE_RAPPI_VERDE_CS~LINK_AD_RETANGULAR_CT~FB_1X1_TG~BHVDEM_TS~NONE_SZ~1X1_DISPLAY_MK~BR_IT~DISPLAY_VV~NONE</v>
      </c>
      <c r="G125" t="str">
        <f t="shared" si="24"/>
        <v>447907132</v>
      </c>
      <c r="H125" t="str">
        <f t="shared" si="25"/>
        <v>Tracking</v>
      </c>
      <c r="I125">
        <f t="shared" si="26"/>
        <v>0</v>
      </c>
      <c r="J125">
        <f t="shared" si="27"/>
        <v>515</v>
      </c>
      <c r="K125" s="4">
        <f t="shared" si="30"/>
        <v>3.5000000000000001E-3</v>
      </c>
      <c r="L125">
        <f t="shared" si="31"/>
        <v>0.02</v>
      </c>
      <c r="M125" s="4">
        <f t="shared" si="28"/>
        <v>1.8025</v>
      </c>
      <c r="N125" s="4">
        <f t="shared" si="29"/>
        <v>10.3</v>
      </c>
    </row>
    <row r="126" spans="1:14">
      <c r="A126" t="str">
        <f t="shared" si="18"/>
        <v>MK~BR_CN~Vai_de_Visa_MN~NONE_YQ~19Q1Q4_CP~NONE_OB~LDS_PK~NONE</v>
      </c>
      <c r="B126" t="str">
        <f t="shared" si="19"/>
        <v>Facebook</v>
      </c>
      <c r="C126" t="str">
        <f t="shared" si="20"/>
        <v>CH~SOCIAL_DT~MULTI_PB~FCBK_FM~LINKAD_RT~CPM_PD~VCO_AWARENESS_GOL_FACEBOOK_LINKAD_ANIMADO_CHAT_1X1_TG~BHVDEM_TS~NONE_SZ~1X1_DISPLAY_MK~BR_IT~DISPLAY_VV~NONE</v>
      </c>
      <c r="D126" t="str">
        <f t="shared" si="21"/>
        <v>248336432</v>
      </c>
      <c r="E126" t="str">
        <f t="shared" si="22"/>
        <v>Dynamic Click</v>
      </c>
      <c r="F126" t="str">
        <f t="shared" si="23"/>
        <v>CH~SOCIAL_DT~MULTI_PB~FCBK_FM~LINKAD_RT~CPM_PD~VCO_AWARENESS_GOL_FACEBOOK_LINKAD_ANIMADO_CHAT_1X1_TG~BHVDEM_TS~NONE_SZ~1X1_DISPLAY_MK~BR_IT~DISPLAY_VV~NONE</v>
      </c>
      <c r="G126" t="str">
        <f t="shared" si="24"/>
        <v>444858043</v>
      </c>
      <c r="H126" t="str">
        <f t="shared" si="25"/>
        <v>Tracking</v>
      </c>
      <c r="I126">
        <f t="shared" si="26"/>
        <v>0</v>
      </c>
      <c r="J126">
        <f t="shared" si="27"/>
        <v>15201</v>
      </c>
      <c r="K126" s="4">
        <f t="shared" si="30"/>
        <v>3.5000000000000001E-3</v>
      </c>
      <c r="L126">
        <f t="shared" si="31"/>
        <v>0.02</v>
      </c>
      <c r="M126" s="4">
        <f t="shared" si="28"/>
        <v>53.203499999999998</v>
      </c>
      <c r="N126" s="4">
        <f t="shared" si="29"/>
        <v>304.02</v>
      </c>
    </row>
    <row r="127" spans="1:14">
      <c r="A127" t="str">
        <f t="shared" si="18"/>
        <v>MK~BR_CN~Vai_de_Visa_MN~NONE_YQ~19Q1Q4_CP~NONE_OB~LDS_PK~NONE</v>
      </c>
      <c r="B127" t="str">
        <f t="shared" si="19"/>
        <v>Facebook</v>
      </c>
      <c r="C127" t="str">
        <f t="shared" si="20"/>
        <v>CH~SOCIAL_DT~MULTI_PB~FCBK_FM~LINKAD_RT~CPM_PD~VCO_AWARENESS_GOL_FACEBOOK_LINKAD_ANIMADO_COMPLETO_1X1_TG~BHVDEM_TS~NONE_SZ~1X1_DISPLAY_MK~BR_IT~DISPLAY_VV~NONE</v>
      </c>
      <c r="D127" t="str">
        <f t="shared" si="21"/>
        <v>248336426</v>
      </c>
      <c r="E127" t="str">
        <f t="shared" si="22"/>
        <v>Dynamic Click</v>
      </c>
      <c r="F127" t="str">
        <f t="shared" si="23"/>
        <v>CH~SOCIAL_DT~MULTI_PB~FCBK_FM~LINKAD_RT~CPM_PD~VCO_AWARENESS_GOL_FACEBOOK_LINKAD_ANIMADO_COMPLETO_1X1_TG~BHVDEM_TS~NONE_SZ~1X1_DISPLAY_MK~BR_IT~DISPLAY_VV~NONE</v>
      </c>
      <c r="G127" t="str">
        <f t="shared" si="24"/>
        <v>444858037</v>
      </c>
      <c r="H127" t="str">
        <f t="shared" si="25"/>
        <v>Tracking</v>
      </c>
      <c r="I127">
        <f t="shared" si="26"/>
        <v>0</v>
      </c>
      <c r="J127">
        <f t="shared" si="27"/>
        <v>6278</v>
      </c>
      <c r="K127" s="4">
        <f t="shared" si="30"/>
        <v>3.5000000000000001E-3</v>
      </c>
      <c r="L127">
        <f t="shared" si="31"/>
        <v>0.02</v>
      </c>
      <c r="M127" s="4">
        <f t="shared" si="28"/>
        <v>21.972999999999999</v>
      </c>
      <c r="N127" s="4">
        <f t="shared" si="29"/>
        <v>125.56</v>
      </c>
    </row>
    <row r="128" spans="1:14">
      <c r="A128" t="str">
        <f t="shared" si="18"/>
        <v>MK~BR_CN~Vai_de_Visa_MN~NONE_YQ~19Q1Q4_CP~NONE_OB~LDS_PK~NONE</v>
      </c>
      <c r="B128" t="str">
        <f t="shared" si="19"/>
        <v>Facebook</v>
      </c>
      <c r="C128" t="str">
        <f t="shared" si="20"/>
        <v>CH~SOCIAL_DT~MULTI_PB~FCBK_FM~LINKAD_RT~CPM_PD~VCO_AWARENESS_GOL_FACEBOOK_LINKAD_ANIMADO_EMAIL_1X1_TG~BHVDEM_TS~NONE_SZ~1X1_DISPLAY_MK~BR_IT~DISPLAY_VV~NONE</v>
      </c>
      <c r="D128" t="str">
        <f t="shared" si="21"/>
        <v>248336429</v>
      </c>
      <c r="E128" t="str">
        <f t="shared" si="22"/>
        <v>Dynamic Click</v>
      </c>
      <c r="F128" t="str">
        <f t="shared" si="23"/>
        <v>CH~SOCIAL_DT~MULTI_PB~FCBK_FM~LINKAD_RT~CPM_PD~VCO_AWARENESS_GOL_FACEBOOK_LINKAD_ANIMADO_EMAIL_1X1_TG~BHVDEM_TS~NONE_SZ~1X1_DISPLAY_MK~BR_IT~DISPLAY_VV~NONE</v>
      </c>
      <c r="G128" t="str">
        <f t="shared" si="24"/>
        <v>444858040</v>
      </c>
      <c r="H128" t="str">
        <f t="shared" si="25"/>
        <v>Tracking</v>
      </c>
      <c r="I128">
        <f t="shared" si="26"/>
        <v>0</v>
      </c>
      <c r="J128">
        <f t="shared" si="27"/>
        <v>98</v>
      </c>
      <c r="K128" s="4">
        <f t="shared" si="30"/>
        <v>3.5000000000000001E-3</v>
      </c>
      <c r="L128">
        <f t="shared" si="31"/>
        <v>0.02</v>
      </c>
      <c r="M128" s="4">
        <f t="shared" si="28"/>
        <v>0.34300000000000003</v>
      </c>
      <c r="N128" s="4">
        <f t="shared" si="29"/>
        <v>1.96</v>
      </c>
    </row>
    <row r="129" spans="1:14">
      <c r="A129" t="str">
        <f t="shared" si="18"/>
        <v>MK~BR_CN~Vai_de_Visa_MN~NONE_YQ~19Q1Q4_CP~NONE_OB~LDS_PK~NONE</v>
      </c>
      <c r="B129" t="str">
        <f t="shared" si="19"/>
        <v>Facebook</v>
      </c>
      <c r="C129" t="str">
        <f t="shared" si="20"/>
        <v>CH~SOCIAL_DT~MULTI_PB~FCBK_FM~LINKAD_RT~CPM_PD~VCO_AWARENESS_GOL_FACEBOOK_LINKAD_ESTATICO_1X1_TG~BHVDEM_TS~NONE_SZ~1X1_DISPLAY_MK~BR_IT~DISPLAY_VV~NONE</v>
      </c>
      <c r="D129" t="str">
        <f t="shared" si="21"/>
        <v>248336435</v>
      </c>
      <c r="E129" t="str">
        <f t="shared" si="22"/>
        <v>Dynamic Click</v>
      </c>
      <c r="F129" t="str">
        <f t="shared" si="23"/>
        <v>CH~SOCIAL_DT~MULTI_PB~FCBK_FM~LINKAD_RT~CPM_PD~VCO_AWARENESS_GOL_FACEBOOK_LINKAD_ESTATICO_1X1_TG~BHVDEM_TS~NONE_SZ~1X1_DISPLAY_MK~BR_IT~DISPLAY_VV~NONE</v>
      </c>
      <c r="G129" t="str">
        <f t="shared" si="24"/>
        <v>444858046</v>
      </c>
      <c r="H129" t="str">
        <f t="shared" si="25"/>
        <v>Tracking</v>
      </c>
      <c r="I129">
        <f t="shared" si="26"/>
        <v>0</v>
      </c>
      <c r="J129">
        <f t="shared" si="27"/>
        <v>1</v>
      </c>
      <c r="K129" s="4">
        <f t="shared" si="30"/>
        <v>3.5000000000000001E-3</v>
      </c>
      <c r="L129">
        <f t="shared" si="31"/>
        <v>0.02</v>
      </c>
      <c r="M129" s="4">
        <f t="shared" si="28"/>
        <v>3.5000000000000001E-3</v>
      </c>
      <c r="N129" s="4">
        <f t="shared" si="29"/>
        <v>0.02</v>
      </c>
    </row>
    <row r="130" spans="1:14">
      <c r="A130" t="str">
        <f t="shared" ref="A130:A193" si="32">bd_campaign</f>
        <v>MK~BR_CN~Vai_de_Visa_MN~NONE_YQ~19Q1Q4_CP~NONE_OB~LDS_PK~NONE</v>
      </c>
      <c r="B130" t="str">
        <f t="shared" ref="B130:B193" si="33">bd_site</f>
        <v>Facebook</v>
      </c>
      <c r="C130" t="str">
        <f t="shared" ref="C130:C193" si="34">bd_placement</f>
        <v>CH~SOCIAL_DT~MULTI_PB~FCBK_FM~LINKAD_RT~CPM_PD~VCO_AWARENESS_GOL_FACEBOOK_LINKAD_WIFI_CELULAR_1X1_TG~BHVDEM_TS~NONE_SZ~1X1_DISPLAY_MK~BR_IT~DISPLAY_VV~NONE</v>
      </c>
      <c r="D130" t="str">
        <f t="shared" ref="D130:D193" si="35">bd_placementID</f>
        <v>248648920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CH~SOCIAL_DT~MULTI_PB~FCBK_FM~LINKAD_RT~CPM_PD~VCO_AWARENESS_GOL_FACEBOOK_LINKAD_WIFI_CELULAR_1X1_TG~BHVDEM_TS~NONE_SZ~1X1_DISPLAY_MK~BR_IT~DISPLAY_VV~NONE</v>
      </c>
      <c r="G130" t="str">
        <f t="shared" ref="G130:G193" si="38">bd_adid</f>
        <v>444972361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1</v>
      </c>
      <c r="K130" s="4">
        <f t="shared" si="30"/>
        <v>3.5000000000000001E-3</v>
      </c>
      <c r="L130">
        <f t="shared" si="31"/>
        <v>0.02</v>
      </c>
      <c r="M130" s="4">
        <f t="shared" si="28"/>
        <v>3.5000000000000001E-3</v>
      </c>
      <c r="N130" s="4">
        <f t="shared" si="29"/>
        <v>0.02</v>
      </c>
    </row>
    <row r="131" spans="1:14">
      <c r="A131" t="str">
        <f t="shared" si="32"/>
        <v>MK~BR_CN~Vai_de_Visa_MN~NONE_YQ~19Q1Q4_CP~NONE_OB~LDS_PK~NONE</v>
      </c>
      <c r="B131" t="str">
        <f t="shared" si="33"/>
        <v>Facebook</v>
      </c>
      <c r="C131" t="str">
        <f t="shared" si="34"/>
        <v>CH~SOCIAL_DT~MULTI_PB~FCBK_FM~LINKAD_RT~CPM_PD~VCO_AWARENESS_GOL_FACEBOOK_LINKAD_WIFI_MULHER_1X1_TG~BHVDEM_TS~NONE_SZ~1X1_DISPLAY_MK~BR_IT~DISPLAY_VV~NONE</v>
      </c>
      <c r="D131" t="str">
        <f t="shared" si="35"/>
        <v>248648917</v>
      </c>
      <c r="E131" t="str">
        <f t="shared" si="36"/>
        <v>Dynamic Click</v>
      </c>
      <c r="F131" t="str">
        <f t="shared" si="37"/>
        <v>CH~SOCIAL_DT~MULTI_PB~FCBK_FM~LINKAD_RT~CPM_PD~VCO_AWARENESS_GOL_FACEBOOK_LINKAD_WIFI_MULHER_1X1_TG~BHVDEM_TS~NONE_SZ~1X1_DISPLAY_MK~BR_IT~DISPLAY_VV~NONE</v>
      </c>
      <c r="G131" t="str">
        <f t="shared" si="38"/>
        <v>444972358</v>
      </c>
      <c r="H131" t="str">
        <f t="shared" si="39"/>
        <v>Tracking</v>
      </c>
      <c r="I131">
        <f t="shared" si="40"/>
        <v>0</v>
      </c>
      <c r="J131">
        <f t="shared" si="41"/>
        <v>2</v>
      </c>
      <c r="K131" s="4">
        <f t="shared" si="30"/>
        <v>3.5000000000000001E-3</v>
      </c>
      <c r="L131">
        <f t="shared" si="31"/>
        <v>0.02</v>
      </c>
      <c r="M131" s="4">
        <f t="shared" si="28"/>
        <v>7.0000000000000001E-3</v>
      </c>
      <c r="N131" s="4">
        <f t="shared" si="29"/>
        <v>0.04</v>
      </c>
    </row>
    <row r="132" spans="1:14">
      <c r="A132" t="str">
        <f t="shared" si="32"/>
        <v>MK~BR_CN~Vai_de_Visa_MN~NONE_YQ~19Q1Q4_CP~NONE_OB~LDS_PK~NONE</v>
      </c>
      <c r="B132" t="str">
        <f t="shared" si="33"/>
        <v>Facebook</v>
      </c>
      <c r="C132" t="str">
        <f t="shared" si="34"/>
        <v>CH~SOCIAL_DT~MULTI_PB~FCBK_FM~LINKAD_RT~CPM_PD~VDV_AWARENESS_CAMICADO_FACEBOOK_LINKAD_10OFF_1X1_TG~BHVDEM_TS~NONE_SZ~1X1_DISPLAY_MK~BR_IT~DISPLAY_VV~NONE</v>
      </c>
      <c r="D132" t="str">
        <f t="shared" si="35"/>
        <v>248693300</v>
      </c>
      <c r="E132" t="str">
        <f t="shared" si="36"/>
        <v>Dynamic Click</v>
      </c>
      <c r="F132" t="str">
        <f t="shared" si="37"/>
        <v>CH~SOCIAL_DT~MULTI_PB~FCBK_FM~LINKAD_RT~CPM_PD~VDV_AWARENESS_CAMICADO_FACEBOOK_LINKAD_10OFF_1X1_TG~BHVDEM_TS~NONE_SZ~1X1_DISPLAY_MK~BR_IT~DISPLAY_VV~NONE</v>
      </c>
      <c r="G132" t="str">
        <f t="shared" si="38"/>
        <v>445251628</v>
      </c>
      <c r="H132" t="str">
        <f t="shared" si="39"/>
        <v>Tracking</v>
      </c>
      <c r="I132">
        <f t="shared" si="40"/>
        <v>0</v>
      </c>
      <c r="J132">
        <f t="shared" si="41"/>
        <v>16</v>
      </c>
      <c r="K132" s="4">
        <f t="shared" si="30"/>
        <v>3.5000000000000001E-3</v>
      </c>
      <c r="L132">
        <f t="shared" si="31"/>
        <v>0.02</v>
      </c>
      <c r="M132" s="4">
        <f t="shared" si="28"/>
        <v>5.6000000000000001E-2</v>
      </c>
      <c r="N132" s="4">
        <f t="shared" si="29"/>
        <v>0.32</v>
      </c>
    </row>
    <row r="133" spans="1:14">
      <c r="A133" t="str">
        <f t="shared" si="32"/>
        <v>MK~BR_CN~Vai_de_Visa_MN~NONE_YQ~19Q1Q4_CP~NONE_OB~LDS_PK~NONE</v>
      </c>
      <c r="B133" t="str">
        <f t="shared" si="33"/>
        <v>Facebook</v>
      </c>
      <c r="C133" t="str">
        <f t="shared" si="34"/>
        <v>CH~SOCIAL_DT~MULTI_PB~FCBK_FM~LINKAD_RT~CPM_PD~VDV_AWARENESS_EDUCACIONAL_DÉBITO_LINKAD_1X1_TG~BHVDEM_TS~NONE_SZ~1X1_DISPLAY_MK~BR_IT~DISPLAY_VV~NONE</v>
      </c>
      <c r="D133" t="str">
        <f t="shared" si="35"/>
        <v>251802356</v>
      </c>
      <c r="E133" t="str">
        <f t="shared" si="36"/>
        <v>Dynamic Click</v>
      </c>
      <c r="F133" t="str">
        <f t="shared" si="37"/>
        <v>CH~SOCIAL_DT~MULTI_PB~FCBK_FM~LINKAD_RT~CPM_PD~VDV_AWARENESS_EDUCACIONAL_DÉBITO_LINKAD_1X1_TG~BHVDEM_TS~NONE_SZ~1X1_DISPLAY_MK~BR_IT~DISPLAY_VV~NONE</v>
      </c>
      <c r="G133" t="str">
        <f t="shared" si="38"/>
        <v>448275580</v>
      </c>
      <c r="H133" t="str">
        <f t="shared" si="39"/>
        <v>Tracking</v>
      </c>
      <c r="I133">
        <f t="shared" si="40"/>
        <v>0</v>
      </c>
      <c r="J133">
        <f t="shared" si="41"/>
        <v>680</v>
      </c>
      <c r="K133" s="4">
        <f t="shared" si="30"/>
        <v>3.5000000000000001E-3</v>
      </c>
      <c r="L133">
        <f t="shared" si="31"/>
        <v>0.02</v>
      </c>
      <c r="M133" s="4">
        <f t="shared" si="28"/>
        <v>2.38</v>
      </c>
      <c r="N133" s="4">
        <f t="shared" si="29"/>
        <v>13.6</v>
      </c>
    </row>
    <row r="134" spans="1:14">
      <c r="A134" t="str">
        <f t="shared" si="32"/>
        <v>MK~BR_CN~Vai_de_Visa_MN~NONE_YQ~19Q1Q4_CP~NONE_OB~LDS_PK~NONE</v>
      </c>
      <c r="B134" t="str">
        <f t="shared" si="33"/>
        <v>Facebook</v>
      </c>
      <c r="C134" t="str">
        <f t="shared" si="34"/>
        <v>CH~SOCIAL_DT~MULTI_PB~FCBK_FM~LINKAD_RT~CPM_PD~VDV_CABIFY_PERFORMANCE_FACEBOOK_LINKAD_QUADRADO_1X1_TG~BHVDEM_TS~NONE_SZ~1X1_DISPLAY_MK~BR_IT~DISPLAY_VV~NONE</v>
      </c>
      <c r="D134" t="str">
        <f t="shared" si="35"/>
        <v>249404378</v>
      </c>
      <c r="E134" t="str">
        <f t="shared" si="36"/>
        <v>Dynamic Click</v>
      </c>
      <c r="F134" t="str">
        <f t="shared" si="37"/>
        <v>CH~SOCIAL_DT~MULTI_PB~FCBK_FM~LINKAD_RT~CPM_PD~VDV_CABIFY_PERFORMANCE_FACEBOOK_LINKAD_QUADRADO_1X1_TG~BHVDEM_TS~NONE_SZ~1X1_DISPLAY_MK~BR_IT~DISPLAY_VV~NONE</v>
      </c>
      <c r="G134" t="str">
        <f t="shared" si="38"/>
        <v>445838459</v>
      </c>
      <c r="H134" t="str">
        <f t="shared" si="39"/>
        <v>Tracking</v>
      </c>
      <c r="I134">
        <f t="shared" si="40"/>
        <v>0</v>
      </c>
      <c r="J134">
        <f t="shared" si="41"/>
        <v>1</v>
      </c>
      <c r="K134" s="4">
        <f t="shared" si="30"/>
        <v>3.5000000000000001E-3</v>
      </c>
      <c r="L134">
        <f t="shared" si="31"/>
        <v>0.02</v>
      </c>
      <c r="M134" s="4">
        <f t="shared" si="28"/>
        <v>3.5000000000000001E-3</v>
      </c>
      <c r="N134" s="4">
        <f t="shared" si="29"/>
        <v>0.02</v>
      </c>
    </row>
    <row r="135" spans="1:14">
      <c r="A135" t="str">
        <f t="shared" si="32"/>
        <v>MK~BR_CN~Vai_de_Visa_MN~NONE_YQ~19Q1Q4_CP~NONE_OB~LDS_PK~NONE</v>
      </c>
      <c r="B135" t="str">
        <f t="shared" si="33"/>
        <v>Facebook</v>
      </c>
      <c r="C135" t="str">
        <f t="shared" si="34"/>
        <v>CH~SOCIAL_DT~MULTI_PB~FCBK_FM~LINKAD_RT~CPM_PD~VDV_CABIFY_PERFORMANCE_FACEBOOK_LINKAD_RETANGULAR_1X1_TG~BHVDEM_TS~NONE_SZ~1X1_DISPLAY_MK~BR_IT~DISPLAY_VV~NONE</v>
      </c>
      <c r="D135" t="str">
        <f t="shared" si="35"/>
        <v>249404582</v>
      </c>
      <c r="E135" t="str">
        <f t="shared" si="36"/>
        <v>Dynamic Click</v>
      </c>
      <c r="F135" t="str">
        <f t="shared" si="37"/>
        <v>CH~SOCIAL_DT~MULTI_PB~FCBK_FM~LINKAD_RT~CPM_PD~VDV_CABIFY_PERFORMANCE_FACEBOOK_LINKAD_RETANGULAR_1X1_TG~BHVDEM_TS~NONE_SZ~1X1_DISPLAY_MK~BR_IT~DISPLAY_VV~NONE</v>
      </c>
      <c r="G135" t="str">
        <f t="shared" si="38"/>
        <v>445760799</v>
      </c>
      <c r="H135" t="str">
        <f t="shared" si="39"/>
        <v>Tracking</v>
      </c>
      <c r="I135">
        <f t="shared" si="40"/>
        <v>0</v>
      </c>
      <c r="J135">
        <f t="shared" si="41"/>
        <v>2</v>
      </c>
      <c r="K135" s="4">
        <f t="shared" si="30"/>
        <v>3.5000000000000001E-3</v>
      </c>
      <c r="L135">
        <f t="shared" si="31"/>
        <v>0.02</v>
      </c>
      <c r="M135" s="4">
        <f t="shared" si="28"/>
        <v>7.0000000000000001E-3</v>
      </c>
      <c r="N135" s="4">
        <f t="shared" si="29"/>
        <v>0.04</v>
      </c>
    </row>
    <row r="136" spans="1:14">
      <c r="A136" t="str">
        <f t="shared" si="32"/>
        <v>MK~BR_CN~Vai_de_Visa_MN~NONE_YQ~19Q1Q4_CP~NONE_OB~LDS_PK~NONE</v>
      </c>
      <c r="B136" t="str">
        <f t="shared" si="33"/>
        <v>Facebook</v>
      </c>
      <c r="C136" t="str">
        <f t="shared" si="34"/>
        <v>CH~SOCIAL_DT~MULTI_PB~FCBK_FM~LINKAD_RT~CPM_PD~VDV_DECOLAR_PERFORMANCE_FACEBOOK_LINKAD_15OFF_CAMPO_1X1_TG~BHVDEM_TS~NONE_SZ~1X1_SOCIAL_MK~BR_IT~SOCIAL_VV~NONE</v>
      </c>
      <c r="D136" t="str">
        <f t="shared" si="35"/>
        <v>245600986</v>
      </c>
      <c r="E136" t="str">
        <f t="shared" si="36"/>
        <v>Dynamic Click</v>
      </c>
      <c r="F136" t="str">
        <f t="shared" si="37"/>
        <v>CH~SOCIAL_DT~MULTI_PB~FCBK_FM~LINKAD_RT~CPM_PD~VDV_DECOLAR_PERFORMANCE_FACEBOOK_LINKAD_15OFF_CAMPO_1X1_TG~BHVDEM_TS~NONE_SZ~1X1_SOCIAL_MK~BR_IT~SOCIAL_VV~NONE</v>
      </c>
      <c r="G136" t="str">
        <f t="shared" si="38"/>
        <v>442156437</v>
      </c>
      <c r="H136" t="str">
        <f t="shared" si="39"/>
        <v>Tracking</v>
      </c>
      <c r="I136">
        <f t="shared" si="40"/>
        <v>0</v>
      </c>
      <c r="J136">
        <f t="shared" si="41"/>
        <v>3963</v>
      </c>
      <c r="K136" s="4">
        <f t="shared" si="30"/>
        <v>3.5000000000000001E-3</v>
      </c>
      <c r="L136">
        <f t="shared" si="31"/>
        <v>0.02</v>
      </c>
      <c r="M136" s="4">
        <f t="shared" si="28"/>
        <v>13.8705</v>
      </c>
      <c r="N136" s="4">
        <f t="shared" si="29"/>
        <v>79.260000000000005</v>
      </c>
    </row>
    <row r="137" spans="1:14">
      <c r="A137" t="str">
        <f t="shared" si="32"/>
        <v>MK~BR_CN~Vai_de_Visa_MN~NONE_YQ~19Q1Q4_CP~NONE_OB~LDS_PK~NONE</v>
      </c>
      <c r="B137" t="str">
        <f t="shared" si="33"/>
        <v>Facebook</v>
      </c>
      <c r="C137" t="str">
        <f t="shared" si="34"/>
        <v>CH~SOCIAL_DT~MULTI_PB~FCBK_FM~LINKAD_RT~CPM_PD~VDV_DECOLAR_PERFORMANCE_FACEBOOK_LINKAD_15OFF_MAR_1X1_TG~BHVDEM_TS~NONE_SZ~1X1_SOCIAL_MK~BR_IT~SOCIAL_VV~NONE</v>
      </c>
      <c r="D137" t="str">
        <f t="shared" si="35"/>
        <v>245601013</v>
      </c>
      <c r="E137" t="str">
        <f t="shared" si="36"/>
        <v>Dynamic Click</v>
      </c>
      <c r="F137" t="str">
        <f t="shared" si="37"/>
        <v>CH~SOCIAL_DT~MULTI_PB~FCBK_FM~LINKAD_RT~CPM_PD~VDV_DECOLAR_PERFORMANCE_FACEBOOK_LINKAD_15OFF_MAR_1X1_TG~BHVDEM_TS~NONE_SZ~1X1_SOCIAL_MK~BR_IT~SOCIAL_VV~NONE</v>
      </c>
      <c r="G137" t="str">
        <f t="shared" si="38"/>
        <v>442156464</v>
      </c>
      <c r="H137" t="str">
        <f t="shared" si="39"/>
        <v>Tracking</v>
      </c>
      <c r="I137">
        <f t="shared" si="40"/>
        <v>0</v>
      </c>
      <c r="J137">
        <f t="shared" si="41"/>
        <v>34</v>
      </c>
      <c r="K137" s="4">
        <f t="shared" si="30"/>
        <v>3.5000000000000001E-3</v>
      </c>
      <c r="L137">
        <f t="shared" si="31"/>
        <v>0.02</v>
      </c>
      <c r="M137" s="4">
        <f t="shared" si="28"/>
        <v>0.11900000000000001</v>
      </c>
      <c r="N137" s="4">
        <f t="shared" si="29"/>
        <v>0.68</v>
      </c>
    </row>
    <row r="138" spans="1:14">
      <c r="A138" t="str">
        <f t="shared" si="32"/>
        <v>MK~BR_CN~Vai_de_Visa_MN~NONE_YQ~19Q1Q4_CP~NONE_OB~LDS_PK~NONE</v>
      </c>
      <c r="B138" t="str">
        <f t="shared" si="33"/>
        <v>Facebook</v>
      </c>
      <c r="C138" t="str">
        <f t="shared" si="34"/>
        <v>CH~SOCIAL_DT~MULTI_PB~FCBK_FM~LINKAD_RT~CPM_PD~VDV_DECOLAR_PERFORMANCE_FACEBOOK_LINKAD_15OFF_PREDIOS_1X1_TG~BHVDEM_TS~NONE_SZ~1X1_SOCIAL_MK~BR_IT~SOCIAL_VV~NONE</v>
      </c>
      <c r="D138" t="str">
        <f t="shared" si="35"/>
        <v>245600938</v>
      </c>
      <c r="E138" t="str">
        <f t="shared" si="36"/>
        <v>Dynamic Click</v>
      </c>
      <c r="F138" t="str">
        <f t="shared" si="37"/>
        <v>CH~SOCIAL_DT~MULTI_PB~FCBK_FM~LINKAD_RT~CPM_PD~VDV_DECOLAR_PERFORMANCE_FACEBOOK_LINKAD_15OFF_PREDIOS_1X1_TG~BHVDEM_TS~NONE_SZ~1X1_SOCIAL_MK~BR_IT~SOCIAL_VV~NONE</v>
      </c>
      <c r="G138" t="str">
        <f t="shared" si="38"/>
        <v>442155900</v>
      </c>
      <c r="H138" t="str">
        <f t="shared" si="39"/>
        <v>Tracking</v>
      </c>
      <c r="I138">
        <f t="shared" si="40"/>
        <v>0</v>
      </c>
      <c r="J138">
        <f t="shared" si="41"/>
        <v>3371</v>
      </c>
      <c r="K138" s="4">
        <f t="shared" si="30"/>
        <v>3.5000000000000001E-3</v>
      </c>
      <c r="L138">
        <f t="shared" si="31"/>
        <v>0.02</v>
      </c>
      <c r="M138" s="4">
        <f t="shared" si="28"/>
        <v>11.798500000000001</v>
      </c>
      <c r="N138" s="4">
        <f t="shared" si="29"/>
        <v>67.42</v>
      </c>
    </row>
    <row r="139" spans="1:14">
      <c r="A139" t="str">
        <f t="shared" si="32"/>
        <v>MK~BR_CN~Vai_de_Visa_MN~NONE_YQ~19Q1Q4_CP~NONE_OB~LDS_PK~NONE</v>
      </c>
      <c r="B139" t="str">
        <f t="shared" si="33"/>
        <v>Facebook</v>
      </c>
      <c r="C139" t="str">
        <f t="shared" si="34"/>
        <v>CH~SOCIAL_DT~MULTI_PB~FCBK_FM~LINKAD_RT~CPM_PD~VDV_EDUCACIONAL_AWARENESS_LINKAD_FACEBOOOK_DESCONTO_1X1_TG~BHVDEM_TS~NONE_SZ~1X1_DISPLAY_MK~BR_IT~DISPLAY_VV~NONE</v>
      </c>
      <c r="D139" t="str">
        <f t="shared" si="35"/>
        <v>251415541</v>
      </c>
      <c r="E139" t="str">
        <f t="shared" si="36"/>
        <v>Dynamic Click</v>
      </c>
      <c r="F139" t="str">
        <f t="shared" si="37"/>
        <v>CH~SOCIAL_DT~MULTI_PB~FCBK_FM~LINKAD_RT~CPM_PD~VDV_EDUCACIONAL_AWARENESS_LINKAD_FACEBOOOK_DESCONTO_1X1_TG~BHVDEM_TS~NONE_SZ~1X1_DISPLAY_MK~BR_IT~DISPLAY_VV~NONE</v>
      </c>
      <c r="G139" t="str">
        <f t="shared" si="38"/>
        <v>447534086</v>
      </c>
      <c r="H139" t="str">
        <f t="shared" si="39"/>
        <v>Tracking</v>
      </c>
      <c r="I139">
        <f t="shared" si="40"/>
        <v>0</v>
      </c>
      <c r="J139">
        <f t="shared" si="41"/>
        <v>966</v>
      </c>
      <c r="K139" s="4">
        <f t="shared" si="30"/>
        <v>3.5000000000000001E-3</v>
      </c>
      <c r="L139">
        <f t="shared" si="31"/>
        <v>0.02</v>
      </c>
      <c r="M139" s="4">
        <f t="shared" si="28"/>
        <v>3.3810000000000002</v>
      </c>
      <c r="N139" s="4">
        <f t="shared" si="29"/>
        <v>19.32</v>
      </c>
    </row>
    <row r="140" spans="1:14">
      <c r="A140" t="str">
        <f t="shared" si="32"/>
        <v>MK~BR_CN~Vai_de_Visa_MN~NONE_YQ~19Q1Q4_CP~NONE_OB~LDS_PK~NONE</v>
      </c>
      <c r="B140" t="str">
        <f t="shared" si="33"/>
        <v>Facebook</v>
      </c>
      <c r="C140" t="str">
        <f t="shared" si="34"/>
        <v>CH~SOCIAL_DT~MULTI_PB~FCBK_FM~LINKAD_RT~CPM_PD~VDV_EDUCACIONAL_AWARENESS_LINKAD_FACEBOOOK_VIAGEM_OFERTA_1X1_TG~BHVDEM_TS~NONE_SZ~1X1_DISPLAY_MK~BR_IT~DISPLAY_VV~NONE</v>
      </c>
      <c r="D140" t="str">
        <f t="shared" si="35"/>
        <v>251510214</v>
      </c>
      <c r="E140" t="str">
        <f t="shared" si="36"/>
        <v>Dynamic Click</v>
      </c>
      <c r="F140" t="str">
        <f t="shared" si="37"/>
        <v>CH~SOCIAL_DT~MULTI_PB~FCBK_FM~LINKAD_RT~CPM_PD~VDV_EDUCACIONAL_AWARENESS_LINKAD_FACEBOOOK_VIAGEM_OFERTA_1X1_TG~BHVDEM_TS~NONE_SZ~1X1_DISPLAY_MK~BR_IT~DISPLAY_VV~NONE</v>
      </c>
      <c r="G140" t="str">
        <f t="shared" si="38"/>
        <v>447534095</v>
      </c>
      <c r="H140" t="str">
        <f t="shared" si="39"/>
        <v>Tracking</v>
      </c>
      <c r="I140">
        <f t="shared" si="40"/>
        <v>0</v>
      </c>
      <c r="J140">
        <f t="shared" si="41"/>
        <v>3</v>
      </c>
      <c r="K140" s="4">
        <f t="shared" si="30"/>
        <v>3.5000000000000001E-3</v>
      </c>
      <c r="L140">
        <f t="shared" si="31"/>
        <v>0.02</v>
      </c>
      <c r="M140" s="4">
        <f t="shared" si="28"/>
        <v>1.0500000000000001E-2</v>
      </c>
      <c r="N140" s="4">
        <f t="shared" si="29"/>
        <v>0.06</v>
      </c>
    </row>
    <row r="141" spans="1:14">
      <c r="A141" t="str">
        <f t="shared" si="32"/>
        <v>MK~BR_CN~Vai_de_Visa_MN~NONE_YQ~19Q1Q4_CP~NONE_OB~LDS_PK~NONE</v>
      </c>
      <c r="B141" t="str">
        <f t="shared" si="33"/>
        <v>Facebook</v>
      </c>
      <c r="C141" t="str">
        <f t="shared" si="34"/>
        <v>CH~SOCIAL_DT~MULTI_PB~FCBK_FM~LINKAD_RT~CPM_PD~VDV_MOVIDA_LINKAD_15_OFF_CARRO_RELOGIO_1X1_TG~BHVDEM_TS~NONE_SZ~1X1_SOCIAL_MK~BR_IT~SOCIAL_VV~NONE</v>
      </c>
      <c r="D141" t="str">
        <f t="shared" si="35"/>
        <v>240049025</v>
      </c>
      <c r="E141" t="str">
        <f t="shared" si="36"/>
        <v>Dynamic Click</v>
      </c>
      <c r="F141" t="str">
        <f t="shared" si="37"/>
        <v>CH~SOCIAL_DT~MULTI_PB~FCBK_FM~LINKAD_RT~CPM_PD~VDV_MOVIDA_LINKAD_15_OFF_CARRO_RELOGIO_1X1_TG~BHVDEM_TS~NONE_SZ~1X1_SOCIAL_MK~BR_IT~SOCIAL_VV~NONE</v>
      </c>
      <c r="G141" t="str">
        <f t="shared" si="38"/>
        <v>437151374</v>
      </c>
      <c r="H141" t="str">
        <f t="shared" si="39"/>
        <v>Tracking</v>
      </c>
      <c r="I141">
        <f t="shared" si="40"/>
        <v>0</v>
      </c>
      <c r="J141">
        <f t="shared" si="41"/>
        <v>1</v>
      </c>
      <c r="K141" s="4">
        <f t="shared" si="30"/>
        <v>3.5000000000000001E-3</v>
      </c>
      <c r="L141">
        <f t="shared" si="31"/>
        <v>0.02</v>
      </c>
      <c r="M141" s="4">
        <f t="shared" si="28"/>
        <v>3.5000000000000001E-3</v>
      </c>
      <c r="N141" s="4">
        <f t="shared" si="29"/>
        <v>0.02</v>
      </c>
    </row>
    <row r="142" spans="1:14">
      <c r="A142" t="str">
        <f t="shared" si="32"/>
        <v>MK~BR_CN~Vai_de_Visa_MN~NONE_YQ~19Q1Q4_CP~NONE_OB~LDS_PK~NONE</v>
      </c>
      <c r="B142" t="str">
        <f t="shared" si="33"/>
        <v>Facebook</v>
      </c>
      <c r="C142" t="str">
        <f t="shared" si="34"/>
        <v>CH~SOCIAL_DT~MULTI_PB~FCBK_FM~LINKAD_RT~CPM_PD~VDV_NETSHOES_PERFORMANCE_FACEBOOK_LINKAD_RETANGULAR_1X1_TG~BHVDEM_TS~NONE_SZ~1X1_DISPLAY_MK~BR_IT~DISPLAY_VV~NONE</v>
      </c>
      <c r="D142" t="str">
        <f t="shared" si="35"/>
        <v>249359162</v>
      </c>
      <c r="E142" t="str">
        <f t="shared" si="36"/>
        <v>Dynamic Click</v>
      </c>
      <c r="F142" t="str">
        <f t="shared" si="37"/>
        <v>CH~SOCIAL_DT~MULTI_PB~FCBK_FM~LINKAD_RT~CPM_PD~VDV_NETSHOES_PERFORMANCE_FACEBOOK_LINKAD_RETANGULAR_1X1_TG~BHVDEM_TS~NONE_SZ~1X1_DISPLAY_MK~BR_IT~DISPLAY_VV~NONE</v>
      </c>
      <c r="G142" t="str">
        <f t="shared" si="38"/>
        <v>445871695</v>
      </c>
      <c r="H142" t="str">
        <f t="shared" si="39"/>
        <v>Tracking</v>
      </c>
      <c r="I142">
        <f t="shared" si="40"/>
        <v>0</v>
      </c>
      <c r="J142">
        <f t="shared" si="41"/>
        <v>16</v>
      </c>
      <c r="K142" s="4">
        <f t="shared" si="30"/>
        <v>3.5000000000000001E-3</v>
      </c>
      <c r="L142">
        <f t="shared" si="31"/>
        <v>0.02</v>
      </c>
      <c r="M142" s="4">
        <f t="shared" si="28"/>
        <v>5.6000000000000001E-2</v>
      </c>
      <c r="N142" s="4">
        <f t="shared" si="29"/>
        <v>0.32</v>
      </c>
    </row>
    <row r="143" spans="1:14">
      <c r="A143" t="str">
        <f t="shared" si="32"/>
        <v>MK~BR_CN~Vai_de_Visa_MN~NONE_YQ~19Q1Q4_CP~NONE_OB~LDS_PK~NONE</v>
      </c>
      <c r="B143" t="str">
        <f t="shared" si="33"/>
        <v>Facebook</v>
      </c>
      <c r="C143" t="str">
        <f t="shared" si="34"/>
        <v>CH~SOCIAL_DT~MULTI_PB~FCBK_FM~LINKAD_RT~CPM_PD~VDV_PERFORMANCE_CAMICADO_FACEBOOK_LINKAD_ANIMADO_10OFF_1X1_TG~BHVDEM_TS~NONE_SZ~1X1_DISPLAY_MK~BR_IT~DISPLAY_VV~NONE</v>
      </c>
      <c r="D143" t="str">
        <f t="shared" si="35"/>
        <v>252368751</v>
      </c>
      <c r="E143" t="str">
        <f t="shared" si="36"/>
        <v>Dynamic Click</v>
      </c>
      <c r="F143" t="str">
        <f t="shared" si="37"/>
        <v>CH~SOCIAL_DT~MULTI_PB~FCBK_FM~LINKAD_RT~CPM_PD~VDV_PERFORMANCE_CAMICADO_FACEBOOK_LINKAD_ANIMADO_10OFF_1X1_TG~BHVDEM_TS~NONE_SZ~1X1_DISPLAY_MK~BR_IT~DISPLAY_VV~NONE</v>
      </c>
      <c r="G143" t="str">
        <f t="shared" si="38"/>
        <v>448430059</v>
      </c>
      <c r="H143" t="str">
        <f t="shared" si="39"/>
        <v>Tracking</v>
      </c>
      <c r="I143">
        <f t="shared" si="40"/>
        <v>0</v>
      </c>
      <c r="J143">
        <f t="shared" si="41"/>
        <v>1</v>
      </c>
      <c r="K143" s="4">
        <f t="shared" si="30"/>
        <v>3.5000000000000001E-3</v>
      </c>
      <c r="L143">
        <f t="shared" si="31"/>
        <v>0.02</v>
      </c>
      <c r="M143" s="4">
        <f t="shared" si="28"/>
        <v>3.5000000000000001E-3</v>
      </c>
      <c r="N143" s="4">
        <f t="shared" si="29"/>
        <v>0.02</v>
      </c>
    </row>
    <row r="144" spans="1:14">
      <c r="A144" t="str">
        <f t="shared" si="32"/>
        <v>MK~BR_CN~Vai_de_Visa_MN~NONE_YQ~19Q1Q4_CP~NONE_OB~LDS_PK~NONE</v>
      </c>
      <c r="B144" t="str">
        <f t="shared" si="33"/>
        <v>Facebook</v>
      </c>
      <c r="C144" t="str">
        <f t="shared" si="34"/>
        <v>CH~SOCIAL_DT~MULTI_PB~FCBK_FM~LINKAD_RT~CPM_PD~VDV_PERFORMANCE_CAMICADO_FACEBOOK_LINKAD_ANIMADO_60OFF_1X1_TG~BHVDEM_TS~NONE_SZ~1X1_DISPLAY_MK~BR_IT~DISPLAY_VV~NONE</v>
      </c>
      <c r="D144" t="str">
        <f t="shared" si="35"/>
        <v>252291142</v>
      </c>
      <c r="E144" t="str">
        <f t="shared" si="36"/>
        <v>Dynamic Click</v>
      </c>
      <c r="F144" t="str">
        <f t="shared" si="37"/>
        <v>CH~SOCIAL_DT~MULTI_PB~FCBK_FM~LINKAD_RT~CPM_PD~VDV_PERFORMANCE_CAMICADO_FACEBOOK_LINKAD_ANIMADO_60OFF_1X1_TG~BHVDEM_TS~NONE_SZ~1X1_DISPLAY_MK~BR_IT~DISPLAY_VV~NONE</v>
      </c>
      <c r="G144" t="str">
        <f t="shared" si="38"/>
        <v>448430053</v>
      </c>
      <c r="H144" t="str">
        <f t="shared" si="39"/>
        <v>Tracking</v>
      </c>
      <c r="I144">
        <f t="shared" si="40"/>
        <v>0</v>
      </c>
      <c r="J144">
        <f t="shared" si="41"/>
        <v>6</v>
      </c>
      <c r="K144" s="4">
        <f t="shared" si="30"/>
        <v>3.5000000000000001E-3</v>
      </c>
      <c r="L144">
        <f t="shared" si="31"/>
        <v>0.02</v>
      </c>
      <c r="M144" s="4">
        <f t="shared" si="28"/>
        <v>2.1000000000000001E-2</v>
      </c>
      <c r="N144" s="4">
        <f t="shared" si="29"/>
        <v>0.12</v>
      </c>
    </row>
    <row r="145" spans="1:14">
      <c r="A145" t="str">
        <f t="shared" si="32"/>
        <v>MK~BR_CN~Vai_de_Visa_MN~NONE_YQ~19Q1Q4_CP~NONE_OB~LDS_PK~NONE</v>
      </c>
      <c r="B145" t="str">
        <f t="shared" si="33"/>
        <v>Facebook</v>
      </c>
      <c r="C145" t="str">
        <f t="shared" si="34"/>
        <v>CH~SOCIAL_DT~MULTI_PB~FCBK_FM~LINKAD_RT~CPM_PD~VDV_PERFORMANCE_DECOLAR_OFERTA_FACEBOOK_LINKAD_1X1_TG~BHVDEM_TS~NONE_SZ~1X1_DISPLAY_MK~BR_IT~DISPLAY_VV~NONE</v>
      </c>
      <c r="D145" t="str">
        <f t="shared" si="35"/>
        <v>248336414</v>
      </c>
      <c r="E145" t="str">
        <f t="shared" si="36"/>
        <v>Dynamic Click</v>
      </c>
      <c r="F145" t="str">
        <f t="shared" si="37"/>
        <v>CH~SOCIAL_DT~MULTI_PB~FCBK_FM~LINKAD_RT~CPM_PD~VDV_PERFORMANCE_DECOLAR_OFERTA_FACEBOOK_LINKAD_1X1_TG~BHVDEM_TS~NONE_SZ~1X1_DISPLAY_MK~BR_IT~DISPLAY_VV~NONE</v>
      </c>
      <c r="G145" t="str">
        <f t="shared" si="38"/>
        <v>444858025</v>
      </c>
      <c r="H145" t="str">
        <f t="shared" si="39"/>
        <v>Tracking</v>
      </c>
      <c r="I145">
        <f t="shared" si="40"/>
        <v>0</v>
      </c>
      <c r="J145">
        <f t="shared" si="41"/>
        <v>7</v>
      </c>
      <c r="K145" s="4">
        <f t="shared" si="30"/>
        <v>3.5000000000000001E-3</v>
      </c>
      <c r="L145">
        <f t="shared" si="31"/>
        <v>0.02</v>
      </c>
      <c r="M145" s="4">
        <f t="shared" si="28"/>
        <v>2.4500000000000001E-2</v>
      </c>
      <c r="N145" s="4">
        <f t="shared" si="29"/>
        <v>0.14000000000000001</v>
      </c>
    </row>
    <row r="146" spans="1:14">
      <c r="A146" t="str">
        <f t="shared" si="32"/>
        <v>MK~BR_CN~Vai_de_Visa_MN~NONE_YQ~19Q1Q4_CP~NONE_OB~LDS_PK~NONE</v>
      </c>
      <c r="B146" t="str">
        <f t="shared" si="33"/>
        <v>Facebook</v>
      </c>
      <c r="C146" t="str">
        <f t="shared" si="34"/>
        <v>CH~SOCIAL_DT~MULTI_PB~FCBK_FM~LINKAD_RT~CPM_PD~VDV_PERFORMANCE_FACEBOOK_MOVIDA_20OFF_LINKAD_QUADRADO_1X1_TG~BHVDEM_TS~NONE_SZ~1X1_DISPLAY_MK~BR_IT~DISPLAY_VV~NONE</v>
      </c>
      <c r="D146" t="str">
        <f t="shared" si="35"/>
        <v>251254944</v>
      </c>
      <c r="E146" t="str">
        <f t="shared" si="36"/>
        <v>Dynamic Click</v>
      </c>
      <c r="F146" t="str">
        <f t="shared" si="37"/>
        <v>CH~SOCIAL_DT~MULTI_PB~FCBK_FM~LINKAD_RT~CPM_PD~VDV_PERFORMANCE_FACEBOOK_MOVIDA_20OFF_LINKAD_QUADRADO_1X1_TG~BHVDEM_TS~NONE_SZ~1X1_DISPLAY_MK~BR_IT~DISPLAY_VV~NONE</v>
      </c>
      <c r="G146" t="str">
        <f t="shared" si="38"/>
        <v>447291278</v>
      </c>
      <c r="H146" t="str">
        <f t="shared" si="39"/>
        <v>Tracking</v>
      </c>
      <c r="I146">
        <f t="shared" si="40"/>
        <v>0</v>
      </c>
      <c r="J146">
        <f t="shared" si="41"/>
        <v>7301</v>
      </c>
      <c r="K146" s="4">
        <f t="shared" si="30"/>
        <v>3.5000000000000001E-3</v>
      </c>
      <c r="L146">
        <f t="shared" si="31"/>
        <v>0.02</v>
      </c>
      <c r="M146" s="4">
        <f t="shared" si="28"/>
        <v>25.5535</v>
      </c>
      <c r="N146" s="4">
        <f t="shared" si="29"/>
        <v>146.02000000000001</v>
      </c>
    </row>
    <row r="147" spans="1:14">
      <c r="A147" t="str">
        <f t="shared" si="32"/>
        <v>MK~BR_CN~Vai_de_Visa_MN~NONE_YQ~19Q1Q4_CP~NONE_OB~LDS_PK~NONE</v>
      </c>
      <c r="B147" t="str">
        <f t="shared" si="33"/>
        <v>Facebook</v>
      </c>
      <c r="C147" t="str">
        <f t="shared" si="34"/>
        <v>CH~SOCIAL_DT~MULTI_PB~FCBK_FM~LINKAD_RT~CPM_PD~VDV_PERFORMANCE_FACEBOOK_MOVIDA_20OFF_LINKAD_RETANGULAR_1X1_TG~BHVDEM_TS~NONE_SZ~1X1_DISPLAY_MK~BR_IT~DISPLAY_VV~NONE</v>
      </c>
      <c r="D147" t="str">
        <f t="shared" si="35"/>
        <v>251272710</v>
      </c>
      <c r="E147" t="str">
        <f t="shared" si="36"/>
        <v>Dynamic Click</v>
      </c>
      <c r="F147" t="str">
        <f t="shared" si="37"/>
        <v>CH~SOCIAL_DT~MULTI_PB~FCBK_FM~LINKAD_RT~CPM_PD~VDV_PERFORMANCE_FACEBOOK_MOVIDA_20OFF_LINKAD_RETANGULAR_1X1_TG~BHVDEM_TS~NONE_SZ~1X1_DISPLAY_MK~BR_IT~DISPLAY_VV~NONE</v>
      </c>
      <c r="G147" t="str">
        <f t="shared" si="38"/>
        <v>447291281</v>
      </c>
      <c r="H147" t="str">
        <f t="shared" si="39"/>
        <v>Tracking</v>
      </c>
      <c r="I147">
        <f t="shared" si="40"/>
        <v>0</v>
      </c>
      <c r="J147">
        <f t="shared" si="41"/>
        <v>374</v>
      </c>
      <c r="K147" s="4">
        <f t="shared" si="30"/>
        <v>3.5000000000000001E-3</v>
      </c>
      <c r="L147">
        <f t="shared" si="31"/>
        <v>0.02</v>
      </c>
      <c r="M147" s="4">
        <f t="shared" si="28"/>
        <v>1.3089999999999999</v>
      </c>
      <c r="N147" s="4">
        <f t="shared" si="29"/>
        <v>7.48</v>
      </c>
    </row>
    <row r="148" spans="1:14">
      <c r="A148" t="str">
        <f t="shared" si="32"/>
        <v>MK~BR_CN~Vai_de_Visa_MN~NONE_YQ~19Q1Q4_CP~NONE_OB~LDS_PK~NONE</v>
      </c>
      <c r="B148" t="str">
        <f t="shared" si="33"/>
        <v>Facebook</v>
      </c>
      <c r="C148" t="str">
        <f t="shared" si="34"/>
        <v>CH~SOCIAL_DT~MULTI_PB~FCBK_FM~LINKAD_RT~CPM_PD~VDV_PERFORMANCE_FACEBOOK_TEMAVIAGEM_LINKAD_QUADRADO_1X1_TG~BHVDEM_TS~NONE_SZ~1X1_DISPLAY_MK~BR_IT~DISPLAY_VV~NONE</v>
      </c>
      <c r="D148" t="str">
        <f t="shared" si="35"/>
        <v>251789325</v>
      </c>
      <c r="E148" t="str">
        <f t="shared" si="36"/>
        <v>Dynamic Click</v>
      </c>
      <c r="F148" t="str">
        <f t="shared" si="37"/>
        <v>CH~SOCIAL_DT~MULTI_PB~FCBK_FM~LINKAD_RT~CPM_PD~VDV_PERFORMANCE_FACEBOOK_TEMAVIAGEM_LINKAD_QUADRADO_1X1_TG~BHVDEM_TS~NONE_SZ~1X1_DISPLAY_MK~BR_IT~DISPLAY_VV~NONE</v>
      </c>
      <c r="G148" t="str">
        <f t="shared" si="38"/>
        <v>447712515</v>
      </c>
      <c r="H148" t="str">
        <f t="shared" si="39"/>
        <v>Tracking</v>
      </c>
      <c r="I148">
        <f t="shared" si="40"/>
        <v>0</v>
      </c>
      <c r="J148">
        <f t="shared" si="41"/>
        <v>1175</v>
      </c>
      <c r="K148" s="4">
        <f t="shared" si="30"/>
        <v>3.5000000000000001E-3</v>
      </c>
      <c r="L148">
        <f t="shared" si="31"/>
        <v>0.02</v>
      </c>
      <c r="M148" s="4">
        <f t="shared" si="28"/>
        <v>4.1124999999999998</v>
      </c>
      <c r="N148" s="4">
        <f t="shared" si="29"/>
        <v>23.5</v>
      </c>
    </row>
    <row r="149" spans="1:14">
      <c r="A149" t="str">
        <f t="shared" si="32"/>
        <v>MK~BR_CN~Vai_de_Visa_MN~NONE_YQ~19Q1Q4_CP~NONE_OB~LDS_PK~NONE</v>
      </c>
      <c r="B149" t="str">
        <f t="shared" si="33"/>
        <v>Facebook</v>
      </c>
      <c r="C149" t="str">
        <f t="shared" si="34"/>
        <v>CH~SOCIAL_DT~MULTI_PB~FCBK_FM~LINKAD_RT~CPM_PD~VDV_PERFORMANCE_MOVIDA_OFERTAEDUCACIONAL_FACEBOOK_LINKAD_1X1_TG~BHVDEM_TS~NONE_SZ~1X1_DISPLAY_MK~BR_IT~DISPLAY_VV~NONE</v>
      </c>
      <c r="D149" t="str">
        <f t="shared" si="35"/>
        <v>248336441</v>
      </c>
      <c r="E149" t="str">
        <f t="shared" si="36"/>
        <v>Dynamic Click</v>
      </c>
      <c r="F149" t="str">
        <f t="shared" si="37"/>
        <v>CH~SOCIAL_DT~MULTI_PB~FCBK_FM~LINKAD_RT~CPM_PD~VDV_PERFORMANCE_MOVIDA_OFERTAEDUCACIONAL_FACEBOOK_LINKAD_1X1_TG~BHVDEM_TS~NONE_SZ~1X1_DISPLAY_MK~BR_IT~DISPLAY_VV~NONE</v>
      </c>
      <c r="G149" t="str">
        <f t="shared" si="38"/>
        <v>444858052</v>
      </c>
      <c r="H149" t="str">
        <f t="shared" si="39"/>
        <v>Tracking</v>
      </c>
      <c r="I149">
        <f t="shared" si="40"/>
        <v>0</v>
      </c>
      <c r="J149">
        <f t="shared" si="41"/>
        <v>1</v>
      </c>
      <c r="K149" s="4">
        <f t="shared" si="30"/>
        <v>3.5000000000000001E-3</v>
      </c>
      <c r="L149">
        <f t="shared" si="31"/>
        <v>0.02</v>
      </c>
      <c r="M149" s="4">
        <f t="shared" si="28"/>
        <v>3.5000000000000001E-3</v>
      </c>
      <c r="N149" s="4">
        <f t="shared" si="29"/>
        <v>0.02</v>
      </c>
    </row>
    <row r="150" spans="1:14">
      <c r="A150" t="str">
        <f t="shared" si="32"/>
        <v>MK~BR_CN~Vai_de_Visa_MN~NONE_YQ~19Q1Q4_CP~NONE_OB~LDS_PK~NONE</v>
      </c>
      <c r="B150" t="str">
        <f t="shared" si="33"/>
        <v>Facebook</v>
      </c>
      <c r="C150" t="str">
        <f t="shared" si="34"/>
        <v>CH~SOCIAL_DT~MULTI_PB~FCBK_FM~LINKAD_RT~CPM_PD~VDV_PERFORMANCE_MOVIDA_OFERTA_FACEBOOK_LINKAD_1X1_TG~BHVDEM_TS~NONE_SZ~1X1_DISPLAY_MK~BR_IT~DISPLAY_VV~NONE</v>
      </c>
      <c r="D150" t="str">
        <f t="shared" si="35"/>
        <v>248336399</v>
      </c>
      <c r="E150" t="str">
        <f t="shared" si="36"/>
        <v>Dynamic Click</v>
      </c>
      <c r="F150" t="str">
        <f t="shared" si="37"/>
        <v>CH~SOCIAL_DT~MULTI_PB~FCBK_FM~LINKAD_RT~CPM_PD~VDV_PERFORMANCE_MOVIDA_OFERTA_FACEBOOK_LINKAD_1X1_TG~BHVDEM_TS~NONE_SZ~1X1_DISPLAY_MK~BR_IT~DISPLAY_VV~NONE</v>
      </c>
      <c r="G150" t="str">
        <f t="shared" si="38"/>
        <v>444858010</v>
      </c>
      <c r="H150" t="str">
        <f t="shared" si="39"/>
        <v>Tracking</v>
      </c>
      <c r="I150">
        <f t="shared" si="40"/>
        <v>0</v>
      </c>
      <c r="J150">
        <f t="shared" si="41"/>
        <v>2</v>
      </c>
      <c r="K150" s="4">
        <f t="shared" si="30"/>
        <v>3.5000000000000001E-3</v>
      </c>
      <c r="L150">
        <f t="shared" si="31"/>
        <v>0.02</v>
      </c>
      <c r="M150" s="4">
        <f t="shared" si="28"/>
        <v>7.0000000000000001E-3</v>
      </c>
      <c r="N150" s="4">
        <f t="shared" si="29"/>
        <v>0.04</v>
      </c>
    </row>
    <row r="151" spans="1:14">
      <c r="A151" t="str">
        <f t="shared" si="32"/>
        <v>MK~BR_CN~Vai_de_Visa_MN~NONE_YQ~19Q1Q4_CP~NONE_OB~LDS_PK~NONE</v>
      </c>
      <c r="B151" t="str">
        <f t="shared" si="33"/>
        <v>Facebook</v>
      </c>
      <c r="C151" t="str">
        <f t="shared" si="34"/>
        <v>CH~SOCIAL_DT~MULTI_PB~FCBK_FM~LINKAD_RT~CPM_PD~VDV_PERFORMANCE_PROMONACIONAL_FACEBOOK_LINKAD_CADASTRE-SE_1X1_TG~BHVDEM_TS~NONE_SZ~1X1_DISPLAY_MK~BR_IT~DISPLAY_VV~NONE</v>
      </c>
      <c r="D151" t="str">
        <f t="shared" si="35"/>
        <v>249651988</v>
      </c>
      <c r="E151" t="str">
        <f t="shared" si="36"/>
        <v>Dynamic Click</v>
      </c>
      <c r="F151" t="str">
        <f t="shared" si="37"/>
        <v>CH~SOCIAL_DT~MULTI_PB~FCBK_FM~LINKAD_RT~CPM_PD~VDV_PERFORMANCE_PROMONACIONAL_FACEBOOK_LINKAD_CADASTRE-SE_1X1_TG~BHVDEM_TS~NONE_SZ~1X1_DISPLAY_MK~BR_IT~DISPLAY_VV~NONE</v>
      </c>
      <c r="G151" t="str">
        <f t="shared" si="38"/>
        <v>445759971</v>
      </c>
      <c r="H151" t="str">
        <f t="shared" si="39"/>
        <v>Tracking</v>
      </c>
      <c r="I151">
        <f t="shared" si="40"/>
        <v>0</v>
      </c>
      <c r="J151">
        <f t="shared" si="41"/>
        <v>445</v>
      </c>
      <c r="K151" s="4">
        <f t="shared" si="30"/>
        <v>3.5000000000000001E-3</v>
      </c>
      <c r="L151">
        <f t="shared" si="31"/>
        <v>0.02</v>
      </c>
      <c r="M151" s="4">
        <f t="shared" si="28"/>
        <v>1.5575000000000001</v>
      </c>
      <c r="N151" s="4">
        <f t="shared" si="29"/>
        <v>8.9</v>
      </c>
    </row>
    <row r="152" spans="1:14">
      <c r="A152" t="str">
        <f t="shared" si="32"/>
        <v>MK~BR_CN~Vai_de_Visa_MN~NONE_YQ~19Q1Q4_CP~NONE_OB~LDS_PK~NONE</v>
      </c>
      <c r="B152" t="str">
        <f t="shared" si="33"/>
        <v>Facebook</v>
      </c>
      <c r="C152" t="str">
        <f t="shared" si="34"/>
        <v>CH~SOCIAL_DT~MULTI_PB~FCBK_FM~LINKAD_RT~CPM_PD~VDV_PERFORMANCE_PROMONACIONAL_FACEBOOK_LINKAD_PARTICIPE_1X1_TG~BHVDEM_TS~NONE_SZ~1X1_DISPLAY_MK~BR_IT~DISPLAY_VV~NONE</v>
      </c>
      <c r="D152" t="str">
        <f t="shared" si="35"/>
        <v>249651979</v>
      </c>
      <c r="E152" t="str">
        <f t="shared" si="36"/>
        <v>Dynamic Click</v>
      </c>
      <c r="F152" t="str">
        <f t="shared" si="37"/>
        <v>CH~SOCIAL_DT~MULTI_PB~FCBK_FM~LINKAD_RT~CPM_PD~VDV_PERFORMANCE_PROMONACIONAL_FACEBOOK_LINKAD_PARTICIPE_1X1_TG~BHVDEM_TS~NONE_SZ~1X1_DISPLAY_MK~BR_IT~DISPLAY_VV~NONE</v>
      </c>
      <c r="G152" t="str">
        <f t="shared" si="38"/>
        <v>445759962</v>
      </c>
      <c r="H152" t="str">
        <f t="shared" si="39"/>
        <v>Tracking</v>
      </c>
      <c r="I152">
        <f t="shared" si="40"/>
        <v>0</v>
      </c>
      <c r="J152">
        <f t="shared" si="41"/>
        <v>420</v>
      </c>
      <c r="K152" s="4">
        <f t="shared" si="30"/>
        <v>3.5000000000000001E-3</v>
      </c>
      <c r="L152">
        <f t="shared" si="31"/>
        <v>0.02</v>
      </c>
      <c r="M152" s="4">
        <f t="shared" si="28"/>
        <v>1.47</v>
      </c>
      <c r="N152" s="4">
        <f t="shared" si="29"/>
        <v>8.4</v>
      </c>
    </row>
    <row r="153" spans="1:14">
      <c r="A153" t="str">
        <f t="shared" si="32"/>
        <v>MK~BR_CN~Vai_de_Visa_MN~NONE_YQ~19Q1Q4_CP~NONE_OB~LDS_PK~NONE</v>
      </c>
      <c r="B153" t="str">
        <f t="shared" si="33"/>
        <v>Facebook</v>
      </c>
      <c r="C153" t="str">
        <f t="shared" si="34"/>
        <v>CH~SOCIAL_DT~MULTI_PB~FCBK_FM~LINKAD_RT~CPM_PD~VDV_PERFORMANCE_PUKET_FACEBOOK_LINKAD_QUADRADO_AMARELO_1X1_TG~BHVDEM_TS~NONE_SZ~1X1_DISPLAY_MK~BR_IT~DISPLAY_VV~NONE</v>
      </c>
      <c r="D153" t="str">
        <f t="shared" si="35"/>
        <v>249936850</v>
      </c>
      <c r="E153" t="str">
        <f t="shared" si="36"/>
        <v>Dynamic Click</v>
      </c>
      <c r="F153" t="str">
        <f t="shared" si="37"/>
        <v>CH~SOCIAL_DT~MULTI_PB~FCBK_FM~LINKAD_RT~CPM_PD~VDV_PERFORMANCE_PUKET_FACEBOOK_LINKAD_QUADRADO_AMARELO_1X1_TG~BHVDEM_TS~NONE_SZ~1X1_DISPLAY_MK~BR_IT~DISPLAY_VV~NONE</v>
      </c>
      <c r="G153" t="str">
        <f t="shared" si="38"/>
        <v>446091863</v>
      </c>
      <c r="H153" t="str">
        <f t="shared" si="39"/>
        <v>Tracking</v>
      </c>
      <c r="I153">
        <f t="shared" si="40"/>
        <v>0</v>
      </c>
      <c r="J153">
        <f t="shared" si="41"/>
        <v>107</v>
      </c>
      <c r="K153" s="4">
        <f t="shared" si="30"/>
        <v>3.5000000000000001E-3</v>
      </c>
      <c r="L153">
        <f t="shared" si="31"/>
        <v>0.02</v>
      </c>
      <c r="M153" s="4">
        <f t="shared" si="28"/>
        <v>0.3745</v>
      </c>
      <c r="N153" s="4">
        <f t="shared" si="29"/>
        <v>2.14</v>
      </c>
    </row>
    <row r="154" spans="1:14">
      <c r="A154" t="str">
        <f t="shared" si="32"/>
        <v>MK~BR_CN~Vai_de_Visa_MN~NONE_YQ~19Q1Q4_CP~NONE_OB~LDS_PK~NONE</v>
      </c>
      <c r="B154" t="str">
        <f t="shared" si="33"/>
        <v>Facebook</v>
      </c>
      <c r="C154" t="str">
        <f t="shared" si="34"/>
        <v>CH~SOCIAL_DT~MULTI_PB~FCBK_FM~LINKAD_RT~CPM_PD~VDV_PERFORMANCE_PUKET_FACEBOOK_LINKAD_QUADRADO_AZUL_1X1_TG~BHVDEM_TS~NONE_SZ~1X1_DISPLAY_MK~BR_IT~DISPLAY_VV~NONE</v>
      </c>
      <c r="D154" t="str">
        <f t="shared" si="35"/>
        <v>249936847</v>
      </c>
      <c r="E154" t="str">
        <f t="shared" si="36"/>
        <v>Dynamic Click</v>
      </c>
      <c r="F154" t="str">
        <f t="shared" si="37"/>
        <v>CH~SOCIAL_DT~MULTI_PB~FCBK_FM~LINKAD_RT~CPM_PD~VDV_PERFORMANCE_PUKET_FACEBOOK_LINKAD_QUADRADO_AZUL_1X1_TG~BHVDEM_TS~NONE_SZ~1X1_DISPLAY_MK~BR_IT~DISPLAY_VV~NONE</v>
      </c>
      <c r="G154" t="str">
        <f t="shared" si="38"/>
        <v>446091860</v>
      </c>
      <c r="H154" t="str">
        <f t="shared" si="39"/>
        <v>Tracking</v>
      </c>
      <c r="I154">
        <f t="shared" si="40"/>
        <v>0</v>
      </c>
      <c r="J154">
        <f t="shared" si="41"/>
        <v>396</v>
      </c>
      <c r="K154" s="4">
        <f t="shared" si="30"/>
        <v>3.5000000000000001E-3</v>
      </c>
      <c r="L154">
        <f t="shared" si="31"/>
        <v>0.02</v>
      </c>
      <c r="M154" s="4">
        <f t="shared" si="28"/>
        <v>1.3860000000000001</v>
      </c>
      <c r="N154" s="4">
        <f t="shared" si="29"/>
        <v>7.92</v>
      </c>
    </row>
    <row r="155" spans="1:14">
      <c r="A155" t="str">
        <f t="shared" si="32"/>
        <v>MK~BR_CN~Vai_de_Visa_MN~NONE_YQ~19Q1Q4_CP~NONE_OB~LDS_PK~NONE</v>
      </c>
      <c r="B155" t="str">
        <f t="shared" si="33"/>
        <v>Facebook</v>
      </c>
      <c r="C155" t="str">
        <f t="shared" si="34"/>
        <v>CH~SOCIAL_DT~MULTI_PB~FCBK_FM~LINKAD_RT~CPM_PD~VDV_PERFORMANCE_PUKET_FACEBOOK_LINKAD_RETANGULAR_AZUL_1X1_TG~BHVDEM_TS~NONE_SZ~1X1_DISPLAY_MK~BR_IT~DISPLAY_VV~NONE</v>
      </c>
      <c r="D155" t="str">
        <f t="shared" si="35"/>
        <v>249936853</v>
      </c>
      <c r="E155" t="str">
        <f t="shared" si="36"/>
        <v>Dynamic Click</v>
      </c>
      <c r="F155" t="str">
        <f t="shared" si="37"/>
        <v>CH~SOCIAL_DT~MULTI_PB~FCBK_FM~LINKAD_RT~CPM_PD~VDV_PERFORMANCE_PUKET_FACEBOOK_LINKAD_RETANGULAR_AZUL_1X1_TG~BHVDEM_TS~NONE_SZ~1X1_DISPLAY_MK~BR_IT~DISPLAY_VV~NONE</v>
      </c>
      <c r="G155" t="str">
        <f t="shared" si="38"/>
        <v>446091866</v>
      </c>
      <c r="H155" t="str">
        <f t="shared" si="39"/>
        <v>Tracking</v>
      </c>
      <c r="I155">
        <f t="shared" si="40"/>
        <v>0</v>
      </c>
      <c r="J155">
        <f t="shared" si="41"/>
        <v>56</v>
      </c>
      <c r="K155" s="4">
        <f t="shared" si="30"/>
        <v>3.5000000000000001E-3</v>
      </c>
      <c r="L155">
        <f t="shared" si="31"/>
        <v>0.02</v>
      </c>
      <c r="M155" s="4">
        <f t="shared" si="28"/>
        <v>0.19600000000000001</v>
      </c>
      <c r="N155" s="4">
        <f t="shared" si="29"/>
        <v>1.1200000000000001</v>
      </c>
    </row>
    <row r="156" spans="1:14">
      <c r="A156" t="str">
        <f t="shared" si="32"/>
        <v>MK~BR_CN~Vai_de_Visa_MN~NONE_YQ~19Q1Q4_CP~NONE_OB~LDS_PK~NONE</v>
      </c>
      <c r="B156" t="str">
        <f t="shared" si="33"/>
        <v>Facebook</v>
      </c>
      <c r="C156" t="str">
        <f t="shared" si="34"/>
        <v>CH~SOCIAL_DT~MULTI_PB~FCBK_FM~LINKAD_RT~CPM_PD~VDV_PERFORMANCE_TEMAVIAGEM_FACEBOOK_LINKAD_QUADRADO_1X1_TG~BHVDEM_TS~NONE_SZ~1X1_DISPLAY_MK~BR_IT~DISPLAY_VV~NONE</v>
      </c>
      <c r="D156" t="str">
        <f t="shared" si="35"/>
        <v>251607449</v>
      </c>
      <c r="E156" t="str">
        <f t="shared" si="36"/>
        <v>Dynamic Click</v>
      </c>
      <c r="F156" t="str">
        <f t="shared" si="37"/>
        <v>CH~SOCIAL_DT~MULTI_PB~FCBK_FM~LINKAD_RT~CPM_PD~VDV_PERFORMANCE_TEMAVIAGEM_FACEBOOK_LINKAD_QUADRADO_1X1_TG~BHVDEM_TS~NONE_SZ~1X1_DISPLAY_MK~BR_IT~DISPLAY_VV~NONE</v>
      </c>
      <c r="G156" t="str">
        <f t="shared" si="38"/>
        <v>447946866</v>
      </c>
      <c r="H156" t="str">
        <f t="shared" si="39"/>
        <v>Tracking</v>
      </c>
      <c r="I156">
        <f t="shared" si="40"/>
        <v>0</v>
      </c>
      <c r="J156">
        <f t="shared" si="41"/>
        <v>554</v>
      </c>
      <c r="K156" s="4">
        <f t="shared" si="30"/>
        <v>3.5000000000000001E-3</v>
      </c>
      <c r="L156">
        <f t="shared" si="31"/>
        <v>0.02</v>
      </c>
      <c r="M156" s="4">
        <f t="shared" si="28"/>
        <v>1.9390000000000001</v>
      </c>
      <c r="N156" s="4">
        <f t="shared" si="29"/>
        <v>11.08</v>
      </c>
    </row>
    <row r="157" spans="1:14">
      <c r="A157" t="str">
        <f t="shared" si="32"/>
        <v>MK~BR_CN~Vai_de_Visa_MN~NONE_YQ~19Q1Q4_CP~NONE_OB~LDS_PK~NONE</v>
      </c>
      <c r="B157" t="str">
        <f t="shared" si="33"/>
        <v>Facebook</v>
      </c>
      <c r="C157" t="str">
        <f t="shared" si="34"/>
        <v>CH~SOCIAL_DT~MULTI_PB~FCBK_FM~LINKAD_RT~CPM_PD~VDV_PROMONACIONAL_AWARENESS_LINKAD_FACEBOOK_CAMPING_PARTICIPE_1X1_TG~BHVDEM_TS~NONE_SZ~1X1_DISPLAY_MK~BR_IT~DISPLAY_VV~NONE</v>
      </c>
      <c r="D157" t="str">
        <f t="shared" si="35"/>
        <v>251011293</v>
      </c>
      <c r="E157" t="str">
        <f t="shared" si="36"/>
        <v>Dynamic Click</v>
      </c>
      <c r="F157" t="str">
        <f t="shared" si="37"/>
        <v>CH~SOCIAL_DT~MULTI_PB~FCBK_FM~LINKAD_RT~CPM_PD~VDV_PROMONACIONAL_AWARENESS_LINKAD_FACEBOOK_CAMPING_PARTICIPE_1X1_TG~BHVDEM_TS~NONE_SZ~1X1_DISPLAY_MK~BR_IT~DISPLAY_VV~NONE</v>
      </c>
      <c r="G157" t="str">
        <f t="shared" si="38"/>
        <v>447051947</v>
      </c>
      <c r="H157" t="str">
        <f t="shared" si="39"/>
        <v>Tracking</v>
      </c>
      <c r="I157">
        <f t="shared" si="40"/>
        <v>0</v>
      </c>
      <c r="J157">
        <f t="shared" si="41"/>
        <v>1544</v>
      </c>
      <c r="K157" s="4">
        <f t="shared" si="30"/>
        <v>3.5000000000000001E-3</v>
      </c>
      <c r="L157">
        <f t="shared" si="31"/>
        <v>0.02</v>
      </c>
      <c r="M157" s="4">
        <f t="shared" si="28"/>
        <v>5.4039999999999999</v>
      </c>
      <c r="N157" s="4">
        <f t="shared" si="29"/>
        <v>30.88</v>
      </c>
    </row>
    <row r="158" spans="1:14">
      <c r="A158" t="str">
        <f t="shared" si="32"/>
        <v>MK~BR_CN~Vai_de_Visa_MN~NONE_YQ~19Q1Q4_CP~NONE_OB~LDS_PK~NONE</v>
      </c>
      <c r="B158" t="str">
        <f t="shared" si="33"/>
        <v>Facebook</v>
      </c>
      <c r="C158" t="str">
        <f t="shared" si="34"/>
        <v>CH~SOCIAL_DT~MULTI_PB~FCBK_FM~LINKAD_RT~CPM_PD~VDV_PROMONACIONAL_AWARENESS_LINKAD_FACEBOOK_PRAIA_PARTICIPE_1X1_TG~BHVDEM_TS~NONE_SZ~1X1_DISPLAY_MK~BR_IT~DISPLAY_VV~NONE</v>
      </c>
      <c r="D158" t="str">
        <f t="shared" si="35"/>
        <v>251011272</v>
      </c>
      <c r="E158" t="str">
        <f t="shared" si="36"/>
        <v>Dynamic Click</v>
      </c>
      <c r="F158" t="str">
        <f t="shared" si="37"/>
        <v>CH~SOCIAL_DT~MULTI_PB~FCBK_FM~LINKAD_RT~CPM_PD~VDV_PROMONACIONAL_AWARENESS_LINKAD_FACEBOOK_PRAIA_PARTICIPE_1X1_TG~BHVDEM_TS~NONE_SZ~1X1_DISPLAY_MK~BR_IT~DISPLAY_VV~NONE</v>
      </c>
      <c r="G158" t="str">
        <f t="shared" si="38"/>
        <v>447051926</v>
      </c>
      <c r="H158" t="str">
        <f t="shared" si="39"/>
        <v>Tracking</v>
      </c>
      <c r="I158">
        <f t="shared" si="40"/>
        <v>0</v>
      </c>
      <c r="J158">
        <f t="shared" si="41"/>
        <v>324</v>
      </c>
      <c r="K158" s="4">
        <f t="shared" si="30"/>
        <v>3.5000000000000001E-3</v>
      </c>
      <c r="L158">
        <f t="shared" si="31"/>
        <v>0.02</v>
      </c>
      <c r="M158" s="4">
        <f t="shared" si="28"/>
        <v>1.1340000000000001</v>
      </c>
      <c r="N158" s="4">
        <f t="shared" si="29"/>
        <v>6.48</v>
      </c>
    </row>
    <row r="159" spans="1:14">
      <c r="A159" t="str">
        <f t="shared" si="32"/>
        <v>MK~BR_CN~Vai_de_Visa_MN~NONE_YQ~19Q1Q4_CP~NONE_OB~LDS_PK~NONE</v>
      </c>
      <c r="B159" t="str">
        <f t="shared" si="33"/>
        <v>Facebook</v>
      </c>
      <c r="C159" t="str">
        <f t="shared" si="34"/>
        <v>CH~SOCIAL_DT~MULTI_PB~FCBK_FM~LINKAD_RT~CPM_PD~VDV_PROMONACIONAL_PERFORMANCE_LINKAD_FACEBOOK_CAMPING_CADASTRE-SE_1X1_TG~BHVDEM_TS~NONE_SZ~1X1_DISPLAY_MK~BR_IT~DISPLAY_VV~NONE</v>
      </c>
      <c r="D159" t="str">
        <f t="shared" si="35"/>
        <v>251011296</v>
      </c>
      <c r="E159" t="str">
        <f t="shared" si="36"/>
        <v>Dynamic Click</v>
      </c>
      <c r="F159" t="str">
        <f t="shared" si="37"/>
        <v>CH~SOCIAL_DT~MULTI_PB~FCBK_FM~LINKAD_RT~CPM_PD~VDV_PROMONACIONAL_PERFORMANCE_LINKAD_FACEBOOK_CAMPING_CADASTRE-SE_1X1_TG~BHVDEM_TS~NONE_SZ~1X1_DISPLAY_MK~BR_IT~DISPLAY_VV~NONE</v>
      </c>
      <c r="G159" t="str">
        <f t="shared" si="38"/>
        <v>447051950</v>
      </c>
      <c r="H159" t="str">
        <f t="shared" si="39"/>
        <v>Tracking</v>
      </c>
      <c r="I159">
        <f t="shared" si="40"/>
        <v>0</v>
      </c>
      <c r="J159">
        <f t="shared" si="41"/>
        <v>934</v>
      </c>
      <c r="K159" s="4">
        <f t="shared" si="30"/>
        <v>3.5000000000000001E-3</v>
      </c>
      <c r="L159">
        <f t="shared" si="31"/>
        <v>0.02</v>
      </c>
      <c r="M159" s="4">
        <f t="shared" si="28"/>
        <v>3.2690000000000001</v>
      </c>
      <c r="N159" s="4">
        <f t="shared" si="29"/>
        <v>18.68</v>
      </c>
    </row>
    <row r="160" spans="1:14">
      <c r="A160" t="str">
        <f t="shared" si="32"/>
        <v>MK~BR_CN~Vai_de_Visa_MN~NONE_YQ~19Q1Q4_CP~NONE_OB~LDS_PK~NONE</v>
      </c>
      <c r="B160" t="str">
        <f t="shared" si="33"/>
        <v>Facebook</v>
      </c>
      <c r="C160" t="str">
        <f t="shared" si="34"/>
        <v>CH~SOCIAL_DT~MULTI_PB~FCBK_FM~LINKAD_RT~CPM_PD~VDV_PROMONACIONAL_PERFORMANCE_LINKAD_FACEBOOK_PRAIA_CADASTRE-SE_1X1_TG~BHVDEM_TS~NONE_SZ~1X1_DISPLAY_MK~BR_IT~DISPLAY_VV~NONE</v>
      </c>
      <c r="D160" t="str">
        <f t="shared" si="35"/>
        <v>251011275</v>
      </c>
      <c r="E160" t="str">
        <f t="shared" si="36"/>
        <v>Dynamic Click</v>
      </c>
      <c r="F160" t="str">
        <f t="shared" si="37"/>
        <v>CH~SOCIAL_DT~MULTI_PB~FCBK_FM~LINKAD_RT~CPM_PD~VDV_PROMONACIONAL_PERFORMANCE_LINKAD_FACEBOOK_PRAIA_CADASTRE-SE_1X1_TG~BHVDEM_TS~NONE_SZ~1X1_DISPLAY_MK~BR_IT~DISPLAY_VV~NONE</v>
      </c>
      <c r="G160" t="str">
        <f t="shared" si="38"/>
        <v>447051929</v>
      </c>
      <c r="H160" t="str">
        <f t="shared" si="39"/>
        <v>Tracking</v>
      </c>
      <c r="I160">
        <f t="shared" si="40"/>
        <v>0</v>
      </c>
      <c r="J160">
        <f t="shared" si="41"/>
        <v>73</v>
      </c>
      <c r="K160" s="4">
        <f t="shared" si="30"/>
        <v>3.5000000000000001E-3</v>
      </c>
      <c r="L160">
        <f t="shared" si="31"/>
        <v>0.02</v>
      </c>
      <c r="M160" s="4">
        <f t="shared" si="28"/>
        <v>0.2555</v>
      </c>
      <c r="N160" s="4">
        <f t="shared" si="29"/>
        <v>1.46</v>
      </c>
    </row>
    <row r="161" spans="1:14">
      <c r="A161" t="str">
        <f t="shared" si="32"/>
        <v>MK~BR_CN~Vai_de_Visa_MN~NONE_YQ~19Q1Q4_CP~NONE_OB~LDS_PK~NONE</v>
      </c>
      <c r="B161" t="str">
        <f t="shared" si="33"/>
        <v>Facebook</v>
      </c>
      <c r="C161" t="str">
        <f t="shared" si="34"/>
        <v>CH~SOCIAL_DT~MULTI_PB~FCBK_FM~VERTICAL_RT~CPM_PD~VCO_AWARENESS_GOL_FACEBOOK_OFERTA_EDUCACIONAL_VERTICAL_WIFI_COMPLETO_1X1_TG~BHVDEM_TS~NONE_SZ~1X1_DISPLAY_MK~BR_IT~DISPLAY_VV~NONE</v>
      </c>
      <c r="D161" t="str">
        <f t="shared" si="35"/>
        <v>248648923</v>
      </c>
      <c r="E161" t="str">
        <f t="shared" si="36"/>
        <v>Dynamic Click</v>
      </c>
      <c r="F161" t="str">
        <f t="shared" si="37"/>
        <v>CH~SOCIAL_DT~MULTI_PB~FCBK_FM~VERTICAL_RT~CPM_PD~VCO_AWARENESS_GOL_FACEBOOK_OFERTA_EDUCACIONAL_VERTICAL_WIFI_COMPLETO_1X1_TG~BHVDEM_TS~NONE_SZ~1X1_DISPLAY_MK~BR_IT~DISPLAY_VV~NONE</v>
      </c>
      <c r="G161" t="str">
        <f t="shared" si="38"/>
        <v>444972364</v>
      </c>
      <c r="H161" t="str">
        <f t="shared" si="39"/>
        <v>Tracking</v>
      </c>
      <c r="I161">
        <f t="shared" si="40"/>
        <v>0</v>
      </c>
      <c r="J161">
        <f t="shared" si="41"/>
        <v>1</v>
      </c>
      <c r="K161" s="4">
        <f t="shared" si="30"/>
        <v>3.5000000000000001E-3</v>
      </c>
      <c r="L161">
        <f t="shared" si="31"/>
        <v>0.02</v>
      </c>
      <c r="M161" s="4">
        <f t="shared" si="28"/>
        <v>3.5000000000000001E-3</v>
      </c>
      <c r="N161" s="4">
        <f t="shared" si="29"/>
        <v>0.02</v>
      </c>
    </row>
    <row r="162" spans="1:14">
      <c r="A162" t="str">
        <f t="shared" si="32"/>
        <v>MK~BR_CN~Vai_de_Visa_MN~NONE_YQ~19Q1Q4_CP~NONE_OB~LDS_PK~NONE</v>
      </c>
      <c r="B162" t="str">
        <f t="shared" si="33"/>
        <v>Google - YouTube</v>
      </c>
      <c r="C162" t="str">
        <f t="shared" si="34"/>
        <v>CH~SOCIAL_DT~MULTI_PB~YOUT_FM~BUMPERAD_RT~CPM_PD~VDV_PROMONACIONAL_AWARENESS_BUMPERAD_YOUTUBE_KVFÉRIAS_PRAIA_1X1_TG~BHVDEM_TS~NONE_SZ~1X1_DISPLAY_MK~BR_IT~DISPLAY_VV~NONE</v>
      </c>
      <c r="D162" t="str">
        <f t="shared" si="35"/>
        <v>251343159</v>
      </c>
      <c r="E162" t="str">
        <f t="shared" si="36"/>
        <v>Dynamic Click</v>
      </c>
      <c r="F162" t="str">
        <f t="shared" si="37"/>
        <v>CH~SOCIAL_DT~MULTI_PB~YOUT_FM~BUMPERAD_RT~CPM_PD~VDV_PROMONACIONAL_AWARENESS_BUMPERAD_YOUTUBE_KVFÉRIAS_PRAIA_1X1_TG~BHVDEM_TS~NONE_SZ~1X1_DISPLAY_MK~BR_IT~DISPLAY_VV~NONE</v>
      </c>
      <c r="G162" t="str">
        <f t="shared" si="38"/>
        <v>447382424</v>
      </c>
      <c r="H162" t="str">
        <f t="shared" si="39"/>
        <v>Tracking</v>
      </c>
      <c r="I162">
        <f t="shared" si="40"/>
        <v>0</v>
      </c>
      <c r="J162">
        <f t="shared" si="41"/>
        <v>16294</v>
      </c>
      <c r="K162" s="4">
        <f t="shared" si="30"/>
        <v>3.5000000000000001E-3</v>
      </c>
      <c r="L162">
        <f t="shared" si="31"/>
        <v>0.02</v>
      </c>
      <c r="M162" s="4">
        <f t="shared" si="28"/>
        <v>57.029000000000003</v>
      </c>
      <c r="N162" s="4">
        <f t="shared" si="29"/>
        <v>325.88</v>
      </c>
    </row>
    <row r="163" spans="1:14">
      <c r="A163" t="str">
        <f t="shared" si="32"/>
        <v>MK~BR_CN~Vai_de_Visa_MN~NONE_YQ~19Q1Q4_CP~NONE_OB~LDS_PK~NONE</v>
      </c>
      <c r="B163" t="str">
        <f t="shared" si="33"/>
        <v>Google - YouTube</v>
      </c>
      <c r="C163" t="str">
        <f t="shared" si="34"/>
        <v>CH~SOCIAL_DT~MULTI_PB~YOUT_FM~VIDEO_RT~CPM_PD~VDV_PROMONACIONAL_AWARENESS_VIDEO_YOUTUBE_KVFÉRIAS_PRAIA_1X1_TG~BHVDEM_TS~NONE_SZ~1X1_DISPLAY_MK~BR_IT~DISPLAY_VV~NONE</v>
      </c>
      <c r="D163" t="str">
        <f t="shared" si="35"/>
        <v>251351886</v>
      </c>
      <c r="E163" t="str">
        <f t="shared" si="36"/>
        <v>Rich Media display banner</v>
      </c>
      <c r="F163" t="str">
        <f t="shared" si="37"/>
        <v>CH~SOCIAL_DT~MULTI_PB~YOUT_FM~VIDEO_RT~CPM_PD~VDV_PROMONACIONAL_AWARENESS_VIDEO_YOUTUBE_KVFÉRIAS_PRAIA_1X1_TG~BHVDEM_TS~NONE_SZ~1X1_DISPLAY_MK~BR_IT~DISPLAY_VV~NONE</v>
      </c>
      <c r="G163" t="str">
        <f t="shared" si="38"/>
        <v>447378698</v>
      </c>
      <c r="H163" t="str">
        <f t="shared" si="39"/>
        <v>In-Stream Video</v>
      </c>
      <c r="I163">
        <f t="shared" si="40"/>
        <v>2</v>
      </c>
      <c r="J163">
        <f t="shared" si="41"/>
        <v>2</v>
      </c>
      <c r="K163" s="4">
        <f t="shared" si="30"/>
        <v>0.6</v>
      </c>
      <c r="L163">
        <f t="shared" si="31"/>
        <v>0.35</v>
      </c>
      <c r="M163" s="4">
        <f t="shared" ref="M163:M226" si="42">IF(E163="Dynamic Click",J163*K163,K163*$I163/1000)</f>
        <v>1.1999999999999999E-3</v>
      </c>
      <c r="N163" s="4">
        <f t="shared" ref="N163:N226" si="43">IF(E163="Dynamic Click",J163*L163,L163*$I163/1000)</f>
        <v>6.9999999999999999E-4</v>
      </c>
    </row>
    <row r="164" spans="1:14">
      <c r="A164" t="str">
        <f t="shared" si="32"/>
        <v>MK~BR_CN~Vai_de_Visa_MN~NONE_YQ~19Q1Q4_CP~NONE_OB~LDS_PK~NONE</v>
      </c>
      <c r="B164" t="str">
        <f t="shared" si="33"/>
        <v>Google Brasil</v>
      </c>
      <c r="C164" t="str">
        <f t="shared" si="34"/>
        <v>CH~DISPLAY_DT~MULTI_PB~GDBM_FM~BANNER_RT~CPM_PD~VCO_GOL_AWARENESS_GOOGLEDV360_BANNER_300X250_300X250_TG~BHVDEM_TS~NONE_SZ~300X250_DISPLAY_MK~BR_IT~DISPLAY_VV~NONE</v>
      </c>
      <c r="D164" t="str">
        <f t="shared" si="35"/>
        <v>249383382</v>
      </c>
      <c r="E164" t="str">
        <f t="shared" si="36"/>
        <v>Standard</v>
      </c>
      <c r="F164" t="str">
        <f t="shared" si="37"/>
        <v>CH~DISPLAY_DT~MULTI_PB~GDBM_FM~BANNER_RT~CPM_PD~VCO_GOL_AWARENESS_GOOGLEDV360_BANNER_300X250_300X250_TG~BHVDEM_TS~NONE_SZ~300X250_DISPLAY_MK~BR_IT~DISPLAY_VV~NONE</v>
      </c>
      <c r="G164" t="str">
        <f t="shared" si="38"/>
        <v>445398441</v>
      </c>
      <c r="H164" t="str">
        <f t="shared" si="39"/>
        <v>Display</v>
      </c>
      <c r="I164">
        <f t="shared" si="40"/>
        <v>0</v>
      </c>
      <c r="J164">
        <f t="shared" si="41"/>
        <v>1</v>
      </c>
      <c r="K164" s="4">
        <f t="shared" si="30"/>
        <v>3.8199999999999998E-2</v>
      </c>
      <c r="L164">
        <f t="shared" si="31"/>
        <v>0.09</v>
      </c>
      <c r="M164" s="4">
        <f t="shared" si="42"/>
        <v>0</v>
      </c>
      <c r="N164" s="4">
        <f t="shared" si="43"/>
        <v>0</v>
      </c>
    </row>
    <row r="165" spans="1:14">
      <c r="A165" t="str">
        <f t="shared" si="32"/>
        <v>MK~BR_CN~Vai_de_Visa_MN~NONE_YQ~19Q1Q4_CP~NONE_OB~LDS_PK~NONE</v>
      </c>
      <c r="B165" t="str">
        <f t="shared" si="33"/>
        <v>Google Brasil</v>
      </c>
      <c r="C165" t="str">
        <f t="shared" si="34"/>
        <v>CH~DISPLAY_DT~MULTI_PB~GDBM_FM~BANNER_RT~CPM_PD~VCO_GOL_AWARENESS_GOOGLEDV360_BANNER_300X600_300X600_TG~BHVDEM_TS~NONE_SZ~300X600_DISPLAY_MK~BR_IT~DISPLAY_VV~NONE</v>
      </c>
      <c r="D165" t="str">
        <f t="shared" si="35"/>
        <v>249383400</v>
      </c>
      <c r="E165" t="str">
        <f t="shared" si="36"/>
        <v>Standard</v>
      </c>
      <c r="F165" t="str">
        <f t="shared" si="37"/>
        <v>CH~DISPLAY_DT~MULTI_PB~GDBM_FM~BANNER_RT~CPM_PD~VCO_GOL_AWARENESS_GOOGLEDV360_BANNER_300X600_300X600_TG~BHVDEM_TS~NONE_SZ~300X600_DISPLAY_MK~BR_IT~DISPLAY_VV~NONE</v>
      </c>
      <c r="G165" t="str">
        <f t="shared" si="38"/>
        <v>445546645</v>
      </c>
      <c r="H165" t="str">
        <f t="shared" si="39"/>
        <v>Display</v>
      </c>
      <c r="I165">
        <f t="shared" si="40"/>
        <v>0</v>
      </c>
      <c r="J165">
        <f t="shared" si="41"/>
        <v>2</v>
      </c>
      <c r="K165" s="4">
        <f t="shared" si="30"/>
        <v>3.8199999999999998E-2</v>
      </c>
      <c r="L165">
        <f t="shared" si="31"/>
        <v>0.09</v>
      </c>
      <c r="M165" s="4">
        <f t="shared" si="42"/>
        <v>0</v>
      </c>
      <c r="N165" s="4">
        <f t="shared" si="43"/>
        <v>0</v>
      </c>
    </row>
    <row r="166" spans="1:14">
      <c r="A166" t="str">
        <f t="shared" si="32"/>
        <v>MK~BR_CN~Vai_de_Visa_MN~NONE_YQ~19Q1Q4_CP~NONE_OB~LDS_PK~NONE</v>
      </c>
      <c r="B166" t="str">
        <f t="shared" si="33"/>
        <v>Google Brasil</v>
      </c>
      <c r="C166" t="str">
        <f t="shared" si="34"/>
        <v>CH~DISPLAY_DT~MULTI_PB~GDBM_FM~BANNER_RT~CPM_PD~VCO_GOL_AWARENESS_GOOGLEDV360_BANNER_970X250_970X250_TG~BHVDEM_TS~NONE_SZ~970X250_DISPLAY_MK~BR_IT~DISPLAY_VV~NONE</v>
      </c>
      <c r="D166" t="str">
        <f t="shared" si="35"/>
        <v>249373965</v>
      </c>
      <c r="E166" t="str">
        <f t="shared" si="36"/>
        <v>Standard</v>
      </c>
      <c r="F166" t="str">
        <f t="shared" si="37"/>
        <v>CH~DISPLAY_DT~MULTI_PB~GDBM_FM~BANNER_RT~CPM_PD~VCO_GOL_AWARENESS_GOOGLEDV360_BANNER_970X250_970X250_TG~BHVDEM_TS~NONE_SZ~970X250_DISPLAY_MK~BR_IT~DISPLAY_VV~NONE</v>
      </c>
      <c r="G166" t="str">
        <f t="shared" si="38"/>
        <v>445492046</v>
      </c>
      <c r="H166" t="str">
        <f t="shared" si="39"/>
        <v>Display</v>
      </c>
      <c r="I166">
        <f t="shared" si="40"/>
        <v>0</v>
      </c>
      <c r="J166">
        <f t="shared" si="41"/>
        <v>1</v>
      </c>
      <c r="K166" s="4">
        <f t="shared" si="30"/>
        <v>3.8199999999999998E-2</v>
      </c>
      <c r="L166">
        <f t="shared" si="31"/>
        <v>0.09</v>
      </c>
      <c r="M166" s="4">
        <f t="shared" si="42"/>
        <v>0</v>
      </c>
      <c r="N166" s="4">
        <f t="shared" si="43"/>
        <v>0</v>
      </c>
    </row>
    <row r="167" spans="1:14">
      <c r="A167" t="str">
        <f t="shared" si="32"/>
        <v>MK~BR_CN~Vai_de_Visa_MN~NONE_YQ~19Q1Q4_CP~NONE_OB~LDS_PK~NONE</v>
      </c>
      <c r="B167" t="str">
        <f t="shared" si="33"/>
        <v>Google Brasil</v>
      </c>
      <c r="C167" t="str">
        <f t="shared" si="34"/>
        <v>CH~DISPLAY_DT~MULTI_PB~GDBM_FM~BANNER_RT~CPM_PD~VDV_AWARENESS_EDUCACIONAL_DV360_BANNER_160X600_160X600_TG~BHVDEM_TS~NONE_SZ~160X600_DISPLAY_MK~BR_IT~DISPLAY_VV~NONE</v>
      </c>
      <c r="D167" t="str">
        <f t="shared" si="35"/>
        <v>251696792</v>
      </c>
      <c r="E167" t="str">
        <f t="shared" si="36"/>
        <v>Standard</v>
      </c>
      <c r="F167" t="str">
        <f t="shared" si="37"/>
        <v>CH~DISPLAY_DT~MULTI_PB~GDBM_FM~BANNER_RT~CPM_PD~VDV_AWARENESS_EDUCACIONAL_DV360_BANNER_160X600_160X600_TG~BHVDEM_TS~NONE_SZ~160X600_DISPLAY_MK~BR_IT~DISPLAY_VV~NONE</v>
      </c>
      <c r="G167" t="str">
        <f t="shared" si="38"/>
        <v>448174294</v>
      </c>
      <c r="H167" t="str">
        <f t="shared" si="39"/>
        <v>Display</v>
      </c>
      <c r="I167">
        <f t="shared" si="40"/>
        <v>16888</v>
      </c>
      <c r="J167">
        <f t="shared" si="41"/>
        <v>21</v>
      </c>
      <c r="K167" s="4">
        <f t="shared" si="30"/>
        <v>3.8199999999999998E-2</v>
      </c>
      <c r="L167">
        <f t="shared" si="31"/>
        <v>0.09</v>
      </c>
      <c r="M167" s="4">
        <f t="shared" si="42"/>
        <v>0.64512159999999996</v>
      </c>
      <c r="N167" s="4">
        <f t="shared" si="43"/>
        <v>1.5199199999999999</v>
      </c>
    </row>
    <row r="168" spans="1:14">
      <c r="A168" t="str">
        <f t="shared" si="32"/>
        <v>MK~BR_CN~Vai_de_Visa_MN~NONE_YQ~19Q1Q4_CP~NONE_OB~LDS_PK~NONE</v>
      </c>
      <c r="B168" t="str">
        <f t="shared" si="33"/>
        <v>Google Brasil</v>
      </c>
      <c r="C168" t="str">
        <f t="shared" si="34"/>
        <v>CH~DISPLAY_DT~MULTI_PB~GDBM_FM~BANNER_RT~CPM_PD~VDV_AWARENESS_EDUCACIONAL_DV360_BANNER_300X250_300X250_TG~BHVDEM_TS~NONE_SZ~300X250_DISPLAY_MK~BR_IT~DISPLAY_VV~NONE</v>
      </c>
      <c r="D168" t="str">
        <f t="shared" si="35"/>
        <v>252103032</v>
      </c>
      <c r="E168" t="str">
        <f t="shared" si="36"/>
        <v>Standard</v>
      </c>
      <c r="F168" t="str">
        <f t="shared" si="37"/>
        <v>CH~DISPLAY_DT~MULTI_PB~GDBM_FM~BANNER_RT~CPM_PD~VDV_AWARENESS_EDUCACIONAL_DV360_BANNER_300X250_300X250_TG~BHVDEM_TS~NONE_SZ~300X250_DISPLAY_MK~BR_IT~DISPLAY_VV~NONE</v>
      </c>
      <c r="G168" t="str">
        <f t="shared" si="38"/>
        <v>448174348</v>
      </c>
      <c r="H168" t="str">
        <f t="shared" si="39"/>
        <v>Display</v>
      </c>
      <c r="I168">
        <f t="shared" si="40"/>
        <v>2179338</v>
      </c>
      <c r="J168">
        <f t="shared" si="41"/>
        <v>27043</v>
      </c>
      <c r="K168" s="4">
        <f t="shared" si="30"/>
        <v>3.8199999999999998E-2</v>
      </c>
      <c r="L168">
        <f t="shared" si="31"/>
        <v>0.09</v>
      </c>
      <c r="M168" s="4">
        <f t="shared" si="42"/>
        <v>83.250711599999988</v>
      </c>
      <c r="N168" s="4">
        <f t="shared" si="43"/>
        <v>196.14041999999998</v>
      </c>
    </row>
    <row r="169" spans="1:14">
      <c r="A169" t="str">
        <f t="shared" si="32"/>
        <v>MK~BR_CN~Vai_de_Visa_MN~NONE_YQ~19Q1Q4_CP~NONE_OB~LDS_PK~NONE</v>
      </c>
      <c r="B169" t="str">
        <f t="shared" si="33"/>
        <v>Google Brasil</v>
      </c>
      <c r="C169" t="str">
        <f t="shared" si="34"/>
        <v>CH~DISPLAY_DT~MULTI_PB~GDBM_FM~BANNER_RT~CPM_PD~VDV_AWARENESS_EDUCACIONAL_DV360_BANNER_300X600_300X600_TG~BHVDEM_TS~NONE_SZ~300X600_DISPLAY_MK~BR_IT~DISPLAY_VV~NONE</v>
      </c>
      <c r="D169" t="str">
        <f t="shared" si="35"/>
        <v>251698928</v>
      </c>
      <c r="E169" t="str">
        <f t="shared" si="36"/>
        <v>Standard</v>
      </c>
      <c r="F169" t="str">
        <f t="shared" si="37"/>
        <v>CH~DISPLAY_DT~MULTI_PB~GDBM_FM~BANNER_RT~CPM_PD~VDV_AWARENESS_EDUCACIONAL_DV360_BANNER_300X600_300X600_TG~BHVDEM_TS~NONE_SZ~300X600_DISPLAY_MK~BR_IT~DISPLAY_VV~NONE</v>
      </c>
      <c r="G169" t="str">
        <f t="shared" si="38"/>
        <v>448088975</v>
      </c>
      <c r="H169" t="str">
        <f t="shared" si="39"/>
        <v>Display</v>
      </c>
      <c r="I169">
        <f t="shared" si="40"/>
        <v>1376817</v>
      </c>
      <c r="J169">
        <f t="shared" si="41"/>
        <v>46087</v>
      </c>
      <c r="K169" s="4">
        <f t="shared" si="30"/>
        <v>3.8199999999999998E-2</v>
      </c>
      <c r="L169">
        <f t="shared" si="31"/>
        <v>0.09</v>
      </c>
      <c r="M169" s="4">
        <f t="shared" si="42"/>
        <v>52.594409399999996</v>
      </c>
      <c r="N169" s="4">
        <f t="shared" si="43"/>
        <v>123.91352999999999</v>
      </c>
    </row>
    <row r="170" spans="1:14">
      <c r="A170" t="str">
        <f t="shared" si="32"/>
        <v>MK~BR_CN~Vai_de_Visa_MN~NONE_YQ~19Q1Q4_CP~NONE_OB~LDS_PK~NONE</v>
      </c>
      <c r="B170" t="str">
        <f t="shared" si="33"/>
        <v>Google Brasil</v>
      </c>
      <c r="C170" t="str">
        <f t="shared" si="34"/>
        <v>CH~DISPLAY_DT~MULTI_PB~GDBM_FM~BANNER_RT~CPM_PD~VDV_AWARENESS_EDUCACIONAL_DV360_BANNER_970X250_970X250_TG~BHVDEM_TS~NONE_SZ~970X250_DISPLAY_MK~BR_IT~DISPLAY_VV~NONE</v>
      </c>
      <c r="D170" t="str">
        <f t="shared" si="35"/>
        <v>252103536</v>
      </c>
      <c r="E170" t="str">
        <f t="shared" si="36"/>
        <v>Standard</v>
      </c>
      <c r="F170" t="str">
        <f t="shared" si="37"/>
        <v>CH~DISPLAY_DT~MULTI_PB~GDBM_FM~BANNER_RT~CPM_PD~VDV_AWARENESS_EDUCACIONAL_DV360_BANNER_970X250_970X250_TG~BHVDEM_TS~NONE_SZ~970X250_DISPLAY_MK~BR_IT~DISPLAY_VV~NONE</v>
      </c>
      <c r="G170" t="str">
        <f t="shared" si="38"/>
        <v>448174843</v>
      </c>
      <c r="H170" t="str">
        <f t="shared" si="39"/>
        <v>Display</v>
      </c>
      <c r="I170">
        <f t="shared" si="40"/>
        <v>30825</v>
      </c>
      <c r="J170">
        <f t="shared" si="41"/>
        <v>461</v>
      </c>
      <c r="K170" s="4">
        <f t="shared" si="30"/>
        <v>3.8199999999999998E-2</v>
      </c>
      <c r="L170">
        <f t="shared" si="31"/>
        <v>0.09</v>
      </c>
      <c r="M170" s="4">
        <f t="shared" si="42"/>
        <v>1.1775149999999999</v>
      </c>
      <c r="N170" s="4">
        <f t="shared" si="43"/>
        <v>2.7742499999999999</v>
      </c>
    </row>
    <row r="171" spans="1:14">
      <c r="A171" t="str">
        <f t="shared" si="32"/>
        <v>MK~BR_CN~Vai_de_Visa_MN~NONE_YQ~19Q1Q4_CP~NONE_OB~LDS_PK~NONE</v>
      </c>
      <c r="B171" t="str">
        <f t="shared" si="33"/>
        <v>Google Brasil</v>
      </c>
      <c r="C171" t="str">
        <f t="shared" si="34"/>
        <v>CH~DISPLAY_DT~MULTI_PB~GDBM_FM~BANNER_RT~CPM_PD~VDV_DECOLAR_PERFORMANCE_DBM_BANNER_15OFF_CAMPO_1080X1920_1080X1920_TG~BHVDEM_TS~NONE_SZ~1080X1920_DISPLAY_MK~BR_IT~DISPLAY_VV~NONE</v>
      </c>
      <c r="D171" t="str">
        <f t="shared" si="35"/>
        <v>245504165</v>
      </c>
      <c r="E171" t="str">
        <f t="shared" si="36"/>
        <v>Standard</v>
      </c>
      <c r="F171" t="str">
        <f t="shared" si="37"/>
        <v>CH~DISPLAY_DT~MULTI_PB~GDBM_FM~BANNER_RT~CPM_PD~VDV_DECOLAR_PERFORMANCE_DBM_BANNER_15OFF_CAMPO_1080X1920_1080X1920_TG~BHVDEM_TS~NONE_SZ~1080X1920_DISPLAY_MK~BR_IT~DISPLAY_VV~NONE</v>
      </c>
      <c r="G171" t="str">
        <f t="shared" si="38"/>
        <v>442177923</v>
      </c>
      <c r="H171" t="str">
        <f t="shared" si="39"/>
        <v>Display</v>
      </c>
      <c r="I171">
        <f t="shared" si="40"/>
        <v>2551</v>
      </c>
      <c r="J171">
        <f t="shared" si="41"/>
        <v>72</v>
      </c>
      <c r="K171" s="4">
        <f t="shared" si="30"/>
        <v>3.8199999999999998E-2</v>
      </c>
      <c r="L171">
        <f t="shared" si="31"/>
        <v>0.09</v>
      </c>
      <c r="M171" s="4">
        <f t="shared" si="42"/>
        <v>9.7448199999999999E-2</v>
      </c>
      <c r="N171" s="4">
        <f t="shared" si="43"/>
        <v>0.22959000000000002</v>
      </c>
    </row>
    <row r="172" spans="1:14">
      <c r="A172" t="str">
        <f t="shared" si="32"/>
        <v>MK~BR_CN~Vai_de_Visa_MN~NONE_YQ~19Q1Q4_CP~NONE_OB~LDS_PK~NONE</v>
      </c>
      <c r="B172" t="str">
        <f t="shared" si="33"/>
        <v>Google Brasil</v>
      </c>
      <c r="C172" t="str">
        <f t="shared" si="34"/>
        <v>CH~DISPLAY_DT~MULTI_PB~GDBM_FM~BANNER_RT~CPM_PD~VDV_DECOLAR_PERFORMANCE_DBM_BANNER_15OFF_CAMPO_1200X627_1200X627_TG~BHVDEM_TS~NONE_SZ~1200X627_DISPLAY_MK~BR_IT~DISPLAY_VV~NONE</v>
      </c>
      <c r="D172" t="str">
        <f t="shared" si="35"/>
        <v>245507975</v>
      </c>
      <c r="E172" t="str">
        <f t="shared" si="36"/>
        <v>Standard</v>
      </c>
      <c r="F172" t="str">
        <f t="shared" si="37"/>
        <v>CH~DISPLAY_DT~MULTI_PB~GDBM_FM~BANNER_RT~CPM_PD~VDV_DECOLAR_PERFORMANCE_DBM_BANNER_15OFF_CAMPO_1200X627_1200X627_TG~BHVDEM_TS~NONE_SZ~1200X627_DISPLAY_MK~BR_IT~DISPLAY_VV~NONE</v>
      </c>
      <c r="G172" t="str">
        <f t="shared" si="38"/>
        <v>442296340</v>
      </c>
      <c r="H172" t="str">
        <f t="shared" si="39"/>
        <v>Display</v>
      </c>
      <c r="I172">
        <f t="shared" si="40"/>
        <v>383305</v>
      </c>
      <c r="J172">
        <f t="shared" si="41"/>
        <v>7556</v>
      </c>
      <c r="K172" s="4">
        <f t="shared" ref="K172:K235" si="44">IF(LEFT(B172,3)="DBM",0,VLOOKUP(E172,tabela,2,FALSE))</f>
        <v>3.8199999999999998E-2</v>
      </c>
      <c r="L172">
        <f t="shared" ref="L172:L235" si="45">VLOOKUP(E172,tabela,3,FALSE)</f>
        <v>0.09</v>
      </c>
      <c r="M172" s="4">
        <f t="shared" si="42"/>
        <v>14.642250999999998</v>
      </c>
      <c r="N172" s="4">
        <f t="shared" si="43"/>
        <v>34.497450000000001</v>
      </c>
    </row>
    <row r="173" spans="1:14">
      <c r="A173" t="str">
        <f t="shared" si="32"/>
        <v>MK~BR_CN~Vai_de_Visa_MN~NONE_YQ~19Q1Q4_CP~NONE_OB~LDS_PK~NONE</v>
      </c>
      <c r="B173" t="str">
        <f t="shared" si="33"/>
        <v>Google Brasil</v>
      </c>
      <c r="C173" t="str">
        <f t="shared" si="34"/>
        <v>CH~DISPLAY_DT~MULTI_PB~GDBM_FM~BANNER_RT~CPM_PD~VDV_DECOLAR_PERFORMANCE_DBM_BANNER_15OFF_CAMPO_180X180_180X180_TG~BHVDEM_TS~NONE_SZ~180X180_DISPLAY_MK~BR_IT~DISPLAY_VV~NONE</v>
      </c>
      <c r="D173" t="str">
        <f t="shared" si="35"/>
        <v>245848134</v>
      </c>
      <c r="E173" t="str">
        <f t="shared" si="36"/>
        <v>Standard</v>
      </c>
      <c r="F173" t="str">
        <f t="shared" si="37"/>
        <v>CH~DISPLAY_DT~MULTI_PB~GDBM_FM~BANNER_RT~CPM_PD~VDV_DECOLAR_PERFORMANCE_DBM_BANNER_15OFF_CAMPO_180X180_180X180_TG~BHVDEM_TS~NONE_SZ~180X180_DISPLAY_MK~BR_IT~DISPLAY_VV~NONE</v>
      </c>
      <c r="G173" t="str">
        <f t="shared" si="38"/>
        <v>442176669</v>
      </c>
      <c r="H173" t="str">
        <f t="shared" si="39"/>
        <v>Display</v>
      </c>
      <c r="I173">
        <f t="shared" si="40"/>
        <v>3668</v>
      </c>
      <c r="J173">
        <f t="shared" si="41"/>
        <v>99</v>
      </c>
      <c r="K173" s="4">
        <f t="shared" si="44"/>
        <v>3.8199999999999998E-2</v>
      </c>
      <c r="L173">
        <f t="shared" si="45"/>
        <v>0.09</v>
      </c>
      <c r="M173" s="4">
        <f t="shared" si="42"/>
        <v>0.14011759999999998</v>
      </c>
      <c r="N173" s="4">
        <f t="shared" si="43"/>
        <v>0.33012000000000002</v>
      </c>
    </row>
    <row r="174" spans="1:14">
      <c r="A174" t="str">
        <f t="shared" si="32"/>
        <v>MK~BR_CN~Vai_de_Visa_MN~NONE_YQ~19Q1Q4_CP~NONE_OB~LDS_PK~NONE</v>
      </c>
      <c r="B174" t="str">
        <f t="shared" si="33"/>
        <v>Google Brasil</v>
      </c>
      <c r="C174" t="str">
        <f t="shared" si="34"/>
        <v>CH~DISPLAY_DT~MULTI_PB~GDBM_FM~BANNER_RT~CPM_PD~VDV_DECOLAR_PERFORMANCE_DBM_BANNER_15OFF_CAMPO_627X627_627X627_TG~BHVDEM_TS~NONE_SZ~627X627_DISPLAY_MK~BR_IT~DISPLAY_VV~NONE</v>
      </c>
      <c r="D174" t="str">
        <f t="shared" si="35"/>
        <v>245502515</v>
      </c>
      <c r="E174" t="str">
        <f t="shared" si="36"/>
        <v>Standard</v>
      </c>
      <c r="F174" t="str">
        <f t="shared" si="37"/>
        <v>CH~DISPLAY_DT~MULTI_PB~GDBM_FM~BANNER_RT~CPM_PD~VDV_DECOLAR_PERFORMANCE_DBM_BANNER_15OFF_CAMPO_627X627_627X627_TG~BHVDEM_TS~NONE_SZ~627X627_DISPLAY_MK~BR_IT~DISPLAY_VV~NONE</v>
      </c>
      <c r="G174" t="str">
        <f t="shared" si="38"/>
        <v>442177584</v>
      </c>
      <c r="H174" t="str">
        <f t="shared" si="39"/>
        <v>Display</v>
      </c>
      <c r="I174">
        <f t="shared" si="40"/>
        <v>1325</v>
      </c>
      <c r="J174">
        <f t="shared" si="41"/>
        <v>36</v>
      </c>
      <c r="K174" s="4">
        <f t="shared" si="44"/>
        <v>3.8199999999999998E-2</v>
      </c>
      <c r="L174">
        <f t="shared" si="45"/>
        <v>0.09</v>
      </c>
      <c r="M174" s="4">
        <f t="shared" si="42"/>
        <v>5.0614999999999993E-2</v>
      </c>
      <c r="N174" s="4">
        <f t="shared" si="43"/>
        <v>0.11924999999999999</v>
      </c>
    </row>
    <row r="175" spans="1:14">
      <c r="A175" t="str">
        <f t="shared" si="32"/>
        <v>MK~BR_CN~Vai_de_Visa_MN~NONE_YQ~19Q1Q4_CP~NONE_OB~LDS_PK~NONE</v>
      </c>
      <c r="B175" t="str">
        <f t="shared" si="33"/>
        <v>Google Brasil</v>
      </c>
      <c r="C175" t="str">
        <f t="shared" si="34"/>
        <v>CH~DISPLAY_DT~MULTI_PB~GDBM_FM~BANNER_RT~CPM_PD~VDV_DECOLAR_PERFORMANCE_DBM_BANNER_15OFF_CAMPO_720X1280_720X1280_TG~BHVDEM_TS~NONE_SZ~720X1280_DISPLAY_MK~BR_IT~DISPLAY_VV~NONE</v>
      </c>
      <c r="D175" t="str">
        <f t="shared" si="35"/>
        <v>245503598</v>
      </c>
      <c r="E175" t="str">
        <f t="shared" si="36"/>
        <v>Standard</v>
      </c>
      <c r="F175" t="str">
        <f t="shared" si="37"/>
        <v>CH~DISPLAY_DT~MULTI_PB~GDBM_FM~BANNER_RT~CPM_PD~VDV_DECOLAR_PERFORMANCE_DBM_BANNER_15OFF_CAMPO_720X1280_720X1280_TG~BHVDEM_TS~NONE_SZ~720X1280_DISPLAY_MK~BR_IT~DISPLAY_VV~NONE</v>
      </c>
      <c r="G175" t="str">
        <f t="shared" si="38"/>
        <v>442296196</v>
      </c>
      <c r="H175" t="str">
        <f t="shared" si="39"/>
        <v>Display</v>
      </c>
      <c r="I175">
        <f t="shared" si="40"/>
        <v>5358</v>
      </c>
      <c r="J175">
        <f t="shared" si="41"/>
        <v>109</v>
      </c>
      <c r="K175" s="4">
        <f t="shared" si="44"/>
        <v>3.8199999999999998E-2</v>
      </c>
      <c r="L175">
        <f t="shared" si="45"/>
        <v>0.09</v>
      </c>
      <c r="M175" s="4">
        <f t="shared" si="42"/>
        <v>0.20467559999999999</v>
      </c>
      <c r="N175" s="4">
        <f t="shared" si="43"/>
        <v>0.48221999999999998</v>
      </c>
    </row>
    <row r="176" spans="1:14">
      <c r="A176" t="str">
        <f t="shared" si="32"/>
        <v>MK~BR_CN~Vai_de_Visa_MN~NONE_YQ~19Q1Q4_CP~NONE_OB~LDS_PK~NONE</v>
      </c>
      <c r="B176" t="str">
        <f t="shared" si="33"/>
        <v>Google Brasil</v>
      </c>
      <c r="C176" t="str">
        <f t="shared" si="34"/>
        <v>CH~DISPLAY_DT~MULTI_PB~GDBM_FM~BANNER_RT~CPM_PD~VDV_DECOLAR_PERFORMANCE_DBM_BANNER_15OFF_MAR_1080X1920_1080X1920_TG~BHVDEM_TS~NONE_SZ~1080X1920_DISPLAY_MK~BR_IT~DISPLAY_VV~NONE</v>
      </c>
      <c r="D176" t="str">
        <f t="shared" si="35"/>
        <v>245631391</v>
      </c>
      <c r="E176" t="str">
        <f t="shared" si="36"/>
        <v>Standard</v>
      </c>
      <c r="F176" t="str">
        <f t="shared" si="37"/>
        <v>CH~DISPLAY_DT~MULTI_PB~GDBM_FM~BANNER_RT~CPM_PD~VDV_DECOLAR_PERFORMANCE_DBM_BANNER_15OFF_MAR_1080X1920_1080X1920_TG~BHVDEM_TS~NONE_SZ~1080X1920_DISPLAY_MK~BR_IT~DISPLAY_VV~NONE</v>
      </c>
      <c r="G176" t="str">
        <f t="shared" si="38"/>
        <v>442289807</v>
      </c>
      <c r="H176" t="str">
        <f t="shared" si="39"/>
        <v>Display</v>
      </c>
      <c r="I176">
        <f t="shared" si="40"/>
        <v>8380</v>
      </c>
      <c r="J176">
        <f t="shared" si="41"/>
        <v>275</v>
      </c>
      <c r="K176" s="4">
        <f t="shared" si="44"/>
        <v>3.8199999999999998E-2</v>
      </c>
      <c r="L176">
        <f t="shared" si="45"/>
        <v>0.09</v>
      </c>
      <c r="M176" s="4">
        <f t="shared" si="42"/>
        <v>0.32011600000000001</v>
      </c>
      <c r="N176" s="4">
        <f t="shared" si="43"/>
        <v>0.75419999999999998</v>
      </c>
    </row>
    <row r="177" spans="1:14">
      <c r="A177" t="str">
        <f t="shared" si="32"/>
        <v>MK~BR_CN~Vai_de_Visa_MN~NONE_YQ~19Q1Q4_CP~NONE_OB~LDS_PK~NONE</v>
      </c>
      <c r="B177" t="str">
        <f t="shared" si="33"/>
        <v>Google Brasil</v>
      </c>
      <c r="C177" t="str">
        <f t="shared" si="34"/>
        <v>CH~DISPLAY_DT~MULTI_PB~GDBM_FM~BANNER_RT~CPM_PD~VDV_DECOLAR_PERFORMANCE_DBM_BANNER_15OFF_MAR_1200X627_1200X627_TG~BHVDEM_TS~NONE_SZ~1200X627_DISPLAY_MK~BR_IT~DISPLAY_VV~NONE</v>
      </c>
      <c r="D177" t="str">
        <f t="shared" si="35"/>
        <v>245506598</v>
      </c>
      <c r="E177" t="str">
        <f t="shared" si="36"/>
        <v>Standard</v>
      </c>
      <c r="F177" t="str">
        <f t="shared" si="37"/>
        <v>CH~DISPLAY_DT~MULTI_PB~GDBM_FM~BANNER_RT~CPM_PD~VDV_DECOLAR_PERFORMANCE_DBM_BANNER_15OFF_MAR_1200X627_1200X627_TG~BHVDEM_TS~NONE_SZ~1200X627_DISPLAY_MK~BR_IT~DISPLAY_VV~NONE</v>
      </c>
      <c r="G177" t="str">
        <f t="shared" si="38"/>
        <v>442179006</v>
      </c>
      <c r="H177" t="str">
        <f t="shared" si="39"/>
        <v>Display</v>
      </c>
      <c r="I177">
        <f t="shared" si="40"/>
        <v>289467</v>
      </c>
      <c r="J177">
        <f t="shared" si="41"/>
        <v>5771</v>
      </c>
      <c r="K177" s="4">
        <f t="shared" si="44"/>
        <v>3.8199999999999998E-2</v>
      </c>
      <c r="L177">
        <f t="shared" si="45"/>
        <v>0.09</v>
      </c>
      <c r="M177" s="4">
        <f t="shared" si="42"/>
        <v>11.057639399999999</v>
      </c>
      <c r="N177" s="4">
        <f t="shared" si="43"/>
        <v>26.052029999999998</v>
      </c>
    </row>
    <row r="178" spans="1:14">
      <c r="A178" t="str">
        <f t="shared" si="32"/>
        <v>MK~BR_CN~Vai_de_Visa_MN~NONE_YQ~19Q1Q4_CP~NONE_OB~LDS_PK~NONE</v>
      </c>
      <c r="B178" t="str">
        <f t="shared" si="33"/>
        <v>Google Brasil</v>
      </c>
      <c r="C178" t="str">
        <f t="shared" si="34"/>
        <v>CH~DISPLAY_DT~MULTI_PB~GDBM_FM~BANNER_RT~CPM_PD~VDV_DECOLAR_PERFORMANCE_DBM_BANNER_15OFF_MAR_180X180_180X180_TG~BHVDEM_TS~NONE_SZ~180X180_DISPLAY_MK~BR_IT~DISPLAY_VV~NONE</v>
      </c>
      <c r="D178" t="str">
        <f t="shared" si="35"/>
        <v>245503220</v>
      </c>
      <c r="E178" t="str">
        <f t="shared" si="36"/>
        <v>Standard</v>
      </c>
      <c r="F178" t="str">
        <f t="shared" si="37"/>
        <v>CH~DISPLAY_DT~MULTI_PB~GDBM_FM~BANNER_RT~CPM_PD~VDV_DECOLAR_PERFORMANCE_DBM_BANNER_15OFF_MAR_180X180_180X180_TG~BHVDEM_TS~NONE_SZ~180X180_DISPLAY_MK~BR_IT~DISPLAY_VV~NONE</v>
      </c>
      <c r="G178" t="str">
        <f t="shared" si="38"/>
        <v>442177749</v>
      </c>
      <c r="H178" t="str">
        <f t="shared" si="39"/>
        <v>Display</v>
      </c>
      <c r="I178">
        <f t="shared" si="40"/>
        <v>4796</v>
      </c>
      <c r="J178">
        <f t="shared" si="41"/>
        <v>113</v>
      </c>
      <c r="K178" s="4">
        <f t="shared" si="44"/>
        <v>3.8199999999999998E-2</v>
      </c>
      <c r="L178">
        <f t="shared" si="45"/>
        <v>0.09</v>
      </c>
      <c r="M178" s="4">
        <f t="shared" si="42"/>
        <v>0.18320719999999999</v>
      </c>
      <c r="N178" s="4">
        <f t="shared" si="43"/>
        <v>0.43163999999999997</v>
      </c>
    </row>
    <row r="179" spans="1:14">
      <c r="A179" t="str">
        <f t="shared" si="32"/>
        <v>MK~BR_CN~Vai_de_Visa_MN~NONE_YQ~19Q1Q4_CP~NONE_OB~LDS_PK~NONE</v>
      </c>
      <c r="B179" t="str">
        <f t="shared" si="33"/>
        <v>Google Brasil</v>
      </c>
      <c r="C179" t="str">
        <f t="shared" si="34"/>
        <v>CH~DISPLAY_DT~MULTI_PB~GDBM_FM~BANNER_RT~CPM_PD~VDV_DECOLAR_PERFORMANCE_DBM_BANNER_15OFF_MAR_627X627_627X627_TG~BHVDEM_TS~NONE_SZ~627X627_DISPLAY_MK~BR_IT~DISPLAY_VV~NONE</v>
      </c>
      <c r="D179" t="str">
        <f t="shared" si="35"/>
        <v>245502545</v>
      </c>
      <c r="E179" t="str">
        <f t="shared" si="36"/>
        <v>Standard</v>
      </c>
      <c r="F179" t="str">
        <f t="shared" si="37"/>
        <v>CH~DISPLAY_DT~MULTI_PB~GDBM_FM~BANNER_RT~CPM_PD~VDV_DECOLAR_PERFORMANCE_DBM_BANNER_15OFF_MAR_627X627_627X627_TG~BHVDEM_TS~NONE_SZ~627X627_DISPLAY_MK~BR_IT~DISPLAY_VV~NONE</v>
      </c>
      <c r="G179" t="str">
        <f t="shared" si="38"/>
        <v>442176972</v>
      </c>
      <c r="H179" t="str">
        <f t="shared" si="39"/>
        <v>Display</v>
      </c>
      <c r="I179">
        <f t="shared" si="40"/>
        <v>4566</v>
      </c>
      <c r="J179">
        <f t="shared" si="41"/>
        <v>122</v>
      </c>
      <c r="K179" s="4">
        <f t="shared" si="44"/>
        <v>3.8199999999999998E-2</v>
      </c>
      <c r="L179">
        <f t="shared" si="45"/>
        <v>0.09</v>
      </c>
      <c r="M179" s="4">
        <f t="shared" si="42"/>
        <v>0.1744212</v>
      </c>
      <c r="N179" s="4">
        <f t="shared" si="43"/>
        <v>0.41093999999999997</v>
      </c>
    </row>
    <row r="180" spans="1:14">
      <c r="A180" t="str">
        <f t="shared" si="32"/>
        <v>MK~BR_CN~Vai_de_Visa_MN~NONE_YQ~19Q1Q4_CP~NONE_OB~LDS_PK~NONE</v>
      </c>
      <c r="B180" t="str">
        <f t="shared" si="33"/>
        <v>Google Brasil</v>
      </c>
      <c r="C180" t="str">
        <f t="shared" si="34"/>
        <v>CH~DISPLAY_DT~MULTI_PB~GDBM_FM~BANNER_RT~CPM_PD~VDV_DECOLAR_PERFORMANCE_DBM_BANNER_15OFF_MAR_720X1280_720X1280_TG~BHVDEM_TS~NONE_SZ~720X1280_DISPLAY_MK~BR_IT~DISPLAY_VV~NONE</v>
      </c>
      <c r="D180" t="str">
        <f t="shared" si="35"/>
        <v>245849922</v>
      </c>
      <c r="E180" t="str">
        <f t="shared" si="36"/>
        <v>Standard</v>
      </c>
      <c r="F180" t="str">
        <f t="shared" si="37"/>
        <v>CH~DISPLAY_DT~MULTI_PB~GDBM_FM~BANNER_RT~CPM_PD~VDV_DECOLAR_PERFORMANCE_DBM_BANNER_15OFF_MAR_720X1280_720X1280_TG~BHVDEM_TS~NONE_SZ~720X1280_DISPLAY_MK~BR_IT~DISPLAY_VV~NONE</v>
      </c>
      <c r="G180" t="str">
        <f t="shared" si="38"/>
        <v>442296208</v>
      </c>
      <c r="H180" t="str">
        <f t="shared" si="39"/>
        <v>Display</v>
      </c>
      <c r="I180">
        <f t="shared" si="40"/>
        <v>3124</v>
      </c>
      <c r="J180">
        <f t="shared" si="41"/>
        <v>73</v>
      </c>
      <c r="K180" s="4">
        <f t="shared" si="44"/>
        <v>3.8199999999999998E-2</v>
      </c>
      <c r="L180">
        <f t="shared" si="45"/>
        <v>0.09</v>
      </c>
      <c r="M180" s="4">
        <f t="shared" si="42"/>
        <v>0.11933679999999999</v>
      </c>
      <c r="N180" s="4">
        <f t="shared" si="43"/>
        <v>0.28115999999999997</v>
      </c>
    </row>
    <row r="181" spans="1:14">
      <c r="A181" t="str">
        <f t="shared" si="32"/>
        <v>MK~BR_CN~Vai_de_Visa_MN~NONE_YQ~19Q1Q4_CP~NONE_OB~LDS_PK~NONE</v>
      </c>
      <c r="B181" t="str">
        <f t="shared" si="33"/>
        <v>Google Brasil</v>
      </c>
      <c r="C181" t="str">
        <f t="shared" si="34"/>
        <v>CH~DISPLAY_DT~MULTI_PB~GDBM_FM~BANNER_RT~CPM_PD~VDV_DECOLAR_PERFORMANCE_DBM_BANNER_15OFF_PREDIOS_1080X1920_1080X1920_TG~BHVDEM_TS~NONE_SZ~1080X1920_DISPLAY_MK~BR_IT~DISPLAY_VV~NONE</v>
      </c>
      <c r="D181" t="str">
        <f t="shared" si="35"/>
        <v>245850069</v>
      </c>
      <c r="E181" t="str">
        <f t="shared" si="36"/>
        <v>Standard</v>
      </c>
      <c r="F181" t="str">
        <f t="shared" si="37"/>
        <v>CH~DISPLAY_DT~MULTI_PB~GDBM_FM~BANNER_RT~CPM_PD~VDV_DECOLAR_PERFORMANCE_DBM_BANNER_15OFF_PREDIOS_1080X1920_1080X1920_TG~BHVDEM_TS~NONE_SZ~1080X1920_DISPLAY_MK~BR_IT~DISPLAY_VV~NONE</v>
      </c>
      <c r="G181" t="str">
        <f t="shared" si="38"/>
        <v>442296238</v>
      </c>
      <c r="H181" t="str">
        <f t="shared" si="39"/>
        <v>Display</v>
      </c>
      <c r="I181">
        <f t="shared" si="40"/>
        <v>737</v>
      </c>
      <c r="J181">
        <f t="shared" si="41"/>
        <v>21</v>
      </c>
      <c r="K181" s="4">
        <f t="shared" si="44"/>
        <v>3.8199999999999998E-2</v>
      </c>
      <c r="L181">
        <f t="shared" si="45"/>
        <v>0.09</v>
      </c>
      <c r="M181" s="4">
        <f t="shared" si="42"/>
        <v>2.8153399999999999E-2</v>
      </c>
      <c r="N181" s="4">
        <f t="shared" si="43"/>
        <v>6.633E-2</v>
      </c>
    </row>
    <row r="182" spans="1:14">
      <c r="A182" t="str">
        <f t="shared" si="32"/>
        <v>MK~BR_CN~Vai_de_Visa_MN~NONE_YQ~19Q1Q4_CP~NONE_OB~LDS_PK~NONE</v>
      </c>
      <c r="B182" t="str">
        <f t="shared" si="33"/>
        <v>Google Brasil</v>
      </c>
      <c r="C182" t="str">
        <f t="shared" si="34"/>
        <v>CH~DISPLAY_DT~MULTI_PB~GDBM_FM~BANNER_RT~CPM_PD~VDV_DECOLAR_PERFORMANCE_DBM_BANNER_15OFF_PREDIOS_1200X627_1200X627_TG~BHVDEM_TS~NONE_SZ~1200X627_DISPLAY_MK~BR_IT~DISPLAY_VV~NONE</v>
      </c>
      <c r="D182" t="str">
        <f t="shared" si="35"/>
        <v>245506550</v>
      </c>
      <c r="E182" t="str">
        <f t="shared" si="36"/>
        <v>Standard</v>
      </c>
      <c r="F182" t="str">
        <f t="shared" si="37"/>
        <v>CH~DISPLAY_DT~MULTI_PB~GDBM_FM~BANNER_RT~CPM_PD~VDV_DECOLAR_PERFORMANCE_DBM_BANNER_15OFF_PREDIOS_1200X627_1200X627_TG~BHVDEM_TS~NONE_SZ~1200X627_DISPLAY_MK~BR_IT~DISPLAY_VV~NONE</v>
      </c>
      <c r="G182" t="str">
        <f t="shared" si="38"/>
        <v>442296316</v>
      </c>
      <c r="H182" t="str">
        <f t="shared" si="39"/>
        <v>Display</v>
      </c>
      <c r="I182">
        <f t="shared" si="40"/>
        <v>428178</v>
      </c>
      <c r="J182">
        <f t="shared" si="41"/>
        <v>9354</v>
      </c>
      <c r="K182" s="4">
        <f t="shared" si="44"/>
        <v>3.8199999999999998E-2</v>
      </c>
      <c r="L182">
        <f t="shared" si="45"/>
        <v>0.09</v>
      </c>
      <c r="M182" s="4">
        <f t="shared" si="42"/>
        <v>16.3563996</v>
      </c>
      <c r="N182" s="4">
        <f t="shared" si="43"/>
        <v>38.536019999999994</v>
      </c>
    </row>
    <row r="183" spans="1:14">
      <c r="A183" t="str">
        <f t="shared" si="32"/>
        <v>MK~BR_CN~Vai_de_Visa_MN~NONE_YQ~19Q1Q4_CP~NONE_OB~LDS_PK~NONE</v>
      </c>
      <c r="B183" t="str">
        <f t="shared" si="33"/>
        <v>Google Brasil</v>
      </c>
      <c r="C183" t="str">
        <f t="shared" si="34"/>
        <v>CH~DISPLAY_DT~MULTI_PB~GDBM_FM~BANNER_RT~CPM_PD~VDV_DECOLAR_PERFORMANCE_DBM_BANNER_15OFF_PREDIOS_180X180_180X180_TG~BHVDEM_TS~NONE_SZ~180X180_DISPLAY_MK~BR_IT~DISPLAY_VV~NONE</v>
      </c>
      <c r="D183" t="str">
        <f t="shared" si="35"/>
        <v>245502269</v>
      </c>
      <c r="E183" t="str">
        <f t="shared" si="36"/>
        <v>Standard</v>
      </c>
      <c r="F183" t="str">
        <f t="shared" si="37"/>
        <v>CH~DISPLAY_DT~MULTI_PB~GDBM_FM~BANNER_RT~CPM_PD~VDV_DECOLAR_PERFORMANCE_DBM_BANNER_15OFF_PREDIOS_180X180_180X180_TG~BHVDEM_TS~NONE_SZ~180X180_DISPLAY_MK~BR_IT~DISPLAY_VV~NONE</v>
      </c>
      <c r="G183" t="str">
        <f t="shared" si="38"/>
        <v>442294429</v>
      </c>
      <c r="H183" t="str">
        <f t="shared" si="39"/>
        <v>Display</v>
      </c>
      <c r="I183">
        <f t="shared" si="40"/>
        <v>2962</v>
      </c>
      <c r="J183">
        <f t="shared" si="41"/>
        <v>54</v>
      </c>
      <c r="K183" s="4">
        <f t="shared" si="44"/>
        <v>3.8199999999999998E-2</v>
      </c>
      <c r="L183">
        <f t="shared" si="45"/>
        <v>0.09</v>
      </c>
      <c r="M183" s="4">
        <f t="shared" si="42"/>
        <v>0.1131484</v>
      </c>
      <c r="N183" s="4">
        <f t="shared" si="43"/>
        <v>0.26657999999999998</v>
      </c>
    </row>
    <row r="184" spans="1:14">
      <c r="A184" t="str">
        <f t="shared" si="32"/>
        <v>MK~BR_CN~Vai_de_Visa_MN~NONE_YQ~19Q1Q4_CP~NONE_OB~LDS_PK~NONE</v>
      </c>
      <c r="B184" t="str">
        <f t="shared" si="33"/>
        <v>Google Brasil</v>
      </c>
      <c r="C184" t="str">
        <f t="shared" si="34"/>
        <v>CH~DISPLAY_DT~MULTI_PB~GDBM_FM~BANNER_RT~CPM_PD~VDV_DECOLAR_PERFORMANCE_DBM_BANNER_15OFF_PREDIOS_627X627_627X627_TG~BHVDEM_TS~NONE_SZ~627X627_DISPLAY_MK~BR_IT~DISPLAY_VV~NONE</v>
      </c>
      <c r="D184" t="str">
        <f t="shared" si="35"/>
        <v>245503262</v>
      </c>
      <c r="E184" t="str">
        <f t="shared" si="36"/>
        <v>Standard</v>
      </c>
      <c r="F184" t="str">
        <f t="shared" si="37"/>
        <v>CH~DISPLAY_DT~MULTI_PB~GDBM_FM~BANNER_RT~CPM_PD~VDV_DECOLAR_PERFORMANCE_DBM_BANNER_15OFF_PREDIOS_627X627_627X627_TG~BHVDEM_TS~NONE_SZ~627X627_DISPLAY_MK~BR_IT~DISPLAY_VV~NONE</v>
      </c>
      <c r="G184" t="str">
        <f t="shared" si="38"/>
        <v>442294483</v>
      </c>
      <c r="H184" t="str">
        <f t="shared" si="39"/>
        <v>Display</v>
      </c>
      <c r="I184">
        <f t="shared" si="40"/>
        <v>4130</v>
      </c>
      <c r="J184">
        <f t="shared" si="41"/>
        <v>111</v>
      </c>
      <c r="K184" s="4">
        <f t="shared" si="44"/>
        <v>3.8199999999999998E-2</v>
      </c>
      <c r="L184">
        <f t="shared" si="45"/>
        <v>0.09</v>
      </c>
      <c r="M184" s="4">
        <f t="shared" si="42"/>
        <v>0.15776599999999999</v>
      </c>
      <c r="N184" s="4">
        <f t="shared" si="43"/>
        <v>0.37169999999999997</v>
      </c>
    </row>
    <row r="185" spans="1:14">
      <c r="A185" t="str">
        <f t="shared" si="32"/>
        <v>MK~BR_CN~Vai_de_Visa_MN~NONE_YQ~19Q1Q4_CP~NONE_OB~LDS_PK~NONE</v>
      </c>
      <c r="B185" t="str">
        <f t="shared" si="33"/>
        <v>Google Brasil</v>
      </c>
      <c r="C185" t="str">
        <f t="shared" si="34"/>
        <v>CH~DISPLAY_DT~MULTI_PB~GDBM_FM~BANNER_RT~CPM_PD~VDV_DECOLAR_PERFORMANCE_DBM_BANNER_15OFF_PREDIOS_720X1280_720X1280_TG~BHVDEM_TS~NONE_SZ~720X1280_DISPLAY_MK~BR_IT~DISPLAY_VV~NONE</v>
      </c>
      <c r="D185" t="str">
        <f t="shared" si="35"/>
        <v>245503808</v>
      </c>
      <c r="E185" t="str">
        <f t="shared" si="36"/>
        <v>Standard</v>
      </c>
      <c r="F185" t="str">
        <f t="shared" si="37"/>
        <v>CH~DISPLAY_DT~MULTI_PB~GDBM_FM~BANNER_RT~CPM_PD~VDV_DECOLAR_PERFORMANCE_DBM_BANNER_15OFF_PREDIOS_720X1280_720X1280_TG~BHVDEM_TS~NONE_SZ~720X1280_DISPLAY_MK~BR_IT~DISPLAY_VV~NONE</v>
      </c>
      <c r="G185" t="str">
        <f t="shared" si="38"/>
        <v>442177812</v>
      </c>
      <c r="H185" t="str">
        <f t="shared" si="39"/>
        <v>Display</v>
      </c>
      <c r="I185">
        <f t="shared" si="40"/>
        <v>10754</v>
      </c>
      <c r="J185">
        <f t="shared" si="41"/>
        <v>302</v>
      </c>
      <c r="K185" s="4">
        <f t="shared" si="44"/>
        <v>3.8199999999999998E-2</v>
      </c>
      <c r="L185">
        <f t="shared" si="45"/>
        <v>0.09</v>
      </c>
      <c r="M185" s="4">
        <f t="shared" si="42"/>
        <v>0.41080279999999997</v>
      </c>
      <c r="N185" s="4">
        <f t="shared" si="43"/>
        <v>0.96786000000000005</v>
      </c>
    </row>
    <row r="186" spans="1:14">
      <c r="A186" t="str">
        <f t="shared" si="32"/>
        <v>MK~BR_CN~Vai_de_Visa_MN~NONE_YQ~19Q1Q4_CP~NONE_OB~LDS_PK~NONE</v>
      </c>
      <c r="B186" t="str">
        <f t="shared" si="33"/>
        <v>Google Brasil</v>
      </c>
      <c r="C186" t="str">
        <f t="shared" si="34"/>
        <v>CH~DISPLAY_DT~MULTI_PB~GDBM_FM~BANNER_RT~CPM_PD~VDV_EDUCACIONAL_AWARENESS_BANNER__DV360_CREDITO_160X600_160X600_TG~BHVDEM_TS~NONE_SZ~160X600_DISPLAY_MK~BR_IT~DISPLAY_VV~NONE</v>
      </c>
      <c r="D186" t="str">
        <f t="shared" si="35"/>
        <v>251830933</v>
      </c>
      <c r="E186" t="str">
        <f t="shared" si="36"/>
        <v>Standard</v>
      </c>
      <c r="F186" t="str">
        <f t="shared" si="37"/>
        <v>CH~DISPLAY_DT~MULTI_PB~GDBM_FM~BANNER_RT~CPM_PD~VDV_EDUCACIONAL_AWARENESS_BANNER__DV360_CREDITO_160X600_160X600_TG~BHVDEM_TS~NONE_SZ~160X600_DISPLAY_MK~BR_IT~DISPLAY_VV~NONE</v>
      </c>
      <c r="G186" t="str">
        <f t="shared" si="38"/>
        <v>447910445</v>
      </c>
      <c r="H186" t="str">
        <f t="shared" si="39"/>
        <v>Display</v>
      </c>
      <c r="I186">
        <f t="shared" si="40"/>
        <v>45881</v>
      </c>
      <c r="J186">
        <f t="shared" si="41"/>
        <v>52</v>
      </c>
      <c r="K186" s="4">
        <f t="shared" si="44"/>
        <v>3.8199999999999998E-2</v>
      </c>
      <c r="L186">
        <f t="shared" si="45"/>
        <v>0.09</v>
      </c>
      <c r="M186" s="4">
        <f t="shared" si="42"/>
        <v>1.7526542000000001</v>
      </c>
      <c r="N186" s="4">
        <f t="shared" si="43"/>
        <v>4.1292900000000001</v>
      </c>
    </row>
    <row r="187" spans="1:14">
      <c r="A187" t="str">
        <f t="shared" si="32"/>
        <v>MK~BR_CN~Vai_de_Visa_MN~NONE_YQ~19Q1Q4_CP~NONE_OB~LDS_PK~NONE</v>
      </c>
      <c r="B187" t="str">
        <f t="shared" si="33"/>
        <v>Google Brasil</v>
      </c>
      <c r="C187" t="str">
        <f t="shared" si="34"/>
        <v>CH~DISPLAY_DT~MULTI_PB~GDBM_FM~BANNER_RT~CPM_PD~VDV_EDUCACIONAL_AWARENESS_BANNER__DV360_CREDITO_300X250_300X250_TG~BHVDEM_TS~NONE_SZ~300X250_DISPLAY_MK~BR_IT~DISPLAY_VV~NONE</v>
      </c>
      <c r="D187" t="str">
        <f t="shared" si="35"/>
        <v>251524148</v>
      </c>
      <c r="E187" t="str">
        <f t="shared" si="36"/>
        <v>Standard</v>
      </c>
      <c r="F187" t="str">
        <f t="shared" si="37"/>
        <v>CH~DISPLAY_DT~MULTI_PB~GDBM_FM~BANNER_RT~CPM_PD~VDV_EDUCACIONAL_AWARENESS_BANNER__DV360_CREDITO_300X250_300X250_TG~BHVDEM_TS~NONE_SZ~300X250_DISPLAY_MK~BR_IT~DISPLAY_VV~NONE</v>
      </c>
      <c r="G187" t="str">
        <f t="shared" si="38"/>
        <v>447850161</v>
      </c>
      <c r="H187" t="str">
        <f t="shared" si="39"/>
        <v>Display</v>
      </c>
      <c r="I187">
        <f t="shared" si="40"/>
        <v>4701107</v>
      </c>
      <c r="J187">
        <f t="shared" si="41"/>
        <v>34590</v>
      </c>
      <c r="K187" s="4">
        <f t="shared" si="44"/>
        <v>3.8199999999999998E-2</v>
      </c>
      <c r="L187">
        <f t="shared" si="45"/>
        <v>0.09</v>
      </c>
      <c r="M187" s="4">
        <f t="shared" si="42"/>
        <v>179.58228740000001</v>
      </c>
      <c r="N187" s="4">
        <f t="shared" si="43"/>
        <v>423.09962999999999</v>
      </c>
    </row>
    <row r="188" spans="1:14">
      <c r="A188" t="str">
        <f t="shared" si="32"/>
        <v>MK~BR_CN~Vai_de_Visa_MN~NONE_YQ~19Q1Q4_CP~NONE_OB~LDS_PK~NONE</v>
      </c>
      <c r="B188" t="str">
        <f t="shared" si="33"/>
        <v>Google Brasil</v>
      </c>
      <c r="C188" t="str">
        <f t="shared" si="34"/>
        <v>CH~DISPLAY_DT~MULTI_PB~GDBM_FM~BANNER_RT~CPM_PD~VDV_EDUCACIONAL_AWARENESS_BANNER__DV360_CREDITO_300X600_300X600_TG~BHVDEM_TS~NONE_SZ~300X600_DISPLAY_MK~BR_IT~DISPLAY_VV~NONE</v>
      </c>
      <c r="D188" t="str">
        <f t="shared" si="35"/>
        <v>251831053</v>
      </c>
      <c r="E188" t="str">
        <f t="shared" si="36"/>
        <v>Standard</v>
      </c>
      <c r="F188" t="str">
        <f t="shared" si="37"/>
        <v>CH~DISPLAY_DT~MULTI_PB~GDBM_FM~BANNER_RT~CPM_PD~VDV_EDUCACIONAL_AWARENESS_BANNER__DV360_CREDITO_300X600_300X600_TG~BHVDEM_TS~NONE_SZ~300X600_DISPLAY_MK~BR_IT~DISPLAY_VV~NONE</v>
      </c>
      <c r="G188" t="str">
        <f t="shared" si="38"/>
        <v>447911813</v>
      </c>
      <c r="H188" t="str">
        <f t="shared" si="39"/>
        <v>Display</v>
      </c>
      <c r="I188">
        <f t="shared" si="40"/>
        <v>2989136</v>
      </c>
      <c r="J188">
        <f t="shared" si="41"/>
        <v>41619</v>
      </c>
      <c r="K188" s="4">
        <f t="shared" si="44"/>
        <v>3.8199999999999998E-2</v>
      </c>
      <c r="L188">
        <f t="shared" si="45"/>
        <v>0.09</v>
      </c>
      <c r="M188" s="4">
        <f t="shared" si="42"/>
        <v>114.18499519999999</v>
      </c>
      <c r="N188" s="4">
        <f t="shared" si="43"/>
        <v>269.02224000000001</v>
      </c>
    </row>
    <row r="189" spans="1:14">
      <c r="A189" t="str">
        <f t="shared" si="32"/>
        <v>MK~BR_CN~Vai_de_Visa_MN~NONE_YQ~19Q1Q4_CP~NONE_OB~LDS_PK~NONE</v>
      </c>
      <c r="B189" t="str">
        <f t="shared" si="33"/>
        <v>Google Brasil</v>
      </c>
      <c r="C189" t="str">
        <f t="shared" si="34"/>
        <v>CH~DISPLAY_DT~MULTI_PB~GDBM_FM~BANNER_RT~CPM_PD~VDV_EDUCACIONAL_AWARENESS_BANNER__DV360_CREDITO_970X250_970X250_TG~BHVDEM_TS~NONE_SZ~970X250_DISPLAY_MK~BR_IT~DISPLAY_VV~NONE</v>
      </c>
      <c r="D189" t="str">
        <f t="shared" si="35"/>
        <v>251522756</v>
      </c>
      <c r="E189" t="str">
        <f t="shared" si="36"/>
        <v>Standard</v>
      </c>
      <c r="F189" t="str">
        <f t="shared" si="37"/>
        <v>CH~DISPLAY_DT~MULTI_PB~GDBM_FM~BANNER_RT~CPM_PD~VDV_EDUCACIONAL_AWARENESS_BANNER__DV360_CREDITO_970X250_970X250_TG~BHVDEM_TS~NONE_SZ~970X250_DISPLAY_MK~BR_IT~DISPLAY_VV~NONE</v>
      </c>
      <c r="G189" t="str">
        <f t="shared" si="38"/>
        <v>448005643</v>
      </c>
      <c r="H189" t="str">
        <f t="shared" si="39"/>
        <v>Display</v>
      </c>
      <c r="I189">
        <f t="shared" si="40"/>
        <v>76273</v>
      </c>
      <c r="J189">
        <f t="shared" si="41"/>
        <v>508</v>
      </c>
      <c r="K189" s="4">
        <f t="shared" si="44"/>
        <v>3.8199999999999998E-2</v>
      </c>
      <c r="L189">
        <f t="shared" si="45"/>
        <v>0.09</v>
      </c>
      <c r="M189" s="4">
        <f t="shared" si="42"/>
        <v>2.9136286</v>
      </c>
      <c r="N189" s="4">
        <f t="shared" si="43"/>
        <v>6.8645699999999996</v>
      </c>
    </row>
    <row r="190" spans="1:14">
      <c r="A190" t="str">
        <f t="shared" si="32"/>
        <v>MK~BR_CN~Vai_de_Visa_MN~NONE_YQ~19Q1Q4_CP~NONE_OB~LDS_PK~NONE</v>
      </c>
      <c r="B190" t="str">
        <f t="shared" si="33"/>
        <v>Google Brasil</v>
      </c>
      <c r="C190" t="str">
        <f t="shared" si="34"/>
        <v>CH~DISPLAY_DT~MULTI_PB~GDBM_FM~BANNER_RT~CPM_PD~VDV_NETSHOES_TRAFEGO_GOOGLE_DV360_BANNER_160X600_160X600_TG~BHVDEM_TS~NONE_SZ~160X600_DISPLAY_MK~BR_IT~DISPLAY_VV~NONE</v>
      </c>
      <c r="D190" t="str">
        <f t="shared" si="35"/>
        <v>249670195</v>
      </c>
      <c r="E190" t="str">
        <f t="shared" si="36"/>
        <v>Standard</v>
      </c>
      <c r="F190" t="str">
        <f t="shared" si="37"/>
        <v>CH~DISPLAY_DT~MULTI_PB~GDBM_FM~BANNER_RT~CPM_PD~VDV_NETSHOES_TRAFEGO_GOOGLE_DV360_BANNER_160X600_160X600_TG~BHVDEM_TS~NONE_SZ~160X600_DISPLAY_MK~BR_IT~DISPLAY_VV~NONE</v>
      </c>
      <c r="G190" t="str">
        <f t="shared" si="38"/>
        <v>445753461</v>
      </c>
      <c r="H190" t="str">
        <f t="shared" si="39"/>
        <v>Display</v>
      </c>
      <c r="I190">
        <f t="shared" si="40"/>
        <v>9924</v>
      </c>
      <c r="J190">
        <f t="shared" si="41"/>
        <v>28</v>
      </c>
      <c r="K190" s="4">
        <f t="shared" si="44"/>
        <v>3.8199999999999998E-2</v>
      </c>
      <c r="L190">
        <f t="shared" si="45"/>
        <v>0.09</v>
      </c>
      <c r="M190" s="4">
        <f t="shared" si="42"/>
        <v>0.37909679999999996</v>
      </c>
      <c r="N190" s="4">
        <f t="shared" si="43"/>
        <v>0.89315999999999995</v>
      </c>
    </row>
    <row r="191" spans="1:14">
      <c r="A191" t="str">
        <f t="shared" si="32"/>
        <v>MK~BR_CN~Vai_de_Visa_MN~NONE_YQ~19Q1Q4_CP~NONE_OB~LDS_PK~NONE</v>
      </c>
      <c r="B191" t="str">
        <f t="shared" si="33"/>
        <v>Google Brasil</v>
      </c>
      <c r="C191" t="str">
        <f t="shared" si="34"/>
        <v>CH~DISPLAY_DT~MULTI_PB~GDBM_FM~BANNER_RT~CPM_PD~VDV_NETSHOES_TRAFEGO_GOOGLE_DV360_BANNER_300X250_300X250_TG~BHVDEM_TS~NONE_SZ~300X250_DISPLAY_MK~BR_IT~DISPLAY_VV~NONE</v>
      </c>
      <c r="D191" t="str">
        <f t="shared" si="35"/>
        <v>249670192</v>
      </c>
      <c r="E191" t="str">
        <f t="shared" si="36"/>
        <v>Standard</v>
      </c>
      <c r="F191" t="str">
        <f t="shared" si="37"/>
        <v>CH~DISPLAY_DT~MULTI_PB~GDBM_FM~BANNER_RT~CPM_PD~VDV_NETSHOES_TRAFEGO_GOOGLE_DV360_BANNER_300X250_300X250_TG~BHVDEM_TS~NONE_SZ~300X250_DISPLAY_MK~BR_IT~DISPLAY_VV~NONE</v>
      </c>
      <c r="G191" t="str">
        <f t="shared" si="38"/>
        <v>445753464</v>
      </c>
      <c r="H191" t="str">
        <f t="shared" si="39"/>
        <v>Display</v>
      </c>
      <c r="I191">
        <f t="shared" si="40"/>
        <v>3653610</v>
      </c>
      <c r="J191">
        <f t="shared" si="41"/>
        <v>124456</v>
      </c>
      <c r="K191" s="4">
        <f t="shared" si="44"/>
        <v>3.8199999999999998E-2</v>
      </c>
      <c r="L191">
        <f t="shared" si="45"/>
        <v>0.09</v>
      </c>
      <c r="M191" s="4">
        <f t="shared" si="42"/>
        <v>139.567902</v>
      </c>
      <c r="N191" s="4">
        <f t="shared" si="43"/>
        <v>328.82489999999996</v>
      </c>
    </row>
    <row r="192" spans="1:14">
      <c r="A192" t="str">
        <f t="shared" si="32"/>
        <v>MK~BR_CN~Vai_de_Visa_MN~NONE_YQ~19Q1Q4_CP~NONE_OB~LDS_PK~NONE</v>
      </c>
      <c r="B192" t="str">
        <f t="shared" si="33"/>
        <v>Google Brasil</v>
      </c>
      <c r="C192" t="str">
        <f t="shared" si="34"/>
        <v>CH~DISPLAY_DT~MULTI_PB~GDBM_FM~BANNER_RT~CPM_PD~VDV_NETSHOES_TRAFEGO_GOOGLE_DV360_BANNER_300X600_300X600_TG~BHVDEM_TS~NONE_SZ~300X600_DISPLAY_MK~BR_IT~DISPLAY_VV~NONE</v>
      </c>
      <c r="D192" t="str">
        <f t="shared" si="35"/>
        <v>249670189</v>
      </c>
      <c r="E192" t="str">
        <f t="shared" si="36"/>
        <v>Standard</v>
      </c>
      <c r="F192" t="str">
        <f t="shared" si="37"/>
        <v>CH~DISPLAY_DT~MULTI_PB~GDBM_FM~BANNER_RT~CPM_PD~VDV_NETSHOES_TRAFEGO_GOOGLE_DV360_BANNER_300X600_300X600_TG~BHVDEM_TS~NONE_SZ~300X600_DISPLAY_MK~BR_IT~DISPLAY_VV~NONE</v>
      </c>
      <c r="G192" t="str">
        <f t="shared" si="38"/>
        <v>445753467</v>
      </c>
      <c r="H192" t="str">
        <f t="shared" si="39"/>
        <v>Display</v>
      </c>
      <c r="I192">
        <f t="shared" si="40"/>
        <v>3351351</v>
      </c>
      <c r="J192">
        <f t="shared" si="41"/>
        <v>168620</v>
      </c>
      <c r="K192" s="4">
        <f t="shared" si="44"/>
        <v>3.8199999999999998E-2</v>
      </c>
      <c r="L192">
        <f t="shared" si="45"/>
        <v>0.09</v>
      </c>
      <c r="M192" s="4">
        <f t="shared" si="42"/>
        <v>128.02160819999997</v>
      </c>
      <c r="N192" s="4">
        <f t="shared" si="43"/>
        <v>301.62158999999997</v>
      </c>
    </row>
    <row r="193" spans="1:14">
      <c r="A193" t="str">
        <f t="shared" si="32"/>
        <v>MK~BR_CN~Vai_de_Visa_MN~NONE_YQ~19Q1Q4_CP~NONE_OB~LDS_PK~NONE</v>
      </c>
      <c r="B193" t="str">
        <f t="shared" si="33"/>
        <v>Google Brasil</v>
      </c>
      <c r="C193" t="str">
        <f t="shared" si="34"/>
        <v>CH~DISPLAY_DT~MULTI_PB~GDBM_FM~BANNER_RT~CPM_PD~VDV_NETSHOES_TRAFEGO_GOOGLE_DV360_BANNER_970X250_970X250_TG~BHVDEM_TS~NONE_SZ~970X250_DISPLAY_MK~BR_IT~DISPLAY_VV~NONE</v>
      </c>
      <c r="D193" t="str">
        <f t="shared" si="35"/>
        <v>249670186</v>
      </c>
      <c r="E193" t="str">
        <f t="shared" si="36"/>
        <v>Standard</v>
      </c>
      <c r="F193" t="str">
        <f t="shared" si="37"/>
        <v>CH~DISPLAY_DT~MULTI_PB~GDBM_FM~BANNER_RT~CPM_PD~VDV_NETSHOES_TRAFEGO_GOOGLE_DV360_BANNER_970X250_970X250_TG~BHVDEM_TS~NONE_SZ~970X250_DISPLAY_MK~BR_IT~DISPLAY_VV~NONE</v>
      </c>
      <c r="G193" t="str">
        <f t="shared" si="38"/>
        <v>445753470</v>
      </c>
      <c r="H193" t="str">
        <f t="shared" si="39"/>
        <v>Display</v>
      </c>
      <c r="I193">
        <f t="shared" si="40"/>
        <v>637143</v>
      </c>
      <c r="J193">
        <f t="shared" si="41"/>
        <v>29924</v>
      </c>
      <c r="K193" s="4">
        <f t="shared" si="44"/>
        <v>3.8199999999999998E-2</v>
      </c>
      <c r="L193">
        <f t="shared" si="45"/>
        <v>0.09</v>
      </c>
      <c r="M193" s="4">
        <f t="shared" si="42"/>
        <v>24.338862599999999</v>
      </c>
      <c r="N193" s="4">
        <f t="shared" si="43"/>
        <v>57.342869999999998</v>
      </c>
    </row>
    <row r="194" spans="1:14">
      <c r="A194" t="str">
        <f t="shared" ref="A194:A257" si="46">bd_campaign</f>
        <v>MK~BR_CN~Vai_de_Visa_MN~NONE_YQ~19Q1Q4_CP~NONE_OB~LDS_PK~NONE</v>
      </c>
      <c r="B194" t="str">
        <f t="shared" ref="B194:B257" si="47">bd_site</f>
        <v>Google Brasil</v>
      </c>
      <c r="C194" t="str">
        <f t="shared" ref="C194:C257" si="48">bd_placement</f>
        <v>CH~DISPLAY_DT~MULTI_PB~GDBM_FM~BANNER_RT~CPM_PD~VDV_PAODEACUCAR_DBM_BANNER_ESTATICO_970X250_970X250_TG~BHVDEM_TS~NONE_SZ~970X250_DISPLAY_MK~BR_IT~DISPLAY_VV~NONE</v>
      </c>
      <c r="D194" t="str">
        <f t="shared" ref="D194:D257" si="49">bd_placementID</f>
        <v>240746273</v>
      </c>
      <c r="E194" t="str">
        <f t="shared" ref="E194:E257" si="50">VLOOKUP(CONCATENATE(bd_adtype,"_",bd_creativetype),tabela,2,FALSE)</f>
        <v>Standard</v>
      </c>
      <c r="F194" t="str">
        <f t="shared" ref="F194:F257" si="51">bd_ad</f>
        <v>CH~DISPLAY_DT~MULTI_PB~GDBM_FM~BANNER_RT~CPM_PD~VDV_PAODEACUCAR_DBM_BANNER_ESTATICO_970X250_970X250_TG~BHVDEM_TS~NONE_SZ~970X250_DISPLAY_MK~BR_IT~DISPLAY_VV~NONE</v>
      </c>
      <c r="G194" t="str">
        <f t="shared" ref="G194:G257" si="52">bd_adid</f>
        <v>437780186</v>
      </c>
      <c r="H194" t="str">
        <f t="shared" ref="H194:H257" si="53">bd_creativetype</f>
        <v>Display</v>
      </c>
      <c r="I194">
        <f t="shared" ref="I194:I257" si="54">bd_impression</f>
        <v>3</v>
      </c>
      <c r="J194">
        <f t="shared" ref="J194:J257" si="55">bd_clicks</f>
        <v>0</v>
      </c>
      <c r="K194" s="4">
        <f t="shared" si="44"/>
        <v>3.8199999999999998E-2</v>
      </c>
      <c r="L194">
        <f t="shared" si="45"/>
        <v>0.09</v>
      </c>
      <c r="M194" s="4">
        <f t="shared" si="42"/>
        <v>1.1459999999999999E-4</v>
      </c>
      <c r="N194" s="4">
        <f t="shared" si="43"/>
        <v>2.7E-4</v>
      </c>
    </row>
    <row r="195" spans="1:14">
      <c r="A195" t="str">
        <f t="shared" si="46"/>
        <v>MK~BR_CN~Vai_de_Visa_MN~NONE_YQ~19Q1Q4_CP~NONE_OB~LDS_PK~NONE</v>
      </c>
      <c r="B195" t="str">
        <f t="shared" si="47"/>
        <v>Google Brasil</v>
      </c>
      <c r="C195" t="str">
        <f t="shared" si="48"/>
        <v>CH~DISPLAY_DT~MULTI_PB~GDBM_FM~BANNER_RT~CPM_PD~VDV_PERFORMANCE_DV360_MOVIDA_20OFF_BANNER_160X600_160X600_TG~BHVDEM_TS~NONE_SZ~160X600_DISPLAY_MK~BR_IT~DISPLAY_VV~NONE</v>
      </c>
      <c r="D195" t="str">
        <f t="shared" si="49"/>
        <v>250878035</v>
      </c>
      <c r="E195" t="str">
        <f t="shared" si="50"/>
        <v>Standard</v>
      </c>
      <c r="F195" t="str">
        <f t="shared" si="51"/>
        <v>CH~DISPLAY_DT~MULTI_PB~GDBM_FM~BANNER_RT~CPM_PD~VDV_PERFORMANCE_DV360_MOVIDA_20OFF_BANNER_160X600_160X600_TG~BHVDEM_TS~NONE_SZ~160X600_DISPLAY_MK~BR_IT~DISPLAY_VV~NONE</v>
      </c>
      <c r="G195" t="str">
        <f t="shared" si="52"/>
        <v>447253284</v>
      </c>
      <c r="H195" t="str">
        <f t="shared" si="53"/>
        <v>Display</v>
      </c>
      <c r="I195">
        <f t="shared" si="54"/>
        <v>6229</v>
      </c>
      <c r="J195">
        <f t="shared" si="55"/>
        <v>9</v>
      </c>
      <c r="K195" s="4">
        <f t="shared" si="44"/>
        <v>3.8199999999999998E-2</v>
      </c>
      <c r="L195">
        <f t="shared" si="45"/>
        <v>0.09</v>
      </c>
      <c r="M195" s="4">
        <f t="shared" si="42"/>
        <v>0.23794779999999996</v>
      </c>
      <c r="N195" s="4">
        <f t="shared" si="43"/>
        <v>0.56061000000000005</v>
      </c>
    </row>
    <row r="196" spans="1:14">
      <c r="A196" t="str">
        <f t="shared" si="46"/>
        <v>MK~BR_CN~Vai_de_Visa_MN~NONE_YQ~19Q1Q4_CP~NONE_OB~LDS_PK~NONE</v>
      </c>
      <c r="B196" t="str">
        <f t="shared" si="47"/>
        <v>Google Brasil</v>
      </c>
      <c r="C196" t="str">
        <f t="shared" si="48"/>
        <v>CH~DISPLAY_DT~MULTI_PB~GDBM_FM~BANNER_RT~CPM_PD~VDV_PERFORMANCE_DV360_MOVIDA_20OFF_BANNER_300X250_300X250_TG~BHVDEM_TS~NONE_SZ~300X250_DISPLAY_MK~BR_IT~DISPLAY_VV~NONE</v>
      </c>
      <c r="D196" t="str">
        <f t="shared" si="49"/>
        <v>251270502</v>
      </c>
      <c r="E196" t="str">
        <f t="shared" si="50"/>
        <v>Standard</v>
      </c>
      <c r="F196" t="str">
        <f t="shared" si="51"/>
        <v>CH~DISPLAY_DT~MULTI_PB~GDBM_FM~BANNER_RT~CPM_PD~VDV_PERFORMANCE_DV360_MOVIDA_20OFF_BANNER_300X250_300X250_TG~BHVDEM_TS~NONE_SZ~300X250_DISPLAY_MK~BR_IT~DISPLAY_VV~NONE</v>
      </c>
      <c r="G196" t="str">
        <f t="shared" si="52"/>
        <v>447294482</v>
      </c>
      <c r="H196" t="str">
        <f t="shared" si="53"/>
        <v>Display</v>
      </c>
      <c r="I196">
        <f t="shared" si="54"/>
        <v>598273</v>
      </c>
      <c r="J196">
        <f t="shared" si="55"/>
        <v>12450</v>
      </c>
      <c r="K196" s="4">
        <f t="shared" si="44"/>
        <v>3.8199999999999998E-2</v>
      </c>
      <c r="L196">
        <f t="shared" si="45"/>
        <v>0.09</v>
      </c>
      <c r="M196" s="4">
        <f t="shared" si="42"/>
        <v>22.854028599999999</v>
      </c>
      <c r="N196" s="4">
        <f t="shared" si="43"/>
        <v>53.844569999999997</v>
      </c>
    </row>
    <row r="197" spans="1:14">
      <c r="A197" t="str">
        <f t="shared" si="46"/>
        <v>MK~BR_CN~Vai_de_Visa_MN~NONE_YQ~19Q1Q4_CP~NONE_OB~LDS_PK~NONE</v>
      </c>
      <c r="B197" t="str">
        <f t="shared" si="47"/>
        <v>Google Brasil</v>
      </c>
      <c r="C197" t="str">
        <f t="shared" si="48"/>
        <v>CH~DISPLAY_DT~MULTI_PB~GDBM_FM~BANNER_RT~CPM_PD~VDV_PERFORMANCE_DV360_MOVIDA_20OFF_BANNER_300X600_300X600_TG~BHVDEM_TS~NONE_SZ~300X600_DISPLAY_MK~BR_IT~DISPLAY_VV~NONE</v>
      </c>
      <c r="D197" t="str">
        <f t="shared" si="49"/>
        <v>250882151</v>
      </c>
      <c r="E197" t="str">
        <f t="shared" si="50"/>
        <v>Standard</v>
      </c>
      <c r="F197" t="str">
        <f t="shared" si="51"/>
        <v>CH~DISPLAY_DT~MULTI_PB~GDBM_FM~BANNER_RT~CPM_PD~VDV_PERFORMANCE_DV360_MOVIDA_20OFF_BANNER_300X600_300X600_TG~BHVDEM_TS~NONE_SZ~300X600_DISPLAY_MK~BR_IT~DISPLAY_VV~NONE</v>
      </c>
      <c r="G197" t="str">
        <f t="shared" si="52"/>
        <v>447383530</v>
      </c>
      <c r="H197" t="str">
        <f t="shared" si="53"/>
        <v>Display</v>
      </c>
      <c r="I197">
        <f t="shared" si="54"/>
        <v>1017759</v>
      </c>
      <c r="J197">
        <f t="shared" si="55"/>
        <v>50154</v>
      </c>
      <c r="K197" s="4">
        <f t="shared" si="44"/>
        <v>3.8199999999999998E-2</v>
      </c>
      <c r="L197">
        <f t="shared" si="45"/>
        <v>0.09</v>
      </c>
      <c r="M197" s="4">
        <f t="shared" si="42"/>
        <v>38.878393799999998</v>
      </c>
      <c r="N197" s="4">
        <f t="shared" si="43"/>
        <v>91.598309999999998</v>
      </c>
    </row>
    <row r="198" spans="1:14">
      <c r="A198" t="str">
        <f t="shared" si="46"/>
        <v>MK~BR_CN~Vai_de_Visa_MN~NONE_YQ~19Q1Q4_CP~NONE_OB~LDS_PK~NONE</v>
      </c>
      <c r="B198" t="str">
        <f t="shared" si="47"/>
        <v>Google Brasil</v>
      </c>
      <c r="C198" t="str">
        <f t="shared" si="48"/>
        <v>CH~DISPLAY_DT~MULTI_PB~GDBM_FM~BANNER_RT~CPM_PD~VDV_PERFORMANCE_DV360_MOVIDA_20OFF_BANNER_970X250_970X250_TG~BHVDEM_TS~NONE_SZ~970X250_DISPLAY_MK~BR_IT~DISPLAY_VV~NONE</v>
      </c>
      <c r="D198" t="str">
        <f t="shared" si="49"/>
        <v>251275422</v>
      </c>
      <c r="E198" t="str">
        <f t="shared" si="50"/>
        <v>Standard</v>
      </c>
      <c r="F198" t="str">
        <f t="shared" si="51"/>
        <v>CH~DISPLAY_DT~MULTI_PB~GDBM_FM~BANNER_RT~CPM_PD~VDV_PERFORMANCE_DV360_MOVIDA_20OFF_BANNER_970X250_970X250_TG~BHVDEM_TS~NONE_SZ~970X250_DISPLAY_MK~BR_IT~DISPLAY_VV~NONE</v>
      </c>
      <c r="G198" t="str">
        <f t="shared" si="52"/>
        <v>447385030</v>
      </c>
      <c r="H198" t="str">
        <f t="shared" si="53"/>
        <v>Display</v>
      </c>
      <c r="I198">
        <f t="shared" si="54"/>
        <v>9713</v>
      </c>
      <c r="J198">
        <f t="shared" si="55"/>
        <v>256</v>
      </c>
      <c r="K198" s="4">
        <f t="shared" si="44"/>
        <v>3.8199999999999998E-2</v>
      </c>
      <c r="L198">
        <f t="shared" si="45"/>
        <v>0.09</v>
      </c>
      <c r="M198" s="4">
        <f t="shared" si="42"/>
        <v>0.37103659999999994</v>
      </c>
      <c r="N198" s="4">
        <f t="shared" si="43"/>
        <v>0.87417</v>
      </c>
    </row>
    <row r="199" spans="1:14">
      <c r="A199" t="str">
        <f t="shared" si="46"/>
        <v>MK~BR_CN~Vai_de_Visa_MN~NONE_YQ~19Q1Q4_CP~NONE_OB~LDS_PK~NONE</v>
      </c>
      <c r="B199" t="str">
        <f t="shared" si="47"/>
        <v>Google Brasil</v>
      </c>
      <c r="C199" t="str">
        <f t="shared" si="48"/>
        <v>CH~DISPLAY_DT~MULTI_PB~GDBM_FM~BANNER_RT~CPM_PD~VDV_PERFORMANCE_MOVIDA_GOOGLE_DV360_BANNER_300X250_300X250_TG~BHVDEM_TS~NONE_SZ~300X250_DISPLAY_MK~BR_IT~DISPLAY_VV~NONE</v>
      </c>
      <c r="D199" t="str">
        <f t="shared" si="49"/>
        <v>250307508</v>
      </c>
      <c r="E199" t="str">
        <f t="shared" si="50"/>
        <v>Standard</v>
      </c>
      <c r="F199" t="str">
        <f t="shared" si="51"/>
        <v>CH~DISPLAY_DT~MULTI_PB~GDBM_FM~BANNER_RT~CPM_PD~VDV_PERFORMANCE_MOVIDA_GOOGLE_DV360_BANNER_300X250_300X250_TG~BHVDEM_TS~NONE_SZ~300X250_DISPLAY_MK~BR_IT~DISPLAY_VV~NONE</v>
      </c>
      <c r="G199" t="str">
        <f t="shared" si="52"/>
        <v>446277747</v>
      </c>
      <c r="H199" t="str">
        <f t="shared" si="53"/>
        <v>Display</v>
      </c>
      <c r="I199">
        <f t="shared" si="54"/>
        <v>0</v>
      </c>
      <c r="J199">
        <f t="shared" si="55"/>
        <v>26</v>
      </c>
      <c r="K199" s="4">
        <f t="shared" si="44"/>
        <v>3.8199999999999998E-2</v>
      </c>
      <c r="L199">
        <f t="shared" si="45"/>
        <v>0.09</v>
      </c>
      <c r="M199" s="4">
        <f t="shared" si="42"/>
        <v>0</v>
      </c>
      <c r="N199" s="4">
        <f t="shared" si="43"/>
        <v>0</v>
      </c>
    </row>
    <row r="200" spans="1:14">
      <c r="A200" t="str">
        <f t="shared" si="46"/>
        <v>MK~BR_CN~Vai_de_Visa_MN~NONE_YQ~19Q1Q4_CP~NONE_OB~LDS_PK~NONE</v>
      </c>
      <c r="B200" t="str">
        <f t="shared" si="47"/>
        <v>Google Brasil</v>
      </c>
      <c r="C200" t="str">
        <f t="shared" si="48"/>
        <v>CH~DISPLAY_DT~MULTI_PB~GDBM_FM~BANNER_RT~CPM_PD~VDV_PERFORMANCE_MOVIDA_GOOGLE_DV360_BANNER_300X600_300X600_TG~BHVDEM_TS~NONE_SZ~300X600_DISPLAY_MK~BR_IT~DISPLAY_VV~NONE</v>
      </c>
      <c r="D200" t="str">
        <f t="shared" si="49"/>
        <v>250307556</v>
      </c>
      <c r="E200" t="str">
        <f t="shared" si="50"/>
        <v>Standard</v>
      </c>
      <c r="F200" t="str">
        <f t="shared" si="51"/>
        <v>CH~DISPLAY_DT~MULTI_PB~GDBM_FM~BANNER_RT~CPM_PD~VDV_PERFORMANCE_MOVIDA_GOOGLE_DV360_BANNER_300X600_300X600_TG~BHVDEM_TS~NONE_SZ~300X600_DISPLAY_MK~BR_IT~DISPLAY_VV~NONE</v>
      </c>
      <c r="G200" t="str">
        <f t="shared" si="52"/>
        <v>446379175</v>
      </c>
      <c r="H200" t="str">
        <f t="shared" si="53"/>
        <v>Display</v>
      </c>
      <c r="I200">
        <f t="shared" si="54"/>
        <v>0</v>
      </c>
      <c r="J200">
        <f t="shared" si="55"/>
        <v>36</v>
      </c>
      <c r="K200" s="4">
        <f t="shared" si="44"/>
        <v>3.8199999999999998E-2</v>
      </c>
      <c r="L200">
        <f t="shared" si="45"/>
        <v>0.09</v>
      </c>
      <c r="M200" s="4">
        <f t="shared" si="42"/>
        <v>0</v>
      </c>
      <c r="N200" s="4">
        <f t="shared" si="43"/>
        <v>0</v>
      </c>
    </row>
    <row r="201" spans="1:14">
      <c r="A201" t="str">
        <f t="shared" si="46"/>
        <v>MK~BR_CN~Vai_de_Visa_MN~NONE_YQ~19Q1Q4_CP~NONE_OB~LDS_PK~NONE</v>
      </c>
      <c r="B201" t="str">
        <f t="shared" si="47"/>
        <v>Google Brasil</v>
      </c>
      <c r="C201" t="str">
        <f t="shared" si="48"/>
        <v>CH~DISPLAY_DT~MULTI_PB~GDBM_FM~BANNER_RT~CPM_PD~VDV_PERFORMANCE_PROMONACIONAL_BANNER_PRAIA_300X250_300X250_TG~BHVDEM_TS~NONE_SZ~300X250_DISPLAY_MK~BR_IT~DISPLAY_VV~NONE</v>
      </c>
      <c r="D201" t="str">
        <f t="shared" si="49"/>
        <v>251250342</v>
      </c>
      <c r="E201" t="str">
        <f t="shared" si="50"/>
        <v>Standard</v>
      </c>
      <c r="F201" t="str">
        <f t="shared" si="51"/>
        <v>CH~DISPLAY_DT~MULTI_PB~GDBM_FM~BANNER_RT~CPM_PD~VDV_PERFORMANCE_PROMONACIONAL_BANNER_PRAIA_300X250_300X250_TG~BHVDEM_TS~NONE_SZ~300X250_DISPLAY_MK~BR_IT~DISPLAY_VV~NONE</v>
      </c>
      <c r="G201" t="str">
        <f t="shared" si="52"/>
        <v>447271310</v>
      </c>
      <c r="H201" t="str">
        <f t="shared" si="53"/>
        <v>Display</v>
      </c>
      <c r="I201">
        <f t="shared" si="54"/>
        <v>4526604</v>
      </c>
      <c r="J201">
        <f t="shared" si="55"/>
        <v>91868</v>
      </c>
      <c r="K201" s="4">
        <f t="shared" si="44"/>
        <v>3.8199999999999998E-2</v>
      </c>
      <c r="L201">
        <f t="shared" si="45"/>
        <v>0.09</v>
      </c>
      <c r="M201" s="4">
        <f t="shared" si="42"/>
        <v>172.91627279999997</v>
      </c>
      <c r="N201" s="4">
        <f t="shared" si="43"/>
        <v>407.39436000000001</v>
      </c>
    </row>
    <row r="202" spans="1:14">
      <c r="A202" t="str">
        <f t="shared" si="46"/>
        <v>MK~BR_CN~Vai_de_Visa_MN~NONE_YQ~19Q1Q4_CP~NONE_OB~LDS_PK~NONE</v>
      </c>
      <c r="B202" t="str">
        <f t="shared" si="47"/>
        <v>Google Brasil</v>
      </c>
      <c r="C202" t="str">
        <f t="shared" si="48"/>
        <v>CH~DISPLAY_DT~MULTI_PB~GDBM_FM~BANNER_RT~CPM_PD~VDV_PERFORMANCE_PROMONACIONAL_BANNER_PRAIA_300X50_300X50_TG~BHVDEM_TS~NONE_SZ~300X50_DISPLAY_MK~BR_IT~DISPLAY_VV~NONE</v>
      </c>
      <c r="D202" t="str">
        <f t="shared" si="49"/>
        <v>251137570</v>
      </c>
      <c r="E202" t="str">
        <f t="shared" si="50"/>
        <v>Standard</v>
      </c>
      <c r="F202" t="str">
        <f t="shared" si="51"/>
        <v>CH~DISPLAY_DT~MULTI_PB~GDBM_FM~BANNER_RT~CPM_PD~VDV_PERFORMANCE_PROMONACIONAL_BANNER_PRAIA_300X50_300X50_TG~BHVDEM_TS~NONE_SZ~300X50_DISPLAY_MK~BR_IT~DISPLAY_VV~NONE</v>
      </c>
      <c r="G202" t="str">
        <f t="shared" si="52"/>
        <v>447279974</v>
      </c>
      <c r="H202" t="str">
        <f t="shared" si="53"/>
        <v>Display</v>
      </c>
      <c r="I202">
        <f t="shared" si="54"/>
        <v>16302787</v>
      </c>
      <c r="J202">
        <f t="shared" si="55"/>
        <v>86621</v>
      </c>
      <c r="K202" s="4">
        <f t="shared" si="44"/>
        <v>3.8199999999999998E-2</v>
      </c>
      <c r="L202">
        <f t="shared" si="45"/>
        <v>0.09</v>
      </c>
      <c r="M202" s="4">
        <f t="shared" si="42"/>
        <v>622.76646340000002</v>
      </c>
      <c r="N202" s="4">
        <f t="shared" si="43"/>
        <v>1467.25083</v>
      </c>
    </row>
    <row r="203" spans="1:14">
      <c r="A203" t="str">
        <f t="shared" si="46"/>
        <v>MK~BR_CN~Vai_de_Visa_MN~NONE_YQ~19Q1Q4_CP~NONE_OB~LDS_PK~NONE</v>
      </c>
      <c r="B203" t="str">
        <f t="shared" si="47"/>
        <v>Google Brasil</v>
      </c>
      <c r="C203" t="str">
        <f t="shared" si="48"/>
        <v>CH~DISPLAY_DT~MULTI_PB~GDBM_FM~BANNER_RT~CPM_PD~VDV_PERFORMANCE_PROMONACIONAL_BANNER_PRAIA_320X100_320X100_TG~BHVDEM_TS~NONE_SZ~320X100_DISPLAY_MK~BR_IT~DISPLAY_VV~NONE</v>
      </c>
      <c r="D203" t="str">
        <f t="shared" si="49"/>
        <v>251250405</v>
      </c>
      <c r="E203" t="str">
        <f t="shared" si="50"/>
        <v>Standard</v>
      </c>
      <c r="F203" t="str">
        <f t="shared" si="51"/>
        <v>CH~DISPLAY_DT~MULTI_PB~GDBM_FM~BANNER_RT~CPM_PD~VDV_PERFORMANCE_PROMONACIONAL_BANNER_PRAIA_320X100_320X100_TG~BHVDEM_TS~NONE_SZ~320X100_DISPLAY_MK~BR_IT~DISPLAY_VV~NONE</v>
      </c>
      <c r="G203" t="str">
        <f t="shared" si="52"/>
        <v>447240180</v>
      </c>
      <c r="H203" t="str">
        <f t="shared" si="53"/>
        <v>Display</v>
      </c>
      <c r="I203">
        <f t="shared" si="54"/>
        <v>107075</v>
      </c>
      <c r="J203">
        <f t="shared" si="55"/>
        <v>769</v>
      </c>
      <c r="K203" s="4">
        <f t="shared" si="44"/>
        <v>3.8199999999999998E-2</v>
      </c>
      <c r="L203">
        <f t="shared" si="45"/>
        <v>0.09</v>
      </c>
      <c r="M203" s="4">
        <f t="shared" si="42"/>
        <v>4.0902649999999996</v>
      </c>
      <c r="N203" s="4">
        <f t="shared" si="43"/>
        <v>9.6367499999999993</v>
      </c>
    </row>
    <row r="204" spans="1:14">
      <c r="A204" t="str">
        <f t="shared" si="46"/>
        <v>MK~BR_CN~Vai_de_Visa_MN~NONE_YQ~19Q1Q4_CP~NONE_OB~LDS_PK~NONE</v>
      </c>
      <c r="B204" t="str">
        <f t="shared" si="47"/>
        <v>Google Brasil</v>
      </c>
      <c r="C204" t="str">
        <f t="shared" si="48"/>
        <v>CH~DISPLAY_DT~MULTI_PB~GDBM_FM~BANNER_RT~CPM_PD~VDV_PERFORMANCE_PROMONACIONAL_BANNER_PRAIA_728X90_728X90_TG~BHVDEM_TS~NONE_SZ~728X90_DISPLAY_MK~BR_IT~DISPLAY_VV~NONE</v>
      </c>
      <c r="D204" t="str">
        <f t="shared" si="49"/>
        <v>251254665</v>
      </c>
      <c r="E204" t="str">
        <f t="shared" si="50"/>
        <v>Standard</v>
      </c>
      <c r="F204" t="str">
        <f t="shared" si="51"/>
        <v>CH~DISPLAY_DT~MULTI_PB~GDBM_FM~BANNER_RT~CPM_PD~VDV_PERFORMANCE_PROMONACIONAL_BANNER_PRAIA_728X90_728X90_TG~BHVDEM_TS~NONE_SZ~728X90_DISPLAY_MK~BR_IT~DISPLAY_VV~NONE</v>
      </c>
      <c r="G204" t="str">
        <f t="shared" si="52"/>
        <v>447242094</v>
      </c>
      <c r="H204" t="str">
        <f t="shared" si="53"/>
        <v>Display</v>
      </c>
      <c r="I204">
        <f t="shared" si="54"/>
        <v>139817</v>
      </c>
      <c r="J204">
        <f t="shared" si="55"/>
        <v>676</v>
      </c>
      <c r="K204" s="4">
        <f t="shared" si="44"/>
        <v>3.8199999999999998E-2</v>
      </c>
      <c r="L204">
        <f t="shared" si="45"/>
        <v>0.09</v>
      </c>
      <c r="M204" s="4">
        <f t="shared" si="42"/>
        <v>5.3410093999999999</v>
      </c>
      <c r="N204" s="4">
        <f t="shared" si="43"/>
        <v>12.58353</v>
      </c>
    </row>
    <row r="205" spans="1:14">
      <c r="A205" t="str">
        <f t="shared" si="46"/>
        <v>MK~BR_CN~Vai_de_Visa_MN~NONE_YQ~19Q1Q4_CP~NONE_OB~LDS_PK~NONE</v>
      </c>
      <c r="B205" t="str">
        <f t="shared" si="47"/>
        <v>Google Brasil</v>
      </c>
      <c r="C205" t="str">
        <f t="shared" si="48"/>
        <v>CH~DISPLAY_DT~MULTI_PB~GDBM_FM~BANNER_RT~CPM_PD~VDV_PERFORMANCE_PROMONACIONAL_BANNER__PRAIA_120X600_120X600_TG~BHVDEM_TS~NONE_SZ~120X600_DISPLAY_MK~BR_IT~DISPLAY_VV~NONE</v>
      </c>
      <c r="D205" t="str">
        <f t="shared" si="49"/>
        <v>250852511</v>
      </c>
      <c r="E205" t="str">
        <f t="shared" si="50"/>
        <v>Standard</v>
      </c>
      <c r="F205" t="str">
        <f t="shared" si="51"/>
        <v>CH~DISPLAY_DT~MULTI_PB~GDBM_FM~BANNER_RT~CPM_PD~VDV_PERFORMANCE_PROMONACIONAL_BANNER__PRAIA_120X600_120X600_TG~BHVDEM_TS~NONE_SZ~120X600_DISPLAY_MK~BR_IT~DISPLAY_VV~NONE</v>
      </c>
      <c r="G205" t="str">
        <f t="shared" si="52"/>
        <v>447280646</v>
      </c>
      <c r="H205" t="str">
        <f t="shared" si="53"/>
        <v>Display</v>
      </c>
      <c r="I205">
        <f t="shared" si="54"/>
        <v>28580</v>
      </c>
      <c r="J205">
        <f t="shared" si="55"/>
        <v>112</v>
      </c>
      <c r="K205" s="4">
        <f t="shared" si="44"/>
        <v>3.8199999999999998E-2</v>
      </c>
      <c r="L205">
        <f t="shared" si="45"/>
        <v>0.09</v>
      </c>
      <c r="M205" s="4">
        <f t="shared" si="42"/>
        <v>1.0917559999999999</v>
      </c>
      <c r="N205" s="4">
        <f t="shared" si="43"/>
        <v>2.5721999999999996</v>
      </c>
    </row>
    <row r="206" spans="1:14">
      <c r="A206" t="str">
        <f t="shared" si="46"/>
        <v>MK~BR_CN~Vai_de_Visa_MN~NONE_YQ~19Q1Q4_CP~NONE_OB~LDS_PK~NONE</v>
      </c>
      <c r="B206" t="str">
        <f t="shared" si="47"/>
        <v>Google Brasil</v>
      </c>
      <c r="C206" t="str">
        <f t="shared" si="48"/>
        <v>CH~DISPLAY_DT~MULTI_PB~GDBM_FM~BANNER_RT~CPM_PD~VDV_PERFORMANCE_PROMONACIONAL_GOOGLE_DV360_BANNER_120X600_120X600_TG~BHVDEM_TS~NONE_SZ~120X600_DISPLAY_MK~BR_IT~DISPLAY_VV~NONE</v>
      </c>
      <c r="D206" t="str">
        <f t="shared" si="49"/>
        <v>249681242</v>
      </c>
      <c r="E206" t="str">
        <f t="shared" si="50"/>
        <v>Standard</v>
      </c>
      <c r="F206" t="str">
        <f t="shared" si="51"/>
        <v>CH~DISPLAY_DT~MULTI_PB~GDBM_FM~BANNER_RT~CPM_PD~VDV_PERFORMANCE_PROMONACIONAL_GOOGLE_DV360_BANNER_120X600_120X600_TG~BHVDEM_TS~NONE_SZ~120X600_DISPLAY_MK~BR_IT~DISPLAY_VV~NONE</v>
      </c>
      <c r="G206" t="str">
        <f t="shared" si="52"/>
        <v>446172766</v>
      </c>
      <c r="H206" t="str">
        <f t="shared" si="53"/>
        <v>Display</v>
      </c>
      <c r="I206">
        <f t="shared" si="54"/>
        <v>2881</v>
      </c>
      <c r="J206">
        <f t="shared" si="55"/>
        <v>14</v>
      </c>
      <c r="K206" s="4">
        <f t="shared" si="44"/>
        <v>3.8199999999999998E-2</v>
      </c>
      <c r="L206">
        <f t="shared" si="45"/>
        <v>0.09</v>
      </c>
      <c r="M206" s="4">
        <f t="shared" si="42"/>
        <v>0.11005419999999999</v>
      </c>
      <c r="N206" s="4">
        <f t="shared" si="43"/>
        <v>0.25928999999999996</v>
      </c>
    </row>
    <row r="207" spans="1:14">
      <c r="A207" t="str">
        <f t="shared" si="46"/>
        <v>MK~BR_CN~Vai_de_Visa_MN~NONE_YQ~19Q1Q4_CP~NONE_OB~LDS_PK~NONE</v>
      </c>
      <c r="B207" t="str">
        <f t="shared" si="47"/>
        <v>Google Brasil</v>
      </c>
      <c r="C207" t="str">
        <f t="shared" si="48"/>
        <v>CH~DISPLAY_DT~MULTI_PB~GDBM_FM~BANNER_RT~CPM_PD~VDV_PERFORMANCE_PROMONACIONAL_GOOGLE_DV360_BANNER_300X250_300X250_TG~BHVDEM_TS~NONE_SZ~300X250_DISPLAY_MK~BR_IT~DISPLAY_VV~NONE</v>
      </c>
      <c r="D207" t="str">
        <f t="shared" si="49"/>
        <v>250077549</v>
      </c>
      <c r="E207" t="str">
        <f t="shared" si="50"/>
        <v>Standard</v>
      </c>
      <c r="F207" t="str">
        <f t="shared" si="51"/>
        <v>CH~DISPLAY_DT~MULTI_PB~GDBM_FM~BANNER_RT~CPM_PD~VDV_PERFORMANCE_PROMONACIONAL_GOOGLE_DV360_BANNER_300X250_300X250_TG~BHVDEM_TS~NONE_SZ~300X250_DISPLAY_MK~BR_IT~DISPLAY_VV~NONE</v>
      </c>
      <c r="G207" t="str">
        <f t="shared" si="52"/>
        <v>446106455</v>
      </c>
      <c r="H207" t="str">
        <f t="shared" si="53"/>
        <v>Display</v>
      </c>
      <c r="I207">
        <f t="shared" si="54"/>
        <v>362293</v>
      </c>
      <c r="J207">
        <f t="shared" si="55"/>
        <v>5404</v>
      </c>
      <c r="K207" s="4">
        <f t="shared" si="44"/>
        <v>3.8199999999999998E-2</v>
      </c>
      <c r="L207">
        <f t="shared" si="45"/>
        <v>0.09</v>
      </c>
      <c r="M207" s="4">
        <f t="shared" si="42"/>
        <v>13.8395926</v>
      </c>
      <c r="N207" s="4">
        <f t="shared" si="43"/>
        <v>32.606369999999998</v>
      </c>
    </row>
    <row r="208" spans="1:14">
      <c r="A208" t="str">
        <f t="shared" si="46"/>
        <v>MK~BR_CN~Vai_de_Visa_MN~NONE_YQ~19Q1Q4_CP~NONE_OB~LDS_PK~NONE</v>
      </c>
      <c r="B208" t="str">
        <f t="shared" si="47"/>
        <v>Google Brasil</v>
      </c>
      <c r="C208" t="str">
        <f t="shared" si="48"/>
        <v>CH~DISPLAY_DT~MULTI_PB~GDBM_FM~BANNER_RT~CPM_PD~VDV_PERFORMANCE_PROMONACIONAL_GOOGLE_DV360_BANNER_300X50_300X50_TG~BHVDEM_TS~NONE_SZ~300X50_DISPLAY_MK~BR_IT~DISPLAY_VV~NONE</v>
      </c>
      <c r="D208" t="str">
        <f t="shared" si="49"/>
        <v>250076931</v>
      </c>
      <c r="E208" t="str">
        <f t="shared" si="50"/>
        <v>Standard</v>
      </c>
      <c r="F208" t="str">
        <f t="shared" si="51"/>
        <v>CH~DISPLAY_DT~MULTI_PB~GDBM_FM~BANNER_RT~CPM_PD~VDV_PERFORMANCE_PROMONACIONAL_GOOGLE_DV360_BANNER_300X50_300X50_TG~BHVDEM_TS~NONE_SZ~300X50_DISPLAY_MK~BR_IT~DISPLAY_VV~NONE</v>
      </c>
      <c r="G208" t="str">
        <f t="shared" si="52"/>
        <v>446036475</v>
      </c>
      <c r="H208" t="str">
        <f t="shared" si="53"/>
        <v>Display</v>
      </c>
      <c r="I208">
        <f t="shared" si="54"/>
        <v>615213</v>
      </c>
      <c r="J208">
        <f t="shared" si="55"/>
        <v>4118</v>
      </c>
      <c r="K208" s="4">
        <f t="shared" si="44"/>
        <v>3.8199999999999998E-2</v>
      </c>
      <c r="L208">
        <f t="shared" si="45"/>
        <v>0.09</v>
      </c>
      <c r="M208" s="4">
        <f t="shared" si="42"/>
        <v>23.501136599999999</v>
      </c>
      <c r="N208" s="4">
        <f t="shared" si="43"/>
        <v>55.369169999999997</v>
      </c>
    </row>
    <row r="209" spans="1:14">
      <c r="A209" t="str">
        <f t="shared" si="46"/>
        <v>MK~BR_CN~Vai_de_Visa_MN~NONE_YQ~19Q1Q4_CP~NONE_OB~LDS_PK~NONE</v>
      </c>
      <c r="B209" t="str">
        <f t="shared" si="47"/>
        <v>Google Brasil</v>
      </c>
      <c r="C209" t="str">
        <f t="shared" si="48"/>
        <v>CH~DISPLAY_DT~MULTI_PB~GDBM_FM~BANNER_RT~CPM_PD~VDV_PERFORMANCE_PROMONACIONAL_GOOGLE_DV360_BANNER_320X100_320X100_TG~BHVDEM_TS~NONE_SZ~320X100_DISPLAY_MK~BR_IT~DISPLAY_VV~NONE</v>
      </c>
      <c r="D209" t="str">
        <f t="shared" si="49"/>
        <v>250076991</v>
      </c>
      <c r="E209" t="str">
        <f t="shared" si="50"/>
        <v>Standard</v>
      </c>
      <c r="F209" t="str">
        <f t="shared" si="51"/>
        <v>CH~DISPLAY_DT~MULTI_PB~GDBM_FM~BANNER_RT~CPM_PD~VDV_PERFORMANCE_PROMONACIONAL_GOOGLE_DV360_BANNER_320X100_320X100_TG~BHVDEM_TS~NONE_SZ~320X100_DISPLAY_MK~BR_IT~DISPLAY_VV~NONE</v>
      </c>
      <c r="G209" t="str">
        <f t="shared" si="52"/>
        <v>446106470</v>
      </c>
      <c r="H209" t="str">
        <f t="shared" si="53"/>
        <v>Display</v>
      </c>
      <c r="I209">
        <f t="shared" si="54"/>
        <v>21786</v>
      </c>
      <c r="J209">
        <f t="shared" si="55"/>
        <v>160</v>
      </c>
      <c r="K209" s="4">
        <f t="shared" si="44"/>
        <v>3.8199999999999998E-2</v>
      </c>
      <c r="L209">
        <f t="shared" si="45"/>
        <v>0.09</v>
      </c>
      <c r="M209" s="4">
        <f t="shared" si="42"/>
        <v>0.8322252</v>
      </c>
      <c r="N209" s="4">
        <f t="shared" si="43"/>
        <v>1.9607399999999999</v>
      </c>
    </row>
    <row r="210" spans="1:14">
      <c r="A210" t="str">
        <f t="shared" si="46"/>
        <v>MK~BR_CN~Vai_de_Visa_MN~NONE_YQ~19Q1Q4_CP~NONE_OB~LDS_PK~NONE</v>
      </c>
      <c r="B210" t="str">
        <f t="shared" si="47"/>
        <v>Google Brasil</v>
      </c>
      <c r="C210" t="str">
        <f t="shared" si="48"/>
        <v>CH~DISPLAY_DT~MULTI_PB~GDBM_FM~BANNER_RT~CPM_PD~VDV_PERFORMANCE_PROMONACIONAL_GOOGLE_DV360_BANNER_728X90_728X90_TG~BHVDEM_TS~NONE_SZ~728X90_DISPLAY_MK~BR_IT~DISPLAY_VV~NONE</v>
      </c>
      <c r="D210" t="str">
        <f t="shared" si="49"/>
        <v>250077009</v>
      </c>
      <c r="E210" t="str">
        <f t="shared" si="50"/>
        <v>Standard</v>
      </c>
      <c r="F210" t="str">
        <f t="shared" si="51"/>
        <v>CH~DISPLAY_DT~MULTI_PB~GDBM_FM~BANNER_RT~CPM_PD~VDV_PERFORMANCE_PROMONACIONAL_GOOGLE_DV360_BANNER_728X90_728X90_TG~BHVDEM_TS~NONE_SZ~728X90_DISPLAY_MK~BR_IT~DISPLAY_VV~NONE</v>
      </c>
      <c r="G210" t="str">
        <f t="shared" si="52"/>
        <v>446036520</v>
      </c>
      <c r="H210" t="str">
        <f t="shared" si="53"/>
        <v>Display</v>
      </c>
      <c r="I210">
        <f t="shared" si="54"/>
        <v>13566</v>
      </c>
      <c r="J210">
        <f t="shared" si="55"/>
        <v>74</v>
      </c>
      <c r="K210" s="4">
        <f t="shared" si="44"/>
        <v>3.8199999999999998E-2</v>
      </c>
      <c r="L210">
        <f t="shared" si="45"/>
        <v>0.09</v>
      </c>
      <c r="M210" s="4">
        <f t="shared" si="42"/>
        <v>0.51822119999999994</v>
      </c>
      <c r="N210" s="4">
        <f t="shared" si="43"/>
        <v>1.2209400000000001</v>
      </c>
    </row>
    <row r="211" spans="1:14">
      <c r="A211" t="str">
        <f t="shared" si="46"/>
        <v>MK~BR_CN~Vai_de_Visa_MN~NONE_YQ~19Q1Q4_CP~NONE_OB~LDS_PK~NONE</v>
      </c>
      <c r="B211" t="str">
        <f t="shared" si="47"/>
        <v>Google Brasil</v>
      </c>
      <c r="C211" t="str">
        <f t="shared" si="48"/>
        <v>CH~DISPLAY_DT~MULTI_PB~GDBM_FM~BANNER_RT~CPM_PD~VDV_RENTCARS_TRAFEGO_GOOGLE_DV360_BANNER_KV1_300X250_300X250_TG~BHVDEM_TS~NONE_SZ~300X250_DISPLAY_MK~BR_IT~DISPLAY_VV~NONE</v>
      </c>
      <c r="D211" t="str">
        <f t="shared" si="49"/>
        <v>249670216</v>
      </c>
      <c r="E211" t="str">
        <f t="shared" si="50"/>
        <v>Standard</v>
      </c>
      <c r="F211" t="str">
        <f t="shared" si="51"/>
        <v>CH~DISPLAY_DT~MULTI_PB~GDBM_FM~BANNER_RT~CPM_PD~VDV_RENTCARS_TRAFEGO_GOOGLE_DV360_BANNER_KV1_300X250_300X250_TG~BHVDEM_TS~NONE_SZ~300X250_DISPLAY_MK~BR_IT~DISPLAY_VV~NONE</v>
      </c>
      <c r="G211" t="str">
        <f t="shared" si="52"/>
        <v>445753440</v>
      </c>
      <c r="H211" t="str">
        <f t="shared" si="53"/>
        <v>Display</v>
      </c>
      <c r="I211">
        <f t="shared" si="54"/>
        <v>4</v>
      </c>
      <c r="J211">
        <f t="shared" si="55"/>
        <v>10</v>
      </c>
      <c r="K211" s="4">
        <f t="shared" si="44"/>
        <v>3.8199999999999998E-2</v>
      </c>
      <c r="L211">
        <f t="shared" si="45"/>
        <v>0.09</v>
      </c>
      <c r="M211" s="4">
        <f t="shared" si="42"/>
        <v>1.528E-4</v>
      </c>
      <c r="N211" s="4">
        <f t="shared" si="43"/>
        <v>3.5999999999999997E-4</v>
      </c>
    </row>
    <row r="212" spans="1:14">
      <c r="A212" t="str">
        <f t="shared" si="46"/>
        <v>MK~BR_CN~Vai_de_Visa_MN~NONE_YQ~19Q1Q4_CP~NONE_OB~LDS_PK~NONE</v>
      </c>
      <c r="B212" t="str">
        <f t="shared" si="47"/>
        <v>Google Brasil</v>
      </c>
      <c r="C212" t="str">
        <f t="shared" si="48"/>
        <v>CH~DISPLAY_DT~MULTI_PB~GDBM_FM~BANNER_RT~CPM_PD~VDV_RENTCARS_TRAFEGO_GOOGLE_DV360_BANNER_KV1_300X600_300X600_TG~BHVDEM_TS~NONE_SZ~300X600_DISPLAY_MK~BR_IT~DISPLAY_VV~NONE</v>
      </c>
      <c r="D212" t="str">
        <f t="shared" si="49"/>
        <v>249670213</v>
      </c>
      <c r="E212" t="str">
        <f t="shared" si="50"/>
        <v>Standard</v>
      </c>
      <c r="F212" t="str">
        <f t="shared" si="51"/>
        <v>CH~DISPLAY_DT~MULTI_PB~GDBM_FM~BANNER_RT~CPM_PD~VDV_RENTCARS_TRAFEGO_GOOGLE_DV360_BANNER_KV1_300X600_300X600_TG~BHVDEM_TS~NONE_SZ~300X600_DISPLAY_MK~BR_IT~DISPLAY_VV~NONE</v>
      </c>
      <c r="G212" t="str">
        <f t="shared" si="52"/>
        <v>445753443</v>
      </c>
      <c r="H212" t="str">
        <f t="shared" si="53"/>
        <v>Display</v>
      </c>
      <c r="I212">
        <f t="shared" si="54"/>
        <v>1</v>
      </c>
      <c r="J212">
        <f t="shared" si="55"/>
        <v>41</v>
      </c>
      <c r="K212" s="4">
        <f t="shared" si="44"/>
        <v>3.8199999999999998E-2</v>
      </c>
      <c r="L212">
        <f t="shared" si="45"/>
        <v>0.09</v>
      </c>
      <c r="M212" s="4">
        <f t="shared" si="42"/>
        <v>3.82E-5</v>
      </c>
      <c r="N212" s="4">
        <f t="shared" si="43"/>
        <v>8.9999999999999992E-5</v>
      </c>
    </row>
    <row r="213" spans="1:14">
      <c r="A213" t="str">
        <f t="shared" si="46"/>
        <v>MK~BR_CN~Vai_de_Visa_MN~NONE_YQ~19Q1Q4_CP~NONE_OB~LDS_PK~NONE</v>
      </c>
      <c r="B213" t="str">
        <f t="shared" si="47"/>
        <v>Google Brasil</v>
      </c>
      <c r="C213" t="str">
        <f t="shared" si="48"/>
        <v>CH~DISPLAY_DT~MULTI_PB~GDBM_FM~BANNER_RT~CPM_PD~VDV_RENTCARS_TRAFEGO_GOOGLE_DV360_BANNER_KV2_300X250_300X250_TG~BHVDEM_TS~NONE_SZ~300X250_DISPLAY_MK~BR_IT~DISPLAY_VV~NONE</v>
      </c>
      <c r="D213" t="str">
        <f t="shared" si="49"/>
        <v>249670204</v>
      </c>
      <c r="E213" t="str">
        <f t="shared" si="50"/>
        <v>Standard</v>
      </c>
      <c r="F213" t="str">
        <f t="shared" si="51"/>
        <v>CH~DISPLAY_DT~MULTI_PB~GDBM_FM~BANNER_RT~CPM_PD~VDV_RENTCARS_TRAFEGO_GOOGLE_DV360_BANNER_KV2_300X250_300X250_TG~BHVDEM_TS~NONE_SZ~300X250_DISPLAY_MK~BR_IT~DISPLAY_VV~NONE</v>
      </c>
      <c r="G213" t="str">
        <f t="shared" si="52"/>
        <v>445753452</v>
      </c>
      <c r="H213" t="str">
        <f t="shared" si="53"/>
        <v>Display</v>
      </c>
      <c r="I213">
        <f t="shared" si="54"/>
        <v>5</v>
      </c>
      <c r="J213">
        <f t="shared" si="55"/>
        <v>23</v>
      </c>
      <c r="K213" s="4">
        <f t="shared" si="44"/>
        <v>3.8199999999999998E-2</v>
      </c>
      <c r="L213">
        <f t="shared" si="45"/>
        <v>0.09</v>
      </c>
      <c r="M213" s="4">
        <f t="shared" si="42"/>
        <v>1.9100000000000001E-4</v>
      </c>
      <c r="N213" s="4">
        <f t="shared" si="43"/>
        <v>4.4999999999999993E-4</v>
      </c>
    </row>
    <row r="214" spans="1:14">
      <c r="A214" t="str">
        <f t="shared" si="46"/>
        <v>MK~BR_CN~Vai_de_Visa_MN~NONE_YQ~19Q1Q4_CP~NONE_OB~LDS_PK~NONE</v>
      </c>
      <c r="B214" t="str">
        <f t="shared" si="47"/>
        <v>Google Brasil</v>
      </c>
      <c r="C214" t="str">
        <f t="shared" si="48"/>
        <v>CH~DISPLAY_DT~MULTI_PB~GDBM_FM~BANNER_RT~CPM_PD~VDV_RENTCARS_TRAFEGO_GOOGLE_DV360_BANNER_KV2_300X600_300X600_TG~BHVDEM_TS~NONE_SZ~300X600_DISPLAY_MK~BR_IT~DISPLAY_VV~NONE</v>
      </c>
      <c r="D214" t="str">
        <f t="shared" si="49"/>
        <v>249670201</v>
      </c>
      <c r="E214" t="str">
        <f t="shared" si="50"/>
        <v>Standard</v>
      </c>
      <c r="F214" t="str">
        <f t="shared" si="51"/>
        <v>CH~DISPLAY_DT~MULTI_PB~GDBM_FM~BANNER_RT~CPM_PD~VDV_RENTCARS_TRAFEGO_GOOGLE_DV360_BANNER_KV2_300X600_300X600_TG~BHVDEM_TS~NONE_SZ~300X600_DISPLAY_MK~BR_IT~DISPLAY_VV~NONE</v>
      </c>
      <c r="G214" t="str">
        <f t="shared" si="52"/>
        <v>445753455</v>
      </c>
      <c r="H214" t="str">
        <f t="shared" si="53"/>
        <v>Display</v>
      </c>
      <c r="I214">
        <f t="shared" si="54"/>
        <v>4</v>
      </c>
      <c r="J214">
        <f t="shared" si="55"/>
        <v>66</v>
      </c>
      <c r="K214" s="4">
        <f t="shared" si="44"/>
        <v>3.8199999999999998E-2</v>
      </c>
      <c r="L214">
        <f t="shared" si="45"/>
        <v>0.09</v>
      </c>
      <c r="M214" s="4">
        <f t="shared" si="42"/>
        <v>1.528E-4</v>
      </c>
      <c r="N214" s="4">
        <f t="shared" si="43"/>
        <v>3.5999999999999997E-4</v>
      </c>
    </row>
    <row r="215" spans="1:14">
      <c r="A215" t="str">
        <f t="shared" si="46"/>
        <v>MK~BR_CN~Vai_de_Visa_MN~NONE_YQ~19Q1Q4_CP~NONE_OB~LDS_PK~NONE</v>
      </c>
      <c r="B215" t="str">
        <f t="shared" si="47"/>
        <v>Google Brasil</v>
      </c>
      <c r="C215" t="str">
        <f t="shared" si="48"/>
        <v>CH~SOCIAL_DT~MULTI_PB~GDBM_FM~BANNER_RT~CPM_PD~VDV_PERFORMANCE_MOVIDA_DV360_BANNER_20OFF_160X600_160X600_TG~BHVDEM_TS~NONE_SZ~160X600_DISPLAY_MK~BR_IT~DISPLAY_VV~NONE</v>
      </c>
      <c r="D215" t="str">
        <f t="shared" si="49"/>
        <v>252366951</v>
      </c>
      <c r="E215" t="str">
        <f t="shared" si="50"/>
        <v>Standard</v>
      </c>
      <c r="F215" t="str">
        <f t="shared" si="51"/>
        <v>CH~SOCIAL_DT~MULTI_PB~GDBM_FM~BANNER_RT~CPM_PD~VDV_PERFORMANCE_MOVIDA_DV360_BANNER_20OFF_160X600_160X600_TG~BHVDEM_TS~NONE_SZ~160X600_DISPLAY_MK~BR_IT~DISPLAY_VV~NONE</v>
      </c>
      <c r="G215" t="str">
        <f t="shared" si="52"/>
        <v>448425469</v>
      </c>
      <c r="H215" t="str">
        <f t="shared" si="53"/>
        <v>Display</v>
      </c>
      <c r="I215">
        <f t="shared" si="54"/>
        <v>1</v>
      </c>
      <c r="J215">
        <f t="shared" si="55"/>
        <v>0</v>
      </c>
      <c r="K215" s="4">
        <f t="shared" si="44"/>
        <v>3.8199999999999998E-2</v>
      </c>
      <c r="L215">
        <f t="shared" si="45"/>
        <v>0.09</v>
      </c>
      <c r="M215" s="4">
        <f t="shared" si="42"/>
        <v>3.82E-5</v>
      </c>
      <c r="N215" s="4">
        <f t="shared" si="43"/>
        <v>8.9999999999999992E-5</v>
      </c>
    </row>
    <row r="216" spans="1:14">
      <c r="A216" t="str">
        <f t="shared" si="46"/>
        <v>MK~BR_CN~Vai_de_Visa_MN~NONE_YQ~19Q1Q4_CP~NONE_OB~LDS_PK~NONE</v>
      </c>
      <c r="B216" t="str">
        <f t="shared" si="47"/>
        <v>Google Brasil</v>
      </c>
      <c r="C216" t="str">
        <f t="shared" si="48"/>
        <v>CH~SOCIAL_DT~MULTI_PB~GDBM_FM~BANNER_RT~CPM_PD~VDV_PERFORMANCE_MOVIDA_DV360_BANNER_20OFF_300X250_300X250_TG~BHVDEM_TS~NONE_SZ~300X250_DISPLAY_MK~BR_IT~DISPLAY_VV~NONE</v>
      </c>
      <c r="D216" t="str">
        <f t="shared" si="49"/>
        <v>252352503</v>
      </c>
      <c r="E216" t="str">
        <f t="shared" si="50"/>
        <v>Standard</v>
      </c>
      <c r="F216" t="str">
        <f t="shared" si="51"/>
        <v>CH~SOCIAL_DT~MULTI_PB~GDBM_FM~BANNER_RT~CPM_PD~VDV_PERFORMANCE_MOVIDA_DV360_BANNER_20OFF_300X250_300X250_TG~BHVDEM_TS~NONE_SZ~300X250_DISPLAY_MK~BR_IT~DISPLAY_VV~NONE</v>
      </c>
      <c r="G216" t="str">
        <f t="shared" si="52"/>
        <v>448349033</v>
      </c>
      <c r="H216" t="str">
        <f t="shared" si="53"/>
        <v>Display</v>
      </c>
      <c r="I216">
        <f t="shared" si="54"/>
        <v>1</v>
      </c>
      <c r="J216">
        <f t="shared" si="55"/>
        <v>0</v>
      </c>
      <c r="K216" s="4">
        <f t="shared" si="44"/>
        <v>3.8199999999999998E-2</v>
      </c>
      <c r="L216">
        <f t="shared" si="45"/>
        <v>0.09</v>
      </c>
      <c r="M216" s="4">
        <f t="shared" si="42"/>
        <v>3.82E-5</v>
      </c>
      <c r="N216" s="4">
        <f t="shared" si="43"/>
        <v>8.9999999999999992E-5</v>
      </c>
    </row>
    <row r="217" spans="1:14">
      <c r="A217" t="str">
        <f t="shared" si="46"/>
        <v>MK~BR_CN~Vai_de_Visa_MN~NONE_YQ~19Q1Q4_CP~NONE_OB~LDS_PK~NONE</v>
      </c>
      <c r="B217" t="str">
        <f t="shared" si="47"/>
        <v>Google Brasil</v>
      </c>
      <c r="C217" t="str">
        <f t="shared" si="48"/>
        <v>CH~SOCIAL_DT~MULTI_PB~GDBM_FM~BANNER_RT~CPM_PD~VDV_PERFORMANCE_MOVIDA_DV360_BANNER_20OFF_300X600_300X600_TG~BHVDEM_TS~NONE_SZ~300X600_DISPLAY_MK~BR_IT~DISPLAY_VV~NONE</v>
      </c>
      <c r="D217" t="str">
        <f t="shared" si="49"/>
        <v>251958257</v>
      </c>
      <c r="E217" t="str">
        <f t="shared" si="50"/>
        <v>Standard</v>
      </c>
      <c r="F217" t="str">
        <f t="shared" si="51"/>
        <v>CH~SOCIAL_DT~MULTI_PB~GDBM_FM~BANNER_RT~CPM_PD~VDV_PERFORMANCE_MOVIDA_DV360_BANNER_20OFF_300X600_300X600_TG~BHVDEM_TS~NONE_SZ~300X600_DISPLAY_MK~BR_IT~DISPLAY_VV~NONE</v>
      </c>
      <c r="G217" t="str">
        <f t="shared" si="52"/>
        <v>448349042</v>
      </c>
      <c r="H217" t="str">
        <f t="shared" si="53"/>
        <v>Display</v>
      </c>
      <c r="I217">
        <f t="shared" si="54"/>
        <v>1</v>
      </c>
      <c r="J217">
        <f t="shared" si="55"/>
        <v>0</v>
      </c>
      <c r="K217" s="4">
        <f t="shared" si="44"/>
        <v>3.8199999999999998E-2</v>
      </c>
      <c r="L217">
        <f t="shared" si="45"/>
        <v>0.09</v>
      </c>
      <c r="M217" s="4">
        <f t="shared" si="42"/>
        <v>3.82E-5</v>
      </c>
      <c r="N217" s="4">
        <f t="shared" si="43"/>
        <v>8.9999999999999992E-5</v>
      </c>
    </row>
    <row r="218" spans="1:14">
      <c r="A218" t="str">
        <f t="shared" si="46"/>
        <v>MK~BR_CN~Vai_de_Visa_MN~NONE_YQ~19Q1Q4_CP~NONE_OB~LDS_PK~NONE</v>
      </c>
      <c r="B218" t="str">
        <f t="shared" si="47"/>
        <v>Google Brasil</v>
      </c>
      <c r="C218" t="str">
        <f t="shared" si="48"/>
        <v>CH~SOCIAL_DT~MULTI_PB~GDBM_FM~BANNER_RT~CPM_PD~VDV_PERFORMANCE_MOVIDA_DV360_BANNER_20OFF_970X250_970X250_TG~BHVDEM_TS~NONE_SZ~970X250_DISPLAY_MK~BR_IT~DISPLAY_VV~NONE</v>
      </c>
      <c r="D218" t="str">
        <f t="shared" si="49"/>
        <v>251956586</v>
      </c>
      <c r="E218" t="str">
        <f t="shared" si="50"/>
        <v>Standard</v>
      </c>
      <c r="F218" t="str">
        <f t="shared" si="51"/>
        <v>CH~SOCIAL_DT~MULTI_PB~GDBM_FM~BANNER_RT~CPM_PD~VDV_PERFORMANCE_MOVIDA_DV360_BANNER_20OFF_970X250_970X250_TG~BHVDEM_TS~NONE_SZ~970X250_DISPLAY_MK~BR_IT~DISPLAY_VV~NONE</v>
      </c>
      <c r="G218" t="str">
        <f t="shared" si="52"/>
        <v>448426237</v>
      </c>
      <c r="H218" t="str">
        <f t="shared" si="53"/>
        <v>Display</v>
      </c>
      <c r="I218">
        <f t="shared" si="54"/>
        <v>1</v>
      </c>
      <c r="J218">
        <f t="shared" si="55"/>
        <v>0</v>
      </c>
      <c r="K218" s="4">
        <f t="shared" si="44"/>
        <v>3.8199999999999998E-2</v>
      </c>
      <c r="L218">
        <f t="shared" si="45"/>
        <v>0.09</v>
      </c>
      <c r="M218" s="4">
        <f t="shared" si="42"/>
        <v>3.82E-5</v>
      </c>
      <c r="N218" s="4">
        <f t="shared" si="43"/>
        <v>8.9999999999999992E-5</v>
      </c>
    </row>
    <row r="219" spans="1:14">
      <c r="A219" t="str">
        <f t="shared" si="46"/>
        <v>MK~BR_CN~Vai_de_Visa_MN~NONE_YQ~19Q1Q4_CP~NONE_OB~LDS_PK~NONE</v>
      </c>
      <c r="B219" t="str">
        <f t="shared" si="47"/>
        <v>Oath BR</v>
      </c>
      <c r="C219" t="str">
        <f t="shared" si="48"/>
        <v>CH~DISPLAY_DT~MULTI_PB~OTH_FM~BANNER_RT~CPM_PD~VDV_AWARENESS_EDUCACIONAL_OATH_BANNER_160X600_160X600_TG~BHVDEM_TS~NONE_SZ~160X600_DISPLAY_MK~BR_IT~DISPLAY_VV~NONE</v>
      </c>
      <c r="D219" t="str">
        <f t="shared" si="49"/>
        <v>252102792</v>
      </c>
      <c r="E219" t="str">
        <f t="shared" si="50"/>
        <v>Standard</v>
      </c>
      <c r="F219" t="str">
        <f t="shared" si="51"/>
        <v>CH~DISPLAY_DT~MULTI_PB~OTH_FM~BANNER_RT~CPM_PD~VDV_AWARENESS_EDUCACIONAL_OATH_BANNER_160X600_160X600_TG~BHVDEM_TS~NONE_SZ~160X600_DISPLAY_MK~BR_IT~DISPLAY_VV~NONE</v>
      </c>
      <c r="G219" t="str">
        <f t="shared" si="52"/>
        <v>448174861</v>
      </c>
      <c r="H219" t="str">
        <f t="shared" si="53"/>
        <v>Display</v>
      </c>
      <c r="I219">
        <f t="shared" si="54"/>
        <v>3937844</v>
      </c>
      <c r="J219">
        <f t="shared" si="55"/>
        <v>2678</v>
      </c>
      <c r="K219" s="4">
        <f t="shared" si="44"/>
        <v>3.8199999999999998E-2</v>
      </c>
      <c r="L219">
        <f t="shared" si="45"/>
        <v>0.09</v>
      </c>
      <c r="M219" s="4">
        <f t="shared" si="42"/>
        <v>150.4256408</v>
      </c>
      <c r="N219" s="4">
        <f t="shared" si="43"/>
        <v>354.40595999999994</v>
      </c>
    </row>
    <row r="220" spans="1:14">
      <c r="A220" t="str">
        <f t="shared" si="46"/>
        <v>MK~BR_CN~Vai_de_Visa_MN~NONE_YQ~19Q1Q4_CP~NONE_OB~LDS_PK~NONE</v>
      </c>
      <c r="B220" t="str">
        <f t="shared" si="47"/>
        <v>Oath BR</v>
      </c>
      <c r="C220" t="str">
        <f t="shared" si="48"/>
        <v>CH~DISPLAY_DT~MULTI_PB~OTH_FM~BANNER_RT~CPM_PD~VDV_AWARENESS_EDUCACIONAL_OATH_BANNER_300X250_300X250_TG~BHVDEM_TS~NONE_SZ~300X250_DISPLAY_MK~BR_IT~DISPLAY_VV~NONE</v>
      </c>
      <c r="D220" t="str">
        <f t="shared" si="49"/>
        <v>251703248</v>
      </c>
      <c r="E220" t="str">
        <f t="shared" si="50"/>
        <v>Standard</v>
      </c>
      <c r="F220" t="str">
        <f t="shared" si="51"/>
        <v>CH~DISPLAY_DT~MULTI_PB~OTH_FM~BANNER_RT~CPM_PD~VDV_AWARENESS_EDUCACIONAL_OATH_BANNER_300X250_300X250_TG~BHVDEM_TS~NONE_SZ~300X250_DISPLAY_MK~BR_IT~DISPLAY_VV~NONE</v>
      </c>
      <c r="G220" t="str">
        <f t="shared" si="52"/>
        <v>448032093</v>
      </c>
      <c r="H220" t="str">
        <f t="shared" si="53"/>
        <v>Display</v>
      </c>
      <c r="I220">
        <f t="shared" si="54"/>
        <v>2207458</v>
      </c>
      <c r="J220">
        <f t="shared" si="55"/>
        <v>1326</v>
      </c>
      <c r="K220" s="4">
        <f t="shared" si="44"/>
        <v>3.8199999999999998E-2</v>
      </c>
      <c r="L220">
        <f t="shared" si="45"/>
        <v>0.09</v>
      </c>
      <c r="M220" s="4">
        <f t="shared" si="42"/>
        <v>84.324895599999991</v>
      </c>
      <c r="N220" s="4">
        <f t="shared" si="43"/>
        <v>198.67122000000001</v>
      </c>
    </row>
    <row r="221" spans="1:14">
      <c r="A221" t="str">
        <f t="shared" si="46"/>
        <v>MK~BR_CN~Vai_de_Visa_MN~NONE_YQ~19Q1Q4_CP~NONE_OB~LDS_PK~NONE</v>
      </c>
      <c r="B221" t="str">
        <f t="shared" si="47"/>
        <v>Oath BR</v>
      </c>
      <c r="C221" t="str">
        <f t="shared" si="48"/>
        <v>CH~DISPLAY_DT~MULTI_PB~OTH_FM~BANNER_RT~CPM_PD~VDV_AWARENESS_EDUCACIONAL_OATH_BANNER_300X600_300X600_TG~BHVDEM_TS~NONE_SZ~300X600_DISPLAY_MK~BR_IT~DISPLAY_VV~NONE</v>
      </c>
      <c r="D221" t="str">
        <f t="shared" si="49"/>
        <v>252105414</v>
      </c>
      <c r="E221" t="str">
        <f t="shared" si="50"/>
        <v>Standard</v>
      </c>
      <c r="F221" t="str">
        <f t="shared" si="51"/>
        <v>CH~DISPLAY_DT~MULTI_PB~OTH_FM~BANNER_RT~CPM_PD~VDV_AWARENESS_EDUCACIONAL_OATH_BANNER_300X600_300X600_TG~BHVDEM_TS~NONE_SZ~300X600_DISPLAY_MK~BR_IT~DISPLAY_VV~NONE</v>
      </c>
      <c r="G221" t="str">
        <f t="shared" si="52"/>
        <v>448176577</v>
      </c>
      <c r="H221" t="str">
        <f t="shared" si="53"/>
        <v>Display</v>
      </c>
      <c r="I221">
        <f t="shared" si="54"/>
        <v>1401444</v>
      </c>
      <c r="J221">
        <f t="shared" si="55"/>
        <v>291</v>
      </c>
      <c r="K221" s="4">
        <f t="shared" si="44"/>
        <v>3.8199999999999998E-2</v>
      </c>
      <c r="L221">
        <f t="shared" si="45"/>
        <v>0.09</v>
      </c>
      <c r="M221" s="4">
        <f t="shared" si="42"/>
        <v>53.5351608</v>
      </c>
      <c r="N221" s="4">
        <f t="shared" si="43"/>
        <v>126.12996</v>
      </c>
    </row>
    <row r="222" spans="1:14">
      <c r="A222" t="str">
        <f t="shared" si="46"/>
        <v>MK~BR_CN~Vai_de_Visa_MN~NONE_YQ~19Q1Q4_CP~NONE_OB~LDS_PK~NONE</v>
      </c>
      <c r="B222" t="str">
        <f t="shared" si="47"/>
        <v>Oath BR</v>
      </c>
      <c r="C222" t="str">
        <f t="shared" si="48"/>
        <v>CH~DISPLAY_DT~MULTI_PB~OTH_FM~BANNER_RT~CPM_PD~VDV_AWARENESS_EDUCACIONAL_OATH_BANNER_970X250_970X250_TG~BHVDEM_TS~NONE_SZ~970X250_DISPLAY_MK~BR_IT~DISPLAY_VV~NONE</v>
      </c>
      <c r="D222" t="str">
        <f t="shared" si="49"/>
        <v>252031132</v>
      </c>
      <c r="E222" t="str">
        <f t="shared" si="50"/>
        <v>Standard</v>
      </c>
      <c r="F222" t="str">
        <f t="shared" si="51"/>
        <v>CH~DISPLAY_DT~MULTI_PB~OTH_FM~BANNER_RT~CPM_PD~VDV_AWARENESS_EDUCACIONAL_OATH_BANNER_970X250_970X250_TG~BHVDEM_TS~NONE_SZ~970X250_DISPLAY_MK~BR_IT~DISPLAY_VV~NONE</v>
      </c>
      <c r="G222" t="str">
        <f t="shared" si="52"/>
        <v>448176781</v>
      </c>
      <c r="H222" t="str">
        <f t="shared" si="53"/>
        <v>Display</v>
      </c>
      <c r="I222">
        <f t="shared" si="54"/>
        <v>267344</v>
      </c>
      <c r="J222">
        <f t="shared" si="55"/>
        <v>65</v>
      </c>
      <c r="K222" s="4">
        <f t="shared" si="44"/>
        <v>3.8199999999999998E-2</v>
      </c>
      <c r="L222">
        <f t="shared" si="45"/>
        <v>0.09</v>
      </c>
      <c r="M222" s="4">
        <f t="shared" si="42"/>
        <v>10.212540799999999</v>
      </c>
      <c r="N222" s="4">
        <f t="shared" si="43"/>
        <v>24.060959999999998</v>
      </c>
    </row>
    <row r="223" spans="1:14">
      <c r="A223" t="str">
        <f t="shared" si="46"/>
        <v>MK~BR_CN~Vai_de_Visa_MN~NONE_YQ~19Q1Q4_CP~NONE_OB~LDS_PK~NONE</v>
      </c>
      <c r="B223" t="str">
        <f t="shared" si="47"/>
        <v>Oath BR</v>
      </c>
      <c r="C223" t="str">
        <f t="shared" si="48"/>
        <v>CH~DISPLAY_DT~MULTI_PB~OTH_FM~BANNER_RT~CPM_PD~VDV_EDUCACIONAL_AWARENESS_BANNER__OATH_CREDITO_160X600_160X600_TG~BHVDEM_TS~NONE_SZ~160X600_DISPLAY_MK~BR_IT~DISPLAY_VV~NONE</v>
      </c>
      <c r="D223" t="str">
        <f t="shared" si="49"/>
        <v>251850745</v>
      </c>
      <c r="E223" t="str">
        <f t="shared" si="50"/>
        <v>Default</v>
      </c>
      <c r="F223" t="str">
        <f t="shared" si="51"/>
        <v>1x1 Default Web Ad</v>
      </c>
      <c r="G223" t="str">
        <f t="shared" si="52"/>
        <v>431184438</v>
      </c>
      <c r="H223" t="str">
        <f t="shared" si="53"/>
        <v>Display</v>
      </c>
      <c r="I223">
        <f t="shared" si="54"/>
        <v>1</v>
      </c>
      <c r="J223">
        <f t="shared" si="55"/>
        <v>0</v>
      </c>
      <c r="K223" s="4">
        <f t="shared" si="44"/>
        <v>3.8199999999999998E-2</v>
      </c>
      <c r="L223">
        <f t="shared" si="45"/>
        <v>0.09</v>
      </c>
      <c r="M223" s="4">
        <f t="shared" si="42"/>
        <v>3.82E-5</v>
      </c>
      <c r="N223" s="4">
        <f t="shared" si="43"/>
        <v>8.9999999999999992E-5</v>
      </c>
    </row>
    <row r="224" spans="1:14">
      <c r="A224" t="str">
        <f t="shared" si="46"/>
        <v>MK~BR_CN~Vai_de_Visa_MN~NONE_YQ~19Q1Q4_CP~NONE_OB~LDS_PK~NONE</v>
      </c>
      <c r="B224" t="str">
        <f t="shared" si="47"/>
        <v>Oath BR</v>
      </c>
      <c r="C224" t="str">
        <f t="shared" si="48"/>
        <v>CH~DISPLAY_DT~MULTI_PB~OTH_FM~BANNER_RT~CPM_PD~VDV_EDUCACIONAL_AWARENESS_BANNER__OATH_CREDITO_160X600_160X600_TG~BHVDEM_TS~NONE_SZ~160X600_DISPLAY_MK~BR_IT~DISPLAY_VV~NONE</v>
      </c>
      <c r="D224" t="str">
        <f t="shared" si="49"/>
        <v>251850745</v>
      </c>
      <c r="E224" t="str">
        <f t="shared" si="50"/>
        <v>Dynamic Click</v>
      </c>
      <c r="F224" t="str">
        <f t="shared" si="51"/>
        <v>CH~DISPLAY_DT~MULTI_PB~OTH_FM~BANNER_RT~CPM_PD~VDV_EDUCACIONAL_AWARENESS_BANNER__OATH_CREDITO_160X600_160X600_TG~BHVDEM_TS~NONE_SZ~160X600_DISPLAY_MK~BR_IT~DISPLAY_VV~NONE</v>
      </c>
      <c r="G224" t="str">
        <f t="shared" si="52"/>
        <v>447923303</v>
      </c>
      <c r="H224" t="str">
        <f t="shared" si="53"/>
        <v>Tracking</v>
      </c>
      <c r="I224">
        <f t="shared" si="54"/>
        <v>17</v>
      </c>
      <c r="J224">
        <f t="shared" si="55"/>
        <v>4</v>
      </c>
      <c r="K224" s="4">
        <f t="shared" si="44"/>
        <v>3.5000000000000001E-3</v>
      </c>
      <c r="L224">
        <f t="shared" si="45"/>
        <v>0.02</v>
      </c>
      <c r="M224" s="4">
        <f t="shared" si="42"/>
        <v>1.4E-2</v>
      </c>
      <c r="N224" s="4">
        <f t="shared" si="43"/>
        <v>0.08</v>
      </c>
    </row>
    <row r="225" spans="1:14">
      <c r="A225" t="str">
        <f t="shared" si="46"/>
        <v>MK~BR_CN~Vai_de_Visa_MN~NONE_YQ~19Q1Q4_CP~NONE_OB~LDS_PK~NONE</v>
      </c>
      <c r="B225" t="str">
        <f t="shared" si="47"/>
        <v>Oath BR</v>
      </c>
      <c r="C225" t="str">
        <f t="shared" si="48"/>
        <v>CH~DISPLAY_DT~MULTI_PB~OTH_FM~BANNER_RT~CPM_PD~VDV_EDUCACIONAL_AWARENESS_BANNER__OATH_CREDITO_300X250_300X250_TG~BHVDEM_TS~NONE_SZ~300X250_DISPLAY_MK~BR_IT~DISPLAY_VV~NONE</v>
      </c>
      <c r="D225" t="str">
        <f t="shared" si="49"/>
        <v>251534660</v>
      </c>
      <c r="E225" t="str">
        <f t="shared" si="50"/>
        <v>Default</v>
      </c>
      <c r="F225" t="str">
        <f t="shared" si="51"/>
        <v>1x1 Default Web Ad</v>
      </c>
      <c r="G225" t="str">
        <f t="shared" si="52"/>
        <v>431184438</v>
      </c>
      <c r="H225" t="str">
        <f t="shared" si="53"/>
        <v>Display</v>
      </c>
      <c r="I225">
        <f t="shared" si="54"/>
        <v>4</v>
      </c>
      <c r="J225">
        <f t="shared" si="55"/>
        <v>0</v>
      </c>
      <c r="K225" s="4">
        <f t="shared" si="44"/>
        <v>3.8199999999999998E-2</v>
      </c>
      <c r="L225">
        <f t="shared" si="45"/>
        <v>0.09</v>
      </c>
      <c r="M225" s="4">
        <f t="shared" si="42"/>
        <v>1.528E-4</v>
      </c>
      <c r="N225" s="4">
        <f t="shared" si="43"/>
        <v>3.5999999999999997E-4</v>
      </c>
    </row>
    <row r="226" spans="1:14">
      <c r="A226" t="str">
        <f t="shared" si="46"/>
        <v>MK~BR_CN~Vai_de_Visa_MN~NONE_YQ~19Q1Q4_CP~NONE_OB~LDS_PK~NONE</v>
      </c>
      <c r="B226" t="str">
        <f t="shared" si="47"/>
        <v>Oath BR</v>
      </c>
      <c r="C226" t="str">
        <f t="shared" si="48"/>
        <v>CH~DISPLAY_DT~MULTI_PB~OTH_FM~BANNER_RT~CPM_PD~VDV_EDUCACIONAL_AWARENESS_BANNER__OATH_CREDITO_300X250_300X250_TG~BHVDEM_TS~NONE_SZ~300X250_DISPLAY_MK~BR_IT~DISPLAY_VV~NONE</v>
      </c>
      <c r="D226" t="str">
        <f t="shared" si="49"/>
        <v>251534660</v>
      </c>
      <c r="E226" t="str">
        <f t="shared" si="50"/>
        <v>Dynamic Click</v>
      </c>
      <c r="F226" t="str">
        <f t="shared" si="51"/>
        <v>CH~DISPLAY_DT~MULTI_PB~OTH_FM~BANNER_RT~CPM_PD~VDV_EDUCACIONAL_AWARENESS_BANNER__OATH_CREDITO_300X250_300X250_TG~BHVDEM_TS~NONE_SZ~300X250_DISPLAY_MK~BR_IT~DISPLAY_VV~NONE</v>
      </c>
      <c r="G226" t="str">
        <f t="shared" si="52"/>
        <v>448020685</v>
      </c>
      <c r="H226" t="str">
        <f t="shared" si="53"/>
        <v>Tracking</v>
      </c>
      <c r="I226">
        <f t="shared" si="54"/>
        <v>9</v>
      </c>
      <c r="J226">
        <f t="shared" si="55"/>
        <v>2</v>
      </c>
      <c r="K226" s="4">
        <f t="shared" si="44"/>
        <v>3.5000000000000001E-3</v>
      </c>
      <c r="L226">
        <f t="shared" si="45"/>
        <v>0.02</v>
      </c>
      <c r="M226" s="4">
        <f t="shared" si="42"/>
        <v>7.0000000000000001E-3</v>
      </c>
      <c r="N226" s="4">
        <f t="shared" si="43"/>
        <v>0.04</v>
      </c>
    </row>
    <row r="227" spans="1:14">
      <c r="A227" t="str">
        <f t="shared" si="46"/>
        <v>MK~BR_CN~Vai_de_Visa_MN~NONE_YQ~19Q1Q4_CP~NONE_OB~LDS_PK~NONE</v>
      </c>
      <c r="B227" t="str">
        <f t="shared" si="47"/>
        <v>Oath BR</v>
      </c>
      <c r="C227" t="str">
        <f t="shared" si="48"/>
        <v>CH~DISPLAY_DT~MULTI_PB~OTH_FM~BANNER_RT~CPM_PD~VDV_EDUCACIONAL_AWARENESS_BANNER__OATH_CREDITO_300X600_300X600_TG~BHVDEM_TS~NONE_SZ~300X600_DISPLAY_MK~BR_IT~DISPLAY_VV~NONE</v>
      </c>
      <c r="D227" t="str">
        <f t="shared" si="49"/>
        <v>251850790</v>
      </c>
      <c r="E227" t="str">
        <f t="shared" si="50"/>
        <v>Dynamic Click</v>
      </c>
      <c r="F227" t="str">
        <f t="shared" si="51"/>
        <v>CH~DISPLAY_DT~MULTI_PB~OTH_FM~BANNER_RT~CPM_PD~VDV_EDUCACIONAL_AWARENESS_BANNER__OATH_CREDITO_300X600_300X600_TG~BHVDEM_TS~NONE_SZ~300X600_DISPLAY_MK~BR_IT~DISPLAY_VV~NONE</v>
      </c>
      <c r="G227" t="str">
        <f t="shared" si="52"/>
        <v>447864999</v>
      </c>
      <c r="H227" t="str">
        <f t="shared" si="53"/>
        <v>Tracking</v>
      </c>
      <c r="I227">
        <f t="shared" si="54"/>
        <v>19</v>
      </c>
      <c r="J227">
        <f t="shared" si="55"/>
        <v>4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1.4E-2</v>
      </c>
      <c r="N227" s="4">
        <f t="shared" ref="N227:N290" si="57">IF(E227="Dynamic Click",J227*L227,L227*$I227/1000)</f>
        <v>0.08</v>
      </c>
    </row>
    <row r="228" spans="1:14">
      <c r="A228" t="str">
        <f t="shared" si="46"/>
        <v>MK~BR_CN~Vai_de_Visa_MN~NONE_YQ~19Q1Q4_CP~NONE_OB~LDS_PK~NONE</v>
      </c>
      <c r="B228" t="str">
        <f t="shared" si="47"/>
        <v>Oath BR</v>
      </c>
      <c r="C228" t="str">
        <f t="shared" si="48"/>
        <v>CH~DISPLAY_DT~MULTI_PB~OTH_FM~BANNER_RT~CPM_PD~VDV_EDUCACIONAL_AWARENESS_BANNER__OATH_CREDITO_970X250_970X250_TG~BHVDEM_TS~NONE_SZ~970X250_DISPLAY_MK~BR_IT~DISPLAY_VV~NONE</v>
      </c>
      <c r="D228" t="str">
        <f t="shared" si="49"/>
        <v>251849950</v>
      </c>
      <c r="E228" t="str">
        <f t="shared" si="50"/>
        <v>Default</v>
      </c>
      <c r="F228" t="str">
        <f t="shared" si="51"/>
        <v>1x1 Default Web Ad</v>
      </c>
      <c r="G228" t="str">
        <f t="shared" si="52"/>
        <v>431184438</v>
      </c>
      <c r="H228" t="str">
        <f t="shared" si="53"/>
        <v>Display</v>
      </c>
      <c r="I228">
        <f t="shared" si="54"/>
        <v>2</v>
      </c>
      <c r="J228">
        <f t="shared" si="55"/>
        <v>0</v>
      </c>
      <c r="K228" s="4">
        <f t="shared" si="44"/>
        <v>3.8199999999999998E-2</v>
      </c>
      <c r="L228">
        <f t="shared" si="45"/>
        <v>0.09</v>
      </c>
      <c r="M228" s="4">
        <f t="shared" si="56"/>
        <v>7.64E-5</v>
      </c>
      <c r="N228" s="4">
        <f t="shared" si="57"/>
        <v>1.7999999999999998E-4</v>
      </c>
    </row>
    <row r="229" spans="1:14">
      <c r="A229" t="str">
        <f t="shared" si="46"/>
        <v>MK~BR_CN~Vai_de_Visa_MN~NONE_YQ~19Q1Q4_CP~NONE_OB~LDS_PK~NONE</v>
      </c>
      <c r="B229" t="str">
        <f t="shared" si="47"/>
        <v>Oath BR</v>
      </c>
      <c r="C229" t="str">
        <f t="shared" si="48"/>
        <v>CH~DISPLAY_DT~MULTI_PB~OTH_FM~BANNER_RT~CPM_PD~VDV_EDUCACIONAL_AWARENESS_BANNER__OATH_CREDITO_970X250_970X250_TG~BHVDEM_TS~NONE_SZ~970X250_DISPLAY_MK~BR_IT~DISPLAY_VV~NONE</v>
      </c>
      <c r="D229" t="str">
        <f t="shared" si="49"/>
        <v>251849950</v>
      </c>
      <c r="E229" t="str">
        <f t="shared" si="50"/>
        <v>Dynamic Click</v>
      </c>
      <c r="F229" t="str">
        <f t="shared" si="51"/>
        <v>CH~DISPLAY_DT~MULTI_PB~OTH_FM~BANNER_RT~CPM_PD~VDV_EDUCACIONAL_AWARENESS_BANNER__OATH_CREDITO_970X250_970X250_TG~BHVDEM_TS~NONE_SZ~970X250_DISPLAY_MK~BR_IT~DISPLAY_VV~NONE</v>
      </c>
      <c r="G229" t="str">
        <f t="shared" si="52"/>
        <v>447865002</v>
      </c>
      <c r="H229" t="str">
        <f t="shared" si="53"/>
        <v>Tracking</v>
      </c>
      <c r="I229">
        <f t="shared" si="54"/>
        <v>10</v>
      </c>
      <c r="J229">
        <f t="shared" si="55"/>
        <v>2</v>
      </c>
      <c r="K229" s="4">
        <f t="shared" si="44"/>
        <v>3.5000000000000001E-3</v>
      </c>
      <c r="L229">
        <f t="shared" si="45"/>
        <v>0.02</v>
      </c>
      <c r="M229" s="4">
        <f t="shared" si="56"/>
        <v>7.0000000000000001E-3</v>
      </c>
      <c r="N229" s="4">
        <f t="shared" si="57"/>
        <v>0.04</v>
      </c>
    </row>
    <row r="230" spans="1:14">
      <c r="A230" t="str">
        <f t="shared" si="46"/>
        <v>MK~BR_CN~Vai_de_Visa_MN~NONE_YQ~19Q1Q4_CP~NONE_OB~LDS_PK~NONE</v>
      </c>
      <c r="B230" t="str">
        <f t="shared" si="47"/>
        <v>Oath BR</v>
      </c>
      <c r="C230" t="str">
        <f t="shared" si="48"/>
        <v>CH~DISPLAY_DT~MULTI_PB~OTH_FM~BANNER_RT~CPM_PD~VDV_GOL_OATH_BANNER_627X627_627X627_TG~BHVDEM_TS~NONE_SZ~627X627_DISPLAY_MK~BR_IT~DISPLAY_VV~NONE</v>
      </c>
      <c r="D230" t="str">
        <f t="shared" si="49"/>
        <v>240843175</v>
      </c>
      <c r="E230" t="str">
        <f t="shared" si="50"/>
        <v>Dynamic Click</v>
      </c>
      <c r="F230" t="str">
        <f t="shared" si="51"/>
        <v>CH~DISPLAY_DT~MULTI_PB~OTH_FM~BANNER_RT~CPM_PD~VDV_GOL_OATH_BANNER_627X627_627X627_TG~BHVDEM_TS~NONE_SZ~627X627_DISPLAY_MK~BR_IT~DISPLAY_VV~NONE</v>
      </c>
      <c r="G230" t="str">
        <f t="shared" si="52"/>
        <v>437838733</v>
      </c>
      <c r="H230" t="str">
        <f t="shared" si="53"/>
        <v>Tracking</v>
      </c>
      <c r="I230">
        <f t="shared" si="54"/>
        <v>0</v>
      </c>
      <c r="J230">
        <f t="shared" si="55"/>
        <v>1</v>
      </c>
      <c r="K230" s="4">
        <f t="shared" si="44"/>
        <v>3.5000000000000001E-3</v>
      </c>
      <c r="L230">
        <f t="shared" si="45"/>
        <v>0.02</v>
      </c>
      <c r="M230" s="4">
        <f t="shared" si="56"/>
        <v>3.5000000000000001E-3</v>
      </c>
      <c r="N230" s="4">
        <f t="shared" si="57"/>
        <v>0.02</v>
      </c>
    </row>
    <row r="231" spans="1:14">
      <c r="A231" t="str">
        <f t="shared" si="46"/>
        <v>MK~BR_CN~Vai_de_Visa_MN~NONE_YQ~19Q1Q4_CP~NONE_OB~LDS_PK~NONE</v>
      </c>
      <c r="B231" t="str">
        <f t="shared" si="47"/>
        <v>Oath BR</v>
      </c>
      <c r="C231" t="str">
        <f t="shared" si="48"/>
        <v>CH~DISPLAY_DT~MULTI_PB~OTH_FM~BANNER_RT~CPM_PD~VDV_PERFORMANCE_PROMONACIONAL_OATH_BANNER_627X627_627X627_TG~BHVDEM_TS~NONE_SZ~627X627_DISPLAY_MK~BR_IT~DISPLAY_VV~NONE</v>
      </c>
      <c r="D231" t="str">
        <f t="shared" si="49"/>
        <v>249663197</v>
      </c>
      <c r="E231" t="str">
        <f t="shared" si="50"/>
        <v>Dynamic Click</v>
      </c>
      <c r="F231" t="str">
        <f t="shared" si="51"/>
        <v>CH~DISPLAY_DT~MULTI_PB~OTH_FM~BANNER_RT~CPM_PD~VDV_PERFORMANCE_PROMONACIONAL_OATH_BANNER_627X627_627X627_TG~BHVDEM_TS~NONE_SZ~627X627_DISPLAY_MK~BR_IT~DISPLAY_VV~NONE</v>
      </c>
      <c r="G231" t="str">
        <f t="shared" si="52"/>
        <v>446099921</v>
      </c>
      <c r="H231" t="str">
        <f t="shared" si="53"/>
        <v>Tracking</v>
      </c>
      <c r="I231">
        <f t="shared" si="54"/>
        <v>0</v>
      </c>
      <c r="J231">
        <f t="shared" si="55"/>
        <v>28853</v>
      </c>
      <c r="K231" s="4">
        <f t="shared" si="44"/>
        <v>3.5000000000000001E-3</v>
      </c>
      <c r="L231">
        <f t="shared" si="45"/>
        <v>0.02</v>
      </c>
      <c r="M231" s="4">
        <f t="shared" si="56"/>
        <v>100.9855</v>
      </c>
      <c r="N231" s="4">
        <f t="shared" si="57"/>
        <v>577.06000000000006</v>
      </c>
    </row>
    <row r="232" spans="1:14">
      <c r="A232" t="str">
        <f t="shared" si="46"/>
        <v>MK~BR_CN~Vai_de_Visa_MN~NONE_YQ~19Q1Q4_CP~NONE_OB~LDS_PK~NONE</v>
      </c>
      <c r="B232" t="str">
        <f t="shared" si="47"/>
        <v>Oath BR</v>
      </c>
      <c r="C232" t="str">
        <f t="shared" si="48"/>
        <v>CH~SOCIAL_DT~MULTI_PB~OTH_FM~BANNER_RT~CPM_PD~VDV_PROMONACIONAL_PERFORMANCE_BANNER_OATH_CAMPO_627X627_627X627_TG~BHVDEM_TS~NONE_SZ~627X627_DISPLAY_MK~BR_IT~DISPLAY_VV~NONE</v>
      </c>
      <c r="D232" t="str">
        <f t="shared" si="49"/>
        <v>251155108</v>
      </c>
      <c r="E232" t="str">
        <f t="shared" si="50"/>
        <v>Dynamic Click</v>
      </c>
      <c r="F232" t="str">
        <f t="shared" si="51"/>
        <v>CH~SOCIAL_DT~MULTI_PB~OTH_FM~BANNER_RT~CPM_PD~VDV_PROMONACIONAL_PERFORMANCE_BANNER_OATH_CAMPO_627X627_627X627_TG~BHVDEM_TS~NONE_SZ~627X627_DISPLAY_MK~BR_IT~DISPLAY_VV~NONE</v>
      </c>
      <c r="G232" t="str">
        <f t="shared" si="52"/>
        <v>447263105</v>
      </c>
      <c r="H232" t="str">
        <f t="shared" si="53"/>
        <v>Tracking</v>
      </c>
      <c r="I232">
        <f t="shared" si="54"/>
        <v>0</v>
      </c>
      <c r="J232">
        <f t="shared" si="55"/>
        <v>90460</v>
      </c>
      <c r="K232" s="4">
        <f t="shared" si="44"/>
        <v>3.5000000000000001E-3</v>
      </c>
      <c r="L232">
        <f t="shared" si="45"/>
        <v>0.02</v>
      </c>
      <c r="M232" s="4">
        <f t="shared" si="56"/>
        <v>316.61</v>
      </c>
      <c r="N232" s="4">
        <f t="shared" si="57"/>
        <v>1809.2</v>
      </c>
    </row>
    <row r="233" spans="1:14">
      <c r="A233" t="str">
        <f t="shared" si="46"/>
        <v>MK~BR_CN~Vai_de_Visa_MN~NONE_YQ~19Q1Q4_CP~NONE_OB~LDS_PK~NONE</v>
      </c>
      <c r="B233" t="str">
        <f t="shared" si="47"/>
        <v>Oath BR</v>
      </c>
      <c r="C233" t="str">
        <f t="shared" si="48"/>
        <v>CH~SOCIAL_DT~MULTI_PB~OTH_FM~BANNER_RT~CPM_PD~VDV_PROMONACIONAL_PERFORMANCE_BANNER_OATH_PRAIA_627X627_627X627_TG~BHVDEM_TS~NONE_SZ~627X627_DISPLAY_MK~BR_IT~DISPLAY_VV~NONE</v>
      </c>
      <c r="D233" t="str">
        <f t="shared" si="49"/>
        <v>251155096</v>
      </c>
      <c r="E233" t="str">
        <f t="shared" si="50"/>
        <v>Dynamic Click</v>
      </c>
      <c r="F233" t="str">
        <f t="shared" si="51"/>
        <v>CH~SOCIAL_DT~MULTI_PB~OTH_FM~BANNER_RT~CPM_PD~VDV_PROMONACIONAL_PERFORMANCE_BANNER_OATH_PRAIA_627X627_627X627_TG~BHVDEM_TS~NONE_SZ~627X627_DISPLAY_MK~BR_IT~DISPLAY_VV~NONE</v>
      </c>
      <c r="G233" t="str">
        <f t="shared" si="52"/>
        <v>447263093</v>
      </c>
      <c r="H233" t="str">
        <f t="shared" si="53"/>
        <v>Tracking</v>
      </c>
      <c r="I233">
        <f t="shared" si="54"/>
        <v>0</v>
      </c>
      <c r="J233">
        <f t="shared" si="55"/>
        <v>40272</v>
      </c>
      <c r="K233" s="4">
        <f t="shared" si="44"/>
        <v>3.5000000000000001E-3</v>
      </c>
      <c r="L233">
        <f t="shared" si="45"/>
        <v>0.02</v>
      </c>
      <c r="M233" s="4">
        <f t="shared" si="56"/>
        <v>140.952</v>
      </c>
      <c r="N233" s="4">
        <f t="shared" si="57"/>
        <v>805.44</v>
      </c>
    </row>
    <row r="234" spans="1:14">
      <c r="A234" t="str">
        <f t="shared" si="46"/>
        <v>MK~BR_CN~Vai_de_Visa_MN~NONE_YQ~19Q1Q4_CP~NONE_OB~LDS_PK~NONE</v>
      </c>
      <c r="B234" t="str">
        <f t="shared" si="47"/>
        <v>instagram.com</v>
      </c>
      <c r="C234" t="str">
        <f t="shared" si="48"/>
        <v>CH~DISPLAY_DT~MULTI_PB~IG_FM~STORIES_RT~CPM_PD~VDV_PERFORMANCE_MOVIDA_INSTAGRAM_STORIES_OFERTA20OFF_1X1_TG~BHVDEM_TS~NONE_SZ~1X1_DISPLAY_MK~BR_IT~DISPLAY_VV~NONE</v>
      </c>
      <c r="D234" t="str">
        <f t="shared" si="49"/>
        <v>250880041</v>
      </c>
      <c r="E234" t="str">
        <f t="shared" si="50"/>
        <v>Dynamic Click</v>
      </c>
      <c r="F234" t="str">
        <f t="shared" si="51"/>
        <v>CH~DISPLAY_DT~MULTI_PB~IG_FM~STORIES_RT~CPM_PD~VDV_PERFORMANCE_MOVIDA_INSTAGRAM_STORIES_OFERTA20OFF_1X1_TG~BHVDEM_TS~NONE_SZ~1X1_DISPLAY_MK~BR_IT~DISPLAY_VV~NONE</v>
      </c>
      <c r="G234" t="str">
        <f t="shared" si="52"/>
        <v>446989788</v>
      </c>
      <c r="H234" t="str">
        <f t="shared" si="53"/>
        <v>Tracking</v>
      </c>
      <c r="I234">
        <f t="shared" si="54"/>
        <v>0</v>
      </c>
      <c r="J234">
        <f t="shared" si="55"/>
        <v>1</v>
      </c>
      <c r="K234" s="4">
        <f t="shared" si="44"/>
        <v>3.5000000000000001E-3</v>
      </c>
      <c r="L234">
        <f t="shared" si="45"/>
        <v>0.02</v>
      </c>
      <c r="M234" s="4">
        <f t="shared" si="56"/>
        <v>3.5000000000000001E-3</v>
      </c>
      <c r="N234" s="4">
        <f t="shared" si="57"/>
        <v>0.02</v>
      </c>
    </row>
    <row r="235" spans="1:14">
      <c r="A235" t="str">
        <f t="shared" si="46"/>
        <v>MK~BR_CN~Vai_de_Visa_MN~NONE_YQ~19Q1Q4_CP~NONE_OB~LDS_PK~NONE</v>
      </c>
      <c r="B235" t="str">
        <f t="shared" si="47"/>
        <v>instagram.com</v>
      </c>
      <c r="C235" t="str">
        <f t="shared" si="48"/>
        <v>CH~SOCIAL_DT~MULTI_PB~IG_FM~LINKAD_RT~CPM_PD~VDV_DECOLAR_PERFORMANCE_INSTAGRAM_LINKAD_15OFF_MAR_1X1_TG~BHVDEM_TS~NONE_SZ~1X1_SOCIAL_MK~BR_IT~SOCIAL_VV~NONE</v>
      </c>
      <c r="D235" t="str">
        <f t="shared" si="49"/>
        <v>245810385</v>
      </c>
      <c r="E235" t="str">
        <f t="shared" si="50"/>
        <v>Dynamic Click</v>
      </c>
      <c r="F235" t="str">
        <f t="shared" si="51"/>
        <v>CH~SOCIAL_DT~MULTI_PB~IG_FM~LINKAD_RT~CPM_PD~VDV_DECOLAR_PERFORMANCE_INSTAGRAM_LINKAD_15OFF_MAR_1X1_TG~BHVDEM_TS~NONE_SZ~1X1_SOCIAL_MK~BR_IT~SOCIAL_VV~NONE</v>
      </c>
      <c r="G235" t="str">
        <f t="shared" si="52"/>
        <v>442143252</v>
      </c>
      <c r="H235" t="str">
        <f t="shared" si="53"/>
        <v>Tracking</v>
      </c>
      <c r="I235">
        <f t="shared" si="54"/>
        <v>0</v>
      </c>
      <c r="J235">
        <f t="shared" si="55"/>
        <v>396</v>
      </c>
      <c r="K235" s="4">
        <f t="shared" si="44"/>
        <v>3.5000000000000001E-3</v>
      </c>
      <c r="L235">
        <f t="shared" si="45"/>
        <v>0.02</v>
      </c>
      <c r="M235" s="4">
        <f t="shared" si="56"/>
        <v>1.3860000000000001</v>
      </c>
      <c r="N235" s="4">
        <f t="shared" si="57"/>
        <v>7.92</v>
      </c>
    </row>
    <row r="236" spans="1:14">
      <c r="A236" t="str">
        <f t="shared" si="46"/>
        <v>MK~BR_CN~Vai_de_Visa_MN~NONE_YQ~19Q1Q4_CP~NONE_OB~LDS_PK~NONE</v>
      </c>
      <c r="B236" t="str">
        <f t="shared" si="47"/>
        <v>instagram.com</v>
      </c>
      <c r="C236" t="str">
        <f t="shared" si="48"/>
        <v>CH~SOCIAL_DT~MULTI_PB~IG_FM~STORIES_RT~CPM_PD~CV~VDV_PERFORMANCE_MOVIDA_20OFF_AZUL_CS~STORIES_CT~INSTA_1X1_TG~BHVDEM_TS~NONE_SZ~1X1_DISPLAY_MK~BR_IT~DISPLAY_VV~NONE</v>
      </c>
      <c r="D236" t="str">
        <f t="shared" si="49"/>
        <v>252344829</v>
      </c>
      <c r="E236" t="str">
        <f t="shared" si="50"/>
        <v>Dynamic Click</v>
      </c>
      <c r="F236" t="str">
        <f t="shared" si="51"/>
        <v>CH~SOCIAL_DT~MULTI_PB~IG_FM~STORIES_RT~CPM_PD~CV~VDV_PERFORMANCE_MOVIDA_20OFF_AZUL_CS~STORIES_CT~INSTA_1X1_TG~BHVDEM_TS~NONE_SZ~1X1_DISPLAY_MK~BR_IT~DISPLAY_VV~NONE</v>
      </c>
      <c r="G236" t="str">
        <f t="shared" si="52"/>
        <v>448316771</v>
      </c>
      <c r="H236" t="str">
        <f t="shared" si="53"/>
        <v>Tracking</v>
      </c>
      <c r="I236">
        <f t="shared" si="54"/>
        <v>0</v>
      </c>
      <c r="J236">
        <f t="shared" si="55"/>
        <v>1</v>
      </c>
      <c r="K236" s="4">
        <f t="shared" ref="K236:K299" si="58">IF(LEFT(B236,3)="DBM",0,VLOOKUP(E236,tabela,2,FALSE))</f>
        <v>3.5000000000000001E-3</v>
      </c>
      <c r="L236">
        <f t="shared" ref="L236:L299" si="59">VLOOKUP(E236,tabela,3,FALSE)</f>
        <v>0.02</v>
      </c>
      <c r="M236" s="4">
        <f t="shared" si="56"/>
        <v>3.5000000000000001E-3</v>
      </c>
      <c r="N236" s="4">
        <f t="shared" si="57"/>
        <v>0.02</v>
      </c>
    </row>
    <row r="237" spans="1:14">
      <c r="A237" t="str">
        <f t="shared" si="46"/>
        <v>MK~BR_CN~Vai_de_Visa_MN~NONE_YQ~19Q1Q4_CP~NONE_OB~LDS_PK~NONE</v>
      </c>
      <c r="B237" t="str">
        <f t="shared" si="47"/>
        <v>instagram.com</v>
      </c>
      <c r="C237" t="str">
        <f t="shared" si="48"/>
        <v>CH~SOCIAL_DT~MULTI_PB~IG_FM~STORIES_RT~CPM_PD~CV~VDV_PERFORMANCE_PROMOÇÃO_NACIONAL_AMARELO_CS~STORIES_CT~INSTA_1X1_TG~BHVDEM_TS~NONE_SZ~1X1_DISPLAY_MK~BR_IT~DISPLAY_VV~NONE</v>
      </c>
      <c r="D237" t="str">
        <f t="shared" si="49"/>
        <v>246942056</v>
      </c>
      <c r="E237" t="str">
        <f t="shared" si="50"/>
        <v>Dynamic Click</v>
      </c>
      <c r="F237" t="str">
        <f t="shared" si="51"/>
        <v>CH~SOCIAL_DT~MULTI_PB~IG_FM~STORIES_RT~CPM_PD~CV~VDV_PERFORMANCE_PROMOÇÃO_NACIONAL_AMARELO_CS~STORIES_CT~INSTA_1X1_TG~BHVDEM_TS~NONE_SZ~1X1_DISPLAY_MK~BR_IT~DISPLAY_VV~NONE</v>
      </c>
      <c r="G237" t="str">
        <f t="shared" si="52"/>
        <v>443403852</v>
      </c>
      <c r="H237" t="str">
        <f t="shared" si="53"/>
        <v>Tracking</v>
      </c>
      <c r="I237">
        <f t="shared" si="54"/>
        <v>0</v>
      </c>
      <c r="J237">
        <f t="shared" si="55"/>
        <v>2</v>
      </c>
      <c r="K237" s="4">
        <f t="shared" si="58"/>
        <v>3.5000000000000001E-3</v>
      </c>
      <c r="L237">
        <f t="shared" si="59"/>
        <v>0.02</v>
      </c>
      <c r="M237" s="4">
        <f t="shared" si="56"/>
        <v>7.0000000000000001E-3</v>
      </c>
      <c r="N237" s="4">
        <f t="shared" si="57"/>
        <v>0.04</v>
      </c>
    </row>
    <row r="238" spans="1:14">
      <c r="A238" t="str">
        <f t="shared" si="46"/>
        <v>MK~BR_CN~Vai_de_Visa_MN~NONE_YQ~19Q1Q4_CP~NONE_OB~LDS_PK~NONE</v>
      </c>
      <c r="B238" t="str">
        <f t="shared" si="47"/>
        <v>instagram.com</v>
      </c>
      <c r="C238" t="str">
        <f t="shared" si="48"/>
        <v>CH~SOCIAL_DT~MULTI_PB~IG_FM~STORIES_RT~CPM_PD~CV~VDV_PERFORMANCE_RAPPI_LARANJA_CS~STORIES_CT~INSTA_1X1_TG~BHVDEM_TS~NONE_SZ~1X1_DISPLAY_MK~BR_IT~DISPLAY_VV~NONE</v>
      </c>
      <c r="D238" t="str">
        <f t="shared" si="49"/>
        <v>251876717</v>
      </c>
      <c r="E238" t="str">
        <f t="shared" si="50"/>
        <v>Dynamic Click</v>
      </c>
      <c r="F238" t="str">
        <f t="shared" si="51"/>
        <v>CH~SOCIAL_DT~MULTI_PB~IG_FM~STORIES_RT~CPM_PD~CV~VDV_PERFORMANCE_RAPPI_LARANJA_CS~STORIES_CT~INSTA_1X1_TG~BHVDEM_TS~NONE_SZ~1X1_DISPLAY_MK~BR_IT~DISPLAY_VV~NONE</v>
      </c>
      <c r="G238" t="str">
        <f t="shared" si="52"/>
        <v>448257749</v>
      </c>
      <c r="H238" t="str">
        <f t="shared" si="53"/>
        <v>Tracking</v>
      </c>
      <c r="I238">
        <f t="shared" si="54"/>
        <v>0</v>
      </c>
      <c r="J238">
        <f t="shared" si="55"/>
        <v>8</v>
      </c>
      <c r="K238" s="4">
        <f t="shared" si="58"/>
        <v>3.5000000000000001E-3</v>
      </c>
      <c r="L238">
        <f t="shared" si="59"/>
        <v>0.02</v>
      </c>
      <c r="M238" s="4">
        <f t="shared" si="56"/>
        <v>2.8000000000000001E-2</v>
      </c>
      <c r="N238" s="4">
        <f t="shared" si="57"/>
        <v>0.16</v>
      </c>
    </row>
    <row r="239" spans="1:14">
      <c r="A239" t="str">
        <f t="shared" si="46"/>
        <v>MK~BR_CN~Vai_de_Visa_MN~NONE_YQ~19Q1Q4_CP~NONE_OB~LDS_PK~NONE</v>
      </c>
      <c r="B239" t="str">
        <f t="shared" si="47"/>
        <v>instagram.com</v>
      </c>
      <c r="C239" t="str">
        <f t="shared" si="48"/>
        <v>CH~SOCIAL_DT~MULTI_PB~IG_FM~STORIES_RT~CPM_PD~CV~VDV_PERFORMANCE_RAPPI_VERDE_CS~STORIES_CT~INSTA_1X1_TG~BHVDEM_TS~NONE_SZ~1X1_DISPLAY_MK~BR_IT~DISPLAY_VV~NONE</v>
      </c>
      <c r="D239" t="str">
        <f t="shared" si="49"/>
        <v>251834238</v>
      </c>
      <c r="E239" t="str">
        <f t="shared" si="50"/>
        <v>Dynamic Click</v>
      </c>
      <c r="F239" t="str">
        <f t="shared" si="51"/>
        <v>CH~SOCIAL_DT~MULTI_PB~IG_FM~STORIES_RT~CPM_PD~CV~VDV_PERFORMANCE_RAPPI_VERDE_CS~STORIES_CT~INSTA_1X1_TG~BHVDEM_TS~NONE_SZ~1X1_DISPLAY_MK~BR_IT~DISPLAY_VV~NONE</v>
      </c>
      <c r="G239" t="str">
        <f t="shared" si="52"/>
        <v>447819794</v>
      </c>
      <c r="H239" t="str">
        <f t="shared" si="53"/>
        <v>Tracking</v>
      </c>
      <c r="I239">
        <f t="shared" si="54"/>
        <v>0</v>
      </c>
      <c r="J239">
        <f t="shared" si="55"/>
        <v>1</v>
      </c>
      <c r="K239" s="4">
        <f t="shared" si="58"/>
        <v>3.5000000000000001E-3</v>
      </c>
      <c r="L239">
        <f t="shared" si="59"/>
        <v>0.02</v>
      </c>
      <c r="M239" s="4">
        <f t="shared" si="56"/>
        <v>3.5000000000000001E-3</v>
      </c>
      <c r="N239" s="4">
        <f t="shared" si="57"/>
        <v>0.02</v>
      </c>
    </row>
    <row r="240" spans="1:14">
      <c r="A240" t="str">
        <f t="shared" si="46"/>
        <v>MK~BR_CN~Vai_de_Visa_MN~NONE_YQ~19Q1Q4_CP~NONE_OB~LDS_PK~NONE</v>
      </c>
      <c r="B240" t="str">
        <f t="shared" si="47"/>
        <v>instagram.com</v>
      </c>
      <c r="C240" t="str">
        <f t="shared" si="48"/>
        <v>CH~SOCIAL_DT~MULTI_PB~IG_FM~STORIES_RT~CPM_PD~VDV_AWARENESS_EDUCACIONAL_DÉBITO_STORIES_1X1_TG~BHVDEM_TS~NONE_SZ~1X1_DISPLAY_MK~BR_IT~DISPLAY_VV~NONE</v>
      </c>
      <c r="D240" t="str">
        <f t="shared" si="49"/>
        <v>252202866</v>
      </c>
      <c r="E240" t="str">
        <f t="shared" si="50"/>
        <v>Dynamic Click</v>
      </c>
      <c r="F240" t="str">
        <f t="shared" si="51"/>
        <v>CH~SOCIAL_DT~MULTI_PB~IG_FM~STORIES_RT~CPM_PD~VDV_AWARENESS_EDUCACIONAL_DÉBITO_STORIES_1X1_TG~BHVDEM_TS~NONE_SZ~1X1_DISPLAY_MK~BR_IT~DISPLAY_VV~NONE</v>
      </c>
      <c r="G240" t="str">
        <f t="shared" si="52"/>
        <v>448185455</v>
      </c>
      <c r="H240" t="str">
        <f t="shared" si="53"/>
        <v>Tracking</v>
      </c>
      <c r="I240">
        <f t="shared" si="54"/>
        <v>0</v>
      </c>
      <c r="J240">
        <f t="shared" si="55"/>
        <v>819</v>
      </c>
      <c r="K240" s="4">
        <f t="shared" si="58"/>
        <v>3.5000000000000001E-3</v>
      </c>
      <c r="L240">
        <f t="shared" si="59"/>
        <v>0.02</v>
      </c>
      <c r="M240" s="4">
        <f t="shared" si="56"/>
        <v>2.8665000000000003</v>
      </c>
      <c r="N240" s="4">
        <f t="shared" si="57"/>
        <v>16.38</v>
      </c>
    </row>
    <row r="241" spans="1:14">
      <c r="A241" t="str">
        <f t="shared" si="46"/>
        <v>MK~BR_CN~Vai_de_Visa_MN~NONE_YQ~19Q1Q4_CP~NONE_OB~LDS_PK~NONE</v>
      </c>
      <c r="B241" t="str">
        <f t="shared" si="47"/>
        <v>instagram.com</v>
      </c>
      <c r="C241" t="str">
        <f t="shared" si="48"/>
        <v>CH~SOCIAL_DT~MULTI_PB~IG_FM~STORIES_RT~CPM_PD~VDV_EDUCACIONAL_AWARENESS_STORIES_INSTAGRAM_DESCONTO_1X1_TG~BHVDEM_TS~NONE_SZ~1X1_DISPLAY_MK~BR_IT~DISPLAY_VV~NONE</v>
      </c>
      <c r="D241" t="str">
        <f t="shared" si="49"/>
        <v>251415409</v>
      </c>
      <c r="E241" t="str">
        <f t="shared" si="50"/>
        <v>Dynamic Click</v>
      </c>
      <c r="F241" t="str">
        <f t="shared" si="51"/>
        <v>CH~SOCIAL_DT~MULTI_PB~IG_FM~STORIES_RT~CPM_PD~VDV_EDUCACIONAL_AWARENESS_STORIES_INSTAGRAM_DESCONTO_1X1_TG~BHVDEM_TS~NONE_SZ~1X1_DISPLAY_MK~BR_IT~DISPLAY_VV~NONE</v>
      </c>
      <c r="G241" t="str">
        <f t="shared" si="52"/>
        <v>447484704</v>
      </c>
      <c r="H241" t="str">
        <f t="shared" si="53"/>
        <v>Tracking</v>
      </c>
      <c r="I241">
        <f t="shared" si="54"/>
        <v>0</v>
      </c>
      <c r="J241">
        <f t="shared" si="55"/>
        <v>2511</v>
      </c>
      <c r="K241" s="4">
        <f t="shared" si="58"/>
        <v>3.5000000000000001E-3</v>
      </c>
      <c r="L241">
        <f t="shared" si="59"/>
        <v>0.02</v>
      </c>
      <c r="M241" s="4">
        <f t="shared" si="56"/>
        <v>8.7885000000000009</v>
      </c>
      <c r="N241" s="4">
        <f t="shared" si="57"/>
        <v>50.22</v>
      </c>
    </row>
    <row r="242" spans="1:14">
      <c r="A242" t="str">
        <f t="shared" si="46"/>
        <v>MK~BR_CN~Vai_de_Visa_MN~NONE_YQ~19Q1Q4_CP~NONE_OB~LDS_PK~NONE</v>
      </c>
      <c r="B242" t="str">
        <f t="shared" si="47"/>
        <v>instagram.com</v>
      </c>
      <c r="C242" t="str">
        <f t="shared" si="48"/>
        <v>CH~SOCIAL_DT~MULTI_PB~IG_FM~STORIES_RT~CPM_PD~VDV_EDUCACIONAL_AWARENESS_STORIES__INSTAGRAM_VIAGEM_OFERTA_1X1_TG~BHVDEM_TS~NONE_SZ~1X1_DISPLAY_MK~BR_IT~DISPLAY_VV~NONE</v>
      </c>
      <c r="D242" t="str">
        <f t="shared" si="49"/>
        <v>251415754</v>
      </c>
      <c r="E242" t="str">
        <f t="shared" si="50"/>
        <v>Dynamic Click</v>
      </c>
      <c r="F242" t="str">
        <f t="shared" si="51"/>
        <v>CH~SOCIAL_DT~MULTI_PB~IG_FM~STORIES_RT~CPM_PD~VDV_EDUCACIONAL_AWARENESS_STORIES__INSTAGRAM_VIAGEM_OFERTA_1X1_TG~BHVDEM_TS~NONE_SZ~1X1_DISPLAY_MK~BR_IT~DISPLAY_VV~NONE</v>
      </c>
      <c r="G242" t="str">
        <f t="shared" si="52"/>
        <v>447486120</v>
      </c>
      <c r="H242" t="str">
        <f t="shared" si="53"/>
        <v>Tracking</v>
      </c>
      <c r="I242">
        <f t="shared" si="54"/>
        <v>0</v>
      </c>
      <c r="J242">
        <f t="shared" si="55"/>
        <v>5414</v>
      </c>
      <c r="K242" s="4">
        <f t="shared" si="58"/>
        <v>3.5000000000000001E-3</v>
      </c>
      <c r="L242">
        <f t="shared" si="59"/>
        <v>0.02</v>
      </c>
      <c r="M242" s="4">
        <f t="shared" si="56"/>
        <v>18.949000000000002</v>
      </c>
      <c r="N242" s="4">
        <f t="shared" si="57"/>
        <v>108.28</v>
      </c>
    </row>
    <row r="243" spans="1:14">
      <c r="A243" t="str">
        <f t="shared" si="46"/>
        <v>MK~BR_CN~Vai_de_Visa_MN~NONE_YQ~19Q1Q4_CP~NONE_OB~LDS_PK~NONE</v>
      </c>
      <c r="B243" t="str">
        <f t="shared" si="47"/>
        <v>instagram.com</v>
      </c>
      <c r="C243" t="str">
        <f t="shared" si="48"/>
        <v>CH~SOCIAL_DT~MULTI_PB~IG_FM~STORIES_RT~CPM_PD~VDV_NETSHOES_PERFORMANCE_INSTAGRAM_STORIES_NORMAL_1X1_TG~BHVDEM_TS~NONE_SZ~1X1_DISPLAY_MK~BR_IT~DISPLAY_VV~NONE</v>
      </c>
      <c r="D243" t="str">
        <f t="shared" si="49"/>
        <v>249609190</v>
      </c>
      <c r="E243" t="str">
        <f t="shared" si="50"/>
        <v>Dynamic Click</v>
      </c>
      <c r="F243" t="str">
        <f t="shared" si="51"/>
        <v>CH~SOCIAL_DT~MULTI_PB~IG_FM~STORIES_RT~CPM_PD~VDV_NETSHOES_PERFORMANCE_INSTAGRAM_STORIES_NORMAL_1X1_TG~BHVDEM_TS~NONE_SZ~1X1_DISPLAY_MK~BR_IT~DISPLAY_VV~NONE</v>
      </c>
      <c r="G243" t="str">
        <f t="shared" si="52"/>
        <v>445808066</v>
      </c>
      <c r="H243" t="str">
        <f t="shared" si="53"/>
        <v>Tracking</v>
      </c>
      <c r="I243">
        <f t="shared" si="54"/>
        <v>0</v>
      </c>
      <c r="J243">
        <f t="shared" si="55"/>
        <v>60</v>
      </c>
      <c r="K243" s="4">
        <f t="shared" si="58"/>
        <v>3.5000000000000001E-3</v>
      </c>
      <c r="L243">
        <f t="shared" si="59"/>
        <v>0.02</v>
      </c>
      <c r="M243" s="4">
        <f t="shared" si="56"/>
        <v>0.21</v>
      </c>
      <c r="N243" s="4">
        <f t="shared" si="57"/>
        <v>1.2</v>
      </c>
    </row>
    <row r="244" spans="1:14">
      <c r="A244" t="str">
        <f t="shared" si="46"/>
        <v>MK~BR_CN~Vai_de_Visa_MN~NONE_YQ~19Q1Q4_CP~NONE_OB~LDS_PK~NONE</v>
      </c>
      <c r="B244" t="str">
        <f t="shared" si="47"/>
        <v>instagram.com</v>
      </c>
      <c r="C244" t="str">
        <f t="shared" si="48"/>
        <v>CH~SOCIAL_DT~MULTI_PB~IG_FM~STORIES_RT~CPM_PD~VDV_NETSHOES_PERFORMANCE_INSTAGRAM_STORIES_STEP_FINAL_1X1_TG~BHVDEM_TS~NONE_SZ~1X1_DISPLAY_MK~BR_IT~DISPLAY_VV~NONE</v>
      </c>
      <c r="D244" t="str">
        <f t="shared" si="49"/>
        <v>249363362</v>
      </c>
      <c r="E244" t="str">
        <f t="shared" si="50"/>
        <v>Dynamic Click</v>
      </c>
      <c r="F244" t="str">
        <f t="shared" si="51"/>
        <v>CH~SOCIAL_DT~MULTI_PB~IG_FM~STORIES_RT~CPM_PD~VDV_NETSHOES_PERFORMANCE_INSTAGRAM_STORIES_STEP_FINAL_1X1_TG~BHVDEM_TS~NONE_SZ~1X1_DISPLAY_MK~BR_IT~DISPLAY_VV~NONE</v>
      </c>
      <c r="G244" t="str">
        <f t="shared" si="52"/>
        <v>445728951</v>
      </c>
      <c r="H244" t="str">
        <f t="shared" si="53"/>
        <v>Tracking</v>
      </c>
      <c r="I244">
        <f t="shared" si="54"/>
        <v>0</v>
      </c>
      <c r="J244">
        <f t="shared" si="55"/>
        <v>285</v>
      </c>
      <c r="K244" s="4">
        <f t="shared" si="58"/>
        <v>3.5000000000000001E-3</v>
      </c>
      <c r="L244">
        <f t="shared" si="59"/>
        <v>0.02</v>
      </c>
      <c r="M244" s="4">
        <f t="shared" si="56"/>
        <v>0.99750000000000005</v>
      </c>
      <c r="N244" s="4">
        <f t="shared" si="57"/>
        <v>5.7</v>
      </c>
    </row>
    <row r="245" spans="1:14">
      <c r="A245" t="str">
        <f t="shared" si="46"/>
        <v>MK~BR_CN~Vai_de_Visa_MN~NONE_YQ~19Q1Q4_CP~NONE_OB~LDS_PK~NONE</v>
      </c>
      <c r="B245" t="str">
        <f t="shared" si="47"/>
        <v>instagram.com</v>
      </c>
      <c r="C245" t="str">
        <f t="shared" si="48"/>
        <v>CH~SOCIAL_DT~MULTI_PB~IG_FM~STORIES_RT~CPM_PD~VDV_PERFORMANCE_DECOLAR_OFERTAEDUCACIONAL_INSTAGRAM_STORIES_1X1_TG~BHVDEM_TS~NONE_SZ~1X1_DISPLAY_MK~BR_IT~DISPLAY_VV~NONE</v>
      </c>
      <c r="D245" t="str">
        <f t="shared" si="49"/>
        <v>248336405</v>
      </c>
      <c r="E245" t="str">
        <f t="shared" si="50"/>
        <v>Dynamic Click</v>
      </c>
      <c r="F245" t="str">
        <f t="shared" si="51"/>
        <v>CH~SOCIAL_DT~MULTI_PB~IG_FM~STORIES_RT~CPM_PD~VDV_PERFORMANCE_DECOLAR_OFERTAEDUCACIONAL_INSTAGRAM_STORIES_1X1_TG~BHVDEM_TS~NONE_SZ~1X1_DISPLAY_MK~BR_IT~DISPLAY_VV~NONE</v>
      </c>
      <c r="G245" t="str">
        <f t="shared" si="52"/>
        <v>444858016</v>
      </c>
      <c r="H245" t="str">
        <f t="shared" si="53"/>
        <v>Tracking</v>
      </c>
      <c r="I245">
        <f t="shared" si="54"/>
        <v>0</v>
      </c>
      <c r="J245">
        <f t="shared" si="55"/>
        <v>256</v>
      </c>
      <c r="K245" s="4">
        <f t="shared" si="58"/>
        <v>3.5000000000000001E-3</v>
      </c>
      <c r="L245">
        <f t="shared" si="59"/>
        <v>0.02</v>
      </c>
      <c r="M245" s="4">
        <f t="shared" si="56"/>
        <v>0.89600000000000002</v>
      </c>
      <c r="N245" s="4">
        <f t="shared" si="57"/>
        <v>5.12</v>
      </c>
    </row>
    <row r="246" spans="1:14">
      <c r="A246" t="str">
        <f t="shared" si="46"/>
        <v>MK~BR_CN~Vai_de_Visa_MN~NONE_YQ~19Q1Q4_CP~NONE_OB~LDS_PK~NONE</v>
      </c>
      <c r="B246" t="str">
        <f t="shared" si="47"/>
        <v>instagram.com</v>
      </c>
      <c r="C246" t="str">
        <f t="shared" si="48"/>
        <v>CH~SOCIAL_DT~MULTI_PB~IG_FM~STORIES_RT~CPM_PD~VDV_PERFORMANCE_INSTAGRAM_MOVIDA_20OFF_STORIES_1X1_TG~BHVDEM_TS~NONE_SZ~1X1_DISPLAY_MK~BR_IT~DISPLAY_VV~NONE</v>
      </c>
      <c r="D246" t="str">
        <f t="shared" si="49"/>
        <v>251272737</v>
      </c>
      <c r="E246" t="str">
        <f t="shared" si="50"/>
        <v>Dynamic Click</v>
      </c>
      <c r="F246" t="str">
        <f t="shared" si="51"/>
        <v>CH~SOCIAL_DT~MULTI_PB~IG_FM~STORIES_RT~CPM_PD~VDV_PERFORMANCE_INSTAGRAM_MOVIDA_20OFF_STORIES_1X1_TG~BHVDEM_TS~NONE_SZ~1X1_DISPLAY_MK~BR_IT~DISPLAY_VV~NONE</v>
      </c>
      <c r="G246" t="str">
        <f t="shared" si="52"/>
        <v>447378208</v>
      </c>
      <c r="H246" t="str">
        <f t="shared" si="53"/>
        <v>Tracking</v>
      </c>
      <c r="I246">
        <f t="shared" si="54"/>
        <v>0</v>
      </c>
      <c r="J246">
        <f t="shared" si="55"/>
        <v>669</v>
      </c>
      <c r="K246" s="4">
        <f t="shared" si="58"/>
        <v>3.5000000000000001E-3</v>
      </c>
      <c r="L246">
        <f t="shared" si="59"/>
        <v>0.02</v>
      </c>
      <c r="M246" s="4">
        <f t="shared" si="56"/>
        <v>2.3414999999999999</v>
      </c>
      <c r="N246" s="4">
        <f t="shared" si="57"/>
        <v>13.38</v>
      </c>
    </row>
    <row r="247" spans="1:14">
      <c r="A247" t="str">
        <f t="shared" si="46"/>
        <v>MK~BR_CN~Vai_de_Visa_MN~NONE_YQ~19Q1Q4_CP~NONE_OB~LDS_PK~NONE</v>
      </c>
      <c r="B247" t="str">
        <f t="shared" si="47"/>
        <v>instagram.com</v>
      </c>
      <c r="C247" t="str">
        <f t="shared" si="48"/>
        <v>CH~SOCIAL_DT~MULTI_PB~IG_FM~STORIES_RT~CPM_PD~VDV_PERFORMANCE_MOVIDA_OFERTA_INSTAGRAM_STORIES_1X1_TG~BHVDEM_TS~NONE_SZ~1X1_DISPLAY_MK~BR_IT~DISPLAY_VV~NONE</v>
      </c>
      <c r="D247" t="str">
        <f t="shared" si="49"/>
        <v>248336402</v>
      </c>
      <c r="E247" t="str">
        <f t="shared" si="50"/>
        <v>Dynamic Click</v>
      </c>
      <c r="F247" t="str">
        <f t="shared" si="51"/>
        <v>CH~SOCIAL_DT~MULTI_PB~IG_FM~STORIES_RT~CPM_PD~VDV_PERFORMANCE_MOVIDA_OFERTA_INSTAGRAM_STORIES_1X1_TG~BHVDEM_TS~NONE_SZ~1X1_DISPLAY_MK~BR_IT~DISPLAY_VV~NONE</v>
      </c>
      <c r="G247" t="str">
        <f t="shared" si="52"/>
        <v>444858013</v>
      </c>
      <c r="H247" t="str">
        <f t="shared" si="53"/>
        <v>Tracking</v>
      </c>
      <c r="I247">
        <f t="shared" si="54"/>
        <v>0</v>
      </c>
      <c r="J247">
        <f t="shared" si="55"/>
        <v>1</v>
      </c>
      <c r="K247" s="4">
        <f t="shared" si="58"/>
        <v>3.5000000000000001E-3</v>
      </c>
      <c r="L247">
        <f t="shared" si="59"/>
        <v>0.02</v>
      </c>
      <c r="M247" s="4">
        <f t="shared" si="56"/>
        <v>3.5000000000000001E-3</v>
      </c>
      <c r="N247" s="4">
        <f t="shared" si="57"/>
        <v>0.02</v>
      </c>
    </row>
    <row r="248" spans="1:14">
      <c r="A248" t="str">
        <f t="shared" si="46"/>
        <v>MK~BR_CN~Vai_de_Visa_MN~NONE_YQ~19Q1Q4_CP~NONE_OB~LDS_PK~NONE</v>
      </c>
      <c r="B248" t="str">
        <f t="shared" si="47"/>
        <v>instagram.com</v>
      </c>
      <c r="C248" t="str">
        <f t="shared" si="48"/>
        <v>CH~SOCIAL_DT~MULTI_PB~IG_FM~STORIES_RT~CPM_PD~VDV_PERFORMANCE_PROMONACIONAL_INSTAGRAM_STORIES_PAGUECOMVISA_1X1_TG~BHVDEM_TS~NONE_SZ~1X1_DISPLAY_MK~BR_IT~DISPLAY_VV~NONE</v>
      </c>
      <c r="D248" t="str">
        <f t="shared" si="49"/>
        <v>249133270</v>
      </c>
      <c r="E248" t="str">
        <f t="shared" si="50"/>
        <v>Dynamic Click</v>
      </c>
      <c r="F248" t="str">
        <f t="shared" si="51"/>
        <v>CH~SOCIAL_DT~MULTI_PB~IG_FM~STORIES_RT~CPM_PD~VDV_PERFORMANCE_PROMONACIONAL_INSTAGRAM_STORIES_PAGUECOMVISA_1X1_TG~BHVDEM_TS~NONE_SZ~1X1_DISPLAY_MK~BR_IT~DISPLAY_VV~NONE</v>
      </c>
      <c r="G248" t="str">
        <f t="shared" si="52"/>
        <v>445448845</v>
      </c>
      <c r="H248" t="str">
        <f t="shared" si="53"/>
        <v>Tracking</v>
      </c>
      <c r="I248">
        <f t="shared" si="54"/>
        <v>0</v>
      </c>
      <c r="J248">
        <f t="shared" si="55"/>
        <v>2059</v>
      </c>
      <c r="K248" s="4">
        <f t="shared" si="58"/>
        <v>3.5000000000000001E-3</v>
      </c>
      <c r="L248">
        <f t="shared" si="59"/>
        <v>0.02</v>
      </c>
      <c r="M248" s="4">
        <f t="shared" si="56"/>
        <v>7.2065000000000001</v>
      </c>
      <c r="N248" s="4">
        <f t="shared" si="57"/>
        <v>41.18</v>
      </c>
    </row>
    <row r="249" spans="1:14">
      <c r="A249" t="str">
        <f t="shared" si="46"/>
        <v>MK~BR_CN~Vai_de_Visa_MN~NONE_YQ~19Q1Q4_CP~NONE_OB~LDS_PK~NONE</v>
      </c>
      <c r="B249" t="str">
        <f t="shared" si="47"/>
        <v>instagram.com</v>
      </c>
      <c r="C249" t="str">
        <f t="shared" si="48"/>
        <v>CH~SOCIAL_DT~MULTI_PB~IG_FM~STORIES_RT~CPM_PD~VDV_PERFORMANCE_PROMONACIONAL_INSTAGRAM_STORIES_PARTICIPE_1X1_TG~BHVDEM_TS~NONE_SZ~1X1_DISPLAY_MK~BR_IT~DISPLAY_VV~NONE</v>
      </c>
      <c r="D249" t="str">
        <f t="shared" si="49"/>
        <v>249651976</v>
      </c>
      <c r="E249" t="str">
        <f t="shared" si="50"/>
        <v>Dynamic Click</v>
      </c>
      <c r="F249" t="str">
        <f t="shared" si="51"/>
        <v>CH~SOCIAL_DT~MULTI_PB~IG_FM~STORIES_RT~CPM_PD~VDV_PERFORMANCE_PROMONACIONAL_INSTAGRAM_STORIES_PARTICIPE_1X1_TG~BHVDEM_TS~NONE_SZ~1X1_DISPLAY_MK~BR_IT~DISPLAY_VV~NONE</v>
      </c>
      <c r="G249" t="str">
        <f t="shared" si="52"/>
        <v>445759959</v>
      </c>
      <c r="H249" t="str">
        <f t="shared" si="53"/>
        <v>Tracking</v>
      </c>
      <c r="I249">
        <f t="shared" si="54"/>
        <v>0</v>
      </c>
      <c r="J249">
        <f t="shared" si="55"/>
        <v>629</v>
      </c>
      <c r="K249" s="4">
        <f t="shared" si="58"/>
        <v>3.5000000000000001E-3</v>
      </c>
      <c r="L249">
        <f t="shared" si="59"/>
        <v>0.02</v>
      </c>
      <c r="M249" s="4">
        <f t="shared" si="56"/>
        <v>2.2015000000000002</v>
      </c>
      <c r="N249" s="4">
        <f t="shared" si="57"/>
        <v>12.58</v>
      </c>
    </row>
    <row r="250" spans="1:14">
      <c r="A250" t="str">
        <f t="shared" si="46"/>
        <v>MK~BR_CN~Vai_de_Visa_MN~NONE_YQ~19Q1Q4_CP~NONE_OB~LDS_PK~NONE</v>
      </c>
      <c r="B250" t="str">
        <f t="shared" si="47"/>
        <v>instagram.com</v>
      </c>
      <c r="C250" t="str">
        <f t="shared" si="48"/>
        <v>CH~SOCIAL_DT~MULTI_PB~IG_FM~STORIES_RT~CPM_PD~VDV_PERFORMANCE_PUKET_INSTAGRAM_STORIES_AMARELO_1X1_TG~BHVDEM_TS~NONE_SZ~1X1_DISPLAY_MK~BR_IT~DISPLAY_VV~NONE</v>
      </c>
      <c r="D250" t="str">
        <f t="shared" si="49"/>
        <v>249936838</v>
      </c>
      <c r="E250" t="str">
        <f t="shared" si="50"/>
        <v>Dynamic Click</v>
      </c>
      <c r="F250" t="str">
        <f t="shared" si="51"/>
        <v>CH~SOCIAL_DT~MULTI_PB~IG_FM~STORIES_RT~CPM_PD~VDV_PERFORMANCE_PUKET_INSTAGRAM_STORIES_AMARELO_1X1_TG~BHVDEM_TS~NONE_SZ~1X1_DISPLAY_MK~BR_IT~DISPLAY_VV~NONE</v>
      </c>
      <c r="G250" t="str">
        <f t="shared" si="52"/>
        <v>446091851</v>
      </c>
      <c r="H250" t="str">
        <f t="shared" si="53"/>
        <v>Tracking</v>
      </c>
      <c r="I250">
        <f t="shared" si="54"/>
        <v>0</v>
      </c>
      <c r="J250">
        <f t="shared" si="55"/>
        <v>14</v>
      </c>
      <c r="K250" s="4">
        <f t="shared" si="58"/>
        <v>3.5000000000000001E-3</v>
      </c>
      <c r="L250">
        <f t="shared" si="59"/>
        <v>0.02</v>
      </c>
      <c r="M250" s="4">
        <f t="shared" si="56"/>
        <v>4.9000000000000002E-2</v>
      </c>
      <c r="N250" s="4">
        <f t="shared" si="57"/>
        <v>0.28000000000000003</v>
      </c>
    </row>
    <row r="251" spans="1:14">
      <c r="A251" t="str">
        <f t="shared" si="46"/>
        <v>MK~BR_CN~Vai_de_Visa_MN~NONE_YQ~19Q1Q4_CP~NONE_OB~LDS_PK~NONE</v>
      </c>
      <c r="B251" t="str">
        <f t="shared" si="47"/>
        <v>instagram.com</v>
      </c>
      <c r="C251" t="str">
        <f t="shared" si="48"/>
        <v>CH~SOCIAL_DT~MULTI_PB~IG_FM~STORIES_RT~CPM_PD~VDV_PERFORMANCE_PUKET_INSTAGRAM_STORIES_AZUL_1X1_TG~BHVDEM_TS~NONE_SZ~1X1_DISPLAY_MK~BR_IT~DISPLAY_VV~NONE</v>
      </c>
      <c r="D251" t="str">
        <f t="shared" si="49"/>
        <v>249936835</v>
      </c>
      <c r="E251" t="str">
        <f t="shared" si="50"/>
        <v>Dynamic Click</v>
      </c>
      <c r="F251" t="str">
        <f t="shared" si="51"/>
        <v>CH~SOCIAL_DT~MULTI_PB~IG_FM~STORIES_RT~CPM_PD~VDV_PERFORMANCE_PUKET_INSTAGRAM_STORIES_AZUL_1X1_TG~BHVDEM_TS~NONE_SZ~1X1_DISPLAY_MK~BR_IT~DISPLAY_VV~NONE</v>
      </c>
      <c r="G251" t="str">
        <f t="shared" si="52"/>
        <v>446091848</v>
      </c>
      <c r="H251" t="str">
        <f t="shared" si="53"/>
        <v>Tracking</v>
      </c>
      <c r="I251">
        <f t="shared" si="54"/>
        <v>0</v>
      </c>
      <c r="J251">
        <f t="shared" si="55"/>
        <v>8</v>
      </c>
      <c r="K251" s="4">
        <f t="shared" si="58"/>
        <v>3.5000000000000001E-3</v>
      </c>
      <c r="L251">
        <f t="shared" si="59"/>
        <v>0.02</v>
      </c>
      <c r="M251" s="4">
        <f t="shared" si="56"/>
        <v>2.8000000000000001E-2</v>
      </c>
      <c r="N251" s="4">
        <f t="shared" si="57"/>
        <v>0.16</v>
      </c>
    </row>
    <row r="252" spans="1:14">
      <c r="A252" t="str">
        <f t="shared" si="46"/>
        <v>MK~BR_CN~Vai_de_Visa_MN~NONE_YQ~19Q1Q4_CP~NONE_OB~LDS_PK~NONE</v>
      </c>
      <c r="B252" t="str">
        <f t="shared" si="47"/>
        <v>instagram.com</v>
      </c>
      <c r="C252" t="str">
        <f t="shared" si="48"/>
        <v>CH~SOCIAL_DT~MULTI_PB~IG_FM~STORIES_RT~CPM_PD~VDV_PERFORMANCE_RAPPI_INSTAGRAM_STORIES_1X1_TG~BHVDEM_TS~NONE_SZ~1X1_DISPLAY_MK~BR_IT~DISPLAY_VV~NONE</v>
      </c>
      <c r="D252" t="str">
        <f t="shared" si="49"/>
        <v>251425379</v>
      </c>
      <c r="E252" t="str">
        <f t="shared" si="50"/>
        <v>Dynamic Click</v>
      </c>
      <c r="F252" t="str">
        <f t="shared" si="51"/>
        <v>CH~SOCIAL_DT~MULTI_PB~IG_FM~STORIES_RT~CPM_PD~VDV_PERFORMANCE_RAPPI_INSTAGRAM_STORIES_1X1_TG~BHVDEM_TS~NONE_SZ~1X1_DISPLAY_MK~BR_IT~DISPLAY_VV~NONE</v>
      </c>
      <c r="G252" t="str">
        <f t="shared" si="52"/>
        <v>447908209</v>
      </c>
      <c r="H252" t="str">
        <f t="shared" si="53"/>
        <v>Tracking</v>
      </c>
      <c r="I252">
        <f t="shared" si="54"/>
        <v>0</v>
      </c>
      <c r="J252">
        <f t="shared" si="55"/>
        <v>925</v>
      </c>
      <c r="K252" s="4">
        <f t="shared" si="58"/>
        <v>3.5000000000000001E-3</v>
      </c>
      <c r="L252">
        <f t="shared" si="59"/>
        <v>0.02</v>
      </c>
      <c r="M252" s="4">
        <f t="shared" si="56"/>
        <v>3.2375000000000003</v>
      </c>
      <c r="N252" s="4">
        <f t="shared" si="57"/>
        <v>18.5</v>
      </c>
    </row>
    <row r="253" spans="1:14">
      <c r="A253" t="str">
        <f t="shared" si="46"/>
        <v>MK~BR_CN~Vai_de_Visa_MN~NONE_YQ~19Q1Q4_CP~NONE_OB~LDS_PK~NONE</v>
      </c>
      <c r="B253" t="str">
        <f t="shared" si="47"/>
        <v>instagram.com</v>
      </c>
      <c r="C253" t="str">
        <f t="shared" si="48"/>
        <v>CH~SOCIAL_DT~MULTI_PB~IG_FM~STORIES_RT~CPM_PD~VDV_PERFORMANCE_RENTCARS_INSTAGRAM_STORIES_KV2A_1X1_TG~BHVDEM_TS~NONE_SZ~1X1_DISPLAY_MK~BR_IT~DISPLAY_VV~NONE</v>
      </c>
      <c r="D253" t="str">
        <f t="shared" si="49"/>
        <v>247489390</v>
      </c>
      <c r="E253" t="str">
        <f t="shared" si="50"/>
        <v>Dynamic Click</v>
      </c>
      <c r="F253" t="str">
        <f t="shared" si="51"/>
        <v>CH~SOCIAL_DT~MULTI_PB~IG_FM~STORIES_RT~CPM_PD~VDV_PERFORMANCE_RENTCARS_INSTAGRAM_STORIES_KV2A_1X1_TG~BHVDEM_TS~NONE_SZ~1X1_DISPLAY_MK~BR_IT~DISPLAY_VV~NONE</v>
      </c>
      <c r="G253" t="str">
        <f t="shared" si="52"/>
        <v>443818328</v>
      </c>
      <c r="H253" t="str">
        <f t="shared" si="53"/>
        <v>Tracking</v>
      </c>
      <c r="I253">
        <f t="shared" si="54"/>
        <v>0</v>
      </c>
      <c r="J253">
        <f t="shared" si="55"/>
        <v>1</v>
      </c>
      <c r="K253" s="4">
        <f t="shared" si="58"/>
        <v>3.5000000000000001E-3</v>
      </c>
      <c r="L253">
        <f t="shared" si="59"/>
        <v>0.02</v>
      </c>
      <c r="M253" s="4">
        <f t="shared" si="56"/>
        <v>3.5000000000000001E-3</v>
      </c>
      <c r="N253" s="4">
        <f t="shared" si="57"/>
        <v>0.02</v>
      </c>
    </row>
    <row r="254" spans="1:14">
      <c r="A254" t="str">
        <f t="shared" si="46"/>
        <v>MK~BR_CN~Vai_de_Visa_MN~NONE_YQ~19Q1Q4_CP~NONE_OB~LDS_PK~NONE</v>
      </c>
      <c r="B254" t="str">
        <f t="shared" si="47"/>
        <v>instagram.com</v>
      </c>
      <c r="C254" t="str">
        <f t="shared" si="48"/>
        <v>CH~SOCIAL_DT~MULTI_PB~IG_FM~STORIES_RT~CPM_PD~VDV_PROMONACIONAL_PERFORMANCE_STORIES_INSTAGRAM_CAMPING_CADASTRE-SE_1X1_TG~BHVDEM_TS~NONE_SZ~1X1_DISPLAY_MK~BR_IT~DISPLAY_VV~NONE</v>
      </c>
      <c r="D254" t="str">
        <f t="shared" si="49"/>
        <v>251011290</v>
      </c>
      <c r="E254" t="str">
        <f t="shared" si="50"/>
        <v>Dynamic Click</v>
      </c>
      <c r="F254" t="str">
        <f t="shared" si="51"/>
        <v>CH~SOCIAL_DT~MULTI_PB~IG_FM~STORIES_RT~CPM_PD~VDV_PROMONACIONAL_PERFORMANCE_STORIES_INSTAGRAM_CAMPING_CADASTRE-SE_1X1_TG~BHVDEM_TS~NONE_SZ~1X1_DISPLAY_MK~BR_IT~DISPLAY_VV~NONE</v>
      </c>
      <c r="G254" t="str">
        <f t="shared" si="52"/>
        <v>447051944</v>
      </c>
      <c r="H254" t="str">
        <f t="shared" si="53"/>
        <v>Tracking</v>
      </c>
      <c r="I254">
        <f t="shared" si="54"/>
        <v>0</v>
      </c>
      <c r="J254">
        <f t="shared" si="55"/>
        <v>298</v>
      </c>
      <c r="K254" s="4">
        <f t="shared" si="58"/>
        <v>3.5000000000000001E-3</v>
      </c>
      <c r="L254">
        <f t="shared" si="59"/>
        <v>0.02</v>
      </c>
      <c r="M254" s="4">
        <f t="shared" si="56"/>
        <v>1.0429999999999999</v>
      </c>
      <c r="N254" s="4">
        <f t="shared" si="57"/>
        <v>5.96</v>
      </c>
    </row>
    <row r="255" spans="1:14">
      <c r="A255" t="str">
        <f t="shared" si="46"/>
        <v>MK~BR_CN~Vai_de_Visa_MN~NONE_YQ~19Q1Q4_CP~NONE_OB~LDS_PK~NONE</v>
      </c>
      <c r="B255" t="str">
        <f t="shared" si="47"/>
        <v>instagram.com</v>
      </c>
      <c r="C255" t="str">
        <f t="shared" si="48"/>
        <v>CH~SOCIAL_DT~MULTI_PB~IG_FM~STORIES_RT~CPM_PD~VDV_PROMONACIONAL_PERFORMANCE_STORIES_INSTAGRAM_CAMPING_PARTICIPE_1X1_TG~BHVDEM_TS~NONE_SZ~1X1_DISPLAY_MK~BR_IT~DISPLAY_VV~NONE</v>
      </c>
      <c r="D255" t="str">
        <f t="shared" si="49"/>
        <v>251011284</v>
      </c>
      <c r="E255" t="str">
        <f t="shared" si="50"/>
        <v>Dynamic Click</v>
      </c>
      <c r="F255" t="str">
        <f t="shared" si="51"/>
        <v>CH~SOCIAL_DT~MULTI_PB~IG_FM~STORIES_RT~CPM_PD~VDV_PROMONACIONAL_PERFORMANCE_STORIES_INSTAGRAM_CAMPING_PARTICIPE_1X1_TG~BHVDEM_TS~NONE_SZ~1X1_DISPLAY_MK~BR_IT~DISPLAY_VV~NONE</v>
      </c>
      <c r="G255" t="str">
        <f t="shared" si="52"/>
        <v>447051938</v>
      </c>
      <c r="H255" t="str">
        <f t="shared" si="53"/>
        <v>Tracking</v>
      </c>
      <c r="I255">
        <f t="shared" si="54"/>
        <v>0</v>
      </c>
      <c r="J255">
        <f t="shared" si="55"/>
        <v>195</v>
      </c>
      <c r="K255" s="4">
        <f t="shared" si="58"/>
        <v>3.5000000000000001E-3</v>
      </c>
      <c r="L255">
        <f t="shared" si="59"/>
        <v>0.02</v>
      </c>
      <c r="M255" s="4">
        <f t="shared" si="56"/>
        <v>0.6825</v>
      </c>
      <c r="N255" s="4">
        <f t="shared" si="57"/>
        <v>3.9</v>
      </c>
    </row>
    <row r="256" spans="1:14">
      <c r="A256" t="str">
        <f t="shared" si="46"/>
        <v>MK~BR_CN~Vai_de_Visa_MN~NONE_YQ~19Q1Q4_CP~NONE_OB~LDS_PK~NONE</v>
      </c>
      <c r="B256" t="str">
        <f t="shared" si="47"/>
        <v>instagram.com</v>
      </c>
      <c r="C256" t="str">
        <f t="shared" si="48"/>
        <v>CH~SOCIAL_DT~MULTI_PB~IG_FM~STORIES_RT~CPM_PD~VDV_PROMONACIONAL_PERFORMANCE_STORIES_INSTAGRAM_PRAIA_CADASTRE-SE_1X1_TG~BHVDEM_TS~NONE_SZ~1X1_DISPLAY_MK~BR_IT~DISPLAY_VV~NONE</v>
      </c>
      <c r="D256" t="str">
        <f t="shared" si="49"/>
        <v>251011269</v>
      </c>
      <c r="E256" t="str">
        <f t="shared" si="50"/>
        <v>Dynamic Click</v>
      </c>
      <c r="F256" t="str">
        <f t="shared" si="51"/>
        <v>CH~SOCIAL_DT~MULTI_PB~IG_FM~STORIES_RT~CPM_PD~VDV_PROMONACIONAL_PERFORMANCE_STORIES_INSTAGRAM_PRAIA_CADASTRE-SE_1X1_TG~BHVDEM_TS~NONE_SZ~1X1_DISPLAY_MK~BR_IT~DISPLAY_VV~NONE</v>
      </c>
      <c r="G256" t="str">
        <f t="shared" si="52"/>
        <v>447051923</v>
      </c>
      <c r="H256" t="str">
        <f t="shared" si="53"/>
        <v>Tracking</v>
      </c>
      <c r="I256">
        <f t="shared" si="54"/>
        <v>0</v>
      </c>
      <c r="J256">
        <f t="shared" si="55"/>
        <v>4859</v>
      </c>
      <c r="K256" s="4">
        <f t="shared" si="58"/>
        <v>3.5000000000000001E-3</v>
      </c>
      <c r="L256">
        <f t="shared" si="59"/>
        <v>0.02</v>
      </c>
      <c r="M256" s="4">
        <f t="shared" si="56"/>
        <v>17.006499999999999</v>
      </c>
      <c r="N256" s="4">
        <f t="shared" si="57"/>
        <v>97.18</v>
      </c>
    </row>
    <row r="257" spans="1:14">
      <c r="A257" t="str">
        <f t="shared" si="46"/>
        <v>MK~BR_CN~Vai_de_Visa_MN~NONE_YQ~19Q1Q4_CP~NONE_OB~LDS_PK~NONE</v>
      </c>
      <c r="B257" t="str">
        <f t="shared" si="47"/>
        <v>instagram.com</v>
      </c>
      <c r="C257" t="str">
        <f t="shared" si="48"/>
        <v>CH~SOCIAL_DT~MULTI_PB~IG_FM~STORIES_RT~CPM_PD~VDV_PROMONACIONAL_PERFORMANCE_STORIES_INSTAGRAM_PRAIA_PARTICIPE_1X1_TG~BHVDEM_TS~NONE_SZ~1X1_DISPLAY_MK~BR_IT~DISPLAY_VV~NONE</v>
      </c>
      <c r="D257" t="str">
        <f t="shared" si="49"/>
        <v>251011266</v>
      </c>
      <c r="E257" t="str">
        <f t="shared" si="50"/>
        <v>Dynamic Click</v>
      </c>
      <c r="F257" t="str">
        <f t="shared" si="51"/>
        <v>CH~SOCIAL_DT~MULTI_PB~IG_FM~STORIES_RT~CPM_PD~VDV_PROMONACIONAL_PERFORMANCE_STORIES_INSTAGRAM_PRAIA_PARTICIPE_1X1_TG~BHVDEM_TS~NONE_SZ~1X1_DISPLAY_MK~BR_IT~DISPLAY_VV~NONE</v>
      </c>
      <c r="G257" t="str">
        <f t="shared" si="52"/>
        <v>447051920</v>
      </c>
      <c r="H257" t="str">
        <f t="shared" si="53"/>
        <v>Tracking</v>
      </c>
      <c r="I257">
        <f t="shared" si="54"/>
        <v>0</v>
      </c>
      <c r="J257">
        <f t="shared" si="55"/>
        <v>1313</v>
      </c>
      <c r="K257" s="4">
        <f t="shared" si="58"/>
        <v>3.5000000000000001E-3</v>
      </c>
      <c r="L257">
        <f t="shared" si="59"/>
        <v>0.02</v>
      </c>
      <c r="M257" s="4">
        <f t="shared" si="56"/>
        <v>4.5955000000000004</v>
      </c>
      <c r="N257" s="4">
        <f t="shared" si="57"/>
        <v>26.26</v>
      </c>
    </row>
    <row r="258" spans="1:14">
      <c r="A258" t="str">
        <f t="shared" ref="A258:A321" si="60">bd_campaign</f>
        <v>MK~LM_CN~AFFLUENT_MN~NONE_YQ~19Q1Q4_CP~PO5020004141-9_OB~TRAFFIC_PK~NONE</v>
      </c>
      <c r="B258" t="str">
        <f t="shared" ref="B258:B321" si="61">bd_site</f>
        <v>Facebook</v>
      </c>
      <c r="C258" t="str">
        <f t="shared" ref="C258:C321" si="62">bd_placement</f>
        <v>CH~SOCIAL_DT~MULTI_PB~FCBK_FM~CARROSSEL_RT~CPM_PD~AFFLUENT_AWARENESS_CARROSSEL_DNA_DINING_1X1_TG~BHVDEM_TS~NONE_SZ~1X1_SOCIAL_MK~BR_IT~SOCIAL_VV~NONE</v>
      </c>
      <c r="D258" t="str">
        <f t="shared" ref="D258:D321" si="63">bd_placementID</f>
        <v>249763773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CH~SOCIAL_DT~MULTI_PB~FCBK_FM~CARROSSEL_RT~CPM_PD~AFFLUENT_AWARENESS_CARROSSEL_DNA_DINING_1X1_TG~BHVDEM_TS~NONE_SZ~1X1_SOCIAL_MK~BR_IT~SOCIAL_VV~NONE</v>
      </c>
      <c r="G258" t="str">
        <f t="shared" ref="G258:G321" si="66">bd_adid</f>
        <v>445749618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3714</v>
      </c>
      <c r="K258" s="4">
        <f t="shared" si="58"/>
        <v>3.5000000000000001E-3</v>
      </c>
      <c r="L258">
        <f t="shared" si="59"/>
        <v>0.02</v>
      </c>
      <c r="M258" s="4">
        <f t="shared" si="56"/>
        <v>12.999000000000001</v>
      </c>
      <c r="N258" s="4">
        <f t="shared" si="57"/>
        <v>74.28</v>
      </c>
    </row>
    <row r="259" spans="1:14">
      <c r="A259" t="str">
        <f t="shared" si="60"/>
        <v>MK~LM_CN~AFFLUENT_MN~NONE_YQ~19Q1Q4_CP~PO5020004141-9_OB~TRAFFIC_PK~NONE</v>
      </c>
      <c r="B259" t="str">
        <f t="shared" si="61"/>
        <v>Facebook</v>
      </c>
      <c r="C259" t="str">
        <f t="shared" si="62"/>
        <v>CH~SOCIAL_DT~MULTI_PB~FCBK_FM~CARROSSEL_RT~CPM_PD~AFFLUENT_AWARENESS_CARROSSEL_DNA_TRAVEL_1X1_TG~BHVDEM_TS~NONE_SZ~1X1_SOCIAL_MK~BR_IT~SOCIAL_VV~NONE</v>
      </c>
      <c r="D259" t="str">
        <f t="shared" si="63"/>
        <v>249766188</v>
      </c>
      <c r="E259" t="str">
        <f t="shared" si="64"/>
        <v>Dynamic Click</v>
      </c>
      <c r="F259" t="str">
        <f t="shared" si="65"/>
        <v>CH~SOCIAL_DT~MULTI_PB~FCBK_FM~CARROSSEL_RT~CPM_PD~AFFLUENT_AWARENESS_CARROSSEL_DNA_TRAVEL_1X1_TG~BHVDEM_TS~NONE_SZ~1X1_SOCIAL_MK~BR_IT~SOCIAL_VV~NONE</v>
      </c>
      <c r="G259" t="str">
        <f t="shared" si="66"/>
        <v>445830668</v>
      </c>
      <c r="H259" t="str">
        <f t="shared" si="67"/>
        <v>Tracking</v>
      </c>
      <c r="I259">
        <f t="shared" si="68"/>
        <v>0</v>
      </c>
      <c r="J259">
        <f t="shared" si="69"/>
        <v>8910</v>
      </c>
      <c r="K259" s="4">
        <f t="shared" si="58"/>
        <v>3.5000000000000001E-3</v>
      </c>
      <c r="L259">
        <f t="shared" si="59"/>
        <v>0.02</v>
      </c>
      <c r="M259" s="4">
        <f t="shared" si="56"/>
        <v>31.185000000000002</v>
      </c>
      <c r="N259" s="4">
        <f t="shared" si="57"/>
        <v>178.20000000000002</v>
      </c>
    </row>
    <row r="260" spans="1:14">
      <c r="A260" t="str">
        <f t="shared" si="60"/>
        <v>MK~LM_CN~AFFLUENT_MN~NONE_YQ~19Q1Q4_CP~PO5020004141-9_OB~TRAFFIC_PK~NONE</v>
      </c>
      <c r="B260" t="str">
        <f t="shared" si="61"/>
        <v>Facebook</v>
      </c>
      <c r="C260" t="str">
        <f t="shared" si="62"/>
        <v>CH~SOCIAL_DT~MULTI_PB~FCBK_FM~CARROSSEL_RT~CPM_PD~AFFLUENT_DINNING_DIGITAL_CONCIERGE_FACEBOOK_CARROSSEL_1X1_TG~BHVDEM_TS~NONE_SZ~1X1_SOCIAL_MK~BR_IT~SOCIAL_VV~NONE</v>
      </c>
      <c r="D260" t="str">
        <f t="shared" si="63"/>
        <v>252164912</v>
      </c>
      <c r="E260" t="str">
        <f t="shared" si="64"/>
        <v>Dynamic Click</v>
      </c>
      <c r="F260" t="str">
        <f t="shared" si="65"/>
        <v>CH~SOCIAL_DT~MULTI_PB~FCBK_FM~CARROSSEL_RT~CPM_PD~AFFLUENT_DINNING_DIGITAL_CONCIERGE_FACEBOOK_CARROSSEL_1X1_TG~BHVDEM_TS~NONE_SZ~1X1_SOCIAL_MK~BR_IT~SOCIAL_VV~NONE</v>
      </c>
      <c r="G260" t="str">
        <f t="shared" si="66"/>
        <v>448564919</v>
      </c>
      <c r="H260" t="str">
        <f t="shared" si="67"/>
        <v>Tracking</v>
      </c>
      <c r="I260">
        <f t="shared" si="68"/>
        <v>0</v>
      </c>
      <c r="J260">
        <f t="shared" si="69"/>
        <v>1</v>
      </c>
      <c r="K260" s="4">
        <f t="shared" si="58"/>
        <v>3.5000000000000001E-3</v>
      </c>
      <c r="L260">
        <f t="shared" si="59"/>
        <v>0.02</v>
      </c>
      <c r="M260" s="4">
        <f t="shared" si="56"/>
        <v>3.5000000000000001E-3</v>
      </c>
      <c r="N260" s="4">
        <f t="shared" si="57"/>
        <v>0.02</v>
      </c>
    </row>
    <row r="261" spans="1:14">
      <c r="A261" t="str">
        <f t="shared" si="60"/>
        <v>MK~LM_CN~AFFLUENT_MN~NONE_YQ~19Q1Q4_CP~PO5020004141-9_OB~TRAFFIC_PK~NONE</v>
      </c>
      <c r="B261" t="str">
        <f t="shared" si="61"/>
        <v>Facebook</v>
      </c>
      <c r="C261" t="str">
        <f t="shared" si="62"/>
        <v>CH~SOCIAL_DT~MULTI_PB~FCBK_FM~CARROSSEL_RT~CPM_PD~AFFLUENT_MALLS_FACEBOOK_CARROSSEL_CIDADEJARDIM_1X1_TG~BHVDEM_TS~NONE_SZ~1X1_SOCIAL_MK~BR_IT~SOCIAL_VV~NONE</v>
      </c>
      <c r="D261" t="str">
        <f t="shared" si="63"/>
        <v>247404645</v>
      </c>
      <c r="E261" t="str">
        <f t="shared" si="64"/>
        <v>Dynamic Click</v>
      </c>
      <c r="F261" t="str">
        <f t="shared" si="65"/>
        <v>CH~SOCIAL_DT~MULTI_PB~FCBK_FM~CARROSSEL_RT~CPM_PD~AFFLUENT_MALLS_FACEBOOK_CARROSSEL_CIDADEJARDIM_1X1_TG~BHVDEM_TS~NONE_SZ~1X1_SOCIAL_MK~BR_IT~SOCIAL_VV~NONE</v>
      </c>
      <c r="G261" t="str">
        <f t="shared" si="66"/>
        <v>443634464</v>
      </c>
      <c r="H261" t="str">
        <f t="shared" si="67"/>
        <v>Tracking</v>
      </c>
      <c r="I261">
        <f t="shared" si="68"/>
        <v>0</v>
      </c>
      <c r="J261">
        <f t="shared" si="69"/>
        <v>4</v>
      </c>
      <c r="K261" s="4">
        <f t="shared" si="58"/>
        <v>3.5000000000000001E-3</v>
      </c>
      <c r="L261">
        <f t="shared" si="59"/>
        <v>0.02</v>
      </c>
      <c r="M261" s="4">
        <f t="shared" si="56"/>
        <v>1.4E-2</v>
      </c>
      <c r="N261" s="4">
        <f t="shared" si="57"/>
        <v>0.08</v>
      </c>
    </row>
    <row r="262" spans="1:14">
      <c r="A262" t="str">
        <f t="shared" si="60"/>
        <v>MK~LM_CN~AFFLUENT_MN~NONE_YQ~19Q1Q4_CP~PO5020004141-9_OB~TRAFFIC_PK~NONE</v>
      </c>
      <c r="B262" t="str">
        <f t="shared" si="61"/>
        <v>Facebook</v>
      </c>
      <c r="C262" t="str">
        <f t="shared" si="62"/>
        <v>CH~SOCIAL_DT~MULTI_PB~FCBK_FM~CARROSSEL_RT~CPM_PD~AFFLUENT_MALLS_FACEBOOK_CARROSSEL_DESIGNBARRA_1X1_TG~BHVDEM_TS~NONE_SZ~1X1_SOCIAL_MK~BR_IT~SOCIAL_VV~NONE</v>
      </c>
      <c r="D262" t="str">
        <f t="shared" si="63"/>
        <v>247259992</v>
      </c>
      <c r="E262" t="str">
        <f t="shared" si="64"/>
        <v>Dynamic Click</v>
      </c>
      <c r="F262" t="str">
        <f t="shared" si="65"/>
        <v>CH~SOCIAL_DT~MULTI_PB~FCBK_FM~CARROSSEL_RT~CPM_PD~AFFLUENT_MALLS_FACEBOOK_CARROSSEL_DESIGNBARRA_1X1_TG~BHVDEM_TS~NONE_SZ~1X1_SOCIAL_MK~BR_IT~SOCIAL_VV~NONE</v>
      </c>
      <c r="G262" t="str">
        <f t="shared" si="66"/>
        <v>443634488</v>
      </c>
      <c r="H262" t="str">
        <f t="shared" si="67"/>
        <v>Tracking</v>
      </c>
      <c r="I262">
        <f t="shared" si="68"/>
        <v>0</v>
      </c>
      <c r="J262">
        <f t="shared" si="69"/>
        <v>1</v>
      </c>
      <c r="K262" s="4">
        <f t="shared" si="58"/>
        <v>3.5000000000000001E-3</v>
      </c>
      <c r="L262">
        <f t="shared" si="59"/>
        <v>0.02</v>
      </c>
      <c r="M262" s="4">
        <f t="shared" si="56"/>
        <v>3.5000000000000001E-3</v>
      </c>
      <c r="N262" s="4">
        <f t="shared" si="57"/>
        <v>0.02</v>
      </c>
    </row>
    <row r="263" spans="1:14">
      <c r="A263" t="str">
        <f t="shared" si="60"/>
        <v>MK~LM_CN~AFFLUENT_MN~NONE_YQ~19Q1Q4_CP~PO5020004141-9_OB~TRAFFIC_PK~NONE</v>
      </c>
      <c r="B263" t="str">
        <f t="shared" si="61"/>
        <v>Facebook</v>
      </c>
      <c r="C263" t="str">
        <f t="shared" si="62"/>
        <v>CH~SOCIAL_DT~MULTI_PB~FCBK_FM~CARROSSEL_RT~CPM_PD~AFFLUENT_MALLS_FACEBOOK_CARROSSEL_DESIGNLEBLON_1X1_TG~BHVDEM_TS~NONE_SZ~1X1_SOCIAL_MK~BR_IT~SOCIAL_VV~NONE</v>
      </c>
      <c r="D263" t="str">
        <f t="shared" si="63"/>
        <v>246991505</v>
      </c>
      <c r="E263" t="str">
        <f t="shared" si="64"/>
        <v>Dynamic Click</v>
      </c>
      <c r="F263" t="str">
        <f t="shared" si="65"/>
        <v>CH~SOCIAL_DT~MULTI_PB~FCBK_FM~CARROSSEL_RT~CPM_PD~AFFLUENT_MALLS_FACEBOOK_CARROSSEL_DESIGNLEBLON_1X1_TG~BHVDEM_TS~NONE_SZ~1X1_SOCIAL_MK~BR_IT~SOCIAL_VV~NONE</v>
      </c>
      <c r="G263" t="str">
        <f t="shared" si="66"/>
        <v>443476887</v>
      </c>
      <c r="H263" t="str">
        <f t="shared" si="67"/>
        <v>Tracking</v>
      </c>
      <c r="I263">
        <f t="shared" si="68"/>
        <v>0</v>
      </c>
      <c r="J263">
        <f t="shared" si="69"/>
        <v>4</v>
      </c>
      <c r="K263" s="4">
        <f t="shared" si="58"/>
        <v>3.5000000000000001E-3</v>
      </c>
      <c r="L263">
        <f t="shared" si="59"/>
        <v>0.02</v>
      </c>
      <c r="M263" s="4">
        <f t="shared" si="56"/>
        <v>1.4E-2</v>
      </c>
      <c r="N263" s="4">
        <f t="shared" si="57"/>
        <v>0.08</v>
      </c>
    </row>
    <row r="264" spans="1:14">
      <c r="A264" t="str">
        <f t="shared" si="60"/>
        <v>MK~LM_CN~AFFLUENT_MN~NONE_YQ~19Q1Q4_CP~PO5020004141-9_OB~TRAFFIC_PK~NONE</v>
      </c>
      <c r="B264" t="str">
        <f t="shared" si="61"/>
        <v>Facebook</v>
      </c>
      <c r="C264" t="str">
        <f t="shared" si="62"/>
        <v>CH~SOCIAL_DT~MULTI_PB~FCBK_FM~CARROSSEL_RT~CPM_PD~AFFLUENT_MALLS_FACEBOOK_CARROSSEL_IGUATEMIBSB_1X1_TG~BHVDEM_TS~NONE_SZ~1X1_SOCIAL_MK~BR_IT~SOCIAL_VV~NONE</v>
      </c>
      <c r="D264" t="str">
        <f t="shared" si="63"/>
        <v>247259989</v>
      </c>
      <c r="E264" t="str">
        <f t="shared" si="64"/>
        <v>Dynamic Click</v>
      </c>
      <c r="F264" t="str">
        <f t="shared" si="65"/>
        <v>CH~SOCIAL_DT~MULTI_PB~FCBK_FM~CARROSSEL_RT~CPM_PD~AFFLUENT_MALLS_FACEBOOK_CARROSSEL_IGUATEMIBSB_1X1_TG~BHVDEM_TS~NONE_SZ~1X1_SOCIAL_MK~BR_IT~SOCIAL_VV~NONE</v>
      </c>
      <c r="G264" t="str">
        <f t="shared" si="66"/>
        <v>443634485</v>
      </c>
      <c r="H264" t="str">
        <f t="shared" si="67"/>
        <v>Tracking</v>
      </c>
      <c r="I264">
        <f t="shared" si="68"/>
        <v>0</v>
      </c>
      <c r="J264">
        <f t="shared" si="69"/>
        <v>1</v>
      </c>
      <c r="K264" s="4">
        <f t="shared" si="58"/>
        <v>3.5000000000000001E-3</v>
      </c>
      <c r="L264">
        <f t="shared" si="59"/>
        <v>0.02</v>
      </c>
      <c r="M264" s="4">
        <f t="shared" si="56"/>
        <v>3.5000000000000001E-3</v>
      </c>
      <c r="N264" s="4">
        <f t="shared" si="57"/>
        <v>0.02</v>
      </c>
    </row>
    <row r="265" spans="1:14">
      <c r="A265" t="str">
        <f t="shared" si="60"/>
        <v>MK~LM_CN~AFFLUENT_MN~NONE_YQ~19Q1Q4_CP~PO5020004141-9_OB~TRAFFIC_PK~NONE</v>
      </c>
      <c r="B265" t="str">
        <f t="shared" si="61"/>
        <v>Facebook</v>
      </c>
      <c r="C265" t="str">
        <f t="shared" si="62"/>
        <v>CH~SOCIAL_DT~MULTI_PB~FCBK_FM~CARROSSEL_RT~CPM_PD~AFFLUENT_MALLS_FACEBOOK_CARROSSEL_IGUATEMISP_1X1_TG~BHVDEM_TS~NONE_SZ~1X1_SOCIAL_MK~BR_IT~SOCIAL_VV~NONE</v>
      </c>
      <c r="D265" t="str">
        <f t="shared" si="63"/>
        <v>247404633</v>
      </c>
      <c r="E265" t="str">
        <f t="shared" si="64"/>
        <v>Dynamic Click</v>
      </c>
      <c r="F265" t="str">
        <f t="shared" si="65"/>
        <v>CH~SOCIAL_DT~MULTI_PB~FCBK_FM~CARROSSEL_RT~CPM_PD~AFFLUENT_MALLS_FACEBOOK_CARROSSEL_IGUATEMISP_1X1_TG~BHVDEM_TS~NONE_SZ~1X1_SOCIAL_MK~BR_IT~SOCIAL_VV~NONE</v>
      </c>
      <c r="G265" t="str">
        <f t="shared" si="66"/>
        <v>443634452</v>
      </c>
      <c r="H265" t="str">
        <f t="shared" si="67"/>
        <v>Tracking</v>
      </c>
      <c r="I265">
        <f t="shared" si="68"/>
        <v>0</v>
      </c>
      <c r="J265">
        <f t="shared" si="69"/>
        <v>1</v>
      </c>
      <c r="K265" s="4">
        <f t="shared" si="58"/>
        <v>3.5000000000000001E-3</v>
      </c>
      <c r="L265">
        <f t="shared" si="59"/>
        <v>0.02</v>
      </c>
      <c r="M265" s="4">
        <f t="shared" si="56"/>
        <v>3.5000000000000001E-3</v>
      </c>
      <c r="N265" s="4">
        <f t="shared" si="57"/>
        <v>0.02</v>
      </c>
    </row>
    <row r="266" spans="1:14">
      <c r="A266" t="str">
        <f t="shared" si="60"/>
        <v>MK~LM_CN~AFFLUENT_MN~NONE_YQ~19Q1Q4_CP~PO5020004141-9_OB~TRAFFIC_PK~NONE</v>
      </c>
      <c r="B266" t="str">
        <f t="shared" si="61"/>
        <v>Facebook</v>
      </c>
      <c r="C266" t="str">
        <f t="shared" si="62"/>
        <v>CH~SOCIAL_DT~MULTI_PB~FCBK_FM~CARROSSEL_RT~CPM_PD~AFFLUENT_MALLS_FACEBOOK_CARROSSEL_PATIOHIGIENOPOLIS_1X1_TG~BHVDEM_TS~NONE_SZ~1X1_SOCIAL_MK~BR_IT~SOCIAL_VV~NONE</v>
      </c>
      <c r="D266" t="str">
        <f t="shared" si="63"/>
        <v>247404621</v>
      </c>
      <c r="E266" t="str">
        <f t="shared" si="64"/>
        <v>Dynamic Click</v>
      </c>
      <c r="F266" t="str">
        <f t="shared" si="65"/>
        <v>CH~SOCIAL_DT~MULTI_PB~FCBK_FM~CARROSSEL_RT~CPM_PD~AFFLUENT_MALLS_FACEBOOK_CARROSSEL_PATIOHIGIENOPOLIS_1X1_TG~BHVDEM_TS~NONE_SZ~1X1_SOCIAL_MK~BR_IT~SOCIAL_VV~NONE</v>
      </c>
      <c r="G266" t="str">
        <f t="shared" si="66"/>
        <v>443634440</v>
      </c>
      <c r="H266" t="str">
        <f t="shared" si="67"/>
        <v>Tracking</v>
      </c>
      <c r="I266">
        <f t="shared" si="68"/>
        <v>0</v>
      </c>
      <c r="J266">
        <f t="shared" si="69"/>
        <v>1</v>
      </c>
      <c r="K266" s="4">
        <f t="shared" si="58"/>
        <v>3.5000000000000001E-3</v>
      </c>
      <c r="L266">
        <f t="shared" si="59"/>
        <v>0.02</v>
      </c>
      <c r="M266" s="4">
        <f t="shared" si="56"/>
        <v>3.5000000000000001E-3</v>
      </c>
      <c r="N266" s="4">
        <f t="shared" si="57"/>
        <v>0.02</v>
      </c>
    </row>
    <row r="267" spans="1:14">
      <c r="A267" t="str">
        <f t="shared" si="60"/>
        <v>MK~LM_CN~AFFLUENT_MN~NONE_YQ~19Q1Q4_CP~PO5020004141-9_OB~TRAFFIC_PK~NONE</v>
      </c>
      <c r="B267" t="str">
        <f t="shared" si="61"/>
        <v>Facebook</v>
      </c>
      <c r="C267" t="str">
        <f t="shared" si="62"/>
        <v>CH~SOCIAL_DT~MULTI_PB~FCBK_FM~GIF_RT~CPM_PD~AFFLUENT_MALLS_FACEBOOK_GIF_CIDADEJARDIM_1X1_TG~BHVDEM_TS~NONE_SZ~1X1_SOCIAL_MK~BR_IT~SOCIAL_VV~NONE</v>
      </c>
      <c r="D267" t="str">
        <f t="shared" si="63"/>
        <v>247404639</v>
      </c>
      <c r="E267" t="str">
        <f t="shared" si="64"/>
        <v>Dynamic Click</v>
      </c>
      <c r="F267" t="str">
        <f t="shared" si="65"/>
        <v>CH~SOCIAL_DT~MULTI_PB~FCBK_FM~GIF_RT~CPM_PD~AFFLUENT_MALLS_FACEBOOK_GIF_CIDADEJARDIM_1X1_TG~BHVDEM_TS~NONE_SZ~1X1_SOCIAL_MK~BR_IT~SOCIAL_VV~NONE</v>
      </c>
      <c r="G267" t="str">
        <f t="shared" si="66"/>
        <v>443634458</v>
      </c>
      <c r="H267" t="str">
        <f t="shared" si="67"/>
        <v>Tracking</v>
      </c>
      <c r="I267">
        <f t="shared" si="68"/>
        <v>0</v>
      </c>
      <c r="J267">
        <f t="shared" si="69"/>
        <v>53</v>
      </c>
      <c r="K267" s="4">
        <f t="shared" si="58"/>
        <v>3.5000000000000001E-3</v>
      </c>
      <c r="L267">
        <f t="shared" si="59"/>
        <v>0.02</v>
      </c>
      <c r="M267" s="4">
        <f t="shared" si="56"/>
        <v>0.1855</v>
      </c>
      <c r="N267" s="4">
        <f t="shared" si="57"/>
        <v>1.06</v>
      </c>
    </row>
    <row r="268" spans="1:14">
      <c r="A268" t="str">
        <f t="shared" si="60"/>
        <v>MK~LM_CN~AFFLUENT_MN~NONE_YQ~19Q1Q4_CP~PO5020004141-9_OB~TRAFFIC_PK~NONE</v>
      </c>
      <c r="B268" t="str">
        <f t="shared" si="61"/>
        <v>Facebook</v>
      </c>
      <c r="C268" t="str">
        <f t="shared" si="62"/>
        <v>CH~SOCIAL_DT~MULTI_PB~FCBK_FM~GIF_RT~CPM_PD~AFFLUENT_MALLS_FACEBOOK_GIF_DESIGNBARRA_1X1_TG~BHVDEM_TS~NONE_SZ~1X1_SOCIAL_MK~BR_IT~SOCIAL_VV~NONE</v>
      </c>
      <c r="D268" t="str">
        <f t="shared" si="63"/>
        <v>247259980</v>
      </c>
      <c r="E268" t="str">
        <f t="shared" si="64"/>
        <v>Dynamic Click</v>
      </c>
      <c r="F268" t="str">
        <f t="shared" si="65"/>
        <v>CH~SOCIAL_DT~MULTI_PB~FCBK_FM~GIF_RT~CPM_PD~AFFLUENT_MALLS_FACEBOOK_GIF_DESIGNBARRA_1X1_TG~BHVDEM_TS~NONE_SZ~1X1_SOCIAL_MK~BR_IT~SOCIAL_VV~NONE</v>
      </c>
      <c r="G268" t="str">
        <f t="shared" si="66"/>
        <v>443634476</v>
      </c>
      <c r="H268" t="str">
        <f t="shared" si="67"/>
        <v>Tracking</v>
      </c>
      <c r="I268">
        <f t="shared" si="68"/>
        <v>0</v>
      </c>
      <c r="J268">
        <f t="shared" si="69"/>
        <v>35</v>
      </c>
      <c r="K268" s="4">
        <f t="shared" si="58"/>
        <v>3.5000000000000001E-3</v>
      </c>
      <c r="L268">
        <f t="shared" si="59"/>
        <v>0.02</v>
      </c>
      <c r="M268" s="4">
        <f t="shared" si="56"/>
        <v>0.1225</v>
      </c>
      <c r="N268" s="4">
        <f t="shared" si="57"/>
        <v>0.70000000000000007</v>
      </c>
    </row>
    <row r="269" spans="1:14">
      <c r="A269" t="str">
        <f t="shared" si="60"/>
        <v>MK~LM_CN~AFFLUENT_MN~NONE_YQ~19Q1Q4_CP~PO5020004141-9_OB~TRAFFIC_PK~NONE</v>
      </c>
      <c r="B269" t="str">
        <f t="shared" si="61"/>
        <v>Facebook</v>
      </c>
      <c r="C269" t="str">
        <f t="shared" si="62"/>
        <v>CH~SOCIAL_DT~MULTI_PB~FCBK_FM~GIF_RT~CPM_PD~AFFLUENT_MALLS_FACEBOOK_GIF_DESIGNLEBLON_1X1_TG~BHVDEM_TS~NONE_SZ~1X1_SOCIAL_MK~BR_IT~SOCIAL_VV~NONE</v>
      </c>
      <c r="D269" t="str">
        <f t="shared" si="63"/>
        <v>246991499</v>
      </c>
      <c r="E269" t="str">
        <f t="shared" si="64"/>
        <v>Dynamic Click</v>
      </c>
      <c r="F269" t="str">
        <f t="shared" si="65"/>
        <v>CH~SOCIAL_DT~MULTI_PB~FCBK_FM~GIF_RT~CPM_PD~AFFLUENT_MALLS_FACEBOOK_GIF_DESIGNLEBLON_1X1_TG~BHVDEM_TS~NONE_SZ~1X1_SOCIAL_MK~BR_IT~SOCIAL_VV~NONE</v>
      </c>
      <c r="G269" t="str">
        <f t="shared" si="66"/>
        <v>443476875</v>
      </c>
      <c r="H269" t="str">
        <f t="shared" si="67"/>
        <v>Tracking</v>
      </c>
      <c r="I269">
        <f t="shared" si="68"/>
        <v>0</v>
      </c>
      <c r="J269">
        <f t="shared" si="69"/>
        <v>8</v>
      </c>
      <c r="K269" s="4">
        <f t="shared" si="58"/>
        <v>3.5000000000000001E-3</v>
      </c>
      <c r="L269">
        <f t="shared" si="59"/>
        <v>0.02</v>
      </c>
      <c r="M269" s="4">
        <f t="shared" si="56"/>
        <v>2.8000000000000001E-2</v>
      </c>
      <c r="N269" s="4">
        <f t="shared" si="57"/>
        <v>0.16</v>
      </c>
    </row>
    <row r="270" spans="1:14">
      <c r="A270" t="str">
        <f t="shared" si="60"/>
        <v>MK~LM_CN~AFFLUENT_MN~NONE_YQ~19Q1Q4_CP~PO5020004141-9_OB~TRAFFIC_PK~NONE</v>
      </c>
      <c r="B270" t="str">
        <f t="shared" si="61"/>
        <v>Facebook</v>
      </c>
      <c r="C270" t="str">
        <f t="shared" si="62"/>
        <v>CH~SOCIAL_DT~MULTI_PB~FCBK_FM~GIF_RT~CPM_PD~AFFLUENT_MALLS_FACEBOOK_GIF_IGUATEMIBSB_1X1_TG~BHVDEM_TS~NONE_SZ~1X1_SOCIAL_MK~BR_IT~SOCIAL_VV~NONE</v>
      </c>
      <c r="D270" t="str">
        <f t="shared" si="63"/>
        <v>247404654</v>
      </c>
      <c r="E270" t="str">
        <f t="shared" si="64"/>
        <v>Dynamic Click</v>
      </c>
      <c r="F270" t="str">
        <f t="shared" si="65"/>
        <v>CH~SOCIAL_DT~MULTI_PB~FCBK_FM~GIF_RT~CPM_PD~AFFLUENT_MALLS_FACEBOOK_GIF_IGUATEMIBSB_1X1_TG~BHVDEM_TS~NONE_SZ~1X1_SOCIAL_MK~BR_IT~SOCIAL_VV~NONE</v>
      </c>
      <c r="G270" t="str">
        <f t="shared" si="66"/>
        <v>443634473</v>
      </c>
      <c r="H270" t="str">
        <f t="shared" si="67"/>
        <v>Tracking</v>
      </c>
      <c r="I270">
        <f t="shared" si="68"/>
        <v>0</v>
      </c>
      <c r="J270">
        <f t="shared" si="69"/>
        <v>4</v>
      </c>
      <c r="K270" s="4">
        <f t="shared" si="58"/>
        <v>3.5000000000000001E-3</v>
      </c>
      <c r="L270">
        <f t="shared" si="59"/>
        <v>0.02</v>
      </c>
      <c r="M270" s="4">
        <f t="shared" si="56"/>
        <v>1.4E-2</v>
      </c>
      <c r="N270" s="4">
        <f t="shared" si="57"/>
        <v>0.08</v>
      </c>
    </row>
    <row r="271" spans="1:14">
      <c r="A271" t="str">
        <f t="shared" si="60"/>
        <v>MK~LM_CN~AFFLUENT_MN~NONE_YQ~19Q1Q4_CP~PO5020004141-9_OB~TRAFFIC_PK~NONE</v>
      </c>
      <c r="B271" t="str">
        <f t="shared" si="61"/>
        <v>Facebook</v>
      </c>
      <c r="C271" t="str">
        <f t="shared" si="62"/>
        <v>CH~SOCIAL_DT~MULTI_PB~FCBK_FM~GIF_RT~CPM_PD~AFFLUENT_MALLS_FACEBOOK_GIF_IGUATEMISP_1X1_TG~BHVDEM_TS~NONE_SZ~1X1_SOCIAL_MK~BR_IT~SOCIAL_VV~NONE</v>
      </c>
      <c r="D271" t="str">
        <f t="shared" si="63"/>
        <v>247404627</v>
      </c>
      <c r="E271" t="str">
        <f t="shared" si="64"/>
        <v>Dynamic Click</v>
      </c>
      <c r="F271" t="str">
        <f t="shared" si="65"/>
        <v>CH~SOCIAL_DT~MULTI_PB~FCBK_FM~GIF_RT~CPM_PD~AFFLUENT_MALLS_FACEBOOK_GIF_IGUATEMISP_1X1_TG~BHVDEM_TS~NONE_SZ~1X1_SOCIAL_MK~BR_IT~SOCIAL_VV~NONE</v>
      </c>
      <c r="G271" t="str">
        <f t="shared" si="66"/>
        <v>443634446</v>
      </c>
      <c r="H271" t="str">
        <f t="shared" si="67"/>
        <v>Tracking</v>
      </c>
      <c r="I271">
        <f t="shared" si="68"/>
        <v>0</v>
      </c>
      <c r="J271">
        <f t="shared" si="69"/>
        <v>10</v>
      </c>
      <c r="K271" s="4">
        <f t="shared" si="58"/>
        <v>3.5000000000000001E-3</v>
      </c>
      <c r="L271">
        <f t="shared" si="59"/>
        <v>0.02</v>
      </c>
      <c r="M271" s="4">
        <f t="shared" si="56"/>
        <v>3.5000000000000003E-2</v>
      </c>
      <c r="N271" s="4">
        <f t="shared" si="57"/>
        <v>0.2</v>
      </c>
    </row>
    <row r="272" spans="1:14">
      <c r="A272" t="str">
        <f t="shared" si="60"/>
        <v>MK~LM_CN~AFFLUENT_MN~NONE_YQ~19Q1Q4_CP~PO5020004141-9_OB~TRAFFIC_PK~NONE</v>
      </c>
      <c r="B272" t="str">
        <f t="shared" si="61"/>
        <v>Facebook</v>
      </c>
      <c r="C272" t="str">
        <f t="shared" si="62"/>
        <v>CH~SOCIAL_DT~MULTI_PB~FCBK_FM~GIF_RT~CPM_PD~AFFLUENT_MALLS_FACEBOOK_GIF_PATIOHIGIENOPOLIS_1X1_TG~BHVDEM_TS~NONE_SZ~1X1_SOCIAL_MK~BR_IT~SOCIAL_VV~NONE</v>
      </c>
      <c r="D272" t="str">
        <f t="shared" si="63"/>
        <v>247404615</v>
      </c>
      <c r="E272" t="str">
        <f t="shared" si="64"/>
        <v>Dynamic Click</v>
      </c>
      <c r="F272" t="str">
        <f t="shared" si="65"/>
        <v>CH~SOCIAL_DT~MULTI_PB~FCBK_FM~GIF_RT~CPM_PD~AFFLUENT_MALLS_FACEBOOK_GIF_PATIOHIGIENOPOLIS_1X1_TG~BHVDEM_TS~NONE_SZ~1X1_SOCIAL_MK~BR_IT~SOCIAL_VV~NONE</v>
      </c>
      <c r="G272" t="str">
        <f t="shared" si="66"/>
        <v>443634434</v>
      </c>
      <c r="H272" t="str">
        <f t="shared" si="67"/>
        <v>Tracking</v>
      </c>
      <c r="I272">
        <f t="shared" si="68"/>
        <v>0</v>
      </c>
      <c r="J272">
        <f t="shared" si="69"/>
        <v>37</v>
      </c>
      <c r="K272" s="4">
        <f t="shared" si="58"/>
        <v>3.5000000000000001E-3</v>
      </c>
      <c r="L272">
        <f t="shared" si="59"/>
        <v>0.02</v>
      </c>
      <c r="M272" s="4">
        <f t="shared" si="56"/>
        <v>0.1295</v>
      </c>
      <c r="N272" s="4">
        <f t="shared" si="57"/>
        <v>0.74</v>
      </c>
    </row>
    <row r="273" spans="1:14">
      <c r="A273" t="str">
        <f t="shared" si="60"/>
        <v>MK~LM_CN~AFFLUENT_MN~NONE_YQ~19Q1Q4_CP~PO5020004141-9_OB~TRAFFIC_PK~NONE</v>
      </c>
      <c r="B273" t="str">
        <f t="shared" si="61"/>
        <v>Facebook</v>
      </c>
      <c r="C273" t="str">
        <f t="shared" si="62"/>
        <v>CH~SOCIAL_DT~MULTI_PB~FCBK_FM~LINKAD_RT~CPM_PD~AFFLUENT_DINNING_FREEVALET_LINKAD_VEGETARIANA_1X1_TG~BHVDEM_TS~NONE_SZ~1X1_SOCIAL_MK~BR_IT~SOCIAL_VV~NONE</v>
      </c>
      <c r="D273" t="str">
        <f t="shared" si="63"/>
        <v>240447772</v>
      </c>
      <c r="E273" t="str">
        <f t="shared" si="64"/>
        <v>Dynamic Click</v>
      </c>
      <c r="F273" t="str">
        <f t="shared" si="65"/>
        <v>CH~SOCIAL_DT~MULTI_PB~FCBK_FM~LINKAD_RT~CPM_PD~AFFLUENT_DINNING_FREEVALET_LINKAD_VEGETARIANA_1X1_TG~BHVDEM_TS~NONE_SZ~1X1_SOCIAL_MK~BR_IT~SOCIAL_VV~NONE</v>
      </c>
      <c r="G273" t="str">
        <f t="shared" si="66"/>
        <v>437412386</v>
      </c>
      <c r="H273" t="str">
        <f t="shared" si="67"/>
        <v>Tracking</v>
      </c>
      <c r="I273">
        <f t="shared" si="68"/>
        <v>0</v>
      </c>
      <c r="J273">
        <f t="shared" si="69"/>
        <v>1</v>
      </c>
      <c r="K273" s="4">
        <f t="shared" si="58"/>
        <v>3.5000000000000001E-3</v>
      </c>
      <c r="L273">
        <f t="shared" si="59"/>
        <v>0.02</v>
      </c>
      <c r="M273" s="4">
        <f t="shared" si="56"/>
        <v>3.5000000000000001E-3</v>
      </c>
      <c r="N273" s="4">
        <f t="shared" si="57"/>
        <v>0.02</v>
      </c>
    </row>
    <row r="274" spans="1:14">
      <c r="A274" t="str">
        <f t="shared" si="60"/>
        <v>MK~LM_CN~AFFLUENT_MN~NONE_YQ~19Q1Q4_CP~PO5020004141-9_OB~TRAFFIC_PK~NONE</v>
      </c>
      <c r="B274" t="str">
        <f t="shared" si="61"/>
        <v>Facebook</v>
      </c>
      <c r="C274" t="str">
        <f t="shared" si="62"/>
        <v>CH~SOCIAL_DT~MULTI_PB~FCBK_FM~LINKAD_RT~CPM_PD~AFFLUENT_MALLS_FACEBOOK_LINKAD_CIDADEJARDIM_1X1_TG~BHVDEM_TS~NONE_SZ~1X1_SOCIAL_MK~BR_IT~SOCIAL_VV~NONE</v>
      </c>
      <c r="D274" t="str">
        <f t="shared" si="63"/>
        <v>247404642</v>
      </c>
      <c r="E274" t="str">
        <f t="shared" si="64"/>
        <v>Dynamic Click</v>
      </c>
      <c r="F274" t="str">
        <f t="shared" si="65"/>
        <v>CH~SOCIAL_DT~MULTI_PB~FCBK_FM~LINKAD_RT~CPM_PD~AFFLUENT_MALLS_FACEBOOK_LINKAD_CIDADEJARDIM_1X1_TG~BHVDEM_TS~NONE_SZ~1X1_SOCIAL_MK~BR_IT~SOCIAL_VV~NONE</v>
      </c>
      <c r="G274" t="str">
        <f t="shared" si="66"/>
        <v>443634461</v>
      </c>
      <c r="H274" t="str">
        <f t="shared" si="67"/>
        <v>Tracking</v>
      </c>
      <c r="I274">
        <f t="shared" si="68"/>
        <v>0</v>
      </c>
      <c r="J274">
        <f t="shared" si="69"/>
        <v>4</v>
      </c>
      <c r="K274" s="4">
        <f t="shared" si="58"/>
        <v>3.5000000000000001E-3</v>
      </c>
      <c r="L274">
        <f t="shared" si="59"/>
        <v>0.02</v>
      </c>
      <c r="M274" s="4">
        <f t="shared" si="56"/>
        <v>1.4E-2</v>
      </c>
      <c r="N274" s="4">
        <f t="shared" si="57"/>
        <v>0.08</v>
      </c>
    </row>
    <row r="275" spans="1:14">
      <c r="A275" t="str">
        <f t="shared" si="60"/>
        <v>MK~LM_CN~AFFLUENT_MN~NONE_YQ~19Q1Q4_CP~PO5020004141-9_OB~TRAFFIC_PK~NONE</v>
      </c>
      <c r="B275" t="str">
        <f t="shared" si="61"/>
        <v>Facebook</v>
      </c>
      <c r="C275" t="str">
        <f t="shared" si="62"/>
        <v>CH~SOCIAL_DT~MULTI_PB~FCBK_FM~LINKAD_RT~CPM_PD~AFFLUENT_MALLS_FACEBOOK_LINKAD_DESIGNBARRA_1X1_TG~BHVDEM_TS~NONE_SZ~1X1_SOCIAL_MK~BR_IT~SOCIAL_VV~NONE</v>
      </c>
      <c r="D275" t="str">
        <f t="shared" si="63"/>
        <v>247259986</v>
      </c>
      <c r="E275" t="str">
        <f t="shared" si="64"/>
        <v>Dynamic Click</v>
      </c>
      <c r="F275" t="str">
        <f t="shared" si="65"/>
        <v>CH~SOCIAL_DT~MULTI_PB~FCBK_FM~LINKAD_RT~CPM_PD~AFFLUENT_MALLS_FACEBOOK_LINKAD_DESIGNBARRA_1X1_TG~BHVDEM_TS~NONE_SZ~1X1_SOCIAL_MK~BR_IT~SOCIAL_VV~NONE</v>
      </c>
      <c r="G275" t="str">
        <f t="shared" si="66"/>
        <v>443634482</v>
      </c>
      <c r="H275" t="str">
        <f t="shared" si="67"/>
        <v>Tracking</v>
      </c>
      <c r="I275">
        <f t="shared" si="68"/>
        <v>0</v>
      </c>
      <c r="J275">
        <f t="shared" si="69"/>
        <v>6</v>
      </c>
      <c r="K275" s="4">
        <f t="shared" si="58"/>
        <v>3.5000000000000001E-3</v>
      </c>
      <c r="L275">
        <f t="shared" si="59"/>
        <v>0.02</v>
      </c>
      <c r="M275" s="4">
        <f t="shared" si="56"/>
        <v>2.1000000000000001E-2</v>
      </c>
      <c r="N275" s="4">
        <f t="shared" si="57"/>
        <v>0.12</v>
      </c>
    </row>
    <row r="276" spans="1:14">
      <c r="A276" t="str">
        <f t="shared" si="60"/>
        <v>MK~LM_CN~AFFLUENT_MN~NONE_YQ~19Q1Q4_CP~PO5020004141-9_OB~TRAFFIC_PK~NONE</v>
      </c>
      <c r="B276" t="str">
        <f t="shared" si="61"/>
        <v>Facebook</v>
      </c>
      <c r="C276" t="str">
        <f t="shared" si="62"/>
        <v>CH~SOCIAL_DT~MULTI_PB~FCBK_FM~LINKAD_RT~CPM_PD~AFFLUENT_MALLS_FACEBOOK_LINKAD_DESIGNLEBLON_1X1_TG~BHVDEM_TS~NONE_SZ~1X1_SOCIAL_MK~BR_IT~SOCIAL_VV~NONE</v>
      </c>
      <c r="D276" t="str">
        <f t="shared" si="63"/>
        <v>246991502</v>
      </c>
      <c r="E276" t="str">
        <f t="shared" si="64"/>
        <v>Dynamic Click</v>
      </c>
      <c r="F276" t="str">
        <f t="shared" si="65"/>
        <v>CH~SOCIAL_DT~MULTI_PB~FCBK_FM~LINKAD_RT~CPM_PD~AFFLUENT_MALLS_FACEBOOK_LINKAD_DESIGNLEBLON_1X1_TG~BHVDEM_TS~NONE_SZ~1X1_SOCIAL_MK~BR_IT~SOCIAL_VV~NONE</v>
      </c>
      <c r="G276" t="str">
        <f t="shared" si="66"/>
        <v>443476881</v>
      </c>
      <c r="H276" t="str">
        <f t="shared" si="67"/>
        <v>Tracking</v>
      </c>
      <c r="I276">
        <f t="shared" si="68"/>
        <v>0</v>
      </c>
      <c r="J276">
        <f t="shared" si="69"/>
        <v>12</v>
      </c>
      <c r="K276" s="4">
        <f t="shared" si="58"/>
        <v>3.5000000000000001E-3</v>
      </c>
      <c r="L276">
        <f t="shared" si="59"/>
        <v>0.02</v>
      </c>
      <c r="M276" s="4">
        <f t="shared" si="56"/>
        <v>4.2000000000000003E-2</v>
      </c>
      <c r="N276" s="4">
        <f t="shared" si="57"/>
        <v>0.24</v>
      </c>
    </row>
    <row r="277" spans="1:14">
      <c r="A277" t="str">
        <f t="shared" si="60"/>
        <v>MK~LM_CN~AFFLUENT_MN~NONE_YQ~19Q1Q4_CP~PO5020004141-9_OB~TRAFFIC_PK~NONE</v>
      </c>
      <c r="B277" t="str">
        <f t="shared" si="61"/>
        <v>Facebook</v>
      </c>
      <c r="C277" t="str">
        <f t="shared" si="62"/>
        <v>CH~SOCIAL_DT~MULTI_PB~FCBK_FM~LINKAD_RT~CPM_PD~AFFLUENT_MALLS_FACEBOOK_LINKAD_IGUATEMIBSB_1X1_TG~BHVDEM_TS~NONE_SZ~1X1_SOCIAL_MK~BR_IT~SOCIAL_VV~NONE</v>
      </c>
      <c r="D277" t="str">
        <f t="shared" si="63"/>
        <v>247259983</v>
      </c>
      <c r="E277" t="str">
        <f t="shared" si="64"/>
        <v>Dynamic Click</v>
      </c>
      <c r="F277" t="str">
        <f t="shared" si="65"/>
        <v>CH~SOCIAL_DT~MULTI_PB~FCBK_FM~LINKAD_RT~CPM_PD~AFFLUENT_MALLS_FACEBOOK_LINKAD_IGUATEMIBSB_1X1_TG~BHVDEM_TS~NONE_SZ~1X1_SOCIAL_MK~BR_IT~SOCIAL_VV~NONE</v>
      </c>
      <c r="G277" t="str">
        <f t="shared" si="66"/>
        <v>443634479</v>
      </c>
      <c r="H277" t="str">
        <f t="shared" si="67"/>
        <v>Tracking</v>
      </c>
      <c r="I277">
        <f t="shared" si="68"/>
        <v>0</v>
      </c>
      <c r="J277">
        <f t="shared" si="69"/>
        <v>9</v>
      </c>
      <c r="K277" s="4">
        <f t="shared" si="58"/>
        <v>3.5000000000000001E-3</v>
      </c>
      <c r="L277">
        <f t="shared" si="59"/>
        <v>0.02</v>
      </c>
      <c r="M277" s="4">
        <f t="shared" si="56"/>
        <v>3.15E-2</v>
      </c>
      <c r="N277" s="4">
        <f t="shared" si="57"/>
        <v>0.18</v>
      </c>
    </row>
    <row r="278" spans="1:14">
      <c r="A278" t="str">
        <f t="shared" si="60"/>
        <v>MK~LM_CN~AFFLUENT_MN~NONE_YQ~19Q1Q4_CP~PO5020004141-9_OB~TRAFFIC_PK~NONE</v>
      </c>
      <c r="B278" t="str">
        <f t="shared" si="61"/>
        <v>Facebook</v>
      </c>
      <c r="C278" t="str">
        <f t="shared" si="62"/>
        <v>CH~SOCIAL_DT~MULTI_PB~FCBK_FM~LINKAD_RT~CPM_PD~AFFLUENT_MALLS_FACEBOOK_LINKAD_IGUATEMISP_1X1_TG~BHVDEM_TS~NONE_SZ~1X1_SOCIAL_MK~BR_IT~SOCIAL_VV~NONE</v>
      </c>
      <c r="D278" t="str">
        <f t="shared" si="63"/>
        <v>247404630</v>
      </c>
      <c r="E278" t="str">
        <f t="shared" si="64"/>
        <v>Dynamic Click</v>
      </c>
      <c r="F278" t="str">
        <f t="shared" si="65"/>
        <v>CH~SOCIAL_DT~MULTI_PB~FCBK_FM~LINKAD_RT~CPM_PD~AFFLUENT_MALLS_FACEBOOK_LINKAD_IGUATEMISP_1X1_TG~BHVDEM_TS~NONE_SZ~1X1_SOCIAL_MK~BR_IT~SOCIAL_VV~NONE</v>
      </c>
      <c r="G278" t="str">
        <f t="shared" si="66"/>
        <v>443634449</v>
      </c>
      <c r="H278" t="str">
        <f t="shared" si="67"/>
        <v>Tracking</v>
      </c>
      <c r="I278">
        <f t="shared" si="68"/>
        <v>0</v>
      </c>
      <c r="J278">
        <f t="shared" si="69"/>
        <v>23</v>
      </c>
      <c r="K278" s="4">
        <f t="shared" si="58"/>
        <v>3.5000000000000001E-3</v>
      </c>
      <c r="L278">
        <f t="shared" si="59"/>
        <v>0.02</v>
      </c>
      <c r="M278" s="4">
        <f t="shared" si="56"/>
        <v>8.0500000000000002E-2</v>
      </c>
      <c r="N278" s="4">
        <f t="shared" si="57"/>
        <v>0.46</v>
      </c>
    </row>
    <row r="279" spans="1:14">
      <c r="A279" t="str">
        <f t="shared" si="60"/>
        <v>MK~LM_CN~AFFLUENT_MN~NONE_YQ~19Q1Q4_CP~PO5020004141-9_OB~TRAFFIC_PK~NONE</v>
      </c>
      <c r="B279" t="str">
        <f t="shared" si="61"/>
        <v>Facebook</v>
      </c>
      <c r="C279" t="str">
        <f t="shared" si="62"/>
        <v>CH~SOCIAL_DT~MULTI_PB~FCBK_FM~LINKAD_RT~CPM_PD~AFFLUENT_MALLS_FACEBOOK_LINKAD_PATIOHIGIENOPOLIS_1X1_TG~BHVDEM_TS~NONE_SZ~1X1_SOCIAL_MK~BR_IT~SOCIAL_VV~NONE</v>
      </c>
      <c r="D279" t="str">
        <f t="shared" si="63"/>
        <v>247404618</v>
      </c>
      <c r="E279" t="str">
        <f t="shared" si="64"/>
        <v>Dynamic Click</v>
      </c>
      <c r="F279" t="str">
        <f t="shared" si="65"/>
        <v>CH~SOCIAL_DT~MULTI_PB~FCBK_FM~LINKAD_RT~CPM_PD~AFFLUENT_MALLS_FACEBOOK_LINKAD_PATIOHIGIENOPOLIS_1X1_TG~BHVDEM_TS~NONE_SZ~1X1_SOCIAL_MK~BR_IT~SOCIAL_VV~NONE</v>
      </c>
      <c r="G279" t="str">
        <f t="shared" si="66"/>
        <v>443634437</v>
      </c>
      <c r="H279" t="str">
        <f t="shared" si="67"/>
        <v>Tracking</v>
      </c>
      <c r="I279">
        <f t="shared" si="68"/>
        <v>0</v>
      </c>
      <c r="J279">
        <f t="shared" si="69"/>
        <v>42</v>
      </c>
      <c r="K279" s="4">
        <f t="shared" si="58"/>
        <v>3.5000000000000001E-3</v>
      </c>
      <c r="L279">
        <f t="shared" si="59"/>
        <v>0.02</v>
      </c>
      <c r="M279" s="4">
        <f t="shared" si="56"/>
        <v>0.14699999999999999</v>
      </c>
      <c r="N279" s="4">
        <f t="shared" si="57"/>
        <v>0.84</v>
      </c>
    </row>
    <row r="280" spans="1:14">
      <c r="A280" t="str">
        <f t="shared" si="60"/>
        <v>MK~LM_CN~AFFLUENT_MN~NONE_YQ~19Q1Q4_CP~PO5020004141-9_OB~TRAFFIC_PK~NONE</v>
      </c>
      <c r="B280" t="str">
        <f t="shared" si="61"/>
        <v>Google - YouTube</v>
      </c>
      <c r="C280" t="str">
        <f t="shared" si="62"/>
        <v>CH~DISPLAY_DT~MULTI_PB~YOUT_FM~VIDEO_RT~CPC_PD~AFFLUENT_YOUTUBE_TRUEVIEW_FILMEBIKER_1X1_TG~BHVDEM_TS~NONE_SZ~1X1_DISPLAY_MK~BR_IT~DISPLAY_VV~NONE</v>
      </c>
      <c r="D280" t="str">
        <f t="shared" si="63"/>
        <v>249096551</v>
      </c>
      <c r="E280" t="str">
        <f t="shared" si="64"/>
        <v>Dynamic Click</v>
      </c>
      <c r="F280" t="str">
        <f t="shared" si="65"/>
        <v>CH~DISPLAY_DT~MULTI_PB~YOUT_FM~VIDEO_RT~CPC_PD~AFFLUENT_YOUTUBE_TRUEVIEW_FILMEBIKER_1X1_TG~BHVDEM_TS~NONE_SZ~1X1_DISPLAY_MK~BR_IT~DISPLAY_VV~NONE</v>
      </c>
      <c r="G280" t="str">
        <f t="shared" si="66"/>
        <v>445472751</v>
      </c>
      <c r="H280" t="str">
        <f t="shared" si="67"/>
        <v>Tracking</v>
      </c>
      <c r="I280">
        <f t="shared" si="68"/>
        <v>9630392</v>
      </c>
      <c r="J280">
        <f t="shared" si="69"/>
        <v>79061</v>
      </c>
      <c r="K280" s="4">
        <f t="shared" si="58"/>
        <v>3.5000000000000001E-3</v>
      </c>
      <c r="L280">
        <f t="shared" si="59"/>
        <v>0.02</v>
      </c>
      <c r="M280" s="4">
        <f t="shared" si="56"/>
        <v>276.71350000000001</v>
      </c>
      <c r="N280" s="4">
        <f t="shared" si="57"/>
        <v>1581.22</v>
      </c>
    </row>
    <row r="281" spans="1:14">
      <c r="A281" t="str">
        <f t="shared" si="60"/>
        <v>MK~LM_CN~AFFLUENT_MN~NONE_YQ~19Q1Q4_CP~PO5020004141-9_OB~TRAFFIC_PK~NONE</v>
      </c>
      <c r="B281" t="str">
        <f t="shared" si="61"/>
        <v>Google Brasil</v>
      </c>
      <c r="C281" t="str">
        <f t="shared" si="62"/>
        <v>CH~DISLPLAY_DT~MULTI_PB~DV360_FM~BANNER_RT~CPC_PD~AFFLUENT_TRAVEL_MEDICO_ONLINE_DV360_BANNER_120X600_120X600_TG~BHVDEM_TS~NONE_SZ~120X600_DISPLAY_MK~BR_IT~DISPLAY_VV~NONE</v>
      </c>
      <c r="D281" t="str">
        <f t="shared" si="63"/>
        <v>252310921</v>
      </c>
      <c r="E281" t="str">
        <f t="shared" si="64"/>
        <v>Standard</v>
      </c>
      <c r="F281" t="str">
        <f t="shared" si="65"/>
        <v>CH~DISLPLAY_DT~MULTI_PB~DV360_FM~BANNER_RT~CPC_PD~AFFLUENT_TRAVEL_MEDICO_ONLINE_DV360_BANNER_120X600_120X600_TG~BHVDEM_TS~NONE_SZ~120X600_DISPLAY_MK~BR_IT~DISPLAY_VV~NONE</v>
      </c>
      <c r="G281" t="str">
        <f t="shared" si="66"/>
        <v>448312767</v>
      </c>
      <c r="H281" t="str">
        <f t="shared" si="67"/>
        <v>Display</v>
      </c>
      <c r="I281">
        <f t="shared" si="68"/>
        <v>1</v>
      </c>
      <c r="J281">
        <f t="shared" si="69"/>
        <v>0</v>
      </c>
      <c r="K281" s="4">
        <f t="shared" si="58"/>
        <v>3.8199999999999998E-2</v>
      </c>
      <c r="L281">
        <f t="shared" si="59"/>
        <v>0.09</v>
      </c>
      <c r="M281" s="4">
        <f t="shared" si="56"/>
        <v>3.82E-5</v>
      </c>
      <c r="N281" s="4">
        <f t="shared" si="57"/>
        <v>8.9999999999999992E-5</v>
      </c>
    </row>
    <row r="282" spans="1:14">
      <c r="A282" t="str">
        <f t="shared" si="60"/>
        <v>MK~LM_CN~AFFLUENT_MN~NONE_YQ~19Q1Q4_CP~PO5020004141-9_OB~TRAFFIC_PK~NONE</v>
      </c>
      <c r="B282" t="str">
        <f t="shared" si="61"/>
        <v>Google Brasil</v>
      </c>
      <c r="C282" t="str">
        <f t="shared" si="62"/>
        <v>CH~DISLPLAY_DT~MULTI_PB~DV360_FM~BANNER_RT~CPC_PD~AFFLUENT_TRAVEL_MEDICO_ONLINE_DV360_BANNER_300X250_300X250_TG~BHVDEM_TS~NONE_SZ~300X250_DISPLAY_MK~BR_IT~DISPLAY_VV~NONE</v>
      </c>
      <c r="D282" t="str">
        <f t="shared" si="63"/>
        <v>252392916</v>
      </c>
      <c r="E282" t="str">
        <f t="shared" si="64"/>
        <v>Standard</v>
      </c>
      <c r="F282" t="str">
        <f t="shared" si="65"/>
        <v>CH~DISLPLAY_DT~MULTI_PB~DV360_FM~BANNER_RT~CPC_PD~AFFLUENT_TRAVEL_MEDICO_ONLINE_DV360_BANNER_300X250_300X250_TG~BHVDEM_TS~NONE_SZ~300X250_DISPLAY_MK~BR_IT~DISPLAY_VV~NONE</v>
      </c>
      <c r="G282" t="str">
        <f t="shared" si="66"/>
        <v>448311156</v>
      </c>
      <c r="H282" t="str">
        <f t="shared" si="67"/>
        <v>Display</v>
      </c>
      <c r="I282">
        <f t="shared" si="68"/>
        <v>1</v>
      </c>
      <c r="J282">
        <f t="shared" si="69"/>
        <v>0</v>
      </c>
      <c r="K282" s="4">
        <f t="shared" si="58"/>
        <v>3.8199999999999998E-2</v>
      </c>
      <c r="L282">
        <f t="shared" si="59"/>
        <v>0.09</v>
      </c>
      <c r="M282" s="4">
        <f t="shared" si="56"/>
        <v>3.82E-5</v>
      </c>
      <c r="N282" s="4">
        <f t="shared" si="57"/>
        <v>8.9999999999999992E-5</v>
      </c>
    </row>
    <row r="283" spans="1:14">
      <c r="A283" t="str">
        <f t="shared" si="60"/>
        <v>MK~LM_CN~AFFLUENT_MN~NONE_YQ~19Q1Q4_CP~PO5020004141-9_OB~TRAFFIC_PK~NONE</v>
      </c>
      <c r="B283" t="str">
        <f t="shared" si="61"/>
        <v>Google Brasil</v>
      </c>
      <c r="C283" t="str">
        <f t="shared" si="62"/>
        <v>CH~DISLPLAY_DT~MULTI_PB~DV360_FM~BANNER_RT~CPC_PD~AFFLUENT_TRAVEL_MEDICO_ONLINE_DV360_BANNER_320X100_320X100_TG~BHVDEM_TS~NONE_SZ~320X100_DISPLAY_MK~BR_IT~DISPLAY_VV~NONE</v>
      </c>
      <c r="D283" t="str">
        <f t="shared" si="63"/>
        <v>252312328</v>
      </c>
      <c r="E283" t="str">
        <f t="shared" si="64"/>
        <v>Standard</v>
      </c>
      <c r="F283" t="str">
        <f t="shared" si="65"/>
        <v>CH~DISLPLAY_DT~MULTI_PB~DV360_FM~BANNER_RT~CPC_PD~AFFLUENT_TRAVEL_MEDICO_ONLINE_DV360_BANNER_320X100_320X100_TG~BHVDEM_TS~NONE_SZ~320X100_DISPLAY_MK~BR_IT~DISPLAY_VV~NONE</v>
      </c>
      <c r="G283" t="str">
        <f t="shared" si="66"/>
        <v>448363946</v>
      </c>
      <c r="H283" t="str">
        <f t="shared" si="67"/>
        <v>Display</v>
      </c>
      <c r="I283">
        <f t="shared" si="68"/>
        <v>1</v>
      </c>
      <c r="J283">
        <f t="shared" si="69"/>
        <v>0</v>
      </c>
      <c r="K283" s="4">
        <f t="shared" si="58"/>
        <v>3.8199999999999998E-2</v>
      </c>
      <c r="L283">
        <f t="shared" si="59"/>
        <v>0.09</v>
      </c>
      <c r="M283" s="4">
        <f t="shared" si="56"/>
        <v>3.82E-5</v>
      </c>
      <c r="N283" s="4">
        <f t="shared" si="57"/>
        <v>8.9999999999999992E-5</v>
      </c>
    </row>
    <row r="284" spans="1:14">
      <c r="A284" t="str">
        <f t="shared" si="60"/>
        <v>MK~LM_CN~AFFLUENT_MN~NONE_YQ~19Q1Q4_CP~PO5020004141-9_OB~TRAFFIC_PK~NONE</v>
      </c>
      <c r="B284" t="str">
        <f t="shared" si="61"/>
        <v>Google Brasil</v>
      </c>
      <c r="C284" t="str">
        <f t="shared" si="62"/>
        <v>CH~DISLPLAY_DT~MULTI_PB~DV360_FM~BANNER_RT~CPC_PD~AFFLUENT_TRAVEL_MEDICO_ONLINE_DV360_BANNER_320X50_320X50_TG~BHVDEM_TS~NONE_SZ~320X50_DISPLAY_MK~BR_IT~DISPLAY_VV~NONE</v>
      </c>
      <c r="D284" t="str">
        <f t="shared" si="63"/>
        <v>252313573</v>
      </c>
      <c r="E284" t="str">
        <f t="shared" si="64"/>
        <v>Standard</v>
      </c>
      <c r="F284" t="str">
        <f t="shared" si="65"/>
        <v>CH~DISLPLAY_DT~MULTI_PB~DV360_FM~BANNER_RT~CPC_PD~AFFLUENT_TRAVEL_MEDICO_ONLINE_DV360_BANNER_320X50_320X50_TG~BHVDEM_TS~NONE_SZ~320X50_DISPLAY_MK~BR_IT~DISPLAY_VV~NONE</v>
      </c>
      <c r="G284" t="str">
        <f t="shared" si="66"/>
        <v>448444390</v>
      </c>
      <c r="H284" t="str">
        <f t="shared" si="67"/>
        <v>Display</v>
      </c>
      <c r="I284">
        <f t="shared" si="68"/>
        <v>1</v>
      </c>
      <c r="J284">
        <f t="shared" si="69"/>
        <v>0</v>
      </c>
      <c r="K284" s="4">
        <f t="shared" si="58"/>
        <v>3.8199999999999998E-2</v>
      </c>
      <c r="L284">
        <f t="shared" si="59"/>
        <v>0.09</v>
      </c>
      <c r="M284" s="4">
        <f t="shared" si="56"/>
        <v>3.82E-5</v>
      </c>
      <c r="N284" s="4">
        <f t="shared" si="57"/>
        <v>8.9999999999999992E-5</v>
      </c>
    </row>
    <row r="285" spans="1:14">
      <c r="A285" t="str">
        <f t="shared" si="60"/>
        <v>MK~LM_CN~AFFLUENT_MN~NONE_YQ~19Q1Q4_CP~PO5020004141-9_OB~TRAFFIC_PK~NONE</v>
      </c>
      <c r="B285" t="str">
        <f t="shared" si="61"/>
        <v>Google Brasil</v>
      </c>
      <c r="C285" t="str">
        <f t="shared" si="62"/>
        <v>CH~DISLPLAY_DT~MULTI_PB~DV360_FM~BANNER_RT~CPC_PD~AFFLUENT_TRAVEL_MEDICO_ONLINE_DV360_BANNER_728X90_728X90_TG~BHVDEM_TS~NONE_SZ~728X90_DISPLAY_MK~BR_IT~DISPLAY_VV~NONE</v>
      </c>
      <c r="D285" t="str">
        <f t="shared" si="63"/>
        <v>252311743</v>
      </c>
      <c r="E285" t="str">
        <f t="shared" si="64"/>
        <v>Standard</v>
      </c>
      <c r="F285" t="str">
        <f t="shared" si="65"/>
        <v>CH~DISLPLAY_DT~MULTI_PB~DV360_FM~BANNER_RT~CPC_PD~AFFLUENT_TRAVEL_MEDICO_ONLINE_DV360_BANNER_728X90_728X90_TG~BHVDEM_TS~NONE_SZ~728X90_DISPLAY_MK~BR_IT~DISPLAY_VV~NONE</v>
      </c>
      <c r="G285" t="str">
        <f t="shared" si="66"/>
        <v>448363982</v>
      </c>
      <c r="H285" t="str">
        <f t="shared" si="67"/>
        <v>Display</v>
      </c>
      <c r="I285">
        <f t="shared" si="68"/>
        <v>1</v>
      </c>
      <c r="J285">
        <f t="shared" si="69"/>
        <v>0</v>
      </c>
      <c r="K285" s="4">
        <f t="shared" si="58"/>
        <v>3.8199999999999998E-2</v>
      </c>
      <c r="L285">
        <f t="shared" si="59"/>
        <v>0.09</v>
      </c>
      <c r="M285" s="4">
        <f t="shared" si="56"/>
        <v>3.82E-5</v>
      </c>
      <c r="N285" s="4">
        <f t="shared" si="57"/>
        <v>8.9999999999999992E-5</v>
      </c>
    </row>
    <row r="286" spans="1:14">
      <c r="A286" t="str">
        <f t="shared" si="60"/>
        <v>MK~LM_CN~AFFLUENT_MN~NONE_YQ~19Q1Q4_CP~PO5020004141-9_OB~TRAFFIC_PK~NONE</v>
      </c>
      <c r="B286" t="str">
        <f t="shared" si="61"/>
        <v>Google Brasil</v>
      </c>
      <c r="C286" t="str">
        <f t="shared" si="62"/>
        <v>CH~DISLPLAY_DT~MULTI_PB~DV360_FM~BANNER_RT~CPC_PD~AFFLUENT_TRAVEL_SEGURO_VIAGEM_DV360_BANNER_120X600_120X600_TG~BHVDEM_TS~NONE_SZ~120X600_DISPLAY_MK~BR_IT~DISPLAY_VV~NONE</v>
      </c>
      <c r="D286" t="str">
        <f t="shared" si="63"/>
        <v>251979596</v>
      </c>
      <c r="E286" t="str">
        <f t="shared" si="64"/>
        <v>Standard</v>
      </c>
      <c r="F286" t="str">
        <f t="shared" si="65"/>
        <v>CH~DISLPLAY_DT~MULTI_PB~DV360_FM~BANNER_RT~CPC_PD~AFFLUENT_TRAVEL_SEGURO_VIAGEM_DV360_BANNER_120X600_120X600_TG~BHVDEM_TS~NONE_SZ~120X600_DISPLAY_MK~BR_IT~DISPLAY_VV~NONE</v>
      </c>
      <c r="G286" t="str">
        <f t="shared" si="66"/>
        <v>448314204</v>
      </c>
      <c r="H286" t="str">
        <f t="shared" si="67"/>
        <v>Display</v>
      </c>
      <c r="I286">
        <f t="shared" si="68"/>
        <v>1</v>
      </c>
      <c r="J286">
        <f t="shared" si="69"/>
        <v>0</v>
      </c>
      <c r="K286" s="4">
        <f t="shared" si="58"/>
        <v>3.8199999999999998E-2</v>
      </c>
      <c r="L286">
        <f t="shared" si="59"/>
        <v>0.09</v>
      </c>
      <c r="M286" s="4">
        <f t="shared" si="56"/>
        <v>3.82E-5</v>
      </c>
      <c r="N286" s="4">
        <f t="shared" si="57"/>
        <v>8.9999999999999992E-5</v>
      </c>
    </row>
    <row r="287" spans="1:14">
      <c r="A287" t="str">
        <f t="shared" si="60"/>
        <v>MK~LM_CN~AFFLUENT_MN~NONE_YQ~19Q1Q4_CP~PO5020004141-9_OB~TRAFFIC_PK~NONE</v>
      </c>
      <c r="B287" t="str">
        <f t="shared" si="61"/>
        <v>Google Brasil</v>
      </c>
      <c r="C287" t="str">
        <f t="shared" si="62"/>
        <v>CH~DISLPLAY_DT~MULTI_PB~DV360_FM~BANNER_RT~CPC_PD~AFFLUENT_TRAVEL_SEGURO_VIAGEM_DV360_BANNER_300X250_300X250_TG~BHVDEM_TS~NONE_SZ~300X250_DISPLAY_MK~BR_IT~DISPLAY_VV~NONE</v>
      </c>
      <c r="D287" t="str">
        <f t="shared" si="63"/>
        <v>251980490</v>
      </c>
      <c r="E287" t="str">
        <f t="shared" si="64"/>
        <v>Standard</v>
      </c>
      <c r="F287" t="str">
        <f t="shared" si="65"/>
        <v>CH~DISLPLAY_DT~MULTI_PB~DV360_FM~BANNER_RT~CPC_PD~AFFLUENT_TRAVEL_SEGURO_VIAGEM_DV360_BANNER_300X250_300X250_TG~BHVDEM_TS~NONE_SZ~300X250_DISPLAY_MK~BR_IT~DISPLAY_VV~NONE</v>
      </c>
      <c r="G287" t="str">
        <f t="shared" si="66"/>
        <v>448362617</v>
      </c>
      <c r="H287" t="str">
        <f t="shared" si="67"/>
        <v>Display</v>
      </c>
      <c r="I287">
        <f t="shared" si="68"/>
        <v>1</v>
      </c>
      <c r="J287">
        <f t="shared" si="69"/>
        <v>0</v>
      </c>
      <c r="K287" s="4">
        <f t="shared" si="58"/>
        <v>3.8199999999999998E-2</v>
      </c>
      <c r="L287">
        <f t="shared" si="59"/>
        <v>0.09</v>
      </c>
      <c r="M287" s="4">
        <f t="shared" si="56"/>
        <v>3.82E-5</v>
      </c>
      <c r="N287" s="4">
        <f t="shared" si="57"/>
        <v>8.9999999999999992E-5</v>
      </c>
    </row>
    <row r="288" spans="1:14">
      <c r="A288" t="str">
        <f t="shared" si="60"/>
        <v>MK~LM_CN~AFFLUENT_MN~NONE_YQ~19Q1Q4_CP~PO5020004141-9_OB~TRAFFIC_PK~NONE</v>
      </c>
      <c r="B288" t="str">
        <f t="shared" si="61"/>
        <v>Google Brasil</v>
      </c>
      <c r="C288" t="str">
        <f t="shared" si="62"/>
        <v>CH~DISLPLAY_DT~MULTI_PB~DV360_FM~BANNER_RT~CPC_PD~AFFLUENT_TRAVEL_SEGURO_VIAGEM_DV360_BANNER_320X100_320X100_TG~BHVDEM_TS~NONE_SZ~320X100_DISPLAY_MK~BR_IT~DISPLAY_VV~NONE</v>
      </c>
      <c r="D288" t="str">
        <f t="shared" si="63"/>
        <v>252395151</v>
      </c>
      <c r="E288" t="str">
        <f t="shared" si="64"/>
        <v>Standard</v>
      </c>
      <c r="F288" t="str">
        <f t="shared" si="65"/>
        <v>CH~DISLPLAY_DT~MULTI_PB~DV360_FM~BANNER_RT~CPC_PD~AFFLUENT_TRAVEL_SEGURO_VIAGEM_DV360_BANNER_320X100_320X100_TG~BHVDEM_TS~NONE_SZ~320X100_DISPLAY_MK~BR_IT~DISPLAY_VV~NONE</v>
      </c>
      <c r="G288" t="str">
        <f t="shared" si="66"/>
        <v>448444462</v>
      </c>
      <c r="H288" t="str">
        <f t="shared" si="67"/>
        <v>Display</v>
      </c>
      <c r="I288">
        <f t="shared" si="68"/>
        <v>1</v>
      </c>
      <c r="J288">
        <f t="shared" si="69"/>
        <v>0</v>
      </c>
      <c r="K288" s="4">
        <f t="shared" si="58"/>
        <v>3.8199999999999998E-2</v>
      </c>
      <c r="L288">
        <f t="shared" si="59"/>
        <v>0.09</v>
      </c>
      <c r="M288" s="4">
        <f t="shared" si="56"/>
        <v>3.82E-5</v>
      </c>
      <c r="N288" s="4">
        <f t="shared" si="57"/>
        <v>8.9999999999999992E-5</v>
      </c>
    </row>
    <row r="289" spans="1:14">
      <c r="A289" t="str">
        <f t="shared" si="60"/>
        <v>MK~LM_CN~AFFLUENT_MN~NONE_YQ~19Q1Q4_CP~PO5020004141-9_OB~TRAFFIC_PK~NONE</v>
      </c>
      <c r="B289" t="str">
        <f t="shared" si="61"/>
        <v>Google Brasil</v>
      </c>
      <c r="C289" t="str">
        <f t="shared" si="62"/>
        <v>CH~DISLPLAY_DT~MULTI_PB~DV360_FM~BANNER_RT~CPC_PD~AFFLUENT_TRAVEL_SEGURO_VIAGEM_DV360_BANNER_320X50_320X50_TG~BHVDEM_TS~NONE_SZ~320X50_DISPLAY_MK~BR_IT~DISPLAY_VV~NONE</v>
      </c>
      <c r="D289" t="str">
        <f t="shared" si="63"/>
        <v>252394917</v>
      </c>
      <c r="E289" t="str">
        <f t="shared" si="64"/>
        <v>Standard</v>
      </c>
      <c r="F289" t="str">
        <f t="shared" si="65"/>
        <v>CH~DISLPLAY_DT~MULTI_PB~DV360_FM~BANNER_RT~CPC_PD~AFFLUENT_TRAVEL_SEGURO_VIAGEM_DV360_BANNER_320X50_320X50_TG~BHVDEM_TS~NONE_SZ~320X50_DISPLAY_MK~BR_IT~DISPLAY_VV~NONE</v>
      </c>
      <c r="G289" t="str">
        <f t="shared" si="66"/>
        <v>448314219</v>
      </c>
      <c r="H289" t="str">
        <f t="shared" si="67"/>
        <v>Display</v>
      </c>
      <c r="I289">
        <f t="shared" si="68"/>
        <v>1</v>
      </c>
      <c r="J289">
        <f t="shared" si="69"/>
        <v>0</v>
      </c>
      <c r="K289" s="4">
        <f t="shared" si="58"/>
        <v>3.8199999999999998E-2</v>
      </c>
      <c r="L289">
        <f t="shared" si="59"/>
        <v>0.09</v>
      </c>
      <c r="M289" s="4">
        <f t="shared" si="56"/>
        <v>3.82E-5</v>
      </c>
      <c r="N289" s="4">
        <f t="shared" si="57"/>
        <v>8.9999999999999992E-5</v>
      </c>
    </row>
    <row r="290" spans="1:14">
      <c r="A290" t="str">
        <f t="shared" si="60"/>
        <v>MK~LM_CN~AFFLUENT_MN~NONE_YQ~19Q1Q4_CP~PO5020004141-9_OB~TRAFFIC_PK~NONE</v>
      </c>
      <c r="B290" t="str">
        <f t="shared" si="61"/>
        <v>Google Brasil</v>
      </c>
      <c r="C290" t="str">
        <f t="shared" si="62"/>
        <v>CH~DISLPLAY_DT~MULTI_PB~DV360_FM~BANNER_RT~CPC_PD~AFFLUENT_TRAVEL_SEGURO_VIAGEM_DV360_BANNER_728X90_728X90_TG~BHVDEM_TS~NONE_SZ~728X90_DISPLAY_MK~BR_IT~DISPLAY_VV~NONE</v>
      </c>
      <c r="D290" t="str">
        <f t="shared" si="63"/>
        <v>251981672</v>
      </c>
      <c r="E290" t="str">
        <f t="shared" si="64"/>
        <v>Standard</v>
      </c>
      <c r="F290" t="str">
        <f t="shared" si="65"/>
        <v>CH~DISLPLAY_DT~MULTI_PB~DV360_FM~BANNER_RT~CPC_PD~AFFLUENT_TRAVEL_SEGURO_VIAGEM_DV360_BANNER_728X90_728X90_TG~BHVDEM_TS~NONE_SZ~728X90_DISPLAY_MK~BR_IT~DISPLAY_VV~NONE</v>
      </c>
      <c r="G290" t="str">
        <f t="shared" si="66"/>
        <v>448363385</v>
      </c>
      <c r="H290" t="str">
        <f t="shared" si="67"/>
        <v>Display</v>
      </c>
      <c r="I290">
        <f t="shared" si="68"/>
        <v>1</v>
      </c>
      <c r="J290">
        <f t="shared" si="69"/>
        <v>0</v>
      </c>
      <c r="K290" s="4">
        <f t="shared" si="58"/>
        <v>3.8199999999999998E-2</v>
      </c>
      <c r="L290">
        <f t="shared" si="59"/>
        <v>0.09</v>
      </c>
      <c r="M290" s="4">
        <f t="shared" si="56"/>
        <v>3.82E-5</v>
      </c>
      <c r="N290" s="4">
        <f t="shared" si="57"/>
        <v>8.9999999999999992E-5</v>
      </c>
    </row>
    <row r="291" spans="1:14">
      <c r="A291" t="str">
        <f t="shared" si="60"/>
        <v>MK~LM_CN~AFFLUENT_MN~NONE_YQ~19Q1Q4_CP~PO5020004141-9_OB~TRAFFIC_PK~NONE</v>
      </c>
      <c r="B291" t="str">
        <f t="shared" si="61"/>
        <v>Google Brasil</v>
      </c>
      <c r="C291" t="str">
        <f t="shared" si="62"/>
        <v>CH~DISPLAY_DT~MULTI_PB~GDBM_FM~VIDEO_RT~CPM_PD~AFFLUENT_AWARENESS_VIDEO_DBM_BIKER_1X1_TG~BHVDEM_TS~NONE_SZ~1X1_PROGRAMMATIC_MK~BR_IT~PROGRAMMATIC_VV~NONE</v>
      </c>
      <c r="D291" t="str">
        <f t="shared" si="63"/>
        <v>249635214</v>
      </c>
      <c r="E291" t="str">
        <f t="shared" si="64"/>
        <v>Rich Media display banner</v>
      </c>
      <c r="F291" t="str">
        <f t="shared" si="65"/>
        <v>CH~DISPLAY_DT~MULTI_PB~GDBM_FM~VIDEO_RT~CPM_PD~AFFLUENT_AWARENESS_VIDEO_DBM_BIKER_1X1_TG~BHVDEM_TS~NONE_SZ~1X1_PROGRAMMATIC_MK~BR_IT~PROGRAMMATIC_VV~NONE</v>
      </c>
      <c r="G291" t="str">
        <f t="shared" si="66"/>
        <v>445654989</v>
      </c>
      <c r="H291" t="str">
        <f t="shared" si="67"/>
        <v>In-Stream Video</v>
      </c>
      <c r="I291">
        <f t="shared" si="68"/>
        <v>4160445</v>
      </c>
      <c r="J291">
        <f t="shared" si="69"/>
        <v>15517</v>
      </c>
      <c r="K291" s="4">
        <f t="shared" si="58"/>
        <v>0.6</v>
      </c>
      <c r="L291">
        <f t="shared" si="59"/>
        <v>0.35</v>
      </c>
      <c r="M291" s="4">
        <f t="shared" ref="M291:M354" si="70">IF(E291="Dynamic Click",J291*K291,K291*$I291/1000)</f>
        <v>2496.2669999999998</v>
      </c>
      <c r="N291" s="4">
        <f t="shared" ref="N291:N354" si="71">IF(E291="Dynamic Click",J291*L291,L291*$I291/1000)</f>
        <v>1456.1557499999999</v>
      </c>
    </row>
    <row r="292" spans="1:14">
      <c r="A292" t="str">
        <f t="shared" si="60"/>
        <v>MK~LM_CN~AFFLUENT_MN~NONE_YQ~19Q1Q4_CP~PO5020004141-9_OB~TRAFFIC_PK~NONE</v>
      </c>
      <c r="B292" t="str">
        <f t="shared" si="61"/>
        <v>Verizon</v>
      </c>
      <c r="C292" t="str">
        <f t="shared" si="62"/>
        <v>CH~DISPLAY_DT~MULTI_PB~VZN_FM~VIDEO_RT~CPM_PD~AFFLUENT_AWARENESS_VIDEO_VERIZON_BIKER_1X1_TG~BHVDEM_TS~NONE_SZ~1X1_DISPLAY_MK~BR_IT~DISPLAY_VV~NONE</v>
      </c>
      <c r="D292" t="str">
        <f t="shared" si="63"/>
        <v>249733611</v>
      </c>
      <c r="E292" t="str">
        <f t="shared" si="64"/>
        <v>Rich Media display banner</v>
      </c>
      <c r="F292" t="str">
        <f t="shared" si="65"/>
        <v>CH~DISPLAY_DT~MULTI_PB~VZN_FM~VIDEO_RT~CPM_PD~AFFLUENT_AWARENESS_VIDEO_VERIZON_BIKER_1X1_TG~BHVDEM_TS~NONE_SZ~1X1_DISPLAY_MK~BR_IT~DISPLAY_VV~NONE</v>
      </c>
      <c r="G292" t="str">
        <f t="shared" si="66"/>
        <v>445728618</v>
      </c>
      <c r="H292" t="str">
        <f t="shared" si="67"/>
        <v>In-Stream Video</v>
      </c>
      <c r="I292">
        <f t="shared" si="68"/>
        <v>65</v>
      </c>
      <c r="J292">
        <f t="shared" si="69"/>
        <v>84</v>
      </c>
      <c r="K292" s="4">
        <f t="shared" si="58"/>
        <v>0.6</v>
      </c>
      <c r="L292">
        <f t="shared" si="59"/>
        <v>0.35</v>
      </c>
      <c r="M292" s="4">
        <f t="shared" si="70"/>
        <v>3.9E-2</v>
      </c>
      <c r="N292" s="4">
        <f t="shared" si="71"/>
        <v>2.2749999999999999E-2</v>
      </c>
    </row>
    <row r="293" spans="1:14">
      <c r="A293" t="str">
        <f t="shared" si="60"/>
        <v>MK~LM_CN~AFFLUENT_MN~NONE_YQ~19Q1Q4_CP~PO5020004141-9_OB~TRAFFIC_PK~NONE</v>
      </c>
      <c r="B293" t="str">
        <f t="shared" si="61"/>
        <v>Verizon</v>
      </c>
      <c r="C293" t="str">
        <f t="shared" si="62"/>
        <v>CH~NATIVE_DT~MULTI_PB~VRZ_FM~NATIVE_RT~CPC_PD~AFFLUENT_TRAVEL_DIGITAL_CONCIERGE_NATIVE_720X1280_720X1280_TG~BHVDEM_TS~NONE_SZ~720X1280_NATIVE_MK~BR_IT~NATIVE_VV~NONE</v>
      </c>
      <c r="D293" t="str">
        <f t="shared" si="63"/>
        <v>252165329</v>
      </c>
      <c r="E293" t="str">
        <f t="shared" si="64"/>
        <v>Dynamic Click</v>
      </c>
      <c r="F293" t="str">
        <f t="shared" si="65"/>
        <v>CH~NATIVE_DT~MULTI_PB~VRZ_FM~NATIVE_RT~CPC_PD~AFFLUENT_TRAVEL_DIGITAL_CONCIERGE_NATIVE_720X1280_720X1280_TG~BHVDEM_TS~NONE_SZ~720X1280_NATIVE_MK~BR_IT~NATIVE_VV~NONE</v>
      </c>
      <c r="G293" t="str">
        <f t="shared" si="66"/>
        <v>448630528</v>
      </c>
      <c r="H293" t="str">
        <f t="shared" si="67"/>
        <v>Tracking</v>
      </c>
      <c r="I293">
        <f t="shared" si="68"/>
        <v>0</v>
      </c>
      <c r="J293">
        <f t="shared" si="69"/>
        <v>1</v>
      </c>
      <c r="K293" s="4">
        <f t="shared" si="58"/>
        <v>3.5000000000000001E-3</v>
      </c>
      <c r="L293">
        <f t="shared" si="59"/>
        <v>0.02</v>
      </c>
      <c r="M293" s="4">
        <f t="shared" si="70"/>
        <v>3.5000000000000001E-3</v>
      </c>
      <c r="N293" s="4">
        <f t="shared" si="71"/>
        <v>0.02</v>
      </c>
    </row>
    <row r="294" spans="1:14">
      <c r="A294" t="str">
        <f t="shared" si="60"/>
        <v>MK~LM_CN~AFFLUENT_MN~NONE_YQ~19Q1Q4_CP~PO5020004141-9_OB~TRAFFIC_PK~NONE</v>
      </c>
      <c r="B294" t="str">
        <f t="shared" si="61"/>
        <v>Verizon</v>
      </c>
      <c r="C294" t="str">
        <f t="shared" si="62"/>
        <v>CH~NATIVE_DT~MULTI_PB~VRZ_FM~NATIVE_RT~CPC_PD~AFFLUENT_TRAVEL_SEGURO_VIAGEM_NATIVE_720X1280_720X1280_TG~BHVDEM_TS~NONE_SZ~720X1280_NATIVE_MK~BR_IT~NATIVE_VV~NONE</v>
      </c>
      <c r="D294" t="str">
        <f t="shared" si="63"/>
        <v>252516034</v>
      </c>
      <c r="E294" t="str">
        <f t="shared" si="64"/>
        <v>Dynamic Click</v>
      </c>
      <c r="F294" t="str">
        <f t="shared" si="65"/>
        <v>CH~NATIVE_DT~MULTI_PB~VRZ_FM~NATIVE_RT~CPC_PD~AFFLUENT_TRAVEL_SEGURO_VIAGEM_NATIVE_720X1280_720X1280_TG~BHVDEM_TS~NONE_SZ~720X1280_NATIVE_MK~BR_IT~NATIVE_VV~NONE</v>
      </c>
      <c r="G294" t="str">
        <f t="shared" si="66"/>
        <v>448630534</v>
      </c>
      <c r="H294" t="str">
        <f t="shared" si="67"/>
        <v>Tracking</v>
      </c>
      <c r="I294">
        <f t="shared" si="68"/>
        <v>0</v>
      </c>
      <c r="J294">
        <f t="shared" si="69"/>
        <v>1</v>
      </c>
      <c r="K294" s="4">
        <f t="shared" si="58"/>
        <v>3.5000000000000001E-3</v>
      </c>
      <c r="L294">
        <f t="shared" si="59"/>
        <v>0.02</v>
      </c>
      <c r="M294" s="4">
        <f t="shared" si="70"/>
        <v>3.5000000000000001E-3</v>
      </c>
      <c r="N294" s="4">
        <f t="shared" si="71"/>
        <v>0.02</v>
      </c>
    </row>
    <row r="295" spans="1:14">
      <c r="A295" t="str">
        <f t="shared" si="60"/>
        <v>MK~LM_CN~AFFLUENT_MN~NONE_YQ~19Q1Q4_CP~PO5020004141-9_OB~TRAFFIC_PK~NONE</v>
      </c>
      <c r="B295" t="str">
        <f t="shared" si="61"/>
        <v>Waze, Inc</v>
      </c>
      <c r="C295" t="str">
        <f t="shared" si="62"/>
        <v>CH~DISPLAY_DT~MULTI_PB~WAZE_FM~TAKEOVER_RT~CPC_PD~AFFLUENT_DINNING_FREE_VALET_WAZE_TAKEOVER_1X1_TG~BHVDEM_TS~NONE_SZ~1X1_DISPLAY_MK~BR_IT~DISPLAY_VV~NONE</v>
      </c>
      <c r="D295" t="str">
        <f t="shared" si="63"/>
        <v>252163802</v>
      </c>
      <c r="E295" t="str">
        <f t="shared" si="64"/>
        <v>Dynamic Click</v>
      </c>
      <c r="F295" t="str">
        <f t="shared" si="65"/>
        <v>CH~DISPLAY_DT~MULTI_PB~WAZE_FM~TAKEOVER_RT~CPC_PD~AFFLUENT_DINNING_FREE_VALET_WAZE_TAKEOVER_1X1_TG~BHVDEM_TS~NONE_SZ~1X1_DISPLAY_MK~BR_IT~DISPLAY_VV~NONE</v>
      </c>
      <c r="G295" t="str">
        <f t="shared" si="66"/>
        <v>448562957</v>
      </c>
      <c r="H295" t="str">
        <f t="shared" si="67"/>
        <v>Tracking</v>
      </c>
      <c r="I295">
        <f t="shared" si="68"/>
        <v>0</v>
      </c>
      <c r="J295">
        <f t="shared" si="69"/>
        <v>1</v>
      </c>
      <c r="K295" s="4">
        <f t="shared" si="58"/>
        <v>3.5000000000000001E-3</v>
      </c>
      <c r="L295">
        <f t="shared" si="59"/>
        <v>0.02</v>
      </c>
      <c r="M295" s="4">
        <f t="shared" si="70"/>
        <v>3.5000000000000001E-3</v>
      </c>
      <c r="N295" s="4">
        <f t="shared" si="71"/>
        <v>0.02</v>
      </c>
    </row>
    <row r="296" spans="1:14">
      <c r="A296" t="str">
        <f t="shared" si="60"/>
        <v>MK~LM_CN~CROSS_BORDER_PREMIUM_MN~NONE_YQ~19Q1Q4_CP~PO5020004141-13_OB~AWA_PK~NONE</v>
      </c>
      <c r="B296" t="str">
        <f t="shared" si="61"/>
        <v>Facebook</v>
      </c>
      <c r="C296" t="str">
        <f t="shared" si="62"/>
        <v>CH~SOCIAL_DT~MULTI_PB~FCBK_FM~CARROSSEL_RT~CPM_PD~CIDADESDOFUTURO_CONSIDERACAO_FACEBOOK_CARROSSEL_APPLE_1X1_TG~BHVDEM_TS~NONE_SZ~1X1_SOCIAL_MK~BR_IT~SOCIAL_VV~NONE</v>
      </c>
      <c r="D296" t="str">
        <f t="shared" si="63"/>
        <v>249789393</v>
      </c>
      <c r="E296" t="str">
        <f t="shared" si="64"/>
        <v>Dynamic Click</v>
      </c>
      <c r="F296" t="str">
        <f t="shared" si="65"/>
        <v>CH~SOCIAL_DT~MULTI_PB~FCBK_FM~CARROSSEL_RT~CPM_PD~CIDADESDOFUTURO_CONSIDERACAO_FACEBOOK_CARROSSEL_APPLE_1X1_TG~BHVDEM_TS~NONE_SZ~1X1_SOCIAL_MK~BR_IT~SOCIAL_VV~NONE</v>
      </c>
      <c r="G296" t="str">
        <f t="shared" si="66"/>
        <v>445759539</v>
      </c>
      <c r="H296" t="str">
        <f t="shared" si="67"/>
        <v>Tracking</v>
      </c>
      <c r="I296">
        <f t="shared" si="68"/>
        <v>0</v>
      </c>
      <c r="J296">
        <f t="shared" si="69"/>
        <v>1</v>
      </c>
      <c r="K296" s="4">
        <f t="shared" si="58"/>
        <v>3.5000000000000001E-3</v>
      </c>
      <c r="L296">
        <f t="shared" si="59"/>
        <v>0.02</v>
      </c>
      <c r="M296" s="4">
        <f t="shared" si="70"/>
        <v>3.5000000000000001E-3</v>
      </c>
      <c r="N296" s="4">
        <f t="shared" si="71"/>
        <v>0.02</v>
      </c>
    </row>
    <row r="297" spans="1:14">
      <c r="A297" t="str">
        <f t="shared" si="60"/>
        <v>MK~LM_CN~CROSS_BORDER_PREMIUM_MN~NONE_YQ~19Q1Q4_CP~PO5020004141-13_OB~AWA_PK~NONE</v>
      </c>
      <c r="B297" t="str">
        <f t="shared" si="61"/>
        <v>Facebook</v>
      </c>
      <c r="C297" t="str">
        <f t="shared" si="62"/>
        <v>CH~SOCIAL_DT~MULTI_PB~FCBK_FM~CARROSSEL_RT~CPM_PD~COMPRAFORA_AWARENESS_CARROSSEL_FASHION_1X1_TG~BHVDEM_TS~NONE_SZ~1X1_SOCIAL_MK~BR_IT~SOCIAL_VV~NONE</v>
      </c>
      <c r="D297" t="str">
        <f t="shared" si="63"/>
        <v>251670963</v>
      </c>
      <c r="E297" t="str">
        <f t="shared" si="64"/>
        <v>Dynamic Click</v>
      </c>
      <c r="F297" t="str">
        <f t="shared" si="65"/>
        <v>CH~SOCIAL_DT~MULTI_PB~FCBK_FM~CARROSSEL_RT~CPM_PD~COMPRAFORA_AWARENESS_CARROSSEL_FASHION_1X1_TG~BHVDEM_TS~NONE_SZ~1X1_SOCIAL_MK~BR_IT~SOCIAL_VV~NONE</v>
      </c>
      <c r="G297" t="str">
        <f t="shared" si="66"/>
        <v>447619917</v>
      </c>
      <c r="H297" t="str">
        <f t="shared" si="67"/>
        <v>Tracking</v>
      </c>
      <c r="I297">
        <f t="shared" si="68"/>
        <v>0</v>
      </c>
      <c r="J297">
        <f t="shared" si="69"/>
        <v>454</v>
      </c>
      <c r="K297" s="4">
        <f t="shared" si="58"/>
        <v>3.5000000000000001E-3</v>
      </c>
      <c r="L297">
        <f t="shared" si="59"/>
        <v>0.02</v>
      </c>
      <c r="M297" s="4">
        <f t="shared" si="70"/>
        <v>1.589</v>
      </c>
      <c r="N297" s="4">
        <f t="shared" si="71"/>
        <v>9.08</v>
      </c>
    </row>
    <row r="298" spans="1:14">
      <c r="A298" t="str">
        <f t="shared" si="60"/>
        <v>MK~LM_CN~CROSS_BORDER_PREMIUM_MN~NONE_YQ~19Q1Q4_CP~PO5020004141-13_OB~AWA_PK~NONE</v>
      </c>
      <c r="B298" t="str">
        <f t="shared" si="61"/>
        <v>Facebook</v>
      </c>
      <c r="C298" t="str">
        <f t="shared" si="62"/>
        <v>CH~SOCIAL_DT~MULTI_PB~FCBK_FM~CARROSSEL_RT~CPM_PD~COMPRAFORA_AWARENESS_CARROSSEL_GAMERS_1X1_TG~BHVDEM_TS~NONE_SZ~1X1_SOCIAL_MK~BR_IT~SOCIAL_VV~NONE</v>
      </c>
      <c r="D298" t="str">
        <f t="shared" si="63"/>
        <v>251672067</v>
      </c>
      <c r="E298" t="str">
        <f t="shared" si="64"/>
        <v>Dynamic Click</v>
      </c>
      <c r="F298" t="str">
        <f t="shared" si="65"/>
        <v>CH~SOCIAL_DT~MULTI_PB~FCBK_FM~CARROSSEL_RT~CPM_PD~COMPRAFORA_AWARENESS_CARROSSEL_GAMERS_1X1_TG~BHVDEM_TS~NONE_SZ~1X1_SOCIAL_MK~BR_IT~SOCIAL_VV~NONE</v>
      </c>
      <c r="G298" t="str">
        <f t="shared" si="66"/>
        <v>447620457</v>
      </c>
      <c r="H298" t="str">
        <f t="shared" si="67"/>
        <v>Tracking</v>
      </c>
      <c r="I298">
        <f t="shared" si="68"/>
        <v>0</v>
      </c>
      <c r="J298">
        <f t="shared" si="69"/>
        <v>16155</v>
      </c>
      <c r="K298" s="4">
        <f t="shared" si="58"/>
        <v>3.5000000000000001E-3</v>
      </c>
      <c r="L298">
        <f t="shared" si="59"/>
        <v>0.02</v>
      </c>
      <c r="M298" s="4">
        <f t="shared" si="70"/>
        <v>56.542500000000004</v>
      </c>
      <c r="N298" s="4">
        <f t="shared" si="71"/>
        <v>323.10000000000002</v>
      </c>
    </row>
    <row r="299" spans="1:14">
      <c r="A299" t="str">
        <f t="shared" si="60"/>
        <v>MK~LM_CN~CROSS_BORDER_PREMIUM_MN~NONE_YQ~19Q1Q4_CP~PO5020004141-13_OB~AWA_PK~NONE</v>
      </c>
      <c r="B299" t="str">
        <f t="shared" si="61"/>
        <v>Facebook</v>
      </c>
      <c r="C299" t="str">
        <f t="shared" si="62"/>
        <v>CH~SOCIAL_DT~MULTI_PB~FCBK_FM~CARROSSEL_RT~CPM_PD~COMPRAFORA_AWARENESS_CARROSSEL_GRAVIDAS_1X1_TG~BHVDEM_TS~NONE_SZ~1X1_SOCIAL_MK~BR_IT~SOCIAL_VV~NONE</v>
      </c>
      <c r="D299" t="str">
        <f t="shared" si="63"/>
        <v>251573758</v>
      </c>
      <c r="E299" t="str">
        <f t="shared" si="64"/>
        <v>Dynamic Click</v>
      </c>
      <c r="F299" t="str">
        <f t="shared" si="65"/>
        <v>CH~SOCIAL_DT~MULTI_PB~FCBK_FM~CARROSSEL_RT~CPM_PD~COMPRAFORA_AWARENESS_CARROSSEL_GRAVIDAS_1X1_TG~BHVDEM_TS~NONE_SZ~1X1_SOCIAL_MK~BR_IT~SOCIAL_VV~NONE</v>
      </c>
      <c r="G299" t="str">
        <f t="shared" si="66"/>
        <v>447669023</v>
      </c>
      <c r="H299" t="str">
        <f t="shared" si="67"/>
        <v>Tracking</v>
      </c>
      <c r="I299">
        <f t="shared" si="68"/>
        <v>0</v>
      </c>
      <c r="J299">
        <f t="shared" si="69"/>
        <v>959</v>
      </c>
      <c r="K299" s="4">
        <f t="shared" si="58"/>
        <v>3.5000000000000001E-3</v>
      </c>
      <c r="L299">
        <f t="shared" si="59"/>
        <v>0.02</v>
      </c>
      <c r="M299" s="4">
        <f t="shared" si="70"/>
        <v>3.3565</v>
      </c>
      <c r="N299" s="4">
        <f t="shared" si="71"/>
        <v>19.18</v>
      </c>
    </row>
    <row r="300" spans="1:14">
      <c r="A300" t="str">
        <f t="shared" si="60"/>
        <v>MK~LM_CN~CROSS_BORDER_PREMIUM_MN~NONE_YQ~19Q1Q4_CP~PO5020004141-13_OB~AWA_PK~NONE</v>
      </c>
      <c r="B300" t="str">
        <f t="shared" si="61"/>
        <v>Facebook</v>
      </c>
      <c r="C300" t="str">
        <f t="shared" si="62"/>
        <v>CH~SOCIAL_DT~MULTI_PB~FCBK_FM~CARROSSEL_RT~CPM_PD~COMPRAFORA_AWARENESS_CARROSSEL_ROUPAS_1X1_TG~BHVDEM_TS~NONE_SZ~1X1_SOCIAL_MK~BR_IT~SOCIAL_VV~NONE</v>
      </c>
      <c r="D300" t="str">
        <f t="shared" si="63"/>
        <v>251670474</v>
      </c>
      <c r="E300" t="str">
        <f t="shared" si="64"/>
        <v>Dynamic Click</v>
      </c>
      <c r="F300" t="str">
        <f t="shared" si="65"/>
        <v>CH~SOCIAL_DT~MULTI_PB~FCBK_FM~CARROSSEL_RT~CPM_PD~COMPRAFORA_AWARENESS_CARROSSEL_ROUPAS_1X1_TG~BHVDEM_TS~NONE_SZ~1X1_SOCIAL_MK~BR_IT~SOCIAL_VV~NONE</v>
      </c>
      <c r="G300" t="str">
        <f t="shared" si="66"/>
        <v>447669065</v>
      </c>
      <c r="H300" t="str">
        <f t="shared" si="67"/>
        <v>Tracking</v>
      </c>
      <c r="I300">
        <f t="shared" si="68"/>
        <v>0</v>
      </c>
      <c r="J300">
        <f t="shared" si="69"/>
        <v>2338</v>
      </c>
      <c r="K300" s="4">
        <f t="shared" ref="K300:K363" si="72">IF(LEFT(B300,3)="DBM",0,VLOOKUP(E300,tabela,2,FALSE))</f>
        <v>3.5000000000000001E-3</v>
      </c>
      <c r="L300">
        <f t="shared" ref="L300:L363" si="73">VLOOKUP(E300,tabela,3,FALSE)</f>
        <v>0.02</v>
      </c>
      <c r="M300" s="4">
        <f t="shared" si="70"/>
        <v>8.1829999999999998</v>
      </c>
      <c r="N300" s="4">
        <f t="shared" si="71"/>
        <v>46.76</v>
      </c>
    </row>
    <row r="301" spans="1:14">
      <c r="A301" t="str">
        <f t="shared" si="60"/>
        <v>MK~LM_CN~CROSS_BORDER_PREMIUM_MN~NONE_YQ~19Q1Q4_CP~PO5020004141-13_OB~AWA_PK~NONE</v>
      </c>
      <c r="B301" t="str">
        <f t="shared" si="61"/>
        <v>Facebook</v>
      </c>
      <c r="C301" t="str">
        <f t="shared" si="62"/>
        <v>CH~SOCIAL_DT~MULTI_PB~FCBK_FM~CARROSSEL_RT~CPM_PD~CROSSBORDER_CASHBACK_DNA_GOURMET_CARROSSEL_1X1_TG~BHVDEM_TS~NONE_SZ~1X1_SOCIAL_MK~BR_IT~SOCIAL_VV~NONE</v>
      </c>
      <c r="D301" t="str">
        <f t="shared" si="63"/>
        <v>235445599</v>
      </c>
      <c r="E301" t="str">
        <f t="shared" si="64"/>
        <v>Dynamic Click</v>
      </c>
      <c r="F301" t="str">
        <f t="shared" si="65"/>
        <v>CH~SOCIAL_DT~MULTI_PB~FCBK_FM~CARROSSEL_RT~CPM_PD~CROSSBORDER_CASHBACK_DNA_GOURMET_CARROSSEL_1X1_TG~BHVDEM_TS~NONE_SZ~1X1_SOCIAL_MK~BR_IT~SOCIAL_VV~NONE</v>
      </c>
      <c r="G301" t="str">
        <f t="shared" si="66"/>
        <v>433057337</v>
      </c>
      <c r="H301" t="str">
        <f t="shared" si="67"/>
        <v>Tracking</v>
      </c>
      <c r="I301">
        <f t="shared" si="68"/>
        <v>0</v>
      </c>
      <c r="J301">
        <f t="shared" si="69"/>
        <v>6</v>
      </c>
      <c r="K301" s="4">
        <f t="shared" si="72"/>
        <v>3.5000000000000001E-3</v>
      </c>
      <c r="L301">
        <f t="shared" si="73"/>
        <v>0.02</v>
      </c>
      <c r="M301" s="4">
        <f t="shared" si="70"/>
        <v>2.1000000000000001E-2</v>
      </c>
      <c r="N301" s="4">
        <f t="shared" si="71"/>
        <v>0.12</v>
      </c>
    </row>
    <row r="302" spans="1:14">
      <c r="A302" t="str">
        <f t="shared" si="60"/>
        <v>MK~LM_CN~CROSS_BORDER_PREMIUM_MN~NONE_YQ~19Q1Q4_CP~PO5020004141-13_OB~AWA_PK~NONE</v>
      </c>
      <c r="B302" t="str">
        <f t="shared" si="61"/>
        <v>Facebook</v>
      </c>
      <c r="C302" t="str">
        <f t="shared" si="62"/>
        <v>CH~SOCIAL_DT~MULTI_PB~FCBK_FM~CARROSSEL_RT~CPM_PD~CROSSBORDER_CASHBACK_DNA_VIAJANTE_2_CARROSSEL_1X1_TG~BHVDEM_TS~NONE_SZ~1X1_SOCIAL_MK~BR_IT~SOCIAL_VV~NONE</v>
      </c>
      <c r="D302" t="str">
        <f t="shared" si="63"/>
        <v>235445602</v>
      </c>
      <c r="E302" t="str">
        <f t="shared" si="64"/>
        <v>Dynamic Click</v>
      </c>
      <c r="F302" t="str">
        <f t="shared" si="65"/>
        <v>CH~SOCIAL_DT~MULTI_PB~FCBK_FM~CARROSSEL_RT~CPM_PD~CROSSBORDER_CASHBACK_DNA_VIAJANTE_2_CARROSSEL_1X1_TG~BHVDEM_TS~NONE_SZ~1X1_SOCIAL_MK~BR_IT~SOCIAL_VV~NONE</v>
      </c>
      <c r="G302" t="str">
        <f t="shared" si="66"/>
        <v>433057340</v>
      </c>
      <c r="H302" t="str">
        <f t="shared" si="67"/>
        <v>Tracking</v>
      </c>
      <c r="I302">
        <f t="shared" si="68"/>
        <v>0</v>
      </c>
      <c r="J302">
        <f t="shared" si="69"/>
        <v>34</v>
      </c>
      <c r="K302" s="4">
        <f t="shared" si="72"/>
        <v>3.5000000000000001E-3</v>
      </c>
      <c r="L302">
        <f t="shared" si="73"/>
        <v>0.02</v>
      </c>
      <c r="M302" s="4">
        <f t="shared" si="70"/>
        <v>0.11900000000000001</v>
      </c>
      <c r="N302" s="4">
        <f t="shared" si="71"/>
        <v>0.68</v>
      </c>
    </row>
    <row r="303" spans="1:14">
      <c r="A303" t="str">
        <f t="shared" si="60"/>
        <v>MK~LM_CN~CROSS_BORDER_PREMIUM_MN~NONE_YQ~19Q1Q4_CP~PO5020004141-13_OB~AWA_PK~NONE</v>
      </c>
      <c r="B303" t="str">
        <f t="shared" si="61"/>
        <v>Facebook</v>
      </c>
      <c r="C303" t="str">
        <f t="shared" si="62"/>
        <v>CH~SOCIAL_DT~MULTI_PB~FCBK_FM~GIF_RT~CPM_PD~COMPRAFORA_AWARENESS_GIF_FASHION_1X1_TG~BHVDEM_TS~NONE_SZ~1X1_SOCIAL_MK~BR_IT~SOCIAL_VV~NONE</v>
      </c>
      <c r="D303" t="str">
        <f t="shared" si="63"/>
        <v>251575567</v>
      </c>
      <c r="E303" t="str">
        <f t="shared" si="64"/>
        <v>Dynamic Click</v>
      </c>
      <c r="F303" t="str">
        <f t="shared" si="65"/>
        <v>CH~SOCIAL_DT~MULTI_PB~FCBK_FM~GIF_RT~CPM_PD~COMPRAFORA_AWARENESS_GIF_FASHION_1X1_TG~BHVDEM_TS~NONE_SZ~1X1_SOCIAL_MK~BR_IT~SOCIAL_VV~NONE</v>
      </c>
      <c r="G303" t="str">
        <f t="shared" si="66"/>
        <v>447619137</v>
      </c>
      <c r="H303" t="str">
        <f t="shared" si="67"/>
        <v>Tracking</v>
      </c>
      <c r="I303">
        <f t="shared" si="68"/>
        <v>0</v>
      </c>
      <c r="J303">
        <f t="shared" si="69"/>
        <v>1764</v>
      </c>
      <c r="K303" s="4">
        <f t="shared" si="72"/>
        <v>3.5000000000000001E-3</v>
      </c>
      <c r="L303">
        <f t="shared" si="73"/>
        <v>0.02</v>
      </c>
      <c r="M303" s="4">
        <f t="shared" si="70"/>
        <v>6.1740000000000004</v>
      </c>
      <c r="N303" s="4">
        <f t="shared" si="71"/>
        <v>35.28</v>
      </c>
    </row>
    <row r="304" spans="1:14">
      <c r="A304" t="str">
        <f t="shared" si="60"/>
        <v>MK~LM_CN~CROSS_BORDER_PREMIUM_MN~NONE_YQ~19Q1Q4_CP~PO5020004141-13_OB~AWA_PK~NONE</v>
      </c>
      <c r="B304" t="str">
        <f t="shared" si="61"/>
        <v>Facebook</v>
      </c>
      <c r="C304" t="str">
        <f t="shared" si="62"/>
        <v>CH~SOCIAL_DT~MULTI_PB~FCBK_FM~GIF_RT~CPM_PD~COMPRAFORA_AWARENESS_GIF_GAMERS_1X1_TG~BHVDEM_TS~NONE_SZ~1X1_SOCIAL_MK~BR_IT~SOCIAL_VV~NONE</v>
      </c>
      <c r="D304" t="str">
        <f t="shared" si="63"/>
        <v>251575882</v>
      </c>
      <c r="E304" t="str">
        <f t="shared" si="64"/>
        <v>Dynamic Click</v>
      </c>
      <c r="F304" t="str">
        <f t="shared" si="65"/>
        <v>CH~SOCIAL_DT~MULTI_PB~FCBK_FM~GIF_RT~CPM_PD~COMPRAFORA_AWARENESS_GIF_GAMERS_1X1_TG~BHVDEM_TS~NONE_SZ~1X1_SOCIAL_MK~BR_IT~SOCIAL_VV~NONE</v>
      </c>
      <c r="G304" t="str">
        <f t="shared" si="66"/>
        <v>447619998</v>
      </c>
      <c r="H304" t="str">
        <f t="shared" si="67"/>
        <v>Tracking</v>
      </c>
      <c r="I304">
        <f t="shared" si="68"/>
        <v>0</v>
      </c>
      <c r="J304">
        <f t="shared" si="69"/>
        <v>2</v>
      </c>
      <c r="K304" s="4">
        <f t="shared" si="72"/>
        <v>3.5000000000000001E-3</v>
      </c>
      <c r="L304">
        <f t="shared" si="73"/>
        <v>0.02</v>
      </c>
      <c r="M304" s="4">
        <f t="shared" si="70"/>
        <v>7.0000000000000001E-3</v>
      </c>
      <c r="N304" s="4">
        <f t="shared" si="71"/>
        <v>0.04</v>
      </c>
    </row>
    <row r="305" spans="1:14">
      <c r="A305" t="str">
        <f t="shared" si="60"/>
        <v>MK~LM_CN~CROSS_BORDER_PREMIUM_MN~NONE_YQ~19Q1Q4_CP~PO5020004141-13_OB~AWA_PK~NONE</v>
      </c>
      <c r="B305" t="str">
        <f t="shared" si="61"/>
        <v>Facebook</v>
      </c>
      <c r="C305" t="str">
        <f t="shared" si="62"/>
        <v>CH~SOCIAL_DT~MULTI_PB~FCBK_FM~GIF_RT~CPM_PD~COMPRAFORA_AWARENESS_GIF_GRAVIDAS_1X1_TG~BHVDEM_TS~NONE_SZ~1X1_SOCIAL_MK~BR_IT~SOCIAL_VV~NONE</v>
      </c>
      <c r="D305" t="str">
        <f t="shared" si="63"/>
        <v>251671020</v>
      </c>
      <c r="E305" t="str">
        <f t="shared" si="64"/>
        <v>Dynamic Click</v>
      </c>
      <c r="F305" t="str">
        <f t="shared" si="65"/>
        <v>CH~SOCIAL_DT~MULTI_PB~FCBK_FM~GIF_RT~CPM_PD~COMPRAFORA_AWARENESS_GIF_GRAVIDAS_1X1_TG~BHVDEM_TS~NONE_SZ~1X1_SOCIAL_MK~BR_IT~SOCIAL_VV~NONE</v>
      </c>
      <c r="G305" t="str">
        <f t="shared" si="66"/>
        <v>447759556</v>
      </c>
      <c r="H305" t="str">
        <f t="shared" si="67"/>
        <v>Tracking</v>
      </c>
      <c r="I305">
        <f t="shared" si="68"/>
        <v>0</v>
      </c>
      <c r="J305">
        <f t="shared" si="69"/>
        <v>3</v>
      </c>
      <c r="K305" s="4">
        <f t="shared" si="72"/>
        <v>3.5000000000000001E-3</v>
      </c>
      <c r="L305">
        <f t="shared" si="73"/>
        <v>0.02</v>
      </c>
      <c r="M305" s="4">
        <f t="shared" si="70"/>
        <v>1.0500000000000001E-2</v>
      </c>
      <c r="N305" s="4">
        <f t="shared" si="71"/>
        <v>0.06</v>
      </c>
    </row>
    <row r="306" spans="1:14">
      <c r="A306" t="str">
        <f t="shared" si="60"/>
        <v>MK~LM_CN~CROSS_BORDER_PREMIUM_MN~NONE_YQ~19Q1Q4_CP~PO5020004141-13_OB~AWA_PK~NONE</v>
      </c>
      <c r="B306" t="str">
        <f t="shared" si="61"/>
        <v>Facebook</v>
      </c>
      <c r="C306" t="str">
        <f t="shared" si="62"/>
        <v>CH~SOCIAL_DT~MULTI_PB~FCBK_FM~GIF_RT~CPM_PD~COMPRAFORA_AWARENESS_GIF_ROUPAS_1X1_TG~BHVDEM_TS~NONE_SZ~1X1_SOCIAL_MK~BR_IT~SOCIAL_VV~NONE</v>
      </c>
      <c r="D306" t="str">
        <f t="shared" si="63"/>
        <v>251274323</v>
      </c>
      <c r="E306" t="str">
        <f t="shared" si="64"/>
        <v>Dynamic Click</v>
      </c>
      <c r="F306" t="str">
        <f t="shared" si="65"/>
        <v>CH~SOCIAL_DT~MULTI_PB~FCBK_FM~GIF_RT~CPM_PD~COMPRAFORA_AWARENESS_GIF_ROUPAS_1X1_TG~BHVDEM_TS~NONE_SZ~1X1_SOCIAL_MK~BR_IT~SOCIAL_VV~NONE</v>
      </c>
      <c r="G306" t="str">
        <f t="shared" si="66"/>
        <v>447759925</v>
      </c>
      <c r="H306" t="str">
        <f t="shared" si="67"/>
        <v>Tracking</v>
      </c>
      <c r="I306">
        <f t="shared" si="68"/>
        <v>0</v>
      </c>
      <c r="J306">
        <f t="shared" si="69"/>
        <v>4899</v>
      </c>
      <c r="K306" s="4">
        <f t="shared" si="72"/>
        <v>3.5000000000000001E-3</v>
      </c>
      <c r="L306">
        <f t="shared" si="73"/>
        <v>0.02</v>
      </c>
      <c r="M306" s="4">
        <f t="shared" si="70"/>
        <v>17.1465</v>
      </c>
      <c r="N306" s="4">
        <f t="shared" si="71"/>
        <v>97.98</v>
      </c>
    </row>
    <row r="307" spans="1:14">
      <c r="A307" t="str">
        <f t="shared" si="60"/>
        <v>MK~LM_CN~CROSS_BORDER_PREMIUM_MN~NONE_YQ~19Q1Q4_CP~PO5020004141-13_OB~AWA_PK~NONE</v>
      </c>
      <c r="B307" t="str">
        <f t="shared" si="61"/>
        <v>Facebook</v>
      </c>
      <c r="C307" t="str">
        <f t="shared" si="62"/>
        <v>CH~SOCIAL_DT~MULTI_PB~FCBK_FM~LINKAD_RT~CPM_PD~COMPRAFORA_AWARENESS_LINKAD_FASHION_ATUALIZADO_1X1_TG~BHVDEM_TS~NONE_SZ~1X1_SOCIAL_MK~BR_IT~SOCIAL_VV~NONE</v>
      </c>
      <c r="D307" t="str">
        <f t="shared" si="63"/>
        <v>251428205</v>
      </c>
      <c r="E307" t="str">
        <f t="shared" si="64"/>
        <v>Dynamic Click</v>
      </c>
      <c r="F307" t="str">
        <f t="shared" si="65"/>
        <v>CH~SOCIAL_DT~MULTI_PB~FCBK_FM~LINKAD_RT~CPM_PD~COMPRAFORA_AWARENESS_LINKAD_FASHION_ATUALIZADO_1X1_TG~BHVDEM_TS~NONE_SZ~1X1_SOCIAL_MK~BR_IT~SOCIAL_VV~NONE</v>
      </c>
      <c r="G307" t="str">
        <f t="shared" si="66"/>
        <v>447930964</v>
      </c>
      <c r="H307" t="str">
        <f t="shared" si="67"/>
        <v>Tracking</v>
      </c>
      <c r="I307">
        <f t="shared" si="68"/>
        <v>0</v>
      </c>
      <c r="J307">
        <f t="shared" si="69"/>
        <v>4295</v>
      </c>
      <c r="K307" s="4">
        <f t="shared" si="72"/>
        <v>3.5000000000000001E-3</v>
      </c>
      <c r="L307">
        <f t="shared" si="73"/>
        <v>0.02</v>
      </c>
      <c r="M307" s="4">
        <f t="shared" si="70"/>
        <v>15.032500000000001</v>
      </c>
      <c r="N307" s="4">
        <f t="shared" si="71"/>
        <v>85.9</v>
      </c>
    </row>
    <row r="308" spans="1:14">
      <c r="A308" t="str">
        <f t="shared" si="60"/>
        <v>MK~LM_CN~CROSS_BORDER_PREMIUM_MN~NONE_YQ~19Q1Q4_CP~PO5020004141-13_OB~AWA_PK~NONE</v>
      </c>
      <c r="B308" t="str">
        <f t="shared" si="61"/>
        <v>Facebook</v>
      </c>
      <c r="C308" t="str">
        <f t="shared" si="62"/>
        <v>CH~SOCIAL_DT~MULTI_PB~FCBK_FM~LINKAD_RT~CPM_PD~COMPRAFORA_AWARENESS_LINKAD_GAMERS_ATUALIZADO_1X1_TG~BHVDEM_TS~NONE_SZ~1X1_SOCIAL_MK~BR_IT~SOCIAL_VV~NONE</v>
      </c>
      <c r="D308" t="str">
        <f t="shared" si="63"/>
        <v>251435354</v>
      </c>
      <c r="E308" t="str">
        <f t="shared" si="64"/>
        <v>Dynamic Click</v>
      </c>
      <c r="F308" t="str">
        <f t="shared" si="65"/>
        <v>CH~SOCIAL_DT~MULTI_PB~FCBK_FM~LINKAD_RT~CPM_PD~COMPRAFORA_AWARENESS_LINKAD_GAMERS_ATUALIZADO_1X1_TG~BHVDEM_TS~NONE_SZ~1X1_SOCIAL_MK~BR_IT~SOCIAL_VV~NONE</v>
      </c>
      <c r="G308" t="str">
        <f t="shared" si="66"/>
        <v>447935686</v>
      </c>
      <c r="H308" t="str">
        <f t="shared" si="67"/>
        <v>Tracking</v>
      </c>
      <c r="I308">
        <f t="shared" si="68"/>
        <v>0</v>
      </c>
      <c r="J308">
        <f t="shared" si="69"/>
        <v>4296</v>
      </c>
      <c r="K308" s="4">
        <f t="shared" si="72"/>
        <v>3.5000000000000001E-3</v>
      </c>
      <c r="L308">
        <f t="shared" si="73"/>
        <v>0.02</v>
      </c>
      <c r="M308" s="4">
        <f t="shared" si="70"/>
        <v>15.036</v>
      </c>
      <c r="N308" s="4">
        <f t="shared" si="71"/>
        <v>85.92</v>
      </c>
    </row>
    <row r="309" spans="1:14">
      <c r="A309" t="str">
        <f t="shared" si="60"/>
        <v>MK~LM_CN~CROSS_BORDER_PREMIUM_MN~NONE_YQ~19Q1Q4_CP~PO5020004141-13_OB~AWA_PK~NONE</v>
      </c>
      <c r="B309" t="str">
        <f t="shared" si="61"/>
        <v>Facebook</v>
      </c>
      <c r="C309" t="str">
        <f t="shared" si="62"/>
        <v>CH~SOCIAL_DT~MULTI_PB~FCBK_FM~LINKAD_RT~CPM_PD~COMPRAFORA_AWARENESS_LINKAD_GRAVIDAS_ATUALIZADO_1X1_TG~BHVDEM_TS~NONE_SZ~1X1_SOCIAL_MK~BR_IT~SOCIAL_VV~NONE</v>
      </c>
      <c r="D309" t="str">
        <f t="shared" si="63"/>
        <v>251435357</v>
      </c>
      <c r="E309" t="str">
        <f t="shared" si="64"/>
        <v>Dynamic Click</v>
      </c>
      <c r="F309" t="str">
        <f t="shared" si="65"/>
        <v>CH~SOCIAL_DT~MULTI_PB~FCBK_FM~LINKAD_RT~CPM_PD~COMPRAFORA_AWARENESS_LINKAD_GRAVIDAS_ATUALIZADO_1X1_TG~BHVDEM_TS~NONE_SZ~1X1_SOCIAL_MK~BR_IT~SOCIAL_VV~NONE</v>
      </c>
      <c r="G309" t="str">
        <f t="shared" si="66"/>
        <v>447935443</v>
      </c>
      <c r="H309" t="str">
        <f t="shared" si="67"/>
        <v>Tracking</v>
      </c>
      <c r="I309">
        <f t="shared" si="68"/>
        <v>0</v>
      </c>
      <c r="J309">
        <f t="shared" si="69"/>
        <v>7415</v>
      </c>
      <c r="K309" s="4">
        <f t="shared" si="72"/>
        <v>3.5000000000000001E-3</v>
      </c>
      <c r="L309">
        <f t="shared" si="73"/>
        <v>0.02</v>
      </c>
      <c r="M309" s="4">
        <f t="shared" si="70"/>
        <v>25.952500000000001</v>
      </c>
      <c r="N309" s="4">
        <f t="shared" si="71"/>
        <v>148.30000000000001</v>
      </c>
    </row>
    <row r="310" spans="1:14">
      <c r="A310" t="str">
        <f t="shared" si="60"/>
        <v>MK~LM_CN~CROSS_BORDER_PREMIUM_MN~NONE_YQ~19Q1Q4_CP~PO5020004141-13_OB~AWA_PK~NONE</v>
      </c>
      <c r="B310" t="str">
        <f t="shared" si="61"/>
        <v>Facebook</v>
      </c>
      <c r="C310" t="str">
        <f t="shared" si="62"/>
        <v>CH~SOCIAL_DT~MULTI_PB~FCBK_FM~LINKAD_RT~CPM_PD~CROSSBORDER_CASHBACK_DNA_VIAJANTE_2_LINKAD_ANIMADO_1X1_TG~BHVDEM_TS~NONE_SZ~1X1_SOCIAL_MK~BR_IT~SOCIAL_VV~NONE</v>
      </c>
      <c r="D310" t="str">
        <f t="shared" si="63"/>
        <v>235445608</v>
      </c>
      <c r="E310" t="str">
        <f t="shared" si="64"/>
        <v>Dynamic Click</v>
      </c>
      <c r="F310" t="str">
        <f t="shared" si="65"/>
        <v>CH~SOCIAL_DT~MULTI_PB~FCBK_FM~LINKAD_RT~CPM_PD~CROSSBORDER_CASHBACK_DNA_VIAJANTE_2_LINKAD_ANIMADO_1X1_TG~BHVDEM_TS~NONE_SZ~1X1_SOCIAL_MK~BR_IT~SOCIAL_VV~NONE</v>
      </c>
      <c r="G310" t="str">
        <f t="shared" si="66"/>
        <v>433057346</v>
      </c>
      <c r="H310" t="str">
        <f t="shared" si="67"/>
        <v>Tracking</v>
      </c>
      <c r="I310">
        <f t="shared" si="68"/>
        <v>0</v>
      </c>
      <c r="J310">
        <f t="shared" si="69"/>
        <v>50</v>
      </c>
      <c r="K310" s="4">
        <f t="shared" si="72"/>
        <v>3.5000000000000001E-3</v>
      </c>
      <c r="L310">
        <f t="shared" si="73"/>
        <v>0.02</v>
      </c>
      <c r="M310" s="4">
        <f t="shared" si="70"/>
        <v>0.17500000000000002</v>
      </c>
      <c r="N310" s="4">
        <f t="shared" si="71"/>
        <v>1</v>
      </c>
    </row>
    <row r="311" spans="1:14">
      <c r="A311" t="str">
        <f t="shared" si="60"/>
        <v>MK~LM_CN~CROSS_BORDER_PREMIUM_MN~NONE_YQ~19Q1Q4_CP~PO5020004141-13_OB~AWA_PK~NONE</v>
      </c>
      <c r="B311" t="str">
        <f t="shared" si="61"/>
        <v>Google Brasil</v>
      </c>
      <c r="C311" t="str">
        <f t="shared" si="62"/>
        <v>CH~DISPLAY_DT~MOBILE_PB~KAK_FM~BANNER_RT~CPM_PD~CROSSBORDER_BANNER_GOURMET_160X600_160X600_TG~BHVDEM_TS~NONE_SZ~160X600_DISPLAY_MK~BR_IT~DISPLAY_VV~NONE</v>
      </c>
      <c r="D311" t="str">
        <f t="shared" si="63"/>
        <v>251414580</v>
      </c>
      <c r="E311" t="str">
        <f t="shared" si="64"/>
        <v>Standard</v>
      </c>
      <c r="F311" t="str">
        <f t="shared" si="65"/>
        <v>CH~DISPLAY_DT~MOBILE_PB~KAK_FM~BANNER_RT~CPM_PD~CROSSBORDER_BANNER_GOURMET_160X600_160X600_TG~BHVDEM_TS~NONE_SZ~160X600_DISPLAY_MK~BR_IT~DISPLAY_VV~NONE</v>
      </c>
      <c r="G311" t="str">
        <f t="shared" si="66"/>
        <v>447391455</v>
      </c>
      <c r="H311" t="str">
        <f t="shared" si="67"/>
        <v>Display</v>
      </c>
      <c r="I311">
        <f t="shared" si="68"/>
        <v>58423</v>
      </c>
      <c r="J311">
        <f t="shared" si="69"/>
        <v>17</v>
      </c>
      <c r="K311" s="4">
        <f t="shared" si="72"/>
        <v>3.8199999999999998E-2</v>
      </c>
      <c r="L311">
        <f t="shared" si="73"/>
        <v>0.09</v>
      </c>
      <c r="M311" s="4">
        <f t="shared" si="70"/>
        <v>2.2317585999999996</v>
      </c>
      <c r="N311" s="4">
        <f t="shared" si="71"/>
        <v>5.25807</v>
      </c>
    </row>
    <row r="312" spans="1:14">
      <c r="A312" t="str">
        <f t="shared" si="60"/>
        <v>MK~LM_CN~CROSS_BORDER_PREMIUM_MN~NONE_YQ~19Q1Q4_CP~PO5020004141-13_OB~AWA_PK~NONE</v>
      </c>
      <c r="B312" t="str">
        <f t="shared" si="61"/>
        <v>Google Brasil</v>
      </c>
      <c r="C312" t="str">
        <f t="shared" si="62"/>
        <v>CH~DISPLAY_DT~MOBILE_PB~KAK_FM~BANNER_RT~CPM_PD~CROSSBORDER_BANNER_GOURMET_300X250_300X250_TG~BHVDEM_TS~NONE_SZ~300X250_DISPLAY_MK~BR_IT~DISPLAY_VV~NONE</v>
      </c>
      <c r="D312" t="str">
        <f t="shared" si="63"/>
        <v>251319922</v>
      </c>
      <c r="E312" t="str">
        <f t="shared" si="64"/>
        <v>Standard</v>
      </c>
      <c r="F312" t="str">
        <f t="shared" si="65"/>
        <v>CH~DISPLAY_DT~MOBILE_PB~KAK_FM~BANNER_RT~CPM_PD~CROSSBORDER_BANNER_GOURMET_300X250_300X250_TG~BHVDEM_TS~NONE_SZ~300X250_DISPLAY_MK~BR_IT~DISPLAY_VV~NONE</v>
      </c>
      <c r="G312" t="str">
        <f t="shared" si="66"/>
        <v>447522973</v>
      </c>
      <c r="H312" t="str">
        <f t="shared" si="67"/>
        <v>Display</v>
      </c>
      <c r="I312">
        <f t="shared" si="68"/>
        <v>158762</v>
      </c>
      <c r="J312">
        <f t="shared" si="69"/>
        <v>94</v>
      </c>
      <c r="K312" s="4">
        <f t="shared" si="72"/>
        <v>3.8199999999999998E-2</v>
      </c>
      <c r="L312">
        <f t="shared" si="73"/>
        <v>0.09</v>
      </c>
      <c r="M312" s="4">
        <f t="shared" si="70"/>
        <v>6.0647083999999998</v>
      </c>
      <c r="N312" s="4">
        <f t="shared" si="71"/>
        <v>14.28858</v>
      </c>
    </row>
    <row r="313" spans="1:14">
      <c r="A313" t="str">
        <f t="shared" si="60"/>
        <v>MK~LM_CN~CROSS_BORDER_PREMIUM_MN~NONE_YQ~19Q1Q4_CP~PO5020004141-13_OB~AWA_PK~NONE</v>
      </c>
      <c r="B313" t="str">
        <f t="shared" si="61"/>
        <v>Google Brasil</v>
      </c>
      <c r="C313" t="str">
        <f t="shared" si="62"/>
        <v>CH~DISPLAY_DT~MOBILE_PB~KAK_FM~BANNER_RT~CPM_PD~CROSSBORDER_BANNER_GOURMET_300X50_300X50_TG~BHVDEM_TS~NONE_SZ~300X50_DISPLAY_MK~BR_IT~DISPLAY_VV~NONE</v>
      </c>
      <c r="D313" t="str">
        <f t="shared" si="63"/>
        <v>251020868</v>
      </c>
      <c r="E313" t="str">
        <f t="shared" si="64"/>
        <v>Standard</v>
      </c>
      <c r="F313" t="str">
        <f t="shared" si="65"/>
        <v>CH~DISPLAY_DT~MOBILE_PB~KAK_FM~BANNER_RT~CPM_PD~CROSSBORDER_BANNER_GOURMET_300X50_300X50_TG~BHVDEM_TS~NONE_SZ~300X50_DISPLAY_MK~BR_IT~DISPLAY_VV~NONE</v>
      </c>
      <c r="G313" t="str">
        <f t="shared" si="66"/>
        <v>447398079</v>
      </c>
      <c r="H313" t="str">
        <f t="shared" si="67"/>
        <v>Display</v>
      </c>
      <c r="I313">
        <f t="shared" si="68"/>
        <v>1</v>
      </c>
      <c r="J313">
        <f t="shared" si="69"/>
        <v>0</v>
      </c>
      <c r="K313" s="4">
        <f t="shared" si="72"/>
        <v>3.8199999999999998E-2</v>
      </c>
      <c r="L313">
        <f t="shared" si="73"/>
        <v>0.09</v>
      </c>
      <c r="M313" s="4">
        <f t="shared" si="70"/>
        <v>3.82E-5</v>
      </c>
      <c r="N313" s="4">
        <f t="shared" si="71"/>
        <v>8.9999999999999992E-5</v>
      </c>
    </row>
    <row r="314" spans="1:14">
      <c r="A314" t="str">
        <f t="shared" si="60"/>
        <v>MK~LM_CN~CROSS_BORDER_PREMIUM_MN~NONE_YQ~19Q1Q4_CP~PO5020004141-13_OB~AWA_PK~NONE</v>
      </c>
      <c r="B314" t="str">
        <f t="shared" si="61"/>
        <v>Google Brasil</v>
      </c>
      <c r="C314" t="str">
        <f t="shared" si="62"/>
        <v>CH~DISPLAY_DT~MOBILE_PB~KAK_FM~BANNER_RT~CPM_PD~CROSSBORDER_BANNER_GOURMET_728X90_728X90_TG~BHVDEM_TS~NONE_SZ~728X90_DISPLAY_MK~BR_IT~DISPLAY_VV~NONE</v>
      </c>
      <c r="D314" t="str">
        <f t="shared" si="63"/>
        <v>251319550</v>
      </c>
      <c r="E314" t="str">
        <f t="shared" si="64"/>
        <v>Standard</v>
      </c>
      <c r="F314" t="str">
        <f t="shared" si="65"/>
        <v>CH~DISPLAY_DT~MOBILE_PB~KAK_FM~BANNER_RT~CPM_PD~CROSSBORDER_BANNER_GOURMET_728X90_728X90_TG~BHVDEM_TS~NONE_SZ~728X90_DISPLAY_MK~BR_IT~DISPLAY_VV~NONE</v>
      </c>
      <c r="G314" t="str">
        <f t="shared" si="66"/>
        <v>447523234</v>
      </c>
      <c r="H314" t="str">
        <f t="shared" si="67"/>
        <v>Display</v>
      </c>
      <c r="I314">
        <f t="shared" si="68"/>
        <v>1</v>
      </c>
      <c r="J314">
        <f t="shared" si="69"/>
        <v>0</v>
      </c>
      <c r="K314" s="4">
        <f t="shared" si="72"/>
        <v>3.8199999999999998E-2</v>
      </c>
      <c r="L314">
        <f t="shared" si="73"/>
        <v>0.09</v>
      </c>
      <c r="M314" s="4">
        <f t="shared" si="70"/>
        <v>3.82E-5</v>
      </c>
      <c r="N314" s="4">
        <f t="shared" si="71"/>
        <v>8.9999999999999992E-5</v>
      </c>
    </row>
    <row r="315" spans="1:14">
      <c r="A315" t="str">
        <f t="shared" si="60"/>
        <v>MK~LM_CN~CROSS_BORDER_PREMIUM_MN~NONE_YQ~19Q1Q4_CP~PO5020004141-13_OB~AWA_PK~NONE</v>
      </c>
      <c r="B315" t="str">
        <f t="shared" si="61"/>
        <v>Google Brasil</v>
      </c>
      <c r="C315" t="str">
        <f t="shared" si="62"/>
        <v>CH~DISPLAY_DT~MOBILE_PB~KAK_FM~BANNER_RT~CPM_PD~CROSSBORDER_BANNER_VIAJANTE_160X600_160X600_TG~BHVDEM_TS~NONE_SZ~160X600_DISPLAY_MK~BR_IT~DISPLAY_VV~NONE</v>
      </c>
      <c r="D315" t="str">
        <f t="shared" si="63"/>
        <v>251421723</v>
      </c>
      <c r="E315" t="str">
        <f t="shared" si="64"/>
        <v>Standard</v>
      </c>
      <c r="F315" t="str">
        <f t="shared" si="65"/>
        <v>CH~DISPLAY_DT~MOBILE_PB~KAK_FM~BANNER_RT~CPM_PD~CROSSBORDER_BANNER_VIAJANTE_160X600_160X600_TG~BHVDEM_TS~NONE_SZ~160X600_DISPLAY_MK~BR_IT~DISPLAY_VV~NONE</v>
      </c>
      <c r="G315" t="str">
        <f t="shared" si="66"/>
        <v>447398088</v>
      </c>
      <c r="H315" t="str">
        <f t="shared" si="67"/>
        <v>Display</v>
      </c>
      <c r="I315">
        <f t="shared" si="68"/>
        <v>57217</v>
      </c>
      <c r="J315">
        <f t="shared" si="69"/>
        <v>12</v>
      </c>
      <c r="K315" s="4">
        <f t="shared" si="72"/>
        <v>3.8199999999999998E-2</v>
      </c>
      <c r="L315">
        <f t="shared" si="73"/>
        <v>0.09</v>
      </c>
      <c r="M315" s="4">
        <f t="shared" si="70"/>
        <v>2.1856893999999998</v>
      </c>
      <c r="N315" s="4">
        <f t="shared" si="71"/>
        <v>5.1495299999999995</v>
      </c>
    </row>
    <row r="316" spans="1:14">
      <c r="A316" t="str">
        <f t="shared" si="60"/>
        <v>MK~LM_CN~CROSS_BORDER_PREMIUM_MN~NONE_YQ~19Q1Q4_CP~PO5020004141-13_OB~AWA_PK~NONE</v>
      </c>
      <c r="B316" t="str">
        <f t="shared" si="61"/>
        <v>Google Brasil</v>
      </c>
      <c r="C316" t="str">
        <f t="shared" si="62"/>
        <v>CH~DISPLAY_DT~MOBILE_PB~KAK_FM~BANNER_RT~CPM_PD~CROSSBORDER_BANNER_VIAJANTE_300X250_300X250_TG~BHVDEM_TS~NONE_SZ~300X250_DISPLAY_MK~BR_IT~DISPLAY_VV~NONE</v>
      </c>
      <c r="D316" t="str">
        <f t="shared" si="63"/>
        <v>251020730</v>
      </c>
      <c r="E316" t="str">
        <f t="shared" si="64"/>
        <v>Standard</v>
      </c>
      <c r="F316" t="str">
        <f t="shared" si="65"/>
        <v>CH~DISPLAY_DT~MOBILE_PB~KAK_FM~BANNER_RT~CPM_PD~CROSSBORDER_BANNER_VIAJANTE_300X250_300X250_TG~BHVDEM_TS~NONE_SZ~300X250_DISPLAY_MK~BR_IT~DISPLAY_VV~NONE</v>
      </c>
      <c r="G316" t="str">
        <f t="shared" si="66"/>
        <v>447440489</v>
      </c>
      <c r="H316" t="str">
        <f t="shared" si="67"/>
        <v>Display</v>
      </c>
      <c r="I316">
        <f t="shared" si="68"/>
        <v>165446</v>
      </c>
      <c r="J316">
        <f t="shared" si="69"/>
        <v>123</v>
      </c>
      <c r="K316" s="4">
        <f t="shared" si="72"/>
        <v>3.8199999999999998E-2</v>
      </c>
      <c r="L316">
        <f t="shared" si="73"/>
        <v>0.09</v>
      </c>
      <c r="M316" s="4">
        <f t="shared" si="70"/>
        <v>6.3200371999999998</v>
      </c>
      <c r="N316" s="4">
        <f t="shared" si="71"/>
        <v>14.890139999999999</v>
      </c>
    </row>
    <row r="317" spans="1:14">
      <c r="A317" t="str">
        <f t="shared" si="60"/>
        <v>MK~LM_CN~CROSS_BORDER_PREMIUM_MN~NONE_YQ~19Q1Q4_CP~PO5020004141-13_OB~AWA_PK~NONE</v>
      </c>
      <c r="B317" t="str">
        <f t="shared" si="61"/>
        <v>Google Brasil</v>
      </c>
      <c r="C317" t="str">
        <f t="shared" si="62"/>
        <v>CH~DISPLAY_DT~MOBILE_PB~KAK_FM~BANNER_RT~CPM_PD~CROSSBORDER_BANNER_VIAJANTE_300X50_300X50_TG~BHVDEM_TS~NONE_SZ~300X50_DISPLAY_MK~BR_IT~DISPLAY_VV~NONE</v>
      </c>
      <c r="D317" t="str">
        <f t="shared" si="63"/>
        <v>251321683</v>
      </c>
      <c r="E317" t="str">
        <f t="shared" si="64"/>
        <v>Standard</v>
      </c>
      <c r="F317" t="str">
        <f t="shared" si="65"/>
        <v>CH~DISPLAY_DT~MOBILE_PB~KAK_FM~BANNER_RT~CPM_PD~CROSSBORDER_BANNER_VIAJANTE_300X50_300X50_TG~BHVDEM_TS~NONE_SZ~300X50_DISPLAY_MK~BR_IT~DISPLAY_VV~NONE</v>
      </c>
      <c r="G317" t="str">
        <f t="shared" si="66"/>
        <v>447440507</v>
      </c>
      <c r="H317" t="str">
        <f t="shared" si="67"/>
        <v>Display</v>
      </c>
      <c r="I317">
        <f t="shared" si="68"/>
        <v>1</v>
      </c>
      <c r="J317">
        <f t="shared" si="69"/>
        <v>0</v>
      </c>
      <c r="K317" s="4">
        <f t="shared" si="72"/>
        <v>3.8199999999999998E-2</v>
      </c>
      <c r="L317">
        <f t="shared" si="73"/>
        <v>0.09</v>
      </c>
      <c r="M317" s="4">
        <f t="shared" si="70"/>
        <v>3.82E-5</v>
      </c>
      <c r="N317" s="4">
        <f t="shared" si="71"/>
        <v>8.9999999999999992E-5</v>
      </c>
    </row>
    <row r="318" spans="1:14">
      <c r="A318" t="str">
        <f t="shared" si="60"/>
        <v>MK~LM_CN~CROSS_BORDER_PREMIUM_MN~NONE_YQ~19Q1Q4_CP~PO5020004141-13_OB~AWA_PK~NONE</v>
      </c>
      <c r="B318" t="str">
        <f t="shared" si="61"/>
        <v>Google Brasil</v>
      </c>
      <c r="C318" t="str">
        <f t="shared" si="62"/>
        <v>CH~DISPLAY_DT~MOBILE_PB~KAK_FM~BANNER_RT~CPM_PD~CROSSBORDER_BANNER_VIAJANTE_728X90_728X90_TG~BHVDEM_TS~NONE_SZ~728X90_DISPLAY_MK~BR_IT~DISPLAY_VV~NONE</v>
      </c>
      <c r="D318" t="str">
        <f t="shared" si="63"/>
        <v>251423949</v>
      </c>
      <c r="E318" t="str">
        <f t="shared" si="64"/>
        <v>Standard</v>
      </c>
      <c r="F318" t="str">
        <f t="shared" si="65"/>
        <v>CH~DISPLAY_DT~MOBILE_PB~KAK_FM~BANNER_RT~CPM_PD~CROSSBORDER_BANNER_VIAJANTE_728X90_728X90_TG~BHVDEM_TS~NONE_SZ~728X90_DISPLAY_MK~BR_IT~DISPLAY_VV~NONE</v>
      </c>
      <c r="G318" t="str">
        <f t="shared" si="66"/>
        <v>447398124</v>
      </c>
      <c r="H318" t="str">
        <f t="shared" si="67"/>
        <v>Display</v>
      </c>
      <c r="I318">
        <f t="shared" si="68"/>
        <v>1</v>
      </c>
      <c r="J318">
        <f t="shared" si="69"/>
        <v>0</v>
      </c>
      <c r="K318" s="4">
        <f t="shared" si="72"/>
        <v>3.8199999999999998E-2</v>
      </c>
      <c r="L318">
        <f t="shared" si="73"/>
        <v>0.09</v>
      </c>
      <c r="M318" s="4">
        <f t="shared" si="70"/>
        <v>3.82E-5</v>
      </c>
      <c r="N318" s="4">
        <f t="shared" si="71"/>
        <v>8.9999999999999992E-5</v>
      </c>
    </row>
    <row r="319" spans="1:14">
      <c r="A319" t="str">
        <f t="shared" si="60"/>
        <v>MK~LM_CN~CROSS_BORDER_PREMIUM_MN~NONE_YQ~19Q1Q4_CP~PO5020004141-13_OB~AWA_PK~NONE</v>
      </c>
      <c r="B319" t="str">
        <f t="shared" si="61"/>
        <v>Google Brasil</v>
      </c>
      <c r="C319" t="str">
        <f t="shared" si="62"/>
        <v>CH~DISPLAY_DT~MULTI_PB~GDBM_FM~BANNER_RT~CPM_PD~CROSSBORDER_CASHBACK_NAOCADASTRADOS_DNA_VIAJANTES_DBM_300X250_300X250_TG~BHVDEM_TS~NONE_SZ~300X250_PROGRAMMATIC_MK~BR_IT~PROGRAMMATIC_VV~NONE</v>
      </c>
      <c r="D319" t="str">
        <f t="shared" si="63"/>
        <v>238517612</v>
      </c>
      <c r="E319" t="str">
        <f t="shared" si="64"/>
        <v>Standard</v>
      </c>
      <c r="F319" t="str">
        <f t="shared" si="65"/>
        <v>CH~DISPLAY_DT~MULTI_PB~GDBM_FM~BANNER_RT~CPM_PD~CROSSBORDER_CASHBACK_NAOCADASTRADOS_DNA_VIAJANTES_DBM_300X250_300X250_TG~BHVDEM_TS~NONE_SZ~300X250_PROGRAMMATIC_MK~BR_IT~PROGRAMMATIC_VV~NONE</v>
      </c>
      <c r="G319" t="str">
        <f t="shared" si="66"/>
        <v>435795051</v>
      </c>
      <c r="H319" t="str">
        <f t="shared" si="67"/>
        <v>Display</v>
      </c>
      <c r="I319">
        <f t="shared" si="68"/>
        <v>300</v>
      </c>
      <c r="J319">
        <f t="shared" si="69"/>
        <v>22</v>
      </c>
      <c r="K319" s="4">
        <f t="shared" si="72"/>
        <v>3.8199999999999998E-2</v>
      </c>
      <c r="L319">
        <f t="shared" si="73"/>
        <v>0.09</v>
      </c>
      <c r="M319" s="4">
        <f t="shared" si="70"/>
        <v>1.146E-2</v>
      </c>
      <c r="N319" s="4">
        <f t="shared" si="71"/>
        <v>2.7E-2</v>
      </c>
    </row>
    <row r="320" spans="1:14">
      <c r="A320" t="str">
        <f t="shared" si="60"/>
        <v>MK~LM_CN~CROSS_BORDER_PREMIUM_MN~NONE_YQ~19Q1Q4_CP~PO5020004141-13_OB~AWA_PK~NONE</v>
      </c>
      <c r="B320" t="str">
        <f t="shared" si="61"/>
        <v>Google Brasil</v>
      </c>
      <c r="C320" t="str">
        <f t="shared" si="62"/>
        <v>CH~DISPLAY_DT~MULTI_PB~GDV_FM~BANNER_RT~CPM_PD~CROSSBORDER_BANNER_GOURMET_DV360_160X600_160X600_TG~BHVDEM_TS~NONE_SZ~160X600_DISPLAY_MK~BR_IT~DISPLAY_VV~NONE</v>
      </c>
      <c r="D320" t="str">
        <f t="shared" si="63"/>
        <v>251369417</v>
      </c>
      <c r="E320" t="str">
        <f t="shared" si="64"/>
        <v>Standard</v>
      </c>
      <c r="F320" t="str">
        <f t="shared" si="65"/>
        <v>CH~DISPLAY_DT~MULTI_PB~GDV_FM~BANNER_RT~CPM_PD~CROSSBORDER_BANNER_GOURMET_DV360_160X600_160X600_TG~BHVDEM_TS~NONE_SZ~160X600_DISPLAY_MK~BR_IT~DISPLAY_VV~NONE</v>
      </c>
      <c r="G320" t="str">
        <f t="shared" si="66"/>
        <v>447716043</v>
      </c>
      <c r="H320" t="str">
        <f t="shared" si="67"/>
        <v>Display</v>
      </c>
      <c r="I320">
        <f t="shared" si="68"/>
        <v>12190</v>
      </c>
      <c r="J320">
        <f t="shared" si="69"/>
        <v>11</v>
      </c>
      <c r="K320" s="4">
        <f t="shared" si="72"/>
        <v>3.8199999999999998E-2</v>
      </c>
      <c r="L320">
        <f t="shared" si="73"/>
        <v>0.09</v>
      </c>
      <c r="M320" s="4">
        <f t="shared" si="70"/>
        <v>0.46565799999999996</v>
      </c>
      <c r="N320" s="4">
        <f t="shared" si="71"/>
        <v>1.0971</v>
      </c>
    </row>
    <row r="321" spans="1:14">
      <c r="A321" t="str">
        <f t="shared" si="60"/>
        <v>MK~LM_CN~CROSS_BORDER_PREMIUM_MN~NONE_YQ~19Q1Q4_CP~PO5020004141-13_OB~AWA_PK~NONE</v>
      </c>
      <c r="B321" t="str">
        <f t="shared" si="61"/>
        <v>Google Brasil</v>
      </c>
      <c r="C321" t="str">
        <f t="shared" si="62"/>
        <v>CH~DISPLAY_DT~MULTI_PB~GDV_FM~BANNER_RT~CPM_PD~CROSSBORDER_BANNER_GOURMET_DV360_300X250_300X250_TG~BHVDEM_TS~NONE_SZ~300X250_DISPLAY_MK~BR_IT~DISPLAY_VV~NONE</v>
      </c>
      <c r="D321" t="str">
        <f t="shared" si="63"/>
        <v>251777586</v>
      </c>
      <c r="E321" t="str">
        <f t="shared" si="64"/>
        <v>Standard</v>
      </c>
      <c r="F321" t="str">
        <f t="shared" si="65"/>
        <v>CH~DISPLAY_DT~MULTI_PB~GDV_FM~BANNER_RT~CPM_PD~CROSSBORDER_BANNER_GOURMET_DV360_300X250_300X250_TG~BHVDEM_TS~NONE_SZ~300X250_DISPLAY_MK~BR_IT~DISPLAY_VV~NONE</v>
      </c>
      <c r="G321" t="str">
        <f t="shared" si="66"/>
        <v>447864766</v>
      </c>
      <c r="H321" t="str">
        <f t="shared" si="67"/>
        <v>Display</v>
      </c>
      <c r="I321">
        <f t="shared" si="68"/>
        <v>241964</v>
      </c>
      <c r="J321">
        <f t="shared" si="69"/>
        <v>104</v>
      </c>
      <c r="K321" s="4">
        <f t="shared" si="72"/>
        <v>3.8199999999999998E-2</v>
      </c>
      <c r="L321">
        <f t="shared" si="73"/>
        <v>0.09</v>
      </c>
      <c r="M321" s="4">
        <f t="shared" si="70"/>
        <v>9.2430247999999988</v>
      </c>
      <c r="N321" s="4">
        <f t="shared" si="71"/>
        <v>21.776759999999999</v>
      </c>
    </row>
    <row r="322" spans="1:14">
      <c r="A322" t="str">
        <f t="shared" ref="A322:A385" si="74">bd_campaign</f>
        <v>MK~LM_CN~CROSS_BORDER_PREMIUM_MN~NONE_YQ~19Q1Q4_CP~PO5020004141-13_OB~AWA_PK~NONE</v>
      </c>
      <c r="B322" t="str">
        <f t="shared" ref="B322:B385" si="75">bd_site</f>
        <v>Google Brasil</v>
      </c>
      <c r="C322" t="str">
        <f t="shared" ref="C322:C385" si="76">bd_placement</f>
        <v>CH~DISPLAY_DT~MULTI_PB~GDV_FM~BANNER_RT~CPM_PD~CROSSBORDER_BANNER_GOURMET_DV360_300X50_300X50_TG~BHVDEM_TS~NONE_SZ~300X50_DISPLAY_MK~BR_IT~DISPLAY_VV~NONE</v>
      </c>
      <c r="D322" t="str">
        <f t="shared" ref="D322:D385" si="77">bd_placementID</f>
        <v>251369429</v>
      </c>
      <c r="E322" t="str">
        <f t="shared" ref="E322:E385" si="78">VLOOKUP(CONCATENATE(bd_adtype,"_",bd_creativetype),tabela,2,FALSE)</f>
        <v>Standard</v>
      </c>
      <c r="F322" t="str">
        <f t="shared" ref="F322:F385" si="79">bd_ad</f>
        <v>CH~DISPLAY_DT~MULTI_PB~GDV_FM~BANNER_RT~CPM_PD~CROSSBORDER_BANNER_GOURMET_DV360_300X50_300X50_TG~BHVDEM_TS~NONE_SZ~300X50_DISPLAY_MK~BR_IT~DISPLAY_VV~NONE</v>
      </c>
      <c r="G322" t="str">
        <f t="shared" ref="G322:G385" si="80">bd_adid</f>
        <v>447864952</v>
      </c>
      <c r="H322" t="str">
        <f t="shared" ref="H322:H385" si="81">bd_creativetype</f>
        <v>Display</v>
      </c>
      <c r="I322">
        <f t="shared" ref="I322:I385" si="82">bd_impression</f>
        <v>51255</v>
      </c>
      <c r="J322">
        <f t="shared" ref="J322:J385" si="83">bd_clicks</f>
        <v>35</v>
      </c>
      <c r="K322" s="4">
        <f t="shared" si="72"/>
        <v>3.8199999999999998E-2</v>
      </c>
      <c r="L322">
        <f t="shared" si="73"/>
        <v>0.09</v>
      </c>
      <c r="M322" s="4">
        <f t="shared" si="70"/>
        <v>1.9579409999999997</v>
      </c>
      <c r="N322" s="4">
        <f t="shared" si="71"/>
        <v>4.6129499999999997</v>
      </c>
    </row>
    <row r="323" spans="1:14">
      <c r="A323" t="str">
        <f t="shared" si="74"/>
        <v>MK~LM_CN~CROSS_BORDER_PREMIUM_MN~NONE_YQ~19Q1Q4_CP~PO5020004141-13_OB~AWA_PK~NONE</v>
      </c>
      <c r="B323" t="str">
        <f t="shared" si="75"/>
        <v>Google Brasil</v>
      </c>
      <c r="C323" t="str">
        <f t="shared" si="76"/>
        <v>CH~DISPLAY_DT~MULTI_PB~GDV_FM~BANNER_RT~CPM_PD~CROSSBORDER_BANNER_GOURMET_DV360_300X600_300X600_TG~BHVDEM_TS~NONE_SZ~300X600_DISPLAY_MK~BR_IT~DISPLAY_VV~NONE</v>
      </c>
      <c r="D323" t="str">
        <f t="shared" si="77"/>
        <v>251690296</v>
      </c>
      <c r="E323" t="str">
        <f t="shared" si="78"/>
        <v>Standard</v>
      </c>
      <c r="F323" t="str">
        <f t="shared" si="79"/>
        <v>CH~DISPLAY_DT~MULTI_PB~GDV_FM~BANNER_RT~CPM_PD~CROSSBORDER_BANNER_GOURMET_DV360_300X600_300X600_TG~BHVDEM_TS~NONE_SZ~300X600_DISPLAY_MK~BR_IT~DISPLAY_VV~NONE</v>
      </c>
      <c r="G323" t="str">
        <f t="shared" si="80"/>
        <v>447772922</v>
      </c>
      <c r="H323" t="str">
        <f t="shared" si="81"/>
        <v>Display</v>
      </c>
      <c r="I323">
        <f t="shared" si="82"/>
        <v>24221</v>
      </c>
      <c r="J323">
        <f t="shared" si="83"/>
        <v>16</v>
      </c>
      <c r="K323" s="4">
        <f t="shared" si="72"/>
        <v>3.8199999999999998E-2</v>
      </c>
      <c r="L323">
        <f t="shared" si="73"/>
        <v>0.09</v>
      </c>
      <c r="M323" s="4">
        <f t="shared" si="70"/>
        <v>0.9252421999999999</v>
      </c>
      <c r="N323" s="4">
        <f t="shared" si="71"/>
        <v>2.1798899999999999</v>
      </c>
    </row>
    <row r="324" spans="1:14">
      <c r="A324" t="str">
        <f t="shared" si="74"/>
        <v>MK~LM_CN~CROSS_BORDER_PREMIUM_MN~NONE_YQ~19Q1Q4_CP~PO5020004141-13_OB~AWA_PK~NONE</v>
      </c>
      <c r="B324" t="str">
        <f t="shared" si="75"/>
        <v>Google Brasil</v>
      </c>
      <c r="C324" t="str">
        <f t="shared" si="76"/>
        <v>CH~DISPLAY_DT~MULTI_PB~GDV_FM~BANNER_RT~CPM_PD~CROSSBORDER_BANNER_GOURMET_DV360_728X90_728X90_TG~BHVDEM_TS~NONE_SZ~728X90_DISPLAY_MK~BR_IT~DISPLAY_VV~NONE</v>
      </c>
      <c r="D324" t="str">
        <f t="shared" si="77"/>
        <v>251793729</v>
      </c>
      <c r="E324" t="str">
        <f t="shared" si="78"/>
        <v>Standard</v>
      </c>
      <c r="F324" t="str">
        <f t="shared" si="79"/>
        <v>CH~DISPLAY_DT~MULTI_PB~GDV_FM~BANNER_RT~CPM_PD~CROSSBORDER_BANNER_GOURMET_DV360_728X90_728X90_TG~BHVDEM_TS~NONE_SZ~728X90_DISPLAY_MK~BR_IT~DISPLAY_VV~NONE</v>
      </c>
      <c r="G324" t="str">
        <f t="shared" si="80"/>
        <v>447772988</v>
      </c>
      <c r="H324" t="str">
        <f t="shared" si="81"/>
        <v>Display</v>
      </c>
      <c r="I324">
        <f t="shared" si="82"/>
        <v>14380</v>
      </c>
      <c r="J324">
        <f t="shared" si="83"/>
        <v>7</v>
      </c>
      <c r="K324" s="4">
        <f t="shared" si="72"/>
        <v>3.8199999999999998E-2</v>
      </c>
      <c r="L324">
        <f t="shared" si="73"/>
        <v>0.09</v>
      </c>
      <c r="M324" s="4">
        <f t="shared" si="70"/>
        <v>0.54931599999999992</v>
      </c>
      <c r="N324" s="4">
        <f t="shared" si="71"/>
        <v>1.2942</v>
      </c>
    </row>
    <row r="325" spans="1:14">
      <c r="A325" t="str">
        <f t="shared" si="74"/>
        <v>MK~LM_CN~CROSS_BORDER_PREMIUM_MN~NONE_YQ~19Q1Q4_CP~PO5020004141-13_OB~AWA_PK~NONE</v>
      </c>
      <c r="B325" t="str">
        <f t="shared" si="75"/>
        <v>Google Brasil</v>
      </c>
      <c r="C325" t="str">
        <f t="shared" si="76"/>
        <v>CH~DISPLAY_DT~MULTI_PB~GDV_FM~BANNER_RT~CPM_PD~CROSSBORDER_BANNER_VIAJANTE_DV360_160X600_160X600_TG~BHVDEM_TS~NONE_SZ~160X600_DISPLAY_MK~BR_IT~DISPLAY_VV~NONE</v>
      </c>
      <c r="D325" t="str">
        <f t="shared" si="77"/>
        <v>251794041</v>
      </c>
      <c r="E325" t="str">
        <f t="shared" si="78"/>
        <v>Standard</v>
      </c>
      <c r="F325" t="str">
        <f t="shared" si="79"/>
        <v>CH~DISPLAY_DT~MULTI_PB~GDV_FM~BANNER_RT~CPM_PD~CROSSBORDER_BANNER_VIAJANTE_DV360_160X600_160X600_TG~BHVDEM_TS~NONE_SZ~160X600_DISPLAY_MK~BR_IT~DISPLAY_VV~NONE</v>
      </c>
      <c r="G325" t="str">
        <f t="shared" si="80"/>
        <v>447865006</v>
      </c>
      <c r="H325" t="str">
        <f t="shared" si="81"/>
        <v>Display</v>
      </c>
      <c r="I325">
        <f t="shared" si="82"/>
        <v>5525</v>
      </c>
      <c r="J325">
        <f t="shared" si="83"/>
        <v>4</v>
      </c>
      <c r="K325" s="4">
        <f t="shared" si="72"/>
        <v>3.8199999999999998E-2</v>
      </c>
      <c r="L325">
        <f t="shared" si="73"/>
        <v>0.09</v>
      </c>
      <c r="M325" s="4">
        <f t="shared" si="70"/>
        <v>0.21105499999999996</v>
      </c>
      <c r="N325" s="4">
        <f t="shared" si="71"/>
        <v>0.49725000000000003</v>
      </c>
    </row>
    <row r="326" spans="1:14">
      <c r="A326" t="str">
        <f t="shared" si="74"/>
        <v>MK~LM_CN~CROSS_BORDER_PREMIUM_MN~NONE_YQ~19Q1Q4_CP~PO5020004141-13_OB~AWA_PK~NONE</v>
      </c>
      <c r="B326" t="str">
        <f t="shared" si="75"/>
        <v>Google Brasil</v>
      </c>
      <c r="C326" t="str">
        <f t="shared" si="76"/>
        <v>CH~DISPLAY_DT~MULTI_PB~GDV_FM~BANNER_RT~CPM_PD~CROSSBORDER_BANNER_VIAJANTE_DV360_300X250_300X250_TG~BHVDEM_TS~NONE_SZ~300X250_DISPLAY_MK~BR_IT~DISPLAY_VV~NONE</v>
      </c>
      <c r="D326" t="str">
        <f t="shared" si="77"/>
        <v>251793786</v>
      </c>
      <c r="E326" t="str">
        <f t="shared" si="78"/>
        <v>Standard</v>
      </c>
      <c r="F326" t="str">
        <f t="shared" si="79"/>
        <v>CH~DISPLAY_DT~MULTI_PB~GDV_FM~BANNER_RT~CPM_PD~CROSSBORDER_BANNER_VIAJANTE_DV360_300X250_300X250_TG~BHVDEM_TS~NONE_SZ~300X250_DISPLAY_MK~BR_IT~DISPLAY_VV~NONE</v>
      </c>
      <c r="G326" t="str">
        <f t="shared" si="80"/>
        <v>447774620</v>
      </c>
      <c r="H326" t="str">
        <f t="shared" si="81"/>
        <v>Display</v>
      </c>
      <c r="I326">
        <f t="shared" si="82"/>
        <v>132810</v>
      </c>
      <c r="J326">
        <f t="shared" si="83"/>
        <v>71</v>
      </c>
      <c r="K326" s="4">
        <f t="shared" si="72"/>
        <v>3.8199999999999998E-2</v>
      </c>
      <c r="L326">
        <f t="shared" si="73"/>
        <v>0.09</v>
      </c>
      <c r="M326" s="4">
        <f t="shared" si="70"/>
        <v>5.0733419999999994</v>
      </c>
      <c r="N326" s="4">
        <f t="shared" si="71"/>
        <v>11.9529</v>
      </c>
    </row>
    <row r="327" spans="1:14">
      <c r="A327" t="str">
        <f t="shared" si="74"/>
        <v>MK~LM_CN~CROSS_BORDER_PREMIUM_MN~NONE_YQ~19Q1Q4_CP~PO5020004141-13_OB~AWA_PK~NONE</v>
      </c>
      <c r="B327" t="str">
        <f t="shared" si="75"/>
        <v>Google Brasil</v>
      </c>
      <c r="C327" t="str">
        <f t="shared" si="76"/>
        <v>CH~DISPLAY_DT~MULTI_PB~GDV_FM~BANNER_RT~CPM_PD~CROSSBORDER_BANNER_VIAJANTE_DV360_300X50_300X50_TG~BHVDEM_TS~NONE_SZ~300X50_DISPLAY_MK~BR_IT~DISPLAY_VV~NONE</v>
      </c>
      <c r="D327" t="str">
        <f t="shared" si="77"/>
        <v>251385977</v>
      </c>
      <c r="E327" t="str">
        <f t="shared" si="78"/>
        <v>Standard</v>
      </c>
      <c r="F327" t="str">
        <f t="shared" si="79"/>
        <v>CH~DISPLAY_DT~MULTI_PB~GDV_FM~BANNER_RT~CPM_PD~CROSSBORDER_BANNER_VIAJANTE_DV360_300X50_300X50_TG~BHVDEM_TS~NONE_SZ~300X50_DISPLAY_MK~BR_IT~DISPLAY_VV~NONE</v>
      </c>
      <c r="G327" t="str">
        <f t="shared" si="80"/>
        <v>447865087</v>
      </c>
      <c r="H327" t="str">
        <f t="shared" si="81"/>
        <v>Display</v>
      </c>
      <c r="I327">
        <f t="shared" si="82"/>
        <v>34278</v>
      </c>
      <c r="J327">
        <f t="shared" si="83"/>
        <v>20</v>
      </c>
      <c r="K327" s="4">
        <f t="shared" si="72"/>
        <v>3.8199999999999998E-2</v>
      </c>
      <c r="L327">
        <f t="shared" si="73"/>
        <v>0.09</v>
      </c>
      <c r="M327" s="4">
        <f t="shared" si="70"/>
        <v>1.3094196</v>
      </c>
      <c r="N327" s="4">
        <f t="shared" si="71"/>
        <v>3.0850200000000001</v>
      </c>
    </row>
    <row r="328" spans="1:14">
      <c r="A328" t="str">
        <f t="shared" si="74"/>
        <v>MK~LM_CN~CROSS_BORDER_PREMIUM_MN~NONE_YQ~19Q1Q4_CP~PO5020004141-13_OB~AWA_PK~NONE</v>
      </c>
      <c r="B328" t="str">
        <f t="shared" si="75"/>
        <v>Google Brasil</v>
      </c>
      <c r="C328" t="str">
        <f t="shared" si="76"/>
        <v>CH~DISPLAY_DT~MULTI_PB~GDV_FM~BANNER_RT~CPM_PD~CROSSBORDER_BANNER_VIAJANTE_DV360_300X600_300X600_TG~BHVDEM_TS~NONE_SZ~300X600_DISPLAY_MK~BR_IT~DISPLAY_VV~NONE</v>
      </c>
      <c r="D328" t="str">
        <f t="shared" si="77"/>
        <v>251795715</v>
      </c>
      <c r="E328" t="str">
        <f t="shared" si="78"/>
        <v>Standard</v>
      </c>
      <c r="F328" t="str">
        <f t="shared" si="79"/>
        <v>CH~DISPLAY_DT~MULTI_PB~GDV_FM~BANNER_RT~CPM_PD~CROSSBORDER_BANNER_VIAJANTE_DV360_300X600_300X600_TG~BHVDEM_TS~NONE_SZ~300X600_DISPLAY_MK~BR_IT~DISPLAY_VV~NONE</v>
      </c>
      <c r="G328" t="str">
        <f t="shared" si="80"/>
        <v>447865027</v>
      </c>
      <c r="H328" t="str">
        <f t="shared" si="81"/>
        <v>Display</v>
      </c>
      <c r="I328">
        <f t="shared" si="82"/>
        <v>35313</v>
      </c>
      <c r="J328">
        <f t="shared" si="83"/>
        <v>32</v>
      </c>
      <c r="K328" s="4">
        <f t="shared" si="72"/>
        <v>3.8199999999999998E-2</v>
      </c>
      <c r="L328">
        <f t="shared" si="73"/>
        <v>0.09</v>
      </c>
      <c r="M328" s="4">
        <f t="shared" si="70"/>
        <v>1.3489566</v>
      </c>
      <c r="N328" s="4">
        <f t="shared" si="71"/>
        <v>3.1781700000000002</v>
      </c>
    </row>
    <row r="329" spans="1:14">
      <c r="A329" t="str">
        <f t="shared" si="74"/>
        <v>MK~LM_CN~CROSS_BORDER_PREMIUM_MN~NONE_YQ~19Q1Q4_CP~PO5020004141-13_OB~AWA_PK~NONE</v>
      </c>
      <c r="B329" t="str">
        <f t="shared" si="75"/>
        <v>Google Brasil</v>
      </c>
      <c r="C329" t="str">
        <f t="shared" si="76"/>
        <v>CH~DISPLAY_DT~MULTI_PB~GDV_FM~BANNER_RT~CPM_PD~CROSSBORDER_BANNER_VIAJANTE_DV360_728X90_728X90_TG~BHVDEM_TS~NONE_SZ~728X90_DISPLAY_MK~BR_IT~DISPLAY_VV~NONE</v>
      </c>
      <c r="D329" t="str">
        <f t="shared" si="77"/>
        <v>251796870</v>
      </c>
      <c r="E329" t="str">
        <f t="shared" si="78"/>
        <v>Standard</v>
      </c>
      <c r="F329" t="str">
        <f t="shared" si="79"/>
        <v>CH~DISPLAY_DT~MULTI_PB~GDV_FM~BANNER_RT~CPM_PD~CROSSBORDER_BANNER_VIAJANTE_DV360_728X90_728X90_TG~BHVDEM_TS~NONE_SZ~728X90_DISPLAY_MK~BR_IT~DISPLAY_VV~NONE</v>
      </c>
      <c r="G329" t="str">
        <f t="shared" si="80"/>
        <v>447865114</v>
      </c>
      <c r="H329" t="str">
        <f t="shared" si="81"/>
        <v>Display</v>
      </c>
      <c r="I329">
        <f t="shared" si="82"/>
        <v>74091</v>
      </c>
      <c r="J329">
        <f t="shared" si="83"/>
        <v>72</v>
      </c>
      <c r="K329" s="4">
        <f t="shared" si="72"/>
        <v>3.8199999999999998E-2</v>
      </c>
      <c r="L329">
        <f t="shared" si="73"/>
        <v>0.09</v>
      </c>
      <c r="M329" s="4">
        <f t="shared" si="70"/>
        <v>2.8302761999999997</v>
      </c>
      <c r="N329" s="4">
        <f t="shared" si="71"/>
        <v>6.6681899999999992</v>
      </c>
    </row>
    <row r="330" spans="1:14">
      <c r="A330" t="str">
        <f t="shared" si="74"/>
        <v>MK~LM_CN~CROSS_BORDER_PREMIUM_MN~NONE_YQ~19Q1Q4_CP~PO5020004141-13_OB~AWA_PK~NONE</v>
      </c>
      <c r="B330" t="str">
        <f t="shared" si="75"/>
        <v>Google Brasil</v>
      </c>
      <c r="C330" t="str">
        <f t="shared" si="76"/>
        <v>CH~DISPLAY_DT~MULTI_PB~KAK_FM~BANNER_RT~CPM_PD~CROSSBORDER_BANNER_GOURMET_300X600_300X600_TG~BHVDEM_TS~NONE_SZ~300X600_DISPLAY_MK~BR_IT~DISPLAY_VV~NONE</v>
      </c>
      <c r="D330" t="str">
        <f t="shared" si="77"/>
        <v>251293520</v>
      </c>
      <c r="E330" t="str">
        <f t="shared" si="78"/>
        <v>Standard</v>
      </c>
      <c r="F330" t="str">
        <f t="shared" si="79"/>
        <v>CH~DISPLAY_DT~MULTI_PB~KAK_FM~BANNER_RT~CPM_PD~CROSSBORDER_BANNER_GOURMET_300X600_300X600_TG~BHVDEM_TS~NONE_SZ~300X600_DISPLAY_MK~BR_IT~DISPLAY_VV~NONE</v>
      </c>
      <c r="G330" t="str">
        <f t="shared" si="80"/>
        <v>447695084</v>
      </c>
      <c r="H330" t="str">
        <f t="shared" si="81"/>
        <v>Display</v>
      </c>
      <c r="I330">
        <f t="shared" si="82"/>
        <v>26830</v>
      </c>
      <c r="J330">
        <f t="shared" si="83"/>
        <v>36</v>
      </c>
      <c r="K330" s="4">
        <f t="shared" si="72"/>
        <v>3.8199999999999998E-2</v>
      </c>
      <c r="L330">
        <f t="shared" si="73"/>
        <v>0.09</v>
      </c>
      <c r="M330" s="4">
        <f t="shared" si="70"/>
        <v>1.0249059999999999</v>
      </c>
      <c r="N330" s="4">
        <f t="shared" si="71"/>
        <v>2.4146999999999998</v>
      </c>
    </row>
    <row r="331" spans="1:14">
      <c r="A331" t="str">
        <f t="shared" si="74"/>
        <v>MK~LM_CN~CROSS_BORDER_PREMIUM_MN~NONE_YQ~19Q1Q4_CP~PO5020004141-13_OB~AWA_PK~NONE</v>
      </c>
      <c r="B331" t="str">
        <f t="shared" si="75"/>
        <v>Google Brasil</v>
      </c>
      <c r="C331" t="str">
        <f t="shared" si="76"/>
        <v>CH~DISPLAY_DT~MULTI_PB~KAK_FM~BANNER_RT~CPM_PD~CROSSBORDER_BANNER_VIAJANTE_300X600_300X600_TG~BHVDEM_TS~NONE_SZ~300X600_DISPLAY_MK~BR_IT~DISPLAY_VV~NONE</v>
      </c>
      <c r="D331" t="str">
        <f t="shared" si="77"/>
        <v>251694816</v>
      </c>
      <c r="E331" t="str">
        <f t="shared" si="78"/>
        <v>Standard</v>
      </c>
      <c r="F331" t="str">
        <f t="shared" si="79"/>
        <v>CH~DISPLAY_DT~MULTI_PB~KAK_FM~BANNER_RT~CPM_PD~CROSSBORDER_BANNER_VIAJANTE_300X600_300X600_TG~BHVDEM_TS~NONE_SZ~300X600_DISPLAY_MK~BR_IT~DISPLAY_VV~NONE</v>
      </c>
      <c r="G331" t="str">
        <f t="shared" si="80"/>
        <v>447777235</v>
      </c>
      <c r="H331" t="str">
        <f t="shared" si="81"/>
        <v>Display</v>
      </c>
      <c r="I331">
        <f t="shared" si="82"/>
        <v>25615</v>
      </c>
      <c r="J331">
        <f t="shared" si="83"/>
        <v>36</v>
      </c>
      <c r="K331" s="4">
        <f t="shared" si="72"/>
        <v>3.8199999999999998E-2</v>
      </c>
      <c r="L331">
        <f t="shared" si="73"/>
        <v>0.09</v>
      </c>
      <c r="M331" s="4">
        <f t="shared" si="70"/>
        <v>0.97849299999999995</v>
      </c>
      <c r="N331" s="4">
        <f t="shared" si="71"/>
        <v>2.3053499999999998</v>
      </c>
    </row>
    <row r="332" spans="1:14">
      <c r="A332" t="str">
        <f t="shared" si="74"/>
        <v>MK~LM_CN~CROSS_BORDER_PREMIUM_MN~NONE_YQ~19Q1Q4_CP~PO5020004141-13_OB~AWA_PK~NONE</v>
      </c>
      <c r="B332" t="str">
        <f t="shared" si="75"/>
        <v>Logan Media</v>
      </c>
      <c r="C332" t="str">
        <f t="shared" si="76"/>
        <v>CH~DISPLAY_DT~MULTI_PB~LGN_FM~PUSHNOTIFICATION_RT~CPM_PD~CROSSBORDER_PUSHNOTIFICATIOON_LOGAN_320X50_320X50_TG~BHVDEM_TS~NONE_SZ~320X50_DISPLAY_MK~BR_IT~DISPLAY_VV~NONE</v>
      </c>
      <c r="D332" t="str">
        <f t="shared" si="77"/>
        <v>251591877</v>
      </c>
      <c r="E332" t="str">
        <f t="shared" si="78"/>
        <v>Dynamic Click</v>
      </c>
      <c r="F332" t="str">
        <f t="shared" si="79"/>
        <v>CH~DISPLAY_DT~MULTI_PB~LGN_FM~PUSHNOTIFICATION_RT~CPM_PD~CROSSBORDER_PUSHNOTIFICATIOON_LOGAN_320X50_320X50_TG~BHVDEM_TS~NONE_SZ~320X50_DISPLAY_MK~BR_IT~DISPLAY_VV~NONE</v>
      </c>
      <c r="G332" t="str">
        <f t="shared" si="80"/>
        <v>447564630</v>
      </c>
      <c r="H332" t="str">
        <f t="shared" si="81"/>
        <v>Tracking</v>
      </c>
      <c r="I332">
        <f t="shared" si="82"/>
        <v>0</v>
      </c>
      <c r="J332">
        <f t="shared" si="83"/>
        <v>261</v>
      </c>
      <c r="K332" s="4">
        <f t="shared" si="72"/>
        <v>3.5000000000000001E-3</v>
      </c>
      <c r="L332">
        <f t="shared" si="73"/>
        <v>0.02</v>
      </c>
      <c r="M332" s="4">
        <f t="shared" si="70"/>
        <v>0.91349999999999998</v>
      </c>
      <c r="N332" s="4">
        <f t="shared" si="71"/>
        <v>5.22</v>
      </c>
    </row>
    <row r="333" spans="1:14">
      <c r="A333" t="str">
        <f t="shared" si="74"/>
        <v>MK~LM_CN~CROSS_BORDER_PREMIUM_MN~NONE_YQ~19Q1Q4_CP~PO5020004141-13_OB~AWA_PK~NONE</v>
      </c>
      <c r="B333" t="str">
        <f t="shared" si="75"/>
        <v>Logan Media</v>
      </c>
      <c r="C333" t="str">
        <f t="shared" si="76"/>
        <v>CH~DISPLAY_DT~MULTI_PB~LGN_FM~PUSHNOTIFICATION_RT~CPM_PD~CROSSBORDER_PUSHNOTIFICATIOON_LOGAN_400X250_400X250_TG~BHVDEM_TS~NONE_SZ~400X250_DISPLAY_MK~BR_IT~DISPLAY_VV~NONE</v>
      </c>
      <c r="D333" t="str">
        <f t="shared" si="77"/>
        <v>251599506</v>
      </c>
      <c r="E333" t="str">
        <f t="shared" si="78"/>
        <v>Dynamic Click</v>
      </c>
      <c r="F333" t="str">
        <f t="shared" si="79"/>
        <v>CH~DISPLAY_DT~MULTI_PB~LGN_FM~PUSHNOTIFICATION_RT~CPM_PD~CROSSBORDER_PUSHNOTIFICATIOON_LOGAN_400X250_400X250_TG~BHVDEM_TS~NONE_SZ~400X250_DISPLAY_MK~BR_IT~DISPLAY_VV~NONE</v>
      </c>
      <c r="G333" t="str">
        <f t="shared" si="80"/>
        <v>447694447</v>
      </c>
      <c r="H333" t="str">
        <f t="shared" si="81"/>
        <v>Tracking</v>
      </c>
      <c r="I333">
        <f t="shared" si="82"/>
        <v>0</v>
      </c>
      <c r="J333">
        <f t="shared" si="83"/>
        <v>162</v>
      </c>
      <c r="K333" s="4">
        <f t="shared" si="72"/>
        <v>3.5000000000000001E-3</v>
      </c>
      <c r="L333">
        <f t="shared" si="73"/>
        <v>0.02</v>
      </c>
      <c r="M333" s="4">
        <f t="shared" si="70"/>
        <v>0.56700000000000006</v>
      </c>
      <c r="N333" s="4">
        <f t="shared" si="71"/>
        <v>3.24</v>
      </c>
    </row>
    <row r="334" spans="1:14">
      <c r="A334" t="str">
        <f t="shared" si="74"/>
        <v>MK~LM_CN~CROSS_BORDER_PREMIUM_MN~NONE_YQ~19Q1Q4_CP~PO5020004141-13_OB~AWA_PK~NONE</v>
      </c>
      <c r="B334" t="str">
        <f t="shared" si="75"/>
        <v>Logan Media</v>
      </c>
      <c r="C334" t="str">
        <f t="shared" si="76"/>
        <v>CH~DISPLAY_DT~MULTI_PB~LGN_FM~PUSHNOTIFICATION_RT~CPM_PD~CROSSBORDER_PUSHNOTIFICATIOON_LOGAN_728X90_728X90_TG~BHVDEM_TS~NONE_SZ~728X90_DISPLAY_MK~BR_IT~DISPLAY_VV~NONE</v>
      </c>
      <c r="D334" t="str">
        <f t="shared" si="77"/>
        <v>251205614</v>
      </c>
      <c r="E334" t="str">
        <f t="shared" si="78"/>
        <v>Dynamic Click</v>
      </c>
      <c r="F334" t="str">
        <f t="shared" si="79"/>
        <v>CH~DISPLAY_DT~MULTI_PB~LGN_FM~PUSHNOTIFICATION_RT~CPM_PD~CROSSBORDER_PUSHNOTIFICATIOON_LOGAN_728X90_728X90_TG~BHVDEM_TS~NONE_SZ~728X90_DISPLAY_MK~BR_IT~DISPLAY_VV~NONE</v>
      </c>
      <c r="G334" t="str">
        <f t="shared" si="80"/>
        <v>447694990</v>
      </c>
      <c r="H334" t="str">
        <f t="shared" si="81"/>
        <v>Tracking</v>
      </c>
      <c r="I334">
        <f t="shared" si="82"/>
        <v>0</v>
      </c>
      <c r="J334">
        <f t="shared" si="83"/>
        <v>109</v>
      </c>
      <c r="K334" s="4">
        <f t="shared" si="72"/>
        <v>3.5000000000000001E-3</v>
      </c>
      <c r="L334">
        <f t="shared" si="73"/>
        <v>0.02</v>
      </c>
      <c r="M334" s="4">
        <f t="shared" si="70"/>
        <v>0.38150000000000001</v>
      </c>
      <c r="N334" s="4">
        <f t="shared" si="71"/>
        <v>2.1800000000000002</v>
      </c>
    </row>
    <row r="335" spans="1:14">
      <c r="A335" t="str">
        <f t="shared" si="74"/>
        <v>MK~LM_CN~CROSS_BORDER_PREMIUM_MN~NONE_YQ~19Q1Q4_CP~PO5020004141-13_OB~AWA_PK~NONE</v>
      </c>
      <c r="B335" t="str">
        <f t="shared" si="75"/>
        <v>Logan Media</v>
      </c>
      <c r="C335" t="str">
        <f t="shared" si="76"/>
        <v>CH~DISPLAY_DT~MULTI_PB~LGN_FM~PUSHNOTIFICATION_RT~CPM_PD~CROSSBORDER_PUSHNOTIFICATIOON_LOGAN_72X72_72X72_TG~BHVDEM_TS~NONE_SZ~72X72_DISPLAY_MK~BR_IT~DISPLAY_VV~NONE</v>
      </c>
      <c r="D335" t="str">
        <f t="shared" si="77"/>
        <v>251502970</v>
      </c>
      <c r="E335" t="str">
        <f t="shared" si="78"/>
        <v>Dynamic Click</v>
      </c>
      <c r="F335" t="str">
        <f t="shared" si="79"/>
        <v>CH~DISPLAY_DT~MULTI_PB~LGN_FM~PUSHNOTIFICATION_RT~CPM_PD~CROSSBORDER_PUSHNOTIFICATIOON_LOGAN_72X72_72X72_TG~BHVDEM_TS~NONE_SZ~72X72_DISPLAY_MK~BR_IT~DISPLAY_VV~NONE</v>
      </c>
      <c r="G335" t="str">
        <f t="shared" si="80"/>
        <v>447694981</v>
      </c>
      <c r="H335" t="str">
        <f t="shared" si="81"/>
        <v>Tracking</v>
      </c>
      <c r="I335">
        <f t="shared" si="82"/>
        <v>0</v>
      </c>
      <c r="J335">
        <f t="shared" si="83"/>
        <v>8693</v>
      </c>
      <c r="K335" s="4">
        <f t="shared" si="72"/>
        <v>3.5000000000000001E-3</v>
      </c>
      <c r="L335">
        <f t="shared" si="73"/>
        <v>0.02</v>
      </c>
      <c r="M335" s="4">
        <f t="shared" si="70"/>
        <v>30.4255</v>
      </c>
      <c r="N335" s="4">
        <f t="shared" si="71"/>
        <v>173.86</v>
      </c>
    </row>
    <row r="336" spans="1:14">
      <c r="A336" t="str">
        <f t="shared" si="74"/>
        <v>MK~LM_CN~CROSS_BORDER_PREMIUM_MN~NONE_YQ~19Q1Q4_CP~PO5020004141-13_OB~AWA_PK~NONE</v>
      </c>
      <c r="B336" t="str">
        <f t="shared" si="75"/>
        <v>Logan Media</v>
      </c>
      <c r="C336" t="str">
        <f t="shared" si="76"/>
        <v>CH~DISPLAY_DT~MULTI_PB~LGN_FM~PUSHNOTIFICATION_RT~CPM_PD~CROSSBORDER_PUSHNOTIFICATIOON_LOGAN_96X96_96X96_TG~BHVDEM_TS~NONE_SZ~96X96_DISPLAY_MK~BR_IT~DISPLAY_VV~NONE</v>
      </c>
      <c r="D336" t="str">
        <f t="shared" si="77"/>
        <v>251600400</v>
      </c>
      <c r="E336" t="str">
        <f t="shared" si="78"/>
        <v>Dynamic Click</v>
      </c>
      <c r="F336" t="str">
        <f t="shared" si="79"/>
        <v>CH~DISPLAY_DT~MULTI_PB~LGN_FM~PUSHNOTIFICATION_RT~CPM_PD~CROSSBORDER_PUSHNOTIFICATIOON_LOGAN_96X96_96X96_TG~BHVDEM_TS~NONE_SZ~96X96_DISPLAY_MK~BR_IT~DISPLAY_VV~NONE</v>
      </c>
      <c r="G336" t="str">
        <f t="shared" si="80"/>
        <v>447695155</v>
      </c>
      <c r="H336" t="str">
        <f t="shared" si="81"/>
        <v>Tracking</v>
      </c>
      <c r="I336">
        <f t="shared" si="82"/>
        <v>0</v>
      </c>
      <c r="J336">
        <f t="shared" si="83"/>
        <v>1</v>
      </c>
      <c r="K336" s="4">
        <f t="shared" si="72"/>
        <v>3.5000000000000001E-3</v>
      </c>
      <c r="L336">
        <f t="shared" si="73"/>
        <v>0.02</v>
      </c>
      <c r="M336" s="4">
        <f t="shared" si="70"/>
        <v>3.5000000000000001E-3</v>
      </c>
      <c r="N336" s="4">
        <f t="shared" si="71"/>
        <v>0.02</v>
      </c>
    </row>
    <row r="337" spans="1:14">
      <c r="A337" t="str">
        <f t="shared" si="74"/>
        <v>MK~LM_CN~CROSS_BORDER_PREMIUM_MN~NONE_YQ~19Q1Q4_CP~PO5020004141-13_OB~AWA_PK~NONE</v>
      </c>
      <c r="B337" t="str">
        <f t="shared" si="75"/>
        <v>Verizon</v>
      </c>
      <c r="C337" t="str">
        <f t="shared" si="76"/>
        <v>CH~DISPLAY_DT~MULTI_PB~VRZ_FM~NATIVE_ADS_RT~CPC_PD~CROSSBORDER_NATIVE_GOURMET_627X627_627X627_TG~BHVDEM_TS~NONE_SZ~627X627_DISPLAY_MK~BR_IT~DISPLAY_VV~NONE</v>
      </c>
      <c r="D337" t="str">
        <f t="shared" si="77"/>
        <v>251618365</v>
      </c>
      <c r="E337" t="str">
        <f t="shared" si="78"/>
        <v>Dynamic Click</v>
      </c>
      <c r="F337" t="str">
        <f t="shared" si="79"/>
        <v>CH~DISPLAY_DT~MULTI_PB~VRZ_FM~NATIVE_ADS_RT~CPC_PD~CROSSBORDER_NATIVE_GOURMET_627X627_627X627_TG~BHVDEM_TS~NONE_SZ~627X627_DISPLAY_MK~BR_IT~DISPLAY_VV~NONE</v>
      </c>
      <c r="G337" t="str">
        <f t="shared" si="80"/>
        <v>447787279</v>
      </c>
      <c r="H337" t="str">
        <f t="shared" si="81"/>
        <v>Tracking</v>
      </c>
      <c r="I337">
        <f t="shared" si="82"/>
        <v>1217967</v>
      </c>
      <c r="J337">
        <f t="shared" si="83"/>
        <v>8517</v>
      </c>
      <c r="K337" s="4">
        <f t="shared" si="72"/>
        <v>3.5000000000000001E-3</v>
      </c>
      <c r="L337">
        <f t="shared" si="73"/>
        <v>0.02</v>
      </c>
      <c r="M337" s="4">
        <f t="shared" si="70"/>
        <v>29.8095</v>
      </c>
      <c r="N337" s="4">
        <f t="shared" si="71"/>
        <v>170.34</v>
      </c>
    </row>
    <row r="338" spans="1:14">
      <c r="A338" t="str">
        <f t="shared" si="74"/>
        <v>MK~LM_CN~CROSS_BORDER_PREMIUM_MN~NONE_YQ~19Q1Q4_CP~PO5020004141-13_OB~AWA_PK~NONE</v>
      </c>
      <c r="B338" t="str">
        <f t="shared" si="75"/>
        <v>Verizon</v>
      </c>
      <c r="C338" t="str">
        <f t="shared" si="76"/>
        <v>CH~DISPLAY_DT~MULTI_PB~VRZ_FM~NATIVE_ADS_RT~CPC_PD~CROSSBORDER_NATIVE_VIAJANTE_627X627_627X627_TG~BHVDEM_TS~NONE_SZ~627X627_DISPLAY_MK~BR_IT~DISPLAY_VV~NONE</v>
      </c>
      <c r="D338" t="str">
        <f t="shared" si="77"/>
        <v>251618410</v>
      </c>
      <c r="E338" t="str">
        <f t="shared" si="78"/>
        <v>Dynamic Click</v>
      </c>
      <c r="F338" t="str">
        <f t="shared" si="79"/>
        <v>CH~DISPLAY_DT~MULTI_PB~VRZ_FM~NATIVE_ADS_RT~CPC_PD~CROSSBORDER_NATIVE_VIAJANTE_627X627_627X627_TG~BHVDEM_TS~NONE_SZ~627X627_DISPLAY_MK~BR_IT~DISPLAY_VV~NONE</v>
      </c>
      <c r="G338" t="str">
        <f t="shared" si="80"/>
        <v>447786535</v>
      </c>
      <c r="H338" t="str">
        <f t="shared" si="81"/>
        <v>Tracking</v>
      </c>
      <c r="I338">
        <f t="shared" si="82"/>
        <v>892082</v>
      </c>
      <c r="J338">
        <f t="shared" si="83"/>
        <v>7100</v>
      </c>
      <c r="K338" s="4">
        <f t="shared" si="72"/>
        <v>3.5000000000000001E-3</v>
      </c>
      <c r="L338">
        <f t="shared" si="73"/>
        <v>0.02</v>
      </c>
      <c r="M338" s="4">
        <f t="shared" si="70"/>
        <v>24.85</v>
      </c>
      <c r="N338" s="4">
        <f t="shared" si="71"/>
        <v>142</v>
      </c>
    </row>
    <row r="339" spans="1:14">
      <c r="A339" t="str">
        <f t="shared" si="74"/>
        <v>MK~LM_CN~CROSS_BORDER_PREMIUM_MN~NONE_YQ~19Q1Q4_CP~PO5020004141-13_OB~AWA_PK~NONE</v>
      </c>
      <c r="B339" t="str">
        <f t="shared" si="75"/>
        <v>Verizon</v>
      </c>
      <c r="C339" t="str">
        <f t="shared" si="76"/>
        <v>CH~DISPLAY_DT~MULTI_PB~VZN_FM~BANNER_RT~CPM_PD~CROSSBORDER_BANNER_GOURMET_VERIZON_160X600_160X600_TG~BHVDEM_TS~NONE_SZ~160X600_DISPLAY_MK~BR_IT~DISPLAY_VV~NONE</v>
      </c>
      <c r="D339" t="str">
        <f t="shared" si="77"/>
        <v>251358864</v>
      </c>
      <c r="E339" t="str">
        <f t="shared" si="78"/>
        <v>Standard</v>
      </c>
      <c r="F339" t="str">
        <f t="shared" si="79"/>
        <v>CH~DISPLAY_DT~MULTI_PB~VZN_FM~BANNER_RT~CPM_PD~CROSSBORDER_BANNER_GOURMET_VERIZON_160X600_160X600_TG~BHVDEM_TS~NONE_SZ~160X600_DISPLAY_MK~BR_IT~DISPLAY_VV~NONE</v>
      </c>
      <c r="G339" t="str">
        <f t="shared" si="80"/>
        <v>447378551</v>
      </c>
      <c r="H339" t="str">
        <f t="shared" si="81"/>
        <v>Display</v>
      </c>
      <c r="I339">
        <f t="shared" si="82"/>
        <v>4678166</v>
      </c>
      <c r="J339">
        <f t="shared" si="83"/>
        <v>2579</v>
      </c>
      <c r="K339" s="4">
        <f t="shared" si="72"/>
        <v>3.8199999999999998E-2</v>
      </c>
      <c r="L339">
        <f t="shared" si="73"/>
        <v>0.09</v>
      </c>
      <c r="M339" s="4">
        <f t="shared" si="70"/>
        <v>178.70594120000001</v>
      </c>
      <c r="N339" s="4">
        <f t="shared" si="71"/>
        <v>421.03494000000001</v>
      </c>
    </row>
    <row r="340" spans="1:14">
      <c r="A340" t="str">
        <f t="shared" si="74"/>
        <v>MK~LM_CN~CROSS_BORDER_PREMIUM_MN~NONE_YQ~19Q1Q4_CP~PO5020004141-13_OB~AWA_PK~NONE</v>
      </c>
      <c r="B340" t="str">
        <f t="shared" si="75"/>
        <v>Verizon</v>
      </c>
      <c r="C340" t="str">
        <f t="shared" si="76"/>
        <v>CH~DISPLAY_DT~MULTI_PB~VZN_FM~BANNER_RT~CPM_PD~CROSSBORDER_BANNER_GOURMET_VERIZON_300X250_300X250_TG~BHVDEM_TS~NONE_SZ~300X250_DISPLAY_MK~BR_IT~DISPLAY_VV~NONE</v>
      </c>
      <c r="D340" t="str">
        <f t="shared" si="77"/>
        <v>251359164</v>
      </c>
      <c r="E340" t="str">
        <f t="shared" si="78"/>
        <v>Standard</v>
      </c>
      <c r="F340" t="str">
        <f t="shared" si="79"/>
        <v>CH~DISPLAY_DT~MULTI_PB~VZN_FM~BANNER_RT~CPM_PD~CROSSBORDER_BANNER_GOURMET_VERIZON_300X250_300X250_TG~BHVDEM_TS~NONE_SZ~300X250_DISPLAY_MK~BR_IT~DISPLAY_VV~NONE</v>
      </c>
      <c r="G340" t="str">
        <f t="shared" si="80"/>
        <v>447379001</v>
      </c>
      <c r="H340" t="str">
        <f t="shared" si="81"/>
        <v>Display</v>
      </c>
      <c r="I340">
        <f t="shared" si="82"/>
        <v>2233365</v>
      </c>
      <c r="J340">
        <f t="shared" si="83"/>
        <v>1295</v>
      </c>
      <c r="K340" s="4">
        <f t="shared" si="72"/>
        <v>3.8199999999999998E-2</v>
      </c>
      <c r="L340">
        <f t="shared" si="73"/>
        <v>0.09</v>
      </c>
      <c r="M340" s="4">
        <f t="shared" si="70"/>
        <v>85.314542999999986</v>
      </c>
      <c r="N340" s="4">
        <f t="shared" si="71"/>
        <v>201.00285</v>
      </c>
    </row>
    <row r="341" spans="1:14">
      <c r="A341" t="str">
        <f t="shared" si="74"/>
        <v>MK~LM_CN~CROSS_BORDER_PREMIUM_MN~NONE_YQ~19Q1Q4_CP~PO5020004141-13_OB~AWA_PK~NONE</v>
      </c>
      <c r="B341" t="str">
        <f t="shared" si="75"/>
        <v>Verizon</v>
      </c>
      <c r="C341" t="str">
        <f t="shared" si="76"/>
        <v>CH~DISPLAY_DT~MULTI_PB~VZN_FM~BANNER_RT~CPM_PD~CROSSBORDER_BANNER_GOURMET_VERIZON_728X90_728X90_TG~BHVDEM_TS~NONE_SZ~728X90_DISPLAY_MK~BR_IT~DISPLAY_VV~NONE</v>
      </c>
      <c r="D341" t="str">
        <f t="shared" si="77"/>
        <v>251359203</v>
      </c>
      <c r="E341" t="str">
        <f t="shared" si="78"/>
        <v>Standard</v>
      </c>
      <c r="F341" t="str">
        <f t="shared" si="79"/>
        <v>CH~DISPLAY_DT~MULTI_PB~VZN_FM~BANNER_RT~CPM_PD~CROSSBORDER_BANNER_GOURMET_VERIZON_728X90_728X90_TG~BHVDEM_TS~NONE_SZ~728X90_DISPLAY_MK~BR_IT~DISPLAY_VV~NONE</v>
      </c>
      <c r="G341" t="str">
        <f t="shared" si="80"/>
        <v>447459784</v>
      </c>
      <c r="H341" t="str">
        <f t="shared" si="81"/>
        <v>Display</v>
      </c>
      <c r="I341">
        <f t="shared" si="82"/>
        <v>485029</v>
      </c>
      <c r="J341">
        <f t="shared" si="83"/>
        <v>259</v>
      </c>
      <c r="K341" s="4">
        <f t="shared" si="72"/>
        <v>3.8199999999999998E-2</v>
      </c>
      <c r="L341">
        <f t="shared" si="73"/>
        <v>0.09</v>
      </c>
      <c r="M341" s="4">
        <f t="shared" si="70"/>
        <v>18.528107799999997</v>
      </c>
      <c r="N341" s="4">
        <f t="shared" si="71"/>
        <v>43.652610000000003</v>
      </c>
    </row>
    <row r="342" spans="1:14">
      <c r="A342" t="str">
        <f t="shared" si="74"/>
        <v>MK~LM_CN~CROSS_BORDER_PREMIUM_MN~NONE_YQ~19Q1Q4_CP~PO5020004141-13_OB~AWA_PK~NONE</v>
      </c>
      <c r="B342" t="str">
        <f t="shared" si="75"/>
        <v>Verizon</v>
      </c>
      <c r="C342" t="str">
        <f t="shared" si="76"/>
        <v>CH~DISPLAY_DT~MULTI_PB~VZN_FM~BANNER_RT~CPM_PD~CROSSBORDER_BANNER_GOURMET__VERIZON_300X50_300X50_TG~BHVDEM_TS~NONE_SZ~300X50_DISPLAY_MK~BR_IT~DISPLAY_VV~NONE</v>
      </c>
      <c r="D342" t="str">
        <f t="shared" si="77"/>
        <v>251358396</v>
      </c>
      <c r="E342" t="str">
        <f t="shared" si="78"/>
        <v>Standard</v>
      </c>
      <c r="F342" t="str">
        <f t="shared" si="79"/>
        <v>CH~DISPLAY_DT~MULTI_PB~VZN_FM~BANNER_RT~CPM_PD~CROSSBORDER_BANNER_GOURMET__VERIZON_300X50_300X50_TG~BHVDEM_TS~NONE_SZ~300X50_DISPLAY_MK~BR_IT~DISPLAY_VV~NONE</v>
      </c>
      <c r="G342" t="str">
        <f t="shared" si="80"/>
        <v>447459736</v>
      </c>
      <c r="H342" t="str">
        <f t="shared" si="81"/>
        <v>Display</v>
      </c>
      <c r="I342">
        <f t="shared" si="82"/>
        <v>13</v>
      </c>
      <c r="J342">
        <f t="shared" si="83"/>
        <v>2</v>
      </c>
      <c r="K342" s="4">
        <f t="shared" si="72"/>
        <v>3.8199999999999998E-2</v>
      </c>
      <c r="L342">
        <f t="shared" si="73"/>
        <v>0.09</v>
      </c>
      <c r="M342" s="4">
        <f t="shared" si="70"/>
        <v>4.9660000000000004E-4</v>
      </c>
      <c r="N342" s="4">
        <f t="shared" si="71"/>
        <v>1.17E-3</v>
      </c>
    </row>
    <row r="343" spans="1:14">
      <c r="A343" t="str">
        <f t="shared" si="74"/>
        <v>MK~LM_CN~CROSS_BORDER_PREMIUM_MN~NONE_YQ~19Q1Q4_CP~PO5020004141-13_OB~AWA_PK~NONE</v>
      </c>
      <c r="B343" t="str">
        <f t="shared" si="75"/>
        <v>Verizon</v>
      </c>
      <c r="C343" t="str">
        <f t="shared" si="76"/>
        <v>CH~DISPLAY_DT~MULTI_PB~VZN_FM~BANNER_RT~CPM_PD~CROSSBORDER_BANNER_VIAJANTE_VERIZON_160X600_160X600_TG~BHVDEM_TS~NONE_SZ~160X600_DISPLAY_MK~BR_IT~DISPLAY_VV~NONE</v>
      </c>
      <c r="D343" t="str">
        <f t="shared" si="77"/>
        <v>251253988</v>
      </c>
      <c r="E343" t="str">
        <f t="shared" si="78"/>
        <v>Standard</v>
      </c>
      <c r="F343" t="str">
        <f t="shared" si="79"/>
        <v>CH~DISPLAY_DT~MULTI_PB~VZN_FM~BANNER_RT~CPM_PD~CROSSBORDER_BANNER_VIAJANTE_VERIZON_160X600_160X600_TG~BHVDEM_TS~NONE_SZ~160X600_DISPLAY_MK~BR_IT~DISPLAY_VV~NONE</v>
      </c>
      <c r="G343" t="str">
        <f t="shared" si="80"/>
        <v>447379793</v>
      </c>
      <c r="H343" t="str">
        <f t="shared" si="81"/>
        <v>Display</v>
      </c>
      <c r="I343">
        <f t="shared" si="82"/>
        <v>34</v>
      </c>
      <c r="J343">
        <f t="shared" si="83"/>
        <v>4</v>
      </c>
      <c r="K343" s="4">
        <f t="shared" si="72"/>
        <v>3.8199999999999998E-2</v>
      </c>
      <c r="L343">
        <f t="shared" si="73"/>
        <v>0.09</v>
      </c>
      <c r="M343" s="4">
        <f t="shared" si="70"/>
        <v>1.2987999999999999E-3</v>
      </c>
      <c r="N343" s="4">
        <f t="shared" si="71"/>
        <v>3.0600000000000002E-3</v>
      </c>
    </row>
    <row r="344" spans="1:14">
      <c r="A344" t="str">
        <f t="shared" si="74"/>
        <v>MK~LM_CN~CROSS_BORDER_PREMIUM_MN~NONE_YQ~19Q1Q4_CP~PO5020004141-13_OB~AWA_PK~NONE</v>
      </c>
      <c r="B344" t="str">
        <f t="shared" si="75"/>
        <v>Verizon</v>
      </c>
      <c r="C344" t="str">
        <f t="shared" si="76"/>
        <v>CH~DISPLAY_DT~MULTI_PB~VZN_FM~BANNER_RT~CPM_PD~CROSSBORDER_BANNER_VIAJANTE_VERIZON_300X250_300X250_TG~BHVDEM_TS~NONE_SZ~300X250_DISPLAY_MK~BR_IT~DISPLAY_VV~NONE</v>
      </c>
      <c r="D344" t="str">
        <f t="shared" si="77"/>
        <v>251253994</v>
      </c>
      <c r="E344" t="str">
        <f t="shared" si="78"/>
        <v>Standard</v>
      </c>
      <c r="F344" t="str">
        <f t="shared" si="79"/>
        <v>CH~DISPLAY_DT~MULTI_PB~VZN_FM~BANNER_RT~CPM_PD~CROSSBORDER_BANNER_VIAJANTE_VERIZON_300X250_300X250_TG~BHVDEM_TS~NONE_SZ~300X250_DISPLAY_MK~BR_IT~DISPLAY_VV~NONE</v>
      </c>
      <c r="G344" t="str">
        <f t="shared" si="80"/>
        <v>447339303</v>
      </c>
      <c r="H344" t="str">
        <f t="shared" si="81"/>
        <v>Display</v>
      </c>
      <c r="I344">
        <f t="shared" si="82"/>
        <v>2234207</v>
      </c>
      <c r="J344">
        <f t="shared" si="83"/>
        <v>1276</v>
      </c>
      <c r="K344" s="4">
        <f t="shared" si="72"/>
        <v>3.8199999999999998E-2</v>
      </c>
      <c r="L344">
        <f t="shared" si="73"/>
        <v>0.09</v>
      </c>
      <c r="M344" s="4">
        <f t="shared" si="70"/>
        <v>85.3467074</v>
      </c>
      <c r="N344" s="4">
        <f t="shared" si="71"/>
        <v>201.07863</v>
      </c>
    </row>
    <row r="345" spans="1:14">
      <c r="A345" t="str">
        <f t="shared" si="74"/>
        <v>MK~LM_CN~CROSS_BORDER_PREMIUM_MN~NONE_YQ~19Q1Q4_CP~PO5020004141-13_OB~AWA_PK~NONE</v>
      </c>
      <c r="B345" t="str">
        <f t="shared" si="75"/>
        <v>Verizon</v>
      </c>
      <c r="C345" t="str">
        <f t="shared" si="76"/>
        <v>CH~DISPLAY_DT~MULTI_PB~VZN_FM~BANNER_RT~CPM_PD~CROSSBORDER_BANNER_VIAJANTE_VERIZON_300X50_300X50_TG~BHVDEM_TS~NONE_SZ~300X50_DISPLAY_MK~BR_IT~DISPLAY_VV~NONE</v>
      </c>
      <c r="D345" t="str">
        <f t="shared" si="77"/>
        <v>251359557</v>
      </c>
      <c r="E345" t="str">
        <f t="shared" si="78"/>
        <v>Standard</v>
      </c>
      <c r="F345" t="str">
        <f t="shared" si="79"/>
        <v>CH~DISPLAY_DT~MULTI_PB~VZN_FM~BANNER_RT~CPM_PD~CROSSBORDER_BANNER_VIAJANTE_VERIZON_300X50_300X50_TG~BHVDEM_TS~NONE_SZ~300X50_DISPLAY_MK~BR_IT~DISPLAY_VV~NONE</v>
      </c>
      <c r="G345" t="str">
        <f t="shared" si="80"/>
        <v>447338772</v>
      </c>
      <c r="H345" t="str">
        <f t="shared" si="81"/>
        <v>Display</v>
      </c>
      <c r="I345">
        <f t="shared" si="82"/>
        <v>10</v>
      </c>
      <c r="J345">
        <f t="shared" si="83"/>
        <v>2</v>
      </c>
      <c r="K345" s="4">
        <f t="shared" si="72"/>
        <v>3.8199999999999998E-2</v>
      </c>
      <c r="L345">
        <f t="shared" si="73"/>
        <v>0.09</v>
      </c>
      <c r="M345" s="4">
        <f t="shared" si="70"/>
        <v>3.8200000000000002E-4</v>
      </c>
      <c r="N345" s="4">
        <f t="shared" si="71"/>
        <v>8.9999999999999987E-4</v>
      </c>
    </row>
    <row r="346" spans="1:14">
      <c r="A346" t="str">
        <f t="shared" si="74"/>
        <v>MK~LM_CN~CROSS_BORDER_PREMIUM_MN~NONE_YQ~19Q1Q4_CP~PO5020004141-13_OB~AWA_PK~NONE</v>
      </c>
      <c r="B346" t="str">
        <f t="shared" si="75"/>
        <v>Verizon</v>
      </c>
      <c r="C346" t="str">
        <f t="shared" si="76"/>
        <v>CH~DISPLAY_DT~MULTI_PB~VZN_FM~BANNER_RT~CPM_PD~CROSSBORDER_BANNER_VIAJANTE_VERIZON_728X90_728X90_TG~BHVDEM_TS~NONE_SZ~728X90_DISPLAY_MK~BR_IT~DISPLAY_VV~NONE</v>
      </c>
      <c r="D346" t="str">
        <f t="shared" si="77"/>
        <v>251254012</v>
      </c>
      <c r="E346" t="str">
        <f t="shared" si="78"/>
        <v>Standard</v>
      </c>
      <c r="F346" t="str">
        <f t="shared" si="79"/>
        <v>CH~DISPLAY_DT~MULTI_PB~VZN_FM~BANNER_RT~CPM_PD~CROSSBORDER_BANNER_VIAJANTE_VERIZON_728X90_728X90_TG~BHVDEM_TS~NONE_SZ~728X90_DISPLAY_MK~BR_IT~DISPLAY_VV~NONE</v>
      </c>
      <c r="G346" t="str">
        <f t="shared" si="80"/>
        <v>447339312</v>
      </c>
      <c r="H346" t="str">
        <f t="shared" si="81"/>
        <v>Display</v>
      </c>
      <c r="I346">
        <f t="shared" si="82"/>
        <v>484818</v>
      </c>
      <c r="J346">
        <f t="shared" si="83"/>
        <v>250</v>
      </c>
      <c r="K346" s="4">
        <f t="shared" si="72"/>
        <v>3.8199999999999998E-2</v>
      </c>
      <c r="L346">
        <f t="shared" si="73"/>
        <v>0.09</v>
      </c>
      <c r="M346" s="4">
        <f t="shared" si="70"/>
        <v>18.520047599999998</v>
      </c>
      <c r="N346" s="4">
        <f t="shared" si="71"/>
        <v>43.633619999999993</v>
      </c>
    </row>
    <row r="347" spans="1:14">
      <c r="A347" t="str">
        <f t="shared" si="74"/>
        <v>MK~LM_CN~CROSS_BORDER_PREMIUM_MN~NONE_YQ~19Q1Q4_CP~PO5020004141-13_OB~AWA_PK~NONE</v>
      </c>
      <c r="B347" t="str">
        <f t="shared" si="75"/>
        <v>kayak.com.br</v>
      </c>
      <c r="C347" t="str">
        <f t="shared" si="76"/>
        <v>CH~DISPLAY_DT~MULTI_PB~KAK_FM~BANNER_RT~CPM_PD~CROSSBORDER_BANNER_GOURMET_KAYAK_160X600_160X600_TG~BHVDEM_TS~NONE_SZ~160X600_DISPLAY_MK~BR_IT~DISPLAY_VV~NONE</v>
      </c>
      <c r="D347" t="str">
        <f t="shared" si="77"/>
        <v>251253355</v>
      </c>
      <c r="E347" t="str">
        <f t="shared" si="78"/>
        <v>Standard</v>
      </c>
      <c r="F347" t="str">
        <f t="shared" si="79"/>
        <v>CH~DISPLAY_DT~MULTI_PB~KAK_FM~BANNER_RT~CPM_PD~CROSSBORDER_BANNER_GOURMET_KAYAK_160X600_160X600_TG~BHVDEM_TS~NONE_SZ~160X600_DISPLAY_MK~BR_IT~DISPLAY_VV~NONE</v>
      </c>
      <c r="G347" t="str">
        <f t="shared" si="80"/>
        <v>447378827</v>
      </c>
      <c r="H347" t="str">
        <f t="shared" si="81"/>
        <v>Display</v>
      </c>
      <c r="I347">
        <f t="shared" si="82"/>
        <v>1</v>
      </c>
      <c r="J347">
        <f t="shared" si="83"/>
        <v>1</v>
      </c>
      <c r="K347" s="4">
        <f t="shared" si="72"/>
        <v>3.8199999999999998E-2</v>
      </c>
      <c r="L347">
        <f t="shared" si="73"/>
        <v>0.09</v>
      </c>
      <c r="M347" s="4">
        <f t="shared" si="70"/>
        <v>3.82E-5</v>
      </c>
      <c r="N347" s="4">
        <f t="shared" si="71"/>
        <v>8.9999999999999992E-5</v>
      </c>
    </row>
    <row r="348" spans="1:14">
      <c r="A348" t="str">
        <f t="shared" si="74"/>
        <v>MK~LM_CN~CROSS_BORDER_PREMIUM_MN~NONE_YQ~19Q1Q4_CP~PO5020004141-13_OB~AWA_PK~NONE</v>
      </c>
      <c r="B348" t="str">
        <f t="shared" si="75"/>
        <v>kayak.com.br</v>
      </c>
      <c r="C348" t="str">
        <f t="shared" si="76"/>
        <v>CH~DISPLAY_DT~MULTI_PB~KAK_FM~BANNER_RT~CPM_PD~CROSSBORDER_BANNER_GOURMET_KAYAK_300X50_300X50_TG~BHVDEM_TS~NONE_SZ~300X50_DISPLAY_MK~BR_IT~DISPLAY_VV~NONE</v>
      </c>
      <c r="D348" t="str">
        <f t="shared" si="77"/>
        <v>250955828</v>
      </c>
      <c r="E348" t="str">
        <f t="shared" si="78"/>
        <v>Standard</v>
      </c>
      <c r="F348" t="str">
        <f t="shared" si="79"/>
        <v>CH~DISPLAY_DT~MULTI_PB~KAK_FM~BANNER_RT~CPM_PD~CROSSBORDER_BANNER_GOURMET_KAYAK_300X50_300X50_TG~BHVDEM_TS~NONE_SZ~300X50_DISPLAY_MK~BR_IT~DISPLAY_VV~NONE</v>
      </c>
      <c r="G348" t="str">
        <f t="shared" si="80"/>
        <v>447378452</v>
      </c>
      <c r="H348" t="str">
        <f t="shared" si="81"/>
        <v>Display</v>
      </c>
      <c r="I348">
        <f t="shared" si="82"/>
        <v>1</v>
      </c>
      <c r="J348">
        <f t="shared" si="83"/>
        <v>1</v>
      </c>
      <c r="K348" s="4">
        <f t="shared" si="72"/>
        <v>3.8199999999999998E-2</v>
      </c>
      <c r="L348">
        <f t="shared" si="73"/>
        <v>0.09</v>
      </c>
      <c r="M348" s="4">
        <f t="shared" si="70"/>
        <v>3.82E-5</v>
      </c>
      <c r="N348" s="4">
        <f t="shared" si="71"/>
        <v>8.9999999999999992E-5</v>
      </c>
    </row>
    <row r="349" spans="1:14">
      <c r="A349" t="str">
        <f t="shared" si="74"/>
        <v>MK~LM_CN~CROSS_BORDER_PREMIUM_MN~NONE_YQ~19Q1Q4_CP~PO5020004141-13_OB~AWA_PK~NONE</v>
      </c>
      <c r="B349" t="str">
        <f t="shared" si="75"/>
        <v>kayak.com.br</v>
      </c>
      <c r="C349" t="str">
        <f t="shared" si="76"/>
        <v>CH~DISPLAY_DT~MULTI_PB~KAK_FM~BANNER_RT~CPM_PD~CROSSBORDER_BANNER_VIAJANTE_KAYAK_300X50_300X50_TG~BHVDEM_TS~NONE_SZ~300X50_DISPLAY_MK~BR_IT~DISPLAY_VV~NONE</v>
      </c>
      <c r="D349" t="str">
        <f t="shared" si="77"/>
        <v>251253838</v>
      </c>
      <c r="E349" t="str">
        <f t="shared" si="78"/>
        <v>Standard</v>
      </c>
      <c r="F349" t="str">
        <f t="shared" si="79"/>
        <v>CH~DISPLAY_DT~MULTI_PB~KAK_FM~BANNER_RT~CPM_PD~CROSSBORDER_BANNER_VIAJANTE_KAYAK_300X50_300X50_TG~BHVDEM_TS~NONE_SZ~300X50_DISPLAY_MK~BR_IT~DISPLAY_VV~NONE</v>
      </c>
      <c r="G349" t="str">
        <f t="shared" si="80"/>
        <v>447378962</v>
      </c>
      <c r="H349" t="str">
        <f t="shared" si="81"/>
        <v>Display</v>
      </c>
      <c r="I349">
        <f t="shared" si="82"/>
        <v>1</v>
      </c>
      <c r="J349">
        <f t="shared" si="83"/>
        <v>1</v>
      </c>
      <c r="K349" s="4">
        <f t="shared" si="72"/>
        <v>3.8199999999999998E-2</v>
      </c>
      <c r="L349">
        <f t="shared" si="73"/>
        <v>0.09</v>
      </c>
      <c r="M349" s="4">
        <f t="shared" si="70"/>
        <v>3.82E-5</v>
      </c>
      <c r="N349" s="4">
        <f t="shared" si="71"/>
        <v>8.9999999999999992E-5</v>
      </c>
    </row>
    <row r="350" spans="1:14">
      <c r="A350">
        <f t="shared" si="74"/>
        <v>0</v>
      </c>
      <c r="B350">
        <f t="shared" si="75"/>
        <v>0</v>
      </c>
      <c r="C350">
        <f t="shared" si="76"/>
        <v>0</v>
      </c>
      <c r="D350">
        <f t="shared" si="77"/>
        <v>0</v>
      </c>
      <c r="E350" t="e">
        <f t="shared" si="78"/>
        <v>#N/A</v>
      </c>
      <c r="F350">
        <f t="shared" si="79"/>
        <v>0</v>
      </c>
      <c r="G350">
        <f t="shared" si="80"/>
        <v>0</v>
      </c>
      <c r="H350">
        <f t="shared" si="81"/>
        <v>0</v>
      </c>
      <c r="I350">
        <f t="shared" si="82"/>
        <v>0</v>
      </c>
      <c r="J350">
        <f t="shared" si="83"/>
        <v>0</v>
      </c>
      <c r="K350" s="4" t="e">
        <f t="shared" si="72"/>
        <v>#N/A</v>
      </c>
      <c r="L350" t="e">
        <f t="shared" si="73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4"/>
        <v>0</v>
      </c>
      <c r="B351">
        <f t="shared" si="75"/>
        <v>0</v>
      </c>
      <c r="C351">
        <f t="shared" si="76"/>
        <v>0</v>
      </c>
      <c r="D351">
        <f t="shared" si="77"/>
        <v>0</v>
      </c>
      <c r="E351" t="e">
        <f t="shared" si="78"/>
        <v>#N/A</v>
      </c>
      <c r="F351">
        <f t="shared" si="79"/>
        <v>0</v>
      </c>
      <c r="G351">
        <f t="shared" si="80"/>
        <v>0</v>
      </c>
      <c r="H351">
        <f t="shared" si="81"/>
        <v>0</v>
      </c>
      <c r="I351">
        <f t="shared" si="82"/>
        <v>0</v>
      </c>
      <c r="J351">
        <f t="shared" si="83"/>
        <v>0</v>
      </c>
      <c r="K351" s="4" t="e">
        <f t="shared" si="72"/>
        <v>#N/A</v>
      </c>
      <c r="L351" t="e">
        <f t="shared" si="73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4"/>
        <v>0</v>
      </c>
      <c r="B352">
        <f t="shared" si="75"/>
        <v>0</v>
      </c>
      <c r="C352">
        <f t="shared" si="76"/>
        <v>0</v>
      </c>
      <c r="D352">
        <f t="shared" si="77"/>
        <v>0</v>
      </c>
      <c r="E352" t="e">
        <f t="shared" si="78"/>
        <v>#N/A</v>
      </c>
      <c r="F352">
        <f t="shared" si="79"/>
        <v>0</v>
      </c>
      <c r="G352">
        <f t="shared" si="80"/>
        <v>0</v>
      </c>
      <c r="H352">
        <f t="shared" si="81"/>
        <v>0</v>
      </c>
      <c r="I352">
        <f t="shared" si="82"/>
        <v>0</v>
      </c>
      <c r="J352">
        <f t="shared" si="83"/>
        <v>0</v>
      </c>
      <c r="K352" s="4" t="e">
        <f t="shared" si="72"/>
        <v>#N/A</v>
      </c>
      <c r="L352" t="e">
        <f t="shared" si="73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4"/>
        <v>0</v>
      </c>
      <c r="B353">
        <f t="shared" si="75"/>
        <v>0</v>
      </c>
      <c r="C353">
        <f t="shared" si="76"/>
        <v>0</v>
      </c>
      <c r="D353">
        <f t="shared" si="77"/>
        <v>0</v>
      </c>
      <c r="E353" t="e">
        <f t="shared" si="78"/>
        <v>#N/A</v>
      </c>
      <c r="F353">
        <f t="shared" si="79"/>
        <v>0</v>
      </c>
      <c r="G353">
        <f t="shared" si="80"/>
        <v>0</v>
      </c>
      <c r="H353">
        <f t="shared" si="81"/>
        <v>0</v>
      </c>
      <c r="I353">
        <f t="shared" si="82"/>
        <v>0</v>
      </c>
      <c r="J353">
        <f t="shared" si="83"/>
        <v>0</v>
      </c>
      <c r="K353" s="4" t="e">
        <f t="shared" si="72"/>
        <v>#N/A</v>
      </c>
      <c r="L353" t="e">
        <f t="shared" si="73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4"/>
        <v>0</v>
      </c>
      <c r="B354">
        <f t="shared" si="75"/>
        <v>0</v>
      </c>
      <c r="C354">
        <f t="shared" si="76"/>
        <v>0</v>
      </c>
      <c r="D354">
        <f t="shared" si="77"/>
        <v>0</v>
      </c>
      <c r="E354" t="e">
        <f t="shared" si="78"/>
        <v>#N/A</v>
      </c>
      <c r="F354">
        <f t="shared" si="79"/>
        <v>0</v>
      </c>
      <c r="G354">
        <f t="shared" si="80"/>
        <v>0</v>
      </c>
      <c r="H354">
        <f t="shared" si="81"/>
        <v>0</v>
      </c>
      <c r="I354">
        <f t="shared" si="82"/>
        <v>0</v>
      </c>
      <c r="J354">
        <f t="shared" si="83"/>
        <v>0</v>
      </c>
      <c r="K354" s="4" t="e">
        <f t="shared" si="72"/>
        <v>#N/A</v>
      </c>
      <c r="L354" t="e">
        <f t="shared" si="73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4"/>
        <v>0</v>
      </c>
      <c r="B355">
        <f t="shared" si="75"/>
        <v>0</v>
      </c>
      <c r="C355">
        <f t="shared" si="76"/>
        <v>0</v>
      </c>
      <c r="D355">
        <f t="shared" si="77"/>
        <v>0</v>
      </c>
      <c r="E355" t="e">
        <f t="shared" si="78"/>
        <v>#N/A</v>
      </c>
      <c r="F355">
        <f t="shared" si="79"/>
        <v>0</v>
      </c>
      <c r="G355">
        <f t="shared" si="80"/>
        <v>0</v>
      </c>
      <c r="H355">
        <f t="shared" si="81"/>
        <v>0</v>
      </c>
      <c r="I355">
        <f t="shared" si="82"/>
        <v>0</v>
      </c>
      <c r="J355">
        <f t="shared" si="83"/>
        <v>0</v>
      </c>
      <c r="K355" s="4" t="e">
        <f t="shared" si="72"/>
        <v>#N/A</v>
      </c>
      <c r="L355" t="e">
        <f t="shared" si="73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4"/>
        <v>0</v>
      </c>
      <c r="B356">
        <f t="shared" si="75"/>
        <v>0</v>
      </c>
      <c r="C356">
        <f t="shared" si="76"/>
        <v>0</v>
      </c>
      <c r="D356">
        <f t="shared" si="77"/>
        <v>0</v>
      </c>
      <c r="E356" t="e">
        <f t="shared" si="78"/>
        <v>#N/A</v>
      </c>
      <c r="F356">
        <f t="shared" si="79"/>
        <v>0</v>
      </c>
      <c r="G356">
        <f t="shared" si="80"/>
        <v>0</v>
      </c>
      <c r="H356">
        <f t="shared" si="81"/>
        <v>0</v>
      </c>
      <c r="I356">
        <f t="shared" si="82"/>
        <v>0</v>
      </c>
      <c r="J356">
        <f t="shared" si="83"/>
        <v>0</v>
      </c>
      <c r="K356" s="4" t="e">
        <f t="shared" si="72"/>
        <v>#N/A</v>
      </c>
      <c r="L356" t="e">
        <f t="shared" si="73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4"/>
        <v>0</v>
      </c>
      <c r="B357">
        <f t="shared" si="75"/>
        <v>0</v>
      </c>
      <c r="C357">
        <f t="shared" si="76"/>
        <v>0</v>
      </c>
      <c r="D357">
        <f t="shared" si="77"/>
        <v>0</v>
      </c>
      <c r="E357" t="e">
        <f t="shared" si="78"/>
        <v>#N/A</v>
      </c>
      <c r="F357">
        <f t="shared" si="79"/>
        <v>0</v>
      </c>
      <c r="G357">
        <f t="shared" si="80"/>
        <v>0</v>
      </c>
      <c r="H357">
        <f t="shared" si="81"/>
        <v>0</v>
      </c>
      <c r="I357">
        <f t="shared" si="82"/>
        <v>0</v>
      </c>
      <c r="J357">
        <f t="shared" si="83"/>
        <v>0</v>
      </c>
      <c r="K357" s="4" t="e">
        <f t="shared" si="72"/>
        <v>#N/A</v>
      </c>
      <c r="L357" t="e">
        <f t="shared" si="73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4"/>
        <v>0</v>
      </c>
      <c r="B358">
        <f t="shared" si="75"/>
        <v>0</v>
      </c>
      <c r="C358">
        <f t="shared" si="76"/>
        <v>0</v>
      </c>
      <c r="D358">
        <f t="shared" si="77"/>
        <v>0</v>
      </c>
      <c r="E358" t="e">
        <f t="shared" si="78"/>
        <v>#N/A</v>
      </c>
      <c r="F358">
        <f t="shared" si="79"/>
        <v>0</v>
      </c>
      <c r="G358">
        <f t="shared" si="80"/>
        <v>0</v>
      </c>
      <c r="H358">
        <f t="shared" si="81"/>
        <v>0</v>
      </c>
      <c r="I358">
        <f t="shared" si="82"/>
        <v>0</v>
      </c>
      <c r="J358">
        <f t="shared" si="83"/>
        <v>0</v>
      </c>
      <c r="K358" s="4" t="e">
        <f t="shared" si="72"/>
        <v>#N/A</v>
      </c>
      <c r="L358" t="e">
        <f t="shared" si="73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7"/>
  <sheetViews>
    <sheetView showGridLines="0" tabSelected="1" workbookViewId="0">
      <selection activeCell="B3" sqref="B3:H10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338005575</v>
      </c>
      <c r="E4" s="14">
        <f>C4*D4/1000</f>
        <v>30420.501749999999</v>
      </c>
      <c r="G4" s="23" t="s">
        <v>54</v>
      </c>
      <c r="H4" s="23" t="s">
        <v>55</v>
      </c>
    </row>
    <row r="5" spans="1:8">
      <c r="B5" s="13" t="s">
        <v>11</v>
      </c>
      <c r="C5" s="2">
        <v>0.09</v>
      </c>
      <c r="D5" s="2">
        <f>SUMIF(adtype_filtrada,$B5,impressoes_filtrada)</f>
        <v>23</v>
      </c>
      <c r="E5" s="14">
        <f>C5*D5/1000</f>
        <v>2.0699999999999998E-3</v>
      </c>
      <c r="G5" s="14">
        <f>SUM(total_adops_filtrada)</f>
        <v>67362.256519999908</v>
      </c>
      <c r="H5" s="14">
        <f>SUM(total_ferramenta_filtrada)</f>
        <v>47537.687543599932</v>
      </c>
    </row>
    <row r="6" spans="1:8">
      <c r="B6" s="13" t="s">
        <v>10</v>
      </c>
      <c r="C6" s="2">
        <v>0.02</v>
      </c>
      <c r="D6" s="2">
        <f>SUMIF(adtype_filtrada,$B6,clicks_filtrada)</f>
        <v>932343</v>
      </c>
      <c r="E6" s="14">
        <f>C6*D6</f>
        <v>18646.86</v>
      </c>
    </row>
    <row r="7" spans="1:8">
      <c r="B7" s="13" t="s">
        <v>30</v>
      </c>
      <c r="C7" s="2">
        <v>0.35</v>
      </c>
      <c r="D7" s="2">
        <f>SUMIF(adtype_filtrada,$B7,impressoes_filtrada)</f>
        <v>52271122</v>
      </c>
      <c r="E7" s="14">
        <f>C7*D7/1000</f>
        <v>18294.8927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67362.256519999995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241</v>
      </c>
      <c r="C20" t="s">
        <v>49</v>
      </c>
      <c r="D20" t="s">
        <v>243</v>
      </c>
      <c r="E20" t="s">
        <v>244</v>
      </c>
      <c r="F20" t="s">
        <v>30</v>
      </c>
      <c r="G20" t="s">
        <v>243</v>
      </c>
      <c r="H20" t="s">
        <v>246</v>
      </c>
      <c r="I20" t="s">
        <v>245</v>
      </c>
      <c r="J20">
        <v>1228</v>
      </c>
      <c r="K20">
        <v>21</v>
      </c>
      <c r="L20" s="4">
        <v>0.6</v>
      </c>
      <c r="M20">
        <v>0.35</v>
      </c>
      <c r="N20" s="4">
        <v>0.7367999999999999</v>
      </c>
      <c r="O20" s="4">
        <v>0.42979999999999996</v>
      </c>
    </row>
    <row r="21" spans="1:15">
      <c r="B21" t="s">
        <v>241</v>
      </c>
      <c r="C21" t="s">
        <v>49</v>
      </c>
      <c r="D21" t="s">
        <v>247</v>
      </c>
      <c r="E21" t="s">
        <v>248</v>
      </c>
      <c r="F21" t="s">
        <v>30</v>
      </c>
      <c r="G21" t="s">
        <v>247</v>
      </c>
      <c r="H21" t="s">
        <v>249</v>
      </c>
      <c r="I21" t="s">
        <v>245</v>
      </c>
      <c r="J21">
        <v>1266</v>
      </c>
      <c r="K21">
        <v>20</v>
      </c>
      <c r="L21" s="4">
        <v>0.6</v>
      </c>
      <c r="M21">
        <v>0.35</v>
      </c>
      <c r="N21" s="4">
        <v>0.75960000000000005</v>
      </c>
      <c r="O21" s="4">
        <v>0.44309999999999994</v>
      </c>
    </row>
    <row r="22" spans="1:15">
      <c r="B22" t="s">
        <v>241</v>
      </c>
      <c r="C22" t="s">
        <v>49</v>
      </c>
      <c r="D22" t="s">
        <v>250</v>
      </c>
      <c r="E22" t="s">
        <v>251</v>
      </c>
      <c r="F22" t="s">
        <v>30</v>
      </c>
      <c r="G22" t="s">
        <v>250</v>
      </c>
      <c r="H22" t="s">
        <v>252</v>
      </c>
      <c r="I22" t="s">
        <v>245</v>
      </c>
      <c r="J22">
        <v>1236</v>
      </c>
      <c r="K22">
        <v>16</v>
      </c>
      <c r="L22" s="4">
        <v>0.6</v>
      </c>
      <c r="M22">
        <v>0.35</v>
      </c>
      <c r="N22" s="4">
        <v>0.74160000000000004</v>
      </c>
      <c r="O22" s="4">
        <v>0.43259999999999998</v>
      </c>
    </row>
    <row r="23" spans="1:15">
      <c r="B23" t="s">
        <v>241</v>
      </c>
      <c r="C23" t="s">
        <v>49</v>
      </c>
      <c r="D23" t="s">
        <v>253</v>
      </c>
      <c r="E23" t="s">
        <v>254</v>
      </c>
      <c r="F23" t="s">
        <v>30</v>
      </c>
      <c r="G23" t="s">
        <v>253</v>
      </c>
      <c r="H23" t="s">
        <v>255</v>
      </c>
      <c r="I23" t="s">
        <v>245</v>
      </c>
      <c r="J23">
        <v>1215</v>
      </c>
      <c r="K23">
        <v>43</v>
      </c>
      <c r="L23" s="4">
        <v>0.6</v>
      </c>
      <c r="M23">
        <v>0.35</v>
      </c>
      <c r="N23" s="4">
        <v>0.72899999999999998</v>
      </c>
      <c r="O23" s="4">
        <v>0.42525000000000002</v>
      </c>
    </row>
    <row r="24" spans="1:15">
      <c r="B24" t="s">
        <v>241</v>
      </c>
      <c r="C24" t="s">
        <v>49</v>
      </c>
      <c r="D24" t="s">
        <v>256</v>
      </c>
      <c r="E24" t="s">
        <v>257</v>
      </c>
      <c r="F24" t="s">
        <v>30</v>
      </c>
      <c r="G24" t="s">
        <v>256</v>
      </c>
      <c r="H24" t="s">
        <v>258</v>
      </c>
      <c r="I24" t="s">
        <v>245</v>
      </c>
      <c r="J24">
        <v>78490</v>
      </c>
      <c r="K24">
        <v>726</v>
      </c>
      <c r="L24" s="4">
        <v>0.6</v>
      </c>
      <c r="M24">
        <v>0.35</v>
      </c>
      <c r="N24" s="4">
        <v>47.094000000000001</v>
      </c>
      <c r="O24" s="4">
        <v>27.471499999999999</v>
      </c>
    </row>
    <row r="25" spans="1:15">
      <c r="B25" t="s">
        <v>241</v>
      </c>
      <c r="C25" t="s">
        <v>49</v>
      </c>
      <c r="D25" t="s">
        <v>259</v>
      </c>
      <c r="E25" t="s">
        <v>260</v>
      </c>
      <c r="F25" t="s">
        <v>30</v>
      </c>
      <c r="G25" t="s">
        <v>259</v>
      </c>
      <c r="H25" t="s">
        <v>261</v>
      </c>
      <c r="I25" t="s">
        <v>245</v>
      </c>
      <c r="J25">
        <v>1168</v>
      </c>
      <c r="K25">
        <v>9</v>
      </c>
      <c r="L25" s="4">
        <v>0.6</v>
      </c>
      <c r="M25">
        <v>0.35</v>
      </c>
      <c r="N25" s="4">
        <v>0.70079999999999998</v>
      </c>
      <c r="O25" s="4">
        <v>0.40879999999999994</v>
      </c>
    </row>
    <row r="26" spans="1:15">
      <c r="B26" t="s">
        <v>241</v>
      </c>
      <c r="C26" t="s">
        <v>49</v>
      </c>
      <c r="D26" t="s">
        <v>262</v>
      </c>
      <c r="E26" t="s">
        <v>263</v>
      </c>
      <c r="F26" t="s">
        <v>30</v>
      </c>
      <c r="G26" t="s">
        <v>262</v>
      </c>
      <c r="H26" t="s">
        <v>264</v>
      </c>
      <c r="I26" t="s">
        <v>245</v>
      </c>
      <c r="J26">
        <v>1262</v>
      </c>
      <c r="K26">
        <v>12</v>
      </c>
      <c r="L26" s="4">
        <v>0.6</v>
      </c>
      <c r="M26">
        <v>0.35</v>
      </c>
      <c r="N26" s="4">
        <v>0.75719999999999998</v>
      </c>
      <c r="O26" s="4">
        <v>0.44169999999999998</v>
      </c>
    </row>
    <row r="27" spans="1:15">
      <c r="B27" t="s">
        <v>241</v>
      </c>
      <c r="C27" t="s">
        <v>49</v>
      </c>
      <c r="D27" t="s">
        <v>265</v>
      </c>
      <c r="E27" t="s">
        <v>266</v>
      </c>
      <c r="F27" t="s">
        <v>30</v>
      </c>
      <c r="G27" t="s">
        <v>265</v>
      </c>
      <c r="H27" t="s">
        <v>267</v>
      </c>
      <c r="I27" t="s">
        <v>245</v>
      </c>
      <c r="J27">
        <v>162</v>
      </c>
      <c r="K27">
        <v>0</v>
      </c>
      <c r="L27" s="4">
        <v>0.6</v>
      </c>
      <c r="M27">
        <v>0.35</v>
      </c>
      <c r="N27" s="4">
        <v>9.7200000000000009E-2</v>
      </c>
      <c r="O27" s="4">
        <v>5.6699999999999993E-2</v>
      </c>
    </row>
    <row r="28" spans="1:15">
      <c r="B28" t="s">
        <v>241</v>
      </c>
      <c r="C28" t="s">
        <v>49</v>
      </c>
      <c r="D28" t="s">
        <v>268</v>
      </c>
      <c r="E28" t="s">
        <v>269</v>
      </c>
      <c r="F28" t="s">
        <v>30</v>
      </c>
      <c r="G28" t="s">
        <v>268</v>
      </c>
      <c r="H28" t="s">
        <v>270</v>
      </c>
      <c r="I28" t="s">
        <v>245</v>
      </c>
      <c r="J28">
        <v>275</v>
      </c>
      <c r="K28">
        <v>0</v>
      </c>
      <c r="L28" s="4">
        <v>0.6</v>
      </c>
      <c r="M28">
        <v>0.35</v>
      </c>
      <c r="N28" s="4">
        <v>0.16500000000000001</v>
      </c>
      <c r="O28" s="4">
        <v>9.6250000000000002E-2</v>
      </c>
    </row>
    <row r="29" spans="1:15">
      <c r="B29" t="s">
        <v>241</v>
      </c>
      <c r="C29" t="s">
        <v>49</v>
      </c>
      <c r="D29" t="s">
        <v>271</v>
      </c>
      <c r="E29" t="s">
        <v>272</v>
      </c>
      <c r="F29" t="s">
        <v>30</v>
      </c>
      <c r="G29" t="s">
        <v>271</v>
      </c>
      <c r="H29" t="s">
        <v>273</v>
      </c>
      <c r="I29" t="s">
        <v>245</v>
      </c>
      <c r="J29">
        <v>590</v>
      </c>
      <c r="K29">
        <v>0</v>
      </c>
      <c r="L29" s="4">
        <v>0.6</v>
      </c>
      <c r="M29">
        <v>0.35</v>
      </c>
      <c r="N29" s="4">
        <v>0.35399999999999998</v>
      </c>
      <c r="O29" s="4">
        <v>0.20649999999999999</v>
      </c>
    </row>
    <row r="30" spans="1:15">
      <c r="B30" t="s">
        <v>241</v>
      </c>
      <c r="C30" t="s">
        <v>49</v>
      </c>
      <c r="D30" t="s">
        <v>274</v>
      </c>
      <c r="E30" t="s">
        <v>275</v>
      </c>
      <c r="F30" t="s">
        <v>30</v>
      </c>
      <c r="G30" t="s">
        <v>274</v>
      </c>
      <c r="H30" t="s">
        <v>276</v>
      </c>
      <c r="I30" t="s">
        <v>245</v>
      </c>
      <c r="J30">
        <v>587</v>
      </c>
      <c r="K30">
        <v>2</v>
      </c>
      <c r="L30" s="4">
        <v>0.6</v>
      </c>
      <c r="M30">
        <v>0.35</v>
      </c>
      <c r="N30" s="4">
        <v>0.35220000000000001</v>
      </c>
      <c r="O30" s="4">
        <v>0.20544999999999999</v>
      </c>
    </row>
    <row r="31" spans="1:15">
      <c r="B31" t="s">
        <v>241</v>
      </c>
      <c r="C31" t="s">
        <v>49</v>
      </c>
      <c r="D31" t="s">
        <v>277</v>
      </c>
      <c r="E31" t="s">
        <v>278</v>
      </c>
      <c r="F31" t="s">
        <v>30</v>
      </c>
      <c r="G31" t="s">
        <v>277</v>
      </c>
      <c r="H31" t="s">
        <v>279</v>
      </c>
      <c r="I31" t="s">
        <v>245</v>
      </c>
      <c r="J31">
        <v>686820</v>
      </c>
      <c r="K31">
        <v>1405</v>
      </c>
      <c r="L31" s="4">
        <v>0.6</v>
      </c>
      <c r="M31">
        <v>0.35</v>
      </c>
      <c r="N31" s="4">
        <v>412.09199999999998</v>
      </c>
      <c r="O31" s="4">
        <v>240.38699999999997</v>
      </c>
    </row>
    <row r="32" spans="1:15">
      <c r="B32" t="s">
        <v>241</v>
      </c>
      <c r="C32" t="s">
        <v>49</v>
      </c>
      <c r="D32" t="s">
        <v>280</v>
      </c>
      <c r="E32" t="s">
        <v>281</v>
      </c>
      <c r="F32" t="s">
        <v>30</v>
      </c>
      <c r="G32" t="s">
        <v>280</v>
      </c>
      <c r="H32" t="s">
        <v>282</v>
      </c>
      <c r="I32" t="s">
        <v>245</v>
      </c>
      <c r="J32">
        <v>686001</v>
      </c>
      <c r="K32">
        <v>1332</v>
      </c>
      <c r="L32" s="4">
        <v>0.6</v>
      </c>
      <c r="M32">
        <v>0.35</v>
      </c>
      <c r="N32" s="4">
        <v>411.60059999999999</v>
      </c>
      <c r="O32" s="4">
        <v>240.10034999999996</v>
      </c>
    </row>
    <row r="33" spans="2:15">
      <c r="B33" t="s">
        <v>241</v>
      </c>
      <c r="C33" t="s">
        <v>49</v>
      </c>
      <c r="D33" t="s">
        <v>283</v>
      </c>
      <c r="E33" t="s">
        <v>284</v>
      </c>
      <c r="F33" t="s">
        <v>30</v>
      </c>
      <c r="G33" t="s">
        <v>283</v>
      </c>
      <c r="H33" t="s">
        <v>285</v>
      </c>
      <c r="I33" t="s">
        <v>245</v>
      </c>
      <c r="J33">
        <v>687295</v>
      </c>
      <c r="K33">
        <v>1247</v>
      </c>
      <c r="L33" s="4">
        <v>0.6</v>
      </c>
      <c r="M33">
        <v>0.35</v>
      </c>
      <c r="N33" s="4">
        <v>412.37700000000001</v>
      </c>
      <c r="O33" s="4">
        <v>240.55324999999996</v>
      </c>
    </row>
    <row r="34" spans="2:15">
      <c r="B34" t="s">
        <v>241</v>
      </c>
      <c r="C34" t="s">
        <v>49</v>
      </c>
      <c r="D34" t="s">
        <v>286</v>
      </c>
      <c r="E34" t="s">
        <v>287</v>
      </c>
      <c r="F34" t="s">
        <v>30</v>
      </c>
      <c r="G34" t="s">
        <v>286</v>
      </c>
      <c r="H34" t="s">
        <v>288</v>
      </c>
      <c r="I34" t="s">
        <v>245</v>
      </c>
      <c r="J34">
        <v>682407</v>
      </c>
      <c r="K34">
        <v>1607</v>
      </c>
      <c r="L34" s="4">
        <v>0.6</v>
      </c>
      <c r="M34">
        <v>0.35</v>
      </c>
      <c r="N34" s="4">
        <v>409.44420000000002</v>
      </c>
      <c r="O34" s="4">
        <v>238.84244999999999</v>
      </c>
    </row>
    <row r="35" spans="2:15">
      <c r="B35" t="s">
        <v>241</v>
      </c>
      <c r="C35" t="s">
        <v>49</v>
      </c>
      <c r="D35" t="s">
        <v>289</v>
      </c>
      <c r="E35" t="s">
        <v>290</v>
      </c>
      <c r="F35" t="s">
        <v>30</v>
      </c>
      <c r="G35" t="s">
        <v>289</v>
      </c>
      <c r="H35" t="s">
        <v>291</v>
      </c>
      <c r="I35" t="s">
        <v>245</v>
      </c>
      <c r="J35">
        <v>6579293</v>
      </c>
      <c r="K35">
        <v>10041</v>
      </c>
      <c r="L35" s="4">
        <v>0.6</v>
      </c>
      <c r="M35">
        <v>0.35</v>
      </c>
      <c r="N35" s="4">
        <v>3947.5757999999996</v>
      </c>
      <c r="O35" s="4">
        <v>2302.7525499999997</v>
      </c>
    </row>
    <row r="36" spans="2:15">
      <c r="B36" t="s">
        <v>241</v>
      </c>
      <c r="C36" t="s">
        <v>49</v>
      </c>
      <c r="D36" t="s">
        <v>292</v>
      </c>
      <c r="E36" t="s">
        <v>293</v>
      </c>
      <c r="F36" t="s">
        <v>30</v>
      </c>
      <c r="G36" t="s">
        <v>292</v>
      </c>
      <c r="H36" t="s">
        <v>294</v>
      </c>
      <c r="I36" t="s">
        <v>245</v>
      </c>
      <c r="J36">
        <v>21822075</v>
      </c>
      <c r="K36">
        <v>39178</v>
      </c>
      <c r="L36" s="4">
        <v>0.6</v>
      </c>
      <c r="M36">
        <v>0.35</v>
      </c>
      <c r="N36" s="4">
        <v>13093.245000000001</v>
      </c>
      <c r="O36" s="4">
        <v>7637.7262499999988</v>
      </c>
    </row>
    <row r="37" spans="2:15">
      <c r="B37" t="s">
        <v>241</v>
      </c>
      <c r="C37" t="s">
        <v>49</v>
      </c>
      <c r="D37" t="s">
        <v>295</v>
      </c>
      <c r="E37" t="s">
        <v>296</v>
      </c>
      <c r="F37" t="s">
        <v>30</v>
      </c>
      <c r="G37" t="s">
        <v>295</v>
      </c>
      <c r="H37" t="s">
        <v>297</v>
      </c>
      <c r="I37" t="s">
        <v>245</v>
      </c>
      <c r="J37">
        <v>16473649</v>
      </c>
      <c r="K37">
        <v>29946</v>
      </c>
      <c r="L37" s="4">
        <v>0.6</v>
      </c>
      <c r="M37">
        <v>0.35</v>
      </c>
      <c r="N37" s="4">
        <v>9884.1894000000011</v>
      </c>
      <c r="O37" s="4">
        <v>5765.7771499999999</v>
      </c>
    </row>
    <row r="38" spans="2:15">
      <c r="B38" t="s">
        <v>241</v>
      </c>
      <c r="C38" t="s">
        <v>49</v>
      </c>
      <c r="D38" t="s">
        <v>298</v>
      </c>
      <c r="E38" t="s">
        <v>299</v>
      </c>
      <c r="F38" t="s">
        <v>30</v>
      </c>
      <c r="G38" t="s">
        <v>298</v>
      </c>
      <c r="H38" t="s">
        <v>300</v>
      </c>
      <c r="I38" t="s">
        <v>245</v>
      </c>
      <c r="J38">
        <v>3345</v>
      </c>
      <c r="K38">
        <v>5</v>
      </c>
      <c r="L38" s="4">
        <v>0.6</v>
      </c>
      <c r="M38">
        <v>0.35</v>
      </c>
      <c r="N38" s="4">
        <v>2.0070000000000001</v>
      </c>
      <c r="O38" s="4">
        <v>1.17075</v>
      </c>
    </row>
    <row r="39" spans="2:15">
      <c r="B39" t="s">
        <v>241</v>
      </c>
      <c r="C39" t="s">
        <v>49</v>
      </c>
      <c r="D39" t="s">
        <v>301</v>
      </c>
      <c r="E39" t="s">
        <v>302</v>
      </c>
      <c r="F39" t="s">
        <v>30</v>
      </c>
      <c r="G39" t="s">
        <v>301</v>
      </c>
      <c r="H39" t="s">
        <v>303</v>
      </c>
      <c r="I39" t="s">
        <v>245</v>
      </c>
      <c r="J39">
        <v>3312</v>
      </c>
      <c r="K39">
        <v>2</v>
      </c>
      <c r="L39" s="4">
        <v>0.6</v>
      </c>
      <c r="M39">
        <v>0.35</v>
      </c>
      <c r="N39" s="4">
        <v>1.9871999999999999</v>
      </c>
      <c r="O39" s="4">
        <v>1.1591999999999998</v>
      </c>
    </row>
    <row r="40" spans="2:15">
      <c r="B40" t="s">
        <v>241</v>
      </c>
      <c r="C40" t="s">
        <v>49</v>
      </c>
      <c r="D40" t="s">
        <v>304</v>
      </c>
      <c r="E40" t="s">
        <v>305</v>
      </c>
      <c r="F40" t="s">
        <v>30</v>
      </c>
      <c r="G40" t="s">
        <v>304</v>
      </c>
      <c r="H40" t="s">
        <v>306</v>
      </c>
      <c r="I40" t="s">
        <v>245</v>
      </c>
      <c r="J40">
        <v>3315</v>
      </c>
      <c r="K40">
        <v>2</v>
      </c>
      <c r="L40" s="4">
        <v>0.6</v>
      </c>
      <c r="M40">
        <v>0.35</v>
      </c>
      <c r="N40" s="4">
        <v>1.9890000000000001</v>
      </c>
      <c r="O40" s="4">
        <v>1.16025</v>
      </c>
    </row>
    <row r="41" spans="2:15">
      <c r="B41" t="s">
        <v>241</v>
      </c>
      <c r="C41" t="s">
        <v>49</v>
      </c>
      <c r="D41" t="s">
        <v>307</v>
      </c>
      <c r="E41" t="s">
        <v>308</v>
      </c>
      <c r="F41" t="s">
        <v>30</v>
      </c>
      <c r="G41" t="s">
        <v>307</v>
      </c>
      <c r="H41" t="s">
        <v>309</v>
      </c>
      <c r="I41" t="s">
        <v>245</v>
      </c>
      <c r="J41">
        <v>3390</v>
      </c>
      <c r="K41">
        <v>10</v>
      </c>
      <c r="L41" s="4">
        <v>0.6</v>
      </c>
      <c r="M41">
        <v>0.35</v>
      </c>
      <c r="N41" s="4">
        <v>2.0339999999999998</v>
      </c>
      <c r="O41" s="4">
        <v>1.1865000000000001</v>
      </c>
    </row>
    <row r="42" spans="2:15">
      <c r="B42" t="s">
        <v>241</v>
      </c>
      <c r="C42" t="s">
        <v>49</v>
      </c>
      <c r="D42" t="s">
        <v>310</v>
      </c>
      <c r="E42" t="s">
        <v>311</v>
      </c>
      <c r="F42" t="s">
        <v>30</v>
      </c>
      <c r="G42" t="s">
        <v>310</v>
      </c>
      <c r="H42" t="s">
        <v>312</v>
      </c>
      <c r="I42" t="s">
        <v>245</v>
      </c>
      <c r="J42">
        <v>131797</v>
      </c>
      <c r="K42">
        <v>164</v>
      </c>
      <c r="L42" s="4">
        <v>0.6</v>
      </c>
      <c r="M42">
        <v>0.35</v>
      </c>
      <c r="N42" s="4">
        <v>79.078199999999995</v>
      </c>
      <c r="O42" s="4">
        <v>46.128949999999996</v>
      </c>
    </row>
    <row r="43" spans="2:15">
      <c r="B43" t="s">
        <v>241</v>
      </c>
      <c r="C43" t="s">
        <v>49</v>
      </c>
      <c r="D43" t="s">
        <v>313</v>
      </c>
      <c r="E43" t="s">
        <v>314</v>
      </c>
      <c r="F43" t="s">
        <v>30</v>
      </c>
      <c r="G43" t="s">
        <v>313</v>
      </c>
      <c r="H43" t="s">
        <v>315</v>
      </c>
      <c r="I43" t="s">
        <v>245</v>
      </c>
      <c r="J43">
        <v>18075</v>
      </c>
      <c r="K43">
        <v>24</v>
      </c>
      <c r="L43" s="4">
        <v>0.6</v>
      </c>
      <c r="M43">
        <v>0.35</v>
      </c>
      <c r="N43" s="4">
        <v>10.845000000000001</v>
      </c>
      <c r="O43" s="4">
        <v>6.3262499999999999</v>
      </c>
    </row>
    <row r="44" spans="2:15">
      <c r="B44" t="s">
        <v>241</v>
      </c>
      <c r="C44" t="s">
        <v>49</v>
      </c>
      <c r="D44" t="s">
        <v>316</v>
      </c>
      <c r="E44" t="s">
        <v>317</v>
      </c>
      <c r="F44" t="s">
        <v>30</v>
      </c>
      <c r="G44" t="s">
        <v>316</v>
      </c>
      <c r="H44" t="s">
        <v>318</v>
      </c>
      <c r="I44" t="s">
        <v>245</v>
      </c>
      <c r="J44">
        <v>70221</v>
      </c>
      <c r="K44">
        <v>86</v>
      </c>
      <c r="L44" s="4">
        <v>0.6</v>
      </c>
      <c r="M44">
        <v>0.35</v>
      </c>
      <c r="N44" s="4">
        <v>42.132599999999996</v>
      </c>
      <c r="O44" s="4">
        <v>24.577349999999999</v>
      </c>
    </row>
    <row r="45" spans="2:15">
      <c r="B45" t="s">
        <v>241</v>
      </c>
      <c r="C45" t="s">
        <v>49</v>
      </c>
      <c r="D45" t="s">
        <v>319</v>
      </c>
      <c r="E45" t="s">
        <v>320</v>
      </c>
      <c r="F45" t="s">
        <v>30</v>
      </c>
      <c r="G45" t="s">
        <v>319</v>
      </c>
      <c r="H45" t="s">
        <v>321</v>
      </c>
      <c r="I45" t="s">
        <v>245</v>
      </c>
      <c r="J45">
        <v>21150</v>
      </c>
      <c r="K45">
        <v>485</v>
      </c>
      <c r="L45" s="4">
        <v>0.6</v>
      </c>
      <c r="M45">
        <v>0.35</v>
      </c>
      <c r="N45" s="4">
        <v>12.69</v>
      </c>
      <c r="O45" s="4">
        <v>7.402499999999999</v>
      </c>
    </row>
    <row r="46" spans="2:15">
      <c r="B46" t="s">
        <v>241</v>
      </c>
      <c r="C46" t="s">
        <v>49</v>
      </c>
      <c r="D46" t="s">
        <v>322</v>
      </c>
      <c r="E46" t="s">
        <v>323</v>
      </c>
      <c r="F46" t="s">
        <v>30</v>
      </c>
      <c r="G46" t="s">
        <v>322</v>
      </c>
      <c r="H46" t="s">
        <v>324</v>
      </c>
      <c r="I46" t="s">
        <v>245</v>
      </c>
      <c r="J46">
        <v>38997</v>
      </c>
      <c r="K46">
        <v>809</v>
      </c>
      <c r="L46" s="4">
        <v>0.6</v>
      </c>
      <c r="M46">
        <v>0.35</v>
      </c>
      <c r="N46" s="4">
        <v>23.398199999999999</v>
      </c>
      <c r="O46" s="4">
        <v>13.648949999999999</v>
      </c>
    </row>
    <row r="47" spans="2:15">
      <c r="B47" t="s">
        <v>241</v>
      </c>
      <c r="C47" t="s">
        <v>49</v>
      </c>
      <c r="D47" t="s">
        <v>325</v>
      </c>
      <c r="E47" t="s">
        <v>326</v>
      </c>
      <c r="F47" t="s">
        <v>30</v>
      </c>
      <c r="G47" t="s">
        <v>325</v>
      </c>
      <c r="H47" t="s">
        <v>327</v>
      </c>
      <c r="I47" t="s">
        <v>245</v>
      </c>
      <c r="J47">
        <v>25900</v>
      </c>
      <c r="K47">
        <v>537</v>
      </c>
      <c r="L47" s="4">
        <v>0.6</v>
      </c>
      <c r="M47">
        <v>0.35</v>
      </c>
      <c r="N47" s="4">
        <v>15.54</v>
      </c>
      <c r="O47" s="4">
        <v>9.0649999999999995</v>
      </c>
    </row>
    <row r="48" spans="2:15">
      <c r="B48" t="s">
        <v>241</v>
      </c>
      <c r="C48" t="s">
        <v>49</v>
      </c>
      <c r="D48" t="s">
        <v>328</v>
      </c>
      <c r="E48" t="s">
        <v>329</v>
      </c>
      <c r="F48" t="s">
        <v>30</v>
      </c>
      <c r="G48" t="s">
        <v>328</v>
      </c>
      <c r="H48" t="s">
        <v>330</v>
      </c>
      <c r="I48" t="s">
        <v>245</v>
      </c>
      <c r="J48">
        <v>80165</v>
      </c>
      <c r="K48">
        <v>1159</v>
      </c>
      <c r="L48" s="4">
        <v>0.6</v>
      </c>
      <c r="M48">
        <v>0.35</v>
      </c>
      <c r="N48" s="4">
        <v>48.098999999999997</v>
      </c>
      <c r="O48" s="4">
        <v>28.057749999999999</v>
      </c>
    </row>
    <row r="49" spans="2:15">
      <c r="B49" t="s">
        <v>241</v>
      </c>
      <c r="C49" t="s">
        <v>49</v>
      </c>
      <c r="D49" t="s">
        <v>331</v>
      </c>
      <c r="E49" t="s">
        <v>332</v>
      </c>
      <c r="F49" t="s">
        <v>30</v>
      </c>
      <c r="G49" t="s">
        <v>331</v>
      </c>
      <c r="H49" t="s">
        <v>333</v>
      </c>
      <c r="I49" t="s">
        <v>245</v>
      </c>
      <c r="J49">
        <v>2965</v>
      </c>
      <c r="K49">
        <v>37</v>
      </c>
      <c r="L49" s="4">
        <v>0.6</v>
      </c>
      <c r="M49">
        <v>0.35</v>
      </c>
      <c r="N49" s="4">
        <v>1.7789999999999999</v>
      </c>
      <c r="O49" s="4">
        <v>1.03775</v>
      </c>
    </row>
    <row r="50" spans="2:15">
      <c r="B50" t="s">
        <v>241</v>
      </c>
      <c r="C50" t="s">
        <v>49</v>
      </c>
      <c r="D50" t="s">
        <v>334</v>
      </c>
      <c r="E50" t="s">
        <v>335</v>
      </c>
      <c r="F50" t="s">
        <v>30</v>
      </c>
      <c r="G50" t="s">
        <v>334</v>
      </c>
      <c r="H50" t="s">
        <v>336</v>
      </c>
      <c r="I50" t="s">
        <v>245</v>
      </c>
      <c r="J50">
        <v>2959</v>
      </c>
      <c r="K50">
        <v>55</v>
      </c>
      <c r="L50" s="4">
        <v>0.6</v>
      </c>
      <c r="M50">
        <v>0.35</v>
      </c>
      <c r="N50" s="4">
        <v>1.7753999999999999</v>
      </c>
      <c r="O50" s="4">
        <v>1.03565</v>
      </c>
    </row>
    <row r="51" spans="2:15">
      <c r="B51" t="s">
        <v>241</v>
      </c>
      <c r="C51" t="s">
        <v>337</v>
      </c>
      <c r="D51" t="s">
        <v>338</v>
      </c>
      <c r="E51" t="s">
        <v>339</v>
      </c>
      <c r="F51" t="s">
        <v>10</v>
      </c>
      <c r="G51" t="s">
        <v>338</v>
      </c>
      <c r="H51" t="s">
        <v>340</v>
      </c>
      <c r="I51" t="s">
        <v>32</v>
      </c>
      <c r="J51">
        <v>0</v>
      </c>
      <c r="K51">
        <v>293</v>
      </c>
      <c r="L51" s="4">
        <v>3.5000000000000001E-3</v>
      </c>
      <c r="M51">
        <v>0.02</v>
      </c>
      <c r="N51" s="4">
        <v>1.0255000000000001</v>
      </c>
      <c r="O51" s="4">
        <v>5.86</v>
      </c>
    </row>
    <row r="52" spans="2:15">
      <c r="B52" t="s">
        <v>56</v>
      </c>
      <c r="C52" t="s">
        <v>50</v>
      </c>
      <c r="D52" t="s">
        <v>341</v>
      </c>
      <c r="E52" t="s">
        <v>342</v>
      </c>
      <c r="F52" t="s">
        <v>10</v>
      </c>
      <c r="G52" t="s">
        <v>341</v>
      </c>
      <c r="H52" t="s">
        <v>343</v>
      </c>
      <c r="I52" t="s">
        <v>32</v>
      </c>
      <c r="J52">
        <v>0</v>
      </c>
      <c r="K52">
        <v>673</v>
      </c>
      <c r="L52" s="4">
        <v>3.5000000000000001E-3</v>
      </c>
      <c r="M52">
        <v>0.02</v>
      </c>
      <c r="N52" s="4">
        <v>2.3555000000000001</v>
      </c>
      <c r="O52" s="4">
        <v>13.46</v>
      </c>
    </row>
    <row r="53" spans="2:15">
      <c r="B53" t="s">
        <v>56</v>
      </c>
      <c r="C53" t="s">
        <v>50</v>
      </c>
      <c r="D53" t="s">
        <v>162</v>
      </c>
      <c r="E53" t="s">
        <v>163</v>
      </c>
      <c r="F53" t="s">
        <v>10</v>
      </c>
      <c r="G53" t="s">
        <v>162</v>
      </c>
      <c r="H53" t="s">
        <v>164</v>
      </c>
      <c r="I53" t="s">
        <v>32</v>
      </c>
      <c r="J53">
        <v>0</v>
      </c>
      <c r="K53">
        <v>4905</v>
      </c>
      <c r="L53" s="4">
        <v>3.5000000000000001E-3</v>
      </c>
      <c r="M53">
        <v>0.02</v>
      </c>
      <c r="N53" s="4">
        <v>17.1675</v>
      </c>
      <c r="O53" s="4">
        <v>98.100000000000009</v>
      </c>
    </row>
    <row r="54" spans="2:15">
      <c r="B54" t="s">
        <v>56</v>
      </c>
      <c r="C54" t="s">
        <v>50</v>
      </c>
      <c r="D54" t="s">
        <v>57</v>
      </c>
      <c r="E54" t="s">
        <v>58</v>
      </c>
      <c r="F54" t="s">
        <v>10</v>
      </c>
      <c r="G54" t="s">
        <v>57</v>
      </c>
      <c r="H54" t="s">
        <v>59</v>
      </c>
      <c r="I54" t="s">
        <v>32</v>
      </c>
      <c r="J54">
        <v>0</v>
      </c>
      <c r="K54">
        <v>33</v>
      </c>
      <c r="L54" s="4">
        <v>3.5000000000000001E-3</v>
      </c>
      <c r="M54">
        <v>0.02</v>
      </c>
      <c r="N54" s="4">
        <v>0.11550000000000001</v>
      </c>
      <c r="O54" s="4">
        <v>0.66</v>
      </c>
    </row>
    <row r="55" spans="2:15">
      <c r="B55" t="s">
        <v>56</v>
      </c>
      <c r="C55" t="s">
        <v>50</v>
      </c>
      <c r="D55" t="s">
        <v>165</v>
      </c>
      <c r="E55" t="s">
        <v>166</v>
      </c>
      <c r="F55" t="s">
        <v>10</v>
      </c>
      <c r="G55" t="s">
        <v>165</v>
      </c>
      <c r="H55" t="s">
        <v>167</v>
      </c>
      <c r="I55" t="s">
        <v>32</v>
      </c>
      <c r="J55">
        <v>0</v>
      </c>
      <c r="K55">
        <v>7</v>
      </c>
      <c r="L55" s="4">
        <v>3.5000000000000001E-3</v>
      </c>
      <c r="M55">
        <v>0.02</v>
      </c>
      <c r="N55" s="4">
        <v>2.4500000000000001E-2</v>
      </c>
      <c r="O55" s="4">
        <v>0.14000000000000001</v>
      </c>
    </row>
    <row r="56" spans="2:15">
      <c r="B56" t="s">
        <v>56</v>
      </c>
      <c r="C56" t="s">
        <v>50</v>
      </c>
      <c r="D56" t="s">
        <v>168</v>
      </c>
      <c r="E56" t="s">
        <v>169</v>
      </c>
      <c r="F56" t="s">
        <v>10</v>
      </c>
      <c r="G56" t="s">
        <v>168</v>
      </c>
      <c r="H56" t="s">
        <v>170</v>
      </c>
      <c r="I56" t="s">
        <v>32</v>
      </c>
      <c r="J56">
        <v>0</v>
      </c>
      <c r="K56">
        <v>17828</v>
      </c>
      <c r="L56" s="4">
        <v>3.5000000000000001E-3</v>
      </c>
      <c r="M56">
        <v>0.02</v>
      </c>
      <c r="N56" s="4">
        <v>62.398000000000003</v>
      </c>
      <c r="O56" s="4">
        <v>356.56</v>
      </c>
    </row>
    <row r="57" spans="2:15">
      <c r="B57" t="s">
        <v>56</v>
      </c>
      <c r="C57" t="s">
        <v>50</v>
      </c>
      <c r="D57" t="s">
        <v>171</v>
      </c>
      <c r="E57" t="s">
        <v>172</v>
      </c>
      <c r="F57" t="s">
        <v>10</v>
      </c>
      <c r="G57" t="s">
        <v>171</v>
      </c>
      <c r="H57" t="s">
        <v>173</v>
      </c>
      <c r="I57" t="s">
        <v>32</v>
      </c>
      <c r="J57">
        <v>0</v>
      </c>
      <c r="K57">
        <v>1278</v>
      </c>
      <c r="L57" s="4">
        <v>3.5000000000000001E-3</v>
      </c>
      <c r="M57">
        <v>0.02</v>
      </c>
      <c r="N57" s="4">
        <v>4.4729999999999999</v>
      </c>
      <c r="O57" s="4">
        <v>25.560000000000002</v>
      </c>
    </row>
    <row r="58" spans="2:15">
      <c r="B58" t="s">
        <v>56</v>
      </c>
      <c r="C58" t="s">
        <v>50</v>
      </c>
      <c r="D58" t="s">
        <v>96</v>
      </c>
      <c r="E58" t="s">
        <v>97</v>
      </c>
      <c r="F58" t="s">
        <v>10</v>
      </c>
      <c r="G58" t="s">
        <v>96</v>
      </c>
      <c r="H58" t="s">
        <v>98</v>
      </c>
      <c r="I58" t="s">
        <v>32</v>
      </c>
      <c r="J58">
        <v>0</v>
      </c>
      <c r="K58">
        <v>1</v>
      </c>
      <c r="L58" s="4">
        <v>3.5000000000000001E-3</v>
      </c>
      <c r="M58">
        <v>0.02</v>
      </c>
      <c r="N58" s="4">
        <v>3.5000000000000001E-3</v>
      </c>
      <c r="O58" s="4">
        <v>0.02</v>
      </c>
    </row>
    <row r="59" spans="2:15">
      <c r="B59" t="s">
        <v>56</v>
      </c>
      <c r="C59" t="s">
        <v>50</v>
      </c>
      <c r="D59" t="s">
        <v>174</v>
      </c>
      <c r="E59" t="s">
        <v>175</v>
      </c>
      <c r="F59" t="s">
        <v>10</v>
      </c>
      <c r="G59" t="s">
        <v>174</v>
      </c>
      <c r="H59" t="s">
        <v>176</v>
      </c>
      <c r="I59" t="s">
        <v>32</v>
      </c>
      <c r="J59">
        <v>0</v>
      </c>
      <c r="K59">
        <v>1</v>
      </c>
      <c r="L59" s="4">
        <v>3.5000000000000001E-3</v>
      </c>
      <c r="M59">
        <v>0.02</v>
      </c>
      <c r="N59" s="4">
        <v>3.5000000000000001E-3</v>
      </c>
      <c r="O59" s="4">
        <v>0.02</v>
      </c>
    </row>
    <row r="60" spans="2:15">
      <c r="B60" t="s">
        <v>56</v>
      </c>
      <c r="C60" t="s">
        <v>50</v>
      </c>
      <c r="D60" t="s">
        <v>177</v>
      </c>
      <c r="E60" t="s">
        <v>178</v>
      </c>
      <c r="F60" t="s">
        <v>10</v>
      </c>
      <c r="G60" t="s">
        <v>177</v>
      </c>
      <c r="H60" t="s">
        <v>179</v>
      </c>
      <c r="I60" t="s">
        <v>32</v>
      </c>
      <c r="J60">
        <v>0</v>
      </c>
      <c r="K60">
        <v>2</v>
      </c>
      <c r="L60" s="4">
        <v>3.5000000000000001E-3</v>
      </c>
      <c r="M60">
        <v>0.02</v>
      </c>
      <c r="N60" s="4">
        <v>7.0000000000000001E-3</v>
      </c>
      <c r="O60" s="4">
        <v>0.04</v>
      </c>
    </row>
    <row r="61" spans="2:15">
      <c r="B61" t="s">
        <v>56</v>
      </c>
      <c r="C61" t="s">
        <v>50</v>
      </c>
      <c r="D61" t="s">
        <v>551</v>
      </c>
      <c r="E61" t="s">
        <v>552</v>
      </c>
      <c r="F61" t="s">
        <v>10</v>
      </c>
      <c r="G61" t="s">
        <v>551</v>
      </c>
      <c r="H61" t="s">
        <v>553</v>
      </c>
      <c r="I61" t="s">
        <v>32</v>
      </c>
      <c r="J61">
        <v>0</v>
      </c>
      <c r="K61">
        <v>1</v>
      </c>
      <c r="L61" s="4">
        <v>3.5000000000000001E-3</v>
      </c>
      <c r="M61">
        <v>0.02</v>
      </c>
      <c r="N61" s="4">
        <v>3.5000000000000001E-3</v>
      </c>
      <c r="O61" s="4">
        <v>0.02</v>
      </c>
    </row>
    <row r="62" spans="2:15">
      <c r="B62" t="s">
        <v>56</v>
      </c>
      <c r="C62" t="s">
        <v>50</v>
      </c>
      <c r="D62" t="s">
        <v>60</v>
      </c>
      <c r="E62" t="s">
        <v>61</v>
      </c>
      <c r="F62" t="s">
        <v>10</v>
      </c>
      <c r="G62" t="s">
        <v>60</v>
      </c>
      <c r="H62" t="s">
        <v>62</v>
      </c>
      <c r="I62" t="s">
        <v>32</v>
      </c>
      <c r="J62">
        <v>0</v>
      </c>
      <c r="K62">
        <v>23</v>
      </c>
      <c r="L62" s="4">
        <v>3.5000000000000001E-3</v>
      </c>
      <c r="M62">
        <v>0.02</v>
      </c>
      <c r="N62" s="4">
        <v>8.0500000000000002E-2</v>
      </c>
      <c r="O62" s="4">
        <v>0.46</v>
      </c>
    </row>
    <row r="63" spans="2:15">
      <c r="B63" t="s">
        <v>56</v>
      </c>
      <c r="C63" t="s">
        <v>242</v>
      </c>
      <c r="D63" t="s">
        <v>554</v>
      </c>
      <c r="E63" t="s">
        <v>555</v>
      </c>
      <c r="F63" t="s">
        <v>10</v>
      </c>
      <c r="G63" t="s">
        <v>554</v>
      </c>
      <c r="H63" t="s">
        <v>556</v>
      </c>
      <c r="I63" t="s">
        <v>32</v>
      </c>
      <c r="J63">
        <v>0</v>
      </c>
      <c r="K63">
        <v>1</v>
      </c>
      <c r="L63" s="4">
        <v>3.5000000000000001E-3</v>
      </c>
      <c r="M63">
        <v>0.02</v>
      </c>
      <c r="N63" s="4">
        <v>3.5000000000000001E-3</v>
      </c>
      <c r="O63" s="4">
        <v>0.02</v>
      </c>
    </row>
    <row r="64" spans="2:15">
      <c r="B64" t="s">
        <v>56</v>
      </c>
      <c r="C64" t="s">
        <v>242</v>
      </c>
      <c r="D64" t="s">
        <v>557</v>
      </c>
      <c r="E64" t="s">
        <v>558</v>
      </c>
      <c r="F64" t="s">
        <v>10</v>
      </c>
      <c r="G64" t="s">
        <v>557</v>
      </c>
      <c r="H64" t="s">
        <v>559</v>
      </c>
      <c r="I64" t="s">
        <v>32</v>
      </c>
      <c r="J64">
        <v>0</v>
      </c>
      <c r="K64">
        <v>1</v>
      </c>
      <c r="L64" s="4">
        <v>3.5000000000000001E-3</v>
      </c>
      <c r="M64">
        <v>0.02</v>
      </c>
      <c r="N64" s="4">
        <v>3.5000000000000001E-3</v>
      </c>
      <c r="O64" s="4">
        <v>0.02</v>
      </c>
    </row>
    <row r="65" spans="2:15">
      <c r="B65" t="s">
        <v>56</v>
      </c>
      <c r="C65" t="s">
        <v>242</v>
      </c>
      <c r="D65" t="s">
        <v>560</v>
      </c>
      <c r="E65" t="s">
        <v>561</v>
      </c>
      <c r="F65" t="s">
        <v>10</v>
      </c>
      <c r="G65" t="s">
        <v>560</v>
      </c>
      <c r="H65" t="s">
        <v>562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56</v>
      </c>
      <c r="C66" t="s">
        <v>242</v>
      </c>
      <c r="D66" t="s">
        <v>563</v>
      </c>
      <c r="E66" t="s">
        <v>564</v>
      </c>
      <c r="F66" t="s">
        <v>10</v>
      </c>
      <c r="G66" t="s">
        <v>563</v>
      </c>
      <c r="H66" t="s">
        <v>565</v>
      </c>
      <c r="I66" t="s">
        <v>32</v>
      </c>
      <c r="J66">
        <v>0</v>
      </c>
      <c r="K66">
        <v>1</v>
      </c>
      <c r="L66" s="4">
        <v>3.5000000000000001E-3</v>
      </c>
      <c r="M66">
        <v>0.02</v>
      </c>
      <c r="N66" s="4">
        <v>3.5000000000000001E-3</v>
      </c>
      <c r="O66" s="4">
        <v>0.02</v>
      </c>
    </row>
    <row r="67" spans="2:15">
      <c r="B67" t="s">
        <v>56</v>
      </c>
      <c r="C67" t="s">
        <v>49</v>
      </c>
      <c r="D67" t="s">
        <v>566</v>
      </c>
      <c r="E67" t="s">
        <v>567</v>
      </c>
      <c r="F67" t="s">
        <v>12</v>
      </c>
      <c r="G67" t="s">
        <v>566</v>
      </c>
      <c r="H67" t="s">
        <v>568</v>
      </c>
      <c r="I67" t="s">
        <v>31</v>
      </c>
      <c r="J67">
        <v>1</v>
      </c>
      <c r="K67">
        <v>1</v>
      </c>
      <c r="L67" s="4">
        <v>3.8199999999999998E-2</v>
      </c>
      <c r="M67">
        <v>0.09</v>
      </c>
      <c r="N67" s="4">
        <v>3.82E-5</v>
      </c>
      <c r="O67" s="4">
        <v>8.9999999999999992E-5</v>
      </c>
    </row>
    <row r="68" spans="2:15">
      <c r="B68" t="s">
        <v>56</v>
      </c>
      <c r="C68" t="s">
        <v>49</v>
      </c>
      <c r="D68" t="s">
        <v>569</v>
      </c>
      <c r="E68" t="s">
        <v>570</v>
      </c>
      <c r="F68" t="s">
        <v>12</v>
      </c>
      <c r="G68" t="s">
        <v>569</v>
      </c>
      <c r="H68" t="s">
        <v>571</v>
      </c>
      <c r="I68" t="s">
        <v>31</v>
      </c>
      <c r="J68">
        <v>1</v>
      </c>
      <c r="K68">
        <v>1</v>
      </c>
      <c r="L68" s="4">
        <v>3.8199999999999998E-2</v>
      </c>
      <c r="M68">
        <v>0.09</v>
      </c>
      <c r="N68" s="4">
        <v>3.82E-5</v>
      </c>
      <c r="O68" s="4">
        <v>8.9999999999999992E-5</v>
      </c>
    </row>
    <row r="69" spans="2:15">
      <c r="B69" t="s">
        <v>56</v>
      </c>
      <c r="C69" t="s">
        <v>49</v>
      </c>
      <c r="D69" t="s">
        <v>572</v>
      </c>
      <c r="E69" t="s">
        <v>573</v>
      </c>
      <c r="F69" t="s">
        <v>12</v>
      </c>
      <c r="G69" t="s">
        <v>572</v>
      </c>
      <c r="H69" t="s">
        <v>574</v>
      </c>
      <c r="I69" t="s">
        <v>31</v>
      </c>
      <c r="J69">
        <v>161814</v>
      </c>
      <c r="K69">
        <v>718</v>
      </c>
      <c r="L69" s="4">
        <v>3.8199999999999998E-2</v>
      </c>
      <c r="M69">
        <v>0.09</v>
      </c>
      <c r="N69" s="4">
        <v>6.1812947999999999</v>
      </c>
      <c r="O69" s="4">
        <v>14.56326</v>
      </c>
    </row>
    <row r="70" spans="2:15">
      <c r="B70" t="s">
        <v>56</v>
      </c>
      <c r="C70" t="s">
        <v>49</v>
      </c>
      <c r="D70" t="s">
        <v>575</v>
      </c>
      <c r="E70" t="s">
        <v>576</v>
      </c>
      <c r="F70" t="s">
        <v>12</v>
      </c>
      <c r="G70" t="s">
        <v>575</v>
      </c>
      <c r="H70" t="s">
        <v>577</v>
      </c>
      <c r="I70" t="s">
        <v>31</v>
      </c>
      <c r="J70">
        <v>393589</v>
      </c>
      <c r="K70">
        <v>1742</v>
      </c>
      <c r="L70" s="4">
        <v>3.8199999999999998E-2</v>
      </c>
      <c r="M70">
        <v>0.09</v>
      </c>
      <c r="N70" s="4">
        <v>15.035099799999999</v>
      </c>
      <c r="O70" s="4">
        <v>35.423010000000005</v>
      </c>
    </row>
    <row r="71" spans="2:15">
      <c r="B71" t="s">
        <v>56</v>
      </c>
      <c r="C71" t="s">
        <v>49</v>
      </c>
      <c r="D71" t="s">
        <v>578</v>
      </c>
      <c r="E71" t="s">
        <v>579</v>
      </c>
      <c r="F71" t="s">
        <v>11</v>
      </c>
      <c r="G71" t="s">
        <v>580</v>
      </c>
      <c r="H71" t="s">
        <v>581</v>
      </c>
      <c r="I71" t="s">
        <v>31</v>
      </c>
      <c r="J71">
        <v>1</v>
      </c>
      <c r="K71">
        <v>0</v>
      </c>
      <c r="L71" s="4">
        <v>3.8199999999999998E-2</v>
      </c>
      <c r="M71">
        <v>0.09</v>
      </c>
      <c r="N71" s="4">
        <v>3.82E-5</v>
      </c>
      <c r="O71" s="4">
        <v>8.9999999999999992E-5</v>
      </c>
    </row>
    <row r="72" spans="2:15">
      <c r="B72" t="s">
        <v>56</v>
      </c>
      <c r="C72" t="s">
        <v>49</v>
      </c>
      <c r="D72" t="s">
        <v>578</v>
      </c>
      <c r="E72" t="s">
        <v>579</v>
      </c>
      <c r="F72" t="s">
        <v>12</v>
      </c>
      <c r="G72" t="s">
        <v>578</v>
      </c>
      <c r="H72" t="s">
        <v>582</v>
      </c>
      <c r="I72" t="s">
        <v>31</v>
      </c>
      <c r="J72">
        <v>29787692</v>
      </c>
      <c r="K72">
        <v>329664</v>
      </c>
      <c r="L72" s="4">
        <v>3.8199999999999998E-2</v>
      </c>
      <c r="M72">
        <v>0.09</v>
      </c>
      <c r="N72" s="4">
        <v>1137.8898344000002</v>
      </c>
      <c r="O72" s="4">
        <v>2680.8922799999996</v>
      </c>
    </row>
    <row r="73" spans="2:15">
      <c r="B73" t="s">
        <v>56</v>
      </c>
      <c r="C73" t="s">
        <v>49</v>
      </c>
      <c r="D73" t="s">
        <v>583</v>
      </c>
      <c r="E73" t="s">
        <v>584</v>
      </c>
      <c r="F73" t="s">
        <v>12</v>
      </c>
      <c r="G73" t="s">
        <v>583</v>
      </c>
      <c r="H73" t="s">
        <v>585</v>
      </c>
      <c r="I73" t="s">
        <v>31</v>
      </c>
      <c r="J73">
        <v>401123</v>
      </c>
      <c r="K73">
        <v>2692</v>
      </c>
      <c r="L73" s="4">
        <v>3.8199999999999998E-2</v>
      </c>
      <c r="M73">
        <v>0.09</v>
      </c>
      <c r="N73" s="4">
        <v>15.322898599999998</v>
      </c>
      <c r="O73" s="4">
        <v>36.10107</v>
      </c>
    </row>
    <row r="74" spans="2:15">
      <c r="B74" t="s">
        <v>56</v>
      </c>
      <c r="C74" t="s">
        <v>49</v>
      </c>
      <c r="D74" t="s">
        <v>586</v>
      </c>
      <c r="E74" t="s">
        <v>587</v>
      </c>
      <c r="F74" t="s">
        <v>12</v>
      </c>
      <c r="G74" t="s">
        <v>586</v>
      </c>
      <c r="H74" t="s">
        <v>588</v>
      </c>
      <c r="I74" t="s">
        <v>31</v>
      </c>
      <c r="J74">
        <v>3503117</v>
      </c>
      <c r="K74">
        <v>63428</v>
      </c>
      <c r="L74" s="4">
        <v>3.8199999999999998E-2</v>
      </c>
      <c r="M74">
        <v>0.09</v>
      </c>
      <c r="N74" s="4">
        <v>133.81906939999999</v>
      </c>
      <c r="O74" s="4">
        <v>315.28052999999994</v>
      </c>
    </row>
    <row r="75" spans="2:15">
      <c r="B75" t="s">
        <v>56</v>
      </c>
      <c r="C75" t="s">
        <v>49</v>
      </c>
      <c r="D75" t="s">
        <v>586</v>
      </c>
      <c r="E75" t="s">
        <v>587</v>
      </c>
      <c r="F75" t="s">
        <v>12</v>
      </c>
      <c r="G75" t="s">
        <v>589</v>
      </c>
      <c r="H75" t="s">
        <v>590</v>
      </c>
      <c r="I75" t="s">
        <v>31</v>
      </c>
      <c r="J75">
        <v>3510996</v>
      </c>
      <c r="K75">
        <v>63822</v>
      </c>
      <c r="L75" s="4">
        <v>3.8199999999999998E-2</v>
      </c>
      <c r="M75">
        <v>0.09</v>
      </c>
      <c r="N75" s="4">
        <v>134.12004719999999</v>
      </c>
      <c r="O75" s="4">
        <v>315.98964000000001</v>
      </c>
    </row>
    <row r="76" spans="2:15">
      <c r="B76" t="s">
        <v>56</v>
      </c>
      <c r="C76" t="s">
        <v>49</v>
      </c>
      <c r="D76" t="s">
        <v>591</v>
      </c>
      <c r="E76" t="s">
        <v>592</v>
      </c>
      <c r="F76" t="s">
        <v>11</v>
      </c>
      <c r="G76" t="s">
        <v>593</v>
      </c>
      <c r="H76" t="s">
        <v>594</v>
      </c>
      <c r="I76" t="s">
        <v>31</v>
      </c>
      <c r="J76">
        <v>14</v>
      </c>
      <c r="K76">
        <v>0</v>
      </c>
      <c r="L76" s="4">
        <v>3.8199999999999998E-2</v>
      </c>
      <c r="M76">
        <v>0.09</v>
      </c>
      <c r="N76" s="4">
        <v>5.3479999999999999E-4</v>
      </c>
      <c r="O76" s="4">
        <v>1.2600000000000001E-3</v>
      </c>
    </row>
    <row r="77" spans="2:15">
      <c r="B77" t="s">
        <v>56</v>
      </c>
      <c r="C77" t="s">
        <v>49</v>
      </c>
      <c r="D77" t="s">
        <v>591</v>
      </c>
      <c r="E77" t="s">
        <v>592</v>
      </c>
      <c r="F77" t="s">
        <v>12</v>
      </c>
      <c r="G77" t="s">
        <v>591</v>
      </c>
      <c r="H77" t="s">
        <v>595</v>
      </c>
      <c r="I77" t="s">
        <v>31</v>
      </c>
      <c r="J77">
        <v>233164186</v>
      </c>
      <c r="K77">
        <v>1717631</v>
      </c>
      <c r="L77" s="4">
        <v>3.8199999999999998E-2</v>
      </c>
      <c r="M77">
        <v>0.09</v>
      </c>
      <c r="N77" s="4">
        <v>8906.8719051999997</v>
      </c>
      <c r="O77" s="4">
        <v>20984.776739999998</v>
      </c>
    </row>
    <row r="78" spans="2:15">
      <c r="B78" t="s">
        <v>56</v>
      </c>
      <c r="C78" t="s">
        <v>49</v>
      </c>
      <c r="D78" t="s">
        <v>596</v>
      </c>
      <c r="E78" t="s">
        <v>597</v>
      </c>
      <c r="F78" t="s">
        <v>12</v>
      </c>
      <c r="G78" t="s">
        <v>596</v>
      </c>
      <c r="H78" t="s">
        <v>598</v>
      </c>
      <c r="I78" t="s">
        <v>31</v>
      </c>
      <c r="J78">
        <v>3483466</v>
      </c>
      <c r="K78">
        <v>33252</v>
      </c>
      <c r="L78" s="4">
        <v>3.8199999999999998E-2</v>
      </c>
      <c r="M78">
        <v>0.09</v>
      </c>
      <c r="N78" s="4">
        <v>133.06840119999998</v>
      </c>
      <c r="O78" s="4">
        <v>313.51193999999998</v>
      </c>
    </row>
    <row r="79" spans="2:15">
      <c r="B79" t="s">
        <v>56</v>
      </c>
      <c r="C79" t="s">
        <v>49</v>
      </c>
      <c r="D79" t="s">
        <v>599</v>
      </c>
      <c r="E79" t="s">
        <v>600</v>
      </c>
      <c r="F79" t="s">
        <v>12</v>
      </c>
      <c r="G79" t="s">
        <v>599</v>
      </c>
      <c r="H79" t="s">
        <v>601</v>
      </c>
      <c r="I79" t="s">
        <v>31</v>
      </c>
      <c r="J79">
        <v>531253</v>
      </c>
      <c r="K79">
        <v>6456</v>
      </c>
      <c r="L79" s="4">
        <v>3.8199999999999998E-2</v>
      </c>
      <c r="M79">
        <v>0.09</v>
      </c>
      <c r="N79" s="4">
        <v>20.293864599999996</v>
      </c>
      <c r="O79" s="4">
        <v>47.812769999999993</v>
      </c>
    </row>
    <row r="80" spans="2:15">
      <c r="B80" t="s">
        <v>56</v>
      </c>
      <c r="C80" t="s">
        <v>49</v>
      </c>
      <c r="D80" t="s">
        <v>602</v>
      </c>
      <c r="E80" t="s">
        <v>603</v>
      </c>
      <c r="F80" t="s">
        <v>12</v>
      </c>
      <c r="G80" t="s">
        <v>602</v>
      </c>
      <c r="H80" t="s">
        <v>604</v>
      </c>
      <c r="I80" t="s">
        <v>31</v>
      </c>
      <c r="J80">
        <v>45752</v>
      </c>
      <c r="K80">
        <v>152</v>
      </c>
      <c r="L80" s="4">
        <v>3.8199999999999998E-2</v>
      </c>
      <c r="M80">
        <v>0.09</v>
      </c>
      <c r="N80" s="4">
        <v>1.7477263999999999</v>
      </c>
      <c r="O80" s="4">
        <v>4.11768</v>
      </c>
    </row>
    <row r="81" spans="2:15">
      <c r="B81" t="s">
        <v>56</v>
      </c>
      <c r="C81" t="s">
        <v>49</v>
      </c>
      <c r="D81" t="s">
        <v>605</v>
      </c>
      <c r="E81" t="s">
        <v>606</v>
      </c>
      <c r="F81" t="s">
        <v>12</v>
      </c>
      <c r="G81" t="s">
        <v>605</v>
      </c>
      <c r="H81" t="s">
        <v>607</v>
      </c>
      <c r="I81" t="s">
        <v>31</v>
      </c>
      <c r="J81">
        <v>2</v>
      </c>
      <c r="K81">
        <v>0</v>
      </c>
      <c r="L81" s="4">
        <v>3.8199999999999998E-2</v>
      </c>
      <c r="M81">
        <v>0.09</v>
      </c>
      <c r="N81" s="4">
        <v>7.64E-5</v>
      </c>
      <c r="O81" s="4">
        <v>1.7999999999999998E-4</v>
      </c>
    </row>
    <row r="82" spans="2:15">
      <c r="B82" t="s">
        <v>56</v>
      </c>
      <c r="C82" t="s">
        <v>49</v>
      </c>
      <c r="D82" t="s">
        <v>608</v>
      </c>
      <c r="E82" t="s">
        <v>609</v>
      </c>
      <c r="F82" t="s">
        <v>12</v>
      </c>
      <c r="G82" t="s">
        <v>608</v>
      </c>
      <c r="H82" t="s">
        <v>610</v>
      </c>
      <c r="I82" t="s">
        <v>31</v>
      </c>
      <c r="J82">
        <v>2</v>
      </c>
      <c r="K82">
        <v>0</v>
      </c>
      <c r="L82" s="4">
        <v>3.8199999999999998E-2</v>
      </c>
      <c r="M82">
        <v>0.09</v>
      </c>
      <c r="N82" s="4">
        <v>7.64E-5</v>
      </c>
      <c r="O82" s="4">
        <v>1.7999999999999998E-4</v>
      </c>
    </row>
    <row r="83" spans="2:15">
      <c r="B83" t="s">
        <v>56</v>
      </c>
      <c r="C83" t="s">
        <v>49</v>
      </c>
      <c r="D83" t="s">
        <v>611</v>
      </c>
      <c r="E83" t="s">
        <v>612</v>
      </c>
      <c r="F83" t="s">
        <v>12</v>
      </c>
      <c r="G83" t="s">
        <v>611</v>
      </c>
      <c r="H83" t="s">
        <v>613</v>
      </c>
      <c r="I83" t="s">
        <v>31</v>
      </c>
      <c r="J83">
        <v>1</v>
      </c>
      <c r="K83">
        <v>0</v>
      </c>
      <c r="L83" s="4">
        <v>3.8199999999999998E-2</v>
      </c>
      <c r="M83">
        <v>0.09</v>
      </c>
      <c r="N83" s="4">
        <v>3.82E-5</v>
      </c>
      <c r="O83" s="4">
        <v>8.9999999999999992E-5</v>
      </c>
    </row>
    <row r="84" spans="2:15">
      <c r="B84" t="s">
        <v>56</v>
      </c>
      <c r="C84" t="s">
        <v>49</v>
      </c>
      <c r="D84" t="s">
        <v>611</v>
      </c>
      <c r="E84" t="s">
        <v>614</v>
      </c>
      <c r="F84" t="s">
        <v>11</v>
      </c>
      <c r="G84" t="s">
        <v>580</v>
      </c>
      <c r="H84" t="s">
        <v>581</v>
      </c>
      <c r="I84" t="s">
        <v>31</v>
      </c>
      <c r="J84">
        <v>1</v>
      </c>
      <c r="K84">
        <v>0</v>
      </c>
      <c r="L84" s="4">
        <v>3.8199999999999998E-2</v>
      </c>
      <c r="M84">
        <v>0.09</v>
      </c>
      <c r="N84" s="4">
        <v>3.82E-5</v>
      </c>
      <c r="O84" s="4">
        <v>8.9999999999999992E-5</v>
      </c>
    </row>
    <row r="85" spans="2:15">
      <c r="B85" t="s">
        <v>56</v>
      </c>
      <c r="C85" t="s">
        <v>49</v>
      </c>
      <c r="D85" t="s">
        <v>615</v>
      </c>
      <c r="E85" t="s">
        <v>616</v>
      </c>
      <c r="F85" t="s">
        <v>12</v>
      </c>
      <c r="G85" t="s">
        <v>615</v>
      </c>
      <c r="H85" t="s">
        <v>617</v>
      </c>
      <c r="I85" t="s">
        <v>31</v>
      </c>
      <c r="J85">
        <v>2</v>
      </c>
      <c r="K85">
        <v>0</v>
      </c>
      <c r="L85" s="4">
        <v>3.8199999999999998E-2</v>
      </c>
      <c r="M85">
        <v>0.09</v>
      </c>
      <c r="N85" s="4">
        <v>7.64E-5</v>
      </c>
      <c r="O85" s="4">
        <v>1.7999999999999998E-4</v>
      </c>
    </row>
    <row r="86" spans="2:15">
      <c r="B86" t="s">
        <v>56</v>
      </c>
      <c r="C86" t="s">
        <v>49</v>
      </c>
      <c r="D86" t="s">
        <v>618</v>
      </c>
      <c r="E86" t="s">
        <v>619</v>
      </c>
      <c r="F86" t="s">
        <v>12</v>
      </c>
      <c r="G86" t="s">
        <v>618</v>
      </c>
      <c r="H86" t="s">
        <v>620</v>
      </c>
      <c r="I86" t="s">
        <v>31</v>
      </c>
      <c r="J86">
        <v>2</v>
      </c>
      <c r="K86">
        <v>0</v>
      </c>
      <c r="L86" s="4">
        <v>3.8199999999999998E-2</v>
      </c>
      <c r="M86">
        <v>0.09</v>
      </c>
      <c r="N86" s="4">
        <v>7.64E-5</v>
      </c>
      <c r="O86" s="4">
        <v>1.7999999999999998E-4</v>
      </c>
    </row>
    <row r="87" spans="2:15">
      <c r="B87" t="s">
        <v>56</v>
      </c>
      <c r="C87" t="s">
        <v>49</v>
      </c>
      <c r="D87" t="s">
        <v>621</v>
      </c>
      <c r="E87" t="s">
        <v>622</v>
      </c>
      <c r="F87" t="s">
        <v>12</v>
      </c>
      <c r="G87" t="s">
        <v>621</v>
      </c>
      <c r="H87" t="s">
        <v>623</v>
      </c>
      <c r="I87" t="s">
        <v>31</v>
      </c>
      <c r="J87">
        <v>2</v>
      </c>
      <c r="K87">
        <v>0</v>
      </c>
      <c r="L87" s="4">
        <v>3.8199999999999998E-2</v>
      </c>
      <c r="M87">
        <v>0.09</v>
      </c>
      <c r="N87" s="4">
        <v>7.64E-5</v>
      </c>
      <c r="O87" s="4">
        <v>1.7999999999999998E-4</v>
      </c>
    </row>
    <row r="88" spans="2:15">
      <c r="B88" t="s">
        <v>56</v>
      </c>
      <c r="C88" t="s">
        <v>49</v>
      </c>
      <c r="D88" t="s">
        <v>624</v>
      </c>
      <c r="E88" t="s">
        <v>625</v>
      </c>
      <c r="F88" t="s">
        <v>12</v>
      </c>
      <c r="G88" t="s">
        <v>624</v>
      </c>
      <c r="H88" t="s">
        <v>626</v>
      </c>
      <c r="I88" t="s">
        <v>31</v>
      </c>
      <c r="J88">
        <v>2</v>
      </c>
      <c r="K88">
        <v>0</v>
      </c>
      <c r="L88" s="4">
        <v>3.8199999999999998E-2</v>
      </c>
      <c r="M88">
        <v>0.09</v>
      </c>
      <c r="N88" s="4">
        <v>7.64E-5</v>
      </c>
      <c r="O88" s="4">
        <v>1.7999999999999998E-4</v>
      </c>
    </row>
    <row r="89" spans="2:15">
      <c r="B89" t="s">
        <v>56</v>
      </c>
      <c r="C89" t="s">
        <v>49</v>
      </c>
      <c r="D89" t="s">
        <v>627</v>
      </c>
      <c r="E89" t="s">
        <v>628</v>
      </c>
      <c r="F89" t="s">
        <v>12</v>
      </c>
      <c r="G89" t="s">
        <v>627</v>
      </c>
      <c r="H89" t="s">
        <v>629</v>
      </c>
      <c r="I89" t="s">
        <v>31</v>
      </c>
      <c r="J89">
        <v>3</v>
      </c>
      <c r="K89">
        <v>0</v>
      </c>
      <c r="L89" s="4">
        <v>3.8199999999999998E-2</v>
      </c>
      <c r="M89">
        <v>0.09</v>
      </c>
      <c r="N89" s="4">
        <v>1.1459999999999999E-4</v>
      </c>
      <c r="O89" s="4">
        <v>2.7E-4</v>
      </c>
    </row>
    <row r="90" spans="2:15">
      <c r="B90" t="s">
        <v>56</v>
      </c>
      <c r="C90" t="s">
        <v>49</v>
      </c>
      <c r="D90" t="s">
        <v>630</v>
      </c>
      <c r="E90" t="s">
        <v>631</v>
      </c>
      <c r="F90" t="s">
        <v>10</v>
      </c>
      <c r="G90" t="s">
        <v>630</v>
      </c>
      <c r="H90" t="s">
        <v>632</v>
      </c>
      <c r="I90" t="s">
        <v>32</v>
      </c>
      <c r="J90">
        <v>0</v>
      </c>
      <c r="K90">
        <v>1</v>
      </c>
      <c r="L90" s="4">
        <v>3.5000000000000001E-3</v>
      </c>
      <c r="M90">
        <v>0.02</v>
      </c>
      <c r="N90" s="4">
        <v>3.5000000000000001E-3</v>
      </c>
      <c r="O90" s="4">
        <v>0.02</v>
      </c>
    </row>
    <row r="91" spans="2:15">
      <c r="B91" t="s">
        <v>56</v>
      </c>
      <c r="C91" t="s">
        <v>49</v>
      </c>
      <c r="D91" t="s">
        <v>633</v>
      </c>
      <c r="E91" t="s">
        <v>634</v>
      </c>
      <c r="F91" t="s">
        <v>10</v>
      </c>
      <c r="G91" t="s">
        <v>633</v>
      </c>
      <c r="H91" t="s">
        <v>635</v>
      </c>
      <c r="I91" t="s">
        <v>32</v>
      </c>
      <c r="J91">
        <v>6572235</v>
      </c>
      <c r="K91">
        <v>197686</v>
      </c>
      <c r="L91" s="4">
        <v>3.5000000000000001E-3</v>
      </c>
      <c r="M91">
        <v>0.02</v>
      </c>
      <c r="N91" s="4">
        <v>691.90100000000007</v>
      </c>
      <c r="O91" s="4">
        <v>3953.7200000000003</v>
      </c>
    </row>
    <row r="92" spans="2:15">
      <c r="B92" t="s">
        <v>56</v>
      </c>
      <c r="C92" t="s">
        <v>49</v>
      </c>
      <c r="D92" t="s">
        <v>636</v>
      </c>
      <c r="E92" t="s">
        <v>637</v>
      </c>
      <c r="F92" t="s">
        <v>10</v>
      </c>
      <c r="G92" t="s">
        <v>636</v>
      </c>
      <c r="H92" t="s">
        <v>638</v>
      </c>
      <c r="I92" t="s">
        <v>32</v>
      </c>
      <c r="J92">
        <v>0</v>
      </c>
      <c r="K92">
        <v>59786</v>
      </c>
      <c r="L92" s="4">
        <v>3.5000000000000001E-3</v>
      </c>
      <c r="M92">
        <v>0.02</v>
      </c>
      <c r="N92" s="4">
        <v>209.251</v>
      </c>
      <c r="O92" s="4">
        <v>1195.72</v>
      </c>
    </row>
    <row r="93" spans="2:15">
      <c r="B93" t="s">
        <v>56</v>
      </c>
      <c r="C93" t="s">
        <v>52</v>
      </c>
      <c r="D93" t="s">
        <v>639</v>
      </c>
      <c r="E93" t="s">
        <v>640</v>
      </c>
      <c r="F93" t="s">
        <v>12</v>
      </c>
      <c r="G93" t="s">
        <v>639</v>
      </c>
      <c r="H93" t="s">
        <v>641</v>
      </c>
      <c r="I93" t="s">
        <v>31</v>
      </c>
      <c r="J93">
        <v>7</v>
      </c>
      <c r="K93">
        <v>0</v>
      </c>
      <c r="L93" s="4">
        <v>3.8199999999999998E-2</v>
      </c>
      <c r="M93">
        <v>0.09</v>
      </c>
      <c r="N93" s="4">
        <v>2.6739999999999999E-4</v>
      </c>
      <c r="O93" s="4">
        <v>6.3000000000000003E-4</v>
      </c>
    </row>
    <row r="94" spans="2:15">
      <c r="B94" t="s">
        <v>56</v>
      </c>
      <c r="C94" t="s">
        <v>52</v>
      </c>
      <c r="D94" t="s">
        <v>63</v>
      </c>
      <c r="E94" t="s">
        <v>64</v>
      </c>
      <c r="F94" t="s">
        <v>10</v>
      </c>
      <c r="G94" t="s">
        <v>63</v>
      </c>
      <c r="H94" t="s">
        <v>65</v>
      </c>
      <c r="I94" t="s">
        <v>32</v>
      </c>
      <c r="J94">
        <v>6</v>
      </c>
      <c r="K94">
        <v>5</v>
      </c>
      <c r="L94" s="4">
        <v>3.5000000000000001E-3</v>
      </c>
      <c r="M94">
        <v>0.02</v>
      </c>
      <c r="N94" s="4">
        <v>1.7500000000000002E-2</v>
      </c>
      <c r="O94" s="4">
        <v>0.1</v>
      </c>
    </row>
    <row r="95" spans="2:15">
      <c r="B95" t="s">
        <v>56</v>
      </c>
      <c r="C95" t="s">
        <v>52</v>
      </c>
      <c r="D95" t="s">
        <v>344</v>
      </c>
      <c r="E95" t="s">
        <v>345</v>
      </c>
      <c r="F95" t="s">
        <v>10</v>
      </c>
      <c r="G95" t="s">
        <v>344</v>
      </c>
      <c r="H95" t="s">
        <v>346</v>
      </c>
      <c r="I95" t="s">
        <v>32</v>
      </c>
      <c r="J95">
        <v>9532047</v>
      </c>
      <c r="K95">
        <v>42807</v>
      </c>
      <c r="L95" s="4">
        <v>3.5000000000000001E-3</v>
      </c>
      <c r="M95">
        <v>0.02</v>
      </c>
      <c r="N95" s="4">
        <v>149.8245</v>
      </c>
      <c r="O95" s="4">
        <v>856.14</v>
      </c>
    </row>
    <row r="96" spans="2:15">
      <c r="B96" t="s">
        <v>56</v>
      </c>
      <c r="C96" t="s">
        <v>52</v>
      </c>
      <c r="D96" t="s">
        <v>66</v>
      </c>
      <c r="E96" t="s">
        <v>67</v>
      </c>
      <c r="F96" t="s">
        <v>10</v>
      </c>
      <c r="G96" t="s">
        <v>66</v>
      </c>
      <c r="H96" t="s">
        <v>68</v>
      </c>
      <c r="I96" t="s">
        <v>32</v>
      </c>
      <c r="J96">
        <v>4</v>
      </c>
      <c r="K96">
        <v>1</v>
      </c>
      <c r="L96" s="4">
        <v>3.5000000000000001E-3</v>
      </c>
      <c r="M96">
        <v>0.02</v>
      </c>
      <c r="N96" s="4">
        <v>3.5000000000000001E-3</v>
      </c>
      <c r="O96" s="4">
        <v>0.02</v>
      </c>
    </row>
    <row r="97" spans="2:15">
      <c r="B97" t="s">
        <v>56</v>
      </c>
      <c r="C97" t="s">
        <v>52</v>
      </c>
      <c r="D97" t="s">
        <v>642</v>
      </c>
      <c r="E97" t="s">
        <v>643</v>
      </c>
      <c r="F97" t="s">
        <v>10</v>
      </c>
      <c r="G97" t="s">
        <v>642</v>
      </c>
      <c r="H97" t="s">
        <v>644</v>
      </c>
      <c r="I97" t="s">
        <v>32</v>
      </c>
      <c r="J97">
        <v>0</v>
      </c>
      <c r="K97">
        <v>1</v>
      </c>
      <c r="L97" s="4">
        <v>3.5000000000000001E-3</v>
      </c>
      <c r="M97">
        <v>0.02</v>
      </c>
      <c r="N97" s="4">
        <v>3.5000000000000001E-3</v>
      </c>
      <c r="O97" s="4">
        <v>0.02</v>
      </c>
    </row>
    <row r="98" spans="2:15">
      <c r="B98" t="s">
        <v>56</v>
      </c>
      <c r="C98" t="s">
        <v>52</v>
      </c>
      <c r="D98" t="s">
        <v>645</v>
      </c>
      <c r="E98" t="s">
        <v>646</v>
      </c>
      <c r="F98" t="s">
        <v>10</v>
      </c>
      <c r="G98" t="s">
        <v>645</v>
      </c>
      <c r="H98" t="s">
        <v>647</v>
      </c>
      <c r="I98" t="s">
        <v>32</v>
      </c>
      <c r="J98">
        <v>0</v>
      </c>
      <c r="K98">
        <v>77980</v>
      </c>
      <c r="L98" s="4">
        <v>3.5000000000000001E-3</v>
      </c>
      <c r="M98">
        <v>0.02</v>
      </c>
      <c r="N98" s="4">
        <v>272.93</v>
      </c>
      <c r="O98" s="4">
        <v>1559.6000000000001</v>
      </c>
    </row>
    <row r="99" spans="2:15">
      <c r="B99" t="s">
        <v>56</v>
      </c>
      <c r="C99" t="s">
        <v>52</v>
      </c>
      <c r="D99" t="s">
        <v>648</v>
      </c>
      <c r="E99" t="s">
        <v>649</v>
      </c>
      <c r="F99" t="s">
        <v>10</v>
      </c>
      <c r="G99" t="s">
        <v>648</v>
      </c>
      <c r="H99" t="s">
        <v>650</v>
      </c>
      <c r="I99" t="s">
        <v>32</v>
      </c>
      <c r="J99">
        <v>0</v>
      </c>
      <c r="K99">
        <v>1191</v>
      </c>
      <c r="L99" s="4">
        <v>3.5000000000000001E-3</v>
      </c>
      <c r="M99">
        <v>0.02</v>
      </c>
      <c r="N99" s="4">
        <v>4.1684999999999999</v>
      </c>
      <c r="O99" s="4">
        <v>23.82</v>
      </c>
    </row>
    <row r="100" spans="2:15">
      <c r="B100" t="s">
        <v>56</v>
      </c>
      <c r="C100" t="s">
        <v>52</v>
      </c>
      <c r="D100" t="s">
        <v>651</v>
      </c>
      <c r="E100" t="s">
        <v>652</v>
      </c>
      <c r="F100" t="s">
        <v>10</v>
      </c>
      <c r="G100" t="s">
        <v>651</v>
      </c>
      <c r="H100" t="s">
        <v>653</v>
      </c>
      <c r="I100" t="s">
        <v>32</v>
      </c>
      <c r="J100">
        <v>0</v>
      </c>
      <c r="K100">
        <v>750</v>
      </c>
      <c r="L100" s="4">
        <v>3.5000000000000001E-3</v>
      </c>
      <c r="M100">
        <v>0.02</v>
      </c>
      <c r="N100" s="4">
        <v>2.625</v>
      </c>
      <c r="O100" s="4">
        <v>15</v>
      </c>
    </row>
    <row r="101" spans="2:15">
      <c r="B101" t="s">
        <v>56</v>
      </c>
      <c r="C101" t="s">
        <v>69</v>
      </c>
      <c r="D101" t="s">
        <v>70</v>
      </c>
      <c r="E101" t="s">
        <v>71</v>
      </c>
      <c r="F101" t="s">
        <v>10</v>
      </c>
      <c r="G101" t="s">
        <v>70</v>
      </c>
      <c r="H101" t="s">
        <v>72</v>
      </c>
      <c r="I101" t="s">
        <v>32</v>
      </c>
      <c r="J101">
        <v>0</v>
      </c>
      <c r="K101">
        <v>20370</v>
      </c>
      <c r="L101" s="4">
        <v>3.5000000000000001E-3</v>
      </c>
      <c r="M101">
        <v>0.02</v>
      </c>
      <c r="N101" s="4">
        <v>71.295000000000002</v>
      </c>
      <c r="O101" s="4">
        <v>407.40000000000003</v>
      </c>
    </row>
    <row r="102" spans="2:15">
      <c r="B102" t="s">
        <v>56</v>
      </c>
      <c r="C102" t="s">
        <v>538</v>
      </c>
      <c r="D102" t="s">
        <v>654</v>
      </c>
      <c r="E102" t="s">
        <v>655</v>
      </c>
      <c r="F102" t="s">
        <v>12</v>
      </c>
      <c r="G102" t="s">
        <v>654</v>
      </c>
      <c r="H102" t="s">
        <v>656</v>
      </c>
      <c r="I102" t="s">
        <v>31</v>
      </c>
      <c r="J102">
        <v>1</v>
      </c>
      <c r="K102">
        <v>1</v>
      </c>
      <c r="L102" s="4">
        <v>3.8199999999999998E-2</v>
      </c>
      <c r="M102">
        <v>0.09</v>
      </c>
      <c r="N102" s="4">
        <v>3.82E-5</v>
      </c>
      <c r="O102" s="4">
        <v>8.9999999999999992E-5</v>
      </c>
    </row>
    <row r="103" spans="2:15">
      <c r="B103" t="s">
        <v>56</v>
      </c>
      <c r="C103" t="s">
        <v>538</v>
      </c>
      <c r="D103" t="s">
        <v>657</v>
      </c>
      <c r="E103" t="s">
        <v>658</v>
      </c>
      <c r="F103" t="s">
        <v>12</v>
      </c>
      <c r="G103" t="s">
        <v>657</v>
      </c>
      <c r="H103" t="s">
        <v>659</v>
      </c>
      <c r="I103" t="s">
        <v>31</v>
      </c>
      <c r="J103">
        <v>1</v>
      </c>
      <c r="K103">
        <v>1</v>
      </c>
      <c r="L103" s="4">
        <v>3.8199999999999998E-2</v>
      </c>
      <c r="M103">
        <v>0.09</v>
      </c>
      <c r="N103" s="4">
        <v>3.82E-5</v>
      </c>
      <c r="O103" s="4">
        <v>8.9999999999999992E-5</v>
      </c>
    </row>
    <row r="104" spans="2:15">
      <c r="B104" t="s">
        <v>83</v>
      </c>
      <c r="C104" t="s">
        <v>50</v>
      </c>
      <c r="D104" t="s">
        <v>84</v>
      </c>
      <c r="E104" t="s">
        <v>85</v>
      </c>
      <c r="F104" t="s">
        <v>10</v>
      </c>
      <c r="G104" t="s">
        <v>84</v>
      </c>
      <c r="H104" t="s">
        <v>86</v>
      </c>
      <c r="I104" t="s">
        <v>32</v>
      </c>
      <c r="J104">
        <v>0</v>
      </c>
      <c r="K104">
        <v>11</v>
      </c>
      <c r="L104" s="4">
        <v>3.5000000000000001E-3</v>
      </c>
      <c r="M104">
        <v>0.02</v>
      </c>
      <c r="N104" s="4">
        <v>3.85E-2</v>
      </c>
      <c r="O104" s="4">
        <v>0.22</v>
      </c>
    </row>
    <row r="105" spans="2:15">
      <c r="B105" t="s">
        <v>83</v>
      </c>
      <c r="C105" t="s">
        <v>50</v>
      </c>
      <c r="D105" t="s">
        <v>87</v>
      </c>
      <c r="E105" t="s">
        <v>88</v>
      </c>
      <c r="F105" t="s">
        <v>10</v>
      </c>
      <c r="G105" t="s">
        <v>87</v>
      </c>
      <c r="H105" t="s">
        <v>89</v>
      </c>
      <c r="I105" t="s">
        <v>32</v>
      </c>
      <c r="J105">
        <v>0</v>
      </c>
      <c r="K105">
        <v>6</v>
      </c>
      <c r="L105" s="4">
        <v>3.5000000000000001E-3</v>
      </c>
      <c r="M105">
        <v>0.02</v>
      </c>
      <c r="N105" s="4">
        <v>2.1000000000000001E-2</v>
      </c>
      <c r="O105" s="4">
        <v>0.12</v>
      </c>
    </row>
    <row r="106" spans="2:15">
      <c r="B106" t="s">
        <v>83</v>
      </c>
      <c r="C106" t="s">
        <v>50</v>
      </c>
      <c r="D106" t="s">
        <v>90</v>
      </c>
      <c r="E106" t="s">
        <v>91</v>
      </c>
      <c r="F106" t="s">
        <v>10</v>
      </c>
      <c r="G106" t="s">
        <v>90</v>
      </c>
      <c r="H106" t="s">
        <v>92</v>
      </c>
      <c r="I106" t="s">
        <v>32</v>
      </c>
      <c r="J106">
        <v>0</v>
      </c>
      <c r="K106">
        <v>1</v>
      </c>
      <c r="L106" s="4">
        <v>3.5000000000000001E-3</v>
      </c>
      <c r="M106">
        <v>0.02</v>
      </c>
      <c r="N106" s="4">
        <v>3.5000000000000001E-3</v>
      </c>
      <c r="O106" s="4">
        <v>0.02</v>
      </c>
    </row>
    <row r="107" spans="2:15">
      <c r="B107" t="s">
        <v>73</v>
      </c>
      <c r="C107" t="s">
        <v>74</v>
      </c>
      <c r="D107" t="s">
        <v>93</v>
      </c>
      <c r="E107" t="s">
        <v>94</v>
      </c>
      <c r="F107" t="s">
        <v>10</v>
      </c>
      <c r="G107" t="s">
        <v>93</v>
      </c>
      <c r="H107" t="s">
        <v>95</v>
      </c>
      <c r="I107" t="s">
        <v>32</v>
      </c>
      <c r="J107">
        <v>0</v>
      </c>
      <c r="K107">
        <v>2</v>
      </c>
      <c r="L107" s="4">
        <v>3.5000000000000001E-3</v>
      </c>
      <c r="M107">
        <v>0.02</v>
      </c>
      <c r="N107" s="4">
        <v>7.0000000000000001E-3</v>
      </c>
      <c r="O107" s="4">
        <v>0.04</v>
      </c>
    </row>
    <row r="108" spans="2:15">
      <c r="B108" t="s">
        <v>73</v>
      </c>
      <c r="C108" t="s">
        <v>74</v>
      </c>
      <c r="D108" t="s">
        <v>347</v>
      </c>
      <c r="E108" t="s">
        <v>348</v>
      </c>
      <c r="F108" t="s">
        <v>10</v>
      </c>
      <c r="G108" t="s">
        <v>347</v>
      </c>
      <c r="H108" t="s">
        <v>349</v>
      </c>
      <c r="I108" t="s">
        <v>32</v>
      </c>
      <c r="J108">
        <v>0</v>
      </c>
      <c r="K108">
        <v>1</v>
      </c>
      <c r="L108" s="4">
        <v>3.5000000000000001E-3</v>
      </c>
      <c r="M108">
        <v>0.02</v>
      </c>
      <c r="N108" s="4">
        <v>3.5000000000000001E-3</v>
      </c>
      <c r="O108" s="4">
        <v>0.02</v>
      </c>
    </row>
    <row r="109" spans="2:15">
      <c r="B109" t="s">
        <v>73</v>
      </c>
      <c r="C109" t="s">
        <v>50</v>
      </c>
      <c r="D109" t="s">
        <v>660</v>
      </c>
      <c r="E109" t="s">
        <v>661</v>
      </c>
      <c r="F109" t="s">
        <v>10</v>
      </c>
      <c r="G109" t="s">
        <v>660</v>
      </c>
      <c r="H109" t="s">
        <v>662</v>
      </c>
      <c r="I109" t="s">
        <v>32</v>
      </c>
      <c r="J109">
        <v>0</v>
      </c>
      <c r="K109">
        <v>2</v>
      </c>
      <c r="L109" s="4">
        <v>3.5000000000000001E-3</v>
      </c>
      <c r="M109">
        <v>0.02</v>
      </c>
      <c r="N109" s="4">
        <v>7.0000000000000001E-3</v>
      </c>
      <c r="O109" s="4">
        <v>0.04</v>
      </c>
    </row>
    <row r="110" spans="2:15">
      <c r="B110" t="s">
        <v>73</v>
      </c>
      <c r="C110" t="s">
        <v>50</v>
      </c>
      <c r="D110" t="s">
        <v>663</v>
      </c>
      <c r="E110" t="s">
        <v>664</v>
      </c>
      <c r="F110" t="s">
        <v>10</v>
      </c>
      <c r="G110" t="s">
        <v>663</v>
      </c>
      <c r="H110" t="s">
        <v>665</v>
      </c>
      <c r="I110" t="s">
        <v>32</v>
      </c>
      <c r="J110">
        <v>0</v>
      </c>
      <c r="K110">
        <v>3</v>
      </c>
      <c r="L110" s="4">
        <v>3.5000000000000001E-3</v>
      </c>
      <c r="M110">
        <v>0.02</v>
      </c>
      <c r="N110" s="4">
        <v>1.0500000000000001E-2</v>
      </c>
      <c r="O110" s="4">
        <v>0.06</v>
      </c>
    </row>
    <row r="111" spans="2:15">
      <c r="B111" t="s">
        <v>73</v>
      </c>
      <c r="C111" t="s">
        <v>50</v>
      </c>
      <c r="D111" t="s">
        <v>666</v>
      </c>
      <c r="E111" t="s">
        <v>667</v>
      </c>
      <c r="F111" t="s">
        <v>10</v>
      </c>
      <c r="G111" t="s">
        <v>666</v>
      </c>
      <c r="H111" t="s">
        <v>668</v>
      </c>
      <c r="I111" t="s">
        <v>32</v>
      </c>
      <c r="J111">
        <v>0</v>
      </c>
      <c r="K111">
        <v>409</v>
      </c>
      <c r="L111" s="4">
        <v>3.5000000000000001E-3</v>
      </c>
      <c r="M111">
        <v>0.02</v>
      </c>
      <c r="N111" s="4">
        <v>1.4315</v>
      </c>
      <c r="O111" s="4">
        <v>8.18</v>
      </c>
    </row>
    <row r="112" spans="2:15">
      <c r="B112" t="s">
        <v>73</v>
      </c>
      <c r="C112" t="s">
        <v>50</v>
      </c>
      <c r="D112" t="s">
        <v>350</v>
      </c>
      <c r="E112" t="s">
        <v>351</v>
      </c>
      <c r="F112" t="s">
        <v>10</v>
      </c>
      <c r="G112" t="s">
        <v>350</v>
      </c>
      <c r="H112" t="s">
        <v>352</v>
      </c>
      <c r="I112" t="s">
        <v>32</v>
      </c>
      <c r="J112">
        <v>0</v>
      </c>
      <c r="K112">
        <v>21</v>
      </c>
      <c r="L112" s="4">
        <v>3.5000000000000001E-3</v>
      </c>
      <c r="M112">
        <v>0.02</v>
      </c>
      <c r="N112" s="4">
        <v>7.3499999999999996E-2</v>
      </c>
      <c r="O112" s="4">
        <v>0.42</v>
      </c>
    </row>
    <row r="113" spans="2:15">
      <c r="B113" t="s">
        <v>73</v>
      </c>
      <c r="C113" t="s">
        <v>50</v>
      </c>
      <c r="D113" t="s">
        <v>353</v>
      </c>
      <c r="E113" t="s">
        <v>354</v>
      </c>
      <c r="F113" t="s">
        <v>10</v>
      </c>
      <c r="G113" t="s">
        <v>353</v>
      </c>
      <c r="H113" t="s">
        <v>355</v>
      </c>
      <c r="I113" t="s">
        <v>32</v>
      </c>
      <c r="J113">
        <v>0</v>
      </c>
      <c r="K113">
        <v>1</v>
      </c>
      <c r="L113" s="4">
        <v>3.5000000000000001E-3</v>
      </c>
      <c r="M113">
        <v>0.02</v>
      </c>
      <c r="N113" s="4">
        <v>3.5000000000000001E-3</v>
      </c>
      <c r="O113" s="4">
        <v>0.02</v>
      </c>
    </row>
    <row r="114" spans="2:15">
      <c r="B114" t="s">
        <v>73</v>
      </c>
      <c r="C114" t="s">
        <v>50</v>
      </c>
      <c r="D114" t="s">
        <v>99</v>
      </c>
      <c r="E114" t="s">
        <v>100</v>
      </c>
      <c r="F114" t="s">
        <v>10</v>
      </c>
      <c r="G114" t="s">
        <v>99</v>
      </c>
      <c r="H114" t="s">
        <v>101</v>
      </c>
      <c r="I114" t="s">
        <v>32</v>
      </c>
      <c r="J114">
        <v>0</v>
      </c>
      <c r="K114">
        <v>1</v>
      </c>
      <c r="L114" s="4">
        <v>3.5000000000000001E-3</v>
      </c>
      <c r="M114">
        <v>0.02</v>
      </c>
      <c r="N114" s="4">
        <v>3.5000000000000001E-3</v>
      </c>
      <c r="O114" s="4">
        <v>0.02</v>
      </c>
    </row>
    <row r="115" spans="2:15">
      <c r="B115" t="s">
        <v>73</v>
      </c>
      <c r="C115" t="s">
        <v>50</v>
      </c>
      <c r="D115" t="s">
        <v>356</v>
      </c>
      <c r="E115" t="s">
        <v>357</v>
      </c>
      <c r="F115" t="s">
        <v>10</v>
      </c>
      <c r="G115" t="s">
        <v>356</v>
      </c>
      <c r="H115" t="s">
        <v>358</v>
      </c>
      <c r="I115" t="s">
        <v>32</v>
      </c>
      <c r="J115">
        <v>0</v>
      </c>
      <c r="K115">
        <v>1</v>
      </c>
      <c r="L115" s="4">
        <v>3.5000000000000001E-3</v>
      </c>
      <c r="M115">
        <v>0.02</v>
      </c>
      <c r="N115" s="4">
        <v>3.5000000000000001E-3</v>
      </c>
      <c r="O115" s="4">
        <v>0.02</v>
      </c>
    </row>
    <row r="116" spans="2:15">
      <c r="B116" t="s">
        <v>73</v>
      </c>
      <c r="C116" t="s">
        <v>50</v>
      </c>
      <c r="D116" t="s">
        <v>669</v>
      </c>
      <c r="E116" t="s">
        <v>670</v>
      </c>
      <c r="F116" t="s">
        <v>10</v>
      </c>
      <c r="G116" t="s">
        <v>669</v>
      </c>
      <c r="H116" t="s">
        <v>671</v>
      </c>
      <c r="I116" t="s">
        <v>32</v>
      </c>
      <c r="J116">
        <v>0</v>
      </c>
      <c r="K116">
        <v>2</v>
      </c>
      <c r="L116" s="4">
        <v>3.5000000000000001E-3</v>
      </c>
      <c r="M116">
        <v>0.02</v>
      </c>
      <c r="N116" s="4">
        <v>7.0000000000000001E-3</v>
      </c>
      <c r="O116" s="4">
        <v>0.04</v>
      </c>
    </row>
    <row r="117" spans="2:15">
      <c r="B117" t="s">
        <v>73</v>
      </c>
      <c r="C117" t="s">
        <v>50</v>
      </c>
      <c r="D117" t="s">
        <v>672</v>
      </c>
      <c r="E117" t="s">
        <v>673</v>
      </c>
      <c r="F117" t="s">
        <v>10</v>
      </c>
      <c r="G117" t="s">
        <v>672</v>
      </c>
      <c r="H117" t="s">
        <v>674</v>
      </c>
      <c r="I117" t="s">
        <v>32</v>
      </c>
      <c r="J117">
        <v>0</v>
      </c>
      <c r="K117">
        <v>17922</v>
      </c>
      <c r="L117" s="4">
        <v>3.5000000000000001E-3</v>
      </c>
      <c r="M117">
        <v>0.02</v>
      </c>
      <c r="N117" s="4">
        <v>62.727000000000004</v>
      </c>
      <c r="O117" s="4">
        <v>358.44</v>
      </c>
    </row>
    <row r="118" spans="2:15">
      <c r="B118" t="s">
        <v>73</v>
      </c>
      <c r="C118" t="s">
        <v>50</v>
      </c>
      <c r="D118" t="s">
        <v>102</v>
      </c>
      <c r="E118" t="s">
        <v>103</v>
      </c>
      <c r="F118" t="s">
        <v>10</v>
      </c>
      <c r="G118" t="s">
        <v>102</v>
      </c>
      <c r="H118" t="s">
        <v>104</v>
      </c>
      <c r="I118" t="s">
        <v>32</v>
      </c>
      <c r="J118">
        <v>0</v>
      </c>
      <c r="K118">
        <v>8</v>
      </c>
      <c r="L118" s="4">
        <v>3.5000000000000001E-3</v>
      </c>
      <c r="M118">
        <v>0.02</v>
      </c>
      <c r="N118" s="4">
        <v>2.8000000000000001E-2</v>
      </c>
      <c r="O118" s="4">
        <v>0.16</v>
      </c>
    </row>
    <row r="119" spans="2:15">
      <c r="B119" t="s">
        <v>73</v>
      </c>
      <c r="C119" t="s">
        <v>50</v>
      </c>
      <c r="D119" t="s">
        <v>359</v>
      </c>
      <c r="E119" t="s">
        <v>360</v>
      </c>
      <c r="F119" t="s">
        <v>10</v>
      </c>
      <c r="G119" t="s">
        <v>359</v>
      </c>
      <c r="H119" t="s">
        <v>361</v>
      </c>
      <c r="I119" t="s">
        <v>32</v>
      </c>
      <c r="J119">
        <v>0</v>
      </c>
      <c r="K119">
        <v>8122</v>
      </c>
      <c r="L119" s="4">
        <v>3.5000000000000001E-3</v>
      </c>
      <c r="M119">
        <v>0.02</v>
      </c>
      <c r="N119" s="4">
        <v>28.427</v>
      </c>
      <c r="O119" s="4">
        <v>162.44</v>
      </c>
    </row>
    <row r="120" spans="2:15">
      <c r="B120" t="s">
        <v>73</v>
      </c>
      <c r="C120" t="s">
        <v>50</v>
      </c>
      <c r="D120" t="s">
        <v>675</v>
      </c>
      <c r="E120" t="s">
        <v>676</v>
      </c>
      <c r="F120" t="s">
        <v>10</v>
      </c>
      <c r="G120" t="s">
        <v>675</v>
      </c>
      <c r="H120" t="s">
        <v>677</v>
      </c>
      <c r="I120" t="s">
        <v>32</v>
      </c>
      <c r="J120">
        <v>0</v>
      </c>
      <c r="K120">
        <v>3</v>
      </c>
      <c r="L120" s="4">
        <v>3.5000000000000001E-3</v>
      </c>
      <c r="M120">
        <v>0.02</v>
      </c>
      <c r="N120" s="4">
        <v>1.0500000000000001E-2</v>
      </c>
      <c r="O120" s="4">
        <v>0.06</v>
      </c>
    </row>
    <row r="121" spans="2:15">
      <c r="B121" t="s">
        <v>73</v>
      </c>
      <c r="C121" t="s">
        <v>50</v>
      </c>
      <c r="D121" t="s">
        <v>678</v>
      </c>
      <c r="E121" t="s">
        <v>679</v>
      </c>
      <c r="F121" t="s">
        <v>10</v>
      </c>
      <c r="G121" t="s">
        <v>678</v>
      </c>
      <c r="H121" t="s">
        <v>680</v>
      </c>
      <c r="I121" t="s">
        <v>32</v>
      </c>
      <c r="J121">
        <v>0</v>
      </c>
      <c r="K121">
        <v>3</v>
      </c>
      <c r="L121" s="4">
        <v>3.5000000000000001E-3</v>
      </c>
      <c r="M121">
        <v>0.02</v>
      </c>
      <c r="N121" s="4">
        <v>1.0500000000000001E-2</v>
      </c>
      <c r="O121" s="4">
        <v>0.06</v>
      </c>
    </row>
    <row r="122" spans="2:15">
      <c r="B122" t="s">
        <v>73</v>
      </c>
      <c r="C122" t="s">
        <v>50</v>
      </c>
      <c r="D122" t="s">
        <v>362</v>
      </c>
      <c r="E122" t="s">
        <v>363</v>
      </c>
      <c r="F122" t="s">
        <v>10</v>
      </c>
      <c r="G122" t="s">
        <v>362</v>
      </c>
      <c r="H122" t="s">
        <v>364</v>
      </c>
      <c r="I122" t="s">
        <v>32</v>
      </c>
      <c r="J122">
        <v>0</v>
      </c>
      <c r="K122">
        <v>891</v>
      </c>
      <c r="L122" s="4">
        <v>3.5000000000000001E-3</v>
      </c>
      <c r="M122">
        <v>0.02</v>
      </c>
      <c r="N122" s="4">
        <v>3.1185</v>
      </c>
      <c r="O122" s="4">
        <v>17.82</v>
      </c>
    </row>
    <row r="123" spans="2:15">
      <c r="B123" t="s">
        <v>73</v>
      </c>
      <c r="C123" t="s">
        <v>50</v>
      </c>
      <c r="D123" t="s">
        <v>681</v>
      </c>
      <c r="E123" t="s">
        <v>682</v>
      </c>
      <c r="F123" t="s">
        <v>10</v>
      </c>
      <c r="G123" t="s">
        <v>681</v>
      </c>
      <c r="H123" t="s">
        <v>683</v>
      </c>
      <c r="I123" t="s">
        <v>32</v>
      </c>
      <c r="J123">
        <v>0</v>
      </c>
      <c r="K123">
        <v>2058</v>
      </c>
      <c r="L123" s="4">
        <v>3.5000000000000001E-3</v>
      </c>
      <c r="M123">
        <v>0.02</v>
      </c>
      <c r="N123" s="4">
        <v>7.2030000000000003</v>
      </c>
      <c r="O123" s="4">
        <v>41.160000000000004</v>
      </c>
    </row>
    <row r="124" spans="2:15">
      <c r="B124" t="s">
        <v>73</v>
      </c>
      <c r="C124" t="s">
        <v>50</v>
      </c>
      <c r="D124" t="s">
        <v>365</v>
      </c>
      <c r="E124" t="s">
        <v>366</v>
      </c>
      <c r="F124" t="s">
        <v>10</v>
      </c>
      <c r="G124" t="s">
        <v>365</v>
      </c>
      <c r="H124" t="s">
        <v>367</v>
      </c>
      <c r="I124" t="s">
        <v>32</v>
      </c>
      <c r="J124">
        <v>0</v>
      </c>
      <c r="K124">
        <v>27</v>
      </c>
      <c r="L124" s="4">
        <v>3.5000000000000001E-3</v>
      </c>
      <c r="M124">
        <v>0.02</v>
      </c>
      <c r="N124" s="4">
        <v>9.4500000000000001E-2</v>
      </c>
      <c r="O124" s="4">
        <v>0.54</v>
      </c>
    </row>
    <row r="125" spans="2:15">
      <c r="B125" t="s">
        <v>73</v>
      </c>
      <c r="C125" t="s">
        <v>50</v>
      </c>
      <c r="D125" t="s">
        <v>368</v>
      </c>
      <c r="E125" t="s">
        <v>369</v>
      </c>
      <c r="F125" t="s">
        <v>10</v>
      </c>
      <c r="G125" t="s">
        <v>368</v>
      </c>
      <c r="H125" t="s">
        <v>370</v>
      </c>
      <c r="I125" t="s">
        <v>32</v>
      </c>
      <c r="J125">
        <v>0</v>
      </c>
      <c r="K125">
        <v>55</v>
      </c>
      <c r="L125" s="4">
        <v>3.5000000000000001E-3</v>
      </c>
      <c r="M125">
        <v>0.02</v>
      </c>
      <c r="N125" s="4">
        <v>0.1925</v>
      </c>
      <c r="O125" s="4">
        <v>1.1000000000000001</v>
      </c>
    </row>
    <row r="126" spans="2:15">
      <c r="B126" t="s">
        <v>73</v>
      </c>
      <c r="C126" t="s">
        <v>50</v>
      </c>
      <c r="D126" t="s">
        <v>371</v>
      </c>
      <c r="E126" t="s">
        <v>372</v>
      </c>
      <c r="F126" t="s">
        <v>10</v>
      </c>
      <c r="G126" t="s">
        <v>371</v>
      </c>
      <c r="H126" t="s">
        <v>373</v>
      </c>
      <c r="I126" t="s">
        <v>32</v>
      </c>
      <c r="J126">
        <v>0</v>
      </c>
      <c r="K126">
        <v>2</v>
      </c>
      <c r="L126" s="4">
        <v>3.5000000000000001E-3</v>
      </c>
      <c r="M126">
        <v>0.02</v>
      </c>
      <c r="N126" s="4">
        <v>7.0000000000000001E-3</v>
      </c>
      <c r="O126" s="4">
        <v>0.04</v>
      </c>
    </row>
    <row r="127" spans="2:15">
      <c r="B127" t="s">
        <v>73</v>
      </c>
      <c r="C127" t="s">
        <v>50</v>
      </c>
      <c r="D127" t="s">
        <v>374</v>
      </c>
      <c r="E127" t="s">
        <v>375</v>
      </c>
      <c r="F127" t="s">
        <v>10</v>
      </c>
      <c r="G127" t="s">
        <v>374</v>
      </c>
      <c r="H127" t="s">
        <v>376</v>
      </c>
      <c r="I127" t="s">
        <v>32</v>
      </c>
      <c r="J127">
        <v>0</v>
      </c>
      <c r="K127">
        <v>18</v>
      </c>
      <c r="L127" s="4">
        <v>3.5000000000000001E-3</v>
      </c>
      <c r="M127">
        <v>0.02</v>
      </c>
      <c r="N127" s="4">
        <v>6.3E-2</v>
      </c>
      <c r="O127" s="4">
        <v>0.36</v>
      </c>
    </row>
    <row r="128" spans="2:15">
      <c r="B128" t="s">
        <v>73</v>
      </c>
      <c r="C128" t="s">
        <v>50</v>
      </c>
      <c r="D128" t="s">
        <v>377</v>
      </c>
      <c r="E128" t="s">
        <v>378</v>
      </c>
      <c r="F128" t="s">
        <v>10</v>
      </c>
      <c r="G128" t="s">
        <v>377</v>
      </c>
      <c r="H128" t="s">
        <v>379</v>
      </c>
      <c r="I128" t="s">
        <v>32</v>
      </c>
      <c r="J128">
        <v>0</v>
      </c>
      <c r="K128">
        <v>1</v>
      </c>
      <c r="L128" s="4">
        <v>3.5000000000000001E-3</v>
      </c>
      <c r="M128">
        <v>0.02</v>
      </c>
      <c r="N128" s="4">
        <v>3.5000000000000001E-3</v>
      </c>
      <c r="O128" s="4">
        <v>0.02</v>
      </c>
    </row>
    <row r="129" spans="2:15">
      <c r="B129" t="s">
        <v>73</v>
      </c>
      <c r="C129" t="s">
        <v>50</v>
      </c>
      <c r="D129" t="s">
        <v>684</v>
      </c>
      <c r="E129" t="s">
        <v>685</v>
      </c>
      <c r="F129" t="s">
        <v>10</v>
      </c>
      <c r="G129" t="s">
        <v>684</v>
      </c>
      <c r="H129" t="s">
        <v>686</v>
      </c>
      <c r="I129" t="s">
        <v>32</v>
      </c>
      <c r="J129">
        <v>0</v>
      </c>
      <c r="K129">
        <v>2980</v>
      </c>
      <c r="L129" s="4">
        <v>3.5000000000000001E-3</v>
      </c>
      <c r="M129">
        <v>0.02</v>
      </c>
      <c r="N129" s="4">
        <v>10.43</v>
      </c>
      <c r="O129" s="4">
        <v>59.6</v>
      </c>
    </row>
    <row r="130" spans="2:15">
      <c r="B130" t="s">
        <v>73</v>
      </c>
      <c r="C130" t="s">
        <v>50</v>
      </c>
      <c r="D130" t="s">
        <v>687</v>
      </c>
      <c r="E130" t="s">
        <v>688</v>
      </c>
      <c r="F130" t="s">
        <v>10</v>
      </c>
      <c r="G130" t="s">
        <v>687</v>
      </c>
      <c r="H130" t="s">
        <v>689</v>
      </c>
      <c r="I130" t="s">
        <v>32</v>
      </c>
      <c r="J130">
        <v>0</v>
      </c>
      <c r="K130">
        <v>3257</v>
      </c>
      <c r="L130" s="4">
        <v>3.5000000000000001E-3</v>
      </c>
      <c r="M130">
        <v>0.02</v>
      </c>
      <c r="N130" s="4">
        <v>11.3995</v>
      </c>
      <c r="O130" s="4">
        <v>65.14</v>
      </c>
    </row>
    <row r="131" spans="2:15">
      <c r="B131" t="s">
        <v>73</v>
      </c>
      <c r="C131" t="s">
        <v>50</v>
      </c>
      <c r="D131" t="s">
        <v>380</v>
      </c>
      <c r="E131" t="s">
        <v>381</v>
      </c>
      <c r="F131" t="s">
        <v>10</v>
      </c>
      <c r="G131" t="s">
        <v>380</v>
      </c>
      <c r="H131" t="s">
        <v>382</v>
      </c>
      <c r="I131" t="s">
        <v>32</v>
      </c>
      <c r="J131">
        <v>0</v>
      </c>
      <c r="K131">
        <v>9874</v>
      </c>
      <c r="L131" s="4">
        <v>3.5000000000000001E-3</v>
      </c>
      <c r="M131">
        <v>0.02</v>
      </c>
      <c r="N131" s="4">
        <v>34.558999999999997</v>
      </c>
      <c r="O131" s="4">
        <v>197.48000000000002</v>
      </c>
    </row>
    <row r="132" spans="2:15">
      <c r="B132" t="s">
        <v>73</v>
      </c>
      <c r="C132" t="s">
        <v>50</v>
      </c>
      <c r="D132" t="s">
        <v>383</v>
      </c>
      <c r="E132" t="s">
        <v>384</v>
      </c>
      <c r="F132" t="s">
        <v>10</v>
      </c>
      <c r="G132" t="s">
        <v>383</v>
      </c>
      <c r="H132" t="s">
        <v>385</v>
      </c>
      <c r="I132" t="s">
        <v>32</v>
      </c>
      <c r="J132">
        <v>0</v>
      </c>
      <c r="K132">
        <v>492</v>
      </c>
      <c r="L132" s="4">
        <v>3.5000000000000001E-3</v>
      </c>
      <c r="M132">
        <v>0.02</v>
      </c>
      <c r="N132" s="4">
        <v>1.722</v>
      </c>
      <c r="O132" s="4">
        <v>9.84</v>
      </c>
    </row>
    <row r="133" spans="2:15">
      <c r="B133" t="s">
        <v>73</v>
      </c>
      <c r="C133" t="s">
        <v>50</v>
      </c>
      <c r="D133" t="s">
        <v>690</v>
      </c>
      <c r="E133" t="s">
        <v>691</v>
      </c>
      <c r="F133" t="s">
        <v>10</v>
      </c>
      <c r="G133" t="s">
        <v>690</v>
      </c>
      <c r="H133" t="s">
        <v>692</v>
      </c>
      <c r="I133" t="s">
        <v>32</v>
      </c>
      <c r="J133">
        <v>0</v>
      </c>
      <c r="K133">
        <v>239</v>
      </c>
      <c r="L133" s="4">
        <v>3.5000000000000001E-3</v>
      </c>
      <c r="M133">
        <v>0.02</v>
      </c>
      <c r="N133" s="4">
        <v>0.83650000000000002</v>
      </c>
      <c r="O133" s="4">
        <v>4.78</v>
      </c>
    </row>
    <row r="134" spans="2:15">
      <c r="B134" t="s">
        <v>73</v>
      </c>
      <c r="C134" t="s">
        <v>50</v>
      </c>
      <c r="D134" t="s">
        <v>693</v>
      </c>
      <c r="E134" t="s">
        <v>694</v>
      </c>
      <c r="F134" t="s">
        <v>10</v>
      </c>
      <c r="G134" t="s">
        <v>693</v>
      </c>
      <c r="H134" t="s">
        <v>695</v>
      </c>
      <c r="I134" t="s">
        <v>32</v>
      </c>
      <c r="J134">
        <v>0</v>
      </c>
      <c r="K134">
        <v>528</v>
      </c>
      <c r="L134" s="4">
        <v>3.5000000000000001E-3</v>
      </c>
      <c r="M134">
        <v>0.02</v>
      </c>
      <c r="N134" s="4">
        <v>1.8480000000000001</v>
      </c>
      <c r="O134" s="4">
        <v>10.56</v>
      </c>
    </row>
    <row r="135" spans="2:15">
      <c r="B135" t="s">
        <v>73</v>
      </c>
      <c r="C135" t="s">
        <v>50</v>
      </c>
      <c r="D135" t="s">
        <v>696</v>
      </c>
      <c r="E135" t="s">
        <v>697</v>
      </c>
      <c r="F135" t="s">
        <v>10</v>
      </c>
      <c r="G135" t="s">
        <v>696</v>
      </c>
      <c r="H135" t="s">
        <v>698</v>
      </c>
      <c r="I135" t="s">
        <v>32</v>
      </c>
      <c r="J135">
        <v>0</v>
      </c>
      <c r="K135">
        <v>56908</v>
      </c>
      <c r="L135" s="4">
        <v>3.5000000000000001E-3</v>
      </c>
      <c r="M135">
        <v>0.02</v>
      </c>
      <c r="N135" s="4">
        <v>199.178</v>
      </c>
      <c r="O135" s="4">
        <v>1138.1600000000001</v>
      </c>
    </row>
    <row r="136" spans="2:15">
      <c r="B136" t="s">
        <v>73</v>
      </c>
      <c r="C136" t="s">
        <v>50</v>
      </c>
      <c r="D136" t="s">
        <v>699</v>
      </c>
      <c r="E136" t="s">
        <v>700</v>
      </c>
      <c r="F136" t="s">
        <v>10</v>
      </c>
      <c r="G136" t="s">
        <v>699</v>
      </c>
      <c r="H136" t="s">
        <v>701</v>
      </c>
      <c r="I136" t="s">
        <v>32</v>
      </c>
      <c r="J136">
        <v>0</v>
      </c>
      <c r="K136">
        <v>230</v>
      </c>
      <c r="L136" s="4">
        <v>3.5000000000000001E-3</v>
      </c>
      <c r="M136">
        <v>0.02</v>
      </c>
      <c r="N136" s="4">
        <v>0.80500000000000005</v>
      </c>
      <c r="O136" s="4">
        <v>4.6000000000000005</v>
      </c>
    </row>
    <row r="137" spans="2:15">
      <c r="B137" t="s">
        <v>73</v>
      </c>
      <c r="C137" t="s">
        <v>50</v>
      </c>
      <c r="D137" t="s">
        <v>702</v>
      </c>
      <c r="E137" t="s">
        <v>703</v>
      </c>
      <c r="F137" t="s">
        <v>10</v>
      </c>
      <c r="G137" t="s">
        <v>702</v>
      </c>
      <c r="H137" t="s">
        <v>704</v>
      </c>
      <c r="I137" t="s">
        <v>32</v>
      </c>
      <c r="J137">
        <v>0</v>
      </c>
      <c r="K137">
        <v>5</v>
      </c>
      <c r="L137" s="4">
        <v>3.5000000000000001E-3</v>
      </c>
      <c r="M137">
        <v>0.02</v>
      </c>
      <c r="N137" s="4">
        <v>1.7500000000000002E-2</v>
      </c>
      <c r="O137" s="4">
        <v>0.1</v>
      </c>
    </row>
    <row r="138" spans="2:15">
      <c r="B138" t="s">
        <v>73</v>
      </c>
      <c r="C138" t="s">
        <v>50</v>
      </c>
      <c r="D138" t="s">
        <v>705</v>
      </c>
      <c r="E138" t="s">
        <v>706</v>
      </c>
      <c r="F138" t="s">
        <v>10</v>
      </c>
      <c r="G138" t="s">
        <v>705</v>
      </c>
      <c r="H138" t="s">
        <v>707</v>
      </c>
      <c r="I138" t="s">
        <v>32</v>
      </c>
      <c r="J138">
        <v>0</v>
      </c>
      <c r="K138">
        <v>3</v>
      </c>
      <c r="L138" s="4">
        <v>3.5000000000000001E-3</v>
      </c>
      <c r="M138">
        <v>0.02</v>
      </c>
      <c r="N138" s="4">
        <v>1.0500000000000001E-2</v>
      </c>
      <c r="O138" s="4">
        <v>0.06</v>
      </c>
    </row>
    <row r="139" spans="2:15">
      <c r="B139" t="s">
        <v>73</v>
      </c>
      <c r="C139" t="s">
        <v>50</v>
      </c>
      <c r="D139" t="s">
        <v>386</v>
      </c>
      <c r="E139" t="s">
        <v>180</v>
      </c>
      <c r="F139" t="s">
        <v>10</v>
      </c>
      <c r="G139" t="s">
        <v>386</v>
      </c>
      <c r="H139" t="s">
        <v>181</v>
      </c>
      <c r="I139" t="s">
        <v>32</v>
      </c>
      <c r="J139">
        <v>0</v>
      </c>
      <c r="K139">
        <v>5</v>
      </c>
      <c r="L139" s="4">
        <v>3.5000000000000001E-3</v>
      </c>
      <c r="M139">
        <v>0.02</v>
      </c>
      <c r="N139" s="4">
        <v>1.7500000000000002E-2</v>
      </c>
      <c r="O139" s="4">
        <v>0.1</v>
      </c>
    </row>
    <row r="140" spans="2:15">
      <c r="B140" t="s">
        <v>73</v>
      </c>
      <c r="C140" t="s">
        <v>50</v>
      </c>
      <c r="D140" t="s">
        <v>708</v>
      </c>
      <c r="E140" t="s">
        <v>709</v>
      </c>
      <c r="F140" t="s">
        <v>10</v>
      </c>
      <c r="G140" t="s">
        <v>708</v>
      </c>
      <c r="H140" t="s">
        <v>710</v>
      </c>
      <c r="I140" t="s">
        <v>32</v>
      </c>
      <c r="J140">
        <v>0</v>
      </c>
      <c r="K140">
        <v>7</v>
      </c>
      <c r="L140" s="4">
        <v>3.5000000000000001E-3</v>
      </c>
      <c r="M140">
        <v>0.02</v>
      </c>
      <c r="N140" s="4">
        <v>2.4500000000000001E-2</v>
      </c>
      <c r="O140" s="4">
        <v>0.14000000000000001</v>
      </c>
    </row>
    <row r="141" spans="2:15">
      <c r="B141" t="s">
        <v>73</v>
      </c>
      <c r="C141" t="s">
        <v>50</v>
      </c>
      <c r="D141" t="s">
        <v>711</v>
      </c>
      <c r="E141" t="s">
        <v>712</v>
      </c>
      <c r="F141" t="s">
        <v>10</v>
      </c>
      <c r="G141" t="s">
        <v>711</v>
      </c>
      <c r="H141" t="s">
        <v>713</v>
      </c>
      <c r="I141" t="s">
        <v>32</v>
      </c>
      <c r="J141">
        <v>0</v>
      </c>
      <c r="K141">
        <v>5</v>
      </c>
      <c r="L141" s="4">
        <v>3.5000000000000001E-3</v>
      </c>
      <c r="M141">
        <v>0.02</v>
      </c>
      <c r="N141" s="4">
        <v>1.7500000000000002E-2</v>
      </c>
      <c r="O141" s="4">
        <v>0.1</v>
      </c>
    </row>
    <row r="142" spans="2:15">
      <c r="B142" t="s">
        <v>73</v>
      </c>
      <c r="C142" t="s">
        <v>50</v>
      </c>
      <c r="D142" t="s">
        <v>714</v>
      </c>
      <c r="E142" t="s">
        <v>715</v>
      </c>
      <c r="F142" t="s">
        <v>10</v>
      </c>
      <c r="G142" t="s">
        <v>714</v>
      </c>
      <c r="H142" t="s">
        <v>716</v>
      </c>
      <c r="I142" t="s">
        <v>32</v>
      </c>
      <c r="J142">
        <v>0</v>
      </c>
      <c r="K142">
        <v>1666</v>
      </c>
      <c r="L142" s="4">
        <v>3.5000000000000001E-3</v>
      </c>
      <c r="M142">
        <v>0.02</v>
      </c>
      <c r="N142" s="4">
        <v>5.8310000000000004</v>
      </c>
      <c r="O142" s="4">
        <v>33.32</v>
      </c>
    </row>
    <row r="143" spans="2:15">
      <c r="B143" t="s">
        <v>73</v>
      </c>
      <c r="C143" t="s">
        <v>50</v>
      </c>
      <c r="D143" t="s">
        <v>717</v>
      </c>
      <c r="E143" t="s">
        <v>718</v>
      </c>
      <c r="F143" t="s">
        <v>10</v>
      </c>
      <c r="G143" t="s">
        <v>717</v>
      </c>
      <c r="H143" t="s">
        <v>719</v>
      </c>
      <c r="I143" t="s">
        <v>32</v>
      </c>
      <c r="J143">
        <v>0</v>
      </c>
      <c r="K143">
        <v>515</v>
      </c>
      <c r="L143" s="4">
        <v>3.5000000000000001E-3</v>
      </c>
      <c r="M143">
        <v>0.02</v>
      </c>
      <c r="N143" s="4">
        <v>1.8025</v>
      </c>
      <c r="O143" s="4">
        <v>10.3</v>
      </c>
    </row>
    <row r="144" spans="2:15">
      <c r="B144" t="s">
        <v>73</v>
      </c>
      <c r="C144" t="s">
        <v>50</v>
      </c>
      <c r="D144" t="s">
        <v>387</v>
      </c>
      <c r="E144" t="s">
        <v>388</v>
      </c>
      <c r="F144" t="s">
        <v>10</v>
      </c>
      <c r="G144" t="s">
        <v>387</v>
      </c>
      <c r="H144" t="s">
        <v>389</v>
      </c>
      <c r="I144" t="s">
        <v>32</v>
      </c>
      <c r="J144">
        <v>0</v>
      </c>
      <c r="K144">
        <v>15201</v>
      </c>
      <c r="L144" s="4">
        <v>3.5000000000000001E-3</v>
      </c>
      <c r="M144">
        <v>0.02</v>
      </c>
      <c r="N144" s="4">
        <v>53.203499999999998</v>
      </c>
      <c r="O144" s="4">
        <v>304.02</v>
      </c>
    </row>
    <row r="145" spans="2:15">
      <c r="B145" t="s">
        <v>73</v>
      </c>
      <c r="C145" t="s">
        <v>50</v>
      </c>
      <c r="D145" t="s">
        <v>390</v>
      </c>
      <c r="E145" t="s">
        <v>391</v>
      </c>
      <c r="F145" t="s">
        <v>10</v>
      </c>
      <c r="G145" t="s">
        <v>390</v>
      </c>
      <c r="H145" t="s">
        <v>392</v>
      </c>
      <c r="I145" t="s">
        <v>32</v>
      </c>
      <c r="J145">
        <v>0</v>
      </c>
      <c r="K145">
        <v>6278</v>
      </c>
      <c r="L145" s="4">
        <v>3.5000000000000001E-3</v>
      </c>
      <c r="M145">
        <v>0.02</v>
      </c>
      <c r="N145" s="4">
        <v>21.972999999999999</v>
      </c>
      <c r="O145" s="4">
        <v>125.56</v>
      </c>
    </row>
    <row r="146" spans="2:15">
      <c r="B146" t="s">
        <v>73</v>
      </c>
      <c r="C146" t="s">
        <v>50</v>
      </c>
      <c r="D146" t="s">
        <v>393</v>
      </c>
      <c r="E146" t="s">
        <v>394</v>
      </c>
      <c r="F146" t="s">
        <v>10</v>
      </c>
      <c r="G146" t="s">
        <v>393</v>
      </c>
      <c r="H146" t="s">
        <v>395</v>
      </c>
      <c r="I146" t="s">
        <v>32</v>
      </c>
      <c r="J146">
        <v>0</v>
      </c>
      <c r="K146">
        <v>98</v>
      </c>
      <c r="L146" s="4">
        <v>3.5000000000000001E-3</v>
      </c>
      <c r="M146">
        <v>0.02</v>
      </c>
      <c r="N146" s="4">
        <v>0.34300000000000003</v>
      </c>
      <c r="O146" s="4">
        <v>1.96</v>
      </c>
    </row>
    <row r="147" spans="2:15">
      <c r="B147" t="s">
        <v>73</v>
      </c>
      <c r="C147" t="s">
        <v>50</v>
      </c>
      <c r="D147" t="s">
        <v>396</v>
      </c>
      <c r="E147" t="s">
        <v>397</v>
      </c>
      <c r="F147" t="s">
        <v>10</v>
      </c>
      <c r="G147" t="s">
        <v>396</v>
      </c>
      <c r="H147" t="s">
        <v>398</v>
      </c>
      <c r="I147" t="s">
        <v>32</v>
      </c>
      <c r="J147">
        <v>0</v>
      </c>
      <c r="K147">
        <v>1</v>
      </c>
      <c r="L147" s="4">
        <v>3.5000000000000001E-3</v>
      </c>
      <c r="M147">
        <v>0.02</v>
      </c>
      <c r="N147" s="4">
        <v>3.5000000000000001E-3</v>
      </c>
      <c r="O147" s="4">
        <v>0.02</v>
      </c>
    </row>
    <row r="148" spans="2:15">
      <c r="B148" t="s">
        <v>73</v>
      </c>
      <c r="C148" t="s">
        <v>50</v>
      </c>
      <c r="D148" t="s">
        <v>399</v>
      </c>
      <c r="E148" t="s">
        <v>400</v>
      </c>
      <c r="F148" t="s">
        <v>10</v>
      </c>
      <c r="G148" t="s">
        <v>399</v>
      </c>
      <c r="H148" t="s">
        <v>401</v>
      </c>
      <c r="I148" t="s">
        <v>32</v>
      </c>
      <c r="J148">
        <v>0</v>
      </c>
      <c r="K148">
        <v>1</v>
      </c>
      <c r="L148" s="4">
        <v>3.5000000000000001E-3</v>
      </c>
      <c r="M148">
        <v>0.02</v>
      </c>
      <c r="N148" s="4">
        <v>3.5000000000000001E-3</v>
      </c>
      <c r="O148" s="4">
        <v>0.02</v>
      </c>
    </row>
    <row r="149" spans="2:15">
      <c r="B149" t="s">
        <v>73</v>
      </c>
      <c r="C149" t="s">
        <v>50</v>
      </c>
      <c r="D149" t="s">
        <v>402</v>
      </c>
      <c r="E149" t="s">
        <v>403</v>
      </c>
      <c r="F149" t="s">
        <v>10</v>
      </c>
      <c r="G149" t="s">
        <v>402</v>
      </c>
      <c r="H149" t="s">
        <v>404</v>
      </c>
      <c r="I149" t="s">
        <v>32</v>
      </c>
      <c r="J149">
        <v>0</v>
      </c>
      <c r="K149">
        <v>2</v>
      </c>
      <c r="L149" s="4">
        <v>3.5000000000000001E-3</v>
      </c>
      <c r="M149">
        <v>0.02</v>
      </c>
      <c r="N149" s="4">
        <v>7.0000000000000001E-3</v>
      </c>
      <c r="O149" s="4">
        <v>0.04</v>
      </c>
    </row>
    <row r="150" spans="2:15">
      <c r="B150" t="s">
        <v>73</v>
      </c>
      <c r="C150" t="s">
        <v>50</v>
      </c>
      <c r="D150" t="s">
        <v>405</v>
      </c>
      <c r="E150" t="s">
        <v>406</v>
      </c>
      <c r="F150" t="s">
        <v>10</v>
      </c>
      <c r="G150" t="s">
        <v>405</v>
      </c>
      <c r="H150" t="s">
        <v>407</v>
      </c>
      <c r="I150" t="s">
        <v>32</v>
      </c>
      <c r="J150">
        <v>0</v>
      </c>
      <c r="K150">
        <v>16</v>
      </c>
      <c r="L150" s="4">
        <v>3.5000000000000001E-3</v>
      </c>
      <c r="M150">
        <v>0.02</v>
      </c>
      <c r="N150" s="4">
        <v>5.6000000000000001E-2</v>
      </c>
      <c r="O150" s="4">
        <v>0.32</v>
      </c>
    </row>
    <row r="151" spans="2:15">
      <c r="B151" t="s">
        <v>73</v>
      </c>
      <c r="C151" t="s">
        <v>50</v>
      </c>
      <c r="D151" t="s">
        <v>720</v>
      </c>
      <c r="E151" t="s">
        <v>721</v>
      </c>
      <c r="F151" t="s">
        <v>10</v>
      </c>
      <c r="G151" t="s">
        <v>720</v>
      </c>
      <c r="H151" t="s">
        <v>722</v>
      </c>
      <c r="I151" t="s">
        <v>32</v>
      </c>
      <c r="J151">
        <v>0</v>
      </c>
      <c r="K151">
        <v>680</v>
      </c>
      <c r="L151" s="4">
        <v>3.5000000000000001E-3</v>
      </c>
      <c r="M151">
        <v>0.02</v>
      </c>
      <c r="N151" s="4">
        <v>2.38</v>
      </c>
      <c r="O151" s="4">
        <v>13.6</v>
      </c>
    </row>
    <row r="152" spans="2:15">
      <c r="B152" t="s">
        <v>73</v>
      </c>
      <c r="C152" t="s">
        <v>50</v>
      </c>
      <c r="D152" t="s">
        <v>408</v>
      </c>
      <c r="E152" t="s">
        <v>409</v>
      </c>
      <c r="F152" t="s">
        <v>10</v>
      </c>
      <c r="G152" t="s">
        <v>408</v>
      </c>
      <c r="H152" t="s">
        <v>410</v>
      </c>
      <c r="I152" t="s">
        <v>32</v>
      </c>
      <c r="J152">
        <v>0</v>
      </c>
      <c r="K152">
        <v>1</v>
      </c>
      <c r="L152" s="4">
        <v>3.5000000000000001E-3</v>
      </c>
      <c r="M152">
        <v>0.02</v>
      </c>
      <c r="N152" s="4">
        <v>3.5000000000000001E-3</v>
      </c>
      <c r="O152" s="4">
        <v>0.02</v>
      </c>
    </row>
    <row r="153" spans="2:15">
      <c r="B153" t="s">
        <v>73</v>
      </c>
      <c r="C153" t="s">
        <v>50</v>
      </c>
      <c r="D153" t="s">
        <v>411</v>
      </c>
      <c r="E153" t="s">
        <v>412</v>
      </c>
      <c r="F153" t="s">
        <v>10</v>
      </c>
      <c r="G153" t="s">
        <v>411</v>
      </c>
      <c r="H153" t="s">
        <v>413</v>
      </c>
      <c r="I153" t="s">
        <v>32</v>
      </c>
      <c r="J153">
        <v>0</v>
      </c>
      <c r="K153">
        <v>2</v>
      </c>
      <c r="L153" s="4">
        <v>3.5000000000000001E-3</v>
      </c>
      <c r="M153">
        <v>0.02</v>
      </c>
      <c r="N153" s="4">
        <v>7.0000000000000001E-3</v>
      </c>
      <c r="O153" s="4">
        <v>0.04</v>
      </c>
    </row>
    <row r="154" spans="2:15">
      <c r="B154" t="s">
        <v>73</v>
      </c>
      <c r="C154" t="s">
        <v>50</v>
      </c>
      <c r="D154" t="s">
        <v>105</v>
      </c>
      <c r="E154" t="s">
        <v>106</v>
      </c>
      <c r="F154" t="s">
        <v>10</v>
      </c>
      <c r="G154" t="s">
        <v>105</v>
      </c>
      <c r="H154" t="s">
        <v>107</v>
      </c>
      <c r="I154" t="s">
        <v>32</v>
      </c>
      <c r="J154">
        <v>0</v>
      </c>
      <c r="K154">
        <v>3963</v>
      </c>
      <c r="L154" s="4">
        <v>3.5000000000000001E-3</v>
      </c>
      <c r="M154">
        <v>0.02</v>
      </c>
      <c r="N154" s="4">
        <v>13.8705</v>
      </c>
      <c r="O154" s="4">
        <v>79.260000000000005</v>
      </c>
    </row>
    <row r="155" spans="2:15">
      <c r="B155" t="s">
        <v>73</v>
      </c>
      <c r="C155" t="s">
        <v>50</v>
      </c>
      <c r="D155" t="s">
        <v>108</v>
      </c>
      <c r="E155" t="s">
        <v>109</v>
      </c>
      <c r="F155" t="s">
        <v>10</v>
      </c>
      <c r="G155" t="s">
        <v>108</v>
      </c>
      <c r="H155" t="s">
        <v>110</v>
      </c>
      <c r="I155" t="s">
        <v>32</v>
      </c>
      <c r="J155">
        <v>0</v>
      </c>
      <c r="K155">
        <v>34</v>
      </c>
      <c r="L155" s="4">
        <v>3.5000000000000001E-3</v>
      </c>
      <c r="M155">
        <v>0.02</v>
      </c>
      <c r="N155" s="4">
        <v>0.11900000000000001</v>
      </c>
      <c r="O155" s="4">
        <v>0.68</v>
      </c>
    </row>
    <row r="156" spans="2:15">
      <c r="B156" t="s">
        <v>73</v>
      </c>
      <c r="C156" t="s">
        <v>50</v>
      </c>
      <c r="D156" t="s">
        <v>111</v>
      </c>
      <c r="E156" t="s">
        <v>112</v>
      </c>
      <c r="F156" t="s">
        <v>10</v>
      </c>
      <c r="G156" t="s">
        <v>111</v>
      </c>
      <c r="H156" t="s">
        <v>113</v>
      </c>
      <c r="I156" t="s">
        <v>32</v>
      </c>
      <c r="J156">
        <v>0</v>
      </c>
      <c r="K156">
        <v>3371</v>
      </c>
      <c r="L156" s="4">
        <v>3.5000000000000001E-3</v>
      </c>
      <c r="M156">
        <v>0.02</v>
      </c>
      <c r="N156" s="4">
        <v>11.798500000000001</v>
      </c>
      <c r="O156" s="4">
        <v>67.42</v>
      </c>
    </row>
    <row r="157" spans="2:15">
      <c r="B157" t="s">
        <v>73</v>
      </c>
      <c r="C157" t="s">
        <v>50</v>
      </c>
      <c r="D157" t="s">
        <v>723</v>
      </c>
      <c r="E157" t="s">
        <v>724</v>
      </c>
      <c r="F157" t="s">
        <v>10</v>
      </c>
      <c r="G157" t="s">
        <v>723</v>
      </c>
      <c r="H157" t="s">
        <v>725</v>
      </c>
      <c r="I157" t="s">
        <v>32</v>
      </c>
      <c r="J157">
        <v>0</v>
      </c>
      <c r="K157">
        <v>966</v>
      </c>
      <c r="L157" s="4">
        <v>3.5000000000000001E-3</v>
      </c>
      <c r="M157">
        <v>0.02</v>
      </c>
      <c r="N157" s="4">
        <v>3.3810000000000002</v>
      </c>
      <c r="O157" s="4">
        <v>19.32</v>
      </c>
    </row>
    <row r="158" spans="2:15">
      <c r="B158" t="s">
        <v>73</v>
      </c>
      <c r="C158" t="s">
        <v>50</v>
      </c>
      <c r="D158" t="s">
        <v>726</v>
      </c>
      <c r="E158" t="s">
        <v>727</v>
      </c>
      <c r="F158" t="s">
        <v>10</v>
      </c>
      <c r="G158" t="s">
        <v>726</v>
      </c>
      <c r="H158" t="s">
        <v>728</v>
      </c>
      <c r="I158" t="s">
        <v>32</v>
      </c>
      <c r="J158">
        <v>0</v>
      </c>
      <c r="K158">
        <v>3</v>
      </c>
      <c r="L158" s="4">
        <v>3.5000000000000001E-3</v>
      </c>
      <c r="M158">
        <v>0.02</v>
      </c>
      <c r="N158" s="4">
        <v>1.0500000000000001E-2</v>
      </c>
      <c r="O158" s="4">
        <v>0.06</v>
      </c>
    </row>
    <row r="159" spans="2:15">
      <c r="B159" t="s">
        <v>73</v>
      </c>
      <c r="C159" t="s">
        <v>50</v>
      </c>
      <c r="D159" t="s">
        <v>729</v>
      </c>
      <c r="E159" t="s">
        <v>730</v>
      </c>
      <c r="F159" t="s">
        <v>10</v>
      </c>
      <c r="G159" t="s">
        <v>729</v>
      </c>
      <c r="H159" t="s">
        <v>731</v>
      </c>
      <c r="I159" t="s">
        <v>32</v>
      </c>
      <c r="J159">
        <v>0</v>
      </c>
      <c r="K159">
        <v>1</v>
      </c>
      <c r="L159" s="4">
        <v>3.5000000000000001E-3</v>
      </c>
      <c r="M159">
        <v>0.02</v>
      </c>
      <c r="N159" s="4">
        <v>3.5000000000000001E-3</v>
      </c>
      <c r="O159" s="4">
        <v>0.02</v>
      </c>
    </row>
    <row r="160" spans="2:15">
      <c r="B160" t="s">
        <v>73</v>
      </c>
      <c r="C160" t="s">
        <v>50</v>
      </c>
      <c r="D160" t="s">
        <v>414</v>
      </c>
      <c r="E160" t="s">
        <v>415</v>
      </c>
      <c r="F160" t="s">
        <v>10</v>
      </c>
      <c r="G160" t="s">
        <v>414</v>
      </c>
      <c r="H160" t="s">
        <v>416</v>
      </c>
      <c r="I160" t="s">
        <v>32</v>
      </c>
      <c r="J160">
        <v>0</v>
      </c>
      <c r="K160">
        <v>16</v>
      </c>
      <c r="L160" s="4">
        <v>3.5000000000000001E-3</v>
      </c>
      <c r="M160">
        <v>0.02</v>
      </c>
      <c r="N160" s="4">
        <v>5.6000000000000001E-2</v>
      </c>
      <c r="O160" s="4">
        <v>0.32</v>
      </c>
    </row>
    <row r="161" spans="2:15">
      <c r="B161" t="s">
        <v>73</v>
      </c>
      <c r="C161" t="s">
        <v>50</v>
      </c>
      <c r="D161" t="s">
        <v>732</v>
      </c>
      <c r="E161" t="s">
        <v>733</v>
      </c>
      <c r="F161" t="s">
        <v>10</v>
      </c>
      <c r="G161" t="s">
        <v>732</v>
      </c>
      <c r="H161" t="s">
        <v>734</v>
      </c>
      <c r="I161" t="s">
        <v>32</v>
      </c>
      <c r="J161">
        <v>0</v>
      </c>
      <c r="K161">
        <v>1</v>
      </c>
      <c r="L161" s="4">
        <v>3.5000000000000001E-3</v>
      </c>
      <c r="M161">
        <v>0.02</v>
      </c>
      <c r="N161" s="4">
        <v>3.5000000000000001E-3</v>
      </c>
      <c r="O161" s="4">
        <v>0.02</v>
      </c>
    </row>
    <row r="162" spans="2:15">
      <c r="B162" t="s">
        <v>73</v>
      </c>
      <c r="C162" t="s">
        <v>50</v>
      </c>
      <c r="D162" t="s">
        <v>735</v>
      </c>
      <c r="E162" t="s">
        <v>736</v>
      </c>
      <c r="F162" t="s">
        <v>10</v>
      </c>
      <c r="G162" t="s">
        <v>735</v>
      </c>
      <c r="H162" t="s">
        <v>737</v>
      </c>
      <c r="I162" t="s">
        <v>32</v>
      </c>
      <c r="J162">
        <v>0</v>
      </c>
      <c r="K162">
        <v>6</v>
      </c>
      <c r="L162" s="4">
        <v>3.5000000000000001E-3</v>
      </c>
      <c r="M162">
        <v>0.02</v>
      </c>
      <c r="N162" s="4">
        <v>2.1000000000000001E-2</v>
      </c>
      <c r="O162" s="4">
        <v>0.12</v>
      </c>
    </row>
    <row r="163" spans="2:15">
      <c r="B163" t="s">
        <v>73</v>
      </c>
      <c r="C163" t="s">
        <v>50</v>
      </c>
      <c r="D163" t="s">
        <v>417</v>
      </c>
      <c r="E163" t="s">
        <v>418</v>
      </c>
      <c r="F163" t="s">
        <v>10</v>
      </c>
      <c r="G163" t="s">
        <v>417</v>
      </c>
      <c r="H163" t="s">
        <v>419</v>
      </c>
      <c r="I163" t="s">
        <v>32</v>
      </c>
      <c r="J163">
        <v>0</v>
      </c>
      <c r="K163">
        <v>7</v>
      </c>
      <c r="L163" s="4">
        <v>3.5000000000000001E-3</v>
      </c>
      <c r="M163">
        <v>0.02</v>
      </c>
      <c r="N163" s="4">
        <v>2.4500000000000001E-2</v>
      </c>
      <c r="O163" s="4">
        <v>0.14000000000000001</v>
      </c>
    </row>
    <row r="164" spans="2:15">
      <c r="B164" t="s">
        <v>73</v>
      </c>
      <c r="C164" t="s">
        <v>50</v>
      </c>
      <c r="D164" t="s">
        <v>738</v>
      </c>
      <c r="E164" t="s">
        <v>739</v>
      </c>
      <c r="F164" t="s">
        <v>10</v>
      </c>
      <c r="G164" t="s">
        <v>738</v>
      </c>
      <c r="H164" t="s">
        <v>740</v>
      </c>
      <c r="I164" t="s">
        <v>32</v>
      </c>
      <c r="J164">
        <v>0</v>
      </c>
      <c r="K164">
        <v>7301</v>
      </c>
      <c r="L164" s="4">
        <v>3.5000000000000001E-3</v>
      </c>
      <c r="M164">
        <v>0.02</v>
      </c>
      <c r="N164" s="4">
        <v>25.5535</v>
      </c>
      <c r="O164" s="4">
        <v>146.02000000000001</v>
      </c>
    </row>
    <row r="165" spans="2:15">
      <c r="B165" t="s">
        <v>73</v>
      </c>
      <c r="C165" t="s">
        <v>50</v>
      </c>
      <c r="D165" t="s">
        <v>741</v>
      </c>
      <c r="E165" t="s">
        <v>742</v>
      </c>
      <c r="F165" t="s">
        <v>10</v>
      </c>
      <c r="G165" t="s">
        <v>741</v>
      </c>
      <c r="H165" t="s">
        <v>743</v>
      </c>
      <c r="I165" t="s">
        <v>32</v>
      </c>
      <c r="J165">
        <v>0</v>
      </c>
      <c r="K165">
        <v>374</v>
      </c>
      <c r="L165" s="4">
        <v>3.5000000000000001E-3</v>
      </c>
      <c r="M165">
        <v>0.02</v>
      </c>
      <c r="N165" s="4">
        <v>1.3089999999999999</v>
      </c>
      <c r="O165" s="4">
        <v>7.48</v>
      </c>
    </row>
    <row r="166" spans="2:15">
      <c r="B166" t="s">
        <v>73</v>
      </c>
      <c r="C166" t="s">
        <v>50</v>
      </c>
      <c r="D166" t="s">
        <v>744</v>
      </c>
      <c r="E166" t="s">
        <v>745</v>
      </c>
      <c r="F166" t="s">
        <v>10</v>
      </c>
      <c r="G166" t="s">
        <v>744</v>
      </c>
      <c r="H166" t="s">
        <v>746</v>
      </c>
      <c r="I166" t="s">
        <v>32</v>
      </c>
      <c r="J166">
        <v>0</v>
      </c>
      <c r="K166">
        <v>1175</v>
      </c>
      <c r="L166" s="4">
        <v>3.5000000000000001E-3</v>
      </c>
      <c r="M166">
        <v>0.02</v>
      </c>
      <c r="N166" s="4">
        <v>4.1124999999999998</v>
      </c>
      <c r="O166" s="4">
        <v>23.5</v>
      </c>
    </row>
    <row r="167" spans="2:15">
      <c r="B167" t="s">
        <v>73</v>
      </c>
      <c r="C167" t="s">
        <v>50</v>
      </c>
      <c r="D167" t="s">
        <v>420</v>
      </c>
      <c r="E167" t="s">
        <v>421</v>
      </c>
      <c r="F167" t="s">
        <v>10</v>
      </c>
      <c r="G167" t="s">
        <v>420</v>
      </c>
      <c r="H167" t="s">
        <v>422</v>
      </c>
      <c r="I167" t="s">
        <v>32</v>
      </c>
      <c r="J167">
        <v>0</v>
      </c>
      <c r="K167">
        <v>1</v>
      </c>
      <c r="L167" s="4">
        <v>3.5000000000000001E-3</v>
      </c>
      <c r="M167">
        <v>0.02</v>
      </c>
      <c r="N167" s="4">
        <v>3.5000000000000001E-3</v>
      </c>
      <c r="O167" s="4">
        <v>0.02</v>
      </c>
    </row>
    <row r="168" spans="2:15">
      <c r="B168" t="s">
        <v>73</v>
      </c>
      <c r="C168" t="s">
        <v>50</v>
      </c>
      <c r="D168" t="s">
        <v>423</v>
      </c>
      <c r="E168" t="s">
        <v>424</v>
      </c>
      <c r="F168" t="s">
        <v>10</v>
      </c>
      <c r="G168" t="s">
        <v>423</v>
      </c>
      <c r="H168" t="s">
        <v>425</v>
      </c>
      <c r="I168" t="s">
        <v>32</v>
      </c>
      <c r="J168">
        <v>0</v>
      </c>
      <c r="K168">
        <v>2</v>
      </c>
      <c r="L168" s="4">
        <v>3.5000000000000001E-3</v>
      </c>
      <c r="M168">
        <v>0.02</v>
      </c>
      <c r="N168" s="4">
        <v>7.0000000000000001E-3</v>
      </c>
      <c r="O168" s="4">
        <v>0.04</v>
      </c>
    </row>
    <row r="169" spans="2:15">
      <c r="B169" t="s">
        <v>73</v>
      </c>
      <c r="C169" t="s">
        <v>50</v>
      </c>
      <c r="D169" t="s">
        <v>426</v>
      </c>
      <c r="E169" t="s">
        <v>427</v>
      </c>
      <c r="F169" t="s">
        <v>10</v>
      </c>
      <c r="G169" t="s">
        <v>426</v>
      </c>
      <c r="H169" t="s">
        <v>428</v>
      </c>
      <c r="I169" t="s">
        <v>32</v>
      </c>
      <c r="J169">
        <v>0</v>
      </c>
      <c r="K169">
        <v>445</v>
      </c>
      <c r="L169" s="4">
        <v>3.5000000000000001E-3</v>
      </c>
      <c r="M169">
        <v>0.02</v>
      </c>
      <c r="N169" s="4">
        <v>1.5575000000000001</v>
      </c>
      <c r="O169" s="4">
        <v>8.9</v>
      </c>
    </row>
    <row r="170" spans="2:15">
      <c r="B170" t="s">
        <v>73</v>
      </c>
      <c r="C170" t="s">
        <v>50</v>
      </c>
      <c r="D170" t="s">
        <v>429</v>
      </c>
      <c r="E170" t="s">
        <v>430</v>
      </c>
      <c r="F170" t="s">
        <v>10</v>
      </c>
      <c r="G170" t="s">
        <v>429</v>
      </c>
      <c r="H170" t="s">
        <v>431</v>
      </c>
      <c r="I170" t="s">
        <v>32</v>
      </c>
      <c r="J170">
        <v>0</v>
      </c>
      <c r="K170">
        <v>420</v>
      </c>
      <c r="L170" s="4">
        <v>3.5000000000000001E-3</v>
      </c>
      <c r="M170">
        <v>0.02</v>
      </c>
      <c r="N170" s="4">
        <v>1.47</v>
      </c>
      <c r="O170" s="4">
        <v>8.4</v>
      </c>
    </row>
    <row r="171" spans="2:15">
      <c r="B171" t="s">
        <v>73</v>
      </c>
      <c r="C171" t="s">
        <v>50</v>
      </c>
      <c r="D171" t="s">
        <v>432</v>
      </c>
      <c r="E171" t="s">
        <v>433</v>
      </c>
      <c r="F171" t="s">
        <v>10</v>
      </c>
      <c r="G171" t="s">
        <v>432</v>
      </c>
      <c r="H171" t="s">
        <v>434</v>
      </c>
      <c r="I171" t="s">
        <v>32</v>
      </c>
      <c r="J171">
        <v>0</v>
      </c>
      <c r="K171">
        <v>107</v>
      </c>
      <c r="L171" s="4">
        <v>3.5000000000000001E-3</v>
      </c>
      <c r="M171">
        <v>0.02</v>
      </c>
      <c r="N171" s="4">
        <v>0.3745</v>
      </c>
      <c r="O171" s="4">
        <v>2.14</v>
      </c>
    </row>
    <row r="172" spans="2:15">
      <c r="B172" t="s">
        <v>73</v>
      </c>
      <c r="C172" t="s">
        <v>50</v>
      </c>
      <c r="D172" t="s">
        <v>435</v>
      </c>
      <c r="E172" t="s">
        <v>436</v>
      </c>
      <c r="F172" t="s">
        <v>10</v>
      </c>
      <c r="G172" t="s">
        <v>435</v>
      </c>
      <c r="H172" t="s">
        <v>437</v>
      </c>
      <c r="I172" t="s">
        <v>32</v>
      </c>
      <c r="J172">
        <v>0</v>
      </c>
      <c r="K172">
        <v>396</v>
      </c>
      <c r="L172" s="4">
        <v>3.5000000000000001E-3</v>
      </c>
      <c r="M172">
        <v>0.02</v>
      </c>
      <c r="N172" s="4">
        <v>1.3860000000000001</v>
      </c>
      <c r="O172" s="4">
        <v>7.92</v>
      </c>
    </row>
    <row r="173" spans="2:15">
      <c r="B173" t="s">
        <v>73</v>
      </c>
      <c r="C173" t="s">
        <v>50</v>
      </c>
      <c r="D173" t="s">
        <v>438</v>
      </c>
      <c r="E173" t="s">
        <v>439</v>
      </c>
      <c r="F173" t="s">
        <v>10</v>
      </c>
      <c r="G173" t="s">
        <v>438</v>
      </c>
      <c r="H173" t="s">
        <v>440</v>
      </c>
      <c r="I173" t="s">
        <v>32</v>
      </c>
      <c r="J173">
        <v>0</v>
      </c>
      <c r="K173">
        <v>56</v>
      </c>
      <c r="L173" s="4">
        <v>3.5000000000000001E-3</v>
      </c>
      <c r="M173">
        <v>0.02</v>
      </c>
      <c r="N173" s="4">
        <v>0.19600000000000001</v>
      </c>
      <c r="O173" s="4">
        <v>1.1200000000000001</v>
      </c>
    </row>
    <row r="174" spans="2:15">
      <c r="B174" t="s">
        <v>73</v>
      </c>
      <c r="C174" t="s">
        <v>50</v>
      </c>
      <c r="D174" t="s">
        <v>747</v>
      </c>
      <c r="E174" t="s">
        <v>748</v>
      </c>
      <c r="F174" t="s">
        <v>10</v>
      </c>
      <c r="G174" t="s">
        <v>747</v>
      </c>
      <c r="H174" t="s">
        <v>749</v>
      </c>
      <c r="I174" t="s">
        <v>32</v>
      </c>
      <c r="J174">
        <v>0</v>
      </c>
      <c r="K174">
        <v>554</v>
      </c>
      <c r="L174" s="4">
        <v>3.5000000000000001E-3</v>
      </c>
      <c r="M174">
        <v>0.02</v>
      </c>
      <c r="N174" s="4">
        <v>1.9390000000000001</v>
      </c>
      <c r="O174" s="4">
        <v>11.08</v>
      </c>
    </row>
    <row r="175" spans="2:15">
      <c r="B175" t="s">
        <v>73</v>
      </c>
      <c r="C175" t="s">
        <v>50</v>
      </c>
      <c r="D175" t="s">
        <v>750</v>
      </c>
      <c r="E175" t="s">
        <v>751</v>
      </c>
      <c r="F175" t="s">
        <v>10</v>
      </c>
      <c r="G175" t="s">
        <v>750</v>
      </c>
      <c r="H175" t="s">
        <v>752</v>
      </c>
      <c r="I175" t="s">
        <v>32</v>
      </c>
      <c r="J175">
        <v>0</v>
      </c>
      <c r="K175">
        <v>1544</v>
      </c>
      <c r="L175" s="4">
        <v>3.5000000000000001E-3</v>
      </c>
      <c r="M175">
        <v>0.02</v>
      </c>
      <c r="N175" s="4">
        <v>5.4039999999999999</v>
      </c>
      <c r="O175" s="4">
        <v>30.88</v>
      </c>
    </row>
    <row r="176" spans="2:15">
      <c r="B176" t="s">
        <v>73</v>
      </c>
      <c r="C176" t="s">
        <v>50</v>
      </c>
      <c r="D176" t="s">
        <v>753</v>
      </c>
      <c r="E176" t="s">
        <v>754</v>
      </c>
      <c r="F176" t="s">
        <v>10</v>
      </c>
      <c r="G176" t="s">
        <v>753</v>
      </c>
      <c r="H176" t="s">
        <v>755</v>
      </c>
      <c r="I176" t="s">
        <v>32</v>
      </c>
      <c r="J176">
        <v>0</v>
      </c>
      <c r="K176">
        <v>324</v>
      </c>
      <c r="L176" s="4">
        <v>3.5000000000000001E-3</v>
      </c>
      <c r="M176">
        <v>0.02</v>
      </c>
      <c r="N176" s="4">
        <v>1.1340000000000001</v>
      </c>
      <c r="O176" s="4">
        <v>6.48</v>
      </c>
    </row>
    <row r="177" spans="2:15">
      <c r="B177" t="s">
        <v>73</v>
      </c>
      <c r="C177" t="s">
        <v>50</v>
      </c>
      <c r="D177" t="s">
        <v>756</v>
      </c>
      <c r="E177" t="s">
        <v>757</v>
      </c>
      <c r="F177" t="s">
        <v>10</v>
      </c>
      <c r="G177" t="s">
        <v>756</v>
      </c>
      <c r="H177" t="s">
        <v>758</v>
      </c>
      <c r="I177" t="s">
        <v>32</v>
      </c>
      <c r="J177">
        <v>0</v>
      </c>
      <c r="K177">
        <v>934</v>
      </c>
      <c r="L177" s="4">
        <v>3.5000000000000001E-3</v>
      </c>
      <c r="M177">
        <v>0.02</v>
      </c>
      <c r="N177" s="4">
        <v>3.2690000000000001</v>
      </c>
      <c r="O177" s="4">
        <v>18.68</v>
      </c>
    </row>
    <row r="178" spans="2:15">
      <c r="B178" t="s">
        <v>73</v>
      </c>
      <c r="C178" t="s">
        <v>50</v>
      </c>
      <c r="D178" t="s">
        <v>759</v>
      </c>
      <c r="E178" t="s">
        <v>760</v>
      </c>
      <c r="F178" t="s">
        <v>10</v>
      </c>
      <c r="G178" t="s">
        <v>759</v>
      </c>
      <c r="H178" t="s">
        <v>761</v>
      </c>
      <c r="I178" t="s">
        <v>32</v>
      </c>
      <c r="J178">
        <v>0</v>
      </c>
      <c r="K178">
        <v>73</v>
      </c>
      <c r="L178" s="4">
        <v>3.5000000000000001E-3</v>
      </c>
      <c r="M178">
        <v>0.02</v>
      </c>
      <c r="N178" s="4">
        <v>0.2555</v>
      </c>
      <c r="O178" s="4">
        <v>1.46</v>
      </c>
    </row>
    <row r="179" spans="2:15">
      <c r="B179" t="s">
        <v>73</v>
      </c>
      <c r="C179" t="s">
        <v>50</v>
      </c>
      <c r="D179" t="s">
        <v>441</v>
      </c>
      <c r="E179" t="s">
        <v>442</v>
      </c>
      <c r="F179" t="s">
        <v>10</v>
      </c>
      <c r="G179" t="s">
        <v>441</v>
      </c>
      <c r="H179" t="s">
        <v>443</v>
      </c>
      <c r="I179" t="s">
        <v>32</v>
      </c>
      <c r="J179">
        <v>0</v>
      </c>
      <c r="K179">
        <v>1</v>
      </c>
      <c r="L179" s="4">
        <v>3.5000000000000001E-3</v>
      </c>
      <c r="M179">
        <v>0.02</v>
      </c>
      <c r="N179" s="4">
        <v>3.5000000000000001E-3</v>
      </c>
      <c r="O179" s="4">
        <v>0.02</v>
      </c>
    </row>
    <row r="180" spans="2:15">
      <c r="B180" t="s">
        <v>73</v>
      </c>
      <c r="C180" t="s">
        <v>242</v>
      </c>
      <c r="D180" t="s">
        <v>762</v>
      </c>
      <c r="E180" t="s">
        <v>763</v>
      </c>
      <c r="F180" t="s">
        <v>10</v>
      </c>
      <c r="G180" t="s">
        <v>762</v>
      </c>
      <c r="H180" t="s">
        <v>764</v>
      </c>
      <c r="I180" t="s">
        <v>32</v>
      </c>
      <c r="J180">
        <v>0</v>
      </c>
      <c r="K180">
        <v>16294</v>
      </c>
      <c r="L180" s="4">
        <v>3.5000000000000001E-3</v>
      </c>
      <c r="M180">
        <v>0.02</v>
      </c>
      <c r="N180" s="4">
        <v>57.029000000000003</v>
      </c>
      <c r="O180" s="4">
        <v>325.88</v>
      </c>
    </row>
    <row r="181" spans="2:15">
      <c r="B181" t="s">
        <v>73</v>
      </c>
      <c r="C181" t="s">
        <v>242</v>
      </c>
      <c r="D181" t="s">
        <v>765</v>
      </c>
      <c r="E181" t="s">
        <v>766</v>
      </c>
      <c r="F181" t="s">
        <v>30</v>
      </c>
      <c r="G181" t="s">
        <v>765</v>
      </c>
      <c r="H181" t="s">
        <v>767</v>
      </c>
      <c r="I181" t="s">
        <v>245</v>
      </c>
      <c r="J181">
        <v>2</v>
      </c>
      <c r="K181">
        <v>2</v>
      </c>
      <c r="L181" s="4">
        <v>0.6</v>
      </c>
      <c r="M181">
        <v>0.35</v>
      </c>
      <c r="N181" s="4">
        <v>1.1999999999999999E-3</v>
      </c>
      <c r="O181" s="4">
        <v>6.9999999999999999E-4</v>
      </c>
    </row>
    <row r="182" spans="2:15">
      <c r="B182" t="s">
        <v>73</v>
      </c>
      <c r="C182" t="s">
        <v>49</v>
      </c>
      <c r="D182" t="s">
        <v>444</v>
      </c>
      <c r="E182" t="s">
        <v>445</v>
      </c>
      <c r="F182" t="s">
        <v>12</v>
      </c>
      <c r="G182" t="s">
        <v>444</v>
      </c>
      <c r="H182" t="s">
        <v>446</v>
      </c>
      <c r="I182" t="s">
        <v>31</v>
      </c>
      <c r="J182">
        <v>0</v>
      </c>
      <c r="K182">
        <v>1</v>
      </c>
      <c r="L182" s="4">
        <v>3.8199999999999998E-2</v>
      </c>
      <c r="M182">
        <v>0.09</v>
      </c>
      <c r="N182" s="4">
        <v>0</v>
      </c>
      <c r="O182" s="4">
        <v>0</v>
      </c>
    </row>
    <row r="183" spans="2:15">
      <c r="B183" t="s">
        <v>73</v>
      </c>
      <c r="C183" t="s">
        <v>49</v>
      </c>
      <c r="D183" t="s">
        <v>447</v>
      </c>
      <c r="E183" t="s">
        <v>448</v>
      </c>
      <c r="F183" t="s">
        <v>12</v>
      </c>
      <c r="G183" t="s">
        <v>447</v>
      </c>
      <c r="H183" t="s">
        <v>449</v>
      </c>
      <c r="I183" t="s">
        <v>31</v>
      </c>
      <c r="J183">
        <v>0</v>
      </c>
      <c r="K183">
        <v>2</v>
      </c>
      <c r="L183" s="4">
        <v>3.8199999999999998E-2</v>
      </c>
      <c r="M183">
        <v>0.09</v>
      </c>
      <c r="N183" s="4">
        <v>0</v>
      </c>
      <c r="O183" s="4">
        <v>0</v>
      </c>
    </row>
    <row r="184" spans="2:15">
      <c r="B184" t="s">
        <v>73</v>
      </c>
      <c r="C184" t="s">
        <v>49</v>
      </c>
      <c r="D184" t="s">
        <v>450</v>
      </c>
      <c r="E184" t="s">
        <v>451</v>
      </c>
      <c r="F184" t="s">
        <v>12</v>
      </c>
      <c r="G184" t="s">
        <v>450</v>
      </c>
      <c r="H184" t="s">
        <v>452</v>
      </c>
      <c r="I184" t="s">
        <v>31</v>
      </c>
      <c r="J184">
        <v>0</v>
      </c>
      <c r="K184">
        <v>1</v>
      </c>
      <c r="L184" s="4">
        <v>3.8199999999999998E-2</v>
      </c>
      <c r="M184">
        <v>0.09</v>
      </c>
      <c r="N184" s="4">
        <v>0</v>
      </c>
      <c r="O184" s="4">
        <v>0</v>
      </c>
    </row>
    <row r="185" spans="2:15">
      <c r="B185" t="s">
        <v>73</v>
      </c>
      <c r="C185" t="s">
        <v>49</v>
      </c>
      <c r="D185" t="s">
        <v>768</v>
      </c>
      <c r="E185" t="s">
        <v>769</v>
      </c>
      <c r="F185" t="s">
        <v>12</v>
      </c>
      <c r="G185" t="s">
        <v>768</v>
      </c>
      <c r="H185" t="s">
        <v>770</v>
      </c>
      <c r="I185" t="s">
        <v>31</v>
      </c>
      <c r="J185">
        <v>16888</v>
      </c>
      <c r="K185">
        <v>21</v>
      </c>
      <c r="L185" s="4">
        <v>3.8199999999999998E-2</v>
      </c>
      <c r="M185">
        <v>0.09</v>
      </c>
      <c r="N185" s="4">
        <v>0.64512159999999996</v>
      </c>
      <c r="O185" s="4">
        <v>1.5199199999999999</v>
      </c>
    </row>
    <row r="186" spans="2:15">
      <c r="B186" t="s">
        <v>73</v>
      </c>
      <c r="C186" t="s">
        <v>49</v>
      </c>
      <c r="D186" t="s">
        <v>771</v>
      </c>
      <c r="E186" t="s">
        <v>772</v>
      </c>
      <c r="F186" t="s">
        <v>12</v>
      </c>
      <c r="G186" t="s">
        <v>771</v>
      </c>
      <c r="H186" t="s">
        <v>773</v>
      </c>
      <c r="I186" t="s">
        <v>31</v>
      </c>
      <c r="J186">
        <v>2179338</v>
      </c>
      <c r="K186">
        <v>27043</v>
      </c>
      <c r="L186" s="4">
        <v>3.8199999999999998E-2</v>
      </c>
      <c r="M186">
        <v>0.09</v>
      </c>
      <c r="N186" s="4">
        <v>83.250711599999988</v>
      </c>
      <c r="O186" s="4">
        <v>196.14041999999998</v>
      </c>
    </row>
    <row r="187" spans="2:15">
      <c r="B187" t="s">
        <v>73</v>
      </c>
      <c r="C187" t="s">
        <v>49</v>
      </c>
      <c r="D187" t="s">
        <v>774</v>
      </c>
      <c r="E187" t="s">
        <v>775</v>
      </c>
      <c r="F187" t="s">
        <v>12</v>
      </c>
      <c r="G187" t="s">
        <v>774</v>
      </c>
      <c r="H187" t="s">
        <v>776</v>
      </c>
      <c r="I187" t="s">
        <v>31</v>
      </c>
      <c r="J187">
        <v>1376817</v>
      </c>
      <c r="K187">
        <v>46087</v>
      </c>
      <c r="L187" s="4">
        <v>3.8199999999999998E-2</v>
      </c>
      <c r="M187">
        <v>0.09</v>
      </c>
      <c r="N187" s="4">
        <v>52.594409399999996</v>
      </c>
      <c r="O187" s="4">
        <v>123.91352999999999</v>
      </c>
    </row>
    <row r="188" spans="2:15">
      <c r="B188" t="s">
        <v>73</v>
      </c>
      <c r="C188" t="s">
        <v>49</v>
      </c>
      <c r="D188" t="s">
        <v>777</v>
      </c>
      <c r="E188" t="s">
        <v>778</v>
      </c>
      <c r="F188" t="s">
        <v>12</v>
      </c>
      <c r="G188" t="s">
        <v>777</v>
      </c>
      <c r="H188" t="s">
        <v>779</v>
      </c>
      <c r="I188" t="s">
        <v>31</v>
      </c>
      <c r="J188">
        <v>30825</v>
      </c>
      <c r="K188">
        <v>461</v>
      </c>
      <c r="L188" s="4">
        <v>3.8199999999999998E-2</v>
      </c>
      <c r="M188">
        <v>0.09</v>
      </c>
      <c r="N188" s="4">
        <v>1.1775149999999999</v>
      </c>
      <c r="O188" s="4">
        <v>2.7742499999999999</v>
      </c>
    </row>
    <row r="189" spans="2:15">
      <c r="B189" t="s">
        <v>73</v>
      </c>
      <c r="C189" t="s">
        <v>49</v>
      </c>
      <c r="D189" t="s">
        <v>114</v>
      </c>
      <c r="E189" t="s">
        <v>115</v>
      </c>
      <c r="F189" t="s">
        <v>12</v>
      </c>
      <c r="G189" t="s">
        <v>114</v>
      </c>
      <c r="H189" t="s">
        <v>116</v>
      </c>
      <c r="I189" t="s">
        <v>31</v>
      </c>
      <c r="J189">
        <v>2551</v>
      </c>
      <c r="K189">
        <v>72</v>
      </c>
      <c r="L189" s="4">
        <v>3.8199999999999998E-2</v>
      </c>
      <c r="M189">
        <v>0.09</v>
      </c>
      <c r="N189" s="4">
        <v>9.7448199999999999E-2</v>
      </c>
      <c r="O189" s="4">
        <v>0.22959000000000002</v>
      </c>
    </row>
    <row r="190" spans="2:15">
      <c r="B190" t="s">
        <v>73</v>
      </c>
      <c r="C190" t="s">
        <v>49</v>
      </c>
      <c r="D190" t="s">
        <v>117</v>
      </c>
      <c r="E190" t="s">
        <v>118</v>
      </c>
      <c r="F190" t="s">
        <v>12</v>
      </c>
      <c r="G190" t="s">
        <v>117</v>
      </c>
      <c r="H190" t="s">
        <v>119</v>
      </c>
      <c r="I190" t="s">
        <v>31</v>
      </c>
      <c r="J190">
        <v>383305</v>
      </c>
      <c r="K190">
        <v>7556</v>
      </c>
      <c r="L190" s="4">
        <v>3.8199999999999998E-2</v>
      </c>
      <c r="M190">
        <v>0.09</v>
      </c>
      <c r="N190" s="4">
        <v>14.642250999999998</v>
      </c>
      <c r="O190" s="4">
        <v>34.497450000000001</v>
      </c>
    </row>
    <row r="191" spans="2:15">
      <c r="B191" t="s">
        <v>73</v>
      </c>
      <c r="C191" t="s">
        <v>49</v>
      </c>
      <c r="D191" t="s">
        <v>120</v>
      </c>
      <c r="E191" t="s">
        <v>121</v>
      </c>
      <c r="F191" t="s">
        <v>12</v>
      </c>
      <c r="G191" t="s">
        <v>120</v>
      </c>
      <c r="H191" t="s">
        <v>122</v>
      </c>
      <c r="I191" t="s">
        <v>31</v>
      </c>
      <c r="J191">
        <v>3668</v>
      </c>
      <c r="K191">
        <v>99</v>
      </c>
      <c r="L191" s="4">
        <v>3.8199999999999998E-2</v>
      </c>
      <c r="M191">
        <v>0.09</v>
      </c>
      <c r="N191" s="4">
        <v>0.14011759999999998</v>
      </c>
      <c r="O191" s="4">
        <v>0.33012000000000002</v>
      </c>
    </row>
    <row r="192" spans="2:15">
      <c r="B192" t="s">
        <v>73</v>
      </c>
      <c r="C192" t="s">
        <v>49</v>
      </c>
      <c r="D192" t="s">
        <v>123</v>
      </c>
      <c r="E192" t="s">
        <v>124</v>
      </c>
      <c r="F192" t="s">
        <v>12</v>
      </c>
      <c r="G192" t="s">
        <v>123</v>
      </c>
      <c r="H192" t="s">
        <v>125</v>
      </c>
      <c r="I192" t="s">
        <v>31</v>
      </c>
      <c r="J192">
        <v>1325</v>
      </c>
      <c r="K192">
        <v>36</v>
      </c>
      <c r="L192" s="4">
        <v>3.8199999999999998E-2</v>
      </c>
      <c r="M192">
        <v>0.09</v>
      </c>
      <c r="N192" s="4">
        <v>5.0614999999999993E-2</v>
      </c>
      <c r="O192" s="4">
        <v>0.11924999999999999</v>
      </c>
    </row>
    <row r="193" spans="2:15">
      <c r="B193" t="s">
        <v>73</v>
      </c>
      <c r="C193" t="s">
        <v>49</v>
      </c>
      <c r="D193" t="s">
        <v>126</v>
      </c>
      <c r="E193" t="s">
        <v>127</v>
      </c>
      <c r="F193" t="s">
        <v>12</v>
      </c>
      <c r="G193" t="s">
        <v>126</v>
      </c>
      <c r="H193" t="s">
        <v>128</v>
      </c>
      <c r="I193" t="s">
        <v>31</v>
      </c>
      <c r="J193">
        <v>5358</v>
      </c>
      <c r="K193">
        <v>109</v>
      </c>
      <c r="L193" s="4">
        <v>3.8199999999999998E-2</v>
      </c>
      <c r="M193">
        <v>0.09</v>
      </c>
      <c r="N193" s="4">
        <v>0.20467559999999999</v>
      </c>
      <c r="O193" s="4">
        <v>0.48221999999999998</v>
      </c>
    </row>
    <row r="194" spans="2:15">
      <c r="B194" t="s">
        <v>73</v>
      </c>
      <c r="C194" t="s">
        <v>49</v>
      </c>
      <c r="D194" t="s">
        <v>129</v>
      </c>
      <c r="E194" t="s">
        <v>130</v>
      </c>
      <c r="F194" t="s">
        <v>12</v>
      </c>
      <c r="G194" t="s">
        <v>129</v>
      </c>
      <c r="H194" t="s">
        <v>131</v>
      </c>
      <c r="I194" t="s">
        <v>31</v>
      </c>
      <c r="J194">
        <v>8380</v>
      </c>
      <c r="K194">
        <v>275</v>
      </c>
      <c r="L194" s="4">
        <v>3.8199999999999998E-2</v>
      </c>
      <c r="M194">
        <v>0.09</v>
      </c>
      <c r="N194" s="4">
        <v>0.32011600000000001</v>
      </c>
      <c r="O194" s="4">
        <v>0.75419999999999998</v>
      </c>
    </row>
    <row r="195" spans="2:15">
      <c r="B195" t="s">
        <v>73</v>
      </c>
      <c r="C195" t="s">
        <v>49</v>
      </c>
      <c r="D195" t="s">
        <v>132</v>
      </c>
      <c r="E195" t="s">
        <v>133</v>
      </c>
      <c r="F195" t="s">
        <v>12</v>
      </c>
      <c r="G195" t="s">
        <v>132</v>
      </c>
      <c r="H195" t="s">
        <v>134</v>
      </c>
      <c r="I195" t="s">
        <v>31</v>
      </c>
      <c r="J195">
        <v>289467</v>
      </c>
      <c r="K195">
        <v>5771</v>
      </c>
      <c r="L195" s="4">
        <v>3.8199999999999998E-2</v>
      </c>
      <c r="M195">
        <v>0.09</v>
      </c>
      <c r="N195" s="4">
        <v>11.057639399999999</v>
      </c>
      <c r="O195" s="4">
        <v>26.052029999999998</v>
      </c>
    </row>
    <row r="196" spans="2:15">
      <c r="B196" t="s">
        <v>73</v>
      </c>
      <c r="C196" t="s">
        <v>49</v>
      </c>
      <c r="D196" t="s">
        <v>135</v>
      </c>
      <c r="E196" t="s">
        <v>136</v>
      </c>
      <c r="F196" t="s">
        <v>12</v>
      </c>
      <c r="G196" t="s">
        <v>135</v>
      </c>
      <c r="H196" t="s">
        <v>137</v>
      </c>
      <c r="I196" t="s">
        <v>31</v>
      </c>
      <c r="J196">
        <v>4796</v>
      </c>
      <c r="K196">
        <v>113</v>
      </c>
      <c r="L196" s="4">
        <v>3.8199999999999998E-2</v>
      </c>
      <c r="M196">
        <v>0.09</v>
      </c>
      <c r="N196" s="4">
        <v>0.18320719999999999</v>
      </c>
      <c r="O196" s="4">
        <v>0.43163999999999997</v>
      </c>
    </row>
    <row r="197" spans="2:15">
      <c r="B197" t="s">
        <v>73</v>
      </c>
      <c r="C197" t="s">
        <v>49</v>
      </c>
      <c r="D197" t="s">
        <v>138</v>
      </c>
      <c r="E197" t="s">
        <v>139</v>
      </c>
      <c r="F197" t="s">
        <v>12</v>
      </c>
      <c r="G197" t="s">
        <v>138</v>
      </c>
      <c r="H197" t="s">
        <v>140</v>
      </c>
      <c r="I197" t="s">
        <v>31</v>
      </c>
      <c r="J197">
        <v>4566</v>
      </c>
      <c r="K197">
        <v>122</v>
      </c>
      <c r="L197" s="4">
        <v>3.8199999999999998E-2</v>
      </c>
      <c r="M197">
        <v>0.09</v>
      </c>
      <c r="N197" s="4">
        <v>0.1744212</v>
      </c>
      <c r="O197" s="4">
        <v>0.41093999999999997</v>
      </c>
    </row>
    <row r="198" spans="2:15">
      <c r="B198" t="s">
        <v>73</v>
      </c>
      <c r="C198" t="s">
        <v>49</v>
      </c>
      <c r="D198" t="s">
        <v>141</v>
      </c>
      <c r="E198" t="s">
        <v>142</v>
      </c>
      <c r="F198" t="s">
        <v>12</v>
      </c>
      <c r="G198" t="s">
        <v>141</v>
      </c>
      <c r="H198" t="s">
        <v>143</v>
      </c>
      <c r="I198" t="s">
        <v>31</v>
      </c>
      <c r="J198">
        <v>3124</v>
      </c>
      <c r="K198">
        <v>73</v>
      </c>
      <c r="L198" s="4">
        <v>3.8199999999999998E-2</v>
      </c>
      <c r="M198">
        <v>0.09</v>
      </c>
      <c r="N198" s="4">
        <v>0.11933679999999999</v>
      </c>
      <c r="O198" s="4">
        <v>0.28115999999999997</v>
      </c>
    </row>
    <row r="199" spans="2:15">
      <c r="B199" t="s">
        <v>73</v>
      </c>
      <c r="C199" t="s">
        <v>49</v>
      </c>
      <c r="D199" t="s">
        <v>144</v>
      </c>
      <c r="E199" t="s">
        <v>145</v>
      </c>
      <c r="F199" t="s">
        <v>12</v>
      </c>
      <c r="G199" t="s">
        <v>144</v>
      </c>
      <c r="H199" t="s">
        <v>146</v>
      </c>
      <c r="I199" t="s">
        <v>31</v>
      </c>
      <c r="J199">
        <v>737</v>
      </c>
      <c r="K199">
        <v>21</v>
      </c>
      <c r="L199" s="4">
        <v>3.8199999999999998E-2</v>
      </c>
      <c r="M199">
        <v>0.09</v>
      </c>
      <c r="N199" s="4">
        <v>2.8153399999999999E-2</v>
      </c>
      <c r="O199" s="4">
        <v>6.633E-2</v>
      </c>
    </row>
    <row r="200" spans="2:15">
      <c r="B200" t="s">
        <v>73</v>
      </c>
      <c r="C200" t="s">
        <v>49</v>
      </c>
      <c r="D200" t="s">
        <v>147</v>
      </c>
      <c r="E200" t="s">
        <v>148</v>
      </c>
      <c r="F200" t="s">
        <v>12</v>
      </c>
      <c r="G200" t="s">
        <v>147</v>
      </c>
      <c r="H200" t="s">
        <v>149</v>
      </c>
      <c r="I200" t="s">
        <v>31</v>
      </c>
      <c r="J200">
        <v>428178</v>
      </c>
      <c r="K200">
        <v>9354</v>
      </c>
      <c r="L200" s="4">
        <v>3.8199999999999998E-2</v>
      </c>
      <c r="M200">
        <v>0.09</v>
      </c>
      <c r="N200" s="4">
        <v>16.3563996</v>
      </c>
      <c r="O200" s="4">
        <v>38.536019999999994</v>
      </c>
    </row>
    <row r="201" spans="2:15">
      <c r="B201" t="s">
        <v>73</v>
      </c>
      <c r="C201" t="s">
        <v>49</v>
      </c>
      <c r="D201" t="s">
        <v>150</v>
      </c>
      <c r="E201" t="s">
        <v>151</v>
      </c>
      <c r="F201" t="s">
        <v>12</v>
      </c>
      <c r="G201" t="s">
        <v>150</v>
      </c>
      <c r="H201" t="s">
        <v>152</v>
      </c>
      <c r="I201" t="s">
        <v>31</v>
      </c>
      <c r="J201">
        <v>2962</v>
      </c>
      <c r="K201">
        <v>54</v>
      </c>
      <c r="L201" s="4">
        <v>3.8199999999999998E-2</v>
      </c>
      <c r="M201">
        <v>0.09</v>
      </c>
      <c r="N201" s="4">
        <v>0.1131484</v>
      </c>
      <c r="O201" s="4">
        <v>0.26657999999999998</v>
      </c>
    </row>
    <row r="202" spans="2:15">
      <c r="B202" t="s">
        <v>73</v>
      </c>
      <c r="C202" t="s">
        <v>49</v>
      </c>
      <c r="D202" t="s">
        <v>153</v>
      </c>
      <c r="E202" t="s">
        <v>154</v>
      </c>
      <c r="F202" t="s">
        <v>12</v>
      </c>
      <c r="G202" t="s">
        <v>153</v>
      </c>
      <c r="H202" t="s">
        <v>155</v>
      </c>
      <c r="I202" t="s">
        <v>31</v>
      </c>
      <c r="J202">
        <v>4130</v>
      </c>
      <c r="K202">
        <v>111</v>
      </c>
      <c r="L202" s="4">
        <v>3.8199999999999998E-2</v>
      </c>
      <c r="M202">
        <v>0.09</v>
      </c>
      <c r="N202" s="4">
        <v>0.15776599999999999</v>
      </c>
      <c r="O202" s="4">
        <v>0.37169999999999997</v>
      </c>
    </row>
    <row r="203" spans="2:15">
      <c r="B203" t="s">
        <v>73</v>
      </c>
      <c r="C203" t="s">
        <v>49</v>
      </c>
      <c r="D203" t="s">
        <v>156</v>
      </c>
      <c r="E203" t="s">
        <v>157</v>
      </c>
      <c r="F203" t="s">
        <v>12</v>
      </c>
      <c r="G203" t="s">
        <v>156</v>
      </c>
      <c r="H203" t="s">
        <v>158</v>
      </c>
      <c r="I203" t="s">
        <v>31</v>
      </c>
      <c r="J203">
        <v>10754</v>
      </c>
      <c r="K203">
        <v>302</v>
      </c>
      <c r="L203" s="4">
        <v>3.8199999999999998E-2</v>
      </c>
      <c r="M203">
        <v>0.09</v>
      </c>
      <c r="N203" s="4">
        <v>0.41080279999999997</v>
      </c>
      <c r="O203" s="4">
        <v>0.96786000000000005</v>
      </c>
    </row>
    <row r="204" spans="2:15">
      <c r="B204" t="s">
        <v>73</v>
      </c>
      <c r="C204" t="s">
        <v>49</v>
      </c>
      <c r="D204" t="s">
        <v>780</v>
      </c>
      <c r="E204" t="s">
        <v>781</v>
      </c>
      <c r="F204" t="s">
        <v>12</v>
      </c>
      <c r="G204" t="s">
        <v>780</v>
      </c>
      <c r="H204" t="s">
        <v>782</v>
      </c>
      <c r="I204" t="s">
        <v>31</v>
      </c>
      <c r="J204">
        <v>45881</v>
      </c>
      <c r="K204">
        <v>52</v>
      </c>
      <c r="L204" s="4">
        <v>3.8199999999999998E-2</v>
      </c>
      <c r="M204">
        <v>0.09</v>
      </c>
      <c r="N204" s="4">
        <v>1.7526542000000001</v>
      </c>
      <c r="O204" s="4">
        <v>4.1292900000000001</v>
      </c>
    </row>
    <row r="205" spans="2:15">
      <c r="B205" t="s">
        <v>73</v>
      </c>
      <c r="C205" t="s">
        <v>49</v>
      </c>
      <c r="D205" t="s">
        <v>783</v>
      </c>
      <c r="E205" t="s">
        <v>784</v>
      </c>
      <c r="F205" t="s">
        <v>12</v>
      </c>
      <c r="G205" t="s">
        <v>783</v>
      </c>
      <c r="H205" t="s">
        <v>785</v>
      </c>
      <c r="I205" t="s">
        <v>31</v>
      </c>
      <c r="J205">
        <v>4701107</v>
      </c>
      <c r="K205">
        <v>34590</v>
      </c>
      <c r="L205" s="4">
        <v>3.8199999999999998E-2</v>
      </c>
      <c r="M205">
        <v>0.09</v>
      </c>
      <c r="N205" s="4">
        <v>179.58228740000001</v>
      </c>
      <c r="O205" s="4">
        <v>423.09962999999999</v>
      </c>
    </row>
    <row r="206" spans="2:15">
      <c r="B206" t="s">
        <v>73</v>
      </c>
      <c r="C206" t="s">
        <v>49</v>
      </c>
      <c r="D206" t="s">
        <v>786</v>
      </c>
      <c r="E206" t="s">
        <v>787</v>
      </c>
      <c r="F206" t="s">
        <v>12</v>
      </c>
      <c r="G206" t="s">
        <v>786</v>
      </c>
      <c r="H206" t="s">
        <v>788</v>
      </c>
      <c r="I206" t="s">
        <v>31</v>
      </c>
      <c r="J206">
        <v>2989136</v>
      </c>
      <c r="K206">
        <v>41619</v>
      </c>
      <c r="L206" s="4">
        <v>3.8199999999999998E-2</v>
      </c>
      <c r="M206">
        <v>0.09</v>
      </c>
      <c r="N206" s="4">
        <v>114.18499519999999</v>
      </c>
      <c r="O206" s="4">
        <v>269.02224000000001</v>
      </c>
    </row>
    <row r="207" spans="2:15">
      <c r="B207" t="s">
        <v>73</v>
      </c>
      <c r="C207" t="s">
        <v>49</v>
      </c>
      <c r="D207" t="s">
        <v>789</v>
      </c>
      <c r="E207" t="s">
        <v>790</v>
      </c>
      <c r="F207" t="s">
        <v>12</v>
      </c>
      <c r="G207" t="s">
        <v>789</v>
      </c>
      <c r="H207" t="s">
        <v>791</v>
      </c>
      <c r="I207" t="s">
        <v>31</v>
      </c>
      <c r="J207">
        <v>76273</v>
      </c>
      <c r="K207">
        <v>508</v>
      </c>
      <c r="L207" s="4">
        <v>3.8199999999999998E-2</v>
      </c>
      <c r="M207">
        <v>0.09</v>
      </c>
      <c r="N207" s="4">
        <v>2.9136286</v>
      </c>
      <c r="O207" s="4">
        <v>6.8645699999999996</v>
      </c>
    </row>
    <row r="208" spans="2:15">
      <c r="B208" t="s">
        <v>73</v>
      </c>
      <c r="C208" t="s">
        <v>49</v>
      </c>
      <c r="D208" t="s">
        <v>453</v>
      </c>
      <c r="E208" t="s">
        <v>454</v>
      </c>
      <c r="F208" t="s">
        <v>12</v>
      </c>
      <c r="G208" t="s">
        <v>453</v>
      </c>
      <c r="H208" t="s">
        <v>455</v>
      </c>
      <c r="I208" t="s">
        <v>31</v>
      </c>
      <c r="J208">
        <v>9924</v>
      </c>
      <c r="K208">
        <v>28</v>
      </c>
      <c r="L208" s="4">
        <v>3.8199999999999998E-2</v>
      </c>
      <c r="M208">
        <v>0.09</v>
      </c>
      <c r="N208" s="4">
        <v>0.37909679999999996</v>
      </c>
      <c r="O208" s="4">
        <v>0.89315999999999995</v>
      </c>
    </row>
    <row r="209" spans="2:15">
      <c r="B209" t="s">
        <v>73</v>
      </c>
      <c r="C209" t="s">
        <v>49</v>
      </c>
      <c r="D209" t="s">
        <v>456</v>
      </c>
      <c r="E209" t="s">
        <v>457</v>
      </c>
      <c r="F209" t="s">
        <v>12</v>
      </c>
      <c r="G209" t="s">
        <v>456</v>
      </c>
      <c r="H209" t="s">
        <v>458</v>
      </c>
      <c r="I209" t="s">
        <v>31</v>
      </c>
      <c r="J209">
        <v>3653610</v>
      </c>
      <c r="K209">
        <v>124456</v>
      </c>
      <c r="L209" s="4">
        <v>3.8199999999999998E-2</v>
      </c>
      <c r="M209">
        <v>0.09</v>
      </c>
      <c r="N209" s="4">
        <v>139.567902</v>
      </c>
      <c r="O209" s="4">
        <v>328.82489999999996</v>
      </c>
    </row>
    <row r="210" spans="2:15">
      <c r="B210" t="s">
        <v>73</v>
      </c>
      <c r="C210" t="s">
        <v>49</v>
      </c>
      <c r="D210" t="s">
        <v>459</v>
      </c>
      <c r="E210" t="s">
        <v>460</v>
      </c>
      <c r="F210" t="s">
        <v>12</v>
      </c>
      <c r="G210" t="s">
        <v>459</v>
      </c>
      <c r="H210" t="s">
        <v>461</v>
      </c>
      <c r="I210" t="s">
        <v>31</v>
      </c>
      <c r="J210">
        <v>3351351</v>
      </c>
      <c r="K210">
        <v>168620</v>
      </c>
      <c r="L210" s="4">
        <v>3.8199999999999998E-2</v>
      </c>
      <c r="M210">
        <v>0.09</v>
      </c>
      <c r="N210" s="4">
        <v>128.02160819999997</v>
      </c>
      <c r="O210" s="4">
        <v>301.62158999999997</v>
      </c>
    </row>
    <row r="211" spans="2:15">
      <c r="B211" t="s">
        <v>73</v>
      </c>
      <c r="C211" t="s">
        <v>49</v>
      </c>
      <c r="D211" t="s">
        <v>462</v>
      </c>
      <c r="E211" t="s">
        <v>463</v>
      </c>
      <c r="F211" t="s">
        <v>12</v>
      </c>
      <c r="G211" t="s">
        <v>462</v>
      </c>
      <c r="H211" t="s">
        <v>464</v>
      </c>
      <c r="I211" t="s">
        <v>31</v>
      </c>
      <c r="J211">
        <v>637143</v>
      </c>
      <c r="K211">
        <v>29924</v>
      </c>
      <c r="L211" s="4">
        <v>3.8199999999999998E-2</v>
      </c>
      <c r="M211">
        <v>0.09</v>
      </c>
      <c r="N211" s="4">
        <v>24.338862599999999</v>
      </c>
      <c r="O211" s="4">
        <v>57.342869999999998</v>
      </c>
    </row>
    <row r="212" spans="2:15">
      <c r="B212" t="s">
        <v>73</v>
      </c>
      <c r="C212" t="s">
        <v>49</v>
      </c>
      <c r="D212" t="s">
        <v>792</v>
      </c>
      <c r="E212" t="s">
        <v>793</v>
      </c>
      <c r="F212" t="s">
        <v>12</v>
      </c>
      <c r="G212" t="s">
        <v>792</v>
      </c>
      <c r="H212" t="s">
        <v>794</v>
      </c>
      <c r="I212" t="s">
        <v>31</v>
      </c>
      <c r="J212">
        <v>3</v>
      </c>
      <c r="K212">
        <v>0</v>
      </c>
      <c r="L212" s="4">
        <v>3.8199999999999998E-2</v>
      </c>
      <c r="M212">
        <v>0.09</v>
      </c>
      <c r="N212" s="4">
        <v>1.1459999999999999E-4</v>
      </c>
      <c r="O212" s="4">
        <v>2.7E-4</v>
      </c>
    </row>
    <row r="213" spans="2:15">
      <c r="B213" t="s">
        <v>73</v>
      </c>
      <c r="C213" t="s">
        <v>49</v>
      </c>
      <c r="D213" t="s">
        <v>795</v>
      </c>
      <c r="E213" t="s">
        <v>796</v>
      </c>
      <c r="F213" t="s">
        <v>12</v>
      </c>
      <c r="G213" t="s">
        <v>795</v>
      </c>
      <c r="H213" t="s">
        <v>797</v>
      </c>
      <c r="I213" t="s">
        <v>31</v>
      </c>
      <c r="J213">
        <v>6229</v>
      </c>
      <c r="K213">
        <v>9</v>
      </c>
      <c r="L213" s="4">
        <v>3.8199999999999998E-2</v>
      </c>
      <c r="M213">
        <v>0.09</v>
      </c>
      <c r="N213" s="4">
        <v>0.23794779999999996</v>
      </c>
      <c r="O213" s="4">
        <v>0.56061000000000005</v>
      </c>
    </row>
    <row r="214" spans="2:15">
      <c r="B214" t="s">
        <v>73</v>
      </c>
      <c r="C214" t="s">
        <v>49</v>
      </c>
      <c r="D214" t="s">
        <v>798</v>
      </c>
      <c r="E214" t="s">
        <v>799</v>
      </c>
      <c r="F214" t="s">
        <v>12</v>
      </c>
      <c r="G214" t="s">
        <v>798</v>
      </c>
      <c r="H214" t="s">
        <v>800</v>
      </c>
      <c r="I214" t="s">
        <v>31</v>
      </c>
      <c r="J214">
        <v>598273</v>
      </c>
      <c r="K214">
        <v>12450</v>
      </c>
      <c r="L214" s="4">
        <v>3.8199999999999998E-2</v>
      </c>
      <c r="M214">
        <v>0.09</v>
      </c>
      <c r="N214" s="4">
        <v>22.854028599999999</v>
      </c>
      <c r="O214" s="4">
        <v>53.844569999999997</v>
      </c>
    </row>
    <row r="215" spans="2:15">
      <c r="B215" t="s">
        <v>73</v>
      </c>
      <c r="C215" t="s">
        <v>49</v>
      </c>
      <c r="D215" t="s">
        <v>801</v>
      </c>
      <c r="E215" t="s">
        <v>802</v>
      </c>
      <c r="F215" t="s">
        <v>12</v>
      </c>
      <c r="G215" t="s">
        <v>801</v>
      </c>
      <c r="H215" t="s">
        <v>803</v>
      </c>
      <c r="I215" t="s">
        <v>31</v>
      </c>
      <c r="J215">
        <v>1017759</v>
      </c>
      <c r="K215">
        <v>50154</v>
      </c>
      <c r="L215" s="4">
        <v>3.8199999999999998E-2</v>
      </c>
      <c r="M215">
        <v>0.09</v>
      </c>
      <c r="N215" s="4">
        <v>38.878393799999998</v>
      </c>
      <c r="O215" s="4">
        <v>91.598309999999998</v>
      </c>
    </row>
    <row r="216" spans="2:15">
      <c r="B216" t="s">
        <v>73</v>
      </c>
      <c r="C216" t="s">
        <v>49</v>
      </c>
      <c r="D216" t="s">
        <v>804</v>
      </c>
      <c r="E216" t="s">
        <v>805</v>
      </c>
      <c r="F216" t="s">
        <v>12</v>
      </c>
      <c r="G216" t="s">
        <v>804</v>
      </c>
      <c r="H216" t="s">
        <v>806</v>
      </c>
      <c r="I216" t="s">
        <v>31</v>
      </c>
      <c r="J216">
        <v>9713</v>
      </c>
      <c r="K216">
        <v>256</v>
      </c>
      <c r="L216" s="4">
        <v>3.8199999999999998E-2</v>
      </c>
      <c r="M216">
        <v>0.09</v>
      </c>
      <c r="N216" s="4">
        <v>0.37103659999999994</v>
      </c>
      <c r="O216" s="4">
        <v>0.87417</v>
      </c>
    </row>
    <row r="217" spans="2:15">
      <c r="B217" t="s">
        <v>73</v>
      </c>
      <c r="C217" t="s">
        <v>49</v>
      </c>
      <c r="D217" t="s">
        <v>465</v>
      </c>
      <c r="E217" t="s">
        <v>466</v>
      </c>
      <c r="F217" t="s">
        <v>12</v>
      </c>
      <c r="G217" t="s">
        <v>465</v>
      </c>
      <c r="H217" t="s">
        <v>467</v>
      </c>
      <c r="I217" t="s">
        <v>31</v>
      </c>
      <c r="J217">
        <v>0</v>
      </c>
      <c r="K217">
        <v>26</v>
      </c>
      <c r="L217" s="4">
        <v>3.8199999999999998E-2</v>
      </c>
      <c r="M217">
        <v>0.09</v>
      </c>
      <c r="N217" s="4">
        <v>0</v>
      </c>
      <c r="O217" s="4">
        <v>0</v>
      </c>
    </row>
    <row r="218" spans="2:15">
      <c r="B218" t="s">
        <v>73</v>
      </c>
      <c r="C218" t="s">
        <v>49</v>
      </c>
      <c r="D218" t="s">
        <v>468</v>
      </c>
      <c r="E218" t="s">
        <v>469</v>
      </c>
      <c r="F218" t="s">
        <v>12</v>
      </c>
      <c r="G218" t="s">
        <v>468</v>
      </c>
      <c r="H218" t="s">
        <v>470</v>
      </c>
      <c r="I218" t="s">
        <v>31</v>
      </c>
      <c r="J218">
        <v>0</v>
      </c>
      <c r="K218">
        <v>36</v>
      </c>
      <c r="L218" s="4">
        <v>3.8199999999999998E-2</v>
      </c>
      <c r="M218">
        <v>0.09</v>
      </c>
      <c r="N218" s="4">
        <v>0</v>
      </c>
      <c r="O218" s="4">
        <v>0</v>
      </c>
    </row>
    <row r="219" spans="2:15">
      <c r="B219" t="s">
        <v>73</v>
      </c>
      <c r="C219" t="s">
        <v>49</v>
      </c>
      <c r="D219" t="s">
        <v>807</v>
      </c>
      <c r="E219" t="s">
        <v>808</v>
      </c>
      <c r="F219" t="s">
        <v>12</v>
      </c>
      <c r="G219" t="s">
        <v>807</v>
      </c>
      <c r="H219" t="s">
        <v>809</v>
      </c>
      <c r="I219" t="s">
        <v>31</v>
      </c>
      <c r="J219">
        <v>4526604</v>
      </c>
      <c r="K219">
        <v>91868</v>
      </c>
      <c r="L219" s="4">
        <v>3.8199999999999998E-2</v>
      </c>
      <c r="M219">
        <v>0.09</v>
      </c>
      <c r="N219" s="4">
        <v>172.91627279999997</v>
      </c>
      <c r="O219" s="4">
        <v>407.39436000000001</v>
      </c>
    </row>
    <row r="220" spans="2:15">
      <c r="B220" t="s">
        <v>73</v>
      </c>
      <c r="C220" t="s">
        <v>49</v>
      </c>
      <c r="D220" t="s">
        <v>810</v>
      </c>
      <c r="E220" t="s">
        <v>811</v>
      </c>
      <c r="F220" t="s">
        <v>12</v>
      </c>
      <c r="G220" t="s">
        <v>810</v>
      </c>
      <c r="H220" t="s">
        <v>812</v>
      </c>
      <c r="I220" t="s">
        <v>31</v>
      </c>
      <c r="J220">
        <v>16302787</v>
      </c>
      <c r="K220">
        <v>86621</v>
      </c>
      <c r="L220" s="4">
        <v>3.8199999999999998E-2</v>
      </c>
      <c r="M220">
        <v>0.09</v>
      </c>
      <c r="N220" s="4">
        <v>622.76646340000002</v>
      </c>
      <c r="O220" s="4">
        <v>1467.25083</v>
      </c>
    </row>
    <row r="221" spans="2:15">
      <c r="B221" t="s">
        <v>73</v>
      </c>
      <c r="C221" t="s">
        <v>49</v>
      </c>
      <c r="D221" t="s">
        <v>813</v>
      </c>
      <c r="E221" t="s">
        <v>814</v>
      </c>
      <c r="F221" t="s">
        <v>12</v>
      </c>
      <c r="G221" t="s">
        <v>813</v>
      </c>
      <c r="H221" t="s">
        <v>815</v>
      </c>
      <c r="I221" t="s">
        <v>31</v>
      </c>
      <c r="J221">
        <v>107075</v>
      </c>
      <c r="K221">
        <v>769</v>
      </c>
      <c r="L221" s="4">
        <v>3.8199999999999998E-2</v>
      </c>
      <c r="M221">
        <v>0.09</v>
      </c>
      <c r="N221" s="4">
        <v>4.0902649999999996</v>
      </c>
      <c r="O221" s="4">
        <v>9.6367499999999993</v>
      </c>
    </row>
    <row r="222" spans="2:15">
      <c r="B222" t="s">
        <v>73</v>
      </c>
      <c r="C222" t="s">
        <v>49</v>
      </c>
      <c r="D222" t="s">
        <v>816</v>
      </c>
      <c r="E222" t="s">
        <v>817</v>
      </c>
      <c r="F222" t="s">
        <v>12</v>
      </c>
      <c r="G222" t="s">
        <v>816</v>
      </c>
      <c r="H222" t="s">
        <v>818</v>
      </c>
      <c r="I222" t="s">
        <v>31</v>
      </c>
      <c r="J222">
        <v>139817</v>
      </c>
      <c r="K222">
        <v>676</v>
      </c>
      <c r="L222" s="4">
        <v>3.8199999999999998E-2</v>
      </c>
      <c r="M222">
        <v>0.09</v>
      </c>
      <c r="N222" s="4">
        <v>5.3410093999999999</v>
      </c>
      <c r="O222" s="4">
        <v>12.58353</v>
      </c>
    </row>
    <row r="223" spans="2:15">
      <c r="B223" t="s">
        <v>73</v>
      </c>
      <c r="C223" t="s">
        <v>49</v>
      </c>
      <c r="D223" t="s">
        <v>819</v>
      </c>
      <c r="E223" t="s">
        <v>820</v>
      </c>
      <c r="F223" t="s">
        <v>12</v>
      </c>
      <c r="G223" t="s">
        <v>819</v>
      </c>
      <c r="H223" t="s">
        <v>821</v>
      </c>
      <c r="I223" t="s">
        <v>31</v>
      </c>
      <c r="J223">
        <v>28580</v>
      </c>
      <c r="K223">
        <v>112</v>
      </c>
      <c r="L223" s="4">
        <v>3.8199999999999998E-2</v>
      </c>
      <c r="M223">
        <v>0.09</v>
      </c>
      <c r="N223" s="4">
        <v>1.0917559999999999</v>
      </c>
      <c r="O223" s="4">
        <v>2.5721999999999996</v>
      </c>
    </row>
    <row r="224" spans="2:15">
      <c r="B224" t="s">
        <v>73</v>
      </c>
      <c r="C224" t="s">
        <v>49</v>
      </c>
      <c r="D224" t="s">
        <v>471</v>
      </c>
      <c r="E224" t="s">
        <v>472</v>
      </c>
      <c r="F224" t="s">
        <v>12</v>
      </c>
      <c r="G224" t="s">
        <v>471</v>
      </c>
      <c r="H224" t="s">
        <v>473</v>
      </c>
      <c r="I224" t="s">
        <v>31</v>
      </c>
      <c r="J224">
        <v>2881</v>
      </c>
      <c r="K224">
        <v>14</v>
      </c>
      <c r="L224" s="4">
        <v>3.8199999999999998E-2</v>
      </c>
      <c r="M224">
        <v>0.09</v>
      </c>
      <c r="N224" s="4">
        <v>0.11005419999999999</v>
      </c>
      <c r="O224" s="4">
        <v>0.25928999999999996</v>
      </c>
    </row>
    <row r="225" spans="2:15">
      <c r="B225" t="s">
        <v>73</v>
      </c>
      <c r="C225" t="s">
        <v>49</v>
      </c>
      <c r="D225" t="s">
        <v>474</v>
      </c>
      <c r="E225" t="s">
        <v>475</v>
      </c>
      <c r="F225" t="s">
        <v>12</v>
      </c>
      <c r="G225" t="s">
        <v>474</v>
      </c>
      <c r="H225" t="s">
        <v>476</v>
      </c>
      <c r="I225" t="s">
        <v>31</v>
      </c>
      <c r="J225">
        <v>362293</v>
      </c>
      <c r="K225">
        <v>5404</v>
      </c>
      <c r="L225" s="4">
        <v>3.8199999999999998E-2</v>
      </c>
      <c r="M225">
        <v>0.09</v>
      </c>
      <c r="N225" s="4">
        <v>13.8395926</v>
      </c>
      <c r="O225" s="4">
        <v>32.606369999999998</v>
      </c>
    </row>
    <row r="226" spans="2:15">
      <c r="B226" t="s">
        <v>73</v>
      </c>
      <c r="C226" t="s">
        <v>49</v>
      </c>
      <c r="D226" t="s">
        <v>477</v>
      </c>
      <c r="E226" t="s">
        <v>478</v>
      </c>
      <c r="F226" t="s">
        <v>12</v>
      </c>
      <c r="G226" t="s">
        <v>477</v>
      </c>
      <c r="H226" t="s">
        <v>479</v>
      </c>
      <c r="I226" t="s">
        <v>31</v>
      </c>
      <c r="J226">
        <v>615213</v>
      </c>
      <c r="K226">
        <v>4118</v>
      </c>
      <c r="L226" s="4">
        <v>3.8199999999999998E-2</v>
      </c>
      <c r="M226">
        <v>0.09</v>
      </c>
      <c r="N226" s="4">
        <v>23.501136599999999</v>
      </c>
      <c r="O226" s="4">
        <v>55.369169999999997</v>
      </c>
    </row>
    <row r="227" spans="2:15">
      <c r="B227" t="s">
        <v>73</v>
      </c>
      <c r="C227" t="s">
        <v>49</v>
      </c>
      <c r="D227" t="s">
        <v>480</v>
      </c>
      <c r="E227" t="s">
        <v>481</v>
      </c>
      <c r="F227" t="s">
        <v>12</v>
      </c>
      <c r="G227" t="s">
        <v>480</v>
      </c>
      <c r="H227" t="s">
        <v>482</v>
      </c>
      <c r="I227" t="s">
        <v>31</v>
      </c>
      <c r="J227">
        <v>21786</v>
      </c>
      <c r="K227">
        <v>160</v>
      </c>
      <c r="L227" s="4">
        <v>3.8199999999999998E-2</v>
      </c>
      <c r="M227">
        <v>0.09</v>
      </c>
      <c r="N227" s="4">
        <v>0.8322252</v>
      </c>
      <c r="O227" s="4">
        <v>1.9607399999999999</v>
      </c>
    </row>
    <row r="228" spans="2:15">
      <c r="B228" t="s">
        <v>73</v>
      </c>
      <c r="C228" t="s">
        <v>49</v>
      </c>
      <c r="D228" t="s">
        <v>483</v>
      </c>
      <c r="E228" t="s">
        <v>484</v>
      </c>
      <c r="F228" t="s">
        <v>12</v>
      </c>
      <c r="G228" t="s">
        <v>483</v>
      </c>
      <c r="H228" t="s">
        <v>485</v>
      </c>
      <c r="I228" t="s">
        <v>31</v>
      </c>
      <c r="J228">
        <v>13566</v>
      </c>
      <c r="K228">
        <v>74</v>
      </c>
      <c r="L228" s="4">
        <v>3.8199999999999998E-2</v>
      </c>
      <c r="M228">
        <v>0.09</v>
      </c>
      <c r="N228" s="4">
        <v>0.51822119999999994</v>
      </c>
      <c r="O228" s="4">
        <v>1.2209400000000001</v>
      </c>
    </row>
    <row r="229" spans="2:15">
      <c r="B229" t="s">
        <v>73</v>
      </c>
      <c r="C229" t="s">
        <v>49</v>
      </c>
      <c r="D229" t="s">
        <v>486</v>
      </c>
      <c r="E229" t="s">
        <v>487</v>
      </c>
      <c r="F229" t="s">
        <v>12</v>
      </c>
      <c r="G229" t="s">
        <v>486</v>
      </c>
      <c r="H229" t="s">
        <v>488</v>
      </c>
      <c r="I229" t="s">
        <v>31</v>
      </c>
      <c r="J229">
        <v>4</v>
      </c>
      <c r="K229">
        <v>10</v>
      </c>
      <c r="L229" s="4">
        <v>3.8199999999999998E-2</v>
      </c>
      <c r="M229">
        <v>0.09</v>
      </c>
      <c r="N229" s="4">
        <v>1.528E-4</v>
      </c>
      <c r="O229" s="4">
        <v>3.5999999999999997E-4</v>
      </c>
    </row>
    <row r="230" spans="2:15">
      <c r="B230" t="s">
        <v>73</v>
      </c>
      <c r="C230" t="s">
        <v>49</v>
      </c>
      <c r="D230" t="s">
        <v>489</v>
      </c>
      <c r="E230" t="s">
        <v>490</v>
      </c>
      <c r="F230" t="s">
        <v>12</v>
      </c>
      <c r="G230" t="s">
        <v>489</v>
      </c>
      <c r="H230" t="s">
        <v>491</v>
      </c>
      <c r="I230" t="s">
        <v>31</v>
      </c>
      <c r="J230">
        <v>1</v>
      </c>
      <c r="K230">
        <v>41</v>
      </c>
      <c r="L230" s="4">
        <v>3.8199999999999998E-2</v>
      </c>
      <c r="M230">
        <v>0.09</v>
      </c>
      <c r="N230" s="4">
        <v>3.82E-5</v>
      </c>
      <c r="O230" s="4">
        <v>8.9999999999999992E-5</v>
      </c>
    </row>
    <row r="231" spans="2:15">
      <c r="B231" t="s">
        <v>73</v>
      </c>
      <c r="C231" t="s">
        <v>49</v>
      </c>
      <c r="D231" t="s">
        <v>492</v>
      </c>
      <c r="E231" t="s">
        <v>493</v>
      </c>
      <c r="F231" t="s">
        <v>12</v>
      </c>
      <c r="G231" t="s">
        <v>492</v>
      </c>
      <c r="H231" t="s">
        <v>494</v>
      </c>
      <c r="I231" t="s">
        <v>31</v>
      </c>
      <c r="J231">
        <v>5</v>
      </c>
      <c r="K231">
        <v>23</v>
      </c>
      <c r="L231" s="4">
        <v>3.8199999999999998E-2</v>
      </c>
      <c r="M231">
        <v>0.09</v>
      </c>
      <c r="N231" s="4">
        <v>1.9100000000000001E-4</v>
      </c>
      <c r="O231" s="4">
        <v>4.4999999999999993E-4</v>
      </c>
    </row>
    <row r="232" spans="2:15">
      <c r="B232" t="s">
        <v>73</v>
      </c>
      <c r="C232" t="s">
        <v>49</v>
      </c>
      <c r="D232" t="s">
        <v>495</v>
      </c>
      <c r="E232" t="s">
        <v>496</v>
      </c>
      <c r="F232" t="s">
        <v>12</v>
      </c>
      <c r="G232" t="s">
        <v>495</v>
      </c>
      <c r="H232" t="s">
        <v>497</v>
      </c>
      <c r="I232" t="s">
        <v>31</v>
      </c>
      <c r="J232">
        <v>4</v>
      </c>
      <c r="K232">
        <v>66</v>
      </c>
      <c r="L232" s="4">
        <v>3.8199999999999998E-2</v>
      </c>
      <c r="M232">
        <v>0.09</v>
      </c>
      <c r="N232" s="4">
        <v>1.528E-4</v>
      </c>
      <c r="O232" s="4">
        <v>3.5999999999999997E-4</v>
      </c>
    </row>
    <row r="233" spans="2:15">
      <c r="B233" t="s">
        <v>73</v>
      </c>
      <c r="C233" t="s">
        <v>49</v>
      </c>
      <c r="D233" t="s">
        <v>822</v>
      </c>
      <c r="E233" t="s">
        <v>823</v>
      </c>
      <c r="F233" t="s">
        <v>12</v>
      </c>
      <c r="G233" t="s">
        <v>822</v>
      </c>
      <c r="H233" t="s">
        <v>824</v>
      </c>
      <c r="I233" t="s">
        <v>31</v>
      </c>
      <c r="J233">
        <v>1</v>
      </c>
      <c r="K233">
        <v>0</v>
      </c>
      <c r="L233" s="4">
        <v>3.8199999999999998E-2</v>
      </c>
      <c r="M233">
        <v>0.09</v>
      </c>
      <c r="N233" s="4">
        <v>3.82E-5</v>
      </c>
      <c r="O233" s="4">
        <v>8.9999999999999992E-5</v>
      </c>
    </row>
    <row r="234" spans="2:15">
      <c r="B234" t="s">
        <v>73</v>
      </c>
      <c r="C234" t="s">
        <v>49</v>
      </c>
      <c r="D234" t="s">
        <v>825</v>
      </c>
      <c r="E234" t="s">
        <v>826</v>
      </c>
      <c r="F234" t="s">
        <v>12</v>
      </c>
      <c r="G234" t="s">
        <v>825</v>
      </c>
      <c r="H234" t="s">
        <v>827</v>
      </c>
      <c r="I234" t="s">
        <v>31</v>
      </c>
      <c r="J234">
        <v>1</v>
      </c>
      <c r="K234">
        <v>0</v>
      </c>
      <c r="L234" s="4">
        <v>3.8199999999999998E-2</v>
      </c>
      <c r="M234">
        <v>0.09</v>
      </c>
      <c r="N234" s="4">
        <v>3.82E-5</v>
      </c>
      <c r="O234" s="4">
        <v>8.9999999999999992E-5</v>
      </c>
    </row>
    <row r="235" spans="2:15">
      <c r="B235" t="s">
        <v>73</v>
      </c>
      <c r="C235" t="s">
        <v>49</v>
      </c>
      <c r="D235" t="s">
        <v>828</v>
      </c>
      <c r="E235" t="s">
        <v>829</v>
      </c>
      <c r="F235" t="s">
        <v>12</v>
      </c>
      <c r="G235" t="s">
        <v>828</v>
      </c>
      <c r="H235" t="s">
        <v>830</v>
      </c>
      <c r="I235" t="s">
        <v>31</v>
      </c>
      <c r="J235">
        <v>1</v>
      </c>
      <c r="K235">
        <v>0</v>
      </c>
      <c r="L235" s="4">
        <v>3.8199999999999998E-2</v>
      </c>
      <c r="M235">
        <v>0.09</v>
      </c>
      <c r="N235" s="4">
        <v>3.82E-5</v>
      </c>
      <c r="O235" s="4">
        <v>8.9999999999999992E-5</v>
      </c>
    </row>
    <row r="236" spans="2:15">
      <c r="B236" t="s">
        <v>73</v>
      </c>
      <c r="C236" t="s">
        <v>49</v>
      </c>
      <c r="D236" t="s">
        <v>831</v>
      </c>
      <c r="E236" t="s">
        <v>832</v>
      </c>
      <c r="F236" t="s">
        <v>12</v>
      </c>
      <c r="G236" t="s">
        <v>831</v>
      </c>
      <c r="H236" t="s">
        <v>833</v>
      </c>
      <c r="I236" t="s">
        <v>31</v>
      </c>
      <c r="J236">
        <v>1</v>
      </c>
      <c r="K236">
        <v>0</v>
      </c>
      <c r="L236" s="4">
        <v>3.8199999999999998E-2</v>
      </c>
      <c r="M236">
        <v>0.09</v>
      </c>
      <c r="N236" s="4">
        <v>3.82E-5</v>
      </c>
      <c r="O236" s="4">
        <v>8.9999999999999992E-5</v>
      </c>
    </row>
    <row r="237" spans="2:15">
      <c r="B237" t="s">
        <v>73</v>
      </c>
      <c r="C237" t="s">
        <v>52</v>
      </c>
      <c r="D237" t="s">
        <v>834</v>
      </c>
      <c r="E237" t="s">
        <v>835</v>
      </c>
      <c r="F237" t="s">
        <v>12</v>
      </c>
      <c r="G237" t="s">
        <v>834</v>
      </c>
      <c r="H237" t="s">
        <v>836</v>
      </c>
      <c r="I237" t="s">
        <v>31</v>
      </c>
      <c r="J237">
        <v>3937844</v>
      </c>
      <c r="K237">
        <v>2678</v>
      </c>
      <c r="L237" s="4">
        <v>3.8199999999999998E-2</v>
      </c>
      <c r="M237">
        <v>0.09</v>
      </c>
      <c r="N237" s="4">
        <v>150.4256408</v>
      </c>
      <c r="O237" s="4">
        <v>354.40595999999994</v>
      </c>
    </row>
    <row r="238" spans="2:15">
      <c r="B238" t="s">
        <v>73</v>
      </c>
      <c r="C238" t="s">
        <v>52</v>
      </c>
      <c r="D238" t="s">
        <v>837</v>
      </c>
      <c r="E238" t="s">
        <v>838</v>
      </c>
      <c r="F238" t="s">
        <v>12</v>
      </c>
      <c r="G238" t="s">
        <v>837</v>
      </c>
      <c r="H238" t="s">
        <v>839</v>
      </c>
      <c r="I238" t="s">
        <v>31</v>
      </c>
      <c r="J238">
        <v>2207458</v>
      </c>
      <c r="K238">
        <v>1326</v>
      </c>
      <c r="L238" s="4">
        <v>3.8199999999999998E-2</v>
      </c>
      <c r="M238">
        <v>0.09</v>
      </c>
      <c r="N238" s="4">
        <v>84.324895599999991</v>
      </c>
      <c r="O238" s="4">
        <v>198.67122000000001</v>
      </c>
    </row>
    <row r="239" spans="2:15">
      <c r="B239" t="s">
        <v>73</v>
      </c>
      <c r="C239" t="s">
        <v>52</v>
      </c>
      <c r="D239" t="s">
        <v>840</v>
      </c>
      <c r="E239" t="s">
        <v>841</v>
      </c>
      <c r="F239" t="s">
        <v>12</v>
      </c>
      <c r="G239" t="s">
        <v>840</v>
      </c>
      <c r="H239" t="s">
        <v>842</v>
      </c>
      <c r="I239" t="s">
        <v>31</v>
      </c>
      <c r="J239">
        <v>1401444</v>
      </c>
      <c r="K239">
        <v>291</v>
      </c>
      <c r="L239" s="4">
        <v>3.8199999999999998E-2</v>
      </c>
      <c r="M239">
        <v>0.09</v>
      </c>
      <c r="N239" s="4">
        <v>53.5351608</v>
      </c>
      <c r="O239" s="4">
        <v>126.12996</v>
      </c>
    </row>
    <row r="240" spans="2:15">
      <c r="B240" t="s">
        <v>73</v>
      </c>
      <c r="C240" t="s">
        <v>52</v>
      </c>
      <c r="D240" t="s">
        <v>843</v>
      </c>
      <c r="E240" t="s">
        <v>844</v>
      </c>
      <c r="F240" t="s">
        <v>12</v>
      </c>
      <c r="G240" t="s">
        <v>843</v>
      </c>
      <c r="H240" t="s">
        <v>845</v>
      </c>
      <c r="I240" t="s">
        <v>31</v>
      </c>
      <c r="J240">
        <v>267344</v>
      </c>
      <c r="K240">
        <v>65</v>
      </c>
      <c r="L240" s="4">
        <v>3.8199999999999998E-2</v>
      </c>
      <c r="M240">
        <v>0.09</v>
      </c>
      <c r="N240" s="4">
        <v>10.212540799999999</v>
      </c>
      <c r="O240" s="4">
        <v>24.060959999999998</v>
      </c>
    </row>
    <row r="241" spans="2:15">
      <c r="B241" t="s">
        <v>73</v>
      </c>
      <c r="C241" t="s">
        <v>52</v>
      </c>
      <c r="D241" t="s">
        <v>846</v>
      </c>
      <c r="E241" t="s">
        <v>847</v>
      </c>
      <c r="F241" t="s">
        <v>11</v>
      </c>
      <c r="G241" t="s">
        <v>848</v>
      </c>
      <c r="H241" t="s">
        <v>849</v>
      </c>
      <c r="I241" t="s">
        <v>31</v>
      </c>
      <c r="J241">
        <v>1</v>
      </c>
      <c r="K241">
        <v>0</v>
      </c>
      <c r="L241" s="4">
        <v>3.8199999999999998E-2</v>
      </c>
      <c r="M241">
        <v>0.09</v>
      </c>
      <c r="N241" s="4">
        <v>3.82E-5</v>
      </c>
      <c r="O241" s="4">
        <v>8.9999999999999992E-5</v>
      </c>
    </row>
    <row r="242" spans="2:15">
      <c r="B242" t="s">
        <v>73</v>
      </c>
      <c r="C242" t="s">
        <v>52</v>
      </c>
      <c r="D242" t="s">
        <v>846</v>
      </c>
      <c r="E242" t="s">
        <v>847</v>
      </c>
      <c r="F242" t="s">
        <v>10</v>
      </c>
      <c r="G242" t="s">
        <v>846</v>
      </c>
      <c r="H242" t="s">
        <v>850</v>
      </c>
      <c r="I242" t="s">
        <v>32</v>
      </c>
      <c r="J242">
        <v>17</v>
      </c>
      <c r="K242">
        <v>4</v>
      </c>
      <c r="L242" s="4">
        <v>3.5000000000000001E-3</v>
      </c>
      <c r="M242">
        <v>0.02</v>
      </c>
      <c r="N242" s="4">
        <v>1.4E-2</v>
      </c>
      <c r="O242" s="4">
        <v>0.08</v>
      </c>
    </row>
    <row r="243" spans="2:15">
      <c r="B243" t="s">
        <v>73</v>
      </c>
      <c r="C243" t="s">
        <v>52</v>
      </c>
      <c r="D243" t="s">
        <v>851</v>
      </c>
      <c r="E243" t="s">
        <v>852</v>
      </c>
      <c r="F243" t="s">
        <v>11</v>
      </c>
      <c r="G243" t="s">
        <v>848</v>
      </c>
      <c r="H243" t="s">
        <v>849</v>
      </c>
      <c r="I243" t="s">
        <v>31</v>
      </c>
      <c r="J243">
        <v>4</v>
      </c>
      <c r="K243">
        <v>0</v>
      </c>
      <c r="L243" s="4">
        <v>3.8199999999999998E-2</v>
      </c>
      <c r="M243">
        <v>0.09</v>
      </c>
      <c r="N243" s="4">
        <v>1.528E-4</v>
      </c>
      <c r="O243" s="4">
        <v>3.5999999999999997E-4</v>
      </c>
    </row>
    <row r="244" spans="2:15">
      <c r="B244" t="s">
        <v>73</v>
      </c>
      <c r="C244" t="s">
        <v>52</v>
      </c>
      <c r="D244" t="s">
        <v>851</v>
      </c>
      <c r="E244" t="s">
        <v>852</v>
      </c>
      <c r="F244" t="s">
        <v>10</v>
      </c>
      <c r="G244" t="s">
        <v>851</v>
      </c>
      <c r="H244" t="s">
        <v>853</v>
      </c>
      <c r="I244" t="s">
        <v>32</v>
      </c>
      <c r="J244">
        <v>9</v>
      </c>
      <c r="K244">
        <v>2</v>
      </c>
      <c r="L244" s="4">
        <v>3.5000000000000001E-3</v>
      </c>
      <c r="M244">
        <v>0.02</v>
      </c>
      <c r="N244" s="4">
        <v>7.0000000000000001E-3</v>
      </c>
      <c r="O244" s="4">
        <v>0.04</v>
      </c>
    </row>
    <row r="245" spans="2:15">
      <c r="B245" t="s">
        <v>73</v>
      </c>
      <c r="C245" t="s">
        <v>52</v>
      </c>
      <c r="D245" t="s">
        <v>854</v>
      </c>
      <c r="E245" t="s">
        <v>855</v>
      </c>
      <c r="F245" t="s">
        <v>10</v>
      </c>
      <c r="G245" t="s">
        <v>854</v>
      </c>
      <c r="H245" t="s">
        <v>856</v>
      </c>
      <c r="I245" t="s">
        <v>32</v>
      </c>
      <c r="J245">
        <v>19</v>
      </c>
      <c r="K245">
        <v>4</v>
      </c>
      <c r="L245" s="4">
        <v>3.5000000000000001E-3</v>
      </c>
      <c r="M245">
        <v>0.02</v>
      </c>
      <c r="N245" s="4">
        <v>1.4E-2</v>
      </c>
      <c r="O245" s="4">
        <v>0.08</v>
      </c>
    </row>
    <row r="246" spans="2:15">
      <c r="B246" t="s">
        <v>73</v>
      </c>
      <c r="C246" t="s">
        <v>52</v>
      </c>
      <c r="D246" t="s">
        <v>857</v>
      </c>
      <c r="E246" t="s">
        <v>858</v>
      </c>
      <c r="F246" t="s">
        <v>11</v>
      </c>
      <c r="G246" t="s">
        <v>848</v>
      </c>
      <c r="H246" t="s">
        <v>849</v>
      </c>
      <c r="I246" t="s">
        <v>31</v>
      </c>
      <c r="J246">
        <v>2</v>
      </c>
      <c r="K246">
        <v>0</v>
      </c>
      <c r="L246" s="4">
        <v>3.8199999999999998E-2</v>
      </c>
      <c r="M246">
        <v>0.09</v>
      </c>
      <c r="N246" s="4">
        <v>7.64E-5</v>
      </c>
      <c r="O246" s="4">
        <v>1.7999999999999998E-4</v>
      </c>
    </row>
    <row r="247" spans="2:15">
      <c r="B247" t="s">
        <v>73</v>
      </c>
      <c r="C247" t="s">
        <v>52</v>
      </c>
      <c r="D247" t="s">
        <v>857</v>
      </c>
      <c r="E247" t="s">
        <v>858</v>
      </c>
      <c r="F247" t="s">
        <v>10</v>
      </c>
      <c r="G247" t="s">
        <v>857</v>
      </c>
      <c r="H247" t="s">
        <v>859</v>
      </c>
      <c r="I247" t="s">
        <v>32</v>
      </c>
      <c r="J247">
        <v>10</v>
      </c>
      <c r="K247">
        <v>2</v>
      </c>
      <c r="L247" s="4">
        <v>3.5000000000000001E-3</v>
      </c>
      <c r="M247">
        <v>0.02</v>
      </c>
      <c r="N247" s="4">
        <v>7.0000000000000001E-3</v>
      </c>
      <c r="O247" s="4">
        <v>0.04</v>
      </c>
    </row>
    <row r="248" spans="2:15">
      <c r="B248" t="s">
        <v>73</v>
      </c>
      <c r="C248" t="s">
        <v>52</v>
      </c>
      <c r="D248" t="s">
        <v>860</v>
      </c>
      <c r="E248" t="s">
        <v>861</v>
      </c>
      <c r="F248" t="s">
        <v>10</v>
      </c>
      <c r="G248" t="s">
        <v>860</v>
      </c>
      <c r="H248" t="s">
        <v>862</v>
      </c>
      <c r="I248" t="s">
        <v>32</v>
      </c>
      <c r="J248">
        <v>0</v>
      </c>
      <c r="K248">
        <v>1</v>
      </c>
      <c r="L248" s="4">
        <v>3.5000000000000001E-3</v>
      </c>
      <c r="M248">
        <v>0.02</v>
      </c>
      <c r="N248" s="4">
        <v>3.5000000000000001E-3</v>
      </c>
      <c r="O248" s="4">
        <v>0.02</v>
      </c>
    </row>
    <row r="249" spans="2:15">
      <c r="B249" t="s">
        <v>73</v>
      </c>
      <c r="C249" t="s">
        <v>52</v>
      </c>
      <c r="D249" t="s">
        <v>498</v>
      </c>
      <c r="E249" t="s">
        <v>499</v>
      </c>
      <c r="F249" t="s">
        <v>10</v>
      </c>
      <c r="G249" t="s">
        <v>498</v>
      </c>
      <c r="H249" t="s">
        <v>500</v>
      </c>
      <c r="I249" t="s">
        <v>32</v>
      </c>
      <c r="J249">
        <v>0</v>
      </c>
      <c r="K249">
        <v>28853</v>
      </c>
      <c r="L249" s="4">
        <v>3.5000000000000001E-3</v>
      </c>
      <c r="M249">
        <v>0.02</v>
      </c>
      <c r="N249" s="4">
        <v>100.9855</v>
      </c>
      <c r="O249" s="4">
        <v>577.06000000000006</v>
      </c>
    </row>
    <row r="250" spans="2:15">
      <c r="B250" t="s">
        <v>73</v>
      </c>
      <c r="C250" t="s">
        <v>52</v>
      </c>
      <c r="D250" t="s">
        <v>863</v>
      </c>
      <c r="E250" t="s">
        <v>864</v>
      </c>
      <c r="F250" t="s">
        <v>10</v>
      </c>
      <c r="G250" t="s">
        <v>863</v>
      </c>
      <c r="H250" t="s">
        <v>865</v>
      </c>
      <c r="I250" t="s">
        <v>32</v>
      </c>
      <c r="J250">
        <v>0</v>
      </c>
      <c r="K250">
        <v>90460</v>
      </c>
      <c r="L250" s="4">
        <v>3.5000000000000001E-3</v>
      </c>
      <c r="M250">
        <v>0.02</v>
      </c>
      <c r="N250" s="4">
        <v>316.61</v>
      </c>
      <c r="O250" s="4">
        <v>1809.2</v>
      </c>
    </row>
    <row r="251" spans="2:15">
      <c r="B251" t="s">
        <v>73</v>
      </c>
      <c r="C251" t="s">
        <v>52</v>
      </c>
      <c r="D251" t="s">
        <v>866</v>
      </c>
      <c r="E251" t="s">
        <v>867</v>
      </c>
      <c r="F251" t="s">
        <v>10</v>
      </c>
      <c r="G251" t="s">
        <v>866</v>
      </c>
      <c r="H251" t="s">
        <v>868</v>
      </c>
      <c r="I251" t="s">
        <v>32</v>
      </c>
      <c r="J251">
        <v>0</v>
      </c>
      <c r="K251">
        <v>40272</v>
      </c>
      <c r="L251" s="4">
        <v>3.5000000000000001E-3</v>
      </c>
      <c r="M251">
        <v>0.02</v>
      </c>
      <c r="N251" s="4">
        <v>140.952</v>
      </c>
      <c r="O251" s="4">
        <v>805.44</v>
      </c>
    </row>
    <row r="252" spans="2:15">
      <c r="B252" t="s">
        <v>73</v>
      </c>
      <c r="C252" t="s">
        <v>51</v>
      </c>
      <c r="D252" t="s">
        <v>869</v>
      </c>
      <c r="E252" t="s">
        <v>870</v>
      </c>
      <c r="F252" t="s">
        <v>10</v>
      </c>
      <c r="G252" t="s">
        <v>869</v>
      </c>
      <c r="H252" t="s">
        <v>871</v>
      </c>
      <c r="I252" t="s">
        <v>32</v>
      </c>
      <c r="J252">
        <v>0</v>
      </c>
      <c r="K252">
        <v>1</v>
      </c>
      <c r="L252" s="4">
        <v>3.5000000000000001E-3</v>
      </c>
      <c r="M252">
        <v>0.02</v>
      </c>
      <c r="N252" s="4">
        <v>3.5000000000000001E-3</v>
      </c>
      <c r="O252" s="4">
        <v>0.02</v>
      </c>
    </row>
    <row r="253" spans="2:15">
      <c r="B253" t="s">
        <v>73</v>
      </c>
      <c r="C253" t="s">
        <v>51</v>
      </c>
      <c r="D253" t="s">
        <v>159</v>
      </c>
      <c r="E253" t="s">
        <v>160</v>
      </c>
      <c r="F253" t="s">
        <v>10</v>
      </c>
      <c r="G253" t="s">
        <v>159</v>
      </c>
      <c r="H253" t="s">
        <v>161</v>
      </c>
      <c r="I253" t="s">
        <v>32</v>
      </c>
      <c r="J253">
        <v>0</v>
      </c>
      <c r="K253">
        <v>396</v>
      </c>
      <c r="L253" s="4">
        <v>3.5000000000000001E-3</v>
      </c>
      <c r="M253">
        <v>0.02</v>
      </c>
      <c r="N253" s="4">
        <v>1.3860000000000001</v>
      </c>
      <c r="O253" s="4">
        <v>7.92</v>
      </c>
    </row>
    <row r="254" spans="2:15">
      <c r="B254" t="s">
        <v>73</v>
      </c>
      <c r="C254" t="s">
        <v>51</v>
      </c>
      <c r="D254" t="s">
        <v>872</v>
      </c>
      <c r="E254" t="s">
        <v>873</v>
      </c>
      <c r="F254" t="s">
        <v>10</v>
      </c>
      <c r="G254" t="s">
        <v>872</v>
      </c>
      <c r="H254" t="s">
        <v>874</v>
      </c>
      <c r="I254" t="s">
        <v>32</v>
      </c>
      <c r="J254">
        <v>0</v>
      </c>
      <c r="K254">
        <v>1</v>
      </c>
      <c r="L254" s="4">
        <v>3.5000000000000001E-3</v>
      </c>
      <c r="M254">
        <v>0.02</v>
      </c>
      <c r="N254" s="4">
        <v>3.5000000000000001E-3</v>
      </c>
      <c r="O254" s="4">
        <v>0.02</v>
      </c>
    </row>
    <row r="255" spans="2:15">
      <c r="B255" t="s">
        <v>73</v>
      </c>
      <c r="C255" t="s">
        <v>51</v>
      </c>
      <c r="D255" t="s">
        <v>501</v>
      </c>
      <c r="E255" t="s">
        <v>182</v>
      </c>
      <c r="F255" t="s">
        <v>10</v>
      </c>
      <c r="G255" t="s">
        <v>501</v>
      </c>
      <c r="H255" t="s">
        <v>183</v>
      </c>
      <c r="I255" t="s">
        <v>32</v>
      </c>
      <c r="J255">
        <v>0</v>
      </c>
      <c r="K255">
        <v>2</v>
      </c>
      <c r="L255" s="4">
        <v>3.5000000000000001E-3</v>
      </c>
      <c r="M255">
        <v>0.02</v>
      </c>
      <c r="N255" s="4">
        <v>7.0000000000000001E-3</v>
      </c>
      <c r="O255" s="4">
        <v>0.04</v>
      </c>
    </row>
    <row r="256" spans="2:15">
      <c r="B256" t="s">
        <v>73</v>
      </c>
      <c r="C256" t="s">
        <v>51</v>
      </c>
      <c r="D256" t="s">
        <v>875</v>
      </c>
      <c r="E256" t="s">
        <v>876</v>
      </c>
      <c r="F256" t="s">
        <v>10</v>
      </c>
      <c r="G256" t="s">
        <v>875</v>
      </c>
      <c r="H256" t="s">
        <v>877</v>
      </c>
      <c r="I256" t="s">
        <v>32</v>
      </c>
      <c r="J256">
        <v>0</v>
      </c>
      <c r="K256">
        <v>8</v>
      </c>
      <c r="L256" s="4">
        <v>3.5000000000000001E-3</v>
      </c>
      <c r="M256">
        <v>0.02</v>
      </c>
      <c r="N256" s="4">
        <v>2.8000000000000001E-2</v>
      </c>
      <c r="O256" s="4">
        <v>0.16</v>
      </c>
    </row>
    <row r="257" spans="2:15">
      <c r="B257" t="s">
        <v>73</v>
      </c>
      <c r="C257" t="s">
        <v>51</v>
      </c>
      <c r="D257" t="s">
        <v>878</v>
      </c>
      <c r="E257" t="s">
        <v>879</v>
      </c>
      <c r="F257" t="s">
        <v>10</v>
      </c>
      <c r="G257" t="s">
        <v>878</v>
      </c>
      <c r="H257" t="s">
        <v>880</v>
      </c>
      <c r="I257" t="s">
        <v>32</v>
      </c>
      <c r="J257">
        <v>0</v>
      </c>
      <c r="K257">
        <v>1</v>
      </c>
      <c r="L257" s="4">
        <v>3.5000000000000001E-3</v>
      </c>
      <c r="M257">
        <v>0.02</v>
      </c>
      <c r="N257" s="4">
        <v>3.5000000000000001E-3</v>
      </c>
      <c r="O257" s="4">
        <v>0.02</v>
      </c>
    </row>
    <row r="258" spans="2:15">
      <c r="B258" t="s">
        <v>73</v>
      </c>
      <c r="C258" t="s">
        <v>51</v>
      </c>
      <c r="D258" t="s">
        <v>881</v>
      </c>
      <c r="E258" t="s">
        <v>882</v>
      </c>
      <c r="F258" t="s">
        <v>10</v>
      </c>
      <c r="G258" t="s">
        <v>881</v>
      </c>
      <c r="H258" t="s">
        <v>883</v>
      </c>
      <c r="I258" t="s">
        <v>32</v>
      </c>
      <c r="J258">
        <v>0</v>
      </c>
      <c r="K258">
        <v>819</v>
      </c>
      <c r="L258" s="4">
        <v>3.5000000000000001E-3</v>
      </c>
      <c r="M258">
        <v>0.02</v>
      </c>
      <c r="N258" s="4">
        <v>2.8665000000000003</v>
      </c>
      <c r="O258" s="4">
        <v>16.38</v>
      </c>
    </row>
    <row r="259" spans="2:15">
      <c r="B259" t="s">
        <v>73</v>
      </c>
      <c r="C259" t="s">
        <v>51</v>
      </c>
      <c r="D259" t="s">
        <v>884</v>
      </c>
      <c r="E259" t="s">
        <v>885</v>
      </c>
      <c r="F259" t="s">
        <v>10</v>
      </c>
      <c r="G259" t="s">
        <v>884</v>
      </c>
      <c r="H259" t="s">
        <v>886</v>
      </c>
      <c r="I259" t="s">
        <v>32</v>
      </c>
      <c r="J259">
        <v>0</v>
      </c>
      <c r="K259">
        <v>2511</v>
      </c>
      <c r="L259" s="4">
        <v>3.5000000000000001E-3</v>
      </c>
      <c r="M259">
        <v>0.02</v>
      </c>
      <c r="N259" s="4">
        <v>8.7885000000000009</v>
      </c>
      <c r="O259" s="4">
        <v>50.22</v>
      </c>
    </row>
    <row r="260" spans="2:15">
      <c r="B260" t="s">
        <v>73</v>
      </c>
      <c r="C260" t="s">
        <v>51</v>
      </c>
      <c r="D260" t="s">
        <v>887</v>
      </c>
      <c r="E260" t="s">
        <v>888</v>
      </c>
      <c r="F260" t="s">
        <v>10</v>
      </c>
      <c r="G260" t="s">
        <v>887</v>
      </c>
      <c r="H260" t="s">
        <v>889</v>
      </c>
      <c r="I260" t="s">
        <v>32</v>
      </c>
      <c r="J260">
        <v>0</v>
      </c>
      <c r="K260">
        <v>5414</v>
      </c>
      <c r="L260" s="4">
        <v>3.5000000000000001E-3</v>
      </c>
      <c r="M260">
        <v>0.02</v>
      </c>
      <c r="N260" s="4">
        <v>18.949000000000002</v>
      </c>
      <c r="O260" s="4">
        <v>108.28</v>
      </c>
    </row>
    <row r="261" spans="2:15">
      <c r="B261" t="s">
        <v>73</v>
      </c>
      <c r="C261" t="s">
        <v>51</v>
      </c>
      <c r="D261" t="s">
        <v>502</v>
      </c>
      <c r="E261" t="s">
        <v>503</v>
      </c>
      <c r="F261" t="s">
        <v>10</v>
      </c>
      <c r="G261" t="s">
        <v>502</v>
      </c>
      <c r="H261" t="s">
        <v>504</v>
      </c>
      <c r="I261" t="s">
        <v>32</v>
      </c>
      <c r="J261">
        <v>0</v>
      </c>
      <c r="K261">
        <v>60</v>
      </c>
      <c r="L261" s="4">
        <v>3.5000000000000001E-3</v>
      </c>
      <c r="M261">
        <v>0.02</v>
      </c>
      <c r="N261" s="4">
        <v>0.21</v>
      </c>
      <c r="O261" s="4">
        <v>1.2</v>
      </c>
    </row>
    <row r="262" spans="2:15">
      <c r="B262" t="s">
        <v>73</v>
      </c>
      <c r="C262" t="s">
        <v>51</v>
      </c>
      <c r="D262" t="s">
        <v>505</v>
      </c>
      <c r="E262" t="s">
        <v>506</v>
      </c>
      <c r="F262" t="s">
        <v>10</v>
      </c>
      <c r="G262" t="s">
        <v>505</v>
      </c>
      <c r="H262" t="s">
        <v>507</v>
      </c>
      <c r="I262" t="s">
        <v>32</v>
      </c>
      <c r="J262">
        <v>0</v>
      </c>
      <c r="K262">
        <v>285</v>
      </c>
      <c r="L262" s="4">
        <v>3.5000000000000001E-3</v>
      </c>
      <c r="M262">
        <v>0.02</v>
      </c>
      <c r="N262" s="4">
        <v>0.99750000000000005</v>
      </c>
      <c r="O262" s="4">
        <v>5.7</v>
      </c>
    </row>
    <row r="263" spans="2:15">
      <c r="B263" t="s">
        <v>73</v>
      </c>
      <c r="C263" t="s">
        <v>51</v>
      </c>
      <c r="D263" t="s">
        <v>508</v>
      </c>
      <c r="E263" t="s">
        <v>509</v>
      </c>
      <c r="F263" t="s">
        <v>10</v>
      </c>
      <c r="G263" t="s">
        <v>508</v>
      </c>
      <c r="H263" t="s">
        <v>510</v>
      </c>
      <c r="I263" t="s">
        <v>32</v>
      </c>
      <c r="J263">
        <v>0</v>
      </c>
      <c r="K263">
        <v>256</v>
      </c>
      <c r="L263" s="4">
        <v>3.5000000000000001E-3</v>
      </c>
      <c r="M263">
        <v>0.02</v>
      </c>
      <c r="N263" s="4">
        <v>0.89600000000000002</v>
      </c>
      <c r="O263" s="4">
        <v>5.12</v>
      </c>
    </row>
    <row r="264" spans="2:15">
      <c r="B264" t="s">
        <v>73</v>
      </c>
      <c r="C264" t="s">
        <v>51</v>
      </c>
      <c r="D264" t="s">
        <v>890</v>
      </c>
      <c r="E264" t="s">
        <v>891</v>
      </c>
      <c r="F264" t="s">
        <v>10</v>
      </c>
      <c r="G264" t="s">
        <v>890</v>
      </c>
      <c r="H264" t="s">
        <v>892</v>
      </c>
      <c r="I264" t="s">
        <v>32</v>
      </c>
      <c r="J264">
        <v>0</v>
      </c>
      <c r="K264">
        <v>669</v>
      </c>
      <c r="L264" s="4">
        <v>3.5000000000000001E-3</v>
      </c>
      <c r="M264">
        <v>0.02</v>
      </c>
      <c r="N264" s="4">
        <v>2.3414999999999999</v>
      </c>
      <c r="O264" s="4">
        <v>13.38</v>
      </c>
    </row>
    <row r="265" spans="2:15">
      <c r="B265" t="s">
        <v>73</v>
      </c>
      <c r="C265" t="s">
        <v>51</v>
      </c>
      <c r="D265" t="s">
        <v>511</v>
      </c>
      <c r="E265" t="s">
        <v>512</v>
      </c>
      <c r="F265" t="s">
        <v>10</v>
      </c>
      <c r="G265" t="s">
        <v>511</v>
      </c>
      <c r="H265" t="s">
        <v>513</v>
      </c>
      <c r="I265" t="s">
        <v>32</v>
      </c>
      <c r="J265">
        <v>0</v>
      </c>
      <c r="K265">
        <v>1</v>
      </c>
      <c r="L265" s="4">
        <v>3.5000000000000001E-3</v>
      </c>
      <c r="M265">
        <v>0.02</v>
      </c>
      <c r="N265" s="4">
        <v>3.5000000000000001E-3</v>
      </c>
      <c r="O265" s="4">
        <v>0.02</v>
      </c>
    </row>
    <row r="266" spans="2:15">
      <c r="B266" t="s">
        <v>73</v>
      </c>
      <c r="C266" t="s">
        <v>51</v>
      </c>
      <c r="D266" t="s">
        <v>514</v>
      </c>
      <c r="E266" t="s">
        <v>515</v>
      </c>
      <c r="F266" t="s">
        <v>10</v>
      </c>
      <c r="G266" t="s">
        <v>514</v>
      </c>
      <c r="H266" t="s">
        <v>516</v>
      </c>
      <c r="I266" t="s">
        <v>32</v>
      </c>
      <c r="J266">
        <v>0</v>
      </c>
      <c r="K266">
        <v>2059</v>
      </c>
      <c r="L266" s="4">
        <v>3.5000000000000001E-3</v>
      </c>
      <c r="M266">
        <v>0.02</v>
      </c>
      <c r="N266" s="4">
        <v>7.2065000000000001</v>
      </c>
      <c r="O266" s="4">
        <v>41.18</v>
      </c>
    </row>
    <row r="267" spans="2:15">
      <c r="B267" t="s">
        <v>73</v>
      </c>
      <c r="C267" t="s">
        <v>51</v>
      </c>
      <c r="D267" t="s">
        <v>517</v>
      </c>
      <c r="E267" t="s">
        <v>518</v>
      </c>
      <c r="F267" t="s">
        <v>10</v>
      </c>
      <c r="G267" t="s">
        <v>517</v>
      </c>
      <c r="H267" t="s">
        <v>519</v>
      </c>
      <c r="I267" t="s">
        <v>32</v>
      </c>
      <c r="J267">
        <v>0</v>
      </c>
      <c r="K267">
        <v>629</v>
      </c>
      <c r="L267" s="4">
        <v>3.5000000000000001E-3</v>
      </c>
      <c r="M267">
        <v>0.02</v>
      </c>
      <c r="N267" s="4">
        <v>2.2015000000000002</v>
      </c>
      <c r="O267" s="4">
        <v>12.58</v>
      </c>
    </row>
    <row r="268" spans="2:15">
      <c r="B268" t="s">
        <v>73</v>
      </c>
      <c r="C268" t="s">
        <v>51</v>
      </c>
      <c r="D268" t="s">
        <v>520</v>
      </c>
      <c r="E268" t="s">
        <v>521</v>
      </c>
      <c r="F268" t="s">
        <v>10</v>
      </c>
      <c r="G268" t="s">
        <v>520</v>
      </c>
      <c r="H268" t="s">
        <v>522</v>
      </c>
      <c r="I268" t="s">
        <v>32</v>
      </c>
      <c r="J268">
        <v>0</v>
      </c>
      <c r="K268">
        <v>14</v>
      </c>
      <c r="L268" s="4">
        <v>3.5000000000000001E-3</v>
      </c>
      <c r="M268">
        <v>0.02</v>
      </c>
      <c r="N268" s="4">
        <v>4.9000000000000002E-2</v>
      </c>
      <c r="O268" s="4">
        <v>0.28000000000000003</v>
      </c>
    </row>
    <row r="269" spans="2:15">
      <c r="B269" t="s">
        <v>73</v>
      </c>
      <c r="C269" t="s">
        <v>51</v>
      </c>
      <c r="D269" t="s">
        <v>523</v>
      </c>
      <c r="E269" t="s">
        <v>524</v>
      </c>
      <c r="F269" t="s">
        <v>10</v>
      </c>
      <c r="G269" t="s">
        <v>523</v>
      </c>
      <c r="H269" t="s">
        <v>525</v>
      </c>
      <c r="I269" t="s">
        <v>32</v>
      </c>
      <c r="J269">
        <v>0</v>
      </c>
      <c r="K269">
        <v>8</v>
      </c>
      <c r="L269" s="4">
        <v>3.5000000000000001E-3</v>
      </c>
      <c r="M269">
        <v>0.02</v>
      </c>
      <c r="N269" s="4">
        <v>2.8000000000000001E-2</v>
      </c>
      <c r="O269" s="4">
        <v>0.16</v>
      </c>
    </row>
    <row r="270" spans="2:15">
      <c r="B270" t="s">
        <v>73</v>
      </c>
      <c r="C270" t="s">
        <v>51</v>
      </c>
      <c r="D270" t="s">
        <v>893</v>
      </c>
      <c r="E270" t="s">
        <v>894</v>
      </c>
      <c r="F270" t="s">
        <v>10</v>
      </c>
      <c r="G270" t="s">
        <v>893</v>
      </c>
      <c r="H270" t="s">
        <v>895</v>
      </c>
      <c r="I270" t="s">
        <v>32</v>
      </c>
      <c r="J270">
        <v>0</v>
      </c>
      <c r="K270">
        <v>925</v>
      </c>
      <c r="L270" s="4">
        <v>3.5000000000000001E-3</v>
      </c>
      <c r="M270">
        <v>0.02</v>
      </c>
      <c r="N270" s="4">
        <v>3.2375000000000003</v>
      </c>
      <c r="O270" s="4">
        <v>18.5</v>
      </c>
    </row>
    <row r="271" spans="2:15">
      <c r="B271" t="s">
        <v>73</v>
      </c>
      <c r="C271" t="s">
        <v>51</v>
      </c>
      <c r="D271" t="s">
        <v>184</v>
      </c>
      <c r="E271" t="s">
        <v>185</v>
      </c>
      <c r="F271" t="s">
        <v>10</v>
      </c>
      <c r="G271" t="s">
        <v>184</v>
      </c>
      <c r="H271" t="s">
        <v>186</v>
      </c>
      <c r="I271" t="s">
        <v>32</v>
      </c>
      <c r="J271">
        <v>0</v>
      </c>
      <c r="K271">
        <v>1</v>
      </c>
      <c r="L271" s="4">
        <v>3.5000000000000001E-3</v>
      </c>
      <c r="M271">
        <v>0.02</v>
      </c>
      <c r="N271" s="4">
        <v>3.5000000000000001E-3</v>
      </c>
      <c r="O271" s="4">
        <v>0.02</v>
      </c>
    </row>
    <row r="272" spans="2:15">
      <c r="B272" t="s">
        <v>73</v>
      </c>
      <c r="C272" t="s">
        <v>51</v>
      </c>
      <c r="D272" t="s">
        <v>896</v>
      </c>
      <c r="E272" t="s">
        <v>897</v>
      </c>
      <c r="F272" t="s">
        <v>10</v>
      </c>
      <c r="G272" t="s">
        <v>896</v>
      </c>
      <c r="H272" t="s">
        <v>898</v>
      </c>
      <c r="I272" t="s">
        <v>32</v>
      </c>
      <c r="J272">
        <v>0</v>
      </c>
      <c r="K272">
        <v>298</v>
      </c>
      <c r="L272" s="4">
        <v>3.5000000000000001E-3</v>
      </c>
      <c r="M272">
        <v>0.02</v>
      </c>
      <c r="N272" s="4">
        <v>1.0429999999999999</v>
      </c>
      <c r="O272" s="4">
        <v>5.96</v>
      </c>
    </row>
    <row r="273" spans="2:15">
      <c r="B273" t="s">
        <v>73</v>
      </c>
      <c r="C273" t="s">
        <v>51</v>
      </c>
      <c r="D273" t="s">
        <v>899</v>
      </c>
      <c r="E273" t="s">
        <v>900</v>
      </c>
      <c r="F273" t="s">
        <v>10</v>
      </c>
      <c r="G273" t="s">
        <v>899</v>
      </c>
      <c r="H273" t="s">
        <v>901</v>
      </c>
      <c r="I273" t="s">
        <v>32</v>
      </c>
      <c r="J273">
        <v>0</v>
      </c>
      <c r="K273">
        <v>195</v>
      </c>
      <c r="L273" s="4">
        <v>3.5000000000000001E-3</v>
      </c>
      <c r="M273">
        <v>0.02</v>
      </c>
      <c r="N273" s="4">
        <v>0.6825</v>
      </c>
      <c r="O273" s="4">
        <v>3.9</v>
      </c>
    </row>
    <row r="274" spans="2:15">
      <c r="B274" t="s">
        <v>73</v>
      </c>
      <c r="C274" t="s">
        <v>51</v>
      </c>
      <c r="D274" t="s">
        <v>902</v>
      </c>
      <c r="E274" t="s">
        <v>903</v>
      </c>
      <c r="F274" t="s">
        <v>10</v>
      </c>
      <c r="G274" t="s">
        <v>902</v>
      </c>
      <c r="H274" t="s">
        <v>904</v>
      </c>
      <c r="I274" t="s">
        <v>32</v>
      </c>
      <c r="J274">
        <v>0</v>
      </c>
      <c r="K274">
        <v>4859</v>
      </c>
      <c r="L274" s="4">
        <v>3.5000000000000001E-3</v>
      </c>
      <c r="M274">
        <v>0.02</v>
      </c>
      <c r="N274" s="4">
        <v>17.006499999999999</v>
      </c>
      <c r="O274" s="4">
        <v>97.18</v>
      </c>
    </row>
    <row r="275" spans="2:15">
      <c r="B275" t="s">
        <v>73</v>
      </c>
      <c r="C275" t="s">
        <v>51</v>
      </c>
      <c r="D275" t="s">
        <v>905</v>
      </c>
      <c r="E275" t="s">
        <v>906</v>
      </c>
      <c r="F275" t="s">
        <v>10</v>
      </c>
      <c r="G275" t="s">
        <v>905</v>
      </c>
      <c r="H275" t="s">
        <v>907</v>
      </c>
      <c r="I275" t="s">
        <v>32</v>
      </c>
      <c r="J275">
        <v>0</v>
      </c>
      <c r="K275">
        <v>1313</v>
      </c>
      <c r="L275" s="4">
        <v>3.5000000000000001E-3</v>
      </c>
      <c r="M275">
        <v>0.02</v>
      </c>
      <c r="N275" s="4">
        <v>4.5955000000000004</v>
      </c>
      <c r="O275" s="4">
        <v>26.26</v>
      </c>
    </row>
    <row r="276" spans="2:15">
      <c r="B276" t="s">
        <v>75</v>
      </c>
      <c r="C276" t="s">
        <v>50</v>
      </c>
      <c r="D276" t="s">
        <v>526</v>
      </c>
      <c r="E276" t="s">
        <v>527</v>
      </c>
      <c r="F276" t="s">
        <v>10</v>
      </c>
      <c r="G276" t="s">
        <v>526</v>
      </c>
      <c r="H276" t="s">
        <v>528</v>
      </c>
      <c r="I276" t="s">
        <v>32</v>
      </c>
      <c r="J276">
        <v>0</v>
      </c>
      <c r="K276">
        <v>3714</v>
      </c>
      <c r="L276" s="4">
        <v>3.5000000000000001E-3</v>
      </c>
      <c r="M276">
        <v>0.02</v>
      </c>
      <c r="N276" s="4">
        <v>12.999000000000001</v>
      </c>
      <c r="O276" s="4">
        <v>74.28</v>
      </c>
    </row>
    <row r="277" spans="2:15">
      <c r="B277" t="s">
        <v>75</v>
      </c>
      <c r="C277" t="s">
        <v>50</v>
      </c>
      <c r="D277" t="s">
        <v>529</v>
      </c>
      <c r="E277" t="s">
        <v>530</v>
      </c>
      <c r="F277" t="s">
        <v>10</v>
      </c>
      <c r="G277" t="s">
        <v>529</v>
      </c>
      <c r="H277" t="s">
        <v>531</v>
      </c>
      <c r="I277" t="s">
        <v>32</v>
      </c>
      <c r="J277">
        <v>0</v>
      </c>
      <c r="K277">
        <v>8910</v>
      </c>
      <c r="L277" s="4">
        <v>3.5000000000000001E-3</v>
      </c>
      <c r="M277">
        <v>0.02</v>
      </c>
      <c r="N277" s="4">
        <v>31.185000000000002</v>
      </c>
      <c r="O277" s="4">
        <v>178.20000000000002</v>
      </c>
    </row>
    <row r="278" spans="2:15">
      <c r="B278" t="s">
        <v>75</v>
      </c>
      <c r="C278" t="s">
        <v>50</v>
      </c>
      <c r="D278" t="s">
        <v>908</v>
      </c>
      <c r="E278" t="s">
        <v>909</v>
      </c>
      <c r="F278" t="s">
        <v>10</v>
      </c>
      <c r="G278" t="s">
        <v>908</v>
      </c>
      <c r="H278" t="s">
        <v>910</v>
      </c>
      <c r="I278" t="s">
        <v>32</v>
      </c>
      <c r="J278">
        <v>0</v>
      </c>
      <c r="K278">
        <v>1</v>
      </c>
      <c r="L278" s="4">
        <v>3.5000000000000001E-3</v>
      </c>
      <c r="M278">
        <v>0.02</v>
      </c>
      <c r="N278" s="4">
        <v>3.5000000000000001E-3</v>
      </c>
      <c r="O278" s="4">
        <v>0.02</v>
      </c>
    </row>
    <row r="279" spans="2:15">
      <c r="B279" t="s">
        <v>75</v>
      </c>
      <c r="C279" t="s">
        <v>50</v>
      </c>
      <c r="D279" t="s">
        <v>187</v>
      </c>
      <c r="E279" t="s">
        <v>188</v>
      </c>
      <c r="F279" t="s">
        <v>10</v>
      </c>
      <c r="G279" t="s">
        <v>187</v>
      </c>
      <c r="H279" t="s">
        <v>189</v>
      </c>
      <c r="I279" t="s">
        <v>32</v>
      </c>
      <c r="J279">
        <v>0</v>
      </c>
      <c r="K279">
        <v>4</v>
      </c>
      <c r="L279" s="4">
        <v>3.5000000000000001E-3</v>
      </c>
      <c r="M279">
        <v>0.02</v>
      </c>
      <c r="N279" s="4">
        <v>1.4E-2</v>
      </c>
      <c r="O279" s="4">
        <v>0.08</v>
      </c>
    </row>
    <row r="280" spans="2:15">
      <c r="B280" t="s">
        <v>75</v>
      </c>
      <c r="C280" t="s">
        <v>50</v>
      </c>
      <c r="D280" t="s">
        <v>190</v>
      </c>
      <c r="E280" t="s">
        <v>191</v>
      </c>
      <c r="F280" t="s">
        <v>10</v>
      </c>
      <c r="G280" t="s">
        <v>190</v>
      </c>
      <c r="H280" t="s">
        <v>192</v>
      </c>
      <c r="I280" t="s">
        <v>32</v>
      </c>
      <c r="J280">
        <v>0</v>
      </c>
      <c r="K280">
        <v>1</v>
      </c>
      <c r="L280" s="4">
        <v>3.5000000000000001E-3</v>
      </c>
      <c r="M280">
        <v>0.02</v>
      </c>
      <c r="N280" s="4">
        <v>3.5000000000000001E-3</v>
      </c>
      <c r="O280" s="4">
        <v>0.02</v>
      </c>
    </row>
    <row r="281" spans="2:15">
      <c r="B281" t="s">
        <v>75</v>
      </c>
      <c r="C281" t="s">
        <v>50</v>
      </c>
      <c r="D281" t="s">
        <v>193</v>
      </c>
      <c r="E281" t="s">
        <v>194</v>
      </c>
      <c r="F281" t="s">
        <v>10</v>
      </c>
      <c r="G281" t="s">
        <v>193</v>
      </c>
      <c r="H281" t="s">
        <v>195</v>
      </c>
      <c r="I281" t="s">
        <v>32</v>
      </c>
      <c r="J281">
        <v>0</v>
      </c>
      <c r="K281">
        <v>4</v>
      </c>
      <c r="L281" s="4">
        <v>3.5000000000000001E-3</v>
      </c>
      <c r="M281">
        <v>0.02</v>
      </c>
      <c r="N281" s="4">
        <v>1.4E-2</v>
      </c>
      <c r="O281" s="4">
        <v>0.08</v>
      </c>
    </row>
    <row r="282" spans="2:15">
      <c r="B282" t="s">
        <v>75</v>
      </c>
      <c r="C282" t="s">
        <v>50</v>
      </c>
      <c r="D282" t="s">
        <v>196</v>
      </c>
      <c r="E282" t="s">
        <v>197</v>
      </c>
      <c r="F282" t="s">
        <v>10</v>
      </c>
      <c r="G282" t="s">
        <v>196</v>
      </c>
      <c r="H282" t="s">
        <v>198</v>
      </c>
      <c r="I282" t="s">
        <v>32</v>
      </c>
      <c r="J282">
        <v>0</v>
      </c>
      <c r="K282">
        <v>1</v>
      </c>
      <c r="L282" s="4">
        <v>3.5000000000000001E-3</v>
      </c>
      <c r="M282">
        <v>0.02</v>
      </c>
      <c r="N282" s="4">
        <v>3.5000000000000001E-3</v>
      </c>
      <c r="O282" s="4">
        <v>0.02</v>
      </c>
    </row>
    <row r="283" spans="2:15">
      <c r="B283" t="s">
        <v>75</v>
      </c>
      <c r="C283" t="s">
        <v>50</v>
      </c>
      <c r="D283" t="s">
        <v>199</v>
      </c>
      <c r="E283" t="s">
        <v>200</v>
      </c>
      <c r="F283" t="s">
        <v>10</v>
      </c>
      <c r="G283" t="s">
        <v>199</v>
      </c>
      <c r="H283" t="s">
        <v>201</v>
      </c>
      <c r="I283" t="s">
        <v>32</v>
      </c>
      <c r="J283">
        <v>0</v>
      </c>
      <c r="K283">
        <v>1</v>
      </c>
      <c r="L283" s="4">
        <v>3.5000000000000001E-3</v>
      </c>
      <c r="M283">
        <v>0.02</v>
      </c>
      <c r="N283" s="4">
        <v>3.5000000000000001E-3</v>
      </c>
      <c r="O283" s="4">
        <v>0.02</v>
      </c>
    </row>
    <row r="284" spans="2:15">
      <c r="B284" t="s">
        <v>75</v>
      </c>
      <c r="C284" t="s">
        <v>50</v>
      </c>
      <c r="D284" t="s">
        <v>202</v>
      </c>
      <c r="E284" t="s">
        <v>203</v>
      </c>
      <c r="F284" t="s">
        <v>10</v>
      </c>
      <c r="G284" t="s">
        <v>202</v>
      </c>
      <c r="H284" t="s">
        <v>204</v>
      </c>
      <c r="I284" t="s">
        <v>32</v>
      </c>
      <c r="J284">
        <v>0</v>
      </c>
      <c r="K284">
        <v>1</v>
      </c>
      <c r="L284" s="4">
        <v>3.5000000000000001E-3</v>
      </c>
      <c r="M284">
        <v>0.02</v>
      </c>
      <c r="N284" s="4">
        <v>3.5000000000000001E-3</v>
      </c>
      <c r="O284" s="4">
        <v>0.02</v>
      </c>
    </row>
    <row r="285" spans="2:15">
      <c r="B285" t="s">
        <v>75</v>
      </c>
      <c r="C285" t="s">
        <v>50</v>
      </c>
      <c r="D285" t="s">
        <v>205</v>
      </c>
      <c r="E285" t="s">
        <v>206</v>
      </c>
      <c r="F285" t="s">
        <v>10</v>
      </c>
      <c r="G285" t="s">
        <v>205</v>
      </c>
      <c r="H285" t="s">
        <v>207</v>
      </c>
      <c r="I285" t="s">
        <v>32</v>
      </c>
      <c r="J285">
        <v>0</v>
      </c>
      <c r="K285">
        <v>53</v>
      </c>
      <c r="L285" s="4">
        <v>3.5000000000000001E-3</v>
      </c>
      <c r="M285">
        <v>0.02</v>
      </c>
      <c r="N285" s="4">
        <v>0.1855</v>
      </c>
      <c r="O285" s="4">
        <v>1.06</v>
      </c>
    </row>
    <row r="286" spans="2:15">
      <c r="B286" t="s">
        <v>75</v>
      </c>
      <c r="C286" t="s">
        <v>50</v>
      </c>
      <c r="D286" t="s">
        <v>208</v>
      </c>
      <c r="E286" t="s">
        <v>209</v>
      </c>
      <c r="F286" t="s">
        <v>10</v>
      </c>
      <c r="G286" t="s">
        <v>208</v>
      </c>
      <c r="H286" t="s">
        <v>210</v>
      </c>
      <c r="I286" t="s">
        <v>32</v>
      </c>
      <c r="J286">
        <v>0</v>
      </c>
      <c r="K286">
        <v>35</v>
      </c>
      <c r="L286" s="4">
        <v>3.5000000000000001E-3</v>
      </c>
      <c r="M286">
        <v>0.02</v>
      </c>
      <c r="N286" s="4">
        <v>0.1225</v>
      </c>
      <c r="O286" s="4">
        <v>0.70000000000000007</v>
      </c>
    </row>
    <row r="287" spans="2:15">
      <c r="B287" t="s">
        <v>75</v>
      </c>
      <c r="C287" t="s">
        <v>50</v>
      </c>
      <c r="D287" t="s">
        <v>211</v>
      </c>
      <c r="E287" t="s">
        <v>212</v>
      </c>
      <c r="F287" t="s">
        <v>10</v>
      </c>
      <c r="G287" t="s">
        <v>211</v>
      </c>
      <c r="H287" t="s">
        <v>213</v>
      </c>
      <c r="I287" t="s">
        <v>32</v>
      </c>
      <c r="J287">
        <v>0</v>
      </c>
      <c r="K287">
        <v>8</v>
      </c>
      <c r="L287" s="4">
        <v>3.5000000000000001E-3</v>
      </c>
      <c r="M287">
        <v>0.02</v>
      </c>
      <c r="N287" s="4">
        <v>2.8000000000000001E-2</v>
      </c>
      <c r="O287" s="4">
        <v>0.16</v>
      </c>
    </row>
    <row r="288" spans="2:15">
      <c r="B288" t="s">
        <v>75</v>
      </c>
      <c r="C288" t="s">
        <v>50</v>
      </c>
      <c r="D288" t="s">
        <v>214</v>
      </c>
      <c r="E288" t="s">
        <v>215</v>
      </c>
      <c r="F288" t="s">
        <v>10</v>
      </c>
      <c r="G288" t="s">
        <v>214</v>
      </c>
      <c r="H288" t="s">
        <v>216</v>
      </c>
      <c r="I288" t="s">
        <v>32</v>
      </c>
      <c r="J288">
        <v>0</v>
      </c>
      <c r="K288">
        <v>4</v>
      </c>
      <c r="L288" s="4">
        <v>3.5000000000000001E-3</v>
      </c>
      <c r="M288">
        <v>0.02</v>
      </c>
      <c r="N288" s="4">
        <v>1.4E-2</v>
      </c>
      <c r="O288" s="4">
        <v>0.08</v>
      </c>
    </row>
    <row r="289" spans="2:15">
      <c r="B289" t="s">
        <v>75</v>
      </c>
      <c r="C289" t="s">
        <v>50</v>
      </c>
      <c r="D289" t="s">
        <v>217</v>
      </c>
      <c r="E289" t="s">
        <v>218</v>
      </c>
      <c r="F289" t="s">
        <v>10</v>
      </c>
      <c r="G289" t="s">
        <v>217</v>
      </c>
      <c r="H289" t="s">
        <v>219</v>
      </c>
      <c r="I289" t="s">
        <v>32</v>
      </c>
      <c r="J289">
        <v>0</v>
      </c>
      <c r="K289">
        <v>10</v>
      </c>
      <c r="L289" s="4">
        <v>3.5000000000000001E-3</v>
      </c>
      <c r="M289">
        <v>0.02</v>
      </c>
      <c r="N289" s="4">
        <v>3.5000000000000003E-2</v>
      </c>
      <c r="O289" s="4">
        <v>0.2</v>
      </c>
    </row>
    <row r="290" spans="2:15">
      <c r="B290" t="s">
        <v>75</v>
      </c>
      <c r="C290" t="s">
        <v>50</v>
      </c>
      <c r="D290" t="s">
        <v>220</v>
      </c>
      <c r="E290" t="s">
        <v>221</v>
      </c>
      <c r="F290" t="s">
        <v>10</v>
      </c>
      <c r="G290" t="s">
        <v>220</v>
      </c>
      <c r="H290" t="s">
        <v>222</v>
      </c>
      <c r="I290" t="s">
        <v>32</v>
      </c>
      <c r="J290">
        <v>0</v>
      </c>
      <c r="K290">
        <v>37</v>
      </c>
      <c r="L290" s="4">
        <v>3.5000000000000001E-3</v>
      </c>
      <c r="M290">
        <v>0.02</v>
      </c>
      <c r="N290" s="4">
        <v>0.1295</v>
      </c>
      <c r="O290" s="4">
        <v>0.74</v>
      </c>
    </row>
    <row r="291" spans="2:15">
      <c r="B291" t="s">
        <v>75</v>
      </c>
      <c r="C291" t="s">
        <v>50</v>
      </c>
      <c r="D291" t="s">
        <v>76</v>
      </c>
      <c r="E291" t="s">
        <v>77</v>
      </c>
      <c r="F291" t="s">
        <v>10</v>
      </c>
      <c r="G291" t="s">
        <v>76</v>
      </c>
      <c r="H291" t="s">
        <v>78</v>
      </c>
      <c r="I291" t="s">
        <v>32</v>
      </c>
      <c r="J291">
        <v>0</v>
      </c>
      <c r="K291">
        <v>1</v>
      </c>
      <c r="L291" s="4">
        <v>3.5000000000000001E-3</v>
      </c>
      <c r="M291">
        <v>0.02</v>
      </c>
      <c r="N291" s="4">
        <v>3.5000000000000001E-3</v>
      </c>
      <c r="O291" s="4">
        <v>0.02</v>
      </c>
    </row>
    <row r="292" spans="2:15">
      <c r="B292" t="s">
        <v>75</v>
      </c>
      <c r="C292" t="s">
        <v>50</v>
      </c>
      <c r="D292" t="s">
        <v>223</v>
      </c>
      <c r="E292" t="s">
        <v>224</v>
      </c>
      <c r="F292" t="s">
        <v>10</v>
      </c>
      <c r="G292" t="s">
        <v>223</v>
      </c>
      <c r="H292" t="s">
        <v>225</v>
      </c>
      <c r="I292" t="s">
        <v>32</v>
      </c>
      <c r="J292">
        <v>0</v>
      </c>
      <c r="K292">
        <v>4</v>
      </c>
      <c r="L292" s="4">
        <v>3.5000000000000001E-3</v>
      </c>
      <c r="M292">
        <v>0.02</v>
      </c>
      <c r="N292" s="4">
        <v>1.4E-2</v>
      </c>
      <c r="O292" s="4">
        <v>0.08</v>
      </c>
    </row>
    <row r="293" spans="2:15">
      <c r="B293" t="s">
        <v>75</v>
      </c>
      <c r="C293" t="s">
        <v>50</v>
      </c>
      <c r="D293" t="s">
        <v>226</v>
      </c>
      <c r="E293" t="s">
        <v>227</v>
      </c>
      <c r="F293" t="s">
        <v>10</v>
      </c>
      <c r="G293" t="s">
        <v>226</v>
      </c>
      <c r="H293" t="s">
        <v>228</v>
      </c>
      <c r="I293" t="s">
        <v>32</v>
      </c>
      <c r="J293">
        <v>0</v>
      </c>
      <c r="K293">
        <v>6</v>
      </c>
      <c r="L293" s="4">
        <v>3.5000000000000001E-3</v>
      </c>
      <c r="M293">
        <v>0.02</v>
      </c>
      <c r="N293" s="4">
        <v>2.1000000000000001E-2</v>
      </c>
      <c r="O293" s="4">
        <v>0.12</v>
      </c>
    </row>
    <row r="294" spans="2:15">
      <c r="B294" t="s">
        <v>75</v>
      </c>
      <c r="C294" t="s">
        <v>50</v>
      </c>
      <c r="D294" t="s">
        <v>229</v>
      </c>
      <c r="E294" t="s">
        <v>230</v>
      </c>
      <c r="F294" t="s">
        <v>10</v>
      </c>
      <c r="G294" t="s">
        <v>229</v>
      </c>
      <c r="H294" t="s">
        <v>231</v>
      </c>
      <c r="I294" t="s">
        <v>32</v>
      </c>
      <c r="J294">
        <v>0</v>
      </c>
      <c r="K294">
        <v>12</v>
      </c>
      <c r="L294" s="4">
        <v>3.5000000000000001E-3</v>
      </c>
      <c r="M294">
        <v>0.02</v>
      </c>
      <c r="N294" s="4">
        <v>4.2000000000000003E-2</v>
      </c>
      <c r="O294" s="4">
        <v>0.24</v>
      </c>
    </row>
    <row r="295" spans="2:15">
      <c r="B295" t="s">
        <v>75</v>
      </c>
      <c r="C295" t="s">
        <v>50</v>
      </c>
      <c r="D295" t="s">
        <v>232</v>
      </c>
      <c r="E295" t="s">
        <v>233</v>
      </c>
      <c r="F295" t="s">
        <v>10</v>
      </c>
      <c r="G295" t="s">
        <v>232</v>
      </c>
      <c r="H295" t="s">
        <v>234</v>
      </c>
      <c r="I295" t="s">
        <v>32</v>
      </c>
      <c r="J295">
        <v>0</v>
      </c>
      <c r="K295">
        <v>9</v>
      </c>
      <c r="L295" s="4">
        <v>3.5000000000000001E-3</v>
      </c>
      <c r="M295">
        <v>0.02</v>
      </c>
      <c r="N295" s="4">
        <v>3.15E-2</v>
      </c>
      <c r="O295" s="4">
        <v>0.18</v>
      </c>
    </row>
    <row r="296" spans="2:15">
      <c r="B296" t="s">
        <v>75</v>
      </c>
      <c r="C296" t="s">
        <v>50</v>
      </c>
      <c r="D296" t="s">
        <v>235</v>
      </c>
      <c r="E296" t="s">
        <v>236</v>
      </c>
      <c r="F296" t="s">
        <v>10</v>
      </c>
      <c r="G296" t="s">
        <v>235</v>
      </c>
      <c r="H296" t="s">
        <v>237</v>
      </c>
      <c r="I296" t="s">
        <v>32</v>
      </c>
      <c r="J296">
        <v>0</v>
      </c>
      <c r="K296">
        <v>23</v>
      </c>
      <c r="L296" s="4">
        <v>3.5000000000000001E-3</v>
      </c>
      <c r="M296">
        <v>0.02</v>
      </c>
      <c r="N296" s="4">
        <v>8.0500000000000002E-2</v>
      </c>
      <c r="O296" s="4">
        <v>0.46</v>
      </c>
    </row>
    <row r="297" spans="2:15">
      <c r="B297" t="s">
        <v>75</v>
      </c>
      <c r="C297" t="s">
        <v>50</v>
      </c>
      <c r="D297" t="s">
        <v>238</v>
      </c>
      <c r="E297" t="s">
        <v>239</v>
      </c>
      <c r="F297" t="s">
        <v>10</v>
      </c>
      <c r="G297" t="s">
        <v>238</v>
      </c>
      <c r="H297" t="s">
        <v>240</v>
      </c>
      <c r="I297" t="s">
        <v>32</v>
      </c>
      <c r="J297">
        <v>0</v>
      </c>
      <c r="K297">
        <v>42</v>
      </c>
      <c r="L297" s="4">
        <v>3.5000000000000001E-3</v>
      </c>
      <c r="M297">
        <v>0.02</v>
      </c>
      <c r="N297" s="4">
        <v>0.14699999999999999</v>
      </c>
      <c r="O297" s="4">
        <v>0.84</v>
      </c>
    </row>
    <row r="298" spans="2:15">
      <c r="B298" t="s">
        <v>75</v>
      </c>
      <c r="C298" t="s">
        <v>242</v>
      </c>
      <c r="D298" t="s">
        <v>532</v>
      </c>
      <c r="E298" t="s">
        <v>533</v>
      </c>
      <c r="F298" t="s">
        <v>10</v>
      </c>
      <c r="G298" t="s">
        <v>532</v>
      </c>
      <c r="H298" t="s">
        <v>534</v>
      </c>
      <c r="I298" t="s">
        <v>32</v>
      </c>
      <c r="J298">
        <v>9630392</v>
      </c>
      <c r="K298">
        <v>79061</v>
      </c>
      <c r="L298" s="4">
        <v>3.5000000000000001E-3</v>
      </c>
      <c r="M298">
        <v>0.02</v>
      </c>
      <c r="N298" s="4">
        <v>276.71350000000001</v>
      </c>
      <c r="O298" s="4">
        <v>1581.22</v>
      </c>
    </row>
    <row r="299" spans="2:15">
      <c r="B299" t="s">
        <v>75</v>
      </c>
      <c r="C299" t="s">
        <v>49</v>
      </c>
      <c r="D299" t="s">
        <v>911</v>
      </c>
      <c r="E299" t="s">
        <v>912</v>
      </c>
      <c r="F299" t="s">
        <v>12</v>
      </c>
      <c r="G299" t="s">
        <v>911</v>
      </c>
      <c r="H299" t="s">
        <v>913</v>
      </c>
      <c r="I299" t="s">
        <v>31</v>
      </c>
      <c r="J299">
        <v>1</v>
      </c>
      <c r="K299">
        <v>0</v>
      </c>
      <c r="L299" s="4">
        <v>3.8199999999999998E-2</v>
      </c>
      <c r="M299">
        <v>0.09</v>
      </c>
      <c r="N299" s="4">
        <v>3.82E-5</v>
      </c>
      <c r="O299" s="4">
        <v>8.9999999999999992E-5</v>
      </c>
    </row>
    <row r="300" spans="2:15">
      <c r="B300" t="s">
        <v>75</v>
      </c>
      <c r="C300" t="s">
        <v>49</v>
      </c>
      <c r="D300" t="s">
        <v>914</v>
      </c>
      <c r="E300" t="s">
        <v>915</v>
      </c>
      <c r="F300" t="s">
        <v>12</v>
      </c>
      <c r="G300" t="s">
        <v>914</v>
      </c>
      <c r="H300" t="s">
        <v>916</v>
      </c>
      <c r="I300" t="s">
        <v>31</v>
      </c>
      <c r="J300">
        <v>1</v>
      </c>
      <c r="K300">
        <v>0</v>
      </c>
      <c r="L300" s="4">
        <v>3.8199999999999998E-2</v>
      </c>
      <c r="M300">
        <v>0.09</v>
      </c>
      <c r="N300" s="4">
        <v>3.82E-5</v>
      </c>
      <c r="O300" s="4">
        <v>8.9999999999999992E-5</v>
      </c>
    </row>
    <row r="301" spans="2:15">
      <c r="B301" t="s">
        <v>75</v>
      </c>
      <c r="C301" t="s">
        <v>49</v>
      </c>
      <c r="D301" t="s">
        <v>917</v>
      </c>
      <c r="E301" t="s">
        <v>918</v>
      </c>
      <c r="F301" t="s">
        <v>12</v>
      </c>
      <c r="G301" t="s">
        <v>917</v>
      </c>
      <c r="H301" t="s">
        <v>919</v>
      </c>
      <c r="I301" t="s">
        <v>31</v>
      </c>
      <c r="J301">
        <v>1</v>
      </c>
      <c r="K301">
        <v>0</v>
      </c>
      <c r="L301" s="4">
        <v>3.8199999999999998E-2</v>
      </c>
      <c r="M301">
        <v>0.09</v>
      </c>
      <c r="N301" s="4">
        <v>3.82E-5</v>
      </c>
      <c r="O301" s="4">
        <v>8.9999999999999992E-5</v>
      </c>
    </row>
    <row r="302" spans="2:15">
      <c r="B302" t="s">
        <v>75</v>
      </c>
      <c r="C302" t="s">
        <v>49</v>
      </c>
      <c r="D302" t="s">
        <v>920</v>
      </c>
      <c r="E302" t="s">
        <v>921</v>
      </c>
      <c r="F302" t="s">
        <v>12</v>
      </c>
      <c r="G302" t="s">
        <v>920</v>
      </c>
      <c r="H302" t="s">
        <v>922</v>
      </c>
      <c r="I302" t="s">
        <v>31</v>
      </c>
      <c r="J302">
        <v>1</v>
      </c>
      <c r="K302">
        <v>0</v>
      </c>
      <c r="L302" s="4">
        <v>3.8199999999999998E-2</v>
      </c>
      <c r="M302">
        <v>0.09</v>
      </c>
      <c r="N302" s="4">
        <v>3.82E-5</v>
      </c>
      <c r="O302" s="4">
        <v>8.9999999999999992E-5</v>
      </c>
    </row>
    <row r="303" spans="2:15">
      <c r="B303" t="s">
        <v>75</v>
      </c>
      <c r="C303" t="s">
        <v>49</v>
      </c>
      <c r="D303" t="s">
        <v>923</v>
      </c>
      <c r="E303" t="s">
        <v>924</v>
      </c>
      <c r="F303" t="s">
        <v>12</v>
      </c>
      <c r="G303" t="s">
        <v>923</v>
      </c>
      <c r="H303" t="s">
        <v>925</v>
      </c>
      <c r="I303" t="s">
        <v>31</v>
      </c>
      <c r="J303">
        <v>1</v>
      </c>
      <c r="K303">
        <v>0</v>
      </c>
      <c r="L303" s="4">
        <v>3.8199999999999998E-2</v>
      </c>
      <c r="M303">
        <v>0.09</v>
      </c>
      <c r="N303" s="4">
        <v>3.82E-5</v>
      </c>
      <c r="O303" s="4">
        <v>8.9999999999999992E-5</v>
      </c>
    </row>
    <row r="304" spans="2:15">
      <c r="B304" t="s">
        <v>75</v>
      </c>
      <c r="C304" t="s">
        <v>49</v>
      </c>
      <c r="D304" t="s">
        <v>926</v>
      </c>
      <c r="E304" t="s">
        <v>927</v>
      </c>
      <c r="F304" t="s">
        <v>12</v>
      </c>
      <c r="G304" t="s">
        <v>926</v>
      </c>
      <c r="H304" t="s">
        <v>928</v>
      </c>
      <c r="I304" t="s">
        <v>31</v>
      </c>
      <c r="J304">
        <v>1</v>
      </c>
      <c r="K304">
        <v>0</v>
      </c>
      <c r="L304" s="4">
        <v>3.8199999999999998E-2</v>
      </c>
      <c r="M304">
        <v>0.09</v>
      </c>
      <c r="N304" s="4">
        <v>3.82E-5</v>
      </c>
      <c r="O304" s="4">
        <v>8.9999999999999992E-5</v>
      </c>
    </row>
    <row r="305" spans="2:15">
      <c r="B305" t="s">
        <v>75</v>
      </c>
      <c r="C305" t="s">
        <v>49</v>
      </c>
      <c r="D305" t="s">
        <v>929</v>
      </c>
      <c r="E305" t="s">
        <v>930</v>
      </c>
      <c r="F305" t="s">
        <v>12</v>
      </c>
      <c r="G305" t="s">
        <v>929</v>
      </c>
      <c r="H305" t="s">
        <v>931</v>
      </c>
      <c r="I305" t="s">
        <v>31</v>
      </c>
      <c r="J305">
        <v>1</v>
      </c>
      <c r="K305">
        <v>0</v>
      </c>
      <c r="L305" s="4">
        <v>3.8199999999999998E-2</v>
      </c>
      <c r="M305">
        <v>0.09</v>
      </c>
      <c r="N305" s="4">
        <v>3.82E-5</v>
      </c>
      <c r="O305" s="4">
        <v>8.9999999999999992E-5</v>
      </c>
    </row>
    <row r="306" spans="2:15">
      <c r="B306" t="s">
        <v>75</v>
      </c>
      <c r="C306" t="s">
        <v>49</v>
      </c>
      <c r="D306" t="s">
        <v>932</v>
      </c>
      <c r="E306" t="s">
        <v>933</v>
      </c>
      <c r="F306" t="s">
        <v>12</v>
      </c>
      <c r="G306" t="s">
        <v>932</v>
      </c>
      <c r="H306" t="s">
        <v>934</v>
      </c>
      <c r="I306" t="s">
        <v>31</v>
      </c>
      <c r="J306">
        <v>1</v>
      </c>
      <c r="K306">
        <v>0</v>
      </c>
      <c r="L306" s="4">
        <v>3.8199999999999998E-2</v>
      </c>
      <c r="M306">
        <v>0.09</v>
      </c>
      <c r="N306" s="4">
        <v>3.82E-5</v>
      </c>
      <c r="O306" s="4">
        <v>8.9999999999999992E-5</v>
      </c>
    </row>
    <row r="307" spans="2:15">
      <c r="B307" t="s">
        <v>75</v>
      </c>
      <c r="C307" t="s">
        <v>49</v>
      </c>
      <c r="D307" t="s">
        <v>935</v>
      </c>
      <c r="E307" t="s">
        <v>936</v>
      </c>
      <c r="F307" t="s">
        <v>12</v>
      </c>
      <c r="G307" t="s">
        <v>935</v>
      </c>
      <c r="H307" t="s">
        <v>937</v>
      </c>
      <c r="I307" t="s">
        <v>31</v>
      </c>
      <c r="J307">
        <v>1</v>
      </c>
      <c r="K307">
        <v>0</v>
      </c>
      <c r="L307" s="4">
        <v>3.8199999999999998E-2</v>
      </c>
      <c r="M307">
        <v>0.09</v>
      </c>
      <c r="N307" s="4">
        <v>3.82E-5</v>
      </c>
      <c r="O307" s="4">
        <v>8.9999999999999992E-5</v>
      </c>
    </row>
    <row r="308" spans="2:15">
      <c r="B308" t="s">
        <v>75</v>
      </c>
      <c r="C308" t="s">
        <v>49</v>
      </c>
      <c r="D308" t="s">
        <v>938</v>
      </c>
      <c r="E308" t="s">
        <v>939</v>
      </c>
      <c r="F308" t="s">
        <v>12</v>
      </c>
      <c r="G308" t="s">
        <v>938</v>
      </c>
      <c r="H308" t="s">
        <v>940</v>
      </c>
      <c r="I308" t="s">
        <v>31</v>
      </c>
      <c r="J308">
        <v>1</v>
      </c>
      <c r="K308">
        <v>0</v>
      </c>
      <c r="L308" s="4">
        <v>3.8199999999999998E-2</v>
      </c>
      <c r="M308">
        <v>0.09</v>
      </c>
      <c r="N308" s="4">
        <v>3.82E-5</v>
      </c>
      <c r="O308" s="4">
        <v>8.9999999999999992E-5</v>
      </c>
    </row>
    <row r="309" spans="2:15">
      <c r="B309" t="s">
        <v>75</v>
      </c>
      <c r="C309" t="s">
        <v>49</v>
      </c>
      <c r="D309" t="s">
        <v>535</v>
      </c>
      <c r="E309" t="s">
        <v>536</v>
      </c>
      <c r="F309" t="s">
        <v>30</v>
      </c>
      <c r="G309" t="s">
        <v>535</v>
      </c>
      <c r="H309" t="s">
        <v>537</v>
      </c>
      <c r="I309" t="s">
        <v>245</v>
      </c>
      <c r="J309">
        <v>4160445</v>
      </c>
      <c r="K309">
        <v>15517</v>
      </c>
      <c r="L309" s="4">
        <v>0.6</v>
      </c>
      <c r="M309">
        <v>0.35</v>
      </c>
      <c r="N309" s="4">
        <v>2496.2669999999998</v>
      </c>
      <c r="O309" s="4">
        <v>1456.1557499999999</v>
      </c>
    </row>
    <row r="310" spans="2:15">
      <c r="B310" t="s">
        <v>75</v>
      </c>
      <c r="C310" t="s">
        <v>538</v>
      </c>
      <c r="D310" t="s">
        <v>539</v>
      </c>
      <c r="E310" t="s">
        <v>540</v>
      </c>
      <c r="F310" t="s">
        <v>30</v>
      </c>
      <c r="G310" t="s">
        <v>539</v>
      </c>
      <c r="H310" t="s">
        <v>541</v>
      </c>
      <c r="I310" t="s">
        <v>245</v>
      </c>
      <c r="J310">
        <v>65</v>
      </c>
      <c r="K310">
        <v>84</v>
      </c>
      <c r="L310" s="4">
        <v>0.6</v>
      </c>
      <c r="M310">
        <v>0.35</v>
      </c>
      <c r="N310" s="4">
        <v>3.9E-2</v>
      </c>
      <c r="O310" s="4">
        <v>2.2749999999999999E-2</v>
      </c>
    </row>
    <row r="311" spans="2:15">
      <c r="B311" t="s">
        <v>75</v>
      </c>
      <c r="C311" t="s">
        <v>538</v>
      </c>
      <c r="D311" t="s">
        <v>941</v>
      </c>
      <c r="E311" t="s">
        <v>942</v>
      </c>
      <c r="F311" t="s">
        <v>10</v>
      </c>
      <c r="G311" t="s">
        <v>941</v>
      </c>
      <c r="H311" t="s">
        <v>943</v>
      </c>
      <c r="I311" t="s">
        <v>32</v>
      </c>
      <c r="J311">
        <v>0</v>
      </c>
      <c r="K311">
        <v>1</v>
      </c>
      <c r="L311" s="4">
        <v>3.5000000000000001E-3</v>
      </c>
      <c r="M311">
        <v>0.02</v>
      </c>
      <c r="N311" s="4">
        <v>3.5000000000000001E-3</v>
      </c>
      <c r="O311" s="4">
        <v>0.02</v>
      </c>
    </row>
    <row r="312" spans="2:15">
      <c r="B312" t="s">
        <v>75</v>
      </c>
      <c r="C312" t="s">
        <v>538</v>
      </c>
      <c r="D312" t="s">
        <v>944</v>
      </c>
      <c r="E312" t="s">
        <v>945</v>
      </c>
      <c r="F312" t="s">
        <v>10</v>
      </c>
      <c r="G312" t="s">
        <v>944</v>
      </c>
      <c r="H312" t="s">
        <v>946</v>
      </c>
      <c r="I312" t="s">
        <v>32</v>
      </c>
      <c r="J312">
        <v>0</v>
      </c>
      <c r="K312">
        <v>1</v>
      </c>
      <c r="L312" s="4">
        <v>3.5000000000000001E-3</v>
      </c>
      <c r="M312">
        <v>0.02</v>
      </c>
      <c r="N312" s="4">
        <v>3.5000000000000001E-3</v>
      </c>
      <c r="O312" s="4">
        <v>0.02</v>
      </c>
    </row>
    <row r="313" spans="2:15">
      <c r="B313" t="s">
        <v>75</v>
      </c>
      <c r="C313" t="s">
        <v>947</v>
      </c>
      <c r="D313" t="s">
        <v>948</v>
      </c>
      <c r="E313" t="s">
        <v>949</v>
      </c>
      <c r="F313" t="s">
        <v>10</v>
      </c>
      <c r="G313" t="s">
        <v>948</v>
      </c>
      <c r="H313" t="s">
        <v>950</v>
      </c>
      <c r="I313" t="s">
        <v>32</v>
      </c>
      <c r="J313">
        <v>0</v>
      </c>
      <c r="K313">
        <v>1</v>
      </c>
      <c r="L313" s="4">
        <v>3.5000000000000001E-3</v>
      </c>
      <c r="M313">
        <v>0.02</v>
      </c>
      <c r="N313" s="4">
        <v>3.5000000000000001E-3</v>
      </c>
      <c r="O313" s="4">
        <v>0.02</v>
      </c>
    </row>
    <row r="314" spans="2:15">
      <c r="B314" t="s">
        <v>79</v>
      </c>
      <c r="C314" t="s">
        <v>50</v>
      </c>
      <c r="D314" t="s">
        <v>951</v>
      </c>
      <c r="E314" t="s">
        <v>952</v>
      </c>
      <c r="F314" t="s">
        <v>10</v>
      </c>
      <c r="G314" t="s">
        <v>951</v>
      </c>
      <c r="H314" t="s">
        <v>953</v>
      </c>
      <c r="I314" t="s">
        <v>32</v>
      </c>
      <c r="J314">
        <v>0</v>
      </c>
      <c r="K314">
        <v>1</v>
      </c>
      <c r="L314" s="4">
        <v>3.5000000000000001E-3</v>
      </c>
      <c r="M314">
        <v>0.02</v>
      </c>
      <c r="N314" s="4">
        <v>3.5000000000000001E-3</v>
      </c>
      <c r="O314" s="4">
        <v>0.02</v>
      </c>
    </row>
    <row r="315" spans="2:15">
      <c r="B315" t="s">
        <v>79</v>
      </c>
      <c r="C315" t="s">
        <v>50</v>
      </c>
      <c r="D315" t="s">
        <v>954</v>
      </c>
      <c r="E315" t="s">
        <v>955</v>
      </c>
      <c r="F315" t="s">
        <v>10</v>
      </c>
      <c r="G315" t="s">
        <v>954</v>
      </c>
      <c r="H315" t="s">
        <v>956</v>
      </c>
      <c r="I315" t="s">
        <v>32</v>
      </c>
      <c r="J315">
        <v>0</v>
      </c>
      <c r="K315">
        <v>454</v>
      </c>
      <c r="L315" s="4">
        <v>3.5000000000000001E-3</v>
      </c>
      <c r="M315">
        <v>0.02</v>
      </c>
      <c r="N315" s="4">
        <v>1.589</v>
      </c>
      <c r="O315" s="4">
        <v>9.08</v>
      </c>
    </row>
    <row r="316" spans="2:15">
      <c r="B316" t="s">
        <v>79</v>
      </c>
      <c r="C316" t="s">
        <v>50</v>
      </c>
      <c r="D316" t="s">
        <v>957</v>
      </c>
      <c r="E316" t="s">
        <v>958</v>
      </c>
      <c r="F316" t="s">
        <v>10</v>
      </c>
      <c r="G316" t="s">
        <v>957</v>
      </c>
      <c r="H316" t="s">
        <v>959</v>
      </c>
      <c r="I316" t="s">
        <v>32</v>
      </c>
      <c r="J316">
        <v>0</v>
      </c>
      <c r="K316">
        <v>16155</v>
      </c>
      <c r="L316" s="4">
        <v>3.5000000000000001E-3</v>
      </c>
      <c r="M316">
        <v>0.02</v>
      </c>
      <c r="N316" s="4">
        <v>56.542500000000004</v>
      </c>
      <c r="O316" s="4">
        <v>323.10000000000002</v>
      </c>
    </row>
    <row r="317" spans="2:15">
      <c r="B317" t="s">
        <v>79</v>
      </c>
      <c r="C317" t="s">
        <v>50</v>
      </c>
      <c r="D317" t="s">
        <v>960</v>
      </c>
      <c r="E317" t="s">
        <v>961</v>
      </c>
      <c r="F317" t="s">
        <v>10</v>
      </c>
      <c r="G317" t="s">
        <v>960</v>
      </c>
      <c r="H317" t="s">
        <v>962</v>
      </c>
      <c r="I317" t="s">
        <v>32</v>
      </c>
      <c r="J317">
        <v>0</v>
      </c>
      <c r="K317">
        <v>959</v>
      </c>
      <c r="L317" s="4">
        <v>3.5000000000000001E-3</v>
      </c>
      <c r="M317">
        <v>0.02</v>
      </c>
      <c r="N317" s="4">
        <v>3.3565</v>
      </c>
      <c r="O317" s="4">
        <v>19.18</v>
      </c>
    </row>
    <row r="318" spans="2:15">
      <c r="B318" t="s">
        <v>79</v>
      </c>
      <c r="C318" t="s">
        <v>50</v>
      </c>
      <c r="D318" t="s">
        <v>963</v>
      </c>
      <c r="E318" t="s">
        <v>964</v>
      </c>
      <c r="F318" t="s">
        <v>10</v>
      </c>
      <c r="G318" t="s">
        <v>963</v>
      </c>
      <c r="H318" t="s">
        <v>965</v>
      </c>
      <c r="I318" t="s">
        <v>32</v>
      </c>
      <c r="J318">
        <v>0</v>
      </c>
      <c r="K318">
        <v>2338</v>
      </c>
      <c r="L318" s="4">
        <v>3.5000000000000001E-3</v>
      </c>
      <c r="M318">
        <v>0.02</v>
      </c>
      <c r="N318" s="4">
        <v>8.1829999999999998</v>
      </c>
      <c r="O318" s="4">
        <v>46.76</v>
      </c>
    </row>
    <row r="319" spans="2:15">
      <c r="B319" t="s">
        <v>79</v>
      </c>
      <c r="C319" t="s">
        <v>50</v>
      </c>
      <c r="D319" t="s">
        <v>542</v>
      </c>
      <c r="E319" t="s">
        <v>543</v>
      </c>
      <c r="F319" t="s">
        <v>10</v>
      </c>
      <c r="G319" t="s">
        <v>542</v>
      </c>
      <c r="H319" t="s">
        <v>544</v>
      </c>
      <c r="I319" t="s">
        <v>32</v>
      </c>
      <c r="J319">
        <v>0</v>
      </c>
      <c r="K319">
        <v>6</v>
      </c>
      <c r="L319" s="4">
        <v>3.5000000000000001E-3</v>
      </c>
      <c r="M319">
        <v>0.02</v>
      </c>
      <c r="N319" s="4">
        <v>2.1000000000000001E-2</v>
      </c>
      <c r="O319" s="4">
        <v>0.12</v>
      </c>
    </row>
    <row r="320" spans="2:15">
      <c r="B320" t="s">
        <v>79</v>
      </c>
      <c r="C320" t="s">
        <v>50</v>
      </c>
      <c r="D320" t="s">
        <v>545</v>
      </c>
      <c r="E320" t="s">
        <v>546</v>
      </c>
      <c r="F320" t="s">
        <v>10</v>
      </c>
      <c r="G320" t="s">
        <v>545</v>
      </c>
      <c r="H320" t="s">
        <v>547</v>
      </c>
      <c r="I320" t="s">
        <v>32</v>
      </c>
      <c r="J320">
        <v>0</v>
      </c>
      <c r="K320">
        <v>34</v>
      </c>
      <c r="L320" s="4">
        <v>3.5000000000000001E-3</v>
      </c>
      <c r="M320">
        <v>0.02</v>
      </c>
      <c r="N320" s="4">
        <v>0.11900000000000001</v>
      </c>
      <c r="O320" s="4">
        <v>0.68</v>
      </c>
    </row>
    <row r="321" spans="2:15">
      <c r="B321" t="s">
        <v>79</v>
      </c>
      <c r="C321" t="s">
        <v>50</v>
      </c>
      <c r="D321" t="s">
        <v>966</v>
      </c>
      <c r="E321" t="s">
        <v>967</v>
      </c>
      <c r="F321" t="s">
        <v>10</v>
      </c>
      <c r="G321" t="s">
        <v>966</v>
      </c>
      <c r="H321" t="s">
        <v>968</v>
      </c>
      <c r="I321" t="s">
        <v>32</v>
      </c>
      <c r="J321">
        <v>0</v>
      </c>
      <c r="K321">
        <v>1764</v>
      </c>
      <c r="L321" s="4">
        <v>3.5000000000000001E-3</v>
      </c>
      <c r="M321">
        <v>0.02</v>
      </c>
      <c r="N321" s="4">
        <v>6.1740000000000004</v>
      </c>
      <c r="O321" s="4">
        <v>35.28</v>
      </c>
    </row>
    <row r="322" spans="2:15">
      <c r="B322" t="s">
        <v>79</v>
      </c>
      <c r="C322" t="s">
        <v>50</v>
      </c>
      <c r="D322" t="s">
        <v>969</v>
      </c>
      <c r="E322" t="s">
        <v>970</v>
      </c>
      <c r="F322" t="s">
        <v>10</v>
      </c>
      <c r="G322" t="s">
        <v>969</v>
      </c>
      <c r="H322" t="s">
        <v>971</v>
      </c>
      <c r="I322" t="s">
        <v>32</v>
      </c>
      <c r="J322">
        <v>0</v>
      </c>
      <c r="K322">
        <v>2</v>
      </c>
      <c r="L322" s="4">
        <v>3.5000000000000001E-3</v>
      </c>
      <c r="M322">
        <v>0.02</v>
      </c>
      <c r="N322" s="4">
        <v>7.0000000000000001E-3</v>
      </c>
      <c r="O322" s="4">
        <v>0.04</v>
      </c>
    </row>
    <row r="323" spans="2:15">
      <c r="B323" t="s">
        <v>79</v>
      </c>
      <c r="C323" t="s">
        <v>50</v>
      </c>
      <c r="D323" t="s">
        <v>972</v>
      </c>
      <c r="E323" t="s">
        <v>973</v>
      </c>
      <c r="F323" t="s">
        <v>10</v>
      </c>
      <c r="G323" t="s">
        <v>972</v>
      </c>
      <c r="H323" t="s">
        <v>974</v>
      </c>
      <c r="I323" t="s">
        <v>32</v>
      </c>
      <c r="J323">
        <v>0</v>
      </c>
      <c r="K323">
        <v>3</v>
      </c>
      <c r="L323" s="4">
        <v>3.5000000000000001E-3</v>
      </c>
      <c r="M323">
        <v>0.02</v>
      </c>
      <c r="N323" s="4">
        <v>1.0500000000000001E-2</v>
      </c>
      <c r="O323" s="4">
        <v>0.06</v>
      </c>
    </row>
    <row r="324" spans="2:15">
      <c r="B324" t="s">
        <v>79</v>
      </c>
      <c r="C324" t="s">
        <v>50</v>
      </c>
      <c r="D324" t="s">
        <v>975</v>
      </c>
      <c r="E324" t="s">
        <v>976</v>
      </c>
      <c r="F324" t="s">
        <v>10</v>
      </c>
      <c r="G324" t="s">
        <v>975</v>
      </c>
      <c r="H324" t="s">
        <v>977</v>
      </c>
      <c r="I324" t="s">
        <v>32</v>
      </c>
      <c r="J324">
        <v>0</v>
      </c>
      <c r="K324">
        <v>4899</v>
      </c>
      <c r="L324" s="4">
        <v>3.5000000000000001E-3</v>
      </c>
      <c r="M324">
        <v>0.02</v>
      </c>
      <c r="N324" s="4">
        <v>17.1465</v>
      </c>
      <c r="O324" s="4">
        <v>97.98</v>
      </c>
    </row>
    <row r="325" spans="2:15">
      <c r="B325" t="s">
        <v>79</v>
      </c>
      <c r="C325" t="s">
        <v>50</v>
      </c>
      <c r="D325" t="s">
        <v>978</v>
      </c>
      <c r="E325" t="s">
        <v>979</v>
      </c>
      <c r="F325" t="s">
        <v>10</v>
      </c>
      <c r="G325" t="s">
        <v>978</v>
      </c>
      <c r="H325" t="s">
        <v>980</v>
      </c>
      <c r="I325" t="s">
        <v>32</v>
      </c>
      <c r="J325">
        <v>0</v>
      </c>
      <c r="K325">
        <v>4295</v>
      </c>
      <c r="L325" s="4">
        <v>3.5000000000000001E-3</v>
      </c>
      <c r="M325">
        <v>0.02</v>
      </c>
      <c r="N325" s="4">
        <v>15.032500000000001</v>
      </c>
      <c r="O325" s="4">
        <v>85.9</v>
      </c>
    </row>
    <row r="326" spans="2:15">
      <c r="B326" t="s">
        <v>79</v>
      </c>
      <c r="C326" t="s">
        <v>50</v>
      </c>
      <c r="D326" t="s">
        <v>981</v>
      </c>
      <c r="E326" t="s">
        <v>982</v>
      </c>
      <c r="F326" t="s">
        <v>10</v>
      </c>
      <c r="G326" t="s">
        <v>981</v>
      </c>
      <c r="H326" t="s">
        <v>983</v>
      </c>
      <c r="I326" t="s">
        <v>32</v>
      </c>
      <c r="J326">
        <v>0</v>
      </c>
      <c r="K326">
        <v>4296</v>
      </c>
      <c r="L326" s="4">
        <v>3.5000000000000001E-3</v>
      </c>
      <c r="M326">
        <v>0.02</v>
      </c>
      <c r="N326" s="4">
        <v>15.036</v>
      </c>
      <c r="O326" s="4">
        <v>85.92</v>
      </c>
    </row>
    <row r="327" spans="2:15">
      <c r="B327" t="s">
        <v>79</v>
      </c>
      <c r="C327" t="s">
        <v>50</v>
      </c>
      <c r="D327" t="s">
        <v>984</v>
      </c>
      <c r="E327" t="s">
        <v>985</v>
      </c>
      <c r="F327" t="s">
        <v>10</v>
      </c>
      <c r="G327" t="s">
        <v>984</v>
      </c>
      <c r="H327" t="s">
        <v>986</v>
      </c>
      <c r="I327" t="s">
        <v>32</v>
      </c>
      <c r="J327">
        <v>0</v>
      </c>
      <c r="K327">
        <v>7415</v>
      </c>
      <c r="L327" s="4">
        <v>3.5000000000000001E-3</v>
      </c>
      <c r="M327">
        <v>0.02</v>
      </c>
      <c r="N327" s="4">
        <v>25.952500000000001</v>
      </c>
      <c r="O327" s="4">
        <v>148.30000000000001</v>
      </c>
    </row>
    <row r="328" spans="2:15">
      <c r="B328" t="s">
        <v>79</v>
      </c>
      <c r="C328" t="s">
        <v>50</v>
      </c>
      <c r="D328" t="s">
        <v>548</v>
      </c>
      <c r="E328" t="s">
        <v>549</v>
      </c>
      <c r="F328" t="s">
        <v>10</v>
      </c>
      <c r="G328" t="s">
        <v>548</v>
      </c>
      <c r="H328" t="s">
        <v>550</v>
      </c>
      <c r="I328" t="s">
        <v>32</v>
      </c>
      <c r="J328">
        <v>0</v>
      </c>
      <c r="K328">
        <v>50</v>
      </c>
      <c r="L328" s="4">
        <v>3.5000000000000001E-3</v>
      </c>
      <c r="M328">
        <v>0.02</v>
      </c>
      <c r="N328" s="4">
        <v>0.17500000000000002</v>
      </c>
      <c r="O328" s="4">
        <v>1</v>
      </c>
    </row>
    <row r="329" spans="2:15">
      <c r="B329" t="s">
        <v>79</v>
      </c>
      <c r="C329" t="s">
        <v>49</v>
      </c>
      <c r="D329" t="s">
        <v>987</v>
      </c>
      <c r="E329" t="s">
        <v>988</v>
      </c>
      <c r="F329" t="s">
        <v>12</v>
      </c>
      <c r="G329" t="s">
        <v>987</v>
      </c>
      <c r="H329" t="s">
        <v>989</v>
      </c>
      <c r="I329" t="s">
        <v>31</v>
      </c>
      <c r="J329">
        <v>58423</v>
      </c>
      <c r="K329">
        <v>17</v>
      </c>
      <c r="L329" s="4">
        <v>3.8199999999999998E-2</v>
      </c>
      <c r="M329">
        <v>0.09</v>
      </c>
      <c r="N329" s="4">
        <v>2.2317585999999996</v>
      </c>
      <c r="O329" s="4">
        <v>5.25807</v>
      </c>
    </row>
    <row r="330" spans="2:15">
      <c r="B330" t="s">
        <v>79</v>
      </c>
      <c r="C330" t="s">
        <v>49</v>
      </c>
      <c r="D330" t="s">
        <v>990</v>
      </c>
      <c r="E330" t="s">
        <v>991</v>
      </c>
      <c r="F330" t="s">
        <v>12</v>
      </c>
      <c r="G330" t="s">
        <v>990</v>
      </c>
      <c r="H330" t="s">
        <v>992</v>
      </c>
      <c r="I330" t="s">
        <v>31</v>
      </c>
      <c r="J330">
        <v>158762</v>
      </c>
      <c r="K330">
        <v>94</v>
      </c>
      <c r="L330" s="4">
        <v>3.8199999999999998E-2</v>
      </c>
      <c r="M330">
        <v>0.09</v>
      </c>
      <c r="N330" s="4">
        <v>6.0647083999999998</v>
      </c>
      <c r="O330" s="4">
        <v>14.28858</v>
      </c>
    </row>
    <row r="331" spans="2:15">
      <c r="B331" t="s">
        <v>79</v>
      </c>
      <c r="C331" t="s">
        <v>49</v>
      </c>
      <c r="D331" t="s">
        <v>993</v>
      </c>
      <c r="E331" t="s">
        <v>994</v>
      </c>
      <c r="F331" t="s">
        <v>12</v>
      </c>
      <c r="G331" t="s">
        <v>993</v>
      </c>
      <c r="H331" t="s">
        <v>995</v>
      </c>
      <c r="I331" t="s">
        <v>31</v>
      </c>
      <c r="J331">
        <v>1</v>
      </c>
      <c r="K331">
        <v>0</v>
      </c>
      <c r="L331" s="4">
        <v>3.8199999999999998E-2</v>
      </c>
      <c r="M331">
        <v>0.09</v>
      </c>
      <c r="N331" s="4">
        <v>3.82E-5</v>
      </c>
      <c r="O331" s="4">
        <v>8.9999999999999992E-5</v>
      </c>
    </row>
    <row r="332" spans="2:15">
      <c r="B332" t="s">
        <v>79</v>
      </c>
      <c r="C332" t="s">
        <v>49</v>
      </c>
      <c r="D332" t="s">
        <v>996</v>
      </c>
      <c r="E332" t="s">
        <v>997</v>
      </c>
      <c r="F332" t="s">
        <v>12</v>
      </c>
      <c r="G332" t="s">
        <v>996</v>
      </c>
      <c r="H332" t="s">
        <v>998</v>
      </c>
      <c r="I332" t="s">
        <v>31</v>
      </c>
      <c r="J332">
        <v>1</v>
      </c>
      <c r="K332">
        <v>0</v>
      </c>
      <c r="L332" s="4">
        <v>3.8199999999999998E-2</v>
      </c>
      <c r="M332">
        <v>0.09</v>
      </c>
      <c r="N332" s="4">
        <v>3.82E-5</v>
      </c>
      <c r="O332" s="4">
        <v>8.9999999999999992E-5</v>
      </c>
    </row>
    <row r="333" spans="2:15">
      <c r="B333" t="s">
        <v>79</v>
      </c>
      <c r="C333" t="s">
        <v>49</v>
      </c>
      <c r="D333" t="s">
        <v>999</v>
      </c>
      <c r="E333" t="s">
        <v>1000</v>
      </c>
      <c r="F333" t="s">
        <v>12</v>
      </c>
      <c r="G333" t="s">
        <v>999</v>
      </c>
      <c r="H333" t="s">
        <v>1001</v>
      </c>
      <c r="I333" t="s">
        <v>31</v>
      </c>
      <c r="J333">
        <v>57217</v>
      </c>
      <c r="K333">
        <v>12</v>
      </c>
      <c r="L333" s="4">
        <v>3.8199999999999998E-2</v>
      </c>
      <c r="M333">
        <v>0.09</v>
      </c>
      <c r="N333" s="4">
        <v>2.1856893999999998</v>
      </c>
      <c r="O333" s="4">
        <v>5.1495299999999995</v>
      </c>
    </row>
    <row r="334" spans="2:15">
      <c r="B334" t="s">
        <v>79</v>
      </c>
      <c r="C334" t="s">
        <v>49</v>
      </c>
      <c r="D334" t="s">
        <v>1002</v>
      </c>
      <c r="E334" t="s">
        <v>1003</v>
      </c>
      <c r="F334" t="s">
        <v>12</v>
      </c>
      <c r="G334" t="s">
        <v>1002</v>
      </c>
      <c r="H334" t="s">
        <v>1004</v>
      </c>
      <c r="I334" t="s">
        <v>31</v>
      </c>
      <c r="J334">
        <v>165446</v>
      </c>
      <c r="K334">
        <v>123</v>
      </c>
      <c r="L334" s="4">
        <v>3.8199999999999998E-2</v>
      </c>
      <c r="M334">
        <v>0.09</v>
      </c>
      <c r="N334" s="4">
        <v>6.3200371999999998</v>
      </c>
      <c r="O334" s="4">
        <v>14.890139999999999</v>
      </c>
    </row>
    <row r="335" spans="2:15">
      <c r="B335" t="s">
        <v>79</v>
      </c>
      <c r="C335" t="s">
        <v>49</v>
      </c>
      <c r="D335" t="s">
        <v>1005</v>
      </c>
      <c r="E335" t="s">
        <v>1006</v>
      </c>
      <c r="F335" t="s">
        <v>12</v>
      </c>
      <c r="G335" t="s">
        <v>1005</v>
      </c>
      <c r="H335" t="s">
        <v>1007</v>
      </c>
      <c r="I335" t="s">
        <v>31</v>
      </c>
      <c r="J335">
        <v>1</v>
      </c>
      <c r="K335">
        <v>0</v>
      </c>
      <c r="L335" s="4">
        <v>3.8199999999999998E-2</v>
      </c>
      <c r="M335">
        <v>0.09</v>
      </c>
      <c r="N335" s="4">
        <v>3.82E-5</v>
      </c>
      <c r="O335" s="4">
        <v>8.9999999999999992E-5</v>
      </c>
    </row>
    <row r="336" spans="2:15">
      <c r="B336" t="s">
        <v>79</v>
      </c>
      <c r="C336" t="s">
        <v>49</v>
      </c>
      <c r="D336" t="s">
        <v>1008</v>
      </c>
      <c r="E336" t="s">
        <v>1009</v>
      </c>
      <c r="F336" t="s">
        <v>12</v>
      </c>
      <c r="G336" t="s">
        <v>1008</v>
      </c>
      <c r="H336" t="s">
        <v>1010</v>
      </c>
      <c r="I336" t="s">
        <v>31</v>
      </c>
      <c r="J336">
        <v>1</v>
      </c>
      <c r="K336">
        <v>0</v>
      </c>
      <c r="L336" s="4">
        <v>3.8199999999999998E-2</v>
      </c>
      <c r="M336">
        <v>0.09</v>
      </c>
      <c r="N336" s="4">
        <v>3.82E-5</v>
      </c>
      <c r="O336" s="4">
        <v>8.9999999999999992E-5</v>
      </c>
    </row>
    <row r="337" spans="2:15">
      <c r="B337" t="s">
        <v>79</v>
      </c>
      <c r="C337" t="s">
        <v>49</v>
      </c>
      <c r="D337" t="s">
        <v>80</v>
      </c>
      <c r="E337" t="s">
        <v>81</v>
      </c>
      <c r="F337" t="s">
        <v>12</v>
      </c>
      <c r="G337" t="s">
        <v>80</v>
      </c>
      <c r="H337" t="s">
        <v>82</v>
      </c>
      <c r="I337" t="s">
        <v>31</v>
      </c>
      <c r="J337">
        <v>300</v>
      </c>
      <c r="K337">
        <v>22</v>
      </c>
      <c r="L337" s="4">
        <v>3.8199999999999998E-2</v>
      </c>
      <c r="M337">
        <v>0.09</v>
      </c>
      <c r="N337" s="4">
        <v>1.146E-2</v>
      </c>
      <c r="O337" s="4">
        <v>2.7E-2</v>
      </c>
    </row>
    <row r="338" spans="2:15">
      <c r="B338" t="s">
        <v>79</v>
      </c>
      <c r="C338" t="s">
        <v>49</v>
      </c>
      <c r="D338" t="s">
        <v>1011</v>
      </c>
      <c r="E338" t="s">
        <v>1012</v>
      </c>
      <c r="F338" t="s">
        <v>12</v>
      </c>
      <c r="G338" t="s">
        <v>1011</v>
      </c>
      <c r="H338" t="s">
        <v>1013</v>
      </c>
      <c r="I338" t="s">
        <v>31</v>
      </c>
      <c r="J338">
        <v>12190</v>
      </c>
      <c r="K338">
        <v>11</v>
      </c>
      <c r="L338" s="4">
        <v>3.8199999999999998E-2</v>
      </c>
      <c r="M338">
        <v>0.09</v>
      </c>
      <c r="N338" s="4">
        <v>0.46565799999999996</v>
      </c>
      <c r="O338" s="4">
        <v>1.0971</v>
      </c>
    </row>
    <row r="339" spans="2:15">
      <c r="B339" t="s">
        <v>79</v>
      </c>
      <c r="C339" t="s">
        <v>49</v>
      </c>
      <c r="D339" t="s">
        <v>1014</v>
      </c>
      <c r="E339" t="s">
        <v>1015</v>
      </c>
      <c r="F339" t="s">
        <v>12</v>
      </c>
      <c r="G339" t="s">
        <v>1014</v>
      </c>
      <c r="H339" t="s">
        <v>1016</v>
      </c>
      <c r="I339" t="s">
        <v>31</v>
      </c>
      <c r="J339">
        <v>241964</v>
      </c>
      <c r="K339">
        <v>104</v>
      </c>
      <c r="L339" s="4">
        <v>3.8199999999999998E-2</v>
      </c>
      <c r="M339">
        <v>0.09</v>
      </c>
      <c r="N339" s="4">
        <v>9.2430247999999988</v>
      </c>
      <c r="O339" s="4">
        <v>21.776759999999999</v>
      </c>
    </row>
    <row r="340" spans="2:15">
      <c r="B340" t="s">
        <v>79</v>
      </c>
      <c r="C340" t="s">
        <v>49</v>
      </c>
      <c r="D340" t="s">
        <v>1017</v>
      </c>
      <c r="E340" t="s">
        <v>1018</v>
      </c>
      <c r="F340" t="s">
        <v>12</v>
      </c>
      <c r="G340" t="s">
        <v>1017</v>
      </c>
      <c r="H340" t="s">
        <v>1019</v>
      </c>
      <c r="I340" t="s">
        <v>31</v>
      </c>
      <c r="J340">
        <v>51255</v>
      </c>
      <c r="K340">
        <v>35</v>
      </c>
      <c r="L340" s="4">
        <v>3.8199999999999998E-2</v>
      </c>
      <c r="M340">
        <v>0.09</v>
      </c>
      <c r="N340" s="4">
        <v>1.9579409999999997</v>
      </c>
      <c r="O340" s="4">
        <v>4.6129499999999997</v>
      </c>
    </row>
    <row r="341" spans="2:15">
      <c r="B341" t="s">
        <v>79</v>
      </c>
      <c r="C341" t="s">
        <v>49</v>
      </c>
      <c r="D341" t="s">
        <v>1020</v>
      </c>
      <c r="E341" t="s">
        <v>1021</v>
      </c>
      <c r="F341" t="s">
        <v>12</v>
      </c>
      <c r="G341" t="s">
        <v>1020</v>
      </c>
      <c r="H341" t="s">
        <v>1022</v>
      </c>
      <c r="I341" t="s">
        <v>31</v>
      </c>
      <c r="J341">
        <v>24221</v>
      </c>
      <c r="K341">
        <v>16</v>
      </c>
      <c r="L341" s="4">
        <v>3.8199999999999998E-2</v>
      </c>
      <c r="M341">
        <v>0.09</v>
      </c>
      <c r="N341" s="4">
        <v>0.9252421999999999</v>
      </c>
      <c r="O341" s="4">
        <v>2.1798899999999999</v>
      </c>
    </row>
    <row r="342" spans="2:15">
      <c r="B342" t="s">
        <v>79</v>
      </c>
      <c r="C342" t="s">
        <v>49</v>
      </c>
      <c r="D342" t="s">
        <v>1023</v>
      </c>
      <c r="E342" t="s">
        <v>1024</v>
      </c>
      <c r="F342" t="s">
        <v>12</v>
      </c>
      <c r="G342" t="s">
        <v>1023</v>
      </c>
      <c r="H342" t="s">
        <v>1025</v>
      </c>
      <c r="I342" t="s">
        <v>31</v>
      </c>
      <c r="J342">
        <v>14380</v>
      </c>
      <c r="K342">
        <v>7</v>
      </c>
      <c r="L342" s="4">
        <v>3.8199999999999998E-2</v>
      </c>
      <c r="M342">
        <v>0.09</v>
      </c>
      <c r="N342" s="4">
        <v>0.54931599999999992</v>
      </c>
      <c r="O342" s="4">
        <v>1.2942</v>
      </c>
    </row>
    <row r="343" spans="2:15">
      <c r="B343" t="s">
        <v>79</v>
      </c>
      <c r="C343" t="s">
        <v>49</v>
      </c>
      <c r="D343" t="s">
        <v>1026</v>
      </c>
      <c r="E343" t="s">
        <v>1027</v>
      </c>
      <c r="F343" t="s">
        <v>12</v>
      </c>
      <c r="G343" t="s">
        <v>1026</v>
      </c>
      <c r="H343" t="s">
        <v>1028</v>
      </c>
      <c r="I343" t="s">
        <v>31</v>
      </c>
      <c r="J343">
        <v>5525</v>
      </c>
      <c r="K343">
        <v>4</v>
      </c>
      <c r="L343" s="4">
        <v>3.8199999999999998E-2</v>
      </c>
      <c r="M343">
        <v>0.09</v>
      </c>
      <c r="N343" s="4">
        <v>0.21105499999999996</v>
      </c>
      <c r="O343" s="4">
        <v>0.49725000000000003</v>
      </c>
    </row>
    <row r="344" spans="2:15">
      <c r="B344" t="s">
        <v>79</v>
      </c>
      <c r="C344" t="s">
        <v>49</v>
      </c>
      <c r="D344" t="s">
        <v>1029</v>
      </c>
      <c r="E344" t="s">
        <v>1030</v>
      </c>
      <c r="F344" t="s">
        <v>12</v>
      </c>
      <c r="G344" t="s">
        <v>1029</v>
      </c>
      <c r="H344" t="s">
        <v>1031</v>
      </c>
      <c r="I344" t="s">
        <v>31</v>
      </c>
      <c r="J344">
        <v>132810</v>
      </c>
      <c r="K344">
        <v>71</v>
      </c>
      <c r="L344" s="4">
        <v>3.8199999999999998E-2</v>
      </c>
      <c r="M344">
        <v>0.09</v>
      </c>
      <c r="N344" s="4">
        <v>5.0733419999999994</v>
      </c>
      <c r="O344" s="4">
        <v>11.9529</v>
      </c>
    </row>
    <row r="345" spans="2:15">
      <c r="B345" t="s">
        <v>79</v>
      </c>
      <c r="C345" t="s">
        <v>49</v>
      </c>
      <c r="D345" t="s">
        <v>1032</v>
      </c>
      <c r="E345" t="s">
        <v>1033</v>
      </c>
      <c r="F345" t="s">
        <v>12</v>
      </c>
      <c r="G345" t="s">
        <v>1032</v>
      </c>
      <c r="H345" t="s">
        <v>1034</v>
      </c>
      <c r="I345" t="s">
        <v>31</v>
      </c>
      <c r="J345">
        <v>34278</v>
      </c>
      <c r="K345">
        <v>20</v>
      </c>
      <c r="L345" s="4">
        <v>3.8199999999999998E-2</v>
      </c>
      <c r="M345">
        <v>0.09</v>
      </c>
      <c r="N345" s="4">
        <v>1.3094196</v>
      </c>
      <c r="O345" s="4">
        <v>3.0850200000000001</v>
      </c>
    </row>
    <row r="346" spans="2:15">
      <c r="B346" t="s">
        <v>79</v>
      </c>
      <c r="C346" t="s">
        <v>49</v>
      </c>
      <c r="D346" t="s">
        <v>1035</v>
      </c>
      <c r="E346" t="s">
        <v>1036</v>
      </c>
      <c r="F346" t="s">
        <v>12</v>
      </c>
      <c r="G346" t="s">
        <v>1035</v>
      </c>
      <c r="H346" t="s">
        <v>1037</v>
      </c>
      <c r="I346" t="s">
        <v>31</v>
      </c>
      <c r="J346">
        <v>35313</v>
      </c>
      <c r="K346">
        <v>32</v>
      </c>
      <c r="L346" s="4">
        <v>3.8199999999999998E-2</v>
      </c>
      <c r="M346">
        <v>0.09</v>
      </c>
      <c r="N346" s="4">
        <v>1.3489566</v>
      </c>
      <c r="O346" s="4">
        <v>3.1781700000000002</v>
      </c>
    </row>
    <row r="347" spans="2:15">
      <c r="B347" t="s">
        <v>79</v>
      </c>
      <c r="C347" t="s">
        <v>49</v>
      </c>
      <c r="D347" t="s">
        <v>1038</v>
      </c>
      <c r="E347" t="s">
        <v>1039</v>
      </c>
      <c r="F347" t="s">
        <v>12</v>
      </c>
      <c r="G347" t="s">
        <v>1038</v>
      </c>
      <c r="H347" t="s">
        <v>1040</v>
      </c>
      <c r="I347" t="s">
        <v>31</v>
      </c>
      <c r="J347">
        <v>74091</v>
      </c>
      <c r="K347">
        <v>72</v>
      </c>
      <c r="L347" s="4">
        <v>3.8199999999999998E-2</v>
      </c>
      <c r="M347">
        <v>0.09</v>
      </c>
      <c r="N347" s="4">
        <v>2.8302761999999997</v>
      </c>
      <c r="O347" s="4">
        <v>6.6681899999999992</v>
      </c>
    </row>
    <row r="348" spans="2:15">
      <c r="B348" t="s">
        <v>79</v>
      </c>
      <c r="C348" t="s">
        <v>49</v>
      </c>
      <c r="D348" t="s">
        <v>1041</v>
      </c>
      <c r="E348" t="s">
        <v>1042</v>
      </c>
      <c r="F348" t="s">
        <v>12</v>
      </c>
      <c r="G348" t="s">
        <v>1041</v>
      </c>
      <c r="H348" t="s">
        <v>1043</v>
      </c>
      <c r="I348" t="s">
        <v>31</v>
      </c>
      <c r="J348">
        <v>26830</v>
      </c>
      <c r="K348">
        <v>36</v>
      </c>
      <c r="L348" s="4">
        <v>3.8199999999999998E-2</v>
      </c>
      <c r="M348">
        <v>0.09</v>
      </c>
      <c r="N348" s="4">
        <v>1.0249059999999999</v>
      </c>
      <c r="O348" s="4">
        <v>2.4146999999999998</v>
      </c>
    </row>
    <row r="349" spans="2:15">
      <c r="B349" t="s">
        <v>79</v>
      </c>
      <c r="C349" t="s">
        <v>49</v>
      </c>
      <c r="D349" t="s">
        <v>1044</v>
      </c>
      <c r="E349" t="s">
        <v>1045</v>
      </c>
      <c r="F349" t="s">
        <v>12</v>
      </c>
      <c r="G349" t="s">
        <v>1044</v>
      </c>
      <c r="H349" t="s">
        <v>1046</v>
      </c>
      <c r="I349" t="s">
        <v>31</v>
      </c>
      <c r="J349">
        <v>25615</v>
      </c>
      <c r="K349">
        <v>36</v>
      </c>
      <c r="L349" s="4">
        <v>3.8199999999999998E-2</v>
      </c>
      <c r="M349">
        <v>0.09</v>
      </c>
      <c r="N349" s="4">
        <v>0.97849299999999995</v>
      </c>
      <c r="O349" s="4">
        <v>2.3053499999999998</v>
      </c>
    </row>
    <row r="350" spans="2:15">
      <c r="B350" t="s">
        <v>79</v>
      </c>
      <c r="C350" t="s">
        <v>1047</v>
      </c>
      <c r="D350" t="s">
        <v>1048</v>
      </c>
      <c r="E350" t="s">
        <v>1049</v>
      </c>
      <c r="F350" t="s">
        <v>10</v>
      </c>
      <c r="G350" t="s">
        <v>1048</v>
      </c>
      <c r="H350" t="s">
        <v>1050</v>
      </c>
      <c r="I350" t="s">
        <v>32</v>
      </c>
      <c r="J350">
        <v>0</v>
      </c>
      <c r="K350">
        <v>261</v>
      </c>
      <c r="L350" s="4">
        <v>3.5000000000000001E-3</v>
      </c>
      <c r="M350">
        <v>0.02</v>
      </c>
      <c r="N350" s="4">
        <v>0.91349999999999998</v>
      </c>
      <c r="O350" s="4">
        <v>5.22</v>
      </c>
    </row>
    <row r="351" spans="2:15">
      <c r="B351" t="s">
        <v>79</v>
      </c>
      <c r="C351" t="s">
        <v>1047</v>
      </c>
      <c r="D351" t="s">
        <v>1051</v>
      </c>
      <c r="E351" t="s">
        <v>1052</v>
      </c>
      <c r="F351" t="s">
        <v>10</v>
      </c>
      <c r="G351" t="s">
        <v>1051</v>
      </c>
      <c r="H351" t="s">
        <v>1053</v>
      </c>
      <c r="I351" t="s">
        <v>32</v>
      </c>
      <c r="J351">
        <v>0</v>
      </c>
      <c r="K351">
        <v>162</v>
      </c>
      <c r="L351" s="4">
        <v>3.5000000000000001E-3</v>
      </c>
      <c r="M351">
        <v>0.02</v>
      </c>
      <c r="N351" s="4">
        <v>0.56700000000000006</v>
      </c>
      <c r="O351" s="4">
        <v>3.24</v>
      </c>
    </row>
    <row r="352" spans="2:15">
      <c r="B352" t="s">
        <v>79</v>
      </c>
      <c r="C352" t="s">
        <v>1047</v>
      </c>
      <c r="D352" t="s">
        <v>1054</v>
      </c>
      <c r="E352" t="s">
        <v>1055</v>
      </c>
      <c r="F352" t="s">
        <v>10</v>
      </c>
      <c r="G352" t="s">
        <v>1054</v>
      </c>
      <c r="H352" t="s">
        <v>1056</v>
      </c>
      <c r="I352" t="s">
        <v>32</v>
      </c>
      <c r="J352">
        <v>0</v>
      </c>
      <c r="K352">
        <v>109</v>
      </c>
      <c r="L352" s="4">
        <v>3.5000000000000001E-3</v>
      </c>
      <c r="M352">
        <v>0.02</v>
      </c>
      <c r="N352" s="4">
        <v>0.38150000000000001</v>
      </c>
      <c r="O352" s="4">
        <v>2.1800000000000002</v>
      </c>
    </row>
    <row r="353" spans="2:15">
      <c r="B353" t="s">
        <v>79</v>
      </c>
      <c r="C353" t="s">
        <v>1047</v>
      </c>
      <c r="D353" t="s">
        <v>1057</v>
      </c>
      <c r="E353" t="s">
        <v>1058</v>
      </c>
      <c r="F353" t="s">
        <v>10</v>
      </c>
      <c r="G353" t="s">
        <v>1057</v>
      </c>
      <c r="H353" t="s">
        <v>1059</v>
      </c>
      <c r="I353" t="s">
        <v>32</v>
      </c>
      <c r="J353">
        <v>0</v>
      </c>
      <c r="K353">
        <v>8693</v>
      </c>
      <c r="L353" s="4">
        <v>3.5000000000000001E-3</v>
      </c>
      <c r="M353">
        <v>0.02</v>
      </c>
      <c r="N353" s="4">
        <v>30.4255</v>
      </c>
      <c r="O353" s="4">
        <v>173.86</v>
      </c>
    </row>
    <row r="354" spans="2:15">
      <c r="B354" t="s">
        <v>79</v>
      </c>
      <c r="C354" t="s">
        <v>1047</v>
      </c>
      <c r="D354" t="s">
        <v>1060</v>
      </c>
      <c r="E354" t="s">
        <v>1061</v>
      </c>
      <c r="F354" t="s">
        <v>10</v>
      </c>
      <c r="G354" t="s">
        <v>1060</v>
      </c>
      <c r="H354" t="s">
        <v>1062</v>
      </c>
      <c r="I354" t="s">
        <v>32</v>
      </c>
      <c r="J354">
        <v>0</v>
      </c>
      <c r="K354">
        <v>1</v>
      </c>
      <c r="L354" s="4">
        <v>3.5000000000000001E-3</v>
      </c>
      <c r="M354">
        <v>0.02</v>
      </c>
      <c r="N354" s="4">
        <v>3.5000000000000001E-3</v>
      </c>
      <c r="O354" s="4">
        <v>0.02</v>
      </c>
    </row>
    <row r="355" spans="2:15">
      <c r="B355" t="s">
        <v>79</v>
      </c>
      <c r="C355" t="s">
        <v>538</v>
      </c>
      <c r="D355" t="s">
        <v>1063</v>
      </c>
      <c r="E355" t="s">
        <v>1064</v>
      </c>
      <c r="F355" t="s">
        <v>10</v>
      </c>
      <c r="G355" t="s">
        <v>1063</v>
      </c>
      <c r="H355" t="s">
        <v>1065</v>
      </c>
      <c r="I355" t="s">
        <v>32</v>
      </c>
      <c r="J355">
        <v>1217967</v>
      </c>
      <c r="K355">
        <v>8517</v>
      </c>
      <c r="L355" s="4">
        <v>3.5000000000000001E-3</v>
      </c>
      <c r="M355">
        <v>0.02</v>
      </c>
      <c r="N355" s="4">
        <v>29.8095</v>
      </c>
      <c r="O355" s="4">
        <v>170.34</v>
      </c>
    </row>
    <row r="356" spans="2:15">
      <c r="B356" t="s">
        <v>79</v>
      </c>
      <c r="C356" t="s">
        <v>538</v>
      </c>
      <c r="D356" t="s">
        <v>1066</v>
      </c>
      <c r="E356" t="s">
        <v>1067</v>
      </c>
      <c r="F356" t="s">
        <v>10</v>
      </c>
      <c r="G356" t="s">
        <v>1066</v>
      </c>
      <c r="H356" t="s">
        <v>1068</v>
      </c>
      <c r="I356" t="s">
        <v>32</v>
      </c>
      <c r="J356">
        <v>892082</v>
      </c>
      <c r="K356">
        <v>7100</v>
      </c>
      <c r="L356" s="4">
        <v>3.5000000000000001E-3</v>
      </c>
      <c r="M356">
        <v>0.02</v>
      </c>
      <c r="N356" s="4">
        <v>24.85</v>
      </c>
      <c r="O356" s="4">
        <v>142</v>
      </c>
    </row>
    <row r="357" spans="2:15">
      <c r="B357" t="s">
        <v>79</v>
      </c>
      <c r="C357" t="s">
        <v>538</v>
      </c>
      <c r="D357" t="s">
        <v>1069</v>
      </c>
      <c r="E357" t="s">
        <v>1070</v>
      </c>
      <c r="F357" t="s">
        <v>12</v>
      </c>
      <c r="G357" t="s">
        <v>1069</v>
      </c>
      <c r="H357" t="s">
        <v>1071</v>
      </c>
      <c r="I357" t="s">
        <v>31</v>
      </c>
      <c r="J357">
        <v>4678166</v>
      </c>
      <c r="K357">
        <v>2579</v>
      </c>
      <c r="L357" s="4">
        <v>3.8199999999999998E-2</v>
      </c>
      <c r="M357">
        <v>0.09</v>
      </c>
      <c r="N357" s="4">
        <v>178.70594120000001</v>
      </c>
      <c r="O357" s="4">
        <v>421.03494000000001</v>
      </c>
    </row>
    <row r="358" spans="2:15">
      <c r="B358" t="s">
        <v>79</v>
      </c>
      <c r="C358" t="s">
        <v>538</v>
      </c>
      <c r="D358" t="s">
        <v>1072</v>
      </c>
      <c r="E358" t="s">
        <v>1073</v>
      </c>
      <c r="F358" t="s">
        <v>12</v>
      </c>
      <c r="G358" t="s">
        <v>1072</v>
      </c>
      <c r="H358" t="s">
        <v>1074</v>
      </c>
      <c r="I358" t="s">
        <v>31</v>
      </c>
      <c r="J358">
        <v>2233365</v>
      </c>
      <c r="K358">
        <v>1295</v>
      </c>
      <c r="L358" s="4">
        <v>3.8199999999999998E-2</v>
      </c>
      <c r="M358">
        <v>0.09</v>
      </c>
      <c r="N358" s="4">
        <v>85.314542999999986</v>
      </c>
      <c r="O358" s="4">
        <v>201.00285</v>
      </c>
    </row>
    <row r="359" spans="2:15">
      <c r="B359" t="s">
        <v>79</v>
      </c>
      <c r="C359" t="s">
        <v>538</v>
      </c>
      <c r="D359" t="s">
        <v>1075</v>
      </c>
      <c r="E359" t="s">
        <v>1076</v>
      </c>
      <c r="F359" t="s">
        <v>12</v>
      </c>
      <c r="G359" t="s">
        <v>1075</v>
      </c>
      <c r="H359" t="s">
        <v>1077</v>
      </c>
      <c r="I359" t="s">
        <v>31</v>
      </c>
      <c r="J359">
        <v>485029</v>
      </c>
      <c r="K359">
        <v>259</v>
      </c>
      <c r="L359" s="4">
        <v>3.8199999999999998E-2</v>
      </c>
      <c r="M359">
        <v>0.09</v>
      </c>
      <c r="N359" s="4">
        <v>18.528107799999997</v>
      </c>
      <c r="O359" s="4">
        <v>43.652610000000003</v>
      </c>
    </row>
    <row r="360" spans="2:15">
      <c r="B360" t="s">
        <v>79</v>
      </c>
      <c r="C360" t="s">
        <v>538</v>
      </c>
      <c r="D360" t="s">
        <v>1078</v>
      </c>
      <c r="E360" t="s">
        <v>1079</v>
      </c>
      <c r="F360" t="s">
        <v>12</v>
      </c>
      <c r="G360" t="s">
        <v>1078</v>
      </c>
      <c r="H360" t="s">
        <v>1080</v>
      </c>
      <c r="I360" t="s">
        <v>31</v>
      </c>
      <c r="J360">
        <v>13</v>
      </c>
      <c r="K360">
        <v>2</v>
      </c>
      <c r="L360" s="4">
        <v>3.8199999999999998E-2</v>
      </c>
      <c r="M360">
        <v>0.09</v>
      </c>
      <c r="N360" s="4">
        <v>4.9660000000000004E-4</v>
      </c>
      <c r="O360" s="4">
        <v>1.17E-3</v>
      </c>
    </row>
    <row r="361" spans="2:15">
      <c r="B361" t="s">
        <v>79</v>
      </c>
      <c r="C361" t="s">
        <v>538</v>
      </c>
      <c r="D361" t="s">
        <v>1081</v>
      </c>
      <c r="E361" t="s">
        <v>1082</v>
      </c>
      <c r="F361" t="s">
        <v>12</v>
      </c>
      <c r="G361" t="s">
        <v>1081</v>
      </c>
      <c r="H361" t="s">
        <v>1083</v>
      </c>
      <c r="I361" t="s">
        <v>31</v>
      </c>
      <c r="J361">
        <v>34</v>
      </c>
      <c r="K361">
        <v>4</v>
      </c>
      <c r="L361" s="4">
        <v>3.8199999999999998E-2</v>
      </c>
      <c r="M361">
        <v>0.09</v>
      </c>
      <c r="N361" s="4">
        <v>1.2987999999999999E-3</v>
      </c>
      <c r="O361" s="4">
        <v>3.0600000000000002E-3</v>
      </c>
    </row>
    <row r="362" spans="2:15">
      <c r="B362" t="s">
        <v>79</v>
      </c>
      <c r="C362" t="s">
        <v>538</v>
      </c>
      <c r="D362" t="s">
        <v>1084</v>
      </c>
      <c r="E362" t="s">
        <v>1085</v>
      </c>
      <c r="F362" t="s">
        <v>12</v>
      </c>
      <c r="G362" t="s">
        <v>1084</v>
      </c>
      <c r="H362" t="s">
        <v>1086</v>
      </c>
      <c r="I362" t="s">
        <v>31</v>
      </c>
      <c r="J362">
        <v>2234207</v>
      </c>
      <c r="K362">
        <v>1276</v>
      </c>
      <c r="L362" s="4">
        <v>3.8199999999999998E-2</v>
      </c>
      <c r="M362">
        <v>0.09</v>
      </c>
      <c r="N362" s="4">
        <v>85.3467074</v>
      </c>
      <c r="O362" s="4">
        <v>201.07863</v>
      </c>
    </row>
    <row r="363" spans="2:15">
      <c r="B363" t="s">
        <v>79</v>
      </c>
      <c r="C363" t="s">
        <v>538</v>
      </c>
      <c r="D363" t="s">
        <v>1087</v>
      </c>
      <c r="E363" t="s">
        <v>1088</v>
      </c>
      <c r="F363" t="s">
        <v>12</v>
      </c>
      <c r="G363" t="s">
        <v>1087</v>
      </c>
      <c r="H363" t="s">
        <v>1089</v>
      </c>
      <c r="I363" t="s">
        <v>31</v>
      </c>
      <c r="J363">
        <v>10</v>
      </c>
      <c r="K363">
        <v>2</v>
      </c>
      <c r="L363" s="4">
        <v>3.8199999999999998E-2</v>
      </c>
      <c r="M363">
        <v>0.09</v>
      </c>
      <c r="N363" s="4">
        <v>3.8200000000000002E-4</v>
      </c>
      <c r="O363" s="4">
        <v>8.9999999999999987E-4</v>
      </c>
    </row>
    <row r="364" spans="2:15">
      <c r="B364" t="s">
        <v>79</v>
      </c>
      <c r="C364" t="s">
        <v>538</v>
      </c>
      <c r="D364" t="s">
        <v>1090</v>
      </c>
      <c r="E364" t="s">
        <v>1091</v>
      </c>
      <c r="F364" t="s">
        <v>12</v>
      </c>
      <c r="G364" t="s">
        <v>1090</v>
      </c>
      <c r="H364" t="s">
        <v>1092</v>
      </c>
      <c r="I364" t="s">
        <v>31</v>
      </c>
      <c r="J364">
        <v>484818</v>
      </c>
      <c r="K364">
        <v>250</v>
      </c>
      <c r="L364" s="4">
        <v>3.8199999999999998E-2</v>
      </c>
      <c r="M364">
        <v>0.09</v>
      </c>
      <c r="N364" s="4">
        <v>18.520047599999998</v>
      </c>
      <c r="O364" s="4">
        <v>43.633619999999993</v>
      </c>
    </row>
    <row r="365" spans="2:15">
      <c r="B365" t="s">
        <v>79</v>
      </c>
      <c r="C365" t="s">
        <v>1093</v>
      </c>
      <c r="D365" t="s">
        <v>1094</v>
      </c>
      <c r="E365" t="s">
        <v>1095</v>
      </c>
      <c r="F365" t="s">
        <v>12</v>
      </c>
      <c r="G365" t="s">
        <v>1094</v>
      </c>
      <c r="H365" t="s">
        <v>1096</v>
      </c>
      <c r="I365" t="s">
        <v>31</v>
      </c>
      <c r="J365">
        <v>1</v>
      </c>
      <c r="K365">
        <v>1</v>
      </c>
      <c r="L365" s="4">
        <v>3.8199999999999998E-2</v>
      </c>
      <c r="M365">
        <v>0.09</v>
      </c>
      <c r="N365" s="4">
        <v>3.82E-5</v>
      </c>
      <c r="O365" s="4">
        <v>8.9999999999999992E-5</v>
      </c>
    </row>
    <row r="366" spans="2:15">
      <c r="B366" t="s">
        <v>79</v>
      </c>
      <c r="C366" t="s">
        <v>1093</v>
      </c>
      <c r="D366" t="s">
        <v>1097</v>
      </c>
      <c r="E366" t="s">
        <v>1098</v>
      </c>
      <c r="F366" t="s">
        <v>12</v>
      </c>
      <c r="G366" t="s">
        <v>1097</v>
      </c>
      <c r="H366" t="s">
        <v>1099</v>
      </c>
      <c r="I366" t="s">
        <v>31</v>
      </c>
      <c r="J366">
        <v>1</v>
      </c>
      <c r="K366">
        <v>1</v>
      </c>
      <c r="L366" s="4">
        <v>3.8199999999999998E-2</v>
      </c>
      <c r="M366">
        <v>0.09</v>
      </c>
      <c r="N366" s="4">
        <v>3.82E-5</v>
      </c>
      <c r="O366" s="4">
        <v>8.9999999999999992E-5</v>
      </c>
    </row>
    <row r="367" spans="2:15">
      <c r="B367" t="s">
        <v>79</v>
      </c>
      <c r="C367" t="s">
        <v>1093</v>
      </c>
      <c r="D367" t="s">
        <v>1100</v>
      </c>
      <c r="E367" t="s">
        <v>1101</v>
      </c>
      <c r="F367" t="s">
        <v>12</v>
      </c>
      <c r="G367" t="s">
        <v>1100</v>
      </c>
      <c r="H367" t="s">
        <v>1102</v>
      </c>
      <c r="I367" t="s">
        <v>31</v>
      </c>
      <c r="J367">
        <v>1</v>
      </c>
      <c r="K367">
        <v>1</v>
      </c>
      <c r="L367" s="4">
        <v>3.8199999999999998E-2</v>
      </c>
      <c r="M367">
        <v>0.09</v>
      </c>
      <c r="N367" s="4">
        <v>3.82E-5</v>
      </c>
      <c r="O367" s="4">
        <v>8.9999999999999992E-5</v>
      </c>
    </row>
    <row r="368" spans="2:15">
      <c r="N368" s="5"/>
      <c r="O368" s="5"/>
    </row>
    <row r="369" spans="12:15">
      <c r="L369" s="4"/>
      <c r="N369" s="4"/>
      <c r="O369" s="4"/>
    </row>
    <row r="370" spans="12:15">
      <c r="N370" s="5"/>
      <c r="O370" s="5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N401" s="5"/>
      <c r="O401" s="5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N1227" s="5"/>
      <c r="O1227" s="5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</sheetData>
  <autoFilter ref="A19:O1226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2019-09-02T21:37:16Z</dcterms:modified>
</cp:coreProperties>
</file>